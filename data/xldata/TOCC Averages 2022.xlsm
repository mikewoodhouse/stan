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ikew\Documents\TOCC\Averages\"/>
    </mc:Choice>
  </mc:AlternateContent>
  <bookViews>
    <workbookView xWindow="0" yWindow="8640" windowWidth="17625" windowHeight="12630" activeTab="1"/>
  </bookViews>
  <sheets>
    <sheet name="Matches" sheetId="1" r:id="rId1"/>
    <sheet name="Batting" sheetId="2" r:id="rId2"/>
    <sheet name="Bowling" sheetId="3" r:id="rId3"/>
    <sheet name="Partnerships" sheetId="16" r:id="rId4"/>
    <sheet name="BatAves" sheetId="9" r:id="rId5"/>
    <sheet name="BowlAves" sheetId="10" r:id="rId6"/>
    <sheet name="Fantasy Teams" sheetId="4" state="hidden" r:id="rId7"/>
    <sheet name="FantasyPts" sheetId="5" state="hidden" r:id="rId8"/>
    <sheet name="Player Stats" sheetId="6" state="hidden" r:id="rId9"/>
    <sheet name="League Table" sheetId="7" state="hidden" r:id="rId10"/>
    <sheet name="modFuncs" sheetId="8" state="veryHidden" r:id=""/>
    <sheet name="Capts" sheetId="17" r:id="rId11"/>
    <sheet name="To_Word_Doc" sheetId="18" r:id="rId12"/>
    <sheet name="Scratchpad" sheetId="19" r:id="rId13"/>
  </sheets>
  <functionGroups builtInGroupCount="18"/>
  <definedNames>
    <definedName name="BallsBowled">1</definedName>
    <definedName name="batavg_qualifiers">BatAves!$W$3</definedName>
    <definedName name="BatPts">7</definedName>
    <definedName name="BestBowling">8</definedName>
    <definedName name="BowlPts">7</definedName>
    <definedName name="Catches">8</definedName>
    <definedName name="CaughtWkt">13</definedName>
    <definedName name="Ducks">6</definedName>
    <definedName name="_xlnm.Extract">Batting!$D$85</definedName>
    <definedName name="FantasyPlayerCount">'Fantasy Teams'!$H$93</definedName>
    <definedName name="Fifties">15</definedName>
    <definedName name="FiveFors">11</definedName>
    <definedName name="FldPts">9</definedName>
    <definedName name="Fours">10</definedName>
    <definedName name="HighestScore">5</definedName>
    <definedName name="Hundreds">16</definedName>
    <definedName name="InnsBattedIn">1</definedName>
    <definedName name="InnsBowledIn">5</definedName>
    <definedName name="Maidens">2</definedName>
    <definedName name="MatchesPlayed">4</definedName>
    <definedName name="MinValue">Batting!$E$85</definedName>
    <definedName name="NoBalls">10</definedName>
    <definedName name="NotOuts">3</definedName>
    <definedName name="NumFantTeams">'Fantasy Teams'!$H$44</definedName>
    <definedName name="OversBowled">6</definedName>
    <definedName name="_xlnm.Print_Area" localSheetId="4">BatAves!$A$1:$H$45</definedName>
    <definedName name="_xlnm.Print_Area" localSheetId="5">BowlAves!$A$1:$K$31</definedName>
    <definedName name="_xlnm.Print_Area" localSheetId="2">Bowling!$A$1:$AH$48</definedName>
    <definedName name="_xlnm.Print_Area" localSheetId="9">'League Table'!$A$1:$D$36</definedName>
    <definedName name="_xlnm.Print_Area" localSheetId="0">Matches!$A$1:$AF$19</definedName>
    <definedName name="_xlnm.Print_Area" localSheetId="8">'Player Stats'!$A$1:$H$42</definedName>
    <definedName name="_xlnm.Print_Area" localSheetId="12">To_Word_Doc!$A$46:$Y$135</definedName>
    <definedName name="_xlnm.Print_Titles" localSheetId="0">Matches!$4:$4</definedName>
    <definedName name="RunsConceded">3</definedName>
    <definedName name="RunsScored">2</definedName>
    <definedName name="Sixes">11</definedName>
    <definedName name="Stumpings">12</definedName>
    <definedName name="TwentyFives">14</definedName>
    <definedName name="WicketsTaken">4</definedName>
    <definedName name="Wides">9</definedName>
  </definedNames>
  <calcPr calcId="152511"/>
  <pivotCaches>
    <pivotCache cacheId="0" r:id="rId14"/>
  </pivotCaches>
</workbook>
</file>

<file path=xl/calcChain.xml><?xml version="1.0" encoding="utf-8"?>
<calcChain xmlns="http://schemas.openxmlformats.org/spreadsheetml/2006/main">
  <c r="CB6" i="2" l="1"/>
  <c r="CC6" i="2"/>
  <c r="CB7" i="2"/>
  <c r="CC7" i="2"/>
  <c r="CB8" i="2"/>
  <c r="CC8" i="2"/>
  <c r="CB9" i="2"/>
  <c r="CC9" i="2"/>
  <c r="CB10" i="2"/>
  <c r="CC10" i="2"/>
  <c r="CB11" i="2"/>
  <c r="CC11" i="2"/>
  <c r="CB12" i="2"/>
  <c r="CC12" i="2"/>
  <c r="CB13" i="2"/>
  <c r="CC13" i="2"/>
  <c r="CB14" i="2"/>
  <c r="CC14" i="2"/>
  <c r="CB15" i="2"/>
  <c r="CC15" i="2"/>
  <c r="CB16" i="2"/>
  <c r="CC16" i="2"/>
  <c r="CB17" i="2"/>
  <c r="CC17" i="2"/>
  <c r="CB18" i="2"/>
  <c r="CC18" i="2"/>
  <c r="CB19" i="2"/>
  <c r="CC19" i="2"/>
  <c r="CB20" i="2"/>
  <c r="CC20" i="2"/>
  <c r="CB21" i="2"/>
  <c r="CC21" i="2"/>
  <c r="CB22" i="2"/>
  <c r="CC22" i="2"/>
  <c r="CB23" i="2"/>
  <c r="CC23" i="2"/>
  <c r="CB24" i="2"/>
  <c r="CC24" i="2"/>
  <c r="CB25" i="2"/>
  <c r="CC25" i="2"/>
  <c r="CB26" i="2"/>
  <c r="CC26" i="2"/>
  <c r="CB27" i="2"/>
  <c r="CC27" i="2"/>
  <c r="CB28" i="2"/>
  <c r="CC28" i="2"/>
  <c r="CB29" i="2"/>
  <c r="CC29" i="2"/>
  <c r="CB30" i="2"/>
  <c r="CC30" i="2"/>
  <c r="CB31" i="2"/>
  <c r="CC31" i="2"/>
  <c r="CB32" i="2"/>
  <c r="CC32" i="2"/>
  <c r="CB33" i="2"/>
  <c r="CC33" i="2"/>
  <c r="CB34" i="2"/>
  <c r="CC34" i="2"/>
  <c r="CB35" i="2"/>
  <c r="CC35" i="2"/>
  <c r="CB36" i="2"/>
  <c r="CC36" i="2"/>
  <c r="CB37" i="2"/>
  <c r="CC37" i="2"/>
  <c r="CB38" i="2"/>
  <c r="CC38" i="2"/>
  <c r="CB39" i="2"/>
  <c r="CC39" i="2"/>
  <c r="CB40" i="2"/>
  <c r="CC40" i="2"/>
  <c r="CB41" i="2"/>
  <c r="CC41" i="2"/>
  <c r="CB42" i="2"/>
  <c r="CC42" i="2"/>
  <c r="CB43" i="2"/>
  <c r="CC43" i="2"/>
  <c r="CB44" i="2"/>
  <c r="CC44" i="2"/>
  <c r="CB45" i="2"/>
  <c r="CC45" i="2"/>
  <c r="CB46" i="2"/>
  <c r="CC46" i="2"/>
  <c r="CB47" i="2"/>
  <c r="CC47" i="2"/>
  <c r="CB48" i="2"/>
  <c r="CC48" i="2"/>
  <c r="CB49" i="2"/>
  <c r="CC49" i="2"/>
  <c r="CB50" i="2"/>
  <c r="CC50" i="2"/>
  <c r="CB51" i="2"/>
  <c r="CC51" i="2"/>
  <c r="CB52" i="2"/>
  <c r="CC52" i="2"/>
  <c r="CB53" i="2"/>
  <c r="CC53" i="2"/>
  <c r="CB54" i="2"/>
  <c r="CC54" i="2"/>
  <c r="CB55" i="2"/>
  <c r="CC55" i="2"/>
  <c r="CB56" i="2"/>
  <c r="CC56" i="2"/>
  <c r="CB57" i="2"/>
  <c r="CC57" i="2"/>
  <c r="CB58" i="2"/>
  <c r="CC58" i="2"/>
  <c r="CB59" i="2"/>
  <c r="CC59" i="2"/>
  <c r="CB60" i="2"/>
  <c r="CC60" i="2"/>
  <c r="CB61" i="2"/>
  <c r="CC61" i="2"/>
  <c r="CB62" i="2"/>
  <c r="CC62" i="2"/>
  <c r="CC5" i="2"/>
  <c r="CB5" i="2"/>
  <c r="BZ6" i="2"/>
  <c r="CA6" i="2"/>
  <c r="BZ7" i="2"/>
  <c r="CA7" i="2"/>
  <c r="BZ8" i="2"/>
  <c r="CA8" i="2"/>
  <c r="BZ9" i="2"/>
  <c r="CA9" i="2"/>
  <c r="BZ10" i="2"/>
  <c r="CA10" i="2"/>
  <c r="BZ11" i="2"/>
  <c r="CA11" i="2"/>
  <c r="BZ12" i="2"/>
  <c r="CA12" i="2"/>
  <c r="BZ13" i="2"/>
  <c r="CA13" i="2"/>
  <c r="BZ14" i="2"/>
  <c r="CA14" i="2"/>
  <c r="BZ15" i="2"/>
  <c r="CA15" i="2"/>
  <c r="BZ16" i="2"/>
  <c r="CA16" i="2"/>
  <c r="BZ17" i="2"/>
  <c r="CA17" i="2"/>
  <c r="BZ18" i="2"/>
  <c r="CA18" i="2"/>
  <c r="BZ19" i="2"/>
  <c r="CA19" i="2"/>
  <c r="BZ20" i="2"/>
  <c r="CA20" i="2"/>
  <c r="BZ21" i="2"/>
  <c r="CA21" i="2"/>
  <c r="BZ22" i="2"/>
  <c r="CA22" i="2"/>
  <c r="BZ23" i="2"/>
  <c r="CA23" i="2"/>
  <c r="BZ24" i="2"/>
  <c r="CA24" i="2"/>
  <c r="BZ25" i="2"/>
  <c r="CA25" i="2"/>
  <c r="BZ26" i="2"/>
  <c r="CA26" i="2"/>
  <c r="BZ27" i="2"/>
  <c r="CA27" i="2"/>
  <c r="BZ28" i="2"/>
  <c r="CA28" i="2"/>
  <c r="BZ29" i="2"/>
  <c r="CA29" i="2"/>
  <c r="BZ30" i="2"/>
  <c r="CA30" i="2"/>
  <c r="BZ31" i="2"/>
  <c r="CA31" i="2"/>
  <c r="BZ32" i="2"/>
  <c r="CA32" i="2"/>
  <c r="BZ33" i="2"/>
  <c r="CA33" i="2"/>
  <c r="BZ34" i="2"/>
  <c r="CA34" i="2"/>
  <c r="BZ35" i="2"/>
  <c r="CA35" i="2"/>
  <c r="BZ36" i="2"/>
  <c r="CA36" i="2"/>
  <c r="BZ37" i="2"/>
  <c r="CA37" i="2"/>
  <c r="BZ38" i="2"/>
  <c r="CA38" i="2"/>
  <c r="BZ39" i="2"/>
  <c r="CA39" i="2"/>
  <c r="BZ40" i="2"/>
  <c r="CA40" i="2"/>
  <c r="BZ41" i="2"/>
  <c r="CA41" i="2"/>
  <c r="BZ42" i="2"/>
  <c r="CA42" i="2"/>
  <c r="BZ43" i="2"/>
  <c r="CA43" i="2"/>
  <c r="BZ44" i="2"/>
  <c r="CA44" i="2"/>
  <c r="BZ45" i="2"/>
  <c r="CA45" i="2"/>
  <c r="BZ46" i="2"/>
  <c r="CA46" i="2"/>
  <c r="BZ47" i="2"/>
  <c r="CA47" i="2"/>
  <c r="BZ48" i="2"/>
  <c r="CA48" i="2"/>
  <c r="BZ49" i="2"/>
  <c r="CA49" i="2"/>
  <c r="BZ50" i="2"/>
  <c r="CA50" i="2"/>
  <c r="BZ51" i="2"/>
  <c r="CA51" i="2"/>
  <c r="BZ52" i="2"/>
  <c r="CA52" i="2"/>
  <c r="BZ53" i="2"/>
  <c r="CA53" i="2"/>
  <c r="BZ54" i="2"/>
  <c r="CA54" i="2"/>
  <c r="BZ55" i="2"/>
  <c r="CA55" i="2"/>
  <c r="BZ56" i="2"/>
  <c r="CA56" i="2"/>
  <c r="BZ57" i="2"/>
  <c r="CA57" i="2"/>
  <c r="BZ58" i="2"/>
  <c r="CA58" i="2"/>
  <c r="BZ59" i="2"/>
  <c r="CA59" i="2"/>
  <c r="BZ60" i="2"/>
  <c r="CA60" i="2"/>
  <c r="BZ61" i="2"/>
  <c r="CA61" i="2"/>
  <c r="BZ62" i="2"/>
  <c r="CA62" i="2"/>
  <c r="CA5" i="2"/>
  <c r="BZ5" i="2"/>
  <c r="C80" i="18"/>
  <c r="C79" i="18"/>
  <c r="C78" i="18"/>
  <c r="C77" i="18"/>
  <c r="C76" i="18"/>
  <c r="C75" i="18"/>
  <c r="C74" i="18"/>
  <c r="C73" i="18"/>
  <c r="C72" i="18"/>
  <c r="C71" i="18"/>
  <c r="C70" i="18"/>
  <c r="C69" i="18"/>
  <c r="C68" i="18"/>
  <c r="C67" i="18"/>
  <c r="C66" i="18"/>
  <c r="C65" i="18"/>
  <c r="C64" i="18"/>
  <c r="C63" i="18"/>
  <c r="C62" i="18"/>
  <c r="C61" i="18"/>
  <c r="C60" i="18"/>
  <c r="W38" i="1"/>
  <c r="S38" i="1"/>
  <c r="AT10" i="2" a="1"/>
  <c r="AT10" i="2" s="1"/>
  <c r="AU10" i="2" a="1"/>
  <c r="AU10" i="2" s="1"/>
  <c r="AW10" i="2" a="1"/>
  <c r="AW10" i="2"/>
  <c r="AX10" i="2" a="1"/>
  <c r="AX10" i="2" s="1"/>
  <c r="AY10" i="2" a="1"/>
  <c r="AY10" i="2"/>
  <c r="AZ10" i="2" a="1"/>
  <c r="AZ10" i="2" s="1"/>
  <c r="BA10" i="2" a="1"/>
  <c r="BA10" i="2"/>
  <c r="BB10" i="2" a="1"/>
  <c r="BB10" i="2" s="1"/>
  <c r="BC10" i="2" a="1"/>
  <c r="BC10" i="2"/>
  <c r="AT11" i="2" a="1"/>
  <c r="AT11" i="2"/>
  <c r="AU11" i="2" a="1"/>
  <c r="AU11" i="2" s="1"/>
  <c r="AW11" i="2" a="1"/>
  <c r="AW11" i="2" s="1"/>
  <c r="AX11" i="2" a="1"/>
  <c r="AX11" i="2"/>
  <c r="AY11" i="2" a="1"/>
  <c r="AY11" i="2" s="1"/>
  <c r="AZ11" i="2" a="1"/>
  <c r="AZ11" i="2"/>
  <c r="BA11" i="2" a="1"/>
  <c r="BA11" i="2" s="1"/>
  <c r="BB11" i="2" a="1"/>
  <c r="BB11" i="2"/>
  <c r="BC11" i="2" a="1"/>
  <c r="BC11" i="2" s="1"/>
  <c r="AT12" i="2" a="1"/>
  <c r="AT12" i="2" s="1"/>
  <c r="AU12" i="2" a="1"/>
  <c r="AU12" i="2" s="1"/>
  <c r="AW12" i="2" a="1"/>
  <c r="AW12" i="2" s="1"/>
  <c r="AX12" i="2" a="1"/>
  <c r="AX12" i="2"/>
  <c r="AY12" i="2" a="1"/>
  <c r="AY12" i="2" s="1"/>
  <c r="AZ12" i="2" a="1"/>
  <c r="AZ12" i="2"/>
  <c r="BA12" i="2" a="1"/>
  <c r="BA12" i="2" s="1"/>
  <c r="BB12" i="2" a="1"/>
  <c r="BB12" i="2"/>
  <c r="BC12" i="2" a="1"/>
  <c r="BC12" i="2" s="1"/>
  <c r="AT13" i="2" a="1"/>
  <c r="AT13" i="2" s="1"/>
  <c r="AU13" i="2" a="1"/>
  <c r="AU13" i="2" s="1"/>
  <c r="AW13" i="2" a="1"/>
  <c r="AW13" i="2" s="1"/>
  <c r="AX13" i="2" a="1"/>
  <c r="AX13" i="2" s="1"/>
  <c r="AY13" i="2" a="1"/>
  <c r="AY13" i="2"/>
  <c r="AZ13" i="2" a="1"/>
  <c r="AZ13" i="2" s="1"/>
  <c r="BA13" i="2" a="1"/>
  <c r="BA13" i="2" s="1"/>
  <c r="BB13" i="2" a="1"/>
  <c r="BB13" i="2" s="1"/>
  <c r="BC13" i="2" a="1"/>
  <c r="BC13" i="2" s="1"/>
  <c r="AT14" i="2" a="1"/>
  <c r="AT14" i="2" s="1"/>
  <c r="AU14" i="2" a="1"/>
  <c r="AU14" i="2" s="1"/>
  <c r="AW14" i="2" a="1"/>
  <c r="AW14" i="2"/>
  <c r="AX14" i="2" a="1"/>
  <c r="AX14" i="2"/>
  <c r="AY14" i="2" a="1"/>
  <c r="AY14" i="2"/>
  <c r="AZ14" i="2" a="1"/>
  <c r="AZ14" i="2" s="1"/>
  <c r="BA14" i="2" a="1"/>
  <c r="BA14" i="2"/>
  <c r="BB14" i="2" a="1"/>
  <c r="BB14" i="2" s="1"/>
  <c r="BC14" i="2" a="1"/>
  <c r="BC14" i="2"/>
  <c r="AT15" i="2" a="1"/>
  <c r="AT15" i="2"/>
  <c r="AU15" i="2" a="1"/>
  <c r="AU15" i="2" s="1"/>
  <c r="AW15" i="2" a="1"/>
  <c r="AW15" i="2" s="1"/>
  <c r="AX15" i="2" a="1"/>
  <c r="AX15" i="2"/>
  <c r="AY15" i="2" a="1"/>
  <c r="AY15" i="2" s="1"/>
  <c r="AZ15" i="2" a="1"/>
  <c r="AZ15" i="2"/>
  <c r="BA15" i="2" a="1"/>
  <c r="BA15" i="2" s="1"/>
  <c r="BB15" i="2" a="1"/>
  <c r="BB15" i="2" s="1"/>
  <c r="BC15" i="2" a="1"/>
  <c r="BC15" i="2" s="1"/>
  <c r="AT16" i="2" a="1"/>
  <c r="AT16" i="2" s="1"/>
  <c r="AU16" i="2" a="1"/>
  <c r="AU16" i="2" s="1"/>
  <c r="AW16" i="2" a="1"/>
  <c r="AW16" i="2"/>
  <c r="AX16" i="2" a="1"/>
  <c r="AX16" i="2"/>
  <c r="AY16" i="2" a="1"/>
  <c r="AY16" i="2" s="1"/>
  <c r="AZ16" i="2" a="1"/>
  <c r="AZ16" i="2"/>
  <c r="BA16" i="2" a="1"/>
  <c r="BA16" i="2" s="1"/>
  <c r="BB16" i="2" a="1"/>
  <c r="BB16" i="2"/>
  <c r="BC16" i="2" a="1"/>
  <c r="BC16" i="2" s="1"/>
  <c r="AT17" i="2" a="1"/>
  <c r="AT17" i="2" s="1"/>
  <c r="AU17" i="2" a="1"/>
  <c r="AU17" i="2"/>
  <c r="AW17" i="2" a="1"/>
  <c r="AW17" i="2"/>
  <c r="AX17" i="2" a="1"/>
  <c r="AX17" i="2" s="1"/>
  <c r="AY17" i="2" a="1"/>
  <c r="AY17" i="2"/>
  <c r="AZ17" i="2" a="1"/>
  <c r="AZ17" i="2" s="1"/>
  <c r="BA17" i="2" a="1"/>
  <c r="BA17" i="2" s="1"/>
  <c r="BB17" i="2" a="1"/>
  <c r="BB17" i="2" s="1"/>
  <c r="BC17" i="2" a="1"/>
  <c r="BC17" i="2" s="1"/>
  <c r="AT18" i="2" a="1"/>
  <c r="AT18" i="2" s="1"/>
  <c r="AU18" i="2" a="1"/>
  <c r="AU18" i="2" s="1"/>
  <c r="AW18" i="2" a="1"/>
  <c r="AW18" i="2"/>
  <c r="AX18" i="2" a="1"/>
  <c r="AX18" i="2"/>
  <c r="AY18" i="2" a="1"/>
  <c r="AY18" i="2"/>
  <c r="AZ18" i="2" a="1"/>
  <c r="AZ18" i="2" s="1"/>
  <c r="BA18" i="2" a="1"/>
  <c r="BA18" i="2"/>
  <c r="BB18" i="2" a="1"/>
  <c r="BB18" i="2" s="1"/>
  <c r="BC18" i="2" a="1"/>
  <c r="BC18" i="2"/>
  <c r="AT19" i="2" a="1"/>
  <c r="AT19" i="2" s="1"/>
  <c r="AU19" i="2" a="1"/>
  <c r="AU19" i="2" s="1"/>
  <c r="AW19" i="2" a="1"/>
  <c r="AW19" i="2" s="1"/>
  <c r="AX19" i="2" a="1"/>
  <c r="AX19" i="2" s="1"/>
  <c r="AY19" i="2" a="1"/>
  <c r="AY19" i="2" s="1"/>
  <c r="AZ19" i="2" a="1"/>
  <c r="AZ19" i="2" s="1"/>
  <c r="BA19" i="2" a="1"/>
  <c r="BA19" i="2" s="1"/>
  <c r="BB19" i="2" a="1"/>
  <c r="BB19" i="2"/>
  <c r="BC19" i="2" a="1"/>
  <c r="BC19" i="2" s="1"/>
  <c r="AT20" i="2" a="1"/>
  <c r="AT20" i="2" s="1"/>
  <c r="AU20" i="2" a="1"/>
  <c r="AU20" i="2" s="1"/>
  <c r="AW20" i="2" a="1"/>
  <c r="AW20" i="2" s="1"/>
  <c r="AX20" i="2" a="1"/>
  <c r="AX20" i="2" s="1"/>
  <c r="AY20" i="2" a="1"/>
  <c r="AY20" i="2" s="1"/>
  <c r="AZ20" i="2" a="1"/>
  <c r="AZ20" i="2" s="1"/>
  <c r="BA20" i="2" a="1"/>
  <c r="BA20" i="2" s="1"/>
  <c r="BB20" i="2" a="1"/>
  <c r="BB20" i="2" s="1"/>
  <c r="BC20" i="2" a="1"/>
  <c r="BC20" i="2" s="1"/>
  <c r="AT21" i="2" a="1"/>
  <c r="AT21" i="2" s="1"/>
  <c r="AU21" i="2" a="1"/>
  <c r="AU21" i="2" s="1"/>
  <c r="AW21" i="2" a="1"/>
  <c r="AW21" i="2"/>
  <c r="AX21" i="2" a="1"/>
  <c r="AX21" i="2"/>
  <c r="AY21" i="2" a="1"/>
  <c r="AY21" i="2" s="1"/>
  <c r="AZ21" i="2" a="1"/>
  <c r="AZ21" i="2"/>
  <c r="BA21" i="2" a="1"/>
  <c r="BA21" i="2" s="1"/>
  <c r="BB21" i="2" a="1"/>
  <c r="BB21" i="2"/>
  <c r="BC21" i="2" a="1"/>
  <c r="BC21" i="2" s="1"/>
  <c r="AT22" i="2" a="1"/>
  <c r="AT22" i="2" s="1"/>
  <c r="AU22" i="2" a="1"/>
  <c r="AU22" i="2"/>
  <c r="AW22" i="2" a="1"/>
  <c r="AW22" i="2" s="1"/>
  <c r="AX22" i="2" a="1"/>
  <c r="AX22" i="2" s="1"/>
  <c r="AY22" i="2" a="1"/>
  <c r="AY22" i="2" s="1"/>
  <c r="AZ22" i="2" a="1"/>
  <c r="AZ22" i="2" s="1"/>
  <c r="BA22" i="2" a="1"/>
  <c r="BA22" i="2" s="1"/>
  <c r="BB22" i="2" a="1"/>
  <c r="BB22" i="2" s="1"/>
  <c r="BC22" i="2" a="1"/>
  <c r="BC22" i="2" s="1"/>
  <c r="AT23" i="2" a="1"/>
  <c r="AT23" i="2" s="1"/>
  <c r="AU23" i="2" a="1"/>
  <c r="AU23" i="2" s="1"/>
  <c r="AW23" i="2" a="1"/>
  <c r="AW23" i="2" s="1"/>
  <c r="AX23" i="2" a="1"/>
  <c r="AX23" i="2" s="1"/>
  <c r="AY23" i="2" a="1"/>
  <c r="AY23" i="2" s="1"/>
  <c r="AZ23" i="2" a="1"/>
  <c r="AZ23" i="2" s="1"/>
  <c r="BA23" i="2" a="1"/>
  <c r="BA23" i="2" s="1"/>
  <c r="BB23" i="2" a="1"/>
  <c r="BB23" i="2" s="1"/>
  <c r="BC23" i="2" a="1"/>
  <c r="BC23" i="2" s="1"/>
  <c r="AT24" i="2" a="1"/>
  <c r="AT24" i="2"/>
  <c r="AU24" i="2" a="1"/>
  <c r="AU24" i="2" s="1"/>
  <c r="AW24" i="2" a="1"/>
  <c r="AW24" i="2" s="1"/>
  <c r="AX24" i="2" a="1"/>
  <c r="AX24" i="2" s="1"/>
  <c r="AY24" i="2" a="1"/>
  <c r="AY24" i="2" s="1"/>
  <c r="AZ24" i="2" a="1"/>
  <c r="AZ24" i="2" s="1"/>
  <c r="BA24" i="2" a="1"/>
  <c r="BA24" i="2" s="1"/>
  <c r="BB24" i="2" a="1"/>
  <c r="BB24" i="2" s="1"/>
  <c r="BC24" i="2" a="1"/>
  <c r="BC24" i="2" s="1"/>
  <c r="AT25" i="2" a="1"/>
  <c r="AT25" i="2" s="1"/>
  <c r="AU25" i="2" a="1"/>
  <c r="AU25" i="2" s="1"/>
  <c r="AW25" i="2" a="1"/>
  <c r="AW25" i="2" s="1"/>
  <c r="AX25" i="2" a="1"/>
  <c r="AX25" i="2"/>
  <c r="AY25" i="2" a="1"/>
  <c r="AY25" i="2" s="1"/>
  <c r="AZ25" i="2" a="1"/>
  <c r="AZ25" i="2"/>
  <c r="BA25" i="2" a="1"/>
  <c r="BA25" i="2" s="1"/>
  <c r="BB25" i="2" a="1"/>
  <c r="BB25" i="2"/>
  <c r="BC25" i="2" a="1"/>
  <c r="BC25" i="2" s="1"/>
  <c r="AT26" i="2" a="1"/>
  <c r="AT26" i="2" s="1"/>
  <c r="AU26" i="2" a="1"/>
  <c r="AU26" i="2"/>
  <c r="AW26" i="2" a="1"/>
  <c r="AW26" i="2" s="1"/>
  <c r="AX26" i="2" a="1"/>
  <c r="AX26" i="2"/>
  <c r="AY26" i="2" a="1"/>
  <c r="AY26" i="2" s="1"/>
  <c r="AZ26" i="2" a="1"/>
  <c r="AZ26" i="2" s="1"/>
  <c r="BA26" i="2" a="1"/>
  <c r="BA26" i="2" s="1"/>
  <c r="BB26" i="2" a="1"/>
  <c r="BB26" i="2"/>
  <c r="BC26" i="2" a="1"/>
  <c r="BC26" i="2" s="1"/>
  <c r="AT27" i="2" a="1"/>
  <c r="AT27" i="2" s="1"/>
  <c r="AU27" i="2" a="1"/>
  <c r="AU27" i="2" s="1"/>
  <c r="AW27" i="2" a="1"/>
  <c r="AW27" i="2"/>
  <c r="AX27" i="2" a="1"/>
  <c r="AX27" i="2"/>
  <c r="AY27" i="2" a="1"/>
  <c r="AY27" i="2" s="1"/>
  <c r="AZ27" i="2" a="1"/>
  <c r="AZ27" i="2"/>
  <c r="BA27" i="2" a="1"/>
  <c r="BA27" i="2" s="1"/>
  <c r="BB27" i="2" a="1"/>
  <c r="BB27" i="2"/>
  <c r="BC27" i="2" a="1"/>
  <c r="BC27" i="2" s="1"/>
  <c r="AT28" i="2" a="1"/>
  <c r="AT28" i="2" s="1"/>
  <c r="AU28" i="2" a="1"/>
  <c r="AU28" i="2"/>
  <c r="AW28" i="2" a="1"/>
  <c r="AW28" i="2" s="1"/>
  <c r="AX28" i="2" a="1"/>
  <c r="AX28" i="2" s="1"/>
  <c r="AY28" i="2" a="1"/>
  <c r="AY28" i="2" s="1"/>
  <c r="AZ28" i="2" a="1"/>
  <c r="AZ28" i="2" s="1"/>
  <c r="BA28" i="2" a="1"/>
  <c r="BA28" i="2" s="1"/>
  <c r="BB28" i="2" a="1"/>
  <c r="BB28" i="2" s="1"/>
  <c r="BC28" i="2" a="1"/>
  <c r="BC28" i="2" s="1"/>
  <c r="AT29" i="2" a="1"/>
  <c r="AT29" i="2" s="1"/>
  <c r="AU29" i="2" a="1"/>
  <c r="AU29" i="2" s="1"/>
  <c r="AW29" i="2" a="1"/>
  <c r="AW29" i="2" s="1"/>
  <c r="AX29" i="2" a="1"/>
  <c r="AX29" i="2" s="1"/>
  <c r="AY29" i="2" a="1"/>
  <c r="AY29" i="2" s="1"/>
  <c r="AZ29" i="2" a="1"/>
  <c r="AZ29" i="2" s="1"/>
  <c r="BA29" i="2" a="1"/>
  <c r="BA29" i="2"/>
  <c r="BB29" i="2" a="1"/>
  <c r="BB29" i="2" s="1"/>
  <c r="BC29" i="2" a="1"/>
  <c r="BC29" i="2" s="1"/>
  <c r="AT30" i="2" a="1"/>
  <c r="AT30" i="2"/>
  <c r="AU30" i="2" a="1"/>
  <c r="AU30" i="2" s="1"/>
  <c r="AW30" i="2" a="1"/>
  <c r="AW30" i="2" s="1"/>
  <c r="AX30" i="2" a="1"/>
  <c r="AX30" i="2" s="1"/>
  <c r="AY30" i="2" a="1"/>
  <c r="AY30" i="2" s="1"/>
  <c r="AZ30" i="2" a="1"/>
  <c r="AZ30" i="2" s="1"/>
  <c r="BA30" i="2" a="1"/>
  <c r="BA30" i="2" s="1"/>
  <c r="BB30" i="2" a="1"/>
  <c r="BB30" i="2" s="1"/>
  <c r="BC30" i="2" a="1"/>
  <c r="BC30" i="2" s="1"/>
  <c r="AT31" i="2" a="1"/>
  <c r="AT31" i="2" s="1"/>
  <c r="AU31" i="2" a="1"/>
  <c r="AU31" i="2" s="1"/>
  <c r="AW31" i="2" a="1"/>
  <c r="AW31" i="2"/>
  <c r="AX31" i="2" a="1"/>
  <c r="AX31" i="2"/>
  <c r="AY31" i="2" a="1"/>
  <c r="AY31" i="2" s="1"/>
  <c r="AZ31" i="2" a="1"/>
  <c r="AZ31" i="2"/>
  <c r="BA31" i="2" a="1"/>
  <c r="BA31" i="2" s="1"/>
  <c r="BB31" i="2" a="1"/>
  <c r="BB31" i="2"/>
  <c r="BC31" i="2" a="1"/>
  <c r="BC31" i="2" s="1"/>
  <c r="AT32" i="2" a="1"/>
  <c r="AT32" i="2" s="1"/>
  <c r="AU32" i="2" a="1"/>
  <c r="AU32" i="2" s="1"/>
  <c r="AW32" i="2" a="1"/>
  <c r="AW32" i="2" s="1"/>
  <c r="AX32" i="2" a="1"/>
  <c r="AX32" i="2" s="1"/>
  <c r="AY32" i="2" a="1"/>
  <c r="AY32" i="2" s="1"/>
  <c r="AZ32" i="2" a="1"/>
  <c r="AZ32" i="2" s="1"/>
  <c r="BA32" i="2" a="1"/>
  <c r="BA32" i="2" s="1"/>
  <c r="BB32" i="2" a="1"/>
  <c r="BB32" i="2" s="1"/>
  <c r="BC32" i="2" a="1"/>
  <c r="BC32" i="2" s="1"/>
  <c r="AT33" i="2" a="1"/>
  <c r="AT33" i="2" s="1"/>
  <c r="AU33" i="2" a="1"/>
  <c r="AU33" i="2" s="1"/>
  <c r="AW33" i="2" a="1"/>
  <c r="AW33" i="2"/>
  <c r="AX33" i="2" a="1"/>
  <c r="AX33" i="2"/>
  <c r="AY33" i="2" a="1"/>
  <c r="AY33" i="2"/>
  <c r="AZ33" i="2" a="1"/>
  <c r="AZ33" i="2" s="1"/>
  <c r="BA33" i="2" a="1"/>
  <c r="BA33" i="2"/>
  <c r="BB33" i="2" a="1"/>
  <c r="BB33" i="2" s="1"/>
  <c r="BC33" i="2" a="1"/>
  <c r="BC33" i="2"/>
  <c r="AT34" i="2" a="1"/>
  <c r="AT34" i="2"/>
  <c r="AU34" i="2" a="1"/>
  <c r="AU34" i="2" s="1"/>
  <c r="AW34" i="2" a="1"/>
  <c r="AW34" i="2" s="1"/>
  <c r="AX34" i="2" a="1"/>
  <c r="AX34" i="2" s="1"/>
  <c r="AY34" i="2" a="1"/>
  <c r="AY34" i="2" s="1"/>
  <c r="AZ34" i="2" a="1"/>
  <c r="AZ34" i="2" s="1"/>
  <c r="BA34" i="2" a="1"/>
  <c r="BA34" i="2" s="1"/>
  <c r="BB34" i="2" a="1"/>
  <c r="BB34" i="2" s="1"/>
  <c r="BC34" i="2" a="1"/>
  <c r="BC34" i="2" s="1"/>
  <c r="AT35" i="2" a="1"/>
  <c r="AT35" i="2" s="1"/>
  <c r="AU35" i="2" a="1"/>
  <c r="AU35" i="2" s="1"/>
  <c r="AW35" i="2" a="1"/>
  <c r="AW35" i="2" s="1"/>
  <c r="AX35" i="2" a="1"/>
  <c r="AX35" i="2"/>
  <c r="AY35" i="2" a="1"/>
  <c r="AY35" i="2" s="1"/>
  <c r="AZ35" i="2" a="1"/>
  <c r="AZ35" i="2"/>
  <c r="BA35" i="2" a="1"/>
  <c r="BA35" i="2" s="1"/>
  <c r="BB35" i="2" a="1"/>
  <c r="BB35" i="2" s="1"/>
  <c r="BC35" i="2" a="1"/>
  <c r="BC35" i="2" s="1"/>
  <c r="AT36" i="2" a="1"/>
  <c r="AT36" i="2" s="1"/>
  <c r="AU36" i="2" a="1"/>
  <c r="AU36" i="2"/>
  <c r="AW36" i="2" a="1"/>
  <c r="AW36" i="2" s="1"/>
  <c r="AX36" i="2" a="1"/>
  <c r="AX36" i="2" s="1"/>
  <c r="AY36" i="2" a="1"/>
  <c r="AY36" i="2" s="1"/>
  <c r="AZ36" i="2" a="1"/>
  <c r="AZ36" i="2" s="1"/>
  <c r="BA36" i="2" a="1"/>
  <c r="BA36" i="2" s="1"/>
  <c r="BB36" i="2" a="1"/>
  <c r="BB36" i="2" s="1"/>
  <c r="BC36" i="2" a="1"/>
  <c r="BC36" i="2" s="1"/>
  <c r="AT37" i="2" a="1"/>
  <c r="AT37" i="2" s="1"/>
  <c r="AU37" i="2" a="1"/>
  <c r="AU37" i="2"/>
  <c r="AW37" i="2" a="1"/>
  <c r="AW37" i="2"/>
  <c r="AX37" i="2" a="1"/>
  <c r="AX37" i="2" s="1"/>
  <c r="AY37" i="2" a="1"/>
  <c r="AY37" i="2"/>
  <c r="AZ37" i="2" a="1"/>
  <c r="AZ37" i="2" s="1"/>
  <c r="BA37" i="2" a="1"/>
  <c r="BA37" i="2"/>
  <c r="BB37" i="2" a="1"/>
  <c r="BB37" i="2" s="1"/>
  <c r="BC37" i="2" a="1"/>
  <c r="BC37" i="2" s="1"/>
  <c r="AT38" i="2" a="1"/>
  <c r="AT38" i="2" s="1"/>
  <c r="AU38" i="2" a="1"/>
  <c r="AU38" i="2" s="1"/>
  <c r="AW38" i="2" a="1"/>
  <c r="AW38" i="2" s="1"/>
  <c r="AX38" i="2" a="1"/>
  <c r="AX38" i="2" s="1"/>
  <c r="AY38" i="2" a="1"/>
  <c r="AY38" i="2" s="1"/>
  <c r="AZ38" i="2" a="1"/>
  <c r="AZ38" i="2" s="1"/>
  <c r="BA38" i="2" a="1"/>
  <c r="BA38" i="2" s="1"/>
  <c r="BB38" i="2" a="1"/>
  <c r="BB38" i="2" s="1"/>
  <c r="BC38" i="2" a="1"/>
  <c r="BC38" i="2"/>
  <c r="AT39" i="2" a="1"/>
  <c r="AT39" i="2" s="1"/>
  <c r="AU39" i="2" a="1"/>
  <c r="AU39" i="2" s="1"/>
  <c r="AW39" i="2" a="1"/>
  <c r="AW39" i="2" s="1"/>
  <c r="AX39" i="2" a="1"/>
  <c r="AX39" i="2" s="1"/>
  <c r="AY39" i="2" a="1"/>
  <c r="AY39" i="2" s="1"/>
  <c r="AZ39" i="2" a="1"/>
  <c r="AZ39" i="2" s="1"/>
  <c r="BA39" i="2" a="1"/>
  <c r="BA39" i="2" s="1"/>
  <c r="BB39" i="2" a="1"/>
  <c r="BB39" i="2" s="1"/>
  <c r="BC39" i="2" a="1"/>
  <c r="BC39" i="2" s="1"/>
  <c r="AT40" i="2" a="1"/>
  <c r="AT40" i="2" s="1"/>
  <c r="AU40" i="2" a="1"/>
  <c r="AU40" i="2" s="1"/>
  <c r="AW40" i="2" a="1"/>
  <c r="AW40" i="2" s="1"/>
  <c r="AX40" i="2" a="1"/>
  <c r="AX40" i="2"/>
  <c r="AY40" i="2" a="1"/>
  <c r="AY40" i="2" s="1"/>
  <c r="AZ40" i="2" a="1"/>
  <c r="AZ40" i="2"/>
  <c r="BA40" i="2" a="1"/>
  <c r="BA40" i="2" s="1"/>
  <c r="BB40" i="2" a="1"/>
  <c r="BB40" i="2"/>
  <c r="BC40" i="2" a="1"/>
  <c r="BC40" i="2" s="1"/>
  <c r="AT41" i="2" a="1"/>
  <c r="AT41" i="2" s="1"/>
  <c r="AU41" i="2" a="1"/>
  <c r="AU41" i="2"/>
  <c r="AW41" i="2" a="1"/>
  <c r="AW41" i="2" s="1"/>
  <c r="AX41" i="2" a="1"/>
  <c r="AX41" i="2"/>
  <c r="AY41" i="2" a="1"/>
  <c r="AY41" i="2" s="1"/>
  <c r="AZ41" i="2" a="1"/>
  <c r="AZ41" i="2" s="1"/>
  <c r="BA41" i="2" a="1"/>
  <c r="BA41" i="2" s="1"/>
  <c r="BB41" i="2" a="1"/>
  <c r="BB41" i="2"/>
  <c r="BC41" i="2" a="1"/>
  <c r="BC41" i="2" s="1"/>
  <c r="AT42" i="2" a="1"/>
  <c r="AT42" i="2" s="1"/>
  <c r="AU42" i="2" a="1"/>
  <c r="AU42" i="2" s="1"/>
  <c r="AW42" i="2" a="1"/>
  <c r="AW42" i="2"/>
  <c r="AX42" i="2" a="1"/>
  <c r="AX42" i="2"/>
  <c r="AY42" i="2" a="1"/>
  <c r="AY42" i="2"/>
  <c r="AZ42" i="2" a="1"/>
  <c r="AZ42" i="2"/>
  <c r="BA42" i="2" a="1"/>
  <c r="BA42" i="2"/>
  <c r="BB42" i="2" a="1"/>
  <c r="BB42" i="2"/>
  <c r="BC42" i="2" a="1"/>
  <c r="BC42" i="2"/>
  <c r="AT43" i="2" a="1"/>
  <c r="AT43" i="2"/>
  <c r="AU43" i="2" a="1"/>
  <c r="AU43" i="2" s="1"/>
  <c r="AW43" i="2" a="1"/>
  <c r="AW43" i="2" s="1"/>
  <c r="AX43" i="2" a="1"/>
  <c r="AX43" i="2" s="1"/>
  <c r="AY43" i="2" a="1"/>
  <c r="AY43" i="2"/>
  <c r="AZ43" i="2" a="1"/>
  <c r="AZ43" i="2" s="1"/>
  <c r="BA43" i="2" a="1"/>
  <c r="BA43" i="2" s="1"/>
  <c r="BB43" i="2" a="1"/>
  <c r="BB43" i="2" s="1"/>
  <c r="BC43" i="2" a="1"/>
  <c r="BC43" i="2"/>
  <c r="AT44" i="2" a="1"/>
  <c r="AT44" i="2" s="1"/>
  <c r="AU44" i="2" a="1"/>
  <c r="AU44" i="2" s="1"/>
  <c r="AW44" i="2" a="1"/>
  <c r="AW44" i="2" s="1"/>
  <c r="AX44" i="2" a="1"/>
  <c r="AX44" i="2" s="1"/>
  <c r="AY44" i="2" a="1"/>
  <c r="AY44" i="2" s="1"/>
  <c r="AZ44" i="2" a="1"/>
  <c r="AZ44" i="2" s="1"/>
  <c r="BA44" i="2" a="1"/>
  <c r="BA44" i="2" s="1"/>
  <c r="BB44" i="2" a="1"/>
  <c r="BB44" i="2" s="1"/>
  <c r="BC44" i="2" a="1"/>
  <c r="BC44" i="2" s="1"/>
  <c r="AT45" i="2" a="1"/>
  <c r="AT45" i="2" s="1"/>
  <c r="AU45" i="2" a="1"/>
  <c r="AU45" i="2"/>
  <c r="AW45" i="2" a="1"/>
  <c r="AW45" i="2" s="1"/>
  <c r="AX45" i="2" a="1"/>
  <c r="AX45" i="2" s="1"/>
  <c r="AY45" i="2" a="1"/>
  <c r="AY45" i="2" s="1"/>
  <c r="AZ45" i="2" a="1"/>
  <c r="AZ45" i="2" s="1"/>
  <c r="BA45" i="2" a="1"/>
  <c r="BA45" i="2" s="1"/>
  <c r="BB45" i="2" a="1"/>
  <c r="BB45" i="2" s="1"/>
  <c r="BC45" i="2" a="1"/>
  <c r="BC45" i="2" s="1"/>
  <c r="AT46" i="2" a="1"/>
  <c r="AT46" i="2" s="1"/>
  <c r="AU46" i="2" a="1"/>
  <c r="AU46" i="2" s="1"/>
  <c r="AW46" i="2" a="1"/>
  <c r="AW46" i="2"/>
  <c r="AX46" i="2" a="1"/>
  <c r="AX46" i="2"/>
  <c r="AY46" i="2" a="1"/>
  <c r="AY46" i="2"/>
  <c r="AZ46" i="2" a="1"/>
  <c r="AZ46" i="2"/>
  <c r="BA46" i="2" a="1"/>
  <c r="BA46" i="2"/>
  <c r="BB46" i="2" a="1"/>
  <c r="BB46" i="2" s="1"/>
  <c r="BC46" i="2" a="1"/>
  <c r="BC46" i="2"/>
  <c r="AT47" i="2" a="1"/>
  <c r="AT47" i="2" s="1"/>
  <c r="AU47" i="2" a="1"/>
  <c r="AU47" i="2" s="1"/>
  <c r="AW47" i="2" a="1"/>
  <c r="AW47" i="2" s="1"/>
  <c r="AX47" i="2" a="1"/>
  <c r="AX47" i="2" s="1"/>
  <c r="AY47" i="2" a="1"/>
  <c r="AY47" i="2" s="1"/>
  <c r="AZ47" i="2" a="1"/>
  <c r="AZ47" i="2" s="1"/>
  <c r="BA47" i="2" a="1"/>
  <c r="BA47" i="2" s="1"/>
  <c r="BB47" i="2" a="1"/>
  <c r="BB47" i="2" s="1"/>
  <c r="BC47" i="2" a="1"/>
  <c r="BC47" i="2" s="1"/>
  <c r="AT48" i="2" a="1"/>
  <c r="AT48" i="2" s="1"/>
  <c r="AU48" i="2" a="1"/>
  <c r="AU48" i="2" s="1"/>
  <c r="AW48" i="2" a="1"/>
  <c r="AW48" i="2" s="1"/>
  <c r="AX48" i="2" a="1"/>
  <c r="AX48" i="2" s="1"/>
  <c r="AY48" i="2" a="1"/>
  <c r="AY48" i="2" s="1"/>
  <c r="AZ48" i="2" a="1"/>
  <c r="AZ48" i="2" s="1"/>
  <c r="BA48" i="2" a="1"/>
  <c r="BA48" i="2" s="1"/>
  <c r="BB48" i="2" a="1"/>
  <c r="BB48" i="2" s="1"/>
  <c r="BC48" i="2" a="1"/>
  <c r="BC48" i="2" s="1"/>
  <c r="AT49" i="2" a="1"/>
  <c r="AT49" i="2" s="1"/>
  <c r="AU49" i="2" a="1"/>
  <c r="AU49" i="2"/>
  <c r="AW49" i="2" a="1"/>
  <c r="AW49" i="2" s="1"/>
  <c r="AX49" i="2" a="1"/>
  <c r="AX49" i="2" s="1"/>
  <c r="AY49" i="2" a="1"/>
  <c r="AY49" i="2" s="1"/>
  <c r="AZ49" i="2" a="1"/>
  <c r="AZ49" i="2" s="1"/>
  <c r="BA49" i="2" a="1"/>
  <c r="BA49" i="2" s="1"/>
  <c r="BB49" i="2" a="1"/>
  <c r="BB49" i="2" s="1"/>
  <c r="BC49" i="2" a="1"/>
  <c r="BC49" i="2" s="1"/>
  <c r="AT50" i="2" a="1"/>
  <c r="AT50" i="2" s="1"/>
  <c r="AU50" i="2" a="1"/>
  <c r="AU50" i="2" s="1"/>
  <c r="AW50" i="2" a="1"/>
  <c r="AW50" i="2"/>
  <c r="AX50" i="2" a="1"/>
  <c r="AX50" i="2"/>
  <c r="AY50" i="2" a="1"/>
  <c r="AY50" i="2"/>
  <c r="AZ50" i="2" a="1"/>
  <c r="AZ50" i="2" s="1"/>
  <c r="BA50" i="2" a="1"/>
  <c r="BA50" i="2"/>
  <c r="BB50" i="2" a="1"/>
  <c r="BB50" i="2" s="1"/>
  <c r="BC50" i="2" a="1"/>
  <c r="BC50" i="2"/>
  <c r="AT51" i="2" a="1"/>
  <c r="AT51" i="2"/>
  <c r="AU51" i="2" a="1"/>
  <c r="AU51" i="2" s="1"/>
  <c r="AW51" i="2" a="1"/>
  <c r="AW51" i="2"/>
  <c r="AX51" i="2" a="1"/>
  <c r="AX51" i="2" s="1"/>
  <c r="AY51" i="2" a="1"/>
  <c r="AY51" i="2"/>
  <c r="AZ51" i="2" a="1"/>
  <c r="AZ51" i="2" s="1"/>
  <c r="BA51" i="2" a="1"/>
  <c r="BA51" i="2"/>
  <c r="BB51" i="2" a="1"/>
  <c r="BB51" i="2" s="1"/>
  <c r="BC51" i="2" a="1"/>
  <c r="BC51" i="2" s="1"/>
  <c r="AT52" i="2" a="1"/>
  <c r="AT52" i="2" s="1"/>
  <c r="AU52" i="2" a="1"/>
  <c r="AU52" i="2" s="1"/>
  <c r="AW52" i="2" a="1"/>
  <c r="AW52" i="2" s="1"/>
  <c r="AX52" i="2" a="1"/>
  <c r="AX52" i="2"/>
  <c r="AY52" i="2" a="1"/>
  <c r="AY52" i="2" s="1"/>
  <c r="AZ52" i="2" a="1"/>
  <c r="AZ52" i="2"/>
  <c r="BA52" i="2" a="1"/>
  <c r="BA52" i="2" s="1"/>
  <c r="BB52" i="2" a="1"/>
  <c r="BB52" i="2"/>
  <c r="BC52" i="2" a="1"/>
  <c r="BC52" i="2" s="1"/>
  <c r="AT53" i="2" a="1"/>
  <c r="AT53" i="2" s="1"/>
  <c r="AU53" i="2" a="1"/>
  <c r="AU53" i="2"/>
  <c r="AW53" i="2" a="1"/>
  <c r="AW53" i="2" s="1"/>
  <c r="AX53" i="2" a="1"/>
  <c r="AX53" i="2"/>
  <c r="AY53" i="2" a="1"/>
  <c r="AY53" i="2" s="1"/>
  <c r="AZ53" i="2" a="1"/>
  <c r="AZ53" i="2"/>
  <c r="BA53" i="2" a="1"/>
  <c r="BA53" i="2" s="1"/>
  <c r="BB53" i="2" a="1"/>
  <c r="BB53" i="2"/>
  <c r="BC53" i="2" a="1"/>
  <c r="BC53" i="2" s="1"/>
  <c r="AT54" i="2" a="1"/>
  <c r="AT54" i="2" s="1"/>
  <c r="AU54" i="2" a="1"/>
  <c r="AU54" i="2" s="1"/>
  <c r="AW54" i="2" a="1"/>
  <c r="AW54" i="2" s="1"/>
  <c r="AX54" i="2" a="1"/>
  <c r="AX54" i="2" s="1"/>
  <c r="AY54" i="2" a="1"/>
  <c r="AY54" i="2" s="1"/>
  <c r="AZ54" i="2" a="1"/>
  <c r="AZ54" i="2" s="1"/>
  <c r="BA54" i="2" a="1"/>
  <c r="BA54" i="2" s="1"/>
  <c r="BB54" i="2" a="1"/>
  <c r="BB54" i="2" s="1"/>
  <c r="BC54" i="2" a="1"/>
  <c r="BC54" i="2" s="1"/>
  <c r="AT55" i="2" a="1"/>
  <c r="AT55" i="2" s="1"/>
  <c r="AU55" i="2" a="1"/>
  <c r="AU55" i="2" s="1"/>
  <c r="AW55" i="2" a="1"/>
  <c r="AW55" i="2"/>
  <c r="AX55" i="2" a="1"/>
  <c r="AX55" i="2" s="1"/>
  <c r="AY55" i="2" a="1"/>
  <c r="AY55" i="2"/>
  <c r="AZ55" i="2" a="1"/>
  <c r="AZ55" i="2" s="1"/>
  <c r="BA55" i="2" a="1"/>
  <c r="BA55" i="2"/>
  <c r="BB55" i="2" a="1"/>
  <c r="BB55" i="2" s="1"/>
  <c r="BC55" i="2" a="1"/>
  <c r="BC55" i="2"/>
  <c r="AT56" i="2" a="1"/>
  <c r="AT56" i="2"/>
  <c r="AU56" i="2" a="1"/>
  <c r="AU56" i="2" s="1"/>
  <c r="AW56" i="2" a="1"/>
  <c r="AW56" i="2" s="1"/>
  <c r="AX56" i="2" a="1"/>
  <c r="AX56" i="2"/>
  <c r="AY56" i="2" a="1"/>
  <c r="AY56" i="2" s="1"/>
  <c r="AZ56" i="2" a="1"/>
  <c r="AZ56" i="2"/>
  <c r="BA56" i="2" a="1"/>
  <c r="BA56" i="2" s="1"/>
  <c r="BB56" i="2" a="1"/>
  <c r="BB56" i="2"/>
  <c r="BC56" i="2" a="1"/>
  <c r="BC56" i="2" s="1"/>
  <c r="AT57" i="2" a="1"/>
  <c r="AT57" i="2" s="1"/>
  <c r="AU57" i="2" a="1"/>
  <c r="AU57" i="2"/>
  <c r="AW57" i="2" a="1"/>
  <c r="AW57" i="2" s="1"/>
  <c r="AX57" i="2" a="1"/>
  <c r="AX57" i="2"/>
  <c r="AY57" i="2" a="1"/>
  <c r="AY57" i="2" s="1"/>
  <c r="AZ57" i="2" a="1"/>
  <c r="AZ57" i="2"/>
  <c r="BA57" i="2" a="1"/>
  <c r="BA57" i="2" s="1"/>
  <c r="BB57" i="2" a="1"/>
  <c r="BB57" i="2"/>
  <c r="BC57" i="2" a="1"/>
  <c r="BC57" i="2" s="1"/>
  <c r="AT58" i="2" a="1"/>
  <c r="AT58" i="2" s="1"/>
  <c r="AU58" i="2" a="1"/>
  <c r="AU58" i="2"/>
  <c r="AW58" i="2" a="1"/>
  <c r="AW58" i="2"/>
  <c r="AX58" i="2" a="1"/>
  <c r="AX58" i="2" s="1"/>
  <c r="AY58" i="2" a="1"/>
  <c r="AY58" i="2"/>
  <c r="AZ58" i="2" a="1"/>
  <c r="AZ58" i="2" s="1"/>
  <c r="BA58" i="2" a="1"/>
  <c r="BA58" i="2"/>
  <c r="BB58" i="2" a="1"/>
  <c r="BB58" i="2" s="1"/>
  <c r="BC58" i="2" a="1"/>
  <c r="BC58" i="2" s="1"/>
  <c r="AT59" i="2" a="1"/>
  <c r="AT59" i="2" s="1"/>
  <c r="AU59" i="2" a="1"/>
  <c r="AU59" i="2" s="1"/>
  <c r="AW59" i="2" a="1"/>
  <c r="AW59" i="2"/>
  <c r="AX59" i="2" a="1"/>
  <c r="AX59" i="2"/>
  <c r="AY59" i="2" a="1"/>
  <c r="AY59" i="2"/>
  <c r="AZ59" i="2" a="1"/>
  <c r="AZ59" i="2"/>
  <c r="BA59" i="2" a="1"/>
  <c r="BA59" i="2"/>
  <c r="BB59" i="2" a="1"/>
  <c r="BB59" i="2" s="1"/>
  <c r="BC59" i="2" a="1"/>
  <c r="BC59" i="2"/>
  <c r="AT60" i="2" a="1"/>
  <c r="AT60" i="2" s="1"/>
  <c r="AU60" i="2" a="1"/>
  <c r="AU60" i="2" s="1"/>
  <c r="AW60" i="2" a="1"/>
  <c r="AW60" i="2" s="1"/>
  <c r="AX60" i="2" a="1"/>
  <c r="AX60" i="2" s="1"/>
  <c r="AY60" i="2" a="1"/>
  <c r="AY60" i="2" s="1"/>
  <c r="AZ60" i="2" a="1"/>
  <c r="AZ60" i="2" s="1"/>
  <c r="BA60" i="2" a="1"/>
  <c r="BA60" i="2" s="1"/>
  <c r="BB60" i="2" a="1"/>
  <c r="BB60" i="2" s="1"/>
  <c r="BC60" i="2" a="1"/>
  <c r="BC60" i="2" s="1"/>
  <c r="AT61" i="2" a="1"/>
  <c r="AT61" i="2" s="1"/>
  <c r="AU61" i="2" a="1"/>
  <c r="AU61" i="2" s="1"/>
  <c r="AW61" i="2" a="1"/>
  <c r="AW61" i="2"/>
  <c r="AX61" i="2" a="1"/>
  <c r="AX61" i="2"/>
  <c r="AY61" i="2" a="1"/>
  <c r="AY61" i="2"/>
  <c r="AZ61" i="2" a="1"/>
  <c r="AZ61" i="2"/>
  <c r="BA61" i="2" a="1"/>
  <c r="BA61" i="2"/>
  <c r="BB61" i="2" a="1"/>
  <c r="BB61" i="2"/>
  <c r="BC61" i="2" a="1"/>
  <c r="BC61" i="2" s="1"/>
  <c r="AT62" i="2" a="1"/>
  <c r="AT62" i="2"/>
  <c r="AU62" i="2" a="1"/>
  <c r="AU62" i="2" s="1"/>
  <c r="AW62" i="2" a="1"/>
  <c r="AW62" i="2"/>
  <c r="AX62" i="2" a="1"/>
  <c r="AX62" i="2" s="1"/>
  <c r="AY62" i="2" a="1"/>
  <c r="AY62" i="2"/>
  <c r="AZ62" i="2" a="1"/>
  <c r="AZ62" i="2" s="1"/>
  <c r="BA62" i="2" a="1"/>
  <c r="BA62" i="2"/>
  <c r="BB62" i="2" a="1"/>
  <c r="BB62" i="2" s="1"/>
  <c r="BC62" i="2" a="1"/>
  <c r="BC62" i="2"/>
  <c r="BC8" i="2" a="1"/>
  <c r="BC8" i="2" s="1"/>
  <c r="BB8" i="2"/>
  <c r="BB8" i="2" a="1"/>
  <c r="BA8" i="2" a="1"/>
  <c r="BA8" i="2" s="1"/>
  <c r="AZ8" i="2"/>
  <c r="AZ8" i="2" a="1"/>
  <c r="AY8" i="2" a="1"/>
  <c r="AY8" i="2" s="1"/>
  <c r="AX8" i="2"/>
  <c r="AX8" i="2" a="1"/>
  <c r="AW8" i="2" a="1"/>
  <c r="AW8" i="2" s="1"/>
  <c r="AU8" i="2"/>
  <c r="AU8" i="2" a="1"/>
  <c r="AT8" i="2" a="1"/>
  <c r="AT8" i="2" s="1"/>
  <c r="AJ8" i="2"/>
  <c r="AJ17" i="2"/>
  <c r="AJ30" i="2"/>
  <c r="AJ21" i="2"/>
  <c r="AJ11" i="2"/>
  <c r="F138" i="2"/>
  <c r="E137" i="2"/>
  <c r="D136" i="2"/>
  <c r="F134" i="2"/>
  <c r="E133" i="2"/>
  <c r="D132" i="2"/>
  <c r="F130" i="2"/>
  <c r="E129" i="2"/>
  <c r="D128" i="2"/>
  <c r="F126" i="2"/>
  <c r="E125" i="2"/>
  <c r="D124" i="2"/>
  <c r="F122" i="2"/>
  <c r="E121" i="2"/>
  <c r="D120" i="2"/>
  <c r="F118" i="2"/>
  <c r="E117" i="2"/>
  <c r="D116" i="2"/>
  <c r="E138" i="2"/>
  <c r="D137" i="2"/>
  <c r="F135" i="2"/>
  <c r="E134" i="2"/>
  <c r="D133" i="2"/>
  <c r="F131" i="2"/>
  <c r="E130" i="2"/>
  <c r="D129" i="2"/>
  <c r="F127" i="2"/>
  <c r="E126" i="2"/>
  <c r="D125" i="2"/>
  <c r="F123" i="2"/>
  <c r="E122" i="2"/>
  <c r="D121" i="2"/>
  <c r="F119" i="2"/>
  <c r="E118" i="2"/>
  <c r="D117" i="2"/>
  <c r="F115" i="2"/>
  <c r="D138" i="2"/>
  <c r="F136" i="2"/>
  <c r="E135" i="2"/>
  <c r="D134" i="2"/>
  <c r="F132" i="2"/>
  <c r="E131" i="2"/>
  <c r="D130" i="2"/>
  <c r="F128" i="2"/>
  <c r="E127" i="2"/>
  <c r="D126" i="2"/>
  <c r="F124" i="2"/>
  <c r="E123" i="2"/>
  <c r="D122" i="2"/>
  <c r="F120" i="2"/>
  <c r="E119" i="2"/>
  <c r="D118" i="2"/>
  <c r="F116" i="2"/>
  <c r="E115" i="2"/>
  <c r="F137" i="2"/>
  <c r="E136" i="2"/>
  <c r="D135" i="2"/>
  <c r="F133" i="2"/>
  <c r="E132" i="2"/>
  <c r="D131" i="2"/>
  <c r="F129" i="2"/>
  <c r="E128" i="2"/>
  <c r="D127" i="2"/>
  <c r="F125" i="2"/>
  <c r="E124" i="2"/>
  <c r="D123" i="2"/>
  <c r="F121" i="2"/>
  <c r="E120" i="2"/>
  <c r="D119" i="2"/>
  <c r="F117" i="2"/>
  <c r="E116" i="2"/>
  <c r="D115" i="2"/>
  <c r="Z138" i="2"/>
  <c r="V138" i="2"/>
  <c r="R138" i="2"/>
  <c r="N138" i="2"/>
  <c r="J138" i="2"/>
  <c r="Z137" i="2"/>
  <c r="V137" i="2"/>
  <c r="R137" i="2"/>
  <c r="N137" i="2"/>
  <c r="J137" i="2"/>
  <c r="Z136" i="2"/>
  <c r="V136" i="2"/>
  <c r="R136" i="2"/>
  <c r="N136" i="2"/>
  <c r="J136" i="2"/>
  <c r="Z135" i="2"/>
  <c r="V135" i="2"/>
  <c r="R135" i="2"/>
  <c r="N135" i="2"/>
  <c r="J135" i="2"/>
  <c r="Z134" i="2"/>
  <c r="V134" i="2"/>
  <c r="R134" i="2"/>
  <c r="N134" i="2"/>
  <c r="J134" i="2"/>
  <c r="Z133" i="2"/>
  <c r="V133" i="2"/>
  <c r="R133" i="2"/>
  <c r="N133" i="2"/>
  <c r="J133" i="2"/>
  <c r="Z132" i="2"/>
  <c r="V132" i="2"/>
  <c r="R132" i="2"/>
  <c r="N132" i="2"/>
  <c r="J132" i="2"/>
  <c r="Z131" i="2"/>
  <c r="V131" i="2"/>
  <c r="R131" i="2"/>
  <c r="N131" i="2"/>
  <c r="J131" i="2"/>
  <c r="Z130" i="2"/>
  <c r="V130" i="2"/>
  <c r="R130" i="2"/>
  <c r="N130" i="2"/>
  <c r="J130" i="2"/>
  <c r="Z129" i="2"/>
  <c r="V129" i="2"/>
  <c r="R129" i="2"/>
  <c r="N129" i="2"/>
  <c r="J129" i="2"/>
  <c r="Z128" i="2"/>
  <c r="V128" i="2"/>
  <c r="R128" i="2"/>
  <c r="N128" i="2"/>
  <c r="J128" i="2"/>
  <c r="Z127" i="2"/>
  <c r="V127" i="2"/>
  <c r="R127" i="2"/>
  <c r="N127" i="2"/>
  <c r="J127" i="2"/>
  <c r="Z126" i="2"/>
  <c r="V126" i="2"/>
  <c r="R126" i="2"/>
  <c r="N126" i="2"/>
  <c r="J126" i="2"/>
  <c r="Z125" i="2"/>
  <c r="V125" i="2"/>
  <c r="R125" i="2"/>
  <c r="N125" i="2"/>
  <c r="J125" i="2"/>
  <c r="Z124" i="2"/>
  <c r="V124" i="2"/>
  <c r="R124" i="2"/>
  <c r="N124" i="2"/>
  <c r="J124" i="2"/>
  <c r="Z123" i="2"/>
  <c r="V123" i="2"/>
  <c r="R123" i="2"/>
  <c r="N123" i="2"/>
  <c r="J123" i="2"/>
  <c r="Z122" i="2"/>
  <c r="V122" i="2"/>
  <c r="R122" i="2"/>
  <c r="N122" i="2"/>
  <c r="J122" i="2"/>
  <c r="Z121" i="2"/>
  <c r="V121" i="2"/>
  <c r="R121" i="2"/>
  <c r="N121" i="2"/>
  <c r="J121" i="2"/>
  <c r="Z120" i="2"/>
  <c r="V120" i="2"/>
  <c r="R120" i="2"/>
  <c r="N120" i="2"/>
  <c r="J120" i="2"/>
  <c r="Z119" i="2"/>
  <c r="V119" i="2"/>
  <c r="R119" i="2"/>
  <c r="N119" i="2"/>
  <c r="J119" i="2"/>
  <c r="Z118" i="2"/>
  <c r="V118" i="2"/>
  <c r="R118" i="2"/>
  <c r="N118" i="2"/>
  <c r="J118" i="2"/>
  <c r="Z117" i="2"/>
  <c r="V117" i="2"/>
  <c r="R117" i="2"/>
  <c r="N117" i="2"/>
  <c r="J117" i="2"/>
  <c r="Z116" i="2"/>
  <c r="V116" i="2"/>
  <c r="R116" i="2"/>
  <c r="N116" i="2"/>
  <c r="J116" i="2"/>
  <c r="Z115" i="2"/>
  <c r="V115" i="2"/>
  <c r="R115" i="2"/>
  <c r="N115" i="2"/>
  <c r="J115" i="2"/>
  <c r="Y138" i="2"/>
  <c r="U138" i="2"/>
  <c r="Q138" i="2"/>
  <c r="M138" i="2"/>
  <c r="I138" i="2"/>
  <c r="Y137" i="2"/>
  <c r="U137" i="2"/>
  <c r="Q137" i="2"/>
  <c r="M137" i="2"/>
  <c r="I137" i="2"/>
  <c r="Y136" i="2"/>
  <c r="U136" i="2"/>
  <c r="Q136" i="2"/>
  <c r="M136" i="2"/>
  <c r="I136" i="2"/>
  <c r="Y135" i="2"/>
  <c r="U135" i="2"/>
  <c r="Q135" i="2"/>
  <c r="M135" i="2"/>
  <c r="I135" i="2"/>
  <c r="Y134" i="2"/>
  <c r="U134" i="2"/>
  <c r="Q134" i="2"/>
  <c r="M134" i="2"/>
  <c r="I134" i="2"/>
  <c r="Y133" i="2"/>
  <c r="U133" i="2"/>
  <c r="Q133" i="2"/>
  <c r="M133" i="2"/>
  <c r="I133" i="2"/>
  <c r="Y132" i="2"/>
  <c r="U132" i="2"/>
  <c r="Q132" i="2"/>
  <c r="M132" i="2"/>
  <c r="I132" i="2"/>
  <c r="Y131" i="2"/>
  <c r="U131" i="2"/>
  <c r="Q131" i="2"/>
  <c r="M131" i="2"/>
  <c r="I131" i="2"/>
  <c r="Y130" i="2"/>
  <c r="U130" i="2"/>
  <c r="Q130" i="2"/>
  <c r="M130" i="2"/>
  <c r="I130" i="2"/>
  <c r="Y129" i="2"/>
  <c r="U129" i="2"/>
  <c r="Q129" i="2"/>
  <c r="M129" i="2"/>
  <c r="I129" i="2"/>
  <c r="Y128" i="2"/>
  <c r="U128" i="2"/>
  <c r="Q128" i="2"/>
  <c r="M128" i="2"/>
  <c r="I128" i="2"/>
  <c r="Y127" i="2"/>
  <c r="U127" i="2"/>
  <c r="Q127" i="2"/>
  <c r="M127" i="2"/>
  <c r="I127" i="2"/>
  <c r="Y126" i="2"/>
  <c r="U126" i="2"/>
  <c r="Q126" i="2"/>
  <c r="M126" i="2"/>
  <c r="I126" i="2"/>
  <c r="Y125" i="2"/>
  <c r="U125" i="2"/>
  <c r="Q125" i="2"/>
  <c r="M125" i="2"/>
  <c r="I125" i="2"/>
  <c r="Y124" i="2"/>
  <c r="U124" i="2"/>
  <c r="Q124" i="2"/>
  <c r="M124" i="2"/>
  <c r="I124" i="2"/>
  <c r="Y123" i="2"/>
  <c r="U123" i="2"/>
  <c r="Q123" i="2"/>
  <c r="M123" i="2"/>
  <c r="I123" i="2"/>
  <c r="Y122" i="2"/>
  <c r="U122" i="2"/>
  <c r="Q122" i="2"/>
  <c r="M122" i="2"/>
  <c r="I122" i="2"/>
  <c r="Y121" i="2"/>
  <c r="U121" i="2"/>
  <c r="Q121" i="2"/>
  <c r="M121" i="2"/>
  <c r="I121" i="2"/>
  <c r="Y120" i="2"/>
  <c r="U120" i="2"/>
  <c r="Q120" i="2"/>
  <c r="M120" i="2"/>
  <c r="I120" i="2"/>
  <c r="Y119" i="2"/>
  <c r="U119" i="2"/>
  <c r="Q119" i="2"/>
  <c r="M119" i="2"/>
  <c r="I119" i="2"/>
  <c r="Y118" i="2"/>
  <c r="U118" i="2"/>
  <c r="Q118" i="2"/>
  <c r="M118" i="2"/>
  <c r="I118" i="2"/>
  <c r="Y117" i="2"/>
  <c r="U117" i="2"/>
  <c r="Q117" i="2"/>
  <c r="M117" i="2"/>
  <c r="I117" i="2"/>
  <c r="Y116" i="2"/>
  <c r="U116" i="2"/>
  <c r="Q116" i="2"/>
  <c r="M116" i="2"/>
  <c r="I116" i="2"/>
  <c r="Y115" i="2"/>
  <c r="U115" i="2"/>
  <c r="Q115" i="2"/>
  <c r="M115" i="2"/>
  <c r="I115" i="2"/>
  <c r="X138" i="2"/>
  <c r="T138" i="2"/>
  <c r="P138" i="2"/>
  <c r="L138" i="2"/>
  <c r="H138" i="2"/>
  <c r="X137" i="2"/>
  <c r="T137" i="2"/>
  <c r="P137" i="2"/>
  <c r="L137" i="2"/>
  <c r="H137" i="2"/>
  <c r="X136" i="2"/>
  <c r="T136" i="2"/>
  <c r="P136" i="2"/>
  <c r="L136" i="2"/>
  <c r="H136" i="2"/>
  <c r="X135" i="2"/>
  <c r="T135" i="2"/>
  <c r="P135" i="2"/>
  <c r="L135" i="2"/>
  <c r="H135" i="2"/>
  <c r="X134" i="2"/>
  <c r="T134" i="2"/>
  <c r="P134" i="2"/>
  <c r="L134" i="2"/>
  <c r="H134" i="2"/>
  <c r="X133" i="2"/>
  <c r="T133" i="2"/>
  <c r="P133" i="2"/>
  <c r="L133" i="2"/>
  <c r="H133" i="2"/>
  <c r="X132" i="2"/>
  <c r="T132" i="2"/>
  <c r="P132" i="2"/>
  <c r="L132" i="2"/>
  <c r="H132" i="2"/>
  <c r="X131" i="2"/>
  <c r="T131" i="2"/>
  <c r="P131" i="2"/>
  <c r="L131" i="2"/>
  <c r="H131" i="2"/>
  <c r="X130" i="2"/>
  <c r="T130" i="2"/>
  <c r="P130" i="2"/>
  <c r="L130" i="2"/>
  <c r="H130" i="2"/>
  <c r="X129" i="2"/>
  <c r="T129" i="2"/>
  <c r="P129" i="2"/>
  <c r="L129" i="2"/>
  <c r="H129" i="2"/>
  <c r="X128" i="2"/>
  <c r="T128" i="2"/>
  <c r="P128" i="2"/>
  <c r="L128" i="2"/>
  <c r="H128" i="2"/>
  <c r="X127" i="2"/>
  <c r="T127" i="2"/>
  <c r="P127" i="2"/>
  <c r="L127" i="2"/>
  <c r="H127" i="2"/>
  <c r="X126" i="2"/>
  <c r="T126" i="2"/>
  <c r="P126" i="2"/>
  <c r="L126" i="2"/>
  <c r="H126" i="2"/>
  <c r="X125" i="2"/>
  <c r="T125" i="2"/>
  <c r="P125" i="2"/>
  <c r="L125" i="2"/>
  <c r="H125" i="2"/>
  <c r="X124" i="2"/>
  <c r="T124" i="2"/>
  <c r="P124" i="2"/>
  <c r="L124" i="2"/>
  <c r="H124" i="2"/>
  <c r="X123" i="2"/>
  <c r="T123" i="2"/>
  <c r="P123" i="2"/>
  <c r="L123" i="2"/>
  <c r="H123" i="2"/>
  <c r="X122" i="2"/>
  <c r="T122" i="2"/>
  <c r="P122" i="2"/>
  <c r="L122" i="2"/>
  <c r="H122" i="2"/>
  <c r="X121" i="2"/>
  <c r="T121" i="2"/>
  <c r="P121" i="2"/>
  <c r="L121" i="2"/>
  <c r="H121" i="2"/>
  <c r="X120" i="2"/>
  <c r="T120" i="2"/>
  <c r="P120" i="2"/>
  <c r="L120" i="2"/>
  <c r="H120" i="2"/>
  <c r="X119" i="2"/>
  <c r="T119" i="2"/>
  <c r="P119" i="2"/>
  <c r="L119" i="2"/>
  <c r="H119" i="2"/>
  <c r="X118" i="2"/>
  <c r="T118" i="2"/>
  <c r="P118" i="2"/>
  <c r="L118" i="2"/>
  <c r="H118" i="2"/>
  <c r="X117" i="2"/>
  <c r="T117" i="2"/>
  <c r="P117" i="2"/>
  <c r="L117" i="2"/>
  <c r="H117" i="2"/>
  <c r="X116" i="2"/>
  <c r="T116" i="2"/>
  <c r="P116" i="2"/>
  <c r="L116" i="2"/>
  <c r="H116" i="2"/>
  <c r="X115" i="2"/>
  <c r="T115" i="2"/>
  <c r="P115" i="2"/>
  <c r="L115" i="2"/>
  <c r="H115" i="2"/>
  <c r="W135" i="2"/>
  <c r="S120" i="2"/>
  <c r="W138" i="2"/>
  <c r="G138" i="2"/>
  <c r="K137" i="2"/>
  <c r="O136" i="2"/>
  <c r="S135" i="2"/>
  <c r="W134" i="2"/>
  <c r="G134" i="2"/>
  <c r="K133" i="2"/>
  <c r="O132" i="2"/>
  <c r="S131" i="2"/>
  <c r="W130" i="2"/>
  <c r="G130" i="2"/>
  <c r="K129" i="2"/>
  <c r="O128" i="2"/>
  <c r="S127" i="2"/>
  <c r="W126" i="2"/>
  <c r="G126" i="2"/>
  <c r="K125" i="2"/>
  <c r="O124" i="2"/>
  <c r="S123" i="2"/>
  <c r="W122" i="2"/>
  <c r="G122" i="2"/>
  <c r="K121" i="2"/>
  <c r="O120" i="2"/>
  <c r="S119" i="2"/>
  <c r="W118" i="2"/>
  <c r="G118" i="2"/>
  <c r="K117" i="2"/>
  <c r="O116" i="2"/>
  <c r="S115" i="2"/>
  <c r="O138" i="2"/>
  <c r="W136" i="2"/>
  <c r="G136" i="2"/>
  <c r="K135" i="2"/>
  <c r="O134" i="2"/>
  <c r="S133" i="2"/>
  <c r="W132" i="2"/>
  <c r="G132" i="2"/>
  <c r="K131" i="2"/>
  <c r="S129" i="2"/>
  <c r="W128" i="2"/>
  <c r="K127" i="2"/>
  <c r="S125" i="2"/>
  <c r="W124" i="2"/>
  <c r="K123" i="2"/>
  <c r="S121" i="2"/>
  <c r="G120" i="2"/>
  <c r="O118" i="2"/>
  <c r="W116" i="2"/>
  <c r="K115" i="2"/>
  <c r="O137" i="2"/>
  <c r="G135" i="2"/>
  <c r="S132" i="2"/>
  <c r="W131" i="2"/>
  <c r="K130" i="2"/>
  <c r="S128" i="2"/>
  <c r="G127" i="2"/>
  <c r="O125" i="2"/>
  <c r="W123" i="2"/>
  <c r="G123" i="2"/>
  <c r="K122" i="2"/>
  <c r="W119" i="2"/>
  <c r="K118" i="2"/>
  <c r="W115" i="2"/>
  <c r="S138" i="2"/>
  <c r="W137" i="2"/>
  <c r="G137" i="2"/>
  <c r="K136" i="2"/>
  <c r="O135" i="2"/>
  <c r="S134" i="2"/>
  <c r="W133" i="2"/>
  <c r="G133" i="2"/>
  <c r="K132" i="2"/>
  <c r="O131" i="2"/>
  <c r="S130" i="2"/>
  <c r="W129" i="2"/>
  <c r="G129" i="2"/>
  <c r="K128" i="2"/>
  <c r="O127" i="2"/>
  <c r="S126" i="2"/>
  <c r="W125" i="2"/>
  <c r="G125" i="2"/>
  <c r="K124" i="2"/>
  <c r="O123" i="2"/>
  <c r="S122" i="2"/>
  <c r="W121" i="2"/>
  <c r="G121" i="2"/>
  <c r="K120" i="2"/>
  <c r="O119" i="2"/>
  <c r="S118" i="2"/>
  <c r="W117" i="2"/>
  <c r="G117" i="2"/>
  <c r="K116" i="2"/>
  <c r="O115" i="2"/>
  <c r="S137" i="2"/>
  <c r="O130" i="2"/>
  <c r="G128" i="2"/>
  <c r="O126" i="2"/>
  <c r="G124" i="2"/>
  <c r="O122" i="2"/>
  <c r="W120" i="2"/>
  <c r="K119" i="2"/>
  <c r="S117" i="2"/>
  <c r="G116" i="2"/>
  <c r="K138" i="2"/>
  <c r="S136" i="2"/>
  <c r="K134" i="2"/>
  <c r="O133" i="2"/>
  <c r="G131" i="2"/>
  <c r="O129" i="2"/>
  <c r="W127" i="2"/>
  <c r="K126" i="2"/>
  <c r="S124" i="2"/>
  <c r="O121" i="2"/>
  <c r="G119" i="2"/>
  <c r="O117" i="2"/>
  <c r="S116" i="2"/>
  <c r="G115" i="2"/>
  <c r="Z114" i="2"/>
  <c r="V114" i="2"/>
  <c r="R114" i="2"/>
  <c r="N114" i="2"/>
  <c r="J114" i="2"/>
  <c r="F114" i="2"/>
  <c r="X113" i="2"/>
  <c r="T113" i="2"/>
  <c r="P113" i="2"/>
  <c r="L113" i="2"/>
  <c r="H113" i="2"/>
  <c r="Z112" i="2"/>
  <c r="V112" i="2"/>
  <c r="R112" i="2"/>
  <c r="N112" i="2"/>
  <c r="J112" i="2"/>
  <c r="F112" i="2"/>
  <c r="X111" i="2"/>
  <c r="T111" i="2"/>
  <c r="P111" i="2"/>
  <c r="L111" i="2"/>
  <c r="H111" i="2"/>
  <c r="Z110" i="2"/>
  <c r="V110" i="2"/>
  <c r="R110" i="2"/>
  <c r="N110" i="2"/>
  <c r="J110" i="2"/>
  <c r="F110" i="2"/>
  <c r="X109" i="2"/>
  <c r="T109" i="2"/>
  <c r="P109" i="2"/>
  <c r="L109" i="2"/>
  <c r="H109" i="2"/>
  <c r="Z108" i="2"/>
  <c r="V108" i="2"/>
  <c r="R108" i="2"/>
  <c r="N108" i="2"/>
  <c r="J108" i="2"/>
  <c r="F108" i="2"/>
  <c r="X107" i="2"/>
  <c r="T107" i="2"/>
  <c r="P107" i="2"/>
  <c r="L107" i="2"/>
  <c r="H107" i="2"/>
  <c r="Z106" i="2"/>
  <c r="V106" i="2"/>
  <c r="R106" i="2"/>
  <c r="N106" i="2"/>
  <c r="J106" i="2"/>
  <c r="F106" i="2"/>
  <c r="X105" i="2"/>
  <c r="T105" i="2"/>
  <c r="P105" i="2"/>
  <c r="L105" i="2"/>
  <c r="H105" i="2"/>
  <c r="Z104" i="2"/>
  <c r="V104" i="2"/>
  <c r="R104" i="2"/>
  <c r="N104" i="2"/>
  <c r="J104" i="2"/>
  <c r="F104" i="2"/>
  <c r="X103" i="2"/>
  <c r="T103" i="2"/>
  <c r="P103" i="2"/>
  <c r="L103" i="2"/>
  <c r="H103" i="2"/>
  <c r="Z102" i="2"/>
  <c r="V102" i="2"/>
  <c r="R102" i="2"/>
  <c r="N102" i="2"/>
  <c r="J102" i="2"/>
  <c r="F102" i="2"/>
  <c r="X101" i="2"/>
  <c r="T101" i="2"/>
  <c r="P101" i="2"/>
  <c r="L101" i="2"/>
  <c r="H101" i="2"/>
  <c r="Z100" i="2"/>
  <c r="V100" i="2"/>
  <c r="R100" i="2"/>
  <c r="N100" i="2"/>
  <c r="J100" i="2"/>
  <c r="F100" i="2"/>
  <c r="X99" i="2"/>
  <c r="T99" i="2"/>
  <c r="P99" i="2"/>
  <c r="L99" i="2"/>
  <c r="H99" i="2"/>
  <c r="Z98" i="2"/>
  <c r="V98" i="2"/>
  <c r="R98" i="2"/>
  <c r="N98" i="2"/>
  <c r="J98" i="2"/>
  <c r="F98" i="2"/>
  <c r="X97" i="2"/>
  <c r="T97" i="2"/>
  <c r="P97" i="2"/>
  <c r="L97" i="2"/>
  <c r="H97" i="2"/>
  <c r="Z96" i="2"/>
  <c r="V96" i="2"/>
  <c r="R96" i="2"/>
  <c r="N96" i="2"/>
  <c r="J96" i="2"/>
  <c r="F96" i="2"/>
  <c r="X95" i="2"/>
  <c r="T95" i="2"/>
  <c r="P95" i="2"/>
  <c r="L95" i="2"/>
  <c r="H95" i="2"/>
  <c r="Z94" i="2"/>
  <c r="V94" i="2"/>
  <c r="R94" i="2"/>
  <c r="N94" i="2"/>
  <c r="J94" i="2"/>
  <c r="F94" i="2"/>
  <c r="X93" i="2"/>
  <c r="T93" i="2"/>
  <c r="P93" i="2"/>
  <c r="L93" i="2"/>
  <c r="H93" i="2"/>
  <c r="Z92" i="2"/>
  <c r="V92" i="2"/>
  <c r="R92" i="2"/>
  <c r="N92" i="2"/>
  <c r="J92" i="2"/>
  <c r="F92" i="2"/>
  <c r="Y114" i="2"/>
  <c r="U114" i="2"/>
  <c r="Q114" i="2"/>
  <c r="M114" i="2"/>
  <c r="I114" i="2"/>
  <c r="E114" i="2"/>
  <c r="W113" i="2"/>
  <c r="S113" i="2"/>
  <c r="O113" i="2"/>
  <c r="K113" i="2"/>
  <c r="G113" i="2"/>
  <c r="Y112" i="2"/>
  <c r="U112" i="2"/>
  <c r="Q112" i="2"/>
  <c r="M112" i="2"/>
  <c r="I112" i="2"/>
  <c r="E112" i="2"/>
  <c r="W111" i="2"/>
  <c r="S111" i="2"/>
  <c r="O111" i="2"/>
  <c r="K111" i="2"/>
  <c r="G111" i="2"/>
  <c r="Y110" i="2"/>
  <c r="U110" i="2"/>
  <c r="Q110" i="2"/>
  <c r="M110" i="2"/>
  <c r="I110" i="2"/>
  <c r="E110" i="2"/>
  <c r="W109" i="2"/>
  <c r="S109" i="2"/>
  <c r="O109" i="2"/>
  <c r="K109" i="2"/>
  <c r="G109" i="2"/>
  <c r="Y108" i="2"/>
  <c r="U108" i="2"/>
  <c r="Q108" i="2"/>
  <c r="M108" i="2"/>
  <c r="I108" i="2"/>
  <c r="E108" i="2"/>
  <c r="W107" i="2"/>
  <c r="S107" i="2"/>
  <c r="O107" i="2"/>
  <c r="K107" i="2"/>
  <c r="G107" i="2"/>
  <c r="Y106" i="2"/>
  <c r="U106" i="2"/>
  <c r="Q106" i="2"/>
  <c r="M106" i="2"/>
  <c r="I106" i="2"/>
  <c r="E106" i="2"/>
  <c r="W105" i="2"/>
  <c r="S105" i="2"/>
  <c r="O105" i="2"/>
  <c r="K105" i="2"/>
  <c r="G105" i="2"/>
  <c r="Y104" i="2"/>
  <c r="U104" i="2"/>
  <c r="Q104" i="2"/>
  <c r="M104" i="2"/>
  <c r="I104" i="2"/>
  <c r="E104" i="2"/>
  <c r="W103" i="2"/>
  <c r="S103" i="2"/>
  <c r="O103" i="2"/>
  <c r="K103" i="2"/>
  <c r="G103" i="2"/>
  <c r="Y102" i="2"/>
  <c r="U102" i="2"/>
  <c r="Q102" i="2"/>
  <c r="M102" i="2"/>
  <c r="I102" i="2"/>
  <c r="E102" i="2"/>
  <c r="W101" i="2"/>
  <c r="S101" i="2"/>
  <c r="O101" i="2"/>
  <c r="K101" i="2"/>
  <c r="G101" i="2"/>
  <c r="Y100" i="2"/>
  <c r="U100" i="2"/>
  <c r="Q100" i="2"/>
  <c r="M100" i="2"/>
  <c r="I100" i="2"/>
  <c r="E100" i="2"/>
  <c r="W99" i="2"/>
  <c r="S99" i="2"/>
  <c r="O99" i="2"/>
  <c r="K99" i="2"/>
  <c r="G99" i="2"/>
  <c r="Y98" i="2"/>
  <c r="U98" i="2"/>
  <c r="Q98" i="2"/>
  <c r="M98" i="2"/>
  <c r="I98" i="2"/>
  <c r="E98" i="2"/>
  <c r="W97" i="2"/>
  <c r="S97" i="2"/>
  <c r="O97" i="2"/>
  <c r="K97" i="2"/>
  <c r="G97" i="2"/>
  <c r="Y96" i="2"/>
  <c r="U96" i="2"/>
  <c r="Q96" i="2"/>
  <c r="M96" i="2"/>
  <c r="I96" i="2"/>
  <c r="E96" i="2"/>
  <c r="W95" i="2"/>
  <c r="S95" i="2"/>
  <c r="O95" i="2"/>
  <c r="K95" i="2"/>
  <c r="G95" i="2"/>
  <c r="Y94" i="2"/>
  <c r="U94" i="2"/>
  <c r="Q94" i="2"/>
  <c r="M94" i="2"/>
  <c r="I94" i="2"/>
  <c r="E94" i="2"/>
  <c r="W93" i="2"/>
  <c r="S93" i="2"/>
  <c r="O93" i="2"/>
  <c r="K93" i="2"/>
  <c r="G93" i="2"/>
  <c r="Y92" i="2"/>
  <c r="U92" i="2"/>
  <c r="Q92" i="2"/>
  <c r="M92" i="2"/>
  <c r="I92" i="2"/>
  <c r="E92" i="2"/>
  <c r="X114" i="2"/>
  <c r="P114" i="2"/>
  <c r="H114" i="2"/>
  <c r="V113" i="2"/>
  <c r="N113" i="2"/>
  <c r="F113" i="2"/>
  <c r="T112" i="2"/>
  <c r="L112" i="2"/>
  <c r="Z111" i="2"/>
  <c r="R111" i="2"/>
  <c r="J111" i="2"/>
  <c r="X110" i="2"/>
  <c r="P110" i="2"/>
  <c r="H110" i="2"/>
  <c r="V109" i="2"/>
  <c r="N109" i="2"/>
  <c r="F109" i="2"/>
  <c r="T108" i="2"/>
  <c r="L108" i="2"/>
  <c r="Z107" i="2"/>
  <c r="R107" i="2"/>
  <c r="J107" i="2"/>
  <c r="X106" i="2"/>
  <c r="P106" i="2"/>
  <c r="H106" i="2"/>
  <c r="V105" i="2"/>
  <c r="N105" i="2"/>
  <c r="F105" i="2"/>
  <c r="T104" i="2"/>
  <c r="L104" i="2"/>
  <c r="Z103" i="2"/>
  <c r="R103" i="2"/>
  <c r="J103" i="2"/>
  <c r="X102" i="2"/>
  <c r="P102" i="2"/>
  <c r="H102" i="2"/>
  <c r="V101" i="2"/>
  <c r="N101" i="2"/>
  <c r="F101" i="2"/>
  <c r="T100" i="2"/>
  <c r="L100" i="2"/>
  <c r="Z99" i="2"/>
  <c r="R99" i="2"/>
  <c r="J99" i="2"/>
  <c r="X98" i="2"/>
  <c r="P98" i="2"/>
  <c r="H98" i="2"/>
  <c r="V97" i="2"/>
  <c r="N97" i="2"/>
  <c r="F97" i="2"/>
  <c r="T96" i="2"/>
  <c r="L96" i="2"/>
  <c r="Z95" i="2"/>
  <c r="R95" i="2"/>
  <c r="J95" i="2"/>
  <c r="X94" i="2"/>
  <c r="P94" i="2"/>
  <c r="H94" i="2"/>
  <c r="V93" i="2"/>
  <c r="N93" i="2"/>
  <c r="F93" i="2"/>
  <c r="T92" i="2"/>
  <c r="L92" i="2"/>
  <c r="Z91" i="2"/>
  <c r="V91" i="2"/>
  <c r="R91" i="2"/>
  <c r="N91" i="2"/>
  <c r="J91" i="2"/>
  <c r="F91" i="2"/>
  <c r="X90" i="2"/>
  <c r="T90" i="2"/>
  <c r="P90" i="2"/>
  <c r="L90" i="2"/>
  <c r="H90" i="2"/>
  <c r="Z89" i="2"/>
  <c r="V89" i="2"/>
  <c r="R89" i="2"/>
  <c r="N89" i="2"/>
  <c r="J89" i="2"/>
  <c r="F89" i="2"/>
  <c r="X88" i="2"/>
  <c r="T88" i="2"/>
  <c r="P88" i="2"/>
  <c r="L88" i="2"/>
  <c r="H88" i="2"/>
  <c r="Z87" i="2"/>
  <c r="V87" i="2"/>
  <c r="R87" i="2"/>
  <c r="N87" i="2"/>
  <c r="J87" i="2"/>
  <c r="F87" i="2"/>
  <c r="X86" i="2"/>
  <c r="T86" i="2"/>
  <c r="P86" i="2"/>
  <c r="L86" i="2"/>
  <c r="H86" i="2"/>
  <c r="Z85" i="2"/>
  <c r="V85" i="2"/>
  <c r="R85" i="2"/>
  <c r="N85" i="2"/>
  <c r="J85" i="2"/>
  <c r="F85" i="2"/>
  <c r="X84" i="2"/>
  <c r="T84" i="2"/>
  <c r="P84" i="2"/>
  <c r="L84" i="2"/>
  <c r="H84" i="2"/>
  <c r="Z83" i="2"/>
  <c r="V83" i="2"/>
  <c r="R83" i="2"/>
  <c r="N83" i="2"/>
  <c r="J83" i="2"/>
  <c r="F83" i="2"/>
  <c r="X82" i="2"/>
  <c r="T82" i="2"/>
  <c r="P82" i="2"/>
  <c r="L82" i="2"/>
  <c r="H82" i="2"/>
  <c r="Z81" i="2"/>
  <c r="V81" i="2"/>
  <c r="R81" i="2"/>
  <c r="N81" i="2"/>
  <c r="J81" i="2"/>
  <c r="F81" i="2"/>
  <c r="X80" i="2"/>
  <c r="T80" i="2"/>
  <c r="P80" i="2"/>
  <c r="W114" i="2"/>
  <c r="O114" i="2"/>
  <c r="G114" i="2"/>
  <c r="U113" i="2"/>
  <c r="M113" i="2"/>
  <c r="E113" i="2"/>
  <c r="S112" i="2"/>
  <c r="K112" i="2"/>
  <c r="Y111" i="2"/>
  <c r="Q111" i="2"/>
  <c r="I111" i="2"/>
  <c r="W110" i="2"/>
  <c r="O110" i="2"/>
  <c r="G110" i="2"/>
  <c r="U109" i="2"/>
  <c r="M109" i="2"/>
  <c r="E109" i="2"/>
  <c r="S108" i="2"/>
  <c r="K108" i="2"/>
  <c r="Y107" i="2"/>
  <c r="Q107" i="2"/>
  <c r="I107" i="2"/>
  <c r="W106" i="2"/>
  <c r="O106" i="2"/>
  <c r="G106" i="2"/>
  <c r="U105" i="2"/>
  <c r="M105" i="2"/>
  <c r="E105" i="2"/>
  <c r="S104" i="2"/>
  <c r="K104" i="2"/>
  <c r="Y103" i="2"/>
  <c r="Q103" i="2"/>
  <c r="I103" i="2"/>
  <c r="W102" i="2"/>
  <c r="O102" i="2"/>
  <c r="G102" i="2"/>
  <c r="U101" i="2"/>
  <c r="M101" i="2"/>
  <c r="E101" i="2"/>
  <c r="S100" i="2"/>
  <c r="K100" i="2"/>
  <c r="Y99" i="2"/>
  <c r="Q99" i="2"/>
  <c r="I99" i="2"/>
  <c r="W98" i="2"/>
  <c r="O98" i="2"/>
  <c r="G98" i="2"/>
  <c r="U97" i="2"/>
  <c r="M97" i="2"/>
  <c r="E97" i="2"/>
  <c r="S96" i="2"/>
  <c r="K96" i="2"/>
  <c r="Y95" i="2"/>
  <c r="Q95" i="2"/>
  <c r="I95" i="2"/>
  <c r="W94" i="2"/>
  <c r="O94" i="2"/>
  <c r="G94" i="2"/>
  <c r="U93" i="2"/>
  <c r="M93" i="2"/>
  <c r="E93" i="2"/>
  <c r="S92" i="2"/>
  <c r="K92" i="2"/>
  <c r="Y91" i="2"/>
  <c r="U91" i="2"/>
  <c r="Q91" i="2"/>
  <c r="M91" i="2"/>
  <c r="I91" i="2"/>
  <c r="E91" i="2"/>
  <c r="W90" i="2"/>
  <c r="S90" i="2"/>
  <c r="O90" i="2"/>
  <c r="K90" i="2"/>
  <c r="G90" i="2"/>
  <c r="Y89" i="2"/>
  <c r="U89" i="2"/>
  <c r="Q89" i="2"/>
  <c r="M89" i="2"/>
  <c r="I89" i="2"/>
  <c r="E89" i="2"/>
  <c r="W88" i="2"/>
  <c r="S88" i="2"/>
  <c r="O88" i="2"/>
  <c r="K88" i="2"/>
  <c r="G88" i="2"/>
  <c r="Y87" i="2"/>
  <c r="U87" i="2"/>
  <c r="Q87" i="2"/>
  <c r="M87" i="2"/>
  <c r="I87" i="2"/>
  <c r="E87" i="2"/>
  <c r="W86" i="2"/>
  <c r="S86" i="2"/>
  <c r="O86" i="2"/>
  <c r="K86" i="2"/>
  <c r="G86" i="2"/>
  <c r="Y85" i="2"/>
  <c r="U85" i="2"/>
  <c r="Q85" i="2"/>
  <c r="M85" i="2"/>
  <c r="I85" i="2"/>
  <c r="E85" i="2"/>
  <c r="W84" i="2"/>
  <c r="S84" i="2"/>
  <c r="O84" i="2"/>
  <c r="K84" i="2"/>
  <c r="G84" i="2"/>
  <c r="Y83" i="2"/>
  <c r="U83" i="2"/>
  <c r="Q83" i="2"/>
  <c r="M83" i="2"/>
  <c r="I83" i="2"/>
  <c r="E83" i="2"/>
  <c r="W82" i="2"/>
  <c r="S82" i="2"/>
  <c r="T114" i="2"/>
  <c r="L114" i="2"/>
  <c r="Z113" i="2"/>
  <c r="R113" i="2"/>
  <c r="J113" i="2"/>
  <c r="X112" i="2"/>
  <c r="P112" i="2"/>
  <c r="H112" i="2"/>
  <c r="V111" i="2"/>
  <c r="N111" i="2"/>
  <c r="F111" i="2"/>
  <c r="T110" i="2"/>
  <c r="L110" i="2"/>
  <c r="Z109" i="2"/>
  <c r="R109" i="2"/>
  <c r="J109" i="2"/>
  <c r="X108" i="2"/>
  <c r="P108" i="2"/>
  <c r="H108" i="2"/>
  <c r="V107" i="2"/>
  <c r="N107" i="2"/>
  <c r="F107" i="2"/>
  <c r="T106" i="2"/>
  <c r="L106" i="2"/>
  <c r="Z105" i="2"/>
  <c r="R105" i="2"/>
  <c r="J105" i="2"/>
  <c r="X104" i="2"/>
  <c r="P104" i="2"/>
  <c r="H104" i="2"/>
  <c r="V103" i="2"/>
  <c r="N103" i="2"/>
  <c r="F103" i="2"/>
  <c r="T102" i="2"/>
  <c r="L102" i="2"/>
  <c r="Z101" i="2"/>
  <c r="R101" i="2"/>
  <c r="J101" i="2"/>
  <c r="X100" i="2"/>
  <c r="P100" i="2"/>
  <c r="H100" i="2"/>
  <c r="V99" i="2"/>
  <c r="N99" i="2"/>
  <c r="F99" i="2"/>
  <c r="T98" i="2"/>
  <c r="L98" i="2"/>
  <c r="Z97" i="2"/>
  <c r="R97" i="2"/>
  <c r="J97" i="2"/>
  <c r="X96" i="2"/>
  <c r="P96" i="2"/>
  <c r="H96" i="2"/>
  <c r="V95" i="2"/>
  <c r="N95" i="2"/>
  <c r="F95" i="2"/>
  <c r="T94" i="2"/>
  <c r="L94" i="2"/>
  <c r="Z93" i="2"/>
  <c r="R93" i="2"/>
  <c r="J93" i="2"/>
  <c r="X92" i="2"/>
  <c r="P92" i="2"/>
  <c r="H92" i="2"/>
  <c r="X91" i="2"/>
  <c r="T91" i="2"/>
  <c r="P91" i="2"/>
  <c r="L91" i="2"/>
  <c r="H91" i="2"/>
  <c r="Z90" i="2"/>
  <c r="V90" i="2"/>
  <c r="R90" i="2"/>
  <c r="N90" i="2"/>
  <c r="J90" i="2"/>
  <c r="F90" i="2"/>
  <c r="X89" i="2"/>
  <c r="T89" i="2"/>
  <c r="P89" i="2"/>
  <c r="L89" i="2"/>
  <c r="H89" i="2"/>
  <c r="Z88" i="2"/>
  <c r="V88" i="2"/>
  <c r="R88" i="2"/>
  <c r="N88" i="2"/>
  <c r="J88" i="2"/>
  <c r="F88" i="2"/>
  <c r="X87" i="2"/>
  <c r="T87" i="2"/>
  <c r="P87" i="2"/>
  <c r="L87" i="2"/>
  <c r="H87" i="2"/>
  <c r="Z86" i="2"/>
  <c r="V86" i="2"/>
  <c r="R86" i="2"/>
  <c r="N86" i="2"/>
  <c r="J86" i="2"/>
  <c r="F86" i="2"/>
  <c r="X85" i="2"/>
  <c r="T85" i="2"/>
  <c r="P85" i="2"/>
  <c r="L85" i="2"/>
  <c r="H85" i="2"/>
  <c r="Z84" i="2"/>
  <c r="V84" i="2"/>
  <c r="R84" i="2"/>
  <c r="N84" i="2"/>
  <c r="J84" i="2"/>
  <c r="F84" i="2"/>
  <c r="X83" i="2"/>
  <c r="T83" i="2"/>
  <c r="P83" i="2"/>
  <c r="L83" i="2"/>
  <c r="H83" i="2"/>
  <c r="Z82" i="2"/>
  <c r="V82" i="2"/>
  <c r="R82" i="2"/>
  <c r="S114" i="2"/>
  <c r="I113" i="2"/>
  <c r="U111" i="2"/>
  <c r="K110" i="2"/>
  <c r="W108" i="2"/>
  <c r="M107" i="2"/>
  <c r="Y105" i="2"/>
  <c r="O104" i="2"/>
  <c r="E103" i="2"/>
  <c r="Q101" i="2"/>
  <c r="G100" i="2"/>
  <c r="S98" i="2"/>
  <c r="I97" i="2"/>
  <c r="U95" i="2"/>
  <c r="K94" i="2"/>
  <c r="W92" i="2"/>
  <c r="S91" i="2"/>
  <c r="Y90" i="2"/>
  <c r="I90" i="2"/>
  <c r="O89" i="2"/>
  <c r="U88" i="2"/>
  <c r="E88" i="2"/>
  <c r="K87" i="2"/>
  <c r="Q86" i="2"/>
  <c r="W85" i="2"/>
  <c r="G85" i="2"/>
  <c r="M84" i="2"/>
  <c r="S83" i="2"/>
  <c r="Y82" i="2"/>
  <c r="N82" i="2"/>
  <c r="I82" i="2"/>
  <c r="Y81" i="2"/>
  <c r="T81" i="2"/>
  <c r="O81" i="2"/>
  <c r="I81" i="2"/>
  <c r="Z80" i="2"/>
  <c r="U80" i="2"/>
  <c r="O80" i="2"/>
  <c r="K80" i="2"/>
  <c r="G80" i="2"/>
  <c r="Y79" i="2"/>
  <c r="U79" i="2"/>
  <c r="Q79" i="2"/>
  <c r="M79" i="2"/>
  <c r="I79" i="2"/>
  <c r="E79" i="2"/>
  <c r="S110" i="2"/>
  <c r="O100" i="2"/>
  <c r="I93" i="2"/>
  <c r="G91" i="2"/>
  <c r="Y88" i="2"/>
  <c r="U86" i="2"/>
  <c r="Q84" i="2"/>
  <c r="J82" i="2"/>
  <c r="E81" i="2"/>
  <c r="L80" i="2"/>
  <c r="V79" i="2"/>
  <c r="J79" i="2"/>
  <c r="K114" i="2"/>
  <c r="W112" i="2"/>
  <c r="M111" i="2"/>
  <c r="Y109" i="2"/>
  <c r="O108" i="2"/>
  <c r="E107" i="2"/>
  <c r="Q105" i="2"/>
  <c r="G104" i="2"/>
  <c r="S102" i="2"/>
  <c r="I101" i="2"/>
  <c r="U99" i="2"/>
  <c r="K98" i="2"/>
  <c r="W96" i="2"/>
  <c r="M95" i="2"/>
  <c r="Y93" i="2"/>
  <c r="O92" i="2"/>
  <c r="O91" i="2"/>
  <c r="U90" i="2"/>
  <c r="E90" i="2"/>
  <c r="K89" i="2"/>
  <c r="Q88" i="2"/>
  <c r="W87" i="2"/>
  <c r="G87" i="2"/>
  <c r="M86" i="2"/>
  <c r="S85" i="2"/>
  <c r="Y84" i="2"/>
  <c r="I84" i="2"/>
  <c r="O83" i="2"/>
  <c r="U82" i="2"/>
  <c r="M82" i="2"/>
  <c r="G82" i="2"/>
  <c r="X81" i="2"/>
  <c r="S81" i="2"/>
  <c r="M81" i="2"/>
  <c r="H81" i="2"/>
  <c r="Y80" i="2"/>
  <c r="S80" i="2"/>
  <c r="N80" i="2"/>
  <c r="J80" i="2"/>
  <c r="F80" i="2"/>
  <c r="X79" i="2"/>
  <c r="T79" i="2"/>
  <c r="P79" i="2"/>
  <c r="L79" i="2"/>
  <c r="H79" i="2"/>
  <c r="G112" i="2"/>
  <c r="Y101" i="2"/>
  <c r="S94" i="2"/>
  <c r="M90" i="2"/>
  <c r="I88" i="2"/>
  <c r="E86" i="2"/>
  <c r="G83" i="2"/>
  <c r="E82" i="2"/>
  <c r="P81" i="2"/>
  <c r="V80" i="2"/>
  <c r="H80" i="2"/>
  <c r="R79" i="2"/>
  <c r="F79" i="2"/>
  <c r="Y113" i="2"/>
  <c r="O112" i="2"/>
  <c r="E111" i="2"/>
  <c r="Q109" i="2"/>
  <c r="G108" i="2"/>
  <c r="S106" i="2"/>
  <c r="I105" i="2"/>
  <c r="U103" i="2"/>
  <c r="K102" i="2"/>
  <c r="W100" i="2"/>
  <c r="M99" i="2"/>
  <c r="Y97" i="2"/>
  <c r="O96" i="2"/>
  <c r="E95" i="2"/>
  <c r="Q93" i="2"/>
  <c r="G92" i="2"/>
  <c r="K91" i="2"/>
  <c r="Q90" i="2"/>
  <c r="W89" i="2"/>
  <c r="G89" i="2"/>
  <c r="M88" i="2"/>
  <c r="S87" i="2"/>
  <c r="Y86" i="2"/>
  <c r="I86" i="2"/>
  <c r="O85" i="2"/>
  <c r="U84" i="2"/>
  <c r="E84" i="2"/>
  <c r="K83" i="2"/>
  <c r="Q82" i="2"/>
  <c r="K82" i="2"/>
  <c r="F82" i="2"/>
  <c r="W81" i="2"/>
  <c r="Q81" i="2"/>
  <c r="L81" i="2"/>
  <c r="G81" i="2"/>
  <c r="W80" i="2"/>
  <c r="R80" i="2"/>
  <c r="M80" i="2"/>
  <c r="I80" i="2"/>
  <c r="E80" i="2"/>
  <c r="W79" i="2"/>
  <c r="S79" i="2"/>
  <c r="O79" i="2"/>
  <c r="K79" i="2"/>
  <c r="G79" i="2"/>
  <c r="Q113" i="2"/>
  <c r="I109" i="2"/>
  <c r="U107" i="2"/>
  <c r="K106" i="2"/>
  <c r="W104" i="2"/>
  <c r="M103" i="2"/>
  <c r="E99" i="2"/>
  <c r="Q97" i="2"/>
  <c r="G96" i="2"/>
  <c r="W91" i="2"/>
  <c r="S89" i="2"/>
  <c r="O87" i="2"/>
  <c r="K85" i="2"/>
  <c r="W83" i="2"/>
  <c r="O82" i="2"/>
  <c r="U81" i="2"/>
  <c r="K81" i="2"/>
  <c r="Q80" i="2"/>
  <c r="Z79" i="2"/>
  <c r="N79" i="2"/>
  <c r="D80" i="2"/>
  <c r="D84" i="2"/>
  <c r="D88" i="2"/>
  <c r="D92" i="2"/>
  <c r="D96" i="2"/>
  <c r="D100" i="2"/>
  <c r="D104" i="2"/>
  <c r="D108" i="2"/>
  <c r="D112" i="2"/>
  <c r="D81" i="2"/>
  <c r="D85" i="2"/>
  <c r="D89" i="2"/>
  <c r="D93" i="2"/>
  <c r="D97" i="2"/>
  <c r="D101" i="2"/>
  <c r="D105" i="2"/>
  <c r="D109" i="2"/>
  <c r="D113" i="2"/>
  <c r="D87" i="2"/>
  <c r="D107" i="2"/>
  <c r="D82" i="2"/>
  <c r="D86" i="2"/>
  <c r="D90" i="2"/>
  <c r="D94" i="2"/>
  <c r="D98" i="2"/>
  <c r="D102" i="2"/>
  <c r="D106" i="2"/>
  <c r="D110" i="2"/>
  <c r="D114" i="2"/>
  <c r="D83" i="2"/>
  <c r="D91" i="2"/>
  <c r="D95" i="2"/>
  <c r="D99" i="2"/>
  <c r="D103" i="2"/>
  <c r="D111" i="2"/>
  <c r="D79" i="2"/>
  <c r="AK38" i="3"/>
  <c r="AO38" i="3"/>
  <c r="AS38" i="3"/>
  <c r="AW38" i="3"/>
  <c r="AM39" i="3"/>
  <c r="AK40" i="3"/>
  <c r="AO40" i="3"/>
  <c r="AS40" i="3"/>
  <c r="AW40" i="3"/>
  <c r="AM41" i="3"/>
  <c r="AM43" i="3"/>
  <c r="AK44" i="3"/>
  <c r="AO44" i="3"/>
  <c r="AS44" i="3"/>
  <c r="AW44" i="3"/>
  <c r="AM45" i="3"/>
  <c r="AL38" i="3"/>
  <c r="AJ39" i="3"/>
  <c r="AN39" i="3"/>
  <c r="AL40" i="3"/>
  <c r="AJ41" i="3"/>
  <c r="AN41" i="3"/>
  <c r="AJ43" i="3"/>
  <c r="AN38" i="3"/>
  <c r="AJ40" i="3"/>
  <c r="AL41" i="3"/>
  <c r="AO43" i="3"/>
  <c r="AL44" i="3"/>
  <c r="AN45" i="3"/>
  <c r="AS45" i="3"/>
  <c r="AL47" i="3"/>
  <c r="AJ48" i="3"/>
  <c r="AN48" i="3"/>
  <c r="AK39" i="3"/>
  <c r="AS39" i="3"/>
  <c r="AM40" i="3"/>
  <c r="AO41" i="3"/>
  <c r="AW41" i="3"/>
  <c r="AK43" i="3"/>
  <c r="AM44" i="3"/>
  <c r="AJ45" i="3"/>
  <c r="AO45" i="3"/>
  <c r="AM47" i="3"/>
  <c r="AK48" i="3"/>
  <c r="AO48" i="3"/>
  <c r="AS48" i="3"/>
  <c r="AW48" i="3"/>
  <c r="AM38" i="3"/>
  <c r="AO39" i="3"/>
  <c r="AS41" i="3"/>
  <c r="AS43" i="3"/>
  <c r="AL45" i="3"/>
  <c r="AO47" i="3"/>
  <c r="AM48" i="3"/>
  <c r="AJ38" i="3"/>
  <c r="AL39" i="3"/>
  <c r="AN40" i="3"/>
  <c r="AL43" i="3"/>
  <c r="AW43" i="3"/>
  <c r="AN44" i="3"/>
  <c r="AK45" i="3"/>
  <c r="AJ47" i="3"/>
  <c r="AN47" i="3"/>
  <c r="AL48" i="3"/>
  <c r="AW39" i="3"/>
  <c r="AK41" i="3"/>
  <c r="AN43" i="3"/>
  <c r="AJ44" i="3"/>
  <c r="AW45" i="3"/>
  <c r="AK47" i="3"/>
  <c r="AS47" i="3"/>
  <c r="AW47" i="3"/>
  <c r="AK10" i="2"/>
  <c r="AO10" i="2"/>
  <c r="AS10" i="2"/>
  <c r="BD10" i="2"/>
  <c r="BH10" i="2"/>
  <c r="AN11" i="2"/>
  <c r="BG11" i="2"/>
  <c r="BK11" i="2"/>
  <c r="AM12" i="2"/>
  <c r="AQ12" i="2"/>
  <c r="BF12" i="2"/>
  <c r="BJ12" i="2"/>
  <c r="AV13" i="2"/>
  <c r="BE13" i="2"/>
  <c r="BI13" i="2"/>
  <c r="AK14" i="2"/>
  <c r="AO14" i="2"/>
  <c r="AS14" i="2"/>
  <c r="BD14" i="2"/>
  <c r="BH14" i="2"/>
  <c r="AN15" i="2"/>
  <c r="BG15" i="2"/>
  <c r="BK15" i="2"/>
  <c r="AM16" i="2"/>
  <c r="AQ16" i="2"/>
  <c r="BF16" i="2"/>
  <c r="BJ16" i="2"/>
  <c r="AV17" i="2"/>
  <c r="BE17" i="2"/>
  <c r="BI17" i="2"/>
  <c r="AK18" i="2"/>
  <c r="AO18" i="2"/>
  <c r="AS18" i="2"/>
  <c r="BD18" i="2"/>
  <c r="BH18" i="2"/>
  <c r="AN19" i="2"/>
  <c r="BG19" i="2"/>
  <c r="AV10" i="2"/>
  <c r="BE10" i="2"/>
  <c r="BI10" i="2"/>
  <c r="AK11" i="2"/>
  <c r="AO11" i="2"/>
  <c r="AS11" i="2"/>
  <c r="BD11" i="2"/>
  <c r="BH11" i="2"/>
  <c r="AN12" i="2"/>
  <c r="BG12" i="2"/>
  <c r="BK12" i="2"/>
  <c r="AM13" i="2"/>
  <c r="AQ13" i="2"/>
  <c r="BF13" i="2"/>
  <c r="BJ13" i="2"/>
  <c r="AV14" i="2"/>
  <c r="BE14" i="2"/>
  <c r="BI14" i="2"/>
  <c r="AK15" i="2"/>
  <c r="AO15" i="2"/>
  <c r="AS15" i="2"/>
  <c r="BD15" i="2"/>
  <c r="BH15" i="2"/>
  <c r="AN16" i="2"/>
  <c r="BG16" i="2"/>
  <c r="BK16" i="2"/>
  <c r="AM17" i="2"/>
  <c r="AQ17" i="2"/>
  <c r="BF17" i="2"/>
  <c r="BJ17" i="2"/>
  <c r="AV18" i="2"/>
  <c r="BE18" i="2"/>
  <c r="BI18" i="2"/>
  <c r="AK19" i="2"/>
  <c r="AO19" i="2"/>
  <c r="AS19" i="2"/>
  <c r="AM10" i="2"/>
  <c r="AQ10" i="2"/>
  <c r="BF10" i="2"/>
  <c r="BJ10" i="2"/>
  <c r="AV11" i="2"/>
  <c r="BE11" i="2"/>
  <c r="BI11" i="2"/>
  <c r="AK12" i="2"/>
  <c r="AO12" i="2"/>
  <c r="AS12" i="2"/>
  <c r="BD12" i="2"/>
  <c r="BH12" i="2"/>
  <c r="AN13" i="2"/>
  <c r="BG13" i="2"/>
  <c r="BK13" i="2"/>
  <c r="AM14" i="2"/>
  <c r="AQ14" i="2"/>
  <c r="BF14" i="2"/>
  <c r="BJ14" i="2"/>
  <c r="AV15" i="2"/>
  <c r="BE15" i="2"/>
  <c r="BI15" i="2"/>
  <c r="AK16" i="2"/>
  <c r="AO16" i="2"/>
  <c r="AS16" i="2"/>
  <c r="BD16" i="2"/>
  <c r="BH16" i="2"/>
  <c r="AN17" i="2"/>
  <c r="BG17" i="2"/>
  <c r="BK17" i="2"/>
  <c r="AM18" i="2"/>
  <c r="AQ18" i="2"/>
  <c r="BF18" i="2"/>
  <c r="BJ18" i="2"/>
  <c r="AN10" i="2"/>
  <c r="BK10" i="2"/>
  <c r="AM11" i="2"/>
  <c r="BJ11" i="2"/>
  <c r="AV12" i="2"/>
  <c r="BI12" i="2"/>
  <c r="AK13" i="2"/>
  <c r="BD13" i="2"/>
  <c r="AQ15" i="2"/>
  <c r="AO17" i="2"/>
  <c r="AN18" i="2"/>
  <c r="BG18" i="2"/>
  <c r="BH19" i="2"/>
  <c r="AN20" i="2"/>
  <c r="BG20" i="2"/>
  <c r="BK20" i="2"/>
  <c r="AM21" i="2"/>
  <c r="AQ21" i="2"/>
  <c r="BF21" i="2"/>
  <c r="BJ21" i="2"/>
  <c r="AV22" i="2"/>
  <c r="BE22" i="2"/>
  <c r="BI22" i="2"/>
  <c r="AK23" i="2"/>
  <c r="AO23" i="2"/>
  <c r="AS23" i="2"/>
  <c r="BD23" i="2"/>
  <c r="BH23" i="2"/>
  <c r="AN24" i="2"/>
  <c r="BG24" i="2"/>
  <c r="BK24" i="2"/>
  <c r="AM25" i="2"/>
  <c r="AQ25" i="2"/>
  <c r="AQ11" i="2"/>
  <c r="AO13" i="2"/>
  <c r="BH13" i="2"/>
  <c r="BF15" i="2"/>
  <c r="AS17" i="2"/>
  <c r="BK18" i="2"/>
  <c r="AM19" i="2"/>
  <c r="BD19" i="2"/>
  <c r="BI19" i="2"/>
  <c r="AK20" i="2"/>
  <c r="AO20" i="2"/>
  <c r="AS20" i="2"/>
  <c r="BD20" i="2"/>
  <c r="BH20" i="2"/>
  <c r="AN21" i="2"/>
  <c r="BG21" i="2"/>
  <c r="BK21" i="2"/>
  <c r="AM22" i="2"/>
  <c r="AQ22" i="2"/>
  <c r="BF22" i="2"/>
  <c r="BJ22" i="2"/>
  <c r="AV23" i="2"/>
  <c r="BE23" i="2"/>
  <c r="BI23" i="2"/>
  <c r="AK24" i="2"/>
  <c r="AO24" i="2"/>
  <c r="AS24" i="2"/>
  <c r="BD24" i="2"/>
  <c r="BH24" i="2"/>
  <c r="AN25" i="2"/>
  <c r="BG25" i="2"/>
  <c r="BK25" i="2"/>
  <c r="AM26" i="2"/>
  <c r="AQ26" i="2"/>
  <c r="AS13" i="2"/>
  <c r="AN14" i="2"/>
  <c r="BG14" i="2"/>
  <c r="BJ15" i="2"/>
  <c r="AV16" i="2"/>
  <c r="BE16" i="2"/>
  <c r="BD17" i="2"/>
  <c r="AQ19" i="2"/>
  <c r="AV19" i="2"/>
  <c r="BE19" i="2"/>
  <c r="BJ19" i="2"/>
  <c r="AV20" i="2"/>
  <c r="BE20" i="2"/>
  <c r="BI20" i="2"/>
  <c r="AK21" i="2"/>
  <c r="AO21" i="2"/>
  <c r="AS21" i="2"/>
  <c r="BD21" i="2"/>
  <c r="BH21" i="2"/>
  <c r="AN22" i="2"/>
  <c r="BG22" i="2"/>
  <c r="BK22" i="2"/>
  <c r="AM23" i="2"/>
  <c r="AQ23" i="2"/>
  <c r="BF23" i="2"/>
  <c r="BJ23" i="2"/>
  <c r="AV24" i="2"/>
  <c r="BE24" i="2"/>
  <c r="BI24" i="2"/>
  <c r="AK25" i="2"/>
  <c r="AO25" i="2"/>
  <c r="AS25" i="2"/>
  <c r="BD25" i="2"/>
  <c r="BH25" i="2"/>
  <c r="AN26" i="2"/>
  <c r="BG26" i="2"/>
  <c r="BK26" i="2"/>
  <c r="AM27" i="2"/>
  <c r="AQ27" i="2"/>
  <c r="BF11" i="2"/>
  <c r="BH17" i="2"/>
  <c r="AQ20" i="2"/>
  <c r="BJ20" i="2"/>
  <c r="AV21" i="2"/>
  <c r="BE21" i="2"/>
  <c r="AN23" i="2"/>
  <c r="BK23" i="2"/>
  <c r="AM24" i="2"/>
  <c r="BF24" i="2"/>
  <c r="BE25" i="2"/>
  <c r="AO26" i="2"/>
  <c r="BH26" i="2"/>
  <c r="AO27" i="2"/>
  <c r="BF27" i="2"/>
  <c r="BJ27" i="2"/>
  <c r="AV28" i="2"/>
  <c r="BE28" i="2"/>
  <c r="BI28" i="2"/>
  <c r="AK29" i="2"/>
  <c r="AO29" i="2"/>
  <c r="AS29" i="2"/>
  <c r="BD29" i="2"/>
  <c r="BH29" i="2"/>
  <c r="AN30" i="2"/>
  <c r="BG30" i="2"/>
  <c r="BK30" i="2"/>
  <c r="AM31" i="2"/>
  <c r="AQ31" i="2"/>
  <c r="BF31" i="2"/>
  <c r="BJ31" i="2"/>
  <c r="AV32" i="2"/>
  <c r="BE32" i="2"/>
  <c r="BI32" i="2"/>
  <c r="AK33" i="2"/>
  <c r="AO33" i="2"/>
  <c r="AS33" i="2"/>
  <c r="BD33" i="2"/>
  <c r="BH33" i="2"/>
  <c r="AN34" i="2"/>
  <c r="BG34" i="2"/>
  <c r="BK34" i="2"/>
  <c r="AM35" i="2"/>
  <c r="AQ35" i="2"/>
  <c r="BG10" i="2"/>
  <c r="BK14" i="2"/>
  <c r="BI21" i="2"/>
  <c r="AK22" i="2"/>
  <c r="AQ24" i="2"/>
  <c r="BJ24" i="2"/>
  <c r="AV25" i="2"/>
  <c r="BF25" i="2"/>
  <c r="BD26" i="2"/>
  <c r="BI26" i="2"/>
  <c r="AK27" i="2"/>
  <c r="BG27" i="2"/>
  <c r="BK27" i="2"/>
  <c r="AM28" i="2"/>
  <c r="AQ28" i="2"/>
  <c r="BF28" i="2"/>
  <c r="BJ28" i="2"/>
  <c r="AV29" i="2"/>
  <c r="BE29" i="2"/>
  <c r="BI29" i="2"/>
  <c r="AK30" i="2"/>
  <c r="AO30" i="2"/>
  <c r="AS30" i="2"/>
  <c r="BD30" i="2"/>
  <c r="BH30" i="2"/>
  <c r="AN31" i="2"/>
  <c r="BG31" i="2"/>
  <c r="BK31" i="2"/>
  <c r="AM32" i="2"/>
  <c r="AQ32" i="2"/>
  <c r="BF32" i="2"/>
  <c r="BJ32" i="2"/>
  <c r="AV33" i="2"/>
  <c r="BE33" i="2"/>
  <c r="BI33" i="2"/>
  <c r="AK34" i="2"/>
  <c r="AO34" i="2"/>
  <c r="AS34" i="2"/>
  <c r="BD34" i="2"/>
  <c r="BH34" i="2"/>
  <c r="BE12" i="2"/>
  <c r="AM15" i="2"/>
  <c r="BI16" i="2"/>
  <c r="BF19" i="2"/>
  <c r="AO22" i="2"/>
  <c r="BD22" i="2"/>
  <c r="BI25" i="2"/>
  <c r="AK26" i="2"/>
  <c r="AS26" i="2"/>
  <c r="AV26" i="2"/>
  <c r="BE26" i="2"/>
  <c r="BJ26" i="2"/>
  <c r="BD27" i="2"/>
  <c r="BH27" i="2"/>
  <c r="AN28" i="2"/>
  <c r="BG28" i="2"/>
  <c r="BK28" i="2"/>
  <c r="AM29" i="2"/>
  <c r="AQ29" i="2"/>
  <c r="BF29" i="2"/>
  <c r="BJ29" i="2"/>
  <c r="AV30" i="2"/>
  <c r="BE30" i="2"/>
  <c r="BI30" i="2"/>
  <c r="AK31" i="2"/>
  <c r="AO31" i="2"/>
  <c r="AS31" i="2"/>
  <c r="BD31" i="2"/>
  <c r="BH31" i="2"/>
  <c r="AN32" i="2"/>
  <c r="BG32" i="2"/>
  <c r="BK32" i="2"/>
  <c r="AM33" i="2"/>
  <c r="AQ33" i="2"/>
  <c r="BF33" i="2"/>
  <c r="BJ33" i="2"/>
  <c r="AV34" i="2"/>
  <c r="BE34" i="2"/>
  <c r="BI34" i="2"/>
  <c r="AK35" i="2"/>
  <c r="AO35" i="2"/>
  <c r="AS35" i="2"/>
  <c r="BD35" i="2"/>
  <c r="BH35" i="2"/>
  <c r="AN36" i="2"/>
  <c r="BG36" i="2"/>
  <c r="BK36" i="2"/>
  <c r="AM37" i="2"/>
  <c r="AQ37" i="2"/>
  <c r="AK17" i="2"/>
  <c r="BK19" i="2"/>
  <c r="BF20" i="2"/>
  <c r="AS22" i="2"/>
  <c r="AO28" i="2"/>
  <c r="BD28" i="2"/>
  <c r="AQ30" i="2"/>
  <c r="BJ30" i="2"/>
  <c r="AV31" i="2"/>
  <c r="BE31" i="2"/>
  <c r="AN33" i="2"/>
  <c r="BG33" i="2"/>
  <c r="BG35" i="2"/>
  <c r="AO36" i="2"/>
  <c r="AV36" i="2"/>
  <c r="BE36" i="2"/>
  <c r="BJ36" i="2"/>
  <c r="BD37" i="2"/>
  <c r="BH37" i="2"/>
  <c r="AN38" i="2"/>
  <c r="AM20" i="2"/>
  <c r="AS28" i="2"/>
  <c r="BH28" i="2"/>
  <c r="BI31" i="2"/>
  <c r="AK32" i="2"/>
  <c r="BK33" i="2"/>
  <c r="AM34" i="2"/>
  <c r="BF34" i="2"/>
  <c r="BI35" i="2"/>
  <c r="AK36" i="2"/>
  <c r="BF36" i="2"/>
  <c r="AN37" i="2"/>
  <c r="AS37" i="2"/>
  <c r="AV37" i="2"/>
  <c r="BE37" i="2"/>
  <c r="BI37" i="2"/>
  <c r="AK38" i="2"/>
  <c r="AO38" i="2"/>
  <c r="AS38" i="2"/>
  <c r="BD38" i="2"/>
  <c r="BH38" i="2"/>
  <c r="AN39" i="2"/>
  <c r="BG39" i="2"/>
  <c r="BK39" i="2"/>
  <c r="AM40" i="2"/>
  <c r="AQ40" i="2"/>
  <c r="BG23" i="2"/>
  <c r="BF26" i="2"/>
  <c r="AN27" i="2"/>
  <c r="AV27" i="2"/>
  <c r="BE27" i="2"/>
  <c r="AN29" i="2"/>
  <c r="BG29" i="2"/>
  <c r="AO32" i="2"/>
  <c r="BD32" i="2"/>
  <c r="AQ34" i="2"/>
  <c r="BJ34" i="2"/>
  <c r="AN35" i="2"/>
  <c r="BE35" i="2"/>
  <c r="BJ35" i="2"/>
  <c r="AQ36" i="2"/>
  <c r="BH36" i="2"/>
  <c r="AO37" i="2"/>
  <c r="BF37" i="2"/>
  <c r="BJ37" i="2"/>
  <c r="AV38" i="2"/>
  <c r="BE38" i="2"/>
  <c r="BI38" i="2"/>
  <c r="AK39" i="2"/>
  <c r="AO39" i="2"/>
  <c r="AS39" i="2"/>
  <c r="BD39" i="2"/>
  <c r="BH39" i="2"/>
  <c r="AN40" i="2"/>
  <c r="BG40" i="2"/>
  <c r="BK40" i="2"/>
  <c r="AM41" i="2"/>
  <c r="AQ41" i="2"/>
  <c r="BF41" i="2"/>
  <c r="BJ41" i="2"/>
  <c r="BH22" i="2"/>
  <c r="BJ25" i="2"/>
  <c r="AS27" i="2"/>
  <c r="BI27" i="2"/>
  <c r="AK28" i="2"/>
  <c r="BK29" i="2"/>
  <c r="AM30" i="2"/>
  <c r="BF30" i="2"/>
  <c r="AS32" i="2"/>
  <c r="BH32" i="2"/>
  <c r="AV35" i="2"/>
  <c r="BF35" i="2"/>
  <c r="BK35" i="2"/>
  <c r="AM36" i="2"/>
  <c r="AS36" i="2"/>
  <c r="BD36" i="2"/>
  <c r="BI36" i="2"/>
  <c r="AK37" i="2"/>
  <c r="BG37" i="2"/>
  <c r="BK37" i="2"/>
  <c r="AM38" i="2"/>
  <c r="AQ38" i="2"/>
  <c r="BF38" i="2"/>
  <c r="BJ38" i="2"/>
  <c r="AV39" i="2"/>
  <c r="BE39" i="2"/>
  <c r="BI39" i="2"/>
  <c r="AK40" i="2"/>
  <c r="AO40" i="2"/>
  <c r="AS40" i="2"/>
  <c r="BD40" i="2"/>
  <c r="BH40" i="2"/>
  <c r="AN41" i="2"/>
  <c r="BG41" i="2"/>
  <c r="BK41" i="2"/>
  <c r="AM42" i="2"/>
  <c r="AQ42" i="2"/>
  <c r="BF42" i="2"/>
  <c r="BJ42" i="2"/>
  <c r="AV43" i="2"/>
  <c r="BE43" i="2"/>
  <c r="BI43" i="2"/>
  <c r="BG38" i="2"/>
  <c r="BJ40" i="2"/>
  <c r="BH41" i="2"/>
  <c r="AN42" i="2"/>
  <c r="AS42" i="2"/>
  <c r="AV42" i="2"/>
  <c r="BE42" i="2"/>
  <c r="BK42" i="2"/>
  <c r="AM43" i="2"/>
  <c r="BH43" i="2"/>
  <c r="AV44" i="2"/>
  <c r="BE44" i="2"/>
  <c r="BI44" i="2"/>
  <c r="AK45" i="2"/>
  <c r="AO45" i="2"/>
  <c r="AS45" i="2"/>
  <c r="BD45" i="2"/>
  <c r="BH45" i="2"/>
  <c r="AN46" i="2"/>
  <c r="BG46" i="2"/>
  <c r="BK46" i="2"/>
  <c r="AM47" i="2"/>
  <c r="AQ47" i="2"/>
  <c r="BF47" i="2"/>
  <c r="BJ47" i="2"/>
  <c r="AV48" i="2"/>
  <c r="BE48" i="2"/>
  <c r="BI48" i="2"/>
  <c r="AK49" i="2"/>
  <c r="AO49" i="2"/>
  <c r="AS49" i="2"/>
  <c r="BD49" i="2"/>
  <c r="BH49" i="2"/>
  <c r="AN50" i="2"/>
  <c r="BG50" i="2"/>
  <c r="BK50" i="2"/>
  <c r="AM51" i="2"/>
  <c r="AQ51" i="2"/>
  <c r="BF51" i="2"/>
  <c r="BJ51" i="2"/>
  <c r="AV52" i="2"/>
  <c r="BE52" i="2"/>
  <c r="BI52" i="2"/>
  <c r="AK53" i="2"/>
  <c r="AO53" i="2"/>
  <c r="AS53" i="2"/>
  <c r="BD53" i="2"/>
  <c r="BH53" i="2"/>
  <c r="AN54" i="2"/>
  <c r="BG54" i="2"/>
  <c r="BK54" i="2"/>
  <c r="AM55" i="2"/>
  <c r="AQ55" i="2"/>
  <c r="BF55" i="2"/>
  <c r="BJ55" i="2"/>
  <c r="AV56" i="2"/>
  <c r="BE56" i="2"/>
  <c r="BI56" i="2"/>
  <c r="AK57" i="2"/>
  <c r="AO57" i="2"/>
  <c r="AS57" i="2"/>
  <c r="BD57" i="2"/>
  <c r="BH57" i="2"/>
  <c r="AN58" i="2"/>
  <c r="BG58" i="2"/>
  <c r="BK58" i="2"/>
  <c r="AM59" i="2"/>
  <c r="AQ59" i="2"/>
  <c r="BF59" i="2"/>
  <c r="BJ59" i="2"/>
  <c r="AV60" i="2"/>
  <c r="BE60" i="2"/>
  <c r="BI60" i="2"/>
  <c r="AK61" i="2"/>
  <c r="AO61" i="2"/>
  <c r="AS61" i="2"/>
  <c r="BK38" i="2"/>
  <c r="AM39" i="2"/>
  <c r="BF39" i="2"/>
  <c r="BE40" i="2"/>
  <c r="AO41" i="2"/>
  <c r="BI41" i="2"/>
  <c r="AO42" i="2"/>
  <c r="BG42" i="2"/>
  <c r="AN43" i="2"/>
  <c r="AS43" i="2"/>
  <c r="BD43" i="2"/>
  <c r="BJ43" i="2"/>
  <c r="AM44" i="2"/>
  <c r="AQ44" i="2"/>
  <c r="BF44" i="2"/>
  <c r="BJ44" i="2"/>
  <c r="AV45" i="2"/>
  <c r="BE45" i="2"/>
  <c r="BI45" i="2"/>
  <c r="AK46" i="2"/>
  <c r="AO46" i="2"/>
  <c r="AS46" i="2"/>
  <c r="BD46" i="2"/>
  <c r="BH46" i="2"/>
  <c r="AN47" i="2"/>
  <c r="BG47" i="2"/>
  <c r="BK47" i="2"/>
  <c r="AM48" i="2"/>
  <c r="AQ48" i="2"/>
  <c r="BF48" i="2"/>
  <c r="BJ48" i="2"/>
  <c r="AV49" i="2"/>
  <c r="BE49" i="2"/>
  <c r="BI49" i="2"/>
  <c r="AK50" i="2"/>
  <c r="AO50" i="2"/>
  <c r="AS50" i="2"/>
  <c r="BD50" i="2"/>
  <c r="BH50" i="2"/>
  <c r="AN51" i="2"/>
  <c r="BG51" i="2"/>
  <c r="BK51" i="2"/>
  <c r="AM52" i="2"/>
  <c r="AQ52" i="2"/>
  <c r="BF52" i="2"/>
  <c r="BJ52" i="2"/>
  <c r="AV53" i="2"/>
  <c r="BE53" i="2"/>
  <c r="BI53" i="2"/>
  <c r="AK54" i="2"/>
  <c r="AO54" i="2"/>
  <c r="AS54" i="2"/>
  <c r="BD54" i="2"/>
  <c r="BH54" i="2"/>
  <c r="AN55" i="2"/>
  <c r="BG55" i="2"/>
  <c r="BK55" i="2"/>
  <c r="AM56" i="2"/>
  <c r="AQ56" i="2"/>
  <c r="BF56" i="2"/>
  <c r="BJ56" i="2"/>
  <c r="AV57" i="2"/>
  <c r="BE57" i="2"/>
  <c r="BI57" i="2"/>
  <c r="AK58" i="2"/>
  <c r="AO58" i="2"/>
  <c r="AS58" i="2"/>
  <c r="BD58" i="2"/>
  <c r="BH58" i="2"/>
  <c r="AN59" i="2"/>
  <c r="BG59" i="2"/>
  <c r="BK59" i="2"/>
  <c r="AM60" i="2"/>
  <c r="AQ60" i="2"/>
  <c r="AQ39" i="2"/>
  <c r="BJ39" i="2"/>
  <c r="AV40" i="2"/>
  <c r="BF40" i="2"/>
  <c r="BD41" i="2"/>
  <c r="AK42" i="2"/>
  <c r="BH42" i="2"/>
  <c r="AO43" i="2"/>
  <c r="BF43" i="2"/>
  <c r="BK43" i="2"/>
  <c r="AN44" i="2"/>
  <c r="BG44" i="2"/>
  <c r="BK44" i="2"/>
  <c r="AM45" i="2"/>
  <c r="AQ45" i="2"/>
  <c r="BF45" i="2"/>
  <c r="BJ45" i="2"/>
  <c r="AV46" i="2"/>
  <c r="BE46" i="2"/>
  <c r="BI46" i="2"/>
  <c r="AK47" i="2"/>
  <c r="AO47" i="2"/>
  <c r="AS47" i="2"/>
  <c r="BD47" i="2"/>
  <c r="BH47" i="2"/>
  <c r="AN48" i="2"/>
  <c r="BG48" i="2"/>
  <c r="BK48" i="2"/>
  <c r="AM49" i="2"/>
  <c r="AQ49" i="2"/>
  <c r="BF49" i="2"/>
  <c r="BJ49" i="2"/>
  <c r="AV50" i="2"/>
  <c r="BE50" i="2"/>
  <c r="BI50" i="2"/>
  <c r="AK51" i="2"/>
  <c r="AO51" i="2"/>
  <c r="AS51" i="2"/>
  <c r="BD51" i="2"/>
  <c r="BH51" i="2"/>
  <c r="AN52" i="2"/>
  <c r="BG52" i="2"/>
  <c r="BK52" i="2"/>
  <c r="AM53" i="2"/>
  <c r="AQ53" i="2"/>
  <c r="BF53" i="2"/>
  <c r="BJ53" i="2"/>
  <c r="AV54" i="2"/>
  <c r="BE54" i="2"/>
  <c r="BI54" i="2"/>
  <c r="AK55" i="2"/>
  <c r="AO55" i="2"/>
  <c r="AS55" i="2"/>
  <c r="BD55" i="2"/>
  <c r="BH55" i="2"/>
  <c r="AN56" i="2"/>
  <c r="BG56" i="2"/>
  <c r="BK56" i="2"/>
  <c r="AM57" i="2"/>
  <c r="AQ57" i="2"/>
  <c r="BF57" i="2"/>
  <c r="BJ57" i="2"/>
  <c r="AV58" i="2"/>
  <c r="BE58" i="2"/>
  <c r="BI58" i="2"/>
  <c r="AK59" i="2"/>
  <c r="AO59" i="2"/>
  <c r="AS59" i="2"/>
  <c r="BD59" i="2"/>
  <c r="BH59" i="2"/>
  <c r="AN60" i="2"/>
  <c r="BG60" i="2"/>
  <c r="BK60" i="2"/>
  <c r="AM61" i="2"/>
  <c r="AQ61" i="2"/>
  <c r="BI40" i="2"/>
  <c r="AK41" i="2"/>
  <c r="AS41" i="2"/>
  <c r="AV41" i="2"/>
  <c r="BE41" i="2"/>
  <c r="BD42" i="2"/>
  <c r="BI42" i="2"/>
  <c r="AK43" i="2"/>
  <c r="AQ43" i="2"/>
  <c r="BG43" i="2"/>
  <c r="AK44" i="2"/>
  <c r="AO44" i="2"/>
  <c r="AS44" i="2"/>
  <c r="BD44" i="2"/>
  <c r="BH44" i="2"/>
  <c r="AN45" i="2"/>
  <c r="BG45" i="2"/>
  <c r="BK45" i="2"/>
  <c r="AM46" i="2"/>
  <c r="AQ46" i="2"/>
  <c r="BF46" i="2"/>
  <c r="BJ46" i="2"/>
  <c r="AV47" i="2"/>
  <c r="BE47" i="2"/>
  <c r="BI47" i="2"/>
  <c r="AK48" i="2"/>
  <c r="AO48" i="2"/>
  <c r="AS48" i="2"/>
  <c r="BD48" i="2"/>
  <c r="BH48" i="2"/>
  <c r="AN49" i="2"/>
  <c r="BG49" i="2"/>
  <c r="BK49" i="2"/>
  <c r="AM50" i="2"/>
  <c r="AQ50" i="2"/>
  <c r="BF50" i="2"/>
  <c r="BJ50" i="2"/>
  <c r="AV51" i="2"/>
  <c r="BE51" i="2"/>
  <c r="BI51" i="2"/>
  <c r="AK52" i="2"/>
  <c r="AO52" i="2"/>
  <c r="AS52" i="2"/>
  <c r="BD52" i="2"/>
  <c r="BH52" i="2"/>
  <c r="AN53" i="2"/>
  <c r="BG53" i="2"/>
  <c r="BK53" i="2"/>
  <c r="AM54" i="2"/>
  <c r="AQ54" i="2"/>
  <c r="BF54" i="2"/>
  <c r="BJ54" i="2"/>
  <c r="AV55" i="2"/>
  <c r="BE55" i="2"/>
  <c r="BI55" i="2"/>
  <c r="AK56" i="2"/>
  <c r="AO56" i="2"/>
  <c r="AS56" i="2"/>
  <c r="BD56" i="2"/>
  <c r="BH56" i="2"/>
  <c r="AN57" i="2"/>
  <c r="BG57" i="2"/>
  <c r="BK57" i="2"/>
  <c r="AM58" i="2"/>
  <c r="AQ58" i="2"/>
  <c r="BF58" i="2"/>
  <c r="BJ58" i="2"/>
  <c r="AV59" i="2"/>
  <c r="BE59" i="2"/>
  <c r="BI59" i="2"/>
  <c r="AK60" i="2"/>
  <c r="AO60" i="2"/>
  <c r="AS60" i="2"/>
  <c r="BD60" i="2"/>
  <c r="BH60" i="2"/>
  <c r="AN61" i="2"/>
  <c r="BD61" i="2"/>
  <c r="BH61" i="2"/>
  <c r="BD62" i="2"/>
  <c r="BH62" i="2"/>
  <c r="BF60" i="2"/>
  <c r="BE61" i="2"/>
  <c r="AO62" i="2"/>
  <c r="BJ60" i="2"/>
  <c r="AV61" i="2"/>
  <c r="BF61" i="2"/>
  <c r="BJ61" i="2"/>
  <c r="AV62" i="2"/>
  <c r="BE62" i="2"/>
  <c r="BI62" i="2"/>
  <c r="BG61" i="2"/>
  <c r="BK61" i="2"/>
  <c r="AM62" i="2"/>
  <c r="AQ62" i="2"/>
  <c r="BF62" i="2"/>
  <c r="BJ62" i="2"/>
  <c r="AN62" i="2"/>
  <c r="BG62" i="2"/>
  <c r="BK62" i="2"/>
  <c r="BI61" i="2"/>
  <c r="AK62" i="2"/>
  <c r="AS62" i="2"/>
  <c r="BH8" i="2"/>
  <c r="BD8" i="2"/>
  <c r="AS8" i="2"/>
  <c r="AO8" i="2"/>
  <c r="AK8" i="2"/>
  <c r="BK8" i="2"/>
  <c r="BG8" i="2"/>
  <c r="AN8" i="2"/>
  <c r="AQ8" i="2"/>
  <c r="AM8" i="2"/>
  <c r="BE8" i="2"/>
  <c r="AV8" i="2"/>
  <c r="BJ8" i="2"/>
  <c r="BF8" i="2"/>
  <c r="BI8" i="2"/>
  <c r="AK46" i="3"/>
  <c r="AL46" i="3"/>
  <c r="AS46" i="3"/>
  <c r="AM46" i="3"/>
  <c r="AN46" i="3"/>
  <c r="AO46" i="3"/>
  <c r="AJ46" i="3"/>
  <c r="AW46" i="3"/>
  <c r="AO42" i="3"/>
  <c r="AN42" i="3"/>
  <c r="AK42" i="3"/>
  <c r="AS42" i="3"/>
  <c r="AL42" i="3"/>
  <c r="AW42" i="3"/>
  <c r="AM42" i="3"/>
  <c r="AJ42" i="3"/>
  <c r="AW6" i="3"/>
  <c r="AS8" i="3"/>
  <c r="AO10" i="3"/>
  <c r="AK12" i="3"/>
  <c r="AM13" i="3"/>
  <c r="AW14" i="3"/>
  <c r="AS16" i="3"/>
  <c r="AS18" i="3"/>
  <c r="AO20" i="3"/>
  <c r="AM23" i="3"/>
  <c r="AW24" i="3"/>
  <c r="AW26" i="3"/>
  <c r="AS30" i="3"/>
  <c r="AO32" i="3"/>
  <c r="AM35" i="3"/>
  <c r="AW36" i="3"/>
  <c r="AW7" i="3"/>
  <c r="AJ11" i="3"/>
  <c r="AS13" i="3"/>
  <c r="AN16" i="3"/>
  <c r="AL20" i="3"/>
  <c r="AW23" i="3"/>
  <c r="AN7" i="3"/>
  <c r="AW9" i="3"/>
  <c r="AJ13" i="3"/>
  <c r="AS15" i="3"/>
  <c r="AM20" i="3"/>
  <c r="AS23" i="3"/>
  <c r="AO29" i="3"/>
  <c r="AJ32" i="3"/>
  <c r="AM36" i="3"/>
  <c r="AJ7" i="3"/>
  <c r="AS9" i="3"/>
  <c r="AN12" i="3"/>
  <c r="AO15" i="3"/>
  <c r="AW19" i="3"/>
  <c r="AO23" i="3"/>
  <c r="AM30" i="3"/>
  <c r="AN33" i="3"/>
  <c r="AN36" i="3"/>
  <c r="AW13" i="3"/>
  <c r="AN29" i="3"/>
  <c r="AO35" i="3"/>
  <c r="AM8" i="3"/>
  <c r="AN30" i="3"/>
  <c r="AL37" i="3"/>
  <c r="AJ9" i="3"/>
  <c r="AN35" i="3"/>
  <c r="AL13" i="3"/>
  <c r="AL31" i="3"/>
  <c r="AJ12" i="3"/>
  <c r="AM24" i="3"/>
  <c r="AO6" i="3"/>
  <c r="AK8" i="3"/>
  <c r="AM9" i="3"/>
  <c r="AW10" i="3"/>
  <c r="AS12" i="3"/>
  <c r="AK16" i="3"/>
  <c r="AK18" i="3"/>
  <c r="AM19" i="3"/>
  <c r="AW20" i="3"/>
  <c r="AO24" i="3"/>
  <c r="AO26" i="3"/>
  <c r="AK30" i="3"/>
  <c r="AM31" i="3"/>
  <c r="AW32" i="3"/>
  <c r="AO36" i="3"/>
  <c r="AJ6" i="3"/>
  <c r="AK9" i="3"/>
  <c r="AL12" i="3"/>
  <c r="AL15" i="3"/>
  <c r="AJ19" i="3"/>
  <c r="AS21" i="3"/>
  <c r="AM26" i="3"/>
  <c r="AK11" i="3"/>
  <c r="AL14" i="3"/>
  <c r="AN18" i="3"/>
  <c r="AO21" i="3"/>
  <c r="AN26" i="3"/>
  <c r="AN31" i="3"/>
  <c r="AO37" i="3"/>
  <c r="AL8" i="3"/>
  <c r="AM14" i="3"/>
  <c r="AJ18" i="3"/>
  <c r="AJ26" i="3"/>
  <c r="AL35" i="3"/>
  <c r="AK23" i="3"/>
  <c r="AS37" i="3"/>
  <c r="AN14" i="3"/>
  <c r="AL29" i="3"/>
  <c r="AN19" i="3"/>
  <c r="AS19" i="3"/>
  <c r="AS6" i="3"/>
  <c r="AK10" i="3"/>
  <c r="AM11" i="3"/>
  <c r="AW12" i="3"/>
  <c r="AS14" i="3"/>
  <c r="AO16" i="3"/>
  <c r="AO18" i="3"/>
  <c r="AK20" i="3"/>
  <c r="AM21" i="3"/>
  <c r="AS24" i="3"/>
  <c r="AS26" i="3"/>
  <c r="AO30" i="3"/>
  <c r="AK32" i="3"/>
  <c r="AM33" i="3"/>
  <c r="AS36" i="3"/>
  <c r="AL7" i="3"/>
  <c r="AM10" i="3"/>
  <c r="AN13" i="3"/>
  <c r="AW15" i="3"/>
  <c r="AO19" i="3"/>
  <c r="AL23" i="3"/>
  <c r="AL6" i="3"/>
  <c r="AL9" i="3"/>
  <c r="AM12" i="3"/>
  <c r="AN15" i="3"/>
  <c r="AK19" i="3"/>
  <c r="AN23" i="3"/>
  <c r="AJ29" i="3"/>
  <c r="AS31" i="3"/>
  <c r="AK35" i="3"/>
  <c r="AM6" i="3"/>
  <c r="AN9" i="3"/>
  <c r="AW11" i="3"/>
  <c r="AJ15" i="3"/>
  <c r="AL19" i="3"/>
  <c r="AK6" i="3"/>
  <c r="AM7" i="3"/>
  <c r="AW8" i="3"/>
  <c r="AS10" i="3"/>
  <c r="AO12" i="3"/>
  <c r="AK14" i="3"/>
  <c r="AM15" i="3"/>
  <c r="AW16" i="3"/>
  <c r="AW18" i="3"/>
  <c r="AS20" i="3"/>
  <c r="AK24" i="3"/>
  <c r="AK26" i="3"/>
  <c r="AM29" i="3"/>
  <c r="AW30" i="3"/>
  <c r="AS32" i="3"/>
  <c r="AK36" i="3"/>
  <c r="AM37" i="3"/>
  <c r="AN8" i="3"/>
  <c r="AO11" i="3"/>
  <c r="AJ14" i="3"/>
  <c r="AM18" i="3"/>
  <c r="AN21" i="3"/>
  <c r="AN24" i="3"/>
  <c r="AS7" i="3"/>
  <c r="AN10" i="3"/>
  <c r="AO13" i="3"/>
  <c r="AJ16" i="3"/>
  <c r="AJ21" i="3"/>
  <c r="AJ24" i="3"/>
  <c r="AL30" i="3"/>
  <c r="AL33" i="3"/>
  <c r="AJ37" i="3"/>
  <c r="AO7" i="3"/>
  <c r="AJ10" i="3"/>
  <c r="AK13" i="3"/>
  <c r="AL16" i="3"/>
  <c r="AN20" i="3"/>
  <c r="AL24" i="3"/>
  <c r="AJ31" i="3"/>
  <c r="AS33" i="3"/>
  <c r="AK37" i="3"/>
  <c r="AJ20" i="3"/>
  <c r="AJ30" i="3"/>
  <c r="AL36" i="3"/>
  <c r="AN11" i="3"/>
  <c r="AK31" i="3"/>
  <c r="AW37" i="3"/>
  <c r="AL18" i="3"/>
  <c r="AK7" i="3"/>
  <c r="AM16" i="3"/>
  <c r="AW31" i="3"/>
  <c r="AK15" i="3"/>
  <c r="AW29" i="3"/>
  <c r="AO14" i="3"/>
  <c r="AJ8" i="3"/>
  <c r="AW33" i="3"/>
  <c r="AL11" i="3"/>
  <c r="AK21" i="3"/>
  <c r="AO31" i="3"/>
  <c r="AN6" i="3"/>
  <c r="AN32" i="3"/>
  <c r="AO33" i="3"/>
  <c r="AL10" i="3"/>
  <c r="AJ35" i="3"/>
  <c r="AJ33" i="3"/>
  <c r="AJ23" i="3"/>
  <c r="AO9" i="3"/>
  <c r="AW21" i="3"/>
  <c r="AM32" i="3"/>
  <c r="AL21" i="3"/>
  <c r="AW35" i="3"/>
  <c r="AK29" i="3"/>
  <c r="AL26" i="3"/>
  <c r="AS35" i="3"/>
  <c r="AS11" i="3"/>
  <c r="AJ36" i="3"/>
  <c r="AO8" i="3"/>
  <c r="AN37" i="3"/>
  <c r="AL32" i="3"/>
  <c r="AK33" i="3"/>
  <c r="AS29" i="3"/>
  <c r="AL17" i="3"/>
  <c r="AS17" i="3"/>
  <c r="AW17" i="3"/>
  <c r="AJ17" i="3"/>
  <c r="AM17" i="3"/>
  <c r="AK17" i="3"/>
  <c r="AN17" i="3"/>
  <c r="AO17" i="3"/>
  <c r="AS28" i="3"/>
  <c r="AO28" i="3"/>
  <c r="AW28" i="3"/>
  <c r="AM28" i="3"/>
  <c r="AK28" i="3"/>
  <c r="AN28" i="3"/>
  <c r="AJ28" i="3"/>
  <c r="AL28" i="3"/>
  <c r="AW22" i="3"/>
  <c r="AL22" i="3"/>
  <c r="AM22" i="3"/>
  <c r="AO22" i="3"/>
  <c r="AS22" i="3"/>
  <c r="AK22" i="3"/>
  <c r="AJ22" i="3"/>
  <c r="AN22" i="3"/>
  <c r="AN25" i="3"/>
  <c r="AW25" i="3"/>
  <c r="AS25" i="3"/>
  <c r="AO25" i="3"/>
  <c r="AJ25" i="3"/>
  <c r="AM25" i="3"/>
  <c r="AK25" i="3"/>
  <c r="AL25" i="3"/>
  <c r="AS34" i="3"/>
  <c r="AJ34" i="3"/>
  <c r="AW34" i="3"/>
  <c r="AM34" i="3"/>
  <c r="AO34" i="3"/>
  <c r="AK34" i="3"/>
  <c r="AN34" i="3"/>
  <c r="AL34" i="3"/>
  <c r="AM27" i="3"/>
  <c r="AK27" i="3"/>
  <c r="AL27" i="3"/>
  <c r="AJ27" i="3"/>
  <c r="AW27" i="3"/>
  <c r="AN27" i="3"/>
  <c r="AO27" i="3"/>
  <c r="AS27" i="3"/>
  <c r="AR47" i="3" l="1"/>
  <c r="AV47" i="3"/>
  <c r="AR41" i="3"/>
  <c r="AV41" i="3"/>
  <c r="AR15" i="3"/>
  <c r="AV15" i="3"/>
  <c r="AR45" i="3"/>
  <c r="AV45" i="3"/>
  <c r="AQ25" i="3"/>
  <c r="AP25" i="3"/>
  <c r="AT25" i="3" s="1"/>
  <c r="AR7" i="3"/>
  <c r="AV7" i="3"/>
  <c r="AP47" i="3"/>
  <c r="AT47" i="3"/>
  <c r="AQ47" i="3"/>
  <c r="AQ39" i="3"/>
  <c r="AP39" i="3"/>
  <c r="AT39" i="3"/>
  <c r="AP48" i="3"/>
  <c r="AT48" i="3"/>
  <c r="AQ48" i="3"/>
  <c r="AR48" i="3"/>
  <c r="AV48" i="3"/>
  <c r="AP46" i="3"/>
  <c r="AT46" i="3"/>
  <c r="AQ46" i="3"/>
  <c r="AR46" i="3"/>
  <c r="AV46" i="3"/>
  <c r="AQ45" i="3"/>
  <c r="AT45" i="3"/>
  <c r="AP45" i="3"/>
  <c r="AV43" i="3"/>
  <c r="AR43" i="3"/>
  <c r="AQ41" i="3"/>
  <c r="AT41" i="3"/>
  <c r="AP41" i="3"/>
  <c r="AR39" i="3"/>
  <c r="AV39" i="3"/>
  <c r="AQ33" i="3"/>
  <c r="AT33" i="3"/>
  <c r="AP33" i="3"/>
  <c r="AR31" i="3"/>
  <c r="AV31" i="3"/>
  <c r="AQ17" i="3"/>
  <c r="AP17" i="3"/>
  <c r="AT17" i="3"/>
  <c r="AQ43" i="3"/>
  <c r="AT43" i="3"/>
  <c r="AP43" i="3"/>
  <c r="AQ35" i="3"/>
  <c r="AP35" i="3"/>
  <c r="AT35" i="3"/>
  <c r="AR33" i="3"/>
  <c r="AV33" i="3"/>
  <c r="AR23" i="3"/>
  <c r="AV23" i="3"/>
  <c r="AQ9" i="3"/>
  <c r="AP9" i="3"/>
  <c r="AT9" i="3"/>
  <c r="AV37" i="3"/>
  <c r="AR37" i="3"/>
  <c r="AQ31" i="3"/>
  <c r="AP31" i="3"/>
  <c r="AT31" i="3" s="1"/>
  <c r="AV29" i="3"/>
  <c r="AR29" i="3"/>
  <c r="AQ23" i="3"/>
  <c r="AP23" i="3"/>
  <c r="AT23" i="3" s="1"/>
  <c r="AV21" i="3"/>
  <c r="AR21" i="3"/>
  <c r="AQ15" i="3"/>
  <c r="AP15" i="3"/>
  <c r="AT15" i="3" s="1"/>
  <c r="AV13" i="3"/>
  <c r="AR13" i="3"/>
  <c r="AQ7" i="3"/>
  <c r="AT7" i="3"/>
  <c r="AP7" i="3"/>
  <c r="AQ44" i="3"/>
  <c r="AP44" i="3"/>
  <c r="AT44" i="3"/>
  <c r="AV44" i="3"/>
  <c r="AR44" i="3"/>
  <c r="AP42" i="3"/>
  <c r="AT42" i="3" s="1"/>
  <c r="AQ42" i="3"/>
  <c r="AV42" i="3"/>
  <c r="AR42" i="3"/>
  <c r="AP40" i="3"/>
  <c r="AT40" i="3"/>
  <c r="AQ40" i="3"/>
  <c r="AR40" i="3"/>
  <c r="AV40" i="3"/>
  <c r="AP38" i="3"/>
  <c r="AT38" i="3"/>
  <c r="AQ38" i="3"/>
  <c r="AV38" i="3"/>
  <c r="AR38" i="3"/>
  <c r="AQ37" i="3"/>
  <c r="AP37" i="3"/>
  <c r="AT37" i="3" s="1"/>
  <c r="AV35" i="3"/>
  <c r="AR35" i="3"/>
  <c r="AQ29" i="3"/>
  <c r="AP29" i="3"/>
  <c r="AT29" i="3" s="1"/>
  <c r="AV27" i="3"/>
  <c r="AR27" i="3"/>
  <c r="AQ21" i="3"/>
  <c r="AP21" i="3"/>
  <c r="AT21" i="3" s="1"/>
  <c r="AV19" i="3"/>
  <c r="AR19" i="3"/>
  <c r="AQ13" i="3"/>
  <c r="AT13" i="3"/>
  <c r="AP13" i="3"/>
  <c r="AV11" i="3"/>
  <c r="AR11" i="3"/>
  <c r="AQ27" i="3"/>
  <c r="AP27" i="3"/>
  <c r="AT27" i="3" s="1"/>
  <c r="AV25" i="3"/>
  <c r="AR25" i="3"/>
  <c r="AQ19" i="3"/>
  <c r="AT19" i="3"/>
  <c r="AP19" i="3"/>
  <c r="AV17" i="3"/>
  <c r="AR17" i="3"/>
  <c r="AQ11" i="3"/>
  <c r="AP11" i="3"/>
  <c r="AT11" i="3" s="1"/>
  <c r="AV9" i="3"/>
  <c r="AR9" i="3"/>
  <c r="AP36" i="3"/>
  <c r="AT36" i="3" s="1"/>
  <c r="AQ36" i="3"/>
  <c r="AR36" i="3"/>
  <c r="AV36" i="3"/>
  <c r="AP34" i="3"/>
  <c r="AT34" i="3" s="1"/>
  <c r="AQ34" i="3"/>
  <c r="AR34" i="3"/>
  <c r="AV34" i="3"/>
  <c r="AP32" i="3"/>
  <c r="AT32" i="3" s="1"/>
  <c r="AQ32" i="3"/>
  <c r="AV32" i="3"/>
  <c r="AR32" i="3"/>
  <c r="AQ30" i="3"/>
  <c r="AT30" i="3"/>
  <c r="AP30" i="3"/>
  <c r="AV30" i="3"/>
  <c r="AR30" i="3"/>
  <c r="AQ28" i="3"/>
  <c r="AP28" i="3"/>
  <c r="AT28" i="3" s="1"/>
  <c r="AR28" i="3"/>
  <c r="AV28" i="3"/>
  <c r="AT26" i="3"/>
  <c r="AP26" i="3"/>
  <c r="AQ26" i="3"/>
  <c r="AR26" i="3"/>
  <c r="AV26" i="3"/>
  <c r="AP24" i="3"/>
  <c r="AT24" i="3" s="1"/>
  <c r="AQ24" i="3"/>
  <c r="AV24" i="3"/>
  <c r="AR24" i="3"/>
  <c r="AP22" i="3"/>
  <c r="AT22" i="3" s="1"/>
  <c r="AQ22" i="3"/>
  <c r="AV22" i="3"/>
  <c r="AR22" i="3"/>
  <c r="AQ20" i="3"/>
  <c r="AT20" i="3"/>
  <c r="AP20" i="3"/>
  <c r="AV20" i="3"/>
  <c r="AR20" i="3"/>
  <c r="AT18" i="3"/>
  <c r="AP18" i="3"/>
  <c r="AQ18" i="3"/>
  <c r="AR18" i="3"/>
  <c r="AV18" i="3"/>
  <c r="AT16" i="3"/>
  <c r="AP16" i="3"/>
  <c r="AQ16" i="3"/>
  <c r="AV16" i="3"/>
  <c r="AR16" i="3"/>
  <c r="AP14" i="3"/>
  <c r="AQ14" i="3"/>
  <c r="AT14" i="3"/>
  <c r="AV14" i="3"/>
  <c r="AR14" i="3"/>
  <c r="AQ12" i="3"/>
  <c r="AT12" i="3"/>
  <c r="AP12" i="3"/>
  <c r="AV12" i="3"/>
  <c r="AR12" i="3"/>
  <c r="AT10" i="3"/>
  <c r="AP10" i="3"/>
  <c r="AQ10" i="3"/>
  <c r="AR10" i="3"/>
  <c r="AV10" i="3"/>
  <c r="AT8" i="3"/>
  <c r="AP8" i="3"/>
  <c r="AQ8" i="3"/>
  <c r="AV8" i="3"/>
  <c r="AR8" i="3"/>
  <c r="AP6" i="3"/>
  <c r="AT6" i="3" s="1"/>
  <c r="AQ6" i="3"/>
  <c r="AV6" i="3"/>
  <c r="AR6" i="3"/>
  <c r="AL62" i="2"/>
  <c r="BX62" i="2"/>
  <c r="BY62" i="2" s="1"/>
  <c r="BV62" i="2"/>
  <c r="BW62" i="2" s="1"/>
  <c r="BQ62" i="2"/>
  <c r="BR62" i="2"/>
  <c r="BS62" i="2"/>
  <c r="BO62" i="2"/>
  <c r="AR62" i="2"/>
  <c r="BL62" i="2" s="1"/>
  <c r="BX61" i="2"/>
  <c r="BY61" i="2" s="1"/>
  <c r="BV61" i="2"/>
  <c r="BW61" i="2" s="1"/>
  <c r="BP62" i="2"/>
  <c r="BR61" i="2"/>
  <c r="BS61" i="2"/>
  <c r="BQ61" i="2"/>
  <c r="BP61" i="2"/>
  <c r="AP62" i="2"/>
  <c r="BR60" i="2"/>
  <c r="BQ60" i="2"/>
  <c r="BS60" i="2"/>
  <c r="BT62" i="2"/>
  <c r="BU62" i="2" s="1"/>
  <c r="BT61" i="2"/>
  <c r="BU61" i="2" s="1"/>
  <c r="BT60" i="2"/>
  <c r="BU60" i="2" s="1"/>
  <c r="AP60" i="2"/>
  <c r="AL60" i="2"/>
  <c r="BP59" i="2"/>
  <c r="BQ58" i="2"/>
  <c r="BR58" i="2"/>
  <c r="BS58" i="2"/>
  <c r="BO58" i="2"/>
  <c r="AR58" i="2"/>
  <c r="BL58" i="2" s="1"/>
  <c r="BX57" i="2"/>
  <c r="BY57" i="2" s="1"/>
  <c r="BV57" i="2"/>
  <c r="BW57" i="2" s="1"/>
  <c r="BT56" i="2"/>
  <c r="BU56" i="2" s="1"/>
  <c r="AP56" i="2"/>
  <c r="AL56" i="2"/>
  <c r="BP55" i="2"/>
  <c r="BQ54" i="2"/>
  <c r="BR54" i="2"/>
  <c r="BS54" i="2"/>
  <c r="BO54" i="2"/>
  <c r="AR54" i="2"/>
  <c r="BL54" i="2" s="1"/>
  <c r="BX53" i="2"/>
  <c r="BY53" i="2" s="1"/>
  <c r="BV53" i="2"/>
  <c r="BW53" i="2" s="1"/>
  <c r="BT52" i="2"/>
  <c r="BU52" i="2" s="1"/>
  <c r="AP52" i="2"/>
  <c r="AL52" i="2"/>
  <c r="BP51" i="2"/>
  <c r="BQ50" i="2"/>
  <c r="BR50" i="2"/>
  <c r="BS50" i="2"/>
  <c r="BO50" i="2"/>
  <c r="AR50" i="2"/>
  <c r="BL50" i="2" s="1"/>
  <c r="BX49" i="2"/>
  <c r="BY49" i="2" s="1"/>
  <c r="BV49" i="2"/>
  <c r="BW49" i="2" s="1"/>
  <c r="BT48" i="2"/>
  <c r="BU48" i="2" s="1"/>
  <c r="AP48" i="2"/>
  <c r="AL48" i="2"/>
  <c r="BP47" i="2"/>
  <c r="BQ46" i="2"/>
  <c r="BR46" i="2"/>
  <c r="BS46" i="2"/>
  <c r="BO46" i="2"/>
  <c r="AR46" i="2"/>
  <c r="BL46" i="2" s="1"/>
  <c r="BX45" i="2"/>
  <c r="BY45" i="2" s="1"/>
  <c r="BV45" i="2"/>
  <c r="BW45" i="2" s="1"/>
  <c r="BT44" i="2"/>
  <c r="BU44" i="2" s="1"/>
  <c r="AP44" i="2"/>
  <c r="AL44" i="2"/>
  <c r="BV43" i="2"/>
  <c r="BW43" i="2" s="1"/>
  <c r="BO43" i="2"/>
  <c r="AL43" i="2"/>
  <c r="BP41" i="2"/>
  <c r="AL41" i="2"/>
  <c r="BO61" i="2"/>
  <c r="AR61" i="2"/>
  <c r="BL61" i="2" s="1"/>
  <c r="BX60" i="2"/>
  <c r="BY60" i="2" s="1"/>
  <c r="BV60" i="2"/>
  <c r="BW60" i="2" s="1"/>
  <c r="BT59" i="2"/>
  <c r="BU59" i="2" s="1"/>
  <c r="AP59" i="2"/>
  <c r="AL59" i="2"/>
  <c r="BP58" i="2"/>
  <c r="BQ57" i="2"/>
  <c r="BR57" i="2"/>
  <c r="BS57" i="2"/>
  <c r="BO57" i="2"/>
  <c r="AR57" i="2"/>
  <c r="BL57" i="2" s="1"/>
  <c r="BX56" i="2"/>
  <c r="BY56" i="2" s="1"/>
  <c r="BV56" i="2"/>
  <c r="BW56" i="2" s="1"/>
  <c r="BT55" i="2"/>
  <c r="BU55" i="2" s="1"/>
  <c r="AP55" i="2"/>
  <c r="AL55" i="2"/>
  <c r="BP54" i="2"/>
  <c r="BQ53" i="2"/>
  <c r="BR53" i="2"/>
  <c r="BS53" i="2"/>
  <c r="BO53" i="2"/>
  <c r="AR53" i="2"/>
  <c r="BL53" i="2" s="1"/>
  <c r="BX52" i="2"/>
  <c r="BY52" i="2" s="1"/>
  <c r="BV52" i="2"/>
  <c r="BW52" i="2" s="1"/>
  <c r="BT51" i="2"/>
  <c r="BU51" i="2" s="1"/>
  <c r="AP51" i="2"/>
  <c r="AL51" i="2"/>
  <c r="BP50" i="2"/>
  <c r="BQ49" i="2"/>
  <c r="BR49" i="2"/>
  <c r="BS49" i="2"/>
  <c r="BO49" i="2"/>
  <c r="AR49" i="2"/>
  <c r="BL49" i="2" s="1"/>
  <c r="BX48" i="2"/>
  <c r="BY48" i="2" s="1"/>
  <c r="BV48" i="2"/>
  <c r="BW48" i="2" s="1"/>
  <c r="BT47" i="2"/>
  <c r="BU47" i="2" s="1"/>
  <c r="AP47" i="2"/>
  <c r="AL47" i="2"/>
  <c r="BP46" i="2"/>
  <c r="BQ45" i="2"/>
  <c r="BR45" i="2"/>
  <c r="BS45" i="2"/>
  <c r="BO45" i="2"/>
  <c r="AR45" i="2"/>
  <c r="BL45" i="2" s="1"/>
  <c r="BX44" i="2"/>
  <c r="BY44" i="2" s="1"/>
  <c r="BV44" i="2"/>
  <c r="BW44" i="2" s="1"/>
  <c r="BX43" i="2"/>
  <c r="BY43" i="2" s="1"/>
  <c r="BS43" i="2"/>
  <c r="BQ43" i="2"/>
  <c r="BR43" i="2"/>
  <c r="AP43" i="2"/>
  <c r="BT42" i="2"/>
  <c r="BU42" i="2" s="1"/>
  <c r="AL42" i="2"/>
  <c r="BQ40" i="2"/>
  <c r="BS40" i="2"/>
  <c r="BR40" i="2"/>
  <c r="BP40" i="2"/>
  <c r="BO39" i="2"/>
  <c r="BO60" i="2"/>
  <c r="AR60" i="2"/>
  <c r="BL60" i="2" s="1"/>
  <c r="BX59" i="2"/>
  <c r="BY59" i="2" s="1"/>
  <c r="BV59" i="2"/>
  <c r="BW59" i="2" s="1"/>
  <c r="BT58" i="2"/>
  <c r="BU58" i="2" s="1"/>
  <c r="AP58" i="2"/>
  <c r="AL58" i="2"/>
  <c r="BP57" i="2"/>
  <c r="BR56" i="2"/>
  <c r="BS56" i="2"/>
  <c r="BQ56" i="2"/>
  <c r="BO56" i="2"/>
  <c r="AR56" i="2"/>
  <c r="BL56" i="2" s="1"/>
  <c r="BX55" i="2"/>
  <c r="BY55" i="2" s="1"/>
  <c r="BV55" i="2"/>
  <c r="BW55" i="2" s="1"/>
  <c r="BT54" i="2"/>
  <c r="BU54" i="2" s="1"/>
  <c r="AP54" i="2"/>
  <c r="AL54" i="2"/>
  <c r="BP53" i="2"/>
  <c r="BR52" i="2"/>
  <c r="BS52" i="2"/>
  <c r="BQ52" i="2"/>
  <c r="BO52" i="2"/>
  <c r="AR52" i="2"/>
  <c r="BL52" i="2" s="1"/>
  <c r="BX51" i="2"/>
  <c r="BY51" i="2" s="1"/>
  <c r="BV51" i="2"/>
  <c r="BW51" i="2" s="1"/>
  <c r="BT50" i="2"/>
  <c r="BU50" i="2" s="1"/>
  <c r="AP50" i="2"/>
  <c r="AL50" i="2"/>
  <c r="BP49" i="2"/>
  <c r="BR48" i="2"/>
  <c r="BS48" i="2"/>
  <c r="BQ48" i="2"/>
  <c r="BO48" i="2"/>
  <c r="AR48" i="2"/>
  <c r="BL48" i="2" s="1"/>
  <c r="BX47" i="2"/>
  <c r="BY47" i="2" s="1"/>
  <c r="BV47" i="2"/>
  <c r="BW47" i="2" s="1"/>
  <c r="BT46" i="2"/>
  <c r="BU46" i="2" s="1"/>
  <c r="AP46" i="2"/>
  <c r="AL46" i="2"/>
  <c r="BP45" i="2"/>
  <c r="BR44" i="2"/>
  <c r="BS44" i="2"/>
  <c r="BQ44" i="2"/>
  <c r="BO44" i="2"/>
  <c r="AR44" i="2"/>
  <c r="BL44" i="2" s="1"/>
  <c r="BV42" i="2"/>
  <c r="BW42" i="2" s="1"/>
  <c r="AP42" i="2"/>
  <c r="AP41" i="2"/>
  <c r="BQ39" i="2"/>
  <c r="BR39" i="2"/>
  <c r="BS39" i="2"/>
  <c r="AR39" i="2"/>
  <c r="BL39" i="2" s="1"/>
  <c r="BX38" i="2"/>
  <c r="BY38" i="2" s="1"/>
  <c r="AP61" i="2"/>
  <c r="AL61" i="2"/>
  <c r="BP60" i="2"/>
  <c r="BS59" i="2"/>
  <c r="BQ59" i="2"/>
  <c r="BR59" i="2"/>
  <c r="BO59" i="2"/>
  <c r="AR59" i="2"/>
  <c r="BL59" i="2" s="1"/>
  <c r="BX58" i="2"/>
  <c r="BY58" i="2" s="1"/>
  <c r="BV58" i="2"/>
  <c r="BW58" i="2" s="1"/>
  <c r="BT57" i="2"/>
  <c r="BU57" i="2" s="1"/>
  <c r="AP57" i="2"/>
  <c r="AL57" i="2"/>
  <c r="BP56" i="2"/>
  <c r="BS55" i="2"/>
  <c r="BQ55" i="2"/>
  <c r="BR55" i="2"/>
  <c r="BO55" i="2"/>
  <c r="AR55" i="2"/>
  <c r="BL55" i="2" s="1"/>
  <c r="BX54" i="2"/>
  <c r="BY54" i="2" s="1"/>
  <c r="BV54" i="2"/>
  <c r="BW54" i="2" s="1"/>
  <c r="BT53" i="2"/>
  <c r="BU53" i="2" s="1"/>
  <c r="AP53" i="2"/>
  <c r="AL53" i="2"/>
  <c r="BP52" i="2"/>
  <c r="BS51" i="2"/>
  <c r="BQ51" i="2"/>
  <c r="BR51" i="2"/>
  <c r="BO51" i="2"/>
  <c r="AR51" i="2"/>
  <c r="BL51" i="2" s="1"/>
  <c r="BX50" i="2"/>
  <c r="BY50" i="2" s="1"/>
  <c r="BV50" i="2"/>
  <c r="BW50" i="2" s="1"/>
  <c r="BT49" i="2"/>
  <c r="BU49" i="2" s="1"/>
  <c r="AP49" i="2"/>
  <c r="AL49" i="2"/>
  <c r="BP48" i="2"/>
  <c r="BS47" i="2"/>
  <c r="BQ47" i="2"/>
  <c r="BR47" i="2"/>
  <c r="BO47" i="2"/>
  <c r="AR47" i="2"/>
  <c r="BL47" i="2" s="1"/>
  <c r="BX46" i="2"/>
  <c r="BY46" i="2" s="1"/>
  <c r="BV46" i="2"/>
  <c r="BW46" i="2" s="1"/>
  <c r="BT45" i="2"/>
  <c r="BU45" i="2" s="1"/>
  <c r="AP45" i="2"/>
  <c r="AL45" i="2"/>
  <c r="BP44" i="2"/>
  <c r="BT43" i="2"/>
  <c r="BU43" i="2" s="1"/>
  <c r="AR43" i="2"/>
  <c r="BL43" i="2" s="1"/>
  <c r="BX42" i="2"/>
  <c r="BY42" i="2" s="1"/>
  <c r="BP42" i="2"/>
  <c r="BT41" i="2"/>
  <c r="BU41" i="2" s="1"/>
  <c r="BV38" i="2"/>
  <c r="BW38" i="2" s="1"/>
  <c r="BP43" i="2"/>
  <c r="BS42" i="2"/>
  <c r="BQ42" i="2"/>
  <c r="BR42" i="2"/>
  <c r="BO42" i="2"/>
  <c r="AR42" i="2"/>
  <c r="BL42" i="2" s="1"/>
  <c r="BX41" i="2"/>
  <c r="BY41" i="2" s="1"/>
  <c r="BV41" i="2"/>
  <c r="BW41" i="2" s="1"/>
  <c r="BT40" i="2"/>
  <c r="BU40" i="2" s="1"/>
  <c r="AP40" i="2"/>
  <c r="AL40" i="2"/>
  <c r="BP39" i="2"/>
  <c r="BQ38" i="2"/>
  <c r="BR38" i="2"/>
  <c r="BS38" i="2"/>
  <c r="BO38" i="2"/>
  <c r="AR38" i="2"/>
  <c r="BL38" i="2" s="1"/>
  <c r="BX37" i="2"/>
  <c r="BY37" i="2" s="1"/>
  <c r="BV37" i="2"/>
  <c r="BW37" i="2" s="1"/>
  <c r="AL37" i="2"/>
  <c r="AR36" i="2"/>
  <c r="BL36" i="2" s="1"/>
  <c r="BX35" i="2"/>
  <c r="BY35" i="2" s="1"/>
  <c r="BQ35" i="2"/>
  <c r="BS35" i="2"/>
  <c r="BR35" i="2"/>
  <c r="BP35" i="2"/>
  <c r="BT32" i="2"/>
  <c r="BU32" i="2" s="1"/>
  <c r="BQ30" i="2"/>
  <c r="BR30" i="2"/>
  <c r="BS30" i="2"/>
  <c r="AR30" i="2"/>
  <c r="BL30" i="2" s="1"/>
  <c r="BX29" i="2"/>
  <c r="BY29" i="2" s="1"/>
  <c r="AL28" i="2"/>
  <c r="BT22" i="2"/>
  <c r="BU22" i="2" s="1"/>
  <c r="BS41" i="2"/>
  <c r="BQ41" i="2"/>
  <c r="BR41" i="2"/>
  <c r="BO41" i="2"/>
  <c r="AR41" i="2"/>
  <c r="BL41" i="2" s="1"/>
  <c r="BX40" i="2"/>
  <c r="BY40" i="2" s="1"/>
  <c r="BV40" i="2"/>
  <c r="BW40" i="2" s="1"/>
  <c r="BT39" i="2"/>
  <c r="BU39" i="2" s="1"/>
  <c r="AP39" i="2"/>
  <c r="AL39" i="2"/>
  <c r="BP38" i="2"/>
  <c r="BQ37" i="2"/>
  <c r="BR37" i="2"/>
  <c r="BS37" i="2"/>
  <c r="AP37" i="2"/>
  <c r="BT36" i="2"/>
  <c r="BU36" i="2" s="1"/>
  <c r="BO36" i="2"/>
  <c r="BO34" i="2"/>
  <c r="AP32" i="2"/>
  <c r="BV29" i="2"/>
  <c r="BW29" i="2" s="1"/>
  <c r="BP27" i="2"/>
  <c r="BS26" i="2"/>
  <c r="BQ26" i="2"/>
  <c r="BR26" i="2"/>
  <c r="BV23" i="2"/>
  <c r="BW23" i="2" s="1"/>
  <c r="BO40" i="2"/>
  <c r="AR40" i="2"/>
  <c r="BL40" i="2" s="1"/>
  <c r="BX39" i="2"/>
  <c r="BY39" i="2" s="1"/>
  <c r="BV39" i="2"/>
  <c r="BW39" i="2" s="1"/>
  <c r="BT38" i="2"/>
  <c r="BU38" i="2" s="1"/>
  <c r="AP38" i="2"/>
  <c r="AL38" i="2"/>
  <c r="BP37" i="2"/>
  <c r="BQ36" i="2"/>
  <c r="BR36" i="2"/>
  <c r="BS36" i="2"/>
  <c r="AL36" i="2"/>
  <c r="BR34" i="2"/>
  <c r="BQ34" i="2"/>
  <c r="BS34" i="2"/>
  <c r="AR34" i="2"/>
  <c r="BL34" i="2" s="1"/>
  <c r="BX33" i="2"/>
  <c r="BY33" i="2" s="1"/>
  <c r="AL32" i="2"/>
  <c r="BT28" i="2"/>
  <c r="BU28" i="2" s="1"/>
  <c r="AR20" i="2"/>
  <c r="BL20" i="2" s="1"/>
  <c r="BT37" i="2"/>
  <c r="BU37" i="2" s="1"/>
  <c r="BP36" i="2"/>
  <c r="AP36" i="2"/>
  <c r="BV35" i="2"/>
  <c r="BW35" i="2" s="1"/>
  <c r="BV33" i="2"/>
  <c r="BW33" i="2" s="1"/>
  <c r="BP31" i="2"/>
  <c r="BO30" i="2"/>
  <c r="AP28" i="2"/>
  <c r="BQ20" i="2"/>
  <c r="BR20" i="2"/>
  <c r="BS20" i="2"/>
  <c r="BX19" i="2"/>
  <c r="BY19" i="2" s="1"/>
  <c r="AL17" i="2"/>
  <c r="BO37" i="2"/>
  <c r="AR37" i="2"/>
  <c r="BL37" i="2" s="1"/>
  <c r="BX36" i="2"/>
  <c r="BY36" i="2" s="1"/>
  <c r="BV36" i="2"/>
  <c r="BW36" i="2" s="1"/>
  <c r="BT35" i="2"/>
  <c r="BU35" i="2" s="1"/>
  <c r="AP35" i="2"/>
  <c r="AL35" i="2"/>
  <c r="BP34" i="2"/>
  <c r="BQ33" i="2"/>
  <c r="BR33" i="2"/>
  <c r="BS33" i="2"/>
  <c r="BO33" i="2"/>
  <c r="AR33" i="2"/>
  <c r="BL33" i="2" s="1"/>
  <c r="BX32" i="2"/>
  <c r="BY32" i="2" s="1"/>
  <c r="BV32" i="2"/>
  <c r="BW32" i="2" s="1"/>
  <c r="BT31" i="2"/>
  <c r="BU31" i="2" s="1"/>
  <c r="AP31" i="2"/>
  <c r="AL31" i="2"/>
  <c r="BP30" i="2"/>
  <c r="BQ29" i="2"/>
  <c r="BR29" i="2"/>
  <c r="BS29" i="2"/>
  <c r="BO29" i="2"/>
  <c r="AR29" i="2"/>
  <c r="BL29" i="2" s="1"/>
  <c r="BX28" i="2"/>
  <c r="BY28" i="2" s="1"/>
  <c r="BV28" i="2"/>
  <c r="BW28" i="2" s="1"/>
  <c r="BT27" i="2"/>
  <c r="BU27" i="2" s="1"/>
  <c r="BP26" i="2"/>
  <c r="AL26" i="2"/>
  <c r="AP22" i="2"/>
  <c r="BQ19" i="2"/>
  <c r="BR19" i="2"/>
  <c r="BS19" i="2"/>
  <c r="AR15" i="2"/>
  <c r="BL15" i="2" s="1"/>
  <c r="BT34" i="2"/>
  <c r="BU34" i="2" s="1"/>
  <c r="AP34" i="2"/>
  <c r="AL34" i="2"/>
  <c r="BP33" i="2"/>
  <c r="BR32" i="2"/>
  <c r="BS32" i="2"/>
  <c r="BQ32" i="2"/>
  <c r="BO32" i="2"/>
  <c r="AR32" i="2"/>
  <c r="BL32" i="2" s="1"/>
  <c r="BX31" i="2"/>
  <c r="BY31" i="2" s="1"/>
  <c r="BV31" i="2"/>
  <c r="BW31" i="2" s="1"/>
  <c r="BT30" i="2"/>
  <c r="BU30" i="2" s="1"/>
  <c r="AP30" i="2"/>
  <c r="AL30" i="2"/>
  <c r="BP29" i="2"/>
  <c r="BR28" i="2"/>
  <c r="BS28" i="2"/>
  <c r="BQ28" i="2"/>
  <c r="BO28" i="2"/>
  <c r="AR28" i="2"/>
  <c r="BL28" i="2" s="1"/>
  <c r="BX27" i="2"/>
  <c r="BY27" i="2" s="1"/>
  <c r="BV27" i="2"/>
  <c r="BW27" i="2" s="1"/>
  <c r="AL27" i="2"/>
  <c r="BQ25" i="2"/>
  <c r="BR25" i="2"/>
  <c r="BS25" i="2"/>
  <c r="BP25" i="2"/>
  <c r="BO24" i="2"/>
  <c r="AL22" i="2"/>
  <c r="BX14" i="2"/>
  <c r="BY14" i="2" s="1"/>
  <c r="BV10" i="2"/>
  <c r="BW10" i="2" s="1"/>
  <c r="BO35" i="2"/>
  <c r="AR35" i="2"/>
  <c r="BL35" i="2" s="1"/>
  <c r="BX34" i="2"/>
  <c r="BY34" i="2" s="1"/>
  <c r="BV34" i="2"/>
  <c r="BW34" i="2" s="1"/>
  <c r="BT33" i="2"/>
  <c r="BU33" i="2" s="1"/>
  <c r="AP33" i="2"/>
  <c r="AL33" i="2"/>
  <c r="BP32" i="2"/>
  <c r="BS31" i="2"/>
  <c r="BQ31" i="2"/>
  <c r="BR31" i="2"/>
  <c r="BO31" i="2"/>
  <c r="AR31" i="2"/>
  <c r="BL31" i="2" s="1"/>
  <c r="BX30" i="2"/>
  <c r="BY30" i="2" s="1"/>
  <c r="BV30" i="2"/>
  <c r="BW30" i="2" s="1"/>
  <c r="BT29" i="2"/>
  <c r="BU29" i="2" s="1"/>
  <c r="AP29" i="2"/>
  <c r="AL29" i="2"/>
  <c r="BP28" i="2"/>
  <c r="BS27" i="2"/>
  <c r="BQ27" i="2"/>
  <c r="BR27" i="2"/>
  <c r="AP27" i="2"/>
  <c r="BT26" i="2"/>
  <c r="BU26" i="2" s="1"/>
  <c r="AP26" i="2"/>
  <c r="BQ24" i="2"/>
  <c r="BR24" i="2"/>
  <c r="BS24" i="2"/>
  <c r="AR24" i="2"/>
  <c r="BL24" i="2" s="1"/>
  <c r="BX23" i="2"/>
  <c r="BY23" i="2" s="1"/>
  <c r="BP21" i="2"/>
  <c r="BO20" i="2"/>
  <c r="BT17" i="2"/>
  <c r="BU17" i="2" s="1"/>
  <c r="BQ11" i="2"/>
  <c r="BR11" i="2"/>
  <c r="BS11" i="2"/>
  <c r="BO27" i="2"/>
  <c r="AR27" i="2"/>
  <c r="BL27" i="2" s="1"/>
  <c r="BX26" i="2"/>
  <c r="BY26" i="2" s="1"/>
  <c r="BV26" i="2"/>
  <c r="BW26" i="2" s="1"/>
  <c r="BT25" i="2"/>
  <c r="BU25" i="2" s="1"/>
  <c r="AP25" i="2"/>
  <c r="AL25" i="2"/>
  <c r="BP24" i="2"/>
  <c r="BQ23" i="2"/>
  <c r="BR23" i="2"/>
  <c r="BS23" i="2"/>
  <c r="BO23" i="2"/>
  <c r="AR23" i="2"/>
  <c r="BL23" i="2" s="1"/>
  <c r="BX22" i="2"/>
  <c r="BY22" i="2" s="1"/>
  <c r="BV22" i="2"/>
  <c r="BW22" i="2" s="1"/>
  <c r="BT21" i="2"/>
  <c r="BU21" i="2" s="1"/>
  <c r="AP21" i="2"/>
  <c r="AL21" i="2"/>
  <c r="BP20" i="2"/>
  <c r="BP19" i="2"/>
  <c r="BO19" i="2"/>
  <c r="BP16" i="2"/>
  <c r="BV14" i="2"/>
  <c r="BW14" i="2" s="1"/>
  <c r="BO26" i="2"/>
  <c r="AR26" i="2"/>
  <c r="BL26" i="2" s="1"/>
  <c r="BX25" i="2"/>
  <c r="BY25" i="2" s="1"/>
  <c r="BV25" i="2"/>
  <c r="BW25" i="2" s="1"/>
  <c r="BT24" i="2"/>
  <c r="BU24" i="2" s="1"/>
  <c r="AP24" i="2"/>
  <c r="AL24" i="2"/>
  <c r="BP23" i="2"/>
  <c r="BR22" i="2"/>
  <c r="BS22" i="2"/>
  <c r="BQ22" i="2"/>
  <c r="BO22" i="2"/>
  <c r="AR22" i="2"/>
  <c r="BL22" i="2" s="1"/>
  <c r="BX21" i="2"/>
  <c r="BY21" i="2" s="1"/>
  <c r="BV21" i="2"/>
  <c r="BW21" i="2" s="1"/>
  <c r="BT20" i="2"/>
  <c r="BU20" i="2" s="1"/>
  <c r="AP20" i="2"/>
  <c r="AL20" i="2"/>
  <c r="AR19" i="2"/>
  <c r="BL19" i="2" s="1"/>
  <c r="BX18" i="2"/>
  <c r="BY18" i="2" s="1"/>
  <c r="BQ15" i="2"/>
  <c r="BR15" i="2"/>
  <c r="BS15" i="2"/>
  <c r="BT13" i="2"/>
  <c r="BU13" i="2" s="1"/>
  <c r="AP13" i="2"/>
  <c r="BO11" i="2"/>
  <c r="BO25" i="2"/>
  <c r="AR25" i="2"/>
  <c r="BL25" i="2" s="1"/>
  <c r="BX24" i="2"/>
  <c r="BY24" i="2" s="1"/>
  <c r="BV24" i="2"/>
  <c r="BW24" i="2" s="1"/>
  <c r="BT23" i="2"/>
  <c r="BU23" i="2" s="1"/>
  <c r="AP23" i="2"/>
  <c r="AL23" i="2"/>
  <c r="BP22" i="2"/>
  <c r="BS21" i="2"/>
  <c r="BQ21" i="2"/>
  <c r="BR21" i="2"/>
  <c r="BO21" i="2"/>
  <c r="AR21" i="2"/>
  <c r="BL21" i="2" s="1"/>
  <c r="BX20" i="2"/>
  <c r="BY20" i="2" s="1"/>
  <c r="BV20" i="2"/>
  <c r="BW20" i="2" s="1"/>
  <c r="BT19" i="2"/>
  <c r="BU19" i="2" s="1"/>
  <c r="BV18" i="2"/>
  <c r="BW18" i="2" s="1"/>
  <c r="AP17" i="2"/>
  <c r="BO15" i="2"/>
  <c r="AL13" i="2"/>
  <c r="BP12" i="2"/>
  <c r="AR11" i="2"/>
  <c r="BL11" i="2" s="1"/>
  <c r="BX10" i="2"/>
  <c r="BY10" i="2" s="1"/>
  <c r="BQ18" i="2"/>
  <c r="BR18" i="2"/>
  <c r="BS18" i="2"/>
  <c r="BO18" i="2"/>
  <c r="AR18" i="2"/>
  <c r="BL18" i="2" s="1"/>
  <c r="BX17" i="2"/>
  <c r="BY17" i="2" s="1"/>
  <c r="BV17" i="2"/>
  <c r="BW17" i="2" s="1"/>
  <c r="BT16" i="2"/>
  <c r="BU16" i="2" s="1"/>
  <c r="AP16" i="2"/>
  <c r="AL16" i="2"/>
  <c r="BP15" i="2"/>
  <c r="BQ14" i="2"/>
  <c r="BR14" i="2"/>
  <c r="BS14" i="2"/>
  <c r="BO14" i="2"/>
  <c r="AR14" i="2"/>
  <c r="BL14" i="2" s="1"/>
  <c r="BX13" i="2"/>
  <c r="BY13" i="2" s="1"/>
  <c r="BV13" i="2"/>
  <c r="BW13" i="2" s="1"/>
  <c r="BT12" i="2"/>
  <c r="BU12" i="2" s="1"/>
  <c r="AP12" i="2"/>
  <c r="AL12" i="2"/>
  <c r="BP11" i="2"/>
  <c r="BQ10" i="2"/>
  <c r="BR10" i="2"/>
  <c r="BS10" i="2"/>
  <c r="BO10" i="2"/>
  <c r="AR10" i="2"/>
  <c r="BL10" i="2" s="1"/>
  <c r="AP19" i="2"/>
  <c r="AL19" i="2"/>
  <c r="BP18" i="2"/>
  <c r="BR17" i="2"/>
  <c r="BS17" i="2"/>
  <c r="BQ17" i="2"/>
  <c r="BO17" i="2"/>
  <c r="AR17" i="2"/>
  <c r="BL17" i="2" s="1"/>
  <c r="BX16" i="2"/>
  <c r="BY16" i="2" s="1"/>
  <c r="BV16" i="2"/>
  <c r="BW16" i="2" s="1"/>
  <c r="BT15" i="2"/>
  <c r="BU15" i="2" s="1"/>
  <c r="AP15" i="2"/>
  <c r="AL15" i="2"/>
  <c r="BP14" i="2"/>
  <c r="BR13" i="2"/>
  <c r="BS13" i="2"/>
  <c r="BQ13" i="2"/>
  <c r="BO13" i="2"/>
  <c r="AR13" i="2"/>
  <c r="BL13" i="2" s="1"/>
  <c r="BX12" i="2"/>
  <c r="BY12" i="2" s="1"/>
  <c r="BV12" i="2"/>
  <c r="BW12" i="2" s="1"/>
  <c r="BT11" i="2"/>
  <c r="BU11" i="2" s="1"/>
  <c r="AP11" i="2"/>
  <c r="AL11" i="2"/>
  <c r="BP10" i="2"/>
  <c r="BV19" i="2"/>
  <c r="BW19" i="2" s="1"/>
  <c r="BT18" i="2"/>
  <c r="BU18" i="2" s="1"/>
  <c r="AP18" i="2"/>
  <c r="AL18" i="2"/>
  <c r="BP17" i="2"/>
  <c r="BS16" i="2"/>
  <c r="BQ16" i="2"/>
  <c r="BR16" i="2"/>
  <c r="BO16" i="2"/>
  <c r="AR16" i="2"/>
  <c r="BL16" i="2" s="1"/>
  <c r="BX15" i="2"/>
  <c r="BY15" i="2" s="1"/>
  <c r="BV15" i="2"/>
  <c r="BW15" i="2" s="1"/>
  <c r="BT14" i="2"/>
  <c r="BU14" i="2" s="1"/>
  <c r="AP14" i="2"/>
  <c r="AL14" i="2"/>
  <c r="BP13" i="2"/>
  <c r="BS12" i="2"/>
  <c r="BQ12" i="2"/>
  <c r="BR12" i="2"/>
  <c r="BO12" i="2"/>
  <c r="AR12" i="2"/>
  <c r="BL12" i="2" s="1"/>
  <c r="BX11" i="2"/>
  <c r="BY11" i="2" s="1"/>
  <c r="BV11" i="2"/>
  <c r="BW11" i="2" s="1"/>
  <c r="BT10" i="2"/>
  <c r="BU10" i="2" s="1"/>
  <c r="AP10" i="2"/>
  <c r="AL10" i="2"/>
  <c r="BQ8" i="2"/>
  <c r="BS8" i="2"/>
  <c r="BR8" i="2"/>
  <c r="BP8" i="2"/>
  <c r="AR8" i="2"/>
  <c r="BL8" i="2" s="1"/>
  <c r="BO8" i="2"/>
  <c r="BV8" i="2"/>
  <c r="BW8" i="2" s="1"/>
  <c r="BX8" i="2"/>
  <c r="BY8" i="2" s="1"/>
  <c r="AL8" i="2"/>
  <c r="AP8" i="2"/>
  <c r="BT8" i="2"/>
  <c r="BU8" i="2" s="1"/>
  <c r="AJ40" i="2"/>
  <c r="AJ28" i="2"/>
  <c r="AJ34" i="2"/>
  <c r="AJ43" i="2"/>
  <c r="AJ58" i="2"/>
  <c r="AJ25" i="2" l="1"/>
  <c r="AJ62" i="2"/>
  <c r="AJ61" i="2"/>
  <c r="AJ60" i="2"/>
  <c r="AJ59" i="2"/>
  <c r="AJ57" i="2"/>
  <c r="AJ56" i="2"/>
  <c r="AJ55" i="2"/>
  <c r="AJ54" i="2"/>
  <c r="AJ53" i="2"/>
  <c r="AJ52" i="2"/>
  <c r="AJ51" i="2"/>
  <c r="AJ50" i="2"/>
  <c r="AJ49" i="2"/>
  <c r="AJ48" i="2"/>
  <c r="AJ47" i="2"/>
  <c r="AJ46" i="2"/>
  <c r="AJ45" i="2"/>
  <c r="AJ44" i="2"/>
  <c r="AJ42" i="2"/>
  <c r="AJ41" i="2"/>
  <c r="AJ39" i="2"/>
  <c r="AJ38" i="2"/>
  <c r="AJ37" i="2"/>
  <c r="AJ36" i="2"/>
  <c r="AJ35" i="2"/>
  <c r="AJ33" i="2"/>
  <c r="AJ32" i="2"/>
  <c r="AJ31" i="2"/>
  <c r="AJ29" i="2"/>
  <c r="AJ27" i="2"/>
  <c r="AJ26" i="2"/>
  <c r="AJ24" i="2"/>
  <c r="AJ23" i="2"/>
  <c r="AJ22" i="2"/>
  <c r="AJ20" i="2"/>
  <c r="AJ19" i="2"/>
  <c r="AJ18" i="2"/>
  <c r="AJ16" i="2"/>
  <c r="AJ15" i="2"/>
  <c r="AJ14" i="2"/>
  <c r="AJ13" i="2"/>
  <c r="AJ12" i="2"/>
  <c r="AJ10" i="2"/>
  <c r="BC9" i="2" a="1"/>
  <c r="BC9" i="2" s="1"/>
  <c r="BB9" i="2" a="1"/>
  <c r="BB9" i="2" s="1"/>
  <c r="BA9" i="2" a="1"/>
  <c r="BA9" i="2" s="1"/>
  <c r="AZ9" i="2" a="1"/>
  <c r="AZ9" i="2" s="1"/>
  <c r="AY9" i="2" a="1"/>
  <c r="AY9" i="2" s="1"/>
  <c r="AX9" i="2" a="1"/>
  <c r="AX9" i="2" s="1"/>
  <c r="AW9" i="2" a="1"/>
  <c r="AW9" i="2" s="1"/>
  <c r="AU9" i="2" a="1"/>
  <c r="AU9" i="2" s="1"/>
  <c r="AT9" i="2"/>
  <c r="AT9" i="2" a="1"/>
  <c r="AJ9" i="2"/>
  <c r="BC7" i="2" a="1"/>
  <c r="BC7" i="2" s="1"/>
  <c r="BB7" i="2" a="1"/>
  <c r="BB7" i="2" s="1"/>
  <c r="BA7" i="2" a="1"/>
  <c r="BA7" i="2" s="1"/>
  <c r="AZ7" i="2" a="1"/>
  <c r="AZ7" i="2" s="1"/>
  <c r="AY7" i="2" a="1"/>
  <c r="AY7" i="2" s="1"/>
  <c r="AX7" i="2" a="1"/>
  <c r="AX7" i="2" s="1"/>
  <c r="AW7" i="2" a="1"/>
  <c r="AW7" i="2" s="1"/>
  <c r="AU7" i="2" a="1"/>
  <c r="AU7" i="2" s="1"/>
  <c r="AT7" i="2" a="1"/>
  <c r="AT7" i="2" s="1"/>
  <c r="AJ7" i="2"/>
  <c r="BC6" i="2" a="1"/>
  <c r="BC6" i="2" s="1"/>
  <c r="BB6" i="2" a="1"/>
  <c r="BB6" i="2" s="1"/>
  <c r="BA6" i="2" a="1"/>
  <c r="BA6" i="2" s="1"/>
  <c r="AZ6" i="2" a="1"/>
  <c r="AZ6" i="2" s="1"/>
  <c r="AY6" i="2" a="1"/>
  <c r="AY6" i="2" s="1"/>
  <c r="AX6" i="2" a="1"/>
  <c r="AX6" i="2" s="1"/>
  <c r="AW6" i="2" a="1"/>
  <c r="AW6" i="2" s="1"/>
  <c r="AU6" i="2" a="1"/>
  <c r="AU6" i="2" s="1"/>
  <c r="AT6" i="2" a="1"/>
  <c r="AT6" i="2" s="1"/>
  <c r="AJ6" i="2"/>
  <c r="Y7" i="1"/>
  <c r="Z26" i="1"/>
  <c r="Y26" i="1"/>
  <c r="Z25" i="1"/>
  <c r="Y25" i="1"/>
  <c r="Z24" i="1"/>
  <c r="Y24" i="1"/>
  <c r="Z23" i="1"/>
  <c r="Y23" i="1"/>
  <c r="Z22" i="1"/>
  <c r="Y22" i="1"/>
  <c r="Z21" i="1"/>
  <c r="Y21" i="1"/>
  <c r="Z20" i="1"/>
  <c r="Y20" i="1"/>
  <c r="Z19" i="1"/>
  <c r="Y19" i="1"/>
  <c r="Z18" i="1"/>
  <c r="Y18" i="1"/>
  <c r="Z17" i="1"/>
  <c r="Y17" i="1"/>
  <c r="Z16" i="1"/>
  <c r="Y16" i="1"/>
  <c r="Z15" i="1"/>
  <c r="Y15" i="1"/>
  <c r="Z14" i="1"/>
  <c r="Y14" i="1"/>
  <c r="Z13" i="1"/>
  <c r="Y13" i="1"/>
  <c r="Z12" i="1"/>
  <c r="Y12" i="1"/>
  <c r="Z11" i="1"/>
  <c r="Y11" i="1"/>
  <c r="Z10" i="1"/>
  <c r="Y10" i="1"/>
  <c r="Z9" i="1"/>
  <c r="Y9" i="1"/>
  <c r="Z8" i="1"/>
  <c r="Y8" i="1"/>
  <c r="Z7" i="1"/>
  <c r="Z6" i="1"/>
  <c r="Y6" i="1"/>
  <c r="Z5" i="1"/>
  <c r="Y5" i="1"/>
  <c r="I90" i="3"/>
  <c r="I79" i="3"/>
  <c r="I89" i="3"/>
  <c r="I84" i="3"/>
  <c r="I85" i="3"/>
  <c r="I83" i="3"/>
  <c r="I80" i="3"/>
  <c r="I78" i="3"/>
  <c r="I87" i="3"/>
  <c r="I86" i="3"/>
  <c r="I82" i="3"/>
  <c r="I81" i="3"/>
  <c r="I88" i="3"/>
  <c r="I70" i="3"/>
  <c r="I59" i="3"/>
  <c r="I68" i="3"/>
  <c r="I61" i="3"/>
  <c r="I60" i="3"/>
  <c r="I67" i="3"/>
  <c r="I69" i="3"/>
  <c r="I75" i="3"/>
  <c r="I66" i="3"/>
  <c r="I71" i="3"/>
  <c r="I77" i="3"/>
  <c r="I64" i="3"/>
  <c r="I73" i="3"/>
  <c r="I62" i="3"/>
  <c r="I72" i="3"/>
  <c r="I58" i="3"/>
  <c r="I76" i="3"/>
  <c r="I74" i="3"/>
  <c r="I65" i="3"/>
  <c r="I63" i="3"/>
  <c r="BK6" i="2"/>
  <c r="AS9" i="2"/>
  <c r="BD6" i="2"/>
  <c r="AV6" i="2"/>
  <c r="AM6" i="2"/>
  <c r="BE6" i="2"/>
  <c r="AS6" i="2"/>
  <c r="BE9" i="2"/>
  <c r="AN9" i="2"/>
  <c r="BI6" i="2"/>
  <c r="BF9" i="2"/>
  <c r="AK6" i="2"/>
  <c r="BK9" i="2"/>
  <c r="BJ9" i="2"/>
  <c r="BJ6" i="2"/>
  <c r="BH9" i="2"/>
  <c r="AQ9" i="2"/>
  <c r="BF6" i="2"/>
  <c r="BD9" i="2"/>
  <c r="AN6" i="2"/>
  <c r="BG9" i="2"/>
  <c r="AO9" i="2"/>
  <c r="BG6" i="2"/>
  <c r="BI9" i="2"/>
  <c r="BH6" i="2"/>
  <c r="AK9" i="2"/>
  <c r="AQ6" i="2"/>
  <c r="AQ7" i="2"/>
  <c r="BH7" i="2"/>
  <c r="AS7" i="2"/>
  <c r="AK7" i="2"/>
  <c r="AO6" i="2"/>
  <c r="AM7" i="2"/>
  <c r="BD7" i="2"/>
  <c r="BJ7" i="2"/>
  <c r="AN7" i="2"/>
  <c r="AM9" i="2"/>
  <c r="BI7" i="2"/>
  <c r="BK7" i="2"/>
  <c r="AV7" i="2"/>
  <c r="AO7" i="2"/>
  <c r="BF7" i="2"/>
  <c r="AV9" i="2"/>
  <c r="BE7" i="2"/>
  <c r="BG7" i="2"/>
  <c r="BR6" i="2" l="1"/>
  <c r="BQ6" i="2"/>
  <c r="BS6" i="2"/>
  <c r="BV6" i="2"/>
  <c r="BW6" i="2" s="1"/>
  <c r="BX6" i="2"/>
  <c r="BY6" i="2" s="1"/>
  <c r="BP7" i="2"/>
  <c r="AR6" i="2"/>
  <c r="BL6" i="2" s="1"/>
  <c r="AL7" i="2"/>
  <c r="AP7" i="2"/>
  <c r="AL6" i="2"/>
  <c r="AP6" i="2"/>
  <c r="BO7" i="2"/>
  <c r="BQ7" i="2"/>
  <c r="BS7" i="2"/>
  <c r="BR7" i="2"/>
  <c r="AL9" i="2"/>
  <c r="AP9" i="2"/>
  <c r="BO6" i="2"/>
  <c r="BV9" i="2"/>
  <c r="BW9" i="2" s="1"/>
  <c r="BX9" i="2"/>
  <c r="BY9" i="2" s="1"/>
  <c r="BT6" i="2"/>
  <c r="BU6" i="2" s="1"/>
  <c r="AR7" i="2"/>
  <c r="BL7" i="2" s="1"/>
  <c r="BT9" i="2"/>
  <c r="BU9" i="2" s="1"/>
  <c r="BP6" i="2"/>
  <c r="BV7" i="2"/>
  <c r="BW7" i="2" s="1"/>
  <c r="BX7" i="2"/>
  <c r="BY7" i="2" s="1"/>
  <c r="BP9" i="2"/>
  <c r="BT7" i="2"/>
  <c r="BU7" i="2" s="1"/>
  <c r="AR9" i="2"/>
  <c r="BL9" i="2" s="1"/>
  <c r="BO9" i="2"/>
  <c r="BS9" i="2"/>
  <c r="BR9" i="2"/>
  <c r="BQ9" i="2"/>
  <c r="AC5" i="1"/>
  <c r="B59" i="3"/>
  <c r="G1" i="1" a="1"/>
  <c r="G1" i="1" s="1"/>
  <c r="F1" i="1" a="1"/>
  <c r="F1" i="1" s="1"/>
  <c r="E1" i="1" a="1"/>
  <c r="E1" i="1" s="1"/>
  <c r="D1" i="1" a="1"/>
  <c r="D1" i="1" s="1"/>
  <c r="C1" i="1" a="1"/>
  <c r="C1" i="1" s="1"/>
  <c r="K60" i="3"/>
  <c r="C63" i="3"/>
  <c r="S65" i="3"/>
  <c r="K68" i="3"/>
  <c r="C71" i="3"/>
  <c r="S73" i="3"/>
  <c r="K76" i="3"/>
  <c r="C79" i="3"/>
  <c r="Y61" i="3"/>
  <c r="Y65" i="3"/>
  <c r="Y69" i="3"/>
  <c r="Y73" i="3"/>
  <c r="Y77" i="3"/>
  <c r="L62" i="3"/>
  <c r="D73" i="3"/>
  <c r="L78" i="3"/>
  <c r="X83" i="3"/>
  <c r="G59" i="3"/>
  <c r="W61" i="3"/>
  <c r="G67" i="3"/>
  <c r="W69" i="3"/>
  <c r="G75" i="3"/>
  <c r="W77" i="3"/>
  <c r="E62" i="3"/>
  <c r="U64" i="3"/>
  <c r="M67" i="3"/>
  <c r="E70" i="3"/>
  <c r="U72" i="3"/>
  <c r="E78" i="3"/>
  <c r="D68" i="3"/>
  <c r="L73" i="3"/>
  <c r="L81" i="3"/>
  <c r="D84" i="3"/>
  <c r="T86" i="3"/>
  <c r="L89" i="3"/>
  <c r="V59" i="3"/>
  <c r="F65" i="3"/>
  <c r="N70" i="3"/>
  <c r="Q80" i="3"/>
  <c r="Q84" i="3"/>
  <c r="Q88" i="3"/>
  <c r="C60" i="3"/>
  <c r="S62" i="3"/>
  <c r="K65" i="3"/>
  <c r="C68" i="3"/>
  <c r="S70" i="3"/>
  <c r="K73" i="3"/>
  <c r="C76" i="3"/>
  <c r="Q61" i="3"/>
  <c r="Q65" i="3"/>
  <c r="Q69" i="3"/>
  <c r="Q73" i="3"/>
  <c r="Q77" i="3"/>
  <c r="D63" i="3"/>
  <c r="L68" i="3"/>
  <c r="V78" i="3"/>
  <c r="X86" i="3"/>
  <c r="P89" i="3"/>
  <c r="F60" i="3"/>
  <c r="N65" i="3"/>
  <c r="V70" i="3"/>
  <c r="F76" i="3"/>
  <c r="E80" i="3"/>
  <c r="U82" i="3"/>
  <c r="W58" i="3"/>
  <c r="E59" i="3"/>
  <c r="U69" i="3"/>
  <c r="D62" i="3"/>
  <c r="D81" i="3"/>
  <c r="X89" i="3"/>
  <c r="F66" i="3"/>
  <c r="V76" i="3"/>
  <c r="E83" i="3"/>
  <c r="M87" i="3"/>
  <c r="X64" i="3"/>
  <c r="N87" i="3"/>
  <c r="R65" i="3"/>
  <c r="J76" i="3"/>
  <c r="W82" i="3"/>
  <c r="G88" i="3"/>
  <c r="X61" i="3"/>
  <c r="Z80" i="3"/>
  <c r="J86" i="3"/>
  <c r="Z90" i="3"/>
  <c r="R68" i="3"/>
  <c r="Z78" i="3"/>
  <c r="K84" i="3"/>
  <c r="S89" i="3"/>
  <c r="F84" i="3"/>
  <c r="X74" i="3"/>
  <c r="F89" i="3"/>
  <c r="E65" i="3"/>
  <c r="U75" i="3"/>
  <c r="D74" i="3"/>
  <c r="D87" i="3"/>
  <c r="V61" i="3"/>
  <c r="N72" i="3"/>
  <c r="Y80" i="3"/>
  <c r="U86" i="3"/>
  <c r="K58" i="3"/>
  <c r="C61" i="3"/>
  <c r="S63" i="3"/>
  <c r="K66" i="3"/>
  <c r="C69" i="3"/>
  <c r="S71" i="3"/>
  <c r="K74" i="3"/>
  <c r="C77" i="3"/>
  <c r="Q58" i="3"/>
  <c r="Q62" i="3"/>
  <c r="Q66" i="3"/>
  <c r="Q70" i="3"/>
  <c r="Q74" i="3"/>
  <c r="D69" i="3"/>
  <c r="L74" i="3"/>
  <c r="X81" i="3"/>
  <c r="W59" i="3"/>
  <c r="G65" i="3"/>
  <c r="W67" i="3"/>
  <c r="G73" i="3"/>
  <c r="W75" i="3"/>
  <c r="E60" i="3"/>
  <c r="U62" i="3"/>
  <c r="M65" i="3"/>
  <c r="E68" i="3"/>
  <c r="U70" i="3"/>
  <c r="M73" i="3"/>
  <c r="E76" i="3"/>
  <c r="D64" i="3"/>
  <c r="L69" i="3"/>
  <c r="L79" i="3"/>
  <c r="D82" i="3"/>
  <c r="T84" i="3"/>
  <c r="D90" i="3"/>
  <c r="F61" i="3"/>
  <c r="N66" i="3"/>
  <c r="V71" i="3"/>
  <c r="F77" i="3"/>
  <c r="Y81" i="3"/>
  <c r="Y85" i="3"/>
  <c r="C58" i="3"/>
  <c r="S60" i="3"/>
  <c r="K63" i="3"/>
  <c r="C66" i="3"/>
  <c r="S68" i="3"/>
  <c r="K71" i="3"/>
  <c r="C74" i="3"/>
  <c r="S76" i="3"/>
  <c r="Y58" i="3"/>
  <c r="Y62" i="3"/>
  <c r="Y66" i="3"/>
  <c r="Y70" i="3"/>
  <c r="Y74" i="3"/>
  <c r="D59" i="3"/>
  <c r="L64" i="3"/>
  <c r="D75" i="3"/>
  <c r="X84" i="3"/>
  <c r="H90" i="3"/>
  <c r="N61" i="3"/>
  <c r="V66" i="3"/>
  <c r="F72" i="3"/>
  <c r="N77" i="3"/>
  <c r="U80" i="3"/>
  <c r="M83" i="3"/>
  <c r="G72" i="3"/>
  <c r="U61" i="3"/>
  <c r="L67" i="3"/>
  <c r="T83" i="3"/>
  <c r="F58" i="3"/>
  <c r="V68" i="3"/>
  <c r="E79" i="3"/>
  <c r="M84" i="3"/>
  <c r="E89" i="3"/>
  <c r="X72" i="3"/>
  <c r="J68" i="3"/>
  <c r="U78" i="3"/>
  <c r="G84" i="3"/>
  <c r="O89" i="3"/>
  <c r="J82" i="3"/>
  <c r="R87" i="3"/>
  <c r="R60" i="3"/>
  <c r="J71" i="3"/>
  <c r="K80" i="3"/>
  <c r="S85" i="3"/>
  <c r="Q90" i="3"/>
  <c r="N86" i="3"/>
  <c r="G76" i="3"/>
  <c r="F78" i="3"/>
  <c r="G78" i="3"/>
  <c r="U67" i="3"/>
  <c r="D58" i="3"/>
  <c r="D79" i="3"/>
  <c r="D89" i="3"/>
  <c r="N64" i="3"/>
  <c r="F75" i="3"/>
  <c r="Q83" i="3"/>
  <c r="Q87" i="3"/>
  <c r="N88" i="3"/>
  <c r="J66" i="3"/>
  <c r="Z76" i="3"/>
  <c r="G83" i="3"/>
  <c r="C59" i="3"/>
  <c r="S61" i="3"/>
  <c r="K64" i="3"/>
  <c r="C67" i="3"/>
  <c r="S69" i="3"/>
  <c r="K72" i="3"/>
  <c r="C75" i="3"/>
  <c r="S77" i="3"/>
  <c r="Y59" i="3"/>
  <c r="Y63" i="3"/>
  <c r="Y67" i="3"/>
  <c r="Y71" i="3"/>
  <c r="Y75" i="3"/>
  <c r="D65" i="3"/>
  <c r="L70" i="3"/>
  <c r="X79" i="3"/>
  <c r="X87" i="3"/>
  <c r="G63" i="3"/>
  <c r="W65" i="3"/>
  <c r="G71" i="3"/>
  <c r="E58" i="3"/>
  <c r="U60" i="3"/>
  <c r="M63" i="3"/>
  <c r="E66" i="3"/>
  <c r="U68" i="3"/>
  <c r="M71" i="3"/>
  <c r="E74" i="3"/>
  <c r="U76" i="3"/>
  <c r="D60" i="3"/>
  <c r="L65" i="3"/>
  <c r="D76" i="3"/>
  <c r="D80" i="3"/>
  <c r="L85" i="3"/>
  <c r="D88" i="3"/>
  <c r="T90" i="3"/>
  <c r="N62" i="3"/>
  <c r="V67" i="3"/>
  <c r="F73" i="3"/>
  <c r="M78" i="3"/>
  <c r="Q86" i="3"/>
  <c r="S58" i="3"/>
  <c r="K61" i="3"/>
  <c r="C64" i="3"/>
  <c r="S66" i="3"/>
  <c r="K69" i="3"/>
  <c r="C72" i="3"/>
  <c r="S74" i="3"/>
  <c r="K77" i="3"/>
  <c r="Q63" i="3"/>
  <c r="Q67" i="3"/>
  <c r="Q71" i="3"/>
  <c r="L60" i="3"/>
  <c r="D71" i="3"/>
  <c r="L76" i="3"/>
  <c r="X82" i="3"/>
  <c r="X90" i="3"/>
  <c r="V62" i="3"/>
  <c r="F68" i="3"/>
  <c r="N73" i="3"/>
  <c r="R78" i="3"/>
  <c r="M81" i="3"/>
  <c r="E84" i="3"/>
  <c r="G64" i="3"/>
  <c r="W74" i="3"/>
  <c r="E75" i="3"/>
  <c r="L86" i="3"/>
  <c r="V60" i="3"/>
  <c r="N71" i="3"/>
  <c r="M80" i="3"/>
  <c r="Q85" i="3"/>
  <c r="X58" i="3"/>
  <c r="J60" i="3"/>
  <c r="Z70" i="3"/>
  <c r="G80" i="3"/>
  <c r="N90" i="3"/>
  <c r="X77" i="3"/>
  <c r="R83" i="3"/>
  <c r="Z88" i="3"/>
  <c r="J63" i="3"/>
  <c r="Z73" i="3"/>
  <c r="S81" i="3"/>
  <c r="C87" i="3"/>
  <c r="X66" i="3"/>
  <c r="F80" i="3"/>
  <c r="V88" i="3"/>
  <c r="N82" i="3"/>
  <c r="V64" i="3"/>
  <c r="G70" i="3"/>
  <c r="U59" i="3"/>
  <c r="M70" i="3"/>
  <c r="L63" i="3"/>
  <c r="L90" i="3"/>
  <c r="F67" i="3"/>
  <c r="Y84" i="3"/>
  <c r="M88" i="3"/>
  <c r="J58" i="3"/>
  <c r="Z68" i="3"/>
  <c r="K62" i="3"/>
  <c r="C65" i="3"/>
  <c r="S67" i="3"/>
  <c r="K70" i="3"/>
  <c r="C73" i="3"/>
  <c r="S75" i="3"/>
  <c r="K78" i="3"/>
  <c r="Q60" i="3"/>
  <c r="Q64" i="3"/>
  <c r="Q68" i="3"/>
  <c r="Q72" i="3"/>
  <c r="Q76" i="3"/>
  <c r="D61" i="3"/>
  <c r="L66" i="3"/>
  <c r="D77" i="3"/>
  <c r="X85" i="3"/>
  <c r="G61" i="3"/>
  <c r="W63" i="3"/>
  <c r="G69" i="3"/>
  <c r="W71" i="3"/>
  <c r="G77" i="3"/>
  <c r="U58" i="3"/>
  <c r="M61" i="3"/>
  <c r="E64" i="3"/>
  <c r="U66" i="3"/>
  <c r="M69" i="3"/>
  <c r="E72" i="3"/>
  <c r="U74" i="3"/>
  <c r="M77" i="3"/>
  <c r="L61" i="3"/>
  <c r="D72" i="3"/>
  <c r="L77" i="3"/>
  <c r="L83" i="3"/>
  <c r="D86" i="3"/>
  <c r="T88" i="3"/>
  <c r="N58" i="3"/>
  <c r="V63" i="3"/>
  <c r="F69" i="3"/>
  <c r="N74" i="3"/>
  <c r="Y79" i="3"/>
  <c r="Y83" i="3"/>
  <c r="Y87" i="3"/>
  <c r="K59" i="3"/>
  <c r="C62" i="3"/>
  <c r="K67" i="3"/>
  <c r="C70" i="3"/>
  <c r="K75" i="3"/>
  <c r="C78" i="3"/>
  <c r="Y60" i="3"/>
  <c r="Y64" i="3"/>
  <c r="Y68" i="3"/>
  <c r="Y72" i="3"/>
  <c r="Y76" i="3"/>
  <c r="D67" i="3"/>
  <c r="X80" i="3"/>
  <c r="X88" i="3"/>
  <c r="F64" i="3"/>
  <c r="N69" i="3"/>
  <c r="V74" i="3"/>
  <c r="M79" i="3"/>
  <c r="E82" i="3"/>
  <c r="U84" i="3"/>
  <c r="W66" i="3"/>
  <c r="E67" i="3"/>
  <c r="U77" i="3"/>
  <c r="D78" i="3"/>
  <c r="P88" i="3"/>
  <c r="N63" i="3"/>
  <c r="F74" i="3"/>
  <c r="U81" i="3"/>
  <c r="M86" i="3"/>
  <c r="N84" i="3"/>
  <c r="Z62" i="3"/>
  <c r="W86" i="3"/>
  <c r="X69" i="3"/>
  <c r="R79" i="3"/>
  <c r="Z84" i="3"/>
  <c r="E90" i="3"/>
  <c r="Z65" i="3"/>
  <c r="R76" i="3"/>
  <c r="C83" i="3"/>
  <c r="K88" i="3"/>
  <c r="F82" i="3"/>
  <c r="M90" i="3"/>
  <c r="F87" i="3"/>
  <c r="D85" i="3"/>
  <c r="F70" i="3"/>
  <c r="G62" i="3"/>
  <c r="M62" i="3"/>
  <c r="E73" i="3"/>
  <c r="L84" i="3"/>
  <c r="F59" i="3"/>
  <c r="V69" i="3"/>
  <c r="Q79" i="3"/>
  <c r="U85" i="3"/>
  <c r="V81" i="3"/>
  <c r="Z60" i="3"/>
  <c r="R71" i="3"/>
  <c r="W85" i="3"/>
  <c r="R63" i="3"/>
  <c r="S90" i="3"/>
  <c r="X67" i="3"/>
  <c r="Z83" i="3"/>
  <c r="J89" i="3"/>
  <c r="Z63" i="3"/>
  <c r="R74" i="3"/>
  <c r="C82" i="3"/>
  <c r="K87" i="3"/>
  <c r="R90" i="3"/>
  <c r="W62" i="3"/>
  <c r="M68" i="3"/>
  <c r="W68" i="3"/>
  <c r="Q81" i="3"/>
  <c r="R61" i="3"/>
  <c r="W80" i="3"/>
  <c r="Y90" i="3"/>
  <c r="Y78" i="3"/>
  <c r="R89" i="3"/>
  <c r="J75" i="3"/>
  <c r="S87" i="3"/>
  <c r="F81" i="3"/>
  <c r="D83" i="3"/>
  <c r="Y82" i="3"/>
  <c r="X60" i="3"/>
  <c r="J62" i="3"/>
  <c r="G81" i="3"/>
  <c r="J79" i="3"/>
  <c r="W89" i="3"/>
  <c r="Z75" i="3"/>
  <c r="C88" i="3"/>
  <c r="N81" i="3"/>
  <c r="G74" i="3"/>
  <c r="T85" i="3"/>
  <c r="E86" i="3"/>
  <c r="R69" i="3"/>
  <c r="W84" i="3"/>
  <c r="X65" i="3"/>
  <c r="Z82" i="3"/>
  <c r="Z61" i="3"/>
  <c r="C81" i="3"/>
  <c r="V87" i="3"/>
  <c r="E81" i="3"/>
  <c r="Z64" i="3"/>
  <c r="R62" i="3"/>
  <c r="E88" i="3"/>
  <c r="W79" i="3"/>
  <c r="Z85" i="3"/>
  <c r="C84" i="3"/>
  <c r="G66" i="3"/>
  <c r="R75" i="3"/>
  <c r="J73" i="3"/>
  <c r="G85" i="3"/>
  <c r="U90" i="3"/>
  <c r="V83" i="3"/>
  <c r="X71" i="3"/>
  <c r="N79" i="3"/>
  <c r="J74" i="3"/>
  <c r="G87" i="3"/>
  <c r="X59" i="3"/>
  <c r="Z79" i="3"/>
  <c r="J85" i="3"/>
  <c r="J90" i="3"/>
  <c r="R66" i="3"/>
  <c r="J77" i="3"/>
  <c r="K83" i="3"/>
  <c r="S88" i="3"/>
  <c r="M60" i="3"/>
  <c r="P90" i="3"/>
  <c r="U79" i="3"/>
  <c r="W78" i="3"/>
  <c r="E71" i="3"/>
  <c r="M58" i="3"/>
  <c r="T89" i="3"/>
  <c r="E85" i="3"/>
  <c r="X68" i="3"/>
  <c r="Z66" i="3"/>
  <c r="R81" i="3"/>
  <c r="J59" i="3"/>
  <c r="S79" i="3"/>
  <c r="F90" i="3"/>
  <c r="N85" i="3"/>
  <c r="E61" i="3"/>
  <c r="M89" i="3"/>
  <c r="M85" i="3"/>
  <c r="X70" i="3"/>
  <c r="R67" i="3"/>
  <c r="W83" i="3"/>
  <c r="X63" i="3"/>
  <c r="Z81" i="3"/>
  <c r="Z59" i="3"/>
  <c r="C80" i="3"/>
  <c r="K90" i="3"/>
  <c r="V85" i="3"/>
  <c r="U63" i="3"/>
  <c r="N60" i="3"/>
  <c r="U87" i="3"/>
  <c r="F86" i="3"/>
  <c r="Z74" i="3"/>
  <c r="R85" i="3"/>
  <c r="J67" i="3"/>
  <c r="L88" i="3"/>
  <c r="V79" i="3"/>
  <c r="K89" i="3"/>
  <c r="Z67" i="3"/>
  <c r="G79" i="3"/>
  <c r="O88" i="3"/>
  <c r="J81" i="3"/>
  <c r="R86" i="3"/>
  <c r="J69" i="3"/>
  <c r="K79" i="3"/>
  <c r="S84" i="3"/>
  <c r="Y89" i="3"/>
  <c r="F62" i="3"/>
  <c r="G68" i="3"/>
  <c r="E63" i="3"/>
  <c r="U73" i="3"/>
  <c r="D70" i="3"/>
  <c r="E69" i="3"/>
  <c r="V65" i="3"/>
  <c r="Y86" i="3"/>
  <c r="V82" i="3"/>
  <c r="J72" i="3"/>
  <c r="G86" i="3"/>
  <c r="J84" i="3"/>
  <c r="R64" i="3"/>
  <c r="K82" i="3"/>
  <c r="U89" i="3"/>
  <c r="U71" i="3"/>
  <c r="N68" i="3"/>
  <c r="E87" i="3"/>
  <c r="N83" i="3"/>
  <c r="Z72" i="3"/>
  <c r="R84" i="3"/>
  <c r="J65" i="3"/>
  <c r="Z89" i="3"/>
  <c r="M74" i="3"/>
  <c r="F71" i="3"/>
  <c r="Q89" i="3"/>
  <c r="Z58" i="3"/>
  <c r="C90" i="3"/>
  <c r="J88" i="3"/>
  <c r="K86" i="3"/>
  <c r="F79" i="3"/>
  <c r="W76" i="3"/>
  <c r="F63" i="3"/>
  <c r="J83" i="3"/>
  <c r="K81" i="3"/>
  <c r="R59" i="3"/>
  <c r="F85" i="3"/>
  <c r="W81" i="3"/>
  <c r="V89" i="3"/>
  <c r="X75" i="3"/>
  <c r="Z87" i="3"/>
  <c r="J61" i="3"/>
  <c r="Z71" i="3"/>
  <c r="C86" i="3"/>
  <c r="V90" i="3"/>
  <c r="V84" i="3"/>
  <c r="N67" i="3"/>
  <c r="G60" i="3"/>
  <c r="W70" i="3"/>
  <c r="U65" i="3"/>
  <c r="M76" i="3"/>
  <c r="G58" i="3"/>
  <c r="N76" i="3"/>
  <c r="U88" i="3"/>
  <c r="N89" i="3"/>
  <c r="R77" i="3"/>
  <c r="W88" i="3"/>
  <c r="X73" i="3"/>
  <c r="Z86" i="3"/>
  <c r="Z69" i="3"/>
  <c r="C85" i="3"/>
  <c r="W60" i="3"/>
  <c r="D66" i="3"/>
  <c r="X78" i="3"/>
  <c r="Y88" i="3"/>
  <c r="G90" i="3"/>
  <c r="J78" i="3"/>
  <c r="G89" i="3"/>
  <c r="J87" i="3"/>
  <c r="R70" i="3"/>
  <c r="K85" i="3"/>
  <c r="X76" i="3"/>
  <c r="L71" i="3"/>
  <c r="U83" i="3"/>
  <c r="X62" i="3"/>
  <c r="J64" i="3"/>
  <c r="G82" i="3"/>
  <c r="J80" i="3"/>
  <c r="O90" i="3"/>
  <c r="Z77" i="3"/>
  <c r="C89" i="3"/>
  <c r="F83" i="3"/>
  <c r="M66" i="3"/>
  <c r="V73" i="3"/>
  <c r="V86" i="3"/>
  <c r="R88" i="3"/>
  <c r="S86" i="3"/>
  <c r="E77" i="3"/>
  <c r="J70" i="3"/>
  <c r="F88" i="3"/>
  <c r="N59" i="3"/>
  <c r="N75" i="3"/>
  <c r="N80" i="3"/>
  <c r="N78" i="3"/>
  <c r="M82" i="3"/>
  <c r="H81" i="3"/>
  <c r="H89" i="3"/>
  <c r="H79" i="3"/>
  <c r="H85" i="3"/>
  <c r="H88" i="3"/>
  <c r="H86" i="3"/>
  <c r="H83" i="3"/>
  <c r="H84" i="3"/>
  <c r="H80" i="3"/>
  <c r="H87" i="3"/>
  <c r="H82" i="3"/>
  <c r="H78" i="3"/>
  <c r="M72" i="3"/>
  <c r="M59" i="3"/>
  <c r="M75" i="3"/>
  <c r="M64" i="3"/>
  <c r="L87" i="3"/>
  <c r="L58" i="3"/>
  <c r="L72" i="3"/>
  <c r="L82" i="3"/>
  <c r="L75" i="3"/>
  <c r="L80" i="3"/>
  <c r="L59" i="3"/>
  <c r="S83" i="3"/>
  <c r="S64" i="3"/>
  <c r="S72" i="3"/>
  <c r="S80" i="3"/>
  <c r="S59" i="3"/>
  <c r="S82" i="3"/>
  <c r="S78" i="3"/>
  <c r="R72" i="3"/>
  <c r="R80" i="3"/>
  <c r="R82" i="3"/>
  <c r="R58" i="3"/>
  <c r="R73" i="3"/>
  <c r="Q75" i="3"/>
  <c r="Q59" i="3"/>
  <c r="Q82" i="3"/>
  <c r="Q78" i="3"/>
  <c r="H70" i="3"/>
  <c r="H62" i="3"/>
  <c r="H64" i="3"/>
  <c r="H77" i="3"/>
  <c r="H59" i="3"/>
  <c r="H58" i="3"/>
  <c r="H75" i="3"/>
  <c r="H71" i="3"/>
  <c r="H76" i="3"/>
  <c r="H68" i="3"/>
  <c r="H72" i="3"/>
  <c r="H66" i="3"/>
  <c r="H60" i="3"/>
  <c r="H69" i="3"/>
  <c r="H65" i="3"/>
  <c r="H74" i="3"/>
  <c r="H67" i="3"/>
  <c r="H63" i="3"/>
  <c r="H73" i="3"/>
  <c r="O78" i="3"/>
  <c r="O72" i="3"/>
  <c r="O70" i="3"/>
  <c r="O67" i="3"/>
  <c r="O68" i="3"/>
  <c r="O77" i="3"/>
  <c r="O81" i="3"/>
  <c r="O63" i="3"/>
  <c r="O76" i="3"/>
  <c r="O62" i="3"/>
  <c r="O60" i="3"/>
  <c r="O59" i="3"/>
  <c r="O74" i="3"/>
  <c r="O65" i="3"/>
  <c r="O86" i="3"/>
  <c r="O69" i="3"/>
  <c r="O61" i="3"/>
  <c r="O85" i="3"/>
  <c r="O66" i="3"/>
  <c r="O84" i="3"/>
  <c r="O73" i="3"/>
  <c r="O71" i="3"/>
  <c r="O83" i="3"/>
  <c r="O79" i="3"/>
  <c r="P84" i="3"/>
  <c r="P83" i="3"/>
  <c r="P59" i="3"/>
  <c r="P66" i="3"/>
  <c r="P70" i="3"/>
  <c r="P71" i="3"/>
  <c r="P62" i="3"/>
  <c r="P68" i="3"/>
  <c r="P74" i="3"/>
  <c r="P86" i="3"/>
  <c r="P87" i="3"/>
  <c r="P64" i="3"/>
  <c r="P77" i="3"/>
  <c r="P82" i="3"/>
  <c r="P58" i="3"/>
  <c r="P63" i="3"/>
  <c r="P72" i="3"/>
  <c r="P65" i="3"/>
  <c r="P69" i="3"/>
  <c r="P76" i="3"/>
  <c r="P78" i="3"/>
  <c r="P81" i="3"/>
  <c r="P79" i="3"/>
  <c r="P85" i="3"/>
  <c r="P75" i="3"/>
  <c r="P80" i="3"/>
  <c r="P61" i="3"/>
  <c r="P67" i="3"/>
  <c r="P73" i="3"/>
  <c r="P60" i="3"/>
  <c r="O87" i="3"/>
  <c r="O82" i="3"/>
  <c r="O58" i="3"/>
  <c r="O80" i="3"/>
  <c r="O75" i="3"/>
  <c r="O64" i="3"/>
  <c r="W90" i="3"/>
  <c r="W72" i="3"/>
  <c r="W87" i="3"/>
  <c r="W73" i="3"/>
  <c r="W64" i="3"/>
  <c r="T87" i="3"/>
  <c r="T63" i="3"/>
  <c r="T69" i="3"/>
  <c r="T70" i="3"/>
  <c r="T65" i="3"/>
  <c r="T78" i="3"/>
  <c r="T80" i="3"/>
  <c r="T77" i="3"/>
  <c r="T66" i="3"/>
  <c r="T73" i="3"/>
  <c r="T59" i="3"/>
  <c r="T81" i="3"/>
  <c r="T60" i="3"/>
  <c r="T58" i="3"/>
  <c r="T79" i="3"/>
  <c r="T75" i="3"/>
  <c r="T67" i="3"/>
  <c r="T62" i="3"/>
  <c r="T74" i="3"/>
  <c r="T71" i="3"/>
  <c r="T68" i="3"/>
  <c r="T64" i="3"/>
  <c r="T72" i="3"/>
  <c r="T82" i="3"/>
  <c r="T61" i="3"/>
  <c r="T76" i="3"/>
  <c r="V58" i="3"/>
  <c r="V72" i="3"/>
  <c r="V75" i="3"/>
  <c r="V80" i="3"/>
  <c r="V77" i="3"/>
  <c r="AE2" i="16" l="1"/>
  <c r="H61" i="3"/>
  <c r="C56" i="3" l="1" a="1"/>
  <c r="C56" i="3" s="1"/>
  <c r="K27" i="1"/>
  <c r="K28" i="1"/>
  <c r="K29" i="1"/>
  <c r="AA29" i="1" s="1"/>
  <c r="K30" i="1"/>
  <c r="AA30" i="1" s="1"/>
  <c r="K31" i="1"/>
  <c r="K32" i="1"/>
  <c r="AA32" i="1" s="1"/>
  <c r="G27" i="1"/>
  <c r="G28" i="1"/>
  <c r="G29" i="1"/>
  <c r="G30" i="1"/>
  <c r="G31" i="1"/>
  <c r="G32" i="1"/>
  <c r="AA8" i="1"/>
  <c r="AA26" i="1"/>
  <c r="AA25" i="1"/>
  <c r="AA23" i="1"/>
  <c r="AA22" i="1"/>
  <c r="AA20" i="1"/>
  <c r="AA17" i="1"/>
  <c r="AA16" i="1"/>
  <c r="AA14" i="1"/>
  <c r="AA5" i="1"/>
  <c r="AA6" i="1"/>
  <c r="AA7" i="1"/>
  <c r="AA9" i="1"/>
  <c r="AA10" i="1"/>
  <c r="AA11" i="1"/>
  <c r="AA12" i="1"/>
  <c r="AA13" i="1"/>
  <c r="AA15" i="1"/>
  <c r="AA18" i="1"/>
  <c r="AA19" i="1"/>
  <c r="AA21" i="1"/>
  <c r="AA24" i="1"/>
  <c r="AA27" i="1"/>
  <c r="AA28" i="1"/>
  <c r="AA31" i="1"/>
  <c r="BC5" i="2" a="1"/>
  <c r="BC5" i="2" s="1"/>
  <c r="BB5" i="2" a="1"/>
  <c r="BB5" i="2" s="1"/>
  <c r="BA5" i="2" a="1"/>
  <c r="BA5" i="2" s="1"/>
  <c r="AZ5" i="2" a="1"/>
  <c r="AZ5" i="2" s="1"/>
  <c r="AY5" i="2" a="1"/>
  <c r="AY5" i="2" s="1"/>
  <c r="AX5" i="2" a="1"/>
  <c r="AX5" i="2" s="1"/>
  <c r="AW5" i="2" a="1"/>
  <c r="AW5" i="2" s="1"/>
  <c r="AU5" i="2" a="1"/>
  <c r="AU5" i="2" s="1"/>
  <c r="AT5" i="2" a="1"/>
  <c r="AT5" i="2" s="1"/>
  <c r="AJ5" i="2"/>
  <c r="C51" i="3" a="1"/>
  <c r="D51" i="3" s="1"/>
  <c r="B1" i="3" a="1"/>
  <c r="B1" i="3" s="1"/>
  <c r="C1" i="2" a="1"/>
  <c r="F1" i="2" s="1"/>
  <c r="J50" i="3"/>
  <c r="BF5" i="2"/>
  <c r="AN5" i="2"/>
  <c r="AM5" i="2"/>
  <c r="AK5" i="2"/>
  <c r="AS5" i="2"/>
  <c r="BG5" i="2"/>
  <c r="BE5" i="2"/>
  <c r="BI5" i="2"/>
  <c r="AO5" i="2"/>
  <c r="BJ5" i="2"/>
  <c r="BK5" i="2"/>
  <c r="BD5" i="2"/>
  <c r="AV5" i="2"/>
  <c r="AQ5" i="2"/>
  <c r="BH5" i="2"/>
  <c r="Z56" i="3" l="1"/>
  <c r="R56" i="3"/>
  <c r="J56" i="3"/>
  <c r="Y56" i="3"/>
  <c r="Q56" i="3"/>
  <c r="I56" i="3"/>
  <c r="AD56" i="3"/>
  <c r="V56" i="3"/>
  <c r="N56" i="3"/>
  <c r="F56" i="3"/>
  <c r="AC56" i="3"/>
  <c r="U56" i="3"/>
  <c r="M56" i="3"/>
  <c r="E56" i="3"/>
  <c r="AF56" i="3"/>
  <c r="AB56" i="3"/>
  <c r="X56" i="3"/>
  <c r="T56" i="3"/>
  <c r="P56" i="3"/>
  <c r="L56" i="3"/>
  <c r="H56" i="3"/>
  <c r="D56" i="3"/>
  <c r="AE56" i="3"/>
  <c r="AA56" i="3"/>
  <c r="W56" i="3"/>
  <c r="S56" i="3"/>
  <c r="O56" i="3"/>
  <c r="K56" i="3"/>
  <c r="G56" i="3"/>
  <c r="AA36" i="1" a="1"/>
  <c r="AA36" i="1" s="1"/>
  <c r="BE3" i="18" s="1"/>
  <c r="BT5" i="2"/>
  <c r="BU5" i="2" s="1"/>
  <c r="AL5" i="2"/>
  <c r="AP5" i="2"/>
  <c r="AR5" i="2"/>
  <c r="BL5" i="2" s="1"/>
  <c r="BO5" i="2"/>
  <c r="BR5" i="2"/>
  <c r="BS5" i="2"/>
  <c r="BQ5" i="2"/>
  <c r="BV5" i="2"/>
  <c r="BW5" i="2" s="1"/>
  <c r="BX5" i="2"/>
  <c r="BY5" i="2" s="1"/>
  <c r="BP5" i="2"/>
  <c r="AB52" i="3"/>
  <c r="T52" i="3"/>
  <c r="L52" i="3"/>
  <c r="D52" i="3"/>
  <c r="Z51" i="3"/>
  <c r="R51" i="3"/>
  <c r="J51" i="3"/>
  <c r="Y52" i="3"/>
  <c r="Q52" i="3"/>
  <c r="I52" i="3"/>
  <c r="AE51" i="3"/>
  <c r="W51" i="3"/>
  <c r="O51" i="3"/>
  <c r="G51" i="3"/>
  <c r="AF52" i="3"/>
  <c r="X52" i="3"/>
  <c r="P52" i="3"/>
  <c r="H52" i="3"/>
  <c r="AD51" i="3"/>
  <c r="V51" i="3"/>
  <c r="N51" i="3"/>
  <c r="F51" i="3"/>
  <c r="AC52" i="3"/>
  <c r="U52" i="3"/>
  <c r="M52" i="3"/>
  <c r="E52" i="3"/>
  <c r="AA51" i="3"/>
  <c r="S51" i="3"/>
  <c r="K51" i="3"/>
  <c r="C51" i="3"/>
  <c r="P4" i="3"/>
  <c r="V2" i="3"/>
  <c r="W3" i="3"/>
  <c r="U1" i="3"/>
  <c r="AA4" i="3"/>
  <c r="G3" i="3"/>
  <c r="D4" i="3"/>
  <c r="F2" i="3"/>
  <c r="X4" i="3"/>
  <c r="AC1" i="3"/>
  <c r="L4" i="3"/>
  <c r="C4" i="3"/>
  <c r="S3" i="3"/>
  <c r="C3" i="3"/>
  <c r="R2" i="3"/>
  <c r="B2" i="3"/>
  <c r="Q1" i="3"/>
  <c r="AF4" i="3"/>
  <c r="T4" i="3"/>
  <c r="K4" i="3"/>
  <c r="AE3" i="3"/>
  <c r="O3" i="3"/>
  <c r="AD2" i="3"/>
  <c r="N2" i="3"/>
  <c r="M1" i="3"/>
  <c r="AB4" i="3"/>
  <c r="S4" i="3"/>
  <c r="H4" i="3"/>
  <c r="AA3" i="3"/>
  <c r="K3" i="3"/>
  <c r="Z2" i="3"/>
  <c r="J2" i="3"/>
  <c r="Y1" i="3"/>
  <c r="E1" i="3"/>
  <c r="AE4" i="3"/>
  <c r="W4" i="3"/>
  <c r="O4" i="3"/>
  <c r="G4" i="3"/>
  <c r="I1" i="3"/>
  <c r="AE52" i="3"/>
  <c r="AA52" i="3"/>
  <c r="W52" i="3"/>
  <c r="S52" i="3"/>
  <c r="O52" i="3"/>
  <c r="K52" i="3"/>
  <c r="G52" i="3"/>
  <c r="C52" i="3"/>
  <c r="AC51" i="3"/>
  <c r="Y51" i="3"/>
  <c r="U51" i="3"/>
  <c r="Q51" i="3"/>
  <c r="M51" i="3"/>
  <c r="I51" i="3"/>
  <c r="E51" i="3"/>
  <c r="AD52" i="3"/>
  <c r="Z52" i="3"/>
  <c r="V52" i="3"/>
  <c r="R52" i="3"/>
  <c r="N52" i="3"/>
  <c r="J52" i="3"/>
  <c r="F52" i="3"/>
  <c r="AF51" i="3"/>
  <c r="AB51" i="3"/>
  <c r="X51" i="3"/>
  <c r="T51" i="3"/>
  <c r="P51" i="3"/>
  <c r="L51" i="3"/>
  <c r="H51" i="3"/>
  <c r="AD3" i="3"/>
  <c r="Z3" i="3"/>
  <c r="V3" i="3"/>
  <c r="R3" i="3"/>
  <c r="N3" i="3"/>
  <c r="J3" i="3"/>
  <c r="F3" i="3"/>
  <c r="B3" i="3"/>
  <c r="AC2" i="3"/>
  <c r="Y2" i="3"/>
  <c r="U2" i="3"/>
  <c r="Q2" i="3"/>
  <c r="M2" i="3"/>
  <c r="I2" i="3"/>
  <c r="E2" i="3"/>
  <c r="AF1" i="3"/>
  <c r="AB1" i="3"/>
  <c r="X1" i="3"/>
  <c r="T1" i="3"/>
  <c r="P1" i="3"/>
  <c r="L1" i="3"/>
  <c r="H1" i="3"/>
  <c r="D1" i="3"/>
  <c r="AD4" i="3"/>
  <c r="Z4" i="3"/>
  <c r="V4" i="3"/>
  <c r="R4" i="3"/>
  <c r="N4" i="3"/>
  <c r="J4" i="3"/>
  <c r="F4" i="3"/>
  <c r="B4" i="3"/>
  <c r="AC3" i="3"/>
  <c r="Y3" i="3"/>
  <c r="U3" i="3"/>
  <c r="Q3" i="3"/>
  <c r="M3" i="3"/>
  <c r="I3" i="3"/>
  <c r="E3" i="3"/>
  <c r="AF2" i="3"/>
  <c r="AB2" i="3"/>
  <c r="X2" i="3"/>
  <c r="T2" i="3"/>
  <c r="P2" i="3"/>
  <c r="L2" i="3"/>
  <c r="H2" i="3"/>
  <c r="D2" i="3"/>
  <c r="AE1" i="3"/>
  <c r="AA1" i="3"/>
  <c r="W1" i="3"/>
  <c r="S1" i="3"/>
  <c r="O1" i="3"/>
  <c r="K1" i="3"/>
  <c r="G1" i="3"/>
  <c r="C1" i="3"/>
  <c r="AC4" i="3"/>
  <c r="Y4" i="3"/>
  <c r="U4" i="3"/>
  <c r="Q4" i="3"/>
  <c r="M4" i="3"/>
  <c r="I4" i="3"/>
  <c r="E4" i="3"/>
  <c r="AF3" i="3"/>
  <c r="AB3" i="3"/>
  <c r="X3" i="3"/>
  <c r="T3" i="3"/>
  <c r="P3" i="3"/>
  <c r="L3" i="3"/>
  <c r="H3" i="3"/>
  <c r="D3" i="3"/>
  <c r="AE2" i="3"/>
  <c r="AA2" i="3"/>
  <c r="W2" i="3"/>
  <c r="S2" i="3"/>
  <c r="O2" i="3"/>
  <c r="K2" i="3"/>
  <c r="G2" i="3"/>
  <c r="C2" i="3"/>
  <c r="AD1" i="3"/>
  <c r="Z1" i="3"/>
  <c r="V1" i="3"/>
  <c r="R1" i="3"/>
  <c r="N1" i="3"/>
  <c r="J1" i="3"/>
  <c r="F1" i="3"/>
  <c r="AF4" i="2"/>
  <c r="AB4" i="2"/>
  <c r="X4" i="2"/>
  <c r="T4" i="2"/>
  <c r="P4" i="2"/>
  <c r="L4" i="2"/>
  <c r="H4" i="2"/>
  <c r="D4" i="2"/>
  <c r="AE3" i="2"/>
  <c r="AA3" i="2"/>
  <c r="W3" i="2"/>
  <c r="S3" i="2"/>
  <c r="O3" i="2"/>
  <c r="K3" i="2"/>
  <c r="G3" i="2"/>
  <c r="C3" i="2"/>
  <c r="AD2" i="2"/>
  <c r="Z2" i="2"/>
  <c r="V2" i="2"/>
  <c r="R2" i="2"/>
  <c r="N2" i="2"/>
  <c r="J2" i="2"/>
  <c r="F2" i="2"/>
  <c r="AG1" i="2"/>
  <c r="AC1" i="2"/>
  <c r="Y1" i="2"/>
  <c r="U1" i="2"/>
  <c r="Q1" i="2"/>
  <c r="M1" i="2"/>
  <c r="I1" i="2"/>
  <c r="E1" i="2"/>
  <c r="AE4" i="2"/>
  <c r="AA4" i="2"/>
  <c r="W4" i="2"/>
  <c r="S4" i="2"/>
  <c r="O4" i="2"/>
  <c r="K4" i="2"/>
  <c r="G4" i="2"/>
  <c r="C4" i="2"/>
  <c r="AD3" i="2"/>
  <c r="Z3" i="2"/>
  <c r="V3" i="2"/>
  <c r="R3" i="2"/>
  <c r="N3" i="2"/>
  <c r="J3" i="2"/>
  <c r="F3" i="2"/>
  <c r="AG2" i="2"/>
  <c r="AC2" i="2"/>
  <c r="Y2" i="2"/>
  <c r="U2" i="2"/>
  <c r="Q2" i="2"/>
  <c r="M2" i="2"/>
  <c r="I2" i="2"/>
  <c r="E2" i="2"/>
  <c r="AF1" i="2"/>
  <c r="AB1" i="2"/>
  <c r="X1" i="2"/>
  <c r="T1" i="2"/>
  <c r="P1" i="2"/>
  <c r="L1" i="2"/>
  <c r="H1" i="2"/>
  <c r="D1" i="2"/>
  <c r="Z4" i="2"/>
  <c r="R4" i="2"/>
  <c r="F4" i="2"/>
  <c r="Y3" i="2"/>
  <c r="Q3" i="2"/>
  <c r="M3" i="2"/>
  <c r="E3" i="2"/>
  <c r="AF2" i="2"/>
  <c r="AB2" i="2"/>
  <c r="X2" i="2"/>
  <c r="T2" i="2"/>
  <c r="P2" i="2"/>
  <c r="L2" i="2"/>
  <c r="H2" i="2"/>
  <c r="D2" i="2"/>
  <c r="AE1" i="2"/>
  <c r="AA1" i="2"/>
  <c r="W1" i="2"/>
  <c r="S1" i="2"/>
  <c r="O1" i="2"/>
  <c r="K1" i="2"/>
  <c r="G1" i="2"/>
  <c r="C1" i="2"/>
  <c r="AD4" i="2"/>
  <c r="V4" i="2"/>
  <c r="N4" i="2"/>
  <c r="J4" i="2"/>
  <c r="AG3" i="2"/>
  <c r="AC3" i="2"/>
  <c r="U3" i="2"/>
  <c r="I3" i="2"/>
  <c r="AG4" i="2"/>
  <c r="AC4" i="2"/>
  <c r="Y4" i="2"/>
  <c r="U4" i="2"/>
  <c r="Q4" i="2"/>
  <c r="M4" i="2"/>
  <c r="I4" i="2"/>
  <c r="E4" i="2"/>
  <c r="AF3" i="2"/>
  <c r="AB3" i="2"/>
  <c r="X3" i="2"/>
  <c r="T3" i="2"/>
  <c r="P3" i="2"/>
  <c r="L3" i="2"/>
  <c r="H3" i="2"/>
  <c r="D3" i="2"/>
  <c r="AE2" i="2"/>
  <c r="AA2" i="2"/>
  <c r="W2" i="2"/>
  <c r="S2" i="2"/>
  <c r="O2" i="2"/>
  <c r="K2" i="2"/>
  <c r="G2" i="2"/>
  <c r="C2" i="2"/>
  <c r="AD1" i="2"/>
  <c r="Z1" i="2"/>
  <c r="V1" i="2"/>
  <c r="R1" i="2"/>
  <c r="N1" i="2"/>
  <c r="J1" i="2"/>
  <c r="N40" i="16"/>
  <c r="N39" i="16"/>
  <c r="N38" i="16"/>
  <c r="N37" i="16"/>
  <c r="N36" i="16"/>
  <c r="N35" i="16"/>
  <c r="N34" i="16"/>
  <c r="N33" i="16"/>
  <c r="N32" i="16"/>
  <c r="N31" i="16"/>
  <c r="N30" i="16"/>
  <c r="N29" i="16"/>
  <c r="N28" i="16"/>
  <c r="N27" i="16"/>
  <c r="N26" i="16"/>
  <c r="N25" i="16"/>
  <c r="N24" i="16"/>
  <c r="N23" i="16"/>
  <c r="N22" i="16"/>
  <c r="N21" i="16"/>
  <c r="N20" i="16"/>
  <c r="N19" i="16"/>
  <c r="N18" i="16"/>
  <c r="N17" i="16"/>
  <c r="N16" i="16"/>
  <c r="N15" i="16"/>
  <c r="N14" i="16"/>
  <c r="N13" i="16"/>
  <c r="N12" i="16"/>
  <c r="N11" i="16"/>
  <c r="N10" i="16"/>
  <c r="N9" i="16"/>
  <c r="N8" i="16"/>
  <c r="N7" i="16"/>
  <c r="N6" i="16"/>
  <c r="N5" i="16"/>
  <c r="N4" i="16"/>
  <c r="O2" i="16" s="1" a="1"/>
  <c r="N3" i="16"/>
  <c r="N2" i="16"/>
  <c r="BM62" i="2" l="1"/>
  <c r="BM46" i="2"/>
  <c r="BM14" i="2"/>
  <c r="BM25" i="2"/>
  <c r="BM41" i="2"/>
  <c r="BM42" i="2"/>
  <c r="BM54" i="2"/>
  <c r="BM21" i="2"/>
  <c r="BM26" i="2"/>
  <c r="BM33" i="2"/>
  <c r="BM50" i="2"/>
  <c r="BM61" i="2"/>
  <c r="BM12" i="2"/>
  <c r="BM16" i="2"/>
  <c r="BM27" i="2"/>
  <c r="BM24" i="2"/>
  <c r="BM36" i="2"/>
  <c r="BM48" i="2"/>
  <c r="BM60" i="2"/>
  <c r="BM57" i="2"/>
  <c r="BM17" i="2"/>
  <c r="BM32" i="2"/>
  <c r="BM28" i="2"/>
  <c r="BM51" i="2"/>
  <c r="BM19" i="2"/>
  <c r="BM23" i="2"/>
  <c r="BM40" i="2"/>
  <c r="BM11" i="2"/>
  <c r="BM34" i="2"/>
  <c r="BM37" i="2"/>
  <c r="BM53" i="2"/>
  <c r="BM13" i="2"/>
  <c r="BM18" i="2"/>
  <c r="BM22" i="2"/>
  <c r="BM29" i="2"/>
  <c r="BM30" i="2"/>
  <c r="BM55" i="2"/>
  <c r="BM10" i="2"/>
  <c r="BM20" i="2"/>
  <c r="BM15" i="2"/>
  <c r="BM52" i="2"/>
  <c r="BM47" i="2"/>
  <c r="BM44" i="2"/>
  <c r="BM56" i="2"/>
  <c r="BM8" i="2"/>
  <c r="BM35" i="2"/>
  <c r="BM31" i="2"/>
  <c r="BM38" i="2"/>
  <c r="BM49" i="2"/>
  <c r="BM45" i="2"/>
  <c r="BM58" i="2"/>
  <c r="BM43" i="2"/>
  <c r="BM59" i="2"/>
  <c r="BM39" i="2"/>
  <c r="BM7" i="2"/>
  <c r="BM6" i="2"/>
  <c r="BM9" i="2"/>
  <c r="AJ52" i="3" a="1"/>
  <c r="AJ52" i="3" s="1"/>
  <c r="AJ51" i="3" a="1"/>
  <c r="AJ51" i="3" s="1"/>
  <c r="BM5" i="2"/>
  <c r="O2" i="16"/>
  <c r="O37" i="16"/>
  <c r="O33" i="16"/>
  <c r="O29" i="16"/>
  <c r="O25" i="16"/>
  <c r="O21" i="16"/>
  <c r="O17" i="16"/>
  <c r="O13" i="16"/>
  <c r="O9" i="16"/>
  <c r="O5" i="16"/>
  <c r="O40" i="16"/>
  <c r="O36" i="16"/>
  <c r="O32" i="16"/>
  <c r="O28" i="16"/>
  <c r="O24" i="16"/>
  <c r="O20" i="16"/>
  <c r="O16" i="16"/>
  <c r="O12" i="16"/>
  <c r="O8" i="16"/>
  <c r="O4" i="16"/>
  <c r="O39" i="16"/>
  <c r="O35" i="16"/>
  <c r="O31" i="16"/>
  <c r="O27" i="16"/>
  <c r="O23" i="16"/>
  <c r="O19" i="16"/>
  <c r="O15" i="16"/>
  <c r="O11" i="16"/>
  <c r="O7" i="16"/>
  <c r="O3" i="16"/>
  <c r="O38" i="16"/>
  <c r="O34" i="16"/>
  <c r="O30" i="16"/>
  <c r="O26" i="16"/>
  <c r="O22" i="16"/>
  <c r="O18" i="16"/>
  <c r="O14" i="16"/>
  <c r="O10" i="16"/>
  <c r="O6" i="16"/>
  <c r="P3" i="16" l="1"/>
  <c r="P7" i="16"/>
  <c r="P11" i="16"/>
  <c r="P15" i="16"/>
  <c r="P19" i="16"/>
  <c r="P23" i="16"/>
  <c r="P27" i="16"/>
  <c r="P31" i="16"/>
  <c r="P35" i="16"/>
  <c r="P39" i="16"/>
  <c r="P8" i="16"/>
  <c r="P16" i="16"/>
  <c r="P24" i="16"/>
  <c r="P32" i="16"/>
  <c r="P40" i="16"/>
  <c r="P4" i="16"/>
  <c r="P12" i="16"/>
  <c r="P20" i="16"/>
  <c r="P28" i="16"/>
  <c r="P36" i="16"/>
  <c r="P5" i="16"/>
  <c r="P9" i="16"/>
  <c r="P13" i="16"/>
  <c r="P17" i="16"/>
  <c r="P21" i="16"/>
  <c r="P25" i="16"/>
  <c r="P29" i="16"/>
  <c r="P33" i="16"/>
  <c r="P37" i="16"/>
  <c r="P2" i="16"/>
  <c r="P6" i="16"/>
  <c r="P10" i="16"/>
  <c r="P14" i="16"/>
  <c r="P18" i="16"/>
  <c r="P22" i="16"/>
  <c r="P26" i="16"/>
  <c r="P30" i="16"/>
  <c r="P34" i="16"/>
  <c r="P38" i="16"/>
  <c r="AQ65" i="3" l="1"/>
  <c r="AQ64" i="3"/>
  <c r="O37" i="1" l="1" a="1"/>
  <c r="O37" i="1" s="1"/>
  <c r="P37" i="1" a="1"/>
  <c r="P37" i="1" s="1"/>
  <c r="K2" i="16"/>
  <c r="V95" i="3" l="1"/>
  <c r="J95" i="3"/>
  <c r="E95" i="3"/>
  <c r="X95" i="3"/>
  <c r="I95" i="3"/>
  <c r="K95" i="3"/>
  <c r="F95" i="3"/>
  <c r="T95" i="3"/>
  <c r="M95" i="3"/>
  <c r="H95" i="3"/>
  <c r="P95" i="3"/>
  <c r="S95" i="3"/>
  <c r="R95" i="3"/>
  <c r="G95" i="3"/>
  <c r="L95" i="3"/>
  <c r="U95" i="3"/>
  <c r="Q95" i="3"/>
  <c r="W95" i="3"/>
  <c r="N95" i="3"/>
  <c r="O95" i="3"/>
  <c r="L40" i="16" l="1"/>
  <c r="K40" i="16"/>
  <c r="L39" i="16"/>
  <c r="K39" i="16"/>
  <c r="L38" i="16"/>
  <c r="K38" i="16"/>
  <c r="L37" i="16"/>
  <c r="K37" i="16"/>
  <c r="L36" i="16"/>
  <c r="K36" i="16"/>
  <c r="L35" i="16"/>
  <c r="K35" i="16"/>
  <c r="L34" i="16"/>
  <c r="K34" i="16"/>
  <c r="L33" i="16"/>
  <c r="K33" i="16"/>
  <c r="L32" i="16"/>
  <c r="K32" i="16"/>
  <c r="L31" i="16"/>
  <c r="K31" i="16"/>
  <c r="L30" i="16"/>
  <c r="K30" i="16"/>
  <c r="L29" i="16"/>
  <c r="K29" i="16"/>
  <c r="L28" i="16"/>
  <c r="K28" i="16"/>
  <c r="L27" i="16"/>
  <c r="K27" i="16"/>
  <c r="L26" i="16"/>
  <c r="K26" i="16"/>
  <c r="L25" i="16"/>
  <c r="K25" i="16"/>
  <c r="L24" i="16"/>
  <c r="K24" i="16"/>
  <c r="L23" i="16"/>
  <c r="K23" i="16"/>
  <c r="L22" i="16"/>
  <c r="K22" i="16"/>
  <c r="L21" i="16"/>
  <c r="K21" i="16"/>
  <c r="L20" i="16"/>
  <c r="K20" i="16"/>
  <c r="L19" i="16"/>
  <c r="K19" i="16"/>
  <c r="L18" i="16"/>
  <c r="K18" i="16"/>
  <c r="L17" i="16"/>
  <c r="K17" i="16"/>
  <c r="L16" i="16"/>
  <c r="K16" i="16"/>
  <c r="L15" i="16"/>
  <c r="K15" i="16"/>
  <c r="L14" i="16"/>
  <c r="K14" i="16"/>
  <c r="L13" i="16"/>
  <c r="K13" i="16"/>
  <c r="L12" i="16"/>
  <c r="K12" i="16"/>
  <c r="L11" i="16"/>
  <c r="K11" i="16"/>
  <c r="L10" i="16"/>
  <c r="K10" i="16"/>
  <c r="L9" i="16"/>
  <c r="K9" i="16"/>
  <c r="L8" i="16"/>
  <c r="K8" i="16"/>
  <c r="L7" i="16"/>
  <c r="K7" i="16"/>
  <c r="R26" i="16" l="1" a="1"/>
  <c r="V26" i="16" s="1"/>
  <c r="R28" i="16" a="1"/>
  <c r="X28" i="16" s="1"/>
  <c r="R30" i="16" a="1"/>
  <c r="W30" i="16" s="1"/>
  <c r="R32" i="16" a="1"/>
  <c r="Z32" i="16" s="1"/>
  <c r="R34" i="16" a="1"/>
  <c r="R34" i="16" s="1"/>
  <c r="R36" i="16" a="1"/>
  <c r="V36" i="16" s="1"/>
  <c r="R38" i="16" a="1"/>
  <c r="T38" i="16" s="1"/>
  <c r="R40" i="16" a="1"/>
  <c r="Z40" i="16" s="1"/>
  <c r="R27" i="16" a="1"/>
  <c r="X27" i="16" s="1"/>
  <c r="R29" i="16" a="1"/>
  <c r="W29" i="16" s="1"/>
  <c r="R31" i="16" a="1"/>
  <c r="Y31" i="16" s="1"/>
  <c r="R33" i="16" a="1"/>
  <c r="U33" i="16" s="1"/>
  <c r="R35" i="16" a="1"/>
  <c r="Z35" i="16" s="1"/>
  <c r="R37" i="16" a="1"/>
  <c r="V37" i="16" s="1"/>
  <c r="R39" i="16" a="1"/>
  <c r="S39" i="16" s="1"/>
  <c r="L6" i="16"/>
  <c r="K6" i="16"/>
  <c r="L5" i="16"/>
  <c r="K5" i="16"/>
  <c r="R25" i="16" l="1" a="1"/>
  <c r="S25" i="16" s="1"/>
  <c r="U32" i="16"/>
  <c r="S40" i="16"/>
  <c r="Y32" i="16"/>
  <c r="U40" i="16"/>
  <c r="W32" i="16"/>
  <c r="V40" i="16"/>
  <c r="AA40" i="16"/>
  <c r="X32" i="16"/>
  <c r="T32" i="16"/>
  <c r="Y40" i="16"/>
  <c r="R40" i="16"/>
  <c r="S32" i="16"/>
  <c r="AA27" i="16"/>
  <c r="R24" i="16" a="1"/>
  <c r="AB24" i="16" s="1"/>
  <c r="U27" i="16"/>
  <c r="U38" i="16"/>
  <c r="R23" i="16" a="1"/>
  <c r="W23" i="16" s="1"/>
  <c r="V27" i="16"/>
  <c r="Y27" i="16"/>
  <c r="T40" i="16"/>
  <c r="AB40" i="16"/>
  <c r="AB32" i="16"/>
  <c r="R32" i="16"/>
  <c r="S27" i="16"/>
  <c r="W40" i="16"/>
  <c r="X40" i="16"/>
  <c r="AA32" i="16"/>
  <c r="V32" i="16"/>
  <c r="Y30" i="16"/>
  <c r="AB30" i="16"/>
  <c r="W38" i="16"/>
  <c r="X30" i="16"/>
  <c r="U30" i="16"/>
  <c r="S33" i="16"/>
  <c r="AA38" i="16"/>
  <c r="Y38" i="16"/>
  <c r="AA30" i="16"/>
  <c r="Z33" i="16"/>
  <c r="X38" i="16"/>
  <c r="T30" i="16"/>
  <c r="AB38" i="16"/>
  <c r="V30" i="16"/>
  <c r="S30" i="16"/>
  <c r="Y33" i="16"/>
  <c r="S38" i="16"/>
  <c r="V38" i="16"/>
  <c r="S35" i="16"/>
  <c r="R22" i="16" a="1"/>
  <c r="V22" i="16" s="1"/>
  <c r="T34" i="16"/>
  <c r="AB34" i="16"/>
  <c r="T26" i="16"/>
  <c r="U26" i="16"/>
  <c r="Z34" i="16"/>
  <c r="X35" i="16"/>
  <c r="T39" i="16"/>
  <c r="R31" i="16"/>
  <c r="Z30" i="16"/>
  <c r="R30" i="16"/>
  <c r="R38" i="16"/>
  <c r="Z38" i="16"/>
  <c r="S34" i="16"/>
  <c r="V34" i="16"/>
  <c r="R26" i="16"/>
  <c r="Z26" i="16"/>
  <c r="Z31" i="16"/>
  <c r="U34" i="16"/>
  <c r="W26" i="16"/>
  <c r="AB31" i="16"/>
  <c r="T36" i="16"/>
  <c r="T28" i="16"/>
  <c r="V29" i="16"/>
  <c r="Y36" i="16"/>
  <c r="V28" i="16"/>
  <c r="Z37" i="16"/>
  <c r="R36" i="16"/>
  <c r="S36" i="16"/>
  <c r="AB36" i="16"/>
  <c r="Z36" i="16"/>
  <c r="U28" i="16"/>
  <c r="W28" i="16"/>
  <c r="AB28" i="16"/>
  <c r="AB26" i="16"/>
  <c r="AB37" i="16"/>
  <c r="Y37" i="16"/>
  <c r="V35" i="16"/>
  <c r="AA35" i="16"/>
  <c r="AA29" i="16"/>
  <c r="T27" i="16"/>
  <c r="Z27" i="16"/>
  <c r="U36" i="16"/>
  <c r="W36" i="16"/>
  <c r="AA36" i="16"/>
  <c r="X34" i="16"/>
  <c r="AA34" i="16"/>
  <c r="Z28" i="16"/>
  <c r="S28" i="16"/>
  <c r="AA28" i="16"/>
  <c r="AA26" i="16"/>
  <c r="S26" i="16"/>
  <c r="X26" i="16"/>
  <c r="T37" i="16"/>
  <c r="Y35" i="16"/>
  <c r="T35" i="16"/>
  <c r="U29" i="16"/>
  <c r="R27" i="16"/>
  <c r="AB27" i="16"/>
  <c r="X36" i="16"/>
  <c r="Y34" i="16"/>
  <c r="W34" i="16"/>
  <c r="Y28" i="16"/>
  <c r="R28" i="16"/>
  <c r="Y26" i="16"/>
  <c r="U37" i="16"/>
  <c r="R35" i="16"/>
  <c r="U35" i="16"/>
  <c r="R29" i="16"/>
  <c r="AA33" i="16"/>
  <c r="R33" i="16"/>
  <c r="T33" i="16"/>
  <c r="AB33" i="16"/>
  <c r="V33" i="16"/>
  <c r="W33" i="16"/>
  <c r="X33" i="16"/>
  <c r="Y39" i="16"/>
  <c r="AA37" i="16"/>
  <c r="T29" i="16"/>
  <c r="W31" i="16"/>
  <c r="T31" i="16"/>
  <c r="U31" i="16"/>
  <c r="R39" i="16"/>
  <c r="U39" i="16"/>
  <c r="W39" i="16"/>
  <c r="X31" i="16"/>
  <c r="S31" i="16"/>
  <c r="V39" i="16"/>
  <c r="Z39" i="16"/>
  <c r="AA39" i="16"/>
  <c r="X37" i="16"/>
  <c r="R37" i="16"/>
  <c r="S37" i="16"/>
  <c r="Z29" i="16"/>
  <c r="Y29" i="16"/>
  <c r="S29" i="16"/>
  <c r="W27" i="16"/>
  <c r="AA31" i="16"/>
  <c r="V31" i="16"/>
  <c r="X39" i="16"/>
  <c r="AB39" i="16"/>
  <c r="W37" i="16"/>
  <c r="W35" i="16"/>
  <c r="AB35" i="16"/>
  <c r="AB29" i="16"/>
  <c r="X29" i="16"/>
  <c r="L4" i="16"/>
  <c r="K4" i="16"/>
  <c r="L3" i="16"/>
  <c r="K3" i="16"/>
  <c r="L2" i="16"/>
  <c r="R21" i="16" l="1" a="1"/>
  <c r="AA21" i="16" s="1"/>
  <c r="R19" i="16" a="1"/>
  <c r="AA19" i="16" s="1"/>
  <c r="R18" i="16" a="1"/>
  <c r="AA18" i="16" s="1"/>
  <c r="R17" i="16" a="1"/>
  <c r="T17" i="16" s="1"/>
  <c r="AB25" i="16"/>
  <c r="AA25" i="16"/>
  <c r="Y25" i="16"/>
  <c r="Z25" i="16"/>
  <c r="R4" i="16" a="1"/>
  <c r="Z4" i="16" s="1"/>
  <c r="U25" i="16"/>
  <c r="V25" i="16"/>
  <c r="W25" i="16"/>
  <c r="R25" i="16"/>
  <c r="T25" i="16"/>
  <c r="X25" i="16"/>
  <c r="R16" i="16" a="1"/>
  <c r="W16" i="16" s="1"/>
  <c r="U24" i="16"/>
  <c r="U23" i="16"/>
  <c r="R24" i="16"/>
  <c r="Z23" i="16"/>
  <c r="V23" i="16"/>
  <c r="Y23" i="16"/>
  <c r="AA24" i="16"/>
  <c r="Y24" i="16"/>
  <c r="S24" i="16"/>
  <c r="T24" i="16"/>
  <c r="V24" i="16"/>
  <c r="W24" i="16"/>
  <c r="Z24" i="16"/>
  <c r="X24" i="16"/>
  <c r="R2" i="16" a="1"/>
  <c r="S2" i="16" s="1"/>
  <c r="R3" i="16" a="1"/>
  <c r="R15" i="16" a="1"/>
  <c r="AB23" i="16"/>
  <c r="T23" i="16"/>
  <c r="S23" i="16"/>
  <c r="X23" i="16"/>
  <c r="R23" i="16"/>
  <c r="AA23" i="16"/>
  <c r="R14" i="16" a="1"/>
  <c r="X14" i="16" s="1"/>
  <c r="Y22" i="16"/>
  <c r="R22" i="16"/>
  <c r="W22" i="16"/>
  <c r="S22" i="16"/>
  <c r="Z22" i="16"/>
  <c r="U22" i="16"/>
  <c r="AB22" i="16"/>
  <c r="AA22" i="16"/>
  <c r="T22" i="16"/>
  <c r="X22" i="16"/>
  <c r="R8" i="16" a="1"/>
  <c r="W8" i="16" s="1"/>
  <c r="R13" i="16" a="1"/>
  <c r="AB13" i="16" s="1"/>
  <c r="U21" i="16"/>
  <c r="W21" i="16"/>
  <c r="T21" i="16"/>
  <c r="AB21" i="16"/>
  <c r="S21" i="16"/>
  <c r="X21" i="16"/>
  <c r="Z21" i="16"/>
  <c r="R21" i="16"/>
  <c r="V21" i="16"/>
  <c r="Y21" i="16"/>
  <c r="R6" i="16" a="1"/>
  <c r="X6" i="16" s="1"/>
  <c r="R5" i="16" a="1"/>
  <c r="R20" i="16" a="1"/>
  <c r="U20" i="16" s="1"/>
  <c r="R12" i="16" a="1"/>
  <c r="R11" i="16" a="1"/>
  <c r="U11" i="16" s="1"/>
  <c r="U19" i="16"/>
  <c r="R7" i="16" a="1"/>
  <c r="R9" i="16" a="1"/>
  <c r="AA9" i="16" s="1"/>
  <c r="R10" i="16" a="1"/>
  <c r="R19" i="16" l="1"/>
  <c r="W18" i="16"/>
  <c r="T19" i="16"/>
  <c r="AB19" i="16"/>
  <c r="Z19" i="16"/>
  <c r="S19" i="16"/>
  <c r="W19" i="16"/>
  <c r="V19" i="16"/>
  <c r="X19" i="16"/>
  <c r="Y19" i="16"/>
  <c r="U18" i="16"/>
  <c r="X18" i="16"/>
  <c r="R18" i="16"/>
  <c r="S18" i="16"/>
  <c r="Z18" i="16"/>
  <c r="AB18" i="16"/>
  <c r="V18" i="16"/>
  <c r="Y18" i="16"/>
  <c r="T18" i="16"/>
  <c r="Z17" i="16"/>
  <c r="Y17" i="16"/>
  <c r="V17" i="16"/>
  <c r="AA17" i="16"/>
  <c r="AB17" i="16"/>
  <c r="U17" i="16"/>
  <c r="X17" i="16"/>
  <c r="R17" i="16"/>
  <c r="S17" i="16"/>
  <c r="W17" i="16"/>
  <c r="W4" i="16"/>
  <c r="R4" i="16"/>
  <c r="Y4" i="16"/>
  <c r="T4" i="16"/>
  <c r="V4" i="16"/>
  <c r="AA4" i="16"/>
  <c r="S4" i="16"/>
  <c r="U4" i="16"/>
  <c r="X4" i="16"/>
  <c r="T2" i="16"/>
  <c r="AB4" i="16"/>
  <c r="T16" i="16"/>
  <c r="S16" i="16"/>
  <c r="AA16" i="16"/>
  <c r="U2" i="16"/>
  <c r="U16" i="16"/>
  <c r="Y2" i="16"/>
  <c r="Y16" i="16"/>
  <c r="AB16" i="16"/>
  <c r="X16" i="16"/>
  <c r="V16" i="16"/>
  <c r="Z16" i="16"/>
  <c r="R16" i="16"/>
  <c r="Z2" i="16"/>
  <c r="AA2" i="16"/>
  <c r="V2" i="16"/>
  <c r="AB2" i="16"/>
  <c r="W2" i="16"/>
  <c r="R2" i="16"/>
  <c r="X2" i="16"/>
  <c r="AA14" i="16"/>
  <c r="R6" i="16"/>
  <c r="T3" i="16"/>
  <c r="W3" i="16"/>
  <c r="X3" i="16"/>
  <c r="U3" i="16"/>
  <c r="Z3" i="16"/>
  <c r="R3" i="16"/>
  <c r="Y3" i="16"/>
  <c r="S3" i="16"/>
  <c r="AB3" i="16"/>
  <c r="AA3" i="16"/>
  <c r="V3" i="16"/>
  <c r="T13" i="16"/>
  <c r="AB6" i="16"/>
  <c r="Z14" i="16"/>
  <c r="V14" i="16"/>
  <c r="Y15" i="16"/>
  <c r="R15" i="16"/>
  <c r="S15" i="16"/>
  <c r="AA15" i="16"/>
  <c r="X15" i="16"/>
  <c r="W15" i="16"/>
  <c r="AB15" i="16"/>
  <c r="Z15" i="16"/>
  <c r="U15" i="16"/>
  <c r="T15" i="16"/>
  <c r="V15" i="16"/>
  <c r="R14" i="16"/>
  <c r="U8" i="16"/>
  <c r="S8" i="16"/>
  <c r="AB8" i="16"/>
  <c r="AB14" i="16"/>
  <c r="Y14" i="16"/>
  <c r="W14" i="16"/>
  <c r="S14" i="16"/>
  <c r="U14" i="16"/>
  <c r="T14" i="16"/>
  <c r="AA8" i="16"/>
  <c r="Z8" i="16"/>
  <c r="X8" i="16"/>
  <c r="V8" i="16"/>
  <c r="T8" i="16"/>
  <c r="R8" i="16"/>
  <c r="Y8" i="16"/>
  <c r="W6" i="16"/>
  <c r="Z6" i="16"/>
  <c r="AA6" i="16"/>
  <c r="AA13" i="16"/>
  <c r="X13" i="16"/>
  <c r="Y6" i="16"/>
  <c r="V6" i="16"/>
  <c r="T6" i="16"/>
  <c r="V13" i="16"/>
  <c r="Z13" i="16"/>
  <c r="U6" i="16"/>
  <c r="S6" i="16"/>
  <c r="W13" i="16"/>
  <c r="U13" i="16"/>
  <c r="S13" i="16"/>
  <c r="R13" i="16"/>
  <c r="Y13" i="16"/>
  <c r="AB20" i="16"/>
  <c r="S20" i="16"/>
  <c r="V20" i="16"/>
  <c r="W20" i="16"/>
  <c r="X20" i="16"/>
  <c r="R20" i="16"/>
  <c r="Y20" i="16"/>
  <c r="AA20" i="16"/>
  <c r="T20" i="16"/>
  <c r="T5" i="16"/>
  <c r="R5" i="16"/>
  <c r="Y5" i="16"/>
  <c r="AA5" i="16"/>
  <c r="U5" i="16"/>
  <c r="W5" i="16"/>
  <c r="Z5" i="16"/>
  <c r="X5" i="16"/>
  <c r="AB5" i="16"/>
  <c r="V5" i="16"/>
  <c r="S5" i="16"/>
  <c r="Z20" i="16"/>
  <c r="R11" i="16"/>
  <c r="V11" i="16"/>
  <c r="AA12" i="16"/>
  <c r="V12" i="16"/>
  <c r="AB12" i="16"/>
  <c r="W12" i="16"/>
  <c r="R12" i="16"/>
  <c r="X12" i="16"/>
  <c r="S12" i="16"/>
  <c r="Y12" i="16"/>
  <c r="T12" i="16"/>
  <c r="Z12" i="16"/>
  <c r="U12" i="16"/>
  <c r="AA11" i="16"/>
  <c r="S11" i="16"/>
  <c r="AB11" i="16"/>
  <c r="W11" i="16"/>
  <c r="Y11" i="16"/>
  <c r="T11" i="16"/>
  <c r="Z11" i="16"/>
  <c r="X11" i="16"/>
  <c r="Y9" i="16"/>
  <c r="S9" i="16"/>
  <c r="AB9" i="16"/>
  <c r="U9" i="16"/>
  <c r="W9" i="16"/>
  <c r="AB7" i="16"/>
  <c r="W7" i="16"/>
  <c r="R7" i="16"/>
  <c r="X7" i="16"/>
  <c r="S7" i="16"/>
  <c r="Y7" i="16"/>
  <c r="T7" i="16"/>
  <c r="Z7" i="16"/>
  <c r="U7" i="16"/>
  <c r="AA7" i="16"/>
  <c r="V7" i="16"/>
  <c r="R9" i="16"/>
  <c r="T9" i="16"/>
  <c r="Z9" i="16"/>
  <c r="X9" i="16"/>
  <c r="T10" i="16"/>
  <c r="Z10" i="16"/>
  <c r="U10" i="16"/>
  <c r="AA10" i="16"/>
  <c r="V10" i="16"/>
  <c r="AB10" i="16"/>
  <c r="W10" i="16"/>
  <c r="R10" i="16"/>
  <c r="X10" i="16"/>
  <c r="S10" i="16"/>
  <c r="Y10" i="16"/>
  <c r="V9" i="16"/>
  <c r="C50" i="3"/>
  <c r="T3" i="18" l="1" a="1"/>
  <c r="B58" i="3"/>
  <c r="A15" i="1"/>
  <c r="G76" i="2"/>
  <c r="E68" i="2"/>
  <c r="I76" i="2"/>
  <c r="O76" i="2"/>
  <c r="W76" i="2"/>
  <c r="V76" i="2"/>
  <c r="T76" i="2"/>
  <c r="S76" i="2"/>
  <c r="Q76" i="2"/>
  <c r="C95" i="3" l="1"/>
  <c r="U3" i="18"/>
  <c r="Y3" i="18"/>
  <c r="AC3" i="18"/>
  <c r="V4" i="18"/>
  <c r="Z4" i="18"/>
  <c r="AD4" i="18"/>
  <c r="W5" i="18"/>
  <c r="AA5" i="18"/>
  <c r="T6" i="18"/>
  <c r="X6" i="18"/>
  <c r="AB6" i="18"/>
  <c r="U7" i="18"/>
  <c r="Y7" i="18"/>
  <c r="AC7" i="18"/>
  <c r="V8" i="18"/>
  <c r="Z8" i="18"/>
  <c r="AD8" i="18"/>
  <c r="W9" i="18"/>
  <c r="AA9" i="18"/>
  <c r="T10" i="18"/>
  <c r="X10" i="18"/>
  <c r="AB10" i="18"/>
  <c r="U11" i="18"/>
  <c r="Y11" i="18"/>
  <c r="AC11" i="18"/>
  <c r="V12" i="18"/>
  <c r="Z12" i="18"/>
  <c r="AD12" i="18"/>
  <c r="W13" i="18"/>
  <c r="AA13" i="18"/>
  <c r="T14" i="18"/>
  <c r="X14" i="18"/>
  <c r="AB14" i="18"/>
  <c r="U15" i="18"/>
  <c r="Y15" i="18"/>
  <c r="AC15" i="18"/>
  <c r="V16" i="18"/>
  <c r="Z16" i="18"/>
  <c r="AD16" i="18"/>
  <c r="W17" i="18"/>
  <c r="AA17" i="18"/>
  <c r="T18" i="18"/>
  <c r="X18" i="18"/>
  <c r="AB18" i="18"/>
  <c r="U19" i="18"/>
  <c r="Y19" i="18"/>
  <c r="AC19" i="18"/>
  <c r="V20" i="18"/>
  <c r="Z20" i="18"/>
  <c r="AD20" i="18"/>
  <c r="W21" i="18"/>
  <c r="AA21" i="18"/>
  <c r="T22" i="18"/>
  <c r="X22" i="18"/>
  <c r="AB22" i="18"/>
  <c r="U23" i="18"/>
  <c r="Y23" i="18"/>
  <c r="AC23" i="18"/>
  <c r="V24" i="18"/>
  <c r="Z24" i="18"/>
  <c r="AD24" i="18"/>
  <c r="W25" i="18"/>
  <c r="AA25" i="18"/>
  <c r="T26" i="18"/>
  <c r="X26" i="18"/>
  <c r="AB26" i="18"/>
  <c r="V3" i="18"/>
  <c r="Z3" i="18"/>
  <c r="AD3" i="18"/>
  <c r="W4" i="18"/>
  <c r="AA4" i="18"/>
  <c r="T5" i="18"/>
  <c r="X5" i="18"/>
  <c r="AB5" i="18"/>
  <c r="U6" i="18"/>
  <c r="Y6" i="18"/>
  <c r="AC6" i="18"/>
  <c r="V7" i="18"/>
  <c r="Z7" i="18"/>
  <c r="AD7" i="18"/>
  <c r="W8" i="18"/>
  <c r="AA8" i="18"/>
  <c r="T9" i="18"/>
  <c r="X9" i="18"/>
  <c r="AB9" i="18"/>
  <c r="AA3" i="18"/>
  <c r="X4" i="18"/>
  <c r="U5" i="18"/>
  <c r="AC5" i="18"/>
  <c r="Z6" i="18"/>
  <c r="W7" i="18"/>
  <c r="T8" i="18"/>
  <c r="AB8" i="18"/>
  <c r="Y9" i="18"/>
  <c r="U10" i="18"/>
  <c r="Z10" i="18"/>
  <c r="T11" i="18"/>
  <c r="Z11" i="18"/>
  <c r="T12" i="18"/>
  <c r="Y12" i="18"/>
  <c r="T13" i="18"/>
  <c r="Y13" i="18"/>
  <c r="AD13" i="18"/>
  <c r="Y14" i="18"/>
  <c r="AD14" i="18"/>
  <c r="X15" i="18"/>
  <c r="AD15" i="18"/>
  <c r="X16" i="18"/>
  <c r="AC16" i="18"/>
  <c r="X17" i="18"/>
  <c r="AC17" i="18"/>
  <c r="W18" i="18"/>
  <c r="AC18" i="18"/>
  <c r="W19" i="18"/>
  <c r="AB19" i="18"/>
  <c r="W20" i="18"/>
  <c r="AB20" i="18"/>
  <c r="V21" i="18"/>
  <c r="AB21" i="18"/>
  <c r="V22" i="18"/>
  <c r="AA22" i="18"/>
  <c r="V23" i="18"/>
  <c r="AA23" i="18"/>
  <c r="U24" i="18"/>
  <c r="AA24" i="18"/>
  <c r="U25" i="18"/>
  <c r="Z25" i="18"/>
  <c r="U26" i="18"/>
  <c r="Z26" i="18"/>
  <c r="T3" i="18"/>
  <c r="AB3" i="18"/>
  <c r="Y4" i="18"/>
  <c r="V5" i="18"/>
  <c r="AD5" i="18"/>
  <c r="AA6" i="18"/>
  <c r="X7" i="18"/>
  <c r="U8" i="18"/>
  <c r="AC8" i="18"/>
  <c r="Z9" i="18"/>
  <c r="V10" i="18"/>
  <c r="AA10" i="18"/>
  <c r="V11" i="18"/>
  <c r="AA11" i="18"/>
  <c r="U12" i="18"/>
  <c r="AA12" i="18"/>
  <c r="U13" i="18"/>
  <c r="Z13" i="18"/>
  <c r="U14" i="18"/>
  <c r="Z14" i="18"/>
  <c r="T15" i="18"/>
  <c r="Z15" i="18"/>
  <c r="T16" i="18"/>
  <c r="T17" i="18"/>
  <c r="Y17" i="18"/>
  <c r="AD17" i="18"/>
  <c r="Y18" i="18"/>
  <c r="X19" i="18"/>
  <c r="AC20" i="18"/>
  <c r="W22" i="18"/>
  <c r="AB23" i="18"/>
  <c r="AA26" i="18"/>
  <c r="W3" i="18"/>
  <c r="T4" i="18"/>
  <c r="AB4" i="18"/>
  <c r="Y5" i="18"/>
  <c r="V6" i="18"/>
  <c r="AD6" i="18"/>
  <c r="AA7" i="18"/>
  <c r="X8" i="18"/>
  <c r="U9" i="18"/>
  <c r="AC9" i="18"/>
  <c r="W10" i="18"/>
  <c r="AC10" i="18"/>
  <c r="W11" i="18"/>
  <c r="AB11" i="18"/>
  <c r="W12" i="18"/>
  <c r="AB12" i="18"/>
  <c r="V13" i="18"/>
  <c r="AB13" i="18"/>
  <c r="V14" i="18"/>
  <c r="AA14" i="18"/>
  <c r="V15" i="18"/>
  <c r="AA15" i="18"/>
  <c r="U16" i="18"/>
  <c r="AA16" i="18"/>
  <c r="U17" i="18"/>
  <c r="Z17" i="18"/>
  <c r="U18" i="18"/>
  <c r="Z18" i="18"/>
  <c r="T19" i="18"/>
  <c r="Z19" i="18"/>
  <c r="T20" i="18"/>
  <c r="Y20" i="18"/>
  <c r="T21" i="18"/>
  <c r="Y21" i="18"/>
  <c r="AD21" i="18"/>
  <c r="Y22" i="18"/>
  <c r="AD22" i="18"/>
  <c r="X23" i="18"/>
  <c r="AD23" i="18"/>
  <c r="X24" i="18"/>
  <c r="AC24" i="18"/>
  <c r="X25" i="18"/>
  <c r="AC25" i="18"/>
  <c r="W26" i="18"/>
  <c r="AC26" i="18"/>
  <c r="X3" i="18"/>
  <c r="U4" i="18"/>
  <c r="AC4" i="18"/>
  <c r="Z5" i="18"/>
  <c r="W6" i="18"/>
  <c r="T7" i="18"/>
  <c r="AB7" i="18"/>
  <c r="Y8" i="18"/>
  <c r="V9" i="18"/>
  <c r="AD9" i="18"/>
  <c r="Y10" i="18"/>
  <c r="AD10" i="18"/>
  <c r="X11" i="18"/>
  <c r="AD11" i="18"/>
  <c r="X12" i="18"/>
  <c r="AC12" i="18"/>
  <c r="X13" i="18"/>
  <c r="AC13" i="18"/>
  <c r="W14" i="18"/>
  <c r="AC14" i="18"/>
  <c r="W15" i="18"/>
  <c r="AB15" i="18"/>
  <c r="W16" i="18"/>
  <c r="AB16" i="18"/>
  <c r="V17" i="18"/>
  <c r="AB17" i="18"/>
  <c r="V18" i="18"/>
  <c r="AA18" i="18"/>
  <c r="V19" i="18"/>
  <c r="AA19" i="18"/>
  <c r="U20" i="18"/>
  <c r="AA20" i="18"/>
  <c r="U21" i="18"/>
  <c r="Z21" i="18"/>
  <c r="U22" i="18"/>
  <c r="Z22" i="18"/>
  <c r="T23" i="18"/>
  <c r="Z23" i="18"/>
  <c r="T24" i="18"/>
  <c r="Y24" i="18"/>
  <c r="T25" i="18"/>
  <c r="Y25" i="18"/>
  <c r="AD25" i="18"/>
  <c r="Y26" i="18"/>
  <c r="AD26" i="18"/>
  <c r="Y16" i="18"/>
  <c r="AD18" i="18"/>
  <c r="AD19" i="18"/>
  <c r="X20" i="18"/>
  <c r="X21" i="18"/>
  <c r="AC21" i="18"/>
  <c r="AC22" i="18"/>
  <c r="W23" i="18"/>
  <c r="W24" i="18"/>
  <c r="AB24" i="18"/>
  <c r="V25" i="18"/>
  <c r="AB25" i="18"/>
  <c r="V26" i="18"/>
  <c r="Y76" i="2"/>
  <c r="F76" i="2"/>
  <c r="E76" i="2"/>
  <c r="L76" i="2"/>
  <c r="J76" i="2"/>
  <c r="Z76" i="2"/>
  <c r="K76" i="2"/>
  <c r="D76" i="2"/>
  <c r="H76" i="2"/>
  <c r="P76" i="2"/>
  <c r="N76" i="2"/>
  <c r="M76" i="2"/>
  <c r="X76" i="2"/>
  <c r="U76" i="2"/>
  <c r="R76" i="2"/>
  <c r="BB64" i="2" l="1"/>
  <c r="AM5" i="3"/>
  <c r="AJ5" i="3"/>
  <c r="AW5" i="3"/>
  <c r="AL5" i="3"/>
  <c r="AK5" i="3"/>
  <c r="AO5" i="3"/>
  <c r="AS5" i="3"/>
  <c r="AN5" i="3"/>
  <c r="AV5" i="3" l="1"/>
  <c r="AR5" i="3"/>
  <c r="AP5" i="3"/>
  <c r="AT5" i="3" s="1"/>
  <c r="AQ5" i="3"/>
  <c r="A23" i="1"/>
  <c r="A22" i="1"/>
  <c r="A21" i="1"/>
  <c r="A20" i="1"/>
  <c r="A19" i="1"/>
  <c r="A18" i="1"/>
  <c r="A17" i="1"/>
  <c r="A16" i="1"/>
  <c r="A14" i="1"/>
  <c r="A13" i="1"/>
  <c r="A12" i="1"/>
  <c r="A11" i="1"/>
  <c r="A10" i="1"/>
  <c r="A9" i="1"/>
  <c r="A8" i="1"/>
  <c r="A7" i="1"/>
  <c r="A6" i="1"/>
  <c r="AU32" i="3" l="1"/>
  <c r="AU42" i="3"/>
  <c r="AU24" i="3"/>
  <c r="AU12" i="3"/>
  <c r="AU9" i="3"/>
  <c r="AU44" i="3"/>
  <c r="AU39" i="3"/>
  <c r="AU15" i="3"/>
  <c r="AU20" i="3"/>
  <c r="AU35" i="3"/>
  <c r="AU21" i="3"/>
  <c r="AU34" i="3"/>
  <c r="AU23" i="3"/>
  <c r="AU28" i="3"/>
  <c r="AU18" i="3"/>
  <c r="AU41" i="3"/>
  <c r="AU7" i="3"/>
  <c r="AU47" i="3"/>
  <c r="AU46" i="3"/>
  <c r="AU26" i="3"/>
  <c r="AU43" i="3"/>
  <c r="AU11" i="3"/>
  <c r="AU36" i="3"/>
  <c r="AU31" i="3"/>
  <c r="AU37" i="3"/>
  <c r="AU30" i="3"/>
  <c r="AU19" i="3"/>
  <c r="AU17" i="3"/>
  <c r="AU8" i="3"/>
  <c r="AU10" i="3"/>
  <c r="AU13" i="3"/>
  <c r="AU33" i="3"/>
  <c r="AU6" i="3"/>
  <c r="AU27" i="3"/>
  <c r="AU22" i="3"/>
  <c r="AU25" i="3"/>
  <c r="AU40" i="3"/>
  <c r="AU29" i="3"/>
  <c r="AU45" i="3"/>
  <c r="AU16" i="3"/>
  <c r="AU14" i="3"/>
  <c r="AU38" i="3"/>
  <c r="AU48" i="3"/>
  <c r="O3" i="1"/>
  <c r="P3" i="1"/>
  <c r="Z27" i="1" l="1"/>
  <c r="Z28" i="1"/>
  <c r="Z29" i="1"/>
  <c r="Z30" i="1"/>
  <c r="Z31" i="1"/>
  <c r="Z32" i="1"/>
  <c r="Y27" i="1"/>
  <c r="Y28" i="1"/>
  <c r="Y29" i="1"/>
  <c r="Y30" i="1"/>
  <c r="Y31" i="1"/>
  <c r="Y32" i="1"/>
  <c r="D69" i="2" l="1" a="1"/>
  <c r="AG3" i="1"/>
  <c r="AF3" i="1"/>
  <c r="K77" i="2"/>
  <c r="D77" i="2"/>
  <c r="L77" i="2"/>
  <c r="Z77" i="2"/>
  <c r="J77" i="2"/>
  <c r="Y77" i="2"/>
  <c r="H77" i="2"/>
  <c r="E77" i="2"/>
  <c r="I77" i="2"/>
  <c r="F77" i="2"/>
  <c r="G77" i="2"/>
  <c r="P77" i="2"/>
  <c r="O77" i="2"/>
  <c r="N77" i="2"/>
  <c r="M77" i="2"/>
  <c r="X77" i="2"/>
  <c r="W77" i="2"/>
  <c r="V77" i="2"/>
  <c r="U77" i="2"/>
  <c r="T77" i="2"/>
  <c r="S77" i="2"/>
  <c r="R77" i="2"/>
  <c r="Q77" i="2"/>
  <c r="E69" i="2" l="1"/>
  <c r="H69" i="2"/>
  <c r="P69" i="2"/>
  <c r="X69" i="2"/>
  <c r="AF69" i="2"/>
  <c r="K69" i="2"/>
  <c r="S69" i="2"/>
  <c r="AA69" i="2"/>
  <c r="D69" i="2"/>
  <c r="L69" i="2"/>
  <c r="T69" i="2"/>
  <c r="AB69" i="2"/>
  <c r="G69" i="2"/>
  <c r="O69" i="2"/>
  <c r="W69" i="2"/>
  <c r="AE69" i="2"/>
  <c r="R69" i="2"/>
  <c r="AC69" i="2"/>
  <c r="M69" i="2"/>
  <c r="AD69" i="2"/>
  <c r="N69" i="2"/>
  <c r="Y69" i="2"/>
  <c r="I69" i="2"/>
  <c r="Z69" i="2"/>
  <c r="J69" i="2"/>
  <c r="U69" i="2"/>
  <c r="V69" i="2"/>
  <c r="F69" i="2"/>
  <c r="Q69" i="2"/>
  <c r="AD19" i="1"/>
  <c r="AC19" i="1"/>
  <c r="AB19" i="1"/>
  <c r="AD18" i="1"/>
  <c r="AC18" i="1"/>
  <c r="AB18" i="1"/>
  <c r="AD17" i="1"/>
  <c r="AC17" i="1"/>
  <c r="AB17" i="1"/>
  <c r="AD16" i="1"/>
  <c r="AC16" i="1"/>
  <c r="AB16" i="1"/>
  <c r="AD15" i="1"/>
  <c r="AC15" i="1"/>
  <c r="AB15" i="1"/>
  <c r="AD14" i="1"/>
  <c r="AC14" i="1"/>
  <c r="AB14" i="1"/>
  <c r="AD13" i="1"/>
  <c r="AC13" i="1"/>
  <c r="AB13" i="1"/>
  <c r="AD12" i="1"/>
  <c r="AC12" i="1"/>
  <c r="AB12" i="1"/>
  <c r="AD11" i="1"/>
  <c r="AC11" i="1"/>
  <c r="AB11" i="1"/>
  <c r="AD10" i="1"/>
  <c r="AC10" i="1"/>
  <c r="AB10" i="1"/>
  <c r="AD9" i="1"/>
  <c r="AC9" i="1"/>
  <c r="AB9" i="1"/>
  <c r="AD8" i="1"/>
  <c r="AC8" i="1"/>
  <c r="AB8" i="1"/>
  <c r="AD7" i="1"/>
  <c r="AC7" i="1"/>
  <c r="AB7" i="1"/>
  <c r="AD6" i="1"/>
  <c r="AC6" i="1"/>
  <c r="AB6" i="1"/>
  <c r="AD5" i="1"/>
  <c r="AB5" i="1"/>
  <c r="D65" i="2" a="1"/>
  <c r="D65" i="2" s="1"/>
  <c r="E65" i="2" a="1"/>
  <c r="E65" i="2" s="1"/>
  <c r="F65" i="2" a="1"/>
  <c r="F65" i="2" s="1"/>
  <c r="G65" i="2" a="1"/>
  <c r="G65" i="2" s="1"/>
  <c r="H65" i="2" a="1"/>
  <c r="H65" i="2" s="1"/>
  <c r="I65" i="2" a="1"/>
  <c r="I65" i="2" s="1"/>
  <c r="J65" i="2" a="1"/>
  <c r="J65" i="2" s="1"/>
  <c r="K65" i="2" a="1"/>
  <c r="K65" i="2" s="1"/>
  <c r="L65" i="2" a="1"/>
  <c r="L65" i="2" s="1"/>
  <c r="M65" i="2" a="1"/>
  <c r="M65" i="2" s="1"/>
  <c r="N65" i="2" a="1"/>
  <c r="N65" i="2" s="1"/>
  <c r="O65" i="2" a="1"/>
  <c r="O65" i="2" s="1"/>
  <c r="P65" i="2" a="1"/>
  <c r="P65" i="2" s="1"/>
  <c r="Q65" i="2" a="1"/>
  <c r="Q65" i="2" s="1"/>
  <c r="R65" i="2" a="1"/>
  <c r="R65" i="2" s="1"/>
  <c r="S65" i="2" a="1"/>
  <c r="S65" i="2" s="1"/>
  <c r="T65" i="2" a="1"/>
  <c r="T65" i="2" s="1"/>
  <c r="U65" i="2" a="1"/>
  <c r="U65" i="2" s="1"/>
  <c r="V65" i="2" a="1"/>
  <c r="V65" i="2" s="1"/>
  <c r="W65" i="2" a="1"/>
  <c r="W65" i="2" s="1"/>
  <c r="X65" i="2" a="1"/>
  <c r="X65" i="2" s="1"/>
  <c r="Y65" i="2" a="1"/>
  <c r="Y65" i="2" s="1"/>
  <c r="Z65" i="2" a="1"/>
  <c r="Z65" i="2" s="1"/>
  <c r="AA65" i="2" a="1"/>
  <c r="AA65" i="2" s="1"/>
  <c r="AB65" i="2" a="1"/>
  <c r="AB65" i="2" s="1"/>
  <c r="AC65" i="2" a="1"/>
  <c r="AC65" i="2" s="1"/>
  <c r="AD65" i="2" a="1"/>
  <c r="AD65" i="2" s="1"/>
  <c r="AE65" i="2" a="1"/>
  <c r="AE65" i="2" s="1"/>
  <c r="AF65" i="2" a="1"/>
  <c r="AF65" i="2" s="1"/>
  <c r="D66" i="2" a="1"/>
  <c r="D66" i="2" s="1"/>
  <c r="E66" i="2" a="1"/>
  <c r="E66" i="2" s="1"/>
  <c r="F66" i="2" a="1"/>
  <c r="F66" i="2" s="1"/>
  <c r="G66" i="2" a="1"/>
  <c r="G66" i="2" s="1"/>
  <c r="H66" i="2" a="1"/>
  <c r="H66" i="2" s="1"/>
  <c r="I66" i="2" a="1"/>
  <c r="I66" i="2" s="1"/>
  <c r="J66" i="2" a="1"/>
  <c r="J66" i="2" s="1"/>
  <c r="K66" i="2" a="1"/>
  <c r="K66" i="2" s="1"/>
  <c r="L66" i="2" a="1"/>
  <c r="L66" i="2" s="1"/>
  <c r="M66" i="2" a="1"/>
  <c r="M66" i="2" s="1"/>
  <c r="N66" i="2" a="1"/>
  <c r="N66" i="2" s="1"/>
  <c r="O66" i="2" a="1"/>
  <c r="O66" i="2" s="1"/>
  <c r="P66" i="2" a="1"/>
  <c r="P66" i="2" s="1"/>
  <c r="Q66" i="2" a="1"/>
  <c r="Q66" i="2" s="1"/>
  <c r="R66" i="2" a="1"/>
  <c r="R66" i="2" s="1"/>
  <c r="S66" i="2" a="1"/>
  <c r="S66" i="2" s="1"/>
  <c r="T66" i="2" a="1"/>
  <c r="T66" i="2" s="1"/>
  <c r="U66" i="2" a="1"/>
  <c r="U66" i="2" s="1"/>
  <c r="V66" i="2" a="1"/>
  <c r="V66" i="2" s="1"/>
  <c r="W66" i="2" a="1"/>
  <c r="W66" i="2" s="1"/>
  <c r="X66" i="2" a="1"/>
  <c r="X66" i="2" s="1"/>
  <c r="Y66" i="2" a="1"/>
  <c r="Y66" i="2" s="1"/>
  <c r="Z66" i="2" a="1"/>
  <c r="Z66" i="2" s="1"/>
  <c r="AA66" i="2" a="1"/>
  <c r="AA66" i="2" s="1"/>
  <c r="AB66" i="2" a="1"/>
  <c r="AB66" i="2" s="1"/>
  <c r="AC66" i="2" a="1"/>
  <c r="AC66" i="2" s="1"/>
  <c r="AD66" i="2" a="1"/>
  <c r="AD66" i="2" s="1"/>
  <c r="AE66" i="2" a="1"/>
  <c r="AE66" i="2" s="1"/>
  <c r="AF66" i="2" a="1"/>
  <c r="AF66" i="2" s="1"/>
  <c r="A16" i="4"/>
  <c r="B16" i="4"/>
  <c r="B15" i="4" s="1"/>
  <c r="C16" i="4"/>
  <c r="C15" i="4" s="1"/>
  <c r="D16" i="4"/>
  <c r="D15" i="4" s="1"/>
  <c r="E16" i="4"/>
  <c r="E15" i="4" s="1"/>
  <c r="F16" i="4"/>
  <c r="F15" i="4" s="1"/>
  <c r="G16" i="4"/>
  <c r="G15" i="4" s="1"/>
  <c r="H16" i="4"/>
  <c r="H15" i="4" s="1"/>
  <c r="I16" i="4"/>
  <c r="I15" i="4" s="1"/>
  <c r="J16" i="4"/>
  <c r="J15" i="4" s="1"/>
  <c r="K16" i="4"/>
  <c r="K15" i="4" s="1"/>
  <c r="L16" i="4"/>
  <c r="L15" i="4" s="1"/>
  <c r="M16" i="4"/>
  <c r="M15" i="4" s="1"/>
  <c r="N16" i="4"/>
  <c r="N15" i="4" s="1"/>
  <c r="O16" i="4"/>
  <c r="O15" i="4" s="1"/>
  <c r="Z16" i="4"/>
  <c r="Z15" i="4" s="1"/>
  <c r="AA16" i="4"/>
  <c r="AA15" i="4" s="1"/>
  <c r="AB16" i="4"/>
  <c r="AB15" i="4" s="1"/>
  <c r="AC16" i="4"/>
  <c r="AC15" i="4" s="1"/>
  <c r="AD16" i="4"/>
  <c r="AD15" i="4" s="1"/>
  <c r="AE16" i="4"/>
  <c r="AE15" i="4" s="1"/>
  <c r="AF16" i="4"/>
  <c r="AF15" i="4" s="1"/>
  <c r="AG16" i="4"/>
  <c r="AG15" i="4" s="1"/>
  <c r="AH16" i="4"/>
  <c r="AH15" i="4" s="1"/>
  <c r="AI16" i="4"/>
  <c r="AI15" i="4" s="1"/>
  <c r="AJ16" i="4"/>
  <c r="AJ15" i="4" s="1"/>
  <c r="AK16" i="4"/>
  <c r="AK15" i="4" s="1"/>
  <c r="AL16" i="4"/>
  <c r="AL15" i="4" s="1"/>
  <c r="AM16" i="4"/>
  <c r="AM15" i="4" s="1"/>
  <c r="AN16" i="4"/>
  <c r="AN15" i="4" s="1"/>
  <c r="AO16" i="4"/>
  <c r="AO15" i="4" s="1"/>
  <c r="A17" i="4"/>
  <c r="B17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Z17" i="4"/>
  <c r="AA17" i="4"/>
  <c r="AB17" i="4"/>
  <c r="AC17" i="4"/>
  <c r="AD17" i="4"/>
  <c r="AE17" i="4"/>
  <c r="AF17" i="4"/>
  <c r="AG17" i="4"/>
  <c r="AH17" i="4"/>
  <c r="AI17" i="4"/>
  <c r="AJ17" i="4"/>
  <c r="AK17" i="4"/>
  <c r="AL17" i="4"/>
  <c r="AM17" i="4"/>
  <c r="AN17" i="4"/>
  <c r="AO17" i="4"/>
  <c r="A18" i="4"/>
  <c r="B18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Z18" i="4"/>
  <c r="AA18" i="4"/>
  <c r="AB18" i="4"/>
  <c r="AC18" i="4"/>
  <c r="AD18" i="4"/>
  <c r="AE18" i="4"/>
  <c r="AF18" i="4"/>
  <c r="AG18" i="4"/>
  <c r="AH18" i="4"/>
  <c r="AI18" i="4"/>
  <c r="AJ18" i="4"/>
  <c r="AK18" i="4"/>
  <c r="AL18" i="4"/>
  <c r="AM18" i="4"/>
  <c r="AN18" i="4"/>
  <c r="AO18" i="4"/>
  <c r="A19" i="4"/>
  <c r="B19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Z19" i="4"/>
  <c r="AA19" i="4"/>
  <c r="AB19" i="4"/>
  <c r="AC19" i="4"/>
  <c r="AD19" i="4"/>
  <c r="AE19" i="4"/>
  <c r="AF19" i="4"/>
  <c r="AG19" i="4"/>
  <c r="AH19" i="4"/>
  <c r="AI19" i="4"/>
  <c r="AJ19" i="4"/>
  <c r="AK19" i="4"/>
  <c r="AL19" i="4"/>
  <c r="AM19" i="4"/>
  <c r="AN19" i="4"/>
  <c r="AO19" i="4"/>
  <c r="A20" i="4"/>
  <c r="B20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Z20" i="4"/>
  <c r="AA20" i="4"/>
  <c r="AB20" i="4"/>
  <c r="AC20" i="4"/>
  <c r="AD20" i="4"/>
  <c r="AE20" i="4"/>
  <c r="AF20" i="4"/>
  <c r="AG20" i="4"/>
  <c r="AH20" i="4"/>
  <c r="AI20" i="4"/>
  <c r="AJ20" i="4"/>
  <c r="AK20" i="4"/>
  <c r="AL20" i="4"/>
  <c r="AM20" i="4"/>
  <c r="AN20" i="4"/>
  <c r="AO20" i="4"/>
  <c r="A21" i="4"/>
  <c r="B21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Z21" i="4"/>
  <c r="AA21" i="4"/>
  <c r="AB21" i="4"/>
  <c r="AC21" i="4"/>
  <c r="AD21" i="4"/>
  <c r="AE21" i="4"/>
  <c r="AF21" i="4"/>
  <c r="AG21" i="4"/>
  <c r="AH21" i="4"/>
  <c r="AI21" i="4"/>
  <c r="AJ21" i="4"/>
  <c r="AK21" i="4"/>
  <c r="AL21" i="4"/>
  <c r="AM21" i="4"/>
  <c r="AN21" i="4"/>
  <c r="AO21" i="4"/>
  <c r="A22" i="4"/>
  <c r="B22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Z22" i="4"/>
  <c r="AA22" i="4"/>
  <c r="AB22" i="4"/>
  <c r="AC22" i="4"/>
  <c r="AD22" i="4"/>
  <c r="AE22" i="4"/>
  <c r="AF22" i="4"/>
  <c r="AG22" i="4"/>
  <c r="AH22" i="4"/>
  <c r="AI22" i="4"/>
  <c r="AJ22" i="4"/>
  <c r="AK22" i="4"/>
  <c r="AL22" i="4"/>
  <c r="AM22" i="4"/>
  <c r="AN22" i="4"/>
  <c r="AO22" i="4"/>
  <c r="A23" i="4"/>
  <c r="B23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Z23" i="4"/>
  <c r="AA23" i="4"/>
  <c r="AB23" i="4"/>
  <c r="AC23" i="4"/>
  <c r="AD23" i="4"/>
  <c r="AE23" i="4"/>
  <c r="AF23" i="4"/>
  <c r="AG23" i="4"/>
  <c r="AH23" i="4"/>
  <c r="AI23" i="4"/>
  <c r="AJ23" i="4"/>
  <c r="AK23" i="4"/>
  <c r="AL23" i="4"/>
  <c r="AM23" i="4"/>
  <c r="AN23" i="4"/>
  <c r="AO23" i="4"/>
  <c r="A24" i="4"/>
  <c r="B24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Z24" i="4"/>
  <c r="AA24" i="4"/>
  <c r="AB24" i="4"/>
  <c r="AC24" i="4"/>
  <c r="AD24" i="4"/>
  <c r="AE24" i="4"/>
  <c r="AF24" i="4"/>
  <c r="AG24" i="4"/>
  <c r="AH24" i="4"/>
  <c r="AI24" i="4"/>
  <c r="AJ24" i="4"/>
  <c r="AK24" i="4"/>
  <c r="AL24" i="4"/>
  <c r="AM24" i="4"/>
  <c r="AN24" i="4"/>
  <c r="AO24" i="4"/>
  <c r="A25" i="4"/>
  <c r="B25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Z25" i="4"/>
  <c r="AA25" i="4"/>
  <c r="AB25" i="4"/>
  <c r="AC25" i="4"/>
  <c r="AD25" i="4"/>
  <c r="AE25" i="4"/>
  <c r="AF25" i="4"/>
  <c r="AG25" i="4"/>
  <c r="AH25" i="4"/>
  <c r="AI25" i="4"/>
  <c r="AJ25" i="4"/>
  <c r="AK25" i="4"/>
  <c r="AL25" i="4"/>
  <c r="AM25" i="4"/>
  <c r="AN25" i="4"/>
  <c r="AO25" i="4"/>
  <c r="A26" i="4"/>
  <c r="B26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Z26" i="4"/>
  <c r="AA26" i="4"/>
  <c r="AB26" i="4"/>
  <c r="AC26" i="4"/>
  <c r="AD26" i="4"/>
  <c r="AE26" i="4"/>
  <c r="AF26" i="4"/>
  <c r="AG26" i="4"/>
  <c r="AH26" i="4"/>
  <c r="AI26" i="4"/>
  <c r="AJ26" i="4"/>
  <c r="AK26" i="4"/>
  <c r="AL26" i="4"/>
  <c r="AM26" i="4"/>
  <c r="AN26" i="4"/>
  <c r="AO26" i="4"/>
  <c r="A28" i="4"/>
  <c r="A29" i="4"/>
  <c r="B29" i="4"/>
  <c r="B41" i="4" s="1"/>
  <c r="B42" i="4" s="1"/>
  <c r="C29" i="4"/>
  <c r="C41" i="4" s="1"/>
  <c r="C42" i="4" s="1"/>
  <c r="C43" i="4" s="1"/>
  <c r="D29" i="4"/>
  <c r="D41" i="4" s="1"/>
  <c r="D42" i="4" s="1"/>
  <c r="E29" i="4"/>
  <c r="E41" i="4" s="1"/>
  <c r="E42" i="4" s="1"/>
  <c r="F29" i="4"/>
  <c r="F41" i="4" s="1"/>
  <c r="F42" i="4" s="1"/>
  <c r="G29" i="4"/>
  <c r="G41" i="4" s="1"/>
  <c r="G42" i="4" s="1"/>
  <c r="G43" i="4" s="1"/>
  <c r="H29" i="4"/>
  <c r="H41" i="4" s="1"/>
  <c r="H42" i="4" s="1"/>
  <c r="I29" i="4"/>
  <c r="I41" i="4" s="1"/>
  <c r="I42" i="4" s="1"/>
  <c r="J29" i="4"/>
  <c r="J41" i="4" s="1"/>
  <c r="J42" i="4" s="1"/>
  <c r="K29" i="4"/>
  <c r="K41" i="4" s="1"/>
  <c r="K42" i="4" s="1"/>
  <c r="K43" i="4" s="1"/>
  <c r="L29" i="4"/>
  <c r="L41" i="4" s="1"/>
  <c r="L42" i="4" s="1"/>
  <c r="M29" i="4"/>
  <c r="N29" i="4"/>
  <c r="N41" i="4" s="1"/>
  <c r="N42" i="4" s="1"/>
  <c r="O29" i="4"/>
  <c r="O41" i="4" s="1"/>
  <c r="O42" i="4" s="1"/>
  <c r="O43" i="4" s="1"/>
  <c r="Z29" i="4"/>
  <c r="Z41" i="4" s="1"/>
  <c r="Z42" i="4" s="1"/>
  <c r="AA29" i="4"/>
  <c r="AA41" i="4" s="1"/>
  <c r="AA42" i="4" s="1"/>
  <c r="AB29" i="4"/>
  <c r="AB41" i="4" s="1"/>
  <c r="AB42" i="4" s="1"/>
  <c r="AC29" i="4"/>
  <c r="AC41" i="4" s="1"/>
  <c r="AC42" i="4" s="1"/>
  <c r="AC43" i="4" s="1"/>
  <c r="AD29" i="4"/>
  <c r="AD41" i="4" s="1"/>
  <c r="AD42" i="4" s="1"/>
  <c r="AE29" i="4"/>
  <c r="AE41" i="4" s="1"/>
  <c r="AE42" i="4" s="1"/>
  <c r="AF29" i="4"/>
  <c r="AF41" i="4" s="1"/>
  <c r="AF42" i="4" s="1"/>
  <c r="AG29" i="4"/>
  <c r="AG41" i="4" s="1"/>
  <c r="AG42" i="4" s="1"/>
  <c r="AG43" i="4" s="1"/>
  <c r="AH29" i="4"/>
  <c r="AH41" i="4" s="1"/>
  <c r="AH42" i="4" s="1"/>
  <c r="AI29" i="4"/>
  <c r="AI41" i="4" s="1"/>
  <c r="AI42" i="4" s="1"/>
  <c r="AJ29" i="4"/>
  <c r="AJ41" i="4" s="1"/>
  <c r="AJ42" i="4" s="1"/>
  <c r="AK29" i="4"/>
  <c r="AK41" i="4" s="1"/>
  <c r="AK42" i="4" s="1"/>
  <c r="AK43" i="4" s="1"/>
  <c r="AL29" i="4"/>
  <c r="AL41" i="4" s="1"/>
  <c r="AL42" i="4" s="1"/>
  <c r="AM29" i="4"/>
  <c r="AN29" i="4"/>
  <c r="AN41" i="4" s="1"/>
  <c r="AN42" i="4" s="1"/>
  <c r="AO29" i="4"/>
  <c r="AO41" i="4" s="1"/>
  <c r="AO42" i="4" s="1"/>
  <c r="AO43" i="4" s="1"/>
  <c r="A30" i="4"/>
  <c r="B30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Z30" i="4"/>
  <c r="AA30" i="4"/>
  <c r="AB30" i="4"/>
  <c r="AC30" i="4"/>
  <c r="AD30" i="4"/>
  <c r="AE30" i="4"/>
  <c r="AF30" i="4"/>
  <c r="AG30" i="4"/>
  <c r="AH30" i="4"/>
  <c r="AI30" i="4"/>
  <c r="AJ30" i="4"/>
  <c r="AK30" i="4"/>
  <c r="AL30" i="4"/>
  <c r="AM30" i="4"/>
  <c r="AN30" i="4"/>
  <c r="AO30" i="4"/>
  <c r="A31" i="4"/>
  <c r="B31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Z31" i="4"/>
  <c r="AA31" i="4"/>
  <c r="AB31" i="4"/>
  <c r="AC31" i="4"/>
  <c r="AD31" i="4"/>
  <c r="AE31" i="4"/>
  <c r="AF31" i="4"/>
  <c r="AG31" i="4"/>
  <c r="AH31" i="4"/>
  <c r="AI31" i="4"/>
  <c r="AJ31" i="4"/>
  <c r="AK31" i="4"/>
  <c r="AL31" i="4"/>
  <c r="AM31" i="4"/>
  <c r="AN31" i="4"/>
  <c r="AO31" i="4"/>
  <c r="A32" i="4"/>
  <c r="B32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Z32" i="4"/>
  <c r="AA32" i="4"/>
  <c r="AB32" i="4"/>
  <c r="AC32" i="4"/>
  <c r="AD32" i="4"/>
  <c r="AE32" i="4"/>
  <c r="AF32" i="4"/>
  <c r="AG32" i="4"/>
  <c r="AH32" i="4"/>
  <c r="AI32" i="4"/>
  <c r="AJ32" i="4"/>
  <c r="AK32" i="4"/>
  <c r="AL32" i="4"/>
  <c r="AM32" i="4"/>
  <c r="AN32" i="4"/>
  <c r="AO32" i="4"/>
  <c r="A33" i="4"/>
  <c r="B33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Z33" i="4"/>
  <c r="AA33" i="4"/>
  <c r="AB33" i="4"/>
  <c r="AC33" i="4"/>
  <c r="AD33" i="4"/>
  <c r="AE33" i="4"/>
  <c r="AF33" i="4"/>
  <c r="AG33" i="4"/>
  <c r="AH33" i="4"/>
  <c r="AI33" i="4"/>
  <c r="AJ33" i="4"/>
  <c r="AK33" i="4"/>
  <c r="AL33" i="4"/>
  <c r="AM33" i="4"/>
  <c r="AN33" i="4"/>
  <c r="AO33" i="4"/>
  <c r="A34" i="4"/>
  <c r="B34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Z34" i="4"/>
  <c r="AA34" i="4"/>
  <c r="AB34" i="4"/>
  <c r="AC34" i="4"/>
  <c r="AD34" i="4"/>
  <c r="AE34" i="4"/>
  <c r="AF34" i="4"/>
  <c r="AG34" i="4"/>
  <c r="AH34" i="4"/>
  <c r="AI34" i="4"/>
  <c r="AJ34" i="4"/>
  <c r="AK34" i="4"/>
  <c r="AL34" i="4"/>
  <c r="AM34" i="4"/>
  <c r="AN34" i="4"/>
  <c r="AO34" i="4"/>
  <c r="A35" i="4"/>
  <c r="B35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Z35" i="4"/>
  <c r="AA35" i="4"/>
  <c r="AB35" i="4"/>
  <c r="AC35" i="4"/>
  <c r="AD35" i="4"/>
  <c r="AE35" i="4"/>
  <c r="AF35" i="4"/>
  <c r="AG35" i="4"/>
  <c r="AH35" i="4"/>
  <c r="AI35" i="4"/>
  <c r="AJ35" i="4"/>
  <c r="AK35" i="4"/>
  <c r="AL35" i="4"/>
  <c r="AM35" i="4"/>
  <c r="AN35" i="4"/>
  <c r="AO35" i="4"/>
  <c r="A36" i="4"/>
  <c r="B36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Z36" i="4"/>
  <c r="AA36" i="4"/>
  <c r="AB36" i="4"/>
  <c r="AC36" i="4"/>
  <c r="AD36" i="4"/>
  <c r="AE36" i="4"/>
  <c r="AF36" i="4"/>
  <c r="AG36" i="4"/>
  <c r="AH36" i="4"/>
  <c r="AI36" i="4"/>
  <c r="AJ36" i="4"/>
  <c r="AK36" i="4"/>
  <c r="AL36" i="4"/>
  <c r="AM36" i="4"/>
  <c r="AN36" i="4"/>
  <c r="AO36" i="4"/>
  <c r="A37" i="4"/>
  <c r="B37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Z37" i="4"/>
  <c r="AA37" i="4"/>
  <c r="AB37" i="4"/>
  <c r="AC37" i="4"/>
  <c r="AD37" i="4"/>
  <c r="AE37" i="4"/>
  <c r="AF37" i="4"/>
  <c r="AG37" i="4"/>
  <c r="AH37" i="4"/>
  <c r="AI37" i="4"/>
  <c r="AJ37" i="4"/>
  <c r="AK37" i="4"/>
  <c r="AL37" i="4"/>
  <c r="AM37" i="4"/>
  <c r="AN37" i="4"/>
  <c r="AO37" i="4"/>
  <c r="A38" i="4"/>
  <c r="B38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Z38" i="4"/>
  <c r="AA38" i="4"/>
  <c r="AB38" i="4"/>
  <c r="AC38" i="4"/>
  <c r="AD38" i="4"/>
  <c r="AE38" i="4"/>
  <c r="AF38" i="4"/>
  <c r="AG38" i="4"/>
  <c r="AH38" i="4"/>
  <c r="AI38" i="4"/>
  <c r="AJ38" i="4"/>
  <c r="AK38" i="4"/>
  <c r="AL38" i="4"/>
  <c r="AM38" i="4"/>
  <c r="AN38" i="4"/>
  <c r="AO38" i="4"/>
  <c r="A39" i="4"/>
  <c r="B39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Z39" i="4"/>
  <c r="AA39" i="4"/>
  <c r="AB39" i="4"/>
  <c r="AC39" i="4"/>
  <c r="AD39" i="4"/>
  <c r="AE39" i="4"/>
  <c r="AF39" i="4"/>
  <c r="AG39" i="4"/>
  <c r="AH39" i="4"/>
  <c r="AI39" i="4"/>
  <c r="AJ39" i="4"/>
  <c r="AK39" i="4"/>
  <c r="AL39" i="4"/>
  <c r="AM39" i="4"/>
  <c r="AN39" i="4"/>
  <c r="AO39" i="4"/>
  <c r="M41" i="4"/>
  <c r="M42" i="4" s="1"/>
  <c r="M43" i="4" s="1"/>
  <c r="AM41" i="4"/>
  <c r="AM42" i="4" s="1"/>
  <c r="AM43" i="4" s="1"/>
  <c r="H44" i="4"/>
  <c r="H45" i="4" s="1"/>
  <c r="K45" i="4" s="1"/>
  <c r="N45" i="4" s="1"/>
  <c r="C4" i="7" s="1"/>
  <c r="D45" i="4" a="1"/>
  <c r="D45" i="4" s="1"/>
  <c r="D46" i="4" a="1"/>
  <c r="D46" i="4" s="1"/>
  <c r="L46" i="4"/>
  <c r="H46" i="4" s="1"/>
  <c r="M46" i="4" s="1"/>
  <c r="B5" i="7" s="1"/>
  <c r="D47" i="4" a="1"/>
  <c r="D47" i="4" s="1"/>
  <c r="D48" i="4" a="1"/>
  <c r="D48" i="4" s="1"/>
  <c r="D49" i="4" a="1"/>
  <c r="D49" i="4" s="1"/>
  <c r="D50" i="4" a="1"/>
  <c r="D50" i="4" s="1"/>
  <c r="D51" i="4" a="1"/>
  <c r="D51" i="4" s="1"/>
  <c r="D52" i="4" a="1"/>
  <c r="D52" i="4" s="1"/>
  <c r="D53" i="4" a="1"/>
  <c r="D53" i="4" s="1"/>
  <c r="D54" i="4" a="1"/>
  <c r="D54" i="4" s="1"/>
  <c r="D55" i="4" a="1"/>
  <c r="D55" i="4" s="1"/>
  <c r="D56" i="4" a="1"/>
  <c r="D56" i="4" s="1"/>
  <c r="D57" i="4" a="1"/>
  <c r="D57" i="4" s="1"/>
  <c r="D58" i="4" a="1"/>
  <c r="D58" i="4" s="1"/>
  <c r="D59" i="4" a="1"/>
  <c r="D59" i="4" s="1"/>
  <c r="D60" i="4" a="1"/>
  <c r="D60" i="4" s="1"/>
  <c r="D61" i="4" a="1"/>
  <c r="D61" i="4" s="1"/>
  <c r="D62" i="4" a="1"/>
  <c r="D62" i="4" s="1"/>
  <c r="D63" i="4" a="1"/>
  <c r="D63" i="4" s="1"/>
  <c r="D64" i="4" a="1"/>
  <c r="D64" i="4" s="1"/>
  <c r="D65" i="4" a="1"/>
  <c r="D65" i="4" s="1"/>
  <c r="D66" i="4" a="1"/>
  <c r="D66" i="4" s="1"/>
  <c r="D67" i="4" a="1"/>
  <c r="D67" i="4" s="1"/>
  <c r="D68" i="4" a="1"/>
  <c r="D68" i="4" s="1"/>
  <c r="D69" i="4" a="1"/>
  <c r="D69" i="4" s="1"/>
  <c r="D70" i="4" a="1"/>
  <c r="D70" i="4" s="1"/>
  <c r="D71" i="4" a="1"/>
  <c r="D71" i="4" s="1"/>
  <c r="D72" i="4" a="1"/>
  <c r="D72" i="4" s="1"/>
  <c r="D73" i="4" a="1"/>
  <c r="D73" i="4" s="1"/>
  <c r="D74" i="4" a="1"/>
  <c r="D74" i="4" s="1"/>
  <c r="D75" i="4" a="1"/>
  <c r="D75" i="4" s="1"/>
  <c r="D76" i="4" a="1"/>
  <c r="D76" i="4" s="1"/>
  <c r="D77" i="4" a="1"/>
  <c r="D77" i="4" s="1"/>
  <c r="D78" i="4" a="1"/>
  <c r="D78" i="4" s="1"/>
  <c r="D79" i="4" a="1"/>
  <c r="D79" i="4" s="1"/>
  <c r="D80" i="4" a="1"/>
  <c r="D80" i="4" s="1"/>
  <c r="K86" i="4"/>
  <c r="N86" i="4" s="1"/>
  <c r="M86" i="4"/>
  <c r="O86" i="4"/>
  <c r="K87" i="4"/>
  <c r="N87" i="4" s="1"/>
  <c r="M87" i="4"/>
  <c r="O87" i="4"/>
  <c r="H89" i="4" a="1"/>
  <c r="H89" i="4" s="1"/>
  <c r="H90" i="4" a="1"/>
  <c r="H90" i="4" s="1"/>
  <c r="H91" i="4" a="1"/>
  <c r="H91" i="4" s="1"/>
  <c r="H92" i="4" a="1"/>
  <c r="H92" i="4" s="1"/>
  <c r="O6" i="5"/>
  <c r="O7" i="5" s="1"/>
  <c r="O8" i="5"/>
  <c r="O9" i="5" s="1"/>
  <c r="O10" i="5" s="1"/>
  <c r="O11" i="5" s="1"/>
  <c r="O12" i="5" s="1"/>
  <c r="O13" i="5" s="1"/>
  <c r="O14" i="5" s="1"/>
  <c r="O15" i="5" s="1"/>
  <c r="O16" i="5" s="1"/>
  <c r="A4" i="7"/>
  <c r="A5" i="1"/>
  <c r="AB20" i="1"/>
  <c r="AC20" i="1"/>
  <c r="AD20" i="1"/>
  <c r="AB21" i="1"/>
  <c r="AC21" i="1"/>
  <c r="AD21" i="1"/>
  <c r="AB22" i="1"/>
  <c r="AC22" i="1"/>
  <c r="AD22" i="1"/>
  <c r="AB23" i="1"/>
  <c r="AC23" i="1"/>
  <c r="AD23" i="1"/>
  <c r="A24" i="1"/>
  <c r="AB24" i="1"/>
  <c r="AC24" i="1"/>
  <c r="AD24" i="1"/>
  <c r="A25" i="1"/>
  <c r="AB25" i="1"/>
  <c r="AC25" i="1"/>
  <c r="AD25" i="1"/>
  <c r="A26" i="1"/>
  <c r="AB26" i="1"/>
  <c r="AC26" i="1"/>
  <c r="AD26" i="1"/>
  <c r="A27" i="1"/>
  <c r="AB27" i="1"/>
  <c r="AC27" i="1"/>
  <c r="AD27" i="1"/>
  <c r="A28" i="1"/>
  <c r="AB28" i="1"/>
  <c r="AC28" i="1"/>
  <c r="AD28" i="1"/>
  <c r="A29" i="1"/>
  <c r="AB29" i="1"/>
  <c r="AC29" i="1"/>
  <c r="AD29" i="1"/>
  <c r="A30" i="1"/>
  <c r="AB30" i="1"/>
  <c r="AC30" i="1"/>
  <c r="AD30" i="1"/>
  <c r="A31" i="1"/>
  <c r="AB31" i="1"/>
  <c r="AC31" i="1"/>
  <c r="AD31" i="1"/>
  <c r="A32" i="1"/>
  <c r="AB32" i="1"/>
  <c r="AC32" i="1"/>
  <c r="AD32" i="1"/>
  <c r="O34" i="1"/>
  <c r="P34" i="1"/>
  <c r="O36" i="1" a="1"/>
  <c r="O36" i="1" s="1"/>
  <c r="O38" i="1" s="1"/>
  <c r="P36" i="1" a="1"/>
  <c r="P36" i="1" s="1"/>
  <c r="P38" i="1" s="1"/>
  <c r="Q36" i="1"/>
  <c r="R36" i="1"/>
  <c r="S36" i="1"/>
  <c r="T36" i="1"/>
  <c r="U36" i="1"/>
  <c r="V36" i="1"/>
  <c r="W36" i="1"/>
  <c r="X36" i="1"/>
  <c r="U50" i="3"/>
  <c r="AA74" i="2"/>
  <c r="C55" i="3"/>
  <c r="K54" i="3"/>
  <c r="AD75" i="2"/>
  <c r="AF55" i="3"/>
  <c r="L68" i="2"/>
  <c r="AE55" i="3"/>
  <c r="D55" i="3"/>
  <c r="Z54" i="3"/>
  <c r="AC50" i="3"/>
  <c r="AD74" i="2"/>
  <c r="AB50" i="3"/>
  <c r="F54" i="3"/>
  <c r="J54" i="3"/>
  <c r="AA75" i="2"/>
  <c r="H54" i="3"/>
  <c r="H55" i="3"/>
  <c r="AC68" i="2"/>
  <c r="J55" i="3"/>
  <c r="F55" i="3"/>
  <c r="G55" i="3"/>
  <c r="U54" i="3"/>
  <c r="H68" i="2"/>
  <c r="H50" i="3"/>
  <c r="AE54" i="3"/>
  <c r="K55" i="3"/>
  <c r="E50" i="3"/>
  <c r="G50" i="3"/>
  <c r="AD50" i="3"/>
  <c r="I68" i="2"/>
  <c r="X50" i="3"/>
  <c r="L75" i="2"/>
  <c r="Y55" i="3"/>
  <c r="AC74" i="2"/>
  <c r="F74" i="2"/>
  <c r="K50" i="3"/>
  <c r="Y68" i="2"/>
  <c r="AE68" i="2"/>
  <c r="Z74" i="2"/>
  <c r="F75" i="2"/>
  <c r="C54" i="3"/>
  <c r="X54" i="3"/>
  <c r="Y50" i="3"/>
  <c r="AB75" i="2"/>
  <c r="AB54" i="3"/>
  <c r="AE74" i="2"/>
  <c r="AF54" i="3"/>
  <c r="E55" i="3"/>
  <c r="K75" i="2"/>
  <c r="Y54" i="3"/>
  <c r="AD55" i="3"/>
  <c r="F68" i="2"/>
  <c r="AB74" i="2"/>
  <c r="Z68" i="2"/>
  <c r="G54" i="3"/>
  <c r="H75" i="2"/>
  <c r="H74" i="2"/>
  <c r="AA68" i="2"/>
  <c r="D50" i="3"/>
  <c r="Y74" i="2"/>
  <c r="G74" i="2"/>
  <c r="Z50" i="3"/>
  <c r="G75" i="2"/>
  <c r="AA50" i="3"/>
  <c r="K74" i="2"/>
  <c r="J75" i="2"/>
  <c r="AE75" i="2"/>
  <c r="D68" i="2"/>
  <c r="G68" i="2"/>
  <c r="AE50" i="3"/>
  <c r="F50" i="3"/>
  <c r="AC55" i="3"/>
  <c r="AA54" i="3"/>
  <c r="J74" i="2"/>
  <c r="D74" i="2"/>
  <c r="D54" i="3"/>
  <c r="E74" i="2"/>
  <c r="X55" i="3"/>
  <c r="AC54" i="3"/>
  <c r="L74" i="2"/>
  <c r="Y75" i="2"/>
  <c r="Z75" i="2"/>
  <c r="I74" i="2"/>
  <c r="AA55" i="3"/>
  <c r="U55" i="3"/>
  <c r="AC75" i="2"/>
  <c r="AB55" i="3"/>
  <c r="AB68" i="2"/>
  <c r="AD54" i="3"/>
  <c r="E75" i="2"/>
  <c r="AD68" i="2"/>
  <c r="E54" i="3"/>
  <c r="I75" i="2"/>
  <c r="AF50" i="3"/>
  <c r="J68" i="2"/>
  <c r="Z55" i="3"/>
  <c r="AF68" i="2"/>
  <c r="P68" i="2"/>
  <c r="P74" i="2"/>
  <c r="P75" i="2"/>
  <c r="N50" i="3"/>
  <c r="N55" i="3"/>
  <c r="N54" i="3"/>
  <c r="O68" i="2"/>
  <c r="O75" i="2"/>
  <c r="O74" i="2"/>
  <c r="M55" i="3"/>
  <c r="M54" i="3"/>
  <c r="M50" i="3"/>
  <c r="N68" i="2"/>
  <c r="N75" i="2"/>
  <c r="L54" i="3"/>
  <c r="L55" i="3"/>
  <c r="L50" i="3"/>
  <c r="M68" i="2"/>
  <c r="M74" i="2"/>
  <c r="X75" i="2"/>
  <c r="X74" i="2"/>
  <c r="X68" i="2"/>
  <c r="W74" i="2"/>
  <c r="W68" i="2"/>
  <c r="W75" i="2"/>
  <c r="V75" i="2"/>
  <c r="V74" i="2"/>
  <c r="V68" i="2"/>
  <c r="U75" i="2"/>
  <c r="U68" i="2"/>
  <c r="U74" i="2"/>
  <c r="S55" i="3"/>
  <c r="S50" i="3"/>
  <c r="S54" i="3"/>
  <c r="T75" i="2"/>
  <c r="T74" i="2"/>
  <c r="T68" i="2"/>
  <c r="R55" i="3"/>
  <c r="R50" i="3"/>
  <c r="R54" i="3"/>
  <c r="S75" i="2"/>
  <c r="S74" i="2"/>
  <c r="S68" i="2"/>
  <c r="Q54" i="3"/>
  <c r="Q50" i="3"/>
  <c r="Q55" i="3"/>
  <c r="R68" i="2"/>
  <c r="R75" i="2"/>
  <c r="R74" i="2"/>
  <c r="I54" i="3"/>
  <c r="I55" i="3"/>
  <c r="I50" i="3"/>
  <c r="P54" i="3"/>
  <c r="P50" i="3"/>
  <c r="P55" i="3"/>
  <c r="O50" i="3"/>
  <c r="O54" i="3"/>
  <c r="Z72" i="2"/>
  <c r="S72" i="2"/>
  <c r="D72" i="2"/>
  <c r="Y72" i="2"/>
  <c r="AA72" i="2"/>
  <c r="T72" i="2"/>
  <c r="J72" i="2"/>
  <c r="W72" i="2"/>
  <c r="AC72" i="2"/>
  <c r="V72" i="2"/>
  <c r="X72" i="2"/>
  <c r="I72" i="2"/>
  <c r="M72" i="2"/>
  <c r="R72" i="2"/>
  <c r="AD72" i="2"/>
  <c r="AE72" i="2"/>
  <c r="K72" i="2"/>
  <c r="F72" i="2"/>
  <c r="G72" i="2"/>
  <c r="N72" i="2"/>
  <c r="E72" i="2"/>
  <c r="H72" i="2"/>
  <c r="P72" i="2"/>
  <c r="AB72" i="2"/>
  <c r="O72" i="2"/>
  <c r="U72" i="2"/>
  <c r="L72" i="2"/>
  <c r="Q68" i="2"/>
  <c r="Q72" i="2"/>
  <c r="Q75" i="2"/>
  <c r="Q74" i="2"/>
  <c r="W54" i="3"/>
  <c r="W55" i="3"/>
  <c r="W50" i="3"/>
  <c r="T55" i="3"/>
  <c r="O55" i="3"/>
  <c r="T50" i="3"/>
  <c r="T54" i="3"/>
  <c r="V55" i="3"/>
  <c r="V50" i="3"/>
  <c r="V54" i="3"/>
  <c r="BF9" i="18" l="1" a="1"/>
  <c r="BF9" i="18" s="1"/>
  <c r="BE9" i="18" a="1"/>
  <c r="AK69" i="2"/>
  <c r="AT69" i="2"/>
  <c r="AB36" i="1" a="1"/>
  <c r="AB36" i="1" s="1"/>
  <c r="BF3" i="18" s="1"/>
  <c r="B2" i="17" a="1"/>
  <c r="L47" i="4"/>
  <c r="AI43" i="4"/>
  <c r="AE43" i="4"/>
  <c r="AA43" i="4"/>
  <c r="I43" i="4"/>
  <c r="E43" i="4"/>
  <c r="A41" i="4"/>
  <c r="A42" i="4" s="1"/>
  <c r="Y36" i="1"/>
  <c r="BE8" i="18" s="1"/>
  <c r="A5" i="7"/>
  <c r="A43" i="4"/>
  <c r="AN43" i="4"/>
  <c r="AL43" i="4"/>
  <c r="AJ43" i="4"/>
  <c r="AH43" i="4"/>
  <c r="AF43" i="4"/>
  <c r="AD43" i="4"/>
  <c r="AB43" i="4"/>
  <c r="Z43" i="4"/>
  <c r="N43" i="4"/>
  <c r="L43" i="4"/>
  <c r="J43" i="4"/>
  <c r="H43" i="4"/>
  <c r="F43" i="4"/>
  <c r="D43" i="4"/>
  <c r="B43" i="4"/>
  <c r="A15" i="4" a="1"/>
  <c r="A15" i="4" s="1"/>
  <c r="AB2" i="1"/>
  <c r="AW64" i="2"/>
  <c r="AK66" i="2"/>
  <c r="AB3" i="1" a="1"/>
  <c r="AB3" i="1" s="1"/>
  <c r="AC36" i="1"/>
  <c r="BE4" i="18" s="1"/>
  <c r="BE5" i="18" s="1"/>
  <c r="K46" i="4"/>
  <c r="N46" i="4" s="1"/>
  <c r="C5" i="7" s="1"/>
  <c r="O39" i="1"/>
  <c r="BF7" i="18" s="1"/>
  <c r="O46" i="4"/>
  <c r="D5" i="7" s="1"/>
  <c r="AZ64" i="2"/>
  <c r="AX64" i="2"/>
  <c r="AU64" i="2"/>
  <c r="AK65" i="2"/>
  <c r="BA64" i="2"/>
  <c r="AY64" i="2"/>
  <c r="AT64" i="2"/>
  <c r="O45" i="4"/>
  <c r="D4" i="7" s="1"/>
  <c r="M45" i="4"/>
  <c r="B4" i="7" s="1"/>
  <c r="BF64" i="2"/>
  <c r="AJ55" i="3"/>
  <c r="AJ54" i="3"/>
  <c r="AJ50" i="3"/>
  <c r="BJ64" i="2"/>
  <c r="AO68" i="2"/>
  <c r="BH64" i="2"/>
  <c r="BK64" i="2"/>
  <c r="BI64" i="2"/>
  <c r="BG64" i="2"/>
  <c r="AV64" i="2"/>
  <c r="AK50" i="3"/>
  <c r="AO50" i="3"/>
  <c r="AQ68" i="2"/>
  <c r="AM68" i="2"/>
  <c r="AN68" i="2"/>
  <c r="O17" i="5"/>
  <c r="Z36" i="1"/>
  <c r="BF8" i="18" s="1"/>
  <c r="AA2" i="1"/>
  <c r="AA3" i="1" a="1"/>
  <c r="AA3" i="1" s="1"/>
  <c r="AD36" i="1"/>
  <c r="BF4" i="18" s="1"/>
  <c r="AT66" i="2"/>
  <c r="P39" i="1"/>
  <c r="BE7" i="18" s="1"/>
  <c r="H93" i="4"/>
  <c r="A5" i="5" s="1" a="1"/>
  <c r="AT65" i="2"/>
  <c r="K68" i="2"/>
  <c r="BF10" i="18" l="1"/>
  <c r="BF11" i="18"/>
  <c r="BF12" i="18"/>
  <c r="BF5" i="18"/>
  <c r="BE12" i="18"/>
  <c r="BE9" i="18"/>
  <c r="BE10" i="18"/>
  <c r="BE11" i="18"/>
  <c r="D95" i="3"/>
  <c r="AT68" i="2"/>
  <c r="AK68" i="2"/>
  <c r="B3" i="17"/>
  <c r="B5" i="17"/>
  <c r="B13" i="17"/>
  <c r="B21" i="17"/>
  <c r="B29" i="17"/>
  <c r="B37" i="17"/>
  <c r="B45" i="17"/>
  <c r="B6" i="17"/>
  <c r="B14" i="17"/>
  <c r="B22" i="17"/>
  <c r="B30" i="17"/>
  <c r="B38" i="17"/>
  <c r="B46" i="17"/>
  <c r="B9" i="17"/>
  <c r="B17" i="17"/>
  <c r="B25" i="17"/>
  <c r="B33" i="17"/>
  <c r="B41" i="17"/>
  <c r="B49" i="17"/>
  <c r="B2" i="17"/>
  <c r="B10" i="17"/>
  <c r="B18" i="17"/>
  <c r="B26" i="17"/>
  <c r="B34" i="17"/>
  <c r="B42" i="17"/>
  <c r="B50" i="17"/>
  <c r="B52" i="17"/>
  <c r="B36" i="17"/>
  <c r="B20" i="17"/>
  <c r="B4" i="17"/>
  <c r="B39" i="17"/>
  <c r="B23" i="17"/>
  <c r="B7" i="17"/>
  <c r="B48" i="17"/>
  <c r="B32" i="17"/>
  <c r="B16" i="17"/>
  <c r="B51" i="17"/>
  <c r="B35" i="17"/>
  <c r="B19" i="17"/>
  <c r="B44" i="17"/>
  <c r="B28" i="17"/>
  <c r="B12" i="17"/>
  <c r="B47" i="17"/>
  <c r="B31" i="17"/>
  <c r="B15" i="17"/>
  <c r="B40" i="17"/>
  <c r="B24" i="17"/>
  <c r="B8" i="17"/>
  <c r="B43" i="17"/>
  <c r="B27" i="17"/>
  <c r="B11" i="17"/>
  <c r="A2" i="17" a="1"/>
  <c r="AA38" i="1"/>
  <c r="AB38" i="1"/>
  <c r="D75" i="2"/>
  <c r="N74" i="2"/>
  <c r="M75" i="2"/>
  <c r="A2" i="17" l="1"/>
  <c r="A17" i="17"/>
  <c r="A33" i="17"/>
  <c r="A49" i="17"/>
  <c r="A5" i="17"/>
  <c r="A21" i="17"/>
  <c r="A37" i="17"/>
  <c r="A9" i="17"/>
  <c r="A25" i="17"/>
  <c r="A41" i="17"/>
  <c r="A13" i="17"/>
  <c r="A29" i="17"/>
  <c r="A45" i="17"/>
  <c r="A40" i="17"/>
  <c r="A24" i="17"/>
  <c r="A8" i="17"/>
  <c r="A43" i="17"/>
  <c r="A27" i="17"/>
  <c r="A11" i="17"/>
  <c r="A46" i="17"/>
  <c r="A30" i="17"/>
  <c r="A14" i="17"/>
  <c r="A52" i="17"/>
  <c r="A36" i="17"/>
  <c r="A20" i="17"/>
  <c r="A4" i="17"/>
  <c r="A39" i="17"/>
  <c r="A23" i="17"/>
  <c r="A7" i="17"/>
  <c r="A42" i="17"/>
  <c r="A26" i="17"/>
  <c r="A10" i="17"/>
  <c r="A48" i="17"/>
  <c r="A32" i="17"/>
  <c r="A16" i="17"/>
  <c r="A51" i="17"/>
  <c r="A35" i="17"/>
  <c r="A19" i="17"/>
  <c r="A3" i="17"/>
  <c r="A38" i="17"/>
  <c r="A22" i="17"/>
  <c r="A6" i="17"/>
  <c r="A44" i="17"/>
  <c r="A28" i="17"/>
  <c r="A12" i="17"/>
  <c r="A47" i="17"/>
  <c r="A31" i="17"/>
  <c r="A15" i="17"/>
  <c r="A50" i="17"/>
  <c r="A34" i="17"/>
  <c r="A18" i="17"/>
  <c r="B75" i="2"/>
  <c r="B74" i="2"/>
  <c r="H47" i="4"/>
  <c r="A6" i="7"/>
  <c r="L48" i="4"/>
  <c r="AW65" i="2"/>
  <c r="BB66" i="2" s="1"/>
  <c r="AU5" i="3"/>
  <c r="T41" i="1"/>
  <c r="R41" i="1"/>
  <c r="S41" i="1"/>
  <c r="Q41" i="1"/>
  <c r="G53" i="3"/>
  <c r="W53" i="3"/>
  <c r="AA53" i="3"/>
  <c r="E53" i="3"/>
  <c r="M53" i="3"/>
  <c r="U53" i="3"/>
  <c r="AC53" i="3"/>
  <c r="C53" i="3"/>
  <c r="I53" i="3"/>
  <c r="AB53" i="3"/>
  <c r="L53" i="3"/>
  <c r="Y53" i="3"/>
  <c r="D53" i="3"/>
  <c r="T53" i="3"/>
  <c r="S53" i="3"/>
  <c r="H53" i="3"/>
  <c r="P53" i="3"/>
  <c r="X53" i="3"/>
  <c r="AF53" i="3"/>
  <c r="Q53" i="3"/>
  <c r="N53" i="3"/>
  <c r="R53" i="3"/>
  <c r="Z53" i="3"/>
  <c r="AD53" i="3"/>
  <c r="O53" i="3"/>
  <c r="AE53" i="3"/>
  <c r="K53" i="3"/>
  <c r="F53" i="3"/>
  <c r="V53" i="3"/>
  <c r="J53" i="3"/>
  <c r="O40" i="1"/>
  <c r="BE6" i="18" s="1"/>
  <c r="E70" i="2"/>
  <c r="G70" i="2"/>
  <c r="I70" i="2"/>
  <c r="K70" i="2"/>
  <c r="M70" i="2"/>
  <c r="O70" i="2"/>
  <c r="Q70" i="2"/>
  <c r="S70" i="2"/>
  <c r="U70" i="2"/>
  <c r="W70" i="2"/>
  <c r="Y70" i="2"/>
  <c r="AA70" i="2"/>
  <c r="AC70" i="2"/>
  <c r="AE70" i="2"/>
  <c r="H70" i="2"/>
  <c r="L70" i="2"/>
  <c r="P70" i="2"/>
  <c r="T70" i="2"/>
  <c r="X70" i="2"/>
  <c r="AB70" i="2"/>
  <c r="AF70" i="2"/>
  <c r="F70" i="2"/>
  <c r="J70" i="2"/>
  <c r="N70" i="2"/>
  <c r="R70" i="2"/>
  <c r="V70" i="2"/>
  <c r="Z70" i="2"/>
  <c r="AD70" i="2"/>
  <c r="AK55" i="3"/>
  <c r="AL55" i="3" s="1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B6" i="5"/>
  <c r="A3" i="6" s="1"/>
  <c r="B8" i="5"/>
  <c r="A5" i="6" s="1"/>
  <c r="B10" i="5"/>
  <c r="A7" i="6" s="1"/>
  <c r="B12" i="5"/>
  <c r="A9" i="6" s="1"/>
  <c r="B14" i="5"/>
  <c r="A11" i="6" s="1"/>
  <c r="B16" i="5"/>
  <c r="A13" i="6" s="1"/>
  <c r="B18" i="5"/>
  <c r="A15" i="6" s="1"/>
  <c r="B20" i="5"/>
  <c r="A17" i="6" s="1"/>
  <c r="B22" i="5"/>
  <c r="A19" i="6" s="1"/>
  <c r="B24" i="5"/>
  <c r="A21" i="6" s="1"/>
  <c r="B26" i="5"/>
  <c r="A23" i="6" s="1"/>
  <c r="B28" i="5"/>
  <c r="A25" i="6" s="1"/>
  <c r="B30" i="5"/>
  <c r="A27" i="6" s="1"/>
  <c r="B32" i="5"/>
  <c r="A29" i="6" s="1"/>
  <c r="B34" i="5"/>
  <c r="A31" i="6" s="1"/>
  <c r="B36" i="5"/>
  <c r="A33" i="6" s="1"/>
  <c r="B38" i="5"/>
  <c r="A35" i="6" s="1"/>
  <c r="B40" i="5"/>
  <c r="A37" i="6" s="1"/>
  <c r="B42" i="5"/>
  <c r="A39" i="6" s="1"/>
  <c r="B44" i="5"/>
  <c r="A41" i="6" s="1"/>
  <c r="B46" i="5"/>
  <c r="B7" i="5"/>
  <c r="A4" i="6" s="1"/>
  <c r="B11" i="5"/>
  <c r="A8" i="6" s="1"/>
  <c r="B15" i="5"/>
  <c r="A12" i="6" s="1"/>
  <c r="B19" i="5"/>
  <c r="A16" i="6" s="1"/>
  <c r="B23" i="5"/>
  <c r="A20" i="6" s="1"/>
  <c r="B27" i="5"/>
  <c r="A24" i="6" s="1"/>
  <c r="B31" i="5"/>
  <c r="A28" i="6" s="1"/>
  <c r="B35" i="5"/>
  <c r="A32" i="6" s="1"/>
  <c r="B39" i="5"/>
  <c r="A36" i="6" s="1"/>
  <c r="B43" i="5"/>
  <c r="A40" i="6" s="1"/>
  <c r="B5" i="5"/>
  <c r="A2" i="6" s="1"/>
  <c r="B9" i="5"/>
  <c r="A6" i="6" s="1"/>
  <c r="B13" i="5"/>
  <c r="A10" i="6" s="1"/>
  <c r="B17" i="5"/>
  <c r="A14" i="6" s="1"/>
  <c r="B21" i="5"/>
  <c r="A18" i="6" s="1"/>
  <c r="B25" i="5"/>
  <c r="A22" i="6" s="1"/>
  <c r="B29" i="5"/>
  <c r="A26" i="6" s="1"/>
  <c r="B33" i="5"/>
  <c r="A30" i="6" s="1"/>
  <c r="B37" i="5"/>
  <c r="A34" i="6" s="1"/>
  <c r="B41" i="5"/>
  <c r="A38" i="6" s="1"/>
  <c r="B45" i="5"/>
  <c r="A42" i="6" s="1"/>
  <c r="P40" i="1"/>
  <c r="BF6" i="18" s="1"/>
  <c r="O18" i="5"/>
  <c r="AN70" i="2"/>
  <c r="AJ53" i="3" l="1" a="1"/>
  <c r="AJ53" i="3" s="1"/>
  <c r="AM53" i="3" a="1"/>
  <c r="AM53" i="3" s="1"/>
  <c r="AL53" i="3" a="1"/>
  <c r="AL53" i="3" s="1"/>
  <c r="H48" i="4"/>
  <c r="L49" i="4"/>
  <c r="A7" i="7"/>
  <c r="K47" i="4"/>
  <c r="N47" i="4" s="1"/>
  <c r="C6" i="7" s="1"/>
  <c r="O47" i="4"/>
  <c r="D6" i="7" s="1"/>
  <c r="M47" i="4"/>
  <c r="B6" i="7" s="1"/>
  <c r="AW66" i="2"/>
  <c r="B19" i="10"/>
  <c r="D19" i="10" s="1" a="1"/>
  <c r="B51" i="10"/>
  <c r="D51" i="10" s="1" a="1"/>
  <c r="B12" i="10"/>
  <c r="D12" i="10" s="1" a="1"/>
  <c r="B11" i="10"/>
  <c r="C11" i="10" s="1"/>
  <c r="B44" i="10"/>
  <c r="D44" i="10" s="1" a="1"/>
  <c r="B30" i="10"/>
  <c r="C30" i="10" s="1"/>
  <c r="B35" i="10"/>
  <c r="D35" i="10" s="1" a="1"/>
  <c r="B3" i="10"/>
  <c r="D3" i="10" s="1" a="1"/>
  <c r="B28" i="10"/>
  <c r="D28" i="10" s="1" a="1"/>
  <c r="B46" i="10"/>
  <c r="C46" i="10" s="1"/>
  <c r="B14" i="10"/>
  <c r="D14" i="10" s="1" a="1"/>
  <c r="B43" i="10"/>
  <c r="D43" i="10" s="1" a="1"/>
  <c r="B27" i="10"/>
  <c r="D27" i="10" s="1" a="1"/>
  <c r="B15" i="10"/>
  <c r="D15" i="10" s="1" a="1"/>
  <c r="I40" i="9"/>
  <c r="E40" i="9" s="1"/>
  <c r="I21" i="9"/>
  <c r="B21" i="9" s="1"/>
  <c r="I16" i="9"/>
  <c r="C16" i="9" s="1"/>
  <c r="I53" i="9"/>
  <c r="D53" i="9" s="1"/>
  <c r="I8" i="9"/>
  <c r="E8" i="9" s="1"/>
  <c r="I32" i="9"/>
  <c r="D32" i="9" s="1"/>
  <c r="I48" i="9"/>
  <c r="C48" i="9" s="1"/>
  <c r="B7" i="10"/>
  <c r="D7" i="10" s="1" a="1"/>
  <c r="B36" i="10"/>
  <c r="D36" i="10" s="1" a="1"/>
  <c r="B20" i="10"/>
  <c r="D20" i="10" s="1" a="1"/>
  <c r="B4" i="10"/>
  <c r="D4" i="10" s="1" a="1"/>
  <c r="B38" i="10"/>
  <c r="C38" i="10" s="1"/>
  <c r="B22" i="10"/>
  <c r="D22" i="10" s="1" a="1"/>
  <c r="B6" i="10"/>
  <c r="C6" i="10" s="1"/>
  <c r="B47" i="10"/>
  <c r="D47" i="10" s="1" a="1"/>
  <c r="B39" i="10"/>
  <c r="D39" i="10" s="1" a="1"/>
  <c r="B31" i="10"/>
  <c r="D31" i="10" s="1" a="1"/>
  <c r="B23" i="10"/>
  <c r="D23" i="10" s="1" a="1"/>
  <c r="I24" i="9"/>
  <c r="E24" i="9" s="1"/>
  <c r="I5" i="9"/>
  <c r="D5" i="9" s="1"/>
  <c r="I37" i="9"/>
  <c r="F37" i="9" s="1"/>
  <c r="I29" i="9"/>
  <c r="B29" i="9" s="1"/>
  <c r="I56" i="9"/>
  <c r="C56" i="9" s="1"/>
  <c r="I13" i="9"/>
  <c r="D13" i="9" s="1"/>
  <c r="I45" i="9"/>
  <c r="C45" i="9" s="1"/>
  <c r="I57" i="9"/>
  <c r="C57" i="9" s="1"/>
  <c r="I4" i="9"/>
  <c r="D4" i="9" s="1"/>
  <c r="I12" i="9"/>
  <c r="E12" i="9" s="1"/>
  <c r="I20" i="9"/>
  <c r="D20" i="9" s="1"/>
  <c r="I28" i="9"/>
  <c r="E28" i="9" s="1"/>
  <c r="I36" i="9"/>
  <c r="D36" i="9" s="1"/>
  <c r="I44" i="9"/>
  <c r="C44" i="9" s="1"/>
  <c r="I52" i="9"/>
  <c r="D52" i="9" s="1"/>
  <c r="I60" i="9"/>
  <c r="C60" i="9" s="1"/>
  <c r="I9" i="9"/>
  <c r="D9" i="9" s="1"/>
  <c r="I17" i="9"/>
  <c r="C17" i="9" s="1"/>
  <c r="I25" i="9"/>
  <c r="C25" i="9" s="1"/>
  <c r="I33" i="9"/>
  <c r="F33" i="9" s="1"/>
  <c r="I41" i="9"/>
  <c r="B41" i="9" s="1"/>
  <c r="I49" i="9"/>
  <c r="C49" i="9" s="1"/>
  <c r="B5" i="10"/>
  <c r="C5" i="10" s="1"/>
  <c r="B48" i="10"/>
  <c r="C48" i="10" s="1"/>
  <c r="B40" i="10"/>
  <c r="D40" i="10" s="1" a="1"/>
  <c r="B32" i="10"/>
  <c r="C32" i="10" s="1"/>
  <c r="B24" i="10"/>
  <c r="D24" i="10" s="1" a="1"/>
  <c r="B16" i="10"/>
  <c r="C16" i="10" s="1"/>
  <c r="B8" i="10"/>
  <c r="D8" i="10" s="1" a="1"/>
  <c r="B50" i="10"/>
  <c r="C50" i="10" s="1"/>
  <c r="B42" i="10"/>
  <c r="D42" i="10" s="1" a="1"/>
  <c r="B34" i="10"/>
  <c r="C34" i="10" s="1"/>
  <c r="B26" i="10"/>
  <c r="D26" i="10" s="1" a="1"/>
  <c r="B18" i="10"/>
  <c r="C18" i="10" s="1"/>
  <c r="B10" i="10"/>
  <c r="D10" i="10" s="1" a="1"/>
  <c r="B2" i="10"/>
  <c r="C2" i="10" s="1"/>
  <c r="B49" i="10"/>
  <c r="D49" i="10" s="1" a="1"/>
  <c r="B45" i="10"/>
  <c r="C45" i="10" s="1"/>
  <c r="B41" i="10"/>
  <c r="D41" i="10" s="1" a="1"/>
  <c r="B37" i="10"/>
  <c r="D37" i="10" s="1" a="1"/>
  <c r="B33" i="10"/>
  <c r="D33" i="10" s="1" a="1"/>
  <c r="B29" i="10"/>
  <c r="D29" i="10" s="1" a="1"/>
  <c r="B25" i="10"/>
  <c r="D25" i="10" s="1" a="1"/>
  <c r="B21" i="10"/>
  <c r="C21" i="10" s="1"/>
  <c r="B17" i="10"/>
  <c r="D17" i="10" s="1" a="1"/>
  <c r="B13" i="10"/>
  <c r="C13" i="10" s="1"/>
  <c r="B9" i="10"/>
  <c r="D9" i="10" s="1" a="1"/>
  <c r="I59" i="9"/>
  <c r="D59" i="9" s="1"/>
  <c r="I2" i="9"/>
  <c r="E2" i="9" s="1"/>
  <c r="I6" i="9"/>
  <c r="D6" i="9" s="1"/>
  <c r="I10" i="9"/>
  <c r="E10" i="9" s="1"/>
  <c r="I14" i="9"/>
  <c r="D14" i="9" s="1"/>
  <c r="I18" i="9"/>
  <c r="C18" i="9" s="1"/>
  <c r="I22" i="9"/>
  <c r="D22" i="9" s="1"/>
  <c r="I26" i="9"/>
  <c r="C26" i="9" s="1"/>
  <c r="I30" i="9"/>
  <c r="D30" i="9" s="1"/>
  <c r="I34" i="9"/>
  <c r="E34" i="9" s="1"/>
  <c r="I38" i="9"/>
  <c r="D38" i="9" s="1"/>
  <c r="I42" i="9"/>
  <c r="C42" i="9" s="1"/>
  <c r="I46" i="9"/>
  <c r="D46" i="9" s="1"/>
  <c r="I50" i="9"/>
  <c r="C50" i="9" s="1"/>
  <c r="I54" i="9"/>
  <c r="D54" i="9" s="1"/>
  <c r="I58" i="9"/>
  <c r="C58" i="9" s="1"/>
  <c r="I3" i="9"/>
  <c r="B3" i="9" s="1"/>
  <c r="I7" i="9"/>
  <c r="C7" i="9" s="1"/>
  <c r="I11" i="9"/>
  <c r="D11" i="9" s="1"/>
  <c r="I15" i="9"/>
  <c r="F15" i="9" s="1"/>
  <c r="I19" i="9"/>
  <c r="B19" i="9" s="1"/>
  <c r="I23" i="9"/>
  <c r="F23" i="9" s="1"/>
  <c r="I27" i="9"/>
  <c r="B27" i="9" s="1"/>
  <c r="I31" i="9"/>
  <c r="F31" i="9" s="1"/>
  <c r="I35" i="9"/>
  <c r="B35" i="9" s="1"/>
  <c r="I39" i="9"/>
  <c r="F39" i="9" s="1"/>
  <c r="I43" i="9"/>
  <c r="D43" i="9" s="1"/>
  <c r="I47" i="9"/>
  <c r="C47" i="9" s="1"/>
  <c r="I51" i="9"/>
  <c r="D51" i="9" s="1"/>
  <c r="I55" i="9"/>
  <c r="C55" i="9" s="1"/>
  <c r="AX66" i="2"/>
  <c r="AY66" i="2"/>
  <c r="BA66" i="2"/>
  <c r="AZ66" i="2"/>
  <c r="G45" i="5"/>
  <c r="H45" i="5" s="1"/>
  <c r="E42" i="6" s="1"/>
  <c r="E45" i="5"/>
  <c r="J45" i="5"/>
  <c r="G42" i="6" s="1"/>
  <c r="G43" i="5"/>
  <c r="H43" i="5" s="1"/>
  <c r="E40" i="6" s="1"/>
  <c r="E43" i="5"/>
  <c r="J43" i="5"/>
  <c r="G40" i="6" s="1"/>
  <c r="G41" i="5"/>
  <c r="H41" i="5" s="1"/>
  <c r="E38" i="6" s="1"/>
  <c r="E41" i="5"/>
  <c r="J41" i="5"/>
  <c r="G38" i="6" s="1"/>
  <c r="G39" i="5"/>
  <c r="H39" i="5" s="1"/>
  <c r="E36" i="6" s="1"/>
  <c r="E39" i="5"/>
  <c r="J39" i="5"/>
  <c r="G36" i="6" s="1"/>
  <c r="G37" i="5"/>
  <c r="H37" i="5" s="1"/>
  <c r="E34" i="6" s="1"/>
  <c r="E37" i="5"/>
  <c r="J37" i="5"/>
  <c r="G34" i="6" s="1"/>
  <c r="G35" i="5"/>
  <c r="H35" i="5" s="1"/>
  <c r="E32" i="6" s="1"/>
  <c r="E35" i="5"/>
  <c r="J35" i="5"/>
  <c r="G32" i="6" s="1"/>
  <c r="G33" i="5"/>
  <c r="H33" i="5" s="1"/>
  <c r="E30" i="6" s="1"/>
  <c r="E33" i="5"/>
  <c r="J33" i="5"/>
  <c r="G30" i="6" s="1"/>
  <c r="G31" i="5"/>
  <c r="H31" i="5" s="1"/>
  <c r="E28" i="6" s="1"/>
  <c r="E31" i="5"/>
  <c r="J31" i="5"/>
  <c r="G28" i="6" s="1"/>
  <c r="G29" i="5"/>
  <c r="H29" i="5" s="1"/>
  <c r="E26" i="6" s="1"/>
  <c r="E29" i="5"/>
  <c r="J29" i="5"/>
  <c r="G26" i="6" s="1"/>
  <c r="G27" i="5"/>
  <c r="H27" i="5" s="1"/>
  <c r="E24" i="6" s="1"/>
  <c r="E27" i="5"/>
  <c r="J27" i="5"/>
  <c r="G24" i="6" s="1"/>
  <c r="G25" i="5"/>
  <c r="H25" i="5" s="1"/>
  <c r="E22" i="6" s="1"/>
  <c r="E25" i="5"/>
  <c r="J25" i="5"/>
  <c r="G22" i="6" s="1"/>
  <c r="G23" i="5"/>
  <c r="H23" i="5" s="1"/>
  <c r="E20" i="6" s="1"/>
  <c r="E23" i="5"/>
  <c r="J23" i="5"/>
  <c r="G20" i="6" s="1"/>
  <c r="G21" i="5"/>
  <c r="H21" i="5" s="1"/>
  <c r="E18" i="6" s="1"/>
  <c r="E21" i="5"/>
  <c r="J21" i="5"/>
  <c r="G18" i="6" s="1"/>
  <c r="G19" i="5"/>
  <c r="H19" i="5" s="1"/>
  <c r="E16" i="6" s="1"/>
  <c r="E19" i="5"/>
  <c r="J19" i="5"/>
  <c r="G16" i="6" s="1"/>
  <c r="G17" i="5"/>
  <c r="H17" i="5" s="1"/>
  <c r="E14" i="6" s="1"/>
  <c r="E17" i="5"/>
  <c r="J17" i="5"/>
  <c r="G14" i="6" s="1"/>
  <c r="G15" i="5"/>
  <c r="H15" i="5" s="1"/>
  <c r="E12" i="6" s="1"/>
  <c r="E15" i="5"/>
  <c r="J15" i="5"/>
  <c r="G12" i="6" s="1"/>
  <c r="G13" i="5"/>
  <c r="H13" i="5" s="1"/>
  <c r="E10" i="6" s="1"/>
  <c r="E13" i="5"/>
  <c r="J13" i="5"/>
  <c r="G10" i="6" s="1"/>
  <c r="G11" i="5"/>
  <c r="H11" i="5" s="1"/>
  <c r="E8" i="6" s="1"/>
  <c r="E11" i="5"/>
  <c r="J11" i="5"/>
  <c r="G8" i="6" s="1"/>
  <c r="G9" i="5"/>
  <c r="H9" i="5" s="1"/>
  <c r="E6" i="6" s="1"/>
  <c r="E9" i="5"/>
  <c r="J9" i="5"/>
  <c r="G6" i="6" s="1"/>
  <c r="G7" i="5"/>
  <c r="H7" i="5" s="1"/>
  <c r="E4" i="6" s="1"/>
  <c r="E7" i="5"/>
  <c r="J7" i="5"/>
  <c r="G4" i="6" s="1"/>
  <c r="E46" i="4"/>
  <c r="E48" i="4"/>
  <c r="E50" i="4"/>
  <c r="E52" i="4"/>
  <c r="E54" i="4"/>
  <c r="E56" i="4"/>
  <c r="E58" i="4"/>
  <c r="E60" i="4"/>
  <c r="E62" i="4"/>
  <c r="E64" i="4"/>
  <c r="E66" i="4"/>
  <c r="E68" i="4"/>
  <c r="E70" i="4"/>
  <c r="E72" i="4"/>
  <c r="E74" i="4"/>
  <c r="E76" i="4"/>
  <c r="E78" i="4"/>
  <c r="E80" i="4"/>
  <c r="G5" i="5"/>
  <c r="H5" i="5" s="1"/>
  <c r="E2" i="6" s="1"/>
  <c r="E45" i="4"/>
  <c r="E49" i="4"/>
  <c r="E53" i="4"/>
  <c r="E57" i="4"/>
  <c r="E61" i="4"/>
  <c r="E65" i="4"/>
  <c r="E69" i="4"/>
  <c r="E73" i="4"/>
  <c r="E77" i="4"/>
  <c r="E5" i="5"/>
  <c r="J5" i="5"/>
  <c r="G2" i="6" s="1"/>
  <c r="E47" i="4"/>
  <c r="E51" i="4"/>
  <c r="E55" i="4"/>
  <c r="E59" i="4"/>
  <c r="E63" i="4"/>
  <c r="E67" i="4"/>
  <c r="E71" i="4"/>
  <c r="E75" i="4"/>
  <c r="E79" i="4"/>
  <c r="O19" i="5"/>
  <c r="G46" i="5"/>
  <c r="H46" i="5" s="1"/>
  <c r="J46" i="5"/>
  <c r="E46" i="5"/>
  <c r="G44" i="5"/>
  <c r="H44" i="5" s="1"/>
  <c r="E41" i="6" s="1"/>
  <c r="E44" i="5"/>
  <c r="J44" i="5"/>
  <c r="G41" i="6" s="1"/>
  <c r="G42" i="5"/>
  <c r="H42" i="5" s="1"/>
  <c r="E39" i="6" s="1"/>
  <c r="E42" i="5"/>
  <c r="J42" i="5"/>
  <c r="G39" i="6" s="1"/>
  <c r="G40" i="5"/>
  <c r="H40" i="5" s="1"/>
  <c r="E37" i="6" s="1"/>
  <c r="E40" i="5"/>
  <c r="J40" i="5"/>
  <c r="G37" i="6" s="1"/>
  <c r="G38" i="5"/>
  <c r="H38" i="5" s="1"/>
  <c r="E35" i="6" s="1"/>
  <c r="E38" i="5"/>
  <c r="J38" i="5"/>
  <c r="G35" i="6" s="1"/>
  <c r="G36" i="5"/>
  <c r="H36" i="5" s="1"/>
  <c r="E33" i="6" s="1"/>
  <c r="E36" i="5"/>
  <c r="J36" i="5"/>
  <c r="G33" i="6" s="1"/>
  <c r="G34" i="5"/>
  <c r="H34" i="5" s="1"/>
  <c r="E31" i="6" s="1"/>
  <c r="E34" i="5"/>
  <c r="J34" i="5"/>
  <c r="G31" i="6" s="1"/>
  <c r="G32" i="5"/>
  <c r="H32" i="5" s="1"/>
  <c r="E29" i="6" s="1"/>
  <c r="E32" i="5"/>
  <c r="J32" i="5"/>
  <c r="G29" i="6" s="1"/>
  <c r="G30" i="5"/>
  <c r="H30" i="5" s="1"/>
  <c r="E27" i="6" s="1"/>
  <c r="E30" i="5"/>
  <c r="J30" i="5"/>
  <c r="G27" i="6" s="1"/>
  <c r="G28" i="5"/>
  <c r="H28" i="5" s="1"/>
  <c r="E25" i="6" s="1"/>
  <c r="E28" i="5"/>
  <c r="J28" i="5"/>
  <c r="G25" i="6" s="1"/>
  <c r="G26" i="5"/>
  <c r="H26" i="5" s="1"/>
  <c r="E23" i="6" s="1"/>
  <c r="E26" i="5"/>
  <c r="J26" i="5"/>
  <c r="G23" i="6" s="1"/>
  <c r="G24" i="5"/>
  <c r="H24" i="5" s="1"/>
  <c r="E21" i="6" s="1"/>
  <c r="E24" i="5"/>
  <c r="J24" i="5"/>
  <c r="G21" i="6" s="1"/>
  <c r="G22" i="5"/>
  <c r="H22" i="5" s="1"/>
  <c r="E19" i="6" s="1"/>
  <c r="E22" i="5"/>
  <c r="J22" i="5"/>
  <c r="G19" i="6" s="1"/>
  <c r="G20" i="5"/>
  <c r="H20" i="5" s="1"/>
  <c r="E17" i="6" s="1"/>
  <c r="E20" i="5"/>
  <c r="J20" i="5"/>
  <c r="G17" i="6" s="1"/>
  <c r="G18" i="5"/>
  <c r="H18" i="5" s="1"/>
  <c r="E15" i="6" s="1"/>
  <c r="E18" i="5"/>
  <c r="J18" i="5"/>
  <c r="G15" i="6" s="1"/>
  <c r="G16" i="5"/>
  <c r="H16" i="5" s="1"/>
  <c r="E13" i="6" s="1"/>
  <c r="E16" i="5"/>
  <c r="J16" i="5"/>
  <c r="G13" i="6" s="1"/>
  <c r="G14" i="5"/>
  <c r="H14" i="5" s="1"/>
  <c r="E11" i="6" s="1"/>
  <c r="E14" i="5"/>
  <c r="J14" i="5"/>
  <c r="G11" i="6" s="1"/>
  <c r="G12" i="5"/>
  <c r="H12" i="5" s="1"/>
  <c r="E9" i="6" s="1"/>
  <c r="E12" i="5"/>
  <c r="J12" i="5"/>
  <c r="G9" i="6" s="1"/>
  <c r="G10" i="5"/>
  <c r="H10" i="5" s="1"/>
  <c r="E7" i="6" s="1"/>
  <c r="E10" i="5"/>
  <c r="J10" i="5"/>
  <c r="G7" i="6" s="1"/>
  <c r="G8" i="5"/>
  <c r="H8" i="5" s="1"/>
  <c r="E5" i="6" s="1"/>
  <c r="E8" i="5"/>
  <c r="J8" i="5"/>
  <c r="G5" i="6" s="1"/>
  <c r="G6" i="5"/>
  <c r="H6" i="5" s="1"/>
  <c r="E3" i="6" s="1"/>
  <c r="E6" i="5"/>
  <c r="J6" i="5"/>
  <c r="G3" i="6" s="1"/>
  <c r="D70" i="2"/>
  <c r="AM55" i="3"/>
  <c r="AK70" i="2" l="1"/>
  <c r="AT70" i="2"/>
  <c r="H49" i="4"/>
  <c r="A8" i="7"/>
  <c r="L50" i="4"/>
  <c r="M48" i="4"/>
  <c r="B7" i="7" s="1"/>
  <c r="O48" i="4"/>
  <c r="D7" i="7" s="1"/>
  <c r="K48" i="4"/>
  <c r="N48" i="4" s="1"/>
  <c r="C7" i="7" s="1"/>
  <c r="D45" i="9"/>
  <c r="J45" i="9" s="1"/>
  <c r="H20" i="9"/>
  <c r="G40" i="9"/>
  <c r="D25" i="9"/>
  <c r="J25" i="9" s="1"/>
  <c r="F26" i="9"/>
  <c r="B37" i="9"/>
  <c r="G8" i="9"/>
  <c r="C40" i="9"/>
  <c r="G58" i="9"/>
  <c r="D37" i="9"/>
  <c r="J37" i="9" s="1"/>
  <c r="C52" i="9"/>
  <c r="B20" i="9"/>
  <c r="C31" i="9"/>
  <c r="F45" i="9"/>
  <c r="F25" i="9"/>
  <c r="B40" i="9"/>
  <c r="F8" i="9"/>
  <c r="G26" i="9"/>
  <c r="B45" i="9"/>
  <c r="G37" i="9"/>
  <c r="B25" i="9"/>
  <c r="H52" i="9"/>
  <c r="F40" i="9"/>
  <c r="D40" i="9"/>
  <c r="C8" i="9"/>
  <c r="E47" i="9"/>
  <c r="G42" i="9"/>
  <c r="E45" i="9"/>
  <c r="C37" i="9"/>
  <c r="E25" i="9"/>
  <c r="B52" i="9"/>
  <c r="H40" i="9"/>
  <c r="C20" i="9"/>
  <c r="D8" i="9"/>
  <c r="J8" i="9" s="1"/>
  <c r="F58" i="9"/>
  <c r="C10" i="9"/>
  <c r="C41" i="10"/>
  <c r="C15" i="9"/>
  <c r="F42" i="9"/>
  <c r="G10" i="9"/>
  <c r="E57" i="9"/>
  <c r="B39" i="9"/>
  <c r="F21" i="9"/>
  <c r="C9" i="9"/>
  <c r="E18" i="9"/>
  <c r="E36" i="9"/>
  <c r="B4" i="9"/>
  <c r="E48" i="9"/>
  <c r="B36" i="9"/>
  <c r="D16" i="9"/>
  <c r="J16" i="9" s="1"/>
  <c r="F41" i="9"/>
  <c r="D56" i="9"/>
  <c r="J56" i="9" s="1"/>
  <c r="G16" i="9"/>
  <c r="G56" i="9"/>
  <c r="G24" i="9"/>
  <c r="B55" i="9"/>
  <c r="F34" i="9"/>
  <c r="B7" i="9"/>
  <c r="F2" i="9"/>
  <c r="G48" i="9"/>
  <c r="D24" i="9"/>
  <c r="J24" i="9" s="1"/>
  <c r="D55" i="9"/>
  <c r="J55" i="9" s="1"/>
  <c r="E50" i="9"/>
  <c r="H36" i="9"/>
  <c r="F24" i="9"/>
  <c r="F16" i="9"/>
  <c r="C4" i="9"/>
  <c r="G39" i="9"/>
  <c r="B23" i="9"/>
  <c r="D48" i="10" a="1"/>
  <c r="K48" i="10" s="1"/>
  <c r="E41" i="9"/>
  <c r="H9" i="9"/>
  <c r="F56" i="9"/>
  <c r="D48" i="9"/>
  <c r="J48" i="9" s="1"/>
  <c r="H41" i="9"/>
  <c r="G9" i="9"/>
  <c r="E56" i="9"/>
  <c r="F48" i="9"/>
  <c r="C24" i="9"/>
  <c r="E16" i="9"/>
  <c r="H4" i="9"/>
  <c r="G23" i="9"/>
  <c r="D7" i="9"/>
  <c r="J7" i="9" s="1"/>
  <c r="D50" i="9"/>
  <c r="D34" i="9"/>
  <c r="J34" i="9" s="1"/>
  <c r="D18" i="9"/>
  <c r="J18" i="9" s="1"/>
  <c r="D2" i="9"/>
  <c r="J2" i="9" s="1"/>
  <c r="C44" i="10"/>
  <c r="F47" i="9"/>
  <c r="D31" i="9"/>
  <c r="J31" i="9" s="1"/>
  <c r="D15" i="9"/>
  <c r="J15" i="9" s="1"/>
  <c r="C51" i="10"/>
  <c r="F49" i="9"/>
  <c r="G33" i="9"/>
  <c r="H3" i="9"/>
  <c r="G53" i="9"/>
  <c r="F29" i="9"/>
  <c r="H13" i="9"/>
  <c r="H5" i="9"/>
  <c r="B32" i="9"/>
  <c r="H30" i="9"/>
  <c r="H35" i="9"/>
  <c r="G51" i="9"/>
  <c r="H19" i="9"/>
  <c r="B46" i="9"/>
  <c r="B14" i="9"/>
  <c r="F57" i="9"/>
  <c r="C53" i="9"/>
  <c r="H29" i="9"/>
  <c r="H21" i="9"/>
  <c r="F17" i="9"/>
  <c r="E60" i="9"/>
  <c r="F44" i="9"/>
  <c r="F28" i="9"/>
  <c r="G12" i="9"/>
  <c r="C59" i="9"/>
  <c r="C43" i="9"/>
  <c r="F27" i="9"/>
  <c r="C11" i="9"/>
  <c r="C54" i="9"/>
  <c r="E38" i="9"/>
  <c r="E22" i="9"/>
  <c r="E6" i="9"/>
  <c r="E55" i="9"/>
  <c r="F55" i="9"/>
  <c r="B47" i="9"/>
  <c r="D47" i="9"/>
  <c r="C39" i="9"/>
  <c r="D39" i="9"/>
  <c r="J39" i="9" s="1"/>
  <c r="G31" i="9"/>
  <c r="B31" i="9"/>
  <c r="C23" i="9"/>
  <c r="D23" i="9"/>
  <c r="J23" i="9" s="1"/>
  <c r="G15" i="9"/>
  <c r="B15" i="9"/>
  <c r="E7" i="9"/>
  <c r="F7" i="9"/>
  <c r="E58" i="9"/>
  <c r="D58" i="9"/>
  <c r="G50" i="9"/>
  <c r="F50" i="9"/>
  <c r="E42" i="9"/>
  <c r="D42" i="9"/>
  <c r="J42" i="9" s="1"/>
  <c r="C34" i="9"/>
  <c r="G34" i="9"/>
  <c r="E26" i="9"/>
  <c r="D26" i="9"/>
  <c r="J26" i="9" s="1"/>
  <c r="G18" i="9"/>
  <c r="F18" i="9"/>
  <c r="F10" i="9"/>
  <c r="D10" i="9"/>
  <c r="J10" i="9" s="1"/>
  <c r="C2" i="9"/>
  <c r="G2" i="9"/>
  <c r="C20" i="10"/>
  <c r="D11" i="10" a="1"/>
  <c r="G11" i="10" s="1"/>
  <c r="D30" i="10" a="1"/>
  <c r="G30" i="10" s="1"/>
  <c r="C36" i="10"/>
  <c r="C24" i="10"/>
  <c r="G45" i="9"/>
  <c r="H45" i="9"/>
  <c r="C41" i="9"/>
  <c r="G41" i="9"/>
  <c r="D41" i="9"/>
  <c r="H37" i="9"/>
  <c r="E37" i="9"/>
  <c r="G25" i="9"/>
  <c r="H25" i="9"/>
  <c r="E9" i="9"/>
  <c r="B9" i="9"/>
  <c r="F9" i="9"/>
  <c r="B56" i="9"/>
  <c r="H56" i="9"/>
  <c r="G52" i="9"/>
  <c r="E52" i="9"/>
  <c r="F52" i="9"/>
  <c r="B48" i="9"/>
  <c r="H48" i="9"/>
  <c r="C36" i="9"/>
  <c r="F36" i="9"/>
  <c r="G36" i="9"/>
  <c r="H24" i="9"/>
  <c r="B24" i="9"/>
  <c r="G20" i="9"/>
  <c r="E20" i="9"/>
  <c r="F20" i="9"/>
  <c r="B16" i="9"/>
  <c r="H16" i="9"/>
  <c r="H8" i="9"/>
  <c r="B8" i="9"/>
  <c r="G4" i="9"/>
  <c r="E4" i="9"/>
  <c r="F4" i="9"/>
  <c r="G55" i="9"/>
  <c r="H55" i="9"/>
  <c r="G47" i="9"/>
  <c r="H47" i="9"/>
  <c r="H39" i="9"/>
  <c r="E39" i="9"/>
  <c r="H31" i="9"/>
  <c r="E31" i="9"/>
  <c r="H23" i="9"/>
  <c r="E23" i="9"/>
  <c r="H15" i="9"/>
  <c r="E15" i="9"/>
  <c r="G7" i="9"/>
  <c r="H7" i="9"/>
  <c r="B58" i="9"/>
  <c r="H58" i="9"/>
  <c r="B50" i="9"/>
  <c r="H50" i="9"/>
  <c r="B42" i="9"/>
  <c r="H42" i="9"/>
  <c r="H34" i="9"/>
  <c r="B34" i="9"/>
  <c r="B26" i="9"/>
  <c r="H26" i="9"/>
  <c r="B18" i="9"/>
  <c r="H18" i="9"/>
  <c r="H10" i="9"/>
  <c r="B10" i="9"/>
  <c r="H2" i="9"/>
  <c r="B2" i="9"/>
  <c r="C23" i="10"/>
  <c r="D38" i="10" a="1"/>
  <c r="E38" i="10" s="1"/>
  <c r="C19" i="10"/>
  <c r="C39" i="10"/>
  <c r="C12" i="10"/>
  <c r="C3" i="10"/>
  <c r="C22" i="10"/>
  <c r="C7" i="10"/>
  <c r="C15" i="10"/>
  <c r="C35" i="10"/>
  <c r="C43" i="10"/>
  <c r="D6" i="10" a="1"/>
  <c r="E6" i="10" s="1"/>
  <c r="D46" i="10" a="1"/>
  <c r="G46" i="10" s="1"/>
  <c r="N46" i="10" s="1"/>
  <c r="C10" i="10"/>
  <c r="C27" i="10"/>
  <c r="C47" i="10"/>
  <c r="C14" i="10"/>
  <c r="C4" i="10"/>
  <c r="C28" i="10"/>
  <c r="C42" i="10"/>
  <c r="B57" i="9"/>
  <c r="D57" i="9"/>
  <c r="J57" i="9" s="1"/>
  <c r="H53" i="9"/>
  <c r="E49" i="9"/>
  <c r="B33" i="9"/>
  <c r="E29" i="9"/>
  <c r="E21" i="9"/>
  <c r="E17" i="9"/>
  <c r="G13" i="9"/>
  <c r="C13" i="9"/>
  <c r="G5" i="9"/>
  <c r="C5" i="9"/>
  <c r="D60" i="9"/>
  <c r="J60" i="9" s="1"/>
  <c r="G44" i="9"/>
  <c r="H32" i="9"/>
  <c r="E32" i="9"/>
  <c r="D28" i="9"/>
  <c r="J28" i="9" s="1"/>
  <c r="C12" i="9"/>
  <c r="B49" i="9"/>
  <c r="D49" i="9"/>
  <c r="C33" i="9"/>
  <c r="D33" i="9"/>
  <c r="J33" i="9" s="1"/>
  <c r="B17" i="9"/>
  <c r="D17" i="9"/>
  <c r="J17" i="9" s="1"/>
  <c r="G60" i="9"/>
  <c r="F60" i="9"/>
  <c r="E44" i="9"/>
  <c r="D44" i="9"/>
  <c r="J44" i="9" s="1"/>
  <c r="C28" i="9"/>
  <c r="G28" i="9"/>
  <c r="F12" i="9"/>
  <c r="D12" i="9"/>
  <c r="J12" i="9" s="1"/>
  <c r="G59" i="9"/>
  <c r="C51" i="9"/>
  <c r="G43" i="9"/>
  <c r="F35" i="9"/>
  <c r="H27" i="9"/>
  <c r="F19" i="9"/>
  <c r="G11" i="9"/>
  <c r="F3" i="9"/>
  <c r="B54" i="9"/>
  <c r="C46" i="9"/>
  <c r="H38" i="9"/>
  <c r="E30" i="9"/>
  <c r="H22" i="9"/>
  <c r="C14" i="9"/>
  <c r="H6" i="9"/>
  <c r="G57" i="9"/>
  <c r="H57" i="9"/>
  <c r="E53" i="9"/>
  <c r="B53" i="9"/>
  <c r="F53" i="9"/>
  <c r="G49" i="9"/>
  <c r="H49" i="9"/>
  <c r="H33" i="9"/>
  <c r="E33" i="9"/>
  <c r="C29" i="9"/>
  <c r="G29" i="9"/>
  <c r="D29" i="9"/>
  <c r="J29" i="9" s="1"/>
  <c r="C21" i="9"/>
  <c r="G21" i="9"/>
  <c r="D21" i="9"/>
  <c r="J21" i="9" s="1"/>
  <c r="G17" i="9"/>
  <c r="H17" i="9"/>
  <c r="E13" i="9"/>
  <c r="B13" i="9"/>
  <c r="F13" i="9"/>
  <c r="E5" i="9"/>
  <c r="B5" i="9"/>
  <c r="F5" i="9"/>
  <c r="B60" i="9"/>
  <c r="H60" i="9"/>
  <c r="B44" i="9"/>
  <c r="H44" i="9"/>
  <c r="C32" i="9"/>
  <c r="F32" i="9"/>
  <c r="G32" i="9"/>
  <c r="H28" i="9"/>
  <c r="B28" i="9"/>
  <c r="H12" i="9"/>
  <c r="B12" i="9"/>
  <c r="H59" i="9"/>
  <c r="H51" i="9"/>
  <c r="H43" i="9"/>
  <c r="E35" i="9"/>
  <c r="E27" i="9"/>
  <c r="E19" i="9"/>
  <c r="H11" i="9"/>
  <c r="E3" i="9"/>
  <c r="H54" i="9"/>
  <c r="H46" i="9"/>
  <c r="B38" i="9"/>
  <c r="B30" i="9"/>
  <c r="B22" i="9"/>
  <c r="H14" i="9"/>
  <c r="B6" i="9"/>
  <c r="D18" i="10" a="1"/>
  <c r="G18" i="10" s="1"/>
  <c r="D16" i="10" a="1"/>
  <c r="E16" i="10" s="1"/>
  <c r="C31" i="10"/>
  <c r="C26" i="10"/>
  <c r="C8" i="10"/>
  <c r="C40" i="10"/>
  <c r="D5" i="10" a="1"/>
  <c r="G5" i="10" s="1"/>
  <c r="D50" i="10" a="1"/>
  <c r="E50" i="10" s="1"/>
  <c r="D32" i="10" a="1"/>
  <c r="G32" i="10" s="1"/>
  <c r="C37" i="10"/>
  <c r="D45" i="10" a="1"/>
  <c r="E45" i="10" s="1"/>
  <c r="D2" i="10" a="1"/>
  <c r="E2" i="10" s="1"/>
  <c r="D34" i="10" a="1"/>
  <c r="G34" i="10" s="1"/>
  <c r="E59" i="9"/>
  <c r="B59" i="9"/>
  <c r="F59" i="9"/>
  <c r="E51" i="9"/>
  <c r="B51" i="9"/>
  <c r="F51" i="9"/>
  <c r="E43" i="9"/>
  <c r="B43" i="9"/>
  <c r="F43" i="9"/>
  <c r="C35" i="9"/>
  <c r="G35" i="9"/>
  <c r="D35" i="9"/>
  <c r="J35" i="9" s="1"/>
  <c r="C27" i="9"/>
  <c r="G27" i="9"/>
  <c r="D27" i="9"/>
  <c r="J27" i="9" s="1"/>
  <c r="C19" i="9"/>
  <c r="G19" i="9"/>
  <c r="D19" i="9"/>
  <c r="J19" i="9" s="1"/>
  <c r="E11" i="9"/>
  <c r="B11" i="9"/>
  <c r="F11" i="9"/>
  <c r="C3" i="9"/>
  <c r="G3" i="9"/>
  <c r="D3" i="9"/>
  <c r="J3" i="9" s="1"/>
  <c r="G54" i="9"/>
  <c r="E54" i="9"/>
  <c r="F54" i="9"/>
  <c r="G46" i="9"/>
  <c r="E46" i="9"/>
  <c r="F46" i="9"/>
  <c r="C38" i="9"/>
  <c r="F38" i="9"/>
  <c r="G38" i="9"/>
  <c r="C30" i="9"/>
  <c r="F30" i="9"/>
  <c r="G30" i="9"/>
  <c r="C22" i="9"/>
  <c r="F22" i="9"/>
  <c r="G22" i="9"/>
  <c r="G14" i="9"/>
  <c r="E14" i="9"/>
  <c r="F14" i="9"/>
  <c r="C6" i="9"/>
  <c r="F6" i="9"/>
  <c r="G6" i="9"/>
  <c r="D21" i="10" a="1"/>
  <c r="G21" i="10" s="1"/>
  <c r="C9" i="10"/>
  <c r="C29" i="10"/>
  <c r="D13" i="10" a="1"/>
  <c r="E13" i="10" s="1"/>
  <c r="C25" i="10"/>
  <c r="C17" i="10"/>
  <c r="C33" i="10"/>
  <c r="C49" i="10"/>
  <c r="J13" i="9"/>
  <c r="I12" i="5"/>
  <c r="F9" i="6" s="1"/>
  <c r="D12" i="5"/>
  <c r="C9" i="6" s="1"/>
  <c r="F12" i="5"/>
  <c r="I16" i="5"/>
  <c r="F13" i="6" s="1"/>
  <c r="D16" i="5"/>
  <c r="C13" i="6" s="1"/>
  <c r="F16" i="5"/>
  <c r="I20" i="5"/>
  <c r="F17" i="6" s="1"/>
  <c r="D20" i="5"/>
  <c r="C17" i="6" s="1"/>
  <c r="F20" i="5"/>
  <c r="I24" i="5"/>
  <c r="F21" i="6" s="1"/>
  <c r="D24" i="5"/>
  <c r="C21" i="6" s="1"/>
  <c r="F24" i="5"/>
  <c r="I28" i="5"/>
  <c r="F25" i="6" s="1"/>
  <c r="D28" i="5"/>
  <c r="C25" i="6" s="1"/>
  <c r="F28" i="5"/>
  <c r="I32" i="5"/>
  <c r="F29" i="6" s="1"/>
  <c r="D32" i="5"/>
  <c r="C29" i="6" s="1"/>
  <c r="F32" i="5"/>
  <c r="I36" i="5"/>
  <c r="F33" i="6" s="1"/>
  <c r="D36" i="5"/>
  <c r="C33" i="6" s="1"/>
  <c r="F36" i="5"/>
  <c r="I40" i="5"/>
  <c r="F37" i="6" s="1"/>
  <c r="D40" i="5"/>
  <c r="C37" i="6" s="1"/>
  <c r="F40" i="5"/>
  <c r="I44" i="5"/>
  <c r="F41" i="6" s="1"/>
  <c r="D44" i="5"/>
  <c r="C41" i="6" s="1"/>
  <c r="F44" i="5"/>
  <c r="F46" i="5"/>
  <c r="I46" i="5"/>
  <c r="D46" i="5"/>
  <c r="O20" i="5"/>
  <c r="E3" i="10"/>
  <c r="G3" i="10"/>
  <c r="I3" i="10"/>
  <c r="K3" i="10"/>
  <c r="F3" i="10"/>
  <c r="J3" i="10"/>
  <c r="D3" i="10"/>
  <c r="H3" i="10"/>
  <c r="E7" i="10"/>
  <c r="G7" i="10"/>
  <c r="I7" i="10"/>
  <c r="K7" i="10"/>
  <c r="F7" i="10"/>
  <c r="J7" i="10"/>
  <c r="D7" i="10"/>
  <c r="H7" i="10"/>
  <c r="E15" i="10"/>
  <c r="G15" i="10"/>
  <c r="I15" i="10"/>
  <c r="K15" i="10"/>
  <c r="F15" i="10"/>
  <c r="J15" i="10"/>
  <c r="D15" i="10"/>
  <c r="H15" i="10"/>
  <c r="E19" i="10"/>
  <c r="G19" i="10"/>
  <c r="I19" i="10"/>
  <c r="K19" i="10"/>
  <c r="F19" i="10"/>
  <c r="J19" i="10"/>
  <c r="D19" i="10"/>
  <c r="H19" i="10"/>
  <c r="E23" i="10"/>
  <c r="G23" i="10"/>
  <c r="I23" i="10"/>
  <c r="K23" i="10"/>
  <c r="F23" i="10"/>
  <c r="J23" i="10"/>
  <c r="D23" i="10"/>
  <c r="H23" i="10"/>
  <c r="E27" i="10"/>
  <c r="G27" i="10"/>
  <c r="I27" i="10"/>
  <c r="K27" i="10"/>
  <c r="F27" i="10"/>
  <c r="J27" i="10"/>
  <c r="D27" i="10"/>
  <c r="H27" i="10"/>
  <c r="E31" i="10"/>
  <c r="G31" i="10"/>
  <c r="I31" i="10"/>
  <c r="K31" i="10"/>
  <c r="F31" i="10"/>
  <c r="J31" i="10"/>
  <c r="D31" i="10"/>
  <c r="H31" i="10"/>
  <c r="E35" i="10"/>
  <c r="G35" i="10"/>
  <c r="I35" i="10"/>
  <c r="K35" i="10"/>
  <c r="F35" i="10"/>
  <c r="J35" i="10"/>
  <c r="D35" i="10"/>
  <c r="H35" i="10"/>
  <c r="E39" i="10"/>
  <c r="G39" i="10"/>
  <c r="I39" i="10"/>
  <c r="K39" i="10"/>
  <c r="F39" i="10"/>
  <c r="J39" i="10"/>
  <c r="D39" i="10"/>
  <c r="H39" i="10"/>
  <c r="E43" i="10"/>
  <c r="G43" i="10"/>
  <c r="I43" i="10"/>
  <c r="K43" i="10"/>
  <c r="F43" i="10"/>
  <c r="J43" i="10"/>
  <c r="D43" i="10"/>
  <c r="H43" i="10"/>
  <c r="E47" i="10"/>
  <c r="G47" i="10"/>
  <c r="N47" i="10" s="1"/>
  <c r="I47" i="10"/>
  <c r="K47" i="10"/>
  <c r="F47" i="10"/>
  <c r="J47" i="10"/>
  <c r="D47" i="10"/>
  <c r="H47" i="10"/>
  <c r="E51" i="10"/>
  <c r="G51" i="10"/>
  <c r="N51" i="10" s="1"/>
  <c r="I51" i="10"/>
  <c r="K51" i="10"/>
  <c r="F51" i="10"/>
  <c r="J51" i="10"/>
  <c r="D51" i="10"/>
  <c r="H51" i="10"/>
  <c r="E14" i="10"/>
  <c r="G14" i="10"/>
  <c r="I14" i="10"/>
  <c r="K14" i="10"/>
  <c r="D14" i="10"/>
  <c r="H14" i="10"/>
  <c r="F14" i="10"/>
  <c r="J14" i="10"/>
  <c r="E22" i="10"/>
  <c r="G22" i="10"/>
  <c r="I22" i="10"/>
  <c r="K22" i="10"/>
  <c r="D22" i="10"/>
  <c r="H22" i="10"/>
  <c r="F22" i="10"/>
  <c r="J22" i="10"/>
  <c r="E4" i="10"/>
  <c r="G4" i="10"/>
  <c r="I4" i="10"/>
  <c r="K4" i="10"/>
  <c r="D4" i="10"/>
  <c r="H4" i="10"/>
  <c r="F4" i="10"/>
  <c r="J4" i="10"/>
  <c r="E12" i="10"/>
  <c r="G12" i="10"/>
  <c r="I12" i="10"/>
  <c r="K12" i="10"/>
  <c r="D12" i="10"/>
  <c r="H12" i="10"/>
  <c r="F12" i="10"/>
  <c r="J12" i="10"/>
  <c r="E20" i="10"/>
  <c r="G20" i="10"/>
  <c r="I20" i="10"/>
  <c r="K20" i="10"/>
  <c r="D20" i="10"/>
  <c r="H20" i="10"/>
  <c r="F20" i="10"/>
  <c r="J20" i="10"/>
  <c r="E28" i="10"/>
  <c r="G28" i="10"/>
  <c r="I28" i="10"/>
  <c r="K28" i="10"/>
  <c r="D28" i="10"/>
  <c r="H28" i="10"/>
  <c r="F28" i="10"/>
  <c r="J28" i="10"/>
  <c r="E36" i="10"/>
  <c r="G36" i="10"/>
  <c r="I36" i="10"/>
  <c r="K36" i="10"/>
  <c r="D36" i="10"/>
  <c r="H36" i="10"/>
  <c r="F36" i="10"/>
  <c r="J36" i="10"/>
  <c r="E44" i="10"/>
  <c r="G44" i="10"/>
  <c r="I44" i="10"/>
  <c r="K44" i="10"/>
  <c r="D44" i="10"/>
  <c r="H44" i="10"/>
  <c r="F44" i="10"/>
  <c r="J44" i="10"/>
  <c r="E10" i="10"/>
  <c r="G10" i="10"/>
  <c r="I10" i="10"/>
  <c r="K10" i="10"/>
  <c r="D10" i="10"/>
  <c r="H10" i="10"/>
  <c r="F10" i="10"/>
  <c r="J10" i="10"/>
  <c r="E26" i="10"/>
  <c r="G26" i="10"/>
  <c r="I26" i="10"/>
  <c r="K26" i="10"/>
  <c r="D26" i="10"/>
  <c r="H26" i="10"/>
  <c r="F26" i="10"/>
  <c r="J26" i="10"/>
  <c r="E42" i="10"/>
  <c r="G42" i="10"/>
  <c r="I42" i="10"/>
  <c r="K42" i="10"/>
  <c r="D42" i="10"/>
  <c r="H42" i="10"/>
  <c r="F42" i="10"/>
  <c r="J42" i="10"/>
  <c r="E8" i="10"/>
  <c r="G8" i="10"/>
  <c r="I8" i="10"/>
  <c r="K8" i="10"/>
  <c r="D8" i="10"/>
  <c r="H8" i="10"/>
  <c r="F8" i="10"/>
  <c r="J8" i="10"/>
  <c r="E24" i="10"/>
  <c r="G24" i="10"/>
  <c r="I24" i="10"/>
  <c r="K24" i="10"/>
  <c r="D24" i="10"/>
  <c r="H24" i="10"/>
  <c r="F24" i="10"/>
  <c r="J24" i="10"/>
  <c r="E40" i="10"/>
  <c r="G40" i="10"/>
  <c r="I40" i="10"/>
  <c r="K40" i="10"/>
  <c r="D40" i="10"/>
  <c r="H40" i="10"/>
  <c r="F40" i="10"/>
  <c r="J40" i="10"/>
  <c r="J59" i="9"/>
  <c r="J51" i="9"/>
  <c r="J43" i="9"/>
  <c r="J11" i="9"/>
  <c r="J54" i="9"/>
  <c r="J46" i="9"/>
  <c r="J38" i="9"/>
  <c r="J30" i="9"/>
  <c r="J22" i="9"/>
  <c r="J14" i="9"/>
  <c r="J6" i="9"/>
  <c r="D5" i="5"/>
  <c r="C2" i="6" s="1"/>
  <c r="F5" i="5"/>
  <c r="I5" i="5"/>
  <c r="F2" i="6" s="1"/>
  <c r="D7" i="5"/>
  <c r="C4" i="6" s="1"/>
  <c r="F7" i="5"/>
  <c r="I7" i="5"/>
  <c r="F4" i="6" s="1"/>
  <c r="D11" i="5"/>
  <c r="C8" i="6" s="1"/>
  <c r="F11" i="5"/>
  <c r="I11" i="5"/>
  <c r="F8" i="6" s="1"/>
  <c r="D15" i="5"/>
  <c r="C12" i="6" s="1"/>
  <c r="F15" i="5"/>
  <c r="I15" i="5"/>
  <c r="F12" i="6" s="1"/>
  <c r="D19" i="5"/>
  <c r="C16" i="6" s="1"/>
  <c r="F19" i="5"/>
  <c r="I19" i="5"/>
  <c r="F16" i="6" s="1"/>
  <c r="D23" i="5"/>
  <c r="C20" i="6" s="1"/>
  <c r="F23" i="5"/>
  <c r="I23" i="5"/>
  <c r="F20" i="6" s="1"/>
  <c r="D27" i="5"/>
  <c r="C24" i="6" s="1"/>
  <c r="F27" i="5"/>
  <c r="I27" i="5"/>
  <c r="F24" i="6" s="1"/>
  <c r="D31" i="5"/>
  <c r="C28" i="6" s="1"/>
  <c r="F31" i="5"/>
  <c r="I31" i="5"/>
  <c r="F28" i="6" s="1"/>
  <c r="D35" i="5"/>
  <c r="C32" i="6" s="1"/>
  <c r="F35" i="5"/>
  <c r="I35" i="5"/>
  <c r="F32" i="6" s="1"/>
  <c r="D39" i="5"/>
  <c r="C36" i="6" s="1"/>
  <c r="F39" i="5"/>
  <c r="I39" i="5"/>
  <c r="F36" i="6" s="1"/>
  <c r="D43" i="5"/>
  <c r="C40" i="6" s="1"/>
  <c r="F43" i="5"/>
  <c r="I43" i="5"/>
  <c r="F40" i="6" s="1"/>
  <c r="E9" i="10"/>
  <c r="G9" i="10"/>
  <c r="I9" i="10"/>
  <c r="K9" i="10"/>
  <c r="F9" i="10"/>
  <c r="J9" i="10"/>
  <c r="D9" i="10"/>
  <c r="H9" i="10"/>
  <c r="E17" i="10"/>
  <c r="G17" i="10"/>
  <c r="I17" i="10"/>
  <c r="K17" i="10"/>
  <c r="F17" i="10"/>
  <c r="J17" i="10"/>
  <c r="D17" i="10"/>
  <c r="H17" i="10"/>
  <c r="E25" i="10"/>
  <c r="G25" i="10"/>
  <c r="I25" i="10"/>
  <c r="K25" i="10"/>
  <c r="F25" i="10"/>
  <c r="J25" i="10"/>
  <c r="D25" i="10"/>
  <c r="H25" i="10"/>
  <c r="E29" i="10"/>
  <c r="G29" i="10"/>
  <c r="I29" i="10"/>
  <c r="K29" i="10"/>
  <c r="F29" i="10"/>
  <c r="J29" i="10"/>
  <c r="D29" i="10"/>
  <c r="H29" i="10"/>
  <c r="E33" i="10"/>
  <c r="G33" i="10"/>
  <c r="I33" i="10"/>
  <c r="K33" i="10"/>
  <c r="F33" i="10"/>
  <c r="J33" i="10"/>
  <c r="D33" i="10"/>
  <c r="H33" i="10"/>
  <c r="E37" i="10"/>
  <c r="G37" i="10"/>
  <c r="I37" i="10"/>
  <c r="K37" i="10"/>
  <c r="F37" i="10"/>
  <c r="J37" i="10"/>
  <c r="D37" i="10"/>
  <c r="H37" i="10"/>
  <c r="E41" i="10"/>
  <c r="G41" i="10"/>
  <c r="I41" i="10"/>
  <c r="K41" i="10"/>
  <c r="F41" i="10"/>
  <c r="J41" i="10"/>
  <c r="D41" i="10"/>
  <c r="H41" i="10"/>
  <c r="E49" i="10"/>
  <c r="G49" i="10"/>
  <c r="N49" i="10" s="1"/>
  <c r="I49" i="10"/>
  <c r="K49" i="10"/>
  <c r="F49" i="10"/>
  <c r="J49" i="10"/>
  <c r="D49" i="10"/>
  <c r="H49" i="10"/>
  <c r="J53" i="9"/>
  <c r="J5" i="9"/>
  <c r="J32" i="9"/>
  <c r="I8" i="5"/>
  <c r="F5" i="6" s="1"/>
  <c r="D8" i="5"/>
  <c r="C5" i="6" s="1"/>
  <c r="F8" i="5"/>
  <c r="AN71" i="2"/>
  <c r="J9" i="9"/>
  <c r="J52" i="9"/>
  <c r="J36" i="9"/>
  <c r="J20" i="9"/>
  <c r="J4" i="9"/>
  <c r="I6" i="5"/>
  <c r="F3" i="6" s="1"/>
  <c r="F6" i="5"/>
  <c r="D6" i="5"/>
  <c r="C3" i="6" s="1"/>
  <c r="I10" i="5"/>
  <c r="F7" i="6" s="1"/>
  <c r="F10" i="5"/>
  <c r="D10" i="5"/>
  <c r="C7" i="6" s="1"/>
  <c r="I14" i="5"/>
  <c r="F11" i="6" s="1"/>
  <c r="F14" i="5"/>
  <c r="D14" i="5"/>
  <c r="C11" i="6" s="1"/>
  <c r="I18" i="5"/>
  <c r="F15" i="6" s="1"/>
  <c r="F18" i="5"/>
  <c r="D18" i="5"/>
  <c r="C15" i="6" s="1"/>
  <c r="I22" i="5"/>
  <c r="F19" i="6" s="1"/>
  <c r="F22" i="5"/>
  <c r="D22" i="5"/>
  <c r="C19" i="6" s="1"/>
  <c r="I26" i="5"/>
  <c r="F23" i="6" s="1"/>
  <c r="F26" i="5"/>
  <c r="D26" i="5"/>
  <c r="C23" i="6" s="1"/>
  <c r="I30" i="5"/>
  <c r="F27" i="6" s="1"/>
  <c r="F30" i="5"/>
  <c r="D30" i="5"/>
  <c r="C27" i="6" s="1"/>
  <c r="I34" i="5"/>
  <c r="F31" i="6" s="1"/>
  <c r="F34" i="5"/>
  <c r="D34" i="5"/>
  <c r="C31" i="6" s="1"/>
  <c r="I38" i="5"/>
  <c r="F35" i="6" s="1"/>
  <c r="F38" i="5"/>
  <c r="D38" i="5"/>
  <c r="C35" i="6" s="1"/>
  <c r="I42" i="5"/>
  <c r="F39" i="6" s="1"/>
  <c r="F42" i="5"/>
  <c r="D42" i="5"/>
  <c r="C39" i="6" s="1"/>
  <c r="D9" i="5"/>
  <c r="C6" i="6" s="1"/>
  <c r="F9" i="5"/>
  <c r="I9" i="5"/>
  <c r="F6" i="6" s="1"/>
  <c r="D13" i="5"/>
  <c r="C10" i="6" s="1"/>
  <c r="F13" i="5"/>
  <c r="I13" i="5"/>
  <c r="F10" i="6" s="1"/>
  <c r="D17" i="5"/>
  <c r="C14" i="6" s="1"/>
  <c r="F17" i="5"/>
  <c r="I17" i="5"/>
  <c r="F14" i="6" s="1"/>
  <c r="D21" i="5"/>
  <c r="C18" i="6" s="1"/>
  <c r="F21" i="5"/>
  <c r="I21" i="5"/>
  <c r="F18" i="6" s="1"/>
  <c r="D25" i="5"/>
  <c r="C22" i="6" s="1"/>
  <c r="F25" i="5"/>
  <c r="I25" i="5"/>
  <c r="F22" i="6" s="1"/>
  <c r="D29" i="5"/>
  <c r="C26" i="6" s="1"/>
  <c r="F29" i="5"/>
  <c r="I29" i="5"/>
  <c r="F26" i="6" s="1"/>
  <c r="D33" i="5"/>
  <c r="C30" i="6" s="1"/>
  <c r="F33" i="5"/>
  <c r="I33" i="5"/>
  <c r="F30" i="6" s="1"/>
  <c r="D37" i="5"/>
  <c r="C34" i="6" s="1"/>
  <c r="F37" i="5"/>
  <c r="I37" i="5"/>
  <c r="F34" i="6" s="1"/>
  <c r="D41" i="5"/>
  <c r="C38" i="6" s="1"/>
  <c r="F41" i="5"/>
  <c r="I41" i="5"/>
  <c r="F38" i="6" s="1"/>
  <c r="D45" i="5"/>
  <c r="C42" i="6" s="1"/>
  <c r="F45" i="5"/>
  <c r="I45" i="5"/>
  <c r="F42" i="6" s="1"/>
  <c r="N3" i="10" l="1"/>
  <c r="N41" i="10"/>
  <c r="N33" i="10"/>
  <c r="N29" i="10"/>
  <c r="N25" i="10"/>
  <c r="N17" i="10"/>
  <c r="N9" i="10"/>
  <c r="N24" i="10"/>
  <c r="N8" i="10"/>
  <c r="N42" i="10"/>
  <c r="N26" i="10"/>
  <c r="N37" i="10"/>
  <c r="N40" i="10"/>
  <c r="N44" i="10"/>
  <c r="N20" i="10"/>
  <c r="N4" i="10"/>
  <c r="N14" i="10"/>
  <c r="N43" i="10"/>
  <c r="N35" i="10"/>
  <c r="N19" i="10"/>
  <c r="N7" i="10"/>
  <c r="N10" i="10"/>
  <c r="N36" i="10"/>
  <c r="N28" i="10"/>
  <c r="N12" i="10"/>
  <c r="N22" i="10"/>
  <c r="N39" i="10"/>
  <c r="N31" i="10"/>
  <c r="N27" i="10"/>
  <c r="N23" i="10"/>
  <c r="N15" i="10"/>
  <c r="W1" i="9"/>
  <c r="W2" i="9" s="1"/>
  <c r="W3" i="9" s="1"/>
  <c r="L59" i="9"/>
  <c r="L58" i="9"/>
  <c r="A9" i="7"/>
  <c r="L51" i="4"/>
  <c r="H50" i="4"/>
  <c r="K49" i="4"/>
  <c r="N49" i="4" s="1"/>
  <c r="C8" i="7" s="1"/>
  <c r="M49" i="4"/>
  <c r="B8" i="7" s="1"/>
  <c r="O49" i="4"/>
  <c r="D8" i="7" s="1"/>
  <c r="L53" i="9"/>
  <c r="L54" i="9"/>
  <c r="L52" i="9"/>
  <c r="L51" i="9"/>
  <c r="L50" i="9"/>
  <c r="L49" i="9"/>
  <c r="L47" i="9"/>
  <c r="L46" i="9"/>
  <c r="L45" i="9"/>
  <c r="L25" i="9"/>
  <c r="L40" i="9"/>
  <c r="L8" i="9"/>
  <c r="L37" i="9"/>
  <c r="J40" i="9"/>
  <c r="L55" i="9"/>
  <c r="E48" i="10"/>
  <c r="L56" i="9"/>
  <c r="L48" i="9"/>
  <c r="D48" i="10"/>
  <c r="F48" i="10"/>
  <c r="I48" i="10"/>
  <c r="L16" i="9"/>
  <c r="H48" i="10"/>
  <c r="G48" i="10"/>
  <c r="N48" i="10" s="1"/>
  <c r="J48" i="10"/>
  <c r="E30" i="10"/>
  <c r="J50" i="9"/>
  <c r="L24" i="9"/>
  <c r="J58" i="9"/>
  <c r="J47" i="9"/>
  <c r="L42" i="9"/>
  <c r="L39" i="9"/>
  <c r="L41" i="9"/>
  <c r="L2" i="9"/>
  <c r="L10" i="9"/>
  <c r="L34" i="9"/>
  <c r="L15" i="9"/>
  <c r="L23" i="9"/>
  <c r="L31" i="9"/>
  <c r="L18" i="9"/>
  <c r="L26" i="9"/>
  <c r="L7" i="9"/>
  <c r="L9" i="9"/>
  <c r="L4" i="9"/>
  <c r="L36" i="9"/>
  <c r="D30" i="10"/>
  <c r="F30" i="10"/>
  <c r="I30" i="10"/>
  <c r="E11" i="10"/>
  <c r="L20" i="9"/>
  <c r="J30" i="10"/>
  <c r="H30" i="10"/>
  <c r="K30" i="10"/>
  <c r="F11" i="10"/>
  <c r="D11" i="10"/>
  <c r="I11" i="10"/>
  <c r="H11" i="10"/>
  <c r="J11" i="10"/>
  <c r="K11" i="10"/>
  <c r="J41" i="9"/>
  <c r="J38" i="10"/>
  <c r="K38" i="10"/>
  <c r="H38" i="10"/>
  <c r="G38" i="10"/>
  <c r="F38" i="10"/>
  <c r="D38" i="10"/>
  <c r="I38" i="10"/>
  <c r="J49" i="9"/>
  <c r="J6" i="10"/>
  <c r="F46" i="10"/>
  <c r="I46" i="10"/>
  <c r="L60" i="9"/>
  <c r="D46" i="10"/>
  <c r="E46" i="10"/>
  <c r="K6" i="10"/>
  <c r="H6" i="10"/>
  <c r="G6" i="10"/>
  <c r="J46" i="10"/>
  <c r="H46" i="10"/>
  <c r="K46" i="10"/>
  <c r="L44" i="9"/>
  <c r="L57" i="9"/>
  <c r="G2" i="10"/>
  <c r="F6" i="10"/>
  <c r="D6" i="10"/>
  <c r="I6" i="10"/>
  <c r="L21" i="9"/>
  <c r="L12" i="9"/>
  <c r="L29" i="9"/>
  <c r="L33" i="9"/>
  <c r="J16" i="10"/>
  <c r="L28" i="9"/>
  <c r="L17" i="9"/>
  <c r="L32" i="9"/>
  <c r="L5" i="9"/>
  <c r="D18" i="10"/>
  <c r="E5" i="10"/>
  <c r="L13" i="9"/>
  <c r="D32" i="10"/>
  <c r="E34" i="10"/>
  <c r="E18" i="10"/>
  <c r="H45" i="10"/>
  <c r="F18" i="10"/>
  <c r="I18" i="10"/>
  <c r="E21" i="10"/>
  <c r="E32" i="10"/>
  <c r="D34" i="10"/>
  <c r="J18" i="10"/>
  <c r="H18" i="10"/>
  <c r="K18" i="10"/>
  <c r="K45" i="10"/>
  <c r="F5" i="10"/>
  <c r="J50" i="10"/>
  <c r="K16" i="10"/>
  <c r="K50" i="10"/>
  <c r="H16" i="10"/>
  <c r="G16" i="10"/>
  <c r="H50" i="10"/>
  <c r="G50" i="10"/>
  <c r="N50" i="10" s="1"/>
  <c r="F16" i="10"/>
  <c r="D16" i="10"/>
  <c r="I16" i="10"/>
  <c r="F50" i="10"/>
  <c r="D50" i="10"/>
  <c r="I50" i="10"/>
  <c r="F32" i="10"/>
  <c r="I32" i="10"/>
  <c r="F34" i="10"/>
  <c r="I34" i="10"/>
  <c r="J45" i="10"/>
  <c r="G45" i="10"/>
  <c r="D5" i="10"/>
  <c r="I5" i="10"/>
  <c r="J32" i="10"/>
  <c r="H32" i="10"/>
  <c r="K32" i="10"/>
  <c r="J34" i="10"/>
  <c r="H34" i="10"/>
  <c r="K34" i="10"/>
  <c r="D45" i="10"/>
  <c r="F45" i="10"/>
  <c r="I45" i="10"/>
  <c r="H5" i="10"/>
  <c r="J5" i="10"/>
  <c r="K5" i="10"/>
  <c r="J2" i="10"/>
  <c r="H2" i="10"/>
  <c r="K2" i="10"/>
  <c r="D2" i="10"/>
  <c r="F2" i="10"/>
  <c r="I2" i="10"/>
  <c r="K13" i="10"/>
  <c r="L22" i="9"/>
  <c r="P1" i="10" a="1"/>
  <c r="P1" i="10" s="1"/>
  <c r="L19" i="9"/>
  <c r="M1" i="9" a="1"/>
  <c r="M1" i="9" s="1"/>
  <c r="H13" i="10"/>
  <c r="L6" i="9"/>
  <c r="L14" i="9"/>
  <c r="J13" i="10"/>
  <c r="G13" i="10"/>
  <c r="L30" i="9"/>
  <c r="L38" i="9"/>
  <c r="L3" i="9"/>
  <c r="L11" i="9"/>
  <c r="L27" i="9"/>
  <c r="L35" i="9"/>
  <c r="L43" i="9"/>
  <c r="F21" i="10"/>
  <c r="D21" i="10"/>
  <c r="I21" i="10"/>
  <c r="H21" i="10"/>
  <c r="J21" i="10"/>
  <c r="K21" i="10"/>
  <c r="D13" i="10"/>
  <c r="F13" i="10"/>
  <c r="I13" i="10"/>
  <c r="C25" i="5"/>
  <c r="D22" i="6"/>
  <c r="C45" i="5"/>
  <c r="D42" i="6"/>
  <c r="C37" i="5"/>
  <c r="D34" i="6"/>
  <c r="C29" i="5"/>
  <c r="D26" i="6"/>
  <c r="C21" i="5"/>
  <c r="D18" i="6"/>
  <c r="C13" i="5"/>
  <c r="D10" i="6"/>
  <c r="C42" i="5"/>
  <c r="D39" i="6"/>
  <c r="C34" i="5"/>
  <c r="D31" i="6"/>
  <c r="C26" i="5"/>
  <c r="D23" i="6"/>
  <c r="C18" i="5"/>
  <c r="D15" i="6"/>
  <c r="C10" i="5"/>
  <c r="D7" i="6"/>
  <c r="L32" i="10"/>
  <c r="L34" i="10"/>
  <c r="L18" i="10"/>
  <c r="L49" i="10"/>
  <c r="L41" i="10"/>
  <c r="L37" i="10"/>
  <c r="L33" i="10"/>
  <c r="L29" i="10"/>
  <c r="L25" i="10"/>
  <c r="L21" i="10"/>
  <c r="L17" i="10"/>
  <c r="L9" i="10"/>
  <c r="L5" i="10"/>
  <c r="C39" i="5"/>
  <c r="D36" i="6"/>
  <c r="C31" i="5"/>
  <c r="D28" i="6"/>
  <c r="C23" i="5"/>
  <c r="D20" i="6"/>
  <c r="C15" i="5"/>
  <c r="D12" i="6"/>
  <c r="C7" i="5"/>
  <c r="D4" i="6"/>
  <c r="O21" i="5"/>
  <c r="C44" i="5"/>
  <c r="D41" i="6"/>
  <c r="C36" i="5"/>
  <c r="D33" i="6"/>
  <c r="C28" i="5"/>
  <c r="D25" i="6"/>
  <c r="C20" i="5"/>
  <c r="D17" i="6"/>
  <c r="C12" i="5"/>
  <c r="D9" i="6"/>
  <c r="C41" i="5"/>
  <c r="D38" i="6"/>
  <c r="C33" i="5"/>
  <c r="D30" i="6"/>
  <c r="C17" i="5"/>
  <c r="D14" i="6"/>
  <c r="C9" i="5"/>
  <c r="D6" i="6"/>
  <c r="C38" i="5"/>
  <c r="D35" i="6"/>
  <c r="C30" i="5"/>
  <c r="D27" i="6"/>
  <c r="C22" i="5"/>
  <c r="D19" i="6"/>
  <c r="C14" i="5"/>
  <c r="D11" i="6"/>
  <c r="C6" i="5"/>
  <c r="D3" i="6"/>
  <c r="C8" i="5"/>
  <c r="D5" i="6"/>
  <c r="C43" i="5"/>
  <c r="D40" i="6"/>
  <c r="C35" i="5"/>
  <c r="D32" i="6"/>
  <c r="C27" i="5"/>
  <c r="D24" i="6"/>
  <c r="C19" i="5"/>
  <c r="D16" i="6"/>
  <c r="C11" i="5"/>
  <c r="D8" i="6"/>
  <c r="C5" i="5"/>
  <c r="D2" i="6"/>
  <c r="L40" i="10"/>
  <c r="L24" i="10"/>
  <c r="L8" i="10"/>
  <c r="L42" i="10"/>
  <c r="L26" i="10"/>
  <c r="L10" i="10"/>
  <c r="L44" i="10"/>
  <c r="L36" i="10"/>
  <c r="L28" i="10"/>
  <c r="L20" i="10"/>
  <c r="L12" i="10"/>
  <c r="L4" i="10"/>
  <c r="L46" i="10"/>
  <c r="L30" i="10"/>
  <c r="L22" i="10"/>
  <c r="L14" i="10"/>
  <c r="L51" i="10"/>
  <c r="L47" i="10"/>
  <c r="L43" i="10"/>
  <c r="L39" i="10"/>
  <c r="L35" i="10"/>
  <c r="L31" i="10"/>
  <c r="L27" i="10"/>
  <c r="L23" i="10"/>
  <c r="L19" i="10"/>
  <c r="L15" i="10"/>
  <c r="L11" i="10"/>
  <c r="L7" i="10"/>
  <c r="L3" i="10"/>
  <c r="C40" i="5"/>
  <c r="D37" i="6"/>
  <c r="C32" i="5"/>
  <c r="D29" i="6"/>
  <c r="C24" i="5"/>
  <c r="D21" i="6"/>
  <c r="C16" i="5"/>
  <c r="D13" i="6"/>
  <c r="C46" i="5"/>
  <c r="K46" i="5" s="1"/>
  <c r="L46" i="5" s="1"/>
  <c r="M46" i="5" s="1"/>
  <c r="N11" i="10" l="1"/>
  <c r="N13" i="10"/>
  <c r="N21" i="10"/>
  <c r="N5" i="10"/>
  <c r="N34" i="10"/>
  <c r="N32" i="10"/>
  <c r="N30" i="10"/>
  <c r="N18" i="10"/>
  <c r="N38" i="10"/>
  <c r="N16" i="10"/>
  <c r="N6" i="10"/>
  <c r="N45" i="10"/>
  <c r="N2" i="10"/>
  <c r="AD2" i="10"/>
  <c r="AD3" i="10" s="1"/>
  <c r="K12" i="9"/>
  <c r="K47" i="9"/>
  <c r="K40" i="9"/>
  <c r="K53" i="9"/>
  <c r="K54" i="9"/>
  <c r="K6" i="9"/>
  <c r="K24" i="9"/>
  <c r="K37" i="9"/>
  <c r="K58" i="9"/>
  <c r="K7" i="9"/>
  <c r="K10" i="9"/>
  <c r="K3" i="9"/>
  <c r="K32" i="9"/>
  <c r="K56" i="9"/>
  <c r="K11" i="9"/>
  <c r="K9" i="9"/>
  <c r="K34" i="9"/>
  <c r="K19" i="9"/>
  <c r="K22" i="9"/>
  <c r="K8" i="9"/>
  <c r="K18" i="9"/>
  <c r="K35" i="9"/>
  <c r="K2" i="9"/>
  <c r="K49" i="9"/>
  <c r="K41" i="9"/>
  <c r="K15" i="9"/>
  <c r="K60" i="9"/>
  <c r="K43" i="9"/>
  <c r="K36" i="9"/>
  <c r="K57" i="9"/>
  <c r="K30" i="9"/>
  <c r="K51" i="9"/>
  <c r="K39" i="9"/>
  <c r="K13" i="9"/>
  <c r="K4" i="9"/>
  <c r="K16" i="9"/>
  <c r="K31" i="9"/>
  <c r="K27" i="9"/>
  <c r="K25" i="9"/>
  <c r="K50" i="9"/>
  <c r="K42" i="9"/>
  <c r="K28" i="9"/>
  <c r="K38" i="9"/>
  <c r="K14" i="9"/>
  <c r="K33" i="9"/>
  <c r="K20" i="9"/>
  <c r="K45" i="9"/>
  <c r="K23" i="9"/>
  <c r="K59" i="9"/>
  <c r="K52" i="9"/>
  <c r="K55" i="9"/>
  <c r="K17" i="9"/>
  <c r="K46" i="9"/>
  <c r="K26" i="9"/>
  <c r="K21" i="9"/>
  <c r="K29" i="9"/>
  <c r="K48" i="9"/>
  <c r="K44" i="9"/>
  <c r="K5" i="9"/>
  <c r="L13" i="10"/>
  <c r="L16" i="10"/>
  <c r="L6" i="10"/>
  <c r="L48" i="10"/>
  <c r="L50" i="10"/>
  <c r="M50" i="10" s="1"/>
  <c r="L2" i="10"/>
  <c r="O50" i="4"/>
  <c r="D9" i="7" s="1"/>
  <c r="M50" i="4"/>
  <c r="B9" i="7" s="1"/>
  <c r="K50" i="4"/>
  <c r="N50" i="4" s="1"/>
  <c r="C9" i="7" s="1"/>
  <c r="A10" i="7"/>
  <c r="H51" i="4"/>
  <c r="L52" i="4"/>
  <c r="L38" i="10"/>
  <c r="L45" i="10"/>
  <c r="R1" i="10" a="1"/>
  <c r="R1" i="10" s="1"/>
  <c r="M51" i="10"/>
  <c r="K24" i="5"/>
  <c r="B21" i="6"/>
  <c r="I21" i="6" s="1"/>
  <c r="J21" i="6" s="1"/>
  <c r="F64" i="4"/>
  <c r="K40" i="5"/>
  <c r="B37" i="6"/>
  <c r="I37" i="6" s="1"/>
  <c r="J37" i="6" s="1"/>
  <c r="F80" i="4"/>
  <c r="K10" i="5"/>
  <c r="B7" i="6"/>
  <c r="I7" i="6" s="1"/>
  <c r="J7" i="6" s="1"/>
  <c r="F50" i="4"/>
  <c r="K18" i="5"/>
  <c r="B15" i="6"/>
  <c r="I15" i="6" s="1"/>
  <c r="J15" i="6" s="1"/>
  <c r="F58" i="4"/>
  <c r="K26" i="5"/>
  <c r="B23" i="6"/>
  <c r="I23" i="6" s="1"/>
  <c r="J23" i="6" s="1"/>
  <c r="F66" i="4"/>
  <c r="K34" i="5"/>
  <c r="B31" i="6"/>
  <c r="I31" i="6" s="1"/>
  <c r="J31" i="6" s="1"/>
  <c r="F74" i="4"/>
  <c r="B39" i="6"/>
  <c r="I39" i="6" s="1"/>
  <c r="J39" i="6" s="1"/>
  <c r="K42" i="5"/>
  <c r="B10" i="6"/>
  <c r="I10" i="6" s="1"/>
  <c r="J10" i="6" s="1"/>
  <c r="K13" i="5"/>
  <c r="F53" i="4"/>
  <c r="B18" i="6"/>
  <c r="I18" i="6" s="1"/>
  <c r="J18" i="6" s="1"/>
  <c r="K21" i="5"/>
  <c r="F61" i="4"/>
  <c r="B26" i="6"/>
  <c r="I26" i="6" s="1"/>
  <c r="J26" i="6" s="1"/>
  <c r="K29" i="5"/>
  <c r="F69" i="4"/>
  <c r="B34" i="6"/>
  <c r="I34" i="6" s="1"/>
  <c r="J34" i="6" s="1"/>
  <c r="K37" i="5"/>
  <c r="F77" i="4"/>
  <c r="B42" i="6"/>
  <c r="I42" i="6" s="1"/>
  <c r="J42" i="6" s="1"/>
  <c r="K45" i="5"/>
  <c r="B22" i="6"/>
  <c r="I22" i="6" s="1"/>
  <c r="J22" i="6" s="1"/>
  <c r="K25" i="5"/>
  <c r="F65" i="4"/>
  <c r="K16" i="5"/>
  <c r="B13" i="6"/>
  <c r="I13" i="6" s="1"/>
  <c r="J13" i="6" s="1"/>
  <c r="F56" i="4"/>
  <c r="K32" i="5"/>
  <c r="B29" i="6"/>
  <c r="I29" i="6" s="1"/>
  <c r="J29" i="6" s="1"/>
  <c r="F72" i="4"/>
  <c r="B2" i="6"/>
  <c r="I2" i="6" s="1"/>
  <c r="J2" i="6" s="1"/>
  <c r="K5" i="5"/>
  <c r="F45" i="4"/>
  <c r="B8" i="6"/>
  <c r="I8" i="6" s="1"/>
  <c r="J8" i="6" s="1"/>
  <c r="K11" i="5"/>
  <c r="F51" i="4"/>
  <c r="B16" i="6"/>
  <c r="I16" i="6" s="1"/>
  <c r="J16" i="6" s="1"/>
  <c r="K19" i="5"/>
  <c r="F59" i="4"/>
  <c r="B24" i="6"/>
  <c r="I24" i="6" s="1"/>
  <c r="J24" i="6" s="1"/>
  <c r="K27" i="5"/>
  <c r="F67" i="4"/>
  <c r="B32" i="6"/>
  <c r="I32" i="6" s="1"/>
  <c r="J32" i="6" s="1"/>
  <c r="K35" i="5"/>
  <c r="F75" i="4"/>
  <c r="B40" i="6"/>
  <c r="I40" i="6" s="1"/>
  <c r="J40" i="6" s="1"/>
  <c r="K43" i="5"/>
  <c r="K8" i="5"/>
  <c r="B5" i="6"/>
  <c r="I5" i="6" s="1"/>
  <c r="J5" i="6" s="1"/>
  <c r="F48" i="4"/>
  <c r="K6" i="5"/>
  <c r="B3" i="6"/>
  <c r="I3" i="6" s="1"/>
  <c r="J3" i="6" s="1"/>
  <c r="F46" i="4"/>
  <c r="K14" i="5"/>
  <c r="B11" i="6"/>
  <c r="I11" i="6" s="1"/>
  <c r="J11" i="6" s="1"/>
  <c r="F54" i="4"/>
  <c r="K22" i="5"/>
  <c r="B19" i="6"/>
  <c r="I19" i="6" s="1"/>
  <c r="J19" i="6" s="1"/>
  <c r="F62" i="4"/>
  <c r="K30" i="5"/>
  <c r="B27" i="6"/>
  <c r="I27" i="6" s="1"/>
  <c r="J27" i="6" s="1"/>
  <c r="F70" i="4"/>
  <c r="K38" i="5"/>
  <c r="B35" i="6"/>
  <c r="I35" i="6" s="1"/>
  <c r="J35" i="6" s="1"/>
  <c r="F78" i="4"/>
  <c r="B6" i="6"/>
  <c r="I6" i="6" s="1"/>
  <c r="J6" i="6" s="1"/>
  <c r="K9" i="5"/>
  <c r="F49" i="4"/>
  <c r="B14" i="6"/>
  <c r="I14" i="6" s="1"/>
  <c r="J14" i="6" s="1"/>
  <c r="K17" i="5"/>
  <c r="F57" i="4"/>
  <c r="B30" i="6"/>
  <c r="I30" i="6" s="1"/>
  <c r="J30" i="6" s="1"/>
  <c r="K33" i="5"/>
  <c r="F73" i="4"/>
  <c r="B38" i="6"/>
  <c r="I38" i="6" s="1"/>
  <c r="J38" i="6" s="1"/>
  <c r="K41" i="5"/>
  <c r="K12" i="5"/>
  <c r="B9" i="6"/>
  <c r="I9" i="6" s="1"/>
  <c r="J9" i="6" s="1"/>
  <c r="F52" i="4"/>
  <c r="K20" i="5"/>
  <c r="B17" i="6"/>
  <c r="I17" i="6" s="1"/>
  <c r="J17" i="6" s="1"/>
  <c r="F60" i="4"/>
  <c r="K28" i="5"/>
  <c r="B25" i="6"/>
  <c r="I25" i="6" s="1"/>
  <c r="J25" i="6" s="1"/>
  <c r="F68" i="4"/>
  <c r="K36" i="5"/>
  <c r="B33" i="6"/>
  <c r="I33" i="6" s="1"/>
  <c r="J33" i="6" s="1"/>
  <c r="F76" i="4"/>
  <c r="B41" i="6"/>
  <c r="I41" i="6" s="1"/>
  <c r="J41" i="6" s="1"/>
  <c r="K44" i="5"/>
  <c r="O22" i="5"/>
  <c r="B4" i="6"/>
  <c r="I4" i="6" s="1"/>
  <c r="J4" i="6" s="1"/>
  <c r="K7" i="5"/>
  <c r="F47" i="4"/>
  <c r="B12" i="6"/>
  <c r="I12" i="6" s="1"/>
  <c r="J12" i="6" s="1"/>
  <c r="K15" i="5"/>
  <c r="F55" i="4"/>
  <c r="B20" i="6"/>
  <c r="I20" i="6" s="1"/>
  <c r="J20" i="6" s="1"/>
  <c r="K23" i="5"/>
  <c r="F63" i="4"/>
  <c r="B28" i="6"/>
  <c r="I28" i="6" s="1"/>
  <c r="J28" i="6" s="1"/>
  <c r="K31" i="5"/>
  <c r="F71" i="4"/>
  <c r="B36" i="6"/>
  <c r="I36" i="6" s="1"/>
  <c r="J36" i="6" s="1"/>
  <c r="K39" i="5"/>
  <c r="F79" i="4"/>
  <c r="M49" i="10" l="1"/>
  <c r="M48" i="10"/>
  <c r="M47" i="10"/>
  <c r="M46" i="10"/>
  <c r="M45" i="10"/>
  <c r="M44" i="10"/>
  <c r="M42" i="10"/>
  <c r="M38" i="10"/>
  <c r="M43" i="10"/>
  <c r="M41" i="10"/>
  <c r="M40" i="10"/>
  <c r="L53" i="4"/>
  <c r="H52" i="4"/>
  <c r="A11" i="7"/>
  <c r="K51" i="4"/>
  <c r="N51" i="4" s="1"/>
  <c r="C10" i="7" s="1"/>
  <c r="M51" i="4"/>
  <c r="B10" i="7" s="1"/>
  <c r="O51" i="4"/>
  <c r="D10" i="7" s="1"/>
  <c r="M39" i="10"/>
  <c r="M21" i="10"/>
  <c r="M6" i="10"/>
  <c r="M11" i="10"/>
  <c r="M4" i="10"/>
  <c r="M27" i="10"/>
  <c r="M10" i="10"/>
  <c r="M16" i="10"/>
  <c r="M5" i="10"/>
  <c r="M34" i="10"/>
  <c r="M19" i="10"/>
  <c r="M13" i="10"/>
  <c r="M20" i="10"/>
  <c r="M32" i="10"/>
  <c r="M2" i="10"/>
  <c r="M29" i="10"/>
  <c r="M8" i="10"/>
  <c r="M22" i="10"/>
  <c r="M36" i="10"/>
  <c r="M18" i="10"/>
  <c r="M23" i="10"/>
  <c r="M7" i="10"/>
  <c r="M17" i="10"/>
  <c r="M24" i="10"/>
  <c r="M28" i="10"/>
  <c r="M30" i="10"/>
  <c r="M3" i="10"/>
  <c r="M35" i="10"/>
  <c r="M37" i="10"/>
  <c r="M31" i="10"/>
  <c r="M15" i="10"/>
  <c r="M25" i="10"/>
  <c r="M9" i="10"/>
  <c r="M26" i="10"/>
  <c r="M12" i="10"/>
  <c r="M14" i="10"/>
  <c r="M33" i="10"/>
  <c r="M3" i="9"/>
  <c r="S3" i="9" s="1"/>
  <c r="M2" i="9"/>
  <c r="T2" i="9" s="1"/>
  <c r="M7" i="9"/>
  <c r="Q7" i="9" s="1"/>
  <c r="M27" i="9"/>
  <c r="Q27" i="9" s="1"/>
  <c r="M16" i="9"/>
  <c r="T16" i="9" s="1"/>
  <c r="M32" i="9"/>
  <c r="T32" i="9" s="1"/>
  <c r="M19" i="9"/>
  <c r="Q19" i="9" s="1"/>
  <c r="M9" i="9"/>
  <c r="S9" i="9" s="1"/>
  <c r="M41" i="9"/>
  <c r="S41" i="9" s="1"/>
  <c r="M18" i="9"/>
  <c r="T18" i="9" s="1"/>
  <c r="M25" i="9"/>
  <c r="S25" i="9" s="1"/>
  <c r="M34" i="9"/>
  <c r="T34" i="9" s="1"/>
  <c r="M10" i="9"/>
  <c r="T10" i="9" s="1"/>
  <c r="M35" i="9"/>
  <c r="Q35" i="9" s="1"/>
  <c r="M40" i="9"/>
  <c r="R40" i="9" s="1"/>
  <c r="M24" i="9"/>
  <c r="T24" i="9" s="1"/>
  <c r="M8" i="9"/>
  <c r="T8" i="9" s="1"/>
  <c r="M33" i="9"/>
  <c r="S33" i="9" s="1"/>
  <c r="M17" i="9"/>
  <c r="S17" i="9" s="1"/>
  <c r="M42" i="9"/>
  <c r="T42" i="9" s="1"/>
  <c r="M26" i="9"/>
  <c r="Q26" i="9" s="1"/>
  <c r="M15" i="9"/>
  <c r="P15" i="9" s="1"/>
  <c r="M39" i="9"/>
  <c r="S39" i="9" s="1"/>
  <c r="M31" i="9"/>
  <c r="Q31" i="9" s="1"/>
  <c r="M23" i="9"/>
  <c r="S23" i="9" s="1"/>
  <c r="M11" i="9"/>
  <c r="Q11" i="9" s="1"/>
  <c r="M36" i="9"/>
  <c r="R36" i="9" s="1"/>
  <c r="M28" i="9"/>
  <c r="R28" i="9" s="1"/>
  <c r="M20" i="9"/>
  <c r="T20" i="9" s="1"/>
  <c r="M12" i="9"/>
  <c r="R12" i="9" s="1"/>
  <c r="M4" i="9"/>
  <c r="T4" i="9" s="1"/>
  <c r="M37" i="9"/>
  <c r="P37" i="9" s="1"/>
  <c r="M29" i="9"/>
  <c r="Q29" i="9" s="1"/>
  <c r="M21" i="9"/>
  <c r="Q21" i="9" s="1"/>
  <c r="M13" i="9"/>
  <c r="Q13" i="9" s="1"/>
  <c r="M5" i="9"/>
  <c r="Q5" i="9" s="1"/>
  <c r="M38" i="9"/>
  <c r="T38" i="9" s="1"/>
  <c r="M30" i="9"/>
  <c r="R30" i="9" s="1"/>
  <c r="M22" i="9"/>
  <c r="Q22" i="9" s="1"/>
  <c r="M14" i="9"/>
  <c r="R14" i="9" s="1"/>
  <c r="M6" i="9"/>
  <c r="Q6" i="9" s="1"/>
  <c r="M43" i="9"/>
  <c r="Q43" i="9" s="1"/>
  <c r="L31" i="5"/>
  <c r="H28" i="6"/>
  <c r="O23" i="5"/>
  <c r="L28" i="5"/>
  <c r="H25" i="6"/>
  <c r="L12" i="5"/>
  <c r="H9" i="6"/>
  <c r="L33" i="5"/>
  <c r="H30" i="6"/>
  <c r="L9" i="5"/>
  <c r="H6" i="6"/>
  <c r="L38" i="5"/>
  <c r="H35" i="6"/>
  <c r="L22" i="5"/>
  <c r="H19" i="6"/>
  <c r="L6" i="5"/>
  <c r="H3" i="6"/>
  <c r="L8" i="5"/>
  <c r="H5" i="6"/>
  <c r="L35" i="5"/>
  <c r="H32" i="6"/>
  <c r="L19" i="5"/>
  <c r="H16" i="6"/>
  <c r="L5" i="5"/>
  <c r="H2" i="6"/>
  <c r="L32" i="5"/>
  <c r="H29" i="6"/>
  <c r="L37" i="5"/>
  <c r="H34" i="6"/>
  <c r="L21" i="5"/>
  <c r="H18" i="6"/>
  <c r="L26" i="5"/>
  <c r="H23" i="6"/>
  <c r="L10" i="5"/>
  <c r="H7" i="6"/>
  <c r="L24" i="5"/>
  <c r="H21" i="6"/>
  <c r="L15" i="5"/>
  <c r="H12" i="6"/>
  <c r="L39" i="5"/>
  <c r="H36" i="6"/>
  <c r="L23" i="5"/>
  <c r="H20" i="6"/>
  <c r="L7" i="5"/>
  <c r="H4" i="6"/>
  <c r="L44" i="5"/>
  <c r="M44" i="5" s="1"/>
  <c r="H41" i="6"/>
  <c r="L36" i="5"/>
  <c r="H33" i="6"/>
  <c r="L20" i="5"/>
  <c r="H17" i="6"/>
  <c r="L41" i="5"/>
  <c r="M41" i="5" s="1"/>
  <c r="H38" i="6"/>
  <c r="L17" i="5"/>
  <c r="H14" i="6"/>
  <c r="L30" i="5"/>
  <c r="H27" i="6"/>
  <c r="L14" i="5"/>
  <c r="H11" i="6"/>
  <c r="L43" i="5"/>
  <c r="M43" i="5" s="1"/>
  <c r="H40" i="6"/>
  <c r="L27" i="5"/>
  <c r="H24" i="6"/>
  <c r="L11" i="5"/>
  <c r="H8" i="6"/>
  <c r="L16" i="5"/>
  <c r="H13" i="6"/>
  <c r="L25" i="5"/>
  <c r="H22" i="6"/>
  <c r="L45" i="5"/>
  <c r="M45" i="5" s="1"/>
  <c r="H42" i="6"/>
  <c r="L29" i="5"/>
  <c r="H26" i="6"/>
  <c r="L13" i="5"/>
  <c r="H10" i="6"/>
  <c r="L42" i="5"/>
  <c r="M42" i="5" s="1"/>
  <c r="H39" i="6"/>
  <c r="L34" i="5"/>
  <c r="H31" i="6"/>
  <c r="L18" i="5"/>
  <c r="H15" i="6"/>
  <c r="L40" i="5"/>
  <c r="H37" i="6"/>
  <c r="Q38" i="10" l="1" a="1"/>
  <c r="Q37" i="10" a="1"/>
  <c r="Q36" i="10" a="1"/>
  <c r="Q35" i="10" a="1"/>
  <c r="Q34" i="10" a="1"/>
  <c r="Q33" i="10" a="1"/>
  <c r="Q32" i="10" a="1"/>
  <c r="Q30" i="10" a="1"/>
  <c r="Q29" i="10" a="1"/>
  <c r="Q27" i="10" a="1"/>
  <c r="Q31" i="10" a="1"/>
  <c r="Q28" i="10" a="1"/>
  <c r="Q26" i="10" a="1"/>
  <c r="K52" i="4"/>
  <c r="N52" i="4" s="1"/>
  <c r="C11" i="7" s="1"/>
  <c r="O52" i="4"/>
  <c r="D11" i="7" s="1"/>
  <c r="M52" i="4"/>
  <c r="B11" i="7" s="1"/>
  <c r="L54" i="4"/>
  <c r="H53" i="4"/>
  <c r="A12" i="7"/>
  <c r="Q7" i="10" a="1"/>
  <c r="R7" i="10" s="1"/>
  <c r="Q3" i="10" a="1"/>
  <c r="Q3" i="10" s="1"/>
  <c r="Q4" i="10" a="1"/>
  <c r="W4" i="10" s="1"/>
  <c r="Q6" i="10" a="1"/>
  <c r="T6" i="10" s="1"/>
  <c r="Q19" i="10" a="1"/>
  <c r="T19" i="10" s="1"/>
  <c r="Q10" i="10" a="1"/>
  <c r="W10" i="10" s="1"/>
  <c r="Q14" i="10" a="1"/>
  <c r="T14" i="10" s="1"/>
  <c r="Q23" i="10" a="1"/>
  <c r="T23" i="10" s="1"/>
  <c r="Q8" i="10" a="1"/>
  <c r="U8" i="10" s="1"/>
  <c r="Q11" i="10" a="1"/>
  <c r="S11" i="10" s="1"/>
  <c r="Q12" i="10" a="1"/>
  <c r="Y12" i="10" s="1"/>
  <c r="Q9" i="10" a="1"/>
  <c r="T9" i="10" s="1"/>
  <c r="Q5" i="10" a="1"/>
  <c r="Y5" i="10" s="1"/>
  <c r="Q25" i="10" a="1"/>
  <c r="R25" i="10" s="1"/>
  <c r="Q13" i="10" a="1"/>
  <c r="W13" i="10" s="1"/>
  <c r="Q24" i="10" a="1"/>
  <c r="X24" i="10" s="1"/>
  <c r="Q18" i="10" a="1"/>
  <c r="X18" i="10" s="1"/>
  <c r="Q20" i="10" a="1"/>
  <c r="U20" i="10" s="1"/>
  <c r="Q17" i="10" a="1"/>
  <c r="V17" i="10" s="1"/>
  <c r="Q22" i="10" a="1"/>
  <c r="V22" i="10" s="1"/>
  <c r="Q15" i="10" a="1"/>
  <c r="W15" i="10" s="1"/>
  <c r="Q16" i="10" a="1"/>
  <c r="Y16" i="10" s="1"/>
  <c r="Q21" i="10" a="1"/>
  <c r="X21" i="10" s="1"/>
  <c r="T41" i="9"/>
  <c r="O10" i="9"/>
  <c r="Q9" i="9"/>
  <c r="S34" i="9"/>
  <c r="S2" i="9"/>
  <c r="O7" i="9"/>
  <c r="P34" i="9"/>
  <c r="R32" i="9"/>
  <c r="P2" i="9"/>
  <c r="Q32" i="9"/>
  <c r="R2" i="9"/>
  <c r="Q2" i="9"/>
  <c r="O9" i="9"/>
  <c r="P35" i="9"/>
  <c r="S35" i="9"/>
  <c r="O2" i="9"/>
  <c r="R41" i="9"/>
  <c r="P7" i="9"/>
  <c r="O16" i="9"/>
  <c r="Q40" i="9"/>
  <c r="P25" i="9"/>
  <c r="O17" i="9"/>
  <c r="Q16" i="9"/>
  <c r="S40" i="9"/>
  <c r="R7" i="9"/>
  <c r="S8" i="9"/>
  <c r="Q10" i="9"/>
  <c r="R25" i="9"/>
  <c r="P16" i="9"/>
  <c r="T7" i="9"/>
  <c r="P19" i="9"/>
  <c r="R16" i="9"/>
  <c r="S7" i="9"/>
  <c r="R19" i="9"/>
  <c r="S26" i="9"/>
  <c r="T17" i="9"/>
  <c r="Q41" i="9"/>
  <c r="S16" i="9"/>
  <c r="S12" i="9"/>
  <c r="P18" i="9"/>
  <c r="P42" i="9"/>
  <c r="O33" i="9"/>
  <c r="Q24" i="9"/>
  <c r="P27" i="9"/>
  <c r="P4" i="9"/>
  <c r="R24" i="9"/>
  <c r="S27" i="9"/>
  <c r="R18" i="9"/>
  <c r="O34" i="9"/>
  <c r="T33" i="9"/>
  <c r="S32" i="9"/>
  <c r="R15" i="9"/>
  <c r="T9" i="9"/>
  <c r="Q18" i="9"/>
  <c r="Q34" i="9"/>
  <c r="Q42" i="9"/>
  <c r="R9" i="9"/>
  <c r="R33" i="9"/>
  <c r="P24" i="9"/>
  <c r="P32" i="9"/>
  <c r="T27" i="9"/>
  <c r="T35" i="9"/>
  <c r="O39" i="9"/>
  <c r="O24" i="9"/>
  <c r="O32" i="9"/>
  <c r="R27" i="9"/>
  <c r="R35" i="9"/>
  <c r="O18" i="9"/>
  <c r="R34" i="9"/>
  <c r="S42" i="9"/>
  <c r="P9" i="9"/>
  <c r="O27" i="9"/>
  <c r="Q39" i="9"/>
  <c r="S15" i="9"/>
  <c r="P10" i="9"/>
  <c r="P26" i="9"/>
  <c r="O25" i="9"/>
  <c r="O41" i="9"/>
  <c r="P8" i="9"/>
  <c r="T19" i="9"/>
  <c r="O3" i="9"/>
  <c r="O8" i="9"/>
  <c r="S19" i="9"/>
  <c r="S10" i="9"/>
  <c r="Q25" i="9"/>
  <c r="P41" i="9"/>
  <c r="O19" i="9"/>
  <c r="R26" i="9"/>
  <c r="T25" i="9"/>
  <c r="T37" i="9"/>
  <c r="O38" i="9"/>
  <c r="S38" i="9"/>
  <c r="S28" i="9"/>
  <c r="O23" i="9"/>
  <c r="O42" i="9"/>
  <c r="T15" i="9"/>
  <c r="T39" i="9"/>
  <c r="Q33" i="9"/>
  <c r="Q15" i="9"/>
  <c r="S18" i="9"/>
  <c r="O12" i="9"/>
  <c r="O28" i="9"/>
  <c r="R3" i="9"/>
  <c r="R23" i="9"/>
  <c r="R39" i="9"/>
  <c r="P3" i="9"/>
  <c r="Q12" i="9"/>
  <c r="O37" i="9"/>
  <c r="P23" i="9"/>
  <c r="P39" i="9"/>
  <c r="Q28" i="9"/>
  <c r="T5" i="9"/>
  <c r="T23" i="9"/>
  <c r="Q3" i="9"/>
  <c r="Q23" i="9"/>
  <c r="T12" i="9"/>
  <c r="T28" i="9"/>
  <c r="T3" i="9"/>
  <c r="P28" i="9"/>
  <c r="T21" i="9"/>
  <c r="R37" i="9"/>
  <c r="P12" i="9"/>
  <c r="P5" i="9"/>
  <c r="P21" i="9"/>
  <c r="R10" i="9"/>
  <c r="R17" i="9"/>
  <c r="Q8" i="9"/>
  <c r="O40" i="9"/>
  <c r="R8" i="9"/>
  <c r="T40" i="9"/>
  <c r="P40" i="9"/>
  <c r="Q17" i="9"/>
  <c r="O20" i="9"/>
  <c r="P17" i="9"/>
  <c r="Q14" i="9"/>
  <c r="P30" i="9"/>
  <c r="T26" i="9"/>
  <c r="O26" i="9"/>
  <c r="T31" i="9"/>
  <c r="S24" i="9"/>
  <c r="O15" i="9"/>
  <c r="O35" i="9"/>
  <c r="P33" i="9"/>
  <c r="O31" i="9"/>
  <c r="R31" i="9"/>
  <c r="R42" i="9"/>
  <c r="S36" i="9"/>
  <c r="T36" i="9"/>
  <c r="R13" i="9"/>
  <c r="R29" i="9"/>
  <c r="R4" i="9"/>
  <c r="P20" i="9"/>
  <c r="T11" i="9"/>
  <c r="S20" i="9"/>
  <c r="R11" i="9"/>
  <c r="O6" i="9"/>
  <c r="O22" i="9"/>
  <c r="Q38" i="9"/>
  <c r="P29" i="9"/>
  <c r="O5" i="9"/>
  <c r="O21" i="9"/>
  <c r="P14" i="9"/>
  <c r="Q30" i="9"/>
  <c r="S21" i="9"/>
  <c r="S14" i="9"/>
  <c r="S5" i="9"/>
  <c r="S30" i="9"/>
  <c r="P43" i="9"/>
  <c r="R5" i="9"/>
  <c r="R21" i="9"/>
  <c r="R6" i="9"/>
  <c r="T6" i="9"/>
  <c r="R22" i="9"/>
  <c r="T22" i="9"/>
  <c r="S13" i="9"/>
  <c r="T13" i="9"/>
  <c r="T14" i="9"/>
  <c r="O14" i="9"/>
  <c r="T30" i="9"/>
  <c r="O30" i="9"/>
  <c r="S37" i="9"/>
  <c r="Q37" i="9"/>
  <c r="O36" i="9"/>
  <c r="Q4" i="9"/>
  <c r="Q20" i="9"/>
  <c r="Q36" i="9"/>
  <c r="P11" i="9"/>
  <c r="P31" i="9"/>
  <c r="O11" i="9"/>
  <c r="S4" i="9"/>
  <c r="S31" i="9"/>
  <c r="R20" i="9"/>
  <c r="S11" i="9"/>
  <c r="S6" i="9"/>
  <c r="S22" i="9"/>
  <c r="P38" i="9"/>
  <c r="O13" i="9"/>
  <c r="T29" i="9"/>
  <c r="O4" i="9"/>
  <c r="P36" i="9"/>
  <c r="P6" i="9"/>
  <c r="P22" i="9"/>
  <c r="R38" i="9"/>
  <c r="P13" i="9"/>
  <c r="S29" i="9"/>
  <c r="O29" i="9"/>
  <c r="O43" i="9"/>
  <c r="S43" i="9"/>
  <c r="T43" i="9"/>
  <c r="R43" i="9"/>
  <c r="M40" i="5"/>
  <c r="M18" i="5"/>
  <c r="M29" i="5"/>
  <c r="M25" i="5"/>
  <c r="M11" i="5"/>
  <c r="M30" i="5"/>
  <c r="M36" i="5"/>
  <c r="M7" i="5"/>
  <c r="M39" i="5"/>
  <c r="M24" i="5"/>
  <c r="M31" i="5"/>
  <c r="M34" i="5"/>
  <c r="M13" i="5"/>
  <c r="M16" i="5"/>
  <c r="M27" i="5"/>
  <c r="M14" i="5"/>
  <c r="M17" i="5"/>
  <c r="M20" i="5"/>
  <c r="M23" i="5"/>
  <c r="M15" i="5"/>
  <c r="M10" i="5"/>
  <c r="M26" i="5"/>
  <c r="M21" i="5"/>
  <c r="M37" i="5"/>
  <c r="M32" i="5"/>
  <c r="M5" i="5"/>
  <c r="M19" i="5"/>
  <c r="M8" i="5"/>
  <c r="M6" i="5"/>
  <c r="M33" i="5"/>
  <c r="M12" i="5"/>
  <c r="O24" i="5"/>
  <c r="M35" i="5"/>
  <c r="M22" i="5"/>
  <c r="M38" i="5"/>
  <c r="M9" i="5"/>
  <c r="M28" i="5"/>
  <c r="B3" i="18" l="1" a="1"/>
  <c r="Y37" i="10"/>
  <c r="U37" i="10"/>
  <c r="Q37" i="10"/>
  <c r="X37" i="10"/>
  <c r="T37" i="10"/>
  <c r="W37" i="10"/>
  <c r="S37" i="10"/>
  <c r="V37" i="10"/>
  <c r="R37" i="10"/>
  <c r="AA37" i="10" s="1"/>
  <c r="Y38" i="10"/>
  <c r="U38" i="10"/>
  <c r="Q38" i="10"/>
  <c r="X38" i="10"/>
  <c r="T38" i="10"/>
  <c r="W38" i="10"/>
  <c r="S38" i="10"/>
  <c r="V38" i="10"/>
  <c r="R38" i="10"/>
  <c r="AA38" i="10" s="1"/>
  <c r="W33" i="10"/>
  <c r="S33" i="10"/>
  <c r="V33" i="10"/>
  <c r="R33" i="10"/>
  <c r="AA33" i="10" s="1"/>
  <c r="Y33" i="10"/>
  <c r="U33" i="10"/>
  <c r="Q33" i="10"/>
  <c r="X33" i="10"/>
  <c r="T33" i="10"/>
  <c r="W34" i="10"/>
  <c r="S34" i="10"/>
  <c r="V34" i="10"/>
  <c r="R34" i="10"/>
  <c r="AA34" i="10" s="1"/>
  <c r="Y34" i="10"/>
  <c r="U34" i="10"/>
  <c r="Q34" i="10"/>
  <c r="X34" i="10"/>
  <c r="T34" i="10"/>
  <c r="W35" i="10"/>
  <c r="S35" i="10"/>
  <c r="V35" i="10"/>
  <c r="R35" i="10"/>
  <c r="AA35" i="10" s="1"/>
  <c r="Y35" i="10"/>
  <c r="U35" i="10"/>
  <c r="Q35" i="10"/>
  <c r="X35" i="10"/>
  <c r="T35" i="10"/>
  <c r="W32" i="10"/>
  <c r="S32" i="10"/>
  <c r="V32" i="10"/>
  <c r="R32" i="10"/>
  <c r="AA32" i="10" s="1"/>
  <c r="Y32" i="10"/>
  <c r="U32" i="10"/>
  <c r="Q32" i="10"/>
  <c r="X32" i="10"/>
  <c r="T32" i="10"/>
  <c r="W36" i="10"/>
  <c r="S36" i="10"/>
  <c r="V36" i="10"/>
  <c r="R36" i="10"/>
  <c r="AA36" i="10" s="1"/>
  <c r="Y36" i="10"/>
  <c r="U36" i="10"/>
  <c r="Q36" i="10"/>
  <c r="X36" i="10"/>
  <c r="T36" i="10"/>
  <c r="W31" i="10"/>
  <c r="S31" i="10"/>
  <c r="V31" i="10"/>
  <c r="R31" i="10"/>
  <c r="AA31" i="10" s="1"/>
  <c r="Y31" i="10"/>
  <c r="U31" i="10"/>
  <c r="Q31" i="10"/>
  <c r="X31" i="10"/>
  <c r="T31" i="10"/>
  <c r="W27" i="10"/>
  <c r="S27" i="10"/>
  <c r="X27" i="10"/>
  <c r="T27" i="10"/>
  <c r="V27" i="10"/>
  <c r="R27" i="10"/>
  <c r="AA27" i="10" s="1"/>
  <c r="Y27" i="10"/>
  <c r="U27" i="10"/>
  <c r="Q27" i="10"/>
  <c r="W26" i="10"/>
  <c r="S26" i="10"/>
  <c r="V26" i="10"/>
  <c r="R26" i="10"/>
  <c r="AA26" i="10" s="1"/>
  <c r="Y26" i="10"/>
  <c r="U26" i="10"/>
  <c r="Q26" i="10"/>
  <c r="X26" i="10"/>
  <c r="T26" i="10"/>
  <c r="W29" i="10"/>
  <c r="S29" i="10"/>
  <c r="V29" i="10"/>
  <c r="R29" i="10"/>
  <c r="AA29" i="10" s="1"/>
  <c r="Y29" i="10"/>
  <c r="U29" i="10"/>
  <c r="Q29" i="10"/>
  <c r="X29" i="10"/>
  <c r="T29" i="10"/>
  <c r="W28" i="10"/>
  <c r="S28" i="10"/>
  <c r="V28" i="10"/>
  <c r="R28" i="10"/>
  <c r="AA28" i="10" s="1"/>
  <c r="Y28" i="10"/>
  <c r="U28" i="10"/>
  <c r="Q28" i="10"/>
  <c r="X28" i="10"/>
  <c r="T28" i="10"/>
  <c r="W30" i="10"/>
  <c r="S30" i="10"/>
  <c r="X30" i="10"/>
  <c r="T30" i="10"/>
  <c r="V30" i="10"/>
  <c r="R30" i="10"/>
  <c r="AA30" i="10" s="1"/>
  <c r="Y30" i="10"/>
  <c r="U30" i="10"/>
  <c r="Q30" i="10"/>
  <c r="A13" i="7"/>
  <c r="H54" i="4"/>
  <c r="L55" i="4"/>
  <c r="O53" i="4"/>
  <c r="D12" i="7" s="1"/>
  <c r="M53" i="4"/>
  <c r="B12" i="7" s="1"/>
  <c r="K53" i="4"/>
  <c r="N53" i="4" s="1"/>
  <c r="C12" i="7" s="1"/>
  <c r="X7" i="10"/>
  <c r="Q7" i="10"/>
  <c r="Y7" i="10"/>
  <c r="U7" i="10"/>
  <c r="T7" i="10"/>
  <c r="W7" i="10"/>
  <c r="V7" i="10"/>
  <c r="S7" i="10"/>
  <c r="Z7" i="10" s="1"/>
  <c r="AA7" i="10" s="1"/>
  <c r="V3" i="10"/>
  <c r="V15" i="10"/>
  <c r="T3" i="10"/>
  <c r="R3" i="10"/>
  <c r="Y3" i="10"/>
  <c r="S3" i="10"/>
  <c r="U3" i="10"/>
  <c r="W3" i="10"/>
  <c r="X3" i="10"/>
  <c r="S20" i="10"/>
  <c r="U10" i="10"/>
  <c r="U13" i="10"/>
  <c r="S21" i="10"/>
  <c r="S17" i="10"/>
  <c r="U4" i="10"/>
  <c r="V4" i="10"/>
  <c r="X12" i="10"/>
  <c r="W12" i="10"/>
  <c r="W14" i="10"/>
  <c r="R4" i="10"/>
  <c r="Q4" i="10"/>
  <c r="Y4" i="10"/>
  <c r="Q17" i="10"/>
  <c r="T4" i="10"/>
  <c r="S4" i="10"/>
  <c r="R21" i="10"/>
  <c r="S14" i="10"/>
  <c r="Y13" i="10"/>
  <c r="X4" i="10"/>
  <c r="R23" i="10"/>
  <c r="S6" i="10"/>
  <c r="R6" i="10"/>
  <c r="X6" i="10"/>
  <c r="Y9" i="10"/>
  <c r="Y19" i="10"/>
  <c r="W6" i="10"/>
  <c r="V6" i="10"/>
  <c r="S23" i="10"/>
  <c r="Q6" i="10"/>
  <c r="Y6" i="10"/>
  <c r="Q9" i="10"/>
  <c r="U6" i="10"/>
  <c r="T21" i="10"/>
  <c r="R17" i="10"/>
  <c r="V14" i="10"/>
  <c r="T13" i="10"/>
  <c r="X25" i="10"/>
  <c r="Q21" i="10"/>
  <c r="U12" i="10"/>
  <c r="T17" i="10"/>
  <c r="X14" i="10"/>
  <c r="V13" i="10"/>
  <c r="Y25" i="10"/>
  <c r="U21" i="10"/>
  <c r="R12" i="10"/>
  <c r="T12" i="10"/>
  <c r="U17" i="10"/>
  <c r="X17" i="10"/>
  <c r="Y14" i="10"/>
  <c r="Q11" i="10"/>
  <c r="W20" i="10"/>
  <c r="Q13" i="10"/>
  <c r="S10" i="10"/>
  <c r="Y21" i="10"/>
  <c r="S12" i="10"/>
  <c r="V12" i="10"/>
  <c r="Y17" i="10"/>
  <c r="Q14" i="10"/>
  <c r="R14" i="10"/>
  <c r="W11" i="10"/>
  <c r="R13" i="10"/>
  <c r="S13" i="10"/>
  <c r="S19" i="10"/>
  <c r="W25" i="10"/>
  <c r="T16" i="10"/>
  <c r="V10" i="10"/>
  <c r="Q19" i="10"/>
  <c r="X19" i="10"/>
  <c r="X11" i="10"/>
  <c r="R16" i="10"/>
  <c r="T10" i="10"/>
  <c r="R19" i="10"/>
  <c r="R11" i="10"/>
  <c r="Y11" i="10"/>
  <c r="Y23" i="10"/>
  <c r="R9" i="10"/>
  <c r="X9" i="10"/>
  <c r="W23" i="10"/>
  <c r="V23" i="10"/>
  <c r="U9" i="10"/>
  <c r="V9" i="10"/>
  <c r="W24" i="10"/>
  <c r="W19" i="10"/>
  <c r="V19" i="10"/>
  <c r="S8" i="10"/>
  <c r="Q23" i="10"/>
  <c r="X23" i="10"/>
  <c r="W9" i="10"/>
  <c r="U23" i="10"/>
  <c r="S9" i="10"/>
  <c r="U19" i="10"/>
  <c r="T8" i="10"/>
  <c r="W18" i="10"/>
  <c r="U5" i="10"/>
  <c r="R8" i="10"/>
  <c r="Q8" i="10"/>
  <c r="Y8" i="10"/>
  <c r="U25" i="10"/>
  <c r="V25" i="10"/>
  <c r="U18" i="10"/>
  <c r="W16" i="10"/>
  <c r="X5" i="10"/>
  <c r="R10" i="10"/>
  <c r="Q10" i="10"/>
  <c r="Y10" i="10"/>
  <c r="V11" i="10"/>
  <c r="U11" i="10"/>
  <c r="T20" i="10"/>
  <c r="X8" i="10"/>
  <c r="W8" i="10"/>
  <c r="Q25" i="10"/>
  <c r="T25" i="10"/>
  <c r="V21" i="10"/>
  <c r="W21" i="10"/>
  <c r="X16" i="10"/>
  <c r="Q12" i="10"/>
  <c r="S15" i="10"/>
  <c r="X10" i="10"/>
  <c r="W17" i="10"/>
  <c r="U14" i="10"/>
  <c r="T11" i="10"/>
  <c r="R20" i="10"/>
  <c r="X13" i="10"/>
  <c r="V8" i="10"/>
  <c r="V18" i="10"/>
  <c r="V5" i="10"/>
  <c r="T15" i="10"/>
  <c r="Y22" i="10"/>
  <c r="S25" i="10"/>
  <c r="Z25" i="10" s="1"/>
  <c r="AA25" i="10" s="1"/>
  <c r="T18" i="10"/>
  <c r="S16" i="10"/>
  <c r="W5" i="10"/>
  <c r="U15" i="10"/>
  <c r="V24" i="10"/>
  <c r="X20" i="10"/>
  <c r="U24" i="10"/>
  <c r="U22" i="10"/>
  <c r="S18" i="10"/>
  <c r="R18" i="10"/>
  <c r="T5" i="10"/>
  <c r="S5" i="10"/>
  <c r="R15" i="10"/>
  <c r="Q15" i="10"/>
  <c r="Y15" i="10"/>
  <c r="S24" i="10"/>
  <c r="R24" i="10"/>
  <c r="AA24" i="10" s="1"/>
  <c r="Q22" i="10"/>
  <c r="X22" i="10"/>
  <c r="T24" i="10"/>
  <c r="Q18" i="10"/>
  <c r="Y18" i="10"/>
  <c r="R5" i="10"/>
  <c r="Q5" i="10"/>
  <c r="X15" i="10"/>
  <c r="Q24" i="10"/>
  <c r="Y24" i="10"/>
  <c r="T22" i="10"/>
  <c r="V16" i="10"/>
  <c r="U16" i="10"/>
  <c r="S22" i="10"/>
  <c r="R22" i="10"/>
  <c r="Q20" i="10"/>
  <c r="Y20" i="10"/>
  <c r="Q16" i="10"/>
  <c r="W22" i="10"/>
  <c r="V20" i="10"/>
  <c r="N6" i="5"/>
  <c r="P6" i="5" s="1"/>
  <c r="N5" i="5"/>
  <c r="P5" i="5" s="1"/>
  <c r="N20" i="5"/>
  <c r="N14" i="5"/>
  <c r="N13" i="5"/>
  <c r="N9" i="5"/>
  <c r="N22" i="5"/>
  <c r="N23" i="5"/>
  <c r="N21" i="5"/>
  <c r="N19" i="5"/>
  <c r="N17" i="5"/>
  <c r="N16" i="5"/>
  <c r="N15" i="5"/>
  <c r="N11" i="5"/>
  <c r="N7" i="5"/>
  <c r="N8" i="5"/>
  <c r="O25" i="5"/>
  <c r="N24" i="5"/>
  <c r="N18" i="5"/>
  <c r="N12" i="5"/>
  <c r="N10" i="5"/>
  <c r="AD4" i="10" l="1"/>
  <c r="J3" i="18" s="1" a="1"/>
  <c r="E3" i="18"/>
  <c r="C4" i="18"/>
  <c r="G4" i="18"/>
  <c r="E5" i="18"/>
  <c r="C6" i="18"/>
  <c r="G6" i="18"/>
  <c r="E7" i="18"/>
  <c r="C8" i="18"/>
  <c r="G8" i="18"/>
  <c r="E9" i="18"/>
  <c r="C10" i="18"/>
  <c r="G10" i="18"/>
  <c r="E11" i="18"/>
  <c r="C12" i="18"/>
  <c r="G12" i="18"/>
  <c r="E13" i="18"/>
  <c r="C14" i="18"/>
  <c r="G14" i="18"/>
  <c r="E15" i="18"/>
  <c r="C16" i="18"/>
  <c r="G16" i="18"/>
  <c r="E17" i="18"/>
  <c r="C18" i="18"/>
  <c r="G18" i="18"/>
  <c r="E19" i="18"/>
  <c r="C20" i="18"/>
  <c r="G20" i="18"/>
  <c r="E21" i="18"/>
  <c r="C22" i="18"/>
  <c r="G22" i="18"/>
  <c r="E23" i="18"/>
  <c r="C24" i="18"/>
  <c r="G24" i="18"/>
  <c r="E25" i="18"/>
  <c r="C26" i="18"/>
  <c r="G26" i="18"/>
  <c r="E27" i="18"/>
  <c r="C28" i="18"/>
  <c r="G28" i="18"/>
  <c r="E29" i="18"/>
  <c r="C30" i="18"/>
  <c r="G30" i="18"/>
  <c r="E31" i="18"/>
  <c r="C32" i="18"/>
  <c r="G32" i="18"/>
  <c r="E33" i="18"/>
  <c r="C34" i="18"/>
  <c r="G34" i="18"/>
  <c r="E35" i="18"/>
  <c r="C36" i="18"/>
  <c r="G36" i="18"/>
  <c r="E37" i="18"/>
  <c r="C38" i="18"/>
  <c r="G38" i="18"/>
  <c r="E39" i="18"/>
  <c r="C40" i="18"/>
  <c r="G40" i="18"/>
  <c r="E41" i="18"/>
  <c r="C42" i="18"/>
  <c r="G42" i="18"/>
  <c r="C3" i="18"/>
  <c r="G3" i="18"/>
  <c r="E4" i="18"/>
  <c r="C5" i="18"/>
  <c r="G5" i="18"/>
  <c r="E6" i="18"/>
  <c r="C7" i="18"/>
  <c r="G7" i="18"/>
  <c r="E8" i="18"/>
  <c r="C9" i="18"/>
  <c r="G9" i="18"/>
  <c r="E10" i="18"/>
  <c r="C11" i="18"/>
  <c r="G11" i="18"/>
  <c r="E12" i="18"/>
  <c r="C13" i="18"/>
  <c r="G13" i="18"/>
  <c r="E14" i="18"/>
  <c r="C15" i="18"/>
  <c r="G15" i="18"/>
  <c r="E16" i="18"/>
  <c r="C17" i="18"/>
  <c r="G17" i="18"/>
  <c r="E18" i="18"/>
  <c r="B3" i="18"/>
  <c r="F3" i="18"/>
  <c r="D4" i="18"/>
  <c r="B5" i="18"/>
  <c r="F5" i="18"/>
  <c r="D6" i="18"/>
  <c r="B7" i="18"/>
  <c r="F7" i="18"/>
  <c r="D8" i="18"/>
  <c r="B9" i="18"/>
  <c r="F9" i="18"/>
  <c r="D10" i="18"/>
  <c r="B11" i="18"/>
  <c r="F11" i="18"/>
  <c r="D12" i="18"/>
  <c r="B13" i="18"/>
  <c r="F13" i="18"/>
  <c r="D14" i="18"/>
  <c r="B15" i="18"/>
  <c r="F15" i="18"/>
  <c r="D16" i="18"/>
  <c r="B17" i="18"/>
  <c r="F17" i="18"/>
  <c r="D18" i="18"/>
  <c r="B19" i="18"/>
  <c r="F19" i="18"/>
  <c r="D20" i="18"/>
  <c r="B21" i="18"/>
  <c r="F21" i="18"/>
  <c r="D22" i="18"/>
  <c r="B23" i="18"/>
  <c r="F23" i="18"/>
  <c r="D24" i="18"/>
  <c r="B25" i="18"/>
  <c r="F25" i="18"/>
  <c r="D26" i="18"/>
  <c r="B27" i="18"/>
  <c r="F27" i="18"/>
  <c r="D28" i="18"/>
  <c r="B29" i="18"/>
  <c r="F29" i="18"/>
  <c r="D30" i="18"/>
  <c r="B31" i="18"/>
  <c r="F31" i="18"/>
  <c r="D32" i="18"/>
  <c r="B33" i="18"/>
  <c r="F33" i="18"/>
  <c r="D34" i="18"/>
  <c r="B35" i="18"/>
  <c r="F35" i="18"/>
  <c r="D36" i="18"/>
  <c r="B37" i="18"/>
  <c r="F37" i="18"/>
  <c r="D38" i="18"/>
  <c r="B39" i="18"/>
  <c r="F39" i="18"/>
  <c r="D40" i="18"/>
  <c r="B41" i="18"/>
  <c r="F41" i="18"/>
  <c r="D42" i="18"/>
  <c r="B6" i="18"/>
  <c r="F8" i="18"/>
  <c r="F16" i="18"/>
  <c r="C31" i="18"/>
  <c r="F4" i="18"/>
  <c r="D7" i="18"/>
  <c r="B10" i="18"/>
  <c r="F12" i="18"/>
  <c r="D15" i="18"/>
  <c r="B18" i="18"/>
  <c r="G19" i="18"/>
  <c r="C21" i="18"/>
  <c r="E22" i="18"/>
  <c r="G23" i="18"/>
  <c r="C25" i="18"/>
  <c r="E26" i="18"/>
  <c r="G27" i="18"/>
  <c r="C29" i="18"/>
  <c r="E30" i="18"/>
  <c r="G31" i="18"/>
  <c r="C33" i="18"/>
  <c r="E34" i="18"/>
  <c r="G35" i="18"/>
  <c r="C37" i="18"/>
  <c r="E38" i="18"/>
  <c r="G39" i="18"/>
  <c r="C41" i="18"/>
  <c r="E42" i="18"/>
  <c r="D5" i="18"/>
  <c r="B8" i="18"/>
  <c r="F10" i="18"/>
  <c r="D13" i="18"/>
  <c r="B16" i="18"/>
  <c r="F18" i="18"/>
  <c r="B20" i="18"/>
  <c r="D21" i="18"/>
  <c r="F22" i="18"/>
  <c r="B24" i="18"/>
  <c r="D25" i="18"/>
  <c r="F26" i="18"/>
  <c r="B28" i="18"/>
  <c r="D29" i="18"/>
  <c r="F30" i="18"/>
  <c r="B32" i="18"/>
  <c r="D33" i="18"/>
  <c r="F34" i="18"/>
  <c r="B36" i="18"/>
  <c r="D37" i="18"/>
  <c r="F38" i="18"/>
  <c r="B40" i="18"/>
  <c r="D41" i="18"/>
  <c r="F42" i="18"/>
  <c r="D3" i="18"/>
  <c r="D11" i="18"/>
  <c r="B14" i="18"/>
  <c r="C19" i="18"/>
  <c r="E20" i="18"/>
  <c r="G21" i="18"/>
  <c r="C23" i="18"/>
  <c r="E24" i="18"/>
  <c r="G25" i="18"/>
  <c r="C27" i="18"/>
  <c r="E28" i="18"/>
  <c r="G29" i="18"/>
  <c r="E32" i="18"/>
  <c r="G33" i="18"/>
  <c r="C35" i="18"/>
  <c r="E36" i="18"/>
  <c r="G37" i="18"/>
  <c r="C39" i="18"/>
  <c r="E40" i="18"/>
  <c r="G41" i="18"/>
  <c r="B4" i="18"/>
  <c r="F6" i="18"/>
  <c r="D9" i="18"/>
  <c r="B12" i="18"/>
  <c r="F14" i="18"/>
  <c r="D17" i="18"/>
  <c r="D19" i="18"/>
  <c r="F20" i="18"/>
  <c r="B22" i="18"/>
  <c r="D23" i="18"/>
  <c r="F24" i="18"/>
  <c r="B26" i="18"/>
  <c r="D27" i="18"/>
  <c r="F28" i="18"/>
  <c r="B30" i="18"/>
  <c r="D31" i="18"/>
  <c r="F32" i="18"/>
  <c r="D35" i="18"/>
  <c r="F40" i="18"/>
  <c r="B38" i="18"/>
  <c r="D39" i="18"/>
  <c r="F36" i="18"/>
  <c r="B42" i="18"/>
  <c r="B34" i="18"/>
  <c r="Z37" i="10"/>
  <c r="Z35" i="10"/>
  <c r="Z38" i="10"/>
  <c r="Z34" i="10"/>
  <c r="Z36" i="10"/>
  <c r="Z33" i="10"/>
  <c r="Z32" i="10"/>
  <c r="Z26" i="10"/>
  <c r="Z28" i="10"/>
  <c r="Z31" i="10"/>
  <c r="Z29" i="10"/>
  <c r="Z30" i="10"/>
  <c r="Z27" i="10"/>
  <c r="Z11" i="10"/>
  <c r="AA11" i="10" s="1"/>
  <c r="A14" i="7"/>
  <c r="H55" i="4"/>
  <c r="L56" i="4"/>
  <c r="M54" i="4"/>
  <c r="B13" i="7" s="1"/>
  <c r="K54" i="4"/>
  <c r="N54" i="4" s="1"/>
  <c r="C13" i="7" s="1"/>
  <c r="O54" i="4"/>
  <c r="D13" i="7" s="1"/>
  <c r="Z23" i="10"/>
  <c r="AA23" i="10" s="1"/>
  <c r="Z3" i="10"/>
  <c r="AA3" i="10" s="1"/>
  <c r="Z20" i="10"/>
  <c r="AA20" i="10" s="1"/>
  <c r="Z14" i="10"/>
  <c r="AA14" i="10" s="1"/>
  <c r="Z4" i="10"/>
  <c r="AA4" i="10" s="1"/>
  <c r="Z21" i="10"/>
  <c r="AA21" i="10" s="1"/>
  <c r="Z22" i="10"/>
  <c r="AA22" i="10" s="1"/>
  <c r="Z17" i="10"/>
  <c r="AA17" i="10" s="1"/>
  <c r="Z6" i="10"/>
  <c r="AA6" i="10" s="1"/>
  <c r="Z9" i="10"/>
  <c r="AA9" i="10" s="1"/>
  <c r="Z13" i="10"/>
  <c r="AA13" i="10" s="1"/>
  <c r="Z10" i="10"/>
  <c r="AA10" i="10" s="1"/>
  <c r="Z8" i="10"/>
  <c r="AA8" i="10" s="1"/>
  <c r="Z19" i="10"/>
  <c r="AA19" i="10" s="1"/>
  <c r="Z12" i="10"/>
  <c r="AA12" i="10" s="1"/>
  <c r="Z18" i="10"/>
  <c r="AA18" i="10" s="1"/>
  <c r="Z16" i="10"/>
  <c r="AA16" i="10" s="1"/>
  <c r="Z24" i="10"/>
  <c r="Z15" i="10"/>
  <c r="AA15" i="10" s="1"/>
  <c r="Z5" i="10"/>
  <c r="AA5" i="10" s="1"/>
  <c r="Q6" i="5"/>
  <c r="R6" i="5"/>
  <c r="Q5" i="5"/>
  <c r="R5" i="5"/>
  <c r="Q12" i="5"/>
  <c r="P12" i="5"/>
  <c r="R12" i="5"/>
  <c r="Q8" i="5"/>
  <c r="P8" i="5"/>
  <c r="R8" i="5"/>
  <c r="Q10" i="5"/>
  <c r="P10" i="5"/>
  <c r="R10" i="5"/>
  <c r="Q18" i="5"/>
  <c r="P18" i="5"/>
  <c r="R18" i="5"/>
  <c r="O26" i="5"/>
  <c r="N25" i="5"/>
  <c r="P7" i="5"/>
  <c r="R7" i="5"/>
  <c r="Q7" i="5"/>
  <c r="P15" i="5"/>
  <c r="R15" i="5"/>
  <c r="Q15" i="5"/>
  <c r="P17" i="5"/>
  <c r="R17" i="5"/>
  <c r="Q17" i="5"/>
  <c r="P21" i="5"/>
  <c r="R21" i="5"/>
  <c r="Q21" i="5"/>
  <c r="Q22" i="5"/>
  <c r="P22" i="5"/>
  <c r="R22" i="5"/>
  <c r="P13" i="5"/>
  <c r="R13" i="5"/>
  <c r="Q13" i="5"/>
  <c r="Q20" i="5"/>
  <c r="P20" i="5"/>
  <c r="R20" i="5"/>
  <c r="Q24" i="5"/>
  <c r="P24" i="5"/>
  <c r="R24" i="5"/>
  <c r="P11" i="5"/>
  <c r="R11" i="5"/>
  <c r="Q11" i="5"/>
  <c r="Q16" i="5"/>
  <c r="P16" i="5"/>
  <c r="R16" i="5"/>
  <c r="P19" i="5"/>
  <c r="R19" i="5"/>
  <c r="Q19" i="5"/>
  <c r="P23" i="5"/>
  <c r="R23" i="5"/>
  <c r="Q23" i="5"/>
  <c r="P9" i="5"/>
  <c r="R9" i="5"/>
  <c r="Q9" i="5"/>
  <c r="Q14" i="5"/>
  <c r="P14" i="5"/>
  <c r="R14" i="5"/>
  <c r="M3" i="18" l="1"/>
  <c r="Q3" i="18"/>
  <c r="L4" i="18"/>
  <c r="P4" i="18"/>
  <c r="K5" i="18"/>
  <c r="O5" i="18"/>
  <c r="J6" i="18"/>
  <c r="N6" i="18"/>
  <c r="R6" i="18"/>
  <c r="M7" i="18"/>
  <c r="Q7" i="18"/>
  <c r="L8" i="18"/>
  <c r="P8" i="18"/>
  <c r="K9" i="18"/>
  <c r="O9" i="18"/>
  <c r="J10" i="18"/>
  <c r="N10" i="18"/>
  <c r="R10" i="18"/>
  <c r="M11" i="18"/>
  <c r="Q11" i="18"/>
  <c r="L12" i="18"/>
  <c r="P12" i="18"/>
  <c r="K13" i="18"/>
  <c r="O13" i="18"/>
  <c r="J14" i="18"/>
  <c r="N14" i="18"/>
  <c r="R14" i="18"/>
  <c r="J3" i="18"/>
  <c r="N3" i="18"/>
  <c r="R3" i="18"/>
  <c r="M4" i="18"/>
  <c r="Q4" i="18"/>
  <c r="L5" i="18"/>
  <c r="P5" i="18"/>
  <c r="K6" i="18"/>
  <c r="O6" i="18"/>
  <c r="J7" i="18"/>
  <c r="N7" i="18"/>
  <c r="R7" i="18"/>
  <c r="M8" i="18"/>
  <c r="Q8" i="18"/>
  <c r="L9" i="18"/>
  <c r="P9" i="18"/>
  <c r="K10" i="18"/>
  <c r="O10" i="18"/>
  <c r="J11" i="18"/>
  <c r="N11" i="18"/>
  <c r="R11" i="18"/>
  <c r="M12" i="18"/>
  <c r="Q12" i="18"/>
  <c r="L13" i="18"/>
  <c r="P13" i="18"/>
  <c r="K14" i="18"/>
  <c r="O14" i="18"/>
  <c r="K3" i="18"/>
  <c r="O3" i="18"/>
  <c r="J4" i="18"/>
  <c r="N4" i="18"/>
  <c r="R4" i="18"/>
  <c r="M5" i="18"/>
  <c r="Q5" i="18"/>
  <c r="L6" i="18"/>
  <c r="P6" i="18"/>
  <c r="K7" i="18"/>
  <c r="O7" i="18"/>
  <c r="J8" i="18"/>
  <c r="N8" i="18"/>
  <c r="R8" i="18"/>
  <c r="M9" i="18"/>
  <c r="Q9" i="18"/>
  <c r="L10" i="18"/>
  <c r="P10" i="18"/>
  <c r="K11" i="18"/>
  <c r="O11" i="18"/>
  <c r="J12" i="18"/>
  <c r="N12" i="18"/>
  <c r="R12" i="18"/>
  <c r="M13" i="18"/>
  <c r="Q13" i="18"/>
  <c r="L14" i="18"/>
  <c r="P14" i="18"/>
  <c r="K15" i="18"/>
  <c r="O15" i="18"/>
  <c r="J16" i="18"/>
  <c r="N16" i="18"/>
  <c r="R16" i="18"/>
  <c r="M17" i="18"/>
  <c r="Q17" i="18"/>
  <c r="L18" i="18"/>
  <c r="P18" i="18"/>
  <c r="K19" i="18"/>
  <c r="O19" i="18"/>
  <c r="J20" i="18"/>
  <c r="N20" i="18"/>
  <c r="R20" i="18"/>
  <c r="M21" i="18"/>
  <c r="Q21" i="18"/>
  <c r="L22" i="18"/>
  <c r="P22" i="18"/>
  <c r="K23" i="18"/>
  <c r="O23" i="18"/>
  <c r="J24" i="18"/>
  <c r="N24" i="18"/>
  <c r="R24" i="18"/>
  <c r="M25" i="18"/>
  <c r="Q25" i="18"/>
  <c r="L26" i="18"/>
  <c r="P26" i="18"/>
  <c r="K27" i="18"/>
  <c r="O27" i="18"/>
  <c r="J28" i="18"/>
  <c r="N28" i="18"/>
  <c r="R28" i="18"/>
  <c r="M29" i="18"/>
  <c r="Q29" i="18"/>
  <c r="L30" i="18"/>
  <c r="P30" i="18"/>
  <c r="L3" i="18"/>
  <c r="P3" i="18"/>
  <c r="K4" i="18"/>
  <c r="O4" i="18"/>
  <c r="J5" i="18"/>
  <c r="N5" i="18"/>
  <c r="R5" i="18"/>
  <c r="M6" i="18"/>
  <c r="Q6" i="18"/>
  <c r="L7" i="18"/>
  <c r="P7" i="18"/>
  <c r="K8" i="18"/>
  <c r="O8" i="18"/>
  <c r="J9" i="18"/>
  <c r="N9" i="18"/>
  <c r="R9" i="18"/>
  <c r="M10" i="18"/>
  <c r="Q10" i="18"/>
  <c r="L11" i="18"/>
  <c r="P11" i="18"/>
  <c r="K12" i="18"/>
  <c r="O12" i="18"/>
  <c r="Q14" i="18"/>
  <c r="N18" i="18"/>
  <c r="Q26" i="18"/>
  <c r="R13" i="18"/>
  <c r="L15" i="18"/>
  <c r="Q15" i="18"/>
  <c r="M16" i="18"/>
  <c r="J17" i="18"/>
  <c r="O17" i="18"/>
  <c r="K18" i="18"/>
  <c r="Q18" i="18"/>
  <c r="M19" i="18"/>
  <c r="R19" i="18"/>
  <c r="O20" i="18"/>
  <c r="K21" i="18"/>
  <c r="P21" i="18"/>
  <c r="M22" i="18"/>
  <c r="R22" i="18"/>
  <c r="N23" i="18"/>
  <c r="K24" i="18"/>
  <c r="P24" i="18"/>
  <c r="L25" i="18"/>
  <c r="R25" i="18"/>
  <c r="N26" i="18"/>
  <c r="J27" i="18"/>
  <c r="P27" i="18"/>
  <c r="L28" i="18"/>
  <c r="Q28" i="18"/>
  <c r="N29" i="18"/>
  <c r="J30" i="18"/>
  <c r="O30" i="18"/>
  <c r="M14" i="18"/>
  <c r="M15" i="18"/>
  <c r="R15" i="18"/>
  <c r="O16" i="18"/>
  <c r="K17" i="18"/>
  <c r="P17" i="18"/>
  <c r="M18" i="18"/>
  <c r="R18" i="18"/>
  <c r="N19" i="18"/>
  <c r="K20" i="18"/>
  <c r="P20" i="18"/>
  <c r="L21" i="18"/>
  <c r="R21" i="18"/>
  <c r="N22" i="18"/>
  <c r="J23" i="18"/>
  <c r="P23" i="18"/>
  <c r="L24" i="18"/>
  <c r="Q24" i="18"/>
  <c r="N25" i="18"/>
  <c r="J26" i="18"/>
  <c r="O26" i="18"/>
  <c r="L27" i="18"/>
  <c r="Q27" i="18"/>
  <c r="M28" i="18"/>
  <c r="J29" i="18"/>
  <c r="O29" i="18"/>
  <c r="K30" i="18"/>
  <c r="Q30" i="18"/>
  <c r="J13" i="18"/>
  <c r="N15" i="18"/>
  <c r="K16" i="18"/>
  <c r="P16" i="18"/>
  <c r="L17" i="18"/>
  <c r="R17" i="18"/>
  <c r="J19" i="18"/>
  <c r="P19" i="18"/>
  <c r="L20" i="18"/>
  <c r="Q20" i="18"/>
  <c r="N21" i="18"/>
  <c r="J22" i="18"/>
  <c r="O22" i="18"/>
  <c r="L23" i="18"/>
  <c r="Q23" i="18"/>
  <c r="M24" i="18"/>
  <c r="J25" i="18"/>
  <c r="O25" i="18"/>
  <c r="K26" i="18"/>
  <c r="M27" i="18"/>
  <c r="R27" i="18"/>
  <c r="O28" i="18"/>
  <c r="K29" i="18"/>
  <c r="P29" i="18"/>
  <c r="M30" i="18"/>
  <c r="R30" i="18"/>
  <c r="N13" i="18"/>
  <c r="J15" i="18"/>
  <c r="P15" i="18"/>
  <c r="L16" i="18"/>
  <c r="Q16" i="18"/>
  <c r="N17" i="18"/>
  <c r="J18" i="18"/>
  <c r="O18" i="18"/>
  <c r="L19" i="18"/>
  <c r="Q19" i="18"/>
  <c r="M20" i="18"/>
  <c r="J21" i="18"/>
  <c r="O21" i="18"/>
  <c r="K22" i="18"/>
  <c r="Q22" i="18"/>
  <c r="M23" i="18"/>
  <c r="R23" i="18"/>
  <c r="O24" i="18"/>
  <c r="K25" i="18"/>
  <c r="P25" i="18"/>
  <c r="M26" i="18"/>
  <c r="R26" i="18"/>
  <c r="N27" i="18"/>
  <c r="K28" i="18"/>
  <c r="P28" i="18"/>
  <c r="L29" i="18"/>
  <c r="R29" i="18"/>
  <c r="N30" i="18"/>
  <c r="L57" i="4"/>
  <c r="A15" i="7"/>
  <c r="H56" i="4"/>
  <c r="K55" i="4"/>
  <c r="N55" i="4" s="1"/>
  <c r="C14" i="7" s="1"/>
  <c r="M55" i="4"/>
  <c r="B14" i="7" s="1"/>
  <c r="O55" i="4"/>
  <c r="D14" i="7" s="1"/>
  <c r="T15" i="5" a="1"/>
  <c r="T15" i="5" s="1"/>
  <c r="S15" i="5"/>
  <c r="O27" i="5"/>
  <c r="N26" i="5"/>
  <c r="P25" i="5"/>
  <c r="R25" i="5"/>
  <c r="Q25" i="5"/>
  <c r="O56" i="4" l="1"/>
  <c r="D15" i="7" s="1"/>
  <c r="M56" i="4"/>
  <c r="B15" i="7" s="1"/>
  <c r="K56" i="4"/>
  <c r="N56" i="4" s="1"/>
  <c r="C15" i="7" s="1"/>
  <c r="H57" i="4"/>
  <c r="A16" i="7"/>
  <c r="L58" i="4"/>
  <c r="Q26" i="5"/>
  <c r="P26" i="5"/>
  <c r="R26" i="5"/>
  <c r="O28" i="5"/>
  <c r="N27" i="5"/>
  <c r="H58" i="4" l="1"/>
  <c r="L59" i="4"/>
  <c r="A17" i="7"/>
  <c r="K57" i="4"/>
  <c r="N57" i="4" s="1"/>
  <c r="C16" i="7" s="1"/>
  <c r="O57" i="4"/>
  <c r="D16" i="7" s="1"/>
  <c r="M57" i="4"/>
  <c r="B16" i="7" s="1"/>
  <c r="O29" i="5"/>
  <c r="N28" i="5"/>
  <c r="P27" i="5"/>
  <c r="R27" i="5"/>
  <c r="Q27" i="5"/>
  <c r="H59" i="4" l="1"/>
  <c r="L60" i="4"/>
  <c r="A18" i="7"/>
  <c r="K58" i="4"/>
  <c r="N58" i="4" s="1"/>
  <c r="C17" i="7" s="1"/>
  <c r="O58" i="4"/>
  <c r="D17" i="7" s="1"/>
  <c r="M58" i="4"/>
  <c r="B17" i="7" s="1"/>
  <c r="Q28" i="5"/>
  <c r="P28" i="5"/>
  <c r="R28" i="5"/>
  <c r="O30" i="5"/>
  <c r="N29" i="5"/>
  <c r="H60" i="4" l="1"/>
  <c r="L61" i="4"/>
  <c r="A19" i="7"/>
  <c r="K59" i="4"/>
  <c r="N59" i="4" s="1"/>
  <c r="C18" i="7" s="1"/>
  <c r="M59" i="4"/>
  <c r="B18" i="7" s="1"/>
  <c r="O59" i="4"/>
  <c r="D18" i="7" s="1"/>
  <c r="P29" i="5"/>
  <c r="R29" i="5"/>
  <c r="Q29" i="5"/>
  <c r="O31" i="5"/>
  <c r="N30" i="5"/>
  <c r="A20" i="7" l="1"/>
  <c r="L62" i="4"/>
  <c r="H61" i="4"/>
  <c r="O60" i="4"/>
  <c r="D19" i="7" s="1"/>
  <c r="M60" i="4"/>
  <c r="B19" i="7" s="1"/>
  <c r="K60" i="4"/>
  <c r="N60" i="4" s="1"/>
  <c r="C19" i="7" s="1"/>
  <c r="O32" i="5"/>
  <c r="N31" i="5"/>
  <c r="Q30" i="5"/>
  <c r="P30" i="5"/>
  <c r="R30" i="5"/>
  <c r="H62" i="4" l="1"/>
  <c r="A21" i="7"/>
  <c r="L63" i="4"/>
  <c r="M61" i="4"/>
  <c r="B20" i="7" s="1"/>
  <c r="K61" i="4"/>
  <c r="N61" i="4" s="1"/>
  <c r="C20" i="7" s="1"/>
  <c r="O61" i="4"/>
  <c r="D20" i="7" s="1"/>
  <c r="P31" i="5"/>
  <c r="R31" i="5"/>
  <c r="Q31" i="5"/>
  <c r="O33" i="5"/>
  <c r="N32" i="5"/>
  <c r="A22" i="7" l="1"/>
  <c r="H63" i="4"/>
  <c r="L64" i="4"/>
  <c r="K62" i="4"/>
  <c r="N62" i="4" s="1"/>
  <c r="C21" i="7" s="1"/>
  <c r="M62" i="4"/>
  <c r="B21" i="7" s="1"/>
  <c r="O62" i="4"/>
  <c r="D21" i="7" s="1"/>
  <c r="Q32" i="5"/>
  <c r="P32" i="5"/>
  <c r="R32" i="5"/>
  <c r="O34" i="5"/>
  <c r="N33" i="5"/>
  <c r="H64" i="4" l="1"/>
  <c r="L65" i="4"/>
  <c r="A23" i="7"/>
  <c r="K63" i="4"/>
  <c r="N63" i="4" s="1"/>
  <c r="C22" i="7" s="1"/>
  <c r="O63" i="4"/>
  <c r="D22" i="7" s="1"/>
  <c r="M63" i="4"/>
  <c r="B22" i="7" s="1"/>
  <c r="P33" i="5"/>
  <c r="R33" i="5"/>
  <c r="Q33" i="5"/>
  <c r="O35" i="5"/>
  <c r="N34" i="5"/>
  <c r="H65" i="4" l="1"/>
  <c r="A24" i="7"/>
  <c r="L66" i="4"/>
  <c r="O64" i="4"/>
  <c r="D23" i="7" s="1"/>
  <c r="M64" i="4"/>
  <c r="B23" i="7" s="1"/>
  <c r="K64" i="4"/>
  <c r="N64" i="4" s="1"/>
  <c r="C23" i="7" s="1"/>
  <c r="O36" i="5"/>
  <c r="N35" i="5"/>
  <c r="Q34" i="5"/>
  <c r="P34" i="5"/>
  <c r="R34" i="5"/>
  <c r="H66" i="4" l="1"/>
  <c r="L67" i="4"/>
  <c r="A25" i="7"/>
  <c r="K65" i="4"/>
  <c r="N65" i="4" s="1"/>
  <c r="C24" i="7" s="1"/>
  <c r="O65" i="4"/>
  <c r="D24" i="7" s="1"/>
  <c r="M65" i="4"/>
  <c r="B24" i="7" s="1"/>
  <c r="O37" i="5"/>
  <c r="N36" i="5"/>
  <c r="P35" i="5"/>
  <c r="R35" i="5"/>
  <c r="Q35" i="5"/>
  <c r="H67" i="4" l="1"/>
  <c r="A26" i="7"/>
  <c r="L68" i="4"/>
  <c r="K66" i="4"/>
  <c r="N66" i="4" s="1"/>
  <c r="C25" i="7" s="1"/>
  <c r="M66" i="4"/>
  <c r="B25" i="7" s="1"/>
  <c r="O66" i="4"/>
  <c r="D25" i="7" s="1"/>
  <c r="Q36" i="5"/>
  <c r="P36" i="5"/>
  <c r="R36" i="5"/>
  <c r="O38" i="5"/>
  <c r="N37" i="5"/>
  <c r="H68" i="4" l="1"/>
  <c r="A27" i="7"/>
  <c r="L69" i="4"/>
  <c r="O67" i="4"/>
  <c r="D26" i="7" s="1"/>
  <c r="K67" i="4"/>
  <c r="N67" i="4" s="1"/>
  <c r="C26" i="7" s="1"/>
  <c r="M67" i="4"/>
  <c r="B26" i="7" s="1"/>
  <c r="P37" i="5"/>
  <c r="R37" i="5"/>
  <c r="Q37" i="5"/>
  <c r="O39" i="5"/>
  <c r="N38" i="5"/>
  <c r="L70" i="4" l="1"/>
  <c r="H69" i="4"/>
  <c r="A28" i="7"/>
  <c r="O68" i="4"/>
  <c r="D27" i="7" s="1"/>
  <c r="K68" i="4"/>
  <c r="N68" i="4" s="1"/>
  <c r="C27" i="7" s="1"/>
  <c r="M68" i="4"/>
  <c r="B27" i="7" s="1"/>
  <c r="O40" i="5"/>
  <c r="N39" i="5"/>
  <c r="Q38" i="5"/>
  <c r="P38" i="5"/>
  <c r="R38" i="5"/>
  <c r="K69" i="4" l="1"/>
  <c r="N69" i="4" s="1"/>
  <c r="C28" i="7" s="1"/>
  <c r="M69" i="4"/>
  <c r="B28" i="7" s="1"/>
  <c r="O69" i="4"/>
  <c r="D28" i="7" s="1"/>
  <c r="H70" i="4"/>
  <c r="A29" i="7"/>
  <c r="L71" i="4"/>
  <c r="P39" i="5"/>
  <c r="R39" i="5"/>
  <c r="Q39" i="5"/>
  <c r="O41" i="5"/>
  <c r="N40" i="5"/>
  <c r="K70" i="4" l="1"/>
  <c r="N70" i="4" s="1"/>
  <c r="C29" i="7" s="1"/>
  <c r="M70" i="4"/>
  <c r="B29" i="7" s="1"/>
  <c r="O70" i="4"/>
  <c r="D29" i="7" s="1"/>
  <c r="H71" i="4"/>
  <c r="A30" i="7"/>
  <c r="L72" i="4"/>
  <c r="Q40" i="5"/>
  <c r="P40" i="5"/>
  <c r="R40" i="5"/>
  <c r="O42" i="5"/>
  <c r="N41" i="5"/>
  <c r="H72" i="4" l="1"/>
  <c r="A31" i="7"/>
  <c r="L73" i="4"/>
  <c r="K71" i="4"/>
  <c r="N71" i="4" s="1"/>
  <c r="C30" i="7" s="1"/>
  <c r="O71" i="4"/>
  <c r="D30" i="7" s="1"/>
  <c r="M71" i="4"/>
  <c r="B30" i="7" s="1"/>
  <c r="P41" i="5"/>
  <c r="R41" i="5"/>
  <c r="Q41" i="5"/>
  <c r="O43" i="5"/>
  <c r="N42" i="5"/>
  <c r="H73" i="4" l="1"/>
  <c r="A32" i="7"/>
  <c r="L74" i="4"/>
  <c r="O72" i="4"/>
  <c r="D31" i="7" s="1"/>
  <c r="M72" i="4"/>
  <c r="B31" i="7" s="1"/>
  <c r="K72" i="4"/>
  <c r="N72" i="4" s="1"/>
  <c r="C31" i="7" s="1"/>
  <c r="O44" i="5"/>
  <c r="N43" i="5"/>
  <c r="Q42" i="5"/>
  <c r="P42" i="5"/>
  <c r="R42" i="5"/>
  <c r="H74" i="4" l="1"/>
  <c r="L75" i="4"/>
  <c r="A33" i="7"/>
  <c r="K73" i="4"/>
  <c r="N73" i="4" s="1"/>
  <c r="C32" i="7" s="1"/>
  <c r="O73" i="4"/>
  <c r="D32" i="7" s="1"/>
  <c r="M73" i="4"/>
  <c r="B32" i="7" s="1"/>
  <c r="P43" i="5"/>
  <c r="R43" i="5"/>
  <c r="Q43" i="5"/>
  <c r="O45" i="5"/>
  <c r="N44" i="5"/>
  <c r="H75" i="4" l="1"/>
  <c r="A34" i="7"/>
  <c r="L76" i="4"/>
  <c r="K74" i="4"/>
  <c r="N74" i="4" s="1"/>
  <c r="C33" i="7" s="1"/>
  <c r="M74" i="4"/>
  <c r="B33" i="7" s="1"/>
  <c r="O74" i="4"/>
  <c r="D33" i="7" s="1"/>
  <c r="O46" i="5"/>
  <c r="N46" i="5" s="1"/>
  <c r="N45" i="5"/>
  <c r="Q44" i="5"/>
  <c r="P44" i="5"/>
  <c r="R44" i="5"/>
  <c r="H76" i="4" l="1"/>
  <c r="L77" i="4"/>
  <c r="A35" i="7"/>
  <c r="M75" i="4"/>
  <c r="B34" i="7" s="1"/>
  <c r="K75" i="4"/>
  <c r="N75" i="4" s="1"/>
  <c r="C34" i="7" s="1"/>
  <c r="O75" i="4"/>
  <c r="D34" i="7" s="1"/>
  <c r="P45" i="5"/>
  <c r="R45" i="5"/>
  <c r="Q45" i="5"/>
  <c r="Q46" i="5"/>
  <c r="P46" i="5"/>
  <c r="R46" i="5"/>
  <c r="L78" i="4" l="1"/>
  <c r="A36" i="7"/>
  <c r="H77" i="4"/>
  <c r="O76" i="4"/>
  <c r="D35" i="7" s="1"/>
  <c r="M76" i="4"/>
  <c r="B35" i="7" s="1"/>
  <c r="K76" i="4"/>
  <c r="N76" i="4" s="1"/>
  <c r="C35" i="7" s="1"/>
  <c r="M77" i="4" l="1"/>
  <c r="B36" i="7" s="1"/>
  <c r="K77" i="4"/>
  <c r="N77" i="4" s="1"/>
  <c r="C36" i="7" s="1"/>
  <c r="O77" i="4"/>
  <c r="D36" i="7" s="1"/>
  <c r="H78" i="4"/>
  <c r="A37" i="7"/>
  <c r="L79" i="4"/>
  <c r="K78" i="4" l="1"/>
  <c r="N78" i="4" s="1"/>
  <c r="C37" i="7" s="1"/>
  <c r="O78" i="4"/>
  <c r="D37" i="7" s="1"/>
  <c r="M78" i="4"/>
  <c r="B37" i="7" s="1"/>
  <c r="A38" i="7"/>
  <c r="H79" i="4"/>
  <c r="L80" i="4"/>
  <c r="H80" i="4" l="1"/>
  <c r="L81" i="4"/>
  <c r="A39" i="7"/>
  <c r="O79" i="4"/>
  <c r="D38" i="7" s="1"/>
  <c r="K79" i="4"/>
  <c r="N79" i="4" s="1"/>
  <c r="C38" i="7" s="1"/>
  <c r="M79" i="4"/>
  <c r="B38" i="7" s="1"/>
  <c r="A40" i="7" l="1"/>
  <c r="H81" i="4"/>
  <c r="L82" i="4"/>
  <c r="O80" i="4"/>
  <c r="D39" i="7" s="1"/>
  <c r="K80" i="4"/>
  <c r="N80" i="4" s="1"/>
  <c r="C39" i="7" s="1"/>
  <c r="M80" i="4"/>
  <c r="B39" i="7" s="1"/>
  <c r="H82" i="4" l="1"/>
  <c r="L83" i="4"/>
  <c r="K81" i="4"/>
  <c r="N81" i="4" s="1"/>
  <c r="C40" i="7" s="1"/>
  <c r="M81" i="4"/>
  <c r="B40" i="7" s="1"/>
  <c r="O81" i="4"/>
  <c r="D40" i="7" s="1"/>
  <c r="H83" i="4" l="1"/>
  <c r="L84" i="4"/>
  <c r="O82" i="4"/>
  <c r="K82" i="4"/>
  <c r="N82" i="4" s="1"/>
  <c r="M82" i="4"/>
  <c r="L85" i="4" l="1"/>
  <c r="H84" i="4"/>
  <c r="M83" i="4"/>
  <c r="K83" i="4"/>
  <c r="N83" i="4" s="1"/>
  <c r="O83" i="4"/>
  <c r="O84" i="4" l="1"/>
  <c r="M84" i="4"/>
  <c r="K84" i="4"/>
  <c r="N84" i="4" s="1"/>
  <c r="H85" i="4"/>
  <c r="L86" i="4"/>
  <c r="L87" i="4" s="1"/>
  <c r="K85" i="4" l="1"/>
  <c r="N85" i="4" s="1"/>
  <c r="O85" i="4"/>
  <c r="M85" i="4"/>
</calcChain>
</file>

<file path=xl/sharedStrings.xml><?xml version="1.0" encoding="utf-8"?>
<sst xmlns="http://schemas.openxmlformats.org/spreadsheetml/2006/main" count="2944" uniqueCount="768">
  <si>
    <t>Date</t>
  </si>
  <si>
    <t>Opp</t>
  </si>
  <si>
    <t>Venue</t>
  </si>
  <si>
    <t>Result</t>
  </si>
  <si>
    <t xml:space="preserve"> </t>
  </si>
  <si>
    <t>Matches</t>
  </si>
  <si>
    <t>DNB</t>
  </si>
  <si>
    <t>Inns</t>
  </si>
  <si>
    <t>Not Out</t>
  </si>
  <si>
    <t>Runs</t>
  </si>
  <si>
    <t>Average</t>
  </si>
  <si>
    <t>FldPts</t>
  </si>
  <si>
    <t>Capt</t>
  </si>
  <si>
    <t>Wkt</t>
  </si>
  <si>
    <t>Ducks</t>
  </si>
  <si>
    <t>/b</t>
  </si>
  <si>
    <t>/c</t>
  </si>
  <si>
    <t>/lb</t>
  </si>
  <si>
    <t>/st</t>
  </si>
  <si>
    <t>/ro</t>
  </si>
  <si>
    <t>Catches</t>
  </si>
  <si>
    <t>Fours</t>
  </si>
  <si>
    <t>Sixes</t>
  </si>
  <si>
    <t>Stumpings</t>
  </si>
  <si>
    <t>David</t>
  </si>
  <si>
    <t>Andy</t>
  </si>
  <si>
    <t>Colin</t>
  </si>
  <si>
    <t>Jeff</t>
  </si>
  <si>
    <t>Chris</t>
  </si>
  <si>
    <t>Balls</t>
  </si>
  <si>
    <t>Overs</t>
  </si>
  <si>
    <t>Mdns</t>
  </si>
  <si>
    <t>Wkts</t>
  </si>
  <si>
    <t>Ave</t>
  </si>
  <si>
    <t>S/R</t>
  </si>
  <si>
    <t>Econ</t>
  </si>
  <si>
    <t>DABR</t>
  </si>
  <si>
    <t>GECO</t>
  </si>
  <si>
    <t>TEDU</t>
  </si>
  <si>
    <t>JOEL</t>
  </si>
  <si>
    <t>JOLE</t>
  </si>
  <si>
    <t>ANMA</t>
  </si>
  <si>
    <t>COMA</t>
  </si>
  <si>
    <t>DAMO</t>
  </si>
  <si>
    <t>VIRE</t>
  </si>
  <si>
    <t>DASH</t>
  </si>
  <si>
    <t>DESH</t>
  </si>
  <si>
    <t>DASN</t>
  </si>
  <si>
    <t>TOSP</t>
  </si>
  <si>
    <t>RIWO</t>
  </si>
  <si>
    <t>JOWO</t>
  </si>
  <si>
    <t>BOYO</t>
  </si>
  <si>
    <t>MIWO</t>
  </si>
  <si>
    <t>MIBO</t>
  </si>
  <si>
    <t>Ted Dugdale</t>
  </si>
  <si>
    <t>Vince Reid</t>
  </si>
  <si>
    <t>Mike Bowers</t>
  </si>
  <si>
    <t>John Leadley</t>
  </si>
  <si>
    <t>David Snow</t>
  </si>
  <si>
    <t>Geoff Cooper</t>
  </si>
  <si>
    <t>Del Shewan</t>
  </si>
  <si>
    <t>Mike Woodhouse</t>
  </si>
  <si>
    <t>Dave Morris</t>
  </si>
  <si>
    <t>Bob Young</t>
  </si>
  <si>
    <t>Andy Mander</t>
  </si>
  <si>
    <t>David Sharpe</t>
  </si>
  <si>
    <t>Mike Hosking</t>
  </si>
  <si>
    <t>GLAN</t>
  </si>
  <si>
    <t>NAPA</t>
  </si>
  <si>
    <t>MIHO</t>
  </si>
  <si>
    <t>Cost</t>
  </si>
  <si>
    <t>Fpts Loc</t>
  </si>
  <si>
    <t>FantPts</t>
  </si>
  <si>
    <t>No Teams:</t>
  </si>
  <si>
    <t>BatPtsLoc</t>
  </si>
  <si>
    <t>BowlPtsLoc</t>
  </si>
  <si>
    <t>Name</t>
  </si>
  <si>
    <t>Total</t>
  </si>
  <si>
    <t>BatLoc</t>
  </si>
  <si>
    <t>Batting</t>
  </si>
  <si>
    <t>BowlLoc</t>
  </si>
  <si>
    <t>Bowling</t>
  </si>
  <si>
    <t>Fielding</t>
  </si>
  <si>
    <t>Ranking</t>
  </si>
  <si>
    <t>Total Pts</t>
  </si>
  <si>
    <t>Match Pts</t>
  </si>
  <si>
    <t>Pts per £</t>
  </si>
  <si>
    <t>Manager</t>
  </si>
  <si>
    <t>Team</t>
  </si>
  <si>
    <t>Pts</t>
  </si>
  <si>
    <t>Best</t>
  </si>
  <si>
    <t>CHCL</t>
  </si>
  <si>
    <t>Colin Mander</t>
  </si>
  <si>
    <t>David Brocks</t>
  </si>
  <si>
    <t>Glyn Angell</t>
  </si>
  <si>
    <t>John Elliston</t>
  </si>
  <si>
    <t>Jon Worthy</t>
  </si>
  <si>
    <t>Rick Worthington</t>
  </si>
  <si>
    <t>Tony Springer</t>
  </si>
  <si>
    <t>All Out</t>
  </si>
  <si>
    <t>TOCC W</t>
  </si>
  <si>
    <t>TOCC NB</t>
  </si>
  <si>
    <t>TOCC B</t>
  </si>
  <si>
    <t>TOCC LB</t>
  </si>
  <si>
    <t>Opp W</t>
  </si>
  <si>
    <t>Opp NB</t>
  </si>
  <si>
    <t>Opp B</t>
  </si>
  <si>
    <t>Opp LB</t>
  </si>
  <si>
    <t>TOCC Extras</t>
  </si>
  <si>
    <t>Opp Extras</t>
  </si>
  <si>
    <t>Total Bat Runs</t>
  </si>
  <si>
    <t>Total Runs</t>
  </si>
  <si>
    <t>Total RunsConc</t>
  </si>
  <si>
    <t>TOCC Byes</t>
  </si>
  <si>
    <t>TOCC LBs</t>
  </si>
  <si>
    <t>HighRaw</t>
  </si>
  <si>
    <t>Ct Wkt</t>
  </si>
  <si>
    <t>25+s</t>
  </si>
  <si>
    <t>Day</t>
  </si>
  <si>
    <t>Captain</t>
  </si>
  <si>
    <t>AICO</t>
  </si>
  <si>
    <t>NEMA</t>
  </si>
  <si>
    <t>Neil Mander</t>
  </si>
  <si>
    <t>Bat</t>
  </si>
  <si>
    <t>Bowl</t>
  </si>
  <si>
    <t>AR</t>
  </si>
  <si>
    <t>JELE</t>
  </si>
  <si>
    <t>Jeff Lestrelle</t>
  </si>
  <si>
    <t>Rank</t>
  </si>
  <si>
    <t>Mod Ave</t>
  </si>
  <si>
    <t>Batting Averages</t>
  </si>
  <si>
    <t>High</t>
  </si>
  <si>
    <t>Bowling Averages</t>
  </si>
  <si>
    <t>ModAve</t>
  </si>
  <si>
    <t>Wickets</t>
  </si>
  <si>
    <t>Fives</t>
  </si>
  <si>
    <t>Sharpe D</t>
  </si>
  <si>
    <t>Max Overs</t>
  </si>
  <si>
    <t>DACO</t>
  </si>
  <si>
    <t>Players</t>
  </si>
  <si>
    <t>times chosen</t>
  </si>
  <si>
    <t>1st Inns</t>
  </si>
  <si>
    <t>PctInBdries</t>
  </si>
  <si>
    <t>Chris Clark</t>
  </si>
  <si>
    <t>DuckPct</t>
  </si>
  <si>
    <t>max</t>
  </si>
  <si>
    <t>min</t>
  </si>
  <si>
    <t>ROOD</t>
  </si>
  <si>
    <t>MICL</t>
  </si>
  <si>
    <t>Mick Clark</t>
  </si>
  <si>
    <t>Jason Crisford</t>
  </si>
  <si>
    <t>JACR</t>
  </si>
  <si>
    <t>Apps</t>
  </si>
  <si>
    <t>x-Check TOCC overs</t>
  </si>
  <si>
    <t>GLLI</t>
  </si>
  <si>
    <t>Daragh Corrigan</t>
  </si>
  <si>
    <t>Naimish Patel</t>
  </si>
  <si>
    <t>Roy Odeneal</t>
  </si>
  <si>
    <t>STBA</t>
  </si>
  <si>
    <t>ROMO</t>
  </si>
  <si>
    <t>Aiden Coloe</t>
  </si>
  <si>
    <t>Lestrelle A</t>
  </si>
  <si>
    <t>Overs Opp</t>
  </si>
  <si>
    <t>Bowled TOCC</t>
  </si>
  <si>
    <t>CLED</t>
  </si>
  <si>
    <t>ADHA</t>
  </si>
  <si>
    <t>ADLE</t>
  </si>
  <si>
    <t>KIMO</t>
  </si>
  <si>
    <t>Adrian Hawksworth</t>
  </si>
  <si>
    <t>Clive Edghill</t>
  </si>
  <si>
    <t>Glen Lilley</t>
  </si>
  <si>
    <t>Kieran Moore</t>
  </si>
  <si>
    <t>Ron Morris</t>
  </si>
  <si>
    <t>Steve Barry</t>
  </si>
  <si>
    <t>Adam Lestrelle</t>
  </si>
  <si>
    <t>TOCC Runs</t>
  </si>
  <si>
    <t>Opp Runs</t>
  </si>
  <si>
    <t>TOCC Wkts</t>
  </si>
  <si>
    <t>Opp Wkts</t>
  </si>
  <si>
    <t>Pos</t>
  </si>
  <si>
    <t>Runs/100 balls</t>
  </si>
  <si>
    <t>High:</t>
  </si>
  <si>
    <t>Low:</t>
  </si>
  <si>
    <t>Table to end of season</t>
  </si>
  <si>
    <t>Pts/£</t>
  </si>
  <si>
    <t>Maiden %</t>
  </si>
  <si>
    <t>/hw</t>
  </si>
  <si>
    <t>Kiernan M</t>
  </si>
  <si>
    <t>Matt</t>
  </si>
  <si>
    <t>Smith C</t>
  </si>
  <si>
    <t>Sat</t>
  </si>
  <si>
    <t>Sun/Midweek</t>
  </si>
  <si>
    <t>Bowlers</t>
  </si>
  <si>
    <t>10+ wickets</t>
  </si>
  <si>
    <t/>
  </si>
  <si>
    <t>Capt Name</t>
  </si>
  <si>
    <t>Seymour C</t>
  </si>
  <si>
    <t>Queries</t>
  </si>
  <si>
    <t>TOCC</t>
  </si>
  <si>
    <t>L</t>
  </si>
  <si>
    <t>W</t>
  </si>
  <si>
    <t>Middleton J</t>
  </si>
  <si>
    <t>N/O</t>
  </si>
  <si>
    <t>Mark</t>
  </si>
  <si>
    <t>Clarkson M</t>
  </si>
  <si>
    <t>Sundip</t>
  </si>
  <si>
    <t>Nair S</t>
  </si>
  <si>
    <t>TOCC R/O</t>
  </si>
  <si>
    <t>Opp R/O</t>
  </si>
  <si>
    <t>Unbtn</t>
  </si>
  <si>
    <t>Bat1</t>
  </si>
  <si>
    <t>Sc1</t>
  </si>
  <si>
    <t>NO</t>
  </si>
  <si>
    <t>Bat2</t>
  </si>
  <si>
    <t>Sc2</t>
  </si>
  <si>
    <t>Highest Score</t>
  </si>
  <si>
    <t>Fifties</t>
  </si>
  <si>
    <t>mdn %</t>
  </si>
  <si>
    <t>Mander A</t>
  </si>
  <si>
    <t>Woodgreen</t>
  </si>
  <si>
    <t>FiveFors</t>
  </si>
  <si>
    <t>Tony</t>
  </si>
  <si>
    <t>Springer T</t>
  </si>
  <si>
    <t>*</t>
  </si>
  <si>
    <t>Brocks D</t>
  </si>
  <si>
    <t>/ret</t>
  </si>
  <si>
    <t>Match</t>
  </si>
  <si>
    <t>Total balls received</t>
  </si>
  <si>
    <t>Total Overs faced</t>
  </si>
  <si>
    <t>Nilesh</t>
  </si>
  <si>
    <t>Rathi N</t>
  </si>
  <si>
    <t>Raj</t>
  </si>
  <si>
    <t>Foxworthy P</t>
  </si>
  <si>
    <t>Wilson A</t>
  </si>
  <si>
    <t>Parboo R</t>
  </si>
  <si>
    <t>Bhatt P</t>
  </si>
  <si>
    <t>Viveganandan M</t>
  </si>
  <si>
    <t>Other Batters</t>
  </si>
  <si>
    <t>Steeple Langford</t>
  </si>
  <si>
    <t>Vs</t>
  </si>
  <si>
    <t>Catch Info</t>
  </si>
  <si>
    <t>Row Labels</t>
  </si>
  <si>
    <t>Grand Total</t>
  </si>
  <si>
    <t>25s</t>
  </si>
  <si>
    <t>Shome G</t>
  </si>
  <si>
    <t>Niran S</t>
  </si>
  <si>
    <t>Chima R</t>
  </si>
  <si>
    <t>Mike</t>
  </si>
  <si>
    <t>Adam</t>
  </si>
  <si>
    <t>Sunkara C</t>
  </si>
  <si>
    <t>Dave</t>
  </si>
  <si>
    <t>Jenkins D</t>
  </si>
  <si>
    <t>Woodhouse M</t>
  </si>
  <si>
    <t>Joel</t>
  </si>
  <si>
    <t>Seev J</t>
  </si>
  <si>
    <t>Prash</t>
  </si>
  <si>
    <t>Dennis</t>
  </si>
  <si>
    <t>Jason</t>
  </si>
  <si>
    <t>Naish J</t>
  </si>
  <si>
    <t>Seymour D</t>
  </si>
  <si>
    <t>Gaurav</t>
  </si>
  <si>
    <t>Alex</t>
  </si>
  <si>
    <t>Mubin</t>
  </si>
  <si>
    <t>Ahmed M</t>
  </si>
  <si>
    <t>Pete</t>
  </si>
  <si>
    <t>O'Rourke</t>
  </si>
  <si>
    <t>Res</t>
  </si>
  <si>
    <t>Column Labels</t>
  </si>
  <si>
    <t>Count of Res</t>
  </si>
  <si>
    <t>Worcester Park</t>
  </si>
  <si>
    <t>Fonthill Park</t>
  </si>
  <si>
    <t>Harry</t>
  </si>
  <si>
    <t>Sharpe H</t>
  </si>
  <si>
    <t>Deol R</t>
  </si>
  <si>
    <t>Sort</t>
  </si>
  <si>
    <t>Selva</t>
  </si>
  <si>
    <t>BATTING</t>
  </si>
  <si>
    <t>BOWLING</t>
  </si>
  <si>
    <t>PARTNERSHIPS</t>
  </si>
  <si>
    <t>1</t>
  </si>
  <si>
    <t>3</t>
  </si>
  <si>
    <t>2</t>
  </si>
  <si>
    <t>4</t>
  </si>
  <si>
    <t>CATCHES</t>
  </si>
  <si>
    <t>SIXES</t>
  </si>
  <si>
    <t>FOURS</t>
  </si>
  <si>
    <t>25+</t>
  </si>
  <si>
    <t>APPEARANCES</t>
  </si>
  <si>
    <t>&gt;1 DUCK</t>
  </si>
  <si>
    <t>Hundreds</t>
  </si>
  <si>
    <t>Beddington</t>
  </si>
  <si>
    <t>Riverside</t>
  </si>
  <si>
    <t>H</t>
  </si>
  <si>
    <t>A</t>
  </si>
  <si>
    <t>Aleem</t>
  </si>
  <si>
    <t>Kaleem</t>
  </si>
  <si>
    <t>Sajjid A</t>
  </si>
  <si>
    <t>Sajjid K</t>
  </si>
  <si>
    <t>Lance</t>
  </si>
  <si>
    <t>Curling L</t>
  </si>
  <si>
    <t>Madu</t>
  </si>
  <si>
    <t>Hemasinghe M</t>
  </si>
  <si>
    <t>Kogulathasan D</t>
  </si>
  <si>
    <t>Roland ???</t>
  </si>
  <si>
    <t>Rob</t>
  </si>
  <si>
    <t>9/0/c/0/0</t>
  </si>
  <si>
    <t>11/0/dnb/0/0</t>
  </si>
  <si>
    <t>Stevenson R</t>
  </si>
  <si>
    <t>ND</t>
  </si>
  <si>
    <t>6/0/dnb/0/0</t>
  </si>
  <si>
    <t>8/0/dnb/0/0</t>
  </si>
  <si>
    <t>9/0/dnb/0/0</t>
  </si>
  <si>
    <t>10/0/dnb/0/0</t>
  </si>
  <si>
    <t>6/0/b/0/0</t>
  </si>
  <si>
    <t>Rugg D</t>
  </si>
  <si>
    <t>8/0/c/0/0</t>
  </si>
  <si>
    <t>7/0/dnb/1/0</t>
  </si>
  <si>
    <t>4/0/15/0</t>
  </si>
  <si>
    <t>Fleming N</t>
  </si>
  <si>
    <t>Norman</t>
  </si>
  <si>
    <t>10/4/no/0/1.0</t>
  </si>
  <si>
    <t>4/0/20/0</t>
  </si>
  <si>
    <t>9/0/no/0/0</t>
  </si>
  <si>
    <t>Soham</t>
  </si>
  <si>
    <t>De S</t>
  </si>
  <si>
    <t>1/0/c/0/0</t>
  </si>
  <si>
    <t>3/0/18/1</t>
  </si>
  <si>
    <t>2/0/16/0</t>
  </si>
  <si>
    <t>xxx</t>
  </si>
  <si>
    <t>5/0/b/0/0</t>
  </si>
  <si>
    <t>7/0/20/1</t>
  </si>
  <si>
    <t>2/6/c/0/1.0</t>
  </si>
  <si>
    <t>Qualifiers</t>
  </si>
  <si>
    <t>In Table</t>
  </si>
  <si>
    <t>In Avgs</t>
  </si>
  <si>
    <t>#N/A</t>
  </si>
  <si>
    <t>Bowled</t>
  </si>
  <si>
    <t>3/8/b/0/2.0</t>
  </si>
  <si>
    <t>Low-Hughes A</t>
  </si>
  <si>
    <t>Alfie</t>
  </si>
  <si>
    <t>7/19/b/0/2.0</t>
  </si>
  <si>
    <t>Ffrench R</t>
  </si>
  <si>
    <t>Ray</t>
  </si>
  <si>
    <t>"Luca"</t>
  </si>
  <si>
    <t>8/10/c/0/2.0</t>
  </si>
  <si>
    <t>Taylor C</t>
  </si>
  <si>
    <t>Entries</t>
  </si>
  <si>
    <t>6 (3)</t>
  </si>
  <si>
    <t>Also</t>
  </si>
  <si>
    <t>Also:</t>
  </si>
  <si>
    <t>Runs scored</t>
  </si>
  <si>
    <t>TRINITY</t>
  </si>
  <si>
    <t>Opposition</t>
  </si>
  <si>
    <t>Wickets Lost</t>
  </si>
  <si>
    <t>Average runs/wicket</t>
  </si>
  <si>
    <t>Scoring rate per 100 balls</t>
  </si>
  <si>
    <t>Extras conceded</t>
  </si>
  <si>
    <t>Byes</t>
  </si>
  <si>
    <t>Leg byes</t>
  </si>
  <si>
    <t>No balls</t>
  </si>
  <si>
    <t>Wides</t>
  </si>
  <si>
    <t>Highest innings</t>
  </si>
  <si>
    <t>Lowest innings</t>
  </si>
  <si>
    <t>Overs bowled</t>
  </si>
  <si>
    <t>5/0/33/0</t>
  </si>
  <si>
    <t>8/0/23/2</t>
  </si>
  <si>
    <t>8/2/15/0</t>
  </si>
  <si>
    <t>8/1/23/3</t>
  </si>
  <si>
    <t>7/0/26/2</t>
  </si>
  <si>
    <t>Jain A</t>
  </si>
  <si>
    <t>2/0/19/0</t>
  </si>
  <si>
    <t>2/0/6/0</t>
  </si>
  <si>
    <t>Ashish</t>
  </si>
  <si>
    <t>Soham De 50*</t>
  </si>
  <si>
    <t>1/2/b+/1.0/0</t>
  </si>
  <si>
    <t>Patel M</t>
  </si>
  <si>
    <t>4/9/b/0/1.0</t>
  </si>
  <si>
    <t>5/3/b/0/0</t>
  </si>
  <si>
    <t>6/4/b/0/1</t>
  </si>
  <si>
    <t>7/16/b/0/1.0</t>
  </si>
  <si>
    <t>8/50/no/0/3.1</t>
  </si>
  <si>
    <t>9/5/c/0/1</t>
  </si>
  <si>
    <t>10/9/no/1/1</t>
  </si>
  <si>
    <t>3/36/c*/0/5.0</t>
  </si>
  <si>
    <t>YRG Eagles</t>
  </si>
  <si>
    <t>Mubin Ahmed 3-23</t>
  </si>
  <si>
    <t>Seymour C 70</t>
  </si>
  <si>
    <t>Patel J</t>
  </si>
  <si>
    <t>1/3/c/0/0</t>
  </si>
  <si>
    <t>2/70/ro/0/8.0</t>
  </si>
  <si>
    <t>3/31/b*/0/6.0</t>
  </si>
  <si>
    <t>5/43/no/0/4.0</t>
  </si>
  <si>
    <t>Warlingham</t>
  </si>
  <si>
    <t>Merton Bears</t>
  </si>
  <si>
    <t>7/0/18/2</t>
  </si>
  <si>
    <t>7/2/24/2</t>
  </si>
  <si>
    <t>6/0/49/0</t>
  </si>
  <si>
    <t>7/0/41/0</t>
  </si>
  <si>
    <t>3/0/36/0</t>
  </si>
  <si>
    <t>3/0/12/1</t>
  </si>
  <si>
    <t>1.4/0/10/0</t>
  </si>
  <si>
    <t>8/0/dnb/1/0</t>
  </si>
  <si>
    <t>4/29/c+/1.0/3.0</t>
  </si>
  <si>
    <t>Seymour D 114*</t>
  </si>
  <si>
    <t>3/6/c*/0/1.0</t>
  </si>
  <si>
    <t>5/13/c/0/1.1</t>
  </si>
  <si>
    <t>7/26/ro/0/6.0</t>
  </si>
  <si>
    <t>9/0/lb/0/0</t>
  </si>
  <si>
    <t>11/4/no/0/1</t>
  </si>
  <si>
    <t>10/11/ro/0/1.0</t>
  </si>
  <si>
    <t>Springer 64</t>
  </si>
  <si>
    <t>2/16/b/0/3.0</t>
  </si>
  <si>
    <t>4/25/c/0/4.0</t>
  </si>
  <si>
    <t>5/18/b/0/3.0</t>
  </si>
  <si>
    <t>Umar S</t>
  </si>
  <si>
    <t>6/13/c/0/1.0</t>
  </si>
  <si>
    <t>4/14/b/0/2.0</t>
  </si>
  <si>
    <t>10/6/no/0/0</t>
  </si>
  <si>
    <t>9/20/no/1/4.0</t>
  </si>
  <si>
    <t>1/41/b/1/6.0</t>
  </si>
  <si>
    <t>3/64/b*+/0.1/13.0</t>
  </si>
  <si>
    <t>7/0/52/0</t>
  </si>
  <si>
    <t>9/0/26/2</t>
  </si>
  <si>
    <t>8/1/18/1</t>
  </si>
  <si>
    <t>5/1/16/1</t>
  </si>
  <si>
    <t>4/0/16/0</t>
  </si>
  <si>
    <t>3/0/15/0</t>
  </si>
  <si>
    <t>2/0/11/0</t>
  </si>
  <si>
    <t>D</t>
  </si>
  <si>
    <t>Patel J 66, Ahmed R 90</t>
  </si>
  <si>
    <t>1/4/c/0/0</t>
  </si>
  <si>
    <t>3/0/c*/0/0</t>
  </si>
  <si>
    <t>Ahmed R</t>
  </si>
  <si>
    <t>4/90/c/0/14.0</t>
  </si>
  <si>
    <t>6/24/c/0/5.0</t>
  </si>
  <si>
    <t>7/12/b/0/1.0</t>
  </si>
  <si>
    <t>8/5/c/0/0</t>
  </si>
  <si>
    <t>Nair 3-5</t>
  </si>
  <si>
    <t>7/4/5/3</t>
  </si>
  <si>
    <t>6/5/1/2</t>
  </si>
  <si>
    <t>8/5/6/1</t>
  </si>
  <si>
    <t>7/0/13/1</t>
  </si>
  <si>
    <t>6/1/23/1</t>
  </si>
  <si>
    <t>2/0/7/1</t>
  </si>
  <si>
    <t>2/66/b/2/2.0</t>
  </si>
  <si>
    <t>5/2/lb/1/0</t>
  </si>
  <si>
    <t>7/1/21/2</t>
  </si>
  <si>
    <t>7/1/46/1</t>
  </si>
  <si>
    <t>7/0/40/3</t>
  </si>
  <si>
    <t>7/1/46/0</t>
  </si>
  <si>
    <t>4/0/30/0</t>
  </si>
  <si>
    <t>2/0/10/1</t>
  </si>
  <si>
    <t>1/0/5/1</t>
  </si>
  <si>
    <t>Mayur</t>
  </si>
  <si>
    <t>Soham De</t>
  </si>
  <si>
    <t>2/114/no+/1.1/11.1</t>
  </si>
  <si>
    <t>4/0/c/2/0</t>
  </si>
  <si>
    <t>2/25/b+/0/3.0</t>
  </si>
  <si>
    <t>1/2/b/0/0</t>
  </si>
  <si>
    <t>4/4/c/0/0</t>
  </si>
  <si>
    <t>5/33/st/0/6.0</t>
  </si>
  <si>
    <t>6/14/b/0/2.0</t>
  </si>
  <si>
    <t>7/28/no/0/4.0</t>
  </si>
  <si>
    <t>8/15/b/0/3.0</t>
  </si>
  <si>
    <t>9/12/no/0/2.0</t>
  </si>
  <si>
    <t>11/0/dnb*/0/0</t>
  </si>
  <si>
    <t>1/15/b/0/3.0</t>
  </si>
  <si>
    <t>2/43/c/0/10.0</t>
  </si>
  <si>
    <t>3/33/c+/0/6.0</t>
  </si>
  <si>
    <t>Ben</t>
  </si>
  <si>
    <t>Lindsay B</t>
  </si>
  <si>
    <t>4/11/b/0/1.0</t>
  </si>
  <si>
    <t>5/0/lb/0/0</t>
  </si>
  <si>
    <t>7/13/c/0/2.0</t>
  </si>
  <si>
    <t>8/22/no/0/2.0</t>
  </si>
  <si>
    <t>8/31/ro/0/4.1</t>
  </si>
  <si>
    <t>De 3-18</t>
  </si>
  <si>
    <t>6/4/lb/1/1.0</t>
  </si>
  <si>
    <t>10/0/dnb*/1/0</t>
  </si>
  <si>
    <t>7/1/18/1</t>
  </si>
  <si>
    <t>7/1/18/3</t>
  </si>
  <si>
    <t>7/0/38/1</t>
  </si>
  <si>
    <t>7/0/34/0</t>
  </si>
  <si>
    <t>1/0/11/0</t>
  </si>
  <si>
    <t>1/18/lb/0/1.0</t>
  </si>
  <si>
    <t>2/21/lb+/0/4.0</t>
  </si>
  <si>
    <t>3/7/c*/0/1.0</t>
  </si>
  <si>
    <t>4/7/c/0/1.0</t>
  </si>
  <si>
    <t>8/4/no/0/0</t>
  </si>
  <si>
    <t>6/37/c/0/3.0</t>
  </si>
  <si>
    <t>Sajjid K 4-26</t>
  </si>
  <si>
    <t>4/1/17/0</t>
  </si>
  <si>
    <t>3.5/0/27/0</t>
  </si>
  <si>
    <t>7/2/26/4</t>
  </si>
  <si>
    <t>7/0/22/2</t>
  </si>
  <si>
    <t>1/0/2/0</t>
  </si>
  <si>
    <t>abandoned - rain</t>
  </si>
  <si>
    <t>Ahmed R 86, Stevenson R 67, Seymour C 52</t>
  </si>
  <si>
    <t>1/52/ro/0/5.0</t>
  </si>
  <si>
    <t>4/30/b+/0/4.0</t>
  </si>
  <si>
    <t>5/8/no/0/1.0</t>
  </si>
  <si>
    <t>6/2/no*/0/0</t>
  </si>
  <si>
    <t>7/1/28/1</t>
  </si>
  <si>
    <t>6/1/14/2</t>
  </si>
  <si>
    <t>5/1/6/2</t>
  </si>
  <si>
    <t>2/0/36/0</t>
  </si>
  <si>
    <t>5/0/10/0</t>
  </si>
  <si>
    <t>3/1/9/1</t>
  </si>
  <si>
    <t>2/86/c/3/15.0</t>
  </si>
  <si>
    <t>11/0/dnb/1/0</t>
  </si>
  <si>
    <t>3/67/c/1/8.1</t>
  </si>
  <si>
    <t>Richmond Legbreakers</t>
  </si>
  <si>
    <t>Sharpe 86</t>
  </si>
  <si>
    <t>1/8/b/0/1/0</t>
  </si>
  <si>
    <t>3/0/b/0/0</t>
  </si>
  <si>
    <t>4/0/b*/0/0</t>
  </si>
  <si>
    <t>2/86/b+/0/13.2</t>
  </si>
  <si>
    <t>5/9/c/0/2.0</t>
  </si>
  <si>
    <t>6/14/lb/0/3.0</t>
  </si>
  <si>
    <t>7/0/b/0/0</t>
  </si>
  <si>
    <t>8/2/c/0/0</t>
  </si>
  <si>
    <t>Robert</t>
  </si>
  <si>
    <t>Turner</t>
  </si>
  <si>
    <t>11/0/no/0/0</t>
  </si>
  <si>
    <t>10/16/no/0/1.0</t>
  </si>
  <si>
    <t>3/0/b/1/0</t>
  </si>
  <si>
    <t>9/8/c/1/0</t>
  </si>
  <si>
    <t>6/0/55/1</t>
  </si>
  <si>
    <t>6/1/29/0</t>
  </si>
  <si>
    <t>8/2/23/4</t>
  </si>
  <si>
    <t>8/1/35/0</t>
  </si>
  <si>
    <t>7/0/21/3</t>
  </si>
  <si>
    <t>4/0/17/0</t>
  </si>
  <si>
    <t>0.5/0/2/0</t>
  </si>
  <si>
    <t>Turner R</t>
  </si>
  <si>
    <t>Norwood Exiles</t>
  </si>
  <si>
    <t>1/25/c/0/5.0</t>
  </si>
  <si>
    <t>2/14/b+/0/3.0</t>
  </si>
  <si>
    <t>3/13/no/1/3.0</t>
  </si>
  <si>
    <t>4/27/no*/1/6.0</t>
  </si>
  <si>
    <t>5/0/dnb/0/0</t>
  </si>
  <si>
    <t>Abhy</t>
  </si>
  <si>
    <t>Roy A</t>
  </si>
  <si>
    <t>7/0/dnb/0/0</t>
  </si>
  <si>
    <t>8/3/18/1</t>
  </si>
  <si>
    <t>6/1/8/2</t>
  </si>
  <si>
    <t>3/0/12/2</t>
  </si>
  <si>
    <t>5/3/5/1</t>
  </si>
  <si>
    <t>4/0/29/2</t>
  </si>
  <si>
    <t>3.3/1/5/1</t>
  </si>
  <si>
    <t>2/0/13/1</t>
  </si>
  <si>
    <t>London Leopards</t>
  </si>
  <si>
    <t>Bhatt 4-20</t>
  </si>
  <si>
    <t>Sharpe 69*</t>
  </si>
  <si>
    <t>1/14/lb/1/1.0</t>
  </si>
  <si>
    <t>2/69/no+/0/11.1</t>
  </si>
  <si>
    <t>3/12/c*/2/2.0</t>
  </si>
  <si>
    <t>4/0/lb/0/0</t>
  </si>
  <si>
    <t>5/1/b/0/0</t>
  </si>
  <si>
    <t>6/6/no/1/1.0</t>
  </si>
  <si>
    <t>10/0/dnb/1/0</t>
  </si>
  <si>
    <t>Chaitanya</t>
  </si>
  <si>
    <t>"Naveed"</t>
  </si>
  <si>
    <t>6/0/23/3</t>
  </si>
  <si>
    <t>5/0/29/3</t>
  </si>
  <si>
    <t>3.4/0/20/4</t>
  </si>
  <si>
    <t>Morden</t>
  </si>
  <si>
    <t>1/8/c*/0/1.0</t>
  </si>
  <si>
    <t>2/4/c/0/0</t>
  </si>
  <si>
    <t>Anurag</t>
  </si>
  <si>
    <t>Biswas A</t>
  </si>
  <si>
    <t>4/4/b/0/1.0</t>
  </si>
  <si>
    <t>5/1/lb/1/0</t>
  </si>
  <si>
    <t>6/37/b/0/4.1</t>
  </si>
  <si>
    <t>Shaz</t>
  </si>
  <si>
    <t>Mahmood S</t>
  </si>
  <si>
    <t>7/47/c/1/6.2</t>
  </si>
  <si>
    <t>8/35/no/0/5.0</t>
  </si>
  <si>
    <t>Sanket</t>
  </si>
  <si>
    <t>Patel S</t>
  </si>
  <si>
    <t>9/9/ro/0/1.0</t>
  </si>
  <si>
    <t>10/36/no/0/7.0</t>
  </si>
  <si>
    <t>Sanket Patel</t>
  </si>
  <si>
    <t>Sanderstead</t>
  </si>
  <si>
    <t>Sundip Nair</t>
  </si>
  <si>
    <t>1/9/c/0/1.0</t>
  </si>
  <si>
    <t>Billy</t>
  </si>
  <si>
    <t>Crone W</t>
  </si>
  <si>
    <t>2/45/c/0/3.0</t>
  </si>
  <si>
    <t>3/49/b/0/7.0</t>
  </si>
  <si>
    <t>4/36/lb+/0.1/5.0</t>
  </si>
  <si>
    <t>5/3/b*/0/0</t>
  </si>
  <si>
    <t>6/1/c/0/0</t>
  </si>
  <si>
    <t>7/2/st/0/0</t>
  </si>
  <si>
    <t>8/1/no/0/0</t>
  </si>
  <si>
    <t>9/0/b/0/0</t>
  </si>
  <si>
    <t>10/1/ro/0/0</t>
  </si>
  <si>
    <t>4/0/24/0</t>
  </si>
  <si>
    <t>5/1/23/1</t>
  </si>
  <si>
    <t>7/0/19/0</t>
  </si>
  <si>
    <t>3/0/25/0</t>
  </si>
  <si>
    <t>5/0/28/1</t>
  </si>
  <si>
    <t>4/0/44/1</t>
  </si>
  <si>
    <t>8/0/36/1</t>
  </si>
  <si>
    <t>8/0/29/1</t>
  </si>
  <si>
    <t>8/2/15/2</t>
  </si>
  <si>
    <t>8/0/52/0</t>
  </si>
  <si>
    <t>4/0/26/2</t>
  </si>
  <si>
    <t>4/0/31/1</t>
  </si>
  <si>
    <t>Prash Bhatt</t>
  </si>
  <si>
    <t>Jay</t>
  </si>
  <si>
    <t>1/45/b/0/8.0</t>
  </si>
  <si>
    <t>2/9/c/0/1.0</t>
  </si>
  <si>
    <t>3/21/b/0/3.0</t>
  </si>
  <si>
    <t>4/2/b/1/0</t>
  </si>
  <si>
    <t>5/28/c*/0/5.0</t>
  </si>
  <si>
    <t>6/36/no/1/4.0</t>
  </si>
  <si>
    <t>7/20/ro/0/2.0</t>
  </si>
  <si>
    <t>Afroz</t>
  </si>
  <si>
    <t>Khan A</t>
  </si>
  <si>
    <t>8/0/lb/0/0</t>
  </si>
  <si>
    <t>9/5/no/0/0</t>
  </si>
  <si>
    <t>7/2/15/1</t>
  </si>
  <si>
    <t>7/0/33/2</t>
  </si>
  <si>
    <t>7/2/17/3</t>
  </si>
  <si>
    <t>7/0/34/2</t>
  </si>
  <si>
    <t>0.2/0/0/1</t>
  </si>
  <si>
    <t>De S 84</t>
  </si>
  <si>
    <t>2/0/c+/3.0/0</t>
  </si>
  <si>
    <t>3/84/c/0/14.0</t>
  </si>
  <si>
    <t>4/32/c/0/3.0</t>
  </si>
  <si>
    <t>5/3/c/0/0</t>
  </si>
  <si>
    <t>Mander C</t>
  </si>
  <si>
    <t>6/6/b/1/1.0</t>
  </si>
  <si>
    <t>7/29/no/0/6.0</t>
  </si>
  <si>
    <t>8/0/b/0/0</t>
  </si>
  <si>
    <t>Gardezi S</t>
  </si>
  <si>
    <t>6.2/2/24/1</t>
  </si>
  <si>
    <t>7/1/15/2</t>
  </si>
  <si>
    <t>8/0/35/1</t>
  </si>
  <si>
    <t>6/0/21/0</t>
  </si>
  <si>
    <t>8/0/34/2</t>
  </si>
  <si>
    <t>4/0/24/1</t>
  </si>
  <si>
    <t>0.4/0/6/0</t>
  </si>
  <si>
    <t>Syed</t>
  </si>
  <si>
    <t>Mitcham</t>
  </si>
  <si>
    <t>Kaleem Sajjid</t>
  </si>
  <si>
    <t>2/29/c/1/5.0</t>
  </si>
  <si>
    <t>3/27/st+/1.1/2.0</t>
  </si>
  <si>
    <t>4/6/c/0/2.0</t>
  </si>
  <si>
    <t>5/17/c/0/2.0</t>
  </si>
  <si>
    <t>7/3/c/0/0</t>
  </si>
  <si>
    <t>8/13/no/0/1.0</t>
  </si>
  <si>
    <t>9/5/c/0/1.0</t>
  </si>
  <si>
    <t>10/0/ro/0/0</t>
  </si>
  <si>
    <t>11/1/b/0/0</t>
  </si>
  <si>
    <t>7/0/32/3</t>
  </si>
  <si>
    <t>7/1/34/2</t>
  </si>
  <si>
    <t>3/0/24/0</t>
  </si>
  <si>
    <t>5/1/37/0</t>
  </si>
  <si>
    <t>5/0/40/0</t>
  </si>
  <si>
    <t>5/0/24/0</t>
  </si>
  <si>
    <t>1/0/20/0</t>
  </si>
  <si>
    <t>2/0/28/0</t>
  </si>
  <si>
    <t>1/15/c/0/3.0</t>
  </si>
  <si>
    <t>2/5/lb/0/1.0</t>
  </si>
  <si>
    <t>3/3/b*/0/0</t>
  </si>
  <si>
    <t>6/8/lb/0/1.0</t>
  </si>
  <si>
    <t>8/8/lb/1/2.0</t>
  </si>
  <si>
    <t>10/0/no/0/0</t>
  </si>
  <si>
    <t>Battersea Ironsides</t>
  </si>
  <si>
    <t>1/35/ro/0/2.0</t>
  </si>
  <si>
    <t>2/19/c/0/1.1</t>
  </si>
  <si>
    <t>3/6/b*/0/1.0</t>
  </si>
  <si>
    <t>4/2/c/0/0</t>
  </si>
  <si>
    <t>5/14/c/0/2.0</t>
  </si>
  <si>
    <t>6/16/c/0/1.0</t>
  </si>
  <si>
    <t>7/13/b/0/0.0</t>
  </si>
  <si>
    <t>9/3/b/0/0</t>
  </si>
  <si>
    <t>Ploughman's Sunday XI</t>
  </si>
  <si>
    <t>1/36/b/1/7.0</t>
  </si>
  <si>
    <t>2/9/b/0/1.0</t>
  </si>
  <si>
    <t>3/34/b*/0/6.0</t>
  </si>
  <si>
    <t>4/2/b/0/0</t>
  </si>
  <si>
    <t>5/4/c/0/0</t>
  </si>
  <si>
    <t>6/10/b/0/1.0</t>
  </si>
  <si>
    <t>7/3/b/0/0</t>
  </si>
  <si>
    <t>8/4/lb/0/0</t>
  </si>
  <si>
    <t>8/1/25/2</t>
  </si>
  <si>
    <t>5/1/18/0</t>
  </si>
  <si>
    <t>7/0/31/1</t>
  </si>
  <si>
    <t>6/1/21/0</t>
  </si>
  <si>
    <t>1/0/16/0</t>
  </si>
  <si>
    <t>0.3/0/5/0</t>
  </si>
  <si>
    <t>1/52/st/0/7.1</t>
  </si>
  <si>
    <t>2/7/lb/0/1.0</t>
  </si>
  <si>
    <t>3/45/c/0/7.1</t>
  </si>
  <si>
    <t>4/17/b/1/3.0</t>
  </si>
  <si>
    <t>6/4/b/0/1.0</t>
  </si>
  <si>
    <t>7/19/b*/0/3.0</t>
  </si>
  <si>
    <t>10/5/no/0/1.0</t>
  </si>
  <si>
    <t>11/4/no/0/0</t>
  </si>
  <si>
    <t>11/4/no/0/1.0</t>
  </si>
  <si>
    <t>10/5/b/0/1.0</t>
  </si>
  <si>
    <t>Ahmed R 2-0-90-176</t>
  </si>
  <si>
    <t>Stevenson R 1-0-67-67</t>
  </si>
  <si>
    <t>Mahmood S 1-0-47-47</t>
  </si>
  <si>
    <t>Niran S 4-0-49-142</t>
  </si>
  <si>
    <t>Crone W 2-0-45-62</t>
  </si>
  <si>
    <t>Viveganandan M 3-1-43-50</t>
  </si>
  <si>
    <t>Curling L 2-0-33-40</t>
  </si>
  <si>
    <t>Middleton J 4-1-36*-53</t>
  </si>
  <si>
    <t>Umar S 1-0-13-13</t>
  </si>
  <si>
    <t>Lindsay B 1-0-11-11</t>
  </si>
  <si>
    <t>Patel S 1-0-9-9</t>
  </si>
  <si>
    <t>Brocks D 3-0-18-22</t>
  </si>
  <si>
    <t>Mander C 1-0-6-6</t>
  </si>
  <si>
    <t>Deol R 1-0-5-5</t>
  </si>
  <si>
    <t>Biswas A 1-0-4-4</t>
  </si>
  <si>
    <t>Rugg D 4-1-8-9</t>
  </si>
  <si>
    <t>Khan A 1-0-0-0</t>
  </si>
  <si>
    <t>Gardezi S 1-0-0-0</t>
  </si>
  <si>
    <t>Turner 1-1-16*-16</t>
  </si>
  <si>
    <t>Parboo R 1-0-0-0</t>
  </si>
  <si>
    <t>Kiernan M 1-0-0-0</t>
  </si>
  <si>
    <t>x</t>
  </si>
  <si>
    <t>50*</t>
  </si>
  <si>
    <t>69*</t>
  </si>
  <si>
    <t>114*</t>
  </si>
  <si>
    <t xml:space="preserve">Roy A 3-0-12-2, </t>
  </si>
  <si>
    <t xml:space="preserve">Khan A 13.2-4-41-4, </t>
  </si>
  <si>
    <t xml:space="preserve">Parboo R 8-1-25-2, </t>
  </si>
  <si>
    <t xml:space="preserve">Seymour D 2-0-13-1, </t>
  </si>
  <si>
    <t xml:space="preserve">Kogulathasan D 39.3-3-153-9, </t>
  </si>
  <si>
    <t xml:space="preserve">Viveganandan M 3-0-18-1, </t>
  </si>
  <si>
    <t xml:space="preserve">Rugg D 34-3-150-8, </t>
  </si>
  <si>
    <t xml:space="preserve">Middleton J 8-0-41-2, </t>
  </si>
  <si>
    <t xml:space="preserve">Sajjid K 53-11-210-9, </t>
  </si>
  <si>
    <t xml:space="preserve">Ahmed M 35-1-151-6, </t>
  </si>
  <si>
    <t xml:space="preserve">Patel J 12.4-1-51-2, </t>
  </si>
  <si>
    <t xml:space="preserve">Mander A 65-5-208-8, </t>
  </si>
  <si>
    <t xml:space="preserve">Patel M 10-0-90-3, </t>
  </si>
  <si>
    <t xml:space="preserve">Springer T 28.5-3-158-5, </t>
  </si>
  <si>
    <t xml:space="preserve">De S 55-5-235-7, </t>
  </si>
  <si>
    <t xml:space="preserve">Gardezi S 0.4-0-6-0, </t>
  </si>
  <si>
    <t xml:space="preserve">Sharpe D 2-0-28-0, </t>
  </si>
  <si>
    <t xml:space="preserve">Smith C 2-0-36-0, </t>
  </si>
  <si>
    <t xml:space="preserve">Umar S 2-0-16-0, </t>
  </si>
  <si>
    <t xml:space="preserve">Jain A 2.3-0-24-0, </t>
  </si>
  <si>
    <t xml:space="preserve">Lestrelle A 3-0-36-0, </t>
  </si>
  <si>
    <t xml:space="preserve">Brocks D 4-0-30-0, </t>
  </si>
  <si>
    <t xml:space="preserve">Patel S 8-0-52-0, </t>
  </si>
  <si>
    <t>1 (1)</t>
  </si>
  <si>
    <t>4 (3)</t>
  </si>
  <si>
    <t>5/0/18/0</t>
  </si>
  <si>
    <t>6/0/36/0</t>
  </si>
  <si>
    <t>2/0/12/0</t>
  </si>
  <si>
    <t>3/0/9/2</t>
  </si>
  <si>
    <t>7/1/32/2</t>
  </si>
  <si>
    <t>7/1/24/2</t>
  </si>
  <si>
    <t>4/0/23/1</t>
  </si>
  <si>
    <t>1/0/7/0</t>
  </si>
  <si>
    <t>8/2/17/2</t>
  </si>
  <si>
    <t>8/0/44/0</t>
  </si>
  <si>
    <t>8/2/27/4</t>
  </si>
  <si>
    <t>8/1/27/0</t>
  </si>
  <si>
    <t>4/0/25/0</t>
  </si>
  <si>
    <t>bowling figures lost by opposition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</si>
</sst>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ddd"/>
    <numFmt numFmtId="165" formatCode="0.0"/>
    <numFmt numFmtId="166" formatCode="0;0;&quot;&quot;"/>
    <numFmt numFmtId="167" formatCode="\+0;\-0"/>
    <numFmt numFmtId="168" formatCode="[Blue]\+0;[Red]\-0"/>
    <numFmt numFmtId="169" formatCode="0.0%"/>
    <numFmt numFmtId="170" formatCode="[Red]#0;[Red]\-#0;[Black]0"/>
  </numFmts>
  <fonts count="29" x14ac:knownFonts="1">
    <font>
      <sz val="8"/>
      <name val="Verdana"/>
      <family val="2"/>
    </font>
    <font>
      <sz val="10"/>
      <name val="Arial"/>
      <family val="2"/>
    </font>
    <font>
      <sz val="8"/>
      <name val="Arial"/>
      <family val="2"/>
    </font>
    <font>
      <sz val="10"/>
      <name val="Comic Sans MS"/>
      <family val="4"/>
    </font>
    <font>
      <b/>
      <sz val="9"/>
      <name val="Comic Sans MS"/>
      <family val="4"/>
    </font>
    <font>
      <sz val="9"/>
      <name val="Arial"/>
      <family val="2"/>
    </font>
    <font>
      <sz val="9"/>
      <name val="Comic Sans MS"/>
      <family val="4"/>
    </font>
    <font>
      <sz val="8"/>
      <name val="Verdana"/>
      <family val="2"/>
    </font>
    <font>
      <b/>
      <sz val="8"/>
      <name val="Verdana"/>
      <family val="2"/>
    </font>
    <font>
      <b/>
      <sz val="8"/>
      <name val="Arial"/>
      <family val="2"/>
    </font>
    <font>
      <sz val="8"/>
      <name val="Verdana"/>
      <family val="2"/>
    </font>
    <font>
      <sz val="8"/>
      <name val="Comic Sans MS"/>
      <family val="4"/>
    </font>
    <font>
      <sz val="8"/>
      <color indexed="9"/>
      <name val="Verdana"/>
      <family val="2"/>
    </font>
    <font>
      <sz val="8"/>
      <color indexed="12"/>
      <name val="Verdana"/>
      <family val="2"/>
    </font>
    <font>
      <sz val="10"/>
      <name val="Times New Roman"/>
      <family val="1"/>
    </font>
    <font>
      <b/>
      <sz val="8"/>
      <color indexed="9"/>
      <name val="Tahoma"/>
      <family val="2"/>
    </font>
    <font>
      <b/>
      <sz val="8"/>
      <name val="Tahoma"/>
      <family val="2"/>
    </font>
    <font>
      <sz val="8"/>
      <name val="Tahoma"/>
      <family val="2"/>
    </font>
    <font>
      <b/>
      <sz val="10"/>
      <name val="Times New Roman"/>
      <family val="1"/>
    </font>
    <font>
      <sz val="10"/>
      <name val="Times New Roman"/>
      <family val="1"/>
      <scheme val="minor"/>
    </font>
    <font>
      <b/>
      <sz val="8"/>
      <name val="Times New Roman"/>
      <family val="1"/>
    </font>
    <font>
      <sz val="8"/>
      <name val="Times New Roman"/>
      <family val="1"/>
    </font>
    <font>
      <b/>
      <sz val="9"/>
      <color rgb="FFFA7D00"/>
      <name val="Calibri"/>
      <family val="2"/>
    </font>
    <font>
      <b/>
      <i/>
      <sz val="22"/>
      <color theme="5" tint="-0.249977111117893"/>
      <name val="Verdana"/>
      <family val="2"/>
    </font>
    <font>
      <b/>
      <sz val="8"/>
      <name val="Calibri"/>
      <family val="2"/>
    </font>
    <font>
      <sz val="8"/>
      <name val="Calibri"/>
      <family val="2"/>
    </font>
    <font>
      <sz val="10"/>
      <color theme="0" tint="-0.499984740745262"/>
      <name val="Times New Roman"/>
      <family val="1"/>
    </font>
    <font>
      <sz val="9"/>
      <color rgb="FF9C0006"/>
      <name val="Times New Roman"/>
      <family val="2"/>
      <scheme val="minor"/>
    </font>
    <font>
      <i/>
      <sz val="8"/>
      <color rgb="FFFF0000"/>
      <name val="Tahoma"/>
      <family val="2"/>
    </font>
  </fonts>
  <fills count="19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rgb="FFF2F2F2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CC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theme="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-0.249977111117893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5">
    <xf numFmtId="0" fontId="0" fillId="0" borderId="0">
      <alignment vertical="top"/>
    </xf>
    <xf numFmtId="9" fontId="1" fillId="0" borderId="0" applyFont="0" applyFill="0" applyBorder="0" applyAlignment="0" applyProtection="0"/>
    <xf numFmtId="0" fontId="22" fillId="8" borderId="8" applyNumberFormat="0" applyAlignment="0" applyProtection="0"/>
    <xf numFmtId="0" fontId="7" fillId="11" borderId="10" applyNumberFormat="0" applyFont="0" applyAlignment="0" applyProtection="0"/>
    <xf numFmtId="0" fontId="27" fillId="13" borderId="0" applyNumberFormat="0" applyBorder="0" applyAlignment="0" applyProtection="0"/>
  </cellStyleXfs>
  <cellXfs count="235">
    <xf numFmtId="0" fontId="0" fillId="0" borderId="0" xfId="0">
      <alignment vertical="top"/>
    </xf>
    <xf numFmtId="0" fontId="0" fillId="0" borderId="0" xfId="0" applyAlignment="1">
      <alignment textRotation="90"/>
    </xf>
    <xf numFmtId="0" fontId="0" fillId="0" borderId="0" xfId="0" applyAlignment="1"/>
    <xf numFmtId="15" fontId="0" fillId="0" borderId="0" xfId="0" applyNumberFormat="1" applyAlignment="1"/>
    <xf numFmtId="15" fontId="0" fillId="0" borderId="0" xfId="0" applyNumberFormat="1" applyAlignment="1">
      <alignment textRotation="90"/>
    </xf>
    <xf numFmtId="0" fontId="2" fillId="0" borderId="0" xfId="0" applyFont="1">
      <alignment vertical="top"/>
    </xf>
    <xf numFmtId="0" fontId="0" fillId="0" borderId="1" xfId="0" applyBorder="1">
      <alignment vertical="top"/>
    </xf>
    <xf numFmtId="2" fontId="2" fillId="0" borderId="0" xfId="0" applyNumberFormat="1" applyFont="1">
      <alignment vertical="top"/>
    </xf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>
      <alignment vertical="top"/>
    </xf>
    <xf numFmtId="0" fontId="4" fillId="0" borderId="0" xfId="0" applyFont="1">
      <alignment vertical="top"/>
    </xf>
    <xf numFmtId="0" fontId="4" fillId="0" borderId="0" xfId="0" applyFont="1" applyAlignment="1">
      <alignment horizontal="center"/>
    </xf>
    <xf numFmtId="2" fontId="4" fillId="0" borderId="0" xfId="0" applyNumberFormat="1" applyFont="1" applyAlignment="1">
      <alignment horizontal="center"/>
    </xf>
    <xf numFmtId="0" fontId="5" fillId="0" borderId="0" xfId="0" applyFont="1">
      <alignment vertical="top"/>
    </xf>
    <xf numFmtId="0" fontId="6" fillId="0" borderId="0" xfId="0" applyFont="1">
      <alignment vertical="top"/>
    </xf>
    <xf numFmtId="0" fontId="6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2" fontId="5" fillId="0" borderId="0" xfId="0" applyNumberFormat="1" applyFont="1" applyAlignment="1">
      <alignment horizontal="center"/>
    </xf>
    <xf numFmtId="0" fontId="2" fillId="0" borderId="2" xfId="0" applyFont="1" applyBorder="1">
      <alignment vertical="top"/>
    </xf>
    <xf numFmtId="0" fontId="2" fillId="0" borderId="3" xfId="0" applyFont="1" applyBorder="1" applyAlignment="1">
      <alignment vertical="top"/>
    </xf>
    <xf numFmtId="0" fontId="2" fillId="0" borderId="3" xfId="0" applyFont="1" applyBorder="1" applyAlignment="1">
      <alignment horizontal="center" vertical="top"/>
    </xf>
    <xf numFmtId="0" fontId="2" fillId="0" borderId="3" xfId="0" applyFont="1" applyBorder="1" applyAlignment="1">
      <alignment vertical="top" wrapText="1"/>
    </xf>
    <xf numFmtId="0" fontId="2" fillId="0" borderId="3" xfId="0" applyFont="1" applyBorder="1">
      <alignment vertical="top"/>
    </xf>
    <xf numFmtId="15" fontId="2" fillId="0" borderId="3" xfId="0" applyNumberFormat="1" applyFont="1" applyBorder="1" applyAlignment="1">
      <alignment horizontal="center" vertical="top"/>
    </xf>
    <xf numFmtId="0" fontId="7" fillId="0" borderId="2" xfId="0" applyFont="1" applyBorder="1" applyAlignment="1">
      <alignment vertical="top"/>
    </xf>
    <xf numFmtId="0" fontId="7" fillId="0" borderId="2" xfId="0" applyFont="1" applyBorder="1" applyAlignment="1">
      <alignment horizontal="center" vertical="top"/>
    </xf>
    <xf numFmtId="0" fontId="7" fillId="0" borderId="2" xfId="0" applyFont="1" applyBorder="1" applyAlignment="1">
      <alignment vertical="top" wrapText="1"/>
    </xf>
    <xf numFmtId="0" fontId="7" fillId="0" borderId="2" xfId="0" applyFont="1" applyBorder="1">
      <alignment vertical="top"/>
    </xf>
    <xf numFmtId="0" fontId="7" fillId="0" borderId="3" xfId="0" applyFont="1" applyBorder="1" applyAlignment="1">
      <alignment vertical="top"/>
    </xf>
    <xf numFmtId="15" fontId="7" fillId="0" borderId="3" xfId="0" applyNumberFormat="1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3" xfId="0" applyFont="1" applyBorder="1" applyAlignment="1">
      <alignment vertical="top" wrapText="1"/>
    </xf>
    <xf numFmtId="0" fontId="7" fillId="0" borderId="3" xfId="0" applyFont="1" applyBorder="1">
      <alignment vertical="top"/>
    </xf>
    <xf numFmtId="164" fontId="7" fillId="0" borderId="3" xfId="0" applyNumberFormat="1" applyFont="1" applyBorder="1" applyAlignment="1">
      <alignment vertical="top"/>
    </xf>
    <xf numFmtId="0" fontId="8" fillId="0" borderId="2" xfId="0" applyFont="1" applyBorder="1" applyAlignment="1">
      <alignment vertical="top"/>
    </xf>
    <xf numFmtId="0" fontId="7" fillId="0" borderId="0" xfId="0" applyFont="1" applyBorder="1" applyAlignment="1">
      <alignment vertical="top"/>
    </xf>
    <xf numFmtId="0" fontId="7" fillId="0" borderId="0" xfId="0" applyFont="1" applyBorder="1" applyAlignment="1">
      <alignment horizontal="center" vertical="top"/>
    </xf>
    <xf numFmtId="0" fontId="7" fillId="0" borderId="0" xfId="0" applyFont="1" applyBorder="1" applyAlignment="1">
      <alignment vertical="top" wrapText="1"/>
    </xf>
    <xf numFmtId="0" fontId="7" fillId="0" borderId="0" xfId="0" applyFont="1" applyBorder="1">
      <alignment vertical="top"/>
    </xf>
    <xf numFmtId="0" fontId="2" fillId="0" borderId="0" xfId="0" applyFont="1" applyBorder="1">
      <alignment vertical="top"/>
    </xf>
    <xf numFmtId="0" fontId="8" fillId="0" borderId="0" xfId="0" applyFont="1" applyAlignment="1">
      <alignment horizontal="right"/>
    </xf>
    <xf numFmtId="15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0" fontId="10" fillId="0" borderId="0" xfId="0" applyFont="1" applyAlignment="1">
      <alignment horizontal="right"/>
    </xf>
    <xf numFmtId="15" fontId="7" fillId="0" borderId="0" xfId="0" applyNumberFormat="1" applyFont="1" applyAlignment="1"/>
    <xf numFmtId="15" fontId="8" fillId="0" borderId="0" xfId="0" applyNumberFormat="1" applyFont="1" applyAlignment="1"/>
    <xf numFmtId="15" fontId="10" fillId="0" borderId="0" xfId="0" applyNumberFormat="1" applyFont="1" applyAlignment="1"/>
    <xf numFmtId="0" fontId="10" fillId="0" borderId="0" xfId="0" applyFont="1" applyAlignment="1"/>
    <xf numFmtId="0" fontId="8" fillId="0" borderId="0" xfId="0" applyFont="1" applyAlignment="1"/>
    <xf numFmtId="2" fontId="8" fillId="0" borderId="0" xfId="0" applyNumberFormat="1" applyFont="1" applyAlignment="1"/>
    <xf numFmtId="2" fontId="10" fillId="0" borderId="0" xfId="0" applyNumberFormat="1" applyFont="1" applyAlignment="1"/>
    <xf numFmtId="2" fontId="0" fillId="0" borderId="0" xfId="0" applyNumberFormat="1" applyAlignment="1"/>
    <xf numFmtId="0" fontId="8" fillId="0" borderId="0" xfId="0" applyFont="1" applyAlignment="1">
      <alignment horizontal="center"/>
    </xf>
    <xf numFmtId="0" fontId="8" fillId="0" borderId="0" xfId="0" applyFont="1">
      <alignment vertical="top"/>
    </xf>
    <xf numFmtId="0" fontId="2" fillId="0" borderId="2" xfId="0" applyFont="1" applyBorder="1" applyAlignment="1">
      <alignment horizontal="center" vertical="top"/>
    </xf>
    <xf numFmtId="0" fontId="8" fillId="0" borderId="0" xfId="0" applyFont="1" applyBorder="1" applyAlignment="1">
      <alignment horizontal="center" vertical="top"/>
    </xf>
    <xf numFmtId="15" fontId="7" fillId="0" borderId="0" xfId="0" applyNumberFormat="1" applyFont="1">
      <alignment vertical="top"/>
    </xf>
    <xf numFmtId="15" fontId="7" fillId="0" borderId="0" xfId="0" applyNumberFormat="1" applyFont="1" applyAlignment="1">
      <alignment textRotation="90"/>
    </xf>
    <xf numFmtId="15" fontId="8" fillId="0" borderId="0" xfId="0" applyNumberFormat="1" applyFont="1">
      <alignment vertical="top"/>
    </xf>
    <xf numFmtId="15" fontId="10" fillId="0" borderId="0" xfId="0" applyNumberFormat="1" applyFont="1">
      <alignment vertical="top"/>
    </xf>
    <xf numFmtId="0" fontId="10" fillId="0" borderId="0" xfId="0" applyFont="1">
      <alignment vertical="top"/>
    </xf>
    <xf numFmtId="0" fontId="10" fillId="0" borderId="0" xfId="0" applyFont="1" applyAlignment="1">
      <alignment textRotation="90"/>
    </xf>
    <xf numFmtId="2" fontId="8" fillId="0" borderId="0" xfId="0" applyNumberFormat="1" applyFont="1">
      <alignment vertical="top"/>
    </xf>
    <xf numFmtId="166" fontId="10" fillId="0" borderId="0" xfId="0" applyNumberFormat="1" applyFont="1">
      <alignment vertical="top"/>
    </xf>
    <xf numFmtId="0" fontId="10" fillId="0" borderId="0" xfId="0" applyFont="1" applyAlignment="1">
      <alignment horizontal="right" vertical="top"/>
    </xf>
    <xf numFmtId="166" fontId="8" fillId="0" borderId="0" xfId="0" applyNumberFormat="1" applyFont="1">
      <alignment vertical="top"/>
    </xf>
    <xf numFmtId="0" fontId="0" fillId="0" borderId="0" xfId="0" applyAlignment="1">
      <alignment horizontal="right"/>
    </xf>
    <xf numFmtId="2" fontId="8" fillId="0" borderId="0" xfId="0" applyNumberFormat="1" applyFont="1" applyAlignment="1">
      <alignment horizontal="right"/>
    </xf>
    <xf numFmtId="2" fontId="8" fillId="0" borderId="0" xfId="0" applyNumberFormat="1" applyFont="1" applyAlignment="1">
      <alignment horizontal="right" vertical="top"/>
    </xf>
    <xf numFmtId="0" fontId="8" fillId="0" borderId="0" xfId="0" applyFont="1" applyAlignment="1">
      <alignment horizontal="right" vertical="top"/>
    </xf>
    <xf numFmtId="15" fontId="11" fillId="0" borderId="0" xfId="0" applyNumberFormat="1" applyFont="1" applyAlignment="1">
      <alignment horizontal="left"/>
    </xf>
    <xf numFmtId="0" fontId="11" fillId="0" borderId="0" xfId="0" applyFont="1">
      <alignment vertical="top"/>
    </xf>
    <xf numFmtId="0" fontId="11" fillId="0" borderId="0" xfId="0" applyFont="1" applyAlignment="1">
      <alignment horizontal="center"/>
    </xf>
    <xf numFmtId="0" fontId="8" fillId="2" borderId="4" xfId="0" applyFont="1" applyFill="1" applyBorder="1">
      <alignment vertical="top"/>
    </xf>
    <xf numFmtId="0" fontId="0" fillId="3" borderId="1" xfId="0" applyFill="1" applyBorder="1">
      <alignment vertical="top"/>
    </xf>
    <xf numFmtId="0" fontId="0" fillId="4" borderId="1" xfId="0" applyFill="1" applyBorder="1">
      <alignment vertical="top"/>
    </xf>
    <xf numFmtId="0" fontId="12" fillId="0" borderId="0" xfId="0" applyFont="1">
      <alignment vertical="top"/>
    </xf>
    <xf numFmtId="167" fontId="12" fillId="5" borderId="0" xfId="0" applyNumberFormat="1" applyFont="1" applyFill="1">
      <alignment vertical="top"/>
    </xf>
    <xf numFmtId="0" fontId="7" fillId="4" borderId="5" xfId="0" applyFont="1" applyFill="1" applyBorder="1">
      <alignment vertical="top"/>
    </xf>
    <xf numFmtId="0" fontId="7" fillId="4" borderId="6" xfId="0" applyFont="1" applyFill="1" applyBorder="1">
      <alignment vertical="top"/>
    </xf>
    <xf numFmtId="0" fontId="0" fillId="2" borderId="0" xfId="0" applyFill="1" applyAlignment="1">
      <alignment horizontal="right" vertical="top"/>
    </xf>
    <xf numFmtId="10" fontId="10" fillId="0" borderId="0" xfId="1" applyNumberFormat="1" applyFont="1" applyAlignment="1">
      <alignment vertical="top"/>
    </xf>
    <xf numFmtId="166" fontId="8" fillId="6" borderId="0" xfId="0" applyNumberFormat="1" applyFont="1" applyFill="1">
      <alignment vertical="top"/>
    </xf>
    <xf numFmtId="0" fontId="8" fillId="2" borderId="0" xfId="0" applyFont="1" applyFill="1">
      <alignment vertical="top"/>
    </xf>
    <xf numFmtId="0" fontId="7" fillId="0" borderId="0" xfId="0" applyFont="1" applyBorder="1" applyAlignment="1">
      <alignment horizontal="left" vertical="top" wrapText="1"/>
    </xf>
    <xf numFmtId="0" fontId="7" fillId="0" borderId="3" xfId="0" applyFont="1" applyBorder="1" applyAlignment="1">
      <alignment horizontal="left" vertical="top" wrapText="1"/>
    </xf>
    <xf numFmtId="0" fontId="2" fillId="0" borderId="3" xfId="0" applyFont="1" applyBorder="1" applyAlignment="1">
      <alignment horizontal="left" vertical="top" wrapText="1"/>
    </xf>
    <xf numFmtId="0" fontId="2" fillId="0" borderId="2" xfId="0" applyFont="1" applyBorder="1" applyAlignment="1">
      <alignment horizontal="left" vertical="top" wrapText="1"/>
    </xf>
    <xf numFmtId="0" fontId="8" fillId="0" borderId="0" xfId="0" applyFont="1" applyBorder="1" applyAlignment="1">
      <alignment horizontal="left" vertical="top" wrapText="1"/>
    </xf>
    <xf numFmtId="9" fontId="10" fillId="0" borderId="0" xfId="1" applyFont="1" applyAlignment="1">
      <alignment vertical="top"/>
    </xf>
    <xf numFmtId="0" fontId="7" fillId="0" borderId="1" xfId="0" applyFont="1" applyBorder="1" applyAlignment="1">
      <alignment vertical="top" wrapText="1"/>
    </xf>
    <xf numFmtId="0" fontId="8" fillId="0" borderId="2" xfId="0" applyFont="1" applyBorder="1" applyAlignment="1">
      <alignment horizontal="center" vertical="top"/>
    </xf>
    <xf numFmtId="0" fontId="5" fillId="0" borderId="0" xfId="0" applyFont="1" applyAlignment="1">
      <alignment horizontal="center" vertical="top"/>
    </xf>
    <xf numFmtId="0" fontId="7" fillId="0" borderId="1" xfId="0" quotePrefix="1" applyFont="1" applyBorder="1" applyAlignment="1">
      <alignment vertical="top" wrapText="1"/>
    </xf>
    <xf numFmtId="0" fontId="14" fillId="0" borderId="0" xfId="0" applyFont="1">
      <alignment vertical="top"/>
    </xf>
    <xf numFmtId="1" fontId="2" fillId="0" borderId="0" xfId="0" applyNumberFormat="1" applyFont="1">
      <alignment vertical="top"/>
    </xf>
    <xf numFmtId="168" fontId="5" fillId="0" borderId="0" xfId="0" applyNumberFormat="1" applyFont="1" applyAlignment="1">
      <alignment horizontal="center" vertical="top"/>
    </xf>
    <xf numFmtId="10" fontId="0" fillId="0" borderId="0" xfId="0" applyNumberFormat="1" applyAlignment="1"/>
    <xf numFmtId="9" fontId="8" fillId="0" borderId="0" xfId="0" applyNumberFormat="1" applyFont="1">
      <alignment vertical="top"/>
    </xf>
    <xf numFmtId="164" fontId="17" fillId="0" borderId="2" xfId="0" applyNumberFormat="1" applyFont="1" applyBorder="1" applyAlignment="1">
      <alignment horizontal="center" vertical="top"/>
    </xf>
    <xf numFmtId="15" fontId="17" fillId="0" borderId="2" xfId="0" applyNumberFormat="1" applyFont="1" applyBorder="1" applyAlignment="1">
      <alignment horizontal="center" vertical="top"/>
    </xf>
    <xf numFmtId="0" fontId="17" fillId="0" borderId="2" xfId="0" applyFont="1" applyBorder="1" applyAlignment="1">
      <alignment vertical="top" wrapText="1"/>
    </xf>
    <xf numFmtId="0" fontId="17" fillId="0" borderId="2" xfId="0" applyFont="1" applyBorder="1" applyAlignment="1">
      <alignment horizontal="center" vertical="top"/>
    </xf>
    <xf numFmtId="0" fontId="17" fillId="0" borderId="2" xfId="0" applyFont="1" applyBorder="1" applyAlignment="1">
      <alignment vertical="top"/>
    </xf>
    <xf numFmtId="0" fontId="17" fillId="0" borderId="2" xfId="0" applyFont="1" applyBorder="1" applyAlignment="1">
      <alignment horizontal="left" vertical="top" wrapText="1"/>
    </xf>
    <xf numFmtId="165" fontId="17" fillId="0" borderId="2" xfId="0" applyNumberFormat="1" applyFont="1" applyBorder="1" applyAlignment="1">
      <alignment vertical="top" wrapText="1"/>
    </xf>
    <xf numFmtId="0" fontId="17" fillId="0" borderId="2" xfId="0" applyFont="1" applyBorder="1">
      <alignment vertical="top"/>
    </xf>
    <xf numFmtId="0" fontId="10" fillId="0" borderId="0" xfId="0" applyFont="1" applyFill="1">
      <alignment vertical="top"/>
    </xf>
    <xf numFmtId="0" fontId="10" fillId="0" borderId="0" xfId="0" applyFont="1" applyFill="1" applyAlignment="1"/>
    <xf numFmtId="0" fontId="8" fillId="0" borderId="0" xfId="0" applyFont="1" applyFill="1">
      <alignment vertical="top"/>
    </xf>
    <xf numFmtId="2" fontId="10" fillId="0" borderId="0" xfId="0" applyNumberFormat="1" applyFont="1" applyFill="1">
      <alignment vertical="top"/>
    </xf>
    <xf numFmtId="0" fontId="13" fillId="0" borderId="0" xfId="0" applyFont="1" applyFill="1" applyBorder="1">
      <alignment vertical="top"/>
    </xf>
    <xf numFmtId="0" fontId="0" fillId="0" borderId="0" xfId="0" applyFont="1">
      <alignment vertical="top"/>
    </xf>
    <xf numFmtId="14" fontId="0" fillId="0" borderId="0" xfId="0" applyNumberFormat="1" applyAlignment="1"/>
    <xf numFmtId="0" fontId="10" fillId="0" borderId="0" xfId="0" applyFont="1" applyAlignment="1">
      <alignment horizontal="center" vertical="top"/>
    </xf>
    <xf numFmtId="2" fontId="10" fillId="0" borderId="0" xfId="0" applyNumberFormat="1" applyFont="1" applyAlignment="1">
      <alignment horizontal="center" vertical="top"/>
    </xf>
    <xf numFmtId="0" fontId="10" fillId="0" borderId="0" xfId="0" applyFont="1" applyAlignment="1">
      <alignment horizontal="left" vertical="top"/>
    </xf>
    <xf numFmtId="1" fontId="10" fillId="0" borderId="0" xfId="0" applyNumberFormat="1" applyFont="1" applyAlignment="1">
      <alignment horizontal="center" vertical="top"/>
    </xf>
    <xf numFmtId="0" fontId="14" fillId="0" borderId="0" xfId="0" applyFont="1" applyAlignment="1">
      <alignment horizontal="center" vertical="top"/>
    </xf>
    <xf numFmtId="0" fontId="18" fillId="0" borderId="0" xfId="0" applyFont="1" applyAlignment="1">
      <alignment horizontal="center" vertical="top"/>
    </xf>
    <xf numFmtId="2" fontId="18" fillId="0" borderId="0" xfId="0" applyNumberFormat="1" applyFont="1" applyAlignment="1">
      <alignment horizontal="center" vertical="top"/>
    </xf>
    <xf numFmtId="0" fontId="18" fillId="0" borderId="0" xfId="0" applyFont="1" applyAlignment="1">
      <alignment horizontal="left" vertical="top"/>
    </xf>
    <xf numFmtId="0" fontId="19" fillId="0" borderId="0" xfId="0" applyFont="1">
      <alignment vertical="top"/>
    </xf>
    <xf numFmtId="0" fontId="0" fillId="0" borderId="0" xfId="0" applyFont="1" applyFill="1">
      <alignment vertical="top"/>
    </xf>
    <xf numFmtId="0" fontId="15" fillId="7" borderId="7" xfId="0" applyFont="1" applyFill="1" applyBorder="1" applyAlignment="1">
      <alignment horizontal="center" vertical="top" wrapText="1"/>
    </xf>
    <xf numFmtId="15" fontId="15" fillId="7" borderId="7" xfId="0" applyNumberFormat="1" applyFont="1" applyFill="1" applyBorder="1" applyAlignment="1">
      <alignment horizontal="center" vertical="top" wrapText="1"/>
    </xf>
    <xf numFmtId="0" fontId="15" fillId="7" borderId="7" xfId="0" applyFont="1" applyFill="1" applyBorder="1" applyAlignment="1">
      <alignment vertical="top" wrapText="1"/>
    </xf>
    <xf numFmtId="0" fontId="15" fillId="7" borderId="7" xfId="0" applyFont="1" applyFill="1" applyBorder="1" applyAlignment="1">
      <alignment horizontal="left" vertical="top" wrapText="1"/>
    </xf>
    <xf numFmtId="0" fontId="15" fillId="7" borderId="7" xfId="0" applyFont="1" applyFill="1" applyBorder="1" applyAlignment="1">
      <alignment horizontal="right" vertical="top" wrapText="1"/>
    </xf>
    <xf numFmtId="0" fontId="16" fillId="0" borderId="7" xfId="0" applyFont="1" applyBorder="1">
      <alignment vertical="top"/>
    </xf>
    <xf numFmtId="0" fontId="9" fillId="0" borderId="7" xfId="0" applyFont="1" applyBorder="1">
      <alignment vertical="top"/>
    </xf>
    <xf numFmtId="15" fontId="17" fillId="0" borderId="3" xfId="0" applyNumberFormat="1" applyFont="1" applyBorder="1" applyAlignment="1">
      <alignment horizontal="center" vertical="top"/>
    </xf>
    <xf numFmtId="0" fontId="17" fillId="0" borderId="3" xfId="0" applyFont="1" applyBorder="1" applyAlignment="1">
      <alignment vertical="top" wrapText="1"/>
    </xf>
    <xf numFmtId="0" fontId="17" fillId="0" borderId="3" xfId="0" applyFont="1" applyBorder="1" applyAlignment="1">
      <alignment horizontal="center" vertical="top"/>
    </xf>
    <xf numFmtId="0" fontId="17" fillId="0" borderId="3" xfId="0" applyFont="1" applyBorder="1" applyAlignment="1">
      <alignment vertical="top"/>
    </xf>
    <xf numFmtId="0" fontId="17" fillId="0" borderId="3" xfId="0" applyFont="1" applyBorder="1" applyAlignment="1">
      <alignment horizontal="left" vertical="top" wrapText="1"/>
    </xf>
    <xf numFmtId="165" fontId="17" fillId="0" borderId="3" xfId="0" applyNumberFormat="1" applyFont="1" applyBorder="1" applyAlignment="1">
      <alignment vertical="top" wrapText="1"/>
    </xf>
    <xf numFmtId="0" fontId="17" fillId="0" borderId="3" xfId="0" applyFont="1" applyBorder="1">
      <alignment vertical="top"/>
    </xf>
    <xf numFmtId="165" fontId="0" fillId="0" borderId="0" xfId="0" applyNumberFormat="1" applyFont="1" applyAlignment="1">
      <alignment horizontal="right" vertical="top"/>
    </xf>
    <xf numFmtId="0" fontId="0" fillId="0" borderId="0" xfId="0" applyFont="1" applyAlignment="1">
      <alignment horizontal="right" vertical="top"/>
    </xf>
    <xf numFmtId="2" fontId="0" fillId="0" borderId="0" xfId="0" applyNumberFormat="1" applyFont="1" applyAlignment="1">
      <alignment horizontal="right"/>
    </xf>
    <xf numFmtId="0" fontId="0" fillId="0" borderId="0" xfId="0" applyFont="1" applyAlignment="1">
      <alignment horizontal="right"/>
    </xf>
    <xf numFmtId="0" fontId="0" fillId="0" borderId="0" xfId="0" applyNumberFormat="1" applyFont="1">
      <alignment vertical="top"/>
    </xf>
    <xf numFmtId="2" fontId="0" fillId="0" borderId="0" xfId="0" applyNumberFormat="1" applyFont="1" applyAlignment="1">
      <alignment horizontal="right" vertical="top"/>
    </xf>
    <xf numFmtId="0" fontId="0" fillId="0" borderId="0" xfId="0" applyFont="1" applyAlignment="1">
      <alignment horizontal="center" vertical="top"/>
    </xf>
    <xf numFmtId="0" fontId="20" fillId="0" borderId="0" xfId="0" applyFont="1" applyAlignment="1">
      <alignment horizontal="left" vertical="top"/>
    </xf>
    <xf numFmtId="0" fontId="20" fillId="0" borderId="0" xfId="0" applyFont="1" applyAlignment="1">
      <alignment horizontal="center" vertical="top"/>
    </xf>
    <xf numFmtId="0" fontId="20" fillId="0" borderId="0" xfId="0" applyNumberFormat="1" applyFont="1" applyAlignment="1">
      <alignment horizontal="center" vertical="top"/>
    </xf>
    <xf numFmtId="0" fontId="21" fillId="0" borderId="0" xfId="0" applyFont="1">
      <alignment vertical="top"/>
    </xf>
    <xf numFmtId="0" fontId="21" fillId="0" borderId="0" xfId="0" applyFont="1" applyAlignment="1">
      <alignment horizontal="left" vertical="top"/>
    </xf>
    <xf numFmtId="0" fontId="21" fillId="0" borderId="0" xfId="0" applyFont="1" applyAlignment="1">
      <alignment horizontal="center" vertical="top"/>
    </xf>
    <xf numFmtId="0" fontId="21" fillId="0" borderId="0" xfId="0" applyNumberFormat="1" applyFont="1" applyAlignment="1">
      <alignment horizontal="center" vertical="top"/>
    </xf>
    <xf numFmtId="2" fontId="20" fillId="0" borderId="0" xfId="0" applyNumberFormat="1" applyFont="1" applyAlignment="1">
      <alignment horizontal="center" vertical="top"/>
    </xf>
    <xf numFmtId="2" fontId="21" fillId="0" borderId="0" xfId="0" applyNumberFormat="1" applyFont="1" applyAlignment="1">
      <alignment horizontal="center"/>
    </xf>
    <xf numFmtId="14" fontId="17" fillId="0" borderId="2" xfId="0" applyNumberFormat="1" applyFont="1" applyBorder="1" applyAlignment="1">
      <alignment vertical="top" wrapText="1"/>
    </xf>
    <xf numFmtId="0" fontId="17" fillId="0" borderId="2" xfId="0" applyNumberFormat="1" applyFont="1" applyBorder="1" applyAlignment="1">
      <alignment vertical="top" wrapText="1"/>
    </xf>
    <xf numFmtId="165" fontId="7" fillId="0" borderId="0" xfId="0" applyNumberFormat="1" applyFont="1" applyBorder="1" applyAlignment="1">
      <alignment vertical="top" wrapText="1"/>
    </xf>
    <xf numFmtId="0" fontId="16" fillId="0" borderId="2" xfId="0" applyFont="1" applyBorder="1" applyAlignment="1">
      <alignment horizontal="left" vertical="top" wrapText="1"/>
    </xf>
    <xf numFmtId="169" fontId="2" fillId="0" borderId="3" xfId="1" applyNumberFormat="1" applyFont="1" applyBorder="1" applyAlignment="1">
      <alignment vertical="top"/>
    </xf>
    <xf numFmtId="0" fontId="22" fillId="8" borderId="8" xfId="2" applyAlignment="1">
      <alignment vertical="top"/>
    </xf>
    <xf numFmtId="16" fontId="22" fillId="8" borderId="8" xfId="2" applyNumberFormat="1" applyAlignment="1">
      <alignment horizontal="center" vertical="top"/>
    </xf>
    <xf numFmtId="0" fontId="0" fillId="0" borderId="3" xfId="0" applyFont="1" applyBorder="1" applyAlignment="1">
      <alignment vertical="top" wrapText="1"/>
    </xf>
    <xf numFmtId="0" fontId="0" fillId="0" borderId="0" xfId="0" applyFont="1" applyAlignment="1"/>
    <xf numFmtId="0" fontId="14" fillId="0" borderId="0" xfId="0" applyFont="1" applyFill="1" applyAlignment="1">
      <alignment horizontal="center" vertical="top"/>
    </xf>
    <xf numFmtId="2" fontId="18" fillId="0" borderId="0" xfId="0" applyNumberFormat="1" applyFont="1" applyFill="1" applyAlignment="1">
      <alignment horizontal="center" vertical="top"/>
    </xf>
    <xf numFmtId="169" fontId="0" fillId="0" borderId="0" xfId="1" applyNumberFormat="1" applyFont="1" applyAlignment="1">
      <alignment horizontal="center"/>
    </xf>
    <xf numFmtId="16" fontId="14" fillId="0" borderId="0" xfId="0" applyNumberFormat="1" applyFont="1">
      <alignment vertical="top"/>
    </xf>
    <xf numFmtId="166" fontId="10" fillId="0" borderId="0" xfId="1" applyNumberFormat="1" applyFont="1" applyAlignment="1">
      <alignment vertical="top"/>
    </xf>
    <xf numFmtId="0" fontId="0" fillId="0" borderId="0" xfId="0" pivotButton="1">
      <alignment vertical="top"/>
    </xf>
    <xf numFmtId="0" fontId="0" fillId="0" borderId="0" xfId="0" applyAlignment="1">
      <alignment horizontal="left" vertical="top"/>
    </xf>
    <xf numFmtId="0" fontId="0" fillId="0" borderId="0" xfId="0" applyNumberFormat="1">
      <alignment vertical="top"/>
    </xf>
    <xf numFmtId="0" fontId="0" fillId="0" borderId="0" xfId="0" applyFill="1">
      <alignment vertical="top"/>
    </xf>
    <xf numFmtId="15" fontId="7" fillId="10" borderId="0" xfId="0" applyNumberFormat="1" applyFont="1" applyFill="1" applyAlignment="1"/>
    <xf numFmtId="0" fontId="10" fillId="10" borderId="0" xfId="0" applyFont="1" applyFill="1" applyAlignment="1"/>
    <xf numFmtId="0" fontId="10" fillId="10" borderId="0" xfId="0" applyFont="1" applyFill="1" applyAlignment="1">
      <alignment horizontal="right"/>
    </xf>
    <xf numFmtId="165" fontId="10" fillId="10" borderId="0" xfId="0" applyNumberFormat="1" applyFont="1" applyFill="1" applyAlignment="1"/>
    <xf numFmtId="0" fontId="8" fillId="10" borderId="0" xfId="0" applyFont="1" applyFill="1" applyAlignment="1"/>
    <xf numFmtId="0" fontId="0" fillId="11" borderId="10" xfId="3" applyFont="1" applyAlignment="1">
      <alignment vertical="top"/>
    </xf>
    <xf numFmtId="16" fontId="0" fillId="0" borderId="0" xfId="0" applyNumberFormat="1" applyAlignment="1"/>
    <xf numFmtId="166" fontId="14" fillId="0" borderId="0" xfId="0" applyNumberFormat="1" applyFont="1">
      <alignment vertical="top"/>
    </xf>
    <xf numFmtId="166" fontId="0" fillId="0" borderId="0" xfId="0" applyNumberFormat="1">
      <alignment vertical="top"/>
    </xf>
    <xf numFmtId="0" fontId="24" fillId="9" borderId="0" xfId="0" applyFont="1" applyFill="1">
      <alignment vertical="top"/>
    </xf>
    <xf numFmtId="0" fontId="24" fillId="0" borderId="0" xfId="0" applyFont="1" applyBorder="1" applyAlignment="1">
      <alignment horizontal="left" vertical="top"/>
    </xf>
    <xf numFmtId="0" fontId="24" fillId="0" borderId="0" xfId="0" applyFont="1" applyBorder="1" applyAlignment="1">
      <alignment horizontal="center" vertical="top"/>
    </xf>
    <xf numFmtId="0" fontId="25" fillId="0" borderId="0" xfId="0" applyFont="1">
      <alignment vertical="top"/>
    </xf>
    <xf numFmtId="0" fontId="24" fillId="0" borderId="0" xfId="0" applyNumberFormat="1" applyFont="1" applyBorder="1" applyAlignment="1">
      <alignment horizontal="center" vertical="top"/>
    </xf>
    <xf numFmtId="0" fontId="24" fillId="0" borderId="0" xfId="0" applyFont="1" applyBorder="1">
      <alignment vertical="top"/>
    </xf>
    <xf numFmtId="0" fontId="25" fillId="0" borderId="0" xfId="0" applyFont="1" applyBorder="1">
      <alignment vertical="top"/>
    </xf>
    <xf numFmtId="166" fontId="25" fillId="0" borderId="0" xfId="0" applyNumberFormat="1" applyFont="1" applyBorder="1">
      <alignment vertical="top"/>
    </xf>
    <xf numFmtId="0" fontId="25" fillId="0" borderId="0" xfId="0" applyFont="1" applyBorder="1" applyAlignment="1">
      <alignment horizontal="left" vertical="top"/>
    </xf>
    <xf numFmtId="0" fontId="25" fillId="0" borderId="0" xfId="0" applyFont="1" applyBorder="1" applyAlignment="1">
      <alignment horizontal="center" vertical="top"/>
    </xf>
    <xf numFmtId="0" fontId="25" fillId="0" borderId="0" xfId="0" applyNumberFormat="1" applyFont="1" applyBorder="1" applyAlignment="1">
      <alignment horizontal="center" vertical="top"/>
    </xf>
    <xf numFmtId="2" fontId="24" fillId="0" borderId="0" xfId="0" applyNumberFormat="1" applyFont="1" applyBorder="1" applyAlignment="1">
      <alignment horizontal="center" vertical="top"/>
    </xf>
    <xf numFmtId="2" fontId="25" fillId="0" borderId="0" xfId="0" applyNumberFormat="1" applyFont="1" applyBorder="1" applyAlignment="1">
      <alignment horizontal="center"/>
    </xf>
    <xf numFmtId="0" fontId="25" fillId="0" borderId="0" xfId="0" applyFont="1" applyAlignment="1">
      <alignment horizontal="center" vertical="top"/>
    </xf>
    <xf numFmtId="165" fontId="17" fillId="12" borderId="2" xfId="0" applyNumberFormat="1" applyFont="1" applyFill="1" applyBorder="1" applyAlignment="1">
      <alignment vertical="top" wrapText="1"/>
    </xf>
    <xf numFmtId="0" fontId="17" fillId="12" borderId="2" xfId="0" applyFont="1" applyFill="1" applyBorder="1">
      <alignment vertical="top"/>
    </xf>
    <xf numFmtId="165" fontId="17" fillId="12" borderId="3" xfId="0" applyNumberFormat="1" applyFont="1" applyFill="1" applyBorder="1" applyAlignment="1">
      <alignment vertical="top" wrapText="1"/>
    </xf>
    <xf numFmtId="0" fontId="17" fillId="12" borderId="3" xfId="0" applyFont="1" applyFill="1" applyBorder="1">
      <alignment vertical="top"/>
    </xf>
    <xf numFmtId="0" fontId="26" fillId="0" borderId="0" xfId="0" applyFont="1">
      <alignment vertical="top"/>
    </xf>
    <xf numFmtId="2" fontId="2" fillId="0" borderId="3" xfId="0" applyNumberFormat="1" applyFont="1" applyBorder="1">
      <alignment vertical="top"/>
    </xf>
    <xf numFmtId="0" fontId="25" fillId="0" borderId="0" xfId="0" applyFont="1" applyFill="1" applyBorder="1" applyAlignment="1">
      <alignment horizontal="center" vertical="top"/>
    </xf>
    <xf numFmtId="2" fontId="24" fillId="0" borderId="0" xfId="0" applyNumberFormat="1" applyFont="1" applyFill="1" applyBorder="1" applyAlignment="1">
      <alignment horizontal="center" vertical="top"/>
    </xf>
    <xf numFmtId="0" fontId="25" fillId="0" borderId="0" xfId="0" applyFont="1" applyFill="1" applyBorder="1" applyAlignment="1">
      <alignment horizontal="left" vertical="top"/>
    </xf>
    <xf numFmtId="0" fontId="25" fillId="0" borderId="0" xfId="0" applyNumberFormat="1" applyFont="1" applyFill="1" applyBorder="1" applyAlignment="1">
      <alignment horizontal="center" vertical="top"/>
    </xf>
    <xf numFmtId="2" fontId="25" fillId="0" borderId="0" xfId="0" applyNumberFormat="1" applyFont="1" applyFill="1" applyBorder="1" applyAlignment="1">
      <alignment horizontal="center"/>
    </xf>
    <xf numFmtId="16" fontId="25" fillId="0" borderId="0" xfId="0" applyNumberFormat="1" applyFont="1" applyBorder="1" applyAlignment="1">
      <alignment horizontal="center" vertical="top"/>
    </xf>
    <xf numFmtId="0" fontId="25" fillId="0" borderId="0" xfId="0" applyFont="1" applyFill="1" applyBorder="1">
      <alignment vertical="top"/>
    </xf>
    <xf numFmtId="0" fontId="24" fillId="9" borderId="0" xfId="0" applyFont="1" applyFill="1" applyBorder="1">
      <alignment vertical="top"/>
    </xf>
    <xf numFmtId="0" fontId="25" fillId="0" borderId="0" xfId="0" applyFont="1" applyBorder="1" applyAlignment="1">
      <alignment horizontal="right" vertical="top"/>
    </xf>
    <xf numFmtId="0" fontId="24" fillId="9" borderId="0" xfId="0" applyFont="1" applyFill="1" applyAlignment="1">
      <alignment horizontal="center" vertical="top"/>
    </xf>
    <xf numFmtId="2" fontId="25" fillId="0" borderId="0" xfId="0" applyNumberFormat="1" applyFont="1" applyAlignment="1">
      <alignment horizontal="center" vertical="top"/>
    </xf>
    <xf numFmtId="170" fontId="0" fillId="0" borderId="0" xfId="0" applyNumberFormat="1" applyAlignment="1"/>
    <xf numFmtId="0" fontId="0" fillId="0" borderId="0" xfId="0" applyAlignment="1">
      <alignment horizontal="center" vertical="top"/>
    </xf>
    <xf numFmtId="0" fontId="24" fillId="9" borderId="0" xfId="0" applyFont="1" applyFill="1" applyBorder="1" applyAlignment="1">
      <alignment horizontal="center" vertical="top"/>
    </xf>
    <xf numFmtId="0" fontId="27" fillId="13" borderId="0" xfId="4" applyAlignment="1"/>
    <xf numFmtId="16" fontId="0" fillId="0" borderId="0" xfId="0" applyNumberFormat="1">
      <alignment vertical="top"/>
    </xf>
    <xf numFmtId="16" fontId="25" fillId="0" borderId="0" xfId="0" applyNumberFormat="1" applyFont="1" applyAlignment="1">
      <alignment horizontal="center" vertical="top"/>
    </xf>
    <xf numFmtId="165" fontId="28" fillId="12" borderId="2" xfId="0" applyNumberFormat="1" applyFont="1" applyFill="1" applyBorder="1" applyAlignment="1">
      <alignment vertical="top" wrapText="1"/>
    </xf>
    <xf numFmtId="0" fontId="28" fillId="12" borderId="2" xfId="0" applyFont="1" applyFill="1" applyBorder="1">
      <alignment vertical="top"/>
    </xf>
    <xf numFmtId="0" fontId="23" fillId="9" borderId="0" xfId="0" applyFont="1" applyFill="1" applyBorder="1" applyAlignment="1">
      <alignment horizontal="center" vertical="center"/>
    </xf>
    <xf numFmtId="0" fontId="23" fillId="9" borderId="9" xfId="0" applyFont="1" applyFill="1" applyBorder="1" applyAlignment="1">
      <alignment horizontal="center" vertical="center"/>
    </xf>
    <xf numFmtId="0" fontId="0" fillId="18" borderId="0" xfId="0" applyFont="1" applyFill="1" applyAlignment="1">
      <alignment horizontal="center" vertical="top"/>
    </xf>
    <xf numFmtId="0" fontId="10" fillId="18" borderId="0" xfId="0" applyFont="1" applyFill="1" applyAlignment="1">
      <alignment horizontal="center" vertical="top"/>
    </xf>
    <xf numFmtId="0" fontId="0" fillId="16" borderId="0" xfId="0" applyFont="1" applyFill="1" applyAlignment="1">
      <alignment horizontal="center" vertical="top"/>
    </xf>
    <xf numFmtId="0" fontId="0" fillId="15" borderId="0" xfId="0" applyFont="1" applyFill="1" applyAlignment="1">
      <alignment horizontal="center" vertical="top"/>
    </xf>
    <xf numFmtId="0" fontId="0" fillId="14" borderId="0" xfId="0" applyFont="1" applyFill="1" applyAlignment="1">
      <alignment horizontal="center" vertical="top"/>
    </xf>
    <xf numFmtId="0" fontId="0" fillId="9" borderId="0" xfId="0" applyFont="1" applyFill="1" applyAlignment="1">
      <alignment horizontal="center" vertical="top"/>
    </xf>
    <xf numFmtId="0" fontId="0" fillId="17" borderId="0" xfId="0" applyFont="1" applyFill="1" applyAlignment="1">
      <alignment horizontal="center" vertical="top"/>
    </xf>
    <xf numFmtId="0" fontId="10" fillId="17" borderId="0" xfId="0" applyFont="1" applyFill="1" applyAlignment="1">
      <alignment horizontal="center" vertical="top"/>
    </xf>
    <xf numFmtId="0" fontId="24" fillId="9" borderId="0" xfId="0" applyFont="1" applyFill="1" applyBorder="1" applyAlignment="1">
      <alignment horizontal="center" vertical="top"/>
    </xf>
  </cellXfs>
  <cellStyles count="5">
    <cellStyle name="Bad" xfId="4" builtinId="27"/>
    <cellStyle name="Calculation" xfId="2" builtinId="22"/>
    <cellStyle name="Normal" xfId="0" builtinId="0"/>
    <cellStyle name="Note" xfId="3" builtinId="10"/>
    <cellStyle name="Percent" xfId="1" builtinId="5"/>
  </cellStyles>
  <dxfs count="17"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3"/>
      </font>
      <fill>
        <patternFill>
          <bgColor indexed="16"/>
        </patternFill>
      </fill>
    </dxf>
    <dxf>
      <fill>
        <patternFill>
          <bgColor theme="6" tint="0.39994506668294322"/>
        </patternFill>
      </fill>
    </dxf>
    <dxf>
      <font>
        <condense val="0"/>
        <extend val="0"/>
        <color indexed="13"/>
      </font>
      <fill>
        <patternFill>
          <bgColor indexed="16"/>
        </patternFill>
      </fill>
    </dxf>
    <dxf>
      <font>
        <condense val="0"/>
        <extend val="0"/>
        <color indexed="60"/>
      </font>
    </dxf>
    <dxf>
      <font>
        <condense val="0"/>
        <extend val="0"/>
        <color indexed="60"/>
      </font>
    </dxf>
    <dxf>
      <font>
        <condense val="0"/>
        <extend val="0"/>
        <color indexed="6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8.emf"/><Relationship Id="rId1" Type="http://schemas.openxmlformats.org/officeDocument/2006/relationships/image" Target="../media/image7.emf"/><Relationship Id="rId6" Type="http://schemas.openxmlformats.org/officeDocument/2006/relationships/image" Target="../media/image12.emf"/><Relationship Id="rId5" Type="http://schemas.openxmlformats.org/officeDocument/2006/relationships/image" Target="../media/image11.emf"/><Relationship Id="rId4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91</xdr:row>
          <xdr:rowOff>47625</xdr:rowOff>
        </xdr:from>
        <xdr:to>
          <xdr:col>13</xdr:col>
          <xdr:colOff>209550</xdr:colOff>
          <xdr:row>117</xdr:row>
          <xdr:rowOff>47625</xdr:rowOff>
        </xdr:to>
        <xdr:pic>
          <xdr:nvPicPr>
            <xdr:cNvPr id="4" name="Picture 3"/>
            <xdr:cNvPicPr>
              <a:picLocks noChangeAspect="1" noChangeArrowheads="1"/>
              <a:extLst>
                <a:ext uri="{84589F7E-364E-4C9E-8A38-B11213B215E9}">
                  <a14:cameraTool cellRange="$T$1:$AD$26" spid="_x0000_s1314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90500" y="13049250"/>
              <a:ext cx="5133975" cy="371475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104775</xdr:colOff>
          <xdr:row>91</xdr:row>
          <xdr:rowOff>47625</xdr:rowOff>
        </xdr:from>
        <xdr:to>
          <xdr:col>15</xdr:col>
          <xdr:colOff>104775</xdr:colOff>
          <xdr:row>100</xdr:row>
          <xdr:rowOff>57150</xdr:rowOff>
        </xdr:to>
        <xdr:pic>
          <xdr:nvPicPr>
            <xdr:cNvPr id="5" name="Picture 4"/>
            <xdr:cNvPicPr>
              <a:picLocks noChangeAspect="1" noChangeArrowheads="1"/>
              <a:extLst>
                <a:ext uri="{84589F7E-364E-4C9E-8A38-B11213B215E9}">
                  <a14:cameraTool cellRange="$AI$1:$AJ$9" spid="_x0000_s13142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5219700" y="13049250"/>
              <a:ext cx="866775" cy="12954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285750</xdr:colOff>
          <xdr:row>91</xdr:row>
          <xdr:rowOff>47625</xdr:rowOff>
        </xdr:from>
        <xdr:to>
          <xdr:col>20</xdr:col>
          <xdr:colOff>9525</xdr:colOff>
          <xdr:row>118</xdr:row>
          <xdr:rowOff>57150</xdr:rowOff>
        </xdr:to>
        <xdr:pic>
          <xdr:nvPicPr>
            <xdr:cNvPr id="6" name="Picture 5"/>
            <xdr:cNvPicPr>
              <a:picLocks noChangeAspect="1" noChangeArrowheads="1"/>
              <a:extLst>
                <a:ext uri="{84589F7E-364E-4C9E-8A38-B11213B215E9}">
                  <a14:cameraTool cellRange="$AL$1:$AM$27" spid="_x0000_s13143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6267450" y="13049250"/>
              <a:ext cx="1190625" cy="386715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190500</xdr:colOff>
          <xdr:row>91</xdr:row>
          <xdr:rowOff>47625</xdr:rowOff>
        </xdr:from>
        <xdr:to>
          <xdr:col>22</xdr:col>
          <xdr:colOff>609600</xdr:colOff>
          <xdr:row>112</xdr:row>
          <xdr:rowOff>47625</xdr:rowOff>
        </xdr:to>
        <xdr:pic>
          <xdr:nvPicPr>
            <xdr:cNvPr id="7" name="Picture 6"/>
            <xdr:cNvPicPr>
              <a:picLocks noChangeAspect="1" noChangeArrowheads="1"/>
              <a:extLst>
                <a:ext uri="{84589F7E-364E-4C9E-8A38-B11213B215E9}">
                  <a14:cameraTool cellRange="$AF$1:$AG$21" spid="_x0000_s13144"/>
                </a:ext>
              </a:extLst>
            </xdr:cNvPicPr>
          </xdr:nvPicPr>
          <xdr:blipFill>
            <a:blip xmlns:r="http://schemas.openxmlformats.org/officeDocument/2006/relationships" r:embed="rId4"/>
            <a:srcRect/>
            <a:stretch>
              <a:fillRect/>
            </a:stretch>
          </xdr:blipFill>
          <xdr:spPr bwMode="auto">
            <a:xfrm>
              <a:off x="7639050" y="13049250"/>
              <a:ext cx="1095375" cy="300037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101</xdr:row>
          <xdr:rowOff>66675</xdr:rowOff>
        </xdr:from>
        <xdr:to>
          <xdr:col>15</xdr:col>
          <xdr:colOff>238125</xdr:colOff>
          <xdr:row>106</xdr:row>
          <xdr:rowOff>76200</xdr:rowOff>
        </xdr:to>
        <xdr:pic>
          <xdr:nvPicPr>
            <xdr:cNvPr id="8" name="Picture 7"/>
            <xdr:cNvPicPr>
              <a:picLocks noChangeAspect="1" noChangeArrowheads="1"/>
              <a:extLst>
                <a:ext uri="{84589F7E-364E-4C9E-8A38-B11213B215E9}">
                  <a14:cameraTool cellRange="$AR$1:$AS$5" spid="_x0000_s13145"/>
                </a:ext>
              </a:extLst>
            </xdr:cNvPicPr>
          </xdr:nvPicPr>
          <xdr:blipFill>
            <a:blip xmlns:r="http://schemas.openxmlformats.org/officeDocument/2006/relationships" r:embed="rId5"/>
            <a:srcRect/>
            <a:stretch>
              <a:fillRect/>
            </a:stretch>
          </xdr:blipFill>
          <xdr:spPr bwMode="auto">
            <a:xfrm>
              <a:off x="5143500" y="14497050"/>
              <a:ext cx="1076325" cy="7239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118</xdr:row>
          <xdr:rowOff>28575</xdr:rowOff>
        </xdr:from>
        <xdr:to>
          <xdr:col>9</xdr:col>
          <xdr:colOff>85725</xdr:colOff>
          <xdr:row>134</xdr:row>
          <xdr:rowOff>28575</xdr:rowOff>
        </xdr:to>
        <xdr:pic>
          <xdr:nvPicPr>
            <xdr:cNvPr id="10" name="Picture 9"/>
            <xdr:cNvPicPr>
              <a:picLocks noChangeAspect="1" noChangeArrowheads="1"/>
              <a:extLst>
                <a:ext uri="{84589F7E-364E-4C9E-8A38-B11213B215E9}">
                  <a14:cameraTool cellRange="$AU$1:$AZ$16" spid="_x0000_s13146"/>
                </a:ext>
              </a:extLst>
            </xdr:cNvPicPr>
          </xdr:nvPicPr>
          <xdr:blipFill>
            <a:blip xmlns:r="http://schemas.openxmlformats.org/officeDocument/2006/relationships" r:embed="rId6"/>
            <a:srcRect/>
            <a:stretch>
              <a:fillRect/>
            </a:stretch>
          </xdr:blipFill>
          <xdr:spPr bwMode="auto">
            <a:xfrm>
              <a:off x="180975" y="16887825"/>
              <a:ext cx="3143250" cy="22860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ike Woodhouse" refreshedDate="44831.79400011574" createdVersion="5" refreshedVersion="5" minRefreshableVersion="3" recordCount="17">
  <cacheSource type="worksheet">
    <worksheetSource ref="A1:B18" sheet="Capts"/>
  </cacheSource>
  <cacheFields count="2">
    <cacheField name="Res" numFmtId="0">
      <sharedItems containsSemiMixedTypes="0" containsString="0" containsNumber="1" containsInteger="1" minValue="0" maxValue="0" count="1">
        <n v="0"/>
      </sharedItems>
    </cacheField>
    <cacheField name="Capt" numFmtId="0">
      <sharedItems count="6">
        <e v="#N/A"/>
        <s v="Greenall D" u="1"/>
        <s v="Seymour C" u="1"/>
        <s v="Springer T" u="1"/>
        <s v="Brocks D" u="1"/>
        <s v="Sharpe D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"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D9:F12" firstHeaderRow="1" firstDataRow="2" firstDataCol="1"/>
  <pivotFields count="2">
    <pivotField axis="axisCol" dataField="1" showAll="0">
      <items count="2">
        <item x="0"/>
        <item t="default"/>
      </items>
    </pivotField>
    <pivotField axis="axisRow" showAll="0">
      <items count="7">
        <item m="1" x="1"/>
        <item m="1" x="5"/>
        <item m="1" x="3"/>
        <item x="0"/>
        <item m="1" x="4"/>
        <item m="1" x="2"/>
        <item t="default"/>
      </items>
    </pivotField>
  </pivotFields>
  <rowFields count="1">
    <field x="1"/>
  </rowFields>
  <rowItems count="2">
    <i>
      <x v="3"/>
    </i>
    <i t="grand">
      <x/>
    </i>
  </rowItems>
  <colFields count="1">
    <field x="0"/>
  </colFields>
  <colItems count="2">
    <i>
      <x/>
    </i>
    <i t="grand">
      <x/>
    </i>
  </colItems>
  <dataFields count="1">
    <dataField name="Count of Res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Classic">
      <a:majorFont>
        <a:latin typeface="Arial"/>
        <a:ea typeface=""/>
        <a:cs typeface=""/>
        <a:font script="Jpan" typeface="ＭＳ Ｐゴシック"/>
        <a:font script="Hang" typeface="돋움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Times New Roman"/>
        <a:ea typeface=""/>
        <a:cs typeface=""/>
        <a:font script="Jpan" typeface="ＭＳ Ｐ明朝"/>
        <a:font script="Hang" typeface="바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H58"/>
  <sheetViews>
    <sheetView workbookViewId="0">
      <selection activeCell="P23" sqref="P23:T23"/>
    </sheetView>
  </sheetViews>
  <sheetFormatPr defaultRowHeight="11.25" x14ac:dyDescent="0.15"/>
  <cols>
    <col min="1" max="1" width="7" style="23" bestFit="1" customWidth="1"/>
    <col min="2" max="2" width="11.7109375" style="27" customWidth="1"/>
    <col min="3" max="3" width="19.85546875" style="25" bestFit="1" customWidth="1"/>
    <col min="4" max="4" width="6.42578125" style="24" customWidth="1"/>
    <col min="5" max="5" width="9.140625" style="24" bestFit="1" customWidth="1"/>
    <col min="6" max="6" width="6.28515625" style="24" customWidth="1"/>
    <col min="7" max="7" width="5.42578125" style="23" bestFit="1" customWidth="1"/>
    <col min="8" max="8" width="5.5703125" style="24" bestFit="1" customWidth="1"/>
    <col min="9" max="9" width="9.7109375" style="24" hidden="1" customWidth="1"/>
    <col min="10" max="10" width="33.5703125" style="90" customWidth="1"/>
    <col min="11" max="11" width="5.42578125" style="23" bestFit="1" customWidth="1"/>
    <col min="12" max="12" width="5.5703125" style="24" bestFit="1" customWidth="1"/>
    <col min="13" max="13" width="6.42578125" style="24" hidden="1" customWidth="1"/>
    <col min="14" max="14" width="31.7109375" style="25" customWidth="1"/>
    <col min="15" max="16" width="7.42578125" style="25" customWidth="1"/>
    <col min="17" max="17" width="8" style="26" bestFit="1" customWidth="1"/>
    <col min="18" max="24" width="5.7109375" style="26" customWidth="1"/>
    <col min="25" max="26" width="6" style="26" customWidth="1"/>
    <col min="27" max="30" width="9.140625" style="26"/>
    <col min="31" max="31" width="14.7109375" style="26" bestFit="1" customWidth="1"/>
    <col min="32" max="16384" width="9.140625" style="26"/>
  </cols>
  <sheetData>
    <row r="1" spans="1:34" s="22" customFormat="1" ht="12.75" customHeight="1" x14ac:dyDescent="0.15">
      <c r="A1" s="224">
        <v>2022</v>
      </c>
      <c r="B1" s="224"/>
      <c r="C1" s="38" t="str">
        <f t="array" ref="C1">"Won :"&amp;SUM(IF($E$5:$E$40="W",1,0))</f>
        <v>Won :12</v>
      </c>
      <c r="D1" s="38" t="str">
        <f t="array" ref="D1">"Lost: "&amp;SUM(IF($E$5:$E$40="L",1,0))</f>
        <v>Lost: 7</v>
      </c>
      <c r="E1" s="38" t="str">
        <f t="array" ref="E1">"Drawn: "&amp;SUM(IF($E$5:$E$40="D",1,0))</f>
        <v>Drawn: 1</v>
      </c>
      <c r="F1" s="59" t="str">
        <f t="array" ref="F1">"Tied: "&amp;SUM(IF($E$5:$E$40="T",1,0))</f>
        <v>Tied: 0</v>
      </c>
      <c r="G1" s="95" t="str">
        <f t="array" ref="G1">"N/D: "&amp;SUM(IF($E$5:$E$40="ND",1,0))</f>
        <v>N/D: 1</v>
      </c>
      <c r="H1" s="58"/>
      <c r="J1" s="91"/>
      <c r="K1" s="28"/>
      <c r="L1" s="29"/>
      <c r="M1" s="29"/>
      <c r="N1" s="30"/>
      <c r="O1" s="30"/>
      <c r="P1" s="30"/>
      <c r="Q1" s="31"/>
      <c r="R1" s="31"/>
      <c r="S1" s="31"/>
      <c r="T1" s="31"/>
      <c r="U1" s="31"/>
      <c r="V1" s="31"/>
      <c r="W1" s="31"/>
      <c r="X1" s="31"/>
    </row>
    <row r="2" spans="1:34" s="43" customFormat="1" x14ac:dyDescent="0.15">
      <c r="A2" s="224"/>
      <c r="B2" s="224"/>
      <c r="E2" s="40"/>
      <c r="F2" s="40"/>
      <c r="H2" s="59"/>
      <c r="J2" s="92"/>
      <c r="K2" s="39"/>
      <c r="L2" s="40"/>
      <c r="M2" s="40"/>
      <c r="N2" s="41" t="s">
        <v>190</v>
      </c>
      <c r="O2" s="41"/>
      <c r="P2" s="41"/>
      <c r="Q2" s="42"/>
      <c r="R2" s="42"/>
      <c r="S2" s="42"/>
      <c r="T2" s="42"/>
      <c r="U2" s="42"/>
      <c r="V2" s="42"/>
      <c r="W2" s="42"/>
      <c r="X2" s="42"/>
      <c r="Z2" s="43" t="s">
        <v>181</v>
      </c>
      <c r="AA2" s="43" t="e">
        <f>MAX(AA5:AA32)</f>
        <v>#N/A</v>
      </c>
      <c r="AB2" s="43" t="e">
        <f>MAX(AB5:AB32)</f>
        <v>#N/A</v>
      </c>
    </row>
    <row r="3" spans="1:34" s="43" customFormat="1" ht="12" thickBot="1" x14ac:dyDescent="0.2">
      <c r="A3" s="225"/>
      <c r="B3" s="225"/>
      <c r="D3" s="40"/>
      <c r="E3" s="40"/>
      <c r="F3" s="40"/>
      <c r="G3" s="39"/>
      <c r="H3" s="40"/>
      <c r="I3" s="39"/>
      <c r="J3" s="88"/>
      <c r="K3" s="39"/>
      <c r="L3" s="40"/>
      <c r="M3" s="40"/>
      <c r="N3" s="41" t="s">
        <v>191</v>
      </c>
      <c r="O3" s="160">
        <f>MAX(O5:O23)</f>
        <v>41</v>
      </c>
      <c r="P3" s="160">
        <f>MAX(P5:P23)</f>
        <v>40</v>
      </c>
      <c r="Q3" s="42"/>
      <c r="R3" s="42"/>
      <c r="S3" s="42"/>
      <c r="T3" s="42"/>
      <c r="U3" s="42"/>
      <c r="V3" s="42"/>
      <c r="W3" s="42"/>
      <c r="X3" s="42"/>
      <c r="Z3" s="43" t="s">
        <v>182</v>
      </c>
      <c r="AA3" s="43" t="e">
        <f t="array" ref="AA3">MIN(IF(AA5:AA32=0,99999,AA5:AA32))</f>
        <v>#N/A</v>
      </c>
      <c r="AB3" s="43" t="e">
        <f t="array" ref="AB3">MIN(IF(AB5:AB32&lt;=0,99999,AB5:AB32))</f>
        <v>#N/A</v>
      </c>
      <c r="AF3" s="43">
        <f>SUM(AF5:AF32)</f>
        <v>10</v>
      </c>
      <c r="AG3" s="43">
        <f>SUM(AG5:AG32)</f>
        <v>3</v>
      </c>
    </row>
    <row r="4" spans="1:34" s="134" customFormat="1" ht="31.5" x14ac:dyDescent="0.15">
      <c r="A4" s="128" t="s">
        <v>118</v>
      </c>
      <c r="B4" s="129" t="s">
        <v>0</v>
      </c>
      <c r="C4" s="130" t="s">
        <v>1</v>
      </c>
      <c r="D4" s="128" t="s">
        <v>2</v>
      </c>
      <c r="E4" s="128" t="s">
        <v>3</v>
      </c>
      <c r="F4" s="128" t="s">
        <v>141</v>
      </c>
      <c r="G4" s="130" t="s">
        <v>9</v>
      </c>
      <c r="H4" s="128" t="s">
        <v>32</v>
      </c>
      <c r="I4" s="128" t="s">
        <v>99</v>
      </c>
      <c r="J4" s="131"/>
      <c r="K4" s="130" t="s">
        <v>9</v>
      </c>
      <c r="L4" s="128" t="s">
        <v>32</v>
      </c>
      <c r="M4" s="128" t="s">
        <v>99</v>
      </c>
      <c r="N4" s="130"/>
      <c r="O4" s="130" t="s">
        <v>162</v>
      </c>
      <c r="P4" s="130" t="s">
        <v>163</v>
      </c>
      <c r="Q4" s="130" t="s">
        <v>100</v>
      </c>
      <c r="R4" s="132" t="s">
        <v>101</v>
      </c>
      <c r="S4" s="132" t="s">
        <v>102</v>
      </c>
      <c r="T4" s="132" t="s">
        <v>103</v>
      </c>
      <c r="U4" s="132" t="s">
        <v>104</v>
      </c>
      <c r="V4" s="132" t="s">
        <v>105</v>
      </c>
      <c r="W4" s="132" t="s">
        <v>106</v>
      </c>
      <c r="X4" s="132" t="s">
        <v>107</v>
      </c>
      <c r="Y4" s="132" t="s">
        <v>108</v>
      </c>
      <c r="Z4" s="132" t="s">
        <v>109</v>
      </c>
      <c r="AA4" s="133" t="s">
        <v>175</v>
      </c>
      <c r="AB4" s="133" t="s">
        <v>176</v>
      </c>
      <c r="AC4" s="133" t="s">
        <v>177</v>
      </c>
      <c r="AD4" s="133" t="s">
        <v>178</v>
      </c>
      <c r="AE4" s="134" t="s">
        <v>197</v>
      </c>
      <c r="AF4" s="134" t="s">
        <v>207</v>
      </c>
      <c r="AG4" s="134" t="s">
        <v>208</v>
      </c>
    </row>
    <row r="5" spans="1:34" s="22" customFormat="1" x14ac:dyDescent="0.15">
      <c r="A5" s="103" t="str">
        <f t="shared" ref="A5:A32" si="0">TEXT(WEEKDAY(B5),"ddd")</f>
        <v>Sun</v>
      </c>
      <c r="B5" s="104">
        <v>44675</v>
      </c>
      <c r="C5" s="105" t="s">
        <v>269</v>
      </c>
      <c r="D5" s="106" t="s">
        <v>292</v>
      </c>
      <c r="E5" s="106" t="s">
        <v>200</v>
      </c>
      <c r="F5" s="106" t="s">
        <v>1</v>
      </c>
      <c r="G5" s="107">
        <v>149</v>
      </c>
      <c r="H5" s="106">
        <v>7</v>
      </c>
      <c r="I5" s="106"/>
      <c r="J5" s="108" t="s">
        <v>385</v>
      </c>
      <c r="K5" s="107">
        <v>150</v>
      </c>
      <c r="L5" s="106">
        <v>8</v>
      </c>
      <c r="M5" s="106"/>
      <c r="N5" s="105" t="s">
        <v>373</v>
      </c>
      <c r="O5" s="109">
        <v>40</v>
      </c>
      <c r="P5" s="199">
        <v>40</v>
      </c>
      <c r="Q5" s="200">
        <v>18</v>
      </c>
      <c r="R5" s="200">
        <v>0</v>
      </c>
      <c r="S5" s="200">
        <v>1</v>
      </c>
      <c r="T5" s="200">
        <v>1</v>
      </c>
      <c r="U5" s="110">
        <v>2</v>
      </c>
      <c r="V5" s="110">
        <v>0</v>
      </c>
      <c r="W5" s="110">
        <v>5</v>
      </c>
      <c r="X5" s="110">
        <v>3</v>
      </c>
      <c r="Y5" s="110">
        <f>SUM(Q5:T5)</f>
        <v>20</v>
      </c>
      <c r="Z5" s="110">
        <f>SUM(U5:X5)</f>
        <v>10</v>
      </c>
      <c r="AA5" s="110">
        <f t="shared" ref="AA5:AA19" si="1">IF(F5="TOCC",G5,K5)</f>
        <v>150</v>
      </c>
      <c r="AB5" s="110">
        <f t="shared" ref="AB5:AB19" si="2">IF(F5&lt;&gt;"TOCC",G5,K5)</f>
        <v>149</v>
      </c>
      <c r="AC5" s="141">
        <f t="shared" ref="AC5:AC19" si="3">IF(F5="TOCC",H5,L5)</f>
        <v>8</v>
      </c>
      <c r="AD5" s="110">
        <f t="shared" ref="AD5:AD19" si="4">IF(F5&lt;&gt;"TOCC",H5,L5)</f>
        <v>7</v>
      </c>
      <c r="AE5" s="162"/>
      <c r="AF5" s="22">
        <v>0</v>
      </c>
      <c r="AG5" s="22">
        <v>0</v>
      </c>
    </row>
    <row r="6" spans="1:34" x14ac:dyDescent="0.15">
      <c r="A6" s="103" t="str">
        <f t="shared" si="0"/>
        <v>Sun</v>
      </c>
      <c r="B6" s="135">
        <v>44682</v>
      </c>
      <c r="C6" s="136" t="s">
        <v>291</v>
      </c>
      <c r="D6" s="137" t="s">
        <v>292</v>
      </c>
      <c r="E6" s="137" t="s">
        <v>200</v>
      </c>
      <c r="F6" s="137" t="s">
        <v>198</v>
      </c>
      <c r="G6" s="138">
        <v>205</v>
      </c>
      <c r="H6" s="137">
        <v>9</v>
      </c>
      <c r="I6" s="137"/>
      <c r="J6" s="139" t="s">
        <v>403</v>
      </c>
      <c r="K6" s="138">
        <v>198</v>
      </c>
      <c r="L6" s="137">
        <v>5</v>
      </c>
      <c r="M6" s="137"/>
      <c r="N6" s="136"/>
      <c r="O6" s="140">
        <v>35</v>
      </c>
      <c r="P6" s="201">
        <v>35</v>
      </c>
      <c r="Q6" s="202">
        <v>8</v>
      </c>
      <c r="R6" s="202">
        <v>2</v>
      </c>
      <c r="S6" s="202">
        <v>2</v>
      </c>
      <c r="T6" s="202">
        <v>3</v>
      </c>
      <c r="U6" s="141">
        <v>10</v>
      </c>
      <c r="V6" s="141">
        <v>1</v>
      </c>
      <c r="W6" s="141">
        <v>6</v>
      </c>
      <c r="X6" s="141">
        <v>4</v>
      </c>
      <c r="Y6" s="110">
        <f t="shared" ref="Y6:Y26" si="5">SUM(Q6:T6)</f>
        <v>15</v>
      </c>
      <c r="Z6" s="110">
        <f t="shared" ref="Z6:Z26" si="6">SUM(U6:X6)</f>
        <v>21</v>
      </c>
      <c r="AA6" s="141">
        <f t="shared" si="1"/>
        <v>205</v>
      </c>
      <c r="AB6" s="141">
        <f t="shared" si="2"/>
        <v>198</v>
      </c>
      <c r="AC6" s="141">
        <f t="shared" si="3"/>
        <v>9</v>
      </c>
      <c r="AD6" s="141">
        <f t="shared" si="4"/>
        <v>5</v>
      </c>
      <c r="AE6" s="162"/>
      <c r="AF6" s="26">
        <v>2</v>
      </c>
      <c r="AG6" s="26">
        <v>1</v>
      </c>
      <c r="AH6" s="26" t="s">
        <v>454</v>
      </c>
    </row>
    <row r="7" spans="1:34" x14ac:dyDescent="0.15">
      <c r="A7" s="103" t="str">
        <f t="shared" si="0"/>
        <v>Sun</v>
      </c>
      <c r="B7" s="135">
        <v>44689</v>
      </c>
      <c r="C7" s="136" t="s">
        <v>392</v>
      </c>
      <c r="D7" s="137" t="s">
        <v>293</v>
      </c>
      <c r="E7" s="137" t="s">
        <v>428</v>
      </c>
      <c r="F7" s="137" t="s">
        <v>198</v>
      </c>
      <c r="G7" s="138">
        <v>245</v>
      </c>
      <c r="H7" s="137">
        <v>8</v>
      </c>
      <c r="I7" s="137"/>
      <c r="J7" s="139" t="s">
        <v>410</v>
      </c>
      <c r="K7" s="138">
        <v>179</v>
      </c>
      <c r="L7" s="137">
        <v>4</v>
      </c>
      <c r="M7" s="137"/>
      <c r="N7" s="136"/>
      <c r="O7" s="140">
        <v>41</v>
      </c>
      <c r="P7" s="201">
        <v>40</v>
      </c>
      <c r="Q7" s="202">
        <v>10</v>
      </c>
      <c r="R7" s="202">
        <v>5</v>
      </c>
      <c r="S7" s="202">
        <v>2</v>
      </c>
      <c r="T7" s="202">
        <v>3</v>
      </c>
      <c r="U7" s="141">
        <v>11</v>
      </c>
      <c r="V7" s="141">
        <v>8</v>
      </c>
      <c r="W7" s="141">
        <v>8</v>
      </c>
      <c r="X7" s="141">
        <v>1</v>
      </c>
      <c r="Y7" s="110">
        <f>SUM(Q7:X7)</f>
        <v>48</v>
      </c>
      <c r="Z7" s="110">
        <f t="shared" si="6"/>
        <v>28</v>
      </c>
      <c r="AA7" s="141">
        <f t="shared" si="1"/>
        <v>245</v>
      </c>
      <c r="AB7" s="141">
        <f t="shared" si="2"/>
        <v>179</v>
      </c>
      <c r="AC7" s="141">
        <f t="shared" si="3"/>
        <v>8</v>
      </c>
      <c r="AD7" s="141">
        <f t="shared" si="4"/>
        <v>4</v>
      </c>
      <c r="AE7" s="162"/>
      <c r="AF7" s="26">
        <v>0</v>
      </c>
      <c r="AG7" s="26">
        <v>0</v>
      </c>
    </row>
    <row r="8" spans="1:34" x14ac:dyDescent="0.15">
      <c r="A8" s="103" t="str">
        <f t="shared" si="0"/>
        <v>Sun</v>
      </c>
      <c r="B8" s="135">
        <v>44696</v>
      </c>
      <c r="C8" s="136" t="s">
        <v>384</v>
      </c>
      <c r="D8" s="137" t="s">
        <v>292</v>
      </c>
      <c r="E8" s="137" t="s">
        <v>200</v>
      </c>
      <c r="F8" s="137" t="s">
        <v>198</v>
      </c>
      <c r="G8" s="138">
        <v>192</v>
      </c>
      <c r="H8" s="137">
        <v>4</v>
      </c>
      <c r="I8" s="137"/>
      <c r="J8" s="139" t="s">
        <v>386</v>
      </c>
      <c r="K8" s="138">
        <v>143</v>
      </c>
      <c r="L8" s="137">
        <v>5</v>
      </c>
      <c r="M8" s="137"/>
      <c r="N8" s="136"/>
      <c r="O8" s="140">
        <v>35</v>
      </c>
      <c r="P8" s="201">
        <v>34.4</v>
      </c>
      <c r="Q8" s="202">
        <v>9</v>
      </c>
      <c r="R8" s="202">
        <v>0</v>
      </c>
      <c r="S8" s="202">
        <v>2</v>
      </c>
      <c r="T8" s="202">
        <v>0</v>
      </c>
      <c r="U8" s="141">
        <v>10</v>
      </c>
      <c r="V8" s="141">
        <v>0</v>
      </c>
      <c r="W8" s="141">
        <v>6</v>
      </c>
      <c r="X8" s="141">
        <v>0</v>
      </c>
      <c r="Y8" s="110">
        <f t="shared" si="5"/>
        <v>11</v>
      </c>
      <c r="Z8" s="110">
        <f t="shared" si="6"/>
        <v>16</v>
      </c>
      <c r="AA8" s="141">
        <f t="shared" si="1"/>
        <v>192</v>
      </c>
      <c r="AB8" s="141">
        <f t="shared" si="2"/>
        <v>143</v>
      </c>
      <c r="AC8" s="141">
        <f t="shared" si="3"/>
        <v>4</v>
      </c>
      <c r="AD8" s="141">
        <f t="shared" si="4"/>
        <v>5</v>
      </c>
      <c r="AE8" s="162"/>
      <c r="AF8" s="26">
        <v>1</v>
      </c>
      <c r="AG8" s="26">
        <v>0</v>
      </c>
      <c r="AH8" s="26" t="s">
        <v>196</v>
      </c>
    </row>
    <row r="9" spans="1:34" x14ac:dyDescent="0.15">
      <c r="A9" s="103" t="str">
        <f t="shared" si="0"/>
        <v>Sun</v>
      </c>
      <c r="B9" s="135">
        <v>44703</v>
      </c>
      <c r="C9" s="136" t="s">
        <v>393</v>
      </c>
      <c r="D9" s="137" t="s">
        <v>293</v>
      </c>
      <c r="E9" s="137" t="s">
        <v>200</v>
      </c>
      <c r="F9" s="137" t="s">
        <v>198</v>
      </c>
      <c r="G9" s="138">
        <v>207</v>
      </c>
      <c r="H9" s="137">
        <v>8</v>
      </c>
      <c r="I9" s="137"/>
      <c r="J9" s="139" t="s">
        <v>429</v>
      </c>
      <c r="K9" s="138">
        <v>72</v>
      </c>
      <c r="L9" s="137">
        <v>9</v>
      </c>
      <c r="M9" s="137"/>
      <c r="N9" s="136" t="s">
        <v>437</v>
      </c>
      <c r="O9" s="140">
        <v>40</v>
      </c>
      <c r="P9" s="201">
        <v>40</v>
      </c>
      <c r="Q9" s="202">
        <v>3</v>
      </c>
      <c r="R9" s="202">
        <v>1</v>
      </c>
      <c r="S9" s="202">
        <v>2</v>
      </c>
      <c r="T9" s="202">
        <v>0</v>
      </c>
      <c r="U9" s="141">
        <v>2</v>
      </c>
      <c r="V9" s="141">
        <v>0</v>
      </c>
      <c r="W9" s="141">
        <v>10</v>
      </c>
      <c r="X9" s="141">
        <v>3</v>
      </c>
      <c r="Y9" s="110">
        <f t="shared" si="5"/>
        <v>6</v>
      </c>
      <c r="Z9" s="110">
        <f t="shared" si="6"/>
        <v>15</v>
      </c>
      <c r="AA9" s="141">
        <f t="shared" si="1"/>
        <v>207</v>
      </c>
      <c r="AB9" s="141">
        <f t="shared" si="2"/>
        <v>72</v>
      </c>
      <c r="AC9" s="141">
        <f t="shared" si="3"/>
        <v>8</v>
      </c>
      <c r="AD9" s="141">
        <f t="shared" si="4"/>
        <v>9</v>
      </c>
      <c r="AE9" s="162"/>
      <c r="AF9" s="26">
        <v>0</v>
      </c>
      <c r="AG9" s="26">
        <v>0</v>
      </c>
    </row>
    <row r="10" spans="1:34" x14ac:dyDescent="0.15">
      <c r="A10" s="103" t="str">
        <f t="shared" si="0"/>
        <v>Fri</v>
      </c>
      <c r="B10" s="135">
        <v>44715</v>
      </c>
      <c r="C10" s="136" t="s">
        <v>219</v>
      </c>
      <c r="D10" s="137" t="s">
        <v>293</v>
      </c>
      <c r="E10" s="137" t="s">
        <v>308</v>
      </c>
      <c r="F10" s="137" t="s">
        <v>198</v>
      </c>
      <c r="G10" s="138">
        <v>164</v>
      </c>
      <c r="H10" s="137">
        <v>7</v>
      </c>
      <c r="I10" s="137"/>
      <c r="J10" s="139"/>
      <c r="K10" s="138"/>
      <c r="L10" s="137"/>
      <c r="M10" s="137"/>
      <c r="N10" s="136" t="s">
        <v>496</v>
      </c>
      <c r="O10" s="140">
        <v>35</v>
      </c>
      <c r="P10" s="201"/>
      <c r="Q10" s="202"/>
      <c r="R10" s="202"/>
      <c r="S10" s="202"/>
      <c r="T10" s="202"/>
      <c r="U10" s="141">
        <v>11</v>
      </c>
      <c r="V10" s="141">
        <v>3</v>
      </c>
      <c r="W10" s="141">
        <v>6</v>
      </c>
      <c r="X10" s="141">
        <v>3</v>
      </c>
      <c r="Y10" s="110">
        <f t="shared" si="5"/>
        <v>0</v>
      </c>
      <c r="Z10" s="110">
        <f t="shared" si="6"/>
        <v>23</v>
      </c>
      <c r="AA10" s="141">
        <f t="shared" si="1"/>
        <v>164</v>
      </c>
      <c r="AB10" s="141">
        <f t="shared" si="2"/>
        <v>0</v>
      </c>
      <c r="AC10" s="141">
        <f t="shared" si="3"/>
        <v>7</v>
      </c>
      <c r="AD10" s="141">
        <f t="shared" si="4"/>
        <v>0</v>
      </c>
      <c r="AE10" s="162"/>
      <c r="AF10" s="26">
        <v>0</v>
      </c>
      <c r="AG10" s="26">
        <v>0</v>
      </c>
    </row>
    <row r="11" spans="1:34" x14ac:dyDescent="0.15">
      <c r="A11" s="103" t="str">
        <f t="shared" si="0"/>
        <v>Thu</v>
      </c>
      <c r="B11" s="135">
        <v>44714</v>
      </c>
      <c r="C11" s="136" t="s">
        <v>238</v>
      </c>
      <c r="D11" s="137" t="s">
        <v>293</v>
      </c>
      <c r="E11" s="137" t="s">
        <v>200</v>
      </c>
      <c r="F11" s="137" t="s">
        <v>198</v>
      </c>
      <c r="G11" s="138">
        <v>198</v>
      </c>
      <c r="H11" s="137">
        <v>8</v>
      </c>
      <c r="I11" s="137"/>
      <c r="J11" s="139"/>
      <c r="K11" s="138">
        <v>152</v>
      </c>
      <c r="L11" s="137">
        <v>7</v>
      </c>
      <c r="M11" s="137"/>
      <c r="N11" s="136" t="s">
        <v>476</v>
      </c>
      <c r="O11" s="140">
        <v>35</v>
      </c>
      <c r="P11" s="201">
        <v>35</v>
      </c>
      <c r="Q11" s="202">
        <v>3</v>
      </c>
      <c r="R11" s="202">
        <v>1</v>
      </c>
      <c r="S11" s="202">
        <v>1</v>
      </c>
      <c r="T11" s="202">
        <v>2</v>
      </c>
      <c r="U11" s="141">
        <v>7</v>
      </c>
      <c r="V11" s="141">
        <v>4</v>
      </c>
      <c r="W11" s="141">
        <v>11</v>
      </c>
      <c r="X11" s="141">
        <v>4</v>
      </c>
      <c r="Y11" s="110">
        <f t="shared" si="5"/>
        <v>7</v>
      </c>
      <c r="Z11" s="110">
        <f t="shared" si="6"/>
        <v>26</v>
      </c>
      <c r="AA11" s="141">
        <f t="shared" si="1"/>
        <v>198</v>
      </c>
      <c r="AB11" s="141">
        <f t="shared" si="2"/>
        <v>152</v>
      </c>
      <c r="AC11" s="141">
        <f t="shared" si="3"/>
        <v>8</v>
      </c>
      <c r="AD11" s="141">
        <f t="shared" si="4"/>
        <v>7</v>
      </c>
      <c r="AE11" s="162"/>
      <c r="AF11" s="26">
        <v>1</v>
      </c>
      <c r="AG11" s="26">
        <v>0</v>
      </c>
      <c r="AH11" s="26" t="s">
        <v>454</v>
      </c>
    </row>
    <row r="12" spans="1:34" x14ac:dyDescent="0.15">
      <c r="A12" s="103" t="str">
        <f t="shared" si="0"/>
        <v>Sat</v>
      </c>
      <c r="B12" s="135">
        <v>44716</v>
      </c>
      <c r="C12" s="136" t="s">
        <v>270</v>
      </c>
      <c r="D12" s="137" t="s">
        <v>293</v>
      </c>
      <c r="E12" s="137" t="s">
        <v>199</v>
      </c>
      <c r="F12" s="137" t="s">
        <v>198</v>
      </c>
      <c r="G12" s="138">
        <v>146</v>
      </c>
      <c r="H12" s="137">
        <v>8</v>
      </c>
      <c r="I12" s="137"/>
      <c r="J12" s="139"/>
      <c r="K12" s="138">
        <v>152</v>
      </c>
      <c r="L12" s="137"/>
      <c r="M12" s="137"/>
      <c r="N12" s="139" t="s">
        <v>490</v>
      </c>
      <c r="O12" s="140">
        <v>35</v>
      </c>
      <c r="P12" s="201">
        <v>33.5</v>
      </c>
      <c r="Q12" s="202">
        <v>3</v>
      </c>
      <c r="R12" s="202">
        <v>0</v>
      </c>
      <c r="S12" s="202">
        <v>3</v>
      </c>
      <c r="T12" s="202">
        <v>0</v>
      </c>
      <c r="U12" s="141">
        <v>10</v>
      </c>
      <c r="V12" s="141">
        <v>4</v>
      </c>
      <c r="W12" s="141">
        <v>8</v>
      </c>
      <c r="X12" s="141">
        <v>5</v>
      </c>
      <c r="Y12" s="110">
        <f t="shared" si="5"/>
        <v>6</v>
      </c>
      <c r="Z12" s="110">
        <f t="shared" si="6"/>
        <v>27</v>
      </c>
      <c r="AA12" s="141">
        <f t="shared" si="1"/>
        <v>146</v>
      </c>
      <c r="AB12" s="141">
        <f t="shared" si="2"/>
        <v>152</v>
      </c>
      <c r="AC12" s="141">
        <f t="shared" si="3"/>
        <v>8</v>
      </c>
      <c r="AD12" s="141">
        <f t="shared" si="4"/>
        <v>0</v>
      </c>
      <c r="AE12" s="162"/>
      <c r="AF12" s="26">
        <v>0</v>
      </c>
      <c r="AG12" s="26">
        <v>0</v>
      </c>
    </row>
    <row r="13" spans="1:34" x14ac:dyDescent="0.15">
      <c r="A13" s="103" t="str">
        <f t="shared" si="0"/>
        <v>Sun</v>
      </c>
      <c r="B13" s="135">
        <v>44724</v>
      </c>
      <c r="C13" s="136" t="s">
        <v>290</v>
      </c>
      <c r="D13" s="137" t="s">
        <v>293</v>
      </c>
      <c r="E13" s="137" t="s">
        <v>200</v>
      </c>
      <c r="F13" s="137" t="s">
        <v>198</v>
      </c>
      <c r="G13" s="138">
        <v>261</v>
      </c>
      <c r="H13" s="137">
        <v>4</v>
      </c>
      <c r="I13" s="137"/>
      <c r="J13" s="139" t="s">
        <v>497</v>
      </c>
      <c r="K13" s="138">
        <v>129</v>
      </c>
      <c r="L13" s="137">
        <v>8</v>
      </c>
      <c r="M13" s="137"/>
      <c r="N13" s="136"/>
      <c r="O13" s="140">
        <v>35</v>
      </c>
      <c r="P13" s="201">
        <v>35</v>
      </c>
      <c r="Q13" s="202">
        <v>10</v>
      </c>
      <c r="R13" s="202">
        <v>7</v>
      </c>
      <c r="S13" s="202">
        <v>5</v>
      </c>
      <c r="T13" s="202">
        <v>1</v>
      </c>
      <c r="U13" s="141">
        <v>8</v>
      </c>
      <c r="V13" s="141">
        <v>5</v>
      </c>
      <c r="W13" s="141">
        <v>4</v>
      </c>
      <c r="X13" s="141">
        <v>0</v>
      </c>
      <c r="Y13" s="110">
        <f t="shared" si="5"/>
        <v>23</v>
      </c>
      <c r="Z13" s="110">
        <f t="shared" si="6"/>
        <v>17</v>
      </c>
      <c r="AA13" s="141">
        <f t="shared" si="1"/>
        <v>261</v>
      </c>
      <c r="AB13" s="141">
        <f t="shared" si="2"/>
        <v>129</v>
      </c>
      <c r="AC13" s="141">
        <f t="shared" si="3"/>
        <v>4</v>
      </c>
      <c r="AD13" s="141">
        <f t="shared" si="4"/>
        <v>8</v>
      </c>
      <c r="AE13" s="162"/>
      <c r="AF13" s="26">
        <v>1</v>
      </c>
      <c r="AG13" s="26">
        <v>0</v>
      </c>
      <c r="AH13" s="26" t="s">
        <v>196</v>
      </c>
    </row>
    <row r="14" spans="1:34" x14ac:dyDescent="0.15">
      <c r="A14" s="103" t="str">
        <f t="shared" si="0"/>
        <v>Sun</v>
      </c>
      <c r="B14" s="135">
        <v>44731</v>
      </c>
      <c r="C14" s="136" t="s">
        <v>511</v>
      </c>
      <c r="D14" s="137" t="s">
        <v>292</v>
      </c>
      <c r="E14" s="137" t="s">
        <v>199</v>
      </c>
      <c r="F14" s="137" t="s">
        <v>198</v>
      </c>
      <c r="G14" s="138">
        <v>189</v>
      </c>
      <c r="H14" s="137">
        <v>9</v>
      </c>
      <c r="I14" s="137"/>
      <c r="J14" s="139" t="s">
        <v>512</v>
      </c>
      <c r="K14" s="138">
        <v>190</v>
      </c>
      <c r="L14" s="137">
        <v>9</v>
      </c>
      <c r="M14" s="137"/>
      <c r="N14" s="136"/>
      <c r="O14" s="140">
        <v>40</v>
      </c>
      <c r="P14" s="201">
        <v>39.5</v>
      </c>
      <c r="Q14" s="202">
        <v>6</v>
      </c>
      <c r="R14" s="202">
        <v>2</v>
      </c>
      <c r="S14" s="202">
        <v>7</v>
      </c>
      <c r="T14" s="202">
        <v>1</v>
      </c>
      <c r="U14" s="141">
        <v>19</v>
      </c>
      <c r="V14" s="141">
        <v>6</v>
      </c>
      <c r="W14" s="141">
        <v>14</v>
      </c>
      <c r="X14" s="141">
        <v>1</v>
      </c>
      <c r="Y14" s="110">
        <f t="shared" si="5"/>
        <v>16</v>
      </c>
      <c r="Z14" s="110">
        <f t="shared" si="6"/>
        <v>40</v>
      </c>
      <c r="AA14" s="141">
        <f t="shared" si="1"/>
        <v>189</v>
      </c>
      <c r="AB14" s="141">
        <f t="shared" si="2"/>
        <v>190</v>
      </c>
      <c r="AC14" s="141">
        <f t="shared" si="3"/>
        <v>9</v>
      </c>
      <c r="AD14" s="141">
        <f t="shared" si="4"/>
        <v>9</v>
      </c>
      <c r="AE14" s="162"/>
      <c r="AF14" s="26">
        <v>0</v>
      </c>
      <c r="AG14" s="26">
        <v>1</v>
      </c>
    </row>
    <row r="15" spans="1:34" x14ac:dyDescent="0.15">
      <c r="A15" s="103" t="str">
        <f t="shared" si="0"/>
        <v>Sun</v>
      </c>
      <c r="B15" s="135">
        <v>44738</v>
      </c>
      <c r="C15" s="136" t="s">
        <v>535</v>
      </c>
      <c r="D15" s="137" t="s">
        <v>293</v>
      </c>
      <c r="E15" s="137" t="s">
        <v>200</v>
      </c>
      <c r="F15" s="137" t="s">
        <v>1</v>
      </c>
      <c r="G15" s="138">
        <v>100</v>
      </c>
      <c r="H15" s="137">
        <v>10</v>
      </c>
      <c r="I15" s="137"/>
      <c r="J15" s="139"/>
      <c r="K15" s="138">
        <v>101</v>
      </c>
      <c r="L15" s="137">
        <v>2</v>
      </c>
      <c r="M15" s="137"/>
      <c r="N15" s="136"/>
      <c r="O15" s="140">
        <v>14.2</v>
      </c>
      <c r="P15" s="201">
        <v>32.299999999999997</v>
      </c>
      <c r="Q15" s="202">
        <v>8</v>
      </c>
      <c r="R15" s="202">
        <v>6</v>
      </c>
      <c r="S15" s="202">
        <v>10</v>
      </c>
      <c r="T15" s="202">
        <v>0</v>
      </c>
      <c r="U15" s="141">
        <v>10</v>
      </c>
      <c r="V15" s="141">
        <v>1</v>
      </c>
      <c r="W15" s="141">
        <v>10</v>
      </c>
      <c r="X15" s="141">
        <v>1</v>
      </c>
      <c r="Y15" s="110">
        <f t="shared" si="5"/>
        <v>24</v>
      </c>
      <c r="Z15" s="110">
        <f t="shared" si="6"/>
        <v>22</v>
      </c>
      <c r="AA15" s="141">
        <f>IF(F15="TOCC",G15,K15)</f>
        <v>101</v>
      </c>
      <c r="AB15" s="141">
        <f>IF(F15&lt;&gt;"TOCC",G15,K15)</f>
        <v>100</v>
      </c>
      <c r="AC15" s="141">
        <f t="shared" si="3"/>
        <v>2</v>
      </c>
      <c r="AD15" s="141">
        <f t="shared" si="4"/>
        <v>10</v>
      </c>
      <c r="AE15" s="162"/>
      <c r="AF15" s="26">
        <v>0</v>
      </c>
      <c r="AG15" s="26">
        <v>0</v>
      </c>
    </row>
    <row r="16" spans="1:34" s="22" customFormat="1" x14ac:dyDescent="0.15">
      <c r="A16" s="103" t="str">
        <f t="shared" si="0"/>
        <v>Sun</v>
      </c>
      <c r="B16" s="104">
        <v>44745</v>
      </c>
      <c r="C16" s="105" t="s">
        <v>551</v>
      </c>
      <c r="D16" s="106" t="s">
        <v>293</v>
      </c>
      <c r="E16" s="106" t="s">
        <v>200</v>
      </c>
      <c r="F16" s="106" t="s">
        <v>1</v>
      </c>
      <c r="G16" s="107">
        <v>115</v>
      </c>
      <c r="H16" s="106">
        <v>10</v>
      </c>
      <c r="I16" s="106"/>
      <c r="J16" s="108" t="s">
        <v>552</v>
      </c>
      <c r="K16" s="138">
        <v>119</v>
      </c>
      <c r="L16" s="106">
        <v>4</v>
      </c>
      <c r="M16" s="106"/>
      <c r="N16" s="105" t="s">
        <v>553</v>
      </c>
      <c r="O16" s="109">
        <v>26.2</v>
      </c>
      <c r="P16" s="199">
        <v>18.399999999999999</v>
      </c>
      <c r="Q16" s="200">
        <v>15</v>
      </c>
      <c r="R16" s="200">
        <v>0</v>
      </c>
      <c r="S16" s="200">
        <v>4</v>
      </c>
      <c r="T16" s="200">
        <v>0</v>
      </c>
      <c r="U16" s="110">
        <v>1</v>
      </c>
      <c r="V16" s="110">
        <v>3</v>
      </c>
      <c r="W16" s="110">
        <v>13</v>
      </c>
      <c r="X16" s="110">
        <v>0</v>
      </c>
      <c r="Y16" s="110">
        <f t="shared" si="5"/>
        <v>19</v>
      </c>
      <c r="Z16" s="110">
        <f t="shared" si="6"/>
        <v>17</v>
      </c>
      <c r="AA16" s="110">
        <f t="shared" si="1"/>
        <v>119</v>
      </c>
      <c r="AB16" s="110">
        <f t="shared" si="2"/>
        <v>115</v>
      </c>
      <c r="AC16" s="110">
        <f t="shared" si="3"/>
        <v>4</v>
      </c>
      <c r="AD16" s="110">
        <f t="shared" si="4"/>
        <v>10</v>
      </c>
      <c r="AE16" s="162"/>
      <c r="AF16" s="22">
        <v>0</v>
      </c>
      <c r="AG16" s="22">
        <v>0</v>
      </c>
    </row>
    <row r="17" spans="1:34" x14ac:dyDescent="0.15">
      <c r="A17" s="103" t="str">
        <f t="shared" si="0"/>
        <v>Sun</v>
      </c>
      <c r="B17" s="104">
        <v>44752</v>
      </c>
      <c r="C17" s="136" t="s">
        <v>566</v>
      </c>
      <c r="D17" s="106" t="s">
        <v>293</v>
      </c>
      <c r="E17" s="106" t="s">
        <v>200</v>
      </c>
      <c r="F17" s="106" t="s">
        <v>1</v>
      </c>
      <c r="G17" s="107">
        <v>210</v>
      </c>
      <c r="H17" s="106">
        <v>7</v>
      </c>
      <c r="I17" s="106"/>
      <c r="J17" s="108"/>
      <c r="K17" s="138">
        <v>211</v>
      </c>
      <c r="L17" s="106">
        <v>8</v>
      </c>
      <c r="M17" s="106"/>
      <c r="N17" s="105"/>
      <c r="O17" s="109">
        <v>39.299999999999997</v>
      </c>
      <c r="P17" s="199">
        <v>40</v>
      </c>
      <c r="Q17" s="200">
        <v>4</v>
      </c>
      <c r="R17" s="200">
        <v>5</v>
      </c>
      <c r="S17" s="200">
        <v>14</v>
      </c>
      <c r="T17" s="200">
        <v>7</v>
      </c>
      <c r="U17" s="110">
        <v>15</v>
      </c>
      <c r="V17" s="110">
        <v>1</v>
      </c>
      <c r="W17" s="110">
        <v>6</v>
      </c>
      <c r="X17" s="110">
        <v>0</v>
      </c>
      <c r="Y17" s="110">
        <f t="shared" si="5"/>
        <v>30</v>
      </c>
      <c r="Z17" s="110">
        <f t="shared" si="6"/>
        <v>22</v>
      </c>
      <c r="AA17" s="110">
        <f t="shared" si="1"/>
        <v>211</v>
      </c>
      <c r="AB17" s="110">
        <f t="shared" si="2"/>
        <v>210</v>
      </c>
      <c r="AC17" s="110">
        <f t="shared" si="3"/>
        <v>8</v>
      </c>
      <c r="AD17" s="110">
        <f t="shared" si="4"/>
        <v>7</v>
      </c>
      <c r="AE17" s="162"/>
      <c r="AF17" s="26">
        <v>1</v>
      </c>
      <c r="AG17" s="26">
        <v>0</v>
      </c>
      <c r="AH17" s="26" t="s">
        <v>582</v>
      </c>
    </row>
    <row r="18" spans="1:34" x14ac:dyDescent="0.15">
      <c r="A18" s="103" t="str">
        <f t="shared" si="0"/>
        <v>Sun</v>
      </c>
      <c r="B18" s="104">
        <v>44759</v>
      </c>
      <c r="C18" s="136" t="s">
        <v>583</v>
      </c>
      <c r="D18" s="106" t="s">
        <v>292</v>
      </c>
      <c r="E18" s="106" t="s">
        <v>199</v>
      </c>
      <c r="F18" s="106" t="s">
        <v>1</v>
      </c>
      <c r="G18" s="107">
        <v>194</v>
      </c>
      <c r="H18" s="106">
        <v>5</v>
      </c>
      <c r="I18" s="106"/>
      <c r="J18" s="108"/>
      <c r="K18" s="138">
        <v>165</v>
      </c>
      <c r="L18" s="106">
        <v>10</v>
      </c>
      <c r="M18" s="106"/>
      <c r="N18" s="105"/>
      <c r="O18" s="109">
        <v>33.4</v>
      </c>
      <c r="P18" s="199">
        <v>35</v>
      </c>
      <c r="Q18" s="200">
        <v>8</v>
      </c>
      <c r="R18" s="200">
        <v>0</v>
      </c>
      <c r="S18" s="200">
        <v>6</v>
      </c>
      <c r="T18" s="200">
        <v>2</v>
      </c>
      <c r="U18" s="110">
        <v>3</v>
      </c>
      <c r="V18" s="110">
        <v>5</v>
      </c>
      <c r="W18" s="110">
        <v>6</v>
      </c>
      <c r="X18" s="110">
        <v>1</v>
      </c>
      <c r="Y18" s="110">
        <f t="shared" si="5"/>
        <v>16</v>
      </c>
      <c r="Z18" s="110">
        <f t="shared" si="6"/>
        <v>15</v>
      </c>
      <c r="AA18" s="110">
        <f t="shared" si="1"/>
        <v>165</v>
      </c>
      <c r="AB18" s="110">
        <f t="shared" si="2"/>
        <v>194</v>
      </c>
      <c r="AC18" s="110">
        <f t="shared" si="3"/>
        <v>10</v>
      </c>
      <c r="AD18" s="110">
        <f t="shared" si="4"/>
        <v>5</v>
      </c>
      <c r="AE18" s="162"/>
      <c r="AF18" s="26">
        <v>1</v>
      </c>
      <c r="AG18" s="26">
        <v>0</v>
      </c>
      <c r="AH18" s="26" t="s">
        <v>584</v>
      </c>
    </row>
    <row r="19" spans="1:34" x14ac:dyDescent="0.15">
      <c r="A19" s="103" t="str">
        <f t="shared" si="0"/>
        <v>Sun</v>
      </c>
      <c r="B19" s="104">
        <v>44780</v>
      </c>
      <c r="C19" s="158" t="s">
        <v>269</v>
      </c>
      <c r="D19" s="106" t="s">
        <v>293</v>
      </c>
      <c r="E19" s="106" t="s">
        <v>200</v>
      </c>
      <c r="F19" s="106" t="s">
        <v>198</v>
      </c>
      <c r="G19" s="107">
        <v>181</v>
      </c>
      <c r="H19" s="106">
        <v>7</v>
      </c>
      <c r="I19" s="106"/>
      <c r="J19" s="108"/>
      <c r="K19" s="138">
        <v>105</v>
      </c>
      <c r="L19" s="106">
        <v>9</v>
      </c>
      <c r="M19" s="106"/>
      <c r="N19" s="105"/>
      <c r="O19" s="109">
        <v>35</v>
      </c>
      <c r="P19" s="199">
        <v>28.2</v>
      </c>
      <c r="Q19" s="200">
        <v>2</v>
      </c>
      <c r="R19" s="200">
        <v>0</v>
      </c>
      <c r="S19" s="200">
        <v>5</v>
      </c>
      <c r="T19" s="200">
        <v>1</v>
      </c>
      <c r="U19" s="110">
        <v>5</v>
      </c>
      <c r="V19" s="110">
        <v>3</v>
      </c>
      <c r="W19" s="110">
        <v>5</v>
      </c>
      <c r="X19" s="110">
        <v>1</v>
      </c>
      <c r="Y19" s="110">
        <f t="shared" si="5"/>
        <v>8</v>
      </c>
      <c r="Z19" s="110">
        <f t="shared" si="6"/>
        <v>14</v>
      </c>
      <c r="AA19" s="110">
        <f t="shared" si="1"/>
        <v>181</v>
      </c>
      <c r="AB19" s="110">
        <f t="shared" si="2"/>
        <v>105</v>
      </c>
      <c r="AC19" s="110">
        <f t="shared" si="3"/>
        <v>7</v>
      </c>
      <c r="AD19" s="110">
        <f t="shared" si="4"/>
        <v>9</v>
      </c>
      <c r="AE19" s="162"/>
      <c r="AF19" s="26">
        <v>1</v>
      </c>
      <c r="AG19" s="26">
        <v>0</v>
      </c>
      <c r="AH19" s="26" t="s">
        <v>609</v>
      </c>
    </row>
    <row r="20" spans="1:34" x14ac:dyDescent="0.15">
      <c r="A20" s="103" t="str">
        <f t="shared" si="0"/>
        <v>Sun</v>
      </c>
      <c r="B20" s="104">
        <v>44787</v>
      </c>
      <c r="C20" s="105" t="s">
        <v>535</v>
      </c>
      <c r="D20" s="106" t="s">
        <v>292</v>
      </c>
      <c r="E20" s="106" t="s">
        <v>200</v>
      </c>
      <c r="F20" s="106" t="s">
        <v>1</v>
      </c>
      <c r="G20" s="107">
        <v>190</v>
      </c>
      <c r="H20" s="106">
        <v>8</v>
      </c>
      <c r="I20" s="106"/>
      <c r="J20" s="105"/>
      <c r="K20" s="138">
        <v>191</v>
      </c>
      <c r="L20" s="106">
        <v>7</v>
      </c>
      <c r="M20" s="106"/>
      <c r="N20" s="105" t="s">
        <v>627</v>
      </c>
      <c r="O20" s="109">
        <v>37.200000000000003</v>
      </c>
      <c r="P20" s="199">
        <v>40</v>
      </c>
      <c r="Q20" s="200">
        <v>7</v>
      </c>
      <c r="R20" s="200">
        <v>0</v>
      </c>
      <c r="S20" s="200">
        <v>15</v>
      </c>
      <c r="T20" s="200">
        <v>6</v>
      </c>
      <c r="U20" s="110">
        <v>11</v>
      </c>
      <c r="V20" s="110">
        <v>15</v>
      </c>
      <c r="W20" s="110">
        <v>8</v>
      </c>
      <c r="X20" s="110">
        <v>1</v>
      </c>
      <c r="Y20" s="110">
        <f t="shared" si="5"/>
        <v>28</v>
      </c>
      <c r="Z20" s="110">
        <f t="shared" si="6"/>
        <v>35</v>
      </c>
      <c r="AA20" s="110">
        <f t="shared" ref="AA20:AA32" si="7">IF(F20="TOCC",G20,K20)</f>
        <v>191</v>
      </c>
      <c r="AB20" s="110">
        <f t="shared" ref="AB20:AB32" si="8">IF(F20&lt;&gt;"TOCC",G20,K20)</f>
        <v>190</v>
      </c>
      <c r="AC20" s="110">
        <f t="shared" ref="AC20:AC32" si="9">IF(F20="TOCC",H20,L20)</f>
        <v>7</v>
      </c>
      <c r="AD20" s="110">
        <f t="shared" ref="AD20:AD32" si="10">IF(F20&lt;&gt;"TOCC",H20,L20)</f>
        <v>8</v>
      </c>
      <c r="AE20" s="162"/>
      <c r="AF20" s="26">
        <v>0</v>
      </c>
      <c r="AG20" s="26">
        <v>1</v>
      </c>
    </row>
    <row r="21" spans="1:34" x14ac:dyDescent="0.15">
      <c r="A21" s="103" t="str">
        <f t="shared" si="0"/>
        <v>Sun</v>
      </c>
      <c r="B21" s="104">
        <v>44801</v>
      </c>
      <c r="C21" s="105" t="s">
        <v>645</v>
      </c>
      <c r="D21" s="106" t="s">
        <v>293</v>
      </c>
      <c r="E21" s="106" t="s">
        <v>199</v>
      </c>
      <c r="F21" s="106" t="s">
        <v>1</v>
      </c>
      <c r="G21" s="107">
        <v>260</v>
      </c>
      <c r="H21" s="106">
        <v>7</v>
      </c>
      <c r="I21" s="106"/>
      <c r="J21" s="108"/>
      <c r="K21" s="138">
        <v>140</v>
      </c>
      <c r="L21" s="106">
        <v>10</v>
      </c>
      <c r="M21" s="106"/>
      <c r="N21" s="105"/>
      <c r="O21" s="109">
        <v>31.4</v>
      </c>
      <c r="P21" s="199">
        <v>35</v>
      </c>
      <c r="Q21" s="200">
        <v>9</v>
      </c>
      <c r="R21" s="200">
        <v>3</v>
      </c>
      <c r="S21" s="200">
        <v>15</v>
      </c>
      <c r="T21" s="200">
        <v>3</v>
      </c>
      <c r="U21" s="110">
        <v>2</v>
      </c>
      <c r="V21" s="110">
        <v>2</v>
      </c>
      <c r="W21" s="110">
        <v>6</v>
      </c>
      <c r="X21" s="110">
        <v>4</v>
      </c>
      <c r="Y21" s="110">
        <f t="shared" si="5"/>
        <v>30</v>
      </c>
      <c r="Z21" s="110">
        <f t="shared" si="6"/>
        <v>14</v>
      </c>
      <c r="AA21" s="110">
        <f t="shared" si="7"/>
        <v>140</v>
      </c>
      <c r="AB21" s="110">
        <f t="shared" si="8"/>
        <v>260</v>
      </c>
      <c r="AC21" s="110">
        <f t="shared" si="9"/>
        <v>10</v>
      </c>
      <c r="AD21" s="110">
        <f t="shared" si="10"/>
        <v>7</v>
      </c>
      <c r="AE21" s="162"/>
      <c r="AF21" s="26">
        <v>1</v>
      </c>
      <c r="AG21" s="26">
        <v>0</v>
      </c>
      <c r="AH21" s="26" t="s">
        <v>646</v>
      </c>
    </row>
    <row r="22" spans="1:34" x14ac:dyDescent="0.15">
      <c r="A22" s="103" t="str">
        <f t="shared" si="0"/>
        <v>Sun</v>
      </c>
      <c r="B22" s="104">
        <v>44808</v>
      </c>
      <c r="C22" s="105" t="s">
        <v>290</v>
      </c>
      <c r="D22" s="106" t="s">
        <v>292</v>
      </c>
      <c r="E22" s="106" t="s">
        <v>199</v>
      </c>
      <c r="F22" s="106" t="s">
        <v>1</v>
      </c>
      <c r="G22" s="107">
        <v>174</v>
      </c>
      <c r="H22" s="106">
        <v>7</v>
      </c>
      <c r="I22" s="106"/>
      <c r="J22" s="108"/>
      <c r="K22" s="138">
        <v>54</v>
      </c>
      <c r="L22" s="106">
        <v>9</v>
      </c>
      <c r="M22" s="106"/>
      <c r="N22" s="105"/>
      <c r="O22" s="109">
        <v>15.1</v>
      </c>
      <c r="P22" s="199">
        <v>35</v>
      </c>
      <c r="Q22" s="200">
        <v>9</v>
      </c>
      <c r="R22" s="200">
        <v>3</v>
      </c>
      <c r="S22" s="200">
        <v>12</v>
      </c>
      <c r="T22" s="200">
        <v>1</v>
      </c>
      <c r="U22" s="110">
        <v>2</v>
      </c>
      <c r="V22" s="110">
        <v>2</v>
      </c>
      <c r="W22" s="110">
        <v>8</v>
      </c>
      <c r="X22" s="110">
        <v>0</v>
      </c>
      <c r="Y22" s="110">
        <f t="shared" si="5"/>
        <v>25</v>
      </c>
      <c r="Z22" s="110">
        <f t="shared" si="6"/>
        <v>12</v>
      </c>
      <c r="AA22" s="110">
        <f t="shared" si="7"/>
        <v>54</v>
      </c>
      <c r="AB22" s="110">
        <f t="shared" si="8"/>
        <v>174</v>
      </c>
      <c r="AC22" s="110">
        <f t="shared" si="9"/>
        <v>9</v>
      </c>
      <c r="AD22" s="110">
        <f t="shared" si="10"/>
        <v>7</v>
      </c>
      <c r="AE22" s="162"/>
      <c r="AF22" s="26">
        <v>1</v>
      </c>
      <c r="AG22" s="26">
        <v>0</v>
      </c>
      <c r="AH22" s="26" t="s">
        <v>196</v>
      </c>
    </row>
    <row r="23" spans="1:34" x14ac:dyDescent="0.15">
      <c r="A23" s="103" t="str">
        <f t="shared" si="0"/>
        <v>Sun</v>
      </c>
      <c r="B23" s="104">
        <v>44815</v>
      </c>
      <c r="C23" s="105" t="s">
        <v>670</v>
      </c>
      <c r="D23" s="106" t="s">
        <v>293</v>
      </c>
      <c r="E23" s="106" t="s">
        <v>199</v>
      </c>
      <c r="F23" s="106" t="s">
        <v>1</v>
      </c>
      <c r="G23" s="107">
        <v>156</v>
      </c>
      <c r="H23" s="106">
        <v>10</v>
      </c>
      <c r="I23" s="106"/>
      <c r="J23" s="108" t="s">
        <v>767</v>
      </c>
      <c r="K23" s="138">
        <v>141</v>
      </c>
      <c r="L23" s="106">
        <v>9</v>
      </c>
      <c r="M23" s="106"/>
      <c r="N23" s="105"/>
      <c r="O23" s="109">
        <v>35</v>
      </c>
      <c r="P23" s="222">
        <v>35</v>
      </c>
      <c r="Q23" s="223">
        <v>0</v>
      </c>
      <c r="R23" s="223">
        <v>0</v>
      </c>
      <c r="S23" s="223">
        <v>0</v>
      </c>
      <c r="T23" s="223">
        <v>0</v>
      </c>
      <c r="U23" s="110">
        <v>15</v>
      </c>
      <c r="V23" s="110">
        <v>9</v>
      </c>
      <c r="W23" s="110">
        <v>0</v>
      </c>
      <c r="X23" s="110">
        <v>7</v>
      </c>
      <c r="Y23" s="110">
        <f t="shared" si="5"/>
        <v>0</v>
      </c>
      <c r="Z23" s="110">
        <f t="shared" si="6"/>
        <v>31</v>
      </c>
      <c r="AA23" s="110">
        <f t="shared" si="7"/>
        <v>141</v>
      </c>
      <c r="AB23" s="110">
        <f t="shared" si="8"/>
        <v>156</v>
      </c>
      <c r="AC23" s="110">
        <f t="shared" si="9"/>
        <v>9</v>
      </c>
      <c r="AD23" s="110">
        <f t="shared" si="10"/>
        <v>10</v>
      </c>
      <c r="AE23" s="162"/>
      <c r="AF23" s="26">
        <v>0</v>
      </c>
      <c r="AG23" s="26">
        <v>0</v>
      </c>
    </row>
    <row r="24" spans="1:34" x14ac:dyDescent="0.15">
      <c r="A24" s="103" t="str">
        <f t="shared" si="0"/>
        <v>Sun</v>
      </c>
      <c r="B24" s="104">
        <v>44822</v>
      </c>
      <c r="C24" s="105" t="s">
        <v>679</v>
      </c>
      <c r="D24" s="106" t="s">
        <v>292</v>
      </c>
      <c r="E24" s="106" t="s">
        <v>199</v>
      </c>
      <c r="F24" s="106" t="s">
        <v>198</v>
      </c>
      <c r="G24" s="107">
        <v>136</v>
      </c>
      <c r="H24" s="106">
        <v>9</v>
      </c>
      <c r="I24" s="106"/>
      <c r="J24" s="108"/>
      <c r="K24" s="138">
        <v>137</v>
      </c>
      <c r="L24" s="106">
        <v>3</v>
      </c>
      <c r="M24" s="106"/>
      <c r="N24" s="105"/>
      <c r="O24" s="109">
        <v>40</v>
      </c>
      <c r="P24" s="199">
        <v>29.3</v>
      </c>
      <c r="Q24" s="200">
        <v>6</v>
      </c>
      <c r="R24" s="200">
        <v>0</v>
      </c>
      <c r="S24" s="200">
        <v>0</v>
      </c>
      <c r="T24" s="200">
        <v>2</v>
      </c>
      <c r="U24" s="110">
        <v>4</v>
      </c>
      <c r="V24" s="110">
        <v>5</v>
      </c>
      <c r="W24" s="110">
        <v>15</v>
      </c>
      <c r="X24" s="110">
        <v>1</v>
      </c>
      <c r="Y24" s="110">
        <f t="shared" si="5"/>
        <v>8</v>
      </c>
      <c r="Z24" s="110">
        <f t="shared" si="6"/>
        <v>25</v>
      </c>
      <c r="AA24" s="110">
        <f t="shared" si="7"/>
        <v>136</v>
      </c>
      <c r="AB24" s="110">
        <f t="shared" si="8"/>
        <v>137</v>
      </c>
      <c r="AC24" s="110">
        <f t="shared" si="9"/>
        <v>9</v>
      </c>
      <c r="AD24" s="110">
        <f t="shared" si="10"/>
        <v>3</v>
      </c>
      <c r="AE24" s="162"/>
      <c r="AF24" s="26">
        <v>0</v>
      </c>
      <c r="AG24" s="26">
        <v>0</v>
      </c>
    </row>
    <row r="25" spans="1:34" x14ac:dyDescent="0.15">
      <c r="A25" s="103" t="str">
        <f t="shared" si="0"/>
        <v>Sun</v>
      </c>
      <c r="B25" s="104">
        <v>44829</v>
      </c>
      <c r="C25" s="105" t="s">
        <v>583</v>
      </c>
      <c r="D25" s="106" t="s">
        <v>293</v>
      </c>
      <c r="E25" s="106" t="s">
        <v>200</v>
      </c>
      <c r="F25" s="106" t="s">
        <v>1</v>
      </c>
      <c r="G25" s="107">
        <v>176</v>
      </c>
      <c r="H25" s="106">
        <v>6</v>
      </c>
      <c r="I25" s="106"/>
      <c r="J25" s="161"/>
      <c r="K25" s="138">
        <v>177</v>
      </c>
      <c r="L25" s="106">
        <v>9</v>
      </c>
      <c r="M25" s="106"/>
      <c r="N25" s="108"/>
      <c r="O25" s="109">
        <v>35.200000000000003</v>
      </c>
      <c r="P25" s="199">
        <v>40</v>
      </c>
      <c r="Q25" s="200">
        <v>2</v>
      </c>
      <c r="R25" s="200">
        <v>0</v>
      </c>
      <c r="S25" s="200">
        <v>4</v>
      </c>
      <c r="T25" s="200">
        <v>1</v>
      </c>
      <c r="U25" s="110">
        <v>7</v>
      </c>
      <c r="V25" s="110">
        <v>0</v>
      </c>
      <c r="W25" s="110">
        <v>15</v>
      </c>
      <c r="X25" s="110">
        <v>1</v>
      </c>
      <c r="Y25" s="110">
        <f t="shared" si="5"/>
        <v>7</v>
      </c>
      <c r="Z25" s="110">
        <f t="shared" si="6"/>
        <v>23</v>
      </c>
      <c r="AA25" s="110">
        <f t="shared" si="7"/>
        <v>177</v>
      </c>
      <c r="AB25" s="110">
        <f t="shared" si="8"/>
        <v>176</v>
      </c>
      <c r="AC25" s="110">
        <f t="shared" si="9"/>
        <v>9</v>
      </c>
      <c r="AD25" s="110">
        <f t="shared" si="10"/>
        <v>6</v>
      </c>
      <c r="AF25" s="26">
        <v>0</v>
      </c>
      <c r="AG25" s="26">
        <v>0</v>
      </c>
    </row>
    <row r="26" spans="1:34" x14ac:dyDescent="0.15">
      <c r="A26" s="103" t="str">
        <f t="shared" si="0"/>
        <v>Sat</v>
      </c>
      <c r="B26" s="104"/>
      <c r="C26" s="105"/>
      <c r="D26" s="106"/>
      <c r="E26" s="106"/>
      <c r="F26" s="106"/>
      <c r="G26" s="107"/>
      <c r="H26" s="106"/>
      <c r="I26" s="106"/>
      <c r="J26" s="108"/>
      <c r="K26" s="138"/>
      <c r="L26" s="106"/>
      <c r="M26" s="106"/>
      <c r="N26" s="105"/>
      <c r="O26" s="109"/>
      <c r="P26" s="199"/>
      <c r="Q26" s="200"/>
      <c r="R26" s="200"/>
      <c r="S26" s="200"/>
      <c r="T26" s="200"/>
      <c r="U26" s="110"/>
      <c r="V26" s="110"/>
      <c r="W26" s="110"/>
      <c r="X26" s="110"/>
      <c r="Y26" s="110">
        <f t="shared" si="5"/>
        <v>0</v>
      </c>
      <c r="Z26" s="110">
        <f t="shared" si="6"/>
        <v>0</v>
      </c>
      <c r="AA26" s="110">
        <f t="shared" si="7"/>
        <v>0</v>
      </c>
      <c r="AB26" s="110">
        <f t="shared" si="8"/>
        <v>0</v>
      </c>
      <c r="AC26" s="110">
        <f t="shared" si="9"/>
        <v>0</v>
      </c>
      <c r="AD26" s="110">
        <f t="shared" si="10"/>
        <v>0</v>
      </c>
      <c r="AF26" s="26">
        <v>0</v>
      </c>
      <c r="AG26" s="26">
        <v>0</v>
      </c>
    </row>
    <row r="27" spans="1:34" x14ac:dyDescent="0.15">
      <c r="A27" s="103" t="str">
        <f t="shared" si="0"/>
        <v>Sat</v>
      </c>
      <c r="B27" s="104"/>
      <c r="C27" s="105"/>
      <c r="D27" s="106"/>
      <c r="E27" s="106"/>
      <c r="F27" s="106"/>
      <c r="G27" s="107" t="e">
        <f>NA()</f>
        <v>#N/A</v>
      </c>
      <c r="H27" s="106"/>
      <c r="I27" s="106"/>
      <c r="J27" s="108"/>
      <c r="K27" s="138" t="e">
        <f>NA()</f>
        <v>#N/A</v>
      </c>
      <c r="L27" s="106"/>
      <c r="M27" s="106"/>
      <c r="N27" s="105"/>
      <c r="O27" s="109"/>
      <c r="P27" s="199"/>
      <c r="Q27" s="200"/>
      <c r="R27" s="200"/>
      <c r="S27" s="200"/>
      <c r="T27" s="200"/>
      <c r="U27" s="110"/>
      <c r="V27" s="110"/>
      <c r="W27" s="110"/>
      <c r="X27" s="110"/>
      <c r="Y27" s="110">
        <f t="shared" ref="Y27:Y32" si="11">SUM(Q27:T27)</f>
        <v>0</v>
      </c>
      <c r="Z27" s="110">
        <f t="shared" ref="Z27:Z32" si="12">SUM(U27:X27)</f>
        <v>0</v>
      </c>
      <c r="AA27" s="110" t="e">
        <f t="shared" si="7"/>
        <v>#N/A</v>
      </c>
      <c r="AB27" s="110" t="e">
        <f t="shared" si="8"/>
        <v>#N/A</v>
      </c>
      <c r="AC27" s="110">
        <f t="shared" si="9"/>
        <v>0</v>
      </c>
      <c r="AD27" s="110">
        <f t="shared" si="10"/>
        <v>0</v>
      </c>
      <c r="AF27" s="26">
        <v>0</v>
      </c>
      <c r="AG27" s="26">
        <v>0</v>
      </c>
    </row>
    <row r="28" spans="1:34" x14ac:dyDescent="0.15">
      <c r="A28" s="103" t="str">
        <f t="shared" si="0"/>
        <v>Sat</v>
      </c>
      <c r="B28" s="104"/>
      <c r="C28" s="105"/>
      <c r="D28" s="106"/>
      <c r="E28" s="106"/>
      <c r="F28" s="106"/>
      <c r="G28" s="107" t="e">
        <f>NA()</f>
        <v>#N/A</v>
      </c>
      <c r="H28" s="106"/>
      <c r="I28" s="106"/>
      <c r="J28" s="108"/>
      <c r="K28" s="138" t="e">
        <f>NA()</f>
        <v>#N/A</v>
      </c>
      <c r="L28" s="106"/>
      <c r="M28" s="106"/>
      <c r="N28" s="105"/>
      <c r="O28" s="109"/>
      <c r="P28" s="199"/>
      <c r="Q28" s="200"/>
      <c r="R28" s="200"/>
      <c r="S28" s="200"/>
      <c r="T28" s="200"/>
      <c r="U28" s="110"/>
      <c r="V28" s="110"/>
      <c r="W28" s="110"/>
      <c r="X28" s="110"/>
      <c r="Y28" s="110">
        <f t="shared" si="11"/>
        <v>0</v>
      </c>
      <c r="Z28" s="110">
        <f t="shared" si="12"/>
        <v>0</v>
      </c>
      <c r="AA28" s="110" t="e">
        <f t="shared" si="7"/>
        <v>#N/A</v>
      </c>
      <c r="AB28" s="110" t="e">
        <f t="shared" si="8"/>
        <v>#N/A</v>
      </c>
      <c r="AC28" s="110">
        <f t="shared" si="9"/>
        <v>0</v>
      </c>
      <c r="AD28" s="110">
        <f t="shared" si="10"/>
        <v>0</v>
      </c>
      <c r="AF28" s="26">
        <v>0</v>
      </c>
      <c r="AG28" s="26">
        <v>0</v>
      </c>
    </row>
    <row r="29" spans="1:34" x14ac:dyDescent="0.15">
      <c r="A29" s="103" t="str">
        <f t="shared" si="0"/>
        <v>Sat</v>
      </c>
      <c r="B29" s="104"/>
      <c r="C29" s="105"/>
      <c r="D29" s="106"/>
      <c r="E29" s="106"/>
      <c r="F29" s="106"/>
      <c r="G29" s="107" t="e">
        <f>NA()</f>
        <v>#N/A</v>
      </c>
      <c r="H29" s="106"/>
      <c r="I29" s="106"/>
      <c r="J29" s="108"/>
      <c r="K29" s="138" t="e">
        <f>NA()</f>
        <v>#N/A</v>
      </c>
      <c r="L29" s="106"/>
      <c r="M29" s="106"/>
      <c r="N29" s="105"/>
      <c r="O29" s="109"/>
      <c r="P29" s="199"/>
      <c r="Q29" s="200"/>
      <c r="R29" s="200"/>
      <c r="S29" s="200"/>
      <c r="T29" s="200"/>
      <c r="U29" s="110"/>
      <c r="V29" s="110"/>
      <c r="W29" s="110"/>
      <c r="X29" s="110"/>
      <c r="Y29" s="110">
        <f t="shared" si="11"/>
        <v>0</v>
      </c>
      <c r="Z29" s="110">
        <f t="shared" si="12"/>
        <v>0</v>
      </c>
      <c r="AA29" s="110" t="e">
        <f t="shared" si="7"/>
        <v>#N/A</v>
      </c>
      <c r="AB29" s="110" t="e">
        <f t="shared" si="8"/>
        <v>#N/A</v>
      </c>
      <c r="AC29" s="110">
        <f t="shared" si="9"/>
        <v>0</v>
      </c>
      <c r="AD29" s="110">
        <f t="shared" si="10"/>
        <v>0</v>
      </c>
      <c r="AF29" s="26">
        <v>0</v>
      </c>
      <c r="AG29" s="26">
        <v>0</v>
      </c>
    </row>
    <row r="30" spans="1:34" x14ac:dyDescent="0.15">
      <c r="A30" s="103" t="str">
        <f t="shared" si="0"/>
        <v>Sat</v>
      </c>
      <c r="B30" s="104"/>
      <c r="C30" s="105"/>
      <c r="D30" s="106"/>
      <c r="E30" s="106"/>
      <c r="F30" s="106"/>
      <c r="G30" s="107" t="e">
        <f>NA()</f>
        <v>#N/A</v>
      </c>
      <c r="H30" s="106"/>
      <c r="I30" s="106"/>
      <c r="J30" s="108"/>
      <c r="K30" s="138" t="e">
        <f>NA()</f>
        <v>#N/A</v>
      </c>
      <c r="L30" s="106"/>
      <c r="M30" s="106"/>
      <c r="N30" s="105"/>
      <c r="O30" s="109"/>
      <c r="P30" s="199"/>
      <c r="Q30" s="200"/>
      <c r="R30" s="200"/>
      <c r="S30" s="200"/>
      <c r="T30" s="200"/>
      <c r="U30" s="110"/>
      <c r="V30" s="110"/>
      <c r="W30" s="110"/>
      <c r="X30" s="110"/>
      <c r="Y30" s="110">
        <f t="shared" si="11"/>
        <v>0</v>
      </c>
      <c r="Z30" s="110">
        <f t="shared" si="12"/>
        <v>0</v>
      </c>
      <c r="AA30" s="110" t="e">
        <f t="shared" si="7"/>
        <v>#N/A</v>
      </c>
      <c r="AB30" s="110" t="e">
        <f t="shared" si="8"/>
        <v>#N/A</v>
      </c>
      <c r="AC30" s="110">
        <f t="shared" si="9"/>
        <v>0</v>
      </c>
      <c r="AD30" s="110">
        <f t="shared" si="10"/>
        <v>0</v>
      </c>
      <c r="AF30" s="26">
        <v>0</v>
      </c>
      <c r="AG30" s="26">
        <v>0</v>
      </c>
    </row>
    <row r="31" spans="1:34" x14ac:dyDescent="0.15">
      <c r="A31" s="103" t="str">
        <f t="shared" si="0"/>
        <v>Sat</v>
      </c>
      <c r="B31" s="104"/>
      <c r="C31" s="158"/>
      <c r="D31" s="106"/>
      <c r="E31" s="106"/>
      <c r="F31" s="106"/>
      <c r="G31" s="107" t="e">
        <f>NA()</f>
        <v>#N/A</v>
      </c>
      <c r="H31" s="106"/>
      <c r="I31" s="106"/>
      <c r="J31" s="108"/>
      <c r="K31" s="138" t="e">
        <f>NA()</f>
        <v>#N/A</v>
      </c>
      <c r="L31" s="106"/>
      <c r="M31" s="106"/>
      <c r="N31" s="105"/>
      <c r="O31" s="109"/>
      <c r="P31" s="199"/>
      <c r="Q31" s="200"/>
      <c r="R31" s="200"/>
      <c r="S31" s="200"/>
      <c r="T31" s="200"/>
      <c r="U31" s="110"/>
      <c r="V31" s="110"/>
      <c r="W31" s="110"/>
      <c r="X31" s="110"/>
      <c r="Y31" s="110">
        <f t="shared" si="11"/>
        <v>0</v>
      </c>
      <c r="Z31" s="110">
        <f t="shared" si="12"/>
        <v>0</v>
      </c>
      <c r="AA31" s="110" t="e">
        <f t="shared" si="7"/>
        <v>#N/A</v>
      </c>
      <c r="AB31" s="110" t="e">
        <f t="shared" si="8"/>
        <v>#N/A</v>
      </c>
      <c r="AC31" s="110">
        <f t="shared" si="9"/>
        <v>0</v>
      </c>
      <c r="AD31" s="110">
        <f t="shared" si="10"/>
        <v>0</v>
      </c>
      <c r="AF31" s="26">
        <v>0</v>
      </c>
      <c r="AG31" s="26">
        <v>0</v>
      </c>
    </row>
    <row r="32" spans="1:34" x14ac:dyDescent="0.15">
      <c r="A32" s="103" t="str">
        <f t="shared" si="0"/>
        <v>Sat</v>
      </c>
      <c r="B32" s="104"/>
      <c r="C32" s="159"/>
      <c r="D32" s="106"/>
      <c r="E32" s="106"/>
      <c r="F32" s="106"/>
      <c r="G32" s="107" t="e">
        <f>NA()</f>
        <v>#N/A</v>
      </c>
      <c r="H32" s="106"/>
      <c r="I32" s="106"/>
      <c r="J32" s="108"/>
      <c r="K32" s="138" t="e">
        <f>NA()</f>
        <v>#N/A</v>
      </c>
      <c r="L32" s="106"/>
      <c r="M32" s="106"/>
      <c r="N32" s="105"/>
      <c r="O32" s="109"/>
      <c r="P32" s="199"/>
      <c r="Q32" s="200"/>
      <c r="R32" s="200"/>
      <c r="S32" s="200"/>
      <c r="T32" s="200"/>
      <c r="U32" s="110"/>
      <c r="V32" s="110"/>
      <c r="W32" s="110"/>
      <c r="X32" s="110"/>
      <c r="Y32" s="110">
        <f t="shared" si="11"/>
        <v>0</v>
      </c>
      <c r="Z32" s="110">
        <f t="shared" si="12"/>
        <v>0</v>
      </c>
      <c r="AA32" s="110" t="e">
        <f t="shared" si="7"/>
        <v>#N/A</v>
      </c>
      <c r="AB32" s="110" t="e">
        <f t="shared" si="8"/>
        <v>#N/A</v>
      </c>
      <c r="AC32" s="110">
        <f t="shared" si="9"/>
        <v>0</v>
      </c>
      <c r="AD32" s="110">
        <f t="shared" si="10"/>
        <v>0</v>
      </c>
      <c r="AF32" s="26">
        <v>0</v>
      </c>
      <c r="AG32" s="26">
        <v>0</v>
      </c>
    </row>
    <row r="33" spans="1:30" ht="12" thickBot="1" x14ac:dyDescent="0.2">
      <c r="A33" s="37"/>
      <c r="B33" s="33"/>
      <c r="C33" s="35"/>
      <c r="D33" s="34"/>
      <c r="E33" s="34"/>
      <c r="F33" s="34"/>
      <c r="G33" s="32"/>
      <c r="H33" s="34"/>
      <c r="I33" s="34"/>
      <c r="J33" s="89"/>
      <c r="K33" s="32"/>
      <c r="L33" s="34"/>
      <c r="M33" s="34"/>
      <c r="N33" s="35"/>
      <c r="O33" s="35"/>
      <c r="P33" s="35"/>
    </row>
    <row r="34" spans="1:30" ht="21" x14ac:dyDescent="0.15">
      <c r="A34" s="37"/>
      <c r="B34" s="33"/>
      <c r="C34" s="35"/>
      <c r="D34" s="34"/>
      <c r="E34" s="34"/>
      <c r="F34" s="34"/>
      <c r="G34" s="32"/>
      <c r="H34" s="34"/>
      <c r="I34" s="34"/>
      <c r="J34" s="89"/>
      <c r="K34" s="32"/>
      <c r="L34" s="34"/>
      <c r="M34" s="34"/>
      <c r="N34" s="35" t="s">
        <v>137</v>
      </c>
      <c r="O34" s="35">
        <f>MAX(O5:O32)</f>
        <v>41</v>
      </c>
      <c r="P34" s="35">
        <f>MAX(P5:P32)</f>
        <v>40</v>
      </c>
      <c r="Q34" s="130" t="s">
        <v>100</v>
      </c>
      <c r="R34" s="132" t="s">
        <v>101</v>
      </c>
      <c r="S34" s="132" t="s">
        <v>102</v>
      </c>
      <c r="T34" s="132" t="s">
        <v>103</v>
      </c>
      <c r="U34" s="132" t="s">
        <v>104</v>
      </c>
      <c r="V34" s="132" t="s">
        <v>105</v>
      </c>
      <c r="W34" s="132" t="s">
        <v>106</v>
      </c>
      <c r="X34" s="132" t="s">
        <v>107</v>
      </c>
    </row>
    <row r="35" spans="1:30" x14ac:dyDescent="0.15">
      <c r="A35" s="37"/>
      <c r="B35" s="33"/>
      <c r="C35" s="35"/>
      <c r="D35" s="34"/>
      <c r="E35" s="34"/>
      <c r="F35" s="34"/>
      <c r="G35" s="32"/>
      <c r="H35" s="34"/>
      <c r="I35" s="34"/>
      <c r="J35" s="89"/>
      <c r="K35" s="32"/>
      <c r="L35" s="34"/>
      <c r="M35" s="34"/>
      <c r="N35" s="35"/>
      <c r="O35" s="165" t="s">
        <v>198</v>
      </c>
      <c r="P35" s="165" t="s">
        <v>1</v>
      </c>
      <c r="Q35" s="36"/>
      <c r="R35" s="36"/>
      <c r="S35" s="36"/>
      <c r="T35" s="36"/>
      <c r="U35" s="36"/>
      <c r="V35" s="36"/>
      <c r="W35" s="36"/>
      <c r="X35" s="36"/>
    </row>
    <row r="36" spans="1:30" x14ac:dyDescent="0.15">
      <c r="A36" s="37"/>
      <c r="B36" s="33"/>
      <c r="C36" s="35"/>
      <c r="D36" s="34"/>
      <c r="E36" s="34"/>
      <c r="F36" s="34"/>
      <c r="G36" s="32"/>
      <c r="H36" s="34"/>
      <c r="I36" s="34"/>
      <c r="J36" s="89"/>
      <c r="K36" s="32"/>
      <c r="L36" s="34"/>
      <c r="M36" s="34"/>
      <c r="N36" s="35"/>
      <c r="O36" s="35">
        <f t="array" ref="O36">SUM(FLOOR(O5:O32,1))</f>
        <v>711</v>
      </c>
      <c r="P36" s="35">
        <f t="array" ref="P36">SUM(FLOOR(P5:P32,1))</f>
        <v>698</v>
      </c>
      <c r="Q36" s="36">
        <f t="shared" ref="Q36:Z36" si="13">SUM(Q5:Q32)</f>
        <v>140</v>
      </c>
      <c r="R36" s="36">
        <f t="shared" si="13"/>
        <v>35</v>
      </c>
      <c r="S36" s="36">
        <f t="shared" si="13"/>
        <v>110</v>
      </c>
      <c r="T36" s="36">
        <f t="shared" si="13"/>
        <v>34</v>
      </c>
      <c r="U36" s="36">
        <f t="shared" si="13"/>
        <v>165</v>
      </c>
      <c r="V36" s="36">
        <f t="shared" si="13"/>
        <v>77</v>
      </c>
      <c r="W36" s="36">
        <f t="shared" si="13"/>
        <v>170</v>
      </c>
      <c r="X36" s="36">
        <f t="shared" si="13"/>
        <v>41</v>
      </c>
      <c r="Y36" s="36">
        <f t="shared" si="13"/>
        <v>347</v>
      </c>
      <c r="Z36" s="36">
        <f t="shared" si="13"/>
        <v>453</v>
      </c>
      <c r="AA36" s="26">
        <f t="array" ref="AA36">SUM(_xlfn.IFNA(AA5:AA32,0))</f>
        <v>3573</v>
      </c>
      <c r="AB36" s="26">
        <f t="array" ref="AB36">SUM(_xlfn.IFNA(AB5:AB32,0))</f>
        <v>3181</v>
      </c>
      <c r="AC36" s="26">
        <f>SUM(AC5:AC32)</f>
        <v>157</v>
      </c>
      <c r="AD36" s="26">
        <f>SUM(AD5:AD32)</f>
        <v>136</v>
      </c>
    </row>
    <row r="37" spans="1:30" x14ac:dyDescent="0.15">
      <c r="A37" s="37"/>
      <c r="B37" s="33"/>
      <c r="C37" s="35"/>
      <c r="D37" s="34"/>
      <c r="E37" s="34"/>
      <c r="I37" s="34"/>
      <c r="J37" s="89"/>
      <c r="K37" s="32"/>
      <c r="L37" s="34"/>
      <c r="M37" s="34"/>
      <c r="N37" s="35"/>
      <c r="O37" s="35">
        <f t="array" ref="O37">SUM(O5:O32-FLOOR(O5:O32,1))*10</f>
        <v>19.999999999999982</v>
      </c>
      <c r="P37" s="35">
        <f t="array" ref="P37">SUM(P5:P32-FLOOR(P5:P32,1))*10</f>
        <v>25.999999999999943</v>
      </c>
      <c r="Q37" s="36"/>
      <c r="R37" s="36"/>
      <c r="S37" s="36"/>
      <c r="T37" s="36"/>
      <c r="U37" s="36"/>
      <c r="V37" s="36"/>
      <c r="W37" s="36"/>
      <c r="X37" s="36"/>
    </row>
    <row r="38" spans="1:30" x14ac:dyDescent="0.15">
      <c r="A38" s="37"/>
      <c r="B38" s="33"/>
      <c r="C38" s="35"/>
      <c r="D38" s="34"/>
      <c r="E38" s="34"/>
      <c r="I38" s="34"/>
      <c r="J38" s="89"/>
      <c r="K38" s="32"/>
      <c r="L38" s="34"/>
      <c r="M38" s="34"/>
      <c r="N38" s="165" t="s">
        <v>227</v>
      </c>
      <c r="O38" s="35">
        <f>O36*6+O37</f>
        <v>4286</v>
      </c>
      <c r="P38" s="35">
        <f>P36*6+P37</f>
        <v>4214</v>
      </c>
      <c r="Q38" s="36"/>
      <c r="R38" s="36"/>
      <c r="S38" s="36">
        <f>MAX(S5:S32)</f>
        <v>15</v>
      </c>
      <c r="T38" s="36"/>
      <c r="U38" s="36"/>
      <c r="V38" s="36"/>
      <c r="W38" s="36">
        <f>MAX(W5:W32)</f>
        <v>15</v>
      </c>
      <c r="X38" s="36"/>
      <c r="Z38" s="26" t="s">
        <v>33</v>
      </c>
      <c r="AA38" s="204">
        <f>AA36/AC36</f>
        <v>22.757961783439491</v>
      </c>
      <c r="AB38" s="204">
        <f>AB36/AD36</f>
        <v>23.389705882352942</v>
      </c>
    </row>
    <row r="39" spans="1:30" x14ac:dyDescent="0.15">
      <c r="A39" s="37"/>
      <c r="B39" s="33"/>
      <c r="C39" s="35"/>
      <c r="D39" s="34"/>
      <c r="E39" s="34"/>
      <c r="F39" s="34"/>
      <c r="G39" s="32"/>
      <c r="H39" s="34"/>
      <c r="I39" s="34"/>
      <c r="J39" s="89"/>
      <c r="K39" s="32"/>
      <c r="L39" s="34"/>
      <c r="M39" s="34"/>
      <c r="N39" s="165" t="s">
        <v>228</v>
      </c>
      <c r="O39" s="35">
        <f>INT(O38/6)+(O38-INT(O38/6)*6)/10</f>
        <v>714.2</v>
      </c>
      <c r="P39" s="35">
        <f>INT(P38/6)+(P38-INT(P38/6)*6)/10</f>
        <v>702.2</v>
      </c>
      <c r="Q39" s="36"/>
      <c r="R39" s="36"/>
      <c r="S39" s="36"/>
      <c r="T39" s="36"/>
      <c r="U39" s="36"/>
      <c r="V39" s="36"/>
      <c r="W39" s="36"/>
      <c r="X39" s="36"/>
    </row>
    <row r="40" spans="1:30" x14ac:dyDescent="0.15">
      <c r="A40" s="37"/>
      <c r="B40" s="33"/>
      <c r="C40" s="35"/>
      <c r="D40" s="34"/>
      <c r="E40" s="34"/>
      <c r="I40" s="34"/>
      <c r="J40" s="89"/>
      <c r="K40" s="32"/>
      <c r="L40" s="34"/>
      <c r="M40" s="34"/>
      <c r="N40" s="35" t="s">
        <v>180</v>
      </c>
      <c r="O40" s="35">
        <f>AA36/O38*100</f>
        <v>83.364442370508627</v>
      </c>
      <c r="P40" s="35">
        <f>AB36/P38*100</f>
        <v>75.486473659231137</v>
      </c>
      <c r="Q40" s="36"/>
      <c r="R40" s="36"/>
      <c r="S40" s="36"/>
      <c r="T40" s="36"/>
      <c r="U40" s="36"/>
      <c r="V40" s="36"/>
      <c r="W40" s="36"/>
      <c r="X40" s="36"/>
    </row>
    <row r="41" spans="1:30" x14ac:dyDescent="0.15">
      <c r="F41" s="34"/>
      <c r="G41" s="32"/>
      <c r="H41" s="34"/>
      <c r="Q41" s="26">
        <f>$Y$36*Q36/SUM($Q$36:$T$36)</f>
        <v>152.28840125391849</v>
      </c>
      <c r="R41" s="26">
        <f t="shared" ref="R41:T41" si="14">$Y$36*R36/SUM($Q$36:$T$36)</f>
        <v>38.072100313479623</v>
      </c>
      <c r="S41" s="26">
        <f t="shared" si="14"/>
        <v>119.65517241379311</v>
      </c>
      <c r="T41" s="26">
        <f t="shared" si="14"/>
        <v>36.98432601880878</v>
      </c>
    </row>
    <row r="42" spans="1:30" x14ac:dyDescent="0.15">
      <c r="Q42" s="26">
        <v>150</v>
      </c>
      <c r="R42" s="26">
        <v>40</v>
      </c>
      <c r="S42" s="26">
        <v>129</v>
      </c>
      <c r="T42" s="26">
        <v>60</v>
      </c>
    </row>
    <row r="46" spans="1:30" x14ac:dyDescent="0.15">
      <c r="F46" s="34"/>
      <c r="G46" s="32"/>
      <c r="H46" s="34"/>
    </row>
    <row r="58" spans="6:8" x14ac:dyDescent="0.15">
      <c r="F58" s="34"/>
      <c r="G58" s="32"/>
      <c r="H58" s="34"/>
    </row>
  </sheetData>
  <sortState ref="F64:H86">
    <sortCondition ref="F64:F86"/>
    <sortCondition ref="H64:H86"/>
  </sortState>
  <mergeCells count="1">
    <mergeCell ref="A1:B3"/>
  </mergeCells>
  <phoneticPr fontId="0" type="noConversion"/>
  <conditionalFormatting sqref="F5 F7 F10:F32">
    <cfRule type="cellIs" dxfId="16" priority="10" stopIfTrue="1" operator="equal">
      <formula>"TOCC"</formula>
    </cfRule>
  </conditionalFormatting>
  <conditionalFormatting sqref="K5:K7 K9:K1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:G7 G9:G23">
    <cfRule type="colorScale" priority="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5:K32"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5:AA32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5:AB32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">
    <cfRule type="cellIs" dxfId="15" priority="2" stopIfTrue="1" operator="equal">
      <formula>"TOCC"</formula>
    </cfRule>
  </conditionalFormatting>
  <conditionalFormatting sqref="F8:F9">
    <cfRule type="cellIs" dxfId="14" priority="1" stopIfTrue="1" operator="equal">
      <formula>"TOCC"</formula>
    </cfRule>
  </conditionalFormatting>
  <printOptions horizontalCentered="1"/>
  <pageMargins left="0.35433070866141736" right="0.35433070866141736" top="0.39370078740157483" bottom="0.39370078740157483" header="0" footer="0"/>
  <pageSetup paperSize="9" scale="56" orientation="landscape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E1566"/>
  <sheetViews>
    <sheetView tabSelected="1" topLeftCell="B1" zoomScale="89" zoomScaleNormal="89" workbookViewId="0">
      <pane xSplit="2" ySplit="4" topLeftCell="D5" activePane="bottomRight" state="frozen"/>
      <selection activeCell="B1" sqref="B1"/>
      <selection pane="topRight" activeCell="D1" sqref="D1"/>
      <selection pane="bottomLeft" activeCell="B5" sqref="B5"/>
      <selection pane="bottomRight" activeCell="D1" sqref="D1"/>
    </sheetView>
  </sheetViews>
  <sheetFormatPr defaultRowHeight="10.5" x14ac:dyDescent="0.15"/>
  <cols>
    <col min="1" max="1" width="2" style="64" bestFit="1" customWidth="1"/>
    <col min="2" max="2" width="9.28515625" style="64" bestFit="1" customWidth="1"/>
    <col min="3" max="3" width="14.5703125" style="64" bestFit="1" customWidth="1"/>
    <col min="4" max="24" width="13.28515625" style="64" customWidth="1"/>
    <col min="25" max="31" width="5.28515625" style="64" bestFit="1" customWidth="1"/>
    <col min="32" max="32" width="6" style="64" bestFit="1" customWidth="1"/>
    <col min="33" max="33" width="5.28515625" style="64" bestFit="1" customWidth="1"/>
    <col min="34" max="35" width="2.7109375" style="64" customWidth="1"/>
    <col min="36" max="36" width="14.5703125" style="64" bestFit="1" customWidth="1"/>
    <col min="37" max="37" width="7.5703125" style="64" bestFit="1" customWidth="1"/>
    <col min="38" max="38" width="4.5703125" style="64" bestFit="1" customWidth="1"/>
    <col min="39" max="39" width="5" style="64" bestFit="1" customWidth="1"/>
    <col min="40" max="40" width="12" style="64" bestFit="1" customWidth="1"/>
    <col min="41" max="41" width="8" style="64" bestFit="1" customWidth="1"/>
    <col min="42" max="43" width="5" style="64" bestFit="1" customWidth="1"/>
    <col min="44" max="44" width="6.140625" style="57" bestFit="1" customWidth="1"/>
    <col min="45" max="45" width="5.7109375" style="64" bestFit="1" customWidth="1"/>
    <col min="46" max="46" width="5.5703125" style="64" bestFit="1" customWidth="1"/>
    <col min="47" max="47" width="4.140625" style="64" bestFit="1" customWidth="1"/>
    <col min="48" max="48" width="6" style="64" bestFit="1" customWidth="1"/>
    <col min="49" max="51" width="5.28515625" style="64" bestFit="1" customWidth="1"/>
    <col min="52" max="54" width="4.140625" style="64" bestFit="1" customWidth="1"/>
    <col min="55" max="55" width="4" style="64" bestFit="1" customWidth="1"/>
    <col min="56" max="56" width="5.7109375" style="64" bestFit="1" customWidth="1"/>
    <col min="57" max="57" width="8.7109375" style="64" bestFit="1" customWidth="1"/>
    <col min="58" max="58" width="7.5703125" style="64" bestFit="1" customWidth="1"/>
    <col min="59" max="60" width="5.42578125" style="64" bestFit="1" customWidth="1"/>
    <col min="61" max="61" width="9.5703125" style="64" bestFit="1" customWidth="1"/>
    <col min="62" max="62" width="6.5703125" style="64" bestFit="1" customWidth="1"/>
    <col min="63" max="63" width="5.140625" style="64" bestFit="1" customWidth="1"/>
    <col min="64" max="64" width="12" style="64" bestFit="1" customWidth="1"/>
    <col min="65" max="66" width="5.140625" style="64" bestFit="1" customWidth="1"/>
    <col min="67" max="67" width="10.28515625" style="64" bestFit="1" customWidth="1"/>
    <col min="68" max="68" width="7.7109375" style="64" bestFit="1" customWidth="1"/>
    <col min="69" max="69" width="2" style="64" bestFit="1" customWidth="1"/>
    <col min="70" max="70" width="5" style="64" bestFit="1" customWidth="1"/>
    <col min="71" max="71" width="11.28515625" style="64" bestFit="1" customWidth="1"/>
    <col min="72" max="72" width="2" style="64" bestFit="1" customWidth="1"/>
    <col min="73" max="73" width="11.28515625" style="64" bestFit="1" customWidth="1"/>
    <col min="74" max="74" width="3" style="64" bestFit="1" customWidth="1"/>
    <col min="75" max="75" width="14.5703125" style="64" bestFit="1" customWidth="1"/>
    <col min="76" max="76" width="2" style="64" bestFit="1" customWidth="1"/>
    <col min="77" max="77" width="14.5703125" style="64" bestFit="1" customWidth="1"/>
    <col min="78" max="78" width="3" style="64" bestFit="1" customWidth="1"/>
    <col min="79" max="79" width="14.5703125" style="64" bestFit="1" customWidth="1"/>
    <col min="80" max="80" width="2" style="64" bestFit="1" customWidth="1"/>
    <col min="81" max="81" width="14.5703125" style="64" bestFit="1" customWidth="1"/>
    <col min="82" max="16384" width="9.140625" style="64"/>
  </cols>
  <sheetData>
    <row r="1" spans="1:81" s="63" customFormat="1" ht="50.25" customHeight="1" x14ac:dyDescent="0.15">
      <c r="A1" s="60"/>
      <c r="B1" s="60"/>
      <c r="C1" s="48" t="str">
        <f t="array" ref="C1:AG4">TRANSPOSE(Matches!B4:E32)</f>
        <v>Date</v>
      </c>
      <c r="D1" s="61">
        <v>44675</v>
      </c>
      <c r="E1" s="61">
        <v>44682</v>
      </c>
      <c r="F1" s="61">
        <v>44689</v>
      </c>
      <c r="G1" s="61">
        <v>44696</v>
      </c>
      <c r="H1" s="61">
        <v>44703</v>
      </c>
      <c r="I1" s="61">
        <v>44715</v>
      </c>
      <c r="J1" s="61">
        <v>44714</v>
      </c>
      <c r="K1" s="61">
        <v>44716</v>
      </c>
      <c r="L1" s="61">
        <v>44724</v>
      </c>
      <c r="M1" s="61">
        <v>44731</v>
      </c>
      <c r="N1" s="61">
        <v>44738</v>
      </c>
      <c r="O1" s="61">
        <v>44745</v>
      </c>
      <c r="P1" s="61">
        <v>44752</v>
      </c>
      <c r="Q1" s="61">
        <v>44759</v>
      </c>
      <c r="R1" s="61">
        <v>44780</v>
      </c>
      <c r="S1" s="61">
        <v>44787</v>
      </c>
      <c r="T1" s="61">
        <v>44801</v>
      </c>
      <c r="U1" s="61">
        <v>44808</v>
      </c>
      <c r="V1" s="61">
        <v>44815</v>
      </c>
      <c r="W1" s="61">
        <v>44822</v>
      </c>
      <c r="X1" s="61">
        <v>44829</v>
      </c>
      <c r="Y1" s="61">
        <v>0</v>
      </c>
      <c r="Z1" s="61">
        <v>0</v>
      </c>
      <c r="AA1" s="61">
        <v>0</v>
      </c>
      <c r="AB1" s="61">
        <v>0</v>
      </c>
      <c r="AC1" s="61">
        <v>0</v>
      </c>
      <c r="AD1" s="61">
        <v>0</v>
      </c>
      <c r="AE1" s="61">
        <v>0</v>
      </c>
      <c r="AF1" s="61" t="e">
        <v>#N/A</v>
      </c>
      <c r="AG1" s="61" t="e">
        <v>#N/A</v>
      </c>
      <c r="AH1" s="61"/>
      <c r="AI1" s="61"/>
      <c r="AJ1" s="61"/>
      <c r="AK1" s="60"/>
      <c r="AL1" s="60"/>
      <c r="AM1" s="60"/>
      <c r="AN1" s="60"/>
      <c r="AO1" s="60"/>
      <c r="AP1" s="60"/>
      <c r="AQ1" s="60"/>
      <c r="AR1" s="62"/>
    </row>
    <row r="2" spans="1:81" ht="83.25" customHeight="1" x14ac:dyDescent="0.15">
      <c r="C2" s="51" t="str">
        <v>Opp</v>
      </c>
      <c r="D2" s="65" t="str">
        <v>Worcester Park</v>
      </c>
      <c r="E2" s="65" t="str">
        <v>Riverside</v>
      </c>
      <c r="F2" s="65" t="str">
        <v>Warlingham</v>
      </c>
      <c r="G2" s="65" t="str">
        <v>YRG Eagles</v>
      </c>
      <c r="H2" s="65" t="str">
        <v>Merton Bears</v>
      </c>
      <c r="I2" s="65" t="str">
        <v>Woodgreen</v>
      </c>
      <c r="J2" s="65" t="str">
        <v>Steeple Langford</v>
      </c>
      <c r="K2" s="65" t="str">
        <v>Fonthill Park</v>
      </c>
      <c r="L2" s="65" t="str">
        <v>Beddington</v>
      </c>
      <c r="M2" s="65" t="str">
        <v>Richmond Legbreakers</v>
      </c>
      <c r="N2" s="65" t="str">
        <v>Norwood Exiles</v>
      </c>
      <c r="O2" s="65" t="str">
        <v>London Leopards</v>
      </c>
      <c r="P2" s="65" t="str">
        <v>Morden</v>
      </c>
      <c r="Q2" s="65" t="str">
        <v>Sanderstead</v>
      </c>
      <c r="R2" s="65" t="str">
        <v>Worcester Park</v>
      </c>
      <c r="S2" s="65" t="str">
        <v>Norwood Exiles</v>
      </c>
      <c r="T2" s="65" t="str">
        <v>Mitcham</v>
      </c>
      <c r="U2" s="65" t="str">
        <v>Beddington</v>
      </c>
      <c r="V2" s="65" t="str">
        <v>Battersea Ironsides</v>
      </c>
      <c r="W2" s="65" t="str">
        <v>Ploughman's Sunday XI</v>
      </c>
      <c r="X2" s="65" t="str">
        <v>Sanderstead</v>
      </c>
      <c r="Y2" s="65">
        <v>0</v>
      </c>
      <c r="Z2" s="65">
        <v>0</v>
      </c>
      <c r="AA2" s="65">
        <v>0</v>
      </c>
      <c r="AB2" s="65">
        <v>0</v>
      </c>
      <c r="AC2" s="65">
        <v>0</v>
      </c>
      <c r="AD2" s="65">
        <v>0</v>
      </c>
      <c r="AE2" s="65">
        <v>0</v>
      </c>
      <c r="AF2" s="65" t="e">
        <v>#N/A</v>
      </c>
      <c r="AG2" s="65" t="e">
        <v>#N/A</v>
      </c>
      <c r="AH2" s="65"/>
      <c r="AI2" s="65"/>
      <c r="AJ2" s="65"/>
      <c r="AT2" s="64" t="s">
        <v>4</v>
      </c>
    </row>
    <row r="3" spans="1:81" x14ac:dyDescent="0.15">
      <c r="C3" s="51" t="str">
        <v>Venue</v>
      </c>
      <c r="D3" s="51" t="str">
        <v>H</v>
      </c>
      <c r="E3" s="51" t="str">
        <v>H</v>
      </c>
      <c r="F3" s="51" t="str">
        <v>A</v>
      </c>
      <c r="G3" s="51" t="str">
        <v>H</v>
      </c>
      <c r="H3" s="51" t="str">
        <v>A</v>
      </c>
      <c r="I3" s="51" t="str">
        <v>A</v>
      </c>
      <c r="J3" s="51" t="str">
        <v>A</v>
      </c>
      <c r="K3" s="51" t="str">
        <v>A</v>
      </c>
      <c r="L3" s="51" t="str">
        <v>A</v>
      </c>
      <c r="M3" s="51" t="str">
        <v>H</v>
      </c>
      <c r="N3" s="51" t="str">
        <v>A</v>
      </c>
      <c r="O3" s="51" t="str">
        <v>A</v>
      </c>
      <c r="P3" s="51" t="str">
        <v>A</v>
      </c>
      <c r="Q3" s="51" t="str">
        <v>H</v>
      </c>
      <c r="R3" s="51" t="str">
        <v>A</v>
      </c>
      <c r="S3" s="51" t="str">
        <v>H</v>
      </c>
      <c r="T3" s="51" t="str">
        <v>A</v>
      </c>
      <c r="U3" s="51" t="str">
        <v>H</v>
      </c>
      <c r="V3" s="51" t="str">
        <v>A</v>
      </c>
      <c r="W3" s="51" t="str">
        <v>H</v>
      </c>
      <c r="X3" s="51" t="str">
        <v>A</v>
      </c>
      <c r="Y3" s="51">
        <v>0</v>
      </c>
      <c r="Z3" s="51">
        <v>0</v>
      </c>
      <c r="AA3" s="51">
        <v>0</v>
      </c>
      <c r="AB3" s="51">
        <v>0</v>
      </c>
      <c r="AC3" s="51">
        <v>0</v>
      </c>
      <c r="AD3" s="51">
        <v>0</v>
      </c>
      <c r="AE3" s="51">
        <v>0</v>
      </c>
      <c r="AF3" s="51" t="e">
        <v>#N/A</v>
      </c>
      <c r="AG3" s="51" t="e">
        <v>#N/A</v>
      </c>
      <c r="AH3" s="51"/>
      <c r="AI3" s="51"/>
      <c r="AJ3" s="51"/>
    </row>
    <row r="4" spans="1:81" x14ac:dyDescent="0.15">
      <c r="C4" s="51" t="str">
        <v>Result</v>
      </c>
      <c r="D4" s="64" t="str">
        <v>W</v>
      </c>
      <c r="E4" s="51" t="str">
        <v>W</v>
      </c>
      <c r="F4" s="51" t="str">
        <v>D</v>
      </c>
      <c r="G4" s="51" t="str">
        <v>W</v>
      </c>
      <c r="H4" s="51" t="str">
        <v>W</v>
      </c>
      <c r="I4" s="51" t="str">
        <v>ND</v>
      </c>
      <c r="J4" s="51" t="str">
        <v>W</v>
      </c>
      <c r="K4" s="51" t="str">
        <v>L</v>
      </c>
      <c r="L4" s="51" t="str">
        <v>W</v>
      </c>
      <c r="M4" s="51" t="str">
        <v>L</v>
      </c>
      <c r="N4" s="51" t="str">
        <v>W</v>
      </c>
      <c r="O4" s="51" t="str">
        <v>W</v>
      </c>
      <c r="P4" s="51" t="str">
        <v>W</v>
      </c>
      <c r="Q4" s="51" t="str">
        <v>L</v>
      </c>
      <c r="R4" s="51" t="str">
        <v>W</v>
      </c>
      <c r="S4" s="51" t="str">
        <v>W</v>
      </c>
      <c r="T4" s="51" t="str">
        <v>L</v>
      </c>
      <c r="U4" s="51" t="str">
        <v>L</v>
      </c>
      <c r="V4" s="51" t="str">
        <v>L</v>
      </c>
      <c r="W4" s="51" t="str">
        <v>L</v>
      </c>
      <c r="X4" s="51" t="str">
        <v>W</v>
      </c>
      <c r="Y4" s="51">
        <v>0</v>
      </c>
      <c r="Z4" s="51">
        <v>0</v>
      </c>
      <c r="AA4" s="51">
        <v>0</v>
      </c>
      <c r="AB4" s="51">
        <v>0</v>
      </c>
      <c r="AC4" s="51">
        <v>0</v>
      </c>
      <c r="AD4" s="51">
        <v>0</v>
      </c>
      <c r="AE4" s="51">
        <v>0</v>
      </c>
      <c r="AF4" s="51" t="e">
        <v>#N/A</v>
      </c>
      <c r="AG4" s="51" t="e">
        <v>#N/A</v>
      </c>
      <c r="AH4" s="51"/>
      <c r="AI4" s="51"/>
      <c r="AJ4" s="51"/>
      <c r="AK4" s="47" t="s">
        <v>5</v>
      </c>
      <c r="AL4" s="47" t="s">
        <v>6</v>
      </c>
      <c r="AM4" s="47" t="s">
        <v>7</v>
      </c>
      <c r="AN4" s="47" t="s">
        <v>8</v>
      </c>
      <c r="AO4" s="47" t="s">
        <v>115</v>
      </c>
      <c r="AP4" s="47" t="s">
        <v>131</v>
      </c>
      <c r="AQ4" s="47" t="s">
        <v>9</v>
      </c>
      <c r="AR4" s="44" t="s">
        <v>33</v>
      </c>
      <c r="AS4" s="64" t="s">
        <v>11</v>
      </c>
      <c r="AT4" s="47" t="s">
        <v>12</v>
      </c>
      <c r="AU4" s="47" t="s">
        <v>13</v>
      </c>
      <c r="AV4" s="47" t="s">
        <v>14</v>
      </c>
      <c r="AW4" s="47" t="s">
        <v>15</v>
      </c>
      <c r="AX4" s="47" t="s">
        <v>16</v>
      </c>
      <c r="AY4" s="47" t="s">
        <v>17</v>
      </c>
      <c r="AZ4" s="47" t="s">
        <v>18</v>
      </c>
      <c r="BA4" s="47" t="s">
        <v>19</v>
      </c>
      <c r="BB4" s="47" t="s">
        <v>186</v>
      </c>
      <c r="BC4" s="70" t="s">
        <v>225</v>
      </c>
      <c r="BD4" s="70" t="s">
        <v>216</v>
      </c>
      <c r="BE4" s="70" t="s">
        <v>289</v>
      </c>
      <c r="BF4" s="47" t="s">
        <v>20</v>
      </c>
      <c r="BG4" s="47" t="s">
        <v>21</v>
      </c>
      <c r="BH4" s="47" t="s">
        <v>22</v>
      </c>
      <c r="BI4" s="47" t="s">
        <v>23</v>
      </c>
      <c r="BJ4" s="64" t="s">
        <v>116</v>
      </c>
      <c r="BK4" s="64" t="s">
        <v>117</v>
      </c>
      <c r="BL4" s="64" t="s">
        <v>129</v>
      </c>
      <c r="BM4" s="64" t="s">
        <v>128</v>
      </c>
      <c r="BN4" s="64" t="s">
        <v>135</v>
      </c>
      <c r="BO4" s="64" t="s">
        <v>142</v>
      </c>
      <c r="BP4" s="64" t="s">
        <v>144</v>
      </c>
      <c r="BR4" s="231" t="s">
        <v>240</v>
      </c>
      <c r="BS4" s="231"/>
      <c r="BT4" s="230" t="s">
        <v>22</v>
      </c>
      <c r="BU4" s="230"/>
      <c r="BV4" s="229" t="s">
        <v>21</v>
      </c>
      <c r="BW4" s="229"/>
      <c r="BX4" s="228" t="s">
        <v>243</v>
      </c>
      <c r="BY4" s="228"/>
      <c r="BZ4" s="232" t="s">
        <v>152</v>
      </c>
      <c r="CA4" s="233"/>
      <c r="CB4" s="226" t="s">
        <v>14</v>
      </c>
      <c r="CC4" s="227"/>
    </row>
    <row r="5" spans="1:81" x14ac:dyDescent="0.15">
      <c r="B5" t="s">
        <v>262</v>
      </c>
      <c r="C5" t="s">
        <v>263</v>
      </c>
      <c r="D5" t="s">
        <v>378</v>
      </c>
      <c r="E5"/>
      <c r="F5" s="116"/>
      <c r="G5"/>
      <c r="H5" s="116"/>
      <c r="I5" s="116"/>
      <c r="J5" s="116" t="s">
        <v>474</v>
      </c>
      <c r="K5" s="116"/>
      <c r="L5" s="116"/>
      <c r="M5" s="116" t="s">
        <v>520</v>
      </c>
      <c r="N5" s="116"/>
      <c r="O5" s="116"/>
      <c r="P5" s="116"/>
      <c r="Q5" s="116" t="s">
        <v>594</v>
      </c>
      <c r="R5" s="116"/>
      <c r="S5" s="116" t="s">
        <v>631</v>
      </c>
      <c r="T5" s="116"/>
      <c r="U5"/>
      <c r="V5" s="116" t="s">
        <v>677</v>
      </c>
      <c r="W5" t="s">
        <v>703</v>
      </c>
      <c r="X5"/>
      <c r="Y5"/>
      <c r="Z5"/>
      <c r="AJ5" s="64" t="str">
        <f t="shared" ref="AJ5" si="0">C5</f>
        <v>Ahmed M</v>
      </c>
      <c r="AK5" s="64">
        <f t="shared" ref="AK5" si="1">BatSplit(D5:AI5,MatchesPlayed)</f>
        <v>7</v>
      </c>
      <c r="AL5" s="64">
        <f t="shared" ref="AL5" si="2">AK5-AM5</f>
        <v>0</v>
      </c>
      <c r="AM5" s="64">
        <f t="shared" ref="AM5" si="3">BatSplit(D5:AI5,InnsBattedIn)</f>
        <v>7</v>
      </c>
      <c r="AN5" s="64">
        <f t="shared" ref="AN5" si="4">BatSplit(D5:AI5,NotOuts)</f>
        <v>2</v>
      </c>
      <c r="AO5" s="64">
        <f t="shared" ref="AO5" si="5">BatSplit(D5:AI5,HighestScore)</f>
        <v>-22</v>
      </c>
      <c r="AP5" s="68" t="str">
        <f t="shared" ref="AP5" si="6">IF(AO5&lt;0,-AO5&amp;"*",AO5)</f>
        <v>22*</v>
      </c>
      <c r="AQ5" s="64">
        <f t="shared" ref="AQ5" si="7">BatSplit(D5:AI5,RunsScored)</f>
        <v>50</v>
      </c>
      <c r="AR5" s="66">
        <f t="shared" ref="AR5" si="8">IF(AM5=AN5,0,AQ5/(AM5-AN5))</f>
        <v>10</v>
      </c>
      <c r="AS5" s="64">
        <f t="shared" ref="AS5" si="9">BatSplit(D5:AI5,FldPts)</f>
        <v>0</v>
      </c>
      <c r="AT5" s="67">
        <f t="array" ref="AT5">SUM(IF(ISERR(FIND("*",D5:AI5)),0,1))</f>
        <v>0</v>
      </c>
      <c r="AU5" s="67">
        <f t="array" ref="AU5">SUM(IF(ISERR(FIND("+",D5:AI5)),0,1))</f>
        <v>0</v>
      </c>
      <c r="AV5" s="64">
        <f t="shared" ref="AV5" si="10">BatSplit(D5:AI5,Ducks)</f>
        <v>0</v>
      </c>
      <c r="AW5" s="67">
        <f t="array" ref="AW5">SUM(IF(ISERR(FIND(AW$4,$D5:$AI5)),0,1))</f>
        <v>3</v>
      </c>
      <c r="AX5" s="67">
        <f t="array" ref="AX5">SUM(IF(ISERR(FIND(AX$4,$D5:$AI5)),0,1))</f>
        <v>2</v>
      </c>
      <c r="AY5" s="67">
        <f t="array" ref="AY5">SUM(IF(ISERR(FIND(AY$4,$D5:$AI5)),0,1))</f>
        <v>0</v>
      </c>
      <c r="AZ5" s="67">
        <f t="array" ref="AZ5">SUM(IF(ISERR(FIND(AZ$4,$D5:$AI5)),0,1))</f>
        <v>0</v>
      </c>
      <c r="BA5" s="67">
        <f t="array" ref="BA5">SUM(IF(ISERR(FIND(BA$4,$D5:$AI5)),0,1))</f>
        <v>0</v>
      </c>
      <c r="BB5" s="67">
        <f t="array" ref="BB5">SUM(IF(ISERR(FIND(BB$4,$D5:$AI5)),0,1))</f>
        <v>0</v>
      </c>
      <c r="BC5" s="67">
        <f t="array" ref="BC5">SUM(IF(ISERR(FIND(BC$4,$D5:$AI5)),0,1))</f>
        <v>0</v>
      </c>
      <c r="BD5" s="67">
        <f t="shared" ref="BD5" si="11">BatSplit(D5:AI5,Fifties)</f>
        <v>0</v>
      </c>
      <c r="BE5" s="67">
        <f t="shared" ref="BE5" si="12">BatSplit(D5:AI5,Hundreds)</f>
        <v>0</v>
      </c>
      <c r="BF5" s="67">
        <f t="shared" ref="BF5" si="13">BatSplit(D5:AI5,Catches)</f>
        <v>0</v>
      </c>
      <c r="BG5" s="67">
        <f t="shared" ref="BG5" si="14">BatSplit(D5:AI5,Fours)</f>
        <v>4</v>
      </c>
      <c r="BH5" s="67">
        <f t="shared" ref="BH5" si="15">BatSplit(D5:AI5,Sixes)</f>
        <v>0</v>
      </c>
      <c r="BI5" s="67">
        <f t="shared" ref="BI5" si="16">BatSplit(D5:AI5,Stumpings)</f>
        <v>0</v>
      </c>
      <c r="BJ5" s="67">
        <f t="shared" ref="BJ5" si="17">BatSplit(D5:AI5,CaughtWkt)</f>
        <v>0</v>
      </c>
      <c r="BK5" s="67">
        <f t="shared" ref="BK5" si="18">BatSplit(D5:AI5,TwentyFives)</f>
        <v>0</v>
      </c>
      <c r="BL5" s="64">
        <f t="shared" ref="BL5" si="19">ROUND(IF(ISERROR(AR5),0,AR5),2)*100000+AM5*100+AK5+AQ5/100+ROW()/100000</f>
        <v>1000707.50005</v>
      </c>
      <c r="BM5" s="64">
        <f>RANK(BL5,$BL$5:$BL$62)</f>
        <v>21</v>
      </c>
      <c r="BN5" s="64">
        <v>0</v>
      </c>
      <c r="BO5" s="85">
        <f t="shared" ref="BO5" si="20">IF(AQ5&gt;=50,(BG5*4+BH5*6+BN5*5)/AQ5,"")</f>
        <v>0.32</v>
      </c>
      <c r="BP5" s="93">
        <f t="shared" ref="BP5" si="21">AV5/(AM5-AN5)</f>
        <v>0</v>
      </c>
      <c r="BQ5" s="171">
        <f t="shared" ref="BQ5" si="22">BF5</f>
        <v>0</v>
      </c>
      <c r="BR5" s="64" t="str">
        <f t="shared" ref="BR5" si="23">IF(BF5=0,"",BF5&amp;IF(BJ5=0,""," ("&amp;BJ5&amp;")"))</f>
        <v/>
      </c>
      <c r="BS5" s="64" t="str">
        <f t="shared" ref="BS5" si="24">IF(BF5=0,"",C5)</f>
        <v/>
      </c>
      <c r="BT5" s="67">
        <f t="shared" ref="BT5" si="25">BH5</f>
        <v>0</v>
      </c>
      <c r="BU5" s="64" t="str">
        <f t="shared" ref="BU5" si="26">IF(BT5=0,"",C5)</f>
        <v/>
      </c>
      <c r="BV5" s="67">
        <f t="shared" ref="BV5" si="27">BG5</f>
        <v>4</v>
      </c>
      <c r="BW5" s="64" t="str">
        <f t="shared" ref="BW5" si="28">IF(BV5=0,"",C5)</f>
        <v>Ahmed M</v>
      </c>
      <c r="BX5" s="67">
        <f t="shared" ref="BX5" si="29">BK5</f>
        <v>0</v>
      </c>
      <c r="BY5" s="64" t="str">
        <f t="shared" ref="BY5" si="30">IF(BX5=0,"",C5)</f>
        <v/>
      </c>
      <c r="BZ5" s="64">
        <f>AK5</f>
        <v>7</v>
      </c>
      <c r="CA5" s="64" t="str">
        <f>AJ5</f>
        <v>Ahmed M</v>
      </c>
      <c r="CB5" s="64">
        <f>AV5</f>
        <v>0</v>
      </c>
      <c r="CC5" s="64" t="str">
        <f>AJ5</f>
        <v>Ahmed M</v>
      </c>
    </row>
    <row r="6" spans="1:81" x14ac:dyDescent="0.15">
      <c r="B6"/>
      <c r="C6" t="s">
        <v>432</v>
      </c>
      <c r="D6"/>
      <c r="E6"/>
      <c r="F6" s="116"/>
      <c r="G6"/>
      <c r="H6" s="116" t="s">
        <v>433</v>
      </c>
      <c r="I6" s="116"/>
      <c r="J6" s="116"/>
      <c r="K6" s="116"/>
      <c r="L6" s="116" t="s">
        <v>508</v>
      </c>
      <c r="M6" s="116"/>
      <c r="N6" s="116"/>
      <c r="O6" s="116"/>
      <c r="P6" s="116"/>
      <c r="Q6" s="116"/>
      <c r="R6" s="116"/>
      <c r="S6" s="116"/>
      <c r="T6" s="116"/>
      <c r="U6"/>
      <c r="V6" s="116"/>
      <c r="W6"/>
      <c r="X6"/>
      <c r="Y6"/>
      <c r="Z6"/>
      <c r="AJ6" s="64" t="str">
        <f t="shared" ref="AJ6:AJ62" si="31">C6</f>
        <v>Ahmed R</v>
      </c>
      <c r="AK6" s="64">
        <f t="shared" ref="AK6:AK9" si="32">BatSplit(D6:AI6,MatchesPlayed)</f>
        <v>2</v>
      </c>
      <c r="AL6" s="64">
        <f t="shared" ref="AL6:AL9" si="33">AK6-AM6</f>
        <v>0</v>
      </c>
      <c r="AM6" s="64">
        <f t="shared" ref="AM6:AM9" si="34">BatSplit(D6:AI6,InnsBattedIn)</f>
        <v>2</v>
      </c>
      <c r="AN6" s="64">
        <f t="shared" ref="AN6:AN9" si="35">BatSplit(D6:AI6,NotOuts)</f>
        <v>0</v>
      </c>
      <c r="AO6" s="64">
        <f t="shared" ref="AO6:AO9" si="36">BatSplit(D6:AI6,HighestScore)</f>
        <v>90</v>
      </c>
      <c r="AP6" s="68">
        <f t="shared" ref="AP6:AP9" si="37">IF(AO6&lt;0,-AO6&amp;"*",AO6)</f>
        <v>90</v>
      </c>
      <c r="AQ6" s="64">
        <f t="shared" ref="AQ6:AQ9" si="38">BatSplit(D6:AI6,RunsScored)</f>
        <v>176</v>
      </c>
      <c r="AR6" s="66">
        <f t="shared" ref="AR6:AR9" si="39">IF(AM6=AN6,0,AQ6/(AM6-AN6))</f>
        <v>88</v>
      </c>
      <c r="AS6" s="64">
        <f t="shared" ref="AS6:AS9" si="40">BatSplit(D6:AI6,FldPts)</f>
        <v>15</v>
      </c>
      <c r="AT6" s="67">
        <f t="array" ref="AT6">SUM(IF(ISERR(FIND("*",D6:AI6)),0,1))</f>
        <v>0</v>
      </c>
      <c r="AU6" s="67">
        <f t="array" ref="AU6">SUM(IF(ISERR(FIND("+",D6:AI6)),0,1))</f>
        <v>0</v>
      </c>
      <c r="AV6" s="64">
        <f t="shared" ref="AV6:AV9" si="41">BatSplit(D6:AI6,Ducks)</f>
        <v>0</v>
      </c>
      <c r="AW6" s="67">
        <f t="array" ref="AW6">SUM(IF(ISERR(FIND(AW$4,$D6:$AI6)),0,1))</f>
        <v>0</v>
      </c>
      <c r="AX6" s="67">
        <f t="array" ref="AX6">SUM(IF(ISERR(FIND(AX$4,$D6:$AI6)),0,1))</f>
        <v>2</v>
      </c>
      <c r="AY6" s="67">
        <f t="array" ref="AY6">SUM(IF(ISERR(FIND(AY$4,$D6:$AI6)),0,1))</f>
        <v>0</v>
      </c>
      <c r="AZ6" s="67">
        <f t="array" ref="AZ6">SUM(IF(ISERR(FIND(AZ$4,$D6:$AI6)),0,1))</f>
        <v>0</v>
      </c>
      <c r="BA6" s="67">
        <f t="array" ref="BA6">SUM(IF(ISERR(FIND(BA$4,$D6:$AI6)),0,1))</f>
        <v>0</v>
      </c>
      <c r="BB6" s="67">
        <f t="array" ref="BB6">SUM(IF(ISERR(FIND(BB$4,$D6:$AI6)),0,1))</f>
        <v>0</v>
      </c>
      <c r="BC6" s="67">
        <f t="array" ref="BC6">SUM(IF(ISERR(FIND(BC$4,$D6:$AI6)),0,1))</f>
        <v>0</v>
      </c>
      <c r="BD6" s="67">
        <f t="shared" ref="BD6:BD9" si="42">BatSplit(D6:AI6,Fifties)</f>
        <v>2</v>
      </c>
      <c r="BE6" s="67">
        <f t="shared" ref="BE6:BE9" si="43">BatSplit(D6:AI6,Hundreds)</f>
        <v>0</v>
      </c>
      <c r="BF6" s="67">
        <f t="shared" ref="BF6:BF9" si="44">BatSplit(D6:AI6,Catches)</f>
        <v>3</v>
      </c>
      <c r="BG6" s="67">
        <f t="shared" ref="BG6:BG9" si="45">BatSplit(D6:AI6,Fours)</f>
        <v>29</v>
      </c>
      <c r="BH6" s="67">
        <f t="shared" ref="BH6:BH9" si="46">BatSplit(D6:AI6,Sixes)</f>
        <v>0</v>
      </c>
      <c r="BI6" s="67">
        <f t="shared" ref="BI6:BI9" si="47">BatSplit(D6:AI6,Stumpings)</f>
        <v>0</v>
      </c>
      <c r="BJ6" s="67">
        <f t="shared" ref="BJ6:BJ9" si="48">BatSplit(D6:AI6,CaughtWkt)</f>
        <v>0</v>
      </c>
      <c r="BK6" s="67">
        <f t="shared" ref="BK6:BK9" si="49">BatSplit(D6:AI6,TwentyFives)</f>
        <v>2</v>
      </c>
      <c r="BL6" s="64">
        <f t="shared" ref="BL6:BL9" si="50">ROUND(IF(ISERROR(AR6),0,AR6),2)*100000+AM6*100+AK6+AQ6/100+ROW()/100000</f>
        <v>8800203.7600599993</v>
      </c>
      <c r="BM6" s="64">
        <f>RANK(BL6,$BL$5:$BL$62)</f>
        <v>1</v>
      </c>
      <c r="BN6" s="64">
        <v>0</v>
      </c>
      <c r="BO6" s="85">
        <f t="shared" ref="BO6:BO9" si="51">IF(AQ6&gt;=50,(BG6*4+BH6*6+BN6*5)/AQ6,"")</f>
        <v>0.65909090909090906</v>
      </c>
      <c r="BP6" s="93">
        <f t="shared" ref="BP6:BP9" si="52">AV6/(AM6-AN6)</f>
        <v>0</v>
      </c>
      <c r="BQ6" s="171">
        <f t="shared" ref="BQ6:BQ9" si="53">BF6</f>
        <v>3</v>
      </c>
      <c r="BR6" s="64" t="str">
        <f t="shared" ref="BR6:BR9" si="54">IF(BF6=0,"",BF6&amp;IF(BJ6=0,""," ("&amp;BJ6&amp;")"))</f>
        <v>3</v>
      </c>
      <c r="BS6" s="64" t="str">
        <f t="shared" ref="BS6:BS9" si="55">IF(BF6=0,"",C6)</f>
        <v>Ahmed R</v>
      </c>
      <c r="BT6" s="67">
        <f t="shared" ref="BT6:BT9" si="56">BH6</f>
        <v>0</v>
      </c>
      <c r="BU6" s="64" t="str">
        <f t="shared" ref="BU6:BU9" si="57">IF(BT6=0,"",C6)</f>
        <v/>
      </c>
      <c r="BV6" s="67">
        <f t="shared" ref="BV6:BV9" si="58">BG6</f>
        <v>29</v>
      </c>
      <c r="BW6" s="64" t="str">
        <f t="shared" ref="BW6:BW9" si="59">IF(BV6=0,"",C6)</f>
        <v>Ahmed R</v>
      </c>
      <c r="BX6" s="67">
        <f t="shared" ref="BX6:BX9" si="60">BK6</f>
        <v>2</v>
      </c>
      <c r="BY6" s="64" t="str">
        <f t="shared" ref="BY6:BY9" si="61">IF(BX6=0,"",C6)</f>
        <v>Ahmed R</v>
      </c>
      <c r="BZ6" s="64">
        <f t="shared" ref="BZ6:BZ62" si="62">AK6</f>
        <v>2</v>
      </c>
      <c r="CA6" s="64" t="str">
        <f t="shared" ref="CA6:CA62" si="63">AJ6</f>
        <v>Ahmed R</v>
      </c>
      <c r="CB6" s="64">
        <f t="shared" ref="CB6:CB62" si="64">AV6</f>
        <v>0</v>
      </c>
      <c r="CC6" s="64" t="str">
        <f t="shared" ref="CC6:CC62" si="65">AJ6</f>
        <v>Ahmed R</v>
      </c>
    </row>
    <row r="7" spans="1:81" x14ac:dyDescent="0.15">
      <c r="B7" t="s">
        <v>255</v>
      </c>
      <c r="C7" t="s">
        <v>235</v>
      </c>
      <c r="D7"/>
      <c r="E7" t="s">
        <v>409</v>
      </c>
      <c r="F7" s="116" t="s">
        <v>315</v>
      </c>
      <c r="G7" t="s">
        <v>391</v>
      </c>
      <c r="H7" s="116" t="s">
        <v>436</v>
      </c>
      <c r="I7" s="116" t="s">
        <v>312</v>
      </c>
      <c r="J7" s="116" t="s">
        <v>473</v>
      </c>
      <c r="K7" s="116" t="s">
        <v>486</v>
      </c>
      <c r="L7" s="116" t="s">
        <v>311</v>
      </c>
      <c r="M7" s="116" t="s">
        <v>526</v>
      </c>
      <c r="N7" s="116" t="s">
        <v>311</v>
      </c>
      <c r="O7" s="116" t="s">
        <v>543</v>
      </c>
      <c r="P7" s="116" t="s">
        <v>577</v>
      </c>
      <c r="Q7" s="116"/>
      <c r="R7" s="116" t="s">
        <v>617</v>
      </c>
      <c r="S7" s="116" t="s">
        <v>630</v>
      </c>
      <c r="T7" s="116" t="s">
        <v>592</v>
      </c>
      <c r="U7"/>
      <c r="V7" t="s">
        <v>675</v>
      </c>
      <c r="W7"/>
      <c r="X7"/>
      <c r="Y7"/>
      <c r="Z7"/>
      <c r="AJ7" s="64" t="str">
        <f t="shared" si="31"/>
        <v>Bhatt P</v>
      </c>
      <c r="AK7" s="64">
        <f t="shared" si="32"/>
        <v>16</v>
      </c>
      <c r="AL7" s="64">
        <f t="shared" si="33"/>
        <v>4</v>
      </c>
      <c r="AM7" s="64">
        <f t="shared" si="34"/>
        <v>12</v>
      </c>
      <c r="AN7" s="64">
        <f t="shared" si="35"/>
        <v>2</v>
      </c>
      <c r="AO7" s="64">
        <f t="shared" si="36"/>
        <v>-43</v>
      </c>
      <c r="AP7" s="68" t="str">
        <f t="shared" si="37"/>
        <v>43*</v>
      </c>
      <c r="AQ7" s="64">
        <f t="shared" si="38"/>
        <v>189</v>
      </c>
      <c r="AR7" s="66">
        <f t="shared" si="39"/>
        <v>18.899999999999999</v>
      </c>
      <c r="AS7" s="64">
        <f t="shared" si="40"/>
        <v>5</v>
      </c>
      <c r="AT7" s="67">
        <f t="array" ref="AT7">SUM(IF(ISERR(FIND("*",D7:AI7)),0,1))</f>
        <v>1</v>
      </c>
      <c r="AU7" s="67">
        <f t="array" ref="AU7">SUM(IF(ISERR(FIND("+",D7:AI7)),0,1))</f>
        <v>0</v>
      </c>
      <c r="AV7" s="64">
        <f t="shared" si="41"/>
        <v>1</v>
      </c>
      <c r="AW7" s="67">
        <f t="array" ref="AW7">SUM(IF(ISERR(FIND(AW$4,$D7:$AI7)),0,1))</f>
        <v>0</v>
      </c>
      <c r="AX7" s="67">
        <f t="array" ref="AX7">SUM(IF(ISERR(FIND(AX$4,$D7:$AI7)),0,1))</f>
        <v>8</v>
      </c>
      <c r="AY7" s="67">
        <f t="array" ref="AY7">SUM(IF(ISERR(FIND(AY$4,$D7:$AI7)),0,1))</f>
        <v>0</v>
      </c>
      <c r="AZ7" s="67">
        <f t="array" ref="AZ7">SUM(IF(ISERR(FIND(AZ$4,$D7:$AI7)),0,1))</f>
        <v>0</v>
      </c>
      <c r="BA7" s="67">
        <f t="array" ref="BA7">SUM(IF(ISERR(FIND(BA$4,$D7:$AI7)),0,1))</f>
        <v>2</v>
      </c>
      <c r="BB7" s="67">
        <f t="array" ref="BB7">SUM(IF(ISERR(FIND(BB$4,$D7:$AI7)),0,1))</f>
        <v>0</v>
      </c>
      <c r="BC7" s="67">
        <f t="array" ref="BC7">SUM(IF(ISERR(FIND(BC$4,$D7:$AI7)),0,1))</f>
        <v>0</v>
      </c>
      <c r="BD7" s="67">
        <f t="shared" si="42"/>
        <v>0</v>
      </c>
      <c r="BE7" s="67">
        <f t="shared" si="43"/>
        <v>0</v>
      </c>
      <c r="BF7" s="67">
        <f t="shared" si="44"/>
        <v>1</v>
      </c>
      <c r="BG7" s="67">
        <f t="shared" si="45"/>
        <v>20</v>
      </c>
      <c r="BH7" s="67">
        <f t="shared" si="46"/>
        <v>0</v>
      </c>
      <c r="BI7" s="67">
        <f t="shared" si="47"/>
        <v>0</v>
      </c>
      <c r="BJ7" s="67">
        <f t="shared" si="48"/>
        <v>0</v>
      </c>
      <c r="BK7" s="67">
        <f t="shared" si="49"/>
        <v>3</v>
      </c>
      <c r="BL7" s="64">
        <f t="shared" si="50"/>
        <v>1891217.8900699997</v>
      </c>
      <c r="BM7" s="64">
        <f>RANK(BL7,$BL$5:$BL$62)</f>
        <v>15</v>
      </c>
      <c r="BN7" s="64">
        <v>0</v>
      </c>
      <c r="BO7" s="85">
        <f t="shared" si="51"/>
        <v>0.42328042328042326</v>
      </c>
      <c r="BP7" s="93">
        <f t="shared" si="52"/>
        <v>0.1</v>
      </c>
      <c r="BQ7" s="171">
        <f t="shared" si="53"/>
        <v>1</v>
      </c>
      <c r="BR7" s="64" t="str">
        <f t="shared" si="54"/>
        <v>1</v>
      </c>
      <c r="BS7" s="64" t="str">
        <f t="shared" si="55"/>
        <v>Bhatt P</v>
      </c>
      <c r="BT7" s="67">
        <f t="shared" si="56"/>
        <v>0</v>
      </c>
      <c r="BU7" s="64" t="str">
        <f t="shared" si="57"/>
        <v/>
      </c>
      <c r="BV7" s="67">
        <f t="shared" si="58"/>
        <v>20</v>
      </c>
      <c r="BW7" s="64" t="str">
        <f t="shared" si="59"/>
        <v>Bhatt P</v>
      </c>
      <c r="BX7" s="67">
        <f t="shared" si="60"/>
        <v>3</v>
      </c>
      <c r="BY7" s="64" t="str">
        <f t="shared" si="61"/>
        <v>Bhatt P</v>
      </c>
      <c r="BZ7" s="64">
        <f t="shared" si="62"/>
        <v>16</v>
      </c>
      <c r="CA7" s="64" t="str">
        <f t="shared" si="63"/>
        <v>Bhatt P</v>
      </c>
      <c r="CB7" s="64">
        <f t="shared" si="64"/>
        <v>1</v>
      </c>
      <c r="CC7" s="64" t="str">
        <f t="shared" si="65"/>
        <v>Bhatt P</v>
      </c>
    </row>
    <row r="8" spans="1:81" x14ac:dyDescent="0.15">
      <c r="B8" t="s">
        <v>569</v>
      </c>
      <c r="C8" t="s">
        <v>570</v>
      </c>
      <c r="D8"/>
      <c r="E8"/>
      <c r="F8" s="116"/>
      <c r="G8"/>
      <c r="H8" s="116"/>
      <c r="I8" s="116"/>
      <c r="J8" s="116"/>
      <c r="K8" s="116"/>
      <c r="L8" s="116"/>
      <c r="M8" s="116"/>
      <c r="N8" s="116"/>
      <c r="O8" s="116"/>
      <c r="P8" s="116" t="s">
        <v>571</v>
      </c>
      <c r="Q8" s="116"/>
      <c r="R8" s="116"/>
      <c r="S8" s="116"/>
      <c r="T8"/>
      <c r="U8"/>
      <c r="V8"/>
      <c r="W8"/>
      <c r="X8"/>
      <c r="Y8"/>
      <c r="Z8"/>
      <c r="AJ8" s="64" t="str">
        <f t="shared" ref="AJ8" si="66">C8</f>
        <v>Biswas A</v>
      </c>
      <c r="AK8" s="64">
        <f t="shared" ref="AK8" si="67">BatSplit(D8:AI8,MatchesPlayed)</f>
        <v>1</v>
      </c>
      <c r="AL8" s="64">
        <f t="shared" ref="AL8" si="68">AK8-AM8</f>
        <v>0</v>
      </c>
      <c r="AM8" s="64">
        <f t="shared" ref="AM8" si="69">BatSplit(D8:AI8,InnsBattedIn)</f>
        <v>1</v>
      </c>
      <c r="AN8" s="64">
        <f t="shared" ref="AN8" si="70">BatSplit(D8:AI8,NotOuts)</f>
        <v>0</v>
      </c>
      <c r="AO8" s="64">
        <f t="shared" ref="AO8" si="71">BatSplit(D8:AI8,HighestScore)</f>
        <v>4</v>
      </c>
      <c r="AP8" s="68">
        <f t="shared" ref="AP8" si="72">IF(AO8&lt;0,-AO8&amp;"*",AO8)</f>
        <v>4</v>
      </c>
      <c r="AQ8" s="64">
        <f t="shared" ref="AQ8" si="73">BatSplit(D8:AI8,RunsScored)</f>
        <v>4</v>
      </c>
      <c r="AR8" s="66">
        <f t="shared" ref="AR8" si="74">IF(AM8=AN8,0,AQ8/(AM8-AN8))</f>
        <v>4</v>
      </c>
      <c r="AS8" s="64">
        <f t="shared" ref="AS8" si="75">BatSplit(D8:AI8,FldPts)</f>
        <v>0</v>
      </c>
      <c r="AT8" s="67">
        <f t="array" ref="AT8">SUM(IF(ISERR(FIND("*",D8:AI8)),0,1))</f>
        <v>0</v>
      </c>
      <c r="AU8" s="67">
        <f t="array" ref="AU8">SUM(IF(ISERR(FIND("+",D8:AI8)),0,1))</f>
        <v>0</v>
      </c>
      <c r="AV8" s="64">
        <f t="shared" ref="AV8" si="76">BatSplit(D8:AI8,Ducks)</f>
        <v>0</v>
      </c>
      <c r="AW8" s="67">
        <f t="array" ref="AW8">SUM(IF(ISERR(FIND(AW$4,$D8:$AI8)),0,1))</f>
        <v>1</v>
      </c>
      <c r="AX8" s="67">
        <f t="array" ref="AX8">SUM(IF(ISERR(FIND(AX$4,$D8:$AI8)),0,1))</f>
        <v>0</v>
      </c>
      <c r="AY8" s="67">
        <f t="array" ref="AY8">SUM(IF(ISERR(FIND(AY$4,$D8:$AI8)),0,1))</f>
        <v>0</v>
      </c>
      <c r="AZ8" s="67">
        <f t="array" ref="AZ8">SUM(IF(ISERR(FIND(AZ$4,$D8:$AI8)),0,1))</f>
        <v>0</v>
      </c>
      <c r="BA8" s="67">
        <f t="array" ref="BA8">SUM(IF(ISERR(FIND(BA$4,$D8:$AI8)),0,1))</f>
        <v>0</v>
      </c>
      <c r="BB8" s="67">
        <f t="array" ref="BB8">SUM(IF(ISERR(FIND(BB$4,$D8:$AI8)),0,1))</f>
        <v>0</v>
      </c>
      <c r="BC8" s="67">
        <f t="array" ref="BC8">SUM(IF(ISERR(FIND(BC$4,$D8:$AI8)),0,1))</f>
        <v>0</v>
      </c>
      <c r="BD8" s="67">
        <f t="shared" ref="BD8" si="77">BatSplit(D8:AI8,Fifties)</f>
        <v>0</v>
      </c>
      <c r="BE8" s="67">
        <f t="shared" ref="BE8" si="78">BatSplit(D8:AI8,Hundreds)</f>
        <v>0</v>
      </c>
      <c r="BF8" s="67">
        <f t="shared" ref="BF8" si="79">BatSplit(D8:AI8,Catches)</f>
        <v>0</v>
      </c>
      <c r="BG8" s="67">
        <f t="shared" ref="BG8" si="80">BatSplit(D8:AI8,Fours)</f>
        <v>1</v>
      </c>
      <c r="BH8" s="67">
        <f t="shared" ref="BH8" si="81">BatSplit(D8:AI8,Sixes)</f>
        <v>0</v>
      </c>
      <c r="BI8" s="67">
        <f t="shared" ref="BI8" si="82">BatSplit(D8:AI8,Stumpings)</f>
        <v>0</v>
      </c>
      <c r="BJ8" s="67">
        <f t="shared" ref="BJ8" si="83">BatSplit(D8:AI8,CaughtWkt)</f>
        <v>0</v>
      </c>
      <c r="BK8" s="67">
        <f t="shared" ref="BK8" si="84">BatSplit(D8:AI8,TwentyFives)</f>
        <v>0</v>
      </c>
      <c r="BL8" s="64">
        <f t="shared" ref="BL8" si="85">ROUND(IF(ISERROR(AR8),0,AR8),2)*100000+AM8*100+AK8+AQ8/100+ROW()/100000</f>
        <v>400101.04008000001</v>
      </c>
      <c r="BM8" s="64">
        <f t="shared" ref="BM8:BM62" si="86">RANK(BL8,$BL$5:$BL$62)</f>
        <v>30</v>
      </c>
      <c r="BN8" s="64">
        <v>0</v>
      </c>
      <c r="BO8" s="85" t="str">
        <f t="shared" ref="BO8" si="87">IF(AQ8&gt;=50,(BG8*4+BH8*6+BN8*5)/AQ8,"")</f>
        <v/>
      </c>
      <c r="BP8" s="93">
        <f t="shared" ref="BP8" si="88">AV8/(AM8-AN8)</f>
        <v>0</v>
      </c>
      <c r="BQ8" s="171">
        <f t="shared" ref="BQ8" si="89">BF8</f>
        <v>0</v>
      </c>
      <c r="BR8" s="64" t="str">
        <f t="shared" ref="BR8" si="90">IF(BF8=0,"",BF8&amp;IF(BJ8=0,""," ("&amp;BJ8&amp;")"))</f>
        <v/>
      </c>
      <c r="BS8" s="64" t="str">
        <f t="shared" ref="BS8" si="91">IF(BF8=0,"",C8)</f>
        <v/>
      </c>
      <c r="BT8" s="67">
        <f t="shared" ref="BT8" si="92">BH8</f>
        <v>0</v>
      </c>
      <c r="BU8" s="64" t="str">
        <f t="shared" ref="BU8" si="93">IF(BT8=0,"",C8)</f>
        <v/>
      </c>
      <c r="BV8" s="67">
        <f t="shared" ref="BV8" si="94">BG8</f>
        <v>1</v>
      </c>
      <c r="BW8" s="64" t="str">
        <f t="shared" ref="BW8" si="95">IF(BV8=0,"",C8)</f>
        <v>Biswas A</v>
      </c>
      <c r="BX8" s="67">
        <f t="shared" ref="BX8" si="96">BK8</f>
        <v>0</v>
      </c>
      <c r="BY8" s="64" t="str">
        <f t="shared" ref="BY8" si="97">IF(BX8=0,"",C8)</f>
        <v/>
      </c>
      <c r="BZ8" s="64">
        <f t="shared" si="62"/>
        <v>1</v>
      </c>
      <c r="CA8" s="64" t="str">
        <f t="shared" si="63"/>
        <v>Biswas A</v>
      </c>
      <c r="CB8" s="64">
        <f t="shared" si="64"/>
        <v>0</v>
      </c>
      <c r="CC8" s="64" t="str">
        <f t="shared" si="65"/>
        <v>Biswas A</v>
      </c>
    </row>
    <row r="9" spans="1:81" x14ac:dyDescent="0.15">
      <c r="B9" t="s">
        <v>24</v>
      </c>
      <c r="C9" t="s">
        <v>224</v>
      </c>
      <c r="D9"/>
      <c r="E9" t="s">
        <v>456</v>
      </c>
      <c r="F9" s="116" t="s">
        <v>413</v>
      </c>
      <c r="G9"/>
      <c r="H9" s="116"/>
      <c r="I9" s="116" t="s">
        <v>459</v>
      </c>
      <c r="J9"/>
      <c r="K9" s="116"/>
      <c r="L9" s="116"/>
      <c r="M9" s="116"/>
      <c r="N9"/>
      <c r="O9"/>
      <c r="P9"/>
      <c r="Q9"/>
      <c r="R9"/>
      <c r="S9"/>
      <c r="T9"/>
      <c r="U9"/>
      <c r="V9"/>
      <c r="W9"/>
      <c r="X9"/>
      <c r="Y9"/>
      <c r="Z9"/>
      <c r="AJ9" s="64" t="str">
        <f t="shared" si="31"/>
        <v>Brocks D</v>
      </c>
      <c r="AK9" s="64">
        <f t="shared" si="32"/>
        <v>3</v>
      </c>
      <c r="AL9" s="64">
        <f t="shared" si="33"/>
        <v>0</v>
      </c>
      <c r="AM9" s="64">
        <f t="shared" si="34"/>
        <v>3</v>
      </c>
      <c r="AN9" s="64">
        <f t="shared" si="35"/>
        <v>0</v>
      </c>
      <c r="AO9" s="64">
        <f t="shared" si="36"/>
        <v>18</v>
      </c>
      <c r="AP9" s="68">
        <f t="shared" si="37"/>
        <v>18</v>
      </c>
      <c r="AQ9" s="64">
        <f t="shared" si="38"/>
        <v>22</v>
      </c>
      <c r="AR9" s="66">
        <f t="shared" si="39"/>
        <v>7.333333333333333</v>
      </c>
      <c r="AS9" s="64">
        <f t="shared" si="40"/>
        <v>10</v>
      </c>
      <c r="AT9" s="67">
        <f t="array" ref="AT9">SUM(IF(ISERR(FIND("*",D9:AI9)),0,1))</f>
        <v>0</v>
      </c>
      <c r="AU9" s="67">
        <f t="array" ref="AU9">SUM(IF(ISERR(FIND("+",D9:AI9)),0,1))</f>
        <v>0</v>
      </c>
      <c r="AV9" s="64">
        <f t="shared" si="41"/>
        <v>1</v>
      </c>
      <c r="AW9" s="67">
        <f t="array" ref="AW9">SUM(IF(ISERR(FIND(AW$4,$D9:$AI9)),0,1))</f>
        <v>1</v>
      </c>
      <c r="AX9" s="67">
        <f t="array" ref="AX9">SUM(IF(ISERR(FIND(AX$4,$D9:$AI9)),0,1))</f>
        <v>2</v>
      </c>
      <c r="AY9" s="67">
        <f t="array" ref="AY9">SUM(IF(ISERR(FIND(AY$4,$D9:$AI9)),0,1))</f>
        <v>0</v>
      </c>
      <c r="AZ9" s="67">
        <f t="array" ref="AZ9">SUM(IF(ISERR(FIND(AZ$4,$D9:$AI9)),0,1))</f>
        <v>0</v>
      </c>
      <c r="BA9" s="67">
        <f t="array" ref="BA9">SUM(IF(ISERR(FIND(BA$4,$D9:$AI9)),0,1))</f>
        <v>0</v>
      </c>
      <c r="BB9" s="67">
        <f t="array" ref="BB9">SUM(IF(ISERR(FIND(BB$4,$D9:$AI9)),0,1))</f>
        <v>0</v>
      </c>
      <c r="BC9" s="67">
        <f t="array" ref="BC9">SUM(IF(ISERR(FIND(BC$4,$D9:$AI9)),0,1))</f>
        <v>0</v>
      </c>
      <c r="BD9" s="67">
        <f t="shared" si="42"/>
        <v>0</v>
      </c>
      <c r="BE9" s="67">
        <f t="shared" si="43"/>
        <v>0</v>
      </c>
      <c r="BF9" s="67">
        <f t="shared" si="44"/>
        <v>2</v>
      </c>
      <c r="BG9" s="67">
        <f t="shared" si="45"/>
        <v>3</v>
      </c>
      <c r="BH9" s="67">
        <f t="shared" si="46"/>
        <v>0</v>
      </c>
      <c r="BI9" s="67">
        <f t="shared" si="47"/>
        <v>0</v>
      </c>
      <c r="BJ9" s="67">
        <f t="shared" si="48"/>
        <v>0</v>
      </c>
      <c r="BK9" s="67">
        <f t="shared" si="49"/>
        <v>0</v>
      </c>
      <c r="BL9" s="64">
        <f t="shared" si="50"/>
        <v>733303.22008999996</v>
      </c>
      <c r="BM9" s="64">
        <f t="shared" si="86"/>
        <v>23</v>
      </c>
      <c r="BN9" s="64">
        <v>0</v>
      </c>
      <c r="BO9" s="85" t="str">
        <f t="shared" si="51"/>
        <v/>
      </c>
      <c r="BP9" s="93">
        <f t="shared" si="52"/>
        <v>0.33333333333333331</v>
      </c>
      <c r="BQ9" s="171">
        <f t="shared" si="53"/>
        <v>2</v>
      </c>
      <c r="BR9" s="64" t="str">
        <f t="shared" si="54"/>
        <v>2</v>
      </c>
      <c r="BS9" s="64" t="str">
        <f t="shared" si="55"/>
        <v>Brocks D</v>
      </c>
      <c r="BT9" s="67">
        <f t="shared" si="56"/>
        <v>0</v>
      </c>
      <c r="BU9" s="64" t="str">
        <f t="shared" si="57"/>
        <v/>
      </c>
      <c r="BV9" s="67">
        <f t="shared" si="58"/>
        <v>3</v>
      </c>
      <c r="BW9" s="64" t="str">
        <f t="shared" si="59"/>
        <v>Brocks D</v>
      </c>
      <c r="BX9" s="67">
        <f t="shared" si="60"/>
        <v>0</v>
      </c>
      <c r="BY9" s="64" t="str">
        <f t="shared" si="61"/>
        <v/>
      </c>
      <c r="BZ9" s="64">
        <f t="shared" si="62"/>
        <v>3</v>
      </c>
      <c r="CA9" s="64" t="str">
        <f t="shared" si="63"/>
        <v>Brocks D</v>
      </c>
      <c r="CB9" s="64">
        <f t="shared" si="64"/>
        <v>1</v>
      </c>
      <c r="CC9" s="64" t="str">
        <f t="shared" si="65"/>
        <v>Brocks D</v>
      </c>
    </row>
    <row r="10" spans="1:81" x14ac:dyDescent="0.15">
      <c r="B10" s="127" t="s">
        <v>203</v>
      </c>
      <c r="C10" s="127" t="s">
        <v>204</v>
      </c>
      <c r="D10" s="175"/>
      <c r="E10" s="175"/>
      <c r="F10" s="175"/>
      <c r="G10" s="175"/>
      <c r="H10" s="175"/>
      <c r="I10" s="175"/>
      <c r="J10" s="175"/>
      <c r="K10" s="175"/>
      <c r="L10" s="175"/>
      <c r="M10" s="175"/>
      <c r="N10" s="175"/>
      <c r="O10"/>
      <c r="P10"/>
      <c r="Q10"/>
      <c r="R10"/>
      <c r="S10"/>
      <c r="T10"/>
      <c r="U10"/>
      <c r="V10"/>
      <c r="W10"/>
      <c r="X10"/>
      <c r="Y10"/>
      <c r="Z10"/>
      <c r="AJ10" s="64" t="str">
        <f t="shared" si="31"/>
        <v>Clarkson M</v>
      </c>
      <c r="AK10" s="64">
        <f t="shared" ref="AK10:AK62" si="98">BatSplit(D10:AI10,MatchesPlayed)</f>
        <v>0</v>
      </c>
      <c r="AL10" s="64">
        <f t="shared" ref="AL10:AL62" si="99">AK10-AM10</f>
        <v>0</v>
      </c>
      <c r="AM10" s="64">
        <f t="shared" ref="AM10:AM62" si="100">BatSplit(D10:AI10,InnsBattedIn)</f>
        <v>0</v>
      </c>
      <c r="AN10" s="64">
        <f t="shared" ref="AN10:AN62" si="101">BatSplit(D10:AI10,NotOuts)</f>
        <v>0</v>
      </c>
      <c r="AO10" s="64">
        <f t="shared" ref="AO10:AO62" si="102">BatSplit(D10:AI10,HighestScore)</f>
        <v>0</v>
      </c>
      <c r="AP10" s="68">
        <f t="shared" ref="AP10:AP62" si="103">IF(AO10&lt;0,-AO10&amp;"*",AO10)</f>
        <v>0</v>
      </c>
      <c r="AQ10" s="64">
        <f t="shared" ref="AQ10:AQ62" si="104">BatSplit(D10:AI10,RunsScored)</f>
        <v>0</v>
      </c>
      <c r="AR10" s="66">
        <f t="shared" ref="AR10:AR62" si="105">IF(AM10=AN10,0,AQ10/(AM10-AN10))</f>
        <v>0</v>
      </c>
      <c r="AS10" s="64">
        <f t="shared" ref="AS10:AS62" si="106">BatSplit(D10:AI10,FldPts)</f>
        <v>0</v>
      </c>
      <c r="AT10" s="67">
        <f t="array" ref="AT10">SUM(IF(ISERR(FIND("*",D10:AI10)),0,1))</f>
        <v>0</v>
      </c>
      <c r="AU10" s="67">
        <f t="array" ref="AU10">SUM(IF(ISERR(FIND("+",D10:AI10)),0,1))</f>
        <v>0</v>
      </c>
      <c r="AV10" s="64">
        <f t="shared" ref="AV10:AV62" si="107">BatSplit(D10:AI10,Ducks)</f>
        <v>0</v>
      </c>
      <c r="AW10" s="67">
        <f t="array" ref="AW10">SUM(IF(ISERR(FIND(AW$4,$D10:$AI10)),0,1))</f>
        <v>0</v>
      </c>
      <c r="AX10" s="67">
        <f t="array" ref="AX10">SUM(IF(ISERR(FIND(AX$4,$D10:$AI10)),0,1))</f>
        <v>0</v>
      </c>
      <c r="AY10" s="67">
        <f t="array" ref="AY10">SUM(IF(ISERR(FIND(AY$4,$D10:$AI10)),0,1))</f>
        <v>0</v>
      </c>
      <c r="AZ10" s="67">
        <f t="array" ref="AZ10">SUM(IF(ISERR(FIND(AZ$4,$D10:$AI10)),0,1))</f>
        <v>0</v>
      </c>
      <c r="BA10" s="67">
        <f t="array" ref="BA10">SUM(IF(ISERR(FIND(BA$4,$D10:$AI10)),0,1))</f>
        <v>0</v>
      </c>
      <c r="BB10" s="67">
        <f t="array" ref="BB10">SUM(IF(ISERR(FIND(BB$4,$D10:$AI10)),0,1))</f>
        <v>0</v>
      </c>
      <c r="BC10" s="67">
        <f t="array" ref="BC10">SUM(IF(ISERR(FIND(BC$4,$D10:$AI10)),0,1))</f>
        <v>0</v>
      </c>
      <c r="BD10" s="67">
        <f t="shared" ref="BD10:BD62" si="108">BatSplit(D10:AI10,Fifties)</f>
        <v>0</v>
      </c>
      <c r="BE10" s="67">
        <f t="shared" ref="BE10:BE62" si="109">BatSplit(D10:AI10,Hundreds)</f>
        <v>0</v>
      </c>
      <c r="BF10" s="67">
        <f t="shared" ref="BF10:BF62" si="110">BatSplit(D10:AI10,Catches)</f>
        <v>0</v>
      </c>
      <c r="BG10" s="67">
        <f t="shared" ref="BG10:BG62" si="111">BatSplit(D10:AI10,Fours)</f>
        <v>0</v>
      </c>
      <c r="BH10" s="67">
        <f t="shared" ref="BH10:BH62" si="112">BatSplit(D10:AI10,Sixes)</f>
        <v>0</v>
      </c>
      <c r="BI10" s="67">
        <f t="shared" ref="BI10:BI62" si="113">BatSplit(D10:AI10,Stumpings)</f>
        <v>0</v>
      </c>
      <c r="BJ10" s="67">
        <f t="shared" ref="BJ10:BJ62" si="114">BatSplit(D10:AI10,CaughtWkt)</f>
        <v>0</v>
      </c>
      <c r="BK10" s="67">
        <f t="shared" ref="BK10:BK62" si="115">BatSplit(D10:AI10,TwentyFives)</f>
        <v>0</v>
      </c>
      <c r="BL10" s="64">
        <f t="shared" ref="BL10:BL62" si="116">ROUND(IF(ISERROR(AR10),0,AR10),2)*100000+AM10*100+AK10+AQ10/100+ROW()/100000</f>
        <v>1E-4</v>
      </c>
      <c r="BM10" s="64">
        <f t="shared" si="86"/>
        <v>58</v>
      </c>
      <c r="BN10" s="64">
        <v>1</v>
      </c>
      <c r="BO10" s="85" t="str">
        <f t="shared" ref="BO10:BO62" si="117">IF(AQ10&gt;=50,(BG10*4+BH10*6+BN10*5)/AQ10,"")</f>
        <v/>
      </c>
      <c r="BP10" s="93" t="e">
        <f t="shared" ref="BP10:BP62" si="118">AV10/(AM10-AN10)</f>
        <v>#DIV/0!</v>
      </c>
      <c r="BQ10" s="171">
        <f t="shared" ref="BQ10:BQ62" si="119">BF10</f>
        <v>0</v>
      </c>
      <c r="BR10" s="64" t="str">
        <f t="shared" ref="BR10:BR62" si="120">IF(BF10=0,"",BF10&amp;IF(BJ10=0,""," ("&amp;BJ10&amp;")"))</f>
        <v/>
      </c>
      <c r="BS10" s="64" t="str">
        <f t="shared" ref="BS10:BS62" si="121">IF(BF10=0,"",C10)</f>
        <v/>
      </c>
      <c r="BT10" s="67">
        <f t="shared" ref="BT10:BT62" si="122">BH10</f>
        <v>0</v>
      </c>
      <c r="BU10" s="64" t="str">
        <f t="shared" ref="BU10:BU62" si="123">IF(BT10=0,"",C10)</f>
        <v/>
      </c>
      <c r="BV10" s="67">
        <f t="shared" ref="BV10:BV62" si="124">BG10</f>
        <v>0</v>
      </c>
      <c r="BW10" s="64" t="str">
        <f t="shared" ref="BW10:BW62" si="125">IF(BV10=0,"",C10)</f>
        <v/>
      </c>
      <c r="BX10" s="67">
        <f t="shared" ref="BX10:BX62" si="126">BK10</f>
        <v>0</v>
      </c>
      <c r="BY10" s="64" t="str">
        <f t="shared" ref="BY10:BY62" si="127">IF(BX10=0,"",C10)</f>
        <v/>
      </c>
      <c r="BZ10" s="64">
        <f t="shared" si="62"/>
        <v>0</v>
      </c>
      <c r="CA10" s="64" t="str">
        <f t="shared" si="63"/>
        <v>Clarkson M</v>
      </c>
      <c r="CB10" s="64">
        <f t="shared" si="64"/>
        <v>0</v>
      </c>
      <c r="CC10" s="64" t="str">
        <f t="shared" si="65"/>
        <v>Clarkson M</v>
      </c>
    </row>
    <row r="11" spans="1:81" x14ac:dyDescent="0.15">
      <c r="B11" s="127" t="s">
        <v>586</v>
      </c>
      <c r="C11" s="127" t="s">
        <v>587</v>
      </c>
      <c r="D11" s="175"/>
      <c r="E11" s="175"/>
      <c r="F11" s="175"/>
      <c r="G11" s="175"/>
      <c r="H11" s="175"/>
      <c r="I11" s="175"/>
      <c r="J11" s="175"/>
      <c r="K11" s="175"/>
      <c r="L11" s="175"/>
      <c r="M11" s="175"/>
      <c r="N11" s="175"/>
      <c r="O11"/>
      <c r="P11"/>
      <c r="Q11" t="s">
        <v>588</v>
      </c>
      <c r="R11"/>
      <c r="S11"/>
      <c r="T11" t="s">
        <v>650</v>
      </c>
      <c r="U11"/>
      <c r="V11"/>
      <c r="W11"/>
      <c r="X11"/>
      <c r="Y11"/>
      <c r="Z11"/>
      <c r="AJ11" s="116" t="str">
        <f t="shared" si="31"/>
        <v>Crone W</v>
      </c>
      <c r="AK11" s="64">
        <f t="shared" si="98"/>
        <v>2</v>
      </c>
      <c r="AL11" s="64">
        <f t="shared" si="99"/>
        <v>0</v>
      </c>
      <c r="AM11" s="64">
        <f t="shared" si="100"/>
        <v>2</v>
      </c>
      <c r="AN11" s="64">
        <f t="shared" si="101"/>
        <v>0</v>
      </c>
      <c r="AO11" s="64">
        <f t="shared" si="102"/>
        <v>45</v>
      </c>
      <c r="AP11" s="68">
        <f t="shared" si="103"/>
        <v>45</v>
      </c>
      <c r="AQ11" s="64">
        <f t="shared" si="104"/>
        <v>62</v>
      </c>
      <c r="AR11" s="66">
        <f t="shared" si="105"/>
        <v>31</v>
      </c>
      <c r="AS11" s="64">
        <f t="shared" si="106"/>
        <v>0</v>
      </c>
      <c r="AT11" s="67">
        <f t="array" ref="AT11">SUM(IF(ISERR(FIND("*",D11:AI11)),0,1))</f>
        <v>0</v>
      </c>
      <c r="AU11" s="67">
        <f t="array" ref="AU11">SUM(IF(ISERR(FIND("+",D11:AI11)),0,1))</f>
        <v>0</v>
      </c>
      <c r="AV11" s="64">
        <f t="shared" si="107"/>
        <v>0</v>
      </c>
      <c r="AW11" s="67">
        <f t="array" ref="AW11">SUM(IF(ISERR(FIND(AW$4,$D11:$AI11)),0,1))</f>
        <v>0</v>
      </c>
      <c r="AX11" s="67">
        <f t="array" ref="AX11">SUM(IF(ISERR(FIND(AX$4,$D11:$AI11)),0,1))</f>
        <v>2</v>
      </c>
      <c r="AY11" s="67">
        <f t="array" ref="AY11">SUM(IF(ISERR(FIND(AY$4,$D11:$AI11)),0,1))</f>
        <v>0</v>
      </c>
      <c r="AZ11" s="67">
        <f t="array" ref="AZ11">SUM(IF(ISERR(FIND(AZ$4,$D11:$AI11)),0,1))</f>
        <v>0</v>
      </c>
      <c r="BA11" s="67">
        <f t="array" ref="BA11">SUM(IF(ISERR(FIND(BA$4,$D11:$AI11)),0,1))</f>
        <v>0</v>
      </c>
      <c r="BB11" s="67">
        <f t="array" ref="BB11">SUM(IF(ISERR(FIND(BB$4,$D11:$AI11)),0,1))</f>
        <v>0</v>
      </c>
      <c r="BC11" s="67">
        <f t="array" ref="BC11">SUM(IF(ISERR(FIND(BC$4,$D11:$AI11)),0,1))</f>
        <v>0</v>
      </c>
      <c r="BD11" s="67">
        <f t="shared" si="108"/>
        <v>0</v>
      </c>
      <c r="BE11" s="67">
        <f t="shared" si="109"/>
        <v>0</v>
      </c>
      <c r="BF11" s="67">
        <f t="shared" si="110"/>
        <v>0</v>
      </c>
      <c r="BG11" s="67">
        <f t="shared" si="111"/>
        <v>5</v>
      </c>
      <c r="BH11" s="67">
        <f t="shared" si="112"/>
        <v>0</v>
      </c>
      <c r="BI11" s="67">
        <f t="shared" si="113"/>
        <v>0</v>
      </c>
      <c r="BJ11" s="67">
        <f t="shared" si="114"/>
        <v>0</v>
      </c>
      <c r="BK11" s="67">
        <f t="shared" si="115"/>
        <v>1</v>
      </c>
      <c r="BL11" s="64">
        <f t="shared" si="116"/>
        <v>3100202.62011</v>
      </c>
      <c r="BM11" s="64">
        <f t="shared" si="86"/>
        <v>8</v>
      </c>
      <c r="BN11" s="64">
        <v>2</v>
      </c>
      <c r="BO11" s="85">
        <f t="shared" si="117"/>
        <v>0.4838709677419355</v>
      </c>
      <c r="BP11" s="93">
        <f t="shared" si="118"/>
        <v>0</v>
      </c>
      <c r="BQ11" s="171">
        <f t="shared" si="119"/>
        <v>0</v>
      </c>
      <c r="BR11" s="64" t="str">
        <f t="shared" si="120"/>
        <v/>
      </c>
      <c r="BS11" s="64" t="str">
        <f t="shared" si="121"/>
        <v/>
      </c>
      <c r="BT11" s="67">
        <f t="shared" si="122"/>
        <v>0</v>
      </c>
      <c r="BU11" s="64" t="str">
        <f t="shared" si="123"/>
        <v/>
      </c>
      <c r="BV11" s="67">
        <f t="shared" si="124"/>
        <v>5</v>
      </c>
      <c r="BW11" s="64" t="str">
        <f t="shared" si="125"/>
        <v>Crone W</v>
      </c>
      <c r="BX11" s="67">
        <f t="shared" si="126"/>
        <v>1</v>
      </c>
      <c r="BY11" s="64" t="str">
        <f t="shared" si="127"/>
        <v>Crone W</v>
      </c>
      <c r="BZ11" s="64">
        <f t="shared" si="62"/>
        <v>2</v>
      </c>
      <c r="CA11" s="64" t="str">
        <f t="shared" si="63"/>
        <v>Crone W</v>
      </c>
      <c r="CB11" s="64">
        <f t="shared" si="64"/>
        <v>0</v>
      </c>
      <c r="CC11" s="64" t="str">
        <f t="shared" si="65"/>
        <v>Crone W</v>
      </c>
    </row>
    <row r="12" spans="1:81" x14ac:dyDescent="0.15">
      <c r="B12" s="116" t="s">
        <v>298</v>
      </c>
      <c r="C12" s="116" t="s">
        <v>299</v>
      </c>
      <c r="D12"/>
      <c r="E12"/>
      <c r="F12"/>
      <c r="G12"/>
      <c r="H12"/>
      <c r="I12" t="s">
        <v>460</v>
      </c>
      <c r="J12"/>
      <c r="K12" t="s">
        <v>487</v>
      </c>
      <c r="L12"/>
      <c r="M12"/>
      <c r="N12"/>
      <c r="O12"/>
      <c r="P12"/>
      <c r="Q12"/>
      <c r="R12"/>
      <c r="S12"/>
      <c r="T12"/>
      <c r="U12"/>
      <c r="V12"/>
      <c r="W12" s="116"/>
      <c r="X12" s="116"/>
      <c r="Y12"/>
      <c r="AJ12" s="64" t="str">
        <f t="shared" si="31"/>
        <v>Curling L</v>
      </c>
      <c r="AK12" s="64">
        <f t="shared" si="98"/>
        <v>2</v>
      </c>
      <c r="AL12" s="64">
        <f t="shared" si="99"/>
        <v>0</v>
      </c>
      <c r="AM12" s="64">
        <f t="shared" si="100"/>
        <v>2</v>
      </c>
      <c r="AN12" s="64">
        <f t="shared" si="101"/>
        <v>0</v>
      </c>
      <c r="AO12" s="64">
        <f t="shared" si="102"/>
        <v>33</v>
      </c>
      <c r="AP12" s="68">
        <f t="shared" si="103"/>
        <v>33</v>
      </c>
      <c r="AQ12" s="64">
        <f t="shared" si="104"/>
        <v>40</v>
      </c>
      <c r="AR12" s="66">
        <f t="shared" si="105"/>
        <v>20</v>
      </c>
      <c r="AS12" s="64">
        <f t="shared" si="106"/>
        <v>0</v>
      </c>
      <c r="AT12" s="67">
        <f t="array" ref="AT12">SUM(IF(ISERR(FIND("*",D12:AI12)),0,1))</f>
        <v>0</v>
      </c>
      <c r="AU12" s="67">
        <f t="array" ref="AU12">SUM(IF(ISERR(FIND("+",D12:AI12)),0,1))</f>
        <v>0</v>
      </c>
      <c r="AV12" s="64">
        <f t="shared" si="107"/>
        <v>0</v>
      </c>
      <c r="AW12" s="67">
        <f t="array" ref="AW12">SUM(IF(ISERR(FIND(AW$4,$D12:$AI12)),0,1))</f>
        <v>0</v>
      </c>
      <c r="AX12" s="67">
        <f t="array" ref="AX12">SUM(IF(ISERR(FIND(AX$4,$D12:$AI12)),0,1))</f>
        <v>1</v>
      </c>
      <c r="AY12" s="67">
        <f t="array" ref="AY12">SUM(IF(ISERR(FIND(AY$4,$D12:$AI12)),0,1))</f>
        <v>0</v>
      </c>
      <c r="AZ12" s="67">
        <f t="array" ref="AZ12">SUM(IF(ISERR(FIND(AZ$4,$D12:$AI12)),0,1))</f>
        <v>1</v>
      </c>
      <c r="BA12" s="67">
        <f t="array" ref="BA12">SUM(IF(ISERR(FIND(BA$4,$D12:$AI12)),0,1))</f>
        <v>0</v>
      </c>
      <c r="BB12" s="67">
        <f t="array" ref="BB12">SUM(IF(ISERR(FIND(BB$4,$D12:$AI12)),0,1))</f>
        <v>0</v>
      </c>
      <c r="BC12" s="67">
        <f t="array" ref="BC12">SUM(IF(ISERR(FIND(BC$4,$D12:$AI12)),0,1))</f>
        <v>0</v>
      </c>
      <c r="BD12" s="67">
        <f t="shared" si="108"/>
        <v>0</v>
      </c>
      <c r="BE12" s="67">
        <f t="shared" si="109"/>
        <v>0</v>
      </c>
      <c r="BF12" s="67">
        <f t="shared" si="110"/>
        <v>0</v>
      </c>
      <c r="BG12" s="67">
        <f t="shared" si="111"/>
        <v>7</v>
      </c>
      <c r="BH12" s="67">
        <f t="shared" si="112"/>
        <v>0</v>
      </c>
      <c r="BI12" s="67">
        <f t="shared" si="113"/>
        <v>0</v>
      </c>
      <c r="BJ12" s="67">
        <f t="shared" si="114"/>
        <v>0</v>
      </c>
      <c r="BK12" s="67">
        <f t="shared" si="115"/>
        <v>1</v>
      </c>
      <c r="BL12" s="64">
        <f t="shared" si="116"/>
        <v>2000202.4001199999</v>
      </c>
      <c r="BM12" s="64">
        <f t="shared" si="86"/>
        <v>14</v>
      </c>
      <c r="BN12" s="64">
        <v>3</v>
      </c>
      <c r="BO12" s="85" t="str">
        <f t="shared" si="117"/>
        <v/>
      </c>
      <c r="BP12" s="93">
        <f t="shared" si="118"/>
        <v>0</v>
      </c>
      <c r="BQ12" s="171">
        <f t="shared" si="119"/>
        <v>0</v>
      </c>
      <c r="BR12" s="64" t="str">
        <f t="shared" si="120"/>
        <v/>
      </c>
      <c r="BS12" s="64" t="str">
        <f t="shared" si="121"/>
        <v/>
      </c>
      <c r="BT12" s="67">
        <f t="shared" si="122"/>
        <v>0</v>
      </c>
      <c r="BU12" s="64" t="str">
        <f t="shared" si="123"/>
        <v/>
      </c>
      <c r="BV12" s="67">
        <f t="shared" si="124"/>
        <v>7</v>
      </c>
      <c r="BW12" s="64" t="str">
        <f t="shared" si="125"/>
        <v>Curling L</v>
      </c>
      <c r="BX12" s="67">
        <f t="shared" si="126"/>
        <v>1</v>
      </c>
      <c r="BY12" s="64" t="str">
        <f t="shared" si="127"/>
        <v>Curling L</v>
      </c>
      <c r="BZ12" s="64">
        <f t="shared" si="62"/>
        <v>2</v>
      </c>
      <c r="CA12" s="64" t="str">
        <f t="shared" si="63"/>
        <v>Curling L</v>
      </c>
      <c r="CB12" s="64">
        <f t="shared" si="64"/>
        <v>0</v>
      </c>
      <c r="CC12" s="64" t="str">
        <f t="shared" si="65"/>
        <v>Curling L</v>
      </c>
    </row>
    <row r="13" spans="1:81" x14ac:dyDescent="0.15">
      <c r="B13" s="116" t="s">
        <v>323</v>
      </c>
      <c r="C13" s="116" t="s">
        <v>324</v>
      </c>
      <c r="D13" t="s">
        <v>380</v>
      </c>
      <c r="E13" t="s">
        <v>313</v>
      </c>
      <c r="F13"/>
      <c r="G13" t="s">
        <v>401</v>
      </c>
      <c r="H13"/>
      <c r="I13" t="s">
        <v>462</v>
      </c>
      <c r="J13" t="s">
        <v>475</v>
      </c>
      <c r="K13" t="s">
        <v>305</v>
      </c>
      <c r="L13"/>
      <c r="M13"/>
      <c r="N13" t="s">
        <v>312</v>
      </c>
      <c r="O13"/>
      <c r="P13" t="s">
        <v>573</v>
      </c>
      <c r="Q13" t="s">
        <v>592</v>
      </c>
      <c r="R13"/>
      <c r="S13" t="s">
        <v>629</v>
      </c>
      <c r="T13" t="s">
        <v>649</v>
      </c>
      <c r="U13"/>
      <c r="V13"/>
      <c r="W13" s="116"/>
      <c r="X13" s="116" t="s">
        <v>329</v>
      </c>
      <c r="Y13" s="116"/>
      <c r="AJ13" s="64" t="str">
        <f t="shared" si="31"/>
        <v>De S</v>
      </c>
      <c r="AK13" s="64">
        <f t="shared" si="98"/>
        <v>12</v>
      </c>
      <c r="AL13" s="64">
        <f t="shared" si="99"/>
        <v>2</v>
      </c>
      <c r="AM13" s="64">
        <f t="shared" si="100"/>
        <v>10</v>
      </c>
      <c r="AN13" s="64">
        <f t="shared" si="101"/>
        <v>2</v>
      </c>
      <c r="AO13" s="64">
        <f t="shared" si="102"/>
        <v>84</v>
      </c>
      <c r="AP13" s="68">
        <f t="shared" si="103"/>
        <v>84</v>
      </c>
      <c r="AQ13" s="64">
        <f t="shared" si="104"/>
        <v>237</v>
      </c>
      <c r="AR13" s="66">
        <f t="shared" si="105"/>
        <v>29.625</v>
      </c>
      <c r="AS13" s="64">
        <f t="shared" si="106"/>
        <v>5</v>
      </c>
      <c r="AT13" s="67">
        <f t="array" ref="AT13">SUM(IF(ISERR(FIND("*",D13:AI13)),0,1))</f>
        <v>0</v>
      </c>
      <c r="AU13" s="67">
        <f t="array" ref="AU13">SUM(IF(ISERR(FIND("+",D13:AI13)),0,1))</f>
        <v>0</v>
      </c>
      <c r="AV13" s="64">
        <f t="shared" si="107"/>
        <v>3</v>
      </c>
      <c r="AW13" s="67">
        <f t="array" ref="AW13">SUM(IF(ISERR(FIND(AW$4,$D13:$AI13)),0,1))</f>
        <v>3</v>
      </c>
      <c r="AX13" s="67">
        <f t="array" ref="AX13">SUM(IF(ISERR(FIND(AX$4,$D13:$AI13)),0,1))</f>
        <v>4</v>
      </c>
      <c r="AY13" s="67">
        <f t="array" ref="AY13">SUM(IF(ISERR(FIND(AY$4,$D13:$AI13)),0,1))</f>
        <v>0</v>
      </c>
      <c r="AZ13" s="67">
        <f t="array" ref="AZ13">SUM(IF(ISERR(FIND(AZ$4,$D13:$AI13)),0,1))</f>
        <v>0</v>
      </c>
      <c r="BA13" s="67">
        <f t="array" ref="BA13">SUM(IF(ISERR(FIND(BA$4,$D13:$AI13)),0,1))</f>
        <v>1</v>
      </c>
      <c r="BB13" s="67">
        <f t="array" ref="BB13">SUM(IF(ISERR(FIND(BB$4,$D13:$AI13)),0,1))</f>
        <v>0</v>
      </c>
      <c r="BC13" s="67">
        <f t="array" ref="BC13">SUM(IF(ISERR(FIND(BC$4,$D13:$AI13)),0,1))</f>
        <v>0</v>
      </c>
      <c r="BD13" s="67">
        <f t="shared" si="108"/>
        <v>2</v>
      </c>
      <c r="BE13" s="67">
        <f t="shared" si="109"/>
        <v>0</v>
      </c>
      <c r="BF13" s="67">
        <f t="shared" si="110"/>
        <v>1</v>
      </c>
      <c r="BG13" s="67">
        <f t="shared" si="111"/>
        <v>31</v>
      </c>
      <c r="BH13" s="67">
        <f t="shared" si="112"/>
        <v>3</v>
      </c>
      <c r="BI13" s="67">
        <f t="shared" si="113"/>
        <v>0</v>
      </c>
      <c r="BJ13" s="67">
        <f t="shared" si="114"/>
        <v>0</v>
      </c>
      <c r="BK13" s="67">
        <f t="shared" si="115"/>
        <v>5</v>
      </c>
      <c r="BL13" s="64">
        <f t="shared" si="116"/>
        <v>2964014.3701300002</v>
      </c>
      <c r="BM13" s="64">
        <f t="shared" si="86"/>
        <v>9</v>
      </c>
      <c r="BN13" s="64">
        <v>4</v>
      </c>
      <c r="BO13" s="85">
        <f t="shared" si="117"/>
        <v>0.68354430379746833</v>
      </c>
      <c r="BP13" s="93">
        <f t="shared" si="118"/>
        <v>0.375</v>
      </c>
      <c r="BQ13" s="171">
        <f t="shared" si="119"/>
        <v>1</v>
      </c>
      <c r="BR13" s="64" t="str">
        <f t="shared" si="120"/>
        <v>1</v>
      </c>
      <c r="BS13" s="64" t="str">
        <f t="shared" si="121"/>
        <v>De S</v>
      </c>
      <c r="BT13" s="67">
        <f t="shared" si="122"/>
        <v>3</v>
      </c>
      <c r="BU13" s="64" t="str">
        <f t="shared" si="123"/>
        <v>De S</v>
      </c>
      <c r="BV13" s="67">
        <f t="shared" si="124"/>
        <v>31</v>
      </c>
      <c r="BW13" s="64" t="str">
        <f t="shared" si="125"/>
        <v>De S</v>
      </c>
      <c r="BX13" s="67">
        <f t="shared" si="126"/>
        <v>5</v>
      </c>
      <c r="BY13" s="64" t="str">
        <f t="shared" si="127"/>
        <v>De S</v>
      </c>
      <c r="BZ13" s="64">
        <f t="shared" si="62"/>
        <v>12</v>
      </c>
      <c r="CA13" s="64" t="str">
        <f t="shared" si="63"/>
        <v>De S</v>
      </c>
      <c r="CB13" s="64">
        <f t="shared" si="64"/>
        <v>3</v>
      </c>
      <c r="CC13" s="64" t="str">
        <f t="shared" si="65"/>
        <v>De S</v>
      </c>
    </row>
    <row r="14" spans="1:81" x14ac:dyDescent="0.15">
      <c r="B14" s="116" t="s">
        <v>231</v>
      </c>
      <c r="C14" s="116" t="s">
        <v>273</v>
      </c>
      <c r="E14" s="116"/>
      <c r="G14" s="116"/>
      <c r="J14" s="116"/>
      <c r="K14" s="116"/>
      <c r="L14"/>
      <c r="M14"/>
      <c r="N14"/>
      <c r="O14"/>
      <c r="P14"/>
      <c r="Q14"/>
      <c r="R14"/>
      <c r="S14"/>
      <c r="T14"/>
      <c r="U14" t="s">
        <v>665</v>
      </c>
      <c r="V14"/>
      <c r="W14"/>
      <c r="X14" s="116"/>
      <c r="Y14"/>
      <c r="Z14"/>
      <c r="AJ14" s="64" t="str">
        <f t="shared" si="31"/>
        <v>Deol R</v>
      </c>
      <c r="AK14" s="64">
        <f t="shared" si="98"/>
        <v>1</v>
      </c>
      <c r="AL14" s="64">
        <f t="shared" si="99"/>
        <v>0</v>
      </c>
      <c r="AM14" s="64">
        <f t="shared" si="100"/>
        <v>1</v>
      </c>
      <c r="AN14" s="64">
        <f t="shared" si="101"/>
        <v>0</v>
      </c>
      <c r="AO14" s="64">
        <f t="shared" si="102"/>
        <v>5</v>
      </c>
      <c r="AP14" s="68">
        <f t="shared" si="103"/>
        <v>5</v>
      </c>
      <c r="AQ14" s="64">
        <f t="shared" si="104"/>
        <v>5</v>
      </c>
      <c r="AR14" s="66">
        <f t="shared" si="105"/>
        <v>5</v>
      </c>
      <c r="AS14" s="64">
        <f t="shared" si="106"/>
        <v>0</v>
      </c>
      <c r="AT14" s="67">
        <f t="array" ref="AT14">SUM(IF(ISERR(FIND("*",D14:AI14)),0,1))</f>
        <v>0</v>
      </c>
      <c r="AU14" s="67">
        <f t="array" ref="AU14">SUM(IF(ISERR(FIND("+",D14:AI14)),0,1))</f>
        <v>0</v>
      </c>
      <c r="AV14" s="64">
        <f t="shared" si="107"/>
        <v>0</v>
      </c>
      <c r="AW14" s="67">
        <f t="array" ref="AW14">SUM(IF(ISERR(FIND(AW$4,$D14:$AI14)),0,1))</f>
        <v>0</v>
      </c>
      <c r="AX14" s="67">
        <f t="array" ref="AX14">SUM(IF(ISERR(FIND(AX$4,$D14:$AI14)),0,1))</f>
        <v>0</v>
      </c>
      <c r="AY14" s="67">
        <f t="array" ref="AY14">SUM(IF(ISERR(FIND(AY$4,$D14:$AI14)),0,1))</f>
        <v>1</v>
      </c>
      <c r="AZ14" s="67">
        <f t="array" ref="AZ14">SUM(IF(ISERR(FIND(AZ$4,$D14:$AI14)),0,1))</f>
        <v>0</v>
      </c>
      <c r="BA14" s="67">
        <f t="array" ref="BA14">SUM(IF(ISERR(FIND(BA$4,$D14:$AI14)),0,1))</f>
        <v>0</v>
      </c>
      <c r="BB14" s="67">
        <f t="array" ref="BB14">SUM(IF(ISERR(FIND(BB$4,$D14:$AI14)),0,1))</f>
        <v>0</v>
      </c>
      <c r="BC14" s="67">
        <f t="array" ref="BC14">SUM(IF(ISERR(FIND(BC$4,$D14:$AI14)),0,1))</f>
        <v>0</v>
      </c>
      <c r="BD14" s="67">
        <f t="shared" si="108"/>
        <v>0</v>
      </c>
      <c r="BE14" s="67">
        <f t="shared" si="109"/>
        <v>0</v>
      </c>
      <c r="BF14" s="67">
        <f t="shared" si="110"/>
        <v>0</v>
      </c>
      <c r="BG14" s="67">
        <f t="shared" si="111"/>
        <v>1</v>
      </c>
      <c r="BH14" s="67">
        <f t="shared" si="112"/>
        <v>0</v>
      </c>
      <c r="BI14" s="67">
        <f t="shared" si="113"/>
        <v>0</v>
      </c>
      <c r="BJ14" s="67">
        <f t="shared" si="114"/>
        <v>0</v>
      </c>
      <c r="BK14" s="67">
        <f t="shared" si="115"/>
        <v>0</v>
      </c>
      <c r="BL14" s="64">
        <f t="shared" si="116"/>
        <v>500101.05014000001</v>
      </c>
      <c r="BM14" s="64">
        <f t="shared" si="86"/>
        <v>28</v>
      </c>
      <c r="BN14" s="64">
        <v>5</v>
      </c>
      <c r="BO14" s="85" t="str">
        <f t="shared" si="117"/>
        <v/>
      </c>
      <c r="BP14" s="93">
        <f t="shared" si="118"/>
        <v>0</v>
      </c>
      <c r="BQ14" s="171">
        <f t="shared" si="119"/>
        <v>0</v>
      </c>
      <c r="BR14" s="64" t="str">
        <f t="shared" si="120"/>
        <v/>
      </c>
      <c r="BS14" s="64" t="str">
        <f t="shared" si="121"/>
        <v/>
      </c>
      <c r="BT14" s="67">
        <f t="shared" si="122"/>
        <v>0</v>
      </c>
      <c r="BU14" s="64" t="str">
        <f t="shared" si="123"/>
        <v/>
      </c>
      <c r="BV14" s="67">
        <f t="shared" si="124"/>
        <v>1</v>
      </c>
      <c r="BW14" s="64" t="str">
        <f t="shared" si="125"/>
        <v>Deol R</v>
      </c>
      <c r="BX14" s="67">
        <f t="shared" si="126"/>
        <v>0</v>
      </c>
      <c r="BY14" s="64" t="str">
        <f t="shared" si="127"/>
        <v/>
      </c>
      <c r="BZ14" s="64">
        <f t="shared" si="62"/>
        <v>1</v>
      </c>
      <c r="CA14" s="64" t="str">
        <f t="shared" si="63"/>
        <v>Deol R</v>
      </c>
      <c r="CB14" s="64">
        <f t="shared" si="64"/>
        <v>0</v>
      </c>
      <c r="CC14" s="64" t="str">
        <f t="shared" si="65"/>
        <v>Deol R</v>
      </c>
    </row>
    <row r="15" spans="1:81" x14ac:dyDescent="0.15">
      <c r="B15" s="116" t="s">
        <v>319</v>
      </c>
      <c r="C15" s="116" t="s">
        <v>318</v>
      </c>
      <c r="D15" s="116"/>
      <c r="E15" s="116"/>
      <c r="F15" s="116"/>
      <c r="G15" s="116"/>
      <c r="H15" s="116"/>
      <c r="I15" s="116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J15" s="64" t="str">
        <f t="shared" si="31"/>
        <v>Fleming N</v>
      </c>
      <c r="AK15" s="64">
        <f t="shared" si="98"/>
        <v>0</v>
      </c>
      <c r="AL15" s="64">
        <f t="shared" si="99"/>
        <v>0</v>
      </c>
      <c r="AM15" s="64">
        <f t="shared" si="100"/>
        <v>0</v>
      </c>
      <c r="AN15" s="64">
        <f t="shared" si="101"/>
        <v>0</v>
      </c>
      <c r="AO15" s="64">
        <f t="shared" si="102"/>
        <v>0</v>
      </c>
      <c r="AP15" s="68">
        <f t="shared" si="103"/>
        <v>0</v>
      </c>
      <c r="AQ15" s="64">
        <f t="shared" si="104"/>
        <v>0</v>
      </c>
      <c r="AR15" s="66">
        <f t="shared" si="105"/>
        <v>0</v>
      </c>
      <c r="AS15" s="64">
        <f t="shared" si="106"/>
        <v>0</v>
      </c>
      <c r="AT15" s="67">
        <f t="array" ref="AT15">SUM(IF(ISERR(FIND("*",D15:AI15)),0,1))</f>
        <v>0</v>
      </c>
      <c r="AU15" s="67">
        <f t="array" ref="AU15">SUM(IF(ISERR(FIND("+",D15:AI15)),0,1))</f>
        <v>0</v>
      </c>
      <c r="AV15" s="64">
        <f t="shared" si="107"/>
        <v>0</v>
      </c>
      <c r="AW15" s="67">
        <f t="array" ref="AW15">SUM(IF(ISERR(FIND(AW$4,$D15:$AI15)),0,1))</f>
        <v>0</v>
      </c>
      <c r="AX15" s="67">
        <f t="array" ref="AX15">SUM(IF(ISERR(FIND(AX$4,$D15:$AI15)),0,1))</f>
        <v>0</v>
      </c>
      <c r="AY15" s="67">
        <f t="array" ref="AY15">SUM(IF(ISERR(FIND(AY$4,$D15:$AI15)),0,1))</f>
        <v>0</v>
      </c>
      <c r="AZ15" s="67">
        <f t="array" ref="AZ15">SUM(IF(ISERR(FIND(AZ$4,$D15:$AI15)),0,1))</f>
        <v>0</v>
      </c>
      <c r="BA15" s="67">
        <f t="array" ref="BA15">SUM(IF(ISERR(FIND(BA$4,$D15:$AI15)),0,1))</f>
        <v>0</v>
      </c>
      <c r="BB15" s="67">
        <f t="array" ref="BB15">SUM(IF(ISERR(FIND(BB$4,$D15:$AI15)),0,1))</f>
        <v>0</v>
      </c>
      <c r="BC15" s="67">
        <f t="array" ref="BC15">SUM(IF(ISERR(FIND(BC$4,$D15:$AI15)),0,1))</f>
        <v>0</v>
      </c>
      <c r="BD15" s="67">
        <f t="shared" si="108"/>
        <v>0</v>
      </c>
      <c r="BE15" s="67">
        <f t="shared" si="109"/>
        <v>0</v>
      </c>
      <c r="BF15" s="67">
        <f t="shared" si="110"/>
        <v>0</v>
      </c>
      <c r="BG15" s="67">
        <f t="shared" si="111"/>
        <v>0</v>
      </c>
      <c r="BH15" s="67">
        <f t="shared" si="112"/>
        <v>0</v>
      </c>
      <c r="BI15" s="67">
        <f t="shared" si="113"/>
        <v>0</v>
      </c>
      <c r="BJ15" s="67">
        <f t="shared" si="114"/>
        <v>0</v>
      </c>
      <c r="BK15" s="67">
        <f t="shared" si="115"/>
        <v>0</v>
      </c>
      <c r="BL15" s="64">
        <f t="shared" si="116"/>
        <v>1.4999999999999999E-4</v>
      </c>
      <c r="BM15" s="64">
        <f t="shared" si="86"/>
        <v>57</v>
      </c>
      <c r="BN15" s="64">
        <v>6</v>
      </c>
      <c r="BO15" s="85" t="str">
        <f t="shared" si="117"/>
        <v/>
      </c>
      <c r="BP15" s="93" t="e">
        <f t="shared" si="118"/>
        <v>#DIV/0!</v>
      </c>
      <c r="BQ15" s="171">
        <f t="shared" si="119"/>
        <v>0</v>
      </c>
      <c r="BR15" s="64" t="str">
        <f t="shared" si="120"/>
        <v/>
      </c>
      <c r="BS15" s="64" t="str">
        <f t="shared" si="121"/>
        <v/>
      </c>
      <c r="BT15" s="67">
        <f t="shared" si="122"/>
        <v>0</v>
      </c>
      <c r="BU15" s="64" t="str">
        <f t="shared" si="123"/>
        <v/>
      </c>
      <c r="BV15" s="67">
        <f t="shared" si="124"/>
        <v>0</v>
      </c>
      <c r="BW15" s="64" t="str">
        <f t="shared" si="125"/>
        <v/>
      </c>
      <c r="BX15" s="67">
        <f t="shared" si="126"/>
        <v>0</v>
      </c>
      <c r="BY15" s="64" t="str">
        <f t="shared" si="127"/>
        <v/>
      </c>
      <c r="BZ15" s="64">
        <f t="shared" si="62"/>
        <v>0</v>
      </c>
      <c r="CA15" s="64" t="str">
        <f t="shared" si="63"/>
        <v>Fleming N</v>
      </c>
      <c r="CB15" s="64">
        <f t="shared" si="64"/>
        <v>0</v>
      </c>
      <c r="CC15" s="64" t="str">
        <f t="shared" si="65"/>
        <v>Fleming N</v>
      </c>
    </row>
    <row r="16" spans="1:81" x14ac:dyDescent="0.15">
      <c r="B16" s="116" t="s">
        <v>342</v>
      </c>
      <c r="C16" s="116" t="s">
        <v>341</v>
      </c>
      <c r="D16" s="116"/>
      <c r="E16" s="116"/>
      <c r="F16" s="116"/>
      <c r="G16" s="116"/>
      <c r="H16" s="116"/>
      <c r="I16" s="116"/>
      <c r="J16" s="1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J16" s="64" t="str">
        <f t="shared" si="31"/>
        <v>Ffrench R</v>
      </c>
      <c r="AK16" s="64">
        <f t="shared" si="98"/>
        <v>0</v>
      </c>
      <c r="AL16" s="64">
        <f t="shared" si="99"/>
        <v>0</v>
      </c>
      <c r="AM16" s="64">
        <f t="shared" si="100"/>
        <v>0</v>
      </c>
      <c r="AN16" s="64">
        <f t="shared" si="101"/>
        <v>0</v>
      </c>
      <c r="AO16" s="64">
        <f t="shared" si="102"/>
        <v>0</v>
      </c>
      <c r="AP16" s="68">
        <f t="shared" si="103"/>
        <v>0</v>
      </c>
      <c r="AQ16" s="64">
        <f t="shared" si="104"/>
        <v>0</v>
      </c>
      <c r="AR16" s="66">
        <f t="shared" si="105"/>
        <v>0</v>
      </c>
      <c r="AS16" s="64">
        <f t="shared" si="106"/>
        <v>0</v>
      </c>
      <c r="AT16" s="67">
        <f t="array" ref="AT16">SUM(IF(ISERR(FIND("*",D16:AI16)),0,1))</f>
        <v>0</v>
      </c>
      <c r="AU16" s="67">
        <f t="array" ref="AU16">SUM(IF(ISERR(FIND("+",D16:AI16)),0,1))</f>
        <v>0</v>
      </c>
      <c r="AV16" s="64">
        <f t="shared" si="107"/>
        <v>0</v>
      </c>
      <c r="AW16" s="67">
        <f t="array" ref="AW16">SUM(IF(ISERR(FIND(AW$4,$D16:$AI16)),0,1))</f>
        <v>0</v>
      </c>
      <c r="AX16" s="67">
        <f t="array" ref="AX16">SUM(IF(ISERR(FIND(AX$4,$D16:$AI16)),0,1))</f>
        <v>0</v>
      </c>
      <c r="AY16" s="67">
        <f t="array" ref="AY16">SUM(IF(ISERR(FIND(AY$4,$D16:$AI16)),0,1))</f>
        <v>0</v>
      </c>
      <c r="AZ16" s="67">
        <f t="array" ref="AZ16">SUM(IF(ISERR(FIND(AZ$4,$D16:$AI16)),0,1))</f>
        <v>0</v>
      </c>
      <c r="BA16" s="67">
        <f t="array" ref="BA16">SUM(IF(ISERR(FIND(BA$4,$D16:$AI16)),0,1))</f>
        <v>0</v>
      </c>
      <c r="BB16" s="67">
        <f t="array" ref="BB16">SUM(IF(ISERR(FIND(BB$4,$D16:$AI16)),0,1))</f>
        <v>0</v>
      </c>
      <c r="BC16" s="67">
        <f t="array" ref="BC16">SUM(IF(ISERR(FIND(BC$4,$D16:$AI16)),0,1))</f>
        <v>0</v>
      </c>
      <c r="BD16" s="67">
        <f t="shared" si="108"/>
        <v>0</v>
      </c>
      <c r="BE16" s="67">
        <f t="shared" si="109"/>
        <v>0</v>
      </c>
      <c r="BF16" s="67">
        <f t="shared" si="110"/>
        <v>0</v>
      </c>
      <c r="BG16" s="67">
        <f t="shared" si="111"/>
        <v>0</v>
      </c>
      <c r="BH16" s="67">
        <f t="shared" si="112"/>
        <v>0</v>
      </c>
      <c r="BI16" s="67">
        <f t="shared" si="113"/>
        <v>0</v>
      </c>
      <c r="BJ16" s="67">
        <f t="shared" si="114"/>
        <v>0</v>
      </c>
      <c r="BK16" s="67">
        <f t="shared" si="115"/>
        <v>0</v>
      </c>
      <c r="BL16" s="64">
        <f t="shared" si="116"/>
        <v>1.6000000000000001E-4</v>
      </c>
      <c r="BM16" s="64">
        <f t="shared" si="86"/>
        <v>56</v>
      </c>
      <c r="BN16" s="64">
        <v>7</v>
      </c>
      <c r="BO16" s="85" t="str">
        <f t="shared" si="117"/>
        <v/>
      </c>
      <c r="BP16" s="93" t="e">
        <f t="shared" si="118"/>
        <v>#DIV/0!</v>
      </c>
      <c r="BQ16" s="171">
        <f t="shared" si="119"/>
        <v>0</v>
      </c>
      <c r="BR16" s="64" t="str">
        <f t="shared" si="120"/>
        <v/>
      </c>
      <c r="BS16" s="64" t="str">
        <f t="shared" si="121"/>
        <v/>
      </c>
      <c r="BT16" s="67">
        <f t="shared" si="122"/>
        <v>0</v>
      </c>
      <c r="BU16" s="64" t="str">
        <f t="shared" si="123"/>
        <v/>
      </c>
      <c r="BV16" s="67">
        <f t="shared" si="124"/>
        <v>0</v>
      </c>
      <c r="BW16" s="64" t="str">
        <f t="shared" si="125"/>
        <v/>
      </c>
      <c r="BX16" s="67">
        <f t="shared" si="126"/>
        <v>0</v>
      </c>
      <c r="BY16" s="64" t="str">
        <f t="shared" si="127"/>
        <v/>
      </c>
      <c r="BZ16" s="64">
        <f t="shared" si="62"/>
        <v>0</v>
      </c>
      <c r="CA16" s="64" t="str">
        <f t="shared" si="63"/>
        <v>Ffrench R</v>
      </c>
      <c r="CB16" s="64">
        <f t="shared" si="64"/>
        <v>0</v>
      </c>
      <c r="CC16" s="64" t="str">
        <f t="shared" si="65"/>
        <v>Ffrench R</v>
      </c>
    </row>
    <row r="17" spans="2:81" x14ac:dyDescent="0.15">
      <c r="B17" s="116" t="s">
        <v>644</v>
      </c>
      <c r="C17" s="116" t="s">
        <v>636</v>
      </c>
      <c r="D17" s="116"/>
      <c r="E17" s="116"/>
      <c r="F17" s="116"/>
      <c r="G17" s="116"/>
      <c r="H17" s="116"/>
      <c r="I17" s="116"/>
      <c r="J17" s="116"/>
      <c r="K17"/>
      <c r="L17"/>
      <c r="M17"/>
      <c r="N17"/>
      <c r="O17"/>
      <c r="P17"/>
      <c r="Q17"/>
      <c r="R17"/>
      <c r="S17" t="s">
        <v>306</v>
      </c>
      <c r="T17"/>
      <c r="U17" t="s">
        <v>519</v>
      </c>
      <c r="V17"/>
      <c r="W17"/>
      <c r="X17"/>
      <c r="Y17"/>
      <c r="Z17"/>
      <c r="AJ17" s="116" t="str">
        <f t="shared" si="31"/>
        <v>Gardezi S</v>
      </c>
      <c r="AK17" s="64">
        <f t="shared" si="98"/>
        <v>2</v>
      </c>
      <c r="AL17" s="64">
        <f t="shared" si="99"/>
        <v>1</v>
      </c>
      <c r="AM17" s="64">
        <f t="shared" si="100"/>
        <v>1</v>
      </c>
      <c r="AN17" s="64">
        <f t="shared" si="101"/>
        <v>0</v>
      </c>
      <c r="AO17" s="64">
        <f t="shared" si="102"/>
        <v>0</v>
      </c>
      <c r="AP17" s="68">
        <f t="shared" si="103"/>
        <v>0</v>
      </c>
      <c r="AQ17" s="64">
        <f t="shared" si="104"/>
        <v>0</v>
      </c>
      <c r="AR17" s="66">
        <f t="shared" si="105"/>
        <v>0</v>
      </c>
      <c r="AS17" s="64">
        <f t="shared" si="106"/>
        <v>0</v>
      </c>
      <c r="AT17" s="67">
        <f t="array" ref="AT17">SUM(IF(ISERR(FIND("*",D17:AI17)),0,1))</f>
        <v>0</v>
      </c>
      <c r="AU17" s="67">
        <f t="array" ref="AU17">SUM(IF(ISERR(FIND("+",D17:AI17)),0,1))</f>
        <v>0</v>
      </c>
      <c r="AV17" s="64">
        <f t="shared" si="107"/>
        <v>1</v>
      </c>
      <c r="AW17" s="67">
        <f t="array" ref="AW17">SUM(IF(ISERR(FIND(AW$4,$D17:$AI17)),0,1))</f>
        <v>1</v>
      </c>
      <c r="AX17" s="67">
        <f t="array" ref="AX17">SUM(IF(ISERR(FIND(AX$4,$D17:$AI17)),0,1))</f>
        <v>0</v>
      </c>
      <c r="AY17" s="67">
        <f t="array" ref="AY17">SUM(IF(ISERR(FIND(AY$4,$D17:$AI17)),0,1))</f>
        <v>0</v>
      </c>
      <c r="AZ17" s="67">
        <f t="array" ref="AZ17">SUM(IF(ISERR(FIND(AZ$4,$D17:$AI17)),0,1))</f>
        <v>0</v>
      </c>
      <c r="BA17" s="67">
        <f t="array" ref="BA17">SUM(IF(ISERR(FIND(BA$4,$D17:$AI17)),0,1))</f>
        <v>0</v>
      </c>
      <c r="BB17" s="67">
        <f t="array" ref="BB17">SUM(IF(ISERR(FIND(BB$4,$D17:$AI17)),0,1))</f>
        <v>0</v>
      </c>
      <c r="BC17" s="67">
        <f t="array" ref="BC17">SUM(IF(ISERR(FIND(BC$4,$D17:$AI17)),0,1))</f>
        <v>0</v>
      </c>
      <c r="BD17" s="67">
        <f t="shared" si="108"/>
        <v>0</v>
      </c>
      <c r="BE17" s="67">
        <f t="shared" si="109"/>
        <v>0</v>
      </c>
      <c r="BF17" s="67">
        <f t="shared" si="110"/>
        <v>0</v>
      </c>
      <c r="BG17" s="67">
        <f t="shared" si="111"/>
        <v>0</v>
      </c>
      <c r="BH17" s="67">
        <f t="shared" si="112"/>
        <v>0</v>
      </c>
      <c r="BI17" s="67">
        <f t="shared" si="113"/>
        <v>0</v>
      </c>
      <c r="BJ17" s="67">
        <f t="shared" si="114"/>
        <v>0</v>
      </c>
      <c r="BK17" s="67">
        <f t="shared" si="115"/>
        <v>0</v>
      </c>
      <c r="BL17" s="64">
        <f t="shared" si="116"/>
        <v>102.00017</v>
      </c>
      <c r="BM17" s="64">
        <f t="shared" si="86"/>
        <v>33</v>
      </c>
      <c r="BN17" s="64">
        <v>8</v>
      </c>
      <c r="BO17" s="85" t="str">
        <f t="shared" si="117"/>
        <v/>
      </c>
      <c r="BP17" s="93">
        <f t="shared" si="118"/>
        <v>1</v>
      </c>
      <c r="BQ17" s="171">
        <f t="shared" si="119"/>
        <v>0</v>
      </c>
      <c r="BR17" s="64" t="str">
        <f t="shared" si="120"/>
        <v/>
      </c>
      <c r="BS17" s="64" t="str">
        <f t="shared" si="121"/>
        <v/>
      </c>
      <c r="BT17" s="67">
        <f t="shared" si="122"/>
        <v>0</v>
      </c>
      <c r="BU17" s="64" t="str">
        <f t="shared" si="123"/>
        <v/>
      </c>
      <c r="BV17" s="67">
        <f t="shared" si="124"/>
        <v>0</v>
      </c>
      <c r="BW17" s="64" t="str">
        <f t="shared" si="125"/>
        <v/>
      </c>
      <c r="BX17" s="67">
        <f t="shared" si="126"/>
        <v>0</v>
      </c>
      <c r="BY17" s="64" t="str">
        <f t="shared" si="127"/>
        <v/>
      </c>
      <c r="BZ17" s="64">
        <f t="shared" si="62"/>
        <v>2</v>
      </c>
      <c r="CA17" s="64" t="str">
        <f t="shared" si="63"/>
        <v>Gardezi S</v>
      </c>
      <c r="CB17" s="64">
        <f t="shared" si="64"/>
        <v>1</v>
      </c>
      <c r="CC17" s="64" t="str">
        <f t="shared" si="65"/>
        <v>Gardezi S</v>
      </c>
    </row>
    <row r="18" spans="2:81" x14ac:dyDescent="0.15">
      <c r="B18" s="116" t="s">
        <v>300</v>
      </c>
      <c r="C18" s="116" t="s">
        <v>301</v>
      </c>
      <c r="D18" s="116"/>
      <c r="E18" s="116"/>
      <c r="F18" s="116"/>
      <c r="G18" s="116"/>
      <c r="H18" s="116"/>
      <c r="I18" s="116"/>
      <c r="J18" s="116"/>
      <c r="K18" s="116"/>
      <c r="L18" s="116"/>
      <c r="M18" s="116"/>
      <c r="N18" s="116"/>
      <c r="O18" s="116"/>
      <c r="P18" s="116"/>
      <c r="Q18" s="116"/>
      <c r="S18"/>
      <c r="T18" s="116"/>
      <c r="U18"/>
      <c r="V18" s="116"/>
      <c r="W18"/>
      <c r="X18"/>
      <c r="Y18"/>
      <c r="Z18"/>
      <c r="AJ18" s="64" t="str">
        <f t="shared" si="31"/>
        <v>Hemasinghe M</v>
      </c>
      <c r="AK18" s="64">
        <f t="shared" si="98"/>
        <v>0</v>
      </c>
      <c r="AL18" s="64">
        <f t="shared" si="99"/>
        <v>0</v>
      </c>
      <c r="AM18" s="64">
        <f t="shared" si="100"/>
        <v>0</v>
      </c>
      <c r="AN18" s="64">
        <f t="shared" si="101"/>
        <v>0</v>
      </c>
      <c r="AO18" s="64">
        <f t="shared" si="102"/>
        <v>0</v>
      </c>
      <c r="AP18" s="68">
        <f t="shared" si="103"/>
        <v>0</v>
      </c>
      <c r="AQ18" s="64">
        <f t="shared" si="104"/>
        <v>0</v>
      </c>
      <c r="AR18" s="66">
        <f t="shared" si="105"/>
        <v>0</v>
      </c>
      <c r="AS18" s="64">
        <f t="shared" si="106"/>
        <v>0</v>
      </c>
      <c r="AT18" s="67">
        <f t="array" ref="AT18">SUM(IF(ISERR(FIND("*",D18:AI18)),0,1))</f>
        <v>0</v>
      </c>
      <c r="AU18" s="67">
        <f t="array" ref="AU18">SUM(IF(ISERR(FIND("+",D18:AI18)),0,1))</f>
        <v>0</v>
      </c>
      <c r="AV18" s="64">
        <f t="shared" si="107"/>
        <v>0</v>
      </c>
      <c r="AW18" s="67">
        <f t="array" ref="AW18">SUM(IF(ISERR(FIND(AW$4,$D18:$AI18)),0,1))</f>
        <v>0</v>
      </c>
      <c r="AX18" s="67">
        <f t="array" ref="AX18">SUM(IF(ISERR(FIND(AX$4,$D18:$AI18)),0,1))</f>
        <v>0</v>
      </c>
      <c r="AY18" s="67">
        <f t="array" ref="AY18">SUM(IF(ISERR(FIND(AY$4,$D18:$AI18)),0,1))</f>
        <v>0</v>
      </c>
      <c r="AZ18" s="67">
        <f t="array" ref="AZ18">SUM(IF(ISERR(FIND(AZ$4,$D18:$AI18)),0,1))</f>
        <v>0</v>
      </c>
      <c r="BA18" s="67">
        <f t="array" ref="BA18">SUM(IF(ISERR(FIND(BA$4,$D18:$AI18)),0,1))</f>
        <v>0</v>
      </c>
      <c r="BB18" s="67">
        <f t="array" ref="BB18">SUM(IF(ISERR(FIND(BB$4,$D18:$AI18)),0,1))</f>
        <v>0</v>
      </c>
      <c r="BC18" s="67">
        <f t="array" ref="BC18">SUM(IF(ISERR(FIND(BC$4,$D18:$AI18)),0,1))</f>
        <v>0</v>
      </c>
      <c r="BD18" s="67">
        <f t="shared" si="108"/>
        <v>0</v>
      </c>
      <c r="BE18" s="67">
        <f t="shared" si="109"/>
        <v>0</v>
      </c>
      <c r="BF18" s="67">
        <f t="shared" si="110"/>
        <v>0</v>
      </c>
      <c r="BG18" s="67">
        <f t="shared" si="111"/>
        <v>0</v>
      </c>
      <c r="BH18" s="67">
        <f t="shared" si="112"/>
        <v>0</v>
      </c>
      <c r="BI18" s="67">
        <f t="shared" si="113"/>
        <v>0</v>
      </c>
      <c r="BJ18" s="67">
        <f t="shared" si="114"/>
        <v>0</v>
      </c>
      <c r="BK18" s="67">
        <f t="shared" si="115"/>
        <v>0</v>
      </c>
      <c r="BL18" s="64">
        <f t="shared" si="116"/>
        <v>1.8000000000000001E-4</v>
      </c>
      <c r="BM18" s="64">
        <f t="shared" si="86"/>
        <v>55</v>
      </c>
      <c r="BN18" s="64">
        <v>9</v>
      </c>
      <c r="BO18" s="85" t="str">
        <f t="shared" si="117"/>
        <v/>
      </c>
      <c r="BP18" s="93" t="e">
        <f t="shared" si="118"/>
        <v>#DIV/0!</v>
      </c>
      <c r="BQ18" s="171">
        <f t="shared" si="119"/>
        <v>0</v>
      </c>
      <c r="BR18" s="64" t="str">
        <f t="shared" si="120"/>
        <v/>
      </c>
      <c r="BS18" s="64" t="str">
        <f t="shared" si="121"/>
        <v/>
      </c>
      <c r="BT18" s="67">
        <f t="shared" si="122"/>
        <v>0</v>
      </c>
      <c r="BU18" s="64" t="str">
        <f t="shared" si="123"/>
        <v/>
      </c>
      <c r="BV18" s="67">
        <f t="shared" si="124"/>
        <v>0</v>
      </c>
      <c r="BW18" s="64" t="str">
        <f t="shared" si="125"/>
        <v/>
      </c>
      <c r="BX18" s="67">
        <f t="shared" si="126"/>
        <v>0</v>
      </c>
      <c r="BY18" s="64" t="str">
        <f t="shared" si="127"/>
        <v/>
      </c>
      <c r="BZ18" s="64">
        <f t="shared" si="62"/>
        <v>0</v>
      </c>
      <c r="CA18" s="64" t="str">
        <f t="shared" si="63"/>
        <v>Hemasinghe M</v>
      </c>
      <c r="CB18" s="64">
        <f t="shared" si="64"/>
        <v>0</v>
      </c>
      <c r="CC18" s="64" t="str">
        <f t="shared" si="65"/>
        <v>Hemasinghe M</v>
      </c>
    </row>
    <row r="19" spans="2:81" x14ac:dyDescent="0.15">
      <c r="B19" s="116" t="s">
        <v>372</v>
      </c>
      <c r="C19" s="116" t="s">
        <v>369</v>
      </c>
      <c r="D19" s="116" t="s">
        <v>382</v>
      </c>
      <c r="E19" s="116" t="s">
        <v>407</v>
      </c>
      <c r="F19" s="116"/>
      <c r="G19" s="116" t="s">
        <v>309</v>
      </c>
      <c r="H19" s="116"/>
      <c r="I19" s="116"/>
      <c r="J19" s="116"/>
      <c r="K19" s="116"/>
      <c r="L19" s="116"/>
      <c r="M19" s="116"/>
      <c r="N19" s="116"/>
      <c r="O19" s="116" t="s">
        <v>557</v>
      </c>
      <c r="P19" s="116" t="s">
        <v>572</v>
      </c>
      <c r="Q19" s="116"/>
      <c r="S19"/>
      <c r="T19" s="116"/>
      <c r="U19" t="s">
        <v>667</v>
      </c>
      <c r="V19" s="116"/>
      <c r="W19" t="s">
        <v>687</v>
      </c>
      <c r="X19"/>
      <c r="Y19"/>
      <c r="Z19"/>
      <c r="AJ19" s="64" t="str">
        <f t="shared" si="31"/>
        <v>Jain A</v>
      </c>
      <c r="AK19" s="64">
        <f t="shared" si="98"/>
        <v>7</v>
      </c>
      <c r="AL19" s="64">
        <f t="shared" si="99"/>
        <v>1</v>
      </c>
      <c r="AM19" s="64">
        <f t="shared" si="100"/>
        <v>6</v>
      </c>
      <c r="AN19" s="64">
        <f t="shared" si="101"/>
        <v>1</v>
      </c>
      <c r="AO19" s="64">
        <f t="shared" si="102"/>
        <v>-9</v>
      </c>
      <c r="AP19" s="68" t="str">
        <f t="shared" si="103"/>
        <v>9*</v>
      </c>
      <c r="AQ19" s="64">
        <f t="shared" si="104"/>
        <v>22</v>
      </c>
      <c r="AR19" s="66">
        <f t="shared" si="105"/>
        <v>4.4000000000000004</v>
      </c>
      <c r="AS19" s="64">
        <f t="shared" si="106"/>
        <v>10</v>
      </c>
      <c r="AT19" s="67">
        <f t="array" ref="AT19">SUM(IF(ISERR(FIND("*",D19:AI19)),0,1))</f>
        <v>0</v>
      </c>
      <c r="AU19" s="67">
        <f t="array" ref="AU19">SUM(IF(ISERR(FIND("+",D19:AI19)),0,1))</f>
        <v>0</v>
      </c>
      <c r="AV19" s="64">
        <f t="shared" si="107"/>
        <v>2</v>
      </c>
      <c r="AW19" s="67">
        <f t="array" ref="AW19">SUM(IF(ISERR(FIND(AW$4,$D19:$AI19)),0,1))</f>
        <v>0</v>
      </c>
      <c r="AX19" s="67">
        <f t="array" ref="AX19">SUM(IF(ISERR(FIND(AX$4,$D19:$AI19)),0,1))</f>
        <v>0</v>
      </c>
      <c r="AY19" s="67">
        <f t="array" ref="AY19">SUM(IF(ISERR(FIND(AY$4,$D19:$AI19)),0,1))</f>
        <v>5</v>
      </c>
      <c r="AZ19" s="67">
        <f t="array" ref="AZ19">SUM(IF(ISERR(FIND(AZ$4,$D19:$AI19)),0,1))</f>
        <v>0</v>
      </c>
      <c r="BA19" s="67">
        <f t="array" ref="BA19">SUM(IF(ISERR(FIND(BA$4,$D19:$AI19)),0,1))</f>
        <v>0</v>
      </c>
      <c r="BB19" s="67">
        <f t="array" ref="BB19">SUM(IF(ISERR(FIND(BB$4,$D19:$AI19)),0,1))</f>
        <v>0</v>
      </c>
      <c r="BC19" s="67">
        <f t="array" ref="BC19">SUM(IF(ISERR(FIND(BC$4,$D19:$AI19)),0,1))</f>
        <v>0</v>
      </c>
      <c r="BD19" s="67">
        <f t="shared" si="108"/>
        <v>0</v>
      </c>
      <c r="BE19" s="67">
        <f t="shared" si="109"/>
        <v>0</v>
      </c>
      <c r="BF19" s="67">
        <f t="shared" si="110"/>
        <v>2</v>
      </c>
      <c r="BG19" s="67">
        <f t="shared" si="111"/>
        <v>2</v>
      </c>
      <c r="BH19" s="67">
        <f t="shared" si="112"/>
        <v>0</v>
      </c>
      <c r="BI19" s="67">
        <f t="shared" si="113"/>
        <v>0</v>
      </c>
      <c r="BJ19" s="67">
        <f t="shared" si="114"/>
        <v>0</v>
      </c>
      <c r="BK19" s="67">
        <f t="shared" si="115"/>
        <v>0</v>
      </c>
      <c r="BL19" s="64">
        <f t="shared" si="116"/>
        <v>440607.22019000002</v>
      </c>
      <c r="BM19" s="64">
        <f t="shared" si="86"/>
        <v>29</v>
      </c>
      <c r="BN19" s="64">
        <v>10</v>
      </c>
      <c r="BO19" s="85" t="str">
        <f t="shared" si="117"/>
        <v/>
      </c>
      <c r="BP19" s="93">
        <f t="shared" si="118"/>
        <v>0.4</v>
      </c>
      <c r="BQ19" s="171">
        <f t="shared" si="119"/>
        <v>2</v>
      </c>
      <c r="BR19" s="64" t="str">
        <f t="shared" si="120"/>
        <v>2</v>
      </c>
      <c r="BS19" s="64" t="str">
        <f t="shared" si="121"/>
        <v>Jain A</v>
      </c>
      <c r="BT19" s="67">
        <f t="shared" si="122"/>
        <v>0</v>
      </c>
      <c r="BU19" s="64" t="str">
        <f t="shared" si="123"/>
        <v/>
      </c>
      <c r="BV19" s="67">
        <f t="shared" si="124"/>
        <v>2</v>
      </c>
      <c r="BW19" s="64" t="str">
        <f t="shared" si="125"/>
        <v>Jain A</v>
      </c>
      <c r="BX19" s="67">
        <f t="shared" si="126"/>
        <v>0</v>
      </c>
      <c r="BY19" s="64" t="str">
        <f t="shared" si="127"/>
        <v/>
      </c>
      <c r="BZ19" s="64">
        <f t="shared" si="62"/>
        <v>7</v>
      </c>
      <c r="CA19" s="64" t="str">
        <f t="shared" si="63"/>
        <v>Jain A</v>
      </c>
      <c r="CB19" s="64">
        <f t="shared" si="64"/>
        <v>2</v>
      </c>
      <c r="CC19" s="64" t="str">
        <f t="shared" si="65"/>
        <v>Jain A</v>
      </c>
    </row>
    <row r="20" spans="2:81" x14ac:dyDescent="0.15">
      <c r="B20" s="116" t="s">
        <v>250</v>
      </c>
      <c r="C20" s="116" t="s">
        <v>251</v>
      </c>
      <c r="D20" s="116" t="s">
        <v>379</v>
      </c>
      <c r="E20" s="116" t="s">
        <v>344</v>
      </c>
      <c r="F20" s="116" t="s">
        <v>416</v>
      </c>
      <c r="G20" s="116" t="s">
        <v>316</v>
      </c>
      <c r="H20" s="116" t="s">
        <v>435</v>
      </c>
      <c r="I20" s="116" t="s">
        <v>463</v>
      </c>
      <c r="J20" s="116" t="s">
        <v>472</v>
      </c>
      <c r="K20" s="116" t="s">
        <v>489</v>
      </c>
      <c r="L20"/>
      <c r="M20"/>
      <c r="N20"/>
      <c r="O20" t="s">
        <v>559</v>
      </c>
      <c r="P20" t="s">
        <v>514</v>
      </c>
      <c r="Q20" t="s">
        <v>593</v>
      </c>
      <c r="R20" s="116"/>
      <c r="S20"/>
      <c r="T20" t="s">
        <v>652</v>
      </c>
      <c r="U20"/>
      <c r="V20" t="s">
        <v>678</v>
      </c>
      <c r="W20" t="s">
        <v>686</v>
      </c>
      <c r="X20"/>
      <c r="Y20"/>
      <c r="Z20"/>
      <c r="AJ20" s="64" t="str">
        <f t="shared" si="31"/>
        <v>Jenkins D</v>
      </c>
      <c r="AK20" s="64">
        <f t="shared" si="98"/>
        <v>14</v>
      </c>
      <c r="AL20" s="64">
        <f t="shared" si="99"/>
        <v>1</v>
      </c>
      <c r="AM20" s="64">
        <f t="shared" si="100"/>
        <v>13</v>
      </c>
      <c r="AN20" s="64">
        <f t="shared" si="101"/>
        <v>2</v>
      </c>
      <c r="AO20" s="64">
        <f t="shared" si="102"/>
        <v>37</v>
      </c>
      <c r="AP20" s="68">
        <f t="shared" si="103"/>
        <v>37</v>
      </c>
      <c r="AQ20" s="64">
        <f t="shared" si="104"/>
        <v>131</v>
      </c>
      <c r="AR20" s="66">
        <f t="shared" si="105"/>
        <v>11.909090909090908</v>
      </c>
      <c r="AS20" s="64">
        <f t="shared" si="106"/>
        <v>10</v>
      </c>
      <c r="AT20" s="67">
        <f t="array" ref="AT20">SUM(IF(ISERR(FIND("*",D20:AI20)),0,1))</f>
        <v>0</v>
      </c>
      <c r="AU20" s="67">
        <f t="array" ref="AU20">SUM(IF(ISERR(FIND("+",D20:AI20)),0,1))</f>
        <v>0</v>
      </c>
      <c r="AV20" s="64">
        <f t="shared" si="107"/>
        <v>2</v>
      </c>
      <c r="AW20" s="67">
        <f t="array" ref="AW20">SUM(IF(ISERR(FIND(AW$4,$D20:$AI20)),0,1))</f>
        <v>7</v>
      </c>
      <c r="AX20" s="67">
        <f t="array" ref="AX20">SUM(IF(ISERR(FIND(AX$4,$D20:$AI20)),0,1))</f>
        <v>2</v>
      </c>
      <c r="AY20" s="67">
        <f t="array" ref="AY20">SUM(IF(ISERR(FIND(AY$4,$D20:$AI20)),0,1))</f>
        <v>1</v>
      </c>
      <c r="AZ20" s="67">
        <f t="array" ref="AZ20">SUM(IF(ISERR(FIND(AZ$4,$D20:$AI20)),0,1))</f>
        <v>1</v>
      </c>
      <c r="BA20" s="67">
        <f t="array" ref="BA20">SUM(IF(ISERR(FIND(BA$4,$D20:$AI20)),0,1))</f>
        <v>0</v>
      </c>
      <c r="BB20" s="67">
        <f t="array" ref="BB20">SUM(IF(ISERR(FIND(BB$4,$D20:$AI20)),0,1))</f>
        <v>0</v>
      </c>
      <c r="BC20" s="67">
        <f t="array" ref="BC20">SUM(IF(ISERR(FIND(BC$4,$D20:$AI20)),0,1))</f>
        <v>0</v>
      </c>
      <c r="BD20" s="67">
        <f t="shared" si="108"/>
        <v>0</v>
      </c>
      <c r="BE20" s="67">
        <f t="shared" si="109"/>
        <v>0</v>
      </c>
      <c r="BF20" s="67">
        <f t="shared" si="110"/>
        <v>2</v>
      </c>
      <c r="BG20" s="67">
        <f t="shared" si="111"/>
        <v>14</v>
      </c>
      <c r="BH20" s="67">
        <f t="shared" si="112"/>
        <v>0</v>
      </c>
      <c r="BI20" s="67">
        <f t="shared" si="113"/>
        <v>0</v>
      </c>
      <c r="BJ20" s="67">
        <f t="shared" si="114"/>
        <v>0</v>
      </c>
      <c r="BK20" s="67">
        <f t="shared" si="115"/>
        <v>1</v>
      </c>
      <c r="BL20" s="64">
        <f t="shared" si="116"/>
        <v>1192315.3101999999</v>
      </c>
      <c r="BM20" s="64">
        <f t="shared" si="86"/>
        <v>19</v>
      </c>
      <c r="BN20" s="64">
        <v>11</v>
      </c>
      <c r="BO20" s="85">
        <f t="shared" si="117"/>
        <v>0.84732824427480913</v>
      </c>
      <c r="BP20" s="93">
        <f t="shared" si="118"/>
        <v>0.18181818181818182</v>
      </c>
      <c r="BQ20" s="171">
        <f t="shared" si="119"/>
        <v>2</v>
      </c>
      <c r="BR20" s="64" t="str">
        <f t="shared" si="120"/>
        <v>2</v>
      </c>
      <c r="BS20" s="64" t="str">
        <f t="shared" si="121"/>
        <v>Jenkins D</v>
      </c>
      <c r="BT20" s="67">
        <f t="shared" si="122"/>
        <v>0</v>
      </c>
      <c r="BU20" s="64" t="str">
        <f t="shared" si="123"/>
        <v/>
      </c>
      <c r="BV20" s="67">
        <f t="shared" si="124"/>
        <v>14</v>
      </c>
      <c r="BW20" s="64" t="str">
        <f t="shared" si="125"/>
        <v>Jenkins D</v>
      </c>
      <c r="BX20" s="67">
        <f t="shared" si="126"/>
        <v>1</v>
      </c>
      <c r="BY20" s="64" t="str">
        <f t="shared" si="127"/>
        <v>Jenkins D</v>
      </c>
      <c r="BZ20" s="64">
        <f t="shared" si="62"/>
        <v>14</v>
      </c>
      <c r="CA20" s="64" t="str">
        <f t="shared" si="63"/>
        <v>Jenkins D</v>
      </c>
      <c r="CB20" s="64">
        <f t="shared" si="64"/>
        <v>2</v>
      </c>
      <c r="CC20" s="64" t="str">
        <f t="shared" si="65"/>
        <v>Jenkins D</v>
      </c>
    </row>
    <row r="21" spans="2:81" x14ac:dyDescent="0.15">
      <c r="B21" s="116" t="s">
        <v>618</v>
      </c>
      <c r="C21" s="116" t="s">
        <v>619</v>
      </c>
      <c r="D21" s="116"/>
      <c r="E21" s="116"/>
      <c r="F21" s="116"/>
      <c r="G21" s="116"/>
      <c r="H21" s="116"/>
      <c r="I21" s="116"/>
      <c r="J21" s="116"/>
      <c r="K21" s="116"/>
      <c r="L21"/>
      <c r="M21"/>
      <c r="N21"/>
      <c r="O21"/>
      <c r="P21"/>
      <c r="Q21"/>
      <c r="R21" s="116" t="s">
        <v>620</v>
      </c>
      <c r="S21" t="s">
        <v>312</v>
      </c>
      <c r="T21"/>
      <c r="U21"/>
      <c r="V21"/>
      <c r="W21"/>
      <c r="X21"/>
      <c r="Y21"/>
      <c r="Z21"/>
      <c r="AJ21" s="116" t="str">
        <f t="shared" si="31"/>
        <v>Khan A</v>
      </c>
      <c r="AK21" s="64">
        <f t="shared" si="98"/>
        <v>2</v>
      </c>
      <c r="AL21" s="64">
        <f t="shared" si="99"/>
        <v>1</v>
      </c>
      <c r="AM21" s="64">
        <f t="shared" si="100"/>
        <v>1</v>
      </c>
      <c r="AN21" s="64">
        <f t="shared" si="101"/>
        <v>0</v>
      </c>
      <c r="AO21" s="64">
        <f t="shared" si="102"/>
        <v>0</v>
      </c>
      <c r="AP21" s="68">
        <f t="shared" si="103"/>
        <v>0</v>
      </c>
      <c r="AQ21" s="64">
        <f t="shared" si="104"/>
        <v>0</v>
      </c>
      <c r="AR21" s="66">
        <f t="shared" si="105"/>
        <v>0</v>
      </c>
      <c r="AS21" s="64">
        <f t="shared" si="106"/>
        <v>0</v>
      </c>
      <c r="AT21" s="67">
        <f t="array" ref="AT21">SUM(IF(ISERR(FIND("*",D21:AI21)),0,1))</f>
        <v>0</v>
      </c>
      <c r="AU21" s="67">
        <f t="array" ref="AU21">SUM(IF(ISERR(FIND("+",D21:AI21)),0,1))</f>
        <v>0</v>
      </c>
      <c r="AV21" s="64">
        <f t="shared" si="107"/>
        <v>1</v>
      </c>
      <c r="AW21" s="67">
        <f t="array" ref="AW21">SUM(IF(ISERR(FIND(AW$4,$D21:$AI21)),0,1))</f>
        <v>0</v>
      </c>
      <c r="AX21" s="67">
        <f t="array" ref="AX21">SUM(IF(ISERR(FIND(AX$4,$D21:$AI21)),0,1))</f>
        <v>0</v>
      </c>
      <c r="AY21" s="67">
        <f t="array" ref="AY21">SUM(IF(ISERR(FIND(AY$4,$D21:$AI21)),0,1))</f>
        <v>1</v>
      </c>
      <c r="AZ21" s="67">
        <f t="array" ref="AZ21">SUM(IF(ISERR(FIND(AZ$4,$D21:$AI21)),0,1))</f>
        <v>0</v>
      </c>
      <c r="BA21" s="67">
        <f t="array" ref="BA21">SUM(IF(ISERR(FIND(BA$4,$D21:$AI21)),0,1))</f>
        <v>0</v>
      </c>
      <c r="BB21" s="67">
        <f t="array" ref="BB21">SUM(IF(ISERR(FIND(BB$4,$D21:$AI21)),0,1))</f>
        <v>0</v>
      </c>
      <c r="BC21" s="67">
        <f t="array" ref="BC21">SUM(IF(ISERR(FIND(BC$4,$D21:$AI21)),0,1))</f>
        <v>0</v>
      </c>
      <c r="BD21" s="67">
        <f t="shared" si="108"/>
        <v>0</v>
      </c>
      <c r="BE21" s="67">
        <f t="shared" si="109"/>
        <v>0</v>
      </c>
      <c r="BF21" s="67">
        <f t="shared" si="110"/>
        <v>0</v>
      </c>
      <c r="BG21" s="67">
        <f t="shared" si="111"/>
        <v>0</v>
      </c>
      <c r="BH21" s="67">
        <f t="shared" si="112"/>
        <v>0</v>
      </c>
      <c r="BI21" s="67">
        <f t="shared" si="113"/>
        <v>0</v>
      </c>
      <c r="BJ21" s="67">
        <f t="shared" si="114"/>
        <v>0</v>
      </c>
      <c r="BK21" s="67">
        <f t="shared" si="115"/>
        <v>0</v>
      </c>
      <c r="BL21" s="64">
        <f t="shared" si="116"/>
        <v>102.00021</v>
      </c>
      <c r="BM21" s="64">
        <f t="shared" si="86"/>
        <v>32</v>
      </c>
      <c r="BN21" s="64">
        <v>12</v>
      </c>
      <c r="BO21" s="85" t="str">
        <f t="shared" si="117"/>
        <v/>
      </c>
      <c r="BP21" s="93">
        <f t="shared" si="118"/>
        <v>1</v>
      </c>
      <c r="BQ21" s="171">
        <f t="shared" si="119"/>
        <v>0</v>
      </c>
      <c r="BR21" s="64" t="str">
        <f t="shared" si="120"/>
        <v/>
      </c>
      <c r="BS21" s="64" t="str">
        <f t="shared" si="121"/>
        <v/>
      </c>
      <c r="BT21" s="67">
        <f t="shared" si="122"/>
        <v>0</v>
      </c>
      <c r="BU21" s="64" t="str">
        <f t="shared" si="123"/>
        <v/>
      </c>
      <c r="BV21" s="67">
        <f t="shared" si="124"/>
        <v>0</v>
      </c>
      <c r="BW21" s="64" t="str">
        <f t="shared" si="125"/>
        <v/>
      </c>
      <c r="BX21" s="67">
        <f t="shared" si="126"/>
        <v>0</v>
      </c>
      <c r="BY21" s="64" t="str">
        <f t="shared" si="127"/>
        <v/>
      </c>
      <c r="BZ21" s="64">
        <f t="shared" si="62"/>
        <v>2</v>
      </c>
      <c r="CA21" s="64" t="str">
        <f t="shared" si="63"/>
        <v>Khan A</v>
      </c>
      <c r="CB21" s="64">
        <f t="shared" si="64"/>
        <v>1</v>
      </c>
      <c r="CC21" s="64" t="str">
        <f t="shared" si="65"/>
        <v>Khan A</v>
      </c>
    </row>
    <row r="22" spans="2:81" x14ac:dyDescent="0.15">
      <c r="B22" s="64" t="s">
        <v>188</v>
      </c>
      <c r="C22" s="64" t="s">
        <v>187</v>
      </c>
      <c r="D22"/>
      <c r="F22"/>
      <c r="H22"/>
      <c r="I22"/>
      <c r="J22"/>
      <c r="K22"/>
      <c r="L22" s="116"/>
      <c r="M22"/>
      <c r="N22"/>
      <c r="O22"/>
      <c r="P22"/>
      <c r="Q22"/>
      <c r="R22"/>
      <c r="S22"/>
      <c r="T22"/>
      <c r="U22" t="s">
        <v>305</v>
      </c>
      <c r="V22"/>
      <c r="W22"/>
      <c r="X22"/>
      <c r="AJ22" s="64" t="str">
        <f t="shared" si="31"/>
        <v>Kiernan M</v>
      </c>
      <c r="AK22" s="64">
        <f t="shared" si="98"/>
        <v>1</v>
      </c>
      <c r="AL22" s="64">
        <f t="shared" si="99"/>
        <v>0</v>
      </c>
      <c r="AM22" s="64">
        <f t="shared" si="100"/>
        <v>1</v>
      </c>
      <c r="AN22" s="64">
        <f t="shared" si="101"/>
        <v>0</v>
      </c>
      <c r="AO22" s="64">
        <f t="shared" si="102"/>
        <v>0</v>
      </c>
      <c r="AP22" s="68">
        <f t="shared" si="103"/>
        <v>0</v>
      </c>
      <c r="AQ22" s="64">
        <f t="shared" si="104"/>
        <v>0</v>
      </c>
      <c r="AR22" s="66">
        <f t="shared" si="105"/>
        <v>0</v>
      </c>
      <c r="AS22" s="64">
        <f t="shared" si="106"/>
        <v>0</v>
      </c>
      <c r="AT22" s="67">
        <f t="array" ref="AT22">SUM(IF(ISERR(FIND("*",D22:AI22)),0,1))</f>
        <v>0</v>
      </c>
      <c r="AU22" s="67">
        <f t="array" ref="AU22">SUM(IF(ISERR(FIND("+",D22:AI22)),0,1))</f>
        <v>0</v>
      </c>
      <c r="AV22" s="64">
        <f t="shared" si="107"/>
        <v>1</v>
      </c>
      <c r="AW22" s="67">
        <f t="array" ref="AW22">SUM(IF(ISERR(FIND(AW$4,$D22:$AI22)),0,1))</f>
        <v>0</v>
      </c>
      <c r="AX22" s="67">
        <f t="array" ref="AX22">SUM(IF(ISERR(FIND(AX$4,$D22:$AI22)),0,1))</f>
        <v>1</v>
      </c>
      <c r="AY22" s="67">
        <f t="array" ref="AY22">SUM(IF(ISERR(FIND(AY$4,$D22:$AI22)),0,1))</f>
        <v>0</v>
      </c>
      <c r="AZ22" s="67">
        <f t="array" ref="AZ22">SUM(IF(ISERR(FIND(AZ$4,$D22:$AI22)),0,1))</f>
        <v>0</v>
      </c>
      <c r="BA22" s="67">
        <f t="array" ref="BA22">SUM(IF(ISERR(FIND(BA$4,$D22:$AI22)),0,1))</f>
        <v>0</v>
      </c>
      <c r="BB22" s="67">
        <f t="array" ref="BB22">SUM(IF(ISERR(FIND(BB$4,$D22:$AI22)),0,1))</f>
        <v>0</v>
      </c>
      <c r="BC22" s="67">
        <f t="array" ref="BC22">SUM(IF(ISERR(FIND(BC$4,$D22:$AI22)),0,1))</f>
        <v>0</v>
      </c>
      <c r="BD22" s="67">
        <f t="shared" si="108"/>
        <v>0</v>
      </c>
      <c r="BE22" s="67">
        <f t="shared" si="109"/>
        <v>0</v>
      </c>
      <c r="BF22" s="67">
        <f t="shared" si="110"/>
        <v>0</v>
      </c>
      <c r="BG22" s="67">
        <f t="shared" si="111"/>
        <v>0</v>
      </c>
      <c r="BH22" s="67">
        <f t="shared" si="112"/>
        <v>0</v>
      </c>
      <c r="BI22" s="67">
        <f t="shared" si="113"/>
        <v>0</v>
      </c>
      <c r="BJ22" s="67">
        <f t="shared" si="114"/>
        <v>0</v>
      </c>
      <c r="BK22" s="67">
        <f t="shared" si="115"/>
        <v>0</v>
      </c>
      <c r="BL22" s="64">
        <f t="shared" si="116"/>
        <v>101.00022</v>
      </c>
      <c r="BM22" s="64">
        <f t="shared" si="86"/>
        <v>36</v>
      </c>
      <c r="BN22" s="64">
        <v>13</v>
      </c>
      <c r="BO22" s="85" t="str">
        <f t="shared" si="117"/>
        <v/>
      </c>
      <c r="BP22" s="93">
        <f t="shared" si="118"/>
        <v>1</v>
      </c>
      <c r="BQ22" s="171">
        <f t="shared" si="119"/>
        <v>0</v>
      </c>
      <c r="BR22" s="64" t="str">
        <f t="shared" si="120"/>
        <v/>
      </c>
      <c r="BS22" s="64" t="str">
        <f t="shared" si="121"/>
        <v/>
      </c>
      <c r="BT22" s="67">
        <f t="shared" si="122"/>
        <v>0</v>
      </c>
      <c r="BU22" s="64" t="str">
        <f t="shared" si="123"/>
        <v/>
      </c>
      <c r="BV22" s="67">
        <f t="shared" si="124"/>
        <v>0</v>
      </c>
      <c r="BW22" s="64" t="str">
        <f t="shared" si="125"/>
        <v/>
      </c>
      <c r="BX22" s="67">
        <f t="shared" si="126"/>
        <v>0</v>
      </c>
      <c r="BY22" s="64" t="str">
        <f t="shared" si="127"/>
        <v/>
      </c>
      <c r="BZ22" s="64">
        <f t="shared" si="62"/>
        <v>1</v>
      </c>
      <c r="CA22" s="64" t="str">
        <f t="shared" si="63"/>
        <v>Kiernan M</v>
      </c>
      <c r="CB22" s="64">
        <f t="shared" si="64"/>
        <v>1</v>
      </c>
      <c r="CC22" s="64" t="str">
        <f t="shared" si="65"/>
        <v>Kiernan M</v>
      </c>
    </row>
    <row r="23" spans="2:81" x14ac:dyDescent="0.15">
      <c r="B23" s="116" t="s">
        <v>250</v>
      </c>
      <c r="C23" s="116" t="s">
        <v>302</v>
      </c>
      <c r="D23" t="s">
        <v>381</v>
      </c>
      <c r="E23" s="116"/>
      <c r="F23" s="116" t="s">
        <v>412</v>
      </c>
      <c r="G23" s="116"/>
      <c r="H23" s="116" t="s">
        <v>434</v>
      </c>
      <c r="I23" s="116" t="s">
        <v>464</v>
      </c>
      <c r="J23"/>
      <c r="K23" t="s">
        <v>488</v>
      </c>
      <c r="L23" s="116" t="s">
        <v>500</v>
      </c>
      <c r="M23" s="116" t="s">
        <v>519</v>
      </c>
      <c r="N23" s="116" t="s">
        <v>543</v>
      </c>
      <c r="O23" s="116"/>
      <c r="P23" s="116"/>
      <c r="Q23" s="116"/>
      <c r="R23" s="116"/>
      <c r="S23" s="116" t="s">
        <v>634</v>
      </c>
      <c r="T23" s="116" t="s">
        <v>653</v>
      </c>
      <c r="U23" s="116" t="s">
        <v>557</v>
      </c>
      <c r="V23" s="116" t="s">
        <v>676</v>
      </c>
      <c r="W23" s="116" t="s">
        <v>685</v>
      </c>
      <c r="X23" s="116" t="s">
        <v>635</v>
      </c>
      <c r="Y23" s="116"/>
      <c r="AJ23" s="64" t="str">
        <f t="shared" si="31"/>
        <v>Kogulathasan D</v>
      </c>
      <c r="AK23" s="64">
        <f t="shared" si="98"/>
        <v>14</v>
      </c>
      <c r="AL23" s="64">
        <f t="shared" si="99"/>
        <v>1</v>
      </c>
      <c r="AM23" s="64">
        <f t="shared" si="100"/>
        <v>13</v>
      </c>
      <c r="AN23" s="64">
        <f t="shared" si="101"/>
        <v>4</v>
      </c>
      <c r="AO23" s="64">
        <f t="shared" si="102"/>
        <v>-29</v>
      </c>
      <c r="AP23" s="68" t="str">
        <f t="shared" si="103"/>
        <v>29*</v>
      </c>
      <c r="AQ23" s="64">
        <f t="shared" si="104"/>
        <v>138</v>
      </c>
      <c r="AR23" s="66">
        <f t="shared" si="105"/>
        <v>15.333333333333334</v>
      </c>
      <c r="AS23" s="64">
        <f t="shared" si="106"/>
        <v>0</v>
      </c>
      <c r="AT23" s="67">
        <f t="array" ref="AT23">SUM(IF(ISERR(FIND("*",D23:AI23)),0,1))</f>
        <v>0</v>
      </c>
      <c r="AU23" s="67">
        <f t="array" ref="AU23">SUM(IF(ISERR(FIND("+",D23:AI23)),0,1))</f>
        <v>0</v>
      </c>
      <c r="AV23" s="64">
        <f t="shared" si="107"/>
        <v>3</v>
      </c>
      <c r="AW23" s="67">
        <f t="array" ref="AW23">SUM(IF(ISERR(FIND(AW$4,$D23:$AI23)),0,1))</f>
        <v>3</v>
      </c>
      <c r="AX23" s="67">
        <f t="array" ref="AX23">SUM(IF(ISERR(FIND(AX$4,$D23:$AI23)),0,1))</f>
        <v>5</v>
      </c>
      <c r="AY23" s="67">
        <f t="array" ref="AY23">SUM(IF(ISERR(FIND(AY$4,$D23:$AI23)),0,1))</f>
        <v>1</v>
      </c>
      <c r="AZ23" s="67">
        <f t="array" ref="AZ23">SUM(IF(ISERR(FIND(AZ$4,$D23:$AI23)),0,1))</f>
        <v>0</v>
      </c>
      <c r="BA23" s="67">
        <f t="array" ref="BA23">SUM(IF(ISERR(FIND(BA$4,$D23:$AI23)),0,1))</f>
        <v>0</v>
      </c>
      <c r="BB23" s="67">
        <f t="array" ref="BB23">SUM(IF(ISERR(FIND(BB$4,$D23:$AI23)),0,1))</f>
        <v>0</v>
      </c>
      <c r="BC23" s="67">
        <f t="array" ref="BC23">SUM(IF(ISERR(FIND(BC$4,$D23:$AI23)),0,1))</f>
        <v>0</v>
      </c>
      <c r="BD23" s="67">
        <f t="shared" si="108"/>
        <v>0</v>
      </c>
      <c r="BE23" s="67">
        <f t="shared" si="109"/>
        <v>0</v>
      </c>
      <c r="BF23" s="67">
        <f t="shared" si="110"/>
        <v>0</v>
      </c>
      <c r="BG23" s="67">
        <f t="shared" si="111"/>
        <v>22</v>
      </c>
      <c r="BH23" s="67">
        <f t="shared" si="112"/>
        <v>0</v>
      </c>
      <c r="BI23" s="67">
        <f t="shared" si="113"/>
        <v>0</v>
      </c>
      <c r="BJ23" s="67">
        <f t="shared" si="114"/>
        <v>0</v>
      </c>
      <c r="BK23" s="67">
        <f t="shared" si="115"/>
        <v>2</v>
      </c>
      <c r="BL23" s="64">
        <f t="shared" si="116"/>
        <v>1534315.3802299998</v>
      </c>
      <c r="BM23" s="64">
        <f t="shared" si="86"/>
        <v>17</v>
      </c>
      <c r="BN23" s="64">
        <v>14</v>
      </c>
      <c r="BO23" s="85">
        <f t="shared" si="117"/>
        <v>1.144927536231884</v>
      </c>
      <c r="BP23" s="93">
        <f t="shared" si="118"/>
        <v>0.33333333333333331</v>
      </c>
      <c r="BQ23" s="171">
        <f t="shared" si="119"/>
        <v>0</v>
      </c>
      <c r="BR23" s="64" t="str">
        <f t="shared" si="120"/>
        <v/>
      </c>
      <c r="BS23" s="64" t="str">
        <f t="shared" si="121"/>
        <v/>
      </c>
      <c r="BT23" s="67">
        <f t="shared" si="122"/>
        <v>0</v>
      </c>
      <c r="BU23" s="64" t="str">
        <f t="shared" si="123"/>
        <v/>
      </c>
      <c r="BV23" s="67">
        <f t="shared" si="124"/>
        <v>22</v>
      </c>
      <c r="BW23" s="64" t="str">
        <f t="shared" si="125"/>
        <v>Kogulathasan D</v>
      </c>
      <c r="BX23" s="67">
        <f t="shared" si="126"/>
        <v>2</v>
      </c>
      <c r="BY23" s="64" t="str">
        <f t="shared" si="127"/>
        <v>Kogulathasan D</v>
      </c>
      <c r="BZ23" s="64">
        <f t="shared" si="62"/>
        <v>14</v>
      </c>
      <c r="CA23" s="64" t="str">
        <f t="shared" si="63"/>
        <v>Kogulathasan D</v>
      </c>
      <c r="CB23" s="64">
        <f t="shared" si="64"/>
        <v>3</v>
      </c>
      <c r="CC23" s="64" t="str">
        <f t="shared" si="65"/>
        <v>Kogulathasan D</v>
      </c>
    </row>
    <row r="24" spans="2:81" x14ac:dyDescent="0.15">
      <c r="B24" s="116" t="s">
        <v>248</v>
      </c>
      <c r="C24" s="116" t="s">
        <v>161</v>
      </c>
      <c r="D24"/>
      <c r="E24" s="116"/>
      <c r="F24"/>
      <c r="G24" s="116" t="s">
        <v>312</v>
      </c>
      <c r="H24"/>
      <c r="I24"/>
      <c r="J24"/>
      <c r="K24"/>
      <c r="L24" s="116"/>
      <c r="M24"/>
      <c r="N24"/>
      <c r="O24"/>
      <c r="P24"/>
      <c r="Q24"/>
      <c r="R24"/>
      <c r="S24"/>
      <c r="T24"/>
      <c r="U24"/>
      <c r="V24"/>
      <c r="W24"/>
      <c r="X24"/>
      <c r="AJ24" s="64" t="str">
        <f t="shared" si="31"/>
        <v>Lestrelle A</v>
      </c>
      <c r="AK24" s="64">
        <f t="shared" si="98"/>
        <v>1</v>
      </c>
      <c r="AL24" s="64">
        <f t="shared" si="99"/>
        <v>1</v>
      </c>
      <c r="AM24" s="64">
        <f t="shared" si="100"/>
        <v>0</v>
      </c>
      <c r="AN24" s="64">
        <f t="shared" si="101"/>
        <v>0</v>
      </c>
      <c r="AO24" s="64">
        <f t="shared" si="102"/>
        <v>0</v>
      </c>
      <c r="AP24" s="68">
        <f t="shared" si="103"/>
        <v>0</v>
      </c>
      <c r="AQ24" s="64">
        <f t="shared" si="104"/>
        <v>0</v>
      </c>
      <c r="AR24" s="66">
        <f t="shared" si="105"/>
        <v>0</v>
      </c>
      <c r="AS24" s="64">
        <f t="shared" si="106"/>
        <v>0</v>
      </c>
      <c r="AT24" s="67">
        <f t="array" ref="AT24">SUM(IF(ISERR(FIND("*",D24:AI24)),0,1))</f>
        <v>0</v>
      </c>
      <c r="AU24" s="67">
        <f t="array" ref="AU24">SUM(IF(ISERR(FIND("+",D24:AI24)),0,1))</f>
        <v>0</v>
      </c>
      <c r="AV24" s="64">
        <f t="shared" si="107"/>
        <v>0</v>
      </c>
      <c r="AW24" s="67">
        <f t="array" ref="AW24">SUM(IF(ISERR(FIND(AW$4,$D24:$AI24)),0,1))</f>
        <v>0</v>
      </c>
      <c r="AX24" s="67">
        <f t="array" ref="AX24">SUM(IF(ISERR(FIND(AX$4,$D24:$AI24)),0,1))</f>
        <v>0</v>
      </c>
      <c r="AY24" s="67">
        <f t="array" ref="AY24">SUM(IF(ISERR(FIND(AY$4,$D24:$AI24)),0,1))</f>
        <v>0</v>
      </c>
      <c r="AZ24" s="67">
        <f t="array" ref="AZ24">SUM(IF(ISERR(FIND(AZ$4,$D24:$AI24)),0,1))</f>
        <v>0</v>
      </c>
      <c r="BA24" s="67">
        <f t="array" ref="BA24">SUM(IF(ISERR(FIND(BA$4,$D24:$AI24)),0,1))</f>
        <v>0</v>
      </c>
      <c r="BB24" s="67">
        <f t="array" ref="BB24">SUM(IF(ISERR(FIND(BB$4,$D24:$AI24)),0,1))</f>
        <v>0</v>
      </c>
      <c r="BC24" s="67">
        <f t="array" ref="BC24">SUM(IF(ISERR(FIND(BC$4,$D24:$AI24)),0,1))</f>
        <v>0</v>
      </c>
      <c r="BD24" s="67">
        <f t="shared" si="108"/>
        <v>0</v>
      </c>
      <c r="BE24" s="67">
        <f t="shared" si="109"/>
        <v>0</v>
      </c>
      <c r="BF24" s="67">
        <f t="shared" si="110"/>
        <v>0</v>
      </c>
      <c r="BG24" s="67">
        <f t="shared" si="111"/>
        <v>0</v>
      </c>
      <c r="BH24" s="67">
        <f t="shared" si="112"/>
        <v>0</v>
      </c>
      <c r="BI24" s="67">
        <f t="shared" si="113"/>
        <v>0</v>
      </c>
      <c r="BJ24" s="67">
        <f t="shared" si="114"/>
        <v>0</v>
      </c>
      <c r="BK24" s="67">
        <f t="shared" si="115"/>
        <v>0</v>
      </c>
      <c r="BL24" s="64">
        <f t="shared" si="116"/>
        <v>1.00024</v>
      </c>
      <c r="BM24" s="64">
        <f t="shared" si="86"/>
        <v>40</v>
      </c>
      <c r="BN24" s="64">
        <v>15</v>
      </c>
      <c r="BO24" s="85" t="str">
        <f t="shared" si="117"/>
        <v/>
      </c>
      <c r="BP24" s="93" t="e">
        <f t="shared" si="118"/>
        <v>#DIV/0!</v>
      </c>
      <c r="BQ24" s="171">
        <f t="shared" si="119"/>
        <v>0</v>
      </c>
      <c r="BR24" s="64" t="str">
        <f t="shared" si="120"/>
        <v/>
      </c>
      <c r="BS24" s="64" t="str">
        <f t="shared" si="121"/>
        <v/>
      </c>
      <c r="BT24" s="67">
        <f t="shared" si="122"/>
        <v>0</v>
      </c>
      <c r="BU24" s="64" t="str">
        <f t="shared" si="123"/>
        <v/>
      </c>
      <c r="BV24" s="67">
        <f t="shared" si="124"/>
        <v>0</v>
      </c>
      <c r="BW24" s="64" t="str">
        <f t="shared" si="125"/>
        <v/>
      </c>
      <c r="BX24" s="67">
        <f t="shared" si="126"/>
        <v>0</v>
      </c>
      <c r="BY24" s="64" t="str">
        <f t="shared" si="127"/>
        <v/>
      </c>
      <c r="BZ24" s="64">
        <f t="shared" si="62"/>
        <v>1</v>
      </c>
      <c r="CA24" s="64" t="str">
        <f t="shared" si="63"/>
        <v>Lestrelle A</v>
      </c>
      <c r="CB24" s="64">
        <f t="shared" si="64"/>
        <v>0</v>
      </c>
      <c r="CC24" s="64" t="str">
        <f t="shared" si="65"/>
        <v>Lestrelle A</v>
      </c>
    </row>
    <row r="25" spans="2:81" x14ac:dyDescent="0.15">
      <c r="B25" s="116" t="s">
        <v>469</v>
      </c>
      <c r="C25" s="116" t="s">
        <v>470</v>
      </c>
      <c r="D25"/>
      <c r="E25" s="116"/>
      <c r="F25"/>
      <c r="G25" s="116"/>
      <c r="H25"/>
      <c r="I25"/>
      <c r="J25" t="s">
        <v>471</v>
      </c>
      <c r="K25"/>
      <c r="L25" s="116"/>
      <c r="M25"/>
      <c r="N25"/>
      <c r="O25"/>
      <c r="P25"/>
      <c r="Q25"/>
      <c r="R25"/>
      <c r="S25"/>
      <c r="T25"/>
      <c r="U25"/>
      <c r="V25"/>
      <c r="W25"/>
      <c r="X25"/>
      <c r="AJ25" s="116" t="str">
        <f t="shared" si="31"/>
        <v>Lindsay B</v>
      </c>
      <c r="AK25" s="64">
        <f t="shared" si="98"/>
        <v>1</v>
      </c>
      <c r="AL25" s="64">
        <f t="shared" si="99"/>
        <v>0</v>
      </c>
      <c r="AM25" s="64">
        <f t="shared" si="100"/>
        <v>1</v>
      </c>
      <c r="AN25" s="64">
        <f t="shared" si="101"/>
        <v>0</v>
      </c>
      <c r="AO25" s="64">
        <f t="shared" si="102"/>
        <v>11</v>
      </c>
      <c r="AP25" s="68">
        <f t="shared" si="103"/>
        <v>11</v>
      </c>
      <c r="AQ25" s="64">
        <f t="shared" si="104"/>
        <v>11</v>
      </c>
      <c r="AR25" s="66">
        <f t="shared" si="105"/>
        <v>11</v>
      </c>
      <c r="AS25" s="64">
        <f t="shared" si="106"/>
        <v>0</v>
      </c>
      <c r="AT25" s="67">
        <f t="array" ref="AT25">SUM(IF(ISERR(FIND("*",D25:AI25)),0,1))</f>
        <v>0</v>
      </c>
      <c r="AU25" s="67">
        <f t="array" ref="AU25">SUM(IF(ISERR(FIND("+",D25:AI25)),0,1))</f>
        <v>0</v>
      </c>
      <c r="AV25" s="64">
        <f t="shared" si="107"/>
        <v>0</v>
      </c>
      <c r="AW25" s="67">
        <f t="array" ref="AW25">SUM(IF(ISERR(FIND(AW$4,$D25:$AI25)),0,1))</f>
        <v>1</v>
      </c>
      <c r="AX25" s="67">
        <f t="array" ref="AX25">SUM(IF(ISERR(FIND(AX$4,$D25:$AI25)),0,1))</f>
        <v>0</v>
      </c>
      <c r="AY25" s="67">
        <f t="array" ref="AY25">SUM(IF(ISERR(FIND(AY$4,$D25:$AI25)),0,1))</f>
        <v>0</v>
      </c>
      <c r="AZ25" s="67">
        <f t="array" ref="AZ25">SUM(IF(ISERR(FIND(AZ$4,$D25:$AI25)),0,1))</f>
        <v>0</v>
      </c>
      <c r="BA25" s="67">
        <f t="array" ref="BA25">SUM(IF(ISERR(FIND(BA$4,$D25:$AI25)),0,1))</f>
        <v>0</v>
      </c>
      <c r="BB25" s="67">
        <f t="array" ref="BB25">SUM(IF(ISERR(FIND(BB$4,$D25:$AI25)),0,1))</f>
        <v>0</v>
      </c>
      <c r="BC25" s="67">
        <f t="array" ref="BC25">SUM(IF(ISERR(FIND(BC$4,$D25:$AI25)),0,1))</f>
        <v>0</v>
      </c>
      <c r="BD25" s="67">
        <f t="shared" si="108"/>
        <v>0</v>
      </c>
      <c r="BE25" s="67">
        <f t="shared" si="109"/>
        <v>0</v>
      </c>
      <c r="BF25" s="67">
        <f t="shared" si="110"/>
        <v>0</v>
      </c>
      <c r="BG25" s="67">
        <f t="shared" si="111"/>
        <v>1</v>
      </c>
      <c r="BH25" s="67">
        <f t="shared" si="112"/>
        <v>0</v>
      </c>
      <c r="BI25" s="67">
        <f t="shared" si="113"/>
        <v>0</v>
      </c>
      <c r="BJ25" s="67">
        <f t="shared" si="114"/>
        <v>0</v>
      </c>
      <c r="BK25" s="67">
        <f t="shared" si="115"/>
        <v>0</v>
      </c>
      <c r="BL25" s="64">
        <f t="shared" si="116"/>
        <v>1100101.1102500001</v>
      </c>
      <c r="BM25" s="64">
        <f t="shared" si="86"/>
        <v>20</v>
      </c>
      <c r="BN25" s="64">
        <v>16</v>
      </c>
      <c r="BO25" s="85" t="str">
        <f t="shared" si="117"/>
        <v/>
      </c>
      <c r="BP25" s="93">
        <f t="shared" si="118"/>
        <v>0</v>
      </c>
      <c r="BQ25" s="171">
        <f t="shared" si="119"/>
        <v>0</v>
      </c>
      <c r="BR25" s="64" t="str">
        <f t="shared" si="120"/>
        <v/>
      </c>
      <c r="BS25" s="64" t="str">
        <f t="shared" si="121"/>
        <v/>
      </c>
      <c r="BT25" s="67">
        <f t="shared" si="122"/>
        <v>0</v>
      </c>
      <c r="BU25" s="64" t="str">
        <f t="shared" si="123"/>
        <v/>
      </c>
      <c r="BV25" s="67">
        <f t="shared" si="124"/>
        <v>1</v>
      </c>
      <c r="BW25" s="64" t="str">
        <f t="shared" si="125"/>
        <v>Lindsay B</v>
      </c>
      <c r="BX25" s="67">
        <f t="shared" si="126"/>
        <v>0</v>
      </c>
      <c r="BY25" s="64" t="str">
        <f t="shared" si="127"/>
        <v/>
      </c>
      <c r="BZ25" s="64">
        <f t="shared" si="62"/>
        <v>1</v>
      </c>
      <c r="CA25" s="64" t="str">
        <f t="shared" si="63"/>
        <v>Lindsay B</v>
      </c>
      <c r="CB25" s="64">
        <f t="shared" si="64"/>
        <v>0</v>
      </c>
      <c r="CC25" s="64" t="str">
        <f t="shared" si="65"/>
        <v>Lindsay B</v>
      </c>
    </row>
    <row r="26" spans="2:81" x14ac:dyDescent="0.15">
      <c r="B26" s="116" t="s">
        <v>339</v>
      </c>
      <c r="C26" s="116" t="s">
        <v>338</v>
      </c>
      <c r="D26"/>
      <c r="E26" s="116"/>
      <c r="F26"/>
      <c r="G26" s="116"/>
      <c r="H26"/>
      <c r="I26"/>
      <c r="J26"/>
      <c r="K26"/>
      <c r="L26" s="116"/>
      <c r="M26"/>
      <c r="N26"/>
      <c r="O26"/>
      <c r="P26"/>
      <c r="Q26"/>
      <c r="R26"/>
      <c r="S26"/>
      <c r="T26"/>
      <c r="U26"/>
      <c r="V26"/>
      <c r="W26"/>
      <c r="X26"/>
      <c r="AJ26" s="64" t="str">
        <f t="shared" si="31"/>
        <v>Low-Hughes A</v>
      </c>
      <c r="AK26" s="64">
        <f t="shared" si="98"/>
        <v>0</v>
      </c>
      <c r="AL26" s="64">
        <f t="shared" si="99"/>
        <v>0</v>
      </c>
      <c r="AM26" s="64">
        <f t="shared" si="100"/>
        <v>0</v>
      </c>
      <c r="AN26" s="64">
        <f t="shared" si="101"/>
        <v>0</v>
      </c>
      <c r="AO26" s="64">
        <f t="shared" si="102"/>
        <v>0</v>
      </c>
      <c r="AP26" s="68">
        <f t="shared" si="103"/>
        <v>0</v>
      </c>
      <c r="AQ26" s="64">
        <f t="shared" si="104"/>
        <v>0</v>
      </c>
      <c r="AR26" s="66">
        <f t="shared" si="105"/>
        <v>0</v>
      </c>
      <c r="AS26" s="64">
        <f t="shared" si="106"/>
        <v>0</v>
      </c>
      <c r="AT26" s="67">
        <f t="array" ref="AT26">SUM(IF(ISERR(FIND("*",D26:AI26)),0,1))</f>
        <v>0</v>
      </c>
      <c r="AU26" s="67">
        <f t="array" ref="AU26">SUM(IF(ISERR(FIND("+",D26:AI26)),0,1))</f>
        <v>0</v>
      </c>
      <c r="AV26" s="64">
        <f t="shared" si="107"/>
        <v>0</v>
      </c>
      <c r="AW26" s="67">
        <f t="array" ref="AW26">SUM(IF(ISERR(FIND(AW$4,$D26:$AI26)),0,1))</f>
        <v>0</v>
      </c>
      <c r="AX26" s="67">
        <f t="array" ref="AX26">SUM(IF(ISERR(FIND(AX$4,$D26:$AI26)),0,1))</f>
        <v>0</v>
      </c>
      <c r="AY26" s="67">
        <f t="array" ref="AY26">SUM(IF(ISERR(FIND(AY$4,$D26:$AI26)),0,1))</f>
        <v>0</v>
      </c>
      <c r="AZ26" s="67">
        <f t="array" ref="AZ26">SUM(IF(ISERR(FIND(AZ$4,$D26:$AI26)),0,1))</f>
        <v>0</v>
      </c>
      <c r="BA26" s="67">
        <f t="array" ref="BA26">SUM(IF(ISERR(FIND(BA$4,$D26:$AI26)),0,1))</f>
        <v>0</v>
      </c>
      <c r="BB26" s="67">
        <f t="array" ref="BB26">SUM(IF(ISERR(FIND(BB$4,$D26:$AI26)),0,1))</f>
        <v>0</v>
      </c>
      <c r="BC26" s="67">
        <f t="array" ref="BC26">SUM(IF(ISERR(FIND(BC$4,$D26:$AI26)),0,1))</f>
        <v>0</v>
      </c>
      <c r="BD26" s="67">
        <f t="shared" si="108"/>
        <v>0</v>
      </c>
      <c r="BE26" s="67">
        <f t="shared" si="109"/>
        <v>0</v>
      </c>
      <c r="BF26" s="67">
        <f t="shared" si="110"/>
        <v>0</v>
      </c>
      <c r="BG26" s="67">
        <f t="shared" si="111"/>
        <v>0</v>
      </c>
      <c r="BH26" s="67">
        <f t="shared" si="112"/>
        <v>0</v>
      </c>
      <c r="BI26" s="67">
        <f t="shared" si="113"/>
        <v>0</v>
      </c>
      <c r="BJ26" s="67">
        <f t="shared" si="114"/>
        <v>0</v>
      </c>
      <c r="BK26" s="67">
        <f t="shared" si="115"/>
        <v>0</v>
      </c>
      <c r="BL26" s="64">
        <f t="shared" si="116"/>
        <v>2.5999999999999998E-4</v>
      </c>
      <c r="BM26" s="64">
        <f t="shared" si="86"/>
        <v>54</v>
      </c>
      <c r="BN26" s="64">
        <v>17</v>
      </c>
      <c r="BO26" s="85" t="str">
        <f t="shared" si="117"/>
        <v/>
      </c>
      <c r="BP26" s="93" t="e">
        <f t="shared" si="118"/>
        <v>#DIV/0!</v>
      </c>
      <c r="BQ26" s="171">
        <f t="shared" si="119"/>
        <v>0</v>
      </c>
      <c r="BR26" s="64" t="str">
        <f t="shared" si="120"/>
        <v/>
      </c>
      <c r="BS26" s="64" t="str">
        <f t="shared" si="121"/>
        <v/>
      </c>
      <c r="BT26" s="67">
        <f t="shared" si="122"/>
        <v>0</v>
      </c>
      <c r="BU26" s="64" t="str">
        <f t="shared" si="123"/>
        <v/>
      </c>
      <c r="BV26" s="67">
        <f t="shared" si="124"/>
        <v>0</v>
      </c>
      <c r="BW26" s="64" t="str">
        <f t="shared" si="125"/>
        <v/>
      </c>
      <c r="BX26" s="67">
        <f t="shared" si="126"/>
        <v>0</v>
      </c>
      <c r="BY26" s="64" t="str">
        <f t="shared" si="127"/>
        <v/>
      </c>
      <c r="BZ26" s="64">
        <f t="shared" si="62"/>
        <v>0</v>
      </c>
      <c r="CA26" s="64" t="str">
        <f t="shared" si="63"/>
        <v>Low-Hughes A</v>
      </c>
      <c r="CB26" s="64">
        <f t="shared" si="64"/>
        <v>0</v>
      </c>
      <c r="CC26" s="64" t="str">
        <f t="shared" si="65"/>
        <v>Low-Hughes A</v>
      </c>
    </row>
    <row r="27" spans="2:81" x14ac:dyDescent="0.15">
      <c r="B27" s="116"/>
      <c r="C27" s="116" t="s">
        <v>343</v>
      </c>
      <c r="D27"/>
      <c r="E27" s="116"/>
      <c r="F27"/>
      <c r="G27" s="116"/>
      <c r="H27"/>
      <c r="I27"/>
      <c r="J27"/>
      <c r="K27"/>
      <c r="L27" s="116"/>
      <c r="M27"/>
      <c r="N27"/>
      <c r="O27"/>
      <c r="P27"/>
      <c r="Q27"/>
      <c r="R27"/>
      <c r="S27"/>
      <c r="T27"/>
      <c r="U27"/>
      <c r="V27"/>
      <c r="W27"/>
      <c r="X27"/>
      <c r="AJ27" s="64" t="str">
        <f t="shared" si="31"/>
        <v>"Luca"</v>
      </c>
      <c r="AK27" s="64">
        <f t="shared" si="98"/>
        <v>0</v>
      </c>
      <c r="AL27" s="64">
        <f t="shared" si="99"/>
        <v>0</v>
      </c>
      <c r="AM27" s="64">
        <f t="shared" si="100"/>
        <v>0</v>
      </c>
      <c r="AN27" s="64">
        <f t="shared" si="101"/>
        <v>0</v>
      </c>
      <c r="AO27" s="64">
        <f t="shared" si="102"/>
        <v>0</v>
      </c>
      <c r="AP27" s="68">
        <f t="shared" si="103"/>
        <v>0</v>
      </c>
      <c r="AQ27" s="64">
        <f t="shared" si="104"/>
        <v>0</v>
      </c>
      <c r="AR27" s="66">
        <f t="shared" si="105"/>
        <v>0</v>
      </c>
      <c r="AS27" s="64">
        <f t="shared" si="106"/>
        <v>0</v>
      </c>
      <c r="AT27" s="67">
        <f t="array" ref="AT27">SUM(IF(ISERR(FIND("*",D27:AI27)),0,1))</f>
        <v>0</v>
      </c>
      <c r="AU27" s="67">
        <f t="array" ref="AU27">SUM(IF(ISERR(FIND("+",D27:AI27)),0,1))</f>
        <v>0</v>
      </c>
      <c r="AV27" s="64">
        <f t="shared" si="107"/>
        <v>0</v>
      </c>
      <c r="AW27" s="67">
        <f t="array" ref="AW27">SUM(IF(ISERR(FIND(AW$4,$D27:$AI27)),0,1))</f>
        <v>0</v>
      </c>
      <c r="AX27" s="67">
        <f t="array" ref="AX27">SUM(IF(ISERR(FIND(AX$4,$D27:$AI27)),0,1))</f>
        <v>0</v>
      </c>
      <c r="AY27" s="67">
        <f t="array" ref="AY27">SUM(IF(ISERR(FIND(AY$4,$D27:$AI27)),0,1))</f>
        <v>0</v>
      </c>
      <c r="AZ27" s="67">
        <f t="array" ref="AZ27">SUM(IF(ISERR(FIND(AZ$4,$D27:$AI27)),0,1))</f>
        <v>0</v>
      </c>
      <c r="BA27" s="67">
        <f t="array" ref="BA27">SUM(IF(ISERR(FIND(BA$4,$D27:$AI27)),0,1))</f>
        <v>0</v>
      </c>
      <c r="BB27" s="67">
        <f t="array" ref="BB27">SUM(IF(ISERR(FIND(BB$4,$D27:$AI27)),0,1))</f>
        <v>0</v>
      </c>
      <c r="BC27" s="67">
        <f t="array" ref="BC27">SUM(IF(ISERR(FIND(BC$4,$D27:$AI27)),0,1))</f>
        <v>0</v>
      </c>
      <c r="BD27" s="67">
        <f t="shared" si="108"/>
        <v>0</v>
      </c>
      <c r="BE27" s="67">
        <f t="shared" si="109"/>
        <v>0</v>
      </c>
      <c r="BF27" s="67">
        <f t="shared" si="110"/>
        <v>0</v>
      </c>
      <c r="BG27" s="67">
        <f t="shared" si="111"/>
        <v>0</v>
      </c>
      <c r="BH27" s="67">
        <f t="shared" si="112"/>
        <v>0</v>
      </c>
      <c r="BI27" s="67">
        <f t="shared" si="113"/>
        <v>0</v>
      </c>
      <c r="BJ27" s="67">
        <f t="shared" si="114"/>
        <v>0</v>
      </c>
      <c r="BK27" s="67">
        <f t="shared" si="115"/>
        <v>0</v>
      </c>
      <c r="BL27" s="64">
        <f t="shared" si="116"/>
        <v>2.7E-4</v>
      </c>
      <c r="BM27" s="64">
        <f t="shared" si="86"/>
        <v>53</v>
      </c>
      <c r="BN27" s="64">
        <v>18</v>
      </c>
      <c r="BO27" s="85" t="str">
        <f t="shared" si="117"/>
        <v/>
      </c>
      <c r="BP27" s="93" t="e">
        <f t="shared" si="118"/>
        <v>#DIV/0!</v>
      </c>
      <c r="BQ27" s="171">
        <f t="shared" si="119"/>
        <v>0</v>
      </c>
      <c r="BR27" s="64" t="str">
        <f t="shared" si="120"/>
        <v/>
      </c>
      <c r="BS27" s="64" t="str">
        <f t="shared" si="121"/>
        <v/>
      </c>
      <c r="BT27" s="67">
        <f t="shared" si="122"/>
        <v>0</v>
      </c>
      <c r="BU27" s="64" t="str">
        <f t="shared" si="123"/>
        <v/>
      </c>
      <c r="BV27" s="67">
        <f t="shared" si="124"/>
        <v>0</v>
      </c>
      <c r="BW27" s="64" t="str">
        <f t="shared" si="125"/>
        <v/>
      </c>
      <c r="BX27" s="67">
        <f t="shared" si="126"/>
        <v>0</v>
      </c>
      <c r="BY27" s="64" t="str">
        <f t="shared" si="127"/>
        <v/>
      </c>
      <c r="BZ27" s="64">
        <f t="shared" si="62"/>
        <v>0</v>
      </c>
      <c r="CA27" s="64" t="str">
        <f t="shared" si="63"/>
        <v>"Luca"</v>
      </c>
      <c r="CB27" s="64">
        <f t="shared" si="64"/>
        <v>0</v>
      </c>
      <c r="CC27" s="64" t="str">
        <f t="shared" si="65"/>
        <v>"Luca"</v>
      </c>
    </row>
    <row r="28" spans="2:81" x14ac:dyDescent="0.15">
      <c r="B28" s="116" t="s">
        <v>574</v>
      </c>
      <c r="C28" s="116" t="s">
        <v>575</v>
      </c>
      <c r="D28"/>
      <c r="E28" s="116"/>
      <c r="F28"/>
      <c r="G28" s="116"/>
      <c r="H28"/>
      <c r="I28"/>
      <c r="J28"/>
      <c r="K28"/>
      <c r="L28" s="116"/>
      <c r="M28"/>
      <c r="N28"/>
      <c r="O28"/>
      <c r="P28" t="s">
        <v>576</v>
      </c>
      <c r="Q28"/>
      <c r="R28"/>
      <c r="S28"/>
      <c r="T28"/>
      <c r="U28"/>
      <c r="V28"/>
      <c r="W28"/>
      <c r="X28"/>
      <c r="AJ28" s="116" t="str">
        <f t="shared" si="31"/>
        <v>Mahmood S</v>
      </c>
      <c r="AK28" s="64">
        <f t="shared" si="98"/>
        <v>1</v>
      </c>
      <c r="AL28" s="64">
        <f t="shared" si="99"/>
        <v>0</v>
      </c>
      <c r="AM28" s="64">
        <f t="shared" si="100"/>
        <v>1</v>
      </c>
      <c r="AN28" s="64">
        <f t="shared" si="101"/>
        <v>0</v>
      </c>
      <c r="AO28" s="64">
        <f t="shared" si="102"/>
        <v>47</v>
      </c>
      <c r="AP28" s="68">
        <f t="shared" si="103"/>
        <v>47</v>
      </c>
      <c r="AQ28" s="64">
        <f t="shared" si="104"/>
        <v>47</v>
      </c>
      <c r="AR28" s="66">
        <f t="shared" si="105"/>
        <v>47</v>
      </c>
      <c r="AS28" s="64">
        <f t="shared" si="106"/>
        <v>5</v>
      </c>
      <c r="AT28" s="67">
        <f t="array" ref="AT28">SUM(IF(ISERR(FIND("*",D28:AI28)),0,1))</f>
        <v>0</v>
      </c>
      <c r="AU28" s="67">
        <f t="array" ref="AU28">SUM(IF(ISERR(FIND("+",D28:AI28)),0,1))</f>
        <v>0</v>
      </c>
      <c r="AV28" s="64">
        <f t="shared" si="107"/>
        <v>0</v>
      </c>
      <c r="AW28" s="67">
        <f t="array" ref="AW28">SUM(IF(ISERR(FIND(AW$4,$D28:$AI28)),0,1))</f>
        <v>0</v>
      </c>
      <c r="AX28" s="67">
        <f t="array" ref="AX28">SUM(IF(ISERR(FIND(AX$4,$D28:$AI28)),0,1))</f>
        <v>1</v>
      </c>
      <c r="AY28" s="67">
        <f t="array" ref="AY28">SUM(IF(ISERR(FIND(AY$4,$D28:$AI28)),0,1))</f>
        <v>0</v>
      </c>
      <c r="AZ28" s="67">
        <f t="array" ref="AZ28">SUM(IF(ISERR(FIND(AZ$4,$D28:$AI28)),0,1))</f>
        <v>0</v>
      </c>
      <c r="BA28" s="67">
        <f t="array" ref="BA28">SUM(IF(ISERR(FIND(BA$4,$D28:$AI28)),0,1))</f>
        <v>0</v>
      </c>
      <c r="BB28" s="67">
        <f t="array" ref="BB28">SUM(IF(ISERR(FIND(BB$4,$D28:$AI28)),0,1))</f>
        <v>0</v>
      </c>
      <c r="BC28" s="67">
        <f t="array" ref="BC28">SUM(IF(ISERR(FIND(BC$4,$D28:$AI28)),0,1))</f>
        <v>0</v>
      </c>
      <c r="BD28" s="67">
        <f t="shared" si="108"/>
        <v>0</v>
      </c>
      <c r="BE28" s="67">
        <f t="shared" si="109"/>
        <v>0</v>
      </c>
      <c r="BF28" s="67">
        <f t="shared" si="110"/>
        <v>1</v>
      </c>
      <c r="BG28" s="67">
        <f t="shared" si="111"/>
        <v>6</v>
      </c>
      <c r="BH28" s="67">
        <f t="shared" si="112"/>
        <v>2</v>
      </c>
      <c r="BI28" s="67">
        <f t="shared" si="113"/>
        <v>0</v>
      </c>
      <c r="BJ28" s="67">
        <f t="shared" si="114"/>
        <v>0</v>
      </c>
      <c r="BK28" s="67">
        <f t="shared" si="115"/>
        <v>1</v>
      </c>
      <c r="BL28" s="64">
        <f t="shared" si="116"/>
        <v>4700101.47028</v>
      </c>
      <c r="BM28" s="64">
        <f t="shared" si="86"/>
        <v>3</v>
      </c>
      <c r="BN28" s="64">
        <v>19</v>
      </c>
      <c r="BO28" s="85" t="str">
        <f t="shared" si="117"/>
        <v/>
      </c>
      <c r="BP28" s="93">
        <f t="shared" si="118"/>
        <v>0</v>
      </c>
      <c r="BQ28" s="171">
        <f t="shared" si="119"/>
        <v>1</v>
      </c>
      <c r="BR28" s="64" t="str">
        <f t="shared" si="120"/>
        <v>1</v>
      </c>
      <c r="BS28" s="64" t="str">
        <f t="shared" si="121"/>
        <v>Mahmood S</v>
      </c>
      <c r="BT28" s="67">
        <f t="shared" si="122"/>
        <v>2</v>
      </c>
      <c r="BU28" s="64" t="str">
        <f t="shared" si="123"/>
        <v>Mahmood S</v>
      </c>
      <c r="BV28" s="67">
        <f t="shared" si="124"/>
        <v>6</v>
      </c>
      <c r="BW28" s="64" t="str">
        <f t="shared" si="125"/>
        <v>Mahmood S</v>
      </c>
      <c r="BX28" s="67">
        <f t="shared" si="126"/>
        <v>1</v>
      </c>
      <c r="BY28" s="64" t="str">
        <f t="shared" si="127"/>
        <v>Mahmood S</v>
      </c>
      <c r="BZ28" s="64">
        <f t="shared" si="62"/>
        <v>1</v>
      </c>
      <c r="CA28" s="64" t="str">
        <f t="shared" si="63"/>
        <v>Mahmood S</v>
      </c>
      <c r="CB28" s="64">
        <f t="shared" si="64"/>
        <v>0</v>
      </c>
      <c r="CC28" s="64" t="str">
        <f t="shared" si="65"/>
        <v>Mahmood S</v>
      </c>
    </row>
    <row r="29" spans="2:81" x14ac:dyDescent="0.15">
      <c r="B29" s="116" t="s">
        <v>25</v>
      </c>
      <c r="C29" t="s">
        <v>218</v>
      </c>
      <c r="D29" t="s">
        <v>306</v>
      </c>
      <c r="E29" t="s">
        <v>408</v>
      </c>
      <c r="F29"/>
      <c r="G29" t="s">
        <v>306</v>
      </c>
      <c r="H29" s="116" t="s">
        <v>320</v>
      </c>
      <c r="I29" s="116" t="s">
        <v>461</v>
      </c>
      <c r="J29" s="116" t="s">
        <v>306</v>
      </c>
      <c r="K29" s="116" t="s">
        <v>306</v>
      </c>
      <c r="L29" s="116" t="s">
        <v>509</v>
      </c>
      <c r="M29"/>
      <c r="N29"/>
      <c r="O29"/>
      <c r="P29" t="s">
        <v>306</v>
      </c>
      <c r="Q29"/>
      <c r="R29"/>
      <c r="S29" t="s">
        <v>322</v>
      </c>
      <c r="T29"/>
      <c r="U29" t="s">
        <v>669</v>
      </c>
      <c r="V29"/>
      <c r="W29"/>
      <c r="X29" t="s">
        <v>701</v>
      </c>
      <c r="AJ29" s="64" t="str">
        <f t="shared" si="31"/>
        <v>Mander A</v>
      </c>
      <c r="AK29" s="64">
        <f t="shared" si="98"/>
        <v>12</v>
      </c>
      <c r="AL29" s="64">
        <f t="shared" si="99"/>
        <v>6</v>
      </c>
      <c r="AM29" s="64">
        <f t="shared" si="100"/>
        <v>6</v>
      </c>
      <c r="AN29" s="64">
        <f t="shared" si="101"/>
        <v>5</v>
      </c>
      <c r="AO29" s="64">
        <f t="shared" si="102"/>
        <v>14</v>
      </c>
      <c r="AP29" s="68">
        <f t="shared" si="103"/>
        <v>14</v>
      </c>
      <c r="AQ29" s="64">
        <f t="shared" si="104"/>
        <v>26</v>
      </c>
      <c r="AR29" s="66">
        <f t="shared" si="105"/>
        <v>26</v>
      </c>
      <c r="AS29" s="64">
        <f t="shared" si="106"/>
        <v>5</v>
      </c>
      <c r="AT29" s="67">
        <f t="array" ref="AT29">SUM(IF(ISERR(FIND("*",D29:AI29)),0,1))</f>
        <v>0</v>
      </c>
      <c r="AU29" s="67">
        <f t="array" ref="AU29">SUM(IF(ISERR(FIND("+",D29:AI29)),0,1))</f>
        <v>0</v>
      </c>
      <c r="AV29" s="64">
        <f t="shared" si="107"/>
        <v>0</v>
      </c>
      <c r="AW29" s="67">
        <f t="array" ref="AW29">SUM(IF(ISERR(FIND(AW$4,$D29:$AI29)),0,1))</f>
        <v>1</v>
      </c>
      <c r="AX29" s="67">
        <f t="array" ref="AX29">SUM(IF(ISERR(FIND(AX$4,$D29:$AI29)),0,1))</f>
        <v>0</v>
      </c>
      <c r="AY29" s="67">
        <f t="array" ref="AY29">SUM(IF(ISERR(FIND(AY$4,$D29:$AI29)),0,1))</f>
        <v>0</v>
      </c>
      <c r="AZ29" s="67">
        <f t="array" ref="AZ29">SUM(IF(ISERR(FIND(AZ$4,$D29:$AI29)),0,1))</f>
        <v>0</v>
      </c>
      <c r="BA29" s="67">
        <f t="array" ref="BA29">SUM(IF(ISERR(FIND(BA$4,$D29:$AI29)),0,1))</f>
        <v>0</v>
      </c>
      <c r="BB29" s="67">
        <f t="array" ref="BB29">SUM(IF(ISERR(FIND(BB$4,$D29:$AI29)),0,1))</f>
        <v>0</v>
      </c>
      <c r="BC29" s="67">
        <f t="array" ref="BC29">SUM(IF(ISERR(FIND(BC$4,$D29:$AI29)),0,1))</f>
        <v>0</v>
      </c>
      <c r="BD29" s="67">
        <f t="shared" si="108"/>
        <v>0</v>
      </c>
      <c r="BE29" s="67">
        <f t="shared" si="109"/>
        <v>0</v>
      </c>
      <c r="BF29" s="67">
        <f t="shared" si="110"/>
        <v>1</v>
      </c>
      <c r="BG29" s="67">
        <f t="shared" si="111"/>
        <v>4</v>
      </c>
      <c r="BH29" s="67">
        <f t="shared" si="112"/>
        <v>0</v>
      </c>
      <c r="BI29" s="67">
        <f t="shared" si="113"/>
        <v>0</v>
      </c>
      <c r="BJ29" s="67">
        <f t="shared" si="114"/>
        <v>0</v>
      </c>
      <c r="BK29" s="67">
        <f t="shared" si="115"/>
        <v>0</v>
      </c>
      <c r="BL29" s="64">
        <f t="shared" si="116"/>
        <v>2600612.2602899997</v>
      </c>
      <c r="BM29" s="64">
        <f t="shared" si="86"/>
        <v>10</v>
      </c>
      <c r="BN29" s="64">
        <v>20</v>
      </c>
      <c r="BO29" s="85" t="str">
        <f t="shared" si="117"/>
        <v/>
      </c>
      <c r="BP29" s="93">
        <f t="shared" si="118"/>
        <v>0</v>
      </c>
      <c r="BQ29" s="171">
        <f t="shared" si="119"/>
        <v>1</v>
      </c>
      <c r="BR29" s="64" t="str">
        <f t="shared" si="120"/>
        <v>1</v>
      </c>
      <c r="BS29" s="64" t="str">
        <f t="shared" si="121"/>
        <v>Mander A</v>
      </c>
      <c r="BT29" s="67">
        <f t="shared" si="122"/>
        <v>0</v>
      </c>
      <c r="BU29" s="64" t="str">
        <f t="shared" si="123"/>
        <v/>
      </c>
      <c r="BV29" s="67">
        <f t="shared" si="124"/>
        <v>4</v>
      </c>
      <c r="BW29" s="64" t="str">
        <f t="shared" si="125"/>
        <v>Mander A</v>
      </c>
      <c r="BX29" s="67">
        <f t="shared" si="126"/>
        <v>0</v>
      </c>
      <c r="BY29" s="64" t="str">
        <f t="shared" si="127"/>
        <v/>
      </c>
      <c r="BZ29" s="64">
        <f t="shared" si="62"/>
        <v>12</v>
      </c>
      <c r="CA29" s="64" t="str">
        <f t="shared" si="63"/>
        <v>Mander A</v>
      </c>
      <c r="CB29" s="64">
        <f t="shared" si="64"/>
        <v>0</v>
      </c>
      <c r="CC29" s="64" t="str">
        <f t="shared" si="65"/>
        <v>Mander A</v>
      </c>
    </row>
    <row r="30" spans="2:81" x14ac:dyDescent="0.15">
      <c r="B30" s="116" t="s">
        <v>26</v>
      </c>
      <c r="C30" t="s">
        <v>632</v>
      </c>
      <c r="D30"/>
      <c r="E30"/>
      <c r="F30"/>
      <c r="G30"/>
      <c r="H30" s="116"/>
      <c r="I30" s="116"/>
      <c r="J30" s="116"/>
      <c r="K30" s="116"/>
      <c r="L30" s="116"/>
      <c r="M30"/>
      <c r="N30"/>
      <c r="O30"/>
      <c r="P30"/>
      <c r="Q30"/>
      <c r="R30"/>
      <c r="S30" t="s">
        <v>633</v>
      </c>
      <c r="T30"/>
      <c r="U30"/>
      <c r="V30"/>
      <c r="W30"/>
      <c r="X30"/>
      <c r="AJ30" s="116" t="str">
        <f t="shared" si="31"/>
        <v>Mander C</v>
      </c>
      <c r="AK30" s="64">
        <f t="shared" si="98"/>
        <v>1</v>
      </c>
      <c r="AL30" s="64">
        <f t="shared" si="99"/>
        <v>0</v>
      </c>
      <c r="AM30" s="64">
        <f t="shared" si="100"/>
        <v>1</v>
      </c>
      <c r="AN30" s="64">
        <f t="shared" si="101"/>
        <v>0</v>
      </c>
      <c r="AO30" s="64">
        <f t="shared" si="102"/>
        <v>6</v>
      </c>
      <c r="AP30" s="68">
        <f t="shared" si="103"/>
        <v>6</v>
      </c>
      <c r="AQ30" s="64">
        <f t="shared" si="104"/>
        <v>6</v>
      </c>
      <c r="AR30" s="66">
        <f t="shared" si="105"/>
        <v>6</v>
      </c>
      <c r="AS30" s="64">
        <f t="shared" si="106"/>
        <v>5</v>
      </c>
      <c r="AT30" s="67">
        <f t="array" ref="AT30">SUM(IF(ISERR(FIND("*",D30:AI30)),0,1))</f>
        <v>0</v>
      </c>
      <c r="AU30" s="67">
        <f t="array" ref="AU30">SUM(IF(ISERR(FIND("+",D30:AI30)),0,1))</f>
        <v>0</v>
      </c>
      <c r="AV30" s="64">
        <f t="shared" si="107"/>
        <v>0</v>
      </c>
      <c r="AW30" s="67">
        <f t="array" ref="AW30">SUM(IF(ISERR(FIND(AW$4,$D30:$AI30)),0,1))</f>
        <v>1</v>
      </c>
      <c r="AX30" s="67">
        <f t="array" ref="AX30">SUM(IF(ISERR(FIND(AX$4,$D30:$AI30)),0,1))</f>
        <v>0</v>
      </c>
      <c r="AY30" s="67">
        <f t="array" ref="AY30">SUM(IF(ISERR(FIND(AY$4,$D30:$AI30)),0,1))</f>
        <v>0</v>
      </c>
      <c r="AZ30" s="67">
        <f t="array" ref="AZ30">SUM(IF(ISERR(FIND(AZ$4,$D30:$AI30)),0,1))</f>
        <v>0</v>
      </c>
      <c r="BA30" s="67">
        <f t="array" ref="BA30">SUM(IF(ISERR(FIND(BA$4,$D30:$AI30)),0,1))</f>
        <v>0</v>
      </c>
      <c r="BB30" s="67">
        <f t="array" ref="BB30">SUM(IF(ISERR(FIND(BB$4,$D30:$AI30)),0,1))</f>
        <v>0</v>
      </c>
      <c r="BC30" s="67">
        <f t="array" ref="BC30">SUM(IF(ISERR(FIND(BC$4,$D30:$AI30)),0,1))</f>
        <v>0</v>
      </c>
      <c r="BD30" s="67">
        <f t="shared" si="108"/>
        <v>0</v>
      </c>
      <c r="BE30" s="67">
        <f t="shared" si="109"/>
        <v>0</v>
      </c>
      <c r="BF30" s="67">
        <f t="shared" si="110"/>
        <v>1</v>
      </c>
      <c r="BG30" s="67">
        <f t="shared" si="111"/>
        <v>1</v>
      </c>
      <c r="BH30" s="67">
        <f t="shared" si="112"/>
        <v>0</v>
      </c>
      <c r="BI30" s="67">
        <f t="shared" si="113"/>
        <v>0</v>
      </c>
      <c r="BJ30" s="67">
        <f t="shared" si="114"/>
        <v>0</v>
      </c>
      <c r="BK30" s="67">
        <f t="shared" si="115"/>
        <v>0</v>
      </c>
      <c r="BL30" s="64">
        <f t="shared" si="116"/>
        <v>600101.06030000001</v>
      </c>
      <c r="BM30" s="64">
        <f t="shared" si="86"/>
        <v>26</v>
      </c>
      <c r="BN30" s="64">
        <v>21</v>
      </c>
      <c r="BO30" s="85" t="str">
        <f t="shared" si="117"/>
        <v/>
      </c>
      <c r="BP30" s="93">
        <f t="shared" si="118"/>
        <v>0</v>
      </c>
      <c r="BQ30" s="171">
        <f t="shared" si="119"/>
        <v>1</v>
      </c>
      <c r="BR30" s="64" t="str">
        <f t="shared" si="120"/>
        <v>1</v>
      </c>
      <c r="BS30" s="64" t="str">
        <f t="shared" si="121"/>
        <v>Mander C</v>
      </c>
      <c r="BT30" s="67">
        <f t="shared" si="122"/>
        <v>0</v>
      </c>
      <c r="BU30" s="64" t="str">
        <f t="shared" si="123"/>
        <v/>
      </c>
      <c r="BV30" s="67">
        <f t="shared" si="124"/>
        <v>1</v>
      </c>
      <c r="BW30" s="64" t="str">
        <f t="shared" si="125"/>
        <v>Mander C</v>
      </c>
      <c r="BX30" s="67">
        <f t="shared" si="126"/>
        <v>0</v>
      </c>
      <c r="BY30" s="64" t="str">
        <f t="shared" si="127"/>
        <v/>
      </c>
      <c r="BZ30" s="64">
        <f t="shared" si="62"/>
        <v>1</v>
      </c>
      <c r="CA30" s="64" t="str">
        <f t="shared" si="63"/>
        <v>Mander C</v>
      </c>
      <c r="CB30" s="64">
        <f t="shared" si="64"/>
        <v>0</v>
      </c>
      <c r="CC30" s="64" t="str">
        <f t="shared" si="65"/>
        <v>Mander C</v>
      </c>
    </row>
    <row r="31" spans="2:81" x14ac:dyDescent="0.15">
      <c r="B31" s="64" t="s">
        <v>27</v>
      </c>
      <c r="C31" s="64" t="s">
        <v>201</v>
      </c>
      <c r="D31"/>
      <c r="E31"/>
      <c r="F31"/>
      <c r="G31"/>
      <c r="H31" t="s">
        <v>445</v>
      </c>
      <c r="I31"/>
      <c r="J31"/>
      <c r="K31"/>
      <c r="L31"/>
      <c r="M31" t="s">
        <v>518</v>
      </c>
      <c r="N31"/>
      <c r="O31" t="s">
        <v>558</v>
      </c>
      <c r="P31" t="s">
        <v>581</v>
      </c>
      <c r="Q31"/>
      <c r="R31"/>
      <c r="S31"/>
      <c r="T31"/>
      <c r="U31"/>
      <c r="V31"/>
      <c r="W31"/>
      <c r="X31"/>
      <c r="Y31"/>
      <c r="Z31"/>
      <c r="AJ31" s="64" t="str">
        <f t="shared" si="31"/>
        <v>Middleton J</v>
      </c>
      <c r="AK31" s="64">
        <f t="shared" si="98"/>
        <v>4</v>
      </c>
      <c r="AL31" s="64">
        <f t="shared" si="99"/>
        <v>0</v>
      </c>
      <c r="AM31" s="64">
        <f t="shared" si="100"/>
        <v>4</v>
      </c>
      <c r="AN31" s="64">
        <f t="shared" si="101"/>
        <v>1</v>
      </c>
      <c r="AO31" s="64">
        <f t="shared" si="102"/>
        <v>-36</v>
      </c>
      <c r="AP31" s="68" t="str">
        <f t="shared" si="103"/>
        <v>36*</v>
      </c>
      <c r="AQ31" s="64">
        <f t="shared" si="104"/>
        <v>53</v>
      </c>
      <c r="AR31" s="66">
        <f t="shared" si="105"/>
        <v>17.666666666666668</v>
      </c>
      <c r="AS31" s="64">
        <f t="shared" si="106"/>
        <v>5</v>
      </c>
      <c r="AT31" s="67">
        <f t="array" ref="AT31">SUM(IF(ISERR(FIND("*",D31:AI31)),0,1))</f>
        <v>0</v>
      </c>
      <c r="AU31" s="67">
        <f t="array" ref="AU31">SUM(IF(ISERR(FIND("+",D31:AI31)),0,1))</f>
        <v>0</v>
      </c>
      <c r="AV31" s="64">
        <f t="shared" si="107"/>
        <v>0</v>
      </c>
      <c r="AW31" s="67">
        <f t="array" ref="AW31">SUM(IF(ISERR(FIND(AW$4,$D31:$AI31)),0,1))</f>
        <v>1</v>
      </c>
      <c r="AX31" s="67">
        <f t="array" ref="AX31">SUM(IF(ISERR(FIND(AX$4,$D31:$AI31)),0,1))</f>
        <v>0</v>
      </c>
      <c r="AY31" s="67">
        <f t="array" ref="AY31">SUM(IF(ISERR(FIND(AY$4,$D31:$AI31)),0,1))</f>
        <v>2</v>
      </c>
      <c r="AZ31" s="67">
        <f t="array" ref="AZ31">SUM(IF(ISERR(FIND(AZ$4,$D31:$AI31)),0,1))</f>
        <v>0</v>
      </c>
      <c r="BA31" s="67">
        <f t="array" ref="BA31">SUM(IF(ISERR(FIND(BA$4,$D31:$AI31)),0,1))</f>
        <v>0</v>
      </c>
      <c r="BB31" s="67">
        <f t="array" ref="BB31">SUM(IF(ISERR(FIND(BB$4,$D31:$AI31)),0,1))</f>
        <v>0</v>
      </c>
      <c r="BC31" s="67">
        <f t="array" ref="BC31">SUM(IF(ISERR(FIND(BC$4,$D31:$AI31)),0,1))</f>
        <v>0</v>
      </c>
      <c r="BD31" s="67">
        <f t="shared" si="108"/>
        <v>0</v>
      </c>
      <c r="BE31" s="67">
        <f t="shared" si="109"/>
        <v>0</v>
      </c>
      <c r="BF31" s="67">
        <f t="shared" si="110"/>
        <v>1</v>
      </c>
      <c r="BG31" s="67">
        <f t="shared" si="111"/>
        <v>10</v>
      </c>
      <c r="BH31" s="67">
        <f t="shared" si="112"/>
        <v>0</v>
      </c>
      <c r="BI31" s="67">
        <f t="shared" si="113"/>
        <v>0</v>
      </c>
      <c r="BJ31" s="67">
        <f t="shared" si="114"/>
        <v>0</v>
      </c>
      <c r="BK31" s="67">
        <f t="shared" si="115"/>
        <v>1</v>
      </c>
      <c r="BL31" s="64">
        <f t="shared" si="116"/>
        <v>1767404.5303100003</v>
      </c>
      <c r="BM31" s="64">
        <f t="shared" si="86"/>
        <v>16</v>
      </c>
      <c r="BN31" s="64">
        <v>22</v>
      </c>
      <c r="BO31" s="85">
        <f t="shared" si="117"/>
        <v>2.8301886792452828</v>
      </c>
      <c r="BP31" s="93">
        <f t="shared" si="118"/>
        <v>0</v>
      </c>
      <c r="BQ31" s="171">
        <f t="shared" si="119"/>
        <v>1</v>
      </c>
      <c r="BR31" s="64" t="str">
        <f t="shared" si="120"/>
        <v>1</v>
      </c>
      <c r="BS31" s="64" t="str">
        <f t="shared" si="121"/>
        <v>Middleton J</v>
      </c>
      <c r="BT31" s="67">
        <f t="shared" si="122"/>
        <v>0</v>
      </c>
      <c r="BU31" s="64" t="str">
        <f t="shared" si="123"/>
        <v/>
      </c>
      <c r="BV31" s="67">
        <f t="shared" si="124"/>
        <v>10</v>
      </c>
      <c r="BW31" s="64" t="str">
        <f t="shared" si="125"/>
        <v>Middleton J</v>
      </c>
      <c r="BX31" s="67">
        <f t="shared" si="126"/>
        <v>1</v>
      </c>
      <c r="BY31" s="64" t="str">
        <f t="shared" si="127"/>
        <v>Middleton J</v>
      </c>
      <c r="BZ31" s="64">
        <f t="shared" si="62"/>
        <v>4</v>
      </c>
      <c r="CA31" s="64" t="str">
        <f t="shared" si="63"/>
        <v>Middleton J</v>
      </c>
      <c r="CB31" s="64">
        <f t="shared" si="64"/>
        <v>0</v>
      </c>
      <c r="CC31" s="64" t="str">
        <f t="shared" si="65"/>
        <v>Middleton J</v>
      </c>
    </row>
    <row r="32" spans="2:81" x14ac:dyDescent="0.15">
      <c r="B32" t="s">
        <v>205</v>
      </c>
      <c r="C32" t="s">
        <v>206</v>
      </c>
      <c r="D32" t="s">
        <v>377</v>
      </c>
      <c r="E32"/>
      <c r="F32" t="s">
        <v>418</v>
      </c>
      <c r="G32" t="s">
        <v>311</v>
      </c>
      <c r="H32" t="s">
        <v>306</v>
      </c>
      <c r="I32"/>
      <c r="J32" t="s">
        <v>478</v>
      </c>
      <c r="K32"/>
      <c r="L32"/>
      <c r="M32" t="s">
        <v>525</v>
      </c>
      <c r="N32" t="s">
        <v>306</v>
      </c>
      <c r="O32"/>
      <c r="P32"/>
      <c r="Q32" s="116" t="s">
        <v>596</v>
      </c>
      <c r="R32" s="116" t="s">
        <v>621</v>
      </c>
      <c r="S32" s="116"/>
      <c r="T32" s="116"/>
      <c r="U32" s="116"/>
      <c r="V32" s="116" t="s">
        <v>315</v>
      </c>
      <c r="W32" s="116" t="s">
        <v>683</v>
      </c>
      <c r="X32"/>
      <c r="Y32"/>
      <c r="AJ32" s="64" t="str">
        <f t="shared" si="31"/>
        <v>Nair S</v>
      </c>
      <c r="AK32" s="64">
        <f t="shared" si="98"/>
        <v>11</v>
      </c>
      <c r="AL32" s="64">
        <f t="shared" si="99"/>
        <v>4</v>
      </c>
      <c r="AM32" s="64">
        <f t="shared" si="100"/>
        <v>7</v>
      </c>
      <c r="AN32" s="64">
        <f t="shared" si="101"/>
        <v>2</v>
      </c>
      <c r="AO32" s="64">
        <f t="shared" si="102"/>
        <v>-20</v>
      </c>
      <c r="AP32" s="68" t="str">
        <f t="shared" si="103"/>
        <v>20*</v>
      </c>
      <c r="AQ32" s="64">
        <f t="shared" si="104"/>
        <v>31</v>
      </c>
      <c r="AR32" s="66">
        <f t="shared" si="105"/>
        <v>6.2</v>
      </c>
      <c r="AS32" s="64">
        <f t="shared" si="106"/>
        <v>15</v>
      </c>
      <c r="AT32" s="67">
        <f t="array" ref="AT32">SUM(IF(ISERR(FIND("*",D32:AI32)),0,1))</f>
        <v>1</v>
      </c>
      <c r="AU32" s="67">
        <f t="array" ref="AU32">SUM(IF(ISERR(FIND("+",D32:AI32)),0,1))</f>
        <v>0</v>
      </c>
      <c r="AV32" s="64">
        <f t="shared" si="107"/>
        <v>2</v>
      </c>
      <c r="AW32" s="67">
        <f t="array" ref="AW32">SUM(IF(ISERR(FIND(AW$4,$D32:$AI32)),0,1))</f>
        <v>3</v>
      </c>
      <c r="AX32" s="67">
        <f t="array" ref="AX32">SUM(IF(ISERR(FIND(AX$4,$D32:$AI32)),0,1))</f>
        <v>1</v>
      </c>
      <c r="AY32" s="67">
        <f t="array" ref="AY32">SUM(IF(ISERR(FIND(AY$4,$D32:$AI32)),0,1))</f>
        <v>0</v>
      </c>
      <c r="AZ32" s="67">
        <f t="array" ref="AZ32">SUM(IF(ISERR(FIND(AZ$4,$D32:$AI32)),0,1))</f>
        <v>0</v>
      </c>
      <c r="BA32" s="67">
        <f t="array" ref="BA32">SUM(IF(ISERR(FIND(BA$4,$D32:$AI32)),0,1))</f>
        <v>1</v>
      </c>
      <c r="BB32" s="67">
        <f t="array" ref="BB32">SUM(IF(ISERR(FIND(BB$4,$D32:$AI32)),0,1))</f>
        <v>0</v>
      </c>
      <c r="BC32" s="67">
        <f t="array" ref="BC32">SUM(IF(ISERR(FIND(BC$4,$D32:$AI32)),0,1))</f>
        <v>0</v>
      </c>
      <c r="BD32" s="67">
        <f t="shared" si="108"/>
        <v>0</v>
      </c>
      <c r="BE32" s="67">
        <f t="shared" si="109"/>
        <v>0</v>
      </c>
      <c r="BF32" s="67">
        <f t="shared" si="110"/>
        <v>3</v>
      </c>
      <c r="BG32" s="67">
        <f t="shared" si="111"/>
        <v>4</v>
      </c>
      <c r="BH32" s="67">
        <f t="shared" si="112"/>
        <v>0</v>
      </c>
      <c r="BI32" s="67">
        <f t="shared" si="113"/>
        <v>0</v>
      </c>
      <c r="BJ32" s="67">
        <f t="shared" si="114"/>
        <v>0</v>
      </c>
      <c r="BK32" s="67">
        <f t="shared" si="115"/>
        <v>0</v>
      </c>
      <c r="BL32" s="64">
        <f t="shared" si="116"/>
        <v>620711.31032000005</v>
      </c>
      <c r="BM32" s="64">
        <f t="shared" si="86"/>
        <v>25</v>
      </c>
      <c r="BN32" s="64">
        <v>23</v>
      </c>
      <c r="BO32" s="85" t="str">
        <f t="shared" si="117"/>
        <v/>
      </c>
      <c r="BP32" s="93">
        <f t="shared" si="118"/>
        <v>0.4</v>
      </c>
      <c r="BQ32" s="171">
        <f t="shared" si="119"/>
        <v>3</v>
      </c>
      <c r="BR32" s="64" t="str">
        <f t="shared" si="120"/>
        <v>3</v>
      </c>
      <c r="BS32" s="64" t="str">
        <f t="shared" si="121"/>
        <v>Nair S</v>
      </c>
      <c r="BT32" s="67">
        <f t="shared" si="122"/>
        <v>0</v>
      </c>
      <c r="BU32" s="64" t="str">
        <f t="shared" si="123"/>
        <v/>
      </c>
      <c r="BV32" s="67">
        <f t="shared" si="124"/>
        <v>4</v>
      </c>
      <c r="BW32" s="64" t="str">
        <f t="shared" si="125"/>
        <v>Nair S</v>
      </c>
      <c r="BX32" s="67">
        <f t="shared" si="126"/>
        <v>0</v>
      </c>
      <c r="BY32" s="64" t="str">
        <f t="shared" si="127"/>
        <v/>
      </c>
      <c r="BZ32" s="64">
        <f t="shared" si="62"/>
        <v>11</v>
      </c>
      <c r="CA32" s="64" t="str">
        <f t="shared" si="63"/>
        <v>Nair S</v>
      </c>
      <c r="CB32" s="64">
        <f t="shared" si="64"/>
        <v>2</v>
      </c>
      <c r="CC32" s="64" t="str">
        <f t="shared" si="65"/>
        <v>Nair S</v>
      </c>
    </row>
    <row r="33" spans="1:81" x14ac:dyDescent="0.15">
      <c r="B33" t="s">
        <v>257</v>
      </c>
      <c r="C33" t="s">
        <v>258</v>
      </c>
      <c r="D33"/>
      <c r="E33"/>
      <c r="F33"/>
      <c r="G33"/>
      <c r="H33"/>
      <c r="I33"/>
      <c r="J33"/>
      <c r="K33"/>
      <c r="L33"/>
      <c r="M33"/>
      <c r="N33"/>
      <c r="O33"/>
      <c r="P33"/>
      <c r="Q33" s="116"/>
      <c r="R33"/>
      <c r="S33"/>
      <c r="T33" s="116"/>
      <c r="U33"/>
      <c r="V33" s="116"/>
      <c r="W33"/>
      <c r="X33"/>
      <c r="Y33"/>
      <c r="AJ33" s="64" t="str">
        <f t="shared" si="31"/>
        <v>Naish J</v>
      </c>
      <c r="AK33" s="64">
        <f t="shared" si="98"/>
        <v>0</v>
      </c>
      <c r="AL33" s="64">
        <f t="shared" si="99"/>
        <v>0</v>
      </c>
      <c r="AM33" s="64">
        <f t="shared" si="100"/>
        <v>0</v>
      </c>
      <c r="AN33" s="64">
        <f t="shared" si="101"/>
        <v>0</v>
      </c>
      <c r="AO33" s="64">
        <f t="shared" si="102"/>
        <v>0</v>
      </c>
      <c r="AP33" s="68">
        <f t="shared" si="103"/>
        <v>0</v>
      </c>
      <c r="AQ33" s="64">
        <f t="shared" si="104"/>
        <v>0</v>
      </c>
      <c r="AR33" s="66">
        <f t="shared" si="105"/>
        <v>0</v>
      </c>
      <c r="AS33" s="64">
        <f t="shared" si="106"/>
        <v>0</v>
      </c>
      <c r="AT33" s="67">
        <f t="array" ref="AT33">SUM(IF(ISERR(FIND("*",D33:AI33)),0,1))</f>
        <v>0</v>
      </c>
      <c r="AU33" s="67">
        <f t="array" ref="AU33">SUM(IF(ISERR(FIND("+",D33:AI33)),0,1))</f>
        <v>0</v>
      </c>
      <c r="AV33" s="64">
        <f t="shared" si="107"/>
        <v>0</v>
      </c>
      <c r="AW33" s="67">
        <f t="array" ref="AW33">SUM(IF(ISERR(FIND(AW$4,$D33:$AI33)),0,1))</f>
        <v>0</v>
      </c>
      <c r="AX33" s="67">
        <f t="array" ref="AX33">SUM(IF(ISERR(FIND(AX$4,$D33:$AI33)),0,1))</f>
        <v>0</v>
      </c>
      <c r="AY33" s="67">
        <f t="array" ref="AY33">SUM(IF(ISERR(FIND(AY$4,$D33:$AI33)),0,1))</f>
        <v>0</v>
      </c>
      <c r="AZ33" s="67">
        <f t="array" ref="AZ33">SUM(IF(ISERR(FIND(AZ$4,$D33:$AI33)),0,1))</f>
        <v>0</v>
      </c>
      <c r="BA33" s="67">
        <f t="array" ref="BA33">SUM(IF(ISERR(FIND(BA$4,$D33:$AI33)),0,1))</f>
        <v>0</v>
      </c>
      <c r="BB33" s="67">
        <f t="array" ref="BB33">SUM(IF(ISERR(FIND(BB$4,$D33:$AI33)),0,1))</f>
        <v>0</v>
      </c>
      <c r="BC33" s="67">
        <f t="array" ref="BC33">SUM(IF(ISERR(FIND(BC$4,$D33:$AI33)),0,1))</f>
        <v>0</v>
      </c>
      <c r="BD33" s="67">
        <f t="shared" si="108"/>
        <v>0</v>
      </c>
      <c r="BE33" s="67">
        <f t="shared" si="109"/>
        <v>0</v>
      </c>
      <c r="BF33" s="67">
        <f t="shared" si="110"/>
        <v>0</v>
      </c>
      <c r="BG33" s="67">
        <f t="shared" si="111"/>
        <v>0</v>
      </c>
      <c r="BH33" s="67">
        <f t="shared" si="112"/>
        <v>0</v>
      </c>
      <c r="BI33" s="67">
        <f t="shared" si="113"/>
        <v>0</v>
      </c>
      <c r="BJ33" s="67">
        <f t="shared" si="114"/>
        <v>0</v>
      </c>
      <c r="BK33" s="67">
        <f t="shared" si="115"/>
        <v>0</v>
      </c>
      <c r="BL33" s="64">
        <f t="shared" si="116"/>
        <v>3.3E-4</v>
      </c>
      <c r="BM33" s="64">
        <f t="shared" si="86"/>
        <v>52</v>
      </c>
      <c r="BN33" s="64">
        <v>24</v>
      </c>
      <c r="BO33" s="85" t="str">
        <f t="shared" si="117"/>
        <v/>
      </c>
      <c r="BP33" s="93" t="e">
        <f t="shared" si="118"/>
        <v>#DIV/0!</v>
      </c>
      <c r="BQ33" s="171">
        <f t="shared" si="119"/>
        <v>0</v>
      </c>
      <c r="BR33" s="64" t="str">
        <f t="shared" si="120"/>
        <v/>
      </c>
      <c r="BS33" s="64" t="str">
        <f t="shared" si="121"/>
        <v/>
      </c>
      <c r="BT33" s="67">
        <f t="shared" si="122"/>
        <v>0</v>
      </c>
      <c r="BU33" s="64" t="str">
        <f t="shared" si="123"/>
        <v/>
      </c>
      <c r="BV33" s="67">
        <f t="shared" si="124"/>
        <v>0</v>
      </c>
      <c r="BW33" s="64" t="str">
        <f t="shared" si="125"/>
        <v/>
      </c>
      <c r="BX33" s="67">
        <f t="shared" si="126"/>
        <v>0</v>
      </c>
      <c r="BY33" s="64" t="str">
        <f t="shared" si="127"/>
        <v/>
      </c>
      <c r="BZ33" s="64">
        <f t="shared" si="62"/>
        <v>0</v>
      </c>
      <c r="CA33" s="64" t="str">
        <f t="shared" si="63"/>
        <v>Naish J</v>
      </c>
      <c r="CB33" s="64">
        <f t="shared" si="64"/>
        <v>0</v>
      </c>
      <c r="CC33" s="64" t="str">
        <f t="shared" si="65"/>
        <v>Naish J</v>
      </c>
    </row>
    <row r="34" spans="1:81" x14ac:dyDescent="0.15">
      <c r="B34"/>
      <c r="C34" t="s">
        <v>562</v>
      </c>
      <c r="D34"/>
      <c r="E34"/>
      <c r="F34"/>
      <c r="G34"/>
      <c r="H34"/>
      <c r="I34"/>
      <c r="J34"/>
      <c r="K34"/>
      <c r="L34"/>
      <c r="M34"/>
      <c r="N34"/>
      <c r="O34" t="s">
        <v>306</v>
      </c>
      <c r="P34"/>
      <c r="Q34" s="116"/>
      <c r="R34"/>
      <c r="S34"/>
      <c r="T34" s="116"/>
      <c r="U34"/>
      <c r="V34" s="116"/>
      <c r="W34"/>
      <c r="X34"/>
      <c r="Y34"/>
      <c r="AJ34" s="116" t="str">
        <f t="shared" si="31"/>
        <v>"Naveed"</v>
      </c>
      <c r="AK34" s="64">
        <f t="shared" si="98"/>
        <v>1</v>
      </c>
      <c r="AL34" s="64">
        <f t="shared" si="99"/>
        <v>1</v>
      </c>
      <c r="AM34" s="64">
        <f t="shared" si="100"/>
        <v>0</v>
      </c>
      <c r="AN34" s="64">
        <f t="shared" si="101"/>
        <v>0</v>
      </c>
      <c r="AO34" s="64">
        <f t="shared" si="102"/>
        <v>0</v>
      </c>
      <c r="AP34" s="68">
        <f t="shared" si="103"/>
        <v>0</v>
      </c>
      <c r="AQ34" s="64">
        <f t="shared" si="104"/>
        <v>0</v>
      </c>
      <c r="AR34" s="66">
        <f t="shared" si="105"/>
        <v>0</v>
      </c>
      <c r="AS34" s="64">
        <f t="shared" si="106"/>
        <v>0</v>
      </c>
      <c r="AT34" s="67">
        <f t="array" ref="AT34">SUM(IF(ISERR(FIND("*",D34:AI34)),0,1))</f>
        <v>0</v>
      </c>
      <c r="AU34" s="67">
        <f t="array" ref="AU34">SUM(IF(ISERR(FIND("+",D34:AI34)),0,1))</f>
        <v>0</v>
      </c>
      <c r="AV34" s="64">
        <f t="shared" si="107"/>
        <v>0</v>
      </c>
      <c r="AW34" s="67">
        <f t="array" ref="AW34">SUM(IF(ISERR(FIND(AW$4,$D34:$AI34)),0,1))</f>
        <v>0</v>
      </c>
      <c r="AX34" s="67">
        <f t="array" ref="AX34">SUM(IF(ISERR(FIND(AX$4,$D34:$AI34)),0,1))</f>
        <v>0</v>
      </c>
      <c r="AY34" s="67">
        <f t="array" ref="AY34">SUM(IF(ISERR(FIND(AY$4,$D34:$AI34)),0,1))</f>
        <v>0</v>
      </c>
      <c r="AZ34" s="67">
        <f t="array" ref="AZ34">SUM(IF(ISERR(FIND(AZ$4,$D34:$AI34)),0,1))</f>
        <v>0</v>
      </c>
      <c r="BA34" s="67">
        <f t="array" ref="BA34">SUM(IF(ISERR(FIND(BA$4,$D34:$AI34)),0,1))</f>
        <v>0</v>
      </c>
      <c r="BB34" s="67">
        <f t="array" ref="BB34">SUM(IF(ISERR(FIND(BB$4,$D34:$AI34)),0,1))</f>
        <v>0</v>
      </c>
      <c r="BC34" s="67">
        <f t="array" ref="BC34">SUM(IF(ISERR(FIND(BC$4,$D34:$AI34)),0,1))</f>
        <v>0</v>
      </c>
      <c r="BD34" s="67">
        <f t="shared" si="108"/>
        <v>0</v>
      </c>
      <c r="BE34" s="67">
        <f t="shared" si="109"/>
        <v>0</v>
      </c>
      <c r="BF34" s="67">
        <f t="shared" si="110"/>
        <v>0</v>
      </c>
      <c r="BG34" s="67">
        <f t="shared" si="111"/>
        <v>0</v>
      </c>
      <c r="BH34" s="67">
        <f t="shared" si="112"/>
        <v>0</v>
      </c>
      <c r="BI34" s="67">
        <f t="shared" si="113"/>
        <v>0</v>
      </c>
      <c r="BJ34" s="67">
        <f t="shared" si="114"/>
        <v>0</v>
      </c>
      <c r="BK34" s="67">
        <f t="shared" si="115"/>
        <v>0</v>
      </c>
      <c r="BL34" s="64">
        <f t="shared" si="116"/>
        <v>1.00034</v>
      </c>
      <c r="BM34" s="64">
        <f t="shared" si="86"/>
        <v>39</v>
      </c>
      <c r="BN34" s="64">
        <v>25</v>
      </c>
      <c r="BO34" s="85" t="str">
        <f t="shared" si="117"/>
        <v/>
      </c>
      <c r="BP34" s="93" t="e">
        <f t="shared" si="118"/>
        <v>#DIV/0!</v>
      </c>
      <c r="BQ34" s="171">
        <f t="shared" si="119"/>
        <v>0</v>
      </c>
      <c r="BR34" s="64" t="str">
        <f t="shared" si="120"/>
        <v/>
      </c>
      <c r="BS34" s="64" t="str">
        <f t="shared" si="121"/>
        <v/>
      </c>
      <c r="BT34" s="67">
        <f t="shared" si="122"/>
        <v>0</v>
      </c>
      <c r="BU34" s="64" t="str">
        <f t="shared" si="123"/>
        <v/>
      </c>
      <c r="BV34" s="67">
        <f t="shared" si="124"/>
        <v>0</v>
      </c>
      <c r="BW34" s="64" t="str">
        <f t="shared" si="125"/>
        <v/>
      </c>
      <c r="BX34" s="67">
        <f t="shared" si="126"/>
        <v>0</v>
      </c>
      <c r="BY34" s="64" t="str">
        <f t="shared" si="127"/>
        <v/>
      </c>
      <c r="BZ34" s="64">
        <f t="shared" si="62"/>
        <v>1</v>
      </c>
      <c r="CA34" s="64" t="str">
        <f t="shared" si="63"/>
        <v>"Naveed"</v>
      </c>
      <c r="CB34" s="64">
        <f t="shared" si="64"/>
        <v>0</v>
      </c>
      <c r="CC34" s="64" t="str">
        <f t="shared" si="65"/>
        <v>"Naveed"</v>
      </c>
    </row>
    <row r="35" spans="1:81" x14ac:dyDescent="0.15">
      <c r="B35" t="s">
        <v>275</v>
      </c>
      <c r="C35" t="s">
        <v>245</v>
      </c>
      <c r="D35"/>
      <c r="E35"/>
      <c r="F35"/>
      <c r="G35"/>
      <c r="H35"/>
      <c r="I35"/>
      <c r="J35"/>
      <c r="K35"/>
      <c r="L35"/>
      <c r="M35"/>
      <c r="N35"/>
      <c r="O35"/>
      <c r="P35"/>
      <c r="Q35" s="116" t="s">
        <v>589</v>
      </c>
      <c r="R35" s="116" t="s">
        <v>613</v>
      </c>
      <c r="S35" s="116"/>
      <c r="T35" s="116" t="s">
        <v>648</v>
      </c>
      <c r="U35"/>
      <c r="V35" s="116"/>
      <c r="W35" s="116"/>
      <c r="X35" t="s">
        <v>696</v>
      </c>
      <c r="Y35"/>
      <c r="Z35" s="116"/>
      <c r="AJ35" s="64" t="str">
        <f t="shared" si="31"/>
        <v>Niran S</v>
      </c>
      <c r="AK35" s="64">
        <f t="shared" si="98"/>
        <v>4</v>
      </c>
      <c r="AL35" s="64">
        <f t="shared" si="99"/>
        <v>0</v>
      </c>
      <c r="AM35" s="64">
        <f t="shared" si="100"/>
        <v>4</v>
      </c>
      <c r="AN35" s="64">
        <f t="shared" si="101"/>
        <v>0</v>
      </c>
      <c r="AO35" s="64">
        <f t="shared" si="102"/>
        <v>49</v>
      </c>
      <c r="AP35" s="68">
        <f t="shared" si="103"/>
        <v>49</v>
      </c>
      <c r="AQ35" s="64">
        <f t="shared" si="104"/>
        <v>142</v>
      </c>
      <c r="AR35" s="66">
        <f t="shared" si="105"/>
        <v>35.5</v>
      </c>
      <c r="AS35" s="64">
        <f t="shared" si="106"/>
        <v>0</v>
      </c>
      <c r="AT35" s="67">
        <f t="array" ref="AT35">SUM(IF(ISERR(FIND("*",D35:AI35)),0,1))</f>
        <v>0</v>
      </c>
      <c r="AU35" s="67">
        <f t="array" ref="AU35">SUM(IF(ISERR(FIND("+",D35:AI35)),0,1))</f>
        <v>1</v>
      </c>
      <c r="AV35" s="64">
        <f t="shared" si="107"/>
        <v>0</v>
      </c>
      <c r="AW35" s="67">
        <f t="array" ref="AW35">SUM(IF(ISERR(FIND(AW$4,$D35:$AI35)),0,1))</f>
        <v>2</v>
      </c>
      <c r="AX35" s="67">
        <f t="array" ref="AX35">SUM(IF(ISERR(FIND(AX$4,$D35:$AI35)),0,1))</f>
        <v>1</v>
      </c>
      <c r="AY35" s="67">
        <f t="array" ref="AY35">SUM(IF(ISERR(FIND(AY$4,$D35:$AI35)),0,1))</f>
        <v>0</v>
      </c>
      <c r="AZ35" s="67">
        <f t="array" ref="AZ35">SUM(IF(ISERR(FIND(AZ$4,$D35:$AI35)),0,1))</f>
        <v>1</v>
      </c>
      <c r="BA35" s="67">
        <f t="array" ref="BA35">SUM(IF(ISERR(FIND(BA$4,$D35:$AI35)),0,1))</f>
        <v>0</v>
      </c>
      <c r="BB35" s="67">
        <f t="array" ref="BB35">SUM(IF(ISERR(FIND(BB$4,$D35:$AI35)),0,1))</f>
        <v>0</v>
      </c>
      <c r="BC35" s="67">
        <f t="array" ref="BC35">SUM(IF(ISERR(FIND(BC$4,$D35:$AI35)),0,1))</f>
        <v>0</v>
      </c>
      <c r="BD35" s="67">
        <f t="shared" si="108"/>
        <v>0</v>
      </c>
      <c r="BE35" s="67">
        <f t="shared" si="109"/>
        <v>0</v>
      </c>
      <c r="BF35" s="67">
        <f t="shared" si="110"/>
        <v>1</v>
      </c>
      <c r="BG35" s="67">
        <f t="shared" si="111"/>
        <v>19</v>
      </c>
      <c r="BH35" s="67">
        <f t="shared" si="112"/>
        <v>1</v>
      </c>
      <c r="BI35" s="67">
        <f t="shared" si="113"/>
        <v>1</v>
      </c>
      <c r="BJ35" s="67">
        <f t="shared" si="114"/>
        <v>1</v>
      </c>
      <c r="BK35" s="67">
        <f t="shared" si="115"/>
        <v>3</v>
      </c>
      <c r="BL35" s="64">
        <f t="shared" si="116"/>
        <v>3550405.4203499998</v>
      </c>
      <c r="BM35" s="64">
        <f t="shared" si="86"/>
        <v>5</v>
      </c>
      <c r="BN35" s="64">
        <v>26</v>
      </c>
      <c r="BO35" s="85">
        <f t="shared" si="117"/>
        <v>1.4929577464788732</v>
      </c>
      <c r="BP35" s="93">
        <f t="shared" si="118"/>
        <v>0</v>
      </c>
      <c r="BQ35" s="171">
        <f t="shared" si="119"/>
        <v>1</v>
      </c>
      <c r="BR35" s="64" t="str">
        <f t="shared" si="120"/>
        <v>1 (1)</v>
      </c>
      <c r="BS35" s="64" t="str">
        <f t="shared" si="121"/>
        <v>Niran S</v>
      </c>
      <c r="BT35" s="67">
        <f t="shared" si="122"/>
        <v>1</v>
      </c>
      <c r="BU35" s="64" t="str">
        <f t="shared" si="123"/>
        <v>Niran S</v>
      </c>
      <c r="BV35" s="67">
        <f t="shared" si="124"/>
        <v>19</v>
      </c>
      <c r="BW35" s="64" t="str">
        <f t="shared" si="125"/>
        <v>Niran S</v>
      </c>
      <c r="BX35" s="67">
        <f t="shared" si="126"/>
        <v>3</v>
      </c>
      <c r="BY35" s="64" t="str">
        <f t="shared" si="127"/>
        <v>Niran S</v>
      </c>
      <c r="BZ35" s="64">
        <f t="shared" si="62"/>
        <v>4</v>
      </c>
      <c r="CA35" s="64" t="str">
        <f t="shared" si="63"/>
        <v>Niran S</v>
      </c>
      <c r="CB35" s="64">
        <f t="shared" si="64"/>
        <v>0</v>
      </c>
      <c r="CC35" s="64" t="str">
        <f t="shared" si="65"/>
        <v>Niran S</v>
      </c>
    </row>
    <row r="36" spans="1:81" x14ac:dyDescent="0.15">
      <c r="B36" t="s">
        <v>264</v>
      </c>
      <c r="C36" t="s">
        <v>265</v>
      </c>
      <c r="D36"/>
      <c r="E36"/>
      <c r="F36"/>
      <c r="G36"/>
      <c r="H36"/>
      <c r="I36"/>
      <c r="J36"/>
      <c r="K36"/>
      <c r="L36"/>
      <c r="M36"/>
      <c r="N36"/>
      <c r="O36"/>
      <c r="P36"/>
      <c r="Q36" s="116"/>
      <c r="R36" s="116"/>
      <c r="S36" s="116"/>
      <c r="T36" s="116"/>
      <c r="U36"/>
      <c r="V36" s="116"/>
      <c r="W36"/>
      <c r="X36"/>
      <c r="Y36"/>
      <c r="Z36" s="116"/>
      <c r="AJ36" s="64" t="str">
        <f t="shared" si="31"/>
        <v>O'Rourke</v>
      </c>
      <c r="AK36" s="64">
        <f t="shared" si="98"/>
        <v>0</v>
      </c>
      <c r="AL36" s="64">
        <f t="shared" si="99"/>
        <v>0</v>
      </c>
      <c r="AM36" s="64">
        <f t="shared" si="100"/>
        <v>0</v>
      </c>
      <c r="AN36" s="64">
        <f t="shared" si="101"/>
        <v>0</v>
      </c>
      <c r="AO36" s="64">
        <f t="shared" si="102"/>
        <v>0</v>
      </c>
      <c r="AP36" s="68">
        <f t="shared" si="103"/>
        <v>0</v>
      </c>
      <c r="AQ36" s="64">
        <f t="shared" si="104"/>
        <v>0</v>
      </c>
      <c r="AR36" s="66">
        <f t="shared" si="105"/>
        <v>0</v>
      </c>
      <c r="AS36" s="64">
        <f t="shared" si="106"/>
        <v>0</v>
      </c>
      <c r="AT36" s="67">
        <f t="array" ref="AT36">SUM(IF(ISERR(FIND("*",D36:AI36)),0,1))</f>
        <v>0</v>
      </c>
      <c r="AU36" s="67">
        <f t="array" ref="AU36">SUM(IF(ISERR(FIND("+",D36:AI36)),0,1))</f>
        <v>0</v>
      </c>
      <c r="AV36" s="64">
        <f t="shared" si="107"/>
        <v>0</v>
      </c>
      <c r="AW36" s="67">
        <f t="array" ref="AW36">SUM(IF(ISERR(FIND(AW$4,$D36:$AI36)),0,1))</f>
        <v>0</v>
      </c>
      <c r="AX36" s="67">
        <f t="array" ref="AX36">SUM(IF(ISERR(FIND(AX$4,$D36:$AI36)),0,1))</f>
        <v>0</v>
      </c>
      <c r="AY36" s="67">
        <f t="array" ref="AY36">SUM(IF(ISERR(FIND(AY$4,$D36:$AI36)),0,1))</f>
        <v>0</v>
      </c>
      <c r="AZ36" s="67">
        <f t="array" ref="AZ36">SUM(IF(ISERR(FIND(AZ$4,$D36:$AI36)),0,1))</f>
        <v>0</v>
      </c>
      <c r="BA36" s="67">
        <f t="array" ref="BA36">SUM(IF(ISERR(FIND(BA$4,$D36:$AI36)),0,1))</f>
        <v>0</v>
      </c>
      <c r="BB36" s="67">
        <f t="array" ref="BB36">SUM(IF(ISERR(FIND(BB$4,$D36:$AI36)),0,1))</f>
        <v>0</v>
      </c>
      <c r="BC36" s="67">
        <f t="array" ref="BC36">SUM(IF(ISERR(FIND(BC$4,$D36:$AI36)),0,1))</f>
        <v>0</v>
      </c>
      <c r="BD36" s="67">
        <f t="shared" si="108"/>
        <v>0</v>
      </c>
      <c r="BE36" s="67">
        <f t="shared" si="109"/>
        <v>0</v>
      </c>
      <c r="BF36" s="67">
        <f t="shared" si="110"/>
        <v>0</v>
      </c>
      <c r="BG36" s="67">
        <f t="shared" si="111"/>
        <v>0</v>
      </c>
      <c r="BH36" s="67">
        <f t="shared" si="112"/>
        <v>0</v>
      </c>
      <c r="BI36" s="67">
        <f t="shared" si="113"/>
        <v>0</v>
      </c>
      <c r="BJ36" s="67">
        <f t="shared" si="114"/>
        <v>0</v>
      </c>
      <c r="BK36" s="67">
        <f t="shared" si="115"/>
        <v>0</v>
      </c>
      <c r="BL36" s="64">
        <f t="shared" si="116"/>
        <v>3.6000000000000002E-4</v>
      </c>
      <c r="BM36" s="64">
        <f t="shared" si="86"/>
        <v>51</v>
      </c>
      <c r="BN36" s="64">
        <v>27</v>
      </c>
      <c r="BO36" s="85" t="str">
        <f t="shared" si="117"/>
        <v/>
      </c>
      <c r="BP36" s="93" t="e">
        <f t="shared" si="118"/>
        <v>#DIV/0!</v>
      </c>
      <c r="BQ36" s="171">
        <f t="shared" si="119"/>
        <v>0</v>
      </c>
      <c r="BR36" s="64" t="str">
        <f t="shared" si="120"/>
        <v/>
      </c>
      <c r="BS36" s="64" t="str">
        <f t="shared" si="121"/>
        <v/>
      </c>
      <c r="BT36" s="67">
        <f t="shared" si="122"/>
        <v>0</v>
      </c>
      <c r="BU36" s="64" t="str">
        <f t="shared" si="123"/>
        <v/>
      </c>
      <c r="BV36" s="67">
        <f t="shared" si="124"/>
        <v>0</v>
      </c>
      <c r="BW36" s="64" t="str">
        <f t="shared" si="125"/>
        <v/>
      </c>
      <c r="BX36" s="67">
        <f t="shared" si="126"/>
        <v>0</v>
      </c>
      <c r="BY36" s="64" t="str">
        <f t="shared" si="127"/>
        <v/>
      </c>
      <c r="BZ36" s="64">
        <f t="shared" si="62"/>
        <v>0</v>
      </c>
      <c r="CA36" s="64" t="str">
        <f t="shared" si="63"/>
        <v>O'Rourke</v>
      </c>
      <c r="CB36" s="64">
        <f t="shared" si="64"/>
        <v>0</v>
      </c>
      <c r="CC36" s="64" t="str">
        <f t="shared" si="65"/>
        <v>O'Rourke</v>
      </c>
    </row>
    <row r="37" spans="1:81" x14ac:dyDescent="0.15">
      <c r="B37"/>
      <c r="C37" t="s">
        <v>234</v>
      </c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 t="s">
        <v>595</v>
      </c>
      <c r="X37"/>
      <c r="Y37"/>
      <c r="Z37" s="116"/>
      <c r="AJ37" s="64" t="str">
        <f t="shared" si="31"/>
        <v>Parboo R</v>
      </c>
      <c r="AK37" s="64">
        <f t="shared" si="98"/>
        <v>1</v>
      </c>
      <c r="AL37" s="64">
        <f t="shared" si="99"/>
        <v>0</v>
      </c>
      <c r="AM37" s="64">
        <f t="shared" si="100"/>
        <v>1</v>
      </c>
      <c r="AN37" s="64">
        <f t="shared" si="101"/>
        <v>0</v>
      </c>
      <c r="AO37" s="64">
        <f t="shared" si="102"/>
        <v>0</v>
      </c>
      <c r="AP37" s="68">
        <f t="shared" si="103"/>
        <v>0</v>
      </c>
      <c r="AQ37" s="64">
        <f t="shared" si="104"/>
        <v>0</v>
      </c>
      <c r="AR37" s="66">
        <f t="shared" si="105"/>
        <v>0</v>
      </c>
      <c r="AS37" s="64">
        <f t="shared" si="106"/>
        <v>0</v>
      </c>
      <c r="AT37" s="67">
        <f t="array" ref="AT37">SUM(IF(ISERR(FIND("*",D37:AI37)),0,1))</f>
        <v>0</v>
      </c>
      <c r="AU37" s="67">
        <f t="array" ref="AU37">SUM(IF(ISERR(FIND("+",D37:AI37)),0,1))</f>
        <v>0</v>
      </c>
      <c r="AV37" s="64">
        <f t="shared" si="107"/>
        <v>1</v>
      </c>
      <c r="AW37" s="67">
        <f t="array" ref="AW37">SUM(IF(ISERR(FIND(AW$4,$D37:$AI37)),0,1))</f>
        <v>1</v>
      </c>
      <c r="AX37" s="67">
        <f t="array" ref="AX37">SUM(IF(ISERR(FIND(AX$4,$D37:$AI37)),0,1))</f>
        <v>0</v>
      </c>
      <c r="AY37" s="67">
        <f t="array" ref="AY37">SUM(IF(ISERR(FIND(AY$4,$D37:$AI37)),0,1))</f>
        <v>0</v>
      </c>
      <c r="AZ37" s="67">
        <f t="array" ref="AZ37">SUM(IF(ISERR(FIND(AZ$4,$D37:$AI37)),0,1))</f>
        <v>0</v>
      </c>
      <c r="BA37" s="67">
        <f t="array" ref="BA37">SUM(IF(ISERR(FIND(BA$4,$D37:$AI37)),0,1))</f>
        <v>0</v>
      </c>
      <c r="BB37" s="67">
        <f t="array" ref="BB37">SUM(IF(ISERR(FIND(BB$4,$D37:$AI37)),0,1))</f>
        <v>0</v>
      </c>
      <c r="BC37" s="67">
        <f t="array" ref="BC37">SUM(IF(ISERR(FIND(BC$4,$D37:$AI37)),0,1))</f>
        <v>0</v>
      </c>
      <c r="BD37" s="67">
        <f t="shared" si="108"/>
        <v>0</v>
      </c>
      <c r="BE37" s="67">
        <f t="shared" si="109"/>
        <v>0</v>
      </c>
      <c r="BF37" s="67">
        <f t="shared" si="110"/>
        <v>0</v>
      </c>
      <c r="BG37" s="67">
        <f t="shared" si="111"/>
        <v>0</v>
      </c>
      <c r="BH37" s="67">
        <f t="shared" si="112"/>
        <v>0</v>
      </c>
      <c r="BI37" s="67">
        <f t="shared" si="113"/>
        <v>0</v>
      </c>
      <c r="BJ37" s="67">
        <f t="shared" si="114"/>
        <v>0</v>
      </c>
      <c r="BK37" s="67">
        <f t="shared" si="115"/>
        <v>0</v>
      </c>
      <c r="BL37" s="64">
        <f t="shared" si="116"/>
        <v>101.00037</v>
      </c>
      <c r="BM37" s="64">
        <f t="shared" si="86"/>
        <v>35</v>
      </c>
      <c r="BN37" s="64">
        <v>28</v>
      </c>
      <c r="BO37" s="85" t="str">
        <f t="shared" si="117"/>
        <v/>
      </c>
      <c r="BP37" s="93">
        <f t="shared" si="118"/>
        <v>1</v>
      </c>
      <c r="BQ37" s="171">
        <f t="shared" si="119"/>
        <v>0</v>
      </c>
      <c r="BR37" s="64" t="str">
        <f t="shared" si="120"/>
        <v/>
      </c>
      <c r="BS37" s="64" t="str">
        <f t="shared" si="121"/>
        <v/>
      </c>
      <c r="BT37" s="67">
        <f t="shared" si="122"/>
        <v>0</v>
      </c>
      <c r="BU37" s="64" t="str">
        <f t="shared" si="123"/>
        <v/>
      </c>
      <c r="BV37" s="67">
        <f t="shared" si="124"/>
        <v>0</v>
      </c>
      <c r="BW37" s="64" t="str">
        <f t="shared" si="125"/>
        <v/>
      </c>
      <c r="BX37" s="67">
        <f t="shared" si="126"/>
        <v>0</v>
      </c>
      <c r="BY37" s="64" t="str">
        <f t="shared" si="127"/>
        <v/>
      </c>
      <c r="BZ37" s="64">
        <f t="shared" si="62"/>
        <v>1</v>
      </c>
      <c r="CA37" s="64" t="str">
        <f t="shared" si="63"/>
        <v>Parboo R</v>
      </c>
      <c r="CB37" s="64">
        <f t="shared" si="64"/>
        <v>1</v>
      </c>
      <c r="CC37" s="64" t="str">
        <f t="shared" si="65"/>
        <v>Parboo R</v>
      </c>
    </row>
    <row r="38" spans="1:81" x14ac:dyDescent="0.15">
      <c r="B38" t="s">
        <v>610</v>
      </c>
      <c r="C38" t="s">
        <v>387</v>
      </c>
      <c r="D38"/>
      <c r="E38"/>
      <c r="F38" t="s">
        <v>411</v>
      </c>
      <c r="G38" t="s">
        <v>388</v>
      </c>
      <c r="H38" t="s">
        <v>444</v>
      </c>
      <c r="I38"/>
      <c r="J38"/>
      <c r="K38"/>
      <c r="L38" t="s">
        <v>316</v>
      </c>
      <c r="M38"/>
      <c r="N38"/>
      <c r="O38"/>
      <c r="P38"/>
      <c r="Q38"/>
      <c r="R38" t="s">
        <v>611</v>
      </c>
      <c r="S38"/>
      <c r="T38"/>
      <c r="U38"/>
      <c r="V38" t="s">
        <v>672</v>
      </c>
      <c r="W38" t="s">
        <v>680</v>
      </c>
      <c r="X38" t="s">
        <v>694</v>
      </c>
      <c r="Y38"/>
      <c r="Z38" s="116"/>
      <c r="AJ38" s="64" t="str">
        <f t="shared" si="31"/>
        <v>Patel J</v>
      </c>
      <c r="AK38" s="64">
        <f t="shared" si="98"/>
        <v>8</v>
      </c>
      <c r="AL38" s="64">
        <f t="shared" si="99"/>
        <v>1</v>
      </c>
      <c r="AM38" s="64">
        <f t="shared" si="100"/>
        <v>7</v>
      </c>
      <c r="AN38" s="64">
        <f t="shared" si="101"/>
        <v>0</v>
      </c>
      <c r="AO38" s="64">
        <f t="shared" si="102"/>
        <v>66</v>
      </c>
      <c r="AP38" s="68">
        <f t="shared" si="103"/>
        <v>66</v>
      </c>
      <c r="AQ38" s="64">
        <f t="shared" si="104"/>
        <v>237</v>
      </c>
      <c r="AR38" s="66">
        <f t="shared" si="105"/>
        <v>33.857142857142854</v>
      </c>
      <c r="AS38" s="64">
        <f t="shared" si="106"/>
        <v>20</v>
      </c>
      <c r="AT38" s="67">
        <f t="array" ref="AT38">SUM(IF(ISERR(FIND("*",D38:AI38)),0,1))</f>
        <v>0</v>
      </c>
      <c r="AU38" s="67">
        <f t="array" ref="AU38">SUM(IF(ISERR(FIND("+",D38:AI38)),0,1))</f>
        <v>0</v>
      </c>
      <c r="AV38" s="64">
        <f t="shared" si="107"/>
        <v>0</v>
      </c>
      <c r="AW38" s="67">
        <f t="array" ref="AW38">SUM(IF(ISERR(FIND(AW$4,$D38:$AI38)),0,1))</f>
        <v>4</v>
      </c>
      <c r="AX38" s="67">
        <f t="array" ref="AX38">SUM(IF(ISERR(FIND(AX$4,$D38:$AI38)),0,1))</f>
        <v>2</v>
      </c>
      <c r="AY38" s="67">
        <f t="array" ref="AY38">SUM(IF(ISERR(FIND(AY$4,$D38:$AI38)),0,1))</f>
        <v>0</v>
      </c>
      <c r="AZ38" s="67">
        <f t="array" ref="AZ38">SUM(IF(ISERR(FIND(AZ$4,$D38:$AI38)),0,1))</f>
        <v>1</v>
      </c>
      <c r="BA38" s="67">
        <f t="array" ref="BA38">SUM(IF(ISERR(FIND(BA$4,$D38:$AI38)),0,1))</f>
        <v>0</v>
      </c>
      <c r="BB38" s="67">
        <f t="array" ref="BB38">SUM(IF(ISERR(FIND(BB$4,$D38:$AI38)),0,1))</f>
        <v>0</v>
      </c>
      <c r="BC38" s="67">
        <f t="array" ref="BC38">SUM(IF(ISERR(FIND(BC$4,$D38:$AI38)),0,1))</f>
        <v>0</v>
      </c>
      <c r="BD38" s="67">
        <f t="shared" si="108"/>
        <v>2</v>
      </c>
      <c r="BE38" s="67">
        <f t="shared" si="109"/>
        <v>0</v>
      </c>
      <c r="BF38" s="67">
        <f t="shared" si="110"/>
        <v>4</v>
      </c>
      <c r="BG38" s="67">
        <f t="shared" si="111"/>
        <v>28</v>
      </c>
      <c r="BH38" s="67">
        <f t="shared" si="112"/>
        <v>2</v>
      </c>
      <c r="BI38" s="67">
        <f t="shared" si="113"/>
        <v>0</v>
      </c>
      <c r="BJ38" s="67">
        <f t="shared" si="114"/>
        <v>0</v>
      </c>
      <c r="BK38" s="67">
        <f t="shared" si="115"/>
        <v>4</v>
      </c>
      <c r="BL38" s="64">
        <f t="shared" si="116"/>
        <v>3386710.3703800002</v>
      </c>
      <c r="BM38" s="64">
        <f t="shared" si="86"/>
        <v>7</v>
      </c>
      <c r="BN38" s="64">
        <v>29</v>
      </c>
      <c r="BO38" s="85">
        <f t="shared" si="117"/>
        <v>1.1350210970464134</v>
      </c>
      <c r="BP38" s="93">
        <f t="shared" si="118"/>
        <v>0</v>
      </c>
      <c r="BQ38" s="171">
        <f t="shared" si="119"/>
        <v>4</v>
      </c>
      <c r="BR38" s="64" t="str">
        <f t="shared" si="120"/>
        <v>4</v>
      </c>
      <c r="BS38" s="64" t="str">
        <f t="shared" si="121"/>
        <v>Patel J</v>
      </c>
      <c r="BT38" s="67">
        <f t="shared" si="122"/>
        <v>2</v>
      </c>
      <c r="BU38" s="64" t="str">
        <f t="shared" si="123"/>
        <v>Patel J</v>
      </c>
      <c r="BV38" s="67">
        <f t="shared" si="124"/>
        <v>28</v>
      </c>
      <c r="BW38" s="64" t="str">
        <f t="shared" si="125"/>
        <v>Patel J</v>
      </c>
      <c r="BX38" s="67">
        <f t="shared" si="126"/>
        <v>4</v>
      </c>
      <c r="BY38" s="64" t="str">
        <f t="shared" si="127"/>
        <v>Patel J</v>
      </c>
      <c r="BZ38" s="64">
        <f t="shared" si="62"/>
        <v>8</v>
      </c>
      <c r="CA38" s="64" t="str">
        <f t="shared" si="63"/>
        <v>Patel J</v>
      </c>
      <c r="CB38" s="64">
        <f t="shared" si="64"/>
        <v>0</v>
      </c>
      <c r="CC38" s="64" t="str">
        <f t="shared" si="65"/>
        <v>Patel J</v>
      </c>
    </row>
    <row r="39" spans="1:81" x14ac:dyDescent="0.15">
      <c r="B39" t="s">
        <v>453</v>
      </c>
      <c r="C39" t="s">
        <v>375</v>
      </c>
      <c r="D39" t="s">
        <v>376</v>
      </c>
      <c r="E39" t="s">
        <v>405</v>
      </c>
      <c r="F39"/>
      <c r="G39"/>
      <c r="H39"/>
      <c r="I39" t="s">
        <v>337</v>
      </c>
      <c r="J39" t="s">
        <v>477</v>
      </c>
      <c r="K39" t="s">
        <v>340</v>
      </c>
      <c r="L39"/>
      <c r="M39" t="s">
        <v>517</v>
      </c>
      <c r="N39" t="s">
        <v>540</v>
      </c>
      <c r="O39" t="s">
        <v>401</v>
      </c>
      <c r="P39" t="s">
        <v>568</v>
      </c>
      <c r="Q39"/>
      <c r="R39"/>
      <c r="S39"/>
      <c r="T39" t="s">
        <v>651</v>
      </c>
      <c r="U39" t="s">
        <v>377</v>
      </c>
      <c r="V39" t="s">
        <v>674</v>
      </c>
      <c r="W39" t="s">
        <v>684</v>
      </c>
      <c r="X39" t="s">
        <v>698</v>
      </c>
      <c r="Y39"/>
      <c r="Z39" s="116"/>
      <c r="AJ39" s="64" t="str">
        <f t="shared" si="31"/>
        <v>Patel M</v>
      </c>
      <c r="AK39" s="64">
        <f t="shared" si="98"/>
        <v>14</v>
      </c>
      <c r="AL39" s="64">
        <f t="shared" si="99"/>
        <v>2</v>
      </c>
      <c r="AM39" s="64">
        <f t="shared" si="100"/>
        <v>12</v>
      </c>
      <c r="AN39" s="64">
        <f t="shared" si="101"/>
        <v>0</v>
      </c>
      <c r="AO39" s="64">
        <f t="shared" si="102"/>
        <v>19</v>
      </c>
      <c r="AP39" s="68">
        <f t="shared" si="103"/>
        <v>19</v>
      </c>
      <c r="AQ39" s="64">
        <f t="shared" si="104"/>
        <v>82</v>
      </c>
      <c r="AR39" s="66">
        <f t="shared" si="105"/>
        <v>6.833333333333333</v>
      </c>
      <c r="AS39" s="64">
        <f t="shared" si="106"/>
        <v>10</v>
      </c>
      <c r="AT39" s="67">
        <f t="array" ref="AT39">SUM(IF(ISERR(FIND("*",D39:AI39)),0,1))</f>
        <v>0</v>
      </c>
      <c r="AU39" s="67">
        <f t="array" ref="AU39">SUM(IF(ISERR(FIND("+",D39:AI39)),0,1))</f>
        <v>0</v>
      </c>
      <c r="AV39" s="64">
        <f t="shared" si="107"/>
        <v>0</v>
      </c>
      <c r="AW39" s="67">
        <f t="array" ref="AW39">SUM(IF(ISERR(FIND(AW$4,$D39:$AI39)),0,1))</f>
        <v>5</v>
      </c>
      <c r="AX39" s="67">
        <f t="array" ref="AX39">SUM(IF(ISERR(FIND(AX$4,$D39:$AI39)),0,1))</f>
        <v>6</v>
      </c>
      <c r="AY39" s="67">
        <f t="array" ref="AY39">SUM(IF(ISERR(FIND(AY$4,$D39:$AI39)),0,1))</f>
        <v>1</v>
      </c>
      <c r="AZ39" s="67">
        <f t="array" ref="AZ39">SUM(IF(ISERR(FIND(AZ$4,$D39:$AI39)),0,1))</f>
        <v>0</v>
      </c>
      <c r="BA39" s="67">
        <f t="array" ref="BA39">SUM(IF(ISERR(FIND(BA$4,$D39:$AI39)),0,1))</f>
        <v>0</v>
      </c>
      <c r="BB39" s="67">
        <f t="array" ref="BB39">SUM(IF(ISERR(FIND(BB$4,$D39:$AI39)),0,1))</f>
        <v>0</v>
      </c>
      <c r="BC39" s="67">
        <f t="array" ref="BC39">SUM(IF(ISERR(FIND(BC$4,$D39:$AI39)),0,1))</f>
        <v>0</v>
      </c>
      <c r="BD39" s="67">
        <f t="shared" si="108"/>
        <v>0</v>
      </c>
      <c r="BE39" s="67">
        <f t="shared" si="109"/>
        <v>0</v>
      </c>
      <c r="BF39" s="67">
        <f t="shared" si="110"/>
        <v>2</v>
      </c>
      <c r="BG39" s="67">
        <f t="shared" si="111"/>
        <v>10</v>
      </c>
      <c r="BH39" s="67">
        <f t="shared" si="112"/>
        <v>1</v>
      </c>
      <c r="BI39" s="67">
        <f t="shared" si="113"/>
        <v>0</v>
      </c>
      <c r="BJ39" s="67">
        <f t="shared" si="114"/>
        <v>0</v>
      </c>
      <c r="BK39" s="67">
        <f t="shared" si="115"/>
        <v>0</v>
      </c>
      <c r="BL39" s="64">
        <f t="shared" si="116"/>
        <v>684214.82038999989</v>
      </c>
      <c r="BM39" s="64">
        <f t="shared" si="86"/>
        <v>24</v>
      </c>
      <c r="BN39" s="64">
        <v>30</v>
      </c>
      <c r="BO39" s="85">
        <f t="shared" si="117"/>
        <v>2.3902439024390243</v>
      </c>
      <c r="BP39" s="93">
        <f t="shared" si="118"/>
        <v>0</v>
      </c>
      <c r="BQ39" s="171">
        <f t="shared" si="119"/>
        <v>2</v>
      </c>
      <c r="BR39" s="64" t="str">
        <f t="shared" si="120"/>
        <v>2</v>
      </c>
      <c r="BS39" s="64" t="str">
        <f t="shared" si="121"/>
        <v>Patel M</v>
      </c>
      <c r="BT39" s="67">
        <f t="shared" si="122"/>
        <v>1</v>
      </c>
      <c r="BU39" s="64" t="str">
        <f t="shared" si="123"/>
        <v>Patel M</v>
      </c>
      <c r="BV39" s="67">
        <f t="shared" si="124"/>
        <v>10</v>
      </c>
      <c r="BW39" s="64" t="str">
        <f t="shared" si="125"/>
        <v>Patel M</v>
      </c>
      <c r="BX39" s="67">
        <f t="shared" si="126"/>
        <v>0</v>
      </c>
      <c r="BY39" s="64" t="str">
        <f t="shared" si="127"/>
        <v/>
      </c>
      <c r="BZ39" s="64">
        <f t="shared" si="62"/>
        <v>14</v>
      </c>
      <c r="CA39" s="64" t="str">
        <f t="shared" si="63"/>
        <v>Patel M</v>
      </c>
      <c r="CB39" s="64">
        <f t="shared" si="64"/>
        <v>0</v>
      </c>
      <c r="CC39" s="64" t="str">
        <f t="shared" si="65"/>
        <v>Patel M</v>
      </c>
    </row>
    <row r="40" spans="1:81" x14ac:dyDescent="0.15">
      <c r="A40" s="64">
        <v>0</v>
      </c>
      <c r="B40" t="s">
        <v>578</v>
      </c>
      <c r="C40" t="s">
        <v>579</v>
      </c>
      <c r="D40"/>
      <c r="E40"/>
      <c r="F40"/>
      <c r="G40"/>
      <c r="H40"/>
      <c r="I40"/>
      <c r="J40"/>
      <c r="K40"/>
      <c r="L40"/>
      <c r="M40"/>
      <c r="N40"/>
      <c r="O40"/>
      <c r="P40" t="s">
        <v>580</v>
      </c>
      <c r="Q40"/>
      <c r="R40"/>
      <c r="S40"/>
      <c r="T40"/>
      <c r="U40"/>
      <c r="V40"/>
      <c r="W40"/>
      <c r="X40"/>
      <c r="Y40"/>
      <c r="Z40" s="116"/>
      <c r="AJ40" s="116" t="str">
        <f t="shared" si="31"/>
        <v>Patel S</v>
      </c>
      <c r="AK40" s="64">
        <f t="shared" si="98"/>
        <v>1</v>
      </c>
      <c r="AL40" s="64">
        <f t="shared" si="99"/>
        <v>0</v>
      </c>
      <c r="AM40" s="64">
        <f t="shared" si="100"/>
        <v>1</v>
      </c>
      <c r="AN40" s="64">
        <f t="shared" si="101"/>
        <v>0</v>
      </c>
      <c r="AO40" s="64">
        <f t="shared" si="102"/>
        <v>9</v>
      </c>
      <c r="AP40" s="68">
        <f t="shared" si="103"/>
        <v>9</v>
      </c>
      <c r="AQ40" s="64">
        <f t="shared" si="104"/>
        <v>9</v>
      </c>
      <c r="AR40" s="66">
        <f t="shared" si="105"/>
        <v>9</v>
      </c>
      <c r="AS40" s="64">
        <f t="shared" si="106"/>
        <v>0</v>
      </c>
      <c r="AT40" s="67">
        <f t="array" ref="AT40">SUM(IF(ISERR(FIND("*",D40:AI40)),0,1))</f>
        <v>0</v>
      </c>
      <c r="AU40" s="67">
        <f t="array" ref="AU40">SUM(IF(ISERR(FIND("+",D40:AI40)),0,1))</f>
        <v>0</v>
      </c>
      <c r="AV40" s="64">
        <f t="shared" si="107"/>
        <v>0</v>
      </c>
      <c r="AW40" s="67">
        <f t="array" ref="AW40">SUM(IF(ISERR(FIND(AW$4,$D40:$AI40)),0,1))</f>
        <v>0</v>
      </c>
      <c r="AX40" s="67">
        <f t="array" ref="AX40">SUM(IF(ISERR(FIND(AX$4,$D40:$AI40)),0,1))</f>
        <v>0</v>
      </c>
      <c r="AY40" s="67">
        <f t="array" ref="AY40">SUM(IF(ISERR(FIND(AY$4,$D40:$AI40)),0,1))</f>
        <v>0</v>
      </c>
      <c r="AZ40" s="67">
        <f t="array" ref="AZ40">SUM(IF(ISERR(FIND(AZ$4,$D40:$AI40)),0,1))</f>
        <v>0</v>
      </c>
      <c r="BA40" s="67">
        <f t="array" ref="BA40">SUM(IF(ISERR(FIND(BA$4,$D40:$AI40)),0,1))</f>
        <v>1</v>
      </c>
      <c r="BB40" s="67">
        <f t="array" ref="BB40">SUM(IF(ISERR(FIND(BB$4,$D40:$AI40)),0,1))</f>
        <v>0</v>
      </c>
      <c r="BC40" s="67">
        <f t="array" ref="BC40">SUM(IF(ISERR(FIND(BC$4,$D40:$AI40)),0,1))</f>
        <v>0</v>
      </c>
      <c r="BD40" s="67">
        <f t="shared" si="108"/>
        <v>0</v>
      </c>
      <c r="BE40" s="67">
        <f t="shared" si="109"/>
        <v>0</v>
      </c>
      <c r="BF40" s="67">
        <f t="shared" si="110"/>
        <v>0</v>
      </c>
      <c r="BG40" s="67">
        <f t="shared" si="111"/>
        <v>1</v>
      </c>
      <c r="BH40" s="67">
        <f t="shared" si="112"/>
        <v>0</v>
      </c>
      <c r="BI40" s="67">
        <f t="shared" si="113"/>
        <v>0</v>
      </c>
      <c r="BJ40" s="67">
        <f t="shared" si="114"/>
        <v>0</v>
      </c>
      <c r="BK40" s="67">
        <f t="shared" si="115"/>
        <v>0</v>
      </c>
      <c r="BL40" s="64">
        <f t="shared" si="116"/>
        <v>900101.09039999999</v>
      </c>
      <c r="BM40" s="64">
        <f t="shared" si="86"/>
        <v>22</v>
      </c>
      <c r="BN40" s="64">
        <v>31</v>
      </c>
      <c r="BO40" s="85" t="str">
        <f t="shared" si="117"/>
        <v/>
      </c>
      <c r="BP40" s="93">
        <f t="shared" si="118"/>
        <v>0</v>
      </c>
      <c r="BQ40" s="171">
        <f t="shared" si="119"/>
        <v>0</v>
      </c>
      <c r="BR40" s="64" t="str">
        <f t="shared" si="120"/>
        <v/>
      </c>
      <c r="BS40" s="64" t="str">
        <f t="shared" si="121"/>
        <v/>
      </c>
      <c r="BT40" s="67">
        <f t="shared" si="122"/>
        <v>0</v>
      </c>
      <c r="BU40" s="64" t="str">
        <f t="shared" si="123"/>
        <v/>
      </c>
      <c r="BV40" s="67">
        <f t="shared" si="124"/>
        <v>1</v>
      </c>
      <c r="BW40" s="64" t="str">
        <f t="shared" si="125"/>
        <v>Patel S</v>
      </c>
      <c r="BX40" s="67">
        <f t="shared" si="126"/>
        <v>0</v>
      </c>
      <c r="BY40" s="64" t="str">
        <f t="shared" si="127"/>
        <v/>
      </c>
      <c r="BZ40" s="64">
        <f t="shared" si="62"/>
        <v>1</v>
      </c>
      <c r="CA40" s="64" t="str">
        <f t="shared" si="63"/>
        <v>Patel S</v>
      </c>
      <c r="CB40" s="64">
        <f t="shared" si="64"/>
        <v>0</v>
      </c>
      <c r="CC40" s="64" t="str">
        <f t="shared" si="65"/>
        <v>Patel S</v>
      </c>
    </row>
    <row r="41" spans="1:81" x14ac:dyDescent="0.15">
      <c r="B41" t="s">
        <v>229</v>
      </c>
      <c r="C41" t="s">
        <v>230</v>
      </c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 s="116"/>
      <c r="AJ41" s="64" t="str">
        <f t="shared" si="31"/>
        <v>Rathi N</v>
      </c>
      <c r="AK41" s="64">
        <f t="shared" si="98"/>
        <v>0</v>
      </c>
      <c r="AL41" s="64">
        <f t="shared" si="99"/>
        <v>0</v>
      </c>
      <c r="AM41" s="64">
        <f t="shared" si="100"/>
        <v>0</v>
      </c>
      <c r="AN41" s="64">
        <f t="shared" si="101"/>
        <v>0</v>
      </c>
      <c r="AO41" s="64">
        <f t="shared" si="102"/>
        <v>0</v>
      </c>
      <c r="AP41" s="68">
        <f t="shared" si="103"/>
        <v>0</v>
      </c>
      <c r="AQ41" s="64">
        <f t="shared" si="104"/>
        <v>0</v>
      </c>
      <c r="AR41" s="66">
        <f t="shared" si="105"/>
        <v>0</v>
      </c>
      <c r="AS41" s="64">
        <f t="shared" si="106"/>
        <v>0</v>
      </c>
      <c r="AT41" s="67">
        <f t="array" ref="AT41">SUM(IF(ISERR(FIND("*",D41:AI41)),0,1))</f>
        <v>0</v>
      </c>
      <c r="AU41" s="67">
        <f t="array" ref="AU41">SUM(IF(ISERR(FIND("+",D41:AI41)),0,1))</f>
        <v>0</v>
      </c>
      <c r="AV41" s="64">
        <f t="shared" si="107"/>
        <v>0</v>
      </c>
      <c r="AW41" s="67">
        <f t="array" ref="AW41">SUM(IF(ISERR(FIND(AW$4,$D41:$AI41)),0,1))</f>
        <v>0</v>
      </c>
      <c r="AX41" s="67">
        <f t="array" ref="AX41">SUM(IF(ISERR(FIND(AX$4,$D41:$AI41)),0,1))</f>
        <v>0</v>
      </c>
      <c r="AY41" s="67">
        <f t="array" ref="AY41">SUM(IF(ISERR(FIND(AY$4,$D41:$AI41)),0,1))</f>
        <v>0</v>
      </c>
      <c r="AZ41" s="67">
        <f t="array" ref="AZ41">SUM(IF(ISERR(FIND(AZ$4,$D41:$AI41)),0,1))</f>
        <v>0</v>
      </c>
      <c r="BA41" s="67">
        <f t="array" ref="BA41">SUM(IF(ISERR(FIND(BA$4,$D41:$AI41)),0,1))</f>
        <v>0</v>
      </c>
      <c r="BB41" s="67">
        <f t="array" ref="BB41">SUM(IF(ISERR(FIND(BB$4,$D41:$AI41)),0,1))</f>
        <v>0</v>
      </c>
      <c r="BC41" s="67">
        <f t="array" ref="BC41">SUM(IF(ISERR(FIND(BC$4,$D41:$AI41)),0,1))</f>
        <v>0</v>
      </c>
      <c r="BD41" s="67">
        <f t="shared" si="108"/>
        <v>0</v>
      </c>
      <c r="BE41" s="67">
        <f t="shared" si="109"/>
        <v>0</v>
      </c>
      <c r="BF41" s="67">
        <f t="shared" si="110"/>
        <v>0</v>
      </c>
      <c r="BG41" s="67">
        <f t="shared" si="111"/>
        <v>0</v>
      </c>
      <c r="BH41" s="67">
        <f t="shared" si="112"/>
        <v>0</v>
      </c>
      <c r="BI41" s="67">
        <f t="shared" si="113"/>
        <v>0</v>
      </c>
      <c r="BJ41" s="67">
        <f t="shared" si="114"/>
        <v>0</v>
      </c>
      <c r="BK41" s="67">
        <f t="shared" si="115"/>
        <v>0</v>
      </c>
      <c r="BL41" s="64">
        <f t="shared" si="116"/>
        <v>4.0999999999999999E-4</v>
      </c>
      <c r="BM41" s="64">
        <f t="shared" si="86"/>
        <v>50</v>
      </c>
      <c r="BN41" s="64">
        <v>32</v>
      </c>
      <c r="BO41" s="85" t="str">
        <f t="shared" si="117"/>
        <v/>
      </c>
      <c r="BP41" s="93" t="e">
        <f t="shared" si="118"/>
        <v>#DIV/0!</v>
      </c>
      <c r="BQ41" s="171">
        <f t="shared" si="119"/>
        <v>0</v>
      </c>
      <c r="BR41" s="64" t="str">
        <f t="shared" si="120"/>
        <v/>
      </c>
      <c r="BS41" s="64" t="str">
        <f t="shared" si="121"/>
        <v/>
      </c>
      <c r="BT41" s="67">
        <f t="shared" si="122"/>
        <v>0</v>
      </c>
      <c r="BU41" s="64" t="str">
        <f t="shared" si="123"/>
        <v/>
      </c>
      <c r="BV41" s="67">
        <f t="shared" si="124"/>
        <v>0</v>
      </c>
      <c r="BW41" s="64" t="str">
        <f t="shared" si="125"/>
        <v/>
      </c>
      <c r="BX41" s="67">
        <f t="shared" si="126"/>
        <v>0</v>
      </c>
      <c r="BY41" s="64" t="str">
        <f t="shared" si="127"/>
        <v/>
      </c>
      <c r="BZ41" s="64">
        <f t="shared" si="62"/>
        <v>0</v>
      </c>
      <c r="CA41" s="64" t="str">
        <f t="shared" si="63"/>
        <v>Rathi N</v>
      </c>
      <c r="CB41" s="64">
        <f t="shared" si="64"/>
        <v>0</v>
      </c>
      <c r="CC41" s="64" t="str">
        <f t="shared" si="65"/>
        <v>Rathi N</v>
      </c>
    </row>
    <row r="42" spans="1:81" x14ac:dyDescent="0.15">
      <c r="B42"/>
      <c r="C42" t="s">
        <v>303</v>
      </c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 s="116"/>
      <c r="AJ42" s="64" t="str">
        <f t="shared" si="31"/>
        <v>Roland ???</v>
      </c>
      <c r="AK42" s="64">
        <f t="shared" si="98"/>
        <v>0</v>
      </c>
      <c r="AL42" s="64">
        <f t="shared" si="99"/>
        <v>0</v>
      </c>
      <c r="AM42" s="64">
        <f t="shared" si="100"/>
        <v>0</v>
      </c>
      <c r="AN42" s="64">
        <f t="shared" si="101"/>
        <v>0</v>
      </c>
      <c r="AO42" s="64">
        <f t="shared" si="102"/>
        <v>0</v>
      </c>
      <c r="AP42" s="68">
        <f t="shared" si="103"/>
        <v>0</v>
      </c>
      <c r="AQ42" s="64">
        <f t="shared" si="104"/>
        <v>0</v>
      </c>
      <c r="AR42" s="66">
        <f t="shared" si="105"/>
        <v>0</v>
      </c>
      <c r="AS42" s="64">
        <f t="shared" si="106"/>
        <v>0</v>
      </c>
      <c r="AT42" s="67">
        <f t="array" ref="AT42">SUM(IF(ISERR(FIND("*",D42:AI42)),0,1))</f>
        <v>0</v>
      </c>
      <c r="AU42" s="67">
        <f t="array" ref="AU42">SUM(IF(ISERR(FIND("+",D42:AI42)),0,1))</f>
        <v>0</v>
      </c>
      <c r="AV42" s="64">
        <f t="shared" si="107"/>
        <v>0</v>
      </c>
      <c r="AW42" s="67">
        <f t="array" ref="AW42">SUM(IF(ISERR(FIND(AW$4,$D42:$AI42)),0,1))</f>
        <v>0</v>
      </c>
      <c r="AX42" s="67">
        <f t="array" ref="AX42">SUM(IF(ISERR(FIND(AX$4,$D42:$AI42)),0,1))</f>
        <v>0</v>
      </c>
      <c r="AY42" s="67">
        <f t="array" ref="AY42">SUM(IF(ISERR(FIND(AY$4,$D42:$AI42)),0,1))</f>
        <v>0</v>
      </c>
      <c r="AZ42" s="67">
        <f t="array" ref="AZ42">SUM(IF(ISERR(FIND(AZ$4,$D42:$AI42)),0,1))</f>
        <v>0</v>
      </c>
      <c r="BA42" s="67">
        <f t="array" ref="BA42">SUM(IF(ISERR(FIND(BA$4,$D42:$AI42)),0,1))</f>
        <v>0</v>
      </c>
      <c r="BB42" s="67">
        <f t="array" ref="BB42">SUM(IF(ISERR(FIND(BB$4,$D42:$AI42)),0,1))</f>
        <v>0</v>
      </c>
      <c r="BC42" s="67">
        <f t="array" ref="BC42">SUM(IF(ISERR(FIND(BC$4,$D42:$AI42)),0,1))</f>
        <v>0</v>
      </c>
      <c r="BD42" s="67">
        <f t="shared" si="108"/>
        <v>0</v>
      </c>
      <c r="BE42" s="67">
        <f t="shared" si="109"/>
        <v>0</v>
      </c>
      <c r="BF42" s="67">
        <f t="shared" si="110"/>
        <v>0</v>
      </c>
      <c r="BG42" s="67">
        <f t="shared" si="111"/>
        <v>0</v>
      </c>
      <c r="BH42" s="67">
        <f t="shared" si="112"/>
        <v>0</v>
      </c>
      <c r="BI42" s="67">
        <f t="shared" si="113"/>
        <v>0</v>
      </c>
      <c r="BJ42" s="67">
        <f t="shared" si="114"/>
        <v>0</v>
      </c>
      <c r="BK42" s="67">
        <f t="shared" si="115"/>
        <v>0</v>
      </c>
      <c r="BL42" s="64">
        <f t="shared" si="116"/>
        <v>4.2000000000000002E-4</v>
      </c>
      <c r="BM42" s="64">
        <f t="shared" si="86"/>
        <v>49</v>
      </c>
      <c r="BN42" s="64">
        <v>33</v>
      </c>
      <c r="BO42" s="85" t="str">
        <f t="shared" si="117"/>
        <v/>
      </c>
      <c r="BP42" s="93" t="e">
        <f t="shared" si="118"/>
        <v>#DIV/0!</v>
      </c>
      <c r="BQ42" s="171">
        <f t="shared" si="119"/>
        <v>0</v>
      </c>
      <c r="BR42" s="64" t="str">
        <f t="shared" si="120"/>
        <v/>
      </c>
      <c r="BS42" s="64" t="str">
        <f t="shared" si="121"/>
        <v/>
      </c>
      <c r="BT42" s="67">
        <f t="shared" si="122"/>
        <v>0</v>
      </c>
      <c r="BU42" s="64" t="str">
        <f t="shared" si="123"/>
        <v/>
      </c>
      <c r="BV42" s="67">
        <f t="shared" si="124"/>
        <v>0</v>
      </c>
      <c r="BW42" s="64" t="str">
        <f t="shared" si="125"/>
        <v/>
      </c>
      <c r="BX42" s="67">
        <f t="shared" si="126"/>
        <v>0</v>
      </c>
      <c r="BY42" s="64" t="str">
        <f t="shared" si="127"/>
        <v/>
      </c>
      <c r="BZ42" s="64">
        <f t="shared" si="62"/>
        <v>0</v>
      </c>
      <c r="CA42" s="64" t="str">
        <f t="shared" si="63"/>
        <v>Roland ???</v>
      </c>
      <c r="CB42" s="64">
        <f t="shared" si="64"/>
        <v>0</v>
      </c>
      <c r="CC42" s="64" t="str">
        <f t="shared" si="65"/>
        <v>Roland ???</v>
      </c>
    </row>
    <row r="43" spans="1:81" x14ac:dyDescent="0.15">
      <c r="B43" t="s">
        <v>541</v>
      </c>
      <c r="C43" t="s">
        <v>542</v>
      </c>
      <c r="D43"/>
      <c r="E43"/>
      <c r="F43"/>
      <c r="G43"/>
      <c r="H43"/>
      <c r="I43"/>
      <c r="J43"/>
      <c r="K43"/>
      <c r="L43"/>
      <c r="M43"/>
      <c r="N43" t="s">
        <v>309</v>
      </c>
      <c r="O43"/>
      <c r="P43"/>
      <c r="Q43"/>
      <c r="R43"/>
      <c r="S43"/>
      <c r="T43"/>
      <c r="U43"/>
      <c r="V43"/>
      <c r="W43"/>
      <c r="X43"/>
      <c r="Y43"/>
      <c r="Z43" s="116"/>
      <c r="AJ43" s="116" t="str">
        <f t="shared" si="31"/>
        <v>Roy A</v>
      </c>
      <c r="AK43" s="64">
        <f t="shared" si="98"/>
        <v>1</v>
      </c>
      <c r="AL43" s="64">
        <f t="shared" si="99"/>
        <v>1</v>
      </c>
      <c r="AM43" s="64">
        <f t="shared" si="100"/>
        <v>0</v>
      </c>
      <c r="AN43" s="64">
        <f t="shared" si="101"/>
        <v>0</v>
      </c>
      <c r="AO43" s="64">
        <f t="shared" si="102"/>
        <v>0</v>
      </c>
      <c r="AP43" s="68">
        <f t="shared" si="103"/>
        <v>0</v>
      </c>
      <c r="AQ43" s="64">
        <f t="shared" si="104"/>
        <v>0</v>
      </c>
      <c r="AR43" s="66">
        <f t="shared" si="105"/>
        <v>0</v>
      </c>
      <c r="AS43" s="64">
        <f t="shared" si="106"/>
        <v>0</v>
      </c>
      <c r="AT43" s="67">
        <f t="array" ref="AT43">SUM(IF(ISERR(FIND("*",D43:AI43)),0,1))</f>
        <v>0</v>
      </c>
      <c r="AU43" s="67">
        <f t="array" ref="AU43">SUM(IF(ISERR(FIND("+",D43:AI43)),0,1))</f>
        <v>0</v>
      </c>
      <c r="AV43" s="64">
        <f t="shared" si="107"/>
        <v>0</v>
      </c>
      <c r="AW43" s="67">
        <f t="array" ref="AW43">SUM(IF(ISERR(FIND(AW$4,$D43:$AI43)),0,1))</f>
        <v>0</v>
      </c>
      <c r="AX43" s="67">
        <f t="array" ref="AX43">SUM(IF(ISERR(FIND(AX$4,$D43:$AI43)),0,1))</f>
        <v>0</v>
      </c>
      <c r="AY43" s="67">
        <f t="array" ref="AY43">SUM(IF(ISERR(FIND(AY$4,$D43:$AI43)),0,1))</f>
        <v>0</v>
      </c>
      <c r="AZ43" s="67">
        <f t="array" ref="AZ43">SUM(IF(ISERR(FIND(AZ$4,$D43:$AI43)),0,1))</f>
        <v>0</v>
      </c>
      <c r="BA43" s="67">
        <f t="array" ref="BA43">SUM(IF(ISERR(FIND(BA$4,$D43:$AI43)),0,1))</f>
        <v>0</v>
      </c>
      <c r="BB43" s="67">
        <f t="array" ref="BB43">SUM(IF(ISERR(FIND(BB$4,$D43:$AI43)),0,1))</f>
        <v>0</v>
      </c>
      <c r="BC43" s="67">
        <f t="array" ref="BC43">SUM(IF(ISERR(FIND(BC$4,$D43:$AI43)),0,1))</f>
        <v>0</v>
      </c>
      <c r="BD43" s="67">
        <f t="shared" si="108"/>
        <v>0</v>
      </c>
      <c r="BE43" s="67">
        <f t="shared" si="109"/>
        <v>0</v>
      </c>
      <c r="BF43" s="67">
        <f t="shared" si="110"/>
        <v>0</v>
      </c>
      <c r="BG43" s="67">
        <f t="shared" si="111"/>
        <v>0</v>
      </c>
      <c r="BH43" s="67">
        <f t="shared" si="112"/>
        <v>0</v>
      </c>
      <c r="BI43" s="67">
        <f t="shared" si="113"/>
        <v>0</v>
      </c>
      <c r="BJ43" s="67">
        <f t="shared" si="114"/>
        <v>0</v>
      </c>
      <c r="BK43" s="67">
        <f t="shared" si="115"/>
        <v>0</v>
      </c>
      <c r="BL43" s="64">
        <f t="shared" si="116"/>
        <v>1.0004299999999999</v>
      </c>
      <c r="BM43" s="64">
        <f t="shared" si="86"/>
        <v>38</v>
      </c>
      <c r="BN43" s="64">
        <v>34</v>
      </c>
      <c r="BO43" s="85" t="str">
        <f t="shared" si="117"/>
        <v/>
      </c>
      <c r="BP43" s="93" t="e">
        <f t="shared" si="118"/>
        <v>#DIV/0!</v>
      </c>
      <c r="BQ43" s="171">
        <f t="shared" si="119"/>
        <v>0</v>
      </c>
      <c r="BR43" s="64" t="str">
        <f t="shared" si="120"/>
        <v/>
      </c>
      <c r="BS43" s="64" t="str">
        <f t="shared" si="121"/>
        <v/>
      </c>
      <c r="BT43" s="67">
        <f t="shared" si="122"/>
        <v>0</v>
      </c>
      <c r="BU43" s="64" t="str">
        <f t="shared" si="123"/>
        <v/>
      </c>
      <c r="BV43" s="67">
        <f t="shared" si="124"/>
        <v>0</v>
      </c>
      <c r="BW43" s="64" t="str">
        <f t="shared" si="125"/>
        <v/>
      </c>
      <c r="BX43" s="67">
        <f t="shared" si="126"/>
        <v>0</v>
      </c>
      <c r="BY43" s="64" t="str">
        <f t="shared" si="127"/>
        <v/>
      </c>
      <c r="BZ43" s="64">
        <f t="shared" si="62"/>
        <v>1</v>
      </c>
      <c r="CA43" s="64" t="str">
        <f t="shared" si="63"/>
        <v>Roy A</v>
      </c>
      <c r="CB43" s="64">
        <f t="shared" si="64"/>
        <v>0</v>
      </c>
      <c r="CC43" s="64" t="str">
        <f t="shared" si="65"/>
        <v>Roy A</v>
      </c>
    </row>
    <row r="44" spans="1:81" x14ac:dyDescent="0.15">
      <c r="B44" t="s">
        <v>250</v>
      </c>
      <c r="C44" t="s">
        <v>314</v>
      </c>
      <c r="D44"/>
      <c r="E44"/>
      <c r="F44" t="s">
        <v>306</v>
      </c>
      <c r="G44"/>
      <c r="H44"/>
      <c r="I44"/>
      <c r="J44"/>
      <c r="K44"/>
      <c r="L44" t="s">
        <v>310</v>
      </c>
      <c r="M44"/>
      <c r="N44"/>
      <c r="O44" t="s">
        <v>560</v>
      </c>
      <c r="P44"/>
      <c r="Q44"/>
      <c r="R44" t="s">
        <v>312</v>
      </c>
      <c r="S44"/>
      <c r="T44" t="s">
        <v>655</v>
      </c>
      <c r="U44" t="s">
        <v>668</v>
      </c>
      <c r="V44" t="s">
        <v>669</v>
      </c>
      <c r="W44"/>
      <c r="X44" t="s">
        <v>595</v>
      </c>
      <c r="Y44"/>
      <c r="Z44" s="116"/>
      <c r="AJ44" s="64" t="str">
        <f t="shared" si="31"/>
        <v>Rugg D</v>
      </c>
      <c r="AK44" s="64">
        <f t="shared" si="98"/>
        <v>8</v>
      </c>
      <c r="AL44" s="64">
        <f t="shared" si="99"/>
        <v>4</v>
      </c>
      <c r="AM44" s="64">
        <f t="shared" si="100"/>
        <v>4</v>
      </c>
      <c r="AN44" s="64">
        <f t="shared" si="101"/>
        <v>1</v>
      </c>
      <c r="AO44" s="64">
        <f t="shared" si="102"/>
        <v>8</v>
      </c>
      <c r="AP44" s="68">
        <f t="shared" si="103"/>
        <v>8</v>
      </c>
      <c r="AQ44" s="64">
        <f t="shared" si="104"/>
        <v>9</v>
      </c>
      <c r="AR44" s="66">
        <f t="shared" si="105"/>
        <v>3</v>
      </c>
      <c r="AS44" s="64">
        <f t="shared" si="106"/>
        <v>10</v>
      </c>
      <c r="AT44" s="67">
        <f t="array" ref="AT44">SUM(IF(ISERR(FIND("*",D44:AI44)),0,1))</f>
        <v>0</v>
      </c>
      <c r="AU44" s="67">
        <f t="array" ref="AU44">SUM(IF(ISERR(FIND("+",D44:AI44)),0,1))</f>
        <v>0</v>
      </c>
      <c r="AV44" s="64">
        <f t="shared" si="107"/>
        <v>1</v>
      </c>
      <c r="AW44" s="67">
        <f t="array" ref="AW44">SUM(IF(ISERR(FIND(AW$4,$D44:$AI44)),0,1))</f>
        <v>2</v>
      </c>
      <c r="AX44" s="67">
        <f t="array" ref="AX44">SUM(IF(ISERR(FIND(AX$4,$D44:$AI44)),0,1))</f>
        <v>0</v>
      </c>
      <c r="AY44" s="67">
        <f t="array" ref="AY44">SUM(IF(ISERR(FIND(AY$4,$D44:$AI44)),0,1))</f>
        <v>1</v>
      </c>
      <c r="AZ44" s="67">
        <f t="array" ref="AZ44">SUM(IF(ISERR(FIND(AZ$4,$D44:$AI44)),0,1))</f>
        <v>0</v>
      </c>
      <c r="BA44" s="67">
        <f t="array" ref="BA44">SUM(IF(ISERR(FIND(BA$4,$D44:$AI44)),0,1))</f>
        <v>0</v>
      </c>
      <c r="BB44" s="67">
        <f t="array" ref="BB44">SUM(IF(ISERR(FIND(BB$4,$D44:$AI44)),0,1))</f>
        <v>0</v>
      </c>
      <c r="BC44" s="67">
        <f t="array" ref="BC44">SUM(IF(ISERR(FIND(BC$4,$D44:$AI44)),0,1))</f>
        <v>0</v>
      </c>
      <c r="BD44" s="67">
        <f t="shared" si="108"/>
        <v>0</v>
      </c>
      <c r="BE44" s="67">
        <f t="shared" si="109"/>
        <v>0</v>
      </c>
      <c r="BF44" s="67">
        <f t="shared" si="110"/>
        <v>2</v>
      </c>
      <c r="BG44" s="67">
        <f t="shared" si="111"/>
        <v>2</v>
      </c>
      <c r="BH44" s="67">
        <f t="shared" si="112"/>
        <v>0</v>
      </c>
      <c r="BI44" s="67">
        <f t="shared" si="113"/>
        <v>0</v>
      </c>
      <c r="BJ44" s="67">
        <f t="shared" si="114"/>
        <v>0</v>
      </c>
      <c r="BK44" s="67">
        <f t="shared" si="115"/>
        <v>0</v>
      </c>
      <c r="BL44" s="64">
        <f t="shared" si="116"/>
        <v>300408.09044</v>
      </c>
      <c r="BM44" s="64">
        <f t="shared" si="86"/>
        <v>31</v>
      </c>
      <c r="BN44" s="64">
        <v>35</v>
      </c>
      <c r="BO44" s="85" t="str">
        <f t="shared" si="117"/>
        <v/>
      </c>
      <c r="BP44" s="93">
        <f t="shared" si="118"/>
        <v>0.33333333333333331</v>
      </c>
      <c r="BQ44" s="171">
        <f t="shared" si="119"/>
        <v>2</v>
      </c>
      <c r="BR44" s="64" t="str">
        <f t="shared" si="120"/>
        <v>2</v>
      </c>
      <c r="BS44" s="64" t="str">
        <f t="shared" si="121"/>
        <v>Rugg D</v>
      </c>
      <c r="BT44" s="67">
        <f t="shared" si="122"/>
        <v>0</v>
      </c>
      <c r="BU44" s="64" t="str">
        <f t="shared" si="123"/>
        <v/>
      </c>
      <c r="BV44" s="67">
        <f t="shared" si="124"/>
        <v>2</v>
      </c>
      <c r="BW44" s="64" t="str">
        <f t="shared" si="125"/>
        <v>Rugg D</v>
      </c>
      <c r="BX44" s="67">
        <f t="shared" si="126"/>
        <v>0</v>
      </c>
      <c r="BY44" s="64" t="str">
        <f t="shared" si="127"/>
        <v/>
      </c>
      <c r="BZ44" s="64">
        <f t="shared" si="62"/>
        <v>8</v>
      </c>
      <c r="CA44" s="64" t="str">
        <f t="shared" si="63"/>
        <v>Rugg D</v>
      </c>
      <c r="CB44" s="64">
        <f t="shared" si="64"/>
        <v>1</v>
      </c>
      <c r="CC44" s="64" t="str">
        <f t="shared" si="65"/>
        <v>Rugg D</v>
      </c>
    </row>
    <row r="45" spans="1:81" x14ac:dyDescent="0.15">
      <c r="B45" s="116" t="s">
        <v>253</v>
      </c>
      <c r="C45" s="116" t="s">
        <v>254</v>
      </c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J45" s="64" t="str">
        <f t="shared" si="31"/>
        <v>Seev J</v>
      </c>
      <c r="AK45" s="64">
        <f t="shared" si="98"/>
        <v>0</v>
      </c>
      <c r="AL45" s="64">
        <f t="shared" si="99"/>
        <v>0</v>
      </c>
      <c r="AM45" s="64">
        <f t="shared" si="100"/>
        <v>0</v>
      </c>
      <c r="AN45" s="64">
        <f t="shared" si="101"/>
        <v>0</v>
      </c>
      <c r="AO45" s="64">
        <f t="shared" si="102"/>
        <v>0</v>
      </c>
      <c r="AP45" s="68">
        <f t="shared" si="103"/>
        <v>0</v>
      </c>
      <c r="AQ45" s="64">
        <f t="shared" si="104"/>
        <v>0</v>
      </c>
      <c r="AR45" s="66">
        <f t="shared" si="105"/>
        <v>0</v>
      </c>
      <c r="AS45" s="64">
        <f t="shared" si="106"/>
        <v>0</v>
      </c>
      <c r="AT45" s="67">
        <f t="array" ref="AT45">SUM(IF(ISERR(FIND("*",D45:AI45)),0,1))</f>
        <v>0</v>
      </c>
      <c r="AU45" s="67">
        <f t="array" ref="AU45">SUM(IF(ISERR(FIND("+",D45:AI45)),0,1))</f>
        <v>0</v>
      </c>
      <c r="AV45" s="64">
        <f t="shared" si="107"/>
        <v>0</v>
      </c>
      <c r="AW45" s="67">
        <f t="array" ref="AW45">SUM(IF(ISERR(FIND(AW$4,$D45:$AI45)),0,1))</f>
        <v>0</v>
      </c>
      <c r="AX45" s="67">
        <f t="array" ref="AX45">SUM(IF(ISERR(FIND(AX$4,$D45:$AI45)),0,1))</f>
        <v>0</v>
      </c>
      <c r="AY45" s="67">
        <f t="array" ref="AY45">SUM(IF(ISERR(FIND(AY$4,$D45:$AI45)),0,1))</f>
        <v>0</v>
      </c>
      <c r="AZ45" s="67">
        <f t="array" ref="AZ45">SUM(IF(ISERR(FIND(AZ$4,$D45:$AI45)),0,1))</f>
        <v>0</v>
      </c>
      <c r="BA45" s="67">
        <f t="array" ref="BA45">SUM(IF(ISERR(FIND(BA$4,$D45:$AI45)),0,1))</f>
        <v>0</v>
      </c>
      <c r="BB45" s="67">
        <f t="array" ref="BB45">SUM(IF(ISERR(FIND(BB$4,$D45:$AI45)),0,1))</f>
        <v>0</v>
      </c>
      <c r="BC45" s="67">
        <f t="array" ref="BC45">SUM(IF(ISERR(FIND(BC$4,$D45:$AI45)),0,1))</f>
        <v>0</v>
      </c>
      <c r="BD45" s="67">
        <f t="shared" si="108"/>
        <v>0</v>
      </c>
      <c r="BE45" s="67">
        <f t="shared" si="109"/>
        <v>0</v>
      </c>
      <c r="BF45" s="67">
        <f t="shared" si="110"/>
        <v>0</v>
      </c>
      <c r="BG45" s="67">
        <f t="shared" si="111"/>
        <v>0</v>
      </c>
      <c r="BH45" s="67">
        <f t="shared" si="112"/>
        <v>0</v>
      </c>
      <c r="BI45" s="67">
        <f t="shared" si="113"/>
        <v>0</v>
      </c>
      <c r="BJ45" s="67">
        <f t="shared" si="114"/>
        <v>0</v>
      </c>
      <c r="BK45" s="67">
        <f t="shared" si="115"/>
        <v>0</v>
      </c>
      <c r="BL45" s="64">
        <f t="shared" si="116"/>
        <v>4.4999999999999999E-4</v>
      </c>
      <c r="BM45" s="64">
        <f t="shared" si="86"/>
        <v>48</v>
      </c>
      <c r="BN45" s="64">
        <v>36</v>
      </c>
      <c r="BO45" s="85" t="str">
        <f t="shared" si="117"/>
        <v/>
      </c>
      <c r="BP45" s="93" t="e">
        <f t="shared" si="118"/>
        <v>#DIV/0!</v>
      </c>
      <c r="BQ45" s="171">
        <f t="shared" si="119"/>
        <v>0</v>
      </c>
      <c r="BR45" s="64" t="str">
        <f t="shared" si="120"/>
        <v/>
      </c>
      <c r="BS45" s="64" t="str">
        <f t="shared" si="121"/>
        <v/>
      </c>
      <c r="BT45" s="67">
        <f t="shared" si="122"/>
        <v>0</v>
      </c>
      <c r="BU45" s="64" t="str">
        <f t="shared" si="123"/>
        <v/>
      </c>
      <c r="BV45" s="67">
        <f t="shared" si="124"/>
        <v>0</v>
      </c>
      <c r="BW45" s="64" t="str">
        <f t="shared" si="125"/>
        <v/>
      </c>
      <c r="BX45" s="67">
        <f t="shared" si="126"/>
        <v>0</v>
      </c>
      <c r="BY45" s="64" t="str">
        <f t="shared" si="127"/>
        <v/>
      </c>
      <c r="BZ45" s="64">
        <f t="shared" si="62"/>
        <v>0</v>
      </c>
      <c r="CA45" s="64" t="str">
        <f t="shared" si="63"/>
        <v>Seev J</v>
      </c>
      <c r="CB45" s="64">
        <f t="shared" si="64"/>
        <v>0</v>
      </c>
      <c r="CC45" s="64" t="str">
        <f t="shared" si="65"/>
        <v>Seev J</v>
      </c>
    </row>
    <row r="46" spans="1:81" x14ac:dyDescent="0.15">
      <c r="B46" s="116" t="s">
        <v>294</v>
      </c>
      <c r="C46" s="116" t="s">
        <v>296</v>
      </c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J46" s="64" t="str">
        <f t="shared" si="31"/>
        <v>Sajjid A</v>
      </c>
      <c r="AK46" s="64">
        <f t="shared" si="98"/>
        <v>0</v>
      </c>
      <c r="AL46" s="64">
        <f t="shared" si="99"/>
        <v>0</v>
      </c>
      <c r="AM46" s="64">
        <f t="shared" si="100"/>
        <v>0</v>
      </c>
      <c r="AN46" s="64">
        <f t="shared" si="101"/>
        <v>0</v>
      </c>
      <c r="AO46" s="64">
        <f t="shared" si="102"/>
        <v>0</v>
      </c>
      <c r="AP46" s="68">
        <f t="shared" si="103"/>
        <v>0</v>
      </c>
      <c r="AQ46" s="64">
        <f t="shared" si="104"/>
        <v>0</v>
      </c>
      <c r="AR46" s="66">
        <f t="shared" si="105"/>
        <v>0</v>
      </c>
      <c r="AS46" s="64">
        <f t="shared" si="106"/>
        <v>0</v>
      </c>
      <c r="AT46" s="67">
        <f t="array" ref="AT46">SUM(IF(ISERR(FIND("*",D46:AI46)),0,1))</f>
        <v>0</v>
      </c>
      <c r="AU46" s="67">
        <f t="array" ref="AU46">SUM(IF(ISERR(FIND("+",D46:AI46)),0,1))</f>
        <v>0</v>
      </c>
      <c r="AV46" s="64">
        <f t="shared" si="107"/>
        <v>0</v>
      </c>
      <c r="AW46" s="67">
        <f t="array" ref="AW46">SUM(IF(ISERR(FIND(AW$4,$D46:$AI46)),0,1))</f>
        <v>0</v>
      </c>
      <c r="AX46" s="67">
        <f t="array" ref="AX46">SUM(IF(ISERR(FIND(AX$4,$D46:$AI46)),0,1))</f>
        <v>0</v>
      </c>
      <c r="AY46" s="67">
        <f t="array" ref="AY46">SUM(IF(ISERR(FIND(AY$4,$D46:$AI46)),0,1))</f>
        <v>0</v>
      </c>
      <c r="AZ46" s="67">
        <f t="array" ref="AZ46">SUM(IF(ISERR(FIND(AZ$4,$D46:$AI46)),0,1))</f>
        <v>0</v>
      </c>
      <c r="BA46" s="67">
        <f t="array" ref="BA46">SUM(IF(ISERR(FIND(BA$4,$D46:$AI46)),0,1))</f>
        <v>0</v>
      </c>
      <c r="BB46" s="67">
        <f t="array" ref="BB46">SUM(IF(ISERR(FIND(BB$4,$D46:$AI46)),0,1))</f>
        <v>0</v>
      </c>
      <c r="BC46" s="67">
        <f t="array" ref="BC46">SUM(IF(ISERR(FIND(BC$4,$D46:$AI46)),0,1))</f>
        <v>0</v>
      </c>
      <c r="BD46" s="67">
        <f t="shared" si="108"/>
        <v>0</v>
      </c>
      <c r="BE46" s="67">
        <f t="shared" si="109"/>
        <v>0</v>
      </c>
      <c r="BF46" s="67">
        <f t="shared" si="110"/>
        <v>0</v>
      </c>
      <c r="BG46" s="67">
        <f t="shared" si="111"/>
        <v>0</v>
      </c>
      <c r="BH46" s="67">
        <f t="shared" si="112"/>
        <v>0</v>
      </c>
      <c r="BI46" s="67">
        <f t="shared" si="113"/>
        <v>0</v>
      </c>
      <c r="BJ46" s="67">
        <f t="shared" si="114"/>
        <v>0</v>
      </c>
      <c r="BK46" s="67">
        <f t="shared" si="115"/>
        <v>0</v>
      </c>
      <c r="BL46" s="64">
        <f t="shared" si="116"/>
        <v>4.6000000000000001E-4</v>
      </c>
      <c r="BM46" s="64">
        <f t="shared" si="86"/>
        <v>47</v>
      </c>
      <c r="BN46" s="64">
        <v>37</v>
      </c>
      <c r="BO46" s="85" t="str">
        <f t="shared" si="117"/>
        <v/>
      </c>
      <c r="BP46" s="93" t="e">
        <f t="shared" si="118"/>
        <v>#DIV/0!</v>
      </c>
      <c r="BQ46" s="171">
        <f t="shared" si="119"/>
        <v>0</v>
      </c>
      <c r="BR46" s="64" t="str">
        <f t="shared" si="120"/>
        <v/>
      </c>
      <c r="BS46" s="64" t="str">
        <f t="shared" si="121"/>
        <v/>
      </c>
      <c r="BT46" s="67">
        <f t="shared" si="122"/>
        <v>0</v>
      </c>
      <c r="BU46" s="64" t="str">
        <f t="shared" si="123"/>
        <v/>
      </c>
      <c r="BV46" s="67">
        <f t="shared" si="124"/>
        <v>0</v>
      </c>
      <c r="BW46" s="64" t="str">
        <f t="shared" si="125"/>
        <v/>
      </c>
      <c r="BX46" s="67">
        <f t="shared" si="126"/>
        <v>0</v>
      </c>
      <c r="BY46" s="64" t="str">
        <f t="shared" si="127"/>
        <v/>
      </c>
      <c r="BZ46" s="64">
        <f t="shared" si="62"/>
        <v>0</v>
      </c>
      <c r="CA46" s="64" t="str">
        <f t="shared" si="63"/>
        <v>Sajjid A</v>
      </c>
      <c r="CB46" s="64">
        <f t="shared" si="64"/>
        <v>0</v>
      </c>
      <c r="CC46" s="64" t="str">
        <f t="shared" si="65"/>
        <v>Sajjid A</v>
      </c>
    </row>
    <row r="47" spans="1:81" x14ac:dyDescent="0.15">
      <c r="B47" s="116" t="s">
        <v>295</v>
      </c>
      <c r="C47" s="116" t="s">
        <v>297</v>
      </c>
      <c r="D47"/>
      <c r="E47"/>
      <c r="F47" t="s">
        <v>417</v>
      </c>
      <c r="G47"/>
      <c r="H47" t="s">
        <v>322</v>
      </c>
      <c r="I47"/>
      <c r="J47"/>
      <c r="K47" t="s">
        <v>417</v>
      </c>
      <c r="L47"/>
      <c r="M47" t="s">
        <v>523</v>
      </c>
      <c r="N47"/>
      <c r="O47" t="s">
        <v>311</v>
      </c>
      <c r="P47"/>
      <c r="Q47" t="s">
        <v>595</v>
      </c>
      <c r="R47"/>
      <c r="S47" t="s">
        <v>635</v>
      </c>
      <c r="T47" t="s">
        <v>654</v>
      </c>
      <c r="U47"/>
      <c r="V47" t="s">
        <v>523</v>
      </c>
      <c r="W47" t="s">
        <v>702</v>
      </c>
      <c r="X47"/>
      <c r="Y47"/>
      <c r="Z47"/>
      <c r="AJ47" s="64" t="str">
        <f t="shared" si="31"/>
        <v>Sajjid K</v>
      </c>
      <c r="AK47" s="64">
        <f t="shared" si="98"/>
        <v>10</v>
      </c>
      <c r="AL47" s="64">
        <f t="shared" si="99"/>
        <v>1</v>
      </c>
      <c r="AM47" s="64">
        <f t="shared" si="100"/>
        <v>9</v>
      </c>
      <c r="AN47" s="64">
        <f t="shared" si="101"/>
        <v>6</v>
      </c>
      <c r="AO47" s="64">
        <f t="shared" si="102"/>
        <v>-6</v>
      </c>
      <c r="AP47" s="68" t="str">
        <f t="shared" si="103"/>
        <v>6*</v>
      </c>
      <c r="AQ47" s="64">
        <f t="shared" si="104"/>
        <v>16</v>
      </c>
      <c r="AR47" s="66">
        <f t="shared" si="105"/>
        <v>5.333333333333333</v>
      </c>
      <c r="AS47" s="64">
        <f t="shared" si="106"/>
        <v>0</v>
      </c>
      <c r="AT47" s="67">
        <f t="array" ref="AT47">SUM(IF(ISERR(FIND("*",D47:AI47)),0,1))</f>
        <v>0</v>
      </c>
      <c r="AU47" s="67">
        <f t="array" ref="AU47">SUM(IF(ISERR(FIND("+",D47:AI47)),0,1))</f>
        <v>0</v>
      </c>
      <c r="AV47" s="64">
        <f t="shared" si="107"/>
        <v>3</v>
      </c>
      <c r="AW47" s="67">
        <f t="array" ref="AW47">SUM(IF(ISERR(FIND(AW$4,$D47:$AI47)),0,1))</f>
        <v>2</v>
      </c>
      <c r="AX47" s="67">
        <f t="array" ref="AX47">SUM(IF(ISERR(FIND(AX$4,$D47:$AI47)),0,1))</f>
        <v>0</v>
      </c>
      <c r="AY47" s="67">
        <f t="array" ref="AY47">SUM(IF(ISERR(FIND(AY$4,$D47:$AI47)),0,1))</f>
        <v>0</v>
      </c>
      <c r="AZ47" s="67">
        <f t="array" ref="AZ47">SUM(IF(ISERR(FIND(AZ$4,$D47:$AI47)),0,1))</f>
        <v>0</v>
      </c>
      <c r="BA47" s="67">
        <f t="array" ref="BA47">SUM(IF(ISERR(FIND(BA$4,$D47:$AI47)),0,1))</f>
        <v>1</v>
      </c>
      <c r="BB47" s="67">
        <f t="array" ref="BB47">SUM(IF(ISERR(FIND(BB$4,$D47:$AI47)),0,1))</f>
        <v>0</v>
      </c>
      <c r="BC47" s="67">
        <f t="array" ref="BC47">SUM(IF(ISERR(FIND(BC$4,$D47:$AI47)),0,1))</f>
        <v>0</v>
      </c>
      <c r="BD47" s="67">
        <f t="shared" si="108"/>
        <v>0</v>
      </c>
      <c r="BE47" s="67">
        <f t="shared" si="109"/>
        <v>0</v>
      </c>
      <c r="BF47" s="67">
        <f t="shared" si="110"/>
        <v>0</v>
      </c>
      <c r="BG47" s="67">
        <f t="shared" si="111"/>
        <v>1</v>
      </c>
      <c r="BH47" s="67">
        <f t="shared" si="112"/>
        <v>0</v>
      </c>
      <c r="BI47" s="67">
        <f t="shared" si="113"/>
        <v>0</v>
      </c>
      <c r="BJ47" s="67">
        <f t="shared" si="114"/>
        <v>0</v>
      </c>
      <c r="BK47" s="67">
        <f t="shared" si="115"/>
        <v>0</v>
      </c>
      <c r="BL47" s="64">
        <f t="shared" si="116"/>
        <v>533910.16047</v>
      </c>
      <c r="BM47" s="64">
        <f t="shared" si="86"/>
        <v>27</v>
      </c>
      <c r="BN47" s="64">
        <v>38</v>
      </c>
      <c r="BO47" s="85" t="str">
        <f t="shared" si="117"/>
        <v/>
      </c>
      <c r="BP47" s="93">
        <f t="shared" si="118"/>
        <v>1</v>
      </c>
      <c r="BQ47" s="171">
        <f t="shared" si="119"/>
        <v>0</v>
      </c>
      <c r="BR47" s="64" t="str">
        <f t="shared" si="120"/>
        <v/>
      </c>
      <c r="BS47" s="64" t="str">
        <f t="shared" si="121"/>
        <v/>
      </c>
      <c r="BT47" s="67">
        <f t="shared" si="122"/>
        <v>0</v>
      </c>
      <c r="BU47" s="64" t="str">
        <f t="shared" si="123"/>
        <v/>
      </c>
      <c r="BV47" s="67">
        <f t="shared" si="124"/>
        <v>1</v>
      </c>
      <c r="BW47" s="64" t="str">
        <f t="shared" si="125"/>
        <v>Sajjid K</v>
      </c>
      <c r="BX47" s="67">
        <f t="shared" si="126"/>
        <v>0</v>
      </c>
      <c r="BY47" s="64" t="str">
        <f t="shared" si="127"/>
        <v/>
      </c>
      <c r="BZ47" s="64">
        <f t="shared" si="62"/>
        <v>10</v>
      </c>
      <c r="CA47" s="64" t="str">
        <f t="shared" si="63"/>
        <v>Sajjid K</v>
      </c>
      <c r="CB47" s="64">
        <f t="shared" si="64"/>
        <v>3</v>
      </c>
      <c r="CC47" s="64" t="str">
        <f t="shared" si="65"/>
        <v>Sajjid K</v>
      </c>
    </row>
    <row r="48" spans="1:81" x14ac:dyDescent="0.15">
      <c r="B48" s="64" t="s">
        <v>28</v>
      </c>
      <c r="C48" s="64" t="s">
        <v>196</v>
      </c>
      <c r="D48" t="s">
        <v>331</v>
      </c>
      <c r="E48" t="s">
        <v>325</v>
      </c>
      <c r="F48" t="s">
        <v>419</v>
      </c>
      <c r="G48" t="s">
        <v>389</v>
      </c>
      <c r="H48" t="s">
        <v>430</v>
      </c>
      <c r="I48" t="s">
        <v>465</v>
      </c>
      <c r="J48" s="116" t="s">
        <v>466</v>
      </c>
      <c r="K48" s="116" t="s">
        <v>484</v>
      </c>
      <c r="L48" s="116" t="s">
        <v>498</v>
      </c>
      <c r="M48" s="116" t="s">
        <v>513</v>
      </c>
      <c r="N48" s="116" t="s">
        <v>536</v>
      </c>
      <c r="O48" s="116" t="s">
        <v>554</v>
      </c>
      <c r="P48" s="116" t="s">
        <v>567</v>
      </c>
      <c r="Q48" s="116" t="s">
        <v>585</v>
      </c>
      <c r="R48" s="116" t="s">
        <v>616</v>
      </c>
      <c r="S48" s="116" t="s">
        <v>325</v>
      </c>
      <c r="T48" s="116" t="s">
        <v>536</v>
      </c>
      <c r="U48" s="116" t="s">
        <v>664</v>
      </c>
      <c r="V48" s="116" t="s">
        <v>671</v>
      </c>
      <c r="W48" s="116" t="s">
        <v>681</v>
      </c>
      <c r="X48" s="116" t="s">
        <v>695</v>
      </c>
      <c r="Y48" s="116"/>
      <c r="Z48"/>
      <c r="AJ48" s="64" t="str">
        <f t="shared" si="31"/>
        <v>Seymour C</v>
      </c>
      <c r="AK48" s="64">
        <f t="shared" si="98"/>
        <v>21</v>
      </c>
      <c r="AL48" s="64">
        <f t="shared" si="99"/>
        <v>1</v>
      </c>
      <c r="AM48" s="64">
        <f t="shared" si="100"/>
        <v>20</v>
      </c>
      <c r="AN48" s="64">
        <f t="shared" si="101"/>
        <v>1</v>
      </c>
      <c r="AO48" s="64">
        <f t="shared" si="102"/>
        <v>70</v>
      </c>
      <c r="AP48" s="68">
        <f t="shared" si="103"/>
        <v>70</v>
      </c>
      <c r="AQ48" s="64">
        <f t="shared" si="104"/>
        <v>397</v>
      </c>
      <c r="AR48" s="66">
        <f t="shared" si="105"/>
        <v>20.894736842105264</v>
      </c>
      <c r="AS48" s="64">
        <f t="shared" si="106"/>
        <v>15</v>
      </c>
      <c r="AT48" s="67">
        <f t="array" ref="AT48">SUM(IF(ISERR(FIND("*",D48:AI48)),0,1))</f>
        <v>2</v>
      </c>
      <c r="AU48" s="67">
        <f t="array" ref="AU48">SUM(IF(ISERR(FIND("+",D48:AI48)),0,1))</f>
        <v>0</v>
      </c>
      <c r="AV48" s="64">
        <f t="shared" si="107"/>
        <v>2</v>
      </c>
      <c r="AW48" s="67">
        <f t="array" ref="AW48">SUM(IF(ISERR(FIND(AW$4,$D48:$AI48)),0,1))</f>
        <v>4</v>
      </c>
      <c r="AX48" s="67">
        <f t="array" ref="AX48">SUM(IF(ISERR(FIND(AX$4,$D48:$AI48)),0,1))</f>
        <v>9</v>
      </c>
      <c r="AY48" s="67">
        <f t="array" ref="AY48">SUM(IF(ISERR(FIND(AY$4,$D48:$AI48)),0,1))</f>
        <v>3</v>
      </c>
      <c r="AZ48" s="67">
        <f t="array" ref="AZ48">SUM(IF(ISERR(FIND(AZ$4,$D48:$AI48)),0,1))</f>
        <v>0</v>
      </c>
      <c r="BA48" s="67">
        <f t="array" ref="BA48">SUM(IF(ISERR(FIND(BA$4,$D48:$AI48)),0,1))</f>
        <v>3</v>
      </c>
      <c r="BB48" s="67">
        <f t="array" ref="BB48">SUM(IF(ISERR(FIND(BB$4,$D48:$AI48)),0,1))</f>
        <v>0</v>
      </c>
      <c r="BC48" s="67">
        <f t="array" ref="BC48">SUM(IF(ISERR(FIND(BC$4,$D48:$AI48)),0,1))</f>
        <v>0</v>
      </c>
      <c r="BD48" s="67">
        <f t="shared" si="108"/>
        <v>2</v>
      </c>
      <c r="BE48" s="67">
        <f t="shared" si="109"/>
        <v>0</v>
      </c>
      <c r="BF48" s="67">
        <f t="shared" si="110"/>
        <v>3</v>
      </c>
      <c r="BG48" s="67">
        <f t="shared" si="111"/>
        <v>49</v>
      </c>
      <c r="BH48" s="67">
        <f t="shared" si="112"/>
        <v>0</v>
      </c>
      <c r="BI48" s="67">
        <f t="shared" si="113"/>
        <v>0</v>
      </c>
      <c r="BJ48" s="67">
        <f t="shared" si="114"/>
        <v>0</v>
      </c>
      <c r="BK48" s="67">
        <f t="shared" si="115"/>
        <v>7</v>
      </c>
      <c r="BL48" s="64">
        <f t="shared" si="116"/>
        <v>2091024.9704799999</v>
      </c>
      <c r="BM48" s="64">
        <f t="shared" si="86"/>
        <v>12</v>
      </c>
      <c r="BN48" s="64">
        <v>39</v>
      </c>
      <c r="BO48" s="85">
        <f t="shared" si="117"/>
        <v>0.98488664987405539</v>
      </c>
      <c r="BP48" s="93">
        <f t="shared" si="118"/>
        <v>0.10526315789473684</v>
      </c>
      <c r="BQ48" s="171">
        <f t="shared" si="119"/>
        <v>3</v>
      </c>
      <c r="BR48" s="64" t="str">
        <f t="shared" si="120"/>
        <v>3</v>
      </c>
      <c r="BS48" s="64" t="str">
        <f t="shared" si="121"/>
        <v>Seymour C</v>
      </c>
      <c r="BT48" s="67">
        <f t="shared" si="122"/>
        <v>0</v>
      </c>
      <c r="BU48" s="64" t="str">
        <f t="shared" si="123"/>
        <v/>
      </c>
      <c r="BV48" s="67">
        <f t="shared" si="124"/>
        <v>49</v>
      </c>
      <c r="BW48" s="64" t="str">
        <f t="shared" si="125"/>
        <v>Seymour C</v>
      </c>
      <c r="BX48" s="67">
        <f t="shared" si="126"/>
        <v>7</v>
      </c>
      <c r="BY48" s="64" t="str">
        <f t="shared" si="127"/>
        <v>Seymour C</v>
      </c>
      <c r="BZ48" s="64">
        <f t="shared" si="62"/>
        <v>21</v>
      </c>
      <c r="CA48" s="64" t="str">
        <f t="shared" si="63"/>
        <v>Seymour C</v>
      </c>
      <c r="CB48" s="64">
        <f t="shared" si="64"/>
        <v>2</v>
      </c>
      <c r="CC48" s="64" t="str">
        <f t="shared" si="65"/>
        <v>Seymour C</v>
      </c>
    </row>
    <row r="49" spans="2:81" x14ac:dyDescent="0.15">
      <c r="B49" s="116" t="s">
        <v>256</v>
      </c>
      <c r="C49" s="116" t="s">
        <v>259</v>
      </c>
      <c r="D49" t="s">
        <v>374</v>
      </c>
      <c r="E49" s="116" t="s">
        <v>455</v>
      </c>
      <c r="F49"/>
      <c r="G49" s="116" t="s">
        <v>402</v>
      </c>
      <c r="H49"/>
      <c r="I49"/>
      <c r="J49"/>
      <c r="K49"/>
      <c r="L49" s="116"/>
      <c r="M49"/>
      <c r="N49" t="s">
        <v>538</v>
      </c>
      <c r="O49"/>
      <c r="P49"/>
      <c r="Q49" t="s">
        <v>590</v>
      </c>
      <c r="R49" t="s">
        <v>614</v>
      </c>
      <c r="S49"/>
      <c r="T49"/>
      <c r="U49"/>
      <c r="V49"/>
      <c r="W49"/>
      <c r="X49" t="s">
        <v>697</v>
      </c>
      <c r="Y49"/>
      <c r="Z49"/>
      <c r="AJ49" s="64" t="str">
        <f t="shared" si="31"/>
        <v>Seymour D</v>
      </c>
      <c r="AK49" s="64">
        <f t="shared" si="98"/>
        <v>7</v>
      </c>
      <c r="AL49" s="64">
        <f t="shared" si="99"/>
        <v>0</v>
      </c>
      <c r="AM49" s="64">
        <f t="shared" si="100"/>
        <v>7</v>
      </c>
      <c r="AN49" s="64">
        <f t="shared" si="101"/>
        <v>2</v>
      </c>
      <c r="AO49" s="64">
        <f t="shared" si="102"/>
        <v>-114</v>
      </c>
      <c r="AP49" s="68" t="str">
        <f t="shared" si="103"/>
        <v>114*</v>
      </c>
      <c r="AQ49" s="64">
        <f t="shared" si="104"/>
        <v>213</v>
      </c>
      <c r="AR49" s="66">
        <f t="shared" si="105"/>
        <v>42.6</v>
      </c>
      <c r="AS49" s="64">
        <f t="shared" si="106"/>
        <v>15</v>
      </c>
      <c r="AT49" s="67">
        <f t="array" ref="AT49">SUM(IF(ISERR(FIND("*",D49:AI49)),0,1))</f>
        <v>0</v>
      </c>
      <c r="AU49" s="67">
        <f t="array" ref="AU49">SUM(IF(ISERR(FIND("+",D49:AI49)),0,1))</f>
        <v>4</v>
      </c>
      <c r="AV49" s="64">
        <f t="shared" si="107"/>
        <v>0</v>
      </c>
      <c r="AW49" s="67">
        <f t="array" ref="AW49">SUM(IF(ISERR(FIND(AW$4,$D49:$AI49)),0,1))</f>
        <v>3</v>
      </c>
      <c r="AX49" s="67">
        <f t="array" ref="AX49">SUM(IF(ISERR(FIND(AX$4,$D49:$AI49)),0,1))</f>
        <v>1</v>
      </c>
      <c r="AY49" s="67">
        <f t="array" ref="AY49">SUM(IF(ISERR(FIND(AY$4,$D49:$AI49)),0,1))</f>
        <v>1</v>
      </c>
      <c r="AZ49" s="67">
        <f t="array" ref="AZ49">SUM(IF(ISERR(FIND(AZ$4,$D49:$AI49)),0,1))</f>
        <v>0</v>
      </c>
      <c r="BA49" s="67">
        <f t="array" ref="BA49">SUM(IF(ISERR(FIND(BA$4,$D49:$AI49)),0,1))</f>
        <v>0</v>
      </c>
      <c r="BB49" s="67">
        <f t="array" ref="BB49">SUM(IF(ISERR(FIND(BB$4,$D49:$AI49)),0,1))</f>
        <v>0</v>
      </c>
      <c r="BC49" s="67">
        <f t="array" ref="BC49">SUM(IF(ISERR(FIND(BC$4,$D49:$AI49)),0,1))</f>
        <v>0</v>
      </c>
      <c r="BD49" s="67">
        <f t="shared" si="108"/>
        <v>1</v>
      </c>
      <c r="BE49" s="67">
        <f t="shared" si="109"/>
        <v>1</v>
      </c>
      <c r="BF49" s="67">
        <f t="shared" si="110"/>
        <v>6</v>
      </c>
      <c r="BG49" s="67">
        <f t="shared" si="111"/>
        <v>25</v>
      </c>
      <c r="BH49" s="67">
        <f t="shared" si="112"/>
        <v>1</v>
      </c>
      <c r="BI49" s="67">
        <f t="shared" si="113"/>
        <v>2</v>
      </c>
      <c r="BJ49" s="67">
        <f t="shared" si="114"/>
        <v>3</v>
      </c>
      <c r="BK49" s="67">
        <f t="shared" si="115"/>
        <v>3</v>
      </c>
      <c r="BL49" s="64">
        <f t="shared" si="116"/>
        <v>4260709.1304899994</v>
      </c>
      <c r="BM49" s="64">
        <f t="shared" si="86"/>
        <v>4</v>
      </c>
      <c r="BN49" s="64">
        <v>40</v>
      </c>
      <c r="BO49" s="85">
        <f t="shared" si="117"/>
        <v>1.4366197183098592</v>
      </c>
      <c r="BP49" s="93">
        <f t="shared" si="118"/>
        <v>0</v>
      </c>
      <c r="BQ49" s="171">
        <f t="shared" si="119"/>
        <v>6</v>
      </c>
      <c r="BR49" s="64" t="str">
        <f t="shared" si="120"/>
        <v>6 (3)</v>
      </c>
      <c r="BS49" s="64" t="str">
        <f t="shared" si="121"/>
        <v>Seymour D</v>
      </c>
      <c r="BT49" s="67">
        <f t="shared" si="122"/>
        <v>1</v>
      </c>
      <c r="BU49" s="64" t="str">
        <f t="shared" si="123"/>
        <v>Seymour D</v>
      </c>
      <c r="BV49" s="67">
        <f t="shared" si="124"/>
        <v>25</v>
      </c>
      <c r="BW49" s="64" t="str">
        <f t="shared" si="125"/>
        <v>Seymour D</v>
      </c>
      <c r="BX49" s="67">
        <f t="shared" si="126"/>
        <v>3</v>
      </c>
      <c r="BY49" s="64" t="str">
        <f t="shared" si="127"/>
        <v>Seymour D</v>
      </c>
      <c r="BZ49" s="64">
        <f t="shared" si="62"/>
        <v>7</v>
      </c>
      <c r="CA49" s="64" t="str">
        <f t="shared" si="63"/>
        <v>Seymour D</v>
      </c>
      <c r="CB49" s="64">
        <f t="shared" si="64"/>
        <v>0</v>
      </c>
      <c r="CC49" s="64" t="str">
        <f t="shared" si="65"/>
        <v>Seymour D</v>
      </c>
    </row>
    <row r="50" spans="2:81" x14ac:dyDescent="0.15">
      <c r="B50" s="64" t="s">
        <v>24</v>
      </c>
      <c r="C50" s="64" t="s">
        <v>136</v>
      </c>
      <c r="D50"/>
      <c r="E50" t="s">
        <v>406</v>
      </c>
      <c r="F50"/>
      <c r="G50"/>
      <c r="H50"/>
      <c r="I50" t="s">
        <v>457</v>
      </c>
      <c r="J50"/>
      <c r="K50" t="s">
        <v>485</v>
      </c>
      <c r="L50" t="s">
        <v>499</v>
      </c>
      <c r="M50" t="s">
        <v>516</v>
      </c>
      <c r="N50" t="s">
        <v>537</v>
      </c>
      <c r="O50" t="s">
        <v>555</v>
      </c>
      <c r="P50"/>
      <c r="Q50"/>
      <c r="R50" t="s">
        <v>612</v>
      </c>
      <c r="S50" t="s">
        <v>628</v>
      </c>
      <c r="T50" t="s">
        <v>647</v>
      </c>
      <c r="U50"/>
      <c r="V50"/>
      <c r="W50"/>
      <c r="X50"/>
      <c r="Y50"/>
      <c r="Z50"/>
      <c r="AJ50" s="64" t="str">
        <f t="shared" si="31"/>
        <v>Sharpe D</v>
      </c>
      <c r="AK50" s="64">
        <f t="shared" si="98"/>
        <v>10</v>
      </c>
      <c r="AL50" s="64">
        <f t="shared" si="99"/>
        <v>0</v>
      </c>
      <c r="AM50" s="64">
        <f t="shared" si="100"/>
        <v>10</v>
      </c>
      <c r="AN50" s="64">
        <f t="shared" si="101"/>
        <v>1</v>
      </c>
      <c r="AO50" s="64">
        <f t="shared" si="102"/>
        <v>86</v>
      </c>
      <c r="AP50" s="68">
        <f t="shared" si="103"/>
        <v>86</v>
      </c>
      <c r="AQ50" s="64">
        <f t="shared" si="104"/>
        <v>309</v>
      </c>
      <c r="AR50" s="66">
        <f t="shared" si="105"/>
        <v>34.333333333333336</v>
      </c>
      <c r="AS50" s="64">
        <f t="shared" si="106"/>
        <v>5</v>
      </c>
      <c r="AT50" s="67">
        <f t="array" ref="AT50">SUM(IF(ISERR(FIND("*",D50:AI50)),0,1))</f>
        <v>0</v>
      </c>
      <c r="AU50" s="67">
        <f t="array" ref="AU50">SUM(IF(ISERR(FIND("+",D50:AI50)),0,1))</f>
        <v>7</v>
      </c>
      <c r="AV50" s="64">
        <f t="shared" si="107"/>
        <v>1</v>
      </c>
      <c r="AW50" s="67">
        <f t="array" ref="AW50">SUM(IF(ISERR(FIND(AW$4,$D50:$AI50)),0,1))</f>
        <v>4</v>
      </c>
      <c r="AX50" s="67">
        <f t="array" ref="AX50">SUM(IF(ISERR(FIND(AX$4,$D50:$AI50)),0,1))</f>
        <v>3</v>
      </c>
      <c r="AY50" s="67">
        <f t="array" ref="AY50">SUM(IF(ISERR(FIND(AY$4,$D50:$AI50)),0,1))</f>
        <v>1</v>
      </c>
      <c r="AZ50" s="67">
        <f t="array" ref="AZ50">SUM(IF(ISERR(FIND(AZ$4,$D50:$AI50)),0,1))</f>
        <v>0</v>
      </c>
      <c r="BA50" s="67">
        <f t="array" ref="BA50">SUM(IF(ISERR(FIND(BA$4,$D50:$AI50)),0,1))</f>
        <v>1</v>
      </c>
      <c r="BB50" s="67">
        <f t="array" ref="BB50">SUM(IF(ISERR(FIND(BB$4,$D50:$AI50)),0,1))</f>
        <v>0</v>
      </c>
      <c r="BC50" s="67">
        <f t="array" ref="BC50">SUM(IF(ISERR(FIND(BC$4,$D50:$AI50)),0,1))</f>
        <v>0</v>
      </c>
      <c r="BD50" s="67">
        <f t="shared" si="108"/>
        <v>2</v>
      </c>
      <c r="BE50" s="67">
        <f t="shared" si="109"/>
        <v>0</v>
      </c>
      <c r="BF50" s="67">
        <f t="shared" si="110"/>
        <v>4</v>
      </c>
      <c r="BG50" s="67">
        <f t="shared" si="111"/>
        <v>50</v>
      </c>
      <c r="BH50" s="67">
        <f t="shared" si="112"/>
        <v>3</v>
      </c>
      <c r="BI50" s="67">
        <f t="shared" si="113"/>
        <v>0</v>
      </c>
      <c r="BJ50" s="67">
        <f t="shared" si="114"/>
        <v>3</v>
      </c>
      <c r="BK50" s="67">
        <f t="shared" si="115"/>
        <v>6</v>
      </c>
      <c r="BL50" s="64">
        <f t="shared" si="116"/>
        <v>3434013.0904999999</v>
      </c>
      <c r="BM50" s="64">
        <f t="shared" si="86"/>
        <v>6</v>
      </c>
      <c r="BN50" s="64">
        <v>41</v>
      </c>
      <c r="BO50" s="85">
        <f t="shared" si="117"/>
        <v>1.3689320388349515</v>
      </c>
      <c r="BP50" s="93">
        <f t="shared" si="118"/>
        <v>0.1111111111111111</v>
      </c>
      <c r="BQ50" s="171">
        <f t="shared" si="119"/>
        <v>4</v>
      </c>
      <c r="BR50" s="64" t="str">
        <f t="shared" si="120"/>
        <v>4 (3)</v>
      </c>
      <c r="BS50" s="64" t="str">
        <f t="shared" si="121"/>
        <v>Sharpe D</v>
      </c>
      <c r="BT50" s="67">
        <f t="shared" si="122"/>
        <v>3</v>
      </c>
      <c r="BU50" s="64" t="str">
        <f t="shared" si="123"/>
        <v>Sharpe D</v>
      </c>
      <c r="BV50" s="67">
        <f t="shared" si="124"/>
        <v>50</v>
      </c>
      <c r="BW50" s="64" t="str">
        <f t="shared" si="125"/>
        <v>Sharpe D</v>
      </c>
      <c r="BX50" s="67">
        <f t="shared" si="126"/>
        <v>6</v>
      </c>
      <c r="BY50" s="64" t="str">
        <f t="shared" si="127"/>
        <v>Sharpe D</v>
      </c>
      <c r="BZ50" s="64">
        <f t="shared" si="62"/>
        <v>10</v>
      </c>
      <c r="CA50" s="64" t="str">
        <f t="shared" si="63"/>
        <v>Sharpe D</v>
      </c>
      <c r="CB50" s="64">
        <f t="shared" si="64"/>
        <v>1</v>
      </c>
      <c r="CC50" s="64" t="str">
        <f t="shared" si="65"/>
        <v>Sharpe D</v>
      </c>
    </row>
    <row r="51" spans="2:81" x14ac:dyDescent="0.15">
      <c r="B51" s="116" t="s">
        <v>271</v>
      </c>
      <c r="C51" s="116" t="s">
        <v>272</v>
      </c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J51" s="64" t="str">
        <f t="shared" si="31"/>
        <v>Sharpe H</v>
      </c>
      <c r="AK51" s="64">
        <f t="shared" si="98"/>
        <v>0</v>
      </c>
      <c r="AL51" s="64">
        <f t="shared" si="99"/>
        <v>0</v>
      </c>
      <c r="AM51" s="64">
        <f t="shared" si="100"/>
        <v>0</v>
      </c>
      <c r="AN51" s="64">
        <f t="shared" si="101"/>
        <v>0</v>
      </c>
      <c r="AO51" s="64">
        <f t="shared" si="102"/>
        <v>0</v>
      </c>
      <c r="AP51" s="68">
        <f t="shared" si="103"/>
        <v>0</v>
      </c>
      <c r="AQ51" s="64">
        <f t="shared" si="104"/>
        <v>0</v>
      </c>
      <c r="AR51" s="66">
        <f t="shared" si="105"/>
        <v>0</v>
      </c>
      <c r="AS51" s="64">
        <f t="shared" si="106"/>
        <v>0</v>
      </c>
      <c r="AT51" s="67">
        <f t="array" ref="AT51">SUM(IF(ISERR(FIND("*",D51:AI51)),0,1))</f>
        <v>0</v>
      </c>
      <c r="AU51" s="67">
        <f t="array" ref="AU51">SUM(IF(ISERR(FIND("+",D51:AI51)),0,1))</f>
        <v>0</v>
      </c>
      <c r="AV51" s="64">
        <f t="shared" si="107"/>
        <v>0</v>
      </c>
      <c r="AW51" s="67">
        <f t="array" ref="AW51">SUM(IF(ISERR(FIND(AW$4,$D51:$AI51)),0,1))</f>
        <v>0</v>
      </c>
      <c r="AX51" s="67">
        <f t="array" ref="AX51">SUM(IF(ISERR(FIND(AX$4,$D51:$AI51)),0,1))</f>
        <v>0</v>
      </c>
      <c r="AY51" s="67">
        <f t="array" ref="AY51">SUM(IF(ISERR(FIND(AY$4,$D51:$AI51)),0,1))</f>
        <v>0</v>
      </c>
      <c r="AZ51" s="67">
        <f t="array" ref="AZ51">SUM(IF(ISERR(FIND(AZ$4,$D51:$AI51)),0,1))</f>
        <v>0</v>
      </c>
      <c r="BA51" s="67">
        <f t="array" ref="BA51">SUM(IF(ISERR(FIND(BA$4,$D51:$AI51)),0,1))</f>
        <v>0</v>
      </c>
      <c r="BB51" s="67">
        <f t="array" ref="BB51">SUM(IF(ISERR(FIND(BB$4,$D51:$AI51)),0,1))</f>
        <v>0</v>
      </c>
      <c r="BC51" s="67">
        <f t="array" ref="BC51">SUM(IF(ISERR(FIND(BC$4,$D51:$AI51)),0,1))</f>
        <v>0</v>
      </c>
      <c r="BD51" s="67">
        <f t="shared" si="108"/>
        <v>0</v>
      </c>
      <c r="BE51" s="67">
        <f t="shared" si="109"/>
        <v>0</v>
      </c>
      <c r="BF51" s="67">
        <f t="shared" si="110"/>
        <v>0</v>
      </c>
      <c r="BG51" s="67">
        <f t="shared" si="111"/>
        <v>0</v>
      </c>
      <c r="BH51" s="67">
        <f t="shared" si="112"/>
        <v>0</v>
      </c>
      <c r="BI51" s="67">
        <f t="shared" si="113"/>
        <v>0</v>
      </c>
      <c r="BJ51" s="67">
        <f t="shared" si="114"/>
        <v>0</v>
      </c>
      <c r="BK51" s="67">
        <f t="shared" si="115"/>
        <v>0</v>
      </c>
      <c r="BL51" s="64">
        <f t="shared" si="116"/>
        <v>5.1000000000000004E-4</v>
      </c>
      <c r="BM51" s="64">
        <f t="shared" si="86"/>
        <v>46</v>
      </c>
      <c r="BN51" s="64">
        <v>42</v>
      </c>
      <c r="BO51" s="85" t="str">
        <f t="shared" si="117"/>
        <v/>
      </c>
      <c r="BP51" s="93" t="e">
        <f t="shared" si="118"/>
        <v>#DIV/0!</v>
      </c>
      <c r="BQ51" s="171">
        <f t="shared" si="119"/>
        <v>0</v>
      </c>
      <c r="BR51" s="64" t="str">
        <f t="shared" si="120"/>
        <v/>
      </c>
      <c r="BS51" s="64" t="str">
        <f t="shared" si="121"/>
        <v/>
      </c>
      <c r="BT51" s="67">
        <f t="shared" si="122"/>
        <v>0</v>
      </c>
      <c r="BU51" s="64" t="str">
        <f t="shared" si="123"/>
        <v/>
      </c>
      <c r="BV51" s="67">
        <f t="shared" si="124"/>
        <v>0</v>
      </c>
      <c r="BW51" s="64" t="str">
        <f t="shared" si="125"/>
        <v/>
      </c>
      <c r="BX51" s="67">
        <f t="shared" si="126"/>
        <v>0</v>
      </c>
      <c r="BY51" s="64" t="str">
        <f t="shared" si="127"/>
        <v/>
      </c>
      <c r="BZ51" s="64">
        <f t="shared" si="62"/>
        <v>0</v>
      </c>
      <c r="CA51" s="64" t="str">
        <f t="shared" si="63"/>
        <v>Sharpe H</v>
      </c>
      <c r="CB51" s="64">
        <f t="shared" si="64"/>
        <v>0</v>
      </c>
      <c r="CC51" s="64" t="str">
        <f t="shared" si="65"/>
        <v>Sharpe H</v>
      </c>
    </row>
    <row r="52" spans="2:81" x14ac:dyDescent="0.15">
      <c r="B52" s="116" t="s">
        <v>260</v>
      </c>
      <c r="C52" s="116" t="s">
        <v>244</v>
      </c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J52" s="64" t="str">
        <f t="shared" si="31"/>
        <v>Shome G</v>
      </c>
      <c r="AK52" s="64">
        <f t="shared" si="98"/>
        <v>0</v>
      </c>
      <c r="AL52" s="64">
        <f t="shared" si="99"/>
        <v>0</v>
      </c>
      <c r="AM52" s="64">
        <f t="shared" si="100"/>
        <v>0</v>
      </c>
      <c r="AN52" s="64">
        <f t="shared" si="101"/>
        <v>0</v>
      </c>
      <c r="AO52" s="64">
        <f t="shared" si="102"/>
        <v>0</v>
      </c>
      <c r="AP52" s="68">
        <f t="shared" si="103"/>
        <v>0</v>
      </c>
      <c r="AQ52" s="64">
        <f t="shared" si="104"/>
        <v>0</v>
      </c>
      <c r="AR52" s="66">
        <f t="shared" si="105"/>
        <v>0</v>
      </c>
      <c r="AS52" s="64">
        <f t="shared" si="106"/>
        <v>0</v>
      </c>
      <c r="AT52" s="67">
        <f t="array" ref="AT52">SUM(IF(ISERR(FIND("*",D52:AI52)),0,1))</f>
        <v>0</v>
      </c>
      <c r="AU52" s="67">
        <f t="array" ref="AU52">SUM(IF(ISERR(FIND("+",D52:AI52)),0,1))</f>
        <v>0</v>
      </c>
      <c r="AV52" s="64">
        <f t="shared" si="107"/>
        <v>0</v>
      </c>
      <c r="AW52" s="67">
        <f t="array" ref="AW52">SUM(IF(ISERR(FIND(AW$4,$D52:$AI52)),0,1))</f>
        <v>0</v>
      </c>
      <c r="AX52" s="67">
        <f t="array" ref="AX52">SUM(IF(ISERR(FIND(AX$4,$D52:$AI52)),0,1))</f>
        <v>0</v>
      </c>
      <c r="AY52" s="67">
        <f t="array" ref="AY52">SUM(IF(ISERR(FIND(AY$4,$D52:$AI52)),0,1))</f>
        <v>0</v>
      </c>
      <c r="AZ52" s="67">
        <f t="array" ref="AZ52">SUM(IF(ISERR(FIND(AZ$4,$D52:$AI52)),0,1))</f>
        <v>0</v>
      </c>
      <c r="BA52" s="67">
        <f t="array" ref="BA52">SUM(IF(ISERR(FIND(BA$4,$D52:$AI52)),0,1))</f>
        <v>0</v>
      </c>
      <c r="BB52" s="67">
        <f t="array" ref="BB52">SUM(IF(ISERR(FIND(BB$4,$D52:$AI52)),0,1))</f>
        <v>0</v>
      </c>
      <c r="BC52" s="67">
        <f t="array" ref="BC52">SUM(IF(ISERR(FIND(BC$4,$D52:$AI52)),0,1))</f>
        <v>0</v>
      </c>
      <c r="BD52" s="67">
        <f t="shared" si="108"/>
        <v>0</v>
      </c>
      <c r="BE52" s="67">
        <f t="shared" si="109"/>
        <v>0</v>
      </c>
      <c r="BF52" s="67">
        <f t="shared" si="110"/>
        <v>0</v>
      </c>
      <c r="BG52" s="67">
        <f t="shared" si="111"/>
        <v>0</v>
      </c>
      <c r="BH52" s="67">
        <f t="shared" si="112"/>
        <v>0</v>
      </c>
      <c r="BI52" s="67">
        <f t="shared" si="113"/>
        <v>0</v>
      </c>
      <c r="BJ52" s="67">
        <f t="shared" si="114"/>
        <v>0</v>
      </c>
      <c r="BK52" s="67">
        <f t="shared" si="115"/>
        <v>0</v>
      </c>
      <c r="BL52" s="64">
        <f t="shared" si="116"/>
        <v>5.1999999999999995E-4</v>
      </c>
      <c r="BM52" s="64">
        <f t="shared" si="86"/>
        <v>45</v>
      </c>
      <c r="BN52" s="64">
        <v>43</v>
      </c>
      <c r="BO52" s="85" t="str">
        <f t="shared" si="117"/>
        <v/>
      </c>
      <c r="BP52" s="93" t="e">
        <f t="shared" si="118"/>
        <v>#DIV/0!</v>
      </c>
      <c r="BQ52" s="171">
        <f t="shared" si="119"/>
        <v>0</v>
      </c>
      <c r="BR52" s="64" t="str">
        <f t="shared" si="120"/>
        <v/>
      </c>
      <c r="BS52" s="64" t="str">
        <f t="shared" si="121"/>
        <v/>
      </c>
      <c r="BT52" s="67">
        <f t="shared" si="122"/>
        <v>0</v>
      </c>
      <c r="BU52" s="64" t="str">
        <f t="shared" si="123"/>
        <v/>
      </c>
      <c r="BV52" s="67">
        <f t="shared" si="124"/>
        <v>0</v>
      </c>
      <c r="BW52" s="64" t="str">
        <f t="shared" si="125"/>
        <v/>
      </c>
      <c r="BX52" s="67">
        <f t="shared" si="126"/>
        <v>0</v>
      </c>
      <c r="BY52" s="64" t="str">
        <f t="shared" si="127"/>
        <v/>
      </c>
      <c r="BZ52" s="64">
        <f t="shared" si="62"/>
        <v>0</v>
      </c>
      <c r="CA52" s="64" t="str">
        <f t="shared" si="63"/>
        <v>Shome G</v>
      </c>
      <c r="CB52" s="64">
        <f t="shared" si="64"/>
        <v>0</v>
      </c>
      <c r="CC52" s="64" t="str">
        <f t="shared" si="65"/>
        <v>Shome G</v>
      </c>
    </row>
    <row r="53" spans="2:81" x14ac:dyDescent="0.15">
      <c r="B53" s="64" t="s">
        <v>26</v>
      </c>
      <c r="C53" s="64" t="s">
        <v>189</v>
      </c>
      <c r="D53"/>
      <c r="E53"/>
      <c r="F53"/>
      <c r="G53"/>
      <c r="H53" s="116"/>
      <c r="I53" s="116"/>
      <c r="J53" s="116"/>
      <c r="K53" s="116"/>
      <c r="L53" s="116" t="s">
        <v>312</v>
      </c>
      <c r="M53" s="116"/>
      <c r="N53" s="116" t="s">
        <v>310</v>
      </c>
      <c r="O53" s="116"/>
      <c r="P53" s="116"/>
      <c r="Q53" s="116"/>
      <c r="R53" s="116"/>
      <c r="S53" s="116"/>
      <c r="T53" s="116"/>
      <c r="U53"/>
      <c r="V53" s="116"/>
      <c r="W53"/>
      <c r="X53"/>
      <c r="Y53"/>
      <c r="Z53" s="116"/>
      <c r="AJ53" s="64" t="str">
        <f t="shared" si="31"/>
        <v>Smith C</v>
      </c>
      <c r="AK53" s="64">
        <f t="shared" si="98"/>
        <v>2</v>
      </c>
      <c r="AL53" s="64">
        <f t="shared" si="99"/>
        <v>2</v>
      </c>
      <c r="AM53" s="64">
        <f t="shared" si="100"/>
        <v>0</v>
      </c>
      <c r="AN53" s="64">
        <f t="shared" si="101"/>
        <v>0</v>
      </c>
      <c r="AO53" s="64">
        <f t="shared" si="102"/>
        <v>0</v>
      </c>
      <c r="AP53" s="68">
        <f t="shared" si="103"/>
        <v>0</v>
      </c>
      <c r="AQ53" s="64">
        <f t="shared" si="104"/>
        <v>0</v>
      </c>
      <c r="AR53" s="66">
        <f t="shared" si="105"/>
        <v>0</v>
      </c>
      <c r="AS53" s="64">
        <f t="shared" si="106"/>
        <v>0</v>
      </c>
      <c r="AT53" s="67">
        <f t="array" ref="AT53">SUM(IF(ISERR(FIND("*",D53:AI53)),0,1))</f>
        <v>0</v>
      </c>
      <c r="AU53" s="67">
        <f t="array" ref="AU53">SUM(IF(ISERR(FIND("+",D53:AI53)),0,1))</f>
        <v>0</v>
      </c>
      <c r="AV53" s="64">
        <f t="shared" si="107"/>
        <v>0</v>
      </c>
      <c r="AW53" s="67">
        <f t="array" ref="AW53">SUM(IF(ISERR(FIND(AW$4,$D53:$AI53)),0,1))</f>
        <v>0</v>
      </c>
      <c r="AX53" s="67">
        <f t="array" ref="AX53">SUM(IF(ISERR(FIND(AX$4,$D53:$AI53)),0,1))</f>
        <v>0</v>
      </c>
      <c r="AY53" s="67">
        <f t="array" ref="AY53">SUM(IF(ISERR(FIND(AY$4,$D53:$AI53)),0,1))</f>
        <v>0</v>
      </c>
      <c r="AZ53" s="67">
        <f t="array" ref="AZ53">SUM(IF(ISERR(FIND(AZ$4,$D53:$AI53)),0,1))</f>
        <v>0</v>
      </c>
      <c r="BA53" s="67">
        <f t="array" ref="BA53">SUM(IF(ISERR(FIND(BA$4,$D53:$AI53)),0,1))</f>
        <v>0</v>
      </c>
      <c r="BB53" s="67">
        <f t="array" ref="BB53">SUM(IF(ISERR(FIND(BB$4,$D53:$AI53)),0,1))</f>
        <v>0</v>
      </c>
      <c r="BC53" s="67">
        <f t="array" ref="BC53">SUM(IF(ISERR(FIND(BC$4,$D53:$AI53)),0,1))</f>
        <v>0</v>
      </c>
      <c r="BD53" s="67">
        <f t="shared" si="108"/>
        <v>0</v>
      </c>
      <c r="BE53" s="67">
        <f t="shared" si="109"/>
        <v>0</v>
      </c>
      <c r="BF53" s="67">
        <f t="shared" si="110"/>
        <v>0</v>
      </c>
      <c r="BG53" s="67">
        <f t="shared" si="111"/>
        <v>0</v>
      </c>
      <c r="BH53" s="67">
        <f t="shared" si="112"/>
        <v>0</v>
      </c>
      <c r="BI53" s="67">
        <f t="shared" si="113"/>
        <v>0</v>
      </c>
      <c r="BJ53" s="67">
        <f t="shared" si="114"/>
        <v>0</v>
      </c>
      <c r="BK53" s="67">
        <f t="shared" si="115"/>
        <v>0</v>
      </c>
      <c r="BL53" s="64">
        <f t="shared" si="116"/>
        <v>2.0005299999999999</v>
      </c>
      <c r="BM53" s="64">
        <f t="shared" si="86"/>
        <v>37</v>
      </c>
      <c r="BN53" s="64">
        <v>44</v>
      </c>
      <c r="BO53" s="85" t="str">
        <f t="shared" si="117"/>
        <v/>
      </c>
      <c r="BP53" s="93" t="e">
        <f t="shared" si="118"/>
        <v>#DIV/0!</v>
      </c>
      <c r="BQ53" s="171">
        <f t="shared" si="119"/>
        <v>0</v>
      </c>
      <c r="BR53" s="64" t="str">
        <f t="shared" si="120"/>
        <v/>
      </c>
      <c r="BS53" s="64" t="str">
        <f t="shared" si="121"/>
        <v/>
      </c>
      <c r="BT53" s="67">
        <f t="shared" si="122"/>
        <v>0</v>
      </c>
      <c r="BU53" s="64" t="str">
        <f t="shared" si="123"/>
        <v/>
      </c>
      <c r="BV53" s="67">
        <f t="shared" si="124"/>
        <v>0</v>
      </c>
      <c r="BW53" s="64" t="str">
        <f t="shared" si="125"/>
        <v/>
      </c>
      <c r="BX53" s="67">
        <f t="shared" si="126"/>
        <v>0</v>
      </c>
      <c r="BY53" s="64" t="str">
        <f t="shared" si="127"/>
        <v/>
      </c>
      <c r="BZ53" s="64">
        <f t="shared" si="62"/>
        <v>2</v>
      </c>
      <c r="CA53" s="64" t="str">
        <f t="shared" si="63"/>
        <v>Smith C</v>
      </c>
      <c r="CB53" s="64">
        <f t="shared" si="64"/>
        <v>0</v>
      </c>
      <c r="CC53" s="64" t="str">
        <f t="shared" si="65"/>
        <v>Smith C</v>
      </c>
    </row>
    <row r="54" spans="2:81" x14ac:dyDescent="0.15">
      <c r="B54" s="116" t="s">
        <v>221</v>
      </c>
      <c r="C54" s="116" t="s">
        <v>222</v>
      </c>
      <c r="D54" t="s">
        <v>383</v>
      </c>
      <c r="E54" t="s">
        <v>404</v>
      </c>
      <c r="F54" t="s">
        <v>420</v>
      </c>
      <c r="G54" t="s">
        <v>390</v>
      </c>
      <c r="H54" s="116" t="s">
        <v>431</v>
      </c>
      <c r="I54" s="116"/>
      <c r="J54" s="116" t="s">
        <v>468</v>
      </c>
      <c r="K54" s="116" t="s">
        <v>329</v>
      </c>
      <c r="L54" s="116" t="s">
        <v>501</v>
      </c>
      <c r="M54" s="116" t="s">
        <v>515</v>
      </c>
      <c r="N54" s="116" t="s">
        <v>539</v>
      </c>
      <c r="O54" s="116" t="s">
        <v>556</v>
      </c>
      <c r="P54" s="116"/>
      <c r="Q54" s="116" t="s">
        <v>591</v>
      </c>
      <c r="R54" s="116" t="s">
        <v>615</v>
      </c>
      <c r="S54" s="116"/>
      <c r="T54" s="116"/>
      <c r="U54" s="116" t="s">
        <v>666</v>
      </c>
      <c r="V54" s="116" t="s">
        <v>673</v>
      </c>
      <c r="W54" s="116" t="s">
        <v>682</v>
      </c>
      <c r="X54" s="116" t="s">
        <v>699</v>
      </c>
      <c r="Y54" s="116"/>
      <c r="Z54" s="116"/>
      <c r="AJ54" s="64" t="str">
        <f t="shared" si="31"/>
        <v>Springer T</v>
      </c>
      <c r="AK54" s="64">
        <f t="shared" si="98"/>
        <v>17</v>
      </c>
      <c r="AL54" s="64">
        <f t="shared" si="99"/>
        <v>0</v>
      </c>
      <c r="AM54" s="64">
        <f t="shared" si="100"/>
        <v>17</v>
      </c>
      <c r="AN54" s="64">
        <f t="shared" si="101"/>
        <v>2</v>
      </c>
      <c r="AO54" s="64">
        <f t="shared" si="102"/>
        <v>64</v>
      </c>
      <c r="AP54" s="68">
        <f t="shared" si="103"/>
        <v>64</v>
      </c>
      <c r="AQ54" s="64">
        <f t="shared" si="104"/>
        <v>304</v>
      </c>
      <c r="AR54" s="66">
        <f t="shared" si="105"/>
        <v>20.266666666666666</v>
      </c>
      <c r="AS54" s="64">
        <f t="shared" si="106"/>
        <v>15</v>
      </c>
      <c r="AT54" s="67">
        <f t="array" ref="AT54">SUM(IF(ISERR(FIND("*",D54:AI54)),0,1))</f>
        <v>15</v>
      </c>
      <c r="AU54" s="67">
        <f t="array" ref="AU54">SUM(IF(ISERR(FIND("+",D54:AI54)),0,1))</f>
        <v>2</v>
      </c>
      <c r="AV54" s="64">
        <f t="shared" si="107"/>
        <v>3</v>
      </c>
      <c r="AW54" s="67">
        <f t="array" ref="AW54">SUM(IF(ISERR(FIND(AW$4,$D54:$AI54)),0,1))</f>
        <v>9</v>
      </c>
      <c r="AX54" s="67">
        <f t="array" ref="AX54">SUM(IF(ISERR(FIND(AX$4,$D54:$AI54)),0,1))</f>
        <v>6</v>
      </c>
      <c r="AY54" s="67">
        <f t="array" ref="AY54">SUM(IF(ISERR(FIND(AY$4,$D54:$AI54)),0,1))</f>
        <v>0</v>
      </c>
      <c r="AZ54" s="67">
        <f t="array" ref="AZ54">SUM(IF(ISERR(FIND(AZ$4,$D54:$AI54)),0,1))</f>
        <v>0</v>
      </c>
      <c r="BA54" s="67">
        <f t="array" ref="BA54">SUM(IF(ISERR(FIND(BA$4,$D54:$AI54)),0,1))</f>
        <v>0</v>
      </c>
      <c r="BB54" s="67">
        <f t="array" ref="BB54">SUM(IF(ISERR(FIND(BB$4,$D54:$AI54)),0,1))</f>
        <v>0</v>
      </c>
      <c r="BC54" s="67">
        <f t="array" ref="BC54">SUM(IF(ISERR(FIND(BC$4,$D54:$AI54)),0,1))</f>
        <v>0</v>
      </c>
      <c r="BD54" s="67">
        <f t="shared" si="108"/>
        <v>1</v>
      </c>
      <c r="BE54" s="67">
        <f t="shared" si="109"/>
        <v>0</v>
      </c>
      <c r="BF54" s="67">
        <f t="shared" si="110"/>
        <v>3</v>
      </c>
      <c r="BG54" s="67">
        <f t="shared" si="111"/>
        <v>54</v>
      </c>
      <c r="BH54" s="67">
        <f t="shared" si="112"/>
        <v>0</v>
      </c>
      <c r="BI54" s="67">
        <f t="shared" si="113"/>
        <v>1</v>
      </c>
      <c r="BJ54" s="67">
        <f t="shared" si="114"/>
        <v>0</v>
      </c>
      <c r="BK54" s="67">
        <f t="shared" si="115"/>
        <v>7</v>
      </c>
      <c r="BL54" s="64">
        <f t="shared" si="116"/>
        <v>2028720.04054</v>
      </c>
      <c r="BM54" s="64">
        <f t="shared" si="86"/>
        <v>13</v>
      </c>
      <c r="BN54" s="64">
        <v>45</v>
      </c>
      <c r="BO54" s="85">
        <f t="shared" si="117"/>
        <v>1.450657894736842</v>
      </c>
      <c r="BP54" s="93">
        <f t="shared" si="118"/>
        <v>0.2</v>
      </c>
      <c r="BQ54" s="171">
        <f t="shared" si="119"/>
        <v>3</v>
      </c>
      <c r="BR54" s="64" t="str">
        <f t="shared" si="120"/>
        <v>3</v>
      </c>
      <c r="BS54" s="64" t="str">
        <f t="shared" si="121"/>
        <v>Springer T</v>
      </c>
      <c r="BT54" s="67">
        <f t="shared" si="122"/>
        <v>0</v>
      </c>
      <c r="BU54" s="64" t="str">
        <f t="shared" si="123"/>
        <v/>
      </c>
      <c r="BV54" s="67">
        <f t="shared" si="124"/>
        <v>54</v>
      </c>
      <c r="BW54" s="64" t="str">
        <f t="shared" si="125"/>
        <v>Springer T</v>
      </c>
      <c r="BX54" s="67">
        <f t="shared" si="126"/>
        <v>7</v>
      </c>
      <c r="BY54" s="64" t="str">
        <f t="shared" si="127"/>
        <v>Springer T</v>
      </c>
      <c r="BZ54" s="64">
        <f t="shared" si="62"/>
        <v>17</v>
      </c>
      <c r="CA54" s="64" t="str">
        <f t="shared" si="63"/>
        <v>Springer T</v>
      </c>
      <c r="CB54" s="64">
        <f t="shared" si="64"/>
        <v>3</v>
      </c>
      <c r="CC54" s="64" t="str">
        <f t="shared" si="65"/>
        <v>Springer T</v>
      </c>
    </row>
    <row r="55" spans="2:81" x14ac:dyDescent="0.15">
      <c r="B55" s="116" t="s">
        <v>304</v>
      </c>
      <c r="C55" s="116" t="s">
        <v>307</v>
      </c>
      <c r="D55"/>
      <c r="E55"/>
      <c r="F55"/>
      <c r="G55"/>
      <c r="H55"/>
      <c r="I55"/>
      <c r="J55"/>
      <c r="K55" s="116"/>
      <c r="L55" t="s">
        <v>510</v>
      </c>
      <c r="M55"/>
      <c r="N55" s="116"/>
      <c r="O55" s="116"/>
      <c r="P55" s="116"/>
      <c r="Q55" s="116"/>
      <c r="R55" s="116"/>
      <c r="S55" s="116"/>
      <c r="T55" s="116"/>
      <c r="U55" s="116"/>
      <c r="V55" s="116"/>
      <c r="W55" s="116"/>
      <c r="X55" s="116"/>
      <c r="Z55" s="116"/>
      <c r="AJ55" s="64" t="str">
        <f t="shared" si="31"/>
        <v>Stevenson R</v>
      </c>
      <c r="AK55" s="64">
        <f t="shared" si="98"/>
        <v>1</v>
      </c>
      <c r="AL55" s="64">
        <f t="shared" si="99"/>
        <v>0</v>
      </c>
      <c r="AM55" s="64">
        <f t="shared" si="100"/>
        <v>1</v>
      </c>
      <c r="AN55" s="64">
        <f t="shared" si="101"/>
        <v>0</v>
      </c>
      <c r="AO55" s="64">
        <f t="shared" si="102"/>
        <v>67</v>
      </c>
      <c r="AP55" s="68">
        <f t="shared" si="103"/>
        <v>67</v>
      </c>
      <c r="AQ55" s="64">
        <f t="shared" si="104"/>
        <v>67</v>
      </c>
      <c r="AR55" s="66">
        <f t="shared" si="105"/>
        <v>67</v>
      </c>
      <c r="AS55" s="64">
        <f t="shared" si="106"/>
        <v>5</v>
      </c>
      <c r="AT55" s="67">
        <f t="array" ref="AT55">SUM(IF(ISERR(FIND("*",D55:AI55)),0,1))</f>
        <v>0</v>
      </c>
      <c r="AU55" s="67">
        <f t="array" ref="AU55">SUM(IF(ISERR(FIND("+",D55:AI55)),0,1))</f>
        <v>0</v>
      </c>
      <c r="AV55" s="64">
        <f t="shared" si="107"/>
        <v>0</v>
      </c>
      <c r="AW55" s="67">
        <f t="array" ref="AW55">SUM(IF(ISERR(FIND(AW$4,$D55:$AI55)),0,1))</f>
        <v>0</v>
      </c>
      <c r="AX55" s="67">
        <f t="array" ref="AX55">SUM(IF(ISERR(FIND(AX$4,$D55:$AI55)),0,1))</f>
        <v>1</v>
      </c>
      <c r="AY55" s="67">
        <f t="array" ref="AY55">SUM(IF(ISERR(FIND(AY$4,$D55:$AI55)),0,1))</f>
        <v>0</v>
      </c>
      <c r="AZ55" s="67">
        <f t="array" ref="AZ55">SUM(IF(ISERR(FIND(AZ$4,$D55:$AI55)),0,1))</f>
        <v>0</v>
      </c>
      <c r="BA55" s="67">
        <f t="array" ref="BA55">SUM(IF(ISERR(FIND(BA$4,$D55:$AI55)),0,1))</f>
        <v>0</v>
      </c>
      <c r="BB55" s="67">
        <f t="array" ref="BB55">SUM(IF(ISERR(FIND(BB$4,$D55:$AI55)),0,1))</f>
        <v>0</v>
      </c>
      <c r="BC55" s="67">
        <f t="array" ref="BC55">SUM(IF(ISERR(FIND(BC$4,$D55:$AI55)),0,1))</f>
        <v>0</v>
      </c>
      <c r="BD55" s="67">
        <f t="shared" si="108"/>
        <v>1</v>
      </c>
      <c r="BE55" s="67">
        <f t="shared" si="109"/>
        <v>0</v>
      </c>
      <c r="BF55" s="67">
        <f t="shared" si="110"/>
        <v>1</v>
      </c>
      <c r="BG55" s="67">
        <f t="shared" si="111"/>
        <v>8</v>
      </c>
      <c r="BH55" s="67">
        <f t="shared" si="112"/>
        <v>1</v>
      </c>
      <c r="BI55" s="67">
        <f t="shared" si="113"/>
        <v>0</v>
      </c>
      <c r="BJ55" s="67">
        <f t="shared" si="114"/>
        <v>0</v>
      </c>
      <c r="BK55" s="67">
        <f t="shared" si="115"/>
        <v>1</v>
      </c>
      <c r="BL55" s="64">
        <f t="shared" si="116"/>
        <v>6700101.6705499999</v>
      </c>
      <c r="BM55" s="64">
        <f t="shared" si="86"/>
        <v>2</v>
      </c>
      <c r="BN55" s="64">
        <v>46</v>
      </c>
      <c r="BO55" s="85">
        <f t="shared" si="117"/>
        <v>4</v>
      </c>
      <c r="BP55" s="93">
        <f t="shared" si="118"/>
        <v>0</v>
      </c>
      <c r="BQ55" s="171">
        <f t="shared" si="119"/>
        <v>1</v>
      </c>
      <c r="BR55" s="64" t="str">
        <f t="shared" si="120"/>
        <v>1</v>
      </c>
      <c r="BS55" s="64" t="str">
        <f t="shared" si="121"/>
        <v>Stevenson R</v>
      </c>
      <c r="BT55" s="67">
        <f t="shared" si="122"/>
        <v>1</v>
      </c>
      <c r="BU55" s="64" t="str">
        <f t="shared" si="123"/>
        <v>Stevenson R</v>
      </c>
      <c r="BV55" s="67">
        <f t="shared" si="124"/>
        <v>8</v>
      </c>
      <c r="BW55" s="64" t="str">
        <f t="shared" si="125"/>
        <v>Stevenson R</v>
      </c>
      <c r="BX55" s="67">
        <f t="shared" si="126"/>
        <v>1</v>
      </c>
      <c r="BY55" s="64" t="str">
        <f t="shared" si="127"/>
        <v>Stevenson R</v>
      </c>
      <c r="BZ55" s="64">
        <f t="shared" si="62"/>
        <v>1</v>
      </c>
      <c r="CA55" s="64" t="str">
        <f t="shared" si="63"/>
        <v>Stevenson R</v>
      </c>
      <c r="CB55" s="64">
        <f t="shared" si="64"/>
        <v>0</v>
      </c>
      <c r="CC55" s="64" t="str">
        <f t="shared" si="65"/>
        <v>Stevenson R</v>
      </c>
    </row>
    <row r="56" spans="2:81" x14ac:dyDescent="0.15">
      <c r="B56" s="116" t="s">
        <v>561</v>
      </c>
      <c r="C56" s="116" t="s">
        <v>249</v>
      </c>
      <c r="D56"/>
      <c r="E56"/>
      <c r="F56"/>
      <c r="G56"/>
      <c r="H56"/>
      <c r="I56"/>
      <c r="J56"/>
      <c r="K56" s="116"/>
      <c r="L56"/>
      <c r="M56"/>
      <c r="N56" s="116"/>
      <c r="O56" s="116"/>
      <c r="P56" s="116"/>
      <c r="Q56" s="116"/>
      <c r="R56" s="116"/>
      <c r="S56" s="116"/>
      <c r="T56" s="116"/>
      <c r="U56" s="116"/>
      <c r="V56" s="116"/>
      <c r="W56" s="116"/>
      <c r="X56" s="116"/>
      <c r="Z56" s="116"/>
      <c r="AJ56" s="64" t="str">
        <f t="shared" si="31"/>
        <v>Sunkara C</v>
      </c>
      <c r="AK56" s="64">
        <f t="shared" si="98"/>
        <v>0</v>
      </c>
      <c r="AL56" s="64">
        <f t="shared" si="99"/>
        <v>0</v>
      </c>
      <c r="AM56" s="64">
        <f t="shared" si="100"/>
        <v>0</v>
      </c>
      <c r="AN56" s="64">
        <f t="shared" si="101"/>
        <v>0</v>
      </c>
      <c r="AO56" s="64">
        <f t="shared" si="102"/>
        <v>0</v>
      </c>
      <c r="AP56" s="68">
        <f t="shared" si="103"/>
        <v>0</v>
      </c>
      <c r="AQ56" s="64">
        <f t="shared" si="104"/>
        <v>0</v>
      </c>
      <c r="AR56" s="66">
        <f t="shared" si="105"/>
        <v>0</v>
      </c>
      <c r="AS56" s="64">
        <f t="shared" si="106"/>
        <v>0</v>
      </c>
      <c r="AT56" s="67">
        <f t="array" ref="AT56">SUM(IF(ISERR(FIND("*",D56:AI56)),0,1))</f>
        <v>0</v>
      </c>
      <c r="AU56" s="67">
        <f t="array" ref="AU56">SUM(IF(ISERR(FIND("+",D56:AI56)),0,1))</f>
        <v>0</v>
      </c>
      <c r="AV56" s="64">
        <f t="shared" si="107"/>
        <v>0</v>
      </c>
      <c r="AW56" s="67">
        <f t="array" ref="AW56">SUM(IF(ISERR(FIND(AW$4,$D56:$AI56)),0,1))</f>
        <v>0</v>
      </c>
      <c r="AX56" s="67">
        <f t="array" ref="AX56">SUM(IF(ISERR(FIND(AX$4,$D56:$AI56)),0,1))</f>
        <v>0</v>
      </c>
      <c r="AY56" s="67">
        <f t="array" ref="AY56">SUM(IF(ISERR(FIND(AY$4,$D56:$AI56)),0,1))</f>
        <v>0</v>
      </c>
      <c r="AZ56" s="67">
        <f t="array" ref="AZ56">SUM(IF(ISERR(FIND(AZ$4,$D56:$AI56)),0,1))</f>
        <v>0</v>
      </c>
      <c r="BA56" s="67">
        <f t="array" ref="BA56">SUM(IF(ISERR(FIND(BA$4,$D56:$AI56)),0,1))</f>
        <v>0</v>
      </c>
      <c r="BB56" s="67">
        <f t="array" ref="BB56">SUM(IF(ISERR(FIND(BB$4,$D56:$AI56)),0,1))</f>
        <v>0</v>
      </c>
      <c r="BC56" s="67">
        <f t="array" ref="BC56">SUM(IF(ISERR(FIND(BC$4,$D56:$AI56)),0,1))</f>
        <v>0</v>
      </c>
      <c r="BD56" s="67">
        <f t="shared" si="108"/>
        <v>0</v>
      </c>
      <c r="BE56" s="67">
        <f t="shared" si="109"/>
        <v>0</v>
      </c>
      <c r="BF56" s="67">
        <f t="shared" si="110"/>
        <v>0</v>
      </c>
      <c r="BG56" s="67">
        <f t="shared" si="111"/>
        <v>0</v>
      </c>
      <c r="BH56" s="67">
        <f t="shared" si="112"/>
        <v>0</v>
      </c>
      <c r="BI56" s="67">
        <f t="shared" si="113"/>
        <v>0</v>
      </c>
      <c r="BJ56" s="67">
        <f t="shared" si="114"/>
        <v>0</v>
      </c>
      <c r="BK56" s="67">
        <f t="shared" si="115"/>
        <v>0</v>
      </c>
      <c r="BL56" s="64">
        <f t="shared" si="116"/>
        <v>5.5999999999999995E-4</v>
      </c>
      <c r="BM56" s="64">
        <f t="shared" si="86"/>
        <v>44</v>
      </c>
      <c r="BN56" s="64">
        <v>47</v>
      </c>
      <c r="BO56" s="85" t="str">
        <f t="shared" si="117"/>
        <v/>
      </c>
      <c r="BP56" s="93" t="e">
        <f t="shared" si="118"/>
        <v>#DIV/0!</v>
      </c>
      <c r="BQ56" s="171">
        <f t="shared" si="119"/>
        <v>0</v>
      </c>
      <c r="BR56" s="64" t="str">
        <f t="shared" si="120"/>
        <v/>
      </c>
      <c r="BS56" s="64" t="str">
        <f t="shared" si="121"/>
        <v/>
      </c>
      <c r="BT56" s="67">
        <f t="shared" si="122"/>
        <v>0</v>
      </c>
      <c r="BU56" s="64" t="str">
        <f t="shared" si="123"/>
        <v/>
      </c>
      <c r="BV56" s="67">
        <f t="shared" si="124"/>
        <v>0</v>
      </c>
      <c r="BW56" s="64" t="str">
        <f t="shared" si="125"/>
        <v/>
      </c>
      <c r="BX56" s="67">
        <f t="shared" si="126"/>
        <v>0</v>
      </c>
      <c r="BY56" s="64" t="str">
        <f t="shared" si="127"/>
        <v/>
      </c>
      <c r="BZ56" s="64">
        <f t="shared" si="62"/>
        <v>0</v>
      </c>
      <c r="CA56" s="64" t="str">
        <f t="shared" si="63"/>
        <v>Sunkara C</v>
      </c>
      <c r="CB56" s="64">
        <f t="shared" si="64"/>
        <v>0</v>
      </c>
      <c r="CC56" s="64" t="str">
        <f t="shared" si="65"/>
        <v>Sunkara C</v>
      </c>
    </row>
    <row r="57" spans="2:81" x14ac:dyDescent="0.15">
      <c r="B57" s="116"/>
      <c r="C57" s="116" t="s">
        <v>345</v>
      </c>
      <c r="D57"/>
      <c r="E57"/>
      <c r="F57"/>
      <c r="G57"/>
      <c r="H57"/>
      <c r="I57"/>
      <c r="J57"/>
      <c r="K57" s="116"/>
      <c r="L57"/>
      <c r="M57"/>
      <c r="N57" s="116"/>
      <c r="O57" s="116"/>
      <c r="P57" s="116"/>
      <c r="Q57" s="116"/>
      <c r="R57" s="116"/>
      <c r="S57" s="116"/>
      <c r="T57" s="116"/>
      <c r="U57" s="116"/>
      <c r="V57" s="116"/>
      <c r="W57" s="116"/>
      <c r="X57" s="116"/>
      <c r="Z57" s="116"/>
      <c r="AJ57" s="64" t="str">
        <f t="shared" si="31"/>
        <v>Taylor C</v>
      </c>
      <c r="AK57" s="64">
        <f t="shared" si="98"/>
        <v>0</v>
      </c>
      <c r="AL57" s="64">
        <f t="shared" si="99"/>
        <v>0</v>
      </c>
      <c r="AM57" s="64">
        <f t="shared" si="100"/>
        <v>0</v>
      </c>
      <c r="AN57" s="64">
        <f t="shared" si="101"/>
        <v>0</v>
      </c>
      <c r="AO57" s="64">
        <f t="shared" si="102"/>
        <v>0</v>
      </c>
      <c r="AP57" s="68">
        <f t="shared" si="103"/>
        <v>0</v>
      </c>
      <c r="AQ57" s="64">
        <f t="shared" si="104"/>
        <v>0</v>
      </c>
      <c r="AR57" s="66">
        <f t="shared" si="105"/>
        <v>0</v>
      </c>
      <c r="AS57" s="64">
        <f t="shared" si="106"/>
        <v>0</v>
      </c>
      <c r="AT57" s="67">
        <f t="array" ref="AT57">SUM(IF(ISERR(FIND("*",D57:AI57)),0,1))</f>
        <v>0</v>
      </c>
      <c r="AU57" s="67">
        <f t="array" ref="AU57">SUM(IF(ISERR(FIND("+",D57:AI57)),0,1))</f>
        <v>0</v>
      </c>
      <c r="AV57" s="64">
        <f t="shared" si="107"/>
        <v>0</v>
      </c>
      <c r="AW57" s="67">
        <f t="array" ref="AW57">SUM(IF(ISERR(FIND(AW$4,$D57:$AI57)),0,1))</f>
        <v>0</v>
      </c>
      <c r="AX57" s="67">
        <f t="array" ref="AX57">SUM(IF(ISERR(FIND(AX$4,$D57:$AI57)),0,1))</f>
        <v>0</v>
      </c>
      <c r="AY57" s="67">
        <f t="array" ref="AY57">SUM(IF(ISERR(FIND(AY$4,$D57:$AI57)),0,1))</f>
        <v>0</v>
      </c>
      <c r="AZ57" s="67">
        <f t="array" ref="AZ57">SUM(IF(ISERR(FIND(AZ$4,$D57:$AI57)),0,1))</f>
        <v>0</v>
      </c>
      <c r="BA57" s="67">
        <f t="array" ref="BA57">SUM(IF(ISERR(FIND(BA$4,$D57:$AI57)),0,1))</f>
        <v>0</v>
      </c>
      <c r="BB57" s="67">
        <f t="array" ref="BB57">SUM(IF(ISERR(FIND(BB$4,$D57:$AI57)),0,1))</f>
        <v>0</v>
      </c>
      <c r="BC57" s="67">
        <f t="array" ref="BC57">SUM(IF(ISERR(FIND(BC$4,$D57:$AI57)),0,1))</f>
        <v>0</v>
      </c>
      <c r="BD57" s="67">
        <f t="shared" si="108"/>
        <v>0</v>
      </c>
      <c r="BE57" s="67">
        <f t="shared" si="109"/>
        <v>0</v>
      </c>
      <c r="BF57" s="67">
        <f t="shared" si="110"/>
        <v>0</v>
      </c>
      <c r="BG57" s="67">
        <f t="shared" si="111"/>
        <v>0</v>
      </c>
      <c r="BH57" s="67">
        <f t="shared" si="112"/>
        <v>0</v>
      </c>
      <c r="BI57" s="67">
        <f t="shared" si="113"/>
        <v>0</v>
      </c>
      <c r="BJ57" s="67">
        <f t="shared" si="114"/>
        <v>0</v>
      </c>
      <c r="BK57" s="67">
        <f t="shared" si="115"/>
        <v>0</v>
      </c>
      <c r="BL57" s="64">
        <f t="shared" si="116"/>
        <v>5.6999999999999998E-4</v>
      </c>
      <c r="BM57" s="64">
        <f t="shared" si="86"/>
        <v>43</v>
      </c>
      <c r="BN57" s="64">
        <v>48</v>
      </c>
      <c r="BO57" s="85" t="str">
        <f t="shared" si="117"/>
        <v/>
      </c>
      <c r="BP57" s="93" t="e">
        <f t="shared" si="118"/>
        <v>#DIV/0!</v>
      </c>
      <c r="BQ57" s="171">
        <f t="shared" si="119"/>
        <v>0</v>
      </c>
      <c r="BR57" s="64" t="str">
        <f t="shared" si="120"/>
        <v/>
      </c>
      <c r="BS57" s="64" t="str">
        <f t="shared" si="121"/>
        <v/>
      </c>
      <c r="BT57" s="67">
        <f t="shared" si="122"/>
        <v>0</v>
      </c>
      <c r="BU57" s="64" t="str">
        <f t="shared" si="123"/>
        <v/>
      </c>
      <c r="BV57" s="67">
        <f t="shared" si="124"/>
        <v>0</v>
      </c>
      <c r="BW57" s="64" t="str">
        <f t="shared" si="125"/>
        <v/>
      </c>
      <c r="BX57" s="67">
        <f t="shared" si="126"/>
        <v>0</v>
      </c>
      <c r="BY57" s="64" t="str">
        <f t="shared" si="127"/>
        <v/>
      </c>
      <c r="BZ57" s="64">
        <f t="shared" si="62"/>
        <v>0</v>
      </c>
      <c r="CA57" s="64" t="str">
        <f t="shared" si="63"/>
        <v>Taylor C</v>
      </c>
      <c r="CB57" s="64">
        <f t="shared" si="64"/>
        <v>0</v>
      </c>
      <c r="CC57" s="64" t="str">
        <f t="shared" si="65"/>
        <v>Taylor C</v>
      </c>
    </row>
    <row r="58" spans="2:81" x14ac:dyDescent="0.15">
      <c r="B58" s="116" t="s">
        <v>521</v>
      </c>
      <c r="C58" s="116" t="s">
        <v>522</v>
      </c>
      <c r="D58"/>
      <c r="E58"/>
      <c r="F58"/>
      <c r="G58"/>
      <c r="H58"/>
      <c r="I58"/>
      <c r="J58"/>
      <c r="K58" s="116"/>
      <c r="L58"/>
      <c r="M58" t="s">
        <v>524</v>
      </c>
      <c r="N58" s="116"/>
      <c r="O58" s="116"/>
      <c r="P58" s="116"/>
      <c r="Q58" s="116"/>
      <c r="R58" s="116"/>
      <c r="S58" s="116"/>
      <c r="T58" s="116"/>
      <c r="U58" s="116"/>
      <c r="V58" s="116"/>
      <c r="W58" s="116"/>
      <c r="X58" s="116"/>
      <c r="Z58" s="116"/>
      <c r="AJ58" s="116" t="str">
        <f t="shared" si="31"/>
        <v>Turner</v>
      </c>
      <c r="AK58" s="64">
        <f t="shared" si="98"/>
        <v>1</v>
      </c>
      <c r="AL58" s="64">
        <f t="shared" si="99"/>
        <v>0</v>
      </c>
      <c r="AM58" s="64">
        <f t="shared" si="100"/>
        <v>1</v>
      </c>
      <c r="AN58" s="64">
        <f t="shared" si="101"/>
        <v>1</v>
      </c>
      <c r="AO58" s="64">
        <f t="shared" si="102"/>
        <v>-16</v>
      </c>
      <c r="AP58" s="68" t="str">
        <f t="shared" si="103"/>
        <v>16*</v>
      </c>
      <c r="AQ58" s="64">
        <f t="shared" si="104"/>
        <v>16</v>
      </c>
      <c r="AR58" s="66">
        <f t="shared" si="105"/>
        <v>0</v>
      </c>
      <c r="AS58" s="64">
        <f t="shared" si="106"/>
        <v>0</v>
      </c>
      <c r="AT58" s="67">
        <f t="array" ref="AT58">SUM(IF(ISERR(FIND("*",D58:AI58)),0,1))</f>
        <v>0</v>
      </c>
      <c r="AU58" s="67">
        <f t="array" ref="AU58">SUM(IF(ISERR(FIND("+",D58:AI58)),0,1))</f>
        <v>0</v>
      </c>
      <c r="AV58" s="64">
        <f t="shared" si="107"/>
        <v>0</v>
      </c>
      <c r="AW58" s="67">
        <f t="array" ref="AW58">SUM(IF(ISERR(FIND(AW$4,$D58:$AI58)),0,1))</f>
        <v>0</v>
      </c>
      <c r="AX58" s="67">
        <f t="array" ref="AX58">SUM(IF(ISERR(FIND(AX$4,$D58:$AI58)),0,1))</f>
        <v>0</v>
      </c>
      <c r="AY58" s="67">
        <f t="array" ref="AY58">SUM(IF(ISERR(FIND(AY$4,$D58:$AI58)),0,1))</f>
        <v>0</v>
      </c>
      <c r="AZ58" s="67">
        <f t="array" ref="AZ58">SUM(IF(ISERR(FIND(AZ$4,$D58:$AI58)),0,1))</f>
        <v>0</v>
      </c>
      <c r="BA58" s="67">
        <f t="array" ref="BA58">SUM(IF(ISERR(FIND(BA$4,$D58:$AI58)),0,1))</f>
        <v>0</v>
      </c>
      <c r="BB58" s="67">
        <f t="array" ref="BB58">SUM(IF(ISERR(FIND(BB$4,$D58:$AI58)),0,1))</f>
        <v>0</v>
      </c>
      <c r="BC58" s="67">
        <f t="array" ref="BC58">SUM(IF(ISERR(FIND(BC$4,$D58:$AI58)),0,1))</f>
        <v>0</v>
      </c>
      <c r="BD58" s="67">
        <f t="shared" si="108"/>
        <v>0</v>
      </c>
      <c r="BE58" s="67">
        <f t="shared" si="109"/>
        <v>0</v>
      </c>
      <c r="BF58" s="67">
        <f t="shared" si="110"/>
        <v>0</v>
      </c>
      <c r="BG58" s="67">
        <f t="shared" si="111"/>
        <v>1</v>
      </c>
      <c r="BH58" s="67">
        <f t="shared" si="112"/>
        <v>0</v>
      </c>
      <c r="BI58" s="67">
        <f t="shared" si="113"/>
        <v>0</v>
      </c>
      <c r="BJ58" s="67">
        <f t="shared" si="114"/>
        <v>0</v>
      </c>
      <c r="BK58" s="67">
        <f t="shared" si="115"/>
        <v>0</v>
      </c>
      <c r="BL58" s="64">
        <f t="shared" si="116"/>
        <v>101.16058</v>
      </c>
      <c r="BM58" s="64">
        <f t="shared" si="86"/>
        <v>34</v>
      </c>
      <c r="BN58" s="64">
        <v>49</v>
      </c>
      <c r="BO58" s="85" t="str">
        <f t="shared" si="117"/>
        <v/>
      </c>
      <c r="BP58" s="93" t="e">
        <f t="shared" si="118"/>
        <v>#DIV/0!</v>
      </c>
      <c r="BQ58" s="171">
        <f t="shared" si="119"/>
        <v>0</v>
      </c>
      <c r="BR58" s="64" t="str">
        <f t="shared" si="120"/>
        <v/>
      </c>
      <c r="BS58" s="64" t="str">
        <f t="shared" si="121"/>
        <v/>
      </c>
      <c r="BT58" s="67">
        <f t="shared" si="122"/>
        <v>0</v>
      </c>
      <c r="BU58" s="64" t="str">
        <f t="shared" si="123"/>
        <v/>
      </c>
      <c r="BV58" s="67">
        <f t="shared" si="124"/>
        <v>1</v>
      </c>
      <c r="BW58" s="64" t="str">
        <f t="shared" si="125"/>
        <v>Turner</v>
      </c>
      <c r="BX58" s="67">
        <f t="shared" si="126"/>
        <v>0</v>
      </c>
      <c r="BY58" s="64" t="str">
        <f t="shared" si="127"/>
        <v/>
      </c>
      <c r="BZ58" s="64">
        <f t="shared" si="62"/>
        <v>1</v>
      </c>
      <c r="CA58" s="64" t="str">
        <f t="shared" si="63"/>
        <v>Turner</v>
      </c>
      <c r="CB58" s="64">
        <f t="shared" si="64"/>
        <v>0</v>
      </c>
      <c r="CC58" s="64" t="str">
        <f t="shared" si="65"/>
        <v>Turner</v>
      </c>
    </row>
    <row r="59" spans="2:81" x14ac:dyDescent="0.15">
      <c r="B59" s="116"/>
      <c r="C59" s="116" t="s">
        <v>414</v>
      </c>
      <c r="D59"/>
      <c r="E59"/>
      <c r="F59" t="s">
        <v>415</v>
      </c>
      <c r="G59"/>
      <c r="H59"/>
      <c r="I59"/>
      <c r="J59"/>
      <c r="K59" s="116"/>
      <c r="L59"/>
      <c r="M59"/>
      <c r="N59" s="116"/>
      <c r="O59" s="116"/>
      <c r="P59" s="116"/>
      <c r="Q59" s="116"/>
      <c r="R59" s="116"/>
      <c r="S59" s="116"/>
      <c r="T59" s="116"/>
      <c r="U59" s="116"/>
      <c r="V59" s="116"/>
      <c r="W59" s="116"/>
      <c r="X59" s="116"/>
      <c r="Z59" s="116"/>
      <c r="AJ59" s="64" t="str">
        <f t="shared" si="31"/>
        <v>Umar S</v>
      </c>
      <c r="AK59" s="64">
        <f t="shared" si="98"/>
        <v>1</v>
      </c>
      <c r="AL59" s="64">
        <f t="shared" si="99"/>
        <v>0</v>
      </c>
      <c r="AM59" s="64">
        <f t="shared" si="100"/>
        <v>1</v>
      </c>
      <c r="AN59" s="64">
        <f t="shared" si="101"/>
        <v>0</v>
      </c>
      <c r="AO59" s="64">
        <f t="shared" si="102"/>
        <v>13</v>
      </c>
      <c r="AP59" s="68">
        <f t="shared" si="103"/>
        <v>13</v>
      </c>
      <c r="AQ59" s="64">
        <f t="shared" si="104"/>
        <v>13</v>
      </c>
      <c r="AR59" s="66">
        <f t="shared" si="105"/>
        <v>13</v>
      </c>
      <c r="AS59" s="64">
        <f t="shared" si="106"/>
        <v>0</v>
      </c>
      <c r="AT59" s="67">
        <f t="array" ref="AT59">SUM(IF(ISERR(FIND("*",D59:AI59)),0,1))</f>
        <v>0</v>
      </c>
      <c r="AU59" s="67">
        <f t="array" ref="AU59">SUM(IF(ISERR(FIND("+",D59:AI59)),0,1))</f>
        <v>0</v>
      </c>
      <c r="AV59" s="64">
        <f t="shared" si="107"/>
        <v>0</v>
      </c>
      <c r="AW59" s="67">
        <f t="array" ref="AW59">SUM(IF(ISERR(FIND(AW$4,$D59:$AI59)),0,1))</f>
        <v>0</v>
      </c>
      <c r="AX59" s="67">
        <f t="array" ref="AX59">SUM(IF(ISERR(FIND(AX$4,$D59:$AI59)),0,1))</f>
        <v>1</v>
      </c>
      <c r="AY59" s="67">
        <f t="array" ref="AY59">SUM(IF(ISERR(FIND(AY$4,$D59:$AI59)),0,1))</f>
        <v>0</v>
      </c>
      <c r="AZ59" s="67">
        <f t="array" ref="AZ59">SUM(IF(ISERR(FIND(AZ$4,$D59:$AI59)),0,1))</f>
        <v>0</v>
      </c>
      <c r="BA59" s="67">
        <f t="array" ref="BA59">SUM(IF(ISERR(FIND(BA$4,$D59:$AI59)),0,1))</f>
        <v>0</v>
      </c>
      <c r="BB59" s="67">
        <f t="array" ref="BB59">SUM(IF(ISERR(FIND(BB$4,$D59:$AI59)),0,1))</f>
        <v>0</v>
      </c>
      <c r="BC59" s="67">
        <f t="array" ref="BC59">SUM(IF(ISERR(FIND(BC$4,$D59:$AI59)),0,1))</f>
        <v>0</v>
      </c>
      <c r="BD59" s="67">
        <f t="shared" si="108"/>
        <v>0</v>
      </c>
      <c r="BE59" s="67">
        <f t="shared" si="109"/>
        <v>0</v>
      </c>
      <c r="BF59" s="67">
        <f t="shared" si="110"/>
        <v>0</v>
      </c>
      <c r="BG59" s="67">
        <f t="shared" si="111"/>
        <v>1</v>
      </c>
      <c r="BH59" s="67">
        <f t="shared" si="112"/>
        <v>0</v>
      </c>
      <c r="BI59" s="67">
        <f t="shared" si="113"/>
        <v>0</v>
      </c>
      <c r="BJ59" s="67">
        <f t="shared" si="114"/>
        <v>0</v>
      </c>
      <c r="BK59" s="67">
        <f t="shared" si="115"/>
        <v>0</v>
      </c>
      <c r="BL59" s="64">
        <f t="shared" si="116"/>
        <v>1300101.13059</v>
      </c>
      <c r="BM59" s="64">
        <f t="shared" si="86"/>
        <v>18</v>
      </c>
      <c r="BN59" s="64">
        <v>50</v>
      </c>
      <c r="BO59" s="85" t="str">
        <f t="shared" si="117"/>
        <v/>
      </c>
      <c r="BP59" s="93">
        <f t="shared" si="118"/>
        <v>0</v>
      </c>
      <c r="BQ59" s="171">
        <f t="shared" si="119"/>
        <v>0</v>
      </c>
      <c r="BR59" s="64" t="str">
        <f t="shared" si="120"/>
        <v/>
      </c>
      <c r="BS59" s="64" t="str">
        <f t="shared" si="121"/>
        <v/>
      </c>
      <c r="BT59" s="67">
        <f t="shared" si="122"/>
        <v>0</v>
      </c>
      <c r="BU59" s="64" t="str">
        <f t="shared" si="123"/>
        <v/>
      </c>
      <c r="BV59" s="67">
        <f t="shared" si="124"/>
        <v>1</v>
      </c>
      <c r="BW59" s="64" t="str">
        <f t="shared" si="125"/>
        <v>Umar S</v>
      </c>
      <c r="BX59" s="67">
        <f t="shared" si="126"/>
        <v>0</v>
      </c>
      <c r="BY59" s="64" t="str">
        <f t="shared" si="127"/>
        <v/>
      </c>
      <c r="BZ59" s="64">
        <f t="shared" si="62"/>
        <v>1</v>
      </c>
      <c r="CA59" s="64" t="str">
        <f t="shared" si="63"/>
        <v>Umar S</v>
      </c>
      <c r="CB59" s="64">
        <f t="shared" si="64"/>
        <v>0</v>
      </c>
      <c r="CC59" s="64" t="str">
        <f t="shared" si="65"/>
        <v>Umar S</v>
      </c>
    </row>
    <row r="60" spans="2:81" x14ac:dyDescent="0.15">
      <c r="B60" s="116" t="s">
        <v>231</v>
      </c>
      <c r="C60" s="116" t="s">
        <v>236</v>
      </c>
      <c r="D60"/>
      <c r="E60"/>
      <c r="F60"/>
      <c r="G60"/>
      <c r="H60"/>
      <c r="I60" t="s">
        <v>458</v>
      </c>
      <c r="J60" t="s">
        <v>467</v>
      </c>
      <c r="K60" s="116"/>
      <c r="L60" s="116"/>
      <c r="M60"/>
      <c r="N60" s="116"/>
      <c r="O60" s="116"/>
      <c r="P60" s="116"/>
      <c r="Q60" s="116"/>
      <c r="R60" s="116"/>
      <c r="S60" s="116"/>
      <c r="T60" s="116"/>
      <c r="U60" s="116"/>
      <c r="V60" s="116"/>
      <c r="W60" s="116"/>
      <c r="X60" s="116" t="s">
        <v>700</v>
      </c>
      <c r="Y60" s="116"/>
      <c r="Z60" s="116"/>
      <c r="AJ60" s="64" t="str">
        <f t="shared" si="31"/>
        <v>Viveganandan M</v>
      </c>
      <c r="AK60" s="64">
        <f t="shared" si="98"/>
        <v>3</v>
      </c>
      <c r="AL60" s="64">
        <f t="shared" si="99"/>
        <v>0</v>
      </c>
      <c r="AM60" s="64">
        <f t="shared" si="100"/>
        <v>3</v>
      </c>
      <c r="AN60" s="64">
        <f t="shared" si="101"/>
        <v>1</v>
      </c>
      <c r="AO60" s="64">
        <f t="shared" si="102"/>
        <v>43</v>
      </c>
      <c r="AP60" s="68">
        <f t="shared" si="103"/>
        <v>43</v>
      </c>
      <c r="AQ60" s="64">
        <f t="shared" si="104"/>
        <v>50</v>
      </c>
      <c r="AR60" s="66">
        <f t="shared" si="105"/>
        <v>25</v>
      </c>
      <c r="AS60" s="64">
        <f t="shared" si="106"/>
        <v>0</v>
      </c>
      <c r="AT60" s="67">
        <f t="array" ref="AT60">SUM(IF(ISERR(FIND("*",D60:AI60)),0,1))</f>
        <v>0</v>
      </c>
      <c r="AU60" s="67">
        <f t="array" ref="AU60">SUM(IF(ISERR(FIND("+",D60:AI60)),0,1))</f>
        <v>0</v>
      </c>
      <c r="AV60" s="64">
        <f t="shared" si="107"/>
        <v>0</v>
      </c>
      <c r="AW60" s="67">
        <f t="array" ref="AW60">SUM(IF(ISERR(FIND(AW$4,$D60:$AI60)),0,1))</f>
        <v>1</v>
      </c>
      <c r="AX60" s="67">
        <f t="array" ref="AX60">SUM(IF(ISERR(FIND(AX$4,$D60:$AI60)),0,1))</f>
        <v>1</v>
      </c>
      <c r="AY60" s="67">
        <f t="array" ref="AY60">SUM(IF(ISERR(FIND(AY$4,$D60:$AI60)),0,1))</f>
        <v>0</v>
      </c>
      <c r="AZ60" s="67">
        <f t="array" ref="AZ60">SUM(IF(ISERR(FIND(AZ$4,$D60:$AI60)),0,1))</f>
        <v>0</v>
      </c>
      <c r="BA60" s="67">
        <f t="array" ref="BA60">SUM(IF(ISERR(FIND(BA$4,$D60:$AI60)),0,1))</f>
        <v>0</v>
      </c>
      <c r="BB60" s="67">
        <f t="array" ref="BB60">SUM(IF(ISERR(FIND(BB$4,$D60:$AI60)),0,1))</f>
        <v>0</v>
      </c>
      <c r="BC60" s="67">
        <f t="array" ref="BC60">SUM(IF(ISERR(FIND(BC$4,$D60:$AI60)),0,1))</f>
        <v>0</v>
      </c>
      <c r="BD60" s="67">
        <f t="shared" si="108"/>
        <v>0</v>
      </c>
      <c r="BE60" s="67">
        <f t="shared" si="109"/>
        <v>0</v>
      </c>
      <c r="BF60" s="67">
        <f t="shared" si="110"/>
        <v>0</v>
      </c>
      <c r="BG60" s="67">
        <f t="shared" si="111"/>
        <v>11</v>
      </c>
      <c r="BH60" s="67">
        <f t="shared" si="112"/>
        <v>0</v>
      </c>
      <c r="BI60" s="67">
        <f t="shared" si="113"/>
        <v>0</v>
      </c>
      <c r="BJ60" s="67">
        <f t="shared" si="114"/>
        <v>0</v>
      </c>
      <c r="BK60" s="67">
        <f t="shared" si="115"/>
        <v>1</v>
      </c>
      <c r="BL60" s="64">
        <f t="shared" si="116"/>
        <v>2500303.5005999999</v>
      </c>
      <c r="BM60" s="64">
        <f t="shared" si="86"/>
        <v>11</v>
      </c>
      <c r="BN60" s="64">
        <v>51</v>
      </c>
      <c r="BO60" s="85">
        <f t="shared" si="117"/>
        <v>5.98</v>
      </c>
      <c r="BP60" s="93">
        <f t="shared" si="118"/>
        <v>0</v>
      </c>
      <c r="BQ60" s="171">
        <f t="shared" si="119"/>
        <v>0</v>
      </c>
      <c r="BR60" s="64" t="str">
        <f t="shared" si="120"/>
        <v/>
      </c>
      <c r="BS60" s="64" t="str">
        <f t="shared" si="121"/>
        <v/>
      </c>
      <c r="BT60" s="67">
        <f t="shared" si="122"/>
        <v>0</v>
      </c>
      <c r="BU60" s="64" t="str">
        <f t="shared" si="123"/>
        <v/>
      </c>
      <c r="BV60" s="67">
        <f t="shared" si="124"/>
        <v>11</v>
      </c>
      <c r="BW60" s="64" t="str">
        <f t="shared" si="125"/>
        <v>Viveganandan M</v>
      </c>
      <c r="BX60" s="67">
        <f t="shared" si="126"/>
        <v>1</v>
      </c>
      <c r="BY60" s="64" t="str">
        <f t="shared" si="127"/>
        <v>Viveganandan M</v>
      </c>
      <c r="BZ60" s="64">
        <f t="shared" si="62"/>
        <v>3</v>
      </c>
      <c r="CA60" s="64" t="str">
        <f t="shared" si="63"/>
        <v>Viveganandan M</v>
      </c>
      <c r="CB60" s="64">
        <f t="shared" si="64"/>
        <v>0</v>
      </c>
      <c r="CC60" s="64" t="str">
        <f t="shared" si="65"/>
        <v>Viveganandan M</v>
      </c>
    </row>
    <row r="61" spans="2:81" x14ac:dyDescent="0.15">
      <c r="B61" s="116" t="s">
        <v>261</v>
      </c>
      <c r="C61" s="116" t="s">
        <v>233</v>
      </c>
      <c r="D61"/>
      <c r="E61"/>
      <c r="F61"/>
      <c r="G61"/>
      <c r="H61"/>
      <c r="I61"/>
      <c r="J61"/>
      <c r="K61" s="116"/>
      <c r="L61"/>
      <c r="M61"/>
      <c r="N61" s="116"/>
      <c r="O61" s="116"/>
      <c r="P61" s="116"/>
      <c r="Q61"/>
      <c r="R61" s="116"/>
      <c r="S61" s="116"/>
      <c r="T61"/>
      <c r="U61" s="116"/>
      <c r="V61"/>
      <c r="W61" s="116"/>
      <c r="X61" s="116"/>
      <c r="Y61" s="116"/>
      <c r="Z61" s="116"/>
      <c r="AJ61" s="64" t="str">
        <f t="shared" si="31"/>
        <v>Wilson A</v>
      </c>
      <c r="AK61" s="64">
        <f t="shared" si="98"/>
        <v>0</v>
      </c>
      <c r="AL61" s="64">
        <f t="shared" si="99"/>
        <v>0</v>
      </c>
      <c r="AM61" s="64">
        <f t="shared" si="100"/>
        <v>0</v>
      </c>
      <c r="AN61" s="64">
        <f t="shared" si="101"/>
        <v>0</v>
      </c>
      <c r="AO61" s="64">
        <f t="shared" si="102"/>
        <v>0</v>
      </c>
      <c r="AP61" s="68">
        <f t="shared" si="103"/>
        <v>0</v>
      </c>
      <c r="AQ61" s="64">
        <f t="shared" si="104"/>
        <v>0</v>
      </c>
      <c r="AR61" s="66">
        <f t="shared" si="105"/>
        <v>0</v>
      </c>
      <c r="AS61" s="64">
        <f t="shared" si="106"/>
        <v>0</v>
      </c>
      <c r="AT61" s="67">
        <f t="array" ref="AT61">SUM(IF(ISERR(FIND("*",D61:AI61)),0,1))</f>
        <v>0</v>
      </c>
      <c r="AU61" s="67">
        <f t="array" ref="AU61">SUM(IF(ISERR(FIND("+",D61:AI61)),0,1))</f>
        <v>0</v>
      </c>
      <c r="AV61" s="64">
        <f t="shared" si="107"/>
        <v>0</v>
      </c>
      <c r="AW61" s="67">
        <f t="array" ref="AW61">SUM(IF(ISERR(FIND(AW$4,$D61:$AI61)),0,1))</f>
        <v>0</v>
      </c>
      <c r="AX61" s="67">
        <f t="array" ref="AX61">SUM(IF(ISERR(FIND(AX$4,$D61:$AI61)),0,1))</f>
        <v>0</v>
      </c>
      <c r="AY61" s="67">
        <f t="array" ref="AY61">SUM(IF(ISERR(FIND(AY$4,$D61:$AI61)),0,1))</f>
        <v>0</v>
      </c>
      <c r="AZ61" s="67">
        <f t="array" ref="AZ61">SUM(IF(ISERR(FIND(AZ$4,$D61:$AI61)),0,1))</f>
        <v>0</v>
      </c>
      <c r="BA61" s="67">
        <f t="array" ref="BA61">SUM(IF(ISERR(FIND(BA$4,$D61:$AI61)),0,1))</f>
        <v>0</v>
      </c>
      <c r="BB61" s="67">
        <f t="array" ref="BB61">SUM(IF(ISERR(FIND(BB$4,$D61:$AI61)),0,1))</f>
        <v>0</v>
      </c>
      <c r="BC61" s="67">
        <f t="array" ref="BC61">SUM(IF(ISERR(FIND(BC$4,$D61:$AI61)),0,1))</f>
        <v>0</v>
      </c>
      <c r="BD61" s="67">
        <f t="shared" si="108"/>
        <v>0</v>
      </c>
      <c r="BE61" s="67">
        <f t="shared" si="109"/>
        <v>0</v>
      </c>
      <c r="BF61" s="67">
        <f t="shared" si="110"/>
        <v>0</v>
      </c>
      <c r="BG61" s="67">
        <f t="shared" si="111"/>
        <v>0</v>
      </c>
      <c r="BH61" s="67">
        <f t="shared" si="112"/>
        <v>0</v>
      </c>
      <c r="BI61" s="67">
        <f t="shared" si="113"/>
        <v>0</v>
      </c>
      <c r="BJ61" s="67">
        <f t="shared" si="114"/>
        <v>0</v>
      </c>
      <c r="BK61" s="67">
        <f t="shared" si="115"/>
        <v>0</v>
      </c>
      <c r="BL61" s="64">
        <f t="shared" si="116"/>
        <v>6.0999999999999997E-4</v>
      </c>
      <c r="BM61" s="64">
        <f t="shared" si="86"/>
        <v>42</v>
      </c>
      <c r="BN61" s="64">
        <v>52</v>
      </c>
      <c r="BO61" s="85" t="str">
        <f t="shared" si="117"/>
        <v/>
      </c>
      <c r="BP61" s="93" t="e">
        <f t="shared" si="118"/>
        <v>#DIV/0!</v>
      </c>
      <c r="BQ61" s="171">
        <f t="shared" si="119"/>
        <v>0</v>
      </c>
      <c r="BR61" s="64" t="str">
        <f t="shared" si="120"/>
        <v/>
      </c>
      <c r="BS61" s="64" t="str">
        <f t="shared" si="121"/>
        <v/>
      </c>
      <c r="BT61" s="67">
        <f t="shared" si="122"/>
        <v>0</v>
      </c>
      <c r="BU61" s="64" t="str">
        <f t="shared" si="123"/>
        <v/>
      </c>
      <c r="BV61" s="67">
        <f t="shared" si="124"/>
        <v>0</v>
      </c>
      <c r="BW61" s="64" t="str">
        <f t="shared" si="125"/>
        <v/>
      </c>
      <c r="BX61" s="67">
        <f t="shared" si="126"/>
        <v>0</v>
      </c>
      <c r="BY61" s="64" t="str">
        <f t="shared" si="127"/>
        <v/>
      </c>
      <c r="BZ61" s="64">
        <f t="shared" si="62"/>
        <v>0</v>
      </c>
      <c r="CA61" s="64" t="str">
        <f t="shared" si="63"/>
        <v>Wilson A</v>
      </c>
      <c r="CB61" s="64">
        <f t="shared" si="64"/>
        <v>0</v>
      </c>
      <c r="CC61" s="64" t="str">
        <f t="shared" si="65"/>
        <v>Wilson A</v>
      </c>
    </row>
    <row r="62" spans="2:81" x14ac:dyDescent="0.15">
      <c r="B62" t="s">
        <v>247</v>
      </c>
      <c r="C62" t="s">
        <v>252</v>
      </c>
      <c r="D62" s="116"/>
      <c r="E62" s="116"/>
      <c r="F62" s="116"/>
      <c r="G62" s="116"/>
      <c r="H62" s="116"/>
      <c r="I62" s="116"/>
      <c r="J62"/>
      <c r="K62" s="116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J62" s="64" t="str">
        <f t="shared" si="31"/>
        <v>Woodhouse M</v>
      </c>
      <c r="AK62" s="64">
        <f t="shared" si="98"/>
        <v>0</v>
      </c>
      <c r="AL62" s="64">
        <f t="shared" si="99"/>
        <v>0</v>
      </c>
      <c r="AM62" s="64">
        <f t="shared" si="100"/>
        <v>0</v>
      </c>
      <c r="AN62" s="64">
        <f t="shared" si="101"/>
        <v>0</v>
      </c>
      <c r="AO62" s="64">
        <f t="shared" si="102"/>
        <v>0</v>
      </c>
      <c r="AP62" s="68">
        <f t="shared" si="103"/>
        <v>0</v>
      </c>
      <c r="AQ62" s="64">
        <f t="shared" si="104"/>
        <v>0</v>
      </c>
      <c r="AR62" s="66">
        <f t="shared" si="105"/>
        <v>0</v>
      </c>
      <c r="AS62" s="64">
        <f t="shared" si="106"/>
        <v>0</v>
      </c>
      <c r="AT62" s="67">
        <f t="array" ref="AT62">SUM(IF(ISERR(FIND("*",D62:AI62)),0,1))</f>
        <v>0</v>
      </c>
      <c r="AU62" s="67">
        <f t="array" ref="AU62">SUM(IF(ISERR(FIND("+",D62:AI62)),0,1))</f>
        <v>0</v>
      </c>
      <c r="AV62" s="64">
        <f t="shared" si="107"/>
        <v>0</v>
      </c>
      <c r="AW62" s="67">
        <f t="array" ref="AW62">SUM(IF(ISERR(FIND(AW$4,$D62:$AI62)),0,1))</f>
        <v>0</v>
      </c>
      <c r="AX62" s="67">
        <f t="array" ref="AX62">SUM(IF(ISERR(FIND(AX$4,$D62:$AI62)),0,1))</f>
        <v>0</v>
      </c>
      <c r="AY62" s="67">
        <f t="array" ref="AY62">SUM(IF(ISERR(FIND(AY$4,$D62:$AI62)),0,1))</f>
        <v>0</v>
      </c>
      <c r="AZ62" s="67">
        <f t="array" ref="AZ62">SUM(IF(ISERR(FIND(AZ$4,$D62:$AI62)),0,1))</f>
        <v>0</v>
      </c>
      <c r="BA62" s="67">
        <f t="array" ref="BA62">SUM(IF(ISERR(FIND(BA$4,$D62:$AI62)),0,1))</f>
        <v>0</v>
      </c>
      <c r="BB62" s="67">
        <f t="array" ref="BB62">SUM(IF(ISERR(FIND(BB$4,$D62:$AI62)),0,1))</f>
        <v>0</v>
      </c>
      <c r="BC62" s="67">
        <f t="array" ref="BC62">SUM(IF(ISERR(FIND(BC$4,$D62:$AI62)),0,1))</f>
        <v>0</v>
      </c>
      <c r="BD62" s="67">
        <f t="shared" si="108"/>
        <v>0</v>
      </c>
      <c r="BE62" s="67">
        <f t="shared" si="109"/>
        <v>0</v>
      </c>
      <c r="BF62" s="67">
        <f t="shared" si="110"/>
        <v>0</v>
      </c>
      <c r="BG62" s="67">
        <f t="shared" si="111"/>
        <v>0</v>
      </c>
      <c r="BH62" s="67">
        <f t="shared" si="112"/>
        <v>0</v>
      </c>
      <c r="BI62" s="67">
        <f t="shared" si="113"/>
        <v>0</v>
      </c>
      <c r="BJ62" s="67">
        <f t="shared" si="114"/>
        <v>0</v>
      </c>
      <c r="BK62" s="67">
        <f t="shared" si="115"/>
        <v>0</v>
      </c>
      <c r="BL62" s="64">
        <f t="shared" si="116"/>
        <v>6.2E-4</v>
      </c>
      <c r="BM62" s="64">
        <f t="shared" si="86"/>
        <v>41</v>
      </c>
      <c r="BN62" s="64">
        <v>53</v>
      </c>
      <c r="BO62" s="85" t="str">
        <f t="shared" si="117"/>
        <v/>
      </c>
      <c r="BP62" s="93" t="e">
        <f t="shared" si="118"/>
        <v>#DIV/0!</v>
      </c>
      <c r="BQ62" s="171">
        <f t="shared" si="119"/>
        <v>0</v>
      </c>
      <c r="BR62" s="64" t="str">
        <f t="shared" si="120"/>
        <v/>
      </c>
      <c r="BS62" s="64" t="str">
        <f t="shared" si="121"/>
        <v/>
      </c>
      <c r="BT62" s="67">
        <f t="shared" si="122"/>
        <v>0</v>
      </c>
      <c r="BU62" s="64" t="str">
        <f t="shared" si="123"/>
        <v/>
      </c>
      <c r="BV62" s="67">
        <f t="shared" si="124"/>
        <v>0</v>
      </c>
      <c r="BW62" s="64" t="str">
        <f t="shared" si="125"/>
        <v/>
      </c>
      <c r="BX62" s="67">
        <f t="shared" si="126"/>
        <v>0</v>
      </c>
      <c r="BY62" s="64" t="str">
        <f t="shared" si="127"/>
        <v/>
      </c>
      <c r="BZ62" s="64">
        <f t="shared" si="62"/>
        <v>0</v>
      </c>
      <c r="CA62" s="64" t="str">
        <f t="shared" si="63"/>
        <v>Woodhouse M</v>
      </c>
      <c r="CB62" s="64">
        <f t="shared" si="64"/>
        <v>0</v>
      </c>
      <c r="CC62" s="64" t="str">
        <f t="shared" si="65"/>
        <v>Woodhouse M</v>
      </c>
    </row>
    <row r="63" spans="2:81" x14ac:dyDescent="0.15">
      <c r="AP63" s="68"/>
      <c r="AR63" s="66"/>
      <c r="AT63" s="67"/>
      <c r="AU63" s="67"/>
      <c r="AW63" s="67"/>
      <c r="AX63" s="67"/>
      <c r="AY63" s="67"/>
      <c r="AZ63" s="67"/>
      <c r="BA63" s="67"/>
      <c r="BB63" s="67"/>
      <c r="BC63" s="67"/>
      <c r="BD63" s="67"/>
      <c r="BE63" s="67"/>
    </row>
    <row r="64" spans="2:81" x14ac:dyDescent="0.15">
      <c r="AT64" s="86">
        <f t="shared" ref="AT64:BB64" si="128">SUM(AT5:AT63)</f>
        <v>19</v>
      </c>
      <c r="AU64" s="86">
        <f t="shared" si="128"/>
        <v>14</v>
      </c>
      <c r="AV64" s="57">
        <f t="shared" si="128"/>
        <v>28</v>
      </c>
      <c r="AW64" s="69">
        <f t="shared" si="128"/>
        <v>63</v>
      </c>
      <c r="AX64" s="69">
        <f t="shared" si="128"/>
        <v>62</v>
      </c>
      <c r="AY64" s="69">
        <f t="shared" si="128"/>
        <v>18</v>
      </c>
      <c r="AZ64" s="69">
        <f t="shared" si="128"/>
        <v>4</v>
      </c>
      <c r="BA64" s="69">
        <f t="shared" si="128"/>
        <v>10</v>
      </c>
      <c r="BB64" s="69">
        <f t="shared" si="128"/>
        <v>0</v>
      </c>
      <c r="BC64" s="69"/>
      <c r="BD64" s="69"/>
      <c r="BE64" s="69"/>
      <c r="BF64" s="57">
        <f t="shared" ref="BF64:BK64" si="129">SUM(BF5:BF63)</f>
        <v>44</v>
      </c>
      <c r="BG64" s="57">
        <f t="shared" si="129"/>
        <v>425</v>
      </c>
      <c r="BH64" s="57">
        <f t="shared" si="129"/>
        <v>14</v>
      </c>
      <c r="BI64" s="57">
        <f t="shared" si="129"/>
        <v>4</v>
      </c>
      <c r="BJ64" s="57">
        <f t="shared" si="129"/>
        <v>7</v>
      </c>
      <c r="BK64" s="57">
        <f t="shared" si="129"/>
        <v>49</v>
      </c>
    </row>
    <row r="65" spans="2:83" x14ac:dyDescent="0.15">
      <c r="C65" s="64" t="s">
        <v>119</v>
      </c>
      <c r="D65" s="64">
        <f t="array" ref="D65">SUM(IF(NOT(ISERR(FIND("*",D5:D62))),1,0))</f>
        <v>1</v>
      </c>
      <c r="E65" s="64">
        <f t="array" ref="E65">SUM(IF(NOT(ISERR(FIND("*",E5:E62))),1,0))</f>
        <v>1</v>
      </c>
      <c r="F65" s="64">
        <f t="array" ref="F65">SUM(IF(NOT(ISERR(FIND("*",F5:F62))),1,0))</f>
        <v>1</v>
      </c>
      <c r="G65" s="64">
        <f t="array" ref="G65">SUM(IF(NOT(ISERR(FIND("*",G5:G62))),1,0))</f>
        <v>1</v>
      </c>
      <c r="H65" s="64">
        <f t="array" ref="H65">SUM(IF(NOT(ISERR(FIND("*",H5:H62))),1,0))</f>
        <v>1</v>
      </c>
      <c r="I65" s="64">
        <f t="array" ref="I65">SUM(IF(NOT(ISERR(FIND("*",I5:I62))),1,0))</f>
        <v>1</v>
      </c>
      <c r="J65" s="64">
        <f t="array" ref="J65">SUM(IF(NOT(ISERR(FIND("*",J5:J62))),1,0))</f>
        <v>1</v>
      </c>
      <c r="K65" s="64">
        <f t="array" ref="K65">SUM(IF(NOT(ISERR(FIND("*",K5:K62))),1,0))</f>
        <v>1</v>
      </c>
      <c r="L65" s="64">
        <f t="array" ref="L65">SUM(IF(NOT(ISERR(FIND("*",L5:L62))),1,0))</f>
        <v>1</v>
      </c>
      <c r="M65" s="64">
        <f t="array" ref="M65">SUM(IF(NOT(ISERR(FIND("*",M5:M62))),1,0))</f>
        <v>1</v>
      </c>
      <c r="N65" s="64">
        <f t="array" ref="N65">SUM(IF(NOT(ISERR(FIND("*",N5:N62))),1,0))</f>
        <v>1</v>
      </c>
      <c r="O65" s="64">
        <f t="array" ref="O65">SUM(IF(NOT(ISERR(FIND("*",O5:O62))),1,0))</f>
        <v>1</v>
      </c>
      <c r="P65" s="64">
        <f t="array" ref="P65">SUM(IF(NOT(ISERR(FIND("*",P5:P62))),1,0))</f>
        <v>1</v>
      </c>
      <c r="Q65" s="64">
        <f t="array" ref="Q65">SUM(IF(NOT(ISERR(FIND("*",Q5:Q62))),1,0))</f>
        <v>1</v>
      </c>
      <c r="R65" s="64">
        <f t="array" ref="R65">SUM(IF(NOT(ISERR(FIND("*",R5:R62))),1,0))</f>
        <v>1</v>
      </c>
      <c r="S65" s="64">
        <f t="array" ref="S65">SUM(IF(NOT(ISERR(FIND("*",S5:S62))),1,0))</f>
        <v>0</v>
      </c>
      <c r="T65" s="64">
        <f t="array" ref="T65">SUM(IF(NOT(ISERR(FIND("*",T5:T62))),1,0))</f>
        <v>0</v>
      </c>
      <c r="U65" s="64">
        <f t="array" ref="U65">SUM(IF(NOT(ISERR(FIND("*",U5:U62))),1,0))</f>
        <v>1</v>
      </c>
      <c r="V65" s="64">
        <f t="array" ref="V65">SUM(IF(NOT(ISERR(FIND("*",V5:V62))),1,0))</f>
        <v>1</v>
      </c>
      <c r="W65" s="64">
        <f t="array" ref="W65">SUM(IF(NOT(ISERR(FIND("*",W5:W62))),1,0))</f>
        <v>1</v>
      </c>
      <c r="X65" s="64">
        <f t="array" ref="X65">SUM(IF(NOT(ISERR(FIND("*",X5:X62))),1,0))</f>
        <v>1</v>
      </c>
      <c r="Y65" s="64">
        <f t="array" ref="Y65">SUM(IF(NOT(ISERR(FIND("*",Y5:Y62))),1,0))</f>
        <v>0</v>
      </c>
      <c r="Z65" s="64">
        <f t="array" ref="Z65">SUM(IF(NOT(ISERR(FIND("*",Z5:Z62))),1,0))</f>
        <v>0</v>
      </c>
      <c r="AA65" s="64">
        <f t="array" ref="AA65">SUM(IF(NOT(ISERR(FIND("*",AA5:AA62))),1,0))</f>
        <v>0</v>
      </c>
      <c r="AB65" s="64">
        <f t="array" ref="AB65">SUM(IF(NOT(ISERR(FIND("*",AB5:AB62))),1,0))</f>
        <v>0</v>
      </c>
      <c r="AC65" s="64">
        <f t="array" ref="AC65">SUM(IF(NOT(ISERR(FIND("*",AC5:AC62))),1,0))</f>
        <v>0</v>
      </c>
      <c r="AD65" s="64">
        <f t="array" ref="AD65">SUM(IF(NOT(ISERR(FIND("*",AD5:AD62))),1,0))</f>
        <v>0</v>
      </c>
      <c r="AE65" s="64">
        <f t="array" ref="AE65">SUM(IF(NOT(ISERR(FIND("*",AE5:AE62))),1,0))</f>
        <v>0</v>
      </c>
      <c r="AF65" s="64">
        <f t="array" ref="AF65">SUM(IF(NOT(ISERR(FIND("*",AF5:AF62))),1,0))</f>
        <v>0</v>
      </c>
      <c r="AK65" s="64">
        <f>SUM(D65:AG65)</f>
        <v>19</v>
      </c>
      <c r="AT65" s="87">
        <f>SUM(D65:AG65)</f>
        <v>19</v>
      </c>
      <c r="AU65" s="57"/>
      <c r="AV65" s="57"/>
      <c r="AW65" s="69">
        <f>SUM(AW64:BB64)</f>
        <v>157</v>
      </c>
      <c r="AX65" s="57"/>
      <c r="AY65" s="57"/>
      <c r="AZ65" s="57"/>
      <c r="BA65" s="57"/>
      <c r="BB65" s="57"/>
      <c r="BC65" s="57"/>
      <c r="BD65" s="57"/>
      <c r="BE65" s="57"/>
      <c r="BF65" s="57"/>
      <c r="BG65" s="57"/>
      <c r="BH65" s="57"/>
      <c r="BI65" s="57"/>
      <c r="BJ65" s="57"/>
      <c r="BK65" s="57"/>
      <c r="BQ65"/>
      <c r="BR65"/>
      <c r="BU65" s="111"/>
      <c r="BV65" s="111"/>
    </row>
    <row r="66" spans="2:83" x14ac:dyDescent="0.15">
      <c r="C66" s="64" t="s">
        <v>13</v>
      </c>
      <c r="D66" s="64">
        <f t="array" ref="D66">SUM(IF(NOT(ISERR(FIND("+",D5:D62))),1,0))</f>
        <v>1</v>
      </c>
      <c r="E66" s="64">
        <f t="array" ref="E66">SUM(IF(NOT(ISERR(FIND("+",E5:E62))),1,0))</f>
        <v>1</v>
      </c>
      <c r="F66" s="64">
        <f t="array" ref="F66">SUM(IF(NOT(ISERR(FIND("+",F5:F62))),1,0))</f>
        <v>1</v>
      </c>
      <c r="G66" s="64">
        <f t="array" ref="G66">SUM(IF(NOT(ISERR(FIND("+",G5:G62))),1,0))</f>
        <v>1</v>
      </c>
      <c r="H66" s="64">
        <f t="array" ref="H66">SUM(IF(NOT(ISERR(FIND("+",H5:H62))),1,0))</f>
        <v>0</v>
      </c>
      <c r="I66" s="64">
        <f t="array" ref="I66">SUM(IF(NOT(ISERR(FIND("+",I5:I62))),1,0))</f>
        <v>1</v>
      </c>
      <c r="J66" s="64">
        <f t="array" ref="J66">SUM(IF(NOT(ISERR(FIND("+",J5:J62))),1,0))</f>
        <v>1</v>
      </c>
      <c r="K66" s="64">
        <f t="array" ref="K66">SUM(IF(NOT(ISERR(FIND("+",K5:K62))),1,0))</f>
        <v>1</v>
      </c>
      <c r="L66" s="64">
        <f t="array" ref="L66">SUM(IF(NOT(ISERR(FIND("+",L5:L62))),1,0))</f>
        <v>1</v>
      </c>
      <c r="M66" s="64">
        <f t="array" ref="M66">SUM(IF(NOT(ISERR(FIND("+",M5:M62))),1,0))</f>
        <v>1</v>
      </c>
      <c r="N66" s="64">
        <f t="array" ref="N66">SUM(IF(NOT(ISERR(FIND("+",N5:N62))),1,0))</f>
        <v>1</v>
      </c>
      <c r="O66" s="64">
        <f t="array" ref="O66">SUM(IF(NOT(ISERR(FIND("+",O5:O62))),1,0))</f>
        <v>1</v>
      </c>
      <c r="P66" s="64">
        <f t="array" ref="P66">SUM(IF(NOT(ISERR(FIND("+",P5:P62))),1,0))</f>
        <v>0</v>
      </c>
      <c r="Q66" s="64">
        <f t="array" ref="Q66">SUM(IF(NOT(ISERR(FIND("+",Q5:Q62))),1,0))</f>
        <v>1</v>
      </c>
      <c r="R66" s="64">
        <f t="array" ref="R66">SUM(IF(NOT(ISERR(FIND("+",R5:R62))),1,0))</f>
        <v>0</v>
      </c>
      <c r="S66" s="64">
        <f t="array" ref="S66">SUM(IF(NOT(ISERR(FIND("+",S5:S62))),1,0))</f>
        <v>1</v>
      </c>
      <c r="T66" s="64">
        <f t="array" ref="T66">SUM(IF(NOT(ISERR(FIND("+",T5:T62))),1,0))</f>
        <v>1</v>
      </c>
      <c r="U66" s="64">
        <f t="array" ref="U66">SUM(IF(NOT(ISERR(FIND("+",U5:U62))),1,0))</f>
        <v>0</v>
      </c>
      <c r="V66" s="64">
        <f t="array" ref="V66">SUM(IF(NOT(ISERR(FIND("+",V5:V62))),1,0))</f>
        <v>0</v>
      </c>
      <c r="W66" s="64">
        <f t="array" ref="W66">SUM(IF(NOT(ISERR(FIND("+",W5:W62))),1,0))</f>
        <v>0</v>
      </c>
      <c r="X66" s="64">
        <f t="array" ref="X66">SUM(IF(NOT(ISERR(FIND("+",X5:X62))),1,0))</f>
        <v>0</v>
      </c>
      <c r="Y66" s="64">
        <f t="array" ref="Y66">SUM(IF(NOT(ISERR(FIND("+",Y5:Y62))),1,0))</f>
        <v>0</v>
      </c>
      <c r="Z66" s="64">
        <f t="array" ref="Z66">SUM(IF(NOT(ISERR(FIND("+",Z5:Z62))),1,0))</f>
        <v>0</v>
      </c>
      <c r="AA66" s="64">
        <f t="array" ref="AA66">SUM(IF(NOT(ISERR(FIND("+",AA5:AA62))),1,0))</f>
        <v>0</v>
      </c>
      <c r="AB66" s="64">
        <f t="array" ref="AB66">SUM(IF(NOT(ISERR(FIND("+",AB5:AB62))),1,0))</f>
        <v>0</v>
      </c>
      <c r="AC66" s="64">
        <f t="array" ref="AC66">SUM(IF(NOT(ISERR(FIND("+",AC5:AC62))),1,0))</f>
        <v>0</v>
      </c>
      <c r="AD66" s="64">
        <f t="array" ref="AD66">SUM(IF(NOT(ISERR(FIND("+",AD5:AD62))),1,0))</f>
        <v>0</v>
      </c>
      <c r="AE66" s="64">
        <f t="array" ref="AE66">SUM(IF(NOT(ISERR(FIND("+",AE5:AE62))),1,0))</f>
        <v>0</v>
      </c>
      <c r="AF66" s="64">
        <f t="array" ref="AF66">SUM(IF(NOT(ISERR(FIND("+",AF5:AF62))),1,0))</f>
        <v>0</v>
      </c>
      <c r="AK66" s="64">
        <f>SUM(D66:AG66)</f>
        <v>14</v>
      </c>
      <c r="AT66" s="87">
        <f>SUM(D66:AG66)</f>
        <v>14</v>
      </c>
      <c r="AU66" s="57"/>
      <c r="AV66" s="57"/>
      <c r="AW66" s="102">
        <f t="shared" ref="AW66:BB66" si="130">AW64/$AW$65</f>
        <v>0.40127388535031849</v>
      </c>
      <c r="AX66" s="102">
        <f t="shared" si="130"/>
        <v>0.39490445859872614</v>
      </c>
      <c r="AY66" s="102">
        <f t="shared" si="130"/>
        <v>0.11464968152866242</v>
      </c>
      <c r="AZ66" s="102">
        <f t="shared" si="130"/>
        <v>2.5477707006369428E-2</v>
      </c>
      <c r="BA66" s="102">
        <f t="shared" si="130"/>
        <v>6.3694267515923567E-2</v>
      </c>
      <c r="BB66" s="102">
        <f t="shared" si="130"/>
        <v>0</v>
      </c>
      <c r="BC66" s="102"/>
      <c r="BD66" s="102"/>
      <c r="BE66" s="102"/>
      <c r="BF66" s="57"/>
      <c r="BG66" s="57"/>
      <c r="BH66" s="57"/>
      <c r="BI66" s="57"/>
      <c r="BJ66" s="57"/>
      <c r="BK66" s="57"/>
      <c r="BQ66"/>
      <c r="BR66"/>
      <c r="BU66" s="111"/>
      <c r="BV66" s="111"/>
    </row>
    <row r="67" spans="2:83" x14ac:dyDescent="0.15">
      <c r="BQ67"/>
      <c r="BR67"/>
      <c r="BU67" s="111"/>
      <c r="BV67" s="111"/>
    </row>
    <row r="68" spans="2:83" x14ac:dyDescent="0.15">
      <c r="C68" s="64" t="s">
        <v>110</v>
      </c>
      <c r="D68" s="64">
        <f t="shared" ref="D68:AF68" si="131">BatSplit(D5:D62,RunsScored)</f>
        <v>140</v>
      </c>
      <c r="E68" s="64">
        <f t="shared" si="131"/>
        <v>184</v>
      </c>
      <c r="F68" s="64">
        <f t="shared" si="131"/>
        <v>217</v>
      </c>
      <c r="G68" s="64">
        <f t="shared" si="131"/>
        <v>176</v>
      </c>
      <c r="H68" s="64">
        <f t="shared" si="131"/>
        <v>207</v>
      </c>
      <c r="I68" s="64">
        <f t="shared" si="131"/>
        <v>141</v>
      </c>
      <c r="J68" s="64">
        <f t="shared" si="131"/>
        <v>172</v>
      </c>
      <c r="K68" s="64">
        <f t="shared" si="131"/>
        <v>119</v>
      </c>
      <c r="L68" s="64">
        <f t="shared" si="131"/>
        <v>245</v>
      </c>
      <c r="M68" s="64">
        <f t="shared" si="131"/>
        <v>143</v>
      </c>
      <c r="N68" s="64">
        <f t="shared" si="131"/>
        <v>79</v>
      </c>
      <c r="O68" s="64">
        <f t="shared" si="131"/>
        <v>102</v>
      </c>
      <c r="P68" s="64">
        <f t="shared" si="131"/>
        <v>181</v>
      </c>
      <c r="Q68" s="64">
        <f t="shared" si="131"/>
        <v>147</v>
      </c>
      <c r="R68" s="64">
        <f t="shared" si="131"/>
        <v>166</v>
      </c>
      <c r="S68" s="64">
        <f t="shared" si="131"/>
        <v>154</v>
      </c>
      <c r="T68" s="64">
        <f t="shared" si="131"/>
        <v>127</v>
      </c>
      <c r="U68" s="64">
        <f t="shared" si="131"/>
        <v>42</v>
      </c>
      <c r="V68" s="64">
        <f t="shared" si="131"/>
        <v>108</v>
      </c>
      <c r="W68" s="64">
        <f t="shared" si="131"/>
        <v>111</v>
      </c>
      <c r="X68" s="64">
        <f t="shared" si="131"/>
        <v>153</v>
      </c>
      <c r="Y68" s="64">
        <f t="shared" si="131"/>
        <v>0</v>
      </c>
      <c r="Z68" s="64">
        <f t="shared" si="131"/>
        <v>0</v>
      </c>
      <c r="AA68" s="64">
        <f t="shared" si="131"/>
        <v>0</v>
      </c>
      <c r="AB68" s="64">
        <f t="shared" si="131"/>
        <v>0</v>
      </c>
      <c r="AC68" s="64">
        <f t="shared" si="131"/>
        <v>0</v>
      </c>
      <c r="AD68" s="64">
        <f t="shared" si="131"/>
        <v>0</v>
      </c>
      <c r="AE68" s="64">
        <f t="shared" si="131"/>
        <v>0</v>
      </c>
      <c r="AF68" s="64">
        <f t="shared" si="131"/>
        <v>0</v>
      </c>
      <c r="AK68" s="64">
        <f>SUM(D68:AG68)</f>
        <v>3114</v>
      </c>
      <c r="AM68" s="64">
        <f>SUM(AM5:AM63)</f>
        <v>193</v>
      </c>
      <c r="AN68" s="64">
        <f>SUM(AN5:AN63)</f>
        <v>36</v>
      </c>
      <c r="AO68" s="64">
        <f>SUM(AO5:AO62)</f>
        <v>593</v>
      </c>
      <c r="AQ68" s="64">
        <f>SUM(AQ5:AQ63)</f>
        <v>3114</v>
      </c>
      <c r="AT68" s="64">
        <f>SUM(D68:AG68)</f>
        <v>3114</v>
      </c>
      <c r="BQ68"/>
      <c r="BR68"/>
      <c r="BU68" s="111"/>
      <c r="BV68"/>
    </row>
    <row r="69" spans="2:83" x14ac:dyDescent="0.15">
      <c r="C69" s="64" t="s">
        <v>109</v>
      </c>
      <c r="D69" s="64">
        <f t="array" ref="D69:AF69">TRANSPOSE(Matches!Z5:Z32)</f>
        <v>10</v>
      </c>
      <c r="E69" s="64">
        <v>21</v>
      </c>
      <c r="F69" s="64">
        <v>28</v>
      </c>
      <c r="G69" s="64">
        <v>16</v>
      </c>
      <c r="H69" s="64">
        <v>15</v>
      </c>
      <c r="I69" s="64">
        <v>23</v>
      </c>
      <c r="J69" s="64">
        <v>26</v>
      </c>
      <c r="K69" s="64">
        <v>27</v>
      </c>
      <c r="L69" s="64">
        <v>17</v>
      </c>
      <c r="M69" s="64">
        <v>40</v>
      </c>
      <c r="N69" s="64">
        <v>22</v>
      </c>
      <c r="O69" s="64">
        <v>17</v>
      </c>
      <c r="P69" s="64">
        <v>22</v>
      </c>
      <c r="Q69" s="64">
        <v>15</v>
      </c>
      <c r="R69" s="64">
        <v>14</v>
      </c>
      <c r="S69" s="64">
        <v>35</v>
      </c>
      <c r="T69" s="64">
        <v>14</v>
      </c>
      <c r="U69" s="64">
        <v>12</v>
      </c>
      <c r="V69" s="64">
        <v>31</v>
      </c>
      <c r="W69" s="64">
        <v>25</v>
      </c>
      <c r="X69" s="64">
        <v>23</v>
      </c>
      <c r="Y69" s="64">
        <v>0</v>
      </c>
      <c r="Z69" s="64">
        <v>0</v>
      </c>
      <c r="AA69" s="64">
        <v>0</v>
      </c>
      <c r="AB69" s="64">
        <v>0</v>
      </c>
      <c r="AC69" s="64">
        <v>0</v>
      </c>
      <c r="AD69" s="64">
        <v>0</v>
      </c>
      <c r="AE69" s="64">
        <v>0</v>
      </c>
      <c r="AF69" s="64" t="e">
        <v>#N/A</v>
      </c>
      <c r="AK69" s="64">
        <f>SUM(D69:AE69)</f>
        <v>453</v>
      </c>
      <c r="AT69" s="64">
        <f>SUM(D69:AE69)</f>
        <v>453</v>
      </c>
      <c r="BQ69" s="111"/>
      <c r="BR69" s="111"/>
      <c r="BS69"/>
      <c r="BT69"/>
      <c r="BW69" s="111"/>
    </row>
    <row r="70" spans="2:83" s="57" customFormat="1" x14ac:dyDescent="0.15">
      <c r="C70" s="57" t="s">
        <v>111</v>
      </c>
      <c r="D70" s="57">
        <f>D69+D68</f>
        <v>150</v>
      </c>
      <c r="E70" s="57">
        <f t="shared" ref="E70:AF70" si="132">E69+E68</f>
        <v>205</v>
      </c>
      <c r="F70" s="57">
        <f t="shared" si="132"/>
        <v>245</v>
      </c>
      <c r="G70" s="57">
        <f t="shared" si="132"/>
        <v>192</v>
      </c>
      <c r="H70" s="57">
        <f t="shared" si="132"/>
        <v>222</v>
      </c>
      <c r="I70" s="57">
        <f t="shared" si="132"/>
        <v>164</v>
      </c>
      <c r="J70" s="57">
        <f t="shared" si="132"/>
        <v>198</v>
      </c>
      <c r="K70" s="57">
        <f t="shared" si="132"/>
        <v>146</v>
      </c>
      <c r="L70" s="57">
        <f t="shared" si="132"/>
        <v>262</v>
      </c>
      <c r="M70" s="57">
        <f t="shared" si="132"/>
        <v>183</v>
      </c>
      <c r="N70" s="57">
        <f t="shared" si="132"/>
        <v>101</v>
      </c>
      <c r="O70" s="57">
        <f t="shared" si="132"/>
        <v>119</v>
      </c>
      <c r="P70" s="57">
        <f t="shared" si="132"/>
        <v>203</v>
      </c>
      <c r="Q70" s="57">
        <f t="shared" si="132"/>
        <v>162</v>
      </c>
      <c r="R70" s="57">
        <f t="shared" si="132"/>
        <v>180</v>
      </c>
      <c r="S70" s="57">
        <f t="shared" si="132"/>
        <v>189</v>
      </c>
      <c r="T70" s="57">
        <f t="shared" si="132"/>
        <v>141</v>
      </c>
      <c r="U70" s="57">
        <f t="shared" si="132"/>
        <v>54</v>
      </c>
      <c r="V70" s="57">
        <f t="shared" si="132"/>
        <v>139</v>
      </c>
      <c r="W70" s="57">
        <f t="shared" si="132"/>
        <v>136</v>
      </c>
      <c r="X70" s="57">
        <f t="shared" si="132"/>
        <v>176</v>
      </c>
      <c r="Y70" s="57">
        <f t="shared" si="132"/>
        <v>0</v>
      </c>
      <c r="Z70" s="57">
        <f t="shared" si="132"/>
        <v>0</v>
      </c>
      <c r="AA70" s="57">
        <f t="shared" si="132"/>
        <v>0</v>
      </c>
      <c r="AB70" s="57">
        <f t="shared" si="132"/>
        <v>0</v>
      </c>
      <c r="AC70" s="57">
        <f t="shared" si="132"/>
        <v>0</v>
      </c>
      <c r="AD70" s="57">
        <f t="shared" si="132"/>
        <v>0</v>
      </c>
      <c r="AE70" s="57">
        <f t="shared" si="132"/>
        <v>0</v>
      </c>
      <c r="AF70" s="57" t="e">
        <f t="shared" si="132"/>
        <v>#N/A</v>
      </c>
      <c r="AK70" s="64">
        <f>SUM(D70:AE70)</f>
        <v>3567</v>
      </c>
      <c r="AM70" s="64" t="s">
        <v>32</v>
      </c>
      <c r="AN70" s="64">
        <f>AM68-AN68</f>
        <v>157</v>
      </c>
      <c r="AO70" s="64"/>
      <c r="AP70" s="64"/>
      <c r="AQ70" s="64"/>
      <c r="AT70" s="57">
        <f>SUM(D70:AE70)</f>
        <v>3567</v>
      </c>
      <c r="BQ70" s="111"/>
      <c r="BR70" s="111"/>
      <c r="BS70"/>
      <c r="BT70" s="64"/>
      <c r="BU70" s="111"/>
      <c r="BV70" s="116"/>
      <c r="BW70" s="111"/>
    </row>
    <row r="71" spans="2:83" x14ac:dyDescent="0.15">
      <c r="D71" s="51"/>
      <c r="AM71" s="64" t="s">
        <v>33</v>
      </c>
      <c r="AN71" s="64">
        <f>AK70/AN70</f>
        <v>22.719745222929937</v>
      </c>
      <c r="BS71"/>
      <c r="BT71" s="111"/>
      <c r="BU71" s="111"/>
      <c r="BV71"/>
      <c r="BW71" s="111"/>
    </row>
    <row r="72" spans="2:83" s="111" customFormat="1" x14ac:dyDescent="0.15">
      <c r="C72" s="111" t="s">
        <v>195</v>
      </c>
      <c r="D72" s="112" t="str">
        <f>INDEX($C$5:$C$62,findcellcontaining("*",D5:D62))</f>
        <v>Springer T</v>
      </c>
      <c r="E72" s="112" t="str">
        <f>INDEX($C$5:$C$62,findcellcontaining("*",E5:E62))</f>
        <v>Springer T</v>
      </c>
      <c r="F72" s="112" t="str">
        <f>INDEX($C$5:$C$62,findcellcontaining("*",F5:F62))</f>
        <v>Springer T</v>
      </c>
      <c r="G72" s="112" t="str">
        <f>INDEX($C$5:$C$62,findcellcontaining("*",G5:G62))</f>
        <v>Springer T</v>
      </c>
      <c r="H72" s="112" t="str">
        <f>INDEX($C$5:$C$62,findcellcontaining("*",H5:H62))</f>
        <v>Springer T</v>
      </c>
      <c r="I72" s="112" t="str">
        <f>INDEX($C$5:$C$62,findcellcontaining("*",I5:I62))</f>
        <v>Seymour C</v>
      </c>
      <c r="J72" s="112" t="str">
        <f>INDEX($C$5:$C$62,findcellcontaining("*",J5:J62))</f>
        <v>Nair S</v>
      </c>
      <c r="K72" s="112" t="str">
        <f>INDEX($C$5:$C$62,findcellcontaining("*",K5:K62))</f>
        <v>Bhatt P</v>
      </c>
      <c r="L72" s="112" t="str">
        <f>INDEX($C$5:$C$62,findcellcontaining("*",L5:L62))</f>
        <v>Springer T</v>
      </c>
      <c r="M72" s="112" t="str">
        <f>INDEX($C$5:$C$62,findcellcontaining("*",M5:M62))</f>
        <v>Springer T</v>
      </c>
      <c r="N72" s="112" t="str">
        <f>INDEX($C$5:$C$62,findcellcontaining("*",N5:N62))</f>
        <v>Springer T</v>
      </c>
      <c r="O72" s="112" t="str">
        <f>INDEX($C$5:$C$62,findcellcontaining("*",O5:O62))</f>
        <v>Springer T</v>
      </c>
      <c r="P72" s="112" t="str">
        <f>INDEX($C$5:$C$62,findcellcontaining("*",P5:P62))</f>
        <v>Seymour C</v>
      </c>
      <c r="Q72" s="112" t="str">
        <f>INDEX($C$5:$C$62,findcellcontaining("*",Q5:Q62))</f>
        <v>Springer T</v>
      </c>
      <c r="R72" s="112" t="str">
        <f>INDEX($C$5:$C$62,findcellcontaining("*",R5:R62))</f>
        <v>Springer T</v>
      </c>
      <c r="S72" s="112" t="e">
        <f>INDEX($C$5:$C$62,findcellcontaining("*",S5:S62))</f>
        <v>#N/A</v>
      </c>
      <c r="T72" s="112" t="e">
        <f>INDEX($C$5:$C$62,findcellcontaining("*",T5:T62))</f>
        <v>#N/A</v>
      </c>
      <c r="U72" s="112" t="str">
        <f>INDEX($C$5:$C$62,findcellcontaining("*",U5:U62))</f>
        <v>Springer T</v>
      </c>
      <c r="V72" s="112" t="str">
        <f>INDEX($C$5:$C$62,findcellcontaining("*",V5:V62))</f>
        <v>Springer T</v>
      </c>
      <c r="W72" s="112" t="str">
        <f>INDEX($C$5:$C$62,findcellcontaining("*",W5:W62))</f>
        <v>Springer T</v>
      </c>
      <c r="X72" s="112" t="str">
        <f>INDEX($C$5:$C$62,findcellcontaining("*",X5:X62))</f>
        <v>Springer T</v>
      </c>
      <c r="Y72" s="112" t="e">
        <f>INDEX($C$5:$C$62,findcellcontaining("*",Y5:Y62))</f>
        <v>#N/A</v>
      </c>
      <c r="Z72" s="112" t="e">
        <f>INDEX($C$5:$C$62,findcellcontaining("*",Z5:Z62))</f>
        <v>#N/A</v>
      </c>
      <c r="AA72" s="112" t="e">
        <f>INDEX($C$5:$C$62,findcellcontaining("*",AA5:AA62))</f>
        <v>#N/A</v>
      </c>
      <c r="AB72" s="112" t="e">
        <f>INDEX($C$5:$C$62,findcellcontaining("*",AB5:AB62))</f>
        <v>#N/A</v>
      </c>
      <c r="AC72" s="112" t="e">
        <f>INDEX($C$5:$C$62,findcellcontaining("*",AC5:AC62))</f>
        <v>#N/A</v>
      </c>
      <c r="AD72" s="112" t="e">
        <f>INDEX($C$5:$C$62,findcellcontaining("*",AD5:AD62))</f>
        <v>#N/A</v>
      </c>
      <c r="AE72" s="112" t="e">
        <f>INDEX($C$5:$C$62,findcellcontaining("*",AE5:AE62))</f>
        <v>#N/A</v>
      </c>
      <c r="AF72" s="112"/>
      <c r="AG72" s="112"/>
      <c r="AH72" s="112"/>
      <c r="AI72" s="112"/>
      <c r="AJ72" s="112"/>
      <c r="AR72" s="113"/>
      <c r="BS72"/>
    </row>
    <row r="73" spans="2:83" s="111" customFormat="1" x14ac:dyDescent="0.15">
      <c r="C73" s="115"/>
      <c r="AR73" s="113"/>
      <c r="AT73" s="114"/>
      <c r="BS73"/>
      <c r="BW73"/>
    </row>
    <row r="74" spans="2:83" s="111" customFormat="1" x14ac:dyDescent="0.15">
      <c r="B74" s="111">
        <f>MAX(D74:AE74)</f>
        <v>3</v>
      </c>
      <c r="C74" s="111" t="s">
        <v>22</v>
      </c>
      <c r="D74" s="111">
        <f t="shared" ref="D74:AE74" si="133">BatSplit(D5:D62,Sixes)</f>
        <v>1</v>
      </c>
      <c r="E74" s="111">
        <f t="shared" si="133"/>
        <v>2</v>
      </c>
      <c r="F74" s="111">
        <f t="shared" si="133"/>
        <v>0</v>
      </c>
      <c r="G74" s="111">
        <f t="shared" si="133"/>
        <v>0</v>
      </c>
      <c r="H74" s="111">
        <f t="shared" si="133"/>
        <v>0</v>
      </c>
      <c r="I74" s="111">
        <f t="shared" si="133"/>
        <v>0</v>
      </c>
      <c r="J74" s="111">
        <f t="shared" si="133"/>
        <v>1</v>
      </c>
      <c r="K74" s="111">
        <f t="shared" si="133"/>
        <v>0</v>
      </c>
      <c r="L74" s="111">
        <f t="shared" si="133"/>
        <v>1</v>
      </c>
      <c r="M74" s="111">
        <f t="shared" si="133"/>
        <v>2</v>
      </c>
      <c r="N74" s="111">
        <f t="shared" si="133"/>
        <v>0</v>
      </c>
      <c r="O74" s="111">
        <f t="shared" si="133"/>
        <v>1</v>
      </c>
      <c r="P74" s="111">
        <f t="shared" si="133"/>
        <v>3</v>
      </c>
      <c r="Q74" s="111">
        <f t="shared" si="133"/>
        <v>0</v>
      </c>
      <c r="R74" s="111">
        <f t="shared" si="133"/>
        <v>0</v>
      </c>
      <c r="S74" s="111">
        <f t="shared" si="133"/>
        <v>0</v>
      </c>
      <c r="T74" s="111">
        <f t="shared" si="133"/>
        <v>0</v>
      </c>
      <c r="U74" s="111">
        <f t="shared" si="133"/>
        <v>0</v>
      </c>
      <c r="V74" s="111">
        <f t="shared" si="133"/>
        <v>1</v>
      </c>
      <c r="W74" s="111">
        <f t="shared" si="133"/>
        <v>0</v>
      </c>
      <c r="X74" s="111">
        <f t="shared" si="133"/>
        <v>2</v>
      </c>
      <c r="Y74" s="111">
        <f t="shared" si="133"/>
        <v>0</v>
      </c>
      <c r="Z74" s="111">
        <f t="shared" si="133"/>
        <v>0</v>
      </c>
      <c r="AA74" s="111">
        <f t="shared" si="133"/>
        <v>0</v>
      </c>
      <c r="AB74" s="111">
        <f t="shared" si="133"/>
        <v>0</v>
      </c>
      <c r="AC74" s="111">
        <f t="shared" si="133"/>
        <v>0</v>
      </c>
      <c r="AD74" s="111">
        <f t="shared" si="133"/>
        <v>0</v>
      </c>
      <c r="AE74" s="111">
        <f t="shared" si="133"/>
        <v>0</v>
      </c>
      <c r="AR74" s="113"/>
      <c r="BQ74"/>
      <c r="BR74"/>
      <c r="BS74"/>
      <c r="BU74"/>
      <c r="BV74"/>
      <c r="BW74"/>
      <c r="BX74"/>
      <c r="BY74"/>
      <c r="BZ74"/>
      <c r="CA74"/>
      <c r="CB74"/>
      <c r="CC74"/>
      <c r="CD74"/>
      <c r="CE74"/>
    </row>
    <row r="75" spans="2:83" s="111" customFormat="1" x14ac:dyDescent="0.15">
      <c r="B75" s="111">
        <f>MAX(D75:AE75)</f>
        <v>36</v>
      </c>
      <c r="C75" s="111" t="s">
        <v>21</v>
      </c>
      <c r="D75" s="111">
        <f t="shared" ref="D75:AE75" si="134">BatSplit(D5:D62,Fours)</f>
        <v>14</v>
      </c>
      <c r="E75" s="111">
        <f t="shared" si="134"/>
        <v>23</v>
      </c>
      <c r="F75" s="111">
        <f t="shared" si="134"/>
        <v>36</v>
      </c>
      <c r="G75" s="111">
        <f t="shared" si="134"/>
        <v>21</v>
      </c>
      <c r="H75" s="111">
        <f t="shared" si="134"/>
        <v>23</v>
      </c>
      <c r="I75" s="111">
        <f t="shared" si="134"/>
        <v>22</v>
      </c>
      <c r="J75" s="111">
        <f t="shared" si="134"/>
        <v>29</v>
      </c>
      <c r="K75" s="111">
        <f t="shared" si="134"/>
        <v>12</v>
      </c>
      <c r="L75" s="111">
        <f t="shared" si="134"/>
        <v>33</v>
      </c>
      <c r="M75" s="111">
        <f t="shared" si="134"/>
        <v>20</v>
      </c>
      <c r="N75" s="111">
        <f t="shared" si="134"/>
        <v>17</v>
      </c>
      <c r="O75" s="111">
        <f t="shared" si="134"/>
        <v>15</v>
      </c>
      <c r="P75" s="111">
        <f t="shared" si="134"/>
        <v>25</v>
      </c>
      <c r="Q75" s="111">
        <f t="shared" si="134"/>
        <v>16</v>
      </c>
      <c r="R75" s="111">
        <f t="shared" si="134"/>
        <v>23</v>
      </c>
      <c r="S75" s="111">
        <f t="shared" si="134"/>
        <v>24</v>
      </c>
      <c r="T75" s="111">
        <f t="shared" si="134"/>
        <v>18</v>
      </c>
      <c r="U75" s="111">
        <f t="shared" si="134"/>
        <v>7</v>
      </c>
      <c r="V75" s="111">
        <f t="shared" si="134"/>
        <v>7</v>
      </c>
      <c r="W75" s="111">
        <f t="shared" si="134"/>
        <v>17</v>
      </c>
      <c r="X75" s="111">
        <f t="shared" si="134"/>
        <v>23</v>
      </c>
      <c r="Y75" s="111">
        <f t="shared" si="134"/>
        <v>0</v>
      </c>
      <c r="Z75" s="111">
        <f t="shared" si="134"/>
        <v>0</v>
      </c>
      <c r="AA75" s="111">
        <f t="shared" si="134"/>
        <v>0</v>
      </c>
      <c r="AB75" s="111">
        <f t="shared" si="134"/>
        <v>0</v>
      </c>
      <c r="AC75" s="111">
        <f t="shared" si="134"/>
        <v>0</v>
      </c>
      <c r="AD75" s="111">
        <f t="shared" si="134"/>
        <v>0</v>
      </c>
      <c r="AE75" s="111">
        <f t="shared" si="134"/>
        <v>0</v>
      </c>
      <c r="AR75" s="113"/>
      <c r="BD75"/>
      <c r="BE75"/>
      <c r="BF75"/>
      <c r="BQ75"/>
      <c r="BR75"/>
      <c r="BS75"/>
      <c r="BT75"/>
      <c r="BU75" s="57"/>
      <c r="BV75"/>
      <c r="BW75"/>
      <c r="BX75"/>
      <c r="BY75"/>
      <c r="CB75" s="64"/>
      <c r="CC75" s="64"/>
      <c r="CD75" s="64"/>
      <c r="CE75" s="64"/>
    </row>
    <row r="76" spans="2:83" s="111" customFormat="1" x14ac:dyDescent="0.15">
      <c r="C76" s="127" t="s">
        <v>20</v>
      </c>
      <c r="D76" s="111">
        <f t="shared" ref="D76:Z76" si="135">BatSplit(D5:D62,Catches)</f>
        <v>2</v>
      </c>
      <c r="E76">
        <f t="shared" si="135"/>
        <v>3</v>
      </c>
      <c r="F76" s="111">
        <f t="shared" si="135"/>
        <v>2</v>
      </c>
      <c r="G76" s="111">
        <f t="shared" si="135"/>
        <v>3</v>
      </c>
      <c r="H76">
        <f t="shared" si="135"/>
        <v>3</v>
      </c>
      <c r="I76" s="111">
        <f t="shared" si="135"/>
        <v>0</v>
      </c>
      <c r="J76" s="111">
        <f t="shared" si="135"/>
        <v>2</v>
      </c>
      <c r="K76" s="111">
        <f t="shared" si="135"/>
        <v>0</v>
      </c>
      <c r="L76" s="111">
        <f t="shared" si="135"/>
        <v>6</v>
      </c>
      <c r="M76" s="111">
        <f t="shared" si="135"/>
        <v>2</v>
      </c>
      <c r="N76" s="111">
        <f t="shared" si="135"/>
        <v>2</v>
      </c>
      <c r="O76" s="111">
        <f t="shared" si="135"/>
        <v>6</v>
      </c>
      <c r="P76" s="111">
        <f t="shared" si="135"/>
        <v>2</v>
      </c>
      <c r="Q76" s="111">
        <f t="shared" si="135"/>
        <v>0</v>
      </c>
      <c r="R76" s="111">
        <f t="shared" si="135"/>
        <v>2</v>
      </c>
      <c r="S76" s="111">
        <f t="shared" si="135"/>
        <v>4</v>
      </c>
      <c r="T76" s="111">
        <f t="shared" si="135"/>
        <v>2</v>
      </c>
      <c r="U76" s="111">
        <f t="shared" si="135"/>
        <v>1</v>
      </c>
      <c r="V76" s="111">
        <f t="shared" si="135"/>
        <v>0</v>
      </c>
      <c r="W76" s="111">
        <f t="shared" si="135"/>
        <v>1</v>
      </c>
      <c r="X76" s="111">
        <f t="shared" si="135"/>
        <v>1</v>
      </c>
      <c r="Y76" s="111">
        <f t="shared" si="135"/>
        <v>0</v>
      </c>
      <c r="Z76" s="111">
        <f t="shared" si="135"/>
        <v>0</v>
      </c>
      <c r="AR76" s="113"/>
      <c r="BQ76"/>
      <c r="BR76"/>
      <c r="BS76" s="64"/>
      <c r="BX76"/>
      <c r="BY76"/>
      <c r="CB76"/>
      <c r="CC76"/>
    </row>
    <row r="77" spans="2:83" s="111" customFormat="1" x14ac:dyDescent="0.15">
      <c r="C77" s="127" t="s">
        <v>215</v>
      </c>
      <c r="D77" s="111">
        <f t="shared" ref="D77:Z77" si="136">BatSplit(D5:D62,HighestScore)</f>
        <v>-50</v>
      </c>
      <c r="E77" s="111">
        <f t="shared" si="136"/>
        <v>-114</v>
      </c>
      <c r="F77" s="111">
        <f t="shared" si="136"/>
        <v>64</v>
      </c>
      <c r="G77" s="111">
        <f t="shared" si="136"/>
        <v>70</v>
      </c>
      <c r="H77" s="111">
        <f t="shared" si="136"/>
        <v>90</v>
      </c>
      <c r="I77" s="111">
        <f t="shared" si="136"/>
        <v>33</v>
      </c>
      <c r="J77" s="111">
        <f t="shared" si="136"/>
        <v>43</v>
      </c>
      <c r="K77" s="111">
        <f t="shared" si="136"/>
        <v>37</v>
      </c>
      <c r="L77" s="111">
        <f t="shared" si="136"/>
        <v>86</v>
      </c>
      <c r="M77" s="111">
        <f t="shared" si="136"/>
        <v>86</v>
      </c>
      <c r="N77" s="111">
        <f t="shared" si="136"/>
        <v>-27</v>
      </c>
      <c r="O77" s="111">
        <f t="shared" si="136"/>
        <v>-69</v>
      </c>
      <c r="P77" s="111">
        <f t="shared" si="136"/>
        <v>47</v>
      </c>
      <c r="Q77" s="111">
        <f t="shared" si="136"/>
        <v>49</v>
      </c>
      <c r="R77" s="111">
        <f t="shared" si="136"/>
        <v>45</v>
      </c>
      <c r="S77" s="111">
        <f t="shared" si="136"/>
        <v>84</v>
      </c>
      <c r="T77" s="111">
        <f t="shared" si="136"/>
        <v>29</v>
      </c>
      <c r="U77" s="111">
        <f t="shared" si="136"/>
        <v>15</v>
      </c>
      <c r="V77" s="111">
        <f t="shared" si="136"/>
        <v>35</v>
      </c>
      <c r="W77" s="111">
        <f t="shared" si="136"/>
        <v>36</v>
      </c>
      <c r="X77" s="111">
        <f t="shared" si="136"/>
        <v>52</v>
      </c>
      <c r="Y77" s="111">
        <f t="shared" si="136"/>
        <v>0</v>
      </c>
      <c r="Z77" s="111">
        <f t="shared" si="136"/>
        <v>0</v>
      </c>
      <c r="AR77" s="113"/>
      <c r="BD77"/>
      <c r="BE77"/>
      <c r="BF77"/>
      <c r="BQ77" s="64"/>
      <c r="BR77" s="64"/>
      <c r="BX77"/>
      <c r="BY77"/>
      <c r="CB77"/>
      <c r="CC77"/>
    </row>
    <row r="78" spans="2:83" s="111" customFormat="1" x14ac:dyDescent="0.15">
      <c r="C78" s="127"/>
      <c r="AI78"/>
      <c r="AJ78"/>
      <c r="AK78"/>
      <c r="AL78"/>
      <c r="AM78"/>
      <c r="AN78"/>
      <c r="AR78" s="113"/>
      <c r="BD78"/>
      <c r="BE78"/>
      <c r="BF78"/>
    </row>
    <row r="79" spans="2:83" s="111" customFormat="1" x14ac:dyDescent="0.15">
      <c r="C79" s="127" t="s">
        <v>216</v>
      </c>
      <c r="D79" s="111" t="str">
        <f t="shared" ref="D79:Z79" si="137">IF(BatSplit(D5,RunsScored)&gt;=50,BatSplit(D5,RunsScored)&amp;IF(BatSplit(D5,NotOuts)=1,"*","")&amp;"|"&amp;$C5&amp;"|"&amp;D$2&amp;"|"&amp;TEXT(D$1,"dd-mmm"),"x")</f>
        <v>x</v>
      </c>
      <c r="E79" s="111" t="str">
        <f t="shared" si="137"/>
        <v>x</v>
      </c>
      <c r="F79" s="111" t="str">
        <f t="shared" si="137"/>
        <v>x</v>
      </c>
      <c r="G79" s="111" t="str">
        <f t="shared" si="137"/>
        <v>x</v>
      </c>
      <c r="H79" s="111" t="str">
        <f t="shared" si="137"/>
        <v>x</v>
      </c>
      <c r="I79" s="111" t="str">
        <f t="shared" si="137"/>
        <v>x</v>
      </c>
      <c r="J79" s="111" t="str">
        <f t="shared" si="137"/>
        <v>x</v>
      </c>
      <c r="K79" s="111" t="str">
        <f t="shared" si="137"/>
        <v>x</v>
      </c>
      <c r="L79" s="111" t="str">
        <f t="shared" si="137"/>
        <v>x</v>
      </c>
      <c r="M79" s="111" t="str">
        <f t="shared" si="137"/>
        <v>x</v>
      </c>
      <c r="N79" s="111" t="str">
        <f t="shared" si="137"/>
        <v>x</v>
      </c>
      <c r="O79" s="111" t="str">
        <f t="shared" si="137"/>
        <v>x</v>
      </c>
      <c r="P79" s="111" t="str">
        <f t="shared" si="137"/>
        <v>x</v>
      </c>
      <c r="Q79" s="111" t="str">
        <f t="shared" si="137"/>
        <v>x</v>
      </c>
      <c r="R79" s="111" t="str">
        <f t="shared" si="137"/>
        <v>x</v>
      </c>
      <c r="S79" s="111" t="str">
        <f t="shared" si="137"/>
        <v>x</v>
      </c>
      <c r="T79" s="111" t="str">
        <f t="shared" si="137"/>
        <v>x</v>
      </c>
      <c r="U79" s="111" t="str">
        <f t="shared" si="137"/>
        <v>x</v>
      </c>
      <c r="V79" s="111" t="str">
        <f t="shared" si="137"/>
        <v>x</v>
      </c>
      <c r="W79" s="111" t="str">
        <f t="shared" si="137"/>
        <v>x</v>
      </c>
      <c r="X79" s="111" t="str">
        <f t="shared" si="137"/>
        <v>x</v>
      </c>
      <c r="Y79" s="111" t="str">
        <f t="shared" si="137"/>
        <v>x</v>
      </c>
      <c r="Z79" s="111" t="str">
        <f t="shared" si="137"/>
        <v>x</v>
      </c>
      <c r="AI79"/>
      <c r="AJ79"/>
      <c r="AK79"/>
      <c r="AL79"/>
      <c r="AM79"/>
      <c r="AN79"/>
      <c r="AR79" s="113"/>
      <c r="BD79"/>
      <c r="BE79"/>
      <c r="BF79"/>
      <c r="BV79"/>
      <c r="BW79"/>
    </row>
    <row r="80" spans="2:83" s="111" customFormat="1" x14ac:dyDescent="0.15">
      <c r="D80" s="111" t="str">
        <f t="shared" ref="D80:Z80" si="138">IF(BatSplit(D6,RunsScored)&gt;=50,BatSplit(D6,RunsScored)&amp;IF(BatSplit(D6,NotOuts)=1,"*","")&amp;"|"&amp;$C6&amp;"|"&amp;D$2&amp;"|"&amp;TEXT(D$1,"dd-mmm"),"x")</f>
        <v>x</v>
      </c>
      <c r="E80" s="111" t="str">
        <f t="shared" si="138"/>
        <v>x</v>
      </c>
      <c r="F80" s="111" t="str">
        <f t="shared" si="138"/>
        <v>x</v>
      </c>
      <c r="G80" s="111" t="str">
        <f t="shared" si="138"/>
        <v>x</v>
      </c>
      <c r="H80" s="111" t="str">
        <f t="shared" si="138"/>
        <v>90|Ahmed R|Merton Bears|22-May</v>
      </c>
      <c r="I80" s="111" t="str">
        <f t="shared" si="138"/>
        <v>x</v>
      </c>
      <c r="J80" s="111" t="str">
        <f t="shared" si="138"/>
        <v>x</v>
      </c>
      <c r="K80" s="111" t="str">
        <f t="shared" si="138"/>
        <v>x</v>
      </c>
      <c r="L80" s="111" t="str">
        <f t="shared" si="138"/>
        <v>86|Ahmed R|Beddington|12-Jun</v>
      </c>
      <c r="M80" s="111" t="str">
        <f t="shared" si="138"/>
        <v>x</v>
      </c>
      <c r="N80" s="111" t="str">
        <f t="shared" si="138"/>
        <v>x</v>
      </c>
      <c r="O80" s="111" t="str">
        <f t="shared" si="138"/>
        <v>x</v>
      </c>
      <c r="P80" s="111" t="str">
        <f t="shared" si="138"/>
        <v>x</v>
      </c>
      <c r="Q80" s="111" t="str">
        <f t="shared" si="138"/>
        <v>x</v>
      </c>
      <c r="R80" s="111" t="str">
        <f t="shared" si="138"/>
        <v>x</v>
      </c>
      <c r="S80" s="111" t="str">
        <f t="shared" si="138"/>
        <v>x</v>
      </c>
      <c r="T80" s="111" t="str">
        <f t="shared" si="138"/>
        <v>x</v>
      </c>
      <c r="U80" s="111" t="str">
        <f t="shared" si="138"/>
        <v>x</v>
      </c>
      <c r="V80" s="111" t="str">
        <f t="shared" si="138"/>
        <v>x</v>
      </c>
      <c r="W80" s="111" t="str">
        <f t="shared" si="138"/>
        <v>x</v>
      </c>
      <c r="X80" s="111" t="str">
        <f t="shared" si="138"/>
        <v>x</v>
      </c>
      <c r="Y80" s="111" t="str">
        <f t="shared" si="138"/>
        <v>x</v>
      </c>
      <c r="Z80" s="111" t="str">
        <f t="shared" si="138"/>
        <v>x</v>
      </c>
      <c r="AI80"/>
      <c r="AJ80"/>
      <c r="AK80"/>
      <c r="AL80"/>
      <c r="AM80"/>
      <c r="AN80"/>
      <c r="AR80" s="113"/>
      <c r="BV80"/>
      <c r="BW80"/>
    </row>
    <row r="81" spans="4:79" s="111" customFormat="1" x14ac:dyDescent="0.15">
      <c r="D81" s="111" t="str">
        <f t="shared" ref="D81:Z81" si="139">IF(BatSplit(D7,RunsScored)&gt;=50,BatSplit(D7,RunsScored)&amp;IF(BatSplit(D7,NotOuts)=1,"*","")&amp;"|"&amp;$C7&amp;"|"&amp;D$2&amp;"|"&amp;TEXT(D$1,"dd-mmm"),"x")</f>
        <v>x</v>
      </c>
      <c r="E81" s="111" t="str">
        <f t="shared" si="139"/>
        <v>x</v>
      </c>
      <c r="F81" s="111" t="str">
        <f t="shared" si="139"/>
        <v>x</v>
      </c>
      <c r="G81" s="111" t="str">
        <f t="shared" si="139"/>
        <v>x</v>
      </c>
      <c r="H81" s="111" t="str">
        <f t="shared" si="139"/>
        <v>x</v>
      </c>
      <c r="I81" s="111" t="str">
        <f t="shared" si="139"/>
        <v>x</v>
      </c>
      <c r="J81" s="111" t="str">
        <f t="shared" si="139"/>
        <v>x</v>
      </c>
      <c r="K81" s="111" t="str">
        <f t="shared" si="139"/>
        <v>x</v>
      </c>
      <c r="L81" s="111" t="str">
        <f t="shared" si="139"/>
        <v>x</v>
      </c>
      <c r="M81" s="111" t="str">
        <f t="shared" si="139"/>
        <v>x</v>
      </c>
      <c r="N81" s="111" t="str">
        <f t="shared" si="139"/>
        <v>x</v>
      </c>
      <c r="O81" s="111" t="str">
        <f t="shared" si="139"/>
        <v>x</v>
      </c>
      <c r="P81" s="111" t="str">
        <f t="shared" si="139"/>
        <v>x</v>
      </c>
      <c r="Q81" s="111" t="str">
        <f t="shared" si="139"/>
        <v>x</v>
      </c>
      <c r="R81" s="111" t="str">
        <f t="shared" si="139"/>
        <v>x</v>
      </c>
      <c r="S81" s="111" t="str">
        <f t="shared" si="139"/>
        <v>x</v>
      </c>
      <c r="T81" s="111" t="str">
        <f t="shared" si="139"/>
        <v>x</v>
      </c>
      <c r="U81" s="111" t="str">
        <f t="shared" si="139"/>
        <v>x</v>
      </c>
      <c r="V81" s="111" t="str">
        <f t="shared" si="139"/>
        <v>x</v>
      </c>
      <c r="W81" s="111" t="str">
        <f t="shared" si="139"/>
        <v>x</v>
      </c>
      <c r="X81" s="111" t="str">
        <f t="shared" si="139"/>
        <v>x</v>
      </c>
      <c r="Y81" s="111" t="str">
        <f t="shared" si="139"/>
        <v>x</v>
      </c>
      <c r="Z81" s="111" t="str">
        <f t="shared" si="139"/>
        <v>x</v>
      </c>
      <c r="AI81"/>
      <c r="AJ81"/>
      <c r="AM81"/>
      <c r="AN81"/>
      <c r="AR81" s="113"/>
      <c r="BS81"/>
      <c r="BV81"/>
      <c r="BW81"/>
    </row>
    <row r="82" spans="4:79" s="111" customFormat="1" x14ac:dyDescent="0.15">
      <c r="D82" s="111" t="str">
        <f t="shared" ref="D82:Z82" si="140">IF(BatSplit(D8,RunsScored)&gt;=50,BatSplit(D8,RunsScored)&amp;IF(BatSplit(D8,NotOuts)=1,"*","")&amp;"|"&amp;$C8&amp;"|"&amp;D$2&amp;"|"&amp;TEXT(D$1,"dd-mmm"),"x")</f>
        <v>x</v>
      </c>
      <c r="E82" s="111" t="str">
        <f t="shared" si="140"/>
        <v>x</v>
      </c>
      <c r="F82" s="111" t="str">
        <f t="shared" si="140"/>
        <v>x</v>
      </c>
      <c r="G82" s="111" t="str">
        <f t="shared" si="140"/>
        <v>x</v>
      </c>
      <c r="H82" s="111" t="str">
        <f t="shared" si="140"/>
        <v>x</v>
      </c>
      <c r="I82" s="111" t="str">
        <f t="shared" si="140"/>
        <v>x</v>
      </c>
      <c r="J82" s="111" t="str">
        <f t="shared" si="140"/>
        <v>x</v>
      </c>
      <c r="K82" s="111" t="str">
        <f t="shared" si="140"/>
        <v>x</v>
      </c>
      <c r="L82" s="111" t="str">
        <f t="shared" si="140"/>
        <v>x</v>
      </c>
      <c r="M82" s="111" t="str">
        <f t="shared" si="140"/>
        <v>x</v>
      </c>
      <c r="N82" s="111" t="str">
        <f t="shared" si="140"/>
        <v>x</v>
      </c>
      <c r="O82" s="111" t="str">
        <f t="shared" si="140"/>
        <v>x</v>
      </c>
      <c r="P82" s="111" t="str">
        <f t="shared" si="140"/>
        <v>x</v>
      </c>
      <c r="Q82" s="111" t="str">
        <f t="shared" si="140"/>
        <v>x</v>
      </c>
      <c r="R82" s="111" t="str">
        <f t="shared" si="140"/>
        <v>x</v>
      </c>
      <c r="S82" s="111" t="str">
        <f t="shared" si="140"/>
        <v>x</v>
      </c>
      <c r="T82" s="111" t="str">
        <f t="shared" si="140"/>
        <v>x</v>
      </c>
      <c r="U82" s="111" t="str">
        <f t="shared" si="140"/>
        <v>x</v>
      </c>
      <c r="V82" s="111" t="str">
        <f t="shared" si="140"/>
        <v>x</v>
      </c>
      <c r="W82" s="111" t="str">
        <f t="shared" si="140"/>
        <v>x</v>
      </c>
      <c r="X82" s="111" t="str">
        <f t="shared" si="140"/>
        <v>x</v>
      </c>
      <c r="Y82" s="111" t="str">
        <f t="shared" si="140"/>
        <v>x</v>
      </c>
      <c r="Z82" s="111" t="str">
        <f t="shared" si="140"/>
        <v>x</v>
      </c>
      <c r="AI82"/>
      <c r="AJ82"/>
      <c r="AK82"/>
      <c r="AL82"/>
      <c r="AR82" s="113"/>
      <c r="BQ82"/>
      <c r="BR82"/>
      <c r="BS82" s="57"/>
      <c r="BV82"/>
      <c r="BW82"/>
    </row>
    <row r="83" spans="4:79" s="111" customFormat="1" x14ac:dyDescent="0.15">
      <c r="D83" s="111" t="str">
        <f t="shared" ref="D83:Z83" si="141">IF(BatSplit(D9,RunsScored)&gt;=50,BatSplit(D9,RunsScored)&amp;IF(BatSplit(D9,NotOuts)=1,"*","")&amp;"|"&amp;$C9&amp;"|"&amp;D$2&amp;"|"&amp;TEXT(D$1,"dd-mmm"),"x")</f>
        <v>x</v>
      </c>
      <c r="E83" s="111" t="str">
        <f t="shared" si="141"/>
        <v>x</v>
      </c>
      <c r="F83" s="111" t="str">
        <f t="shared" si="141"/>
        <v>x</v>
      </c>
      <c r="G83" s="111" t="str">
        <f t="shared" si="141"/>
        <v>x</v>
      </c>
      <c r="H83" s="111" t="str">
        <f t="shared" si="141"/>
        <v>x</v>
      </c>
      <c r="I83" s="111" t="str">
        <f t="shared" si="141"/>
        <v>x</v>
      </c>
      <c r="J83" s="111" t="str">
        <f t="shared" si="141"/>
        <v>x</v>
      </c>
      <c r="K83" s="111" t="str">
        <f t="shared" si="141"/>
        <v>x</v>
      </c>
      <c r="L83" s="111" t="str">
        <f t="shared" si="141"/>
        <v>x</v>
      </c>
      <c r="M83" s="111" t="str">
        <f t="shared" si="141"/>
        <v>x</v>
      </c>
      <c r="N83" s="111" t="str">
        <f t="shared" si="141"/>
        <v>x</v>
      </c>
      <c r="O83" s="111" t="str">
        <f t="shared" si="141"/>
        <v>x</v>
      </c>
      <c r="P83" s="111" t="str">
        <f t="shared" si="141"/>
        <v>x</v>
      </c>
      <c r="Q83" s="111" t="str">
        <f t="shared" si="141"/>
        <v>x</v>
      </c>
      <c r="R83" s="111" t="str">
        <f t="shared" si="141"/>
        <v>x</v>
      </c>
      <c r="S83" s="111" t="str">
        <f t="shared" si="141"/>
        <v>x</v>
      </c>
      <c r="T83" s="111" t="str">
        <f t="shared" si="141"/>
        <v>x</v>
      </c>
      <c r="U83" s="111" t="str">
        <f t="shared" si="141"/>
        <v>x</v>
      </c>
      <c r="V83" s="111" t="str">
        <f t="shared" si="141"/>
        <v>x</v>
      </c>
      <c r="W83" s="111" t="str">
        <f t="shared" si="141"/>
        <v>x</v>
      </c>
      <c r="X83" s="111" t="str">
        <f t="shared" si="141"/>
        <v>x</v>
      </c>
      <c r="Y83" s="111" t="str">
        <f t="shared" si="141"/>
        <v>x</v>
      </c>
      <c r="Z83" s="111" t="str">
        <f t="shared" si="141"/>
        <v>x</v>
      </c>
      <c r="AK83"/>
      <c r="AL83"/>
      <c r="AR83" s="113"/>
      <c r="BQ83" s="64"/>
      <c r="BR83" s="64"/>
      <c r="BV83"/>
      <c r="BW83"/>
    </row>
    <row r="84" spans="4:79" customFormat="1" x14ac:dyDescent="0.15">
      <c r="D84" s="111" t="str">
        <f t="shared" ref="D84:Z84" si="142">IF(BatSplit(D10,RunsScored)&gt;=50,BatSplit(D10,RunsScored)&amp;IF(BatSplit(D10,NotOuts)=1,"*","")&amp;"|"&amp;$C10&amp;"|"&amp;D$2&amp;"|"&amp;TEXT(D$1,"dd-mmm"),"x")</f>
        <v>x</v>
      </c>
      <c r="E84" s="111" t="str">
        <f t="shared" si="142"/>
        <v>x</v>
      </c>
      <c r="F84" s="111" t="str">
        <f t="shared" si="142"/>
        <v>x</v>
      </c>
      <c r="G84" s="111" t="str">
        <f t="shared" si="142"/>
        <v>x</v>
      </c>
      <c r="H84" s="111" t="str">
        <f t="shared" si="142"/>
        <v>x</v>
      </c>
      <c r="I84" s="111" t="str">
        <f t="shared" si="142"/>
        <v>x</v>
      </c>
      <c r="J84" s="111" t="str">
        <f t="shared" si="142"/>
        <v>x</v>
      </c>
      <c r="K84" s="111" t="str">
        <f t="shared" si="142"/>
        <v>x</v>
      </c>
      <c r="L84" s="111" t="str">
        <f t="shared" si="142"/>
        <v>x</v>
      </c>
      <c r="M84" s="111" t="str">
        <f t="shared" si="142"/>
        <v>x</v>
      </c>
      <c r="N84" s="111" t="str">
        <f t="shared" si="142"/>
        <v>x</v>
      </c>
      <c r="O84" s="111" t="str">
        <f t="shared" si="142"/>
        <v>x</v>
      </c>
      <c r="P84" s="111" t="str">
        <f t="shared" si="142"/>
        <v>x</v>
      </c>
      <c r="Q84" s="111" t="str">
        <f t="shared" si="142"/>
        <v>x</v>
      </c>
      <c r="R84" s="111" t="str">
        <f t="shared" si="142"/>
        <v>x</v>
      </c>
      <c r="S84" s="111" t="str">
        <f t="shared" si="142"/>
        <v>x</v>
      </c>
      <c r="T84" s="111" t="str">
        <f t="shared" si="142"/>
        <v>x</v>
      </c>
      <c r="U84" s="111" t="str">
        <f t="shared" si="142"/>
        <v>x</v>
      </c>
      <c r="V84" s="111" t="str">
        <f t="shared" si="142"/>
        <v>x</v>
      </c>
      <c r="W84" s="111" t="str">
        <f t="shared" si="142"/>
        <v>x</v>
      </c>
      <c r="X84" s="111" t="str">
        <f t="shared" si="142"/>
        <v>x</v>
      </c>
      <c r="Y84" s="111" t="str">
        <f t="shared" si="142"/>
        <v>x</v>
      </c>
      <c r="Z84" s="111" t="str">
        <f t="shared" si="142"/>
        <v>x</v>
      </c>
      <c r="BD84" s="111"/>
      <c r="BE84" s="111"/>
      <c r="BF84" s="111"/>
      <c r="BG84" s="64"/>
      <c r="BQ84" s="116"/>
      <c r="BR84" s="116"/>
      <c r="BS84" s="111"/>
      <c r="BT84" s="64"/>
      <c r="BV84" s="111"/>
      <c r="BW84" s="111"/>
      <c r="BX84" s="64"/>
      <c r="BY84" s="64"/>
      <c r="BZ84" s="111"/>
      <c r="CA84" s="111"/>
    </row>
    <row r="85" spans="4:79" customFormat="1" x14ac:dyDescent="0.15">
      <c r="D85" s="111" t="str">
        <f t="shared" ref="D85:Z85" si="143">IF(BatSplit(D11,RunsScored)&gt;=50,BatSplit(D11,RunsScored)&amp;IF(BatSplit(D11,NotOuts)=1,"*","")&amp;"|"&amp;$C11&amp;"|"&amp;D$2&amp;"|"&amp;TEXT(D$1,"dd-mmm"),"x")</f>
        <v>x</v>
      </c>
      <c r="E85" s="111" t="str">
        <f t="shared" si="143"/>
        <v>x</v>
      </c>
      <c r="F85" s="111" t="str">
        <f t="shared" si="143"/>
        <v>x</v>
      </c>
      <c r="G85" s="111" t="str">
        <f t="shared" si="143"/>
        <v>x</v>
      </c>
      <c r="H85" s="111" t="str">
        <f t="shared" si="143"/>
        <v>x</v>
      </c>
      <c r="I85" s="111" t="str">
        <f t="shared" si="143"/>
        <v>x</v>
      </c>
      <c r="J85" s="111" t="str">
        <f t="shared" si="143"/>
        <v>x</v>
      </c>
      <c r="K85" s="111" t="str">
        <f t="shared" si="143"/>
        <v>x</v>
      </c>
      <c r="L85" s="111" t="str">
        <f t="shared" si="143"/>
        <v>x</v>
      </c>
      <c r="M85" s="111" t="str">
        <f t="shared" si="143"/>
        <v>x</v>
      </c>
      <c r="N85" s="111" t="str">
        <f t="shared" si="143"/>
        <v>x</v>
      </c>
      <c r="O85" s="111" t="str">
        <f t="shared" si="143"/>
        <v>x</v>
      </c>
      <c r="P85" s="111" t="str">
        <f t="shared" si="143"/>
        <v>x</v>
      </c>
      <c r="Q85" s="111" t="str">
        <f t="shared" si="143"/>
        <v>x</v>
      </c>
      <c r="R85" s="111" t="str">
        <f t="shared" si="143"/>
        <v>x</v>
      </c>
      <c r="S85" s="111" t="str">
        <f t="shared" si="143"/>
        <v>x</v>
      </c>
      <c r="T85" s="111" t="str">
        <f t="shared" si="143"/>
        <v>x</v>
      </c>
      <c r="U85" s="111" t="str">
        <f t="shared" si="143"/>
        <v>x</v>
      </c>
      <c r="V85" s="111" t="str">
        <f t="shared" si="143"/>
        <v>x</v>
      </c>
      <c r="W85" s="111" t="str">
        <f t="shared" si="143"/>
        <v>x</v>
      </c>
      <c r="X85" s="111" t="str">
        <f t="shared" si="143"/>
        <v>x</v>
      </c>
      <c r="Y85" s="111" t="str">
        <f t="shared" si="143"/>
        <v>x</v>
      </c>
      <c r="Z85" s="111" t="str">
        <f t="shared" si="143"/>
        <v>x</v>
      </c>
      <c r="BG85" s="64"/>
      <c r="BS85" s="111"/>
      <c r="BT85" s="64"/>
      <c r="BX85" s="64"/>
      <c r="BY85" s="64"/>
    </row>
    <row r="86" spans="4:79" customFormat="1" x14ac:dyDescent="0.15">
      <c r="D86" s="111" t="str">
        <f t="shared" ref="D86:Z86" si="144">IF(BatSplit(D12,RunsScored)&gt;=50,BatSplit(D12,RunsScored)&amp;IF(BatSplit(D12,NotOuts)=1,"*","")&amp;"|"&amp;$C12&amp;"|"&amp;D$2&amp;"|"&amp;TEXT(D$1,"dd-mmm"),"x")</f>
        <v>x</v>
      </c>
      <c r="E86" s="111" t="str">
        <f t="shared" si="144"/>
        <v>x</v>
      </c>
      <c r="F86" s="111" t="str">
        <f t="shared" si="144"/>
        <v>x</v>
      </c>
      <c r="G86" s="111" t="str">
        <f t="shared" si="144"/>
        <v>x</v>
      </c>
      <c r="H86" s="111" t="str">
        <f t="shared" si="144"/>
        <v>x</v>
      </c>
      <c r="I86" s="111" t="str">
        <f t="shared" si="144"/>
        <v>x</v>
      </c>
      <c r="J86" s="111" t="str">
        <f t="shared" si="144"/>
        <v>x</v>
      </c>
      <c r="K86" s="111" t="str">
        <f t="shared" si="144"/>
        <v>x</v>
      </c>
      <c r="L86" s="111" t="str">
        <f t="shared" si="144"/>
        <v>x</v>
      </c>
      <c r="M86" s="111" t="str">
        <f t="shared" si="144"/>
        <v>x</v>
      </c>
      <c r="N86" s="111" t="str">
        <f t="shared" si="144"/>
        <v>x</v>
      </c>
      <c r="O86" s="111" t="str">
        <f t="shared" si="144"/>
        <v>x</v>
      </c>
      <c r="P86" s="111" t="str">
        <f t="shared" si="144"/>
        <v>x</v>
      </c>
      <c r="Q86" s="111" t="str">
        <f t="shared" si="144"/>
        <v>x</v>
      </c>
      <c r="R86" s="111" t="str">
        <f t="shared" si="144"/>
        <v>x</v>
      </c>
      <c r="S86" s="111" t="str">
        <f t="shared" si="144"/>
        <v>x</v>
      </c>
      <c r="T86" s="111" t="str">
        <f t="shared" si="144"/>
        <v>x</v>
      </c>
      <c r="U86" s="111" t="str">
        <f t="shared" si="144"/>
        <v>x</v>
      </c>
      <c r="V86" s="111" t="str">
        <f t="shared" si="144"/>
        <v>x</v>
      </c>
      <c r="W86" s="111" t="str">
        <f t="shared" si="144"/>
        <v>x</v>
      </c>
      <c r="X86" s="111" t="str">
        <f t="shared" si="144"/>
        <v>x</v>
      </c>
      <c r="Y86" s="111" t="str">
        <f t="shared" si="144"/>
        <v>x</v>
      </c>
      <c r="Z86" s="111" t="str">
        <f t="shared" si="144"/>
        <v>x</v>
      </c>
      <c r="BG86" s="64"/>
      <c r="BQ86" s="111"/>
      <c r="BR86" s="111"/>
      <c r="BS86" s="111"/>
      <c r="BT86" s="64"/>
      <c r="BV86" s="111"/>
      <c r="BW86" s="111"/>
      <c r="BX86" s="64"/>
      <c r="BY86" s="64"/>
    </row>
    <row r="87" spans="4:79" customFormat="1" x14ac:dyDescent="0.15">
      <c r="D87" s="111" t="str">
        <f t="shared" ref="D87:Z87" si="145">IF(BatSplit(D13,RunsScored)&gt;=50,BatSplit(D13,RunsScored)&amp;IF(BatSplit(D13,NotOuts)=1,"*","")&amp;"|"&amp;$C13&amp;"|"&amp;D$2&amp;"|"&amp;TEXT(D$1,"dd-mmm"),"x")</f>
        <v>50*|De S|Worcester Park|24-Apr</v>
      </c>
      <c r="E87" s="111" t="str">
        <f t="shared" si="145"/>
        <v>x</v>
      </c>
      <c r="F87" s="111" t="str">
        <f t="shared" si="145"/>
        <v>x</v>
      </c>
      <c r="G87" s="111" t="str">
        <f t="shared" si="145"/>
        <v>x</v>
      </c>
      <c r="H87" s="111" t="str">
        <f t="shared" si="145"/>
        <v>x</v>
      </c>
      <c r="I87" s="111" t="str">
        <f t="shared" si="145"/>
        <v>x</v>
      </c>
      <c r="J87" s="111" t="str">
        <f t="shared" si="145"/>
        <v>x</v>
      </c>
      <c r="K87" s="111" t="str">
        <f t="shared" si="145"/>
        <v>x</v>
      </c>
      <c r="L87" s="111" t="str">
        <f t="shared" si="145"/>
        <v>x</v>
      </c>
      <c r="M87" s="111" t="str">
        <f t="shared" si="145"/>
        <v>x</v>
      </c>
      <c r="N87" s="111" t="str">
        <f t="shared" si="145"/>
        <v>x</v>
      </c>
      <c r="O87" s="111" t="str">
        <f t="shared" si="145"/>
        <v>x</v>
      </c>
      <c r="P87" s="111" t="str">
        <f t="shared" si="145"/>
        <v>x</v>
      </c>
      <c r="Q87" s="111" t="str">
        <f t="shared" si="145"/>
        <v>x</v>
      </c>
      <c r="R87" s="111" t="str">
        <f t="shared" si="145"/>
        <v>x</v>
      </c>
      <c r="S87" s="111" t="str">
        <f t="shared" si="145"/>
        <v>84|De S|Norwood Exiles|14-Aug</v>
      </c>
      <c r="T87" s="111" t="str">
        <f t="shared" si="145"/>
        <v>x</v>
      </c>
      <c r="U87" s="111" t="str">
        <f t="shared" si="145"/>
        <v>x</v>
      </c>
      <c r="V87" s="111" t="str">
        <f t="shared" si="145"/>
        <v>x</v>
      </c>
      <c r="W87" s="111" t="str">
        <f t="shared" si="145"/>
        <v>x</v>
      </c>
      <c r="X87" s="111" t="str">
        <f t="shared" si="145"/>
        <v>x</v>
      </c>
      <c r="Y87" s="111" t="str">
        <f t="shared" si="145"/>
        <v>x</v>
      </c>
      <c r="Z87" s="111" t="str">
        <f t="shared" si="145"/>
        <v>x</v>
      </c>
      <c r="AK87" s="111"/>
      <c r="AL87" s="111"/>
      <c r="BG87" s="64"/>
      <c r="BQ87" s="111"/>
      <c r="BR87" s="111"/>
      <c r="BT87" s="64"/>
      <c r="BV87" s="64"/>
      <c r="BW87" s="64"/>
      <c r="BX87" s="64"/>
      <c r="BY87" s="64"/>
    </row>
    <row r="88" spans="4:79" customFormat="1" x14ac:dyDescent="0.15">
      <c r="D88" s="111" t="str">
        <f t="shared" ref="D88:Z88" si="146">IF(BatSplit(D14,RunsScored)&gt;=50,BatSplit(D14,RunsScored)&amp;IF(BatSplit(D14,NotOuts)=1,"*","")&amp;"|"&amp;$C14&amp;"|"&amp;D$2&amp;"|"&amp;TEXT(D$1,"dd-mmm"),"x")</f>
        <v>x</v>
      </c>
      <c r="E88" s="111" t="str">
        <f t="shared" si="146"/>
        <v>x</v>
      </c>
      <c r="F88" s="111" t="str">
        <f t="shared" si="146"/>
        <v>x</v>
      </c>
      <c r="G88" s="111" t="str">
        <f t="shared" si="146"/>
        <v>x</v>
      </c>
      <c r="H88" s="111" t="str">
        <f t="shared" si="146"/>
        <v>x</v>
      </c>
      <c r="I88" s="111" t="str">
        <f t="shared" si="146"/>
        <v>x</v>
      </c>
      <c r="J88" s="111" t="str">
        <f t="shared" si="146"/>
        <v>x</v>
      </c>
      <c r="K88" s="111" t="str">
        <f t="shared" si="146"/>
        <v>x</v>
      </c>
      <c r="L88" s="111" t="str">
        <f t="shared" si="146"/>
        <v>x</v>
      </c>
      <c r="M88" s="111" t="str">
        <f t="shared" si="146"/>
        <v>x</v>
      </c>
      <c r="N88" s="111" t="str">
        <f t="shared" si="146"/>
        <v>x</v>
      </c>
      <c r="O88" s="111" t="str">
        <f t="shared" si="146"/>
        <v>x</v>
      </c>
      <c r="P88" s="111" t="str">
        <f t="shared" si="146"/>
        <v>x</v>
      </c>
      <c r="Q88" s="111" t="str">
        <f t="shared" si="146"/>
        <v>x</v>
      </c>
      <c r="R88" s="111" t="str">
        <f t="shared" si="146"/>
        <v>x</v>
      </c>
      <c r="S88" s="111" t="str">
        <f t="shared" si="146"/>
        <v>x</v>
      </c>
      <c r="T88" s="111" t="str">
        <f t="shared" si="146"/>
        <v>x</v>
      </c>
      <c r="U88" s="111" t="str">
        <f t="shared" si="146"/>
        <v>x</v>
      </c>
      <c r="V88" s="111" t="str">
        <f t="shared" si="146"/>
        <v>x</v>
      </c>
      <c r="W88" s="111" t="str">
        <f t="shared" si="146"/>
        <v>x</v>
      </c>
      <c r="X88" s="111" t="str">
        <f t="shared" si="146"/>
        <v>x</v>
      </c>
      <c r="Y88" s="111" t="str">
        <f t="shared" si="146"/>
        <v>x</v>
      </c>
      <c r="Z88" s="111" t="str">
        <f t="shared" si="146"/>
        <v>x</v>
      </c>
      <c r="BG88" s="64"/>
      <c r="BT88" s="64"/>
      <c r="BV88" s="64"/>
      <c r="BW88" s="64"/>
      <c r="BX88" s="64"/>
      <c r="BY88" s="64"/>
    </row>
    <row r="89" spans="4:79" customFormat="1" x14ac:dyDescent="0.15">
      <c r="D89" s="111" t="str">
        <f t="shared" ref="D89:Z89" si="147">IF(BatSplit(D15,RunsScored)&gt;=50,BatSplit(D15,RunsScored)&amp;IF(BatSplit(D15,NotOuts)=1,"*","")&amp;"|"&amp;$C15&amp;"|"&amp;D$2&amp;"|"&amp;TEXT(D$1,"dd-mmm"),"x")</f>
        <v>x</v>
      </c>
      <c r="E89" s="111" t="str">
        <f t="shared" si="147"/>
        <v>x</v>
      </c>
      <c r="F89" s="111" t="str">
        <f t="shared" si="147"/>
        <v>x</v>
      </c>
      <c r="G89" s="111" t="str">
        <f t="shared" si="147"/>
        <v>x</v>
      </c>
      <c r="H89" s="111" t="str">
        <f t="shared" si="147"/>
        <v>x</v>
      </c>
      <c r="I89" s="111" t="str">
        <f t="shared" si="147"/>
        <v>x</v>
      </c>
      <c r="J89" s="111" t="str">
        <f t="shared" si="147"/>
        <v>x</v>
      </c>
      <c r="K89" s="111" t="str">
        <f t="shared" si="147"/>
        <v>x</v>
      </c>
      <c r="L89" s="111" t="str">
        <f t="shared" si="147"/>
        <v>x</v>
      </c>
      <c r="M89" s="111" t="str">
        <f t="shared" si="147"/>
        <v>x</v>
      </c>
      <c r="N89" s="111" t="str">
        <f t="shared" si="147"/>
        <v>x</v>
      </c>
      <c r="O89" s="111" t="str">
        <f t="shared" si="147"/>
        <v>x</v>
      </c>
      <c r="P89" s="111" t="str">
        <f t="shared" si="147"/>
        <v>x</v>
      </c>
      <c r="Q89" s="111" t="str">
        <f t="shared" si="147"/>
        <v>x</v>
      </c>
      <c r="R89" s="111" t="str">
        <f t="shared" si="147"/>
        <v>x</v>
      </c>
      <c r="S89" s="111" t="str">
        <f t="shared" si="147"/>
        <v>x</v>
      </c>
      <c r="T89" s="111" t="str">
        <f t="shared" si="147"/>
        <v>x</v>
      </c>
      <c r="U89" s="111" t="str">
        <f t="shared" si="147"/>
        <v>x</v>
      </c>
      <c r="V89" s="111" t="str">
        <f t="shared" si="147"/>
        <v>x</v>
      </c>
      <c r="W89" s="111" t="str">
        <f t="shared" si="147"/>
        <v>x</v>
      </c>
      <c r="X89" s="111" t="str">
        <f t="shared" si="147"/>
        <v>x</v>
      </c>
      <c r="Y89" s="111" t="str">
        <f t="shared" si="147"/>
        <v>x</v>
      </c>
      <c r="Z89" s="111" t="str">
        <f t="shared" si="147"/>
        <v>x</v>
      </c>
      <c r="AI89" s="111"/>
      <c r="AJ89" s="111"/>
      <c r="BG89" s="64"/>
      <c r="BV89" s="64"/>
      <c r="BW89" s="64"/>
      <c r="BX89" s="111"/>
      <c r="BY89" s="111"/>
    </row>
    <row r="90" spans="4:79" customFormat="1" x14ac:dyDescent="0.15">
      <c r="D90" s="111" t="str">
        <f t="shared" ref="D90:Z90" si="148">IF(BatSplit(D16,RunsScored)&gt;=50,BatSplit(D16,RunsScored)&amp;IF(BatSplit(D16,NotOuts)=1,"*","")&amp;"|"&amp;$C16&amp;"|"&amp;D$2&amp;"|"&amp;TEXT(D$1,"dd-mmm"),"x")</f>
        <v>x</v>
      </c>
      <c r="E90" s="111" t="str">
        <f t="shared" si="148"/>
        <v>x</v>
      </c>
      <c r="F90" s="111" t="str">
        <f t="shared" si="148"/>
        <v>x</v>
      </c>
      <c r="G90" s="111" t="str">
        <f t="shared" si="148"/>
        <v>x</v>
      </c>
      <c r="H90" s="111" t="str">
        <f t="shared" si="148"/>
        <v>x</v>
      </c>
      <c r="I90" s="111" t="str">
        <f t="shared" si="148"/>
        <v>x</v>
      </c>
      <c r="J90" s="111" t="str">
        <f t="shared" si="148"/>
        <v>x</v>
      </c>
      <c r="K90" s="111" t="str">
        <f t="shared" si="148"/>
        <v>x</v>
      </c>
      <c r="L90" s="111" t="str">
        <f t="shared" si="148"/>
        <v>x</v>
      </c>
      <c r="M90" s="111" t="str">
        <f t="shared" si="148"/>
        <v>x</v>
      </c>
      <c r="N90" s="111" t="str">
        <f t="shared" si="148"/>
        <v>x</v>
      </c>
      <c r="O90" s="111" t="str">
        <f t="shared" si="148"/>
        <v>x</v>
      </c>
      <c r="P90" s="111" t="str">
        <f t="shared" si="148"/>
        <v>x</v>
      </c>
      <c r="Q90" s="111" t="str">
        <f t="shared" si="148"/>
        <v>x</v>
      </c>
      <c r="R90" s="111" t="str">
        <f t="shared" si="148"/>
        <v>x</v>
      </c>
      <c r="S90" s="111" t="str">
        <f t="shared" si="148"/>
        <v>x</v>
      </c>
      <c r="T90" s="111" t="str">
        <f t="shared" si="148"/>
        <v>x</v>
      </c>
      <c r="U90" s="111" t="str">
        <f t="shared" si="148"/>
        <v>x</v>
      </c>
      <c r="V90" s="111" t="str">
        <f t="shared" si="148"/>
        <v>x</v>
      </c>
      <c r="W90" s="111" t="str">
        <f t="shared" si="148"/>
        <v>x</v>
      </c>
      <c r="X90" s="111" t="str">
        <f t="shared" si="148"/>
        <v>x</v>
      </c>
      <c r="Y90" s="111" t="str">
        <f t="shared" si="148"/>
        <v>x</v>
      </c>
      <c r="Z90" s="111" t="str">
        <f t="shared" si="148"/>
        <v>x</v>
      </c>
      <c r="AI90" s="64"/>
      <c r="AJ90" s="64"/>
      <c r="AK90" s="64"/>
      <c r="AL90" s="64"/>
      <c r="BG90" s="64"/>
      <c r="BQ90" s="64"/>
      <c r="BR90" s="64"/>
      <c r="BS90" s="64"/>
      <c r="BV90" s="64"/>
      <c r="BW90" s="64"/>
    </row>
    <row r="91" spans="4:79" customFormat="1" x14ac:dyDescent="0.15">
      <c r="D91" s="111" t="str">
        <f t="shared" ref="D91:Z91" si="149">IF(BatSplit(D17,RunsScored)&gt;=50,BatSplit(D17,RunsScored)&amp;IF(BatSplit(D17,NotOuts)=1,"*","")&amp;"|"&amp;$C17&amp;"|"&amp;D$2&amp;"|"&amp;TEXT(D$1,"dd-mmm"),"x")</f>
        <v>x</v>
      </c>
      <c r="E91" s="111" t="str">
        <f t="shared" si="149"/>
        <v>x</v>
      </c>
      <c r="F91" s="111" t="str">
        <f t="shared" si="149"/>
        <v>x</v>
      </c>
      <c r="G91" s="111" t="str">
        <f t="shared" si="149"/>
        <v>x</v>
      </c>
      <c r="H91" s="111" t="str">
        <f t="shared" si="149"/>
        <v>x</v>
      </c>
      <c r="I91" s="111" t="str">
        <f t="shared" si="149"/>
        <v>x</v>
      </c>
      <c r="J91" s="111" t="str">
        <f t="shared" si="149"/>
        <v>x</v>
      </c>
      <c r="K91" s="111" t="str">
        <f t="shared" si="149"/>
        <v>x</v>
      </c>
      <c r="L91" s="111" t="str">
        <f t="shared" si="149"/>
        <v>x</v>
      </c>
      <c r="M91" s="111" t="str">
        <f t="shared" si="149"/>
        <v>x</v>
      </c>
      <c r="N91" s="111" t="str">
        <f t="shared" si="149"/>
        <v>x</v>
      </c>
      <c r="O91" s="111" t="str">
        <f t="shared" si="149"/>
        <v>x</v>
      </c>
      <c r="P91" s="111" t="str">
        <f t="shared" si="149"/>
        <v>x</v>
      </c>
      <c r="Q91" s="111" t="str">
        <f t="shared" si="149"/>
        <v>x</v>
      </c>
      <c r="R91" s="111" t="str">
        <f t="shared" si="149"/>
        <v>x</v>
      </c>
      <c r="S91" s="111" t="str">
        <f t="shared" si="149"/>
        <v>x</v>
      </c>
      <c r="T91" s="111" t="str">
        <f t="shared" si="149"/>
        <v>x</v>
      </c>
      <c r="U91" s="111" t="str">
        <f t="shared" si="149"/>
        <v>x</v>
      </c>
      <c r="V91" s="111" t="str">
        <f t="shared" si="149"/>
        <v>x</v>
      </c>
      <c r="W91" s="111" t="str">
        <f t="shared" si="149"/>
        <v>x</v>
      </c>
      <c r="X91" s="111" t="str">
        <f t="shared" si="149"/>
        <v>x</v>
      </c>
      <c r="Y91" s="111" t="str">
        <f t="shared" si="149"/>
        <v>x</v>
      </c>
      <c r="Z91" s="111" t="str">
        <f t="shared" si="149"/>
        <v>x</v>
      </c>
      <c r="AI91" s="64"/>
      <c r="AJ91" s="64"/>
      <c r="AK91" s="64"/>
      <c r="AL91" s="64"/>
      <c r="BG91" s="64"/>
      <c r="BS91" s="111"/>
      <c r="BV91" s="64"/>
      <c r="BW91" s="64"/>
    </row>
    <row r="92" spans="4:79" customFormat="1" x14ac:dyDescent="0.15">
      <c r="D92" s="111" t="str">
        <f t="shared" ref="D92:Z92" si="150">IF(BatSplit(D18,RunsScored)&gt;=50,BatSplit(D18,RunsScored)&amp;IF(BatSplit(D18,NotOuts)=1,"*","")&amp;"|"&amp;$C18&amp;"|"&amp;D$2&amp;"|"&amp;TEXT(D$1,"dd-mmm"),"x")</f>
        <v>x</v>
      </c>
      <c r="E92" s="111" t="str">
        <f t="shared" si="150"/>
        <v>x</v>
      </c>
      <c r="F92" s="111" t="str">
        <f t="shared" si="150"/>
        <v>x</v>
      </c>
      <c r="G92" s="111" t="str">
        <f t="shared" si="150"/>
        <v>x</v>
      </c>
      <c r="H92" s="111" t="str">
        <f t="shared" si="150"/>
        <v>x</v>
      </c>
      <c r="I92" s="111" t="str">
        <f t="shared" si="150"/>
        <v>x</v>
      </c>
      <c r="J92" s="111" t="str">
        <f t="shared" si="150"/>
        <v>x</v>
      </c>
      <c r="K92" s="111" t="str">
        <f t="shared" si="150"/>
        <v>x</v>
      </c>
      <c r="L92" s="111" t="str">
        <f t="shared" si="150"/>
        <v>x</v>
      </c>
      <c r="M92" s="111" t="str">
        <f t="shared" si="150"/>
        <v>x</v>
      </c>
      <c r="N92" s="111" t="str">
        <f t="shared" si="150"/>
        <v>x</v>
      </c>
      <c r="O92" s="111" t="str">
        <f t="shared" si="150"/>
        <v>x</v>
      </c>
      <c r="P92" s="111" t="str">
        <f t="shared" si="150"/>
        <v>x</v>
      </c>
      <c r="Q92" s="111" t="str">
        <f t="shared" si="150"/>
        <v>x</v>
      </c>
      <c r="R92" s="111" t="str">
        <f t="shared" si="150"/>
        <v>x</v>
      </c>
      <c r="S92" s="111" t="str">
        <f t="shared" si="150"/>
        <v>x</v>
      </c>
      <c r="T92" s="111" t="str">
        <f t="shared" si="150"/>
        <v>x</v>
      </c>
      <c r="U92" s="111" t="str">
        <f t="shared" si="150"/>
        <v>x</v>
      </c>
      <c r="V92" s="111" t="str">
        <f t="shared" si="150"/>
        <v>x</v>
      </c>
      <c r="W92" s="111" t="str">
        <f t="shared" si="150"/>
        <v>x</v>
      </c>
      <c r="X92" s="111" t="str">
        <f t="shared" si="150"/>
        <v>x</v>
      </c>
      <c r="Y92" s="111" t="str">
        <f t="shared" si="150"/>
        <v>x</v>
      </c>
      <c r="Z92" s="111" t="str">
        <f t="shared" si="150"/>
        <v>x</v>
      </c>
      <c r="AI92" s="64"/>
      <c r="AJ92" s="64"/>
      <c r="AK92" s="64"/>
      <c r="AL92" s="64"/>
      <c r="BG92" s="64"/>
      <c r="BQ92" s="64"/>
      <c r="BR92" s="64"/>
      <c r="BS92" s="111"/>
      <c r="BV92" s="64"/>
      <c r="BW92" s="64"/>
      <c r="BX92" s="111"/>
      <c r="BY92" s="111"/>
    </row>
    <row r="93" spans="4:79" customFormat="1" x14ac:dyDescent="0.15">
      <c r="D93" s="111" t="str">
        <f t="shared" ref="D93:Z93" si="151">IF(BatSplit(D19,RunsScored)&gt;=50,BatSplit(D19,RunsScored)&amp;IF(BatSplit(D19,NotOuts)=1,"*","")&amp;"|"&amp;$C19&amp;"|"&amp;D$2&amp;"|"&amp;TEXT(D$1,"dd-mmm"),"x")</f>
        <v>x</v>
      </c>
      <c r="E93" s="111" t="str">
        <f t="shared" si="151"/>
        <v>x</v>
      </c>
      <c r="F93" s="111" t="str">
        <f t="shared" si="151"/>
        <v>x</v>
      </c>
      <c r="G93" s="111" t="str">
        <f t="shared" si="151"/>
        <v>x</v>
      </c>
      <c r="H93" s="111" t="str">
        <f t="shared" si="151"/>
        <v>x</v>
      </c>
      <c r="I93" s="111" t="str">
        <f t="shared" si="151"/>
        <v>x</v>
      </c>
      <c r="J93" s="111" t="str">
        <f t="shared" si="151"/>
        <v>x</v>
      </c>
      <c r="K93" s="111" t="str">
        <f t="shared" si="151"/>
        <v>x</v>
      </c>
      <c r="L93" s="111" t="str">
        <f t="shared" si="151"/>
        <v>x</v>
      </c>
      <c r="M93" s="111" t="str">
        <f t="shared" si="151"/>
        <v>x</v>
      </c>
      <c r="N93" s="111" t="str">
        <f t="shared" si="151"/>
        <v>x</v>
      </c>
      <c r="O93" s="111" t="str">
        <f t="shared" si="151"/>
        <v>x</v>
      </c>
      <c r="P93" s="111" t="str">
        <f t="shared" si="151"/>
        <v>x</v>
      </c>
      <c r="Q93" s="111" t="str">
        <f t="shared" si="151"/>
        <v>x</v>
      </c>
      <c r="R93" s="111" t="str">
        <f t="shared" si="151"/>
        <v>x</v>
      </c>
      <c r="S93" s="111" t="str">
        <f t="shared" si="151"/>
        <v>x</v>
      </c>
      <c r="T93" s="111" t="str">
        <f t="shared" si="151"/>
        <v>x</v>
      </c>
      <c r="U93" s="111" t="str">
        <f t="shared" si="151"/>
        <v>x</v>
      </c>
      <c r="V93" s="111" t="str">
        <f t="shared" si="151"/>
        <v>x</v>
      </c>
      <c r="W93" s="111" t="str">
        <f t="shared" si="151"/>
        <v>x</v>
      </c>
      <c r="X93" s="111" t="str">
        <f t="shared" si="151"/>
        <v>x</v>
      </c>
      <c r="Y93" s="111" t="str">
        <f t="shared" si="151"/>
        <v>x</v>
      </c>
      <c r="Z93" s="111" t="str">
        <f t="shared" si="151"/>
        <v>x</v>
      </c>
      <c r="AI93" s="64"/>
      <c r="AJ93" s="64"/>
      <c r="AK93" s="64"/>
      <c r="AL93" s="64"/>
      <c r="BG93" s="64"/>
      <c r="BQ93" s="111"/>
      <c r="BR93" s="111"/>
      <c r="BS93" s="111"/>
      <c r="BV93" s="64"/>
      <c r="BW93" s="64"/>
    </row>
    <row r="94" spans="4:79" customFormat="1" x14ac:dyDescent="0.15">
      <c r="D94" s="111" t="str">
        <f t="shared" ref="D94:Z94" si="152">IF(BatSplit(D20,RunsScored)&gt;=50,BatSplit(D20,RunsScored)&amp;IF(BatSplit(D20,NotOuts)=1,"*","")&amp;"|"&amp;$C20&amp;"|"&amp;D$2&amp;"|"&amp;TEXT(D$1,"dd-mmm"),"x")</f>
        <v>x</v>
      </c>
      <c r="E94" s="111" t="str">
        <f t="shared" si="152"/>
        <v>x</v>
      </c>
      <c r="F94" s="111" t="str">
        <f t="shared" si="152"/>
        <v>x</v>
      </c>
      <c r="G94" s="111" t="str">
        <f t="shared" si="152"/>
        <v>x</v>
      </c>
      <c r="H94" s="111" t="str">
        <f t="shared" si="152"/>
        <v>x</v>
      </c>
      <c r="I94" s="111" t="str">
        <f t="shared" si="152"/>
        <v>x</v>
      </c>
      <c r="J94" s="111" t="str">
        <f t="shared" si="152"/>
        <v>x</v>
      </c>
      <c r="K94" s="111" t="str">
        <f t="shared" si="152"/>
        <v>x</v>
      </c>
      <c r="L94" s="111" t="str">
        <f t="shared" si="152"/>
        <v>x</v>
      </c>
      <c r="M94" s="111" t="str">
        <f t="shared" si="152"/>
        <v>x</v>
      </c>
      <c r="N94" s="111" t="str">
        <f t="shared" si="152"/>
        <v>x</v>
      </c>
      <c r="O94" s="111" t="str">
        <f t="shared" si="152"/>
        <v>x</v>
      </c>
      <c r="P94" s="111" t="str">
        <f t="shared" si="152"/>
        <v>x</v>
      </c>
      <c r="Q94" s="111" t="str">
        <f t="shared" si="152"/>
        <v>x</v>
      </c>
      <c r="R94" s="111" t="str">
        <f t="shared" si="152"/>
        <v>x</v>
      </c>
      <c r="S94" s="111" t="str">
        <f t="shared" si="152"/>
        <v>x</v>
      </c>
      <c r="T94" s="111" t="str">
        <f t="shared" si="152"/>
        <v>x</v>
      </c>
      <c r="U94" s="111" t="str">
        <f t="shared" si="152"/>
        <v>x</v>
      </c>
      <c r="V94" s="111" t="str">
        <f t="shared" si="152"/>
        <v>x</v>
      </c>
      <c r="W94" s="111" t="str">
        <f t="shared" si="152"/>
        <v>x</v>
      </c>
      <c r="X94" s="111" t="str">
        <f t="shared" si="152"/>
        <v>x</v>
      </c>
      <c r="Y94" s="111" t="str">
        <f t="shared" si="152"/>
        <v>x</v>
      </c>
      <c r="Z94" s="111" t="str">
        <f t="shared" si="152"/>
        <v>x</v>
      </c>
      <c r="AI94" s="64"/>
      <c r="AJ94" s="64"/>
      <c r="AK94" s="64"/>
      <c r="AL94" s="64"/>
      <c r="BG94" s="64"/>
      <c r="BS94" s="111"/>
      <c r="BV94" s="64"/>
      <c r="BW94" s="64"/>
    </row>
    <row r="95" spans="4:79" customFormat="1" x14ac:dyDescent="0.15">
      <c r="D95" s="111" t="str">
        <f t="shared" ref="D95:Z95" si="153">IF(BatSplit(D21,RunsScored)&gt;=50,BatSplit(D21,RunsScored)&amp;IF(BatSplit(D21,NotOuts)=1,"*","")&amp;"|"&amp;$C21&amp;"|"&amp;D$2&amp;"|"&amp;TEXT(D$1,"dd-mmm"),"x")</f>
        <v>x</v>
      </c>
      <c r="E95" s="111" t="str">
        <f t="shared" si="153"/>
        <v>x</v>
      </c>
      <c r="F95" s="111" t="str">
        <f t="shared" si="153"/>
        <v>x</v>
      </c>
      <c r="G95" s="111" t="str">
        <f t="shared" si="153"/>
        <v>x</v>
      </c>
      <c r="H95" s="111" t="str">
        <f t="shared" si="153"/>
        <v>x</v>
      </c>
      <c r="I95" s="111" t="str">
        <f t="shared" si="153"/>
        <v>x</v>
      </c>
      <c r="J95" s="111" t="str">
        <f t="shared" si="153"/>
        <v>x</v>
      </c>
      <c r="K95" s="111" t="str">
        <f t="shared" si="153"/>
        <v>x</v>
      </c>
      <c r="L95" s="111" t="str">
        <f t="shared" si="153"/>
        <v>x</v>
      </c>
      <c r="M95" s="111" t="str">
        <f t="shared" si="153"/>
        <v>x</v>
      </c>
      <c r="N95" s="111" t="str">
        <f t="shared" si="153"/>
        <v>x</v>
      </c>
      <c r="O95" s="111" t="str">
        <f t="shared" si="153"/>
        <v>x</v>
      </c>
      <c r="P95" s="111" t="str">
        <f t="shared" si="153"/>
        <v>x</v>
      </c>
      <c r="Q95" s="111" t="str">
        <f t="shared" si="153"/>
        <v>x</v>
      </c>
      <c r="R95" s="111" t="str">
        <f t="shared" si="153"/>
        <v>x</v>
      </c>
      <c r="S95" s="111" t="str">
        <f t="shared" si="153"/>
        <v>x</v>
      </c>
      <c r="T95" s="111" t="str">
        <f t="shared" si="153"/>
        <v>x</v>
      </c>
      <c r="U95" s="111" t="str">
        <f t="shared" si="153"/>
        <v>x</v>
      </c>
      <c r="V95" s="111" t="str">
        <f t="shared" si="153"/>
        <v>x</v>
      </c>
      <c r="W95" s="111" t="str">
        <f t="shared" si="153"/>
        <v>x</v>
      </c>
      <c r="X95" s="111" t="str">
        <f t="shared" si="153"/>
        <v>x</v>
      </c>
      <c r="Y95" s="111" t="str">
        <f t="shared" si="153"/>
        <v>x</v>
      </c>
      <c r="Z95" s="111" t="str">
        <f t="shared" si="153"/>
        <v>x</v>
      </c>
      <c r="AI95" s="64"/>
      <c r="AJ95" s="64"/>
      <c r="AK95" s="64"/>
      <c r="AL95" s="64"/>
      <c r="BD95" s="111"/>
      <c r="BE95" s="111"/>
      <c r="BF95" s="111"/>
      <c r="BG95" s="64"/>
      <c r="BV95" s="64"/>
      <c r="BW95" s="64"/>
      <c r="BX95" s="64"/>
      <c r="BY95" s="64"/>
    </row>
    <row r="96" spans="4:79" customFormat="1" x14ac:dyDescent="0.15">
      <c r="D96" s="111" t="str">
        <f t="shared" ref="D96:Z96" si="154">IF(BatSplit(D22,RunsScored)&gt;=50,BatSplit(D22,RunsScored)&amp;IF(BatSplit(D22,NotOuts)=1,"*","")&amp;"|"&amp;$C22&amp;"|"&amp;D$2&amp;"|"&amp;TEXT(D$1,"dd-mmm"),"x")</f>
        <v>x</v>
      </c>
      <c r="E96" s="111" t="str">
        <f t="shared" si="154"/>
        <v>x</v>
      </c>
      <c r="F96" s="111" t="str">
        <f t="shared" si="154"/>
        <v>x</v>
      </c>
      <c r="G96" s="111" t="str">
        <f t="shared" si="154"/>
        <v>x</v>
      </c>
      <c r="H96" s="111" t="str">
        <f t="shared" si="154"/>
        <v>x</v>
      </c>
      <c r="I96" s="111" t="str">
        <f t="shared" si="154"/>
        <v>x</v>
      </c>
      <c r="J96" s="111" t="str">
        <f t="shared" si="154"/>
        <v>x</v>
      </c>
      <c r="K96" s="111" t="str">
        <f t="shared" si="154"/>
        <v>x</v>
      </c>
      <c r="L96" s="111" t="str">
        <f t="shared" si="154"/>
        <v>x</v>
      </c>
      <c r="M96" s="111" t="str">
        <f t="shared" si="154"/>
        <v>x</v>
      </c>
      <c r="N96" s="111" t="str">
        <f t="shared" si="154"/>
        <v>x</v>
      </c>
      <c r="O96" s="111" t="str">
        <f t="shared" si="154"/>
        <v>x</v>
      </c>
      <c r="P96" s="111" t="str">
        <f t="shared" si="154"/>
        <v>x</v>
      </c>
      <c r="Q96" s="111" t="str">
        <f t="shared" si="154"/>
        <v>x</v>
      </c>
      <c r="R96" s="111" t="str">
        <f t="shared" si="154"/>
        <v>x</v>
      </c>
      <c r="S96" s="111" t="str">
        <f t="shared" si="154"/>
        <v>x</v>
      </c>
      <c r="T96" s="111" t="str">
        <f t="shared" si="154"/>
        <v>x</v>
      </c>
      <c r="U96" s="111" t="str">
        <f t="shared" si="154"/>
        <v>x</v>
      </c>
      <c r="V96" s="111" t="str">
        <f t="shared" si="154"/>
        <v>x</v>
      </c>
      <c r="W96" s="111" t="str">
        <f t="shared" si="154"/>
        <v>x</v>
      </c>
      <c r="X96" s="111" t="str">
        <f t="shared" si="154"/>
        <v>x</v>
      </c>
      <c r="Y96" s="111" t="str">
        <f t="shared" si="154"/>
        <v>x</v>
      </c>
      <c r="Z96" s="111" t="str">
        <f t="shared" si="154"/>
        <v>x</v>
      </c>
      <c r="AI96" s="64"/>
      <c r="AJ96" s="64"/>
      <c r="AK96" s="64"/>
      <c r="AL96" s="64"/>
      <c r="BD96" s="111"/>
      <c r="BE96" s="111"/>
      <c r="BF96" s="111"/>
      <c r="BG96" s="64"/>
      <c r="BQ96" s="64"/>
      <c r="BR96" s="64"/>
      <c r="BV96" s="64"/>
      <c r="BW96" s="64"/>
      <c r="BX96" s="64"/>
      <c r="BY96" s="64"/>
    </row>
    <row r="97" spans="4:77" customFormat="1" x14ac:dyDescent="0.15">
      <c r="D97" s="111" t="str">
        <f t="shared" ref="D97:Z97" si="155">IF(BatSplit(D23,RunsScored)&gt;=50,BatSplit(D23,RunsScored)&amp;IF(BatSplit(D23,NotOuts)=1,"*","")&amp;"|"&amp;$C23&amp;"|"&amp;D$2&amp;"|"&amp;TEXT(D$1,"dd-mmm"),"x")</f>
        <v>x</v>
      </c>
      <c r="E97" s="111" t="str">
        <f t="shared" si="155"/>
        <v>x</v>
      </c>
      <c r="F97" s="111" t="str">
        <f t="shared" si="155"/>
        <v>x</v>
      </c>
      <c r="G97" s="111" t="str">
        <f t="shared" si="155"/>
        <v>x</v>
      </c>
      <c r="H97" s="111" t="str">
        <f t="shared" si="155"/>
        <v>x</v>
      </c>
      <c r="I97" s="111" t="str">
        <f t="shared" si="155"/>
        <v>x</v>
      </c>
      <c r="J97" s="111" t="str">
        <f t="shared" si="155"/>
        <v>x</v>
      </c>
      <c r="K97" s="111" t="str">
        <f t="shared" si="155"/>
        <v>x</v>
      </c>
      <c r="L97" s="111" t="str">
        <f t="shared" si="155"/>
        <v>x</v>
      </c>
      <c r="M97" s="111" t="str">
        <f t="shared" si="155"/>
        <v>x</v>
      </c>
      <c r="N97" s="111" t="str">
        <f t="shared" si="155"/>
        <v>x</v>
      </c>
      <c r="O97" s="111" t="str">
        <f t="shared" si="155"/>
        <v>x</v>
      </c>
      <c r="P97" s="111" t="str">
        <f t="shared" si="155"/>
        <v>x</v>
      </c>
      <c r="Q97" s="111" t="str">
        <f t="shared" si="155"/>
        <v>x</v>
      </c>
      <c r="R97" s="111" t="str">
        <f t="shared" si="155"/>
        <v>x</v>
      </c>
      <c r="S97" s="111" t="str">
        <f t="shared" si="155"/>
        <v>x</v>
      </c>
      <c r="T97" s="111" t="str">
        <f t="shared" si="155"/>
        <v>x</v>
      </c>
      <c r="U97" s="111" t="str">
        <f t="shared" si="155"/>
        <v>x</v>
      </c>
      <c r="V97" s="111" t="str">
        <f t="shared" si="155"/>
        <v>x</v>
      </c>
      <c r="W97" s="111" t="str">
        <f t="shared" si="155"/>
        <v>x</v>
      </c>
      <c r="X97" s="111" t="str">
        <f t="shared" si="155"/>
        <v>x</v>
      </c>
      <c r="Y97" s="111" t="str">
        <f t="shared" si="155"/>
        <v>x</v>
      </c>
      <c r="Z97" s="111" t="str">
        <f t="shared" si="155"/>
        <v>x</v>
      </c>
      <c r="AI97" s="64"/>
      <c r="AJ97" s="64"/>
      <c r="AK97" s="64"/>
      <c r="AL97" s="64"/>
      <c r="BD97" s="111"/>
      <c r="BE97" s="111"/>
      <c r="BF97" s="111"/>
      <c r="BG97" s="64"/>
      <c r="BQ97" s="111"/>
      <c r="BR97" s="111"/>
      <c r="BV97" s="64"/>
      <c r="BW97" s="64"/>
      <c r="BX97" s="64"/>
      <c r="BY97" s="64"/>
    </row>
    <row r="98" spans="4:77" customFormat="1" x14ac:dyDescent="0.15">
      <c r="D98" s="111" t="str">
        <f t="shared" ref="D98:Z98" si="156">IF(BatSplit(D24,RunsScored)&gt;=50,BatSplit(D24,RunsScored)&amp;IF(BatSplit(D24,NotOuts)=1,"*","")&amp;"|"&amp;$C24&amp;"|"&amp;D$2&amp;"|"&amp;TEXT(D$1,"dd-mmm"),"x")</f>
        <v>x</v>
      </c>
      <c r="E98" s="111" t="str">
        <f t="shared" si="156"/>
        <v>x</v>
      </c>
      <c r="F98" s="111" t="str">
        <f t="shared" si="156"/>
        <v>x</v>
      </c>
      <c r="G98" s="111" t="str">
        <f t="shared" si="156"/>
        <v>x</v>
      </c>
      <c r="H98" s="111" t="str">
        <f t="shared" si="156"/>
        <v>x</v>
      </c>
      <c r="I98" s="111" t="str">
        <f t="shared" si="156"/>
        <v>x</v>
      </c>
      <c r="J98" s="111" t="str">
        <f t="shared" si="156"/>
        <v>x</v>
      </c>
      <c r="K98" s="111" t="str">
        <f t="shared" si="156"/>
        <v>x</v>
      </c>
      <c r="L98" s="111" t="str">
        <f t="shared" si="156"/>
        <v>x</v>
      </c>
      <c r="M98" s="111" t="str">
        <f t="shared" si="156"/>
        <v>x</v>
      </c>
      <c r="N98" s="111" t="str">
        <f t="shared" si="156"/>
        <v>x</v>
      </c>
      <c r="O98" s="111" t="str">
        <f t="shared" si="156"/>
        <v>x</v>
      </c>
      <c r="P98" s="111" t="str">
        <f t="shared" si="156"/>
        <v>x</v>
      </c>
      <c r="Q98" s="111" t="str">
        <f t="shared" si="156"/>
        <v>x</v>
      </c>
      <c r="R98" s="111" t="str">
        <f t="shared" si="156"/>
        <v>x</v>
      </c>
      <c r="S98" s="111" t="str">
        <f t="shared" si="156"/>
        <v>x</v>
      </c>
      <c r="T98" s="111" t="str">
        <f t="shared" si="156"/>
        <v>x</v>
      </c>
      <c r="U98" s="111" t="str">
        <f t="shared" si="156"/>
        <v>x</v>
      </c>
      <c r="V98" s="111" t="str">
        <f t="shared" si="156"/>
        <v>x</v>
      </c>
      <c r="W98" s="111" t="str">
        <f t="shared" si="156"/>
        <v>x</v>
      </c>
      <c r="X98" s="111" t="str">
        <f t="shared" si="156"/>
        <v>x</v>
      </c>
      <c r="Y98" s="111" t="str">
        <f t="shared" si="156"/>
        <v>x</v>
      </c>
      <c r="Z98" s="111" t="str">
        <f t="shared" si="156"/>
        <v>x</v>
      </c>
      <c r="AI98" s="64"/>
      <c r="AJ98" s="64"/>
      <c r="AK98" s="64"/>
      <c r="BG98" s="64"/>
      <c r="BV98" s="64"/>
      <c r="BW98" s="64"/>
      <c r="BX98" s="64"/>
      <c r="BY98" s="64"/>
    </row>
    <row r="99" spans="4:77" customFormat="1" x14ac:dyDescent="0.15">
      <c r="D99" s="111" t="str">
        <f t="shared" ref="D99:Z99" si="157">IF(BatSplit(D25,RunsScored)&gt;=50,BatSplit(D25,RunsScored)&amp;IF(BatSplit(D25,NotOuts)=1,"*","")&amp;"|"&amp;$C25&amp;"|"&amp;D$2&amp;"|"&amp;TEXT(D$1,"dd-mmm"),"x")</f>
        <v>x</v>
      </c>
      <c r="E99" s="111" t="str">
        <f t="shared" si="157"/>
        <v>x</v>
      </c>
      <c r="F99" s="111" t="str">
        <f t="shared" si="157"/>
        <v>x</v>
      </c>
      <c r="G99" s="111" t="str">
        <f t="shared" si="157"/>
        <v>x</v>
      </c>
      <c r="H99" s="111" t="str">
        <f t="shared" si="157"/>
        <v>x</v>
      </c>
      <c r="I99" s="111" t="str">
        <f t="shared" si="157"/>
        <v>x</v>
      </c>
      <c r="J99" s="111" t="str">
        <f t="shared" si="157"/>
        <v>x</v>
      </c>
      <c r="K99" s="111" t="str">
        <f t="shared" si="157"/>
        <v>x</v>
      </c>
      <c r="L99" s="111" t="str">
        <f t="shared" si="157"/>
        <v>x</v>
      </c>
      <c r="M99" s="111" t="str">
        <f t="shared" si="157"/>
        <v>x</v>
      </c>
      <c r="N99" s="111" t="str">
        <f t="shared" si="157"/>
        <v>x</v>
      </c>
      <c r="O99" s="111" t="str">
        <f t="shared" si="157"/>
        <v>x</v>
      </c>
      <c r="P99" s="111" t="str">
        <f t="shared" si="157"/>
        <v>x</v>
      </c>
      <c r="Q99" s="111" t="str">
        <f t="shared" si="157"/>
        <v>x</v>
      </c>
      <c r="R99" s="111" t="str">
        <f t="shared" si="157"/>
        <v>x</v>
      </c>
      <c r="S99" s="111" t="str">
        <f t="shared" si="157"/>
        <v>x</v>
      </c>
      <c r="T99" s="111" t="str">
        <f t="shared" si="157"/>
        <v>x</v>
      </c>
      <c r="U99" s="111" t="str">
        <f t="shared" si="157"/>
        <v>x</v>
      </c>
      <c r="V99" s="111" t="str">
        <f t="shared" si="157"/>
        <v>x</v>
      </c>
      <c r="W99" s="111" t="str">
        <f t="shared" si="157"/>
        <v>x</v>
      </c>
      <c r="X99" s="111" t="str">
        <f t="shared" si="157"/>
        <v>x</v>
      </c>
      <c r="Y99" s="111" t="str">
        <f t="shared" si="157"/>
        <v>x</v>
      </c>
      <c r="Z99" s="111" t="str">
        <f t="shared" si="157"/>
        <v>x</v>
      </c>
      <c r="AI99" s="64"/>
      <c r="AJ99" s="64"/>
      <c r="AK99" s="64"/>
      <c r="BG99" s="64"/>
      <c r="BV99" s="64"/>
      <c r="BW99" s="64"/>
      <c r="BX99" s="64"/>
      <c r="BY99" s="64"/>
    </row>
    <row r="100" spans="4:77" customFormat="1" x14ac:dyDescent="0.15">
      <c r="D100" s="111" t="str">
        <f t="shared" ref="D100:Z100" si="158">IF(BatSplit(D26,RunsScored)&gt;=50,BatSplit(D26,RunsScored)&amp;IF(BatSplit(D26,NotOuts)=1,"*","")&amp;"|"&amp;$C26&amp;"|"&amp;D$2&amp;"|"&amp;TEXT(D$1,"dd-mmm"),"x")</f>
        <v>x</v>
      </c>
      <c r="E100" s="111" t="str">
        <f t="shared" si="158"/>
        <v>x</v>
      </c>
      <c r="F100" s="111" t="str">
        <f t="shared" si="158"/>
        <v>x</v>
      </c>
      <c r="G100" s="111" t="str">
        <f t="shared" si="158"/>
        <v>x</v>
      </c>
      <c r="H100" s="111" t="str">
        <f t="shared" si="158"/>
        <v>x</v>
      </c>
      <c r="I100" s="111" t="str">
        <f t="shared" si="158"/>
        <v>x</v>
      </c>
      <c r="J100" s="111" t="str">
        <f t="shared" si="158"/>
        <v>x</v>
      </c>
      <c r="K100" s="111" t="str">
        <f t="shared" si="158"/>
        <v>x</v>
      </c>
      <c r="L100" s="111" t="str">
        <f t="shared" si="158"/>
        <v>x</v>
      </c>
      <c r="M100" s="111" t="str">
        <f t="shared" si="158"/>
        <v>x</v>
      </c>
      <c r="N100" s="111" t="str">
        <f t="shared" si="158"/>
        <v>x</v>
      </c>
      <c r="O100" s="111" t="str">
        <f t="shared" si="158"/>
        <v>x</v>
      </c>
      <c r="P100" s="111" t="str">
        <f t="shared" si="158"/>
        <v>x</v>
      </c>
      <c r="Q100" s="111" t="str">
        <f t="shared" si="158"/>
        <v>x</v>
      </c>
      <c r="R100" s="111" t="str">
        <f t="shared" si="158"/>
        <v>x</v>
      </c>
      <c r="S100" s="111" t="str">
        <f t="shared" si="158"/>
        <v>x</v>
      </c>
      <c r="T100" s="111" t="str">
        <f t="shared" si="158"/>
        <v>x</v>
      </c>
      <c r="U100" s="111" t="str">
        <f t="shared" si="158"/>
        <v>x</v>
      </c>
      <c r="V100" s="111" t="str">
        <f t="shared" si="158"/>
        <v>x</v>
      </c>
      <c r="W100" s="111" t="str">
        <f t="shared" si="158"/>
        <v>x</v>
      </c>
      <c r="X100" s="111" t="str">
        <f t="shared" si="158"/>
        <v>x</v>
      </c>
      <c r="Y100" s="111" t="str">
        <f t="shared" si="158"/>
        <v>x</v>
      </c>
      <c r="Z100" s="111" t="str">
        <f t="shared" si="158"/>
        <v>x</v>
      </c>
      <c r="AI100" s="64"/>
      <c r="AJ100" s="64"/>
      <c r="AK100" s="64"/>
      <c r="BG100" s="64"/>
      <c r="BV100" s="64"/>
      <c r="BW100" s="64"/>
      <c r="BX100" s="64"/>
      <c r="BY100" s="64"/>
    </row>
    <row r="101" spans="4:77" customFormat="1" x14ac:dyDescent="0.15">
      <c r="D101" s="111" t="str">
        <f t="shared" ref="D101:Z101" si="159">IF(BatSplit(D27,RunsScored)&gt;=50,BatSplit(D27,RunsScored)&amp;IF(BatSplit(D27,NotOuts)=1,"*","")&amp;"|"&amp;$C27&amp;"|"&amp;D$2&amp;"|"&amp;TEXT(D$1,"dd-mmm"),"x")</f>
        <v>x</v>
      </c>
      <c r="E101" s="111" t="str">
        <f t="shared" si="159"/>
        <v>x</v>
      </c>
      <c r="F101" s="111" t="str">
        <f t="shared" si="159"/>
        <v>x</v>
      </c>
      <c r="G101" s="111" t="str">
        <f t="shared" si="159"/>
        <v>x</v>
      </c>
      <c r="H101" s="111" t="str">
        <f t="shared" si="159"/>
        <v>x</v>
      </c>
      <c r="I101" s="111" t="str">
        <f t="shared" si="159"/>
        <v>x</v>
      </c>
      <c r="J101" s="111" t="str">
        <f t="shared" si="159"/>
        <v>x</v>
      </c>
      <c r="K101" s="111" t="str">
        <f t="shared" si="159"/>
        <v>x</v>
      </c>
      <c r="L101" s="111" t="str">
        <f t="shared" si="159"/>
        <v>x</v>
      </c>
      <c r="M101" s="111" t="str">
        <f t="shared" si="159"/>
        <v>x</v>
      </c>
      <c r="N101" s="111" t="str">
        <f t="shared" si="159"/>
        <v>x</v>
      </c>
      <c r="O101" s="111" t="str">
        <f t="shared" si="159"/>
        <v>x</v>
      </c>
      <c r="P101" s="111" t="str">
        <f t="shared" si="159"/>
        <v>x</v>
      </c>
      <c r="Q101" s="111" t="str">
        <f t="shared" si="159"/>
        <v>x</v>
      </c>
      <c r="R101" s="111" t="str">
        <f t="shared" si="159"/>
        <v>x</v>
      </c>
      <c r="S101" s="111" t="str">
        <f t="shared" si="159"/>
        <v>x</v>
      </c>
      <c r="T101" s="111" t="str">
        <f t="shared" si="159"/>
        <v>x</v>
      </c>
      <c r="U101" s="111" t="str">
        <f t="shared" si="159"/>
        <v>x</v>
      </c>
      <c r="V101" s="111" t="str">
        <f t="shared" si="159"/>
        <v>x</v>
      </c>
      <c r="W101" s="111" t="str">
        <f t="shared" si="159"/>
        <v>x</v>
      </c>
      <c r="X101" s="111" t="str">
        <f t="shared" si="159"/>
        <v>x</v>
      </c>
      <c r="Y101" s="111" t="str">
        <f t="shared" si="159"/>
        <v>x</v>
      </c>
      <c r="Z101" s="111" t="str">
        <f t="shared" si="159"/>
        <v>x</v>
      </c>
      <c r="AI101" s="64"/>
      <c r="AJ101" s="64"/>
      <c r="AK101" s="64"/>
      <c r="BG101" s="64"/>
      <c r="BV101" s="64"/>
      <c r="BW101" s="64"/>
    </row>
    <row r="102" spans="4:77" customFormat="1" x14ac:dyDescent="0.15">
      <c r="D102" s="111" t="str">
        <f t="shared" ref="D102:Z102" si="160">IF(BatSplit(D28,RunsScored)&gt;=50,BatSplit(D28,RunsScored)&amp;IF(BatSplit(D28,NotOuts)=1,"*","")&amp;"|"&amp;$C28&amp;"|"&amp;D$2&amp;"|"&amp;TEXT(D$1,"dd-mmm"),"x")</f>
        <v>x</v>
      </c>
      <c r="E102" s="111" t="str">
        <f t="shared" si="160"/>
        <v>x</v>
      </c>
      <c r="F102" s="111" t="str">
        <f t="shared" si="160"/>
        <v>x</v>
      </c>
      <c r="G102" s="111" t="str">
        <f t="shared" si="160"/>
        <v>x</v>
      </c>
      <c r="H102" s="111" t="str">
        <f t="shared" si="160"/>
        <v>x</v>
      </c>
      <c r="I102" s="111" t="str">
        <f t="shared" si="160"/>
        <v>x</v>
      </c>
      <c r="J102" s="111" t="str">
        <f t="shared" si="160"/>
        <v>x</v>
      </c>
      <c r="K102" s="111" t="str">
        <f t="shared" si="160"/>
        <v>x</v>
      </c>
      <c r="L102" s="111" t="str">
        <f t="shared" si="160"/>
        <v>x</v>
      </c>
      <c r="M102" s="111" t="str">
        <f t="shared" si="160"/>
        <v>x</v>
      </c>
      <c r="N102" s="111" t="str">
        <f t="shared" si="160"/>
        <v>x</v>
      </c>
      <c r="O102" s="111" t="str">
        <f t="shared" si="160"/>
        <v>x</v>
      </c>
      <c r="P102" s="111" t="str">
        <f t="shared" si="160"/>
        <v>x</v>
      </c>
      <c r="Q102" s="111" t="str">
        <f t="shared" si="160"/>
        <v>x</v>
      </c>
      <c r="R102" s="111" t="str">
        <f t="shared" si="160"/>
        <v>x</v>
      </c>
      <c r="S102" s="111" t="str">
        <f t="shared" si="160"/>
        <v>x</v>
      </c>
      <c r="T102" s="111" t="str">
        <f t="shared" si="160"/>
        <v>x</v>
      </c>
      <c r="U102" s="111" t="str">
        <f t="shared" si="160"/>
        <v>x</v>
      </c>
      <c r="V102" s="111" t="str">
        <f t="shared" si="160"/>
        <v>x</v>
      </c>
      <c r="W102" s="111" t="str">
        <f t="shared" si="160"/>
        <v>x</v>
      </c>
      <c r="X102" s="111" t="str">
        <f t="shared" si="160"/>
        <v>x</v>
      </c>
      <c r="Y102" s="111" t="str">
        <f t="shared" si="160"/>
        <v>x</v>
      </c>
      <c r="Z102" s="111" t="str">
        <f t="shared" si="160"/>
        <v>x</v>
      </c>
      <c r="AI102" s="64"/>
      <c r="AJ102" s="64"/>
      <c r="AK102" s="64"/>
      <c r="BG102" s="64"/>
      <c r="BV102" s="64"/>
      <c r="BW102" s="64"/>
    </row>
    <row r="103" spans="4:77" customFormat="1" x14ac:dyDescent="0.15">
      <c r="D103" s="111" t="str">
        <f t="shared" ref="D103:Z103" si="161">IF(BatSplit(D29,RunsScored)&gt;=50,BatSplit(D29,RunsScored)&amp;IF(BatSplit(D29,NotOuts)=1,"*","")&amp;"|"&amp;$C29&amp;"|"&amp;D$2&amp;"|"&amp;TEXT(D$1,"dd-mmm"),"x")</f>
        <v>x</v>
      </c>
      <c r="E103" s="111" t="str">
        <f t="shared" si="161"/>
        <v>x</v>
      </c>
      <c r="F103" s="111" t="str">
        <f t="shared" si="161"/>
        <v>x</v>
      </c>
      <c r="G103" s="111" t="str">
        <f t="shared" si="161"/>
        <v>x</v>
      </c>
      <c r="H103" s="111" t="str">
        <f t="shared" si="161"/>
        <v>x</v>
      </c>
      <c r="I103" s="111" t="str">
        <f t="shared" si="161"/>
        <v>x</v>
      </c>
      <c r="J103" s="111" t="str">
        <f t="shared" si="161"/>
        <v>x</v>
      </c>
      <c r="K103" s="111" t="str">
        <f t="shared" si="161"/>
        <v>x</v>
      </c>
      <c r="L103" s="111" t="str">
        <f t="shared" si="161"/>
        <v>x</v>
      </c>
      <c r="M103" s="111" t="str">
        <f t="shared" si="161"/>
        <v>x</v>
      </c>
      <c r="N103" s="111" t="str">
        <f t="shared" si="161"/>
        <v>x</v>
      </c>
      <c r="O103" s="111" t="str">
        <f t="shared" si="161"/>
        <v>x</v>
      </c>
      <c r="P103" s="111" t="str">
        <f t="shared" si="161"/>
        <v>x</v>
      </c>
      <c r="Q103" s="111" t="str">
        <f t="shared" si="161"/>
        <v>x</v>
      </c>
      <c r="R103" s="111" t="str">
        <f t="shared" si="161"/>
        <v>x</v>
      </c>
      <c r="S103" s="111" t="str">
        <f t="shared" si="161"/>
        <v>x</v>
      </c>
      <c r="T103" s="111" t="str">
        <f t="shared" si="161"/>
        <v>x</v>
      </c>
      <c r="U103" s="111" t="str">
        <f t="shared" si="161"/>
        <v>x</v>
      </c>
      <c r="V103" s="111" t="str">
        <f t="shared" si="161"/>
        <v>x</v>
      </c>
      <c r="W103" s="111" t="str">
        <f t="shared" si="161"/>
        <v>x</v>
      </c>
      <c r="X103" s="111" t="str">
        <f t="shared" si="161"/>
        <v>x</v>
      </c>
      <c r="Y103" s="111" t="str">
        <f t="shared" si="161"/>
        <v>x</v>
      </c>
      <c r="Z103" s="111" t="str">
        <f t="shared" si="161"/>
        <v>x</v>
      </c>
      <c r="AI103" s="64"/>
      <c r="AJ103" s="64"/>
      <c r="AK103" s="64"/>
      <c r="BG103" s="64"/>
      <c r="BV103" s="111"/>
      <c r="BW103" s="111"/>
    </row>
    <row r="104" spans="4:77" customFormat="1" x14ac:dyDescent="0.15">
      <c r="D104" s="111" t="str">
        <f t="shared" ref="D104:Z104" si="162">IF(BatSplit(D30,RunsScored)&gt;=50,BatSplit(D30,RunsScored)&amp;IF(BatSplit(D30,NotOuts)=1,"*","")&amp;"|"&amp;$C30&amp;"|"&amp;D$2&amp;"|"&amp;TEXT(D$1,"dd-mmm"),"x")</f>
        <v>x</v>
      </c>
      <c r="E104" s="111" t="str">
        <f t="shared" si="162"/>
        <v>x</v>
      </c>
      <c r="F104" s="111" t="str">
        <f t="shared" si="162"/>
        <v>x</v>
      </c>
      <c r="G104" s="111" t="str">
        <f t="shared" si="162"/>
        <v>x</v>
      </c>
      <c r="H104" s="111" t="str">
        <f t="shared" si="162"/>
        <v>x</v>
      </c>
      <c r="I104" s="111" t="str">
        <f t="shared" si="162"/>
        <v>x</v>
      </c>
      <c r="J104" s="111" t="str">
        <f t="shared" si="162"/>
        <v>x</v>
      </c>
      <c r="K104" s="111" t="str">
        <f t="shared" si="162"/>
        <v>x</v>
      </c>
      <c r="L104" s="111" t="str">
        <f t="shared" si="162"/>
        <v>x</v>
      </c>
      <c r="M104" s="111" t="str">
        <f t="shared" si="162"/>
        <v>x</v>
      </c>
      <c r="N104" s="111" t="str">
        <f t="shared" si="162"/>
        <v>x</v>
      </c>
      <c r="O104" s="111" t="str">
        <f t="shared" si="162"/>
        <v>x</v>
      </c>
      <c r="P104" s="111" t="str">
        <f t="shared" si="162"/>
        <v>x</v>
      </c>
      <c r="Q104" s="111" t="str">
        <f t="shared" si="162"/>
        <v>x</v>
      </c>
      <c r="R104" s="111" t="str">
        <f t="shared" si="162"/>
        <v>x</v>
      </c>
      <c r="S104" s="111" t="str">
        <f t="shared" si="162"/>
        <v>x</v>
      </c>
      <c r="T104" s="111" t="str">
        <f t="shared" si="162"/>
        <v>x</v>
      </c>
      <c r="U104" s="111" t="str">
        <f t="shared" si="162"/>
        <v>x</v>
      </c>
      <c r="V104" s="111" t="str">
        <f t="shared" si="162"/>
        <v>x</v>
      </c>
      <c r="W104" s="111" t="str">
        <f t="shared" si="162"/>
        <v>x</v>
      </c>
      <c r="X104" s="111" t="str">
        <f t="shared" si="162"/>
        <v>x</v>
      </c>
      <c r="Y104" s="111" t="str">
        <f t="shared" si="162"/>
        <v>x</v>
      </c>
      <c r="Z104" s="111" t="str">
        <f t="shared" si="162"/>
        <v>x</v>
      </c>
      <c r="AI104" s="64"/>
      <c r="AJ104" s="64"/>
      <c r="AK104" s="64"/>
      <c r="BG104" s="64"/>
      <c r="BV104" s="111"/>
      <c r="BW104" s="111"/>
    </row>
    <row r="105" spans="4:77" customFormat="1" x14ac:dyDescent="0.15">
      <c r="D105" s="111" t="str">
        <f t="shared" ref="D105:Z105" si="163">IF(BatSplit(D31,RunsScored)&gt;=50,BatSplit(D31,RunsScored)&amp;IF(BatSplit(D31,NotOuts)=1,"*","")&amp;"|"&amp;$C31&amp;"|"&amp;D$2&amp;"|"&amp;TEXT(D$1,"dd-mmm"),"x")</f>
        <v>x</v>
      </c>
      <c r="E105" s="111" t="str">
        <f t="shared" si="163"/>
        <v>x</v>
      </c>
      <c r="F105" s="111" t="str">
        <f t="shared" si="163"/>
        <v>x</v>
      </c>
      <c r="G105" s="111" t="str">
        <f t="shared" si="163"/>
        <v>x</v>
      </c>
      <c r="H105" s="111" t="str">
        <f t="shared" si="163"/>
        <v>x</v>
      </c>
      <c r="I105" s="111" t="str">
        <f t="shared" si="163"/>
        <v>x</v>
      </c>
      <c r="J105" s="111" t="str">
        <f t="shared" si="163"/>
        <v>x</v>
      </c>
      <c r="K105" s="111" t="str">
        <f t="shared" si="163"/>
        <v>x</v>
      </c>
      <c r="L105" s="111" t="str">
        <f t="shared" si="163"/>
        <v>x</v>
      </c>
      <c r="M105" s="111" t="str">
        <f t="shared" si="163"/>
        <v>x</v>
      </c>
      <c r="N105" s="111" t="str">
        <f t="shared" si="163"/>
        <v>x</v>
      </c>
      <c r="O105" s="111" t="str">
        <f t="shared" si="163"/>
        <v>x</v>
      </c>
      <c r="P105" s="111" t="str">
        <f t="shared" si="163"/>
        <v>x</v>
      </c>
      <c r="Q105" s="111" t="str">
        <f t="shared" si="163"/>
        <v>x</v>
      </c>
      <c r="R105" s="111" t="str">
        <f t="shared" si="163"/>
        <v>x</v>
      </c>
      <c r="S105" s="111" t="str">
        <f t="shared" si="163"/>
        <v>x</v>
      </c>
      <c r="T105" s="111" t="str">
        <f t="shared" si="163"/>
        <v>x</v>
      </c>
      <c r="U105" s="111" t="str">
        <f t="shared" si="163"/>
        <v>x</v>
      </c>
      <c r="V105" s="111" t="str">
        <f t="shared" si="163"/>
        <v>x</v>
      </c>
      <c r="W105" s="111" t="str">
        <f t="shared" si="163"/>
        <v>x</v>
      </c>
      <c r="X105" s="111" t="str">
        <f t="shared" si="163"/>
        <v>x</v>
      </c>
      <c r="Y105" s="111" t="str">
        <f t="shared" si="163"/>
        <v>x</v>
      </c>
      <c r="Z105" s="111" t="str">
        <f t="shared" si="163"/>
        <v>x</v>
      </c>
      <c r="AI105" s="64"/>
      <c r="AJ105" s="64"/>
      <c r="AK105" s="64"/>
      <c r="BG105" s="64"/>
    </row>
    <row r="106" spans="4:77" customFormat="1" x14ac:dyDescent="0.15">
      <c r="D106" s="111" t="str">
        <f t="shared" ref="D106:Z106" si="164">IF(BatSplit(D32,RunsScored)&gt;=50,BatSplit(D32,RunsScored)&amp;IF(BatSplit(D32,NotOuts)=1,"*","")&amp;"|"&amp;$C32&amp;"|"&amp;D$2&amp;"|"&amp;TEXT(D$1,"dd-mmm"),"x")</f>
        <v>x</v>
      </c>
      <c r="E106" s="111" t="str">
        <f t="shared" si="164"/>
        <v>x</v>
      </c>
      <c r="F106" s="111" t="str">
        <f t="shared" si="164"/>
        <v>x</v>
      </c>
      <c r="G106" s="111" t="str">
        <f t="shared" si="164"/>
        <v>x</v>
      </c>
      <c r="H106" s="111" t="str">
        <f t="shared" si="164"/>
        <v>x</v>
      </c>
      <c r="I106" s="111" t="str">
        <f t="shared" si="164"/>
        <v>x</v>
      </c>
      <c r="J106" s="111" t="str">
        <f t="shared" si="164"/>
        <v>x</v>
      </c>
      <c r="K106" s="111" t="str">
        <f t="shared" si="164"/>
        <v>x</v>
      </c>
      <c r="L106" s="111" t="str">
        <f t="shared" si="164"/>
        <v>x</v>
      </c>
      <c r="M106" s="111" t="str">
        <f t="shared" si="164"/>
        <v>x</v>
      </c>
      <c r="N106" s="111" t="str">
        <f t="shared" si="164"/>
        <v>x</v>
      </c>
      <c r="O106" s="111" t="str">
        <f t="shared" si="164"/>
        <v>x</v>
      </c>
      <c r="P106" s="111" t="str">
        <f t="shared" si="164"/>
        <v>x</v>
      </c>
      <c r="Q106" s="111" t="str">
        <f t="shared" si="164"/>
        <v>x</v>
      </c>
      <c r="R106" s="111" t="str">
        <f t="shared" si="164"/>
        <v>x</v>
      </c>
      <c r="S106" s="111" t="str">
        <f t="shared" si="164"/>
        <v>x</v>
      </c>
      <c r="T106" s="111" t="str">
        <f t="shared" si="164"/>
        <v>x</v>
      </c>
      <c r="U106" s="111" t="str">
        <f t="shared" si="164"/>
        <v>x</v>
      </c>
      <c r="V106" s="111" t="str">
        <f t="shared" si="164"/>
        <v>x</v>
      </c>
      <c r="W106" s="111" t="str">
        <f t="shared" si="164"/>
        <v>x</v>
      </c>
      <c r="X106" s="111" t="str">
        <f t="shared" si="164"/>
        <v>x</v>
      </c>
      <c r="Y106" s="111" t="str">
        <f t="shared" si="164"/>
        <v>x</v>
      </c>
      <c r="Z106" s="111" t="str">
        <f t="shared" si="164"/>
        <v>x</v>
      </c>
      <c r="AI106" s="64"/>
      <c r="AJ106" s="64"/>
      <c r="AK106" s="64"/>
      <c r="BG106" s="64"/>
    </row>
    <row r="107" spans="4:77" customFormat="1" x14ac:dyDescent="0.15">
      <c r="D107" s="111" t="str">
        <f t="shared" ref="D107:Z107" si="165">IF(BatSplit(D33,RunsScored)&gt;=50,BatSplit(D33,RunsScored)&amp;IF(BatSplit(D33,NotOuts)=1,"*","")&amp;"|"&amp;$C33&amp;"|"&amp;D$2&amp;"|"&amp;TEXT(D$1,"dd-mmm"),"x")</f>
        <v>x</v>
      </c>
      <c r="E107" s="111" t="str">
        <f t="shared" si="165"/>
        <v>x</v>
      </c>
      <c r="F107" s="111" t="str">
        <f t="shared" si="165"/>
        <v>x</v>
      </c>
      <c r="G107" s="111" t="str">
        <f t="shared" si="165"/>
        <v>x</v>
      </c>
      <c r="H107" s="111" t="str">
        <f t="shared" si="165"/>
        <v>x</v>
      </c>
      <c r="I107" s="111" t="str">
        <f t="shared" si="165"/>
        <v>x</v>
      </c>
      <c r="J107" s="111" t="str">
        <f t="shared" si="165"/>
        <v>x</v>
      </c>
      <c r="K107" s="111" t="str">
        <f t="shared" si="165"/>
        <v>x</v>
      </c>
      <c r="L107" s="111" t="str">
        <f t="shared" si="165"/>
        <v>x</v>
      </c>
      <c r="M107" s="111" t="str">
        <f t="shared" si="165"/>
        <v>x</v>
      </c>
      <c r="N107" s="111" t="str">
        <f t="shared" si="165"/>
        <v>x</v>
      </c>
      <c r="O107" s="111" t="str">
        <f t="shared" si="165"/>
        <v>x</v>
      </c>
      <c r="P107" s="111" t="str">
        <f t="shared" si="165"/>
        <v>x</v>
      </c>
      <c r="Q107" s="111" t="str">
        <f t="shared" si="165"/>
        <v>x</v>
      </c>
      <c r="R107" s="111" t="str">
        <f t="shared" si="165"/>
        <v>x</v>
      </c>
      <c r="S107" s="111" t="str">
        <f t="shared" si="165"/>
        <v>x</v>
      </c>
      <c r="T107" s="111" t="str">
        <f t="shared" si="165"/>
        <v>x</v>
      </c>
      <c r="U107" s="111" t="str">
        <f t="shared" si="165"/>
        <v>x</v>
      </c>
      <c r="V107" s="111" t="str">
        <f t="shared" si="165"/>
        <v>x</v>
      </c>
      <c r="W107" s="111" t="str">
        <f t="shared" si="165"/>
        <v>x</v>
      </c>
      <c r="X107" s="111" t="str">
        <f t="shared" si="165"/>
        <v>x</v>
      </c>
      <c r="Y107" s="111" t="str">
        <f t="shared" si="165"/>
        <v>x</v>
      </c>
      <c r="Z107" s="111" t="str">
        <f t="shared" si="165"/>
        <v>x</v>
      </c>
      <c r="AI107" s="64"/>
      <c r="AJ107" s="64"/>
      <c r="AK107" s="64"/>
      <c r="BG107" s="64"/>
    </row>
    <row r="108" spans="4:77" customFormat="1" x14ac:dyDescent="0.15">
      <c r="D108" s="111" t="str">
        <f t="shared" ref="D108:Z108" si="166">IF(BatSplit(D34,RunsScored)&gt;=50,BatSplit(D34,RunsScored)&amp;IF(BatSplit(D34,NotOuts)=1,"*","")&amp;"|"&amp;$C34&amp;"|"&amp;D$2&amp;"|"&amp;TEXT(D$1,"dd-mmm"),"x")</f>
        <v>x</v>
      </c>
      <c r="E108" s="111" t="str">
        <f t="shared" si="166"/>
        <v>x</v>
      </c>
      <c r="F108" s="111" t="str">
        <f t="shared" si="166"/>
        <v>x</v>
      </c>
      <c r="G108" s="111" t="str">
        <f t="shared" si="166"/>
        <v>x</v>
      </c>
      <c r="H108" s="111" t="str">
        <f t="shared" si="166"/>
        <v>x</v>
      </c>
      <c r="I108" s="111" t="str">
        <f t="shared" si="166"/>
        <v>x</v>
      </c>
      <c r="J108" s="111" t="str">
        <f t="shared" si="166"/>
        <v>x</v>
      </c>
      <c r="K108" s="111" t="str">
        <f t="shared" si="166"/>
        <v>x</v>
      </c>
      <c r="L108" s="111" t="str">
        <f t="shared" si="166"/>
        <v>x</v>
      </c>
      <c r="M108" s="111" t="str">
        <f t="shared" si="166"/>
        <v>x</v>
      </c>
      <c r="N108" s="111" t="str">
        <f t="shared" si="166"/>
        <v>x</v>
      </c>
      <c r="O108" s="111" t="str">
        <f t="shared" si="166"/>
        <v>x</v>
      </c>
      <c r="P108" s="111" t="str">
        <f t="shared" si="166"/>
        <v>x</v>
      </c>
      <c r="Q108" s="111" t="str">
        <f t="shared" si="166"/>
        <v>x</v>
      </c>
      <c r="R108" s="111" t="str">
        <f t="shared" si="166"/>
        <v>x</v>
      </c>
      <c r="S108" s="111" t="str">
        <f t="shared" si="166"/>
        <v>x</v>
      </c>
      <c r="T108" s="111" t="str">
        <f t="shared" si="166"/>
        <v>x</v>
      </c>
      <c r="U108" s="111" t="str">
        <f t="shared" si="166"/>
        <v>x</v>
      </c>
      <c r="V108" s="111" t="str">
        <f t="shared" si="166"/>
        <v>x</v>
      </c>
      <c r="W108" s="111" t="str">
        <f t="shared" si="166"/>
        <v>x</v>
      </c>
      <c r="X108" s="111" t="str">
        <f t="shared" si="166"/>
        <v>x</v>
      </c>
      <c r="Y108" s="111" t="str">
        <f t="shared" si="166"/>
        <v>x</v>
      </c>
      <c r="Z108" s="111" t="str">
        <f t="shared" si="166"/>
        <v>x</v>
      </c>
      <c r="AI108" s="64"/>
      <c r="AJ108" s="64"/>
      <c r="AK108" s="64"/>
      <c r="BG108" s="64"/>
    </row>
    <row r="109" spans="4:77" customFormat="1" x14ac:dyDescent="0.15">
      <c r="D109" s="111" t="str">
        <f t="shared" ref="D109:Z109" si="167">IF(BatSplit(D35,RunsScored)&gt;=50,BatSplit(D35,RunsScored)&amp;IF(BatSplit(D35,NotOuts)=1,"*","")&amp;"|"&amp;$C35&amp;"|"&amp;D$2&amp;"|"&amp;TEXT(D$1,"dd-mmm"),"x")</f>
        <v>x</v>
      </c>
      <c r="E109" s="111" t="str">
        <f t="shared" si="167"/>
        <v>x</v>
      </c>
      <c r="F109" s="111" t="str">
        <f t="shared" si="167"/>
        <v>x</v>
      </c>
      <c r="G109" s="111" t="str">
        <f t="shared" si="167"/>
        <v>x</v>
      </c>
      <c r="H109" s="111" t="str">
        <f t="shared" si="167"/>
        <v>x</v>
      </c>
      <c r="I109" s="111" t="str">
        <f t="shared" si="167"/>
        <v>x</v>
      </c>
      <c r="J109" s="111" t="str">
        <f t="shared" si="167"/>
        <v>x</v>
      </c>
      <c r="K109" s="111" t="str">
        <f t="shared" si="167"/>
        <v>x</v>
      </c>
      <c r="L109" s="111" t="str">
        <f t="shared" si="167"/>
        <v>x</v>
      </c>
      <c r="M109" s="111" t="str">
        <f t="shared" si="167"/>
        <v>x</v>
      </c>
      <c r="N109" s="111" t="str">
        <f t="shared" si="167"/>
        <v>x</v>
      </c>
      <c r="O109" s="111" t="str">
        <f t="shared" si="167"/>
        <v>x</v>
      </c>
      <c r="P109" s="111" t="str">
        <f t="shared" si="167"/>
        <v>x</v>
      </c>
      <c r="Q109" s="111" t="str">
        <f t="shared" si="167"/>
        <v>x</v>
      </c>
      <c r="R109" s="111" t="str">
        <f t="shared" si="167"/>
        <v>x</v>
      </c>
      <c r="S109" s="111" t="str">
        <f t="shared" si="167"/>
        <v>x</v>
      </c>
      <c r="T109" s="111" t="str">
        <f t="shared" si="167"/>
        <v>x</v>
      </c>
      <c r="U109" s="111" t="str">
        <f t="shared" si="167"/>
        <v>x</v>
      </c>
      <c r="V109" s="111" t="str">
        <f t="shared" si="167"/>
        <v>x</v>
      </c>
      <c r="W109" s="111" t="str">
        <f t="shared" si="167"/>
        <v>x</v>
      </c>
      <c r="X109" s="111" t="str">
        <f t="shared" si="167"/>
        <v>x</v>
      </c>
      <c r="Y109" s="111" t="str">
        <f t="shared" si="167"/>
        <v>x</v>
      </c>
      <c r="Z109" s="111" t="str">
        <f t="shared" si="167"/>
        <v>x</v>
      </c>
      <c r="AI109" s="64"/>
      <c r="AJ109" s="64"/>
      <c r="AK109" s="64"/>
      <c r="BG109" s="64"/>
    </row>
    <row r="110" spans="4:77" customFormat="1" x14ac:dyDescent="0.15">
      <c r="D110" s="111" t="str">
        <f t="shared" ref="D110:Z110" si="168">IF(BatSplit(D36,RunsScored)&gt;=50,BatSplit(D36,RunsScored)&amp;IF(BatSplit(D36,NotOuts)=1,"*","")&amp;"|"&amp;$C36&amp;"|"&amp;D$2&amp;"|"&amp;TEXT(D$1,"dd-mmm"),"x")</f>
        <v>x</v>
      </c>
      <c r="E110" s="111" t="str">
        <f t="shared" si="168"/>
        <v>x</v>
      </c>
      <c r="F110" s="111" t="str">
        <f t="shared" si="168"/>
        <v>x</v>
      </c>
      <c r="G110" s="111" t="str">
        <f t="shared" si="168"/>
        <v>x</v>
      </c>
      <c r="H110" s="111" t="str">
        <f t="shared" si="168"/>
        <v>x</v>
      </c>
      <c r="I110" s="111" t="str">
        <f t="shared" si="168"/>
        <v>x</v>
      </c>
      <c r="J110" s="111" t="str">
        <f t="shared" si="168"/>
        <v>x</v>
      </c>
      <c r="K110" s="111" t="str">
        <f t="shared" si="168"/>
        <v>x</v>
      </c>
      <c r="L110" s="111" t="str">
        <f t="shared" si="168"/>
        <v>x</v>
      </c>
      <c r="M110" s="111" t="str">
        <f t="shared" si="168"/>
        <v>x</v>
      </c>
      <c r="N110" s="111" t="str">
        <f t="shared" si="168"/>
        <v>x</v>
      </c>
      <c r="O110" s="111" t="str">
        <f t="shared" si="168"/>
        <v>x</v>
      </c>
      <c r="P110" s="111" t="str">
        <f t="shared" si="168"/>
        <v>x</v>
      </c>
      <c r="Q110" s="111" t="str">
        <f t="shared" si="168"/>
        <v>x</v>
      </c>
      <c r="R110" s="111" t="str">
        <f t="shared" si="168"/>
        <v>x</v>
      </c>
      <c r="S110" s="111" t="str">
        <f t="shared" si="168"/>
        <v>x</v>
      </c>
      <c r="T110" s="111" t="str">
        <f t="shared" si="168"/>
        <v>x</v>
      </c>
      <c r="U110" s="111" t="str">
        <f t="shared" si="168"/>
        <v>x</v>
      </c>
      <c r="V110" s="111" t="str">
        <f t="shared" si="168"/>
        <v>x</v>
      </c>
      <c r="W110" s="111" t="str">
        <f t="shared" si="168"/>
        <v>x</v>
      </c>
      <c r="X110" s="111" t="str">
        <f t="shared" si="168"/>
        <v>x</v>
      </c>
      <c r="Y110" s="111" t="str">
        <f t="shared" si="168"/>
        <v>x</v>
      </c>
      <c r="Z110" s="111" t="str">
        <f t="shared" si="168"/>
        <v>x</v>
      </c>
      <c r="AI110" s="64"/>
      <c r="AJ110" s="64"/>
      <c r="AK110" s="64"/>
    </row>
    <row r="111" spans="4:77" customFormat="1" x14ac:dyDescent="0.15">
      <c r="D111" s="111" t="str">
        <f t="shared" ref="D111:Z111" si="169">IF(BatSplit(D37,RunsScored)&gt;=50,BatSplit(D37,RunsScored)&amp;IF(BatSplit(D37,NotOuts)=1,"*","")&amp;"|"&amp;$C37&amp;"|"&amp;D$2&amp;"|"&amp;TEXT(D$1,"dd-mmm"),"x")</f>
        <v>x</v>
      </c>
      <c r="E111" s="111" t="str">
        <f t="shared" si="169"/>
        <v>x</v>
      </c>
      <c r="F111" s="111" t="str">
        <f t="shared" si="169"/>
        <v>x</v>
      </c>
      <c r="G111" s="111" t="str">
        <f t="shared" si="169"/>
        <v>x</v>
      </c>
      <c r="H111" s="111" t="str">
        <f t="shared" si="169"/>
        <v>x</v>
      </c>
      <c r="I111" s="111" t="str">
        <f t="shared" si="169"/>
        <v>x</v>
      </c>
      <c r="J111" s="111" t="str">
        <f t="shared" si="169"/>
        <v>x</v>
      </c>
      <c r="K111" s="111" t="str">
        <f t="shared" si="169"/>
        <v>x</v>
      </c>
      <c r="L111" s="111" t="str">
        <f t="shared" si="169"/>
        <v>x</v>
      </c>
      <c r="M111" s="111" t="str">
        <f t="shared" si="169"/>
        <v>x</v>
      </c>
      <c r="N111" s="111" t="str">
        <f t="shared" si="169"/>
        <v>x</v>
      </c>
      <c r="O111" s="111" t="str">
        <f t="shared" si="169"/>
        <v>x</v>
      </c>
      <c r="P111" s="111" t="str">
        <f t="shared" si="169"/>
        <v>x</v>
      </c>
      <c r="Q111" s="111" t="str">
        <f t="shared" si="169"/>
        <v>x</v>
      </c>
      <c r="R111" s="111" t="str">
        <f t="shared" si="169"/>
        <v>x</v>
      </c>
      <c r="S111" s="111" t="str">
        <f t="shared" si="169"/>
        <v>x</v>
      </c>
      <c r="T111" s="111" t="str">
        <f t="shared" si="169"/>
        <v>x</v>
      </c>
      <c r="U111" s="111" t="str">
        <f t="shared" si="169"/>
        <v>x</v>
      </c>
      <c r="V111" s="111" t="str">
        <f t="shared" si="169"/>
        <v>x</v>
      </c>
      <c r="W111" s="111" t="str">
        <f t="shared" si="169"/>
        <v>x</v>
      </c>
      <c r="X111" s="111" t="str">
        <f t="shared" si="169"/>
        <v>x</v>
      </c>
      <c r="Y111" s="111" t="str">
        <f t="shared" si="169"/>
        <v>x</v>
      </c>
      <c r="Z111" s="111" t="str">
        <f t="shared" si="169"/>
        <v>x</v>
      </c>
      <c r="AI111" s="64"/>
      <c r="AJ111" s="64"/>
      <c r="AK111" s="64"/>
    </row>
    <row r="112" spans="4:77" customFormat="1" x14ac:dyDescent="0.15">
      <c r="D112" s="111" t="str">
        <f t="shared" ref="D112:Z112" si="170">IF(BatSplit(D38,RunsScored)&gt;=50,BatSplit(D38,RunsScored)&amp;IF(BatSplit(D38,NotOuts)=1,"*","")&amp;"|"&amp;$C38&amp;"|"&amp;D$2&amp;"|"&amp;TEXT(D$1,"dd-mmm"),"x")</f>
        <v>x</v>
      </c>
      <c r="E112" s="111" t="str">
        <f t="shared" si="170"/>
        <v>x</v>
      </c>
      <c r="F112" s="111" t="str">
        <f t="shared" si="170"/>
        <v>x</v>
      </c>
      <c r="G112" s="111" t="str">
        <f t="shared" si="170"/>
        <v>x</v>
      </c>
      <c r="H112" s="111" t="str">
        <f t="shared" si="170"/>
        <v>66|Patel J|Merton Bears|22-May</v>
      </c>
      <c r="I112" s="111" t="str">
        <f t="shared" si="170"/>
        <v>x</v>
      </c>
      <c r="J112" s="111" t="str">
        <f t="shared" si="170"/>
        <v>x</v>
      </c>
      <c r="K112" s="111" t="str">
        <f t="shared" si="170"/>
        <v>x</v>
      </c>
      <c r="L112" s="111" t="str">
        <f t="shared" si="170"/>
        <v>x</v>
      </c>
      <c r="M112" s="111" t="str">
        <f t="shared" si="170"/>
        <v>x</v>
      </c>
      <c r="N112" s="111" t="str">
        <f t="shared" si="170"/>
        <v>x</v>
      </c>
      <c r="O112" s="111" t="str">
        <f t="shared" si="170"/>
        <v>x</v>
      </c>
      <c r="P112" s="111" t="str">
        <f t="shared" si="170"/>
        <v>x</v>
      </c>
      <c r="Q112" s="111" t="str">
        <f t="shared" si="170"/>
        <v>x</v>
      </c>
      <c r="R112" s="111" t="str">
        <f t="shared" si="170"/>
        <v>x</v>
      </c>
      <c r="S112" s="111" t="str">
        <f t="shared" si="170"/>
        <v>x</v>
      </c>
      <c r="T112" s="111" t="str">
        <f t="shared" si="170"/>
        <v>x</v>
      </c>
      <c r="U112" s="111" t="str">
        <f t="shared" si="170"/>
        <v>x</v>
      </c>
      <c r="V112" s="111" t="str">
        <f t="shared" si="170"/>
        <v>x</v>
      </c>
      <c r="W112" s="111" t="str">
        <f t="shared" si="170"/>
        <v>x</v>
      </c>
      <c r="X112" s="111" t="str">
        <f t="shared" si="170"/>
        <v>52|Patel J|Sanderstead|25-Sep</v>
      </c>
      <c r="Y112" s="111" t="str">
        <f t="shared" si="170"/>
        <v>x</v>
      </c>
      <c r="Z112" s="111" t="str">
        <f t="shared" si="170"/>
        <v>x</v>
      </c>
      <c r="AK112" s="64"/>
    </row>
    <row r="113" spans="4:26" customFormat="1" x14ac:dyDescent="0.15">
      <c r="D113" s="111" t="str">
        <f t="shared" ref="D113:Z113" si="171">IF(BatSplit(D39,RunsScored)&gt;=50,BatSplit(D39,RunsScored)&amp;IF(BatSplit(D39,NotOuts)=1,"*","")&amp;"|"&amp;$C39&amp;"|"&amp;D$2&amp;"|"&amp;TEXT(D$1,"dd-mmm"),"x")</f>
        <v>x</v>
      </c>
      <c r="E113" s="111" t="str">
        <f t="shared" si="171"/>
        <v>x</v>
      </c>
      <c r="F113" s="111" t="str">
        <f t="shared" si="171"/>
        <v>x</v>
      </c>
      <c r="G113" s="111" t="str">
        <f t="shared" si="171"/>
        <v>x</v>
      </c>
      <c r="H113" s="111" t="str">
        <f t="shared" si="171"/>
        <v>x</v>
      </c>
      <c r="I113" s="111" t="str">
        <f t="shared" si="171"/>
        <v>x</v>
      </c>
      <c r="J113" s="111" t="str">
        <f t="shared" si="171"/>
        <v>x</v>
      </c>
      <c r="K113" s="111" t="str">
        <f t="shared" si="171"/>
        <v>x</v>
      </c>
      <c r="L113" s="111" t="str">
        <f t="shared" si="171"/>
        <v>x</v>
      </c>
      <c r="M113" s="111" t="str">
        <f t="shared" si="171"/>
        <v>x</v>
      </c>
      <c r="N113" s="111" t="str">
        <f t="shared" si="171"/>
        <v>x</v>
      </c>
      <c r="O113" s="111" t="str">
        <f t="shared" si="171"/>
        <v>x</v>
      </c>
      <c r="P113" s="111" t="str">
        <f t="shared" si="171"/>
        <v>x</v>
      </c>
      <c r="Q113" s="111" t="str">
        <f t="shared" si="171"/>
        <v>x</v>
      </c>
      <c r="R113" s="111" t="str">
        <f t="shared" si="171"/>
        <v>x</v>
      </c>
      <c r="S113" s="111" t="str">
        <f t="shared" si="171"/>
        <v>x</v>
      </c>
      <c r="T113" s="111" t="str">
        <f t="shared" si="171"/>
        <v>x</v>
      </c>
      <c r="U113" s="111" t="str">
        <f t="shared" si="171"/>
        <v>x</v>
      </c>
      <c r="V113" s="111" t="str">
        <f t="shared" si="171"/>
        <v>x</v>
      </c>
      <c r="W113" s="111" t="str">
        <f t="shared" si="171"/>
        <v>x</v>
      </c>
      <c r="X113" s="111" t="str">
        <f t="shared" si="171"/>
        <v>x</v>
      </c>
      <c r="Y113" s="111" t="str">
        <f t="shared" si="171"/>
        <v>x</v>
      </c>
      <c r="Z113" s="111" t="str">
        <f t="shared" si="171"/>
        <v>x</v>
      </c>
    </row>
    <row r="114" spans="4:26" customFormat="1" x14ac:dyDescent="0.15">
      <c r="D114" s="111" t="str">
        <f t="shared" ref="D114:Z114" si="172">IF(BatSplit(D40,RunsScored)&gt;=50,BatSplit(D40,RunsScored)&amp;IF(BatSplit(D40,NotOuts)=1,"*","")&amp;"|"&amp;$C40&amp;"|"&amp;D$2&amp;"|"&amp;TEXT(D$1,"dd-mmm"),"x")</f>
        <v>x</v>
      </c>
      <c r="E114" s="111" t="str">
        <f t="shared" si="172"/>
        <v>x</v>
      </c>
      <c r="F114" s="111" t="str">
        <f t="shared" si="172"/>
        <v>x</v>
      </c>
      <c r="G114" s="111" t="str">
        <f t="shared" si="172"/>
        <v>x</v>
      </c>
      <c r="H114" s="111" t="str">
        <f t="shared" si="172"/>
        <v>x</v>
      </c>
      <c r="I114" s="111" t="str">
        <f t="shared" si="172"/>
        <v>x</v>
      </c>
      <c r="J114" s="111" t="str">
        <f t="shared" si="172"/>
        <v>x</v>
      </c>
      <c r="K114" s="111" t="str">
        <f t="shared" si="172"/>
        <v>x</v>
      </c>
      <c r="L114" s="111" t="str">
        <f t="shared" si="172"/>
        <v>x</v>
      </c>
      <c r="M114" s="111" t="str">
        <f t="shared" si="172"/>
        <v>x</v>
      </c>
      <c r="N114" s="111" t="str">
        <f t="shared" si="172"/>
        <v>x</v>
      </c>
      <c r="O114" s="111" t="str">
        <f t="shared" si="172"/>
        <v>x</v>
      </c>
      <c r="P114" s="111" t="str">
        <f t="shared" si="172"/>
        <v>x</v>
      </c>
      <c r="Q114" s="111" t="str">
        <f t="shared" si="172"/>
        <v>x</v>
      </c>
      <c r="R114" s="111" t="str">
        <f t="shared" si="172"/>
        <v>x</v>
      </c>
      <c r="S114" s="111" t="str">
        <f t="shared" si="172"/>
        <v>x</v>
      </c>
      <c r="T114" s="111" t="str">
        <f t="shared" si="172"/>
        <v>x</v>
      </c>
      <c r="U114" s="111" t="str">
        <f t="shared" si="172"/>
        <v>x</v>
      </c>
      <c r="V114" s="111" t="str">
        <f t="shared" si="172"/>
        <v>x</v>
      </c>
      <c r="W114" s="111" t="str">
        <f t="shared" si="172"/>
        <v>x</v>
      </c>
      <c r="X114" s="111" t="str">
        <f t="shared" si="172"/>
        <v>x</v>
      </c>
      <c r="Y114" s="111" t="str">
        <f t="shared" si="172"/>
        <v>x</v>
      </c>
      <c r="Z114" s="111" t="str">
        <f t="shared" si="172"/>
        <v>x</v>
      </c>
    </row>
    <row r="115" spans="4:26" customFormat="1" x14ac:dyDescent="0.15">
      <c r="D115" s="111" t="str">
        <f t="shared" ref="D115:Z115" si="173">IF(BatSplit(D41,RunsScored)&gt;=50,BatSplit(D41,RunsScored)&amp;IF(BatSplit(D41,NotOuts)=1,"*","")&amp;"|"&amp;$C41&amp;"|"&amp;D$2&amp;"|"&amp;TEXT(D$1,"dd-mmm"),"x")</f>
        <v>x</v>
      </c>
      <c r="E115" s="111" t="str">
        <f t="shared" si="173"/>
        <v>x</v>
      </c>
      <c r="F115" s="111" t="str">
        <f t="shared" si="173"/>
        <v>x</v>
      </c>
      <c r="G115" s="111" t="str">
        <f t="shared" si="173"/>
        <v>x</v>
      </c>
      <c r="H115" s="111" t="str">
        <f t="shared" si="173"/>
        <v>x</v>
      </c>
      <c r="I115" s="111" t="str">
        <f t="shared" si="173"/>
        <v>x</v>
      </c>
      <c r="J115" s="111" t="str">
        <f t="shared" si="173"/>
        <v>x</v>
      </c>
      <c r="K115" s="111" t="str">
        <f t="shared" si="173"/>
        <v>x</v>
      </c>
      <c r="L115" s="111" t="str">
        <f t="shared" si="173"/>
        <v>x</v>
      </c>
      <c r="M115" s="111" t="str">
        <f t="shared" si="173"/>
        <v>x</v>
      </c>
      <c r="N115" s="111" t="str">
        <f t="shared" si="173"/>
        <v>x</v>
      </c>
      <c r="O115" s="111" t="str">
        <f t="shared" si="173"/>
        <v>x</v>
      </c>
      <c r="P115" s="111" t="str">
        <f t="shared" si="173"/>
        <v>x</v>
      </c>
      <c r="Q115" s="111" t="str">
        <f t="shared" si="173"/>
        <v>x</v>
      </c>
      <c r="R115" s="111" t="str">
        <f t="shared" si="173"/>
        <v>x</v>
      </c>
      <c r="S115" s="111" t="str">
        <f t="shared" si="173"/>
        <v>x</v>
      </c>
      <c r="T115" s="111" t="str">
        <f t="shared" si="173"/>
        <v>x</v>
      </c>
      <c r="U115" s="111" t="str">
        <f t="shared" si="173"/>
        <v>x</v>
      </c>
      <c r="V115" s="111" t="str">
        <f t="shared" si="173"/>
        <v>x</v>
      </c>
      <c r="W115" s="111" t="str">
        <f t="shared" si="173"/>
        <v>x</v>
      </c>
      <c r="X115" s="111" t="str">
        <f t="shared" si="173"/>
        <v>x</v>
      </c>
      <c r="Y115" s="111" t="str">
        <f t="shared" si="173"/>
        <v>x</v>
      </c>
      <c r="Z115" s="111" t="str">
        <f t="shared" si="173"/>
        <v>x</v>
      </c>
    </row>
    <row r="116" spans="4:26" customFormat="1" x14ac:dyDescent="0.15">
      <c r="D116" s="111" t="str">
        <f t="shared" ref="D116:Z116" si="174">IF(BatSplit(D42,RunsScored)&gt;=50,BatSplit(D42,RunsScored)&amp;IF(BatSplit(D42,NotOuts)=1,"*","")&amp;"|"&amp;$C42&amp;"|"&amp;D$2&amp;"|"&amp;TEXT(D$1,"dd-mmm"),"x")</f>
        <v>x</v>
      </c>
      <c r="E116" s="111" t="str">
        <f t="shared" si="174"/>
        <v>x</v>
      </c>
      <c r="F116" s="111" t="str">
        <f t="shared" si="174"/>
        <v>x</v>
      </c>
      <c r="G116" s="111" t="str">
        <f t="shared" si="174"/>
        <v>x</v>
      </c>
      <c r="H116" s="111" t="str">
        <f t="shared" si="174"/>
        <v>x</v>
      </c>
      <c r="I116" s="111" t="str">
        <f t="shared" si="174"/>
        <v>x</v>
      </c>
      <c r="J116" s="111" t="str">
        <f t="shared" si="174"/>
        <v>x</v>
      </c>
      <c r="K116" s="111" t="str">
        <f t="shared" si="174"/>
        <v>x</v>
      </c>
      <c r="L116" s="111" t="str">
        <f t="shared" si="174"/>
        <v>x</v>
      </c>
      <c r="M116" s="111" t="str">
        <f t="shared" si="174"/>
        <v>x</v>
      </c>
      <c r="N116" s="111" t="str">
        <f t="shared" si="174"/>
        <v>x</v>
      </c>
      <c r="O116" s="111" t="str">
        <f t="shared" si="174"/>
        <v>x</v>
      </c>
      <c r="P116" s="111" t="str">
        <f t="shared" si="174"/>
        <v>x</v>
      </c>
      <c r="Q116" s="111" t="str">
        <f t="shared" si="174"/>
        <v>x</v>
      </c>
      <c r="R116" s="111" t="str">
        <f t="shared" si="174"/>
        <v>x</v>
      </c>
      <c r="S116" s="111" t="str">
        <f t="shared" si="174"/>
        <v>x</v>
      </c>
      <c r="T116" s="111" t="str">
        <f t="shared" si="174"/>
        <v>x</v>
      </c>
      <c r="U116" s="111" t="str">
        <f t="shared" si="174"/>
        <v>x</v>
      </c>
      <c r="V116" s="111" t="str">
        <f t="shared" si="174"/>
        <v>x</v>
      </c>
      <c r="W116" s="111" t="str">
        <f t="shared" si="174"/>
        <v>x</v>
      </c>
      <c r="X116" s="111" t="str">
        <f t="shared" si="174"/>
        <v>x</v>
      </c>
      <c r="Y116" s="111" t="str">
        <f t="shared" si="174"/>
        <v>x</v>
      </c>
      <c r="Z116" s="111" t="str">
        <f t="shared" si="174"/>
        <v>x</v>
      </c>
    </row>
    <row r="117" spans="4:26" customFormat="1" x14ac:dyDescent="0.15">
      <c r="D117" s="111" t="str">
        <f t="shared" ref="D117:Z117" si="175">IF(BatSplit(D43,RunsScored)&gt;=50,BatSplit(D43,RunsScored)&amp;IF(BatSplit(D43,NotOuts)=1,"*","")&amp;"|"&amp;$C43&amp;"|"&amp;D$2&amp;"|"&amp;TEXT(D$1,"dd-mmm"),"x")</f>
        <v>x</v>
      </c>
      <c r="E117" s="111" t="str">
        <f t="shared" si="175"/>
        <v>x</v>
      </c>
      <c r="F117" s="111" t="str">
        <f t="shared" si="175"/>
        <v>x</v>
      </c>
      <c r="G117" s="111" t="str">
        <f t="shared" si="175"/>
        <v>x</v>
      </c>
      <c r="H117" s="111" t="str">
        <f t="shared" si="175"/>
        <v>x</v>
      </c>
      <c r="I117" s="111" t="str">
        <f t="shared" si="175"/>
        <v>x</v>
      </c>
      <c r="J117" s="111" t="str">
        <f t="shared" si="175"/>
        <v>x</v>
      </c>
      <c r="K117" s="111" t="str">
        <f t="shared" si="175"/>
        <v>x</v>
      </c>
      <c r="L117" s="111" t="str">
        <f t="shared" si="175"/>
        <v>x</v>
      </c>
      <c r="M117" s="111" t="str">
        <f t="shared" si="175"/>
        <v>x</v>
      </c>
      <c r="N117" s="111" t="str">
        <f t="shared" si="175"/>
        <v>x</v>
      </c>
      <c r="O117" s="111" t="str">
        <f t="shared" si="175"/>
        <v>x</v>
      </c>
      <c r="P117" s="111" t="str">
        <f t="shared" si="175"/>
        <v>x</v>
      </c>
      <c r="Q117" s="111" t="str">
        <f t="shared" si="175"/>
        <v>x</v>
      </c>
      <c r="R117" s="111" t="str">
        <f t="shared" si="175"/>
        <v>x</v>
      </c>
      <c r="S117" s="111" t="str">
        <f t="shared" si="175"/>
        <v>x</v>
      </c>
      <c r="T117" s="111" t="str">
        <f t="shared" si="175"/>
        <v>x</v>
      </c>
      <c r="U117" s="111" t="str">
        <f t="shared" si="175"/>
        <v>x</v>
      </c>
      <c r="V117" s="111" t="str">
        <f t="shared" si="175"/>
        <v>x</v>
      </c>
      <c r="W117" s="111" t="str">
        <f t="shared" si="175"/>
        <v>x</v>
      </c>
      <c r="X117" s="111" t="str">
        <f t="shared" si="175"/>
        <v>x</v>
      </c>
      <c r="Y117" s="111" t="str">
        <f t="shared" si="175"/>
        <v>x</v>
      </c>
      <c r="Z117" s="111" t="str">
        <f t="shared" si="175"/>
        <v>x</v>
      </c>
    </row>
    <row r="118" spans="4:26" customFormat="1" x14ac:dyDescent="0.15">
      <c r="D118" s="111" t="str">
        <f t="shared" ref="D118:Z118" si="176">IF(BatSplit(D44,RunsScored)&gt;=50,BatSplit(D44,RunsScored)&amp;IF(BatSplit(D44,NotOuts)=1,"*","")&amp;"|"&amp;$C44&amp;"|"&amp;D$2&amp;"|"&amp;TEXT(D$1,"dd-mmm"),"x")</f>
        <v>x</v>
      </c>
      <c r="E118" s="111" t="str">
        <f t="shared" si="176"/>
        <v>x</v>
      </c>
      <c r="F118" s="111" t="str">
        <f t="shared" si="176"/>
        <v>x</v>
      </c>
      <c r="G118" s="111" t="str">
        <f t="shared" si="176"/>
        <v>x</v>
      </c>
      <c r="H118" s="111" t="str">
        <f t="shared" si="176"/>
        <v>x</v>
      </c>
      <c r="I118" s="111" t="str">
        <f t="shared" si="176"/>
        <v>x</v>
      </c>
      <c r="J118" s="111" t="str">
        <f t="shared" si="176"/>
        <v>x</v>
      </c>
      <c r="K118" s="111" t="str">
        <f t="shared" si="176"/>
        <v>x</v>
      </c>
      <c r="L118" s="111" t="str">
        <f t="shared" si="176"/>
        <v>x</v>
      </c>
      <c r="M118" s="111" t="str">
        <f t="shared" si="176"/>
        <v>x</v>
      </c>
      <c r="N118" s="111" t="str">
        <f t="shared" si="176"/>
        <v>x</v>
      </c>
      <c r="O118" s="111" t="str">
        <f t="shared" si="176"/>
        <v>x</v>
      </c>
      <c r="P118" s="111" t="str">
        <f t="shared" si="176"/>
        <v>x</v>
      </c>
      <c r="Q118" s="111" t="str">
        <f t="shared" si="176"/>
        <v>x</v>
      </c>
      <c r="R118" s="111" t="str">
        <f t="shared" si="176"/>
        <v>x</v>
      </c>
      <c r="S118" s="111" t="str">
        <f t="shared" si="176"/>
        <v>x</v>
      </c>
      <c r="T118" s="111" t="str">
        <f t="shared" si="176"/>
        <v>x</v>
      </c>
      <c r="U118" s="111" t="str">
        <f t="shared" si="176"/>
        <v>x</v>
      </c>
      <c r="V118" s="111" t="str">
        <f t="shared" si="176"/>
        <v>x</v>
      </c>
      <c r="W118" s="111" t="str">
        <f t="shared" si="176"/>
        <v>x</v>
      </c>
      <c r="X118" s="111" t="str">
        <f t="shared" si="176"/>
        <v>x</v>
      </c>
      <c r="Y118" s="111" t="str">
        <f t="shared" si="176"/>
        <v>x</v>
      </c>
      <c r="Z118" s="111" t="str">
        <f t="shared" si="176"/>
        <v>x</v>
      </c>
    </row>
    <row r="119" spans="4:26" customFormat="1" x14ac:dyDescent="0.15">
      <c r="D119" s="111" t="str">
        <f t="shared" ref="D119:Z119" si="177">IF(BatSplit(D45,RunsScored)&gt;=50,BatSplit(D45,RunsScored)&amp;IF(BatSplit(D45,NotOuts)=1,"*","")&amp;"|"&amp;$C45&amp;"|"&amp;D$2&amp;"|"&amp;TEXT(D$1,"dd-mmm"),"x")</f>
        <v>x</v>
      </c>
      <c r="E119" s="111" t="str">
        <f t="shared" si="177"/>
        <v>x</v>
      </c>
      <c r="F119" s="111" t="str">
        <f t="shared" si="177"/>
        <v>x</v>
      </c>
      <c r="G119" s="111" t="str">
        <f t="shared" si="177"/>
        <v>x</v>
      </c>
      <c r="H119" s="111" t="str">
        <f t="shared" si="177"/>
        <v>x</v>
      </c>
      <c r="I119" s="111" t="str">
        <f t="shared" si="177"/>
        <v>x</v>
      </c>
      <c r="J119" s="111" t="str">
        <f t="shared" si="177"/>
        <v>x</v>
      </c>
      <c r="K119" s="111" t="str">
        <f t="shared" si="177"/>
        <v>x</v>
      </c>
      <c r="L119" s="111" t="str">
        <f t="shared" si="177"/>
        <v>x</v>
      </c>
      <c r="M119" s="111" t="str">
        <f t="shared" si="177"/>
        <v>x</v>
      </c>
      <c r="N119" s="111" t="str">
        <f t="shared" si="177"/>
        <v>x</v>
      </c>
      <c r="O119" s="111" t="str">
        <f t="shared" si="177"/>
        <v>x</v>
      </c>
      <c r="P119" s="111" t="str">
        <f t="shared" si="177"/>
        <v>x</v>
      </c>
      <c r="Q119" s="111" t="str">
        <f t="shared" si="177"/>
        <v>x</v>
      </c>
      <c r="R119" s="111" t="str">
        <f t="shared" si="177"/>
        <v>x</v>
      </c>
      <c r="S119" s="111" t="str">
        <f t="shared" si="177"/>
        <v>x</v>
      </c>
      <c r="T119" s="111" t="str">
        <f t="shared" si="177"/>
        <v>x</v>
      </c>
      <c r="U119" s="111" t="str">
        <f t="shared" si="177"/>
        <v>x</v>
      </c>
      <c r="V119" s="111" t="str">
        <f t="shared" si="177"/>
        <v>x</v>
      </c>
      <c r="W119" s="111" t="str">
        <f t="shared" si="177"/>
        <v>x</v>
      </c>
      <c r="X119" s="111" t="str">
        <f t="shared" si="177"/>
        <v>x</v>
      </c>
      <c r="Y119" s="111" t="str">
        <f t="shared" si="177"/>
        <v>x</v>
      </c>
      <c r="Z119" s="111" t="str">
        <f t="shared" si="177"/>
        <v>x</v>
      </c>
    </row>
    <row r="120" spans="4:26" customFormat="1" x14ac:dyDescent="0.15">
      <c r="D120" s="111" t="str">
        <f t="shared" ref="D120:Z120" si="178">IF(BatSplit(D46,RunsScored)&gt;=50,BatSplit(D46,RunsScored)&amp;IF(BatSplit(D46,NotOuts)=1,"*","")&amp;"|"&amp;$C46&amp;"|"&amp;D$2&amp;"|"&amp;TEXT(D$1,"dd-mmm"),"x")</f>
        <v>x</v>
      </c>
      <c r="E120" s="111" t="str">
        <f t="shared" si="178"/>
        <v>x</v>
      </c>
      <c r="F120" s="111" t="str">
        <f t="shared" si="178"/>
        <v>x</v>
      </c>
      <c r="G120" s="111" t="str">
        <f t="shared" si="178"/>
        <v>x</v>
      </c>
      <c r="H120" s="111" t="str">
        <f t="shared" si="178"/>
        <v>x</v>
      </c>
      <c r="I120" s="111" t="str">
        <f t="shared" si="178"/>
        <v>x</v>
      </c>
      <c r="J120" s="111" t="str">
        <f t="shared" si="178"/>
        <v>x</v>
      </c>
      <c r="K120" s="111" t="str">
        <f t="shared" si="178"/>
        <v>x</v>
      </c>
      <c r="L120" s="111" t="str">
        <f t="shared" si="178"/>
        <v>x</v>
      </c>
      <c r="M120" s="111" t="str">
        <f t="shared" si="178"/>
        <v>x</v>
      </c>
      <c r="N120" s="111" t="str">
        <f t="shared" si="178"/>
        <v>x</v>
      </c>
      <c r="O120" s="111" t="str">
        <f t="shared" si="178"/>
        <v>x</v>
      </c>
      <c r="P120" s="111" t="str">
        <f t="shared" si="178"/>
        <v>x</v>
      </c>
      <c r="Q120" s="111" t="str">
        <f t="shared" si="178"/>
        <v>x</v>
      </c>
      <c r="R120" s="111" t="str">
        <f t="shared" si="178"/>
        <v>x</v>
      </c>
      <c r="S120" s="111" t="str">
        <f t="shared" si="178"/>
        <v>x</v>
      </c>
      <c r="T120" s="111" t="str">
        <f t="shared" si="178"/>
        <v>x</v>
      </c>
      <c r="U120" s="111" t="str">
        <f t="shared" si="178"/>
        <v>x</v>
      </c>
      <c r="V120" s="111" t="str">
        <f t="shared" si="178"/>
        <v>x</v>
      </c>
      <c r="W120" s="111" t="str">
        <f t="shared" si="178"/>
        <v>x</v>
      </c>
      <c r="X120" s="111" t="str">
        <f t="shared" si="178"/>
        <v>x</v>
      </c>
      <c r="Y120" s="111" t="str">
        <f t="shared" si="178"/>
        <v>x</v>
      </c>
      <c r="Z120" s="111" t="str">
        <f t="shared" si="178"/>
        <v>x</v>
      </c>
    </row>
    <row r="121" spans="4:26" customFormat="1" x14ac:dyDescent="0.15">
      <c r="D121" s="111" t="str">
        <f t="shared" ref="D121:Z121" si="179">IF(BatSplit(D47,RunsScored)&gt;=50,BatSplit(D47,RunsScored)&amp;IF(BatSplit(D47,NotOuts)=1,"*","")&amp;"|"&amp;$C47&amp;"|"&amp;D$2&amp;"|"&amp;TEXT(D$1,"dd-mmm"),"x")</f>
        <v>x</v>
      </c>
      <c r="E121" s="111" t="str">
        <f t="shared" si="179"/>
        <v>x</v>
      </c>
      <c r="F121" s="111" t="str">
        <f t="shared" si="179"/>
        <v>x</v>
      </c>
      <c r="G121" s="111" t="str">
        <f t="shared" si="179"/>
        <v>x</v>
      </c>
      <c r="H121" s="111" t="str">
        <f t="shared" si="179"/>
        <v>x</v>
      </c>
      <c r="I121" s="111" t="str">
        <f t="shared" si="179"/>
        <v>x</v>
      </c>
      <c r="J121" s="111" t="str">
        <f t="shared" si="179"/>
        <v>x</v>
      </c>
      <c r="K121" s="111" t="str">
        <f t="shared" si="179"/>
        <v>x</v>
      </c>
      <c r="L121" s="111" t="str">
        <f t="shared" si="179"/>
        <v>x</v>
      </c>
      <c r="M121" s="111" t="str">
        <f t="shared" si="179"/>
        <v>x</v>
      </c>
      <c r="N121" s="111" t="str">
        <f t="shared" si="179"/>
        <v>x</v>
      </c>
      <c r="O121" s="111" t="str">
        <f t="shared" si="179"/>
        <v>x</v>
      </c>
      <c r="P121" s="111" t="str">
        <f t="shared" si="179"/>
        <v>x</v>
      </c>
      <c r="Q121" s="111" t="str">
        <f t="shared" si="179"/>
        <v>x</v>
      </c>
      <c r="R121" s="111" t="str">
        <f t="shared" si="179"/>
        <v>x</v>
      </c>
      <c r="S121" s="111" t="str">
        <f t="shared" si="179"/>
        <v>x</v>
      </c>
      <c r="T121" s="111" t="str">
        <f t="shared" si="179"/>
        <v>x</v>
      </c>
      <c r="U121" s="111" t="str">
        <f t="shared" si="179"/>
        <v>x</v>
      </c>
      <c r="V121" s="111" t="str">
        <f t="shared" si="179"/>
        <v>x</v>
      </c>
      <c r="W121" s="111" t="str">
        <f t="shared" si="179"/>
        <v>x</v>
      </c>
      <c r="X121" s="111" t="str">
        <f t="shared" si="179"/>
        <v>x</v>
      </c>
      <c r="Y121" s="111" t="str">
        <f t="shared" si="179"/>
        <v>x</v>
      </c>
      <c r="Z121" s="111" t="str">
        <f t="shared" si="179"/>
        <v>x</v>
      </c>
    </row>
    <row r="122" spans="4:26" customFormat="1" x14ac:dyDescent="0.15">
      <c r="D122" s="111" t="str">
        <f t="shared" ref="D122:Z122" si="180">IF(BatSplit(D48,RunsScored)&gt;=50,BatSplit(D48,RunsScored)&amp;IF(BatSplit(D48,NotOuts)=1,"*","")&amp;"|"&amp;$C48&amp;"|"&amp;D$2&amp;"|"&amp;TEXT(D$1,"dd-mmm"),"x")</f>
        <v>x</v>
      </c>
      <c r="E122" s="111" t="str">
        <f t="shared" si="180"/>
        <v>x</v>
      </c>
      <c r="F122" s="111" t="str">
        <f t="shared" si="180"/>
        <v>x</v>
      </c>
      <c r="G122" s="111" t="str">
        <f t="shared" si="180"/>
        <v>70|Seymour C|YRG Eagles|15-May</v>
      </c>
      <c r="H122" s="111" t="str">
        <f t="shared" si="180"/>
        <v>x</v>
      </c>
      <c r="I122" s="111" t="str">
        <f t="shared" si="180"/>
        <v>x</v>
      </c>
      <c r="J122" s="111" t="str">
        <f t="shared" si="180"/>
        <v>x</v>
      </c>
      <c r="K122" s="111" t="str">
        <f t="shared" si="180"/>
        <v>x</v>
      </c>
      <c r="L122" s="111" t="str">
        <f t="shared" si="180"/>
        <v>52|Seymour C|Beddington|12-Jun</v>
      </c>
      <c r="M122" s="111" t="str">
        <f t="shared" si="180"/>
        <v>x</v>
      </c>
      <c r="N122" s="111" t="str">
        <f t="shared" si="180"/>
        <v>x</v>
      </c>
      <c r="O122" s="111" t="str">
        <f t="shared" si="180"/>
        <v>x</v>
      </c>
      <c r="P122" s="111" t="str">
        <f t="shared" si="180"/>
        <v>x</v>
      </c>
      <c r="Q122" s="111" t="str">
        <f t="shared" si="180"/>
        <v>x</v>
      </c>
      <c r="R122" s="111" t="str">
        <f t="shared" si="180"/>
        <v>x</v>
      </c>
      <c r="S122" s="111" t="str">
        <f t="shared" si="180"/>
        <v>x</v>
      </c>
      <c r="T122" s="111" t="str">
        <f t="shared" si="180"/>
        <v>x</v>
      </c>
      <c r="U122" s="111" t="str">
        <f t="shared" si="180"/>
        <v>x</v>
      </c>
      <c r="V122" s="111" t="str">
        <f t="shared" si="180"/>
        <v>x</v>
      </c>
      <c r="W122" s="111" t="str">
        <f t="shared" si="180"/>
        <v>x</v>
      </c>
      <c r="X122" s="111" t="str">
        <f t="shared" si="180"/>
        <v>x</v>
      </c>
      <c r="Y122" s="111" t="str">
        <f t="shared" si="180"/>
        <v>x</v>
      </c>
      <c r="Z122" s="111" t="str">
        <f t="shared" si="180"/>
        <v>x</v>
      </c>
    </row>
    <row r="123" spans="4:26" customFormat="1" x14ac:dyDescent="0.15">
      <c r="D123" s="111" t="str">
        <f t="shared" ref="D123:Z123" si="181">IF(BatSplit(D49,RunsScored)&gt;=50,BatSplit(D49,RunsScored)&amp;IF(BatSplit(D49,NotOuts)=1,"*","")&amp;"|"&amp;$C49&amp;"|"&amp;D$2&amp;"|"&amp;TEXT(D$1,"dd-mmm"),"x")</f>
        <v>x</v>
      </c>
      <c r="E123" s="111" t="str">
        <f t="shared" si="181"/>
        <v>114*|Seymour D|Riverside|01-May</v>
      </c>
      <c r="F123" s="111" t="str">
        <f t="shared" si="181"/>
        <v>x</v>
      </c>
      <c r="G123" s="111" t="str">
        <f t="shared" si="181"/>
        <v>x</v>
      </c>
      <c r="H123" s="111" t="str">
        <f t="shared" si="181"/>
        <v>x</v>
      </c>
      <c r="I123" s="111" t="str">
        <f t="shared" si="181"/>
        <v>x</v>
      </c>
      <c r="J123" s="111" t="str">
        <f t="shared" si="181"/>
        <v>x</v>
      </c>
      <c r="K123" s="111" t="str">
        <f t="shared" si="181"/>
        <v>x</v>
      </c>
      <c r="L123" s="111" t="str">
        <f t="shared" si="181"/>
        <v>x</v>
      </c>
      <c r="M123" s="111" t="str">
        <f t="shared" si="181"/>
        <v>x</v>
      </c>
      <c r="N123" s="111" t="str">
        <f t="shared" si="181"/>
        <v>x</v>
      </c>
      <c r="O123" s="111" t="str">
        <f t="shared" si="181"/>
        <v>x</v>
      </c>
      <c r="P123" s="111" t="str">
        <f t="shared" si="181"/>
        <v>x</v>
      </c>
      <c r="Q123" s="111" t="str">
        <f t="shared" si="181"/>
        <v>x</v>
      </c>
      <c r="R123" s="111" t="str">
        <f t="shared" si="181"/>
        <v>x</v>
      </c>
      <c r="S123" s="111" t="str">
        <f t="shared" si="181"/>
        <v>x</v>
      </c>
      <c r="T123" s="111" t="str">
        <f t="shared" si="181"/>
        <v>x</v>
      </c>
      <c r="U123" s="111" t="str">
        <f t="shared" si="181"/>
        <v>x</v>
      </c>
      <c r="V123" s="111" t="str">
        <f t="shared" si="181"/>
        <v>x</v>
      </c>
      <c r="W123" s="111" t="str">
        <f t="shared" si="181"/>
        <v>x</v>
      </c>
      <c r="X123" s="111" t="str">
        <f t="shared" si="181"/>
        <v>x</v>
      </c>
      <c r="Y123" s="111" t="str">
        <f t="shared" si="181"/>
        <v>x</v>
      </c>
      <c r="Z123" s="111" t="str">
        <f t="shared" si="181"/>
        <v>x</v>
      </c>
    </row>
    <row r="124" spans="4:26" customFormat="1" x14ac:dyDescent="0.15">
      <c r="D124" s="111" t="str">
        <f t="shared" ref="D124:Z124" si="182">IF(BatSplit(D50,RunsScored)&gt;=50,BatSplit(D50,RunsScored)&amp;IF(BatSplit(D50,NotOuts)=1,"*","")&amp;"|"&amp;$C50&amp;"|"&amp;D$2&amp;"|"&amp;TEXT(D$1,"dd-mmm"),"x")</f>
        <v>x</v>
      </c>
      <c r="E124" s="111" t="str">
        <f t="shared" si="182"/>
        <v>x</v>
      </c>
      <c r="F124" s="111" t="str">
        <f t="shared" si="182"/>
        <v>x</v>
      </c>
      <c r="G124" s="111" t="str">
        <f t="shared" si="182"/>
        <v>x</v>
      </c>
      <c r="H124" s="111" t="str">
        <f t="shared" si="182"/>
        <v>x</v>
      </c>
      <c r="I124" s="111" t="str">
        <f t="shared" si="182"/>
        <v>x</v>
      </c>
      <c r="J124" s="111" t="str">
        <f t="shared" si="182"/>
        <v>x</v>
      </c>
      <c r="K124" s="111" t="str">
        <f t="shared" si="182"/>
        <v>x</v>
      </c>
      <c r="L124" s="111" t="str">
        <f t="shared" si="182"/>
        <v>x</v>
      </c>
      <c r="M124" s="111" t="str">
        <f t="shared" si="182"/>
        <v>86|Sharpe D|Richmond Legbreakers|19-Jun</v>
      </c>
      <c r="N124" s="111" t="str">
        <f t="shared" si="182"/>
        <v>x</v>
      </c>
      <c r="O124" s="111" t="str">
        <f t="shared" si="182"/>
        <v>69*|Sharpe D|London Leopards|03-Jul</v>
      </c>
      <c r="P124" s="111" t="str">
        <f t="shared" si="182"/>
        <v>x</v>
      </c>
      <c r="Q124" s="111" t="str">
        <f t="shared" si="182"/>
        <v>x</v>
      </c>
      <c r="R124" s="111" t="str">
        <f t="shared" si="182"/>
        <v>x</v>
      </c>
      <c r="S124" s="111" t="str">
        <f t="shared" si="182"/>
        <v>x</v>
      </c>
      <c r="T124" s="111" t="str">
        <f t="shared" si="182"/>
        <v>x</v>
      </c>
      <c r="U124" s="111" t="str">
        <f t="shared" si="182"/>
        <v>x</v>
      </c>
      <c r="V124" s="111" t="str">
        <f t="shared" si="182"/>
        <v>x</v>
      </c>
      <c r="W124" s="111" t="str">
        <f t="shared" si="182"/>
        <v>x</v>
      </c>
      <c r="X124" s="111" t="str">
        <f t="shared" si="182"/>
        <v>x</v>
      </c>
      <c r="Y124" s="111" t="str">
        <f t="shared" si="182"/>
        <v>x</v>
      </c>
      <c r="Z124" s="111" t="str">
        <f t="shared" si="182"/>
        <v>x</v>
      </c>
    </row>
    <row r="125" spans="4:26" customFormat="1" x14ac:dyDescent="0.15">
      <c r="D125" s="111" t="str">
        <f t="shared" ref="D125:Z125" si="183">IF(BatSplit(D51,RunsScored)&gt;=50,BatSplit(D51,RunsScored)&amp;IF(BatSplit(D51,NotOuts)=1,"*","")&amp;"|"&amp;$C51&amp;"|"&amp;D$2&amp;"|"&amp;TEXT(D$1,"dd-mmm"),"x")</f>
        <v>x</v>
      </c>
      <c r="E125" s="111" t="str">
        <f t="shared" si="183"/>
        <v>x</v>
      </c>
      <c r="F125" s="111" t="str">
        <f t="shared" si="183"/>
        <v>x</v>
      </c>
      <c r="G125" s="111" t="str">
        <f t="shared" si="183"/>
        <v>x</v>
      </c>
      <c r="H125" s="111" t="str">
        <f t="shared" si="183"/>
        <v>x</v>
      </c>
      <c r="I125" s="111" t="str">
        <f t="shared" si="183"/>
        <v>x</v>
      </c>
      <c r="J125" s="111" t="str">
        <f t="shared" si="183"/>
        <v>x</v>
      </c>
      <c r="K125" s="111" t="str">
        <f t="shared" si="183"/>
        <v>x</v>
      </c>
      <c r="L125" s="111" t="str">
        <f t="shared" si="183"/>
        <v>x</v>
      </c>
      <c r="M125" s="111" t="str">
        <f t="shared" si="183"/>
        <v>x</v>
      </c>
      <c r="N125" s="111" t="str">
        <f t="shared" si="183"/>
        <v>x</v>
      </c>
      <c r="O125" s="111" t="str">
        <f t="shared" si="183"/>
        <v>x</v>
      </c>
      <c r="P125" s="111" t="str">
        <f t="shared" si="183"/>
        <v>x</v>
      </c>
      <c r="Q125" s="111" t="str">
        <f t="shared" si="183"/>
        <v>x</v>
      </c>
      <c r="R125" s="111" t="str">
        <f t="shared" si="183"/>
        <v>x</v>
      </c>
      <c r="S125" s="111" t="str">
        <f t="shared" si="183"/>
        <v>x</v>
      </c>
      <c r="T125" s="111" t="str">
        <f t="shared" si="183"/>
        <v>x</v>
      </c>
      <c r="U125" s="111" t="str">
        <f t="shared" si="183"/>
        <v>x</v>
      </c>
      <c r="V125" s="111" t="str">
        <f t="shared" si="183"/>
        <v>x</v>
      </c>
      <c r="W125" s="111" t="str">
        <f t="shared" si="183"/>
        <v>x</v>
      </c>
      <c r="X125" s="111" t="str">
        <f t="shared" si="183"/>
        <v>x</v>
      </c>
      <c r="Y125" s="111" t="str">
        <f t="shared" si="183"/>
        <v>x</v>
      </c>
      <c r="Z125" s="111" t="str">
        <f t="shared" si="183"/>
        <v>x</v>
      </c>
    </row>
    <row r="126" spans="4:26" customFormat="1" x14ac:dyDescent="0.15">
      <c r="D126" s="111" t="str">
        <f t="shared" ref="D126:Z126" si="184">IF(BatSplit(D52,RunsScored)&gt;=50,BatSplit(D52,RunsScored)&amp;IF(BatSplit(D52,NotOuts)=1,"*","")&amp;"|"&amp;$C52&amp;"|"&amp;D$2&amp;"|"&amp;TEXT(D$1,"dd-mmm"),"x")</f>
        <v>x</v>
      </c>
      <c r="E126" s="111" t="str">
        <f t="shared" si="184"/>
        <v>x</v>
      </c>
      <c r="F126" s="111" t="str">
        <f t="shared" si="184"/>
        <v>x</v>
      </c>
      <c r="G126" s="111" t="str">
        <f t="shared" si="184"/>
        <v>x</v>
      </c>
      <c r="H126" s="111" t="str">
        <f t="shared" si="184"/>
        <v>x</v>
      </c>
      <c r="I126" s="111" t="str">
        <f t="shared" si="184"/>
        <v>x</v>
      </c>
      <c r="J126" s="111" t="str">
        <f t="shared" si="184"/>
        <v>x</v>
      </c>
      <c r="K126" s="111" t="str">
        <f t="shared" si="184"/>
        <v>x</v>
      </c>
      <c r="L126" s="111" t="str">
        <f t="shared" si="184"/>
        <v>x</v>
      </c>
      <c r="M126" s="111" t="str">
        <f t="shared" si="184"/>
        <v>x</v>
      </c>
      <c r="N126" s="111" t="str">
        <f t="shared" si="184"/>
        <v>x</v>
      </c>
      <c r="O126" s="111" t="str">
        <f t="shared" si="184"/>
        <v>x</v>
      </c>
      <c r="P126" s="111" t="str">
        <f t="shared" si="184"/>
        <v>x</v>
      </c>
      <c r="Q126" s="111" t="str">
        <f t="shared" si="184"/>
        <v>x</v>
      </c>
      <c r="R126" s="111" t="str">
        <f t="shared" si="184"/>
        <v>x</v>
      </c>
      <c r="S126" s="111" t="str">
        <f t="shared" si="184"/>
        <v>x</v>
      </c>
      <c r="T126" s="111" t="str">
        <f t="shared" si="184"/>
        <v>x</v>
      </c>
      <c r="U126" s="111" t="str">
        <f t="shared" si="184"/>
        <v>x</v>
      </c>
      <c r="V126" s="111" t="str">
        <f t="shared" si="184"/>
        <v>x</v>
      </c>
      <c r="W126" s="111" t="str">
        <f t="shared" si="184"/>
        <v>x</v>
      </c>
      <c r="X126" s="111" t="str">
        <f t="shared" si="184"/>
        <v>x</v>
      </c>
      <c r="Y126" s="111" t="str">
        <f t="shared" si="184"/>
        <v>x</v>
      </c>
      <c r="Z126" s="111" t="str">
        <f t="shared" si="184"/>
        <v>x</v>
      </c>
    </row>
    <row r="127" spans="4:26" customFormat="1" x14ac:dyDescent="0.15">
      <c r="D127" s="111" t="str">
        <f t="shared" ref="D127:Z127" si="185">IF(BatSplit(D53,RunsScored)&gt;=50,BatSplit(D53,RunsScored)&amp;IF(BatSplit(D53,NotOuts)=1,"*","")&amp;"|"&amp;$C53&amp;"|"&amp;D$2&amp;"|"&amp;TEXT(D$1,"dd-mmm"),"x")</f>
        <v>x</v>
      </c>
      <c r="E127" s="111" t="str">
        <f t="shared" si="185"/>
        <v>x</v>
      </c>
      <c r="F127" s="111" t="str">
        <f t="shared" si="185"/>
        <v>x</v>
      </c>
      <c r="G127" s="111" t="str">
        <f t="shared" si="185"/>
        <v>x</v>
      </c>
      <c r="H127" s="111" t="str">
        <f t="shared" si="185"/>
        <v>x</v>
      </c>
      <c r="I127" s="111" t="str">
        <f t="shared" si="185"/>
        <v>x</v>
      </c>
      <c r="J127" s="111" t="str">
        <f t="shared" si="185"/>
        <v>x</v>
      </c>
      <c r="K127" s="111" t="str">
        <f t="shared" si="185"/>
        <v>x</v>
      </c>
      <c r="L127" s="111" t="str">
        <f t="shared" si="185"/>
        <v>x</v>
      </c>
      <c r="M127" s="111" t="str">
        <f t="shared" si="185"/>
        <v>x</v>
      </c>
      <c r="N127" s="111" t="str">
        <f t="shared" si="185"/>
        <v>x</v>
      </c>
      <c r="O127" s="111" t="str">
        <f t="shared" si="185"/>
        <v>x</v>
      </c>
      <c r="P127" s="111" t="str">
        <f t="shared" si="185"/>
        <v>x</v>
      </c>
      <c r="Q127" s="111" t="str">
        <f t="shared" si="185"/>
        <v>x</v>
      </c>
      <c r="R127" s="111" t="str">
        <f t="shared" si="185"/>
        <v>x</v>
      </c>
      <c r="S127" s="111" t="str">
        <f t="shared" si="185"/>
        <v>x</v>
      </c>
      <c r="T127" s="111" t="str">
        <f t="shared" si="185"/>
        <v>x</v>
      </c>
      <c r="U127" s="111" t="str">
        <f t="shared" si="185"/>
        <v>x</v>
      </c>
      <c r="V127" s="111" t="str">
        <f t="shared" si="185"/>
        <v>x</v>
      </c>
      <c r="W127" s="111" t="str">
        <f t="shared" si="185"/>
        <v>x</v>
      </c>
      <c r="X127" s="111" t="str">
        <f t="shared" si="185"/>
        <v>x</v>
      </c>
      <c r="Y127" s="111" t="str">
        <f t="shared" si="185"/>
        <v>x</v>
      </c>
      <c r="Z127" s="111" t="str">
        <f t="shared" si="185"/>
        <v>x</v>
      </c>
    </row>
    <row r="128" spans="4:26" customFormat="1" x14ac:dyDescent="0.15">
      <c r="D128" s="111" t="str">
        <f t="shared" ref="D128:Z128" si="186">IF(BatSplit(D54,RunsScored)&gt;=50,BatSplit(D54,RunsScored)&amp;IF(BatSplit(D54,NotOuts)=1,"*","")&amp;"|"&amp;$C54&amp;"|"&amp;D$2&amp;"|"&amp;TEXT(D$1,"dd-mmm"),"x")</f>
        <v>x</v>
      </c>
      <c r="E128" s="111" t="str">
        <f t="shared" si="186"/>
        <v>x</v>
      </c>
      <c r="F128" s="111" t="str">
        <f t="shared" si="186"/>
        <v>64|Springer T|Warlingham|08-May</v>
      </c>
      <c r="G128" s="111" t="str">
        <f t="shared" si="186"/>
        <v>x</v>
      </c>
      <c r="H128" s="111" t="str">
        <f t="shared" si="186"/>
        <v>x</v>
      </c>
      <c r="I128" s="111" t="str">
        <f t="shared" si="186"/>
        <v>x</v>
      </c>
      <c r="J128" s="111" t="str">
        <f t="shared" si="186"/>
        <v>x</v>
      </c>
      <c r="K128" s="111" t="str">
        <f t="shared" si="186"/>
        <v>x</v>
      </c>
      <c r="L128" s="111" t="str">
        <f t="shared" si="186"/>
        <v>x</v>
      </c>
      <c r="M128" s="111" t="str">
        <f t="shared" si="186"/>
        <v>x</v>
      </c>
      <c r="N128" s="111" t="str">
        <f t="shared" si="186"/>
        <v>x</v>
      </c>
      <c r="O128" s="111" t="str">
        <f t="shared" si="186"/>
        <v>x</v>
      </c>
      <c r="P128" s="111" t="str">
        <f t="shared" si="186"/>
        <v>x</v>
      </c>
      <c r="Q128" s="111" t="str">
        <f t="shared" si="186"/>
        <v>x</v>
      </c>
      <c r="R128" s="111" t="str">
        <f t="shared" si="186"/>
        <v>x</v>
      </c>
      <c r="S128" s="111" t="str">
        <f t="shared" si="186"/>
        <v>x</v>
      </c>
      <c r="T128" s="111" t="str">
        <f t="shared" si="186"/>
        <v>x</v>
      </c>
      <c r="U128" s="111" t="str">
        <f t="shared" si="186"/>
        <v>x</v>
      </c>
      <c r="V128" s="111" t="str">
        <f t="shared" si="186"/>
        <v>x</v>
      </c>
      <c r="W128" s="111" t="str">
        <f t="shared" si="186"/>
        <v>x</v>
      </c>
      <c r="X128" s="111" t="str">
        <f t="shared" si="186"/>
        <v>x</v>
      </c>
      <c r="Y128" s="111" t="str">
        <f t="shared" si="186"/>
        <v>x</v>
      </c>
      <c r="Z128" s="111" t="str">
        <f t="shared" si="186"/>
        <v>x</v>
      </c>
    </row>
    <row r="129" spans="4:26" customFormat="1" x14ac:dyDescent="0.15">
      <c r="D129" s="111" t="str">
        <f t="shared" ref="D129:Z129" si="187">IF(BatSplit(D55,RunsScored)&gt;=50,BatSplit(D55,RunsScored)&amp;IF(BatSplit(D55,NotOuts)=1,"*","")&amp;"|"&amp;$C55&amp;"|"&amp;D$2&amp;"|"&amp;TEXT(D$1,"dd-mmm"),"x")</f>
        <v>x</v>
      </c>
      <c r="E129" s="111" t="str">
        <f t="shared" si="187"/>
        <v>x</v>
      </c>
      <c r="F129" s="111" t="str">
        <f t="shared" si="187"/>
        <v>x</v>
      </c>
      <c r="G129" s="111" t="str">
        <f t="shared" si="187"/>
        <v>x</v>
      </c>
      <c r="H129" s="111" t="str">
        <f t="shared" si="187"/>
        <v>x</v>
      </c>
      <c r="I129" s="111" t="str">
        <f t="shared" si="187"/>
        <v>x</v>
      </c>
      <c r="J129" s="111" t="str">
        <f t="shared" si="187"/>
        <v>x</v>
      </c>
      <c r="K129" s="111" t="str">
        <f t="shared" si="187"/>
        <v>x</v>
      </c>
      <c r="L129" s="111" t="str">
        <f t="shared" si="187"/>
        <v>67|Stevenson R|Beddington|12-Jun</v>
      </c>
      <c r="M129" s="111" t="str">
        <f t="shared" si="187"/>
        <v>x</v>
      </c>
      <c r="N129" s="111" t="str">
        <f t="shared" si="187"/>
        <v>x</v>
      </c>
      <c r="O129" s="111" t="str">
        <f t="shared" si="187"/>
        <v>x</v>
      </c>
      <c r="P129" s="111" t="str">
        <f t="shared" si="187"/>
        <v>x</v>
      </c>
      <c r="Q129" s="111" t="str">
        <f t="shared" si="187"/>
        <v>x</v>
      </c>
      <c r="R129" s="111" t="str">
        <f t="shared" si="187"/>
        <v>x</v>
      </c>
      <c r="S129" s="111" t="str">
        <f t="shared" si="187"/>
        <v>x</v>
      </c>
      <c r="T129" s="111" t="str">
        <f t="shared" si="187"/>
        <v>x</v>
      </c>
      <c r="U129" s="111" t="str">
        <f t="shared" si="187"/>
        <v>x</v>
      </c>
      <c r="V129" s="111" t="str">
        <f t="shared" si="187"/>
        <v>x</v>
      </c>
      <c r="W129" s="111" t="str">
        <f t="shared" si="187"/>
        <v>x</v>
      </c>
      <c r="X129" s="111" t="str">
        <f t="shared" si="187"/>
        <v>x</v>
      </c>
      <c r="Y129" s="111" t="str">
        <f t="shared" si="187"/>
        <v>x</v>
      </c>
      <c r="Z129" s="111" t="str">
        <f t="shared" si="187"/>
        <v>x</v>
      </c>
    </row>
    <row r="130" spans="4:26" customFormat="1" x14ac:dyDescent="0.15">
      <c r="D130" s="111" t="str">
        <f t="shared" ref="D130:Z130" si="188">IF(BatSplit(D56,RunsScored)&gt;=50,BatSplit(D56,RunsScored)&amp;IF(BatSplit(D56,NotOuts)=1,"*","")&amp;"|"&amp;$C56&amp;"|"&amp;D$2&amp;"|"&amp;TEXT(D$1,"dd-mmm"),"x")</f>
        <v>x</v>
      </c>
      <c r="E130" s="111" t="str">
        <f t="shared" si="188"/>
        <v>x</v>
      </c>
      <c r="F130" s="111" t="str">
        <f t="shared" si="188"/>
        <v>x</v>
      </c>
      <c r="G130" s="111" t="str">
        <f t="shared" si="188"/>
        <v>x</v>
      </c>
      <c r="H130" s="111" t="str">
        <f t="shared" si="188"/>
        <v>x</v>
      </c>
      <c r="I130" s="111" t="str">
        <f t="shared" si="188"/>
        <v>x</v>
      </c>
      <c r="J130" s="111" t="str">
        <f t="shared" si="188"/>
        <v>x</v>
      </c>
      <c r="K130" s="111" t="str">
        <f t="shared" si="188"/>
        <v>x</v>
      </c>
      <c r="L130" s="111" t="str">
        <f t="shared" si="188"/>
        <v>x</v>
      </c>
      <c r="M130" s="111" t="str">
        <f t="shared" si="188"/>
        <v>x</v>
      </c>
      <c r="N130" s="111" t="str">
        <f t="shared" si="188"/>
        <v>x</v>
      </c>
      <c r="O130" s="111" t="str">
        <f t="shared" si="188"/>
        <v>x</v>
      </c>
      <c r="P130" s="111" t="str">
        <f t="shared" si="188"/>
        <v>x</v>
      </c>
      <c r="Q130" s="111" t="str">
        <f t="shared" si="188"/>
        <v>x</v>
      </c>
      <c r="R130" s="111" t="str">
        <f t="shared" si="188"/>
        <v>x</v>
      </c>
      <c r="S130" s="111" t="str">
        <f t="shared" si="188"/>
        <v>x</v>
      </c>
      <c r="T130" s="111" t="str">
        <f t="shared" si="188"/>
        <v>x</v>
      </c>
      <c r="U130" s="111" t="str">
        <f t="shared" si="188"/>
        <v>x</v>
      </c>
      <c r="V130" s="111" t="str">
        <f t="shared" si="188"/>
        <v>x</v>
      </c>
      <c r="W130" s="111" t="str">
        <f t="shared" si="188"/>
        <v>x</v>
      </c>
      <c r="X130" s="111" t="str">
        <f t="shared" si="188"/>
        <v>x</v>
      </c>
      <c r="Y130" s="111" t="str">
        <f t="shared" si="188"/>
        <v>x</v>
      </c>
      <c r="Z130" s="111" t="str">
        <f t="shared" si="188"/>
        <v>x</v>
      </c>
    </row>
    <row r="131" spans="4:26" customFormat="1" x14ac:dyDescent="0.15">
      <c r="D131" s="111" t="str">
        <f t="shared" ref="D131:Z131" si="189">IF(BatSplit(D57,RunsScored)&gt;=50,BatSplit(D57,RunsScored)&amp;IF(BatSplit(D57,NotOuts)=1,"*","")&amp;"|"&amp;$C57&amp;"|"&amp;D$2&amp;"|"&amp;TEXT(D$1,"dd-mmm"),"x")</f>
        <v>x</v>
      </c>
      <c r="E131" s="111" t="str">
        <f t="shared" si="189"/>
        <v>x</v>
      </c>
      <c r="F131" s="111" t="str">
        <f t="shared" si="189"/>
        <v>x</v>
      </c>
      <c r="G131" s="111" t="str">
        <f t="shared" si="189"/>
        <v>x</v>
      </c>
      <c r="H131" s="111" t="str">
        <f t="shared" si="189"/>
        <v>x</v>
      </c>
      <c r="I131" s="111" t="str">
        <f t="shared" si="189"/>
        <v>x</v>
      </c>
      <c r="J131" s="111" t="str">
        <f t="shared" si="189"/>
        <v>x</v>
      </c>
      <c r="K131" s="111" t="str">
        <f t="shared" si="189"/>
        <v>x</v>
      </c>
      <c r="L131" s="111" t="str">
        <f t="shared" si="189"/>
        <v>x</v>
      </c>
      <c r="M131" s="111" t="str">
        <f t="shared" si="189"/>
        <v>x</v>
      </c>
      <c r="N131" s="111" t="str">
        <f t="shared" si="189"/>
        <v>x</v>
      </c>
      <c r="O131" s="111" t="str">
        <f t="shared" si="189"/>
        <v>x</v>
      </c>
      <c r="P131" s="111" t="str">
        <f t="shared" si="189"/>
        <v>x</v>
      </c>
      <c r="Q131" s="111" t="str">
        <f t="shared" si="189"/>
        <v>x</v>
      </c>
      <c r="R131" s="111" t="str">
        <f t="shared" si="189"/>
        <v>x</v>
      </c>
      <c r="S131" s="111" t="str">
        <f t="shared" si="189"/>
        <v>x</v>
      </c>
      <c r="T131" s="111" t="str">
        <f t="shared" si="189"/>
        <v>x</v>
      </c>
      <c r="U131" s="111" t="str">
        <f t="shared" si="189"/>
        <v>x</v>
      </c>
      <c r="V131" s="111" t="str">
        <f t="shared" si="189"/>
        <v>x</v>
      </c>
      <c r="W131" s="111" t="str">
        <f t="shared" si="189"/>
        <v>x</v>
      </c>
      <c r="X131" s="111" t="str">
        <f t="shared" si="189"/>
        <v>x</v>
      </c>
      <c r="Y131" s="111" t="str">
        <f t="shared" si="189"/>
        <v>x</v>
      </c>
      <c r="Z131" s="111" t="str">
        <f t="shared" si="189"/>
        <v>x</v>
      </c>
    </row>
    <row r="132" spans="4:26" customFormat="1" x14ac:dyDescent="0.15">
      <c r="D132" s="111" t="str">
        <f t="shared" ref="D132:Z132" si="190">IF(BatSplit(D58,RunsScored)&gt;=50,BatSplit(D58,RunsScored)&amp;IF(BatSplit(D58,NotOuts)=1,"*","")&amp;"|"&amp;$C58&amp;"|"&amp;D$2&amp;"|"&amp;TEXT(D$1,"dd-mmm"),"x")</f>
        <v>x</v>
      </c>
      <c r="E132" s="111" t="str">
        <f t="shared" si="190"/>
        <v>x</v>
      </c>
      <c r="F132" s="111" t="str">
        <f t="shared" si="190"/>
        <v>x</v>
      </c>
      <c r="G132" s="111" t="str">
        <f t="shared" si="190"/>
        <v>x</v>
      </c>
      <c r="H132" s="111" t="str">
        <f t="shared" si="190"/>
        <v>x</v>
      </c>
      <c r="I132" s="111" t="str">
        <f t="shared" si="190"/>
        <v>x</v>
      </c>
      <c r="J132" s="111" t="str">
        <f t="shared" si="190"/>
        <v>x</v>
      </c>
      <c r="K132" s="111" t="str">
        <f t="shared" si="190"/>
        <v>x</v>
      </c>
      <c r="L132" s="111" t="str">
        <f t="shared" si="190"/>
        <v>x</v>
      </c>
      <c r="M132" s="111" t="str">
        <f t="shared" si="190"/>
        <v>x</v>
      </c>
      <c r="N132" s="111" t="str">
        <f t="shared" si="190"/>
        <v>x</v>
      </c>
      <c r="O132" s="111" t="str">
        <f t="shared" si="190"/>
        <v>x</v>
      </c>
      <c r="P132" s="111" t="str">
        <f t="shared" si="190"/>
        <v>x</v>
      </c>
      <c r="Q132" s="111" t="str">
        <f t="shared" si="190"/>
        <v>x</v>
      </c>
      <c r="R132" s="111" t="str">
        <f t="shared" si="190"/>
        <v>x</v>
      </c>
      <c r="S132" s="111" t="str">
        <f t="shared" si="190"/>
        <v>x</v>
      </c>
      <c r="T132" s="111" t="str">
        <f t="shared" si="190"/>
        <v>x</v>
      </c>
      <c r="U132" s="111" t="str">
        <f t="shared" si="190"/>
        <v>x</v>
      </c>
      <c r="V132" s="111" t="str">
        <f t="shared" si="190"/>
        <v>x</v>
      </c>
      <c r="W132" s="111" t="str">
        <f t="shared" si="190"/>
        <v>x</v>
      </c>
      <c r="X132" s="111" t="str">
        <f t="shared" si="190"/>
        <v>x</v>
      </c>
      <c r="Y132" s="111" t="str">
        <f t="shared" si="190"/>
        <v>x</v>
      </c>
      <c r="Z132" s="111" t="str">
        <f t="shared" si="190"/>
        <v>x</v>
      </c>
    </row>
    <row r="133" spans="4:26" customFormat="1" x14ac:dyDescent="0.15">
      <c r="D133" s="111" t="str">
        <f t="shared" ref="D133:Z133" si="191">IF(BatSplit(D59,RunsScored)&gt;=50,BatSplit(D59,RunsScored)&amp;IF(BatSplit(D59,NotOuts)=1,"*","")&amp;"|"&amp;$C59&amp;"|"&amp;D$2&amp;"|"&amp;TEXT(D$1,"dd-mmm"),"x")</f>
        <v>x</v>
      </c>
      <c r="E133" s="111" t="str">
        <f t="shared" si="191"/>
        <v>x</v>
      </c>
      <c r="F133" s="111" t="str">
        <f t="shared" si="191"/>
        <v>x</v>
      </c>
      <c r="G133" s="111" t="str">
        <f t="shared" si="191"/>
        <v>x</v>
      </c>
      <c r="H133" s="111" t="str">
        <f t="shared" si="191"/>
        <v>x</v>
      </c>
      <c r="I133" s="111" t="str">
        <f t="shared" si="191"/>
        <v>x</v>
      </c>
      <c r="J133" s="111" t="str">
        <f t="shared" si="191"/>
        <v>x</v>
      </c>
      <c r="K133" s="111" t="str">
        <f t="shared" si="191"/>
        <v>x</v>
      </c>
      <c r="L133" s="111" t="str">
        <f t="shared" si="191"/>
        <v>x</v>
      </c>
      <c r="M133" s="111" t="str">
        <f t="shared" si="191"/>
        <v>x</v>
      </c>
      <c r="N133" s="111" t="str">
        <f t="shared" si="191"/>
        <v>x</v>
      </c>
      <c r="O133" s="111" t="str">
        <f t="shared" si="191"/>
        <v>x</v>
      </c>
      <c r="P133" s="111" t="str">
        <f t="shared" si="191"/>
        <v>x</v>
      </c>
      <c r="Q133" s="111" t="str">
        <f t="shared" si="191"/>
        <v>x</v>
      </c>
      <c r="R133" s="111" t="str">
        <f t="shared" si="191"/>
        <v>x</v>
      </c>
      <c r="S133" s="111" t="str">
        <f t="shared" si="191"/>
        <v>x</v>
      </c>
      <c r="T133" s="111" t="str">
        <f t="shared" si="191"/>
        <v>x</v>
      </c>
      <c r="U133" s="111" t="str">
        <f t="shared" si="191"/>
        <v>x</v>
      </c>
      <c r="V133" s="111" t="str">
        <f t="shared" si="191"/>
        <v>x</v>
      </c>
      <c r="W133" s="111" t="str">
        <f t="shared" si="191"/>
        <v>x</v>
      </c>
      <c r="X133" s="111" t="str">
        <f t="shared" si="191"/>
        <v>x</v>
      </c>
      <c r="Y133" s="111" t="str">
        <f t="shared" si="191"/>
        <v>x</v>
      </c>
      <c r="Z133" s="111" t="str">
        <f t="shared" si="191"/>
        <v>x</v>
      </c>
    </row>
    <row r="134" spans="4:26" customFormat="1" x14ac:dyDescent="0.15">
      <c r="D134" s="111" t="str">
        <f t="shared" ref="D134:Z134" si="192">IF(BatSplit(D60,RunsScored)&gt;=50,BatSplit(D60,RunsScored)&amp;IF(BatSplit(D60,NotOuts)=1,"*","")&amp;"|"&amp;$C60&amp;"|"&amp;D$2&amp;"|"&amp;TEXT(D$1,"dd-mmm"),"x")</f>
        <v>x</v>
      </c>
      <c r="E134" s="111" t="str">
        <f t="shared" si="192"/>
        <v>x</v>
      </c>
      <c r="F134" s="111" t="str">
        <f t="shared" si="192"/>
        <v>x</v>
      </c>
      <c r="G134" s="111" t="str">
        <f t="shared" si="192"/>
        <v>x</v>
      </c>
      <c r="H134" s="111" t="str">
        <f t="shared" si="192"/>
        <v>x</v>
      </c>
      <c r="I134" s="111" t="str">
        <f t="shared" si="192"/>
        <v>x</v>
      </c>
      <c r="J134" s="111" t="str">
        <f t="shared" si="192"/>
        <v>x</v>
      </c>
      <c r="K134" s="111" t="str">
        <f t="shared" si="192"/>
        <v>x</v>
      </c>
      <c r="L134" s="111" t="str">
        <f t="shared" si="192"/>
        <v>x</v>
      </c>
      <c r="M134" s="111" t="str">
        <f t="shared" si="192"/>
        <v>x</v>
      </c>
      <c r="N134" s="111" t="str">
        <f t="shared" si="192"/>
        <v>x</v>
      </c>
      <c r="O134" s="111" t="str">
        <f t="shared" si="192"/>
        <v>x</v>
      </c>
      <c r="P134" s="111" t="str">
        <f t="shared" si="192"/>
        <v>x</v>
      </c>
      <c r="Q134" s="111" t="str">
        <f t="shared" si="192"/>
        <v>x</v>
      </c>
      <c r="R134" s="111" t="str">
        <f t="shared" si="192"/>
        <v>x</v>
      </c>
      <c r="S134" s="111" t="str">
        <f t="shared" si="192"/>
        <v>x</v>
      </c>
      <c r="T134" s="111" t="str">
        <f t="shared" si="192"/>
        <v>x</v>
      </c>
      <c r="U134" s="111" t="str">
        <f t="shared" si="192"/>
        <v>x</v>
      </c>
      <c r="V134" s="111" t="str">
        <f t="shared" si="192"/>
        <v>x</v>
      </c>
      <c r="W134" s="111" t="str">
        <f t="shared" si="192"/>
        <v>x</v>
      </c>
      <c r="X134" s="111" t="str">
        <f t="shared" si="192"/>
        <v>x</v>
      </c>
      <c r="Y134" s="111" t="str">
        <f t="shared" si="192"/>
        <v>x</v>
      </c>
      <c r="Z134" s="111" t="str">
        <f t="shared" si="192"/>
        <v>x</v>
      </c>
    </row>
    <row r="135" spans="4:26" customFormat="1" x14ac:dyDescent="0.15">
      <c r="D135" s="111" t="str">
        <f t="shared" ref="D135:Z135" si="193">IF(BatSplit(D61,RunsScored)&gt;=50,BatSplit(D61,RunsScored)&amp;IF(BatSplit(D61,NotOuts)=1,"*","")&amp;"|"&amp;$C61&amp;"|"&amp;D$2&amp;"|"&amp;TEXT(D$1,"dd-mmm"),"x")</f>
        <v>x</v>
      </c>
      <c r="E135" s="111" t="str">
        <f t="shared" si="193"/>
        <v>x</v>
      </c>
      <c r="F135" s="111" t="str">
        <f t="shared" si="193"/>
        <v>x</v>
      </c>
      <c r="G135" s="111" t="str">
        <f t="shared" si="193"/>
        <v>x</v>
      </c>
      <c r="H135" s="111" t="str">
        <f t="shared" si="193"/>
        <v>x</v>
      </c>
      <c r="I135" s="111" t="str">
        <f t="shared" si="193"/>
        <v>x</v>
      </c>
      <c r="J135" s="111" t="str">
        <f t="shared" si="193"/>
        <v>x</v>
      </c>
      <c r="K135" s="111" t="str">
        <f t="shared" si="193"/>
        <v>x</v>
      </c>
      <c r="L135" s="111" t="str">
        <f t="shared" si="193"/>
        <v>x</v>
      </c>
      <c r="M135" s="111" t="str">
        <f t="shared" si="193"/>
        <v>x</v>
      </c>
      <c r="N135" s="111" t="str">
        <f t="shared" si="193"/>
        <v>x</v>
      </c>
      <c r="O135" s="111" t="str">
        <f t="shared" si="193"/>
        <v>x</v>
      </c>
      <c r="P135" s="111" t="str">
        <f t="shared" si="193"/>
        <v>x</v>
      </c>
      <c r="Q135" s="111" t="str">
        <f t="shared" si="193"/>
        <v>x</v>
      </c>
      <c r="R135" s="111" t="str">
        <f t="shared" si="193"/>
        <v>x</v>
      </c>
      <c r="S135" s="111" t="str">
        <f t="shared" si="193"/>
        <v>x</v>
      </c>
      <c r="T135" s="111" t="str">
        <f t="shared" si="193"/>
        <v>x</v>
      </c>
      <c r="U135" s="111" t="str">
        <f t="shared" si="193"/>
        <v>x</v>
      </c>
      <c r="V135" s="111" t="str">
        <f t="shared" si="193"/>
        <v>x</v>
      </c>
      <c r="W135" s="111" t="str">
        <f t="shared" si="193"/>
        <v>x</v>
      </c>
      <c r="X135" s="111" t="str">
        <f t="shared" si="193"/>
        <v>x</v>
      </c>
      <c r="Y135" s="111" t="str">
        <f t="shared" si="193"/>
        <v>x</v>
      </c>
      <c r="Z135" s="111" t="str">
        <f t="shared" si="193"/>
        <v>x</v>
      </c>
    </row>
    <row r="136" spans="4:26" customFormat="1" x14ac:dyDescent="0.15">
      <c r="D136" s="111" t="str">
        <f t="shared" ref="D136:Z136" si="194">IF(BatSplit(D62,RunsScored)&gt;=50,BatSplit(D62,RunsScored)&amp;IF(BatSplit(D62,NotOuts)=1,"*","")&amp;"|"&amp;$C62&amp;"|"&amp;D$2&amp;"|"&amp;TEXT(D$1,"dd-mmm"),"x")</f>
        <v>x</v>
      </c>
      <c r="E136" s="111" t="str">
        <f t="shared" si="194"/>
        <v>x</v>
      </c>
      <c r="F136" s="111" t="str">
        <f t="shared" si="194"/>
        <v>x</v>
      </c>
      <c r="G136" s="111" t="str">
        <f t="shared" si="194"/>
        <v>x</v>
      </c>
      <c r="H136" s="111" t="str">
        <f t="shared" si="194"/>
        <v>x</v>
      </c>
      <c r="I136" s="111" t="str">
        <f t="shared" si="194"/>
        <v>x</v>
      </c>
      <c r="J136" s="111" t="str">
        <f t="shared" si="194"/>
        <v>x</v>
      </c>
      <c r="K136" s="111" t="str">
        <f t="shared" si="194"/>
        <v>x</v>
      </c>
      <c r="L136" s="111" t="str">
        <f t="shared" si="194"/>
        <v>x</v>
      </c>
      <c r="M136" s="111" t="str">
        <f t="shared" si="194"/>
        <v>x</v>
      </c>
      <c r="N136" s="111" t="str">
        <f t="shared" si="194"/>
        <v>x</v>
      </c>
      <c r="O136" s="111" t="str">
        <f t="shared" si="194"/>
        <v>x</v>
      </c>
      <c r="P136" s="111" t="str">
        <f t="shared" si="194"/>
        <v>x</v>
      </c>
      <c r="Q136" s="111" t="str">
        <f t="shared" si="194"/>
        <v>x</v>
      </c>
      <c r="R136" s="111" t="str">
        <f t="shared" si="194"/>
        <v>x</v>
      </c>
      <c r="S136" s="111" t="str">
        <f t="shared" si="194"/>
        <v>x</v>
      </c>
      <c r="T136" s="111" t="str">
        <f t="shared" si="194"/>
        <v>x</v>
      </c>
      <c r="U136" s="111" t="str">
        <f t="shared" si="194"/>
        <v>x</v>
      </c>
      <c r="V136" s="111" t="str">
        <f t="shared" si="194"/>
        <v>x</v>
      </c>
      <c r="W136" s="111" t="str">
        <f t="shared" si="194"/>
        <v>x</v>
      </c>
      <c r="X136" s="111" t="str">
        <f t="shared" si="194"/>
        <v>x</v>
      </c>
      <c r="Y136" s="111" t="str">
        <f t="shared" si="194"/>
        <v>x</v>
      </c>
      <c r="Z136" s="111" t="str">
        <f t="shared" si="194"/>
        <v>x</v>
      </c>
    </row>
    <row r="137" spans="4:26" customFormat="1" x14ac:dyDescent="0.15">
      <c r="D137" s="111" t="str">
        <f t="shared" ref="D137:Z137" si="195">IF(BatSplit(D63,RunsScored)&gt;=50,BatSplit(D63,RunsScored)&amp;IF(BatSplit(D63,NotOuts)=1,"*","")&amp;"|"&amp;$C63&amp;"|"&amp;D$2&amp;"|"&amp;TEXT(D$1,"dd-mmm"),"x")</f>
        <v>x</v>
      </c>
      <c r="E137" s="111" t="str">
        <f t="shared" si="195"/>
        <v>x</v>
      </c>
      <c r="F137" s="111" t="str">
        <f t="shared" si="195"/>
        <v>x</v>
      </c>
      <c r="G137" s="111" t="str">
        <f t="shared" si="195"/>
        <v>x</v>
      </c>
      <c r="H137" s="111" t="str">
        <f t="shared" si="195"/>
        <v>x</v>
      </c>
      <c r="I137" s="111" t="str">
        <f t="shared" si="195"/>
        <v>x</v>
      </c>
      <c r="J137" s="111" t="str">
        <f t="shared" si="195"/>
        <v>x</v>
      </c>
      <c r="K137" s="111" t="str">
        <f t="shared" si="195"/>
        <v>x</v>
      </c>
      <c r="L137" s="111" t="str">
        <f t="shared" si="195"/>
        <v>x</v>
      </c>
      <c r="M137" s="111" t="str">
        <f t="shared" si="195"/>
        <v>x</v>
      </c>
      <c r="N137" s="111" t="str">
        <f t="shared" si="195"/>
        <v>x</v>
      </c>
      <c r="O137" s="111" t="str">
        <f t="shared" si="195"/>
        <v>x</v>
      </c>
      <c r="P137" s="111" t="str">
        <f t="shared" si="195"/>
        <v>x</v>
      </c>
      <c r="Q137" s="111" t="str">
        <f t="shared" si="195"/>
        <v>x</v>
      </c>
      <c r="R137" s="111" t="str">
        <f t="shared" si="195"/>
        <v>x</v>
      </c>
      <c r="S137" s="111" t="str">
        <f t="shared" si="195"/>
        <v>x</v>
      </c>
      <c r="T137" s="111" t="str">
        <f t="shared" si="195"/>
        <v>x</v>
      </c>
      <c r="U137" s="111" t="str">
        <f t="shared" si="195"/>
        <v>x</v>
      </c>
      <c r="V137" s="111" t="str">
        <f t="shared" si="195"/>
        <v>x</v>
      </c>
      <c r="W137" s="111" t="str">
        <f t="shared" si="195"/>
        <v>x</v>
      </c>
      <c r="X137" s="111" t="str">
        <f t="shared" si="195"/>
        <v>x</v>
      </c>
      <c r="Y137" s="111" t="str">
        <f t="shared" si="195"/>
        <v>x</v>
      </c>
      <c r="Z137" s="111" t="str">
        <f t="shared" si="195"/>
        <v>x</v>
      </c>
    </row>
    <row r="138" spans="4:26" customFormat="1" x14ac:dyDescent="0.15">
      <c r="D138" s="111" t="str">
        <f t="shared" ref="D138:Z138" si="196">IF(BatSplit(D64,RunsScored)&gt;=50,BatSplit(D64,RunsScored)&amp;IF(BatSplit(D64,NotOuts)=1,"*","")&amp;"|"&amp;$C64&amp;"|"&amp;D$2&amp;"|"&amp;TEXT(D$1,"dd-mmm"),"x")</f>
        <v>x</v>
      </c>
      <c r="E138" s="111" t="str">
        <f t="shared" si="196"/>
        <v>x</v>
      </c>
      <c r="F138" s="111" t="str">
        <f t="shared" si="196"/>
        <v>x</v>
      </c>
      <c r="G138" s="111" t="str">
        <f t="shared" si="196"/>
        <v>x</v>
      </c>
      <c r="H138" s="111" t="str">
        <f t="shared" si="196"/>
        <v>x</v>
      </c>
      <c r="I138" s="111" t="str">
        <f t="shared" si="196"/>
        <v>x</v>
      </c>
      <c r="J138" s="111" t="str">
        <f t="shared" si="196"/>
        <v>x</v>
      </c>
      <c r="K138" s="111" t="str">
        <f t="shared" si="196"/>
        <v>x</v>
      </c>
      <c r="L138" s="111" t="str">
        <f t="shared" si="196"/>
        <v>x</v>
      </c>
      <c r="M138" s="111" t="str">
        <f t="shared" si="196"/>
        <v>x</v>
      </c>
      <c r="N138" s="111" t="str">
        <f t="shared" si="196"/>
        <v>x</v>
      </c>
      <c r="O138" s="111" t="str">
        <f t="shared" si="196"/>
        <v>x</v>
      </c>
      <c r="P138" s="111" t="str">
        <f t="shared" si="196"/>
        <v>x</v>
      </c>
      <c r="Q138" s="111" t="str">
        <f t="shared" si="196"/>
        <v>x</v>
      </c>
      <c r="R138" s="111" t="str">
        <f t="shared" si="196"/>
        <v>x</v>
      </c>
      <c r="S138" s="111" t="str">
        <f t="shared" si="196"/>
        <v>x</v>
      </c>
      <c r="T138" s="111" t="str">
        <f t="shared" si="196"/>
        <v>x</v>
      </c>
      <c r="U138" s="111" t="str">
        <f t="shared" si="196"/>
        <v>x</v>
      </c>
      <c r="V138" s="111" t="str">
        <f t="shared" si="196"/>
        <v>x</v>
      </c>
      <c r="W138" s="111" t="str">
        <f t="shared" si="196"/>
        <v>x</v>
      </c>
      <c r="X138" s="111" t="str">
        <f t="shared" si="196"/>
        <v>x</v>
      </c>
      <c r="Y138" s="111" t="str">
        <f t="shared" si="196"/>
        <v>x</v>
      </c>
      <c r="Z138" s="111" t="str">
        <f t="shared" si="196"/>
        <v>x</v>
      </c>
    </row>
    <row r="139" spans="4:26" customFormat="1" x14ac:dyDescent="0.15">
      <c r="D139" s="111"/>
      <c r="E139" s="111"/>
      <c r="F139" s="111"/>
      <c r="G139" s="111"/>
      <c r="H139" s="111"/>
      <c r="I139" s="111"/>
      <c r="J139" s="111"/>
      <c r="K139" s="111"/>
      <c r="L139" s="111"/>
      <c r="M139" s="111"/>
      <c r="N139" s="111"/>
      <c r="O139" s="111"/>
      <c r="P139" s="111"/>
      <c r="Q139" s="111"/>
      <c r="R139" s="111"/>
      <c r="S139" s="111"/>
      <c r="T139" s="111"/>
      <c r="U139" s="111"/>
      <c r="V139" s="111"/>
      <c r="W139" s="111"/>
      <c r="X139" s="111"/>
      <c r="Y139" s="111"/>
      <c r="Z139" s="111"/>
    </row>
    <row r="140" spans="4:26" customFormat="1" x14ac:dyDescent="0.15">
      <c r="D140" s="111"/>
      <c r="E140" s="111"/>
      <c r="F140" s="111"/>
      <c r="G140" s="111"/>
      <c r="H140" s="111"/>
      <c r="I140" s="111"/>
      <c r="J140" s="111"/>
      <c r="K140" s="111"/>
      <c r="L140" s="111"/>
      <c r="M140" s="111"/>
      <c r="N140" s="111"/>
      <c r="O140" s="111"/>
      <c r="P140" s="111"/>
      <c r="Q140" s="111"/>
      <c r="R140" s="111"/>
      <c r="S140" s="111"/>
      <c r="T140" s="111"/>
      <c r="U140" s="111"/>
      <c r="V140" s="111"/>
      <c r="W140" s="111"/>
      <c r="X140" s="111"/>
      <c r="Y140" s="111"/>
      <c r="Z140" s="111"/>
    </row>
    <row r="141" spans="4:26" customFormat="1" x14ac:dyDescent="0.15">
      <c r="D141" s="111"/>
      <c r="E141" s="111"/>
      <c r="F141" s="111"/>
      <c r="G141" s="111"/>
      <c r="H141" s="111"/>
      <c r="I141" s="111"/>
      <c r="J141" s="111"/>
      <c r="K141" s="111"/>
      <c r="L141" s="111"/>
      <c r="M141" s="111"/>
      <c r="N141" s="111"/>
      <c r="O141" s="111"/>
      <c r="P141" s="111"/>
      <c r="Q141" s="111"/>
      <c r="R141" s="111"/>
      <c r="S141" s="111"/>
      <c r="T141" s="111"/>
      <c r="U141" s="111"/>
      <c r="V141" s="111"/>
      <c r="W141" s="111"/>
      <c r="X141" s="111"/>
      <c r="Y141" s="111"/>
      <c r="Z141" s="111"/>
    </row>
    <row r="142" spans="4:26" customFormat="1" x14ac:dyDescent="0.15">
      <c r="D142" s="111"/>
      <c r="E142" s="111"/>
      <c r="F142" s="111"/>
      <c r="G142" s="111"/>
      <c r="H142" s="111"/>
      <c r="I142" s="111"/>
      <c r="J142" s="111"/>
      <c r="K142" s="111"/>
      <c r="L142" s="111"/>
      <c r="M142" s="111"/>
      <c r="N142" s="111"/>
      <c r="O142" s="111"/>
      <c r="P142" s="111"/>
      <c r="Q142" s="111"/>
      <c r="R142" s="111"/>
      <c r="S142" s="111"/>
      <c r="T142" s="111"/>
      <c r="U142" s="111"/>
      <c r="V142" s="111"/>
      <c r="W142" s="111"/>
      <c r="X142" s="111"/>
      <c r="Y142" s="111"/>
      <c r="Z142" s="111"/>
    </row>
    <row r="143" spans="4:26" customFormat="1" x14ac:dyDescent="0.15">
      <c r="D143" s="111"/>
      <c r="E143" s="111"/>
      <c r="F143" s="111"/>
      <c r="G143" s="111"/>
      <c r="H143" s="111"/>
      <c r="I143" s="111"/>
      <c r="J143" s="111"/>
      <c r="K143" s="111"/>
      <c r="L143" s="111"/>
      <c r="M143" s="111"/>
      <c r="N143" s="111"/>
      <c r="O143" s="111"/>
      <c r="P143" s="111"/>
      <c r="Q143" s="111"/>
      <c r="R143" s="111"/>
      <c r="S143" s="111"/>
      <c r="T143" s="111"/>
      <c r="U143" s="111"/>
      <c r="V143" s="111"/>
      <c r="W143" s="111"/>
      <c r="X143" s="111"/>
      <c r="Y143" s="111"/>
      <c r="Z143" s="111"/>
    </row>
    <row r="144" spans="4:26" customFormat="1" x14ac:dyDescent="0.15">
      <c r="D144" s="111"/>
      <c r="E144" s="111"/>
      <c r="F144" s="111"/>
      <c r="G144" s="111"/>
      <c r="H144" s="111"/>
      <c r="I144" s="111"/>
      <c r="J144" s="111"/>
      <c r="K144" s="111"/>
      <c r="L144" s="111"/>
      <c r="M144" s="111"/>
      <c r="N144" s="111"/>
      <c r="O144" s="111"/>
      <c r="P144" s="111"/>
      <c r="Q144" s="111"/>
      <c r="R144" s="111"/>
      <c r="S144" s="111"/>
      <c r="T144" s="111"/>
      <c r="U144" s="111"/>
      <c r="V144" s="111"/>
      <c r="W144" s="111"/>
      <c r="X144" s="111"/>
      <c r="Y144" s="111"/>
      <c r="Z144" s="111"/>
    </row>
    <row r="145" spans="4:26" customFormat="1" x14ac:dyDescent="0.15">
      <c r="D145" s="111"/>
      <c r="E145" s="111"/>
      <c r="F145" s="111"/>
      <c r="G145" s="111"/>
      <c r="H145" s="111"/>
      <c r="I145" s="111"/>
      <c r="J145" s="111"/>
      <c r="K145" s="111"/>
      <c r="L145" s="111"/>
      <c r="M145" s="111"/>
      <c r="N145" s="111"/>
      <c r="O145" s="111"/>
      <c r="P145" s="111"/>
      <c r="Q145" s="111"/>
      <c r="R145" s="111"/>
      <c r="S145" s="111"/>
      <c r="T145" s="111"/>
      <c r="U145" s="111"/>
      <c r="V145" s="111"/>
      <c r="W145" s="111"/>
      <c r="X145" s="111"/>
      <c r="Y145" s="111"/>
      <c r="Z145" s="111"/>
    </row>
    <row r="146" spans="4:26" customFormat="1" x14ac:dyDescent="0.15">
      <c r="D146" s="111"/>
      <c r="E146" s="111"/>
      <c r="F146" s="111"/>
      <c r="G146" s="111"/>
      <c r="H146" s="111"/>
      <c r="I146" s="111"/>
      <c r="J146" s="111"/>
      <c r="K146" s="111"/>
      <c r="L146" s="111"/>
      <c r="M146" s="111"/>
      <c r="N146" s="111"/>
      <c r="O146" s="111"/>
      <c r="P146" s="111"/>
      <c r="Q146" s="111"/>
      <c r="R146" s="111"/>
      <c r="S146" s="111"/>
      <c r="T146" s="111"/>
      <c r="U146" s="111"/>
      <c r="V146" s="111"/>
      <c r="W146" s="111"/>
      <c r="X146" s="111"/>
      <c r="Y146" s="111"/>
      <c r="Z146" s="111"/>
    </row>
    <row r="147" spans="4:26" customFormat="1" x14ac:dyDescent="0.15">
      <c r="D147" s="111"/>
      <c r="E147" s="111"/>
      <c r="F147" s="111"/>
      <c r="G147" s="111"/>
      <c r="H147" s="111"/>
      <c r="I147" s="111"/>
      <c r="J147" s="111"/>
      <c r="K147" s="111"/>
      <c r="L147" s="111"/>
      <c r="M147" s="111"/>
      <c r="N147" s="111"/>
      <c r="O147" s="111"/>
      <c r="P147" s="111"/>
      <c r="Q147" s="111"/>
      <c r="R147" s="111"/>
      <c r="S147" s="111"/>
      <c r="T147" s="111"/>
      <c r="U147" s="111"/>
      <c r="V147" s="111"/>
      <c r="W147" s="111"/>
      <c r="X147" s="111"/>
      <c r="Y147" s="111"/>
      <c r="Z147" s="111"/>
    </row>
    <row r="148" spans="4:26" customFormat="1" x14ac:dyDescent="0.15"/>
    <row r="149" spans="4:26" customFormat="1" x14ac:dyDescent="0.15"/>
    <row r="150" spans="4:26" customFormat="1" x14ac:dyDescent="0.15"/>
    <row r="151" spans="4:26" customFormat="1" x14ac:dyDescent="0.15"/>
    <row r="152" spans="4:26" customFormat="1" x14ac:dyDescent="0.15"/>
    <row r="153" spans="4:26" customFormat="1" x14ac:dyDescent="0.15"/>
    <row r="154" spans="4:26" customFormat="1" x14ac:dyDescent="0.15"/>
    <row r="155" spans="4:26" customFormat="1" x14ac:dyDescent="0.15"/>
    <row r="156" spans="4:26" customFormat="1" x14ac:dyDescent="0.15"/>
    <row r="157" spans="4:26" customFormat="1" x14ac:dyDescent="0.15"/>
    <row r="158" spans="4:26" customFormat="1" x14ac:dyDescent="0.15"/>
    <row r="159" spans="4:26" customFormat="1" x14ac:dyDescent="0.15"/>
    <row r="160" spans="4:26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  <row r="188" customFormat="1" x14ac:dyDescent="0.15"/>
    <row r="189" customFormat="1" x14ac:dyDescent="0.15"/>
    <row r="190" customFormat="1" x14ac:dyDescent="0.15"/>
    <row r="191" customFormat="1" x14ac:dyDescent="0.15"/>
    <row r="192" customFormat="1" x14ac:dyDescent="0.15"/>
    <row r="193" customFormat="1" x14ac:dyDescent="0.15"/>
    <row r="194" customFormat="1" x14ac:dyDescent="0.15"/>
    <row r="195" customFormat="1" x14ac:dyDescent="0.15"/>
    <row r="196" customFormat="1" x14ac:dyDescent="0.15"/>
    <row r="197" customFormat="1" x14ac:dyDescent="0.15"/>
    <row r="198" customFormat="1" x14ac:dyDescent="0.15"/>
    <row r="199" customFormat="1" x14ac:dyDescent="0.15"/>
    <row r="200" customFormat="1" x14ac:dyDescent="0.15"/>
    <row r="201" customFormat="1" x14ac:dyDescent="0.15"/>
    <row r="202" customFormat="1" x14ac:dyDescent="0.15"/>
    <row r="203" customFormat="1" x14ac:dyDescent="0.15"/>
    <row r="204" customFormat="1" x14ac:dyDescent="0.15"/>
    <row r="205" customFormat="1" x14ac:dyDescent="0.15"/>
    <row r="206" customFormat="1" x14ac:dyDescent="0.15"/>
    <row r="207" customFormat="1" x14ac:dyDescent="0.15"/>
    <row r="208" customFormat="1" x14ac:dyDescent="0.15"/>
    <row r="209" customFormat="1" x14ac:dyDescent="0.15"/>
    <row r="210" customFormat="1" x14ac:dyDescent="0.15"/>
    <row r="211" customFormat="1" x14ac:dyDescent="0.15"/>
    <row r="212" customFormat="1" x14ac:dyDescent="0.15"/>
    <row r="213" customFormat="1" x14ac:dyDescent="0.15"/>
    <row r="214" customFormat="1" x14ac:dyDescent="0.15"/>
    <row r="215" customFormat="1" x14ac:dyDescent="0.15"/>
    <row r="216" customFormat="1" x14ac:dyDescent="0.15"/>
    <row r="217" customFormat="1" x14ac:dyDescent="0.15"/>
    <row r="218" customFormat="1" x14ac:dyDescent="0.15"/>
    <row r="219" customFormat="1" x14ac:dyDescent="0.15"/>
    <row r="220" customFormat="1" x14ac:dyDescent="0.15"/>
    <row r="221" customFormat="1" x14ac:dyDescent="0.15"/>
    <row r="222" customFormat="1" x14ac:dyDescent="0.15"/>
    <row r="223" customFormat="1" x14ac:dyDescent="0.15"/>
    <row r="224" customFormat="1" x14ac:dyDescent="0.15"/>
    <row r="225" customFormat="1" x14ac:dyDescent="0.15"/>
    <row r="226" customFormat="1" x14ac:dyDescent="0.15"/>
    <row r="227" customFormat="1" x14ac:dyDescent="0.15"/>
    <row r="228" customFormat="1" x14ac:dyDescent="0.15"/>
    <row r="229" customFormat="1" x14ac:dyDescent="0.15"/>
    <row r="230" customFormat="1" x14ac:dyDescent="0.15"/>
    <row r="231" customFormat="1" x14ac:dyDescent="0.15"/>
    <row r="232" customFormat="1" x14ac:dyDescent="0.15"/>
    <row r="233" customFormat="1" x14ac:dyDescent="0.15"/>
    <row r="234" customFormat="1" x14ac:dyDescent="0.15"/>
    <row r="235" customFormat="1" x14ac:dyDescent="0.15"/>
    <row r="236" customFormat="1" x14ac:dyDescent="0.15"/>
    <row r="237" customFormat="1" x14ac:dyDescent="0.15"/>
    <row r="238" customFormat="1" x14ac:dyDescent="0.15"/>
    <row r="239" customFormat="1" x14ac:dyDescent="0.15"/>
    <row r="240" customFormat="1" x14ac:dyDescent="0.15"/>
    <row r="241" customFormat="1" x14ac:dyDescent="0.15"/>
    <row r="242" customFormat="1" x14ac:dyDescent="0.15"/>
    <row r="243" customFormat="1" x14ac:dyDescent="0.15"/>
    <row r="244" customFormat="1" x14ac:dyDescent="0.15"/>
    <row r="245" customFormat="1" x14ac:dyDescent="0.15"/>
    <row r="246" customFormat="1" x14ac:dyDescent="0.15"/>
    <row r="247" customFormat="1" x14ac:dyDescent="0.15"/>
    <row r="248" customFormat="1" x14ac:dyDescent="0.15"/>
    <row r="249" customFormat="1" x14ac:dyDescent="0.15"/>
    <row r="250" customFormat="1" x14ac:dyDescent="0.15"/>
    <row r="251" customFormat="1" x14ac:dyDescent="0.15"/>
    <row r="252" customFormat="1" x14ac:dyDescent="0.15"/>
    <row r="253" customFormat="1" x14ac:dyDescent="0.15"/>
    <row r="254" customFormat="1" x14ac:dyDescent="0.15"/>
    <row r="255" customFormat="1" x14ac:dyDescent="0.15"/>
    <row r="256" customFormat="1" x14ac:dyDescent="0.15"/>
    <row r="257" customFormat="1" x14ac:dyDescent="0.15"/>
    <row r="258" customFormat="1" x14ac:dyDescent="0.15"/>
    <row r="259" customFormat="1" x14ac:dyDescent="0.15"/>
    <row r="260" customFormat="1" x14ac:dyDescent="0.15"/>
    <row r="261" customFormat="1" x14ac:dyDescent="0.15"/>
    <row r="262" customFormat="1" x14ac:dyDescent="0.15"/>
    <row r="263" customFormat="1" x14ac:dyDescent="0.15"/>
    <row r="264" customFormat="1" x14ac:dyDescent="0.15"/>
    <row r="265" customFormat="1" x14ac:dyDescent="0.15"/>
    <row r="266" customFormat="1" x14ac:dyDescent="0.15"/>
    <row r="267" customFormat="1" x14ac:dyDescent="0.15"/>
    <row r="268" customFormat="1" x14ac:dyDescent="0.15"/>
    <row r="269" customFormat="1" x14ac:dyDescent="0.15"/>
    <row r="270" customFormat="1" x14ac:dyDescent="0.15"/>
    <row r="271" customFormat="1" x14ac:dyDescent="0.15"/>
    <row r="272" customFormat="1" x14ac:dyDescent="0.15"/>
    <row r="273" customFormat="1" x14ac:dyDescent="0.15"/>
    <row r="274" customFormat="1" x14ac:dyDescent="0.15"/>
    <row r="275" customFormat="1" x14ac:dyDescent="0.15"/>
    <row r="276" customFormat="1" x14ac:dyDescent="0.15"/>
    <row r="277" customFormat="1" x14ac:dyDescent="0.15"/>
    <row r="278" customFormat="1" x14ac:dyDescent="0.15"/>
    <row r="279" customFormat="1" x14ac:dyDescent="0.15"/>
    <row r="280" customFormat="1" x14ac:dyDescent="0.15"/>
    <row r="281" customFormat="1" x14ac:dyDescent="0.15"/>
    <row r="282" customFormat="1" x14ac:dyDescent="0.15"/>
    <row r="283" customFormat="1" x14ac:dyDescent="0.15"/>
    <row r="284" customFormat="1" x14ac:dyDescent="0.15"/>
    <row r="285" customFormat="1" x14ac:dyDescent="0.15"/>
    <row r="286" customFormat="1" x14ac:dyDescent="0.15"/>
    <row r="287" customFormat="1" x14ac:dyDescent="0.15"/>
    <row r="288" customFormat="1" x14ac:dyDescent="0.15"/>
    <row r="289" customFormat="1" x14ac:dyDescent="0.15"/>
    <row r="290" customFormat="1" x14ac:dyDescent="0.15"/>
    <row r="291" customFormat="1" x14ac:dyDescent="0.15"/>
    <row r="292" customFormat="1" x14ac:dyDescent="0.15"/>
    <row r="293" customFormat="1" x14ac:dyDescent="0.15"/>
    <row r="294" customFormat="1" x14ac:dyDescent="0.15"/>
    <row r="295" customFormat="1" x14ac:dyDescent="0.15"/>
    <row r="296" customFormat="1" x14ac:dyDescent="0.15"/>
    <row r="297" customFormat="1" x14ac:dyDescent="0.15"/>
    <row r="298" customFormat="1" x14ac:dyDescent="0.15"/>
    <row r="299" customFormat="1" x14ac:dyDescent="0.15"/>
    <row r="300" customFormat="1" x14ac:dyDescent="0.15"/>
    <row r="301" customFormat="1" x14ac:dyDescent="0.15"/>
    <row r="302" customFormat="1" x14ac:dyDescent="0.15"/>
    <row r="303" customFormat="1" x14ac:dyDescent="0.15"/>
    <row r="304" customFormat="1" x14ac:dyDescent="0.15"/>
    <row r="305" customFormat="1" x14ac:dyDescent="0.15"/>
    <row r="306" customFormat="1" x14ac:dyDescent="0.15"/>
    <row r="307" customFormat="1" x14ac:dyDescent="0.15"/>
    <row r="308" customFormat="1" x14ac:dyDescent="0.15"/>
    <row r="309" customFormat="1" x14ac:dyDescent="0.15"/>
    <row r="310" customFormat="1" x14ac:dyDescent="0.15"/>
    <row r="311" customFormat="1" x14ac:dyDescent="0.15"/>
    <row r="312" customFormat="1" x14ac:dyDescent="0.15"/>
    <row r="313" customFormat="1" x14ac:dyDescent="0.15"/>
    <row r="314" customFormat="1" x14ac:dyDescent="0.15"/>
    <row r="315" customFormat="1" x14ac:dyDescent="0.15"/>
    <row r="316" customFormat="1" x14ac:dyDescent="0.15"/>
    <row r="317" customFormat="1" x14ac:dyDescent="0.15"/>
    <row r="318" customFormat="1" x14ac:dyDescent="0.15"/>
    <row r="319" customFormat="1" x14ac:dyDescent="0.15"/>
    <row r="320" customFormat="1" x14ac:dyDescent="0.15"/>
    <row r="321" customFormat="1" x14ac:dyDescent="0.15"/>
    <row r="322" customFormat="1" x14ac:dyDescent="0.15"/>
    <row r="323" customFormat="1" x14ac:dyDescent="0.15"/>
    <row r="324" customFormat="1" x14ac:dyDescent="0.15"/>
    <row r="325" customFormat="1" x14ac:dyDescent="0.15"/>
    <row r="326" customFormat="1" x14ac:dyDescent="0.15"/>
    <row r="327" customFormat="1" x14ac:dyDescent="0.15"/>
    <row r="328" customFormat="1" x14ac:dyDescent="0.15"/>
    <row r="329" customFormat="1" x14ac:dyDescent="0.15"/>
    <row r="330" customFormat="1" x14ac:dyDescent="0.15"/>
    <row r="331" customFormat="1" x14ac:dyDescent="0.15"/>
    <row r="332" customFormat="1" x14ac:dyDescent="0.15"/>
    <row r="333" customFormat="1" x14ac:dyDescent="0.15"/>
    <row r="334" customFormat="1" x14ac:dyDescent="0.15"/>
    <row r="335" customFormat="1" x14ac:dyDescent="0.15"/>
    <row r="336" customFormat="1" x14ac:dyDescent="0.15"/>
    <row r="337" customFormat="1" x14ac:dyDescent="0.15"/>
    <row r="338" customFormat="1" x14ac:dyDescent="0.15"/>
    <row r="339" customFormat="1" x14ac:dyDescent="0.15"/>
    <row r="340" customFormat="1" x14ac:dyDescent="0.15"/>
    <row r="341" customFormat="1" x14ac:dyDescent="0.15"/>
    <row r="342" customFormat="1" x14ac:dyDescent="0.15"/>
    <row r="343" customFormat="1" x14ac:dyDescent="0.15"/>
    <row r="344" customFormat="1" x14ac:dyDescent="0.15"/>
    <row r="345" customFormat="1" x14ac:dyDescent="0.15"/>
    <row r="346" customFormat="1" x14ac:dyDescent="0.15"/>
    <row r="347" customFormat="1" x14ac:dyDescent="0.15"/>
    <row r="348" customFormat="1" x14ac:dyDescent="0.15"/>
    <row r="349" customFormat="1" x14ac:dyDescent="0.15"/>
    <row r="350" customFormat="1" x14ac:dyDescent="0.15"/>
    <row r="351" customFormat="1" x14ac:dyDescent="0.15"/>
    <row r="352" customFormat="1" x14ac:dyDescent="0.15"/>
    <row r="353" customFormat="1" x14ac:dyDescent="0.15"/>
    <row r="354" customFormat="1" x14ac:dyDescent="0.15"/>
    <row r="355" customFormat="1" x14ac:dyDescent="0.15"/>
    <row r="356" customFormat="1" x14ac:dyDescent="0.15"/>
    <row r="357" customFormat="1" x14ac:dyDescent="0.15"/>
    <row r="358" customFormat="1" x14ac:dyDescent="0.15"/>
    <row r="359" customFormat="1" x14ac:dyDescent="0.15"/>
    <row r="360" customFormat="1" x14ac:dyDescent="0.15"/>
    <row r="361" customFormat="1" x14ac:dyDescent="0.15"/>
    <row r="362" customFormat="1" x14ac:dyDescent="0.15"/>
    <row r="363" customFormat="1" x14ac:dyDescent="0.15"/>
    <row r="364" customFormat="1" x14ac:dyDescent="0.15"/>
    <row r="365" customFormat="1" x14ac:dyDescent="0.15"/>
    <row r="366" customFormat="1" x14ac:dyDescent="0.15"/>
    <row r="367" customFormat="1" x14ac:dyDescent="0.15"/>
    <row r="368" customFormat="1" x14ac:dyDescent="0.15"/>
    <row r="369" customFormat="1" x14ac:dyDescent="0.15"/>
    <row r="370" customFormat="1" x14ac:dyDescent="0.15"/>
    <row r="371" customFormat="1" x14ac:dyDescent="0.15"/>
    <row r="372" customFormat="1" x14ac:dyDescent="0.15"/>
    <row r="373" customFormat="1" x14ac:dyDescent="0.15"/>
    <row r="374" customFormat="1" x14ac:dyDescent="0.15"/>
    <row r="375" customFormat="1" x14ac:dyDescent="0.15"/>
    <row r="376" customFormat="1" x14ac:dyDescent="0.15"/>
    <row r="377" customFormat="1" x14ac:dyDescent="0.15"/>
    <row r="378" customFormat="1" x14ac:dyDescent="0.15"/>
    <row r="379" customFormat="1" x14ac:dyDescent="0.15"/>
    <row r="380" customFormat="1" x14ac:dyDescent="0.15"/>
    <row r="381" customFormat="1" x14ac:dyDescent="0.15"/>
    <row r="382" customFormat="1" x14ac:dyDescent="0.15"/>
    <row r="383" customFormat="1" x14ac:dyDescent="0.15"/>
    <row r="384" customFormat="1" x14ac:dyDescent="0.15"/>
    <row r="385" customFormat="1" x14ac:dyDescent="0.15"/>
    <row r="386" customFormat="1" x14ac:dyDescent="0.15"/>
    <row r="387" customFormat="1" x14ac:dyDescent="0.15"/>
    <row r="388" customFormat="1" x14ac:dyDescent="0.15"/>
    <row r="389" customFormat="1" x14ac:dyDescent="0.15"/>
    <row r="390" customFormat="1" x14ac:dyDescent="0.15"/>
    <row r="391" customFormat="1" x14ac:dyDescent="0.15"/>
    <row r="392" customFormat="1" x14ac:dyDescent="0.15"/>
    <row r="393" customFormat="1" x14ac:dyDescent="0.15"/>
    <row r="394" customFormat="1" x14ac:dyDescent="0.15"/>
    <row r="395" customFormat="1" x14ac:dyDescent="0.15"/>
    <row r="396" customFormat="1" x14ac:dyDescent="0.15"/>
    <row r="397" customFormat="1" x14ac:dyDescent="0.15"/>
    <row r="398" customFormat="1" x14ac:dyDescent="0.15"/>
    <row r="399" customFormat="1" x14ac:dyDescent="0.15"/>
    <row r="400" customFormat="1" x14ac:dyDescent="0.15"/>
    <row r="401" customFormat="1" x14ac:dyDescent="0.15"/>
    <row r="402" customFormat="1" x14ac:dyDescent="0.15"/>
    <row r="403" customFormat="1" x14ac:dyDescent="0.15"/>
    <row r="404" customFormat="1" x14ac:dyDescent="0.15"/>
    <row r="405" customFormat="1" x14ac:dyDescent="0.15"/>
    <row r="406" customFormat="1" x14ac:dyDescent="0.15"/>
    <row r="407" customFormat="1" x14ac:dyDescent="0.15"/>
    <row r="408" customFormat="1" x14ac:dyDescent="0.15"/>
    <row r="409" customFormat="1" x14ac:dyDescent="0.15"/>
    <row r="410" customFormat="1" x14ac:dyDescent="0.15"/>
    <row r="411" customFormat="1" x14ac:dyDescent="0.15"/>
    <row r="412" customFormat="1" x14ac:dyDescent="0.15"/>
    <row r="413" customFormat="1" x14ac:dyDescent="0.15"/>
    <row r="414" customFormat="1" x14ac:dyDescent="0.15"/>
    <row r="415" customFormat="1" x14ac:dyDescent="0.15"/>
    <row r="416" customFormat="1" x14ac:dyDescent="0.15"/>
    <row r="417" customFormat="1" x14ac:dyDescent="0.15"/>
    <row r="418" customFormat="1" x14ac:dyDescent="0.15"/>
    <row r="419" customFormat="1" x14ac:dyDescent="0.15"/>
    <row r="420" customFormat="1" x14ac:dyDescent="0.15"/>
    <row r="421" customFormat="1" x14ac:dyDescent="0.15"/>
    <row r="422" customFormat="1" x14ac:dyDescent="0.15"/>
    <row r="423" customFormat="1" x14ac:dyDescent="0.15"/>
    <row r="424" customFormat="1" x14ac:dyDescent="0.15"/>
    <row r="425" customFormat="1" x14ac:dyDescent="0.15"/>
    <row r="426" customFormat="1" x14ac:dyDescent="0.15"/>
    <row r="427" customFormat="1" x14ac:dyDescent="0.15"/>
    <row r="428" customFormat="1" x14ac:dyDescent="0.15"/>
    <row r="429" customFormat="1" x14ac:dyDescent="0.15"/>
    <row r="430" customFormat="1" x14ac:dyDescent="0.15"/>
    <row r="431" customFormat="1" x14ac:dyDescent="0.15"/>
    <row r="432" customFormat="1" x14ac:dyDescent="0.15"/>
    <row r="433" customFormat="1" x14ac:dyDescent="0.15"/>
    <row r="434" customFormat="1" x14ac:dyDescent="0.15"/>
    <row r="435" customFormat="1" x14ac:dyDescent="0.15"/>
    <row r="436" customFormat="1" x14ac:dyDescent="0.15"/>
    <row r="437" customFormat="1" x14ac:dyDescent="0.15"/>
    <row r="438" customFormat="1" x14ac:dyDescent="0.15"/>
    <row r="439" customFormat="1" x14ac:dyDescent="0.15"/>
    <row r="440" customFormat="1" x14ac:dyDescent="0.15"/>
    <row r="441" customFormat="1" x14ac:dyDescent="0.15"/>
    <row r="442" customFormat="1" x14ac:dyDescent="0.15"/>
    <row r="443" customFormat="1" x14ac:dyDescent="0.15"/>
    <row r="444" customFormat="1" x14ac:dyDescent="0.15"/>
    <row r="445" customFormat="1" x14ac:dyDescent="0.15"/>
    <row r="446" customFormat="1" x14ac:dyDescent="0.15"/>
    <row r="447" customFormat="1" x14ac:dyDescent="0.15"/>
    <row r="448" customFormat="1" x14ac:dyDescent="0.15"/>
    <row r="449" customFormat="1" x14ac:dyDescent="0.15"/>
    <row r="450" customFormat="1" x14ac:dyDescent="0.15"/>
    <row r="451" customFormat="1" x14ac:dyDescent="0.15"/>
    <row r="452" customFormat="1" x14ac:dyDescent="0.15"/>
    <row r="453" customFormat="1" x14ac:dyDescent="0.15"/>
    <row r="454" customFormat="1" x14ac:dyDescent="0.15"/>
    <row r="455" customFormat="1" x14ac:dyDescent="0.15"/>
    <row r="456" customFormat="1" x14ac:dyDescent="0.15"/>
    <row r="457" customFormat="1" x14ac:dyDescent="0.15"/>
    <row r="458" customFormat="1" x14ac:dyDescent="0.15"/>
    <row r="459" customFormat="1" x14ac:dyDescent="0.15"/>
    <row r="460" customFormat="1" x14ac:dyDescent="0.15"/>
    <row r="461" customFormat="1" x14ac:dyDescent="0.15"/>
    <row r="462" customFormat="1" x14ac:dyDescent="0.15"/>
    <row r="463" customFormat="1" x14ac:dyDescent="0.15"/>
    <row r="464" customFormat="1" x14ac:dyDescent="0.15"/>
    <row r="465" customFormat="1" x14ac:dyDescent="0.15"/>
    <row r="466" customFormat="1" x14ac:dyDescent="0.15"/>
    <row r="467" customFormat="1" x14ac:dyDescent="0.15"/>
    <row r="468" customFormat="1" x14ac:dyDescent="0.15"/>
    <row r="469" customFormat="1" x14ac:dyDescent="0.15"/>
    <row r="470" customFormat="1" x14ac:dyDescent="0.15"/>
    <row r="471" customFormat="1" x14ac:dyDescent="0.15"/>
    <row r="472" customFormat="1" x14ac:dyDescent="0.15"/>
    <row r="473" customFormat="1" x14ac:dyDescent="0.15"/>
    <row r="474" customFormat="1" x14ac:dyDescent="0.15"/>
    <row r="475" customFormat="1" x14ac:dyDescent="0.15"/>
    <row r="476" customFormat="1" x14ac:dyDescent="0.15"/>
    <row r="477" customFormat="1" x14ac:dyDescent="0.15"/>
    <row r="478" customFormat="1" x14ac:dyDescent="0.15"/>
    <row r="479" customFormat="1" x14ac:dyDescent="0.15"/>
    <row r="480" customFormat="1" x14ac:dyDescent="0.15"/>
    <row r="481" customFormat="1" x14ac:dyDescent="0.15"/>
    <row r="482" customFormat="1" x14ac:dyDescent="0.15"/>
    <row r="483" customFormat="1" x14ac:dyDescent="0.15"/>
    <row r="484" customFormat="1" x14ac:dyDescent="0.15"/>
    <row r="485" customFormat="1" x14ac:dyDescent="0.15"/>
    <row r="486" customFormat="1" x14ac:dyDescent="0.15"/>
    <row r="487" customFormat="1" x14ac:dyDescent="0.15"/>
    <row r="488" customFormat="1" x14ac:dyDescent="0.15"/>
    <row r="489" customFormat="1" x14ac:dyDescent="0.15"/>
    <row r="490" customFormat="1" x14ac:dyDescent="0.15"/>
    <row r="491" customFormat="1" x14ac:dyDescent="0.15"/>
    <row r="492" customFormat="1" x14ac:dyDescent="0.15"/>
    <row r="493" customFormat="1" x14ac:dyDescent="0.15"/>
    <row r="494" customFormat="1" x14ac:dyDescent="0.15"/>
    <row r="495" customFormat="1" x14ac:dyDescent="0.15"/>
    <row r="496" customFormat="1" x14ac:dyDescent="0.15"/>
    <row r="497" customFormat="1" x14ac:dyDescent="0.15"/>
    <row r="498" customFormat="1" x14ac:dyDescent="0.15"/>
    <row r="499" customFormat="1" x14ac:dyDescent="0.15"/>
    <row r="500" customFormat="1" x14ac:dyDescent="0.15"/>
    <row r="501" customFormat="1" x14ac:dyDescent="0.15"/>
    <row r="502" customFormat="1" x14ac:dyDescent="0.15"/>
    <row r="503" customFormat="1" x14ac:dyDescent="0.15"/>
    <row r="504" customFormat="1" x14ac:dyDescent="0.15"/>
    <row r="505" customFormat="1" x14ac:dyDescent="0.15"/>
    <row r="506" customFormat="1" x14ac:dyDescent="0.15"/>
    <row r="507" customFormat="1" x14ac:dyDescent="0.15"/>
    <row r="508" customFormat="1" x14ac:dyDescent="0.15"/>
    <row r="509" customFormat="1" x14ac:dyDescent="0.15"/>
    <row r="510" customFormat="1" x14ac:dyDescent="0.15"/>
    <row r="511" customFormat="1" x14ac:dyDescent="0.15"/>
    <row r="512" customFormat="1" x14ac:dyDescent="0.15"/>
    <row r="513" customFormat="1" x14ac:dyDescent="0.15"/>
    <row r="514" customFormat="1" x14ac:dyDescent="0.15"/>
    <row r="515" customFormat="1" x14ac:dyDescent="0.15"/>
    <row r="516" customFormat="1" x14ac:dyDescent="0.15"/>
    <row r="517" customFormat="1" x14ac:dyDescent="0.15"/>
    <row r="518" customFormat="1" x14ac:dyDescent="0.15"/>
    <row r="519" customFormat="1" x14ac:dyDescent="0.15"/>
    <row r="520" customFormat="1" x14ac:dyDescent="0.15"/>
    <row r="521" customFormat="1" x14ac:dyDescent="0.15"/>
    <row r="522" customFormat="1" x14ac:dyDescent="0.15"/>
    <row r="523" customFormat="1" x14ac:dyDescent="0.15"/>
    <row r="524" customFormat="1" x14ac:dyDescent="0.15"/>
    <row r="525" customFormat="1" x14ac:dyDescent="0.15"/>
    <row r="526" customFormat="1" x14ac:dyDescent="0.15"/>
    <row r="527" customFormat="1" x14ac:dyDescent="0.15"/>
    <row r="528" customFormat="1" x14ac:dyDescent="0.15"/>
    <row r="529" customFormat="1" x14ac:dyDescent="0.15"/>
    <row r="530" customFormat="1" x14ac:dyDescent="0.15"/>
    <row r="531" customFormat="1" x14ac:dyDescent="0.15"/>
    <row r="532" customFormat="1" x14ac:dyDescent="0.15"/>
    <row r="533" customFormat="1" x14ac:dyDescent="0.15"/>
    <row r="534" customFormat="1" x14ac:dyDescent="0.15"/>
    <row r="535" customFormat="1" x14ac:dyDescent="0.15"/>
    <row r="536" customFormat="1" x14ac:dyDescent="0.15"/>
    <row r="537" customFormat="1" x14ac:dyDescent="0.15"/>
    <row r="538" customFormat="1" x14ac:dyDescent="0.15"/>
    <row r="539" customFormat="1" x14ac:dyDescent="0.15"/>
    <row r="540" customFormat="1" x14ac:dyDescent="0.15"/>
    <row r="541" customFormat="1" x14ac:dyDescent="0.15"/>
    <row r="542" customFormat="1" x14ac:dyDescent="0.15"/>
    <row r="543" customFormat="1" x14ac:dyDescent="0.15"/>
    <row r="544" customFormat="1" x14ac:dyDescent="0.15"/>
    <row r="545" customFormat="1" x14ac:dyDescent="0.15"/>
    <row r="546" customFormat="1" x14ac:dyDescent="0.15"/>
    <row r="547" customFormat="1" x14ac:dyDescent="0.15"/>
    <row r="548" customFormat="1" x14ac:dyDescent="0.15"/>
    <row r="549" customFormat="1" x14ac:dyDescent="0.15"/>
    <row r="550" customFormat="1" x14ac:dyDescent="0.15"/>
    <row r="551" customFormat="1" x14ac:dyDescent="0.15"/>
    <row r="552" customFormat="1" x14ac:dyDescent="0.15"/>
    <row r="553" customFormat="1" x14ac:dyDescent="0.15"/>
    <row r="554" customFormat="1" x14ac:dyDescent="0.15"/>
    <row r="555" customFormat="1" x14ac:dyDescent="0.15"/>
    <row r="556" customFormat="1" x14ac:dyDescent="0.15"/>
    <row r="557" customFormat="1" x14ac:dyDescent="0.15"/>
    <row r="558" customFormat="1" x14ac:dyDescent="0.15"/>
    <row r="559" customFormat="1" x14ac:dyDescent="0.15"/>
    <row r="560" customFormat="1" x14ac:dyDescent="0.15"/>
    <row r="561" customFormat="1" x14ac:dyDescent="0.15"/>
    <row r="562" customFormat="1" x14ac:dyDescent="0.15"/>
    <row r="563" customFormat="1" x14ac:dyDescent="0.15"/>
    <row r="564" customFormat="1" x14ac:dyDescent="0.15"/>
    <row r="565" customFormat="1" x14ac:dyDescent="0.15"/>
    <row r="566" customFormat="1" x14ac:dyDescent="0.15"/>
    <row r="567" customFormat="1" x14ac:dyDescent="0.15"/>
    <row r="568" customFormat="1" x14ac:dyDescent="0.15"/>
    <row r="569" customFormat="1" x14ac:dyDescent="0.15"/>
    <row r="570" customFormat="1" x14ac:dyDescent="0.15"/>
    <row r="571" customFormat="1" x14ac:dyDescent="0.15"/>
    <row r="572" customFormat="1" x14ac:dyDescent="0.15"/>
    <row r="573" customFormat="1" x14ac:dyDescent="0.15"/>
    <row r="574" customFormat="1" x14ac:dyDescent="0.15"/>
    <row r="575" customFormat="1" x14ac:dyDescent="0.15"/>
    <row r="576" customFormat="1" x14ac:dyDescent="0.15"/>
    <row r="577" customFormat="1" x14ac:dyDescent="0.15"/>
    <row r="578" customFormat="1" x14ac:dyDescent="0.15"/>
    <row r="579" customFormat="1" x14ac:dyDescent="0.15"/>
    <row r="580" customFormat="1" x14ac:dyDescent="0.15"/>
    <row r="581" customFormat="1" x14ac:dyDescent="0.15"/>
    <row r="582" customFormat="1" x14ac:dyDescent="0.15"/>
    <row r="583" customFormat="1" x14ac:dyDescent="0.15"/>
    <row r="584" customFormat="1" x14ac:dyDescent="0.15"/>
    <row r="585" customFormat="1" x14ac:dyDescent="0.15"/>
    <row r="586" customFormat="1" x14ac:dyDescent="0.15"/>
    <row r="587" customFormat="1" x14ac:dyDescent="0.15"/>
    <row r="588" customFormat="1" x14ac:dyDescent="0.15"/>
    <row r="589" customFormat="1" x14ac:dyDescent="0.15"/>
    <row r="590" customFormat="1" x14ac:dyDescent="0.15"/>
    <row r="591" customFormat="1" x14ac:dyDescent="0.15"/>
    <row r="592" customFormat="1" x14ac:dyDescent="0.15"/>
    <row r="593" customFormat="1" x14ac:dyDescent="0.15"/>
    <row r="594" customFormat="1" x14ac:dyDescent="0.15"/>
    <row r="595" customFormat="1" x14ac:dyDescent="0.15"/>
    <row r="596" customFormat="1" x14ac:dyDescent="0.15"/>
    <row r="597" customFormat="1" x14ac:dyDescent="0.15"/>
    <row r="598" customFormat="1" x14ac:dyDescent="0.15"/>
    <row r="599" customFormat="1" x14ac:dyDescent="0.15"/>
    <row r="600" customFormat="1" x14ac:dyDescent="0.15"/>
    <row r="601" customFormat="1" x14ac:dyDescent="0.15"/>
    <row r="602" customFormat="1" x14ac:dyDescent="0.15"/>
    <row r="603" customFormat="1" x14ac:dyDescent="0.15"/>
    <row r="604" customFormat="1" x14ac:dyDescent="0.15"/>
    <row r="605" customFormat="1" x14ac:dyDescent="0.15"/>
    <row r="606" customFormat="1" x14ac:dyDescent="0.15"/>
    <row r="607" customFormat="1" x14ac:dyDescent="0.15"/>
    <row r="608" customFormat="1" x14ac:dyDescent="0.15"/>
    <row r="609" customFormat="1" x14ac:dyDescent="0.15"/>
    <row r="610" customFormat="1" x14ac:dyDescent="0.15"/>
    <row r="611" customFormat="1" x14ac:dyDescent="0.15"/>
    <row r="612" customFormat="1" x14ac:dyDescent="0.15"/>
    <row r="613" customFormat="1" x14ac:dyDescent="0.15"/>
    <row r="614" customFormat="1" x14ac:dyDescent="0.15"/>
    <row r="615" customFormat="1" x14ac:dyDescent="0.15"/>
    <row r="616" customFormat="1" x14ac:dyDescent="0.15"/>
    <row r="617" customFormat="1" x14ac:dyDescent="0.15"/>
    <row r="618" customFormat="1" x14ac:dyDescent="0.15"/>
    <row r="619" customFormat="1" x14ac:dyDescent="0.15"/>
    <row r="620" customFormat="1" x14ac:dyDescent="0.15"/>
    <row r="621" customFormat="1" x14ac:dyDescent="0.15"/>
    <row r="622" customFormat="1" x14ac:dyDescent="0.15"/>
    <row r="623" customFormat="1" x14ac:dyDescent="0.15"/>
    <row r="624" customFormat="1" x14ac:dyDescent="0.15"/>
    <row r="625" customFormat="1" x14ac:dyDescent="0.15"/>
    <row r="626" customFormat="1" x14ac:dyDescent="0.15"/>
    <row r="627" customFormat="1" x14ac:dyDescent="0.15"/>
    <row r="628" customFormat="1" x14ac:dyDescent="0.15"/>
    <row r="629" customFormat="1" x14ac:dyDescent="0.15"/>
    <row r="630" customFormat="1" x14ac:dyDescent="0.15"/>
    <row r="631" customFormat="1" x14ac:dyDescent="0.15"/>
    <row r="632" customFormat="1" x14ac:dyDescent="0.15"/>
    <row r="633" customFormat="1" x14ac:dyDescent="0.15"/>
    <row r="634" customFormat="1" x14ac:dyDescent="0.15"/>
    <row r="635" customFormat="1" x14ac:dyDescent="0.15"/>
    <row r="636" customFormat="1" x14ac:dyDescent="0.15"/>
    <row r="637" customFormat="1" x14ac:dyDescent="0.15"/>
    <row r="638" customFormat="1" x14ac:dyDescent="0.15"/>
    <row r="639" customFormat="1" x14ac:dyDescent="0.15"/>
    <row r="640" customFormat="1" x14ac:dyDescent="0.15"/>
    <row r="641" customFormat="1" x14ac:dyDescent="0.15"/>
    <row r="642" customFormat="1" x14ac:dyDescent="0.15"/>
    <row r="643" customFormat="1" x14ac:dyDescent="0.15"/>
    <row r="644" customFormat="1" x14ac:dyDescent="0.15"/>
    <row r="645" customFormat="1" x14ac:dyDescent="0.15"/>
    <row r="646" customFormat="1" x14ac:dyDescent="0.15"/>
    <row r="647" customFormat="1" x14ac:dyDescent="0.15"/>
    <row r="648" customFormat="1" x14ac:dyDescent="0.15"/>
    <row r="649" customFormat="1" x14ac:dyDescent="0.15"/>
    <row r="650" customFormat="1" x14ac:dyDescent="0.15"/>
    <row r="651" customFormat="1" x14ac:dyDescent="0.15"/>
    <row r="652" customFormat="1" x14ac:dyDescent="0.15"/>
    <row r="653" customFormat="1" x14ac:dyDescent="0.15"/>
    <row r="654" customFormat="1" x14ac:dyDescent="0.15"/>
    <row r="655" customFormat="1" x14ac:dyDescent="0.15"/>
    <row r="656" customFormat="1" x14ac:dyDescent="0.15"/>
    <row r="657" customFormat="1" x14ac:dyDescent="0.15"/>
    <row r="658" customFormat="1" x14ac:dyDescent="0.15"/>
    <row r="659" customFormat="1" x14ac:dyDescent="0.15"/>
    <row r="660" customFormat="1" x14ac:dyDescent="0.15"/>
    <row r="661" customFormat="1" x14ac:dyDescent="0.15"/>
    <row r="662" customFormat="1" x14ac:dyDescent="0.15"/>
    <row r="663" customFormat="1" x14ac:dyDescent="0.15"/>
    <row r="664" customFormat="1" x14ac:dyDescent="0.15"/>
    <row r="665" customFormat="1" x14ac:dyDescent="0.15"/>
    <row r="666" customFormat="1" x14ac:dyDescent="0.15"/>
    <row r="667" customFormat="1" x14ac:dyDescent="0.15"/>
    <row r="668" customFormat="1" x14ac:dyDescent="0.15"/>
    <row r="669" customFormat="1" x14ac:dyDescent="0.15"/>
    <row r="670" customFormat="1" x14ac:dyDescent="0.15"/>
    <row r="671" customFormat="1" x14ac:dyDescent="0.15"/>
    <row r="672" customFormat="1" x14ac:dyDescent="0.15"/>
    <row r="673" customFormat="1" x14ac:dyDescent="0.15"/>
    <row r="674" customFormat="1" x14ac:dyDescent="0.15"/>
    <row r="675" customFormat="1" x14ac:dyDescent="0.15"/>
    <row r="676" customFormat="1" x14ac:dyDescent="0.15"/>
    <row r="677" customFormat="1" x14ac:dyDescent="0.15"/>
    <row r="678" customFormat="1" x14ac:dyDescent="0.15"/>
    <row r="679" customFormat="1" x14ac:dyDescent="0.15"/>
    <row r="680" customFormat="1" x14ac:dyDescent="0.15"/>
    <row r="681" customFormat="1" x14ac:dyDescent="0.15"/>
    <row r="682" customFormat="1" x14ac:dyDescent="0.15"/>
    <row r="683" customFormat="1" x14ac:dyDescent="0.15"/>
    <row r="684" customFormat="1" x14ac:dyDescent="0.15"/>
    <row r="685" customFormat="1" x14ac:dyDescent="0.15"/>
    <row r="686" customFormat="1" x14ac:dyDescent="0.15"/>
    <row r="687" customFormat="1" x14ac:dyDescent="0.15"/>
    <row r="688" customFormat="1" x14ac:dyDescent="0.15"/>
    <row r="689" customFormat="1" x14ac:dyDescent="0.15"/>
    <row r="690" customFormat="1" x14ac:dyDescent="0.15"/>
    <row r="691" customFormat="1" x14ac:dyDescent="0.15"/>
    <row r="692" customFormat="1" x14ac:dyDescent="0.15"/>
    <row r="693" customFormat="1" x14ac:dyDescent="0.15"/>
    <row r="694" customFormat="1" x14ac:dyDescent="0.15"/>
    <row r="695" customFormat="1" x14ac:dyDescent="0.15"/>
    <row r="696" customFormat="1" x14ac:dyDescent="0.15"/>
    <row r="697" customFormat="1" x14ac:dyDescent="0.15"/>
    <row r="698" customFormat="1" x14ac:dyDescent="0.15"/>
    <row r="699" customFormat="1" x14ac:dyDescent="0.15"/>
    <row r="700" customFormat="1" x14ac:dyDescent="0.15"/>
    <row r="701" customFormat="1" x14ac:dyDescent="0.15"/>
    <row r="702" customFormat="1" x14ac:dyDescent="0.15"/>
    <row r="703" customFormat="1" x14ac:dyDescent="0.15"/>
    <row r="704" customFormat="1" x14ac:dyDescent="0.15"/>
    <row r="705" customFormat="1" x14ac:dyDescent="0.15"/>
    <row r="706" customFormat="1" x14ac:dyDescent="0.15"/>
    <row r="707" customFormat="1" x14ac:dyDescent="0.15"/>
    <row r="708" customFormat="1" x14ac:dyDescent="0.15"/>
    <row r="709" customFormat="1" x14ac:dyDescent="0.15"/>
    <row r="710" customFormat="1" x14ac:dyDescent="0.15"/>
    <row r="711" customFormat="1" x14ac:dyDescent="0.15"/>
    <row r="712" customFormat="1" x14ac:dyDescent="0.15"/>
    <row r="713" customFormat="1" x14ac:dyDescent="0.15"/>
    <row r="714" customFormat="1" x14ac:dyDescent="0.15"/>
    <row r="715" customFormat="1" x14ac:dyDescent="0.15"/>
    <row r="716" customFormat="1" x14ac:dyDescent="0.15"/>
    <row r="717" customFormat="1" x14ac:dyDescent="0.15"/>
    <row r="718" customFormat="1" x14ac:dyDescent="0.15"/>
    <row r="719" customFormat="1" x14ac:dyDescent="0.15"/>
    <row r="720" customFormat="1" x14ac:dyDescent="0.15"/>
    <row r="721" customFormat="1" x14ac:dyDescent="0.15"/>
    <row r="722" customFormat="1" x14ac:dyDescent="0.15"/>
    <row r="723" customFormat="1" x14ac:dyDescent="0.15"/>
    <row r="724" customFormat="1" x14ac:dyDescent="0.15"/>
    <row r="725" customFormat="1" x14ac:dyDescent="0.15"/>
    <row r="726" customFormat="1" x14ac:dyDescent="0.15"/>
    <row r="727" customFormat="1" x14ac:dyDescent="0.15"/>
    <row r="728" customFormat="1" x14ac:dyDescent="0.15"/>
    <row r="729" customFormat="1" x14ac:dyDescent="0.15"/>
    <row r="730" customFormat="1" x14ac:dyDescent="0.15"/>
    <row r="731" customFormat="1" x14ac:dyDescent="0.15"/>
    <row r="732" customFormat="1" x14ac:dyDescent="0.15"/>
    <row r="733" customFormat="1" x14ac:dyDescent="0.15"/>
    <row r="734" customFormat="1" x14ac:dyDescent="0.15"/>
    <row r="735" customFormat="1" x14ac:dyDescent="0.15"/>
    <row r="736" customFormat="1" x14ac:dyDescent="0.15"/>
    <row r="737" customFormat="1" x14ac:dyDescent="0.15"/>
    <row r="738" customFormat="1" x14ac:dyDescent="0.15"/>
    <row r="739" customFormat="1" x14ac:dyDescent="0.15"/>
    <row r="740" customFormat="1" x14ac:dyDescent="0.15"/>
    <row r="741" customFormat="1" x14ac:dyDescent="0.15"/>
    <row r="742" customFormat="1" x14ac:dyDescent="0.15"/>
    <row r="743" customFormat="1" x14ac:dyDescent="0.15"/>
    <row r="744" customFormat="1" x14ac:dyDescent="0.15"/>
    <row r="745" customFormat="1" x14ac:dyDescent="0.15"/>
    <row r="746" customFormat="1" x14ac:dyDescent="0.15"/>
    <row r="747" customFormat="1" x14ac:dyDescent="0.15"/>
    <row r="748" customFormat="1" x14ac:dyDescent="0.15"/>
    <row r="749" customFormat="1" x14ac:dyDescent="0.15"/>
    <row r="750" customFormat="1" x14ac:dyDescent="0.15"/>
    <row r="751" customFormat="1" x14ac:dyDescent="0.15"/>
    <row r="752" customFormat="1" x14ac:dyDescent="0.15"/>
    <row r="753" customFormat="1" x14ac:dyDescent="0.15"/>
    <row r="754" customFormat="1" x14ac:dyDescent="0.15"/>
    <row r="755" customFormat="1" x14ac:dyDescent="0.15"/>
    <row r="756" customFormat="1" x14ac:dyDescent="0.15"/>
    <row r="757" customFormat="1" x14ac:dyDescent="0.15"/>
    <row r="758" customFormat="1" x14ac:dyDescent="0.15"/>
    <row r="759" customFormat="1" x14ac:dyDescent="0.15"/>
    <row r="760" customFormat="1" x14ac:dyDescent="0.15"/>
    <row r="761" customFormat="1" x14ac:dyDescent="0.15"/>
    <row r="762" customFormat="1" x14ac:dyDescent="0.15"/>
    <row r="763" customFormat="1" x14ac:dyDescent="0.15"/>
    <row r="764" customFormat="1" x14ac:dyDescent="0.15"/>
    <row r="765" customFormat="1" x14ac:dyDescent="0.15"/>
    <row r="766" customFormat="1" x14ac:dyDescent="0.15"/>
    <row r="767" customFormat="1" x14ac:dyDescent="0.15"/>
    <row r="768" customFormat="1" x14ac:dyDescent="0.15"/>
    <row r="769" customFormat="1" x14ac:dyDescent="0.15"/>
    <row r="770" customFormat="1" x14ac:dyDescent="0.15"/>
    <row r="771" customFormat="1" x14ac:dyDescent="0.15"/>
    <row r="772" customFormat="1" x14ac:dyDescent="0.15"/>
    <row r="773" customFormat="1" x14ac:dyDescent="0.15"/>
    <row r="774" customFormat="1" x14ac:dyDescent="0.15"/>
    <row r="775" customFormat="1" x14ac:dyDescent="0.15"/>
    <row r="776" customFormat="1" x14ac:dyDescent="0.15"/>
    <row r="777" customFormat="1" x14ac:dyDescent="0.15"/>
    <row r="778" customFormat="1" x14ac:dyDescent="0.15"/>
    <row r="779" customFormat="1" x14ac:dyDescent="0.15"/>
    <row r="780" customFormat="1" x14ac:dyDescent="0.15"/>
    <row r="781" customFormat="1" x14ac:dyDescent="0.15"/>
    <row r="782" customFormat="1" x14ac:dyDescent="0.15"/>
    <row r="783" customFormat="1" x14ac:dyDescent="0.15"/>
    <row r="784" customFormat="1" x14ac:dyDescent="0.15"/>
    <row r="785" customFormat="1" x14ac:dyDescent="0.15"/>
    <row r="786" customFormat="1" x14ac:dyDescent="0.15"/>
    <row r="787" customFormat="1" x14ac:dyDescent="0.15"/>
    <row r="788" customFormat="1" x14ac:dyDescent="0.15"/>
    <row r="789" customFormat="1" x14ac:dyDescent="0.15"/>
    <row r="790" customFormat="1" x14ac:dyDescent="0.15"/>
    <row r="791" customFormat="1" x14ac:dyDescent="0.15"/>
    <row r="792" customFormat="1" x14ac:dyDescent="0.15"/>
    <row r="793" customFormat="1" x14ac:dyDescent="0.15"/>
    <row r="794" customFormat="1" x14ac:dyDescent="0.15"/>
    <row r="795" customFormat="1" x14ac:dyDescent="0.15"/>
    <row r="796" customFormat="1" x14ac:dyDescent="0.15"/>
    <row r="797" customFormat="1" x14ac:dyDescent="0.15"/>
    <row r="798" customFormat="1" x14ac:dyDescent="0.15"/>
    <row r="799" customFormat="1" x14ac:dyDescent="0.15"/>
    <row r="800" customFormat="1" x14ac:dyDescent="0.15"/>
    <row r="801" customFormat="1" x14ac:dyDescent="0.15"/>
    <row r="802" customFormat="1" x14ac:dyDescent="0.15"/>
    <row r="803" customFormat="1" x14ac:dyDescent="0.15"/>
    <row r="804" customFormat="1" x14ac:dyDescent="0.15"/>
    <row r="805" customFormat="1" x14ac:dyDescent="0.15"/>
    <row r="806" customFormat="1" x14ac:dyDescent="0.15"/>
    <row r="807" customFormat="1" x14ac:dyDescent="0.15"/>
    <row r="808" customFormat="1" x14ac:dyDescent="0.15"/>
    <row r="809" customFormat="1" x14ac:dyDescent="0.15"/>
    <row r="810" customFormat="1" x14ac:dyDescent="0.15"/>
    <row r="811" customFormat="1" x14ac:dyDescent="0.15"/>
    <row r="812" customFormat="1" x14ac:dyDescent="0.15"/>
    <row r="813" customFormat="1" x14ac:dyDescent="0.15"/>
    <row r="814" customFormat="1" x14ac:dyDescent="0.15"/>
    <row r="815" customFormat="1" x14ac:dyDescent="0.15"/>
    <row r="816" customFormat="1" x14ac:dyDescent="0.15"/>
    <row r="817" customFormat="1" x14ac:dyDescent="0.15"/>
    <row r="818" customFormat="1" x14ac:dyDescent="0.15"/>
    <row r="819" customFormat="1" x14ac:dyDescent="0.15"/>
    <row r="820" customFormat="1" x14ac:dyDescent="0.15"/>
    <row r="821" customFormat="1" x14ac:dyDescent="0.15"/>
    <row r="822" customFormat="1" x14ac:dyDescent="0.15"/>
    <row r="823" customFormat="1" x14ac:dyDescent="0.15"/>
    <row r="824" customFormat="1" x14ac:dyDescent="0.15"/>
    <row r="825" customFormat="1" x14ac:dyDescent="0.15"/>
    <row r="826" customFormat="1" x14ac:dyDescent="0.15"/>
    <row r="827" customFormat="1" x14ac:dyDescent="0.15"/>
    <row r="828" customFormat="1" x14ac:dyDescent="0.15"/>
    <row r="829" customFormat="1" x14ac:dyDescent="0.15"/>
    <row r="830" customFormat="1" x14ac:dyDescent="0.15"/>
    <row r="831" customFormat="1" x14ac:dyDescent="0.15"/>
    <row r="832" customFormat="1" x14ac:dyDescent="0.15"/>
    <row r="833" customFormat="1" x14ac:dyDescent="0.15"/>
    <row r="834" customFormat="1" x14ac:dyDescent="0.15"/>
    <row r="835" customFormat="1" x14ac:dyDescent="0.15"/>
    <row r="836" customFormat="1" x14ac:dyDescent="0.15"/>
    <row r="837" customFormat="1" x14ac:dyDescent="0.15"/>
    <row r="838" customFormat="1" x14ac:dyDescent="0.15"/>
    <row r="839" customFormat="1" x14ac:dyDescent="0.15"/>
    <row r="840" customFormat="1" x14ac:dyDescent="0.15"/>
    <row r="841" customFormat="1" x14ac:dyDescent="0.15"/>
    <row r="842" customFormat="1" x14ac:dyDescent="0.15"/>
    <row r="843" customFormat="1" x14ac:dyDescent="0.15"/>
    <row r="844" customFormat="1" x14ac:dyDescent="0.15"/>
    <row r="845" customFormat="1" x14ac:dyDescent="0.15"/>
    <row r="846" customFormat="1" x14ac:dyDescent="0.15"/>
    <row r="847" customFormat="1" x14ac:dyDescent="0.15"/>
    <row r="848" customFormat="1" x14ac:dyDescent="0.15"/>
    <row r="849" customFormat="1" x14ac:dyDescent="0.15"/>
    <row r="850" customFormat="1" x14ac:dyDescent="0.15"/>
    <row r="851" customFormat="1" x14ac:dyDescent="0.15"/>
    <row r="852" customFormat="1" x14ac:dyDescent="0.15"/>
    <row r="853" customFormat="1" x14ac:dyDescent="0.15"/>
    <row r="854" customFormat="1" x14ac:dyDescent="0.15"/>
    <row r="855" customFormat="1" x14ac:dyDescent="0.15"/>
    <row r="856" customFormat="1" x14ac:dyDescent="0.15"/>
    <row r="857" customFormat="1" x14ac:dyDescent="0.15"/>
    <row r="858" customFormat="1" x14ac:dyDescent="0.15"/>
    <row r="859" customFormat="1" x14ac:dyDescent="0.15"/>
    <row r="860" customFormat="1" x14ac:dyDescent="0.15"/>
    <row r="861" customFormat="1" x14ac:dyDescent="0.15"/>
    <row r="862" customFormat="1" x14ac:dyDescent="0.15"/>
    <row r="863" customFormat="1" x14ac:dyDescent="0.15"/>
    <row r="864" customFormat="1" x14ac:dyDescent="0.15"/>
    <row r="865" customFormat="1" x14ac:dyDescent="0.15"/>
    <row r="866" customFormat="1" x14ac:dyDescent="0.15"/>
    <row r="867" customFormat="1" x14ac:dyDescent="0.15"/>
    <row r="868" customFormat="1" x14ac:dyDescent="0.15"/>
    <row r="869" customFormat="1" x14ac:dyDescent="0.15"/>
    <row r="870" customFormat="1" x14ac:dyDescent="0.15"/>
    <row r="871" customFormat="1" x14ac:dyDescent="0.15"/>
    <row r="872" customFormat="1" x14ac:dyDescent="0.15"/>
    <row r="873" customFormat="1" x14ac:dyDescent="0.15"/>
    <row r="874" customFormat="1" x14ac:dyDescent="0.15"/>
    <row r="875" customFormat="1" x14ac:dyDescent="0.15"/>
    <row r="876" customFormat="1" x14ac:dyDescent="0.15"/>
    <row r="877" customFormat="1" x14ac:dyDescent="0.15"/>
    <row r="878" customFormat="1" x14ac:dyDescent="0.15"/>
    <row r="879" customFormat="1" x14ac:dyDescent="0.15"/>
    <row r="880" customFormat="1" x14ac:dyDescent="0.15"/>
    <row r="881" customFormat="1" x14ac:dyDescent="0.15"/>
    <row r="882" customFormat="1" x14ac:dyDescent="0.15"/>
    <row r="883" customFormat="1" x14ac:dyDescent="0.15"/>
    <row r="884" customFormat="1" x14ac:dyDescent="0.15"/>
    <row r="885" customFormat="1" x14ac:dyDescent="0.15"/>
    <row r="886" customFormat="1" x14ac:dyDescent="0.15"/>
    <row r="887" customFormat="1" x14ac:dyDescent="0.15"/>
    <row r="888" customFormat="1" x14ac:dyDescent="0.15"/>
    <row r="889" customFormat="1" x14ac:dyDescent="0.15"/>
    <row r="890" customFormat="1" x14ac:dyDescent="0.15"/>
    <row r="891" customFormat="1" x14ac:dyDescent="0.15"/>
    <row r="892" customFormat="1" x14ac:dyDescent="0.15"/>
    <row r="893" customFormat="1" x14ac:dyDescent="0.15"/>
    <row r="894" customFormat="1" x14ac:dyDescent="0.15"/>
    <row r="895" customFormat="1" x14ac:dyDescent="0.15"/>
    <row r="896" customFormat="1" x14ac:dyDescent="0.15"/>
    <row r="897" customFormat="1" x14ac:dyDescent="0.15"/>
    <row r="898" customFormat="1" x14ac:dyDescent="0.15"/>
    <row r="899" customFormat="1" x14ac:dyDescent="0.15"/>
    <row r="900" customFormat="1" x14ac:dyDescent="0.15"/>
    <row r="901" customFormat="1" x14ac:dyDescent="0.15"/>
    <row r="902" customFormat="1" x14ac:dyDescent="0.15"/>
    <row r="903" customFormat="1" x14ac:dyDescent="0.15"/>
    <row r="904" customFormat="1" x14ac:dyDescent="0.15"/>
    <row r="905" customFormat="1" x14ac:dyDescent="0.15"/>
    <row r="906" customFormat="1" x14ac:dyDescent="0.15"/>
    <row r="907" customFormat="1" x14ac:dyDescent="0.15"/>
    <row r="908" customFormat="1" x14ac:dyDescent="0.15"/>
    <row r="909" customFormat="1" x14ac:dyDescent="0.15"/>
    <row r="910" customFormat="1" x14ac:dyDescent="0.15"/>
    <row r="911" customFormat="1" x14ac:dyDescent="0.15"/>
    <row r="912" customFormat="1" x14ac:dyDescent="0.15"/>
    <row r="913" customFormat="1" x14ac:dyDescent="0.15"/>
    <row r="914" customFormat="1" x14ac:dyDescent="0.15"/>
    <row r="915" customFormat="1" x14ac:dyDescent="0.15"/>
    <row r="916" customFormat="1" x14ac:dyDescent="0.15"/>
    <row r="917" customFormat="1" x14ac:dyDescent="0.15"/>
    <row r="918" customFormat="1" x14ac:dyDescent="0.15"/>
    <row r="919" customFormat="1" x14ac:dyDescent="0.15"/>
    <row r="920" customFormat="1" x14ac:dyDescent="0.15"/>
    <row r="921" customFormat="1" x14ac:dyDescent="0.15"/>
    <row r="922" customFormat="1" x14ac:dyDescent="0.15"/>
    <row r="923" customFormat="1" x14ac:dyDescent="0.15"/>
    <row r="924" customFormat="1" x14ac:dyDescent="0.15"/>
    <row r="925" customFormat="1" x14ac:dyDescent="0.15"/>
    <row r="926" customFormat="1" x14ac:dyDescent="0.15"/>
    <row r="927" customFormat="1" x14ac:dyDescent="0.15"/>
    <row r="928" customFormat="1" x14ac:dyDescent="0.15"/>
    <row r="929" customFormat="1" x14ac:dyDescent="0.15"/>
    <row r="930" customFormat="1" x14ac:dyDescent="0.15"/>
    <row r="931" customFormat="1" x14ac:dyDescent="0.15"/>
    <row r="932" customFormat="1" x14ac:dyDescent="0.15"/>
    <row r="933" customFormat="1" x14ac:dyDescent="0.15"/>
    <row r="934" customFormat="1" x14ac:dyDescent="0.15"/>
    <row r="935" customFormat="1" x14ac:dyDescent="0.15"/>
    <row r="936" customFormat="1" x14ac:dyDescent="0.15"/>
    <row r="937" customFormat="1" x14ac:dyDescent="0.15"/>
    <row r="938" customFormat="1" x14ac:dyDescent="0.15"/>
    <row r="939" customFormat="1" x14ac:dyDescent="0.15"/>
    <row r="940" customFormat="1" x14ac:dyDescent="0.15"/>
    <row r="941" customFormat="1" x14ac:dyDescent="0.15"/>
    <row r="942" customFormat="1" x14ac:dyDescent="0.15"/>
    <row r="943" customFormat="1" x14ac:dyDescent="0.15"/>
    <row r="944" customFormat="1" x14ac:dyDescent="0.15"/>
    <row r="945" customFormat="1" x14ac:dyDescent="0.15"/>
    <row r="946" customFormat="1" x14ac:dyDescent="0.15"/>
    <row r="947" customFormat="1" x14ac:dyDescent="0.15"/>
    <row r="948" customFormat="1" x14ac:dyDescent="0.15"/>
    <row r="949" customFormat="1" x14ac:dyDescent="0.15"/>
    <row r="950" customFormat="1" x14ac:dyDescent="0.15"/>
    <row r="951" customFormat="1" x14ac:dyDescent="0.15"/>
    <row r="952" customFormat="1" x14ac:dyDescent="0.15"/>
    <row r="953" customFormat="1" x14ac:dyDescent="0.15"/>
    <row r="954" customFormat="1" x14ac:dyDescent="0.15"/>
    <row r="955" customFormat="1" x14ac:dyDescent="0.15"/>
    <row r="956" customFormat="1" x14ac:dyDescent="0.15"/>
    <row r="957" customFormat="1" x14ac:dyDescent="0.15"/>
    <row r="958" customFormat="1" x14ac:dyDescent="0.15"/>
    <row r="959" customFormat="1" x14ac:dyDescent="0.15"/>
    <row r="960" customFormat="1" x14ac:dyDescent="0.15"/>
    <row r="961" customFormat="1" x14ac:dyDescent="0.15"/>
    <row r="962" customFormat="1" x14ac:dyDescent="0.15"/>
    <row r="963" customFormat="1" x14ac:dyDescent="0.15"/>
    <row r="964" customFormat="1" x14ac:dyDescent="0.15"/>
    <row r="965" customFormat="1" x14ac:dyDescent="0.15"/>
    <row r="966" customFormat="1" x14ac:dyDescent="0.15"/>
    <row r="967" customFormat="1" x14ac:dyDescent="0.15"/>
    <row r="968" customFormat="1" x14ac:dyDescent="0.15"/>
    <row r="969" customFormat="1" x14ac:dyDescent="0.15"/>
    <row r="970" customFormat="1" x14ac:dyDescent="0.15"/>
    <row r="971" customFormat="1" x14ac:dyDescent="0.15"/>
    <row r="972" customFormat="1" x14ac:dyDescent="0.15"/>
    <row r="973" customFormat="1" x14ac:dyDescent="0.15"/>
    <row r="974" customFormat="1" x14ac:dyDescent="0.15"/>
    <row r="975" customFormat="1" x14ac:dyDescent="0.15"/>
    <row r="976" customFormat="1" x14ac:dyDescent="0.15"/>
    <row r="977" customFormat="1" x14ac:dyDescent="0.15"/>
    <row r="978" customFormat="1" x14ac:dyDescent="0.15"/>
    <row r="979" customFormat="1" x14ac:dyDescent="0.15"/>
    <row r="980" customFormat="1" x14ac:dyDescent="0.15"/>
    <row r="981" customFormat="1" x14ac:dyDescent="0.15"/>
    <row r="982" customFormat="1" x14ac:dyDescent="0.15"/>
    <row r="983" customFormat="1" x14ac:dyDescent="0.15"/>
    <row r="984" customFormat="1" x14ac:dyDescent="0.15"/>
    <row r="985" customFormat="1" x14ac:dyDescent="0.15"/>
    <row r="986" customFormat="1" x14ac:dyDescent="0.15"/>
    <row r="987" customFormat="1" x14ac:dyDescent="0.15"/>
    <row r="988" customFormat="1" x14ac:dyDescent="0.15"/>
    <row r="989" customFormat="1" x14ac:dyDescent="0.15"/>
    <row r="990" customFormat="1" x14ac:dyDescent="0.15"/>
    <row r="991" customFormat="1" x14ac:dyDescent="0.15"/>
    <row r="992" customFormat="1" x14ac:dyDescent="0.15"/>
    <row r="993" customFormat="1" x14ac:dyDescent="0.15"/>
    <row r="994" customFormat="1" x14ac:dyDescent="0.15"/>
    <row r="995" customFormat="1" x14ac:dyDescent="0.15"/>
    <row r="996" customFormat="1" x14ac:dyDescent="0.15"/>
    <row r="997" customFormat="1" x14ac:dyDescent="0.15"/>
    <row r="998" customFormat="1" x14ac:dyDescent="0.15"/>
    <row r="999" customFormat="1" x14ac:dyDescent="0.15"/>
    <row r="1000" customFormat="1" x14ac:dyDescent="0.15"/>
    <row r="1001" customFormat="1" x14ac:dyDescent="0.15"/>
    <row r="1002" customFormat="1" x14ac:dyDescent="0.15"/>
    <row r="1003" customFormat="1" x14ac:dyDescent="0.15"/>
    <row r="1004" customFormat="1" x14ac:dyDescent="0.15"/>
    <row r="1005" customFormat="1" x14ac:dyDescent="0.15"/>
    <row r="1006" customFormat="1" x14ac:dyDescent="0.15"/>
    <row r="1007" customFormat="1" x14ac:dyDescent="0.15"/>
    <row r="1008" customFormat="1" x14ac:dyDescent="0.15"/>
    <row r="1009" customFormat="1" x14ac:dyDescent="0.15"/>
    <row r="1010" customFormat="1" x14ac:dyDescent="0.15"/>
    <row r="1011" customFormat="1" x14ac:dyDescent="0.15"/>
    <row r="1012" customFormat="1" x14ac:dyDescent="0.15"/>
    <row r="1013" customFormat="1" x14ac:dyDescent="0.15"/>
    <row r="1014" customFormat="1" x14ac:dyDescent="0.15"/>
    <row r="1015" customFormat="1" x14ac:dyDescent="0.15"/>
    <row r="1016" customFormat="1" x14ac:dyDescent="0.15"/>
    <row r="1017" customFormat="1" x14ac:dyDescent="0.15"/>
    <row r="1018" customFormat="1" x14ac:dyDescent="0.15"/>
    <row r="1019" customFormat="1" x14ac:dyDescent="0.15"/>
    <row r="1020" customFormat="1" x14ac:dyDescent="0.15"/>
    <row r="1021" customFormat="1" x14ac:dyDescent="0.15"/>
    <row r="1022" customFormat="1" x14ac:dyDescent="0.15"/>
    <row r="1023" customFormat="1" x14ac:dyDescent="0.15"/>
    <row r="1024" customFormat="1" x14ac:dyDescent="0.15"/>
    <row r="1025" customFormat="1" x14ac:dyDescent="0.15"/>
    <row r="1026" customFormat="1" x14ac:dyDescent="0.15"/>
    <row r="1027" customFormat="1" x14ac:dyDescent="0.15"/>
    <row r="1028" customFormat="1" x14ac:dyDescent="0.15"/>
    <row r="1029" customFormat="1" x14ac:dyDescent="0.15"/>
    <row r="1030" customFormat="1" x14ac:dyDescent="0.15"/>
    <row r="1031" customFormat="1" x14ac:dyDescent="0.15"/>
    <row r="1032" customFormat="1" x14ac:dyDescent="0.15"/>
    <row r="1033" customFormat="1" x14ac:dyDescent="0.15"/>
    <row r="1034" customFormat="1" x14ac:dyDescent="0.15"/>
    <row r="1035" customFormat="1" x14ac:dyDescent="0.15"/>
    <row r="1036" customFormat="1" x14ac:dyDescent="0.15"/>
    <row r="1037" customFormat="1" x14ac:dyDescent="0.15"/>
    <row r="1038" customFormat="1" x14ac:dyDescent="0.15"/>
    <row r="1039" customFormat="1" x14ac:dyDescent="0.15"/>
    <row r="1040" customFormat="1" x14ac:dyDescent="0.15"/>
    <row r="1041" customFormat="1" x14ac:dyDescent="0.15"/>
    <row r="1042" customFormat="1" x14ac:dyDescent="0.15"/>
    <row r="1043" customFormat="1" x14ac:dyDescent="0.15"/>
    <row r="1044" customFormat="1" x14ac:dyDescent="0.15"/>
    <row r="1045" customFormat="1" x14ac:dyDescent="0.15"/>
    <row r="1046" customFormat="1" x14ac:dyDescent="0.15"/>
    <row r="1047" customFormat="1" x14ac:dyDescent="0.15"/>
    <row r="1048" customFormat="1" x14ac:dyDescent="0.15"/>
    <row r="1049" customFormat="1" x14ac:dyDescent="0.15"/>
    <row r="1050" customFormat="1" x14ac:dyDescent="0.15"/>
    <row r="1051" customFormat="1" x14ac:dyDescent="0.15"/>
    <row r="1052" customFormat="1" x14ac:dyDescent="0.15"/>
    <row r="1053" customFormat="1" x14ac:dyDescent="0.15"/>
    <row r="1054" customFormat="1" x14ac:dyDescent="0.15"/>
    <row r="1055" customFormat="1" x14ac:dyDescent="0.15"/>
    <row r="1056" customFormat="1" x14ac:dyDescent="0.15"/>
    <row r="1057" customFormat="1" x14ac:dyDescent="0.15"/>
    <row r="1058" customFormat="1" x14ac:dyDescent="0.15"/>
    <row r="1059" customFormat="1" x14ac:dyDescent="0.15"/>
    <row r="1060" customFormat="1" x14ac:dyDescent="0.15"/>
    <row r="1061" customFormat="1" x14ac:dyDescent="0.15"/>
    <row r="1062" customFormat="1" x14ac:dyDescent="0.15"/>
    <row r="1063" customFormat="1" x14ac:dyDescent="0.15"/>
    <row r="1064" customFormat="1" x14ac:dyDescent="0.15"/>
    <row r="1065" customFormat="1" x14ac:dyDescent="0.15"/>
    <row r="1066" customFormat="1" x14ac:dyDescent="0.15"/>
    <row r="1067" customFormat="1" x14ac:dyDescent="0.15"/>
    <row r="1068" customFormat="1" x14ac:dyDescent="0.15"/>
    <row r="1069" customFormat="1" x14ac:dyDescent="0.15"/>
    <row r="1070" customFormat="1" x14ac:dyDescent="0.15"/>
    <row r="1071" customFormat="1" x14ac:dyDescent="0.15"/>
    <row r="1072" customFormat="1" x14ac:dyDescent="0.15"/>
    <row r="1073" customFormat="1" x14ac:dyDescent="0.15"/>
    <row r="1074" customFormat="1" x14ac:dyDescent="0.15"/>
    <row r="1075" customFormat="1" x14ac:dyDescent="0.15"/>
    <row r="1076" customFormat="1" x14ac:dyDescent="0.15"/>
    <row r="1077" customFormat="1" x14ac:dyDescent="0.15"/>
    <row r="1078" customFormat="1" x14ac:dyDescent="0.15"/>
    <row r="1079" customFormat="1" x14ac:dyDescent="0.15"/>
    <row r="1080" customFormat="1" x14ac:dyDescent="0.15"/>
    <row r="1081" customFormat="1" x14ac:dyDescent="0.15"/>
    <row r="1082" customFormat="1" x14ac:dyDescent="0.15"/>
    <row r="1083" customFormat="1" x14ac:dyDescent="0.15"/>
    <row r="1084" customFormat="1" x14ac:dyDescent="0.15"/>
    <row r="1085" customFormat="1" x14ac:dyDescent="0.15"/>
    <row r="1086" customFormat="1" x14ac:dyDescent="0.15"/>
    <row r="1087" customFormat="1" x14ac:dyDescent="0.15"/>
    <row r="1088" customFormat="1" x14ac:dyDescent="0.15"/>
    <row r="1089" customFormat="1" x14ac:dyDescent="0.15"/>
    <row r="1090" customFormat="1" x14ac:dyDescent="0.15"/>
    <row r="1091" customFormat="1" x14ac:dyDescent="0.15"/>
    <row r="1092" customFormat="1" x14ac:dyDescent="0.15"/>
    <row r="1093" customFormat="1" x14ac:dyDescent="0.15"/>
    <row r="1094" customFormat="1" x14ac:dyDescent="0.15"/>
    <row r="1095" customFormat="1" x14ac:dyDescent="0.15"/>
    <row r="1096" customFormat="1" x14ac:dyDescent="0.15"/>
    <row r="1097" customFormat="1" x14ac:dyDescent="0.15"/>
    <row r="1098" customFormat="1" x14ac:dyDescent="0.15"/>
    <row r="1099" customFormat="1" x14ac:dyDescent="0.15"/>
    <row r="1100" customFormat="1" x14ac:dyDescent="0.15"/>
    <row r="1101" customFormat="1" x14ac:dyDescent="0.15"/>
    <row r="1102" customFormat="1" x14ac:dyDescent="0.15"/>
    <row r="1103" customFormat="1" x14ac:dyDescent="0.15"/>
    <row r="1104" customFormat="1" x14ac:dyDescent="0.15"/>
    <row r="1105" customFormat="1" x14ac:dyDescent="0.15"/>
    <row r="1106" customFormat="1" x14ac:dyDescent="0.15"/>
    <row r="1107" customFormat="1" x14ac:dyDescent="0.15"/>
    <row r="1108" customFormat="1" x14ac:dyDescent="0.15"/>
    <row r="1109" customFormat="1" x14ac:dyDescent="0.15"/>
    <row r="1110" customFormat="1" x14ac:dyDescent="0.15"/>
    <row r="1111" customFormat="1" x14ac:dyDescent="0.15"/>
    <row r="1112" customFormat="1" x14ac:dyDescent="0.15"/>
    <row r="1113" customFormat="1" x14ac:dyDescent="0.15"/>
    <row r="1114" customFormat="1" x14ac:dyDescent="0.15"/>
    <row r="1115" customFormat="1" x14ac:dyDescent="0.15"/>
    <row r="1116" customFormat="1" x14ac:dyDescent="0.15"/>
    <row r="1117" customFormat="1" x14ac:dyDescent="0.15"/>
    <row r="1118" customFormat="1" x14ac:dyDescent="0.15"/>
    <row r="1119" customFormat="1" x14ac:dyDescent="0.15"/>
    <row r="1120" customFormat="1" x14ac:dyDescent="0.15"/>
    <row r="1121" customFormat="1" x14ac:dyDescent="0.15"/>
    <row r="1122" customFormat="1" x14ac:dyDescent="0.15"/>
    <row r="1123" customFormat="1" x14ac:dyDescent="0.15"/>
    <row r="1124" customFormat="1" x14ac:dyDescent="0.15"/>
    <row r="1125" customFormat="1" x14ac:dyDescent="0.15"/>
    <row r="1126" customFormat="1" x14ac:dyDescent="0.15"/>
    <row r="1127" customFormat="1" x14ac:dyDescent="0.15"/>
    <row r="1128" customFormat="1" x14ac:dyDescent="0.15"/>
    <row r="1129" customFormat="1" x14ac:dyDescent="0.15"/>
    <row r="1130" customFormat="1" x14ac:dyDescent="0.15"/>
    <row r="1131" customFormat="1" x14ac:dyDescent="0.15"/>
    <row r="1132" customFormat="1" x14ac:dyDescent="0.15"/>
    <row r="1133" customFormat="1" x14ac:dyDescent="0.15"/>
    <row r="1134" customFormat="1" x14ac:dyDescent="0.15"/>
    <row r="1135" customFormat="1" x14ac:dyDescent="0.15"/>
    <row r="1136" customFormat="1" x14ac:dyDescent="0.15"/>
    <row r="1137" customFormat="1" x14ac:dyDescent="0.15"/>
    <row r="1138" customFormat="1" x14ac:dyDescent="0.15"/>
    <row r="1139" customFormat="1" x14ac:dyDescent="0.15"/>
    <row r="1140" customFormat="1" x14ac:dyDescent="0.15"/>
    <row r="1141" customFormat="1" x14ac:dyDescent="0.15"/>
    <row r="1142" customFormat="1" x14ac:dyDescent="0.15"/>
    <row r="1143" customFormat="1" x14ac:dyDescent="0.15"/>
    <row r="1144" customFormat="1" x14ac:dyDescent="0.15"/>
    <row r="1145" customFormat="1" x14ac:dyDescent="0.15"/>
    <row r="1146" customFormat="1" x14ac:dyDescent="0.15"/>
    <row r="1147" customFormat="1" x14ac:dyDescent="0.15"/>
    <row r="1148" customFormat="1" x14ac:dyDescent="0.15"/>
    <row r="1149" customFormat="1" x14ac:dyDescent="0.15"/>
    <row r="1150" customFormat="1" x14ac:dyDescent="0.15"/>
    <row r="1151" customFormat="1" x14ac:dyDescent="0.15"/>
    <row r="1152" customFormat="1" x14ac:dyDescent="0.15"/>
    <row r="1153" customFormat="1" x14ac:dyDescent="0.15"/>
    <row r="1154" customFormat="1" x14ac:dyDescent="0.15"/>
    <row r="1155" customFormat="1" x14ac:dyDescent="0.15"/>
    <row r="1156" customFormat="1" x14ac:dyDescent="0.15"/>
    <row r="1157" customFormat="1" x14ac:dyDescent="0.15"/>
    <row r="1158" customFormat="1" x14ac:dyDescent="0.15"/>
    <row r="1159" customFormat="1" x14ac:dyDescent="0.15"/>
    <row r="1160" customFormat="1" x14ac:dyDescent="0.15"/>
    <row r="1161" customFormat="1" x14ac:dyDescent="0.15"/>
    <row r="1162" customFormat="1" x14ac:dyDescent="0.15"/>
    <row r="1163" customFormat="1" x14ac:dyDescent="0.15"/>
    <row r="1164" customFormat="1" x14ac:dyDescent="0.15"/>
    <row r="1165" customFormat="1" x14ac:dyDescent="0.15"/>
    <row r="1166" customFormat="1" x14ac:dyDescent="0.15"/>
    <row r="1167" customFormat="1" x14ac:dyDescent="0.15"/>
    <row r="1168" customFormat="1" x14ac:dyDescent="0.15"/>
    <row r="1169" customFormat="1" x14ac:dyDescent="0.15"/>
    <row r="1170" customFormat="1" x14ac:dyDescent="0.15"/>
    <row r="1171" customFormat="1" x14ac:dyDescent="0.15"/>
    <row r="1172" customFormat="1" x14ac:dyDescent="0.15"/>
    <row r="1173" customFormat="1" x14ac:dyDescent="0.15"/>
    <row r="1174" customFormat="1" x14ac:dyDescent="0.15"/>
    <row r="1175" customFormat="1" x14ac:dyDescent="0.15"/>
    <row r="1176" customFormat="1" x14ac:dyDescent="0.15"/>
    <row r="1177" customFormat="1" x14ac:dyDescent="0.15"/>
    <row r="1178" customFormat="1" x14ac:dyDescent="0.15"/>
    <row r="1179" customFormat="1" x14ac:dyDescent="0.15"/>
    <row r="1180" customFormat="1" x14ac:dyDescent="0.15"/>
    <row r="1181" customFormat="1" x14ac:dyDescent="0.15"/>
    <row r="1182" customFormat="1" x14ac:dyDescent="0.15"/>
    <row r="1183" customFormat="1" x14ac:dyDescent="0.15"/>
    <row r="1184" customFormat="1" x14ac:dyDescent="0.15"/>
    <row r="1185" customFormat="1" x14ac:dyDescent="0.15"/>
    <row r="1186" customFormat="1" x14ac:dyDescent="0.15"/>
    <row r="1187" customFormat="1" x14ac:dyDescent="0.15"/>
    <row r="1188" customFormat="1" x14ac:dyDescent="0.15"/>
    <row r="1189" customFormat="1" x14ac:dyDescent="0.15"/>
    <row r="1190" customFormat="1" x14ac:dyDescent="0.15"/>
    <row r="1191" customFormat="1" x14ac:dyDescent="0.15"/>
    <row r="1192" customFormat="1" x14ac:dyDescent="0.15"/>
    <row r="1193" customFormat="1" x14ac:dyDescent="0.15"/>
    <row r="1194" customFormat="1" x14ac:dyDescent="0.15"/>
    <row r="1195" customFormat="1" x14ac:dyDescent="0.15"/>
    <row r="1196" customFormat="1" x14ac:dyDescent="0.15"/>
    <row r="1197" customFormat="1" x14ac:dyDescent="0.15"/>
    <row r="1198" customFormat="1" x14ac:dyDescent="0.15"/>
    <row r="1199" customFormat="1" x14ac:dyDescent="0.15"/>
    <row r="1200" customFormat="1" x14ac:dyDescent="0.15"/>
    <row r="1201" customFormat="1" x14ac:dyDescent="0.15"/>
    <row r="1202" customFormat="1" x14ac:dyDescent="0.15"/>
    <row r="1203" customFormat="1" x14ac:dyDescent="0.15"/>
    <row r="1204" customFormat="1" x14ac:dyDescent="0.15"/>
    <row r="1205" customFormat="1" x14ac:dyDescent="0.15"/>
    <row r="1206" customFormat="1" x14ac:dyDescent="0.15"/>
    <row r="1207" customFormat="1" x14ac:dyDescent="0.15"/>
    <row r="1208" customFormat="1" x14ac:dyDescent="0.15"/>
    <row r="1209" customFormat="1" x14ac:dyDescent="0.15"/>
    <row r="1210" customFormat="1" x14ac:dyDescent="0.15"/>
    <row r="1211" customFormat="1" x14ac:dyDescent="0.15"/>
    <row r="1212" customFormat="1" x14ac:dyDescent="0.15"/>
    <row r="1213" customFormat="1" x14ac:dyDescent="0.15"/>
    <row r="1214" customFormat="1" x14ac:dyDescent="0.15"/>
    <row r="1215" customFormat="1" x14ac:dyDescent="0.15"/>
    <row r="1216" customFormat="1" x14ac:dyDescent="0.15"/>
    <row r="1217" customFormat="1" x14ac:dyDescent="0.15"/>
    <row r="1218" customFormat="1" x14ac:dyDescent="0.15"/>
    <row r="1219" customFormat="1" x14ac:dyDescent="0.15"/>
    <row r="1220" customFormat="1" x14ac:dyDescent="0.15"/>
    <row r="1221" customFormat="1" x14ac:dyDescent="0.15"/>
    <row r="1222" customFormat="1" x14ac:dyDescent="0.15"/>
    <row r="1223" customFormat="1" x14ac:dyDescent="0.15"/>
    <row r="1224" customFormat="1" x14ac:dyDescent="0.15"/>
    <row r="1225" customFormat="1" x14ac:dyDescent="0.15"/>
    <row r="1226" customFormat="1" x14ac:dyDescent="0.15"/>
    <row r="1227" customFormat="1" x14ac:dyDescent="0.15"/>
    <row r="1228" customFormat="1" x14ac:dyDescent="0.15"/>
    <row r="1229" customFormat="1" x14ac:dyDescent="0.15"/>
    <row r="1230" customFormat="1" x14ac:dyDescent="0.15"/>
    <row r="1231" customFormat="1" x14ac:dyDescent="0.15"/>
    <row r="1232" customFormat="1" x14ac:dyDescent="0.15"/>
    <row r="1233" customFormat="1" x14ac:dyDescent="0.15"/>
    <row r="1234" customFormat="1" x14ac:dyDescent="0.15"/>
    <row r="1235" customFormat="1" x14ac:dyDescent="0.15"/>
    <row r="1236" customFormat="1" x14ac:dyDescent="0.15"/>
    <row r="1237" customFormat="1" x14ac:dyDescent="0.15"/>
    <row r="1238" customFormat="1" x14ac:dyDescent="0.15"/>
    <row r="1239" customFormat="1" x14ac:dyDescent="0.15"/>
    <row r="1240" customFormat="1" x14ac:dyDescent="0.15"/>
    <row r="1241" customFormat="1" x14ac:dyDescent="0.15"/>
    <row r="1242" customFormat="1" x14ac:dyDescent="0.15"/>
    <row r="1243" customFormat="1" x14ac:dyDescent="0.15"/>
    <row r="1244" customFormat="1" x14ac:dyDescent="0.15"/>
    <row r="1245" customFormat="1" x14ac:dyDescent="0.15"/>
    <row r="1246" customFormat="1" x14ac:dyDescent="0.15"/>
    <row r="1247" customFormat="1" x14ac:dyDescent="0.15"/>
    <row r="1248" customFormat="1" x14ac:dyDescent="0.15"/>
    <row r="1249" customFormat="1" x14ac:dyDescent="0.15"/>
    <row r="1250" customFormat="1" x14ac:dyDescent="0.15"/>
    <row r="1251" customFormat="1" x14ac:dyDescent="0.15"/>
    <row r="1252" customFormat="1" x14ac:dyDescent="0.15"/>
    <row r="1253" customFormat="1" x14ac:dyDescent="0.15"/>
    <row r="1254" customFormat="1" x14ac:dyDescent="0.15"/>
    <row r="1255" customFormat="1" x14ac:dyDescent="0.15"/>
    <row r="1256" customFormat="1" x14ac:dyDescent="0.15"/>
    <row r="1257" customFormat="1" x14ac:dyDescent="0.15"/>
    <row r="1258" customFormat="1" x14ac:dyDescent="0.15"/>
    <row r="1259" customFormat="1" x14ac:dyDescent="0.15"/>
    <row r="1260" customFormat="1" x14ac:dyDescent="0.15"/>
    <row r="1261" customFormat="1" x14ac:dyDescent="0.15"/>
    <row r="1262" customFormat="1" x14ac:dyDescent="0.15"/>
    <row r="1263" customFormat="1" x14ac:dyDescent="0.15"/>
    <row r="1264" customFormat="1" x14ac:dyDescent="0.15"/>
    <row r="1265" customFormat="1" x14ac:dyDescent="0.15"/>
    <row r="1266" customFormat="1" x14ac:dyDescent="0.15"/>
    <row r="1267" customFormat="1" x14ac:dyDescent="0.15"/>
    <row r="1268" customFormat="1" x14ac:dyDescent="0.15"/>
    <row r="1269" customFormat="1" x14ac:dyDescent="0.15"/>
    <row r="1270" customFormat="1" x14ac:dyDescent="0.15"/>
    <row r="1271" customFormat="1" x14ac:dyDescent="0.15"/>
    <row r="1272" customFormat="1" x14ac:dyDescent="0.15"/>
    <row r="1273" customFormat="1" x14ac:dyDescent="0.15"/>
    <row r="1274" customFormat="1" x14ac:dyDescent="0.15"/>
    <row r="1275" customFormat="1" x14ac:dyDescent="0.15"/>
    <row r="1276" customFormat="1" x14ac:dyDescent="0.15"/>
    <row r="1277" customFormat="1" x14ac:dyDescent="0.15"/>
    <row r="1278" customFormat="1" x14ac:dyDescent="0.15"/>
    <row r="1279" customFormat="1" x14ac:dyDescent="0.15"/>
    <row r="1280" customFormat="1" x14ac:dyDescent="0.15"/>
    <row r="1281" customFormat="1" x14ac:dyDescent="0.15"/>
    <row r="1282" customFormat="1" x14ac:dyDescent="0.15"/>
    <row r="1283" customFormat="1" x14ac:dyDescent="0.15"/>
    <row r="1284" customFormat="1" x14ac:dyDescent="0.15"/>
    <row r="1285" customFormat="1" x14ac:dyDescent="0.15"/>
    <row r="1286" customFormat="1" x14ac:dyDescent="0.15"/>
    <row r="1287" customFormat="1" x14ac:dyDescent="0.15"/>
    <row r="1288" customFormat="1" x14ac:dyDescent="0.15"/>
    <row r="1289" customFormat="1" x14ac:dyDescent="0.15"/>
    <row r="1290" customFormat="1" x14ac:dyDescent="0.15"/>
    <row r="1291" customFormat="1" x14ac:dyDescent="0.15"/>
    <row r="1292" customFormat="1" x14ac:dyDescent="0.15"/>
    <row r="1293" customFormat="1" x14ac:dyDescent="0.15"/>
    <row r="1294" customFormat="1" x14ac:dyDescent="0.15"/>
    <row r="1295" customFormat="1" x14ac:dyDescent="0.15"/>
    <row r="1296" customFormat="1" x14ac:dyDescent="0.15"/>
    <row r="1297" customFormat="1" x14ac:dyDescent="0.15"/>
    <row r="1298" customFormat="1" x14ac:dyDescent="0.15"/>
    <row r="1299" customFormat="1" x14ac:dyDescent="0.15"/>
    <row r="1300" customFormat="1" x14ac:dyDescent="0.15"/>
    <row r="1301" customFormat="1" x14ac:dyDescent="0.15"/>
    <row r="1302" customFormat="1" x14ac:dyDescent="0.15"/>
    <row r="1303" customFormat="1" x14ac:dyDescent="0.15"/>
    <row r="1304" customFormat="1" x14ac:dyDescent="0.15"/>
    <row r="1305" customFormat="1" x14ac:dyDescent="0.15"/>
    <row r="1306" customFormat="1" x14ac:dyDescent="0.15"/>
    <row r="1307" customFormat="1" x14ac:dyDescent="0.15"/>
    <row r="1308" customFormat="1" x14ac:dyDescent="0.15"/>
    <row r="1309" customFormat="1" x14ac:dyDescent="0.15"/>
    <row r="1310" customFormat="1" x14ac:dyDescent="0.15"/>
    <row r="1311" customFormat="1" x14ac:dyDescent="0.15"/>
    <row r="1312" customFormat="1" x14ac:dyDescent="0.15"/>
    <row r="1313" customFormat="1" x14ac:dyDescent="0.15"/>
    <row r="1314" customFormat="1" x14ac:dyDescent="0.15"/>
    <row r="1315" customFormat="1" x14ac:dyDescent="0.15"/>
    <row r="1316" customFormat="1" x14ac:dyDescent="0.15"/>
    <row r="1317" customFormat="1" x14ac:dyDescent="0.15"/>
    <row r="1318" customFormat="1" x14ac:dyDescent="0.15"/>
    <row r="1319" customFormat="1" x14ac:dyDescent="0.15"/>
    <row r="1320" customFormat="1" x14ac:dyDescent="0.15"/>
    <row r="1321" customFormat="1" x14ac:dyDescent="0.15"/>
    <row r="1322" customFormat="1" x14ac:dyDescent="0.15"/>
    <row r="1323" customFormat="1" x14ac:dyDescent="0.15"/>
    <row r="1324" customFormat="1" x14ac:dyDescent="0.15"/>
    <row r="1325" customFormat="1" x14ac:dyDescent="0.15"/>
    <row r="1326" customFormat="1" x14ac:dyDescent="0.15"/>
    <row r="1327" customFormat="1" x14ac:dyDescent="0.15"/>
    <row r="1328" customFormat="1" x14ac:dyDescent="0.15"/>
    <row r="1329" customFormat="1" x14ac:dyDescent="0.15"/>
    <row r="1330" customFormat="1" x14ac:dyDescent="0.15"/>
    <row r="1331" customFormat="1" x14ac:dyDescent="0.15"/>
    <row r="1332" customFormat="1" x14ac:dyDescent="0.15"/>
    <row r="1333" customFormat="1" x14ac:dyDescent="0.15"/>
    <row r="1334" customFormat="1" x14ac:dyDescent="0.15"/>
    <row r="1335" customFormat="1" x14ac:dyDescent="0.15"/>
    <row r="1336" customFormat="1" x14ac:dyDescent="0.15"/>
    <row r="1337" customFormat="1" x14ac:dyDescent="0.15"/>
    <row r="1338" customFormat="1" x14ac:dyDescent="0.15"/>
    <row r="1339" customFormat="1" x14ac:dyDescent="0.15"/>
    <row r="1340" customFormat="1" x14ac:dyDescent="0.15"/>
    <row r="1341" customFormat="1" x14ac:dyDescent="0.15"/>
    <row r="1342" customFormat="1" x14ac:dyDescent="0.15"/>
    <row r="1343" customFormat="1" x14ac:dyDescent="0.15"/>
    <row r="1344" customFormat="1" x14ac:dyDescent="0.15"/>
    <row r="1345" customFormat="1" x14ac:dyDescent="0.15"/>
    <row r="1346" customFormat="1" x14ac:dyDescent="0.15"/>
    <row r="1347" customFormat="1" x14ac:dyDescent="0.15"/>
    <row r="1348" customFormat="1" x14ac:dyDescent="0.15"/>
    <row r="1349" customFormat="1" x14ac:dyDescent="0.15"/>
    <row r="1350" customFormat="1" x14ac:dyDescent="0.15"/>
    <row r="1351" customFormat="1" x14ac:dyDescent="0.15"/>
    <row r="1352" customFormat="1" x14ac:dyDescent="0.15"/>
    <row r="1353" customFormat="1" x14ac:dyDescent="0.15"/>
    <row r="1354" customFormat="1" x14ac:dyDescent="0.15"/>
    <row r="1355" customFormat="1" x14ac:dyDescent="0.15"/>
    <row r="1356" customFormat="1" x14ac:dyDescent="0.15"/>
    <row r="1357" customFormat="1" x14ac:dyDescent="0.15"/>
    <row r="1358" customFormat="1" x14ac:dyDescent="0.15"/>
    <row r="1359" customFormat="1" x14ac:dyDescent="0.15"/>
    <row r="1360" customFormat="1" x14ac:dyDescent="0.15"/>
    <row r="1361" customFormat="1" x14ac:dyDescent="0.15"/>
    <row r="1362" customFormat="1" x14ac:dyDescent="0.15"/>
    <row r="1363" customFormat="1" x14ac:dyDescent="0.15"/>
    <row r="1364" customFormat="1" x14ac:dyDescent="0.15"/>
    <row r="1365" customFormat="1" x14ac:dyDescent="0.15"/>
    <row r="1366" customFormat="1" x14ac:dyDescent="0.15"/>
    <row r="1367" customFormat="1" x14ac:dyDescent="0.15"/>
    <row r="1368" customFormat="1" x14ac:dyDescent="0.15"/>
    <row r="1369" customFormat="1" x14ac:dyDescent="0.15"/>
    <row r="1370" customFormat="1" x14ac:dyDescent="0.15"/>
    <row r="1371" customFormat="1" x14ac:dyDescent="0.15"/>
    <row r="1372" customFormat="1" x14ac:dyDescent="0.15"/>
    <row r="1373" customFormat="1" x14ac:dyDescent="0.15"/>
    <row r="1374" customFormat="1" x14ac:dyDescent="0.15"/>
    <row r="1375" customFormat="1" x14ac:dyDescent="0.15"/>
    <row r="1376" customFormat="1" x14ac:dyDescent="0.15"/>
    <row r="1377" customFormat="1" x14ac:dyDescent="0.15"/>
    <row r="1378" customFormat="1" x14ac:dyDescent="0.15"/>
    <row r="1379" customFormat="1" x14ac:dyDescent="0.15"/>
    <row r="1380" customFormat="1" x14ac:dyDescent="0.15"/>
    <row r="1381" customFormat="1" x14ac:dyDescent="0.15"/>
    <row r="1382" customFormat="1" x14ac:dyDescent="0.15"/>
    <row r="1383" customFormat="1" x14ac:dyDescent="0.15"/>
    <row r="1384" customFormat="1" x14ac:dyDescent="0.15"/>
    <row r="1385" customFormat="1" x14ac:dyDescent="0.15"/>
    <row r="1386" customFormat="1" x14ac:dyDescent="0.15"/>
    <row r="1387" customFormat="1" x14ac:dyDescent="0.15"/>
    <row r="1388" customFormat="1" x14ac:dyDescent="0.15"/>
    <row r="1389" customFormat="1" x14ac:dyDescent="0.15"/>
    <row r="1390" customFormat="1" x14ac:dyDescent="0.15"/>
    <row r="1391" customFormat="1" x14ac:dyDescent="0.15"/>
    <row r="1392" customFormat="1" x14ac:dyDescent="0.15"/>
    <row r="1393" customFormat="1" x14ac:dyDescent="0.15"/>
    <row r="1394" customFormat="1" x14ac:dyDescent="0.15"/>
    <row r="1395" customFormat="1" x14ac:dyDescent="0.15"/>
    <row r="1396" customFormat="1" x14ac:dyDescent="0.15"/>
    <row r="1397" customFormat="1" x14ac:dyDescent="0.15"/>
    <row r="1398" customFormat="1" x14ac:dyDescent="0.15"/>
    <row r="1399" customFormat="1" x14ac:dyDescent="0.15"/>
    <row r="1400" customFormat="1" x14ac:dyDescent="0.15"/>
    <row r="1401" customFormat="1" x14ac:dyDescent="0.15"/>
    <row r="1402" customFormat="1" x14ac:dyDescent="0.15"/>
    <row r="1403" customFormat="1" x14ac:dyDescent="0.15"/>
    <row r="1404" customFormat="1" x14ac:dyDescent="0.15"/>
    <row r="1405" customFormat="1" x14ac:dyDescent="0.15"/>
    <row r="1406" customFormat="1" x14ac:dyDescent="0.15"/>
    <row r="1407" customFormat="1" x14ac:dyDescent="0.15"/>
    <row r="1408" customFormat="1" x14ac:dyDescent="0.15"/>
    <row r="1409" customFormat="1" x14ac:dyDescent="0.15"/>
    <row r="1410" customFormat="1" x14ac:dyDescent="0.15"/>
    <row r="1411" customFormat="1" x14ac:dyDescent="0.15"/>
    <row r="1412" customFormat="1" x14ac:dyDescent="0.15"/>
    <row r="1413" customFormat="1" x14ac:dyDescent="0.15"/>
    <row r="1414" customFormat="1" x14ac:dyDescent="0.15"/>
    <row r="1415" customFormat="1" x14ac:dyDescent="0.15"/>
    <row r="1416" customFormat="1" x14ac:dyDescent="0.15"/>
    <row r="1417" customFormat="1" x14ac:dyDescent="0.15"/>
    <row r="1418" customFormat="1" x14ac:dyDescent="0.15"/>
    <row r="1419" customFormat="1" x14ac:dyDescent="0.15"/>
    <row r="1420" customFormat="1" x14ac:dyDescent="0.15"/>
    <row r="1421" customFormat="1" x14ac:dyDescent="0.15"/>
    <row r="1422" customFormat="1" x14ac:dyDescent="0.15"/>
    <row r="1423" customFormat="1" x14ac:dyDescent="0.15"/>
    <row r="1424" customFormat="1" x14ac:dyDescent="0.15"/>
    <row r="1425" customFormat="1" x14ac:dyDescent="0.15"/>
    <row r="1426" customFormat="1" x14ac:dyDescent="0.15"/>
    <row r="1427" customFormat="1" x14ac:dyDescent="0.15"/>
    <row r="1428" customFormat="1" x14ac:dyDescent="0.15"/>
    <row r="1429" customFormat="1" x14ac:dyDescent="0.15"/>
    <row r="1430" customFormat="1" x14ac:dyDescent="0.15"/>
    <row r="1431" customFormat="1" x14ac:dyDescent="0.15"/>
    <row r="1432" customFormat="1" x14ac:dyDescent="0.15"/>
    <row r="1433" customFormat="1" x14ac:dyDescent="0.15"/>
    <row r="1434" customFormat="1" x14ac:dyDescent="0.15"/>
    <row r="1435" customFormat="1" x14ac:dyDescent="0.15"/>
    <row r="1436" customFormat="1" x14ac:dyDescent="0.15"/>
    <row r="1437" customFormat="1" x14ac:dyDescent="0.15"/>
    <row r="1438" customFormat="1" x14ac:dyDescent="0.15"/>
    <row r="1439" customFormat="1" x14ac:dyDescent="0.15"/>
    <row r="1440" customFormat="1" x14ac:dyDescent="0.15"/>
    <row r="1441" customFormat="1" x14ac:dyDescent="0.15"/>
    <row r="1442" customFormat="1" x14ac:dyDescent="0.15"/>
    <row r="1443" customFormat="1" x14ac:dyDescent="0.15"/>
    <row r="1444" customFormat="1" x14ac:dyDescent="0.15"/>
    <row r="1445" customFormat="1" x14ac:dyDescent="0.15"/>
    <row r="1446" customFormat="1" x14ac:dyDescent="0.15"/>
    <row r="1447" customFormat="1" x14ac:dyDescent="0.15"/>
    <row r="1448" customFormat="1" x14ac:dyDescent="0.15"/>
    <row r="1449" customFormat="1" x14ac:dyDescent="0.15"/>
    <row r="1450" customFormat="1" x14ac:dyDescent="0.15"/>
    <row r="1451" customFormat="1" x14ac:dyDescent="0.15"/>
    <row r="1452" customFormat="1" x14ac:dyDescent="0.15"/>
    <row r="1453" customFormat="1" x14ac:dyDescent="0.15"/>
    <row r="1454" customFormat="1" x14ac:dyDescent="0.15"/>
    <row r="1455" customFormat="1" x14ac:dyDescent="0.15"/>
    <row r="1456" customFormat="1" x14ac:dyDescent="0.15"/>
    <row r="1457" customFormat="1" x14ac:dyDescent="0.15"/>
    <row r="1458" customFormat="1" x14ac:dyDescent="0.15"/>
    <row r="1459" customFormat="1" x14ac:dyDescent="0.15"/>
    <row r="1460" customFormat="1" x14ac:dyDescent="0.15"/>
    <row r="1461" customFormat="1" x14ac:dyDescent="0.15"/>
    <row r="1462" customFormat="1" x14ac:dyDescent="0.15"/>
    <row r="1463" customFormat="1" x14ac:dyDescent="0.15"/>
    <row r="1464" customFormat="1" x14ac:dyDescent="0.15"/>
    <row r="1465" customFormat="1" x14ac:dyDescent="0.15"/>
    <row r="1466" customFormat="1" x14ac:dyDescent="0.15"/>
    <row r="1467" customFormat="1" x14ac:dyDescent="0.15"/>
    <row r="1468" customFormat="1" x14ac:dyDescent="0.15"/>
    <row r="1469" customFormat="1" x14ac:dyDescent="0.15"/>
    <row r="1470" customFormat="1" x14ac:dyDescent="0.15"/>
    <row r="1471" customFormat="1" x14ac:dyDescent="0.15"/>
    <row r="1472" customFormat="1" x14ac:dyDescent="0.15"/>
    <row r="1473" customFormat="1" x14ac:dyDescent="0.15"/>
    <row r="1474" customFormat="1" x14ac:dyDescent="0.15"/>
    <row r="1475" customFormat="1" x14ac:dyDescent="0.15"/>
    <row r="1476" customFormat="1" x14ac:dyDescent="0.15"/>
    <row r="1477" customFormat="1" x14ac:dyDescent="0.15"/>
    <row r="1478" customFormat="1" x14ac:dyDescent="0.15"/>
    <row r="1479" customFormat="1" x14ac:dyDescent="0.15"/>
    <row r="1480" customFormat="1" x14ac:dyDescent="0.15"/>
    <row r="1481" customFormat="1" x14ac:dyDescent="0.15"/>
    <row r="1482" customFormat="1" x14ac:dyDescent="0.15"/>
    <row r="1483" customFormat="1" x14ac:dyDescent="0.15"/>
    <row r="1484" customFormat="1" x14ac:dyDescent="0.15"/>
    <row r="1485" customFormat="1" x14ac:dyDescent="0.15"/>
    <row r="1486" customFormat="1" x14ac:dyDescent="0.15"/>
    <row r="1487" customFormat="1" x14ac:dyDescent="0.15"/>
    <row r="1488" customFormat="1" x14ac:dyDescent="0.15"/>
    <row r="1489" customFormat="1" x14ac:dyDescent="0.15"/>
    <row r="1490" customFormat="1" x14ac:dyDescent="0.15"/>
    <row r="1491" customFormat="1" x14ac:dyDescent="0.15"/>
    <row r="1492" customFormat="1" x14ac:dyDescent="0.15"/>
    <row r="1493" customFormat="1" x14ac:dyDescent="0.15"/>
    <row r="1494" customFormat="1" x14ac:dyDescent="0.15"/>
    <row r="1495" customFormat="1" x14ac:dyDescent="0.15"/>
    <row r="1496" customFormat="1" x14ac:dyDescent="0.15"/>
    <row r="1497" customFormat="1" x14ac:dyDescent="0.15"/>
    <row r="1498" customFormat="1" x14ac:dyDescent="0.15"/>
    <row r="1499" customFormat="1" x14ac:dyDescent="0.15"/>
    <row r="1500" customFormat="1" x14ac:dyDescent="0.15"/>
    <row r="1501" customFormat="1" x14ac:dyDescent="0.15"/>
    <row r="1502" customFormat="1" x14ac:dyDescent="0.15"/>
    <row r="1503" customFormat="1" x14ac:dyDescent="0.15"/>
    <row r="1504" customFormat="1" x14ac:dyDescent="0.15"/>
    <row r="1505" customFormat="1" x14ac:dyDescent="0.15"/>
    <row r="1506" customFormat="1" x14ac:dyDescent="0.15"/>
    <row r="1507" customFormat="1" x14ac:dyDescent="0.15"/>
    <row r="1508" customFormat="1" x14ac:dyDescent="0.15"/>
    <row r="1509" customFormat="1" x14ac:dyDescent="0.15"/>
    <row r="1510" customFormat="1" x14ac:dyDescent="0.15"/>
    <row r="1511" customFormat="1" x14ac:dyDescent="0.15"/>
    <row r="1512" customFormat="1" x14ac:dyDescent="0.15"/>
    <row r="1513" customFormat="1" x14ac:dyDescent="0.15"/>
    <row r="1514" customFormat="1" x14ac:dyDescent="0.15"/>
    <row r="1515" customFormat="1" x14ac:dyDescent="0.15"/>
    <row r="1516" customFormat="1" x14ac:dyDescent="0.15"/>
    <row r="1517" customFormat="1" x14ac:dyDescent="0.15"/>
    <row r="1518" customFormat="1" x14ac:dyDescent="0.15"/>
    <row r="1519" customFormat="1" x14ac:dyDescent="0.15"/>
    <row r="1520" customFormat="1" x14ac:dyDescent="0.15"/>
    <row r="1521" customFormat="1" x14ac:dyDescent="0.15"/>
    <row r="1522" customFormat="1" x14ac:dyDescent="0.15"/>
    <row r="1523" customFormat="1" x14ac:dyDescent="0.15"/>
    <row r="1524" customFormat="1" x14ac:dyDescent="0.15"/>
    <row r="1525" customFormat="1" x14ac:dyDescent="0.15"/>
    <row r="1526" customFormat="1" x14ac:dyDescent="0.15"/>
    <row r="1527" customFormat="1" x14ac:dyDescent="0.15"/>
    <row r="1528" customFormat="1" x14ac:dyDescent="0.15"/>
    <row r="1529" customFormat="1" x14ac:dyDescent="0.15"/>
    <row r="1530" customFormat="1" x14ac:dyDescent="0.15"/>
    <row r="1531" customFormat="1" x14ac:dyDescent="0.15"/>
    <row r="1532" customFormat="1" x14ac:dyDescent="0.15"/>
    <row r="1533" customFormat="1" x14ac:dyDescent="0.15"/>
    <row r="1534" customFormat="1" x14ac:dyDescent="0.15"/>
    <row r="1535" customFormat="1" x14ac:dyDescent="0.15"/>
    <row r="1536" customFormat="1" x14ac:dyDescent="0.15"/>
    <row r="1537" customFormat="1" x14ac:dyDescent="0.15"/>
    <row r="1538" customFormat="1" x14ac:dyDescent="0.15"/>
    <row r="1539" customFormat="1" x14ac:dyDescent="0.15"/>
    <row r="1540" customFormat="1" x14ac:dyDescent="0.15"/>
    <row r="1541" customFormat="1" x14ac:dyDescent="0.15"/>
    <row r="1542" customFormat="1" x14ac:dyDescent="0.15"/>
    <row r="1543" customFormat="1" x14ac:dyDescent="0.15"/>
    <row r="1544" customFormat="1" x14ac:dyDescent="0.15"/>
    <row r="1545" customFormat="1" x14ac:dyDescent="0.15"/>
    <row r="1546" customFormat="1" x14ac:dyDescent="0.15"/>
    <row r="1547" customFormat="1" x14ac:dyDescent="0.15"/>
    <row r="1548" customFormat="1" x14ac:dyDescent="0.15"/>
    <row r="1549" customFormat="1" x14ac:dyDescent="0.15"/>
    <row r="1550" customFormat="1" x14ac:dyDescent="0.15"/>
    <row r="1551" customFormat="1" x14ac:dyDescent="0.15"/>
    <row r="1552" customFormat="1" x14ac:dyDescent="0.15"/>
    <row r="1553" customFormat="1" x14ac:dyDescent="0.15"/>
    <row r="1554" customFormat="1" x14ac:dyDescent="0.15"/>
    <row r="1555" customFormat="1" x14ac:dyDescent="0.15"/>
    <row r="1556" customFormat="1" x14ac:dyDescent="0.15"/>
    <row r="1557" customFormat="1" x14ac:dyDescent="0.15"/>
    <row r="1558" customFormat="1" x14ac:dyDescent="0.15"/>
    <row r="1559" customFormat="1" x14ac:dyDescent="0.15"/>
    <row r="1560" customFormat="1" x14ac:dyDescent="0.15"/>
    <row r="1561" customFormat="1" x14ac:dyDescent="0.15"/>
    <row r="1562" customFormat="1" x14ac:dyDescent="0.15"/>
    <row r="1563" customFormat="1" x14ac:dyDescent="0.15"/>
    <row r="1564" customFormat="1" x14ac:dyDescent="0.15"/>
    <row r="1565" customFormat="1" x14ac:dyDescent="0.15"/>
    <row r="1566" customFormat="1" x14ac:dyDescent="0.15"/>
  </sheetData>
  <sortState ref="B5:L52">
    <sortCondition ref="C5:C52"/>
  </sortState>
  <mergeCells count="6">
    <mergeCell ref="CB4:CC4"/>
    <mergeCell ref="BX4:BY4"/>
    <mergeCell ref="BV4:BW4"/>
    <mergeCell ref="BT4:BU4"/>
    <mergeCell ref="BR4:BS4"/>
    <mergeCell ref="BZ4:CA4"/>
  </mergeCells>
  <phoneticPr fontId="0" type="noConversion"/>
  <conditionalFormatting sqref="AK74:AK77 AI78:AI83">
    <cfRule type="cellIs" dxfId="13" priority="6" stopIfTrue="1" operator="greaterThanOrEqual">
      <formula>75</formula>
    </cfRule>
  </conditionalFormatting>
  <conditionalFormatting sqref="A5:XFD62">
    <cfRule type="expression" dxfId="12" priority="5">
      <formula>MOD(ROW(),2)=0</formula>
    </cfRule>
  </conditionalFormatting>
  <printOptions gridLines="1" gridLinesSet="0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XDF95"/>
  <sheetViews>
    <sheetView workbookViewId="0">
      <pane xSplit="2" ySplit="4" topLeftCell="P5" activePane="bottomRight" state="frozen"/>
      <selection pane="topRight" activeCell="C1" sqref="C1"/>
      <selection pane="bottomLeft" activeCell="A5" sqref="A5"/>
      <selection pane="bottomRight" activeCell="A25" sqref="A25:XFD25"/>
    </sheetView>
  </sheetViews>
  <sheetFormatPr defaultRowHeight="10.5" x14ac:dyDescent="0.15"/>
  <cols>
    <col min="1" max="1" width="6" style="2" bestFit="1" customWidth="1"/>
    <col min="2" max="2" width="18.7109375" style="2" bestFit="1" customWidth="1"/>
    <col min="3" max="32" width="11.42578125" style="2" customWidth="1"/>
    <col min="33" max="34" width="6" style="2" bestFit="1" customWidth="1"/>
    <col min="35" max="35" width="9.140625" style="2"/>
    <col min="36" max="36" width="6" style="51" bestFit="1" customWidth="1"/>
    <col min="37" max="37" width="5" style="51" bestFit="1" customWidth="1"/>
    <col min="38" max="38" width="5.85546875" style="177" bestFit="1" customWidth="1"/>
    <col min="39" max="39" width="7" style="177" bestFit="1" customWidth="1"/>
    <col min="40" max="41" width="5" style="177" bestFit="1" customWidth="1"/>
    <col min="42" max="42" width="7.28515625" style="52" bestFit="1" customWidth="1"/>
    <col min="43" max="43" width="7" style="51" customWidth="1"/>
    <col min="44" max="44" width="5.5703125" style="51" bestFit="1" customWidth="1"/>
    <col min="45" max="45" width="4.7109375" style="46" bestFit="1" customWidth="1"/>
    <col min="46" max="46" width="8.5703125" style="2" bestFit="1" customWidth="1"/>
    <col min="47" max="47" width="5.140625" style="2" bestFit="1" customWidth="1"/>
    <col min="48" max="16384" width="9.140625" style="2"/>
  </cols>
  <sheetData>
    <row r="1" spans="2:49" s="3" customFormat="1" ht="51" x14ac:dyDescent="0.15">
      <c r="B1" s="3" t="str">
        <f t="array" ref="B1:AF4">TRANSPOSE(Matches!B4:E32)</f>
        <v>Date</v>
      </c>
      <c r="C1" s="4">
        <v>44675</v>
      </c>
      <c r="D1" s="4">
        <v>44682</v>
      </c>
      <c r="E1" s="4">
        <v>44689</v>
      </c>
      <c r="F1" s="4">
        <v>44696</v>
      </c>
      <c r="G1" s="4">
        <v>44703</v>
      </c>
      <c r="H1" s="4">
        <v>44715</v>
      </c>
      <c r="I1" s="4">
        <v>44714</v>
      </c>
      <c r="J1" s="4">
        <v>44716</v>
      </c>
      <c r="K1" s="4">
        <v>44724</v>
      </c>
      <c r="L1" s="4">
        <v>44731</v>
      </c>
      <c r="M1" s="4">
        <v>44738</v>
      </c>
      <c r="N1" s="4">
        <v>44745</v>
      </c>
      <c r="O1" s="4">
        <v>44752</v>
      </c>
      <c r="P1" s="4">
        <v>44759</v>
      </c>
      <c r="Q1" s="4">
        <v>44780</v>
      </c>
      <c r="R1" s="4">
        <v>44787</v>
      </c>
      <c r="S1" s="4">
        <v>44801</v>
      </c>
      <c r="T1" s="4">
        <v>44808</v>
      </c>
      <c r="U1" s="4">
        <v>44815</v>
      </c>
      <c r="V1" s="4">
        <v>44822</v>
      </c>
      <c r="W1" s="4">
        <v>44829</v>
      </c>
      <c r="X1" s="4">
        <v>0</v>
      </c>
      <c r="Y1" s="4">
        <v>0</v>
      </c>
      <c r="Z1" s="4">
        <v>0</v>
      </c>
      <c r="AA1" s="4">
        <v>0</v>
      </c>
      <c r="AB1" s="4">
        <v>0</v>
      </c>
      <c r="AC1" s="4">
        <v>0</v>
      </c>
      <c r="AD1" s="4">
        <v>0</v>
      </c>
      <c r="AE1" s="4" t="e">
        <v>#N/A</v>
      </c>
      <c r="AF1" s="4" t="e">
        <v>#N/A</v>
      </c>
      <c r="AG1" s="4"/>
      <c r="AH1" s="4"/>
      <c r="AJ1" s="48"/>
      <c r="AK1" s="48"/>
      <c r="AL1" s="176"/>
      <c r="AM1" s="176"/>
      <c r="AN1" s="176"/>
      <c r="AO1" s="176"/>
      <c r="AP1" s="49"/>
      <c r="AQ1" s="50"/>
      <c r="AR1" s="50"/>
      <c r="AS1" s="45"/>
    </row>
    <row r="2" spans="2:49" ht="108.75" x14ac:dyDescent="0.15">
      <c r="B2" s="2" t="str">
        <v>Opp</v>
      </c>
      <c r="C2" s="1" t="str">
        <v>Worcester Park</v>
      </c>
      <c r="D2" s="1" t="str">
        <v>Riverside</v>
      </c>
      <c r="E2" s="1" t="str">
        <v>Warlingham</v>
      </c>
      <c r="F2" s="1" t="str">
        <v>YRG Eagles</v>
      </c>
      <c r="G2" s="1" t="str">
        <v>Merton Bears</v>
      </c>
      <c r="H2" s="1" t="str">
        <v>Woodgreen</v>
      </c>
      <c r="I2" s="1" t="str">
        <v>Steeple Langford</v>
      </c>
      <c r="J2" s="1" t="str">
        <v>Fonthill Park</v>
      </c>
      <c r="K2" s="1" t="str">
        <v>Beddington</v>
      </c>
      <c r="L2" s="1" t="str">
        <v>Richmond Legbreakers</v>
      </c>
      <c r="M2" s="1" t="str">
        <v>Norwood Exiles</v>
      </c>
      <c r="N2" s="1" t="str">
        <v>London Leopards</v>
      </c>
      <c r="O2" s="1" t="str">
        <v>Morden</v>
      </c>
      <c r="P2" s="1" t="str">
        <v>Sanderstead</v>
      </c>
      <c r="Q2" s="1" t="str">
        <v>Worcester Park</v>
      </c>
      <c r="R2" s="1" t="str">
        <v>Norwood Exiles</v>
      </c>
      <c r="S2" s="1" t="str">
        <v>Mitcham</v>
      </c>
      <c r="T2" s="1" t="str">
        <v>Beddington</v>
      </c>
      <c r="U2" s="1" t="str">
        <v>Battersea Ironsides</v>
      </c>
      <c r="V2" s="1" t="str">
        <v>Ploughman's Sunday XI</v>
      </c>
      <c r="W2" s="1" t="str">
        <v>Sanderstead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 t="e">
        <v>#N/A</v>
      </c>
      <c r="AF2" s="1" t="e">
        <v>#N/A</v>
      </c>
      <c r="AG2" s="1"/>
      <c r="AH2" s="1"/>
    </row>
    <row r="3" spans="2:49" ht="27.75" x14ac:dyDescent="0.15">
      <c r="B3" s="2" t="str">
        <v>Venue</v>
      </c>
      <c r="C3" s="1" t="str">
        <v>H</v>
      </c>
      <c r="D3" s="1" t="str">
        <v>H</v>
      </c>
      <c r="E3" s="1" t="str">
        <v>A</v>
      </c>
      <c r="F3" s="1" t="str">
        <v>H</v>
      </c>
      <c r="G3" s="1" t="str">
        <v>A</v>
      </c>
      <c r="H3" s="1" t="str">
        <v>A</v>
      </c>
      <c r="I3" s="1" t="str">
        <v>A</v>
      </c>
      <c r="J3" s="1" t="str">
        <v>A</v>
      </c>
      <c r="K3" s="1" t="str">
        <v>A</v>
      </c>
      <c r="L3" s="1" t="str">
        <v>H</v>
      </c>
      <c r="M3" s="1" t="str">
        <v>A</v>
      </c>
      <c r="N3" s="1" t="str">
        <v>A</v>
      </c>
      <c r="O3" s="1" t="str">
        <v>A</v>
      </c>
      <c r="P3" s="1" t="str">
        <v>H</v>
      </c>
      <c r="Q3" s="1" t="str">
        <v>A</v>
      </c>
      <c r="R3" s="1" t="str">
        <v>H</v>
      </c>
      <c r="S3" s="1" t="str">
        <v>A</v>
      </c>
      <c r="T3" s="1" t="str">
        <v>H</v>
      </c>
      <c r="U3" s="1" t="str">
        <v>A</v>
      </c>
      <c r="V3" s="1" t="str">
        <v>H</v>
      </c>
      <c r="W3" s="1" t="str">
        <v>A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 t="e">
        <v>#N/A</v>
      </c>
      <c r="AF3" s="1" t="e">
        <v>#N/A</v>
      </c>
      <c r="AG3" s="1"/>
      <c r="AH3" s="1"/>
    </row>
    <row r="4" spans="2:49" ht="27.75" x14ac:dyDescent="0.15">
      <c r="B4" s="2" t="str">
        <v>Result</v>
      </c>
      <c r="C4" s="1" t="str">
        <v>W</v>
      </c>
      <c r="D4" s="1" t="str">
        <v>W</v>
      </c>
      <c r="E4" s="1" t="str">
        <v>D</v>
      </c>
      <c r="F4" s="1" t="str">
        <v>W</v>
      </c>
      <c r="G4" s="1" t="str">
        <v>W</v>
      </c>
      <c r="H4" s="1" t="str">
        <v>ND</v>
      </c>
      <c r="I4" s="1" t="str">
        <v>W</v>
      </c>
      <c r="J4" s="1" t="str">
        <v>L</v>
      </c>
      <c r="K4" s="1" t="str">
        <v>W</v>
      </c>
      <c r="L4" s="1" t="str">
        <v>L</v>
      </c>
      <c r="M4" s="1" t="str">
        <v>W</v>
      </c>
      <c r="N4" s="1" t="str">
        <v>W</v>
      </c>
      <c r="O4" s="1" t="str">
        <v>W</v>
      </c>
      <c r="P4" s="1" t="str">
        <v>L</v>
      </c>
      <c r="Q4" s="1" t="str">
        <v>W</v>
      </c>
      <c r="R4" s="1" t="str">
        <v>W</v>
      </c>
      <c r="S4" s="1" t="str">
        <v>L</v>
      </c>
      <c r="T4" s="1" t="str">
        <v>L</v>
      </c>
      <c r="U4" s="1" t="str">
        <v>L</v>
      </c>
      <c r="V4" s="1" t="str">
        <v>L</v>
      </c>
      <c r="W4" s="1" t="str">
        <v>W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 t="e">
        <v>#N/A</v>
      </c>
      <c r="AF4" s="1" t="e">
        <v>#N/A</v>
      </c>
      <c r="AG4" s="1"/>
      <c r="AH4" s="1"/>
      <c r="AJ4" s="47" t="s">
        <v>7</v>
      </c>
      <c r="AK4" s="47" t="s">
        <v>29</v>
      </c>
      <c r="AL4" s="178" t="s">
        <v>30</v>
      </c>
      <c r="AM4" s="178" t="s">
        <v>31</v>
      </c>
      <c r="AN4" s="178" t="s">
        <v>9</v>
      </c>
      <c r="AO4" s="178" t="s">
        <v>32</v>
      </c>
      <c r="AP4" s="44" t="s">
        <v>33</v>
      </c>
      <c r="AQ4" s="47" t="s">
        <v>34</v>
      </c>
      <c r="AR4" s="47" t="s">
        <v>35</v>
      </c>
      <c r="AS4" s="46" t="s">
        <v>90</v>
      </c>
      <c r="AT4" s="70" t="s">
        <v>133</v>
      </c>
      <c r="AU4" s="2" t="s">
        <v>128</v>
      </c>
      <c r="AV4" s="2" t="s">
        <v>185</v>
      </c>
      <c r="AW4" s="2" t="s">
        <v>220</v>
      </c>
    </row>
    <row r="5" spans="2:49" x14ac:dyDescent="0.15">
      <c r="B5" s="2" t="s">
        <v>263</v>
      </c>
      <c r="C5" s="2" t="s">
        <v>367</v>
      </c>
      <c r="I5" s="2" t="s">
        <v>482</v>
      </c>
      <c r="L5" s="2" t="s">
        <v>532</v>
      </c>
      <c r="P5" s="2" t="s">
        <v>368</v>
      </c>
      <c r="R5" s="2" t="s">
        <v>639</v>
      </c>
      <c r="V5" s="2" t="s">
        <v>692</v>
      </c>
      <c r="AJ5" s="51">
        <f t="shared" ref="AJ5" si="0">BowlSplit(C5:AH5,InnsBowledIn)</f>
        <v>6</v>
      </c>
      <c r="AK5" s="51">
        <f t="shared" ref="AK5" si="1">BowlSplit(C5:AH5,BallsBowled)</f>
        <v>210</v>
      </c>
      <c r="AL5" s="179">
        <f t="shared" ref="AL5" si="2">BowlSplit(C5:AH5,OversBowled)</f>
        <v>35</v>
      </c>
      <c r="AM5" s="177">
        <f t="shared" ref="AM5" si="3">BowlSplit(C5:AH5,Maidens)</f>
        <v>1</v>
      </c>
      <c r="AN5" s="177">
        <f t="shared" ref="AN5" si="4">BowlSplit(C5:AH5,RunsConceded)</f>
        <v>151</v>
      </c>
      <c r="AO5" s="177">
        <f t="shared" ref="AO5" si="5">BowlSplit(C5:AH5,WicketsTaken)</f>
        <v>6</v>
      </c>
      <c r="AP5" s="53">
        <f t="shared" ref="AP5" si="6">IF(AO5&gt;0,ROUND(AN5/AO5,2),"")</f>
        <v>25.17</v>
      </c>
      <c r="AQ5" s="54">
        <f t="shared" ref="AQ5" si="7">IF(AO5&gt;0,AK5/AO5,"")</f>
        <v>35</v>
      </c>
      <c r="AR5" s="54">
        <f t="shared" ref="AR5" si="8">IF(AK5&gt;0,6*AN5/AK5,"")</f>
        <v>4.3142857142857141</v>
      </c>
      <c r="AS5" s="46" t="str">
        <f t="shared" ref="AS5" si="9">BowlSplit(C5:AH5,BestBowling)</f>
        <v>3-23</v>
      </c>
      <c r="AT5" s="55">
        <f t="shared" ref="AT5" si="10">IF(AO5&gt;0,AP5,IF(AK5&gt;0,AK5+1000,99999))+ROW(AL5)/10000</f>
        <v>25.170500000000001</v>
      </c>
      <c r="AU5" s="2">
        <f>RANK(AT5,$AT$5:$AT$48,1)</f>
        <v>13</v>
      </c>
      <c r="AV5" s="101">
        <f t="shared" ref="AV5" si="11">IF(AK5&gt;=120,AM5/AK5*6,"")</f>
        <v>2.8571428571428574E-2</v>
      </c>
      <c r="AW5" s="2">
        <f t="shared" ref="AW5" si="12">BowlSplit(C5:AH5,FiveFors)</f>
        <v>0</v>
      </c>
    </row>
    <row r="6" spans="2:49" x14ac:dyDescent="0.15">
      <c r="B6" s="2" t="s">
        <v>235</v>
      </c>
      <c r="D6" s="2" t="s">
        <v>448</v>
      </c>
      <c r="E6" s="2" t="s">
        <v>423</v>
      </c>
      <c r="F6" s="2" t="s">
        <v>396</v>
      </c>
      <c r="G6" s="2" t="s">
        <v>440</v>
      </c>
      <c r="I6" s="2" t="s">
        <v>481</v>
      </c>
      <c r="J6" s="2" t="s">
        <v>492</v>
      </c>
      <c r="K6" s="2" t="s">
        <v>506</v>
      </c>
      <c r="L6" s="2" t="s">
        <v>527</v>
      </c>
      <c r="M6" s="2" t="s">
        <v>547</v>
      </c>
      <c r="N6" s="2" t="s">
        <v>565</v>
      </c>
      <c r="O6" s="2" t="s">
        <v>605</v>
      </c>
      <c r="Q6" s="2" t="s">
        <v>625</v>
      </c>
      <c r="S6" s="2" t="s">
        <v>658</v>
      </c>
      <c r="AJ6" s="51">
        <f t="shared" ref="AJ6:AJ48" si="13">BowlSplit(C6:AH6,InnsBowledIn)</f>
        <v>13</v>
      </c>
      <c r="AK6" s="51">
        <f t="shared" ref="AK6:AK48" si="14">BowlSplit(C6:AH6,BallsBowled)</f>
        <v>465</v>
      </c>
      <c r="AL6" s="179">
        <f t="shared" ref="AL6:AL48" si="15">BowlSplit(C6:AH6,OversBowled)</f>
        <v>77.3</v>
      </c>
      <c r="AM6" s="177">
        <f t="shared" ref="AM6:AM48" si="16">BowlSplit(C6:AH6,Maidens)</f>
        <v>11</v>
      </c>
      <c r="AN6" s="177">
        <f t="shared" ref="AN6:AN48" si="17">BowlSplit(C6:AH6,RunsConceded)</f>
        <v>341</v>
      </c>
      <c r="AO6" s="177">
        <f t="shared" ref="AO6:AO48" si="18">BowlSplit(C6:AH6,WicketsTaken)</f>
        <v>16</v>
      </c>
      <c r="AP6" s="53">
        <f t="shared" ref="AP6:AP48" si="19">IF(AO6&gt;0,ROUND(AN6/AO6,2),"")</f>
        <v>21.31</v>
      </c>
      <c r="AQ6" s="54">
        <f t="shared" ref="AQ6:AQ48" si="20">IF(AO6&gt;0,AK6/AO6,"")</f>
        <v>29.0625</v>
      </c>
      <c r="AR6" s="54">
        <f t="shared" ref="AR6:AR48" si="21">IF(AK6&gt;0,6*AN6/AK6,"")</f>
        <v>4.4000000000000004</v>
      </c>
      <c r="AS6" s="46" t="str">
        <f t="shared" ref="AS6:AS48" si="22">BowlSplit(C6:AH6,BestBowling)</f>
        <v>4-20</v>
      </c>
      <c r="AT6" s="55">
        <f t="shared" ref="AT6:AT48" si="23">IF(AO6&gt;0,AP6,IF(AK6&gt;0,AK6+1000,99999))+ROW(AL6)/10000</f>
        <v>21.310599999999997</v>
      </c>
      <c r="AU6" s="2">
        <f t="shared" ref="AU6:AU48" si="24">RANK(AT6,$AT$5:$AT$48,1)</f>
        <v>10</v>
      </c>
      <c r="AV6" s="101">
        <f t="shared" ref="AV6:AV48" si="25">IF(AK6&gt;=120,AM6/AK6*6,"")</f>
        <v>0.14193548387096774</v>
      </c>
      <c r="AW6" s="2">
        <f t="shared" ref="AW6:AW48" si="26">BowlSplit(C6:AH6,FiveFors)</f>
        <v>0</v>
      </c>
    </row>
    <row r="7" spans="2:49" x14ac:dyDescent="0.15">
      <c r="B7" s="2" t="s">
        <v>224</v>
      </c>
      <c r="D7" s="2" t="s">
        <v>450</v>
      </c>
      <c r="AJ7" s="51">
        <f t="shared" si="13"/>
        <v>1</v>
      </c>
      <c r="AK7" s="51">
        <f t="shared" si="14"/>
        <v>24</v>
      </c>
      <c r="AL7" s="179">
        <f t="shared" si="15"/>
        <v>4</v>
      </c>
      <c r="AM7" s="177">
        <f t="shared" si="16"/>
        <v>0</v>
      </c>
      <c r="AN7" s="177">
        <f t="shared" si="17"/>
        <v>30</v>
      </c>
      <c r="AO7" s="177">
        <f t="shared" si="18"/>
        <v>0</v>
      </c>
      <c r="AP7" s="53" t="str">
        <f t="shared" si="19"/>
        <v/>
      </c>
      <c r="AQ7" s="54" t="str">
        <f t="shared" si="20"/>
        <v/>
      </c>
      <c r="AR7" s="54">
        <f t="shared" si="21"/>
        <v>7.5</v>
      </c>
      <c r="AS7" s="46" t="str">
        <f t="shared" si="22"/>
        <v>0-30</v>
      </c>
      <c r="AT7" s="55">
        <f t="shared" si="23"/>
        <v>1024.0007000000001</v>
      </c>
      <c r="AU7" s="2">
        <f t="shared" si="24"/>
        <v>24</v>
      </c>
      <c r="AV7" s="101" t="str">
        <f t="shared" si="25"/>
        <v/>
      </c>
      <c r="AW7" s="2">
        <f t="shared" si="26"/>
        <v>0</v>
      </c>
    </row>
    <row r="8" spans="2:49" x14ac:dyDescent="0.15">
      <c r="B8" s="2" t="s">
        <v>246</v>
      </c>
      <c r="AJ8" s="51">
        <f t="shared" si="13"/>
        <v>0</v>
      </c>
      <c r="AK8" s="51">
        <f t="shared" si="14"/>
        <v>0</v>
      </c>
      <c r="AL8" s="179">
        <f t="shared" si="15"/>
        <v>0</v>
      </c>
      <c r="AM8" s="177">
        <f t="shared" si="16"/>
        <v>0</v>
      </c>
      <c r="AN8" s="177">
        <f t="shared" si="17"/>
        <v>0</v>
      </c>
      <c r="AO8" s="177">
        <f t="shared" si="18"/>
        <v>0</v>
      </c>
      <c r="AP8" s="53" t="str">
        <f t="shared" si="19"/>
        <v/>
      </c>
      <c r="AQ8" s="54" t="str">
        <f t="shared" si="20"/>
        <v/>
      </c>
      <c r="AR8" s="54" t="str">
        <f t="shared" si="21"/>
        <v/>
      </c>
      <c r="AS8" s="46" t="str">
        <f t="shared" si="22"/>
        <v/>
      </c>
      <c r="AT8" s="55">
        <f t="shared" si="23"/>
        <v>99999.000799999994</v>
      </c>
      <c r="AU8" s="2">
        <f t="shared" si="24"/>
        <v>28</v>
      </c>
      <c r="AV8" s="101" t="str">
        <f t="shared" si="25"/>
        <v/>
      </c>
      <c r="AW8" s="2">
        <f t="shared" si="26"/>
        <v>0</v>
      </c>
    </row>
    <row r="9" spans="2:49" x14ac:dyDescent="0.15">
      <c r="B9" s="2" t="s">
        <v>204</v>
      </c>
      <c r="D9" s="117"/>
      <c r="M9" s="55"/>
      <c r="AJ9" s="51">
        <f t="shared" si="13"/>
        <v>0</v>
      </c>
      <c r="AK9" s="51">
        <f t="shared" si="14"/>
        <v>0</v>
      </c>
      <c r="AL9" s="179">
        <f t="shared" si="15"/>
        <v>0</v>
      </c>
      <c r="AM9" s="177">
        <f t="shared" si="16"/>
        <v>0</v>
      </c>
      <c r="AN9" s="177">
        <f t="shared" si="17"/>
        <v>0</v>
      </c>
      <c r="AO9" s="177">
        <f t="shared" si="18"/>
        <v>0</v>
      </c>
      <c r="AP9" s="53" t="str">
        <f t="shared" si="19"/>
        <v/>
      </c>
      <c r="AQ9" s="54" t="str">
        <f t="shared" si="20"/>
        <v/>
      </c>
      <c r="AR9" s="54" t="str">
        <f t="shared" si="21"/>
        <v/>
      </c>
      <c r="AS9" s="46" t="str">
        <f t="shared" si="22"/>
        <v/>
      </c>
      <c r="AT9" s="55">
        <f t="shared" si="23"/>
        <v>99999.000899999999</v>
      </c>
      <c r="AU9" s="2">
        <f t="shared" si="24"/>
        <v>29</v>
      </c>
      <c r="AV9" s="101" t="str">
        <f t="shared" si="25"/>
        <v/>
      </c>
      <c r="AW9" s="2">
        <f t="shared" si="26"/>
        <v>0</v>
      </c>
    </row>
    <row r="10" spans="2:49" x14ac:dyDescent="0.15">
      <c r="B10" s="2" t="s">
        <v>299</v>
      </c>
      <c r="D10" s="117"/>
      <c r="M10" s="55"/>
      <c r="AJ10" s="51">
        <f t="shared" si="13"/>
        <v>0</v>
      </c>
      <c r="AK10" s="51">
        <f t="shared" si="14"/>
        <v>0</v>
      </c>
      <c r="AL10" s="179">
        <f t="shared" si="15"/>
        <v>0</v>
      </c>
      <c r="AM10" s="177">
        <f t="shared" si="16"/>
        <v>0</v>
      </c>
      <c r="AN10" s="177">
        <f t="shared" si="17"/>
        <v>0</v>
      </c>
      <c r="AO10" s="177">
        <f t="shared" si="18"/>
        <v>0</v>
      </c>
      <c r="AP10" s="53" t="str">
        <f t="shared" si="19"/>
        <v/>
      </c>
      <c r="AQ10" s="54" t="str">
        <f t="shared" si="20"/>
        <v/>
      </c>
      <c r="AR10" s="54" t="str">
        <f t="shared" si="21"/>
        <v/>
      </c>
      <c r="AS10" s="46" t="str">
        <f t="shared" si="22"/>
        <v/>
      </c>
      <c r="AT10" s="55">
        <f t="shared" si="23"/>
        <v>99999.001000000004</v>
      </c>
      <c r="AU10" s="2">
        <f t="shared" si="24"/>
        <v>30</v>
      </c>
      <c r="AV10" s="101" t="str">
        <f t="shared" si="25"/>
        <v/>
      </c>
      <c r="AW10" s="2">
        <f t="shared" si="26"/>
        <v>0</v>
      </c>
    </row>
    <row r="11" spans="2:49" x14ac:dyDescent="0.15">
      <c r="B11" s="2" t="s">
        <v>324</v>
      </c>
      <c r="C11" s="2" t="s">
        <v>364</v>
      </c>
      <c r="D11" s="117" t="s">
        <v>446</v>
      </c>
      <c r="F11" s="2" t="s">
        <v>397</v>
      </c>
      <c r="I11" s="2" t="s">
        <v>480</v>
      </c>
      <c r="J11" s="2" t="s">
        <v>321</v>
      </c>
      <c r="M11" s="55" t="s">
        <v>544</v>
      </c>
      <c r="O11" s="2" t="s">
        <v>603</v>
      </c>
      <c r="P11" s="2" t="s">
        <v>597</v>
      </c>
      <c r="S11" s="2" t="s">
        <v>661</v>
      </c>
      <c r="W11" s="2" t="s">
        <v>762</v>
      </c>
      <c r="AJ11" s="51">
        <f t="shared" si="13"/>
        <v>10</v>
      </c>
      <c r="AK11" s="51">
        <f t="shared" si="14"/>
        <v>378</v>
      </c>
      <c r="AL11" s="179">
        <f t="shared" si="15"/>
        <v>63</v>
      </c>
      <c r="AM11" s="177">
        <f t="shared" si="16"/>
        <v>7</v>
      </c>
      <c r="AN11" s="177">
        <f t="shared" si="17"/>
        <v>252</v>
      </c>
      <c r="AO11" s="177">
        <f t="shared" si="18"/>
        <v>9</v>
      </c>
      <c r="AP11" s="53">
        <f t="shared" si="19"/>
        <v>28</v>
      </c>
      <c r="AQ11" s="54">
        <f t="shared" si="20"/>
        <v>42</v>
      </c>
      <c r="AR11" s="54">
        <f t="shared" si="21"/>
        <v>4</v>
      </c>
      <c r="AS11" s="46" t="str">
        <f t="shared" si="22"/>
        <v>3-18</v>
      </c>
      <c r="AT11" s="55">
        <f t="shared" si="23"/>
        <v>28.001100000000001</v>
      </c>
      <c r="AU11" s="2">
        <f t="shared" si="24"/>
        <v>14</v>
      </c>
      <c r="AV11" s="101">
        <f t="shared" si="25"/>
        <v>0.1111111111111111</v>
      </c>
      <c r="AW11" s="2">
        <f t="shared" si="26"/>
        <v>0</v>
      </c>
    </row>
    <row r="12" spans="2:49" x14ac:dyDescent="0.15">
      <c r="B12" s="2" t="s">
        <v>273</v>
      </c>
      <c r="M12" s="55"/>
      <c r="T12" s="2" t="s">
        <v>755</v>
      </c>
      <c r="AJ12" s="51">
        <f t="shared" si="13"/>
        <v>1</v>
      </c>
      <c r="AK12" s="51">
        <f t="shared" si="14"/>
        <v>36</v>
      </c>
      <c r="AL12" s="179">
        <f t="shared" si="15"/>
        <v>6</v>
      </c>
      <c r="AM12" s="177">
        <f t="shared" si="16"/>
        <v>0</v>
      </c>
      <c r="AN12" s="177">
        <f t="shared" si="17"/>
        <v>36</v>
      </c>
      <c r="AO12" s="177">
        <f t="shared" si="18"/>
        <v>0</v>
      </c>
      <c r="AP12" s="53" t="str">
        <f t="shared" si="19"/>
        <v/>
      </c>
      <c r="AQ12" s="54" t="str">
        <f t="shared" si="20"/>
        <v/>
      </c>
      <c r="AR12" s="54">
        <f t="shared" si="21"/>
        <v>6</v>
      </c>
      <c r="AS12" s="46" t="str">
        <f t="shared" si="22"/>
        <v>0-36</v>
      </c>
      <c r="AT12" s="55">
        <f t="shared" si="23"/>
        <v>1036.0011999999999</v>
      </c>
      <c r="AU12" s="2">
        <f t="shared" si="24"/>
        <v>26</v>
      </c>
      <c r="AV12" s="101" t="str">
        <f t="shared" si="25"/>
        <v/>
      </c>
      <c r="AW12" s="2">
        <f t="shared" si="26"/>
        <v>0</v>
      </c>
    </row>
    <row r="13" spans="2:49" x14ac:dyDescent="0.15">
      <c r="B13" s="2" t="s">
        <v>232</v>
      </c>
      <c r="M13" s="55"/>
      <c r="AJ13" s="51">
        <f t="shared" si="13"/>
        <v>0</v>
      </c>
      <c r="AK13" s="51">
        <f t="shared" si="14"/>
        <v>0</v>
      </c>
      <c r="AL13" s="179">
        <f t="shared" si="15"/>
        <v>0</v>
      </c>
      <c r="AM13" s="177">
        <f t="shared" si="16"/>
        <v>0</v>
      </c>
      <c r="AN13" s="177">
        <f t="shared" si="17"/>
        <v>0</v>
      </c>
      <c r="AO13" s="177">
        <f t="shared" si="18"/>
        <v>0</v>
      </c>
      <c r="AP13" s="53" t="str">
        <f t="shared" si="19"/>
        <v/>
      </c>
      <c r="AQ13" s="54" t="str">
        <f t="shared" si="20"/>
        <v/>
      </c>
      <c r="AR13" s="54" t="str">
        <f t="shared" si="21"/>
        <v/>
      </c>
      <c r="AS13" s="46" t="str">
        <f t="shared" si="22"/>
        <v/>
      </c>
      <c r="AT13" s="55">
        <f t="shared" si="23"/>
        <v>99999.001300000004</v>
      </c>
      <c r="AU13" s="2">
        <f t="shared" si="24"/>
        <v>31</v>
      </c>
      <c r="AV13" s="101" t="str">
        <f t="shared" si="25"/>
        <v/>
      </c>
      <c r="AW13" s="2">
        <f t="shared" si="26"/>
        <v>0</v>
      </c>
    </row>
    <row r="14" spans="2:49" x14ac:dyDescent="0.15">
      <c r="B14" s="2" t="s">
        <v>341</v>
      </c>
      <c r="M14" s="55"/>
      <c r="AJ14" s="51">
        <f t="shared" si="13"/>
        <v>0</v>
      </c>
      <c r="AK14" s="51">
        <f t="shared" si="14"/>
        <v>0</v>
      </c>
      <c r="AL14" s="179">
        <f t="shared" si="15"/>
        <v>0</v>
      </c>
      <c r="AM14" s="177">
        <f t="shared" si="16"/>
        <v>0</v>
      </c>
      <c r="AN14" s="177">
        <f t="shared" si="17"/>
        <v>0</v>
      </c>
      <c r="AO14" s="177">
        <f t="shared" si="18"/>
        <v>0</v>
      </c>
      <c r="AP14" s="53" t="str">
        <f t="shared" si="19"/>
        <v/>
      </c>
      <c r="AQ14" s="54" t="str">
        <f t="shared" si="20"/>
        <v/>
      </c>
      <c r="AR14" s="54" t="str">
        <f t="shared" si="21"/>
        <v/>
      </c>
      <c r="AS14" s="46" t="str">
        <f t="shared" si="22"/>
        <v/>
      </c>
      <c r="AT14" s="55">
        <f t="shared" si="23"/>
        <v>99999.001399999994</v>
      </c>
      <c r="AU14" s="2">
        <f t="shared" si="24"/>
        <v>32</v>
      </c>
      <c r="AV14" s="101" t="str">
        <f t="shared" si="25"/>
        <v/>
      </c>
      <c r="AW14" s="2">
        <f t="shared" si="26"/>
        <v>0</v>
      </c>
    </row>
    <row r="15" spans="2:49" x14ac:dyDescent="0.15">
      <c r="B15" s="2" t="s">
        <v>636</v>
      </c>
      <c r="M15" s="55"/>
      <c r="R15" s="2" t="s">
        <v>643</v>
      </c>
      <c r="T15" s="2" t="s">
        <v>760</v>
      </c>
      <c r="AJ15" s="51">
        <f t="shared" si="13"/>
        <v>2</v>
      </c>
      <c r="AK15" s="51">
        <f t="shared" si="14"/>
        <v>28</v>
      </c>
      <c r="AL15" s="179">
        <f t="shared" si="15"/>
        <v>4.4000000000000004</v>
      </c>
      <c r="AM15" s="177">
        <f t="shared" si="16"/>
        <v>0</v>
      </c>
      <c r="AN15" s="177">
        <f t="shared" si="17"/>
        <v>29</v>
      </c>
      <c r="AO15" s="177">
        <f t="shared" si="18"/>
        <v>1</v>
      </c>
      <c r="AP15" s="53">
        <f t="shared" si="19"/>
        <v>29</v>
      </c>
      <c r="AQ15" s="54">
        <f t="shared" si="20"/>
        <v>28</v>
      </c>
      <c r="AR15" s="54">
        <f t="shared" si="21"/>
        <v>6.2142857142857144</v>
      </c>
      <c r="AS15" s="46" t="str">
        <f t="shared" si="22"/>
        <v>1-23</v>
      </c>
      <c r="AT15" s="55">
        <f t="shared" si="23"/>
        <v>29.0015</v>
      </c>
      <c r="AU15" s="2">
        <f t="shared" si="24"/>
        <v>15</v>
      </c>
      <c r="AV15" s="101" t="str">
        <f t="shared" si="25"/>
        <v/>
      </c>
      <c r="AW15" s="2">
        <f t="shared" si="26"/>
        <v>0</v>
      </c>
    </row>
    <row r="16" spans="2:49" x14ac:dyDescent="0.15">
      <c r="B16" s="2" t="s">
        <v>301</v>
      </c>
      <c r="M16" s="55"/>
      <c r="AJ16" s="51">
        <f t="shared" si="13"/>
        <v>0</v>
      </c>
      <c r="AK16" s="51">
        <f t="shared" si="14"/>
        <v>0</v>
      </c>
      <c r="AL16" s="179">
        <f t="shared" si="15"/>
        <v>0</v>
      </c>
      <c r="AM16" s="177">
        <f t="shared" si="16"/>
        <v>0</v>
      </c>
      <c r="AN16" s="177">
        <f t="shared" si="17"/>
        <v>0</v>
      </c>
      <c r="AO16" s="177">
        <f t="shared" si="18"/>
        <v>0</v>
      </c>
      <c r="AP16" s="53" t="str">
        <f t="shared" si="19"/>
        <v/>
      </c>
      <c r="AQ16" s="54" t="str">
        <f t="shared" si="20"/>
        <v/>
      </c>
      <c r="AR16" s="54" t="str">
        <f t="shared" si="21"/>
        <v/>
      </c>
      <c r="AS16" s="46" t="str">
        <f t="shared" si="22"/>
        <v/>
      </c>
      <c r="AT16" s="55">
        <f t="shared" si="23"/>
        <v>99999.001600000003</v>
      </c>
      <c r="AU16" s="2">
        <f t="shared" si="24"/>
        <v>33</v>
      </c>
      <c r="AV16" s="101" t="str">
        <f t="shared" si="25"/>
        <v/>
      </c>
      <c r="AW16" s="2">
        <f t="shared" si="26"/>
        <v>0</v>
      </c>
    </row>
    <row r="17" spans="2:49" x14ac:dyDescent="0.15">
      <c r="B17" s="2" t="s">
        <v>369</v>
      </c>
      <c r="C17" s="2" t="s">
        <v>370</v>
      </c>
      <c r="M17" s="55"/>
      <c r="T17" s="2" t="s">
        <v>756</v>
      </c>
      <c r="V17" s="2" t="s">
        <v>693</v>
      </c>
      <c r="AJ17" s="51">
        <f t="shared" si="13"/>
        <v>3</v>
      </c>
      <c r="AK17" s="51">
        <f t="shared" si="14"/>
        <v>27</v>
      </c>
      <c r="AL17" s="179">
        <f t="shared" si="15"/>
        <v>4.3</v>
      </c>
      <c r="AM17" s="177">
        <f t="shared" si="16"/>
        <v>0</v>
      </c>
      <c r="AN17" s="177">
        <f t="shared" si="17"/>
        <v>36</v>
      </c>
      <c r="AO17" s="177">
        <f t="shared" si="18"/>
        <v>0</v>
      </c>
      <c r="AP17" s="53" t="str">
        <f t="shared" si="19"/>
        <v/>
      </c>
      <c r="AQ17" s="54" t="str">
        <f t="shared" si="20"/>
        <v/>
      </c>
      <c r="AR17" s="54">
        <f t="shared" si="21"/>
        <v>8</v>
      </c>
      <c r="AS17" s="46" t="str">
        <f t="shared" si="22"/>
        <v>0-5</v>
      </c>
      <c r="AT17" s="55">
        <f t="shared" si="23"/>
        <v>1027.0017</v>
      </c>
      <c r="AU17" s="2">
        <f t="shared" si="24"/>
        <v>25</v>
      </c>
      <c r="AV17" s="101" t="str">
        <f t="shared" si="25"/>
        <v/>
      </c>
      <c r="AW17" s="2">
        <f t="shared" si="26"/>
        <v>0</v>
      </c>
    </row>
    <row r="18" spans="2:49" x14ac:dyDescent="0.15">
      <c r="B18" s="2" t="s">
        <v>251</v>
      </c>
      <c r="M18" s="55"/>
      <c r="AJ18" s="51">
        <f t="shared" si="13"/>
        <v>0</v>
      </c>
      <c r="AK18" s="51">
        <f t="shared" si="14"/>
        <v>0</v>
      </c>
      <c r="AL18" s="179">
        <f t="shared" si="15"/>
        <v>0</v>
      </c>
      <c r="AM18" s="177">
        <f t="shared" si="16"/>
        <v>0</v>
      </c>
      <c r="AN18" s="177">
        <f t="shared" si="17"/>
        <v>0</v>
      </c>
      <c r="AO18" s="177">
        <f t="shared" si="18"/>
        <v>0</v>
      </c>
      <c r="AP18" s="53" t="str">
        <f t="shared" si="19"/>
        <v/>
      </c>
      <c r="AQ18" s="54" t="str">
        <f t="shared" si="20"/>
        <v/>
      </c>
      <c r="AR18" s="54" t="str">
        <f t="shared" si="21"/>
        <v/>
      </c>
      <c r="AS18" s="46" t="str">
        <f t="shared" si="22"/>
        <v/>
      </c>
      <c r="AT18" s="55">
        <f t="shared" si="23"/>
        <v>99999.001799999998</v>
      </c>
      <c r="AU18" s="2">
        <f t="shared" si="24"/>
        <v>34</v>
      </c>
      <c r="AV18" s="101" t="str">
        <f t="shared" si="25"/>
        <v/>
      </c>
      <c r="AW18" s="2">
        <f t="shared" si="26"/>
        <v>0</v>
      </c>
    </row>
    <row r="19" spans="2:49" x14ac:dyDescent="0.15">
      <c r="B19" s="2" t="s">
        <v>161</v>
      </c>
      <c r="F19" s="2" t="s">
        <v>398</v>
      </c>
      <c r="M19" s="55"/>
      <c r="AJ19" s="51">
        <f t="shared" si="13"/>
        <v>1</v>
      </c>
      <c r="AK19" s="51">
        <f t="shared" si="14"/>
        <v>18</v>
      </c>
      <c r="AL19" s="179">
        <f t="shared" si="15"/>
        <v>3</v>
      </c>
      <c r="AM19" s="177">
        <f t="shared" si="16"/>
        <v>0</v>
      </c>
      <c r="AN19" s="177">
        <f t="shared" si="17"/>
        <v>36</v>
      </c>
      <c r="AO19" s="177">
        <f t="shared" si="18"/>
        <v>0</v>
      </c>
      <c r="AP19" s="53" t="str">
        <f t="shared" si="19"/>
        <v/>
      </c>
      <c r="AQ19" s="54" t="str">
        <f t="shared" si="20"/>
        <v/>
      </c>
      <c r="AR19" s="54">
        <f t="shared" si="21"/>
        <v>12</v>
      </c>
      <c r="AS19" s="46" t="str">
        <f t="shared" si="22"/>
        <v>0-36</v>
      </c>
      <c r="AT19" s="55">
        <f t="shared" si="23"/>
        <v>1018.0019</v>
      </c>
      <c r="AU19" s="2">
        <f t="shared" si="24"/>
        <v>23</v>
      </c>
      <c r="AV19" s="101" t="str">
        <f t="shared" si="25"/>
        <v/>
      </c>
      <c r="AW19" s="2">
        <f t="shared" si="26"/>
        <v>0</v>
      </c>
    </row>
    <row r="20" spans="2:49" x14ac:dyDescent="0.15">
      <c r="B20" s="2" t="s">
        <v>343</v>
      </c>
      <c r="M20" s="55"/>
      <c r="AJ20" s="51">
        <f t="shared" si="13"/>
        <v>0</v>
      </c>
      <c r="AK20" s="51">
        <f t="shared" si="14"/>
        <v>0</v>
      </c>
      <c r="AL20" s="179">
        <f t="shared" si="15"/>
        <v>0</v>
      </c>
      <c r="AM20" s="177">
        <f t="shared" si="16"/>
        <v>0</v>
      </c>
      <c r="AN20" s="177">
        <f t="shared" si="17"/>
        <v>0</v>
      </c>
      <c r="AO20" s="177">
        <f t="shared" si="18"/>
        <v>0</v>
      </c>
      <c r="AP20" s="53" t="str">
        <f t="shared" si="19"/>
        <v/>
      </c>
      <c r="AQ20" s="54" t="str">
        <f t="shared" si="20"/>
        <v/>
      </c>
      <c r="AR20" s="54" t="str">
        <f t="shared" si="21"/>
        <v/>
      </c>
      <c r="AS20" s="46" t="str">
        <f t="shared" si="22"/>
        <v/>
      </c>
      <c r="AT20" s="55">
        <f t="shared" si="23"/>
        <v>99999.001999999993</v>
      </c>
      <c r="AU20" s="2">
        <f t="shared" si="24"/>
        <v>35</v>
      </c>
      <c r="AV20" s="101" t="str">
        <f t="shared" si="25"/>
        <v/>
      </c>
      <c r="AW20" s="2">
        <f t="shared" si="26"/>
        <v>0</v>
      </c>
    </row>
    <row r="21" spans="2:49" x14ac:dyDescent="0.15">
      <c r="B21" s="2" t="s">
        <v>619</v>
      </c>
      <c r="M21" s="55"/>
      <c r="Q21" s="2" t="s">
        <v>624</v>
      </c>
      <c r="R21" s="2" t="s">
        <v>637</v>
      </c>
      <c r="AJ21" s="51">
        <f t="shared" si="13"/>
        <v>2</v>
      </c>
      <c r="AK21" s="51">
        <f t="shared" si="14"/>
        <v>80</v>
      </c>
      <c r="AL21" s="179">
        <f t="shared" si="15"/>
        <v>13.2</v>
      </c>
      <c r="AM21" s="177">
        <f t="shared" si="16"/>
        <v>4</v>
      </c>
      <c r="AN21" s="177">
        <f t="shared" si="17"/>
        <v>41</v>
      </c>
      <c r="AO21" s="177">
        <f t="shared" si="18"/>
        <v>4</v>
      </c>
      <c r="AP21" s="53">
        <f t="shared" si="19"/>
        <v>10.25</v>
      </c>
      <c r="AQ21" s="54">
        <f t="shared" si="20"/>
        <v>20</v>
      </c>
      <c r="AR21" s="54">
        <f t="shared" si="21"/>
        <v>3.0750000000000002</v>
      </c>
      <c r="AS21" s="46" t="str">
        <f t="shared" si="22"/>
        <v>3-17</v>
      </c>
      <c r="AT21" s="55">
        <f t="shared" si="23"/>
        <v>10.2521</v>
      </c>
      <c r="AU21" s="2">
        <f t="shared" si="24"/>
        <v>3</v>
      </c>
      <c r="AV21" s="101" t="str">
        <f t="shared" si="25"/>
        <v/>
      </c>
      <c r="AW21" s="2">
        <f t="shared" si="26"/>
        <v>0</v>
      </c>
    </row>
    <row r="22" spans="2:49" x14ac:dyDescent="0.15">
      <c r="B22" s="2" t="s">
        <v>302</v>
      </c>
      <c r="C22" s="2" t="s">
        <v>368</v>
      </c>
      <c r="J22" s="2" t="s">
        <v>495</v>
      </c>
      <c r="K22" s="2" t="s">
        <v>503</v>
      </c>
      <c r="L22" s="2" t="s">
        <v>531</v>
      </c>
      <c r="M22" s="55" t="s">
        <v>549</v>
      </c>
      <c r="R22" s="2" t="s">
        <v>642</v>
      </c>
      <c r="S22" s="2" t="s">
        <v>660</v>
      </c>
      <c r="T22" s="2" t="s">
        <v>757</v>
      </c>
      <c r="V22" s="2" t="s">
        <v>691</v>
      </c>
      <c r="W22" s="2" t="s">
        <v>765</v>
      </c>
      <c r="AJ22" s="51">
        <f t="shared" si="13"/>
        <v>10</v>
      </c>
      <c r="AK22" s="51">
        <f t="shared" si="14"/>
        <v>303</v>
      </c>
      <c r="AL22" s="179">
        <f t="shared" si="15"/>
        <v>50.3</v>
      </c>
      <c r="AM22" s="177">
        <f t="shared" si="16"/>
        <v>4</v>
      </c>
      <c r="AN22" s="177">
        <f t="shared" si="17"/>
        <v>189</v>
      </c>
      <c r="AO22" s="177">
        <f t="shared" si="18"/>
        <v>11</v>
      </c>
      <c r="AP22" s="53">
        <f t="shared" si="19"/>
        <v>17.18</v>
      </c>
      <c r="AQ22" s="54">
        <f t="shared" si="20"/>
        <v>27.545454545454547</v>
      </c>
      <c r="AR22" s="54">
        <f t="shared" si="21"/>
        <v>3.7425742574257428</v>
      </c>
      <c r="AS22" s="46" t="str">
        <f t="shared" si="22"/>
        <v>3-21</v>
      </c>
      <c r="AT22" s="55">
        <f t="shared" si="23"/>
        <v>17.182199999999998</v>
      </c>
      <c r="AU22" s="2">
        <f t="shared" si="24"/>
        <v>6</v>
      </c>
      <c r="AV22" s="101">
        <f t="shared" si="25"/>
        <v>7.9207920792079209E-2</v>
      </c>
      <c r="AW22" s="2">
        <f t="shared" si="26"/>
        <v>0</v>
      </c>
    </row>
    <row r="23" spans="2:49" x14ac:dyDescent="0.15">
      <c r="B23" s="2" t="s">
        <v>218</v>
      </c>
      <c r="C23" s="2" t="s">
        <v>366</v>
      </c>
      <c r="D23" s="2" t="s">
        <v>449</v>
      </c>
      <c r="F23" s="2" t="s">
        <v>394</v>
      </c>
      <c r="G23" s="2" t="s">
        <v>441</v>
      </c>
      <c r="I23" s="2" t="s">
        <v>479</v>
      </c>
      <c r="J23" s="2" t="s">
        <v>482</v>
      </c>
      <c r="K23" s="2" t="s">
        <v>330</v>
      </c>
      <c r="O23" s="2" t="s">
        <v>604</v>
      </c>
      <c r="R23" s="2" t="s">
        <v>638</v>
      </c>
      <c r="T23" s="2" t="s">
        <v>754</v>
      </c>
      <c r="W23" s="2" t="s">
        <v>763</v>
      </c>
      <c r="AJ23" s="51">
        <f t="shared" si="13"/>
        <v>11</v>
      </c>
      <c r="AK23" s="51">
        <f t="shared" si="14"/>
        <v>468</v>
      </c>
      <c r="AL23" s="179">
        <f t="shared" si="15"/>
        <v>78</v>
      </c>
      <c r="AM23" s="177">
        <f t="shared" si="16"/>
        <v>5</v>
      </c>
      <c r="AN23" s="177">
        <f t="shared" si="17"/>
        <v>270</v>
      </c>
      <c r="AO23" s="177">
        <f t="shared" si="18"/>
        <v>8</v>
      </c>
      <c r="AP23" s="53">
        <f t="shared" si="19"/>
        <v>33.75</v>
      </c>
      <c r="AQ23" s="54">
        <f t="shared" si="20"/>
        <v>58.5</v>
      </c>
      <c r="AR23" s="54">
        <f t="shared" si="21"/>
        <v>3.4615384615384617</v>
      </c>
      <c r="AS23" s="46" t="str">
        <f t="shared" si="22"/>
        <v>2-15</v>
      </c>
      <c r="AT23" s="55">
        <f t="shared" si="23"/>
        <v>33.752299999999998</v>
      </c>
      <c r="AU23" s="2">
        <f t="shared" si="24"/>
        <v>17</v>
      </c>
      <c r="AV23" s="101">
        <f t="shared" si="25"/>
        <v>6.4102564102564097E-2</v>
      </c>
      <c r="AW23" s="2">
        <f t="shared" si="26"/>
        <v>0</v>
      </c>
    </row>
    <row r="24" spans="2:49" x14ac:dyDescent="0.15">
      <c r="B24" s="2" t="s">
        <v>201</v>
      </c>
      <c r="G24" s="2" t="s">
        <v>317</v>
      </c>
      <c r="M24" s="55"/>
      <c r="O24" s="2" t="s">
        <v>607</v>
      </c>
      <c r="AJ24" s="51">
        <f t="shared" si="13"/>
        <v>2</v>
      </c>
      <c r="AK24" s="51">
        <f t="shared" si="14"/>
        <v>48</v>
      </c>
      <c r="AL24" s="179">
        <f t="shared" si="15"/>
        <v>8</v>
      </c>
      <c r="AM24" s="177">
        <f t="shared" si="16"/>
        <v>0</v>
      </c>
      <c r="AN24" s="177">
        <f t="shared" si="17"/>
        <v>41</v>
      </c>
      <c r="AO24" s="177">
        <f t="shared" si="18"/>
        <v>2</v>
      </c>
      <c r="AP24" s="53">
        <f t="shared" si="19"/>
        <v>20.5</v>
      </c>
      <c r="AQ24" s="54">
        <f t="shared" si="20"/>
        <v>24</v>
      </c>
      <c r="AR24" s="54">
        <f t="shared" si="21"/>
        <v>5.125</v>
      </c>
      <c r="AS24" s="46" t="str">
        <f t="shared" si="22"/>
        <v>2-26</v>
      </c>
      <c r="AT24" s="55">
        <f t="shared" si="23"/>
        <v>20.502400000000002</v>
      </c>
      <c r="AU24" s="2">
        <f t="shared" si="24"/>
        <v>9</v>
      </c>
      <c r="AV24" s="101" t="str">
        <f t="shared" si="25"/>
        <v/>
      </c>
      <c r="AW24" s="2">
        <f t="shared" si="26"/>
        <v>0</v>
      </c>
    </row>
    <row r="25" spans="2:49" x14ac:dyDescent="0.15">
      <c r="B25" s="2" t="s">
        <v>206</v>
      </c>
      <c r="C25" s="2" t="s">
        <v>365</v>
      </c>
      <c r="E25" s="2" t="s">
        <v>422</v>
      </c>
      <c r="F25" s="2" t="s">
        <v>395</v>
      </c>
      <c r="G25" s="2" t="s">
        <v>438</v>
      </c>
      <c r="I25" s="2" t="s">
        <v>326</v>
      </c>
      <c r="L25" s="2" t="s">
        <v>529</v>
      </c>
      <c r="M25" s="55" t="s">
        <v>545</v>
      </c>
      <c r="N25" s="2" t="s">
        <v>564</v>
      </c>
      <c r="P25" s="2" t="s">
        <v>598</v>
      </c>
      <c r="Q25" s="2" t="s">
        <v>626</v>
      </c>
      <c r="V25" s="2" t="s">
        <v>690</v>
      </c>
      <c r="AJ25" s="51">
        <f t="shared" si="13"/>
        <v>11</v>
      </c>
      <c r="AK25" s="51">
        <f t="shared" si="14"/>
        <v>392</v>
      </c>
      <c r="AL25" s="179">
        <f t="shared" si="15"/>
        <v>65.2</v>
      </c>
      <c r="AM25" s="177">
        <f t="shared" si="16"/>
        <v>10</v>
      </c>
      <c r="AN25" s="177">
        <f t="shared" si="17"/>
        <v>210</v>
      </c>
      <c r="AO25" s="177">
        <f t="shared" si="18"/>
        <v>22</v>
      </c>
      <c r="AP25" s="53">
        <f t="shared" si="19"/>
        <v>9.5500000000000007</v>
      </c>
      <c r="AQ25" s="54">
        <f t="shared" si="20"/>
        <v>17.818181818181817</v>
      </c>
      <c r="AR25" s="54">
        <f t="shared" si="21"/>
        <v>3.2142857142857144</v>
      </c>
      <c r="AS25" s="46" t="str">
        <f t="shared" si="22"/>
        <v>4-23</v>
      </c>
      <c r="AT25" s="55">
        <f t="shared" si="23"/>
        <v>9.5525000000000002</v>
      </c>
      <c r="AU25" s="2">
        <f t="shared" si="24"/>
        <v>2</v>
      </c>
      <c r="AV25" s="101">
        <f t="shared" si="25"/>
        <v>0.15306122448979592</v>
      </c>
      <c r="AW25" s="2">
        <f t="shared" si="26"/>
        <v>0</v>
      </c>
    </row>
    <row r="26" spans="2:49" x14ac:dyDescent="0.15">
      <c r="B26" s="2" t="s">
        <v>245</v>
      </c>
      <c r="M26" s="55"/>
      <c r="AJ26" s="51">
        <f t="shared" si="13"/>
        <v>0</v>
      </c>
      <c r="AK26" s="51">
        <f t="shared" si="14"/>
        <v>0</v>
      </c>
      <c r="AL26" s="179">
        <f t="shared" si="15"/>
        <v>0</v>
      </c>
      <c r="AM26" s="177">
        <f t="shared" si="16"/>
        <v>0</v>
      </c>
      <c r="AN26" s="177">
        <f t="shared" si="17"/>
        <v>0</v>
      </c>
      <c r="AO26" s="177">
        <f t="shared" si="18"/>
        <v>0</v>
      </c>
      <c r="AP26" s="53" t="str">
        <f t="shared" si="19"/>
        <v/>
      </c>
      <c r="AQ26" s="54" t="str">
        <f t="shared" si="20"/>
        <v/>
      </c>
      <c r="AR26" s="54" t="str">
        <f t="shared" si="21"/>
        <v/>
      </c>
      <c r="AS26" s="46" t="str">
        <f t="shared" si="22"/>
        <v/>
      </c>
      <c r="AT26" s="55">
        <f t="shared" si="23"/>
        <v>99999.002600000007</v>
      </c>
      <c r="AU26" s="2">
        <f t="shared" si="24"/>
        <v>36</v>
      </c>
      <c r="AV26" s="101" t="str">
        <f t="shared" si="25"/>
        <v/>
      </c>
      <c r="AW26" s="2">
        <f t="shared" si="26"/>
        <v>0</v>
      </c>
    </row>
    <row r="27" spans="2:49" x14ac:dyDescent="0.15">
      <c r="B27" s="2" t="s">
        <v>234</v>
      </c>
      <c r="M27" s="55"/>
      <c r="V27" s="2" t="s">
        <v>688</v>
      </c>
      <c r="AJ27" s="51">
        <f t="shared" si="13"/>
        <v>1</v>
      </c>
      <c r="AK27" s="51">
        <f t="shared" si="14"/>
        <v>48</v>
      </c>
      <c r="AL27" s="179">
        <f t="shared" si="15"/>
        <v>8</v>
      </c>
      <c r="AM27" s="177">
        <f t="shared" si="16"/>
        <v>1</v>
      </c>
      <c r="AN27" s="177">
        <f t="shared" si="17"/>
        <v>25</v>
      </c>
      <c r="AO27" s="177">
        <f t="shared" si="18"/>
        <v>2</v>
      </c>
      <c r="AP27" s="53">
        <f t="shared" si="19"/>
        <v>12.5</v>
      </c>
      <c r="AQ27" s="54">
        <f t="shared" si="20"/>
        <v>24</v>
      </c>
      <c r="AR27" s="54">
        <f t="shared" si="21"/>
        <v>3.125</v>
      </c>
      <c r="AS27" s="46" t="str">
        <f t="shared" si="22"/>
        <v>2-25</v>
      </c>
      <c r="AT27" s="55">
        <f t="shared" si="23"/>
        <v>12.502700000000001</v>
      </c>
      <c r="AU27" s="2">
        <f t="shared" si="24"/>
        <v>4</v>
      </c>
      <c r="AV27" s="101" t="str">
        <f t="shared" si="25"/>
        <v/>
      </c>
      <c r="AW27" s="2">
        <f t="shared" si="26"/>
        <v>0</v>
      </c>
    </row>
    <row r="28" spans="2:49" x14ac:dyDescent="0.15">
      <c r="B28" s="2" t="s">
        <v>387</v>
      </c>
      <c r="E28" s="2" t="s">
        <v>425</v>
      </c>
      <c r="F28" s="2" t="s">
        <v>400</v>
      </c>
      <c r="K28" s="2" t="s">
        <v>504</v>
      </c>
      <c r="M28" s="55"/>
      <c r="V28" s="2" t="s">
        <v>370</v>
      </c>
      <c r="W28" s="2" t="s">
        <v>370</v>
      </c>
      <c r="AJ28" s="51">
        <f t="shared" si="13"/>
        <v>5</v>
      </c>
      <c r="AK28" s="51">
        <f t="shared" si="14"/>
        <v>88</v>
      </c>
      <c r="AL28" s="179">
        <f t="shared" si="15"/>
        <v>14.4</v>
      </c>
      <c r="AM28" s="177">
        <f t="shared" si="16"/>
        <v>1</v>
      </c>
      <c r="AN28" s="177">
        <f t="shared" si="17"/>
        <v>70</v>
      </c>
      <c r="AO28" s="177">
        <f t="shared" si="18"/>
        <v>2</v>
      </c>
      <c r="AP28" s="53">
        <f t="shared" si="19"/>
        <v>35</v>
      </c>
      <c r="AQ28" s="54">
        <f t="shared" si="20"/>
        <v>44</v>
      </c>
      <c r="AR28" s="54">
        <f t="shared" si="21"/>
        <v>4.7727272727272725</v>
      </c>
      <c r="AS28" s="46" t="str">
        <f t="shared" si="22"/>
        <v>2-6</v>
      </c>
      <c r="AT28" s="55">
        <f t="shared" si="23"/>
        <v>35.002800000000001</v>
      </c>
      <c r="AU28" s="2">
        <f t="shared" si="24"/>
        <v>18</v>
      </c>
      <c r="AV28" s="101" t="str">
        <f t="shared" si="25"/>
        <v/>
      </c>
      <c r="AW28" s="2">
        <f t="shared" si="26"/>
        <v>0</v>
      </c>
    </row>
    <row r="29" spans="2:49" ht="12" x14ac:dyDescent="0.2">
      <c r="B29" s="2" t="s">
        <v>375</v>
      </c>
      <c r="D29" s="2" t="s">
        <v>452</v>
      </c>
      <c r="I29" s="2" t="s">
        <v>483</v>
      </c>
      <c r="M29" s="55" t="s">
        <v>548</v>
      </c>
      <c r="P29" s="2" t="s">
        <v>600</v>
      </c>
      <c r="S29" s="219" t="s">
        <v>662</v>
      </c>
      <c r="T29" s="2" t="s">
        <v>761</v>
      </c>
      <c r="W29" s="2" t="s">
        <v>766</v>
      </c>
      <c r="AJ29" s="51">
        <f t="shared" si="13"/>
        <v>7</v>
      </c>
      <c r="AK29" s="51">
        <f t="shared" si="14"/>
        <v>90</v>
      </c>
      <c r="AL29" s="179">
        <f t="shared" si="15"/>
        <v>15</v>
      </c>
      <c r="AM29" s="177">
        <f t="shared" si="16"/>
        <v>0</v>
      </c>
      <c r="AN29" s="177">
        <f t="shared" si="17"/>
        <v>122</v>
      </c>
      <c r="AO29" s="177">
        <f t="shared" si="18"/>
        <v>3</v>
      </c>
      <c r="AP29" s="53">
        <f t="shared" si="19"/>
        <v>40.67</v>
      </c>
      <c r="AQ29" s="54">
        <f t="shared" si="20"/>
        <v>30</v>
      </c>
      <c r="AR29" s="54">
        <f t="shared" si="21"/>
        <v>8.1333333333333329</v>
      </c>
      <c r="AS29" s="46" t="str">
        <f t="shared" si="22"/>
        <v>2-29</v>
      </c>
      <c r="AT29" s="55">
        <f t="shared" si="23"/>
        <v>40.672899999999998</v>
      </c>
      <c r="AU29" s="2">
        <f t="shared" si="24"/>
        <v>19</v>
      </c>
      <c r="AV29" s="101" t="str">
        <f t="shared" si="25"/>
        <v/>
      </c>
      <c r="AW29" s="2">
        <f t="shared" si="26"/>
        <v>0</v>
      </c>
    </row>
    <row r="30" spans="2:49" x14ac:dyDescent="0.15">
      <c r="B30" s="2" t="s">
        <v>579</v>
      </c>
      <c r="M30" s="55"/>
      <c r="O30" s="2" t="s">
        <v>606</v>
      </c>
      <c r="AJ30" s="51">
        <f t="shared" si="13"/>
        <v>1</v>
      </c>
      <c r="AK30" s="51">
        <f t="shared" si="14"/>
        <v>48</v>
      </c>
      <c r="AL30" s="179">
        <f t="shared" si="15"/>
        <v>8</v>
      </c>
      <c r="AM30" s="177">
        <f t="shared" si="16"/>
        <v>0</v>
      </c>
      <c r="AN30" s="177">
        <f t="shared" si="17"/>
        <v>52</v>
      </c>
      <c r="AO30" s="177">
        <f t="shared" si="18"/>
        <v>0</v>
      </c>
      <c r="AP30" s="53" t="str">
        <f t="shared" si="19"/>
        <v/>
      </c>
      <c r="AQ30" s="54" t="str">
        <f t="shared" si="20"/>
        <v/>
      </c>
      <c r="AR30" s="54">
        <f t="shared" si="21"/>
        <v>6.5</v>
      </c>
      <c r="AS30" s="46" t="str">
        <f t="shared" si="22"/>
        <v>0-52</v>
      </c>
      <c r="AT30" s="55">
        <f t="shared" si="23"/>
        <v>1048.0029999999999</v>
      </c>
      <c r="AU30" s="2">
        <f t="shared" si="24"/>
        <v>27</v>
      </c>
      <c r="AV30" s="101" t="str">
        <f t="shared" si="25"/>
        <v/>
      </c>
      <c r="AW30" s="2">
        <f t="shared" si="26"/>
        <v>0</v>
      </c>
    </row>
    <row r="31" spans="2:49" x14ac:dyDescent="0.15">
      <c r="B31" s="2" t="s">
        <v>542</v>
      </c>
      <c r="M31" s="55" t="s">
        <v>546</v>
      </c>
      <c r="AJ31" s="51">
        <f t="shared" si="13"/>
        <v>1</v>
      </c>
      <c r="AK31" s="51">
        <f t="shared" si="14"/>
        <v>18</v>
      </c>
      <c r="AL31" s="179">
        <f t="shared" si="15"/>
        <v>3</v>
      </c>
      <c r="AM31" s="177">
        <f t="shared" si="16"/>
        <v>0</v>
      </c>
      <c r="AN31" s="177">
        <f t="shared" si="17"/>
        <v>12</v>
      </c>
      <c r="AO31" s="177">
        <f t="shared" si="18"/>
        <v>2</v>
      </c>
      <c r="AP31" s="53">
        <f t="shared" si="19"/>
        <v>6</v>
      </c>
      <c r="AQ31" s="54">
        <f t="shared" si="20"/>
        <v>9</v>
      </c>
      <c r="AR31" s="54">
        <f t="shared" si="21"/>
        <v>4</v>
      </c>
      <c r="AS31" s="46" t="str">
        <f t="shared" si="22"/>
        <v>2-12</v>
      </c>
      <c r="AT31" s="55">
        <f t="shared" si="23"/>
        <v>6.0030999999999999</v>
      </c>
      <c r="AU31" s="2">
        <f t="shared" si="24"/>
        <v>1</v>
      </c>
      <c r="AV31" s="101" t="str">
        <f t="shared" si="25"/>
        <v/>
      </c>
      <c r="AW31" s="2">
        <f t="shared" si="26"/>
        <v>0</v>
      </c>
    </row>
    <row r="32" spans="2:49" x14ac:dyDescent="0.15">
      <c r="B32" s="2" t="s">
        <v>314</v>
      </c>
      <c r="E32" s="2" t="s">
        <v>421</v>
      </c>
      <c r="K32" s="2" t="s">
        <v>502</v>
      </c>
      <c r="M32" s="55"/>
      <c r="N32" s="2" t="s">
        <v>563</v>
      </c>
      <c r="Q32" s="2" t="s">
        <v>622</v>
      </c>
      <c r="S32" s="2" t="s">
        <v>656</v>
      </c>
      <c r="AJ32" s="51">
        <f t="shared" si="13"/>
        <v>5</v>
      </c>
      <c r="AK32" s="51">
        <f t="shared" si="14"/>
        <v>204</v>
      </c>
      <c r="AL32" s="179">
        <f t="shared" si="15"/>
        <v>34</v>
      </c>
      <c r="AM32" s="177">
        <f t="shared" si="16"/>
        <v>3</v>
      </c>
      <c r="AN32" s="177">
        <f t="shared" si="17"/>
        <v>150</v>
      </c>
      <c r="AO32" s="177">
        <f t="shared" si="18"/>
        <v>8</v>
      </c>
      <c r="AP32" s="53">
        <f t="shared" si="19"/>
        <v>18.75</v>
      </c>
      <c r="AQ32" s="54">
        <f t="shared" si="20"/>
        <v>25.5</v>
      </c>
      <c r="AR32" s="54">
        <f t="shared" si="21"/>
        <v>4.4117647058823533</v>
      </c>
      <c r="AS32" s="46" t="str">
        <f t="shared" si="22"/>
        <v>3-23</v>
      </c>
      <c r="AT32" s="55">
        <f t="shared" si="23"/>
        <v>18.7532</v>
      </c>
      <c r="AU32" s="2">
        <f t="shared" si="24"/>
        <v>7</v>
      </c>
      <c r="AV32" s="101">
        <f t="shared" si="25"/>
        <v>8.8235294117647051E-2</v>
      </c>
      <c r="AW32" s="2">
        <f t="shared" si="26"/>
        <v>0</v>
      </c>
    </row>
    <row r="33" spans="1:16334" x14ac:dyDescent="0.15">
      <c r="B33" s="2" t="s">
        <v>296</v>
      </c>
      <c r="M33" s="55"/>
      <c r="AJ33" s="51">
        <f t="shared" si="13"/>
        <v>0</v>
      </c>
      <c r="AK33" s="51">
        <f t="shared" si="14"/>
        <v>0</v>
      </c>
      <c r="AL33" s="179">
        <f t="shared" si="15"/>
        <v>0</v>
      </c>
      <c r="AM33" s="177">
        <f t="shared" si="16"/>
        <v>0</v>
      </c>
      <c r="AN33" s="177">
        <f t="shared" si="17"/>
        <v>0</v>
      </c>
      <c r="AO33" s="177">
        <f t="shared" si="18"/>
        <v>0</v>
      </c>
      <c r="AP33" s="53" t="str">
        <f t="shared" si="19"/>
        <v/>
      </c>
      <c r="AQ33" s="54" t="str">
        <f t="shared" si="20"/>
        <v/>
      </c>
      <c r="AR33" s="54" t="str">
        <f t="shared" si="21"/>
        <v/>
      </c>
      <c r="AS33" s="46" t="str">
        <f t="shared" si="22"/>
        <v/>
      </c>
      <c r="AT33" s="55">
        <f t="shared" si="23"/>
        <v>99999.003299999997</v>
      </c>
      <c r="AU33" s="2">
        <f t="shared" si="24"/>
        <v>37</v>
      </c>
      <c r="AV33" s="101" t="str">
        <f t="shared" si="25"/>
        <v/>
      </c>
      <c r="AW33" s="2">
        <f t="shared" si="26"/>
        <v>0</v>
      </c>
    </row>
    <row r="34" spans="1:16334" x14ac:dyDescent="0.15">
      <c r="B34" s="2" t="s">
        <v>297</v>
      </c>
      <c r="E34" s="2" t="s">
        <v>424</v>
      </c>
      <c r="G34" s="2" t="s">
        <v>439</v>
      </c>
      <c r="J34" s="2" t="s">
        <v>493</v>
      </c>
      <c r="L34" s="2" t="s">
        <v>528</v>
      </c>
      <c r="M34" s="55"/>
      <c r="N34" s="2" t="s">
        <v>450</v>
      </c>
      <c r="P34" s="2" t="s">
        <v>599</v>
      </c>
      <c r="R34" s="2" t="s">
        <v>641</v>
      </c>
      <c r="S34" s="2" t="s">
        <v>659</v>
      </c>
      <c r="V34" s="2" t="s">
        <v>689</v>
      </c>
      <c r="AJ34" s="51">
        <f t="shared" si="13"/>
        <v>9</v>
      </c>
      <c r="AK34" s="51">
        <f t="shared" si="14"/>
        <v>318</v>
      </c>
      <c r="AL34" s="179">
        <f t="shared" si="15"/>
        <v>53</v>
      </c>
      <c r="AM34" s="177">
        <f t="shared" si="16"/>
        <v>11</v>
      </c>
      <c r="AN34" s="177">
        <f t="shared" si="17"/>
        <v>210</v>
      </c>
      <c r="AO34" s="177">
        <f t="shared" si="18"/>
        <v>9</v>
      </c>
      <c r="AP34" s="53">
        <f t="shared" si="19"/>
        <v>23.33</v>
      </c>
      <c r="AQ34" s="54">
        <f t="shared" si="20"/>
        <v>35.333333333333336</v>
      </c>
      <c r="AR34" s="54">
        <f t="shared" si="21"/>
        <v>3.9622641509433962</v>
      </c>
      <c r="AS34" s="46" t="str">
        <f t="shared" si="22"/>
        <v>4-26</v>
      </c>
      <c r="AT34" s="55">
        <f t="shared" si="23"/>
        <v>23.333399999999997</v>
      </c>
      <c r="AU34" s="2">
        <f t="shared" si="24"/>
        <v>11</v>
      </c>
      <c r="AV34" s="101">
        <f t="shared" si="25"/>
        <v>0.20754716981132076</v>
      </c>
      <c r="AW34" s="2">
        <f t="shared" si="26"/>
        <v>0</v>
      </c>
    </row>
    <row r="35" spans="1:16334" x14ac:dyDescent="0.15">
      <c r="B35" s="2" t="s">
        <v>254</v>
      </c>
      <c r="M35" s="55"/>
      <c r="AJ35" s="51">
        <f t="shared" si="13"/>
        <v>0</v>
      </c>
      <c r="AK35" s="51">
        <f t="shared" si="14"/>
        <v>0</v>
      </c>
      <c r="AL35" s="179">
        <f t="shared" si="15"/>
        <v>0</v>
      </c>
      <c r="AM35" s="177">
        <f t="shared" si="16"/>
        <v>0</v>
      </c>
      <c r="AN35" s="177">
        <f t="shared" si="17"/>
        <v>0</v>
      </c>
      <c r="AO35" s="177">
        <f t="shared" si="18"/>
        <v>0</v>
      </c>
      <c r="AP35" s="53" t="str">
        <f t="shared" si="19"/>
        <v/>
      </c>
      <c r="AQ35" s="54" t="str">
        <f t="shared" si="20"/>
        <v/>
      </c>
      <c r="AR35" s="54" t="str">
        <f t="shared" si="21"/>
        <v/>
      </c>
      <c r="AS35" s="46" t="str">
        <f t="shared" si="22"/>
        <v/>
      </c>
      <c r="AT35" s="55">
        <f t="shared" si="23"/>
        <v>99999.003500000006</v>
      </c>
      <c r="AU35" s="2">
        <f t="shared" si="24"/>
        <v>38</v>
      </c>
      <c r="AV35" s="101" t="str">
        <f t="shared" si="25"/>
        <v/>
      </c>
      <c r="AW35" s="2">
        <f t="shared" si="26"/>
        <v>0</v>
      </c>
    </row>
    <row r="36" spans="1:16334" x14ac:dyDescent="0.15">
      <c r="B36" s="2" t="s">
        <v>196</v>
      </c>
      <c r="D36" s="2" t="s">
        <v>451</v>
      </c>
      <c r="E36" s="2" t="s">
        <v>427</v>
      </c>
      <c r="G36" s="2" t="s">
        <v>442</v>
      </c>
      <c r="J36" s="2" t="s">
        <v>494</v>
      </c>
      <c r="L36" s="182" t="s">
        <v>530</v>
      </c>
      <c r="M36" s="55" t="s">
        <v>495</v>
      </c>
      <c r="O36" s="2" t="s">
        <v>608</v>
      </c>
      <c r="P36" s="2" t="s">
        <v>601</v>
      </c>
      <c r="Q36" s="2" t="s">
        <v>623</v>
      </c>
      <c r="R36" s="2" t="s">
        <v>640</v>
      </c>
      <c r="S36" s="2" t="s">
        <v>657</v>
      </c>
      <c r="T36" s="2" t="s">
        <v>758</v>
      </c>
      <c r="AJ36" s="51">
        <f t="shared" si="13"/>
        <v>12</v>
      </c>
      <c r="AK36" s="51">
        <f t="shared" si="14"/>
        <v>372</v>
      </c>
      <c r="AL36" s="179">
        <f t="shared" si="15"/>
        <v>62</v>
      </c>
      <c r="AM36" s="177">
        <f t="shared" si="16"/>
        <v>4</v>
      </c>
      <c r="AN36" s="177">
        <f t="shared" si="17"/>
        <v>282</v>
      </c>
      <c r="AO36" s="177">
        <f t="shared" si="18"/>
        <v>12</v>
      </c>
      <c r="AP36" s="53">
        <f t="shared" si="19"/>
        <v>23.5</v>
      </c>
      <c r="AQ36" s="54">
        <f t="shared" si="20"/>
        <v>31</v>
      </c>
      <c r="AR36" s="54">
        <f t="shared" si="21"/>
        <v>4.5483870967741939</v>
      </c>
      <c r="AS36" s="46" t="str">
        <f t="shared" si="22"/>
        <v>2-22</v>
      </c>
      <c r="AT36" s="55">
        <f t="shared" si="23"/>
        <v>23.503599999999999</v>
      </c>
      <c r="AU36" s="2">
        <f t="shared" si="24"/>
        <v>12</v>
      </c>
      <c r="AV36" s="101">
        <f t="shared" si="25"/>
        <v>6.4516129032258063E-2</v>
      </c>
      <c r="AW36" s="2">
        <f t="shared" si="26"/>
        <v>0</v>
      </c>
    </row>
    <row r="37" spans="1:16334" x14ac:dyDescent="0.15">
      <c r="B37" s="2" t="s">
        <v>259</v>
      </c>
      <c r="L37" s="182"/>
      <c r="M37" s="55" t="s">
        <v>550</v>
      </c>
      <c r="AJ37" s="51">
        <f t="shared" si="13"/>
        <v>1</v>
      </c>
      <c r="AK37" s="51">
        <f t="shared" si="14"/>
        <v>12</v>
      </c>
      <c r="AL37" s="179">
        <f t="shared" si="15"/>
        <v>2</v>
      </c>
      <c r="AM37" s="177">
        <f t="shared" si="16"/>
        <v>0</v>
      </c>
      <c r="AN37" s="177">
        <f t="shared" si="17"/>
        <v>13</v>
      </c>
      <c r="AO37" s="177">
        <f t="shared" si="18"/>
        <v>1</v>
      </c>
      <c r="AP37" s="53">
        <f t="shared" si="19"/>
        <v>13</v>
      </c>
      <c r="AQ37" s="54">
        <f t="shared" si="20"/>
        <v>12</v>
      </c>
      <c r="AR37" s="54">
        <f t="shared" si="21"/>
        <v>6.5</v>
      </c>
      <c r="AS37" s="46" t="str">
        <f t="shared" si="22"/>
        <v>1-13</v>
      </c>
      <c r="AT37" s="55">
        <f t="shared" si="23"/>
        <v>13.0037</v>
      </c>
      <c r="AU37" s="2">
        <f t="shared" si="24"/>
        <v>5</v>
      </c>
      <c r="AV37" s="101" t="str">
        <f t="shared" si="25"/>
        <v/>
      </c>
      <c r="AW37" s="2">
        <f t="shared" si="26"/>
        <v>0</v>
      </c>
    </row>
    <row r="38" spans="1:16334" x14ac:dyDescent="0.15">
      <c r="B38" s="2" t="s">
        <v>136</v>
      </c>
      <c r="C38" s="55"/>
      <c r="M38" s="55"/>
      <c r="S38" s="2" t="s">
        <v>663</v>
      </c>
      <c r="AJ38" s="51">
        <f t="shared" si="13"/>
        <v>1</v>
      </c>
      <c r="AK38" s="51">
        <f t="shared" si="14"/>
        <v>12</v>
      </c>
      <c r="AL38" s="179">
        <f t="shared" si="15"/>
        <v>2</v>
      </c>
      <c r="AM38" s="177">
        <f t="shared" si="16"/>
        <v>0</v>
      </c>
      <c r="AN38" s="177">
        <f t="shared" si="17"/>
        <v>28</v>
      </c>
      <c r="AO38" s="177">
        <f t="shared" si="18"/>
        <v>0</v>
      </c>
      <c r="AP38" s="53" t="str">
        <f t="shared" si="19"/>
        <v/>
      </c>
      <c r="AQ38" s="54" t="str">
        <f t="shared" si="20"/>
        <v/>
      </c>
      <c r="AR38" s="54">
        <f t="shared" si="21"/>
        <v>14</v>
      </c>
      <c r="AS38" s="46" t="str">
        <f t="shared" si="22"/>
        <v>0-28</v>
      </c>
      <c r="AT38" s="55">
        <f t="shared" si="23"/>
        <v>1012.0038</v>
      </c>
      <c r="AU38" s="2">
        <f t="shared" si="24"/>
        <v>20</v>
      </c>
      <c r="AV38" s="101" t="str">
        <f t="shared" si="25"/>
        <v/>
      </c>
      <c r="AW38" s="2">
        <f t="shared" si="26"/>
        <v>0</v>
      </c>
    </row>
    <row r="39" spans="1:16334" x14ac:dyDescent="0.15">
      <c r="B39" s="2" t="s">
        <v>272</v>
      </c>
      <c r="C39" s="55"/>
      <c r="M39" s="55"/>
      <c r="AJ39" s="51">
        <f t="shared" si="13"/>
        <v>0</v>
      </c>
      <c r="AK39" s="51">
        <f t="shared" si="14"/>
        <v>0</v>
      </c>
      <c r="AL39" s="179">
        <f t="shared" si="15"/>
        <v>0</v>
      </c>
      <c r="AM39" s="177">
        <f t="shared" si="16"/>
        <v>0</v>
      </c>
      <c r="AN39" s="177">
        <f t="shared" si="17"/>
        <v>0</v>
      </c>
      <c r="AO39" s="177">
        <f t="shared" si="18"/>
        <v>0</v>
      </c>
      <c r="AP39" s="53" t="str">
        <f t="shared" si="19"/>
        <v/>
      </c>
      <c r="AQ39" s="54" t="str">
        <f t="shared" si="20"/>
        <v/>
      </c>
      <c r="AR39" s="54" t="str">
        <f t="shared" si="21"/>
        <v/>
      </c>
      <c r="AS39" s="46" t="str">
        <f t="shared" si="22"/>
        <v/>
      </c>
      <c r="AT39" s="55">
        <f t="shared" si="23"/>
        <v>99999.003899999996</v>
      </c>
      <c r="AU39" s="2">
        <f t="shared" si="24"/>
        <v>39</v>
      </c>
      <c r="AV39" s="101" t="str">
        <f t="shared" si="25"/>
        <v/>
      </c>
      <c r="AW39" s="2">
        <f t="shared" si="26"/>
        <v>0</v>
      </c>
    </row>
    <row r="40" spans="1:16334" x14ac:dyDescent="0.15">
      <c r="B40" s="2" t="s">
        <v>189</v>
      </c>
      <c r="K40" s="2" t="s">
        <v>505</v>
      </c>
      <c r="M40" s="55"/>
      <c r="AJ40" s="51">
        <f t="shared" si="13"/>
        <v>1</v>
      </c>
      <c r="AK40" s="51">
        <f t="shared" si="14"/>
        <v>12</v>
      </c>
      <c r="AL40" s="179">
        <f t="shared" si="15"/>
        <v>2</v>
      </c>
      <c r="AM40" s="177">
        <f t="shared" si="16"/>
        <v>0</v>
      </c>
      <c r="AN40" s="177">
        <f t="shared" si="17"/>
        <v>36</v>
      </c>
      <c r="AO40" s="177">
        <f t="shared" si="18"/>
        <v>0</v>
      </c>
      <c r="AP40" s="53" t="str">
        <f t="shared" si="19"/>
        <v/>
      </c>
      <c r="AQ40" s="54" t="str">
        <f t="shared" si="20"/>
        <v/>
      </c>
      <c r="AR40" s="54">
        <f t="shared" si="21"/>
        <v>18</v>
      </c>
      <c r="AS40" s="46" t="str">
        <f t="shared" si="22"/>
        <v>0-36</v>
      </c>
      <c r="AT40" s="55">
        <f t="shared" si="23"/>
        <v>1012.004</v>
      </c>
      <c r="AU40" s="2">
        <f t="shared" si="24"/>
        <v>21</v>
      </c>
      <c r="AV40" s="101" t="str">
        <f t="shared" si="25"/>
        <v/>
      </c>
      <c r="AW40" s="2">
        <f t="shared" si="26"/>
        <v>0</v>
      </c>
    </row>
    <row r="41" spans="1:16334" x14ac:dyDescent="0.15">
      <c r="B41" s="2" t="s">
        <v>249</v>
      </c>
      <c r="M41" s="55"/>
      <c r="AJ41" s="51">
        <f t="shared" si="13"/>
        <v>0</v>
      </c>
      <c r="AK41" s="51">
        <f t="shared" si="14"/>
        <v>0</v>
      </c>
      <c r="AL41" s="179">
        <f t="shared" si="15"/>
        <v>0</v>
      </c>
      <c r="AM41" s="177">
        <f t="shared" si="16"/>
        <v>0</v>
      </c>
      <c r="AN41" s="177">
        <f t="shared" si="17"/>
        <v>0</v>
      </c>
      <c r="AO41" s="177">
        <f t="shared" si="18"/>
        <v>0</v>
      </c>
      <c r="AP41" s="53" t="str">
        <f t="shared" si="19"/>
        <v/>
      </c>
      <c r="AQ41" s="54" t="str">
        <f t="shared" si="20"/>
        <v/>
      </c>
      <c r="AR41" s="54" t="str">
        <f t="shared" si="21"/>
        <v/>
      </c>
      <c r="AS41" s="46" t="str">
        <f t="shared" si="22"/>
        <v/>
      </c>
      <c r="AT41" s="55">
        <f t="shared" si="23"/>
        <v>99999.004100000006</v>
      </c>
      <c r="AU41" s="2">
        <f t="shared" si="24"/>
        <v>40</v>
      </c>
      <c r="AV41" s="101" t="str">
        <f t="shared" si="25"/>
        <v/>
      </c>
      <c r="AW41" s="2">
        <f t="shared" si="26"/>
        <v>0</v>
      </c>
    </row>
    <row r="42" spans="1:16334" x14ac:dyDescent="0.15">
      <c r="B42" s="2" t="s">
        <v>222</v>
      </c>
      <c r="C42" s="2" t="s">
        <v>371</v>
      </c>
      <c r="D42" s="2" t="s">
        <v>447</v>
      </c>
      <c r="E42" s="2" t="s">
        <v>426</v>
      </c>
      <c r="F42" s="2" t="s">
        <v>399</v>
      </c>
      <c r="G42" s="2" t="s">
        <v>443</v>
      </c>
      <c r="J42" s="2" t="s">
        <v>491</v>
      </c>
      <c r="K42" s="2" t="s">
        <v>507</v>
      </c>
      <c r="L42" s="2" t="s">
        <v>533</v>
      </c>
      <c r="M42" s="55"/>
      <c r="P42" s="2" t="s">
        <v>602</v>
      </c>
      <c r="T42" s="2" t="s">
        <v>759</v>
      </c>
      <c r="W42" s="2" t="s">
        <v>764</v>
      </c>
      <c r="AJ42" s="51">
        <f t="shared" si="13"/>
        <v>11</v>
      </c>
      <c r="AK42" s="51">
        <f t="shared" si="14"/>
        <v>263</v>
      </c>
      <c r="AL42" s="179">
        <f t="shared" si="15"/>
        <v>43.5</v>
      </c>
      <c r="AM42" s="177">
        <f t="shared" si="16"/>
        <v>6</v>
      </c>
      <c r="AN42" s="177">
        <f t="shared" si="17"/>
        <v>209</v>
      </c>
      <c r="AO42" s="177">
        <f t="shared" si="18"/>
        <v>11</v>
      </c>
      <c r="AP42" s="53">
        <f t="shared" si="19"/>
        <v>19</v>
      </c>
      <c r="AQ42" s="54">
        <f t="shared" si="20"/>
        <v>23.90909090909091</v>
      </c>
      <c r="AR42" s="54">
        <f t="shared" si="21"/>
        <v>4.7680608365019008</v>
      </c>
      <c r="AS42" s="46" t="str">
        <f t="shared" si="22"/>
        <v>4-27</v>
      </c>
      <c r="AT42" s="55">
        <f t="shared" si="23"/>
        <v>19.004200000000001</v>
      </c>
      <c r="AU42" s="2">
        <f t="shared" si="24"/>
        <v>8</v>
      </c>
      <c r="AV42" s="101">
        <f t="shared" si="25"/>
        <v>0.13688212927756654</v>
      </c>
      <c r="AW42" s="2">
        <f t="shared" si="26"/>
        <v>0</v>
      </c>
    </row>
    <row r="43" spans="1:16334" x14ac:dyDescent="0.15">
      <c r="B43" s="2" t="s">
        <v>307</v>
      </c>
      <c r="M43" s="55"/>
      <c r="AJ43" s="51">
        <f t="shared" si="13"/>
        <v>0</v>
      </c>
      <c r="AK43" s="51">
        <f t="shared" si="14"/>
        <v>0</v>
      </c>
      <c r="AL43" s="179">
        <f t="shared" si="15"/>
        <v>0</v>
      </c>
      <c r="AM43" s="177">
        <f t="shared" si="16"/>
        <v>0</v>
      </c>
      <c r="AN43" s="177">
        <f t="shared" si="17"/>
        <v>0</v>
      </c>
      <c r="AO43" s="177">
        <f t="shared" si="18"/>
        <v>0</v>
      </c>
      <c r="AP43" s="53" t="str">
        <f t="shared" si="19"/>
        <v/>
      </c>
      <c r="AQ43" s="54" t="str">
        <f t="shared" si="20"/>
        <v/>
      </c>
      <c r="AR43" s="54" t="str">
        <f t="shared" si="21"/>
        <v/>
      </c>
      <c r="AS43" s="46" t="str">
        <f t="shared" si="22"/>
        <v/>
      </c>
      <c r="AT43" s="55">
        <f t="shared" si="23"/>
        <v>99999.004300000001</v>
      </c>
      <c r="AU43" s="2">
        <f t="shared" si="24"/>
        <v>41</v>
      </c>
      <c r="AV43" s="101" t="str">
        <f t="shared" si="25"/>
        <v/>
      </c>
      <c r="AW43" s="2">
        <f t="shared" si="26"/>
        <v>0</v>
      </c>
    </row>
    <row r="44" spans="1:16334" x14ac:dyDescent="0.15">
      <c r="B44" s="2" t="s">
        <v>345</v>
      </c>
      <c r="M44" s="55"/>
      <c r="AJ44" s="51">
        <f t="shared" si="13"/>
        <v>0</v>
      </c>
      <c r="AK44" s="51">
        <f t="shared" si="14"/>
        <v>0</v>
      </c>
      <c r="AL44" s="179">
        <f t="shared" si="15"/>
        <v>0</v>
      </c>
      <c r="AM44" s="177">
        <f t="shared" si="16"/>
        <v>0</v>
      </c>
      <c r="AN44" s="177">
        <f t="shared" si="17"/>
        <v>0</v>
      </c>
      <c r="AO44" s="177">
        <f t="shared" si="18"/>
        <v>0</v>
      </c>
      <c r="AP44" s="53" t="str">
        <f t="shared" si="19"/>
        <v/>
      </c>
      <c r="AQ44" s="54" t="str">
        <f t="shared" si="20"/>
        <v/>
      </c>
      <c r="AR44" s="54" t="str">
        <f t="shared" si="21"/>
        <v/>
      </c>
      <c r="AS44" s="46" t="str">
        <f t="shared" si="22"/>
        <v/>
      </c>
      <c r="AT44" s="55">
        <f t="shared" si="23"/>
        <v>99999.004400000005</v>
      </c>
      <c r="AU44" s="2">
        <f t="shared" si="24"/>
        <v>42</v>
      </c>
      <c r="AV44" s="101" t="str">
        <f t="shared" si="25"/>
        <v/>
      </c>
      <c r="AW44" s="2">
        <f t="shared" si="26"/>
        <v>0</v>
      </c>
    </row>
    <row r="45" spans="1:16334" x14ac:dyDescent="0.15">
      <c r="B45" s="2" t="s">
        <v>414</v>
      </c>
      <c r="E45" s="2" t="s">
        <v>327</v>
      </c>
      <c r="M45" s="55"/>
      <c r="AJ45" s="51">
        <f t="shared" si="13"/>
        <v>1</v>
      </c>
      <c r="AK45" s="51">
        <f t="shared" si="14"/>
        <v>12</v>
      </c>
      <c r="AL45" s="179">
        <f t="shared" si="15"/>
        <v>2</v>
      </c>
      <c r="AM45" s="177">
        <f t="shared" si="16"/>
        <v>0</v>
      </c>
      <c r="AN45" s="177">
        <f t="shared" si="17"/>
        <v>16</v>
      </c>
      <c r="AO45" s="177">
        <f t="shared" si="18"/>
        <v>0</v>
      </c>
      <c r="AP45" s="53" t="str">
        <f t="shared" si="19"/>
        <v/>
      </c>
      <c r="AQ45" s="54" t="str">
        <f t="shared" si="20"/>
        <v/>
      </c>
      <c r="AR45" s="54">
        <f t="shared" si="21"/>
        <v>8</v>
      </c>
      <c r="AS45" s="46" t="str">
        <f t="shared" si="22"/>
        <v>0-16</v>
      </c>
      <c r="AT45" s="55">
        <f t="shared" si="23"/>
        <v>1012.0045</v>
      </c>
      <c r="AU45" s="2">
        <f t="shared" si="24"/>
        <v>22</v>
      </c>
      <c r="AV45" s="101" t="str">
        <f t="shared" si="25"/>
        <v/>
      </c>
      <c r="AW45" s="2">
        <f t="shared" si="26"/>
        <v>0</v>
      </c>
    </row>
    <row r="46" spans="1:16334" x14ac:dyDescent="0.15">
      <c r="B46" s="116" t="s">
        <v>236</v>
      </c>
      <c r="I46" s="2" t="s">
        <v>326</v>
      </c>
      <c r="M46" s="55"/>
      <c r="W46" s="2" t="s">
        <v>756</v>
      </c>
      <c r="AJ46" s="51">
        <f t="shared" si="13"/>
        <v>2</v>
      </c>
      <c r="AK46" s="51">
        <f t="shared" si="14"/>
        <v>30</v>
      </c>
      <c r="AL46" s="179">
        <f t="shared" si="15"/>
        <v>5</v>
      </c>
      <c r="AM46" s="177">
        <f t="shared" si="16"/>
        <v>0</v>
      </c>
      <c r="AN46" s="177">
        <f t="shared" si="17"/>
        <v>30</v>
      </c>
      <c r="AO46" s="177">
        <f t="shared" si="18"/>
        <v>1</v>
      </c>
      <c r="AP46" s="53">
        <f t="shared" si="19"/>
        <v>30</v>
      </c>
      <c r="AQ46" s="54">
        <f t="shared" si="20"/>
        <v>30</v>
      </c>
      <c r="AR46" s="54">
        <f t="shared" si="21"/>
        <v>6</v>
      </c>
      <c r="AS46" s="46" t="str">
        <f t="shared" si="22"/>
        <v>1-18</v>
      </c>
      <c r="AT46" s="55">
        <f t="shared" si="23"/>
        <v>30.0046</v>
      </c>
      <c r="AU46" s="2">
        <f t="shared" si="24"/>
        <v>16</v>
      </c>
      <c r="AV46" s="101" t="str">
        <f t="shared" si="25"/>
        <v/>
      </c>
      <c r="AW46" s="2">
        <f t="shared" si="26"/>
        <v>0</v>
      </c>
    </row>
    <row r="47" spans="1:16334" x14ac:dyDescent="0.15">
      <c r="A47" s="116"/>
      <c r="B47" s="116" t="s">
        <v>233</v>
      </c>
      <c r="C47" s="116"/>
      <c r="D47" s="116"/>
      <c r="E47" s="116"/>
      <c r="F47" s="116"/>
      <c r="G47" s="116"/>
      <c r="H47" s="116"/>
      <c r="I47" s="116"/>
      <c r="J47" s="116"/>
      <c r="K47" s="116"/>
      <c r="L47" s="116"/>
      <c r="M47" s="116"/>
      <c r="N47" s="116"/>
      <c r="O47" s="116"/>
      <c r="P47" s="116"/>
      <c r="Q47" s="116"/>
      <c r="R47" s="116"/>
      <c r="S47" s="116"/>
      <c r="T47" s="116"/>
      <c r="U47" s="116"/>
      <c r="V47" s="116"/>
      <c r="W47" s="116"/>
      <c r="X47" s="116"/>
      <c r="Y47" s="116"/>
      <c r="Z47" s="116"/>
      <c r="AA47" s="116"/>
      <c r="AB47" s="116"/>
      <c r="AC47" s="116"/>
      <c r="AD47" s="116"/>
      <c r="AE47" s="116"/>
      <c r="AF47" s="116"/>
      <c r="AG47" s="116"/>
      <c r="AH47" s="116"/>
      <c r="AI47" s="116"/>
      <c r="AJ47" s="51">
        <f t="shared" si="13"/>
        <v>0</v>
      </c>
      <c r="AK47" s="51">
        <f t="shared" si="14"/>
        <v>0</v>
      </c>
      <c r="AL47" s="179">
        <f t="shared" si="15"/>
        <v>0</v>
      </c>
      <c r="AM47" s="177">
        <f t="shared" si="16"/>
        <v>0</v>
      </c>
      <c r="AN47" s="177">
        <f t="shared" si="17"/>
        <v>0</v>
      </c>
      <c r="AO47" s="177">
        <f t="shared" si="18"/>
        <v>0</v>
      </c>
      <c r="AP47" s="53" t="str">
        <f t="shared" si="19"/>
        <v/>
      </c>
      <c r="AQ47" s="54" t="str">
        <f t="shared" si="20"/>
        <v/>
      </c>
      <c r="AR47" s="54" t="str">
        <f t="shared" si="21"/>
        <v/>
      </c>
      <c r="AS47" s="46" t="str">
        <f t="shared" si="22"/>
        <v/>
      </c>
      <c r="AT47" s="55">
        <f t="shared" si="23"/>
        <v>99999.004700000005</v>
      </c>
      <c r="AU47" s="2">
        <f t="shared" si="24"/>
        <v>43</v>
      </c>
      <c r="AV47" s="101" t="str">
        <f t="shared" si="25"/>
        <v/>
      </c>
      <c r="AW47" s="2">
        <f t="shared" si="26"/>
        <v>0</v>
      </c>
      <c r="AX47" s="116"/>
      <c r="AY47" s="116"/>
      <c r="AZ47" s="116"/>
      <c r="BA47" s="116"/>
      <c r="BB47" s="116"/>
      <c r="BC47" s="116"/>
      <c r="BD47" s="116"/>
      <c r="BE47" s="116"/>
      <c r="BF47" s="116"/>
      <c r="BG47" s="116"/>
      <c r="BH47" s="116"/>
      <c r="BI47" s="116"/>
      <c r="BJ47" s="116"/>
      <c r="BK47" s="116"/>
      <c r="BL47" s="116"/>
      <c r="BM47" s="116"/>
      <c r="BN47" s="116"/>
      <c r="BO47" s="116"/>
      <c r="BP47" s="116"/>
      <c r="BQ47" s="116"/>
      <c r="BR47" s="116"/>
      <c r="BS47" s="116"/>
      <c r="BT47" s="116"/>
      <c r="BU47" s="116"/>
      <c r="BV47" s="116"/>
      <c r="BW47" s="116"/>
      <c r="BX47" s="116"/>
      <c r="BY47" s="116"/>
      <c r="BZ47" s="116"/>
      <c r="CA47" s="116"/>
      <c r="CB47" s="116"/>
      <c r="CC47" s="116"/>
      <c r="CD47" s="116"/>
      <c r="CE47" s="116"/>
      <c r="CF47" s="116"/>
      <c r="CG47" s="116"/>
      <c r="CH47" s="116"/>
      <c r="CI47" s="116"/>
      <c r="CJ47" s="116"/>
      <c r="CK47" s="116"/>
      <c r="CL47" s="116"/>
      <c r="CM47" s="116"/>
      <c r="CN47" s="116"/>
      <c r="CO47" s="116"/>
      <c r="CP47" s="116"/>
      <c r="CQ47" s="116"/>
      <c r="CR47" s="116"/>
      <c r="CS47" s="116"/>
      <c r="CT47" s="116"/>
      <c r="CU47" s="116"/>
      <c r="CV47" s="116"/>
      <c r="CW47" s="116"/>
      <c r="CX47" s="116"/>
      <c r="CY47" s="116"/>
      <c r="CZ47" s="116"/>
      <c r="DA47" s="116"/>
      <c r="DB47" s="116"/>
      <c r="DC47" s="116"/>
      <c r="DD47" s="116"/>
      <c r="DE47" s="116"/>
      <c r="DF47" s="116"/>
      <c r="DG47" s="116"/>
      <c r="DH47" s="116"/>
      <c r="DI47" s="116"/>
      <c r="DJ47" s="116"/>
      <c r="DK47" s="116"/>
      <c r="DL47" s="116"/>
      <c r="DM47" s="116"/>
      <c r="DN47" s="116"/>
      <c r="DO47" s="116"/>
      <c r="DP47" s="116"/>
      <c r="DQ47" s="116"/>
      <c r="DR47" s="116"/>
      <c r="DS47" s="116"/>
      <c r="DT47" s="116"/>
      <c r="DU47" s="116"/>
      <c r="DV47" s="116"/>
      <c r="DW47" s="116"/>
      <c r="DX47" s="116"/>
      <c r="DY47" s="116"/>
      <c r="DZ47" s="116"/>
      <c r="EA47" s="116"/>
      <c r="EB47" s="116"/>
      <c r="EC47" s="116"/>
      <c r="ED47" s="116"/>
      <c r="EE47" s="116"/>
      <c r="EF47" s="116"/>
      <c r="EG47" s="116"/>
      <c r="EH47" s="116"/>
      <c r="EI47" s="116"/>
      <c r="EJ47" s="116"/>
      <c r="EK47" s="116"/>
      <c r="EL47" s="116"/>
      <c r="EM47" s="116"/>
      <c r="EN47" s="116"/>
      <c r="EO47" s="116"/>
      <c r="EP47" s="116"/>
      <c r="EQ47" s="116"/>
      <c r="ER47" s="116"/>
      <c r="ES47" s="116"/>
      <c r="ET47" s="116"/>
      <c r="EU47" s="116"/>
      <c r="EV47" s="116"/>
      <c r="EW47" s="116"/>
      <c r="EX47" s="116"/>
      <c r="EY47" s="116"/>
      <c r="EZ47" s="116"/>
      <c r="FA47" s="116"/>
      <c r="FB47" s="116"/>
      <c r="FC47" s="116"/>
      <c r="FD47" s="116"/>
      <c r="FE47" s="116"/>
      <c r="FF47" s="116"/>
      <c r="FG47" s="116"/>
      <c r="FH47" s="116"/>
      <c r="FI47" s="116"/>
      <c r="FJ47" s="116"/>
      <c r="FK47" s="116"/>
      <c r="FL47" s="116"/>
      <c r="FM47" s="116"/>
      <c r="FN47" s="116"/>
      <c r="FO47" s="116"/>
      <c r="FP47" s="116"/>
      <c r="FQ47" s="116"/>
      <c r="FR47" s="116"/>
      <c r="FS47" s="116"/>
      <c r="FT47" s="116"/>
      <c r="FU47" s="116"/>
      <c r="FV47" s="116"/>
      <c r="FW47" s="116"/>
      <c r="FX47" s="116"/>
      <c r="FY47" s="116"/>
      <c r="FZ47" s="116"/>
      <c r="GA47" s="116"/>
      <c r="GB47" s="116"/>
      <c r="GC47" s="116"/>
      <c r="GD47" s="116"/>
      <c r="GE47" s="116"/>
      <c r="GF47" s="116"/>
      <c r="GG47" s="116"/>
      <c r="GH47" s="116"/>
      <c r="GI47" s="116"/>
      <c r="GJ47" s="116"/>
      <c r="GK47" s="116"/>
      <c r="GL47" s="116"/>
      <c r="GM47" s="116"/>
      <c r="GN47" s="116"/>
      <c r="GO47" s="116"/>
      <c r="GP47" s="116"/>
      <c r="GQ47" s="116"/>
      <c r="GR47" s="116"/>
      <c r="GS47" s="116"/>
      <c r="GT47" s="116"/>
      <c r="GU47" s="116"/>
      <c r="GV47" s="116"/>
      <c r="GW47" s="116"/>
      <c r="GX47" s="116"/>
      <c r="GY47" s="116"/>
      <c r="GZ47" s="116"/>
      <c r="HA47" s="116"/>
      <c r="HB47" s="116"/>
      <c r="HC47" s="116"/>
      <c r="HD47" s="116"/>
      <c r="HE47" s="116"/>
      <c r="HF47" s="116"/>
      <c r="HG47" s="116"/>
      <c r="HH47" s="116"/>
      <c r="HI47" s="116"/>
      <c r="HJ47" s="116"/>
      <c r="HK47" s="116"/>
      <c r="HL47" s="116"/>
      <c r="HM47" s="116"/>
      <c r="HN47" s="116"/>
      <c r="HO47" s="116"/>
      <c r="HP47" s="116"/>
      <c r="HQ47" s="116"/>
      <c r="HR47" s="116"/>
      <c r="HS47" s="116"/>
      <c r="HT47" s="116"/>
      <c r="HU47" s="116"/>
      <c r="HV47" s="116"/>
      <c r="HW47" s="116"/>
      <c r="HX47" s="116"/>
      <c r="HY47" s="116"/>
      <c r="HZ47" s="116"/>
      <c r="IA47" s="116"/>
      <c r="IB47" s="116"/>
      <c r="IC47" s="116"/>
      <c r="ID47" s="116"/>
      <c r="IE47" s="116"/>
      <c r="IF47" s="116"/>
      <c r="IG47" s="116"/>
      <c r="IH47" s="116"/>
      <c r="II47" s="116"/>
      <c r="IJ47" s="116"/>
      <c r="IK47" s="116"/>
      <c r="IL47" s="116"/>
      <c r="IM47" s="116"/>
      <c r="IN47" s="116"/>
      <c r="IO47" s="116"/>
      <c r="IP47" s="116"/>
      <c r="IQ47" s="116"/>
      <c r="IR47" s="116"/>
      <c r="IS47" s="116"/>
      <c r="IT47" s="116"/>
      <c r="IU47" s="116"/>
      <c r="IV47" s="116"/>
      <c r="IW47" s="116"/>
      <c r="IX47" s="116"/>
      <c r="IY47" s="116"/>
      <c r="IZ47" s="116"/>
      <c r="JA47" s="116"/>
      <c r="JB47" s="116"/>
      <c r="JC47" s="116"/>
      <c r="JD47" s="116"/>
      <c r="JE47" s="116"/>
      <c r="JF47" s="116"/>
      <c r="JG47" s="116"/>
      <c r="JH47" s="116"/>
      <c r="JI47" s="116"/>
      <c r="JJ47" s="116"/>
      <c r="JK47" s="116"/>
      <c r="JL47" s="116"/>
      <c r="JM47" s="116"/>
      <c r="JN47" s="116"/>
      <c r="JO47" s="116"/>
      <c r="JP47" s="116"/>
      <c r="JQ47" s="116"/>
      <c r="JR47" s="116"/>
      <c r="JS47" s="116"/>
      <c r="JT47" s="116"/>
      <c r="JU47" s="116"/>
      <c r="JV47" s="116"/>
      <c r="JW47" s="116"/>
      <c r="JX47" s="116"/>
      <c r="JY47" s="116"/>
      <c r="JZ47" s="116"/>
      <c r="KA47" s="116"/>
      <c r="KB47" s="116"/>
      <c r="KC47" s="116"/>
      <c r="KD47" s="116"/>
      <c r="KE47" s="116"/>
      <c r="KF47" s="116"/>
      <c r="KG47" s="116"/>
      <c r="KH47" s="116"/>
      <c r="KI47" s="116"/>
      <c r="KJ47" s="116"/>
      <c r="KK47" s="116"/>
      <c r="KL47" s="116"/>
      <c r="KM47" s="116"/>
      <c r="KN47" s="116"/>
      <c r="KO47" s="116"/>
      <c r="KP47" s="116"/>
      <c r="KQ47" s="116"/>
      <c r="KR47" s="116"/>
      <c r="KS47" s="116"/>
      <c r="KT47" s="116"/>
      <c r="KU47" s="116"/>
      <c r="KV47" s="116"/>
      <c r="KW47" s="116"/>
      <c r="KX47" s="116"/>
      <c r="KY47" s="116"/>
      <c r="KZ47" s="116"/>
      <c r="LA47" s="116"/>
      <c r="LB47" s="116"/>
      <c r="LC47" s="116"/>
      <c r="LD47" s="116"/>
      <c r="LE47" s="116"/>
      <c r="LF47" s="116"/>
      <c r="LG47" s="116"/>
      <c r="LH47" s="116"/>
      <c r="LI47" s="116"/>
      <c r="LJ47" s="116"/>
      <c r="LK47" s="116"/>
      <c r="LL47" s="116"/>
      <c r="LM47" s="116"/>
      <c r="LN47" s="116"/>
      <c r="LO47" s="116"/>
      <c r="LP47" s="116"/>
      <c r="LQ47" s="116"/>
      <c r="LR47" s="116"/>
      <c r="LS47" s="116"/>
      <c r="LT47" s="116"/>
      <c r="LU47" s="116"/>
      <c r="LV47" s="116"/>
      <c r="LW47" s="116"/>
      <c r="LX47" s="116"/>
      <c r="LY47" s="116"/>
      <c r="LZ47" s="116"/>
      <c r="MA47" s="116"/>
      <c r="MB47" s="116"/>
      <c r="MC47" s="116"/>
      <c r="MD47" s="116"/>
      <c r="ME47" s="116"/>
      <c r="MF47" s="116"/>
      <c r="MG47" s="116"/>
      <c r="MH47" s="116"/>
      <c r="MI47" s="116"/>
      <c r="MJ47" s="116"/>
      <c r="MK47" s="116"/>
      <c r="ML47" s="116"/>
      <c r="MM47" s="116"/>
      <c r="MN47" s="116"/>
      <c r="MO47" s="116"/>
      <c r="MP47" s="116"/>
      <c r="MQ47" s="116"/>
      <c r="MR47" s="116"/>
      <c r="MS47" s="116"/>
      <c r="MT47" s="116"/>
      <c r="MU47" s="116"/>
      <c r="MV47" s="116"/>
      <c r="MW47" s="116"/>
      <c r="MX47" s="116"/>
      <c r="MY47" s="116"/>
      <c r="MZ47" s="116"/>
      <c r="NA47" s="116"/>
      <c r="NB47" s="116"/>
      <c r="NC47" s="116"/>
      <c r="ND47" s="116"/>
      <c r="NE47" s="116"/>
      <c r="NF47" s="116"/>
      <c r="NG47" s="116"/>
      <c r="NH47" s="116"/>
      <c r="NI47" s="116"/>
      <c r="NJ47" s="116"/>
      <c r="NK47" s="116"/>
      <c r="NL47" s="116"/>
      <c r="NM47" s="116"/>
      <c r="NN47" s="116"/>
      <c r="NO47" s="116"/>
      <c r="NP47" s="116"/>
      <c r="NQ47" s="116"/>
      <c r="NR47" s="116"/>
      <c r="NS47" s="116"/>
      <c r="NT47" s="116"/>
      <c r="NU47" s="116"/>
      <c r="NV47" s="116"/>
      <c r="NW47" s="116"/>
      <c r="NX47" s="116"/>
      <c r="NY47" s="116"/>
      <c r="NZ47" s="116"/>
      <c r="OA47" s="116"/>
      <c r="OB47" s="116"/>
      <c r="OC47" s="116"/>
      <c r="OD47" s="116"/>
      <c r="OE47" s="116"/>
      <c r="OF47" s="116"/>
      <c r="OG47" s="116"/>
      <c r="OH47" s="116"/>
      <c r="OI47" s="116"/>
      <c r="OJ47" s="116"/>
      <c r="OK47" s="116"/>
      <c r="OL47" s="116"/>
      <c r="OM47" s="116"/>
      <c r="ON47" s="116"/>
      <c r="OO47" s="116"/>
      <c r="OP47" s="116"/>
      <c r="OQ47" s="116"/>
      <c r="OR47" s="116"/>
      <c r="OS47" s="116"/>
      <c r="OT47" s="116"/>
      <c r="OU47" s="116"/>
      <c r="OV47" s="116"/>
      <c r="OW47" s="116"/>
      <c r="OX47" s="116"/>
      <c r="OY47" s="116"/>
      <c r="OZ47" s="116"/>
      <c r="PA47" s="116"/>
      <c r="PB47" s="116"/>
      <c r="PC47" s="116"/>
      <c r="PD47" s="116"/>
      <c r="PE47" s="116"/>
      <c r="PF47" s="116"/>
      <c r="PG47" s="116"/>
      <c r="PH47" s="116"/>
      <c r="PI47" s="116"/>
      <c r="PJ47" s="116"/>
      <c r="PK47" s="116"/>
      <c r="PL47" s="116"/>
      <c r="PM47" s="116"/>
      <c r="PN47" s="116"/>
      <c r="PO47" s="116"/>
      <c r="PP47" s="116"/>
      <c r="PQ47" s="116"/>
      <c r="PR47" s="116"/>
      <c r="PS47" s="116"/>
      <c r="PT47" s="116"/>
      <c r="PU47" s="116"/>
      <c r="PV47" s="116"/>
      <c r="PW47" s="116"/>
      <c r="PX47" s="116"/>
      <c r="PY47" s="116"/>
      <c r="PZ47" s="116"/>
      <c r="QA47" s="116"/>
      <c r="QB47" s="116"/>
      <c r="QC47" s="116"/>
      <c r="QD47" s="116"/>
      <c r="QE47" s="116"/>
      <c r="QF47" s="116"/>
      <c r="QG47" s="116"/>
      <c r="QH47" s="116"/>
      <c r="QI47" s="116"/>
      <c r="QJ47" s="116"/>
      <c r="QK47" s="116"/>
      <c r="QL47" s="116"/>
      <c r="QM47" s="116"/>
      <c r="QN47" s="116"/>
      <c r="QO47" s="116"/>
      <c r="QP47" s="116"/>
      <c r="QQ47" s="116"/>
      <c r="QR47" s="116"/>
      <c r="QS47" s="116"/>
      <c r="QT47" s="116"/>
      <c r="QU47" s="116"/>
      <c r="QV47" s="116"/>
      <c r="QW47" s="116"/>
      <c r="QX47" s="116"/>
      <c r="QY47" s="116"/>
      <c r="QZ47" s="116"/>
      <c r="RA47" s="116"/>
      <c r="RB47" s="116"/>
      <c r="RC47" s="116"/>
      <c r="RD47" s="116"/>
      <c r="RE47" s="116"/>
      <c r="RF47" s="116"/>
      <c r="RG47" s="116"/>
      <c r="RH47" s="116"/>
      <c r="RI47" s="116"/>
      <c r="RJ47" s="116"/>
      <c r="RK47" s="116"/>
      <c r="RL47" s="116"/>
      <c r="RM47" s="116"/>
      <c r="RN47" s="116"/>
      <c r="RO47" s="116"/>
      <c r="RP47" s="116"/>
      <c r="RQ47" s="116"/>
      <c r="RR47" s="116"/>
      <c r="RS47" s="116"/>
      <c r="RT47" s="116"/>
      <c r="RU47" s="116"/>
      <c r="RV47" s="116"/>
      <c r="RW47" s="116"/>
      <c r="RX47" s="116"/>
      <c r="RY47" s="116"/>
      <c r="RZ47" s="116"/>
      <c r="SA47" s="116"/>
      <c r="SB47" s="116"/>
      <c r="SC47" s="116"/>
      <c r="SD47" s="116"/>
      <c r="SE47" s="116"/>
      <c r="SF47" s="116"/>
      <c r="SG47" s="116"/>
      <c r="SH47" s="116"/>
      <c r="SI47" s="116"/>
      <c r="SJ47" s="116"/>
      <c r="SK47" s="116"/>
      <c r="SL47" s="116"/>
      <c r="SM47" s="116"/>
      <c r="SN47" s="116"/>
      <c r="SO47" s="116"/>
      <c r="SP47" s="116"/>
      <c r="SQ47" s="116"/>
      <c r="SR47" s="116"/>
      <c r="SS47" s="116"/>
      <c r="ST47" s="116"/>
      <c r="SU47" s="116"/>
      <c r="SV47" s="116"/>
      <c r="SW47" s="116"/>
      <c r="SX47" s="116"/>
      <c r="SY47" s="116"/>
      <c r="SZ47" s="116"/>
      <c r="TA47" s="116"/>
      <c r="TB47" s="116"/>
      <c r="TC47" s="116"/>
      <c r="TD47" s="116"/>
      <c r="TE47" s="116"/>
      <c r="TF47" s="116"/>
      <c r="TG47" s="116"/>
      <c r="TH47" s="116"/>
      <c r="TI47" s="116"/>
      <c r="TJ47" s="116"/>
      <c r="TK47" s="116"/>
      <c r="TL47" s="116"/>
      <c r="TM47" s="116"/>
      <c r="TN47" s="116"/>
      <c r="TO47" s="116"/>
      <c r="TP47" s="116"/>
      <c r="TQ47" s="116"/>
      <c r="TR47" s="116"/>
      <c r="TS47" s="116"/>
      <c r="TT47" s="116"/>
      <c r="TU47" s="116"/>
      <c r="TV47" s="116"/>
      <c r="TW47" s="116"/>
      <c r="TX47" s="116"/>
      <c r="TY47" s="116"/>
      <c r="TZ47" s="116"/>
      <c r="UA47" s="116"/>
      <c r="UB47" s="116"/>
      <c r="UC47" s="116"/>
      <c r="UD47" s="116"/>
      <c r="UE47" s="116"/>
      <c r="UF47" s="116"/>
      <c r="UG47" s="116"/>
      <c r="UH47" s="116"/>
      <c r="UI47" s="116"/>
      <c r="UJ47" s="116"/>
      <c r="UK47" s="116"/>
      <c r="UL47" s="116"/>
      <c r="UM47" s="116"/>
      <c r="UN47" s="116"/>
      <c r="UO47" s="116"/>
      <c r="UP47" s="116"/>
      <c r="UQ47" s="116"/>
      <c r="UR47" s="116"/>
      <c r="US47" s="116"/>
      <c r="UT47" s="116"/>
      <c r="UU47" s="116"/>
      <c r="UV47" s="116"/>
      <c r="UW47" s="116"/>
      <c r="UX47" s="116"/>
      <c r="UY47" s="116"/>
      <c r="UZ47" s="116"/>
      <c r="VA47" s="116"/>
      <c r="VB47" s="116"/>
      <c r="VC47" s="116"/>
      <c r="VD47" s="116"/>
      <c r="VE47" s="116"/>
      <c r="VF47" s="116"/>
      <c r="VG47" s="116"/>
      <c r="VH47" s="116"/>
      <c r="VI47" s="116"/>
      <c r="VJ47" s="116"/>
      <c r="VK47" s="116"/>
      <c r="VL47" s="116"/>
      <c r="VM47" s="116"/>
      <c r="VN47" s="116"/>
      <c r="VO47" s="116"/>
      <c r="VP47" s="116"/>
      <c r="VQ47" s="116"/>
      <c r="VR47" s="116"/>
      <c r="VS47" s="116"/>
      <c r="VT47" s="116"/>
      <c r="VU47" s="116"/>
      <c r="VV47" s="116"/>
      <c r="VW47" s="116"/>
      <c r="VX47" s="116"/>
      <c r="VY47" s="116"/>
      <c r="VZ47" s="116"/>
      <c r="WA47" s="116"/>
      <c r="WB47" s="116"/>
      <c r="WC47" s="116"/>
      <c r="WD47" s="116"/>
      <c r="WE47" s="116"/>
      <c r="WF47" s="116"/>
      <c r="WG47" s="116"/>
      <c r="WH47" s="116"/>
      <c r="WI47" s="116"/>
      <c r="WJ47" s="116"/>
      <c r="WK47" s="116"/>
      <c r="WL47" s="116"/>
      <c r="WM47" s="116"/>
      <c r="WN47" s="116"/>
      <c r="WO47" s="116"/>
      <c r="WP47" s="116"/>
      <c r="WQ47" s="116"/>
      <c r="WR47" s="116"/>
      <c r="WS47" s="116"/>
      <c r="WT47" s="116"/>
      <c r="WU47" s="116"/>
      <c r="WV47" s="116"/>
      <c r="WW47" s="116"/>
      <c r="WX47" s="116"/>
      <c r="WY47" s="116"/>
      <c r="WZ47" s="116"/>
      <c r="XA47" s="116"/>
      <c r="XB47" s="116"/>
      <c r="XC47" s="116"/>
      <c r="XD47" s="116"/>
      <c r="XE47" s="116"/>
      <c r="XF47" s="116"/>
      <c r="XG47" s="116"/>
      <c r="XH47" s="116"/>
      <c r="XI47" s="116"/>
      <c r="XJ47" s="116"/>
      <c r="XK47" s="116"/>
      <c r="XL47" s="116"/>
      <c r="XM47" s="116"/>
      <c r="XN47" s="116"/>
      <c r="XO47" s="116"/>
      <c r="XP47" s="116"/>
      <c r="XQ47" s="116"/>
      <c r="XR47" s="116"/>
      <c r="XS47" s="116"/>
      <c r="XT47" s="116"/>
      <c r="XU47" s="116"/>
      <c r="XV47" s="116"/>
      <c r="XW47" s="116"/>
      <c r="XX47" s="116"/>
      <c r="XY47" s="116"/>
      <c r="XZ47" s="116"/>
      <c r="YA47" s="116"/>
      <c r="YB47" s="116"/>
      <c r="YC47" s="116"/>
      <c r="YD47" s="116"/>
      <c r="YE47" s="116"/>
      <c r="YF47" s="116"/>
      <c r="YG47" s="116"/>
      <c r="YH47" s="116"/>
      <c r="YI47" s="116"/>
      <c r="YJ47" s="116"/>
      <c r="YK47" s="116"/>
      <c r="YL47" s="116"/>
      <c r="YM47" s="116"/>
      <c r="YN47" s="116"/>
      <c r="YO47" s="116"/>
      <c r="YP47" s="116"/>
      <c r="YQ47" s="116"/>
      <c r="YR47" s="116"/>
      <c r="YS47" s="116"/>
      <c r="YT47" s="116"/>
      <c r="YU47" s="116"/>
      <c r="YV47" s="116"/>
      <c r="YW47" s="116"/>
      <c r="YX47" s="116"/>
      <c r="YY47" s="116"/>
      <c r="YZ47" s="116"/>
      <c r="ZA47" s="116"/>
      <c r="ZB47" s="116"/>
      <c r="ZC47" s="116"/>
      <c r="ZD47" s="116"/>
      <c r="ZE47" s="116"/>
      <c r="ZF47" s="116"/>
      <c r="ZG47" s="116"/>
      <c r="ZH47" s="116"/>
      <c r="ZI47" s="116"/>
      <c r="ZJ47" s="116"/>
      <c r="ZK47" s="116"/>
      <c r="ZL47" s="116"/>
      <c r="ZM47" s="116"/>
      <c r="ZN47" s="116"/>
      <c r="ZO47" s="116"/>
      <c r="ZP47" s="116"/>
      <c r="ZQ47" s="116"/>
      <c r="ZR47" s="116"/>
      <c r="ZS47" s="116"/>
      <c r="ZT47" s="116"/>
      <c r="ZU47" s="116"/>
      <c r="ZV47" s="116"/>
      <c r="ZW47" s="116"/>
      <c r="ZX47" s="116"/>
      <c r="ZY47" s="116"/>
      <c r="ZZ47" s="116"/>
      <c r="AAA47" s="116"/>
      <c r="AAB47" s="116"/>
      <c r="AAC47" s="116"/>
      <c r="AAD47" s="116"/>
      <c r="AAE47" s="116"/>
      <c r="AAF47" s="116"/>
      <c r="AAG47" s="116"/>
      <c r="AAH47" s="116"/>
      <c r="AAI47" s="116"/>
      <c r="AAJ47" s="116"/>
      <c r="AAK47" s="116"/>
      <c r="AAL47" s="116"/>
      <c r="AAM47" s="116"/>
      <c r="AAN47" s="116"/>
      <c r="AAO47" s="116"/>
      <c r="AAP47" s="116"/>
      <c r="AAQ47" s="116"/>
      <c r="AAR47" s="116"/>
      <c r="AAS47" s="116"/>
      <c r="AAT47" s="116"/>
      <c r="AAU47" s="116"/>
      <c r="AAV47" s="116"/>
      <c r="AAW47" s="116"/>
      <c r="AAX47" s="116"/>
      <c r="AAY47" s="116"/>
      <c r="AAZ47" s="116"/>
      <c r="ABA47" s="116"/>
      <c r="ABB47" s="116"/>
      <c r="ABC47" s="116"/>
      <c r="ABD47" s="116"/>
      <c r="ABE47" s="116"/>
      <c r="ABF47" s="116"/>
      <c r="ABG47" s="116"/>
      <c r="ABH47" s="116"/>
      <c r="ABI47" s="116"/>
      <c r="ABJ47" s="116"/>
      <c r="ABK47" s="116"/>
      <c r="ABL47" s="116"/>
      <c r="ABM47" s="116"/>
      <c r="ABN47" s="116"/>
      <c r="ABO47" s="116"/>
      <c r="ABP47" s="116"/>
      <c r="ABQ47" s="116"/>
      <c r="ABR47" s="116"/>
      <c r="ABS47" s="116"/>
      <c r="ABT47" s="116"/>
      <c r="ABU47" s="116"/>
      <c r="ABV47" s="116"/>
      <c r="ABW47" s="116"/>
      <c r="ABX47" s="116"/>
      <c r="ABY47" s="116"/>
      <c r="ABZ47" s="116"/>
      <c r="ACA47" s="116"/>
      <c r="ACB47" s="116"/>
      <c r="ACC47" s="116"/>
      <c r="ACD47" s="116"/>
      <c r="ACE47" s="116"/>
      <c r="ACF47" s="116"/>
      <c r="ACG47" s="116"/>
      <c r="ACH47" s="116"/>
      <c r="ACI47" s="116"/>
      <c r="ACJ47" s="116"/>
      <c r="ACK47" s="116"/>
      <c r="ACL47" s="116"/>
      <c r="ACM47" s="116"/>
      <c r="ACN47" s="116"/>
      <c r="ACO47" s="116"/>
      <c r="ACP47" s="116"/>
      <c r="ACQ47" s="116"/>
      <c r="ACR47" s="116"/>
      <c r="ACS47" s="116"/>
      <c r="ACT47" s="116"/>
      <c r="ACU47" s="116"/>
      <c r="ACV47" s="116"/>
      <c r="ACW47" s="116"/>
      <c r="ACX47" s="116"/>
      <c r="ACY47" s="116"/>
      <c r="ACZ47" s="116"/>
      <c r="ADA47" s="116"/>
      <c r="ADB47" s="116"/>
      <c r="ADC47" s="116"/>
      <c r="ADD47" s="116"/>
      <c r="ADE47" s="116"/>
      <c r="ADF47" s="116"/>
      <c r="ADG47" s="116"/>
      <c r="ADH47" s="116"/>
      <c r="ADI47" s="116"/>
      <c r="ADJ47" s="116"/>
      <c r="ADK47" s="116"/>
      <c r="ADL47" s="116"/>
      <c r="ADM47" s="116"/>
      <c r="ADN47" s="116"/>
      <c r="ADO47" s="116"/>
      <c r="ADP47" s="116"/>
      <c r="ADQ47" s="116"/>
      <c r="ADR47" s="116"/>
      <c r="ADS47" s="116"/>
      <c r="ADT47" s="116"/>
      <c r="ADU47" s="116"/>
      <c r="ADV47" s="116"/>
      <c r="ADW47" s="116"/>
      <c r="ADX47" s="116"/>
      <c r="ADY47" s="116"/>
      <c r="ADZ47" s="116"/>
      <c r="AEA47" s="116"/>
      <c r="AEB47" s="116"/>
      <c r="AEC47" s="116"/>
      <c r="AED47" s="116"/>
      <c r="AEE47" s="116"/>
      <c r="AEF47" s="116"/>
      <c r="AEG47" s="116"/>
      <c r="AEH47" s="116"/>
      <c r="AEI47" s="116"/>
      <c r="AEJ47" s="116"/>
      <c r="AEK47" s="116"/>
      <c r="AEL47" s="116"/>
      <c r="AEM47" s="116"/>
      <c r="AEN47" s="116"/>
      <c r="AEO47" s="116"/>
      <c r="AEP47" s="116"/>
      <c r="AEQ47" s="116"/>
      <c r="AER47" s="116"/>
      <c r="AES47" s="116"/>
      <c r="AET47" s="116"/>
      <c r="AEU47" s="116"/>
      <c r="AEV47" s="116"/>
      <c r="AEW47" s="116"/>
      <c r="AEX47" s="116"/>
      <c r="AEY47" s="116"/>
      <c r="AEZ47" s="116"/>
      <c r="AFA47" s="116"/>
      <c r="AFB47" s="116"/>
      <c r="AFC47" s="116"/>
      <c r="AFD47" s="116"/>
      <c r="AFE47" s="116"/>
      <c r="AFF47" s="116"/>
      <c r="AFG47" s="116"/>
      <c r="AFH47" s="116"/>
      <c r="AFI47" s="116"/>
      <c r="AFJ47" s="116"/>
      <c r="AFK47" s="116"/>
      <c r="AFL47" s="116"/>
      <c r="AFM47" s="116"/>
      <c r="AFN47" s="116"/>
      <c r="AFO47" s="116"/>
      <c r="AFP47" s="116"/>
      <c r="AFQ47" s="116"/>
      <c r="AFR47" s="116"/>
      <c r="AFS47" s="116"/>
      <c r="AFT47" s="116"/>
      <c r="AFU47" s="116"/>
      <c r="AFV47" s="116"/>
      <c r="AFW47" s="116"/>
      <c r="AFX47" s="116"/>
      <c r="AFY47" s="116"/>
      <c r="AFZ47" s="116"/>
      <c r="AGA47" s="116"/>
      <c r="AGB47" s="116"/>
      <c r="AGC47" s="116"/>
      <c r="AGD47" s="116"/>
      <c r="AGE47" s="116"/>
      <c r="AGF47" s="116"/>
      <c r="AGG47" s="116"/>
      <c r="AGH47" s="116"/>
      <c r="AGI47" s="116"/>
      <c r="AGJ47" s="116"/>
      <c r="AGK47" s="116"/>
      <c r="AGL47" s="116"/>
      <c r="AGM47" s="116"/>
      <c r="AGN47" s="116"/>
      <c r="AGO47" s="116"/>
      <c r="AGP47" s="116"/>
      <c r="AGQ47" s="116"/>
      <c r="AGR47" s="116"/>
      <c r="AGS47" s="116"/>
      <c r="AGT47" s="116"/>
      <c r="AGU47" s="116"/>
      <c r="AGV47" s="116"/>
      <c r="AGW47" s="116"/>
      <c r="AGX47" s="116"/>
      <c r="AGY47" s="116"/>
      <c r="AGZ47" s="116"/>
      <c r="AHA47" s="116"/>
      <c r="AHB47" s="116"/>
      <c r="AHC47" s="116"/>
      <c r="AHD47" s="116"/>
      <c r="AHE47" s="116"/>
      <c r="AHF47" s="116"/>
      <c r="AHG47" s="116"/>
      <c r="AHH47" s="116"/>
      <c r="AHI47" s="116"/>
      <c r="AHJ47" s="116"/>
      <c r="AHK47" s="116"/>
      <c r="AHL47" s="116"/>
      <c r="AHM47" s="116"/>
      <c r="AHN47" s="116"/>
      <c r="AHO47" s="116"/>
      <c r="AHP47" s="116"/>
      <c r="AHQ47" s="116"/>
      <c r="AHR47" s="116"/>
      <c r="AHS47" s="116"/>
      <c r="AHT47" s="116"/>
      <c r="AHU47" s="116"/>
      <c r="AHV47" s="116"/>
      <c r="AHW47" s="116"/>
      <c r="AHX47" s="116"/>
      <c r="AHY47" s="116"/>
      <c r="AHZ47" s="116"/>
      <c r="AIA47" s="116"/>
      <c r="AIB47" s="116"/>
      <c r="AIC47" s="116"/>
      <c r="AID47" s="116"/>
      <c r="AIE47" s="116"/>
      <c r="AIF47" s="116"/>
      <c r="AIG47" s="116"/>
      <c r="AIH47" s="116"/>
      <c r="AII47" s="116"/>
      <c r="AIJ47" s="116"/>
      <c r="AIK47" s="116"/>
      <c r="AIL47" s="116"/>
      <c r="AIM47" s="116"/>
      <c r="AIN47" s="116"/>
      <c r="AIO47" s="116"/>
      <c r="AIP47" s="116"/>
      <c r="AIQ47" s="116"/>
      <c r="AIR47" s="116"/>
      <c r="AIS47" s="116"/>
      <c r="AIT47" s="116"/>
      <c r="AIU47" s="116"/>
      <c r="AIV47" s="116"/>
      <c r="AIW47" s="116"/>
      <c r="AIX47" s="116"/>
      <c r="AIY47" s="116"/>
      <c r="AIZ47" s="116"/>
      <c r="AJA47" s="116"/>
      <c r="AJB47" s="116"/>
      <c r="AJC47" s="116"/>
      <c r="AJD47" s="116"/>
      <c r="AJE47" s="116"/>
      <c r="AJF47" s="116"/>
      <c r="AJG47" s="116"/>
      <c r="AJH47" s="116"/>
      <c r="AJI47" s="116"/>
      <c r="AJJ47" s="116"/>
      <c r="AJK47" s="116"/>
      <c r="AJL47" s="116"/>
      <c r="AJM47" s="116"/>
      <c r="AJN47" s="116"/>
      <c r="AJO47" s="116"/>
      <c r="AJP47" s="116"/>
      <c r="AJQ47" s="116"/>
      <c r="AJR47" s="116"/>
      <c r="AJS47" s="116"/>
      <c r="AJT47" s="116"/>
      <c r="AJU47" s="116"/>
      <c r="AJV47" s="116"/>
      <c r="AJW47" s="116"/>
      <c r="AJX47" s="116"/>
      <c r="AJY47" s="116"/>
      <c r="AJZ47" s="116"/>
      <c r="AKA47" s="116"/>
      <c r="AKB47" s="116"/>
      <c r="AKC47" s="116"/>
      <c r="AKD47" s="116"/>
      <c r="AKE47" s="116"/>
      <c r="AKF47" s="116"/>
      <c r="AKG47" s="116"/>
      <c r="AKH47" s="116"/>
      <c r="AKI47" s="116"/>
      <c r="AKJ47" s="116"/>
      <c r="AKK47" s="116"/>
      <c r="AKL47" s="116"/>
      <c r="AKM47" s="116"/>
      <c r="AKN47" s="116"/>
      <c r="AKO47" s="116"/>
      <c r="AKP47" s="116"/>
      <c r="AKQ47" s="116"/>
      <c r="AKR47" s="116"/>
      <c r="AKS47" s="116"/>
      <c r="AKT47" s="116"/>
      <c r="AKU47" s="116"/>
      <c r="AKV47" s="116"/>
      <c r="AKW47" s="116"/>
      <c r="AKX47" s="116"/>
      <c r="AKY47" s="116"/>
      <c r="AKZ47" s="116"/>
      <c r="ALA47" s="116"/>
      <c r="ALB47" s="116"/>
      <c r="ALC47" s="116"/>
      <c r="ALD47" s="116"/>
      <c r="ALE47" s="116"/>
      <c r="ALF47" s="116"/>
      <c r="ALG47" s="116"/>
      <c r="ALH47" s="116"/>
      <c r="ALI47" s="116"/>
      <c r="ALJ47" s="116"/>
      <c r="ALK47" s="116"/>
      <c r="ALL47" s="116"/>
      <c r="ALM47" s="116"/>
      <c r="ALN47" s="116"/>
      <c r="ALO47" s="116"/>
      <c r="ALP47" s="116"/>
      <c r="ALQ47" s="116"/>
      <c r="ALR47" s="116"/>
      <c r="ALS47" s="116"/>
      <c r="ALT47" s="116"/>
      <c r="ALU47" s="116"/>
      <c r="ALV47" s="116"/>
      <c r="ALW47" s="116"/>
      <c r="ALX47" s="116"/>
      <c r="ALY47" s="116"/>
      <c r="ALZ47" s="116"/>
      <c r="AMA47" s="116"/>
      <c r="AMB47" s="116"/>
      <c r="AMC47" s="116"/>
      <c r="AMD47" s="116"/>
      <c r="AME47" s="116"/>
      <c r="AMF47" s="116"/>
      <c r="AMG47" s="116"/>
      <c r="AMH47" s="116"/>
      <c r="AMI47" s="116"/>
      <c r="AMJ47" s="116"/>
      <c r="AMK47" s="116"/>
      <c r="AML47" s="116"/>
      <c r="AMM47" s="116"/>
      <c r="AMN47" s="116"/>
      <c r="AMO47" s="116"/>
      <c r="AMP47" s="116"/>
      <c r="AMQ47" s="116"/>
      <c r="AMR47" s="116"/>
      <c r="AMS47" s="116"/>
      <c r="AMT47" s="116"/>
      <c r="AMU47" s="116"/>
      <c r="AMV47" s="116"/>
      <c r="AMW47" s="116"/>
      <c r="AMX47" s="116"/>
      <c r="AMY47" s="116"/>
      <c r="AMZ47" s="116"/>
      <c r="ANA47" s="116"/>
      <c r="ANB47" s="116"/>
      <c r="ANC47" s="116"/>
      <c r="AND47" s="116"/>
      <c r="ANE47" s="116"/>
      <c r="ANF47" s="116"/>
      <c r="ANG47" s="116"/>
      <c r="ANH47" s="116"/>
      <c r="ANI47" s="116"/>
      <c r="ANJ47" s="116"/>
      <c r="ANK47" s="116"/>
      <c r="ANL47" s="116"/>
      <c r="ANM47" s="116"/>
      <c r="ANN47" s="116"/>
      <c r="ANO47" s="116"/>
      <c r="ANP47" s="116"/>
      <c r="ANQ47" s="116"/>
      <c r="ANR47" s="116"/>
      <c r="ANS47" s="116"/>
      <c r="ANT47" s="116"/>
      <c r="ANU47" s="116"/>
      <c r="ANV47" s="116"/>
      <c r="ANW47" s="116"/>
      <c r="ANX47" s="116"/>
      <c r="ANY47" s="116"/>
      <c r="ANZ47" s="116"/>
      <c r="AOA47" s="116"/>
      <c r="AOB47" s="116"/>
      <c r="AOC47" s="116"/>
      <c r="AOD47" s="116"/>
      <c r="AOE47" s="116"/>
      <c r="AOF47" s="116"/>
      <c r="AOG47" s="116"/>
      <c r="AOH47" s="116"/>
      <c r="AOI47" s="116"/>
      <c r="AOJ47" s="116"/>
      <c r="AOK47" s="116"/>
      <c r="AOL47" s="116"/>
      <c r="AOM47" s="116"/>
      <c r="AON47" s="116"/>
      <c r="AOO47" s="116"/>
      <c r="AOP47" s="116"/>
      <c r="AOQ47" s="116"/>
      <c r="AOR47" s="116"/>
      <c r="AOS47" s="116"/>
      <c r="AOT47" s="116"/>
      <c r="AOU47" s="116"/>
      <c r="AOV47" s="116"/>
      <c r="AOW47" s="116"/>
      <c r="AOX47" s="116"/>
      <c r="AOY47" s="116"/>
      <c r="AOZ47" s="116"/>
      <c r="APA47" s="116"/>
      <c r="APB47" s="116"/>
      <c r="APC47" s="116"/>
      <c r="APD47" s="116"/>
      <c r="APE47" s="116"/>
      <c r="APF47" s="116"/>
      <c r="APG47" s="116"/>
      <c r="APH47" s="116"/>
      <c r="API47" s="116"/>
      <c r="APJ47" s="116"/>
      <c r="APK47" s="116"/>
      <c r="APL47" s="116"/>
      <c r="APM47" s="116"/>
      <c r="APN47" s="116"/>
      <c r="APO47" s="116"/>
      <c r="APP47" s="116"/>
      <c r="APQ47" s="116"/>
      <c r="APR47" s="116"/>
      <c r="APS47" s="116"/>
      <c r="APT47" s="116"/>
      <c r="APU47" s="116"/>
      <c r="APV47" s="116"/>
      <c r="APW47" s="116"/>
      <c r="APX47" s="116"/>
      <c r="APY47" s="116"/>
      <c r="APZ47" s="116"/>
      <c r="AQA47" s="116"/>
      <c r="AQB47" s="116"/>
      <c r="AQC47" s="116"/>
      <c r="AQD47" s="116"/>
      <c r="AQE47" s="116"/>
      <c r="AQF47" s="116"/>
      <c r="AQG47" s="116"/>
      <c r="AQH47" s="116"/>
      <c r="AQI47" s="116"/>
      <c r="AQJ47" s="116"/>
      <c r="AQK47" s="116"/>
      <c r="AQL47" s="116"/>
      <c r="AQM47" s="116"/>
      <c r="AQN47" s="116"/>
      <c r="AQO47" s="116"/>
      <c r="AQP47" s="116"/>
      <c r="AQQ47" s="116"/>
      <c r="AQR47" s="116"/>
      <c r="AQS47" s="116"/>
      <c r="AQT47" s="116"/>
      <c r="AQU47" s="116"/>
      <c r="AQV47" s="116"/>
      <c r="AQW47" s="116"/>
      <c r="AQX47" s="116"/>
      <c r="AQY47" s="116"/>
      <c r="AQZ47" s="116"/>
      <c r="ARA47" s="116"/>
      <c r="ARB47" s="116"/>
      <c r="ARC47" s="116"/>
      <c r="ARD47" s="116"/>
      <c r="ARE47" s="116"/>
      <c r="ARF47" s="116"/>
      <c r="ARG47" s="116"/>
      <c r="ARH47" s="116"/>
      <c r="ARI47" s="116"/>
      <c r="ARJ47" s="116"/>
      <c r="ARK47" s="116"/>
      <c r="ARL47" s="116"/>
      <c r="ARM47" s="116"/>
      <c r="ARN47" s="116"/>
      <c r="ARO47" s="116"/>
      <c r="ARP47" s="116"/>
      <c r="ARQ47" s="116"/>
      <c r="ARR47" s="116"/>
      <c r="ARS47" s="116"/>
      <c r="ART47" s="116"/>
      <c r="ARU47" s="116"/>
      <c r="ARV47" s="116"/>
      <c r="ARW47" s="116"/>
      <c r="ARX47" s="116"/>
      <c r="ARY47" s="116"/>
      <c r="ARZ47" s="116"/>
      <c r="ASA47" s="116"/>
      <c r="ASB47" s="116"/>
      <c r="ASC47" s="116"/>
      <c r="ASD47" s="116"/>
      <c r="ASE47" s="116"/>
      <c r="ASF47" s="116"/>
      <c r="ASG47" s="116"/>
      <c r="ASH47" s="116"/>
      <c r="ASI47" s="116"/>
      <c r="ASJ47" s="116"/>
      <c r="ASK47" s="116"/>
      <c r="ASL47" s="116"/>
      <c r="ASM47" s="116"/>
      <c r="ASN47" s="116"/>
      <c r="ASO47" s="116"/>
      <c r="ASP47" s="116"/>
      <c r="ASQ47" s="116"/>
      <c r="ASR47" s="116"/>
      <c r="ASS47" s="116"/>
      <c r="AST47" s="116"/>
      <c r="ASU47" s="116"/>
      <c r="ASV47" s="116"/>
      <c r="ASW47" s="116"/>
      <c r="ASX47" s="116"/>
      <c r="ASY47" s="116"/>
      <c r="ASZ47" s="116"/>
      <c r="ATA47" s="116"/>
      <c r="ATB47" s="116"/>
      <c r="ATC47" s="116"/>
      <c r="ATD47" s="116"/>
      <c r="ATE47" s="116"/>
      <c r="ATF47" s="116"/>
      <c r="ATG47" s="116"/>
      <c r="ATH47" s="116"/>
      <c r="ATI47" s="116"/>
      <c r="ATJ47" s="116"/>
      <c r="ATK47" s="116"/>
      <c r="ATL47" s="116"/>
      <c r="ATM47" s="116"/>
      <c r="ATN47" s="116"/>
      <c r="ATO47" s="116"/>
      <c r="ATP47" s="116"/>
      <c r="ATQ47" s="116"/>
      <c r="ATR47" s="116"/>
      <c r="ATS47" s="116"/>
      <c r="ATT47" s="116"/>
      <c r="ATU47" s="116"/>
      <c r="ATV47" s="116"/>
      <c r="ATW47" s="116"/>
      <c r="ATX47" s="116"/>
      <c r="ATY47" s="116"/>
      <c r="ATZ47" s="116"/>
      <c r="AUA47" s="116"/>
      <c r="AUB47" s="116"/>
      <c r="AUC47" s="116"/>
      <c r="AUD47" s="116"/>
      <c r="AUE47" s="116"/>
      <c r="AUF47" s="116"/>
      <c r="AUG47" s="116"/>
      <c r="AUH47" s="116"/>
      <c r="AUI47" s="116"/>
      <c r="AUJ47" s="116"/>
      <c r="AUK47" s="116"/>
      <c r="AUL47" s="116"/>
      <c r="AUM47" s="116"/>
      <c r="AUN47" s="116"/>
      <c r="AUO47" s="116"/>
      <c r="AUP47" s="116"/>
      <c r="AUQ47" s="116"/>
      <c r="AUR47" s="116"/>
      <c r="AUS47" s="116"/>
      <c r="AUT47" s="116"/>
      <c r="AUU47" s="116"/>
      <c r="AUV47" s="116"/>
      <c r="AUW47" s="116"/>
      <c r="AUX47" s="116"/>
      <c r="AUY47" s="116"/>
      <c r="AUZ47" s="116"/>
      <c r="AVA47" s="116"/>
      <c r="AVB47" s="116"/>
      <c r="AVC47" s="116"/>
      <c r="AVD47" s="116"/>
      <c r="AVE47" s="116"/>
      <c r="AVF47" s="116"/>
      <c r="AVG47" s="116"/>
      <c r="AVH47" s="116"/>
      <c r="AVI47" s="116"/>
      <c r="AVJ47" s="116"/>
      <c r="AVK47" s="116"/>
      <c r="AVL47" s="116"/>
      <c r="AVM47" s="116"/>
      <c r="AVN47" s="116"/>
      <c r="AVO47" s="116"/>
      <c r="AVP47" s="116"/>
      <c r="AVQ47" s="116"/>
      <c r="AVR47" s="116"/>
      <c r="AVS47" s="116"/>
      <c r="AVT47" s="116"/>
      <c r="AVU47" s="116"/>
      <c r="AVV47" s="116"/>
      <c r="AVW47" s="116"/>
      <c r="AVX47" s="116"/>
      <c r="AVY47" s="116"/>
      <c r="AVZ47" s="116"/>
      <c r="AWA47" s="116"/>
      <c r="AWB47" s="116"/>
      <c r="AWC47" s="116"/>
      <c r="AWD47" s="116"/>
      <c r="AWE47" s="116"/>
      <c r="AWF47" s="116"/>
      <c r="AWG47" s="116"/>
      <c r="AWH47" s="116"/>
      <c r="AWI47" s="116"/>
      <c r="AWJ47" s="116"/>
      <c r="AWK47" s="116"/>
      <c r="AWL47" s="116"/>
      <c r="AWM47" s="116"/>
      <c r="AWN47" s="116"/>
      <c r="AWO47" s="116"/>
      <c r="AWP47" s="116"/>
      <c r="AWQ47" s="116"/>
      <c r="AWR47" s="116"/>
      <c r="AWS47" s="116"/>
      <c r="AWT47" s="116"/>
      <c r="AWU47" s="116"/>
      <c r="AWV47" s="116"/>
      <c r="AWW47" s="116"/>
      <c r="AWX47" s="116"/>
      <c r="AWY47" s="116"/>
      <c r="AWZ47" s="116"/>
      <c r="AXA47" s="116"/>
      <c r="AXB47" s="116"/>
      <c r="AXC47" s="116"/>
      <c r="AXD47" s="116"/>
      <c r="AXE47" s="116"/>
      <c r="AXF47" s="116"/>
      <c r="AXG47" s="116"/>
      <c r="AXH47" s="116"/>
      <c r="AXI47" s="116"/>
      <c r="AXJ47" s="116"/>
      <c r="AXK47" s="116"/>
      <c r="AXL47" s="116"/>
      <c r="AXM47" s="116"/>
      <c r="AXN47" s="116"/>
      <c r="AXO47" s="116"/>
      <c r="AXP47" s="116"/>
      <c r="AXQ47" s="116"/>
      <c r="AXR47" s="116"/>
      <c r="AXS47" s="116"/>
      <c r="AXT47" s="116"/>
      <c r="AXU47" s="116"/>
      <c r="AXV47" s="116"/>
      <c r="AXW47" s="116"/>
      <c r="AXX47" s="116"/>
      <c r="AXY47" s="116"/>
      <c r="AXZ47" s="116"/>
      <c r="AYA47" s="116"/>
      <c r="AYB47" s="116"/>
      <c r="AYC47" s="116"/>
      <c r="AYD47" s="116"/>
      <c r="AYE47" s="116"/>
      <c r="AYF47" s="116"/>
      <c r="AYG47" s="116"/>
      <c r="AYH47" s="116"/>
      <c r="AYI47" s="116"/>
      <c r="AYJ47" s="116"/>
      <c r="AYK47" s="116"/>
      <c r="AYL47" s="116"/>
      <c r="AYM47" s="116"/>
      <c r="AYN47" s="116"/>
      <c r="AYO47" s="116"/>
      <c r="AYP47" s="116"/>
      <c r="AYQ47" s="116"/>
      <c r="AYR47" s="116"/>
      <c r="AYS47" s="116"/>
      <c r="AYT47" s="116"/>
      <c r="AYU47" s="116"/>
      <c r="AYV47" s="116"/>
      <c r="AYW47" s="116"/>
      <c r="AYX47" s="116"/>
      <c r="AYY47" s="116"/>
      <c r="AYZ47" s="116"/>
      <c r="AZA47" s="116"/>
      <c r="AZB47" s="116"/>
      <c r="AZC47" s="116"/>
      <c r="AZD47" s="116"/>
      <c r="AZE47" s="116"/>
      <c r="AZF47" s="116"/>
      <c r="AZG47" s="116"/>
      <c r="AZH47" s="116"/>
      <c r="AZI47" s="116"/>
      <c r="AZJ47" s="116"/>
      <c r="AZK47" s="116"/>
      <c r="AZL47" s="116"/>
      <c r="AZM47" s="116"/>
      <c r="AZN47" s="116"/>
      <c r="AZO47" s="116"/>
      <c r="AZP47" s="116"/>
      <c r="AZQ47" s="116"/>
      <c r="AZR47" s="116"/>
      <c r="AZS47" s="116"/>
      <c r="AZT47" s="116"/>
      <c r="AZU47" s="116"/>
      <c r="AZV47" s="116"/>
      <c r="AZW47" s="116"/>
      <c r="AZX47" s="116"/>
      <c r="AZY47" s="116"/>
      <c r="AZZ47" s="116"/>
      <c r="BAA47" s="116"/>
      <c r="BAB47" s="116"/>
      <c r="BAC47" s="116"/>
      <c r="BAD47" s="116"/>
      <c r="BAE47" s="116"/>
      <c r="BAF47" s="116"/>
      <c r="BAG47" s="116"/>
      <c r="BAH47" s="116"/>
      <c r="BAI47" s="116"/>
      <c r="BAJ47" s="116"/>
      <c r="BAK47" s="116"/>
      <c r="BAL47" s="116"/>
      <c r="BAM47" s="116"/>
      <c r="BAN47" s="116"/>
      <c r="BAO47" s="116"/>
      <c r="BAP47" s="116"/>
      <c r="BAQ47" s="116"/>
      <c r="BAR47" s="116"/>
      <c r="BAS47" s="116"/>
      <c r="BAT47" s="116"/>
      <c r="BAU47" s="116"/>
      <c r="BAV47" s="116"/>
      <c r="BAW47" s="116"/>
      <c r="BAX47" s="116"/>
      <c r="BAY47" s="116"/>
      <c r="BAZ47" s="116"/>
      <c r="BBA47" s="116"/>
      <c r="BBB47" s="116"/>
      <c r="BBC47" s="116"/>
      <c r="BBD47" s="116"/>
      <c r="BBE47" s="116"/>
      <c r="BBF47" s="116"/>
      <c r="BBG47" s="116"/>
      <c r="BBH47" s="116"/>
      <c r="BBI47" s="116"/>
      <c r="BBJ47" s="116"/>
      <c r="BBK47" s="116"/>
      <c r="BBL47" s="116"/>
      <c r="BBM47" s="116"/>
      <c r="BBN47" s="116"/>
      <c r="BBO47" s="116"/>
      <c r="BBP47" s="116"/>
      <c r="BBQ47" s="116"/>
      <c r="BBR47" s="116"/>
      <c r="BBS47" s="116"/>
      <c r="BBT47" s="116"/>
      <c r="BBU47" s="116"/>
      <c r="BBV47" s="116"/>
      <c r="BBW47" s="116"/>
      <c r="BBX47" s="116"/>
      <c r="BBY47" s="116"/>
      <c r="BBZ47" s="116"/>
      <c r="BCA47" s="116"/>
      <c r="BCB47" s="116"/>
      <c r="BCC47" s="116"/>
      <c r="BCD47" s="116"/>
      <c r="BCE47" s="116"/>
      <c r="BCF47" s="116"/>
      <c r="BCG47" s="116"/>
      <c r="BCH47" s="116"/>
      <c r="BCI47" s="116"/>
      <c r="BCJ47" s="116"/>
      <c r="BCK47" s="116"/>
      <c r="BCL47" s="116"/>
      <c r="BCM47" s="116"/>
      <c r="BCN47" s="116"/>
      <c r="BCO47" s="116"/>
      <c r="BCP47" s="116"/>
      <c r="BCQ47" s="116"/>
      <c r="BCR47" s="116"/>
      <c r="BCS47" s="116"/>
      <c r="BCT47" s="116"/>
      <c r="BCU47" s="116"/>
      <c r="BCV47" s="116"/>
      <c r="BCW47" s="116"/>
      <c r="BCX47" s="116"/>
      <c r="BCY47" s="116"/>
      <c r="BCZ47" s="116"/>
      <c r="BDA47" s="116"/>
      <c r="BDB47" s="116"/>
      <c r="BDC47" s="116"/>
      <c r="BDD47" s="116"/>
      <c r="BDE47" s="116"/>
      <c r="BDF47" s="116"/>
      <c r="BDG47" s="116"/>
      <c r="BDH47" s="116"/>
      <c r="BDI47" s="116"/>
      <c r="BDJ47" s="116"/>
      <c r="BDK47" s="116"/>
      <c r="BDL47" s="116"/>
      <c r="BDM47" s="116"/>
      <c r="BDN47" s="116"/>
      <c r="BDO47" s="116"/>
      <c r="BDP47" s="116"/>
      <c r="BDQ47" s="116"/>
      <c r="BDR47" s="116"/>
      <c r="BDS47" s="116"/>
      <c r="BDT47" s="116"/>
      <c r="BDU47" s="116"/>
      <c r="BDV47" s="116"/>
      <c r="BDW47" s="116"/>
      <c r="BDX47" s="116"/>
      <c r="BDY47" s="116"/>
      <c r="BDZ47" s="116"/>
      <c r="BEA47" s="116"/>
      <c r="BEB47" s="116"/>
      <c r="BEC47" s="116"/>
      <c r="BED47" s="116"/>
      <c r="BEE47" s="116"/>
      <c r="BEF47" s="116"/>
      <c r="BEG47" s="116"/>
      <c r="BEH47" s="116"/>
      <c r="BEI47" s="116"/>
      <c r="BEJ47" s="116"/>
      <c r="BEK47" s="116"/>
      <c r="BEL47" s="116"/>
      <c r="BEM47" s="116"/>
      <c r="BEN47" s="116"/>
      <c r="BEO47" s="116"/>
      <c r="BEP47" s="116"/>
      <c r="BEQ47" s="116"/>
      <c r="BER47" s="116"/>
      <c r="BES47" s="116"/>
      <c r="BET47" s="116"/>
      <c r="BEU47" s="116"/>
      <c r="BEV47" s="116"/>
      <c r="BEW47" s="116"/>
      <c r="BEX47" s="116"/>
      <c r="BEY47" s="116"/>
      <c r="BEZ47" s="116"/>
      <c r="BFA47" s="116"/>
      <c r="BFB47" s="116"/>
      <c r="BFC47" s="116"/>
      <c r="BFD47" s="116"/>
      <c r="BFE47" s="116"/>
      <c r="BFF47" s="116"/>
      <c r="BFG47" s="116"/>
      <c r="BFH47" s="116"/>
      <c r="BFI47" s="116"/>
      <c r="BFJ47" s="116"/>
      <c r="BFK47" s="116"/>
      <c r="BFL47" s="116"/>
      <c r="BFM47" s="116"/>
      <c r="BFN47" s="116"/>
      <c r="BFO47" s="116"/>
      <c r="BFP47" s="116"/>
      <c r="BFQ47" s="116"/>
      <c r="BFR47" s="116"/>
      <c r="BFS47" s="116"/>
      <c r="BFT47" s="116"/>
      <c r="BFU47" s="116"/>
      <c r="BFV47" s="116"/>
      <c r="BFW47" s="116"/>
      <c r="BFX47" s="116"/>
      <c r="BFY47" s="116"/>
      <c r="BFZ47" s="116"/>
      <c r="BGA47" s="116"/>
      <c r="BGB47" s="116"/>
      <c r="BGC47" s="116"/>
      <c r="BGD47" s="116"/>
      <c r="BGE47" s="116"/>
      <c r="BGF47" s="116"/>
      <c r="BGG47" s="116"/>
      <c r="BGH47" s="116"/>
      <c r="BGI47" s="116"/>
      <c r="BGJ47" s="116"/>
      <c r="BGK47" s="116"/>
      <c r="BGL47" s="116"/>
      <c r="BGM47" s="116"/>
      <c r="BGN47" s="116"/>
      <c r="BGO47" s="116"/>
      <c r="BGP47" s="116"/>
      <c r="BGQ47" s="116"/>
      <c r="BGR47" s="116"/>
      <c r="BGS47" s="116"/>
      <c r="BGT47" s="116"/>
      <c r="BGU47" s="116"/>
      <c r="BGV47" s="116"/>
      <c r="BGW47" s="116"/>
      <c r="BGX47" s="116"/>
      <c r="BGY47" s="116"/>
      <c r="BGZ47" s="116"/>
      <c r="BHA47" s="116"/>
      <c r="BHB47" s="116"/>
      <c r="BHC47" s="116"/>
      <c r="BHD47" s="116"/>
      <c r="BHE47" s="116"/>
      <c r="BHF47" s="116"/>
      <c r="BHG47" s="116"/>
      <c r="BHH47" s="116"/>
      <c r="BHI47" s="116"/>
      <c r="BHJ47" s="116"/>
      <c r="BHK47" s="116"/>
      <c r="BHL47" s="116"/>
      <c r="BHM47" s="116"/>
      <c r="BHN47" s="116"/>
      <c r="BHO47" s="116"/>
      <c r="BHP47" s="116"/>
      <c r="BHQ47" s="116"/>
      <c r="BHR47" s="116"/>
      <c r="BHS47" s="116"/>
      <c r="BHT47" s="116"/>
      <c r="BHU47" s="116"/>
      <c r="BHV47" s="116"/>
      <c r="BHW47" s="116"/>
      <c r="BHX47" s="116"/>
      <c r="BHY47" s="116"/>
      <c r="BHZ47" s="116"/>
      <c r="BIA47" s="116"/>
      <c r="BIB47" s="116"/>
      <c r="BIC47" s="116"/>
      <c r="BID47" s="116"/>
      <c r="BIE47" s="116"/>
      <c r="BIF47" s="116"/>
      <c r="BIG47" s="116"/>
      <c r="BIH47" s="116"/>
      <c r="BII47" s="116"/>
      <c r="BIJ47" s="116"/>
      <c r="BIK47" s="116"/>
      <c r="BIL47" s="116"/>
      <c r="BIM47" s="116"/>
      <c r="BIN47" s="116"/>
      <c r="BIO47" s="116"/>
      <c r="BIP47" s="116"/>
      <c r="BIQ47" s="116"/>
      <c r="BIR47" s="116"/>
      <c r="BIS47" s="116"/>
      <c r="BIT47" s="116"/>
      <c r="BIU47" s="116"/>
      <c r="BIV47" s="116"/>
      <c r="BIW47" s="116"/>
      <c r="BIX47" s="116"/>
      <c r="BIY47" s="116"/>
      <c r="BIZ47" s="116"/>
      <c r="BJA47" s="116"/>
      <c r="BJB47" s="116"/>
      <c r="BJC47" s="116"/>
      <c r="BJD47" s="116"/>
      <c r="BJE47" s="116"/>
      <c r="BJF47" s="116"/>
      <c r="BJG47" s="116"/>
      <c r="BJH47" s="116"/>
      <c r="BJI47" s="116"/>
      <c r="BJJ47" s="116"/>
      <c r="BJK47" s="116"/>
      <c r="BJL47" s="116"/>
      <c r="BJM47" s="116"/>
      <c r="BJN47" s="116"/>
      <c r="BJO47" s="116"/>
      <c r="BJP47" s="116"/>
      <c r="BJQ47" s="116"/>
      <c r="BJR47" s="116"/>
      <c r="BJS47" s="116"/>
      <c r="BJT47" s="116"/>
      <c r="BJU47" s="116"/>
      <c r="BJV47" s="116"/>
      <c r="BJW47" s="116"/>
      <c r="BJX47" s="116"/>
      <c r="BJY47" s="116"/>
      <c r="BJZ47" s="116"/>
      <c r="BKA47" s="116"/>
      <c r="BKB47" s="116"/>
      <c r="BKC47" s="116"/>
      <c r="BKD47" s="116"/>
      <c r="BKE47" s="116"/>
      <c r="BKF47" s="116"/>
      <c r="BKG47" s="116"/>
      <c r="BKH47" s="116"/>
      <c r="BKI47" s="116"/>
      <c r="BKJ47" s="116"/>
      <c r="BKK47" s="116"/>
      <c r="BKL47" s="116"/>
      <c r="BKM47" s="116"/>
      <c r="BKN47" s="116"/>
      <c r="BKO47" s="116"/>
      <c r="BKP47" s="116"/>
      <c r="BKQ47" s="116"/>
      <c r="BKR47" s="116"/>
      <c r="BKS47" s="116"/>
      <c r="BKT47" s="116"/>
      <c r="BKU47" s="116"/>
      <c r="BKV47" s="116"/>
      <c r="BKW47" s="116"/>
      <c r="BKX47" s="116"/>
      <c r="BKY47" s="116"/>
      <c r="BKZ47" s="116"/>
      <c r="BLA47" s="116"/>
      <c r="BLB47" s="116"/>
      <c r="BLC47" s="116"/>
      <c r="BLD47" s="116"/>
      <c r="BLE47" s="116"/>
      <c r="BLF47" s="116"/>
      <c r="BLG47" s="116"/>
      <c r="BLH47" s="116"/>
      <c r="BLI47" s="116"/>
      <c r="BLJ47" s="116"/>
      <c r="BLK47" s="116"/>
      <c r="BLL47" s="116"/>
      <c r="BLM47" s="116"/>
      <c r="BLN47" s="116"/>
      <c r="BLO47" s="116"/>
      <c r="BLP47" s="116"/>
      <c r="BLQ47" s="116"/>
      <c r="BLR47" s="116"/>
      <c r="BLS47" s="116"/>
      <c r="BLT47" s="116"/>
      <c r="BLU47" s="116"/>
      <c r="BLV47" s="116"/>
      <c r="BLW47" s="116"/>
      <c r="BLX47" s="116"/>
      <c r="BLY47" s="116"/>
      <c r="BLZ47" s="116"/>
      <c r="BMA47" s="116"/>
      <c r="BMB47" s="116"/>
      <c r="BMC47" s="116"/>
      <c r="BMD47" s="116"/>
      <c r="BME47" s="116"/>
      <c r="BMF47" s="116"/>
      <c r="BMG47" s="116"/>
      <c r="BMH47" s="116"/>
      <c r="BMI47" s="116"/>
      <c r="BMJ47" s="116"/>
      <c r="BMK47" s="116"/>
      <c r="BML47" s="116"/>
      <c r="BMM47" s="116"/>
      <c r="BMN47" s="116"/>
      <c r="BMO47" s="116"/>
      <c r="BMP47" s="116"/>
      <c r="BMQ47" s="116"/>
      <c r="BMR47" s="116"/>
      <c r="BMS47" s="116"/>
      <c r="BMT47" s="116"/>
      <c r="BMU47" s="116"/>
      <c r="BMV47" s="116"/>
      <c r="BMW47" s="116"/>
      <c r="BMX47" s="116"/>
      <c r="BMY47" s="116"/>
      <c r="BMZ47" s="116"/>
      <c r="BNA47" s="116"/>
      <c r="BNB47" s="116"/>
      <c r="BNC47" s="116"/>
      <c r="BND47" s="116"/>
      <c r="BNE47" s="116"/>
      <c r="BNF47" s="116"/>
      <c r="BNG47" s="116"/>
      <c r="BNH47" s="116"/>
      <c r="BNI47" s="116"/>
      <c r="BNJ47" s="116"/>
      <c r="BNK47" s="116"/>
      <c r="BNL47" s="116"/>
      <c r="BNM47" s="116"/>
      <c r="BNN47" s="116"/>
      <c r="BNO47" s="116"/>
      <c r="BNP47" s="116"/>
      <c r="BNQ47" s="116"/>
      <c r="BNR47" s="116"/>
      <c r="BNS47" s="116"/>
      <c r="BNT47" s="116"/>
      <c r="BNU47" s="116"/>
      <c r="BNV47" s="116"/>
      <c r="BNW47" s="116"/>
      <c r="BNX47" s="116"/>
      <c r="BNY47" s="116"/>
      <c r="BNZ47" s="116"/>
      <c r="BOA47" s="116"/>
      <c r="BOB47" s="116"/>
      <c r="BOC47" s="116"/>
      <c r="BOD47" s="116"/>
      <c r="BOE47" s="116"/>
      <c r="BOF47" s="116"/>
      <c r="BOG47" s="116"/>
      <c r="BOH47" s="116"/>
      <c r="BOI47" s="116"/>
      <c r="BOJ47" s="116"/>
      <c r="BOK47" s="116"/>
      <c r="BOL47" s="116"/>
      <c r="BOM47" s="116"/>
      <c r="BON47" s="116"/>
      <c r="BOO47" s="116"/>
      <c r="BOP47" s="116"/>
      <c r="BOQ47" s="116"/>
      <c r="BOR47" s="116"/>
      <c r="BOS47" s="116"/>
      <c r="BOT47" s="116"/>
      <c r="BOU47" s="116"/>
      <c r="BOV47" s="116"/>
      <c r="BOW47" s="116"/>
      <c r="BOX47" s="116"/>
      <c r="BOY47" s="116"/>
      <c r="BOZ47" s="116"/>
      <c r="BPA47" s="116"/>
      <c r="BPB47" s="116"/>
      <c r="BPC47" s="116"/>
      <c r="BPD47" s="116"/>
      <c r="BPE47" s="116"/>
      <c r="BPF47" s="116"/>
      <c r="BPG47" s="116"/>
      <c r="BPH47" s="116"/>
      <c r="BPI47" s="116"/>
      <c r="BPJ47" s="116"/>
      <c r="BPK47" s="116"/>
      <c r="BPL47" s="116"/>
      <c r="BPM47" s="116"/>
      <c r="BPN47" s="116"/>
      <c r="BPO47" s="116"/>
      <c r="BPP47" s="116"/>
      <c r="BPQ47" s="116"/>
      <c r="BPR47" s="116"/>
      <c r="BPS47" s="116"/>
      <c r="BPT47" s="116"/>
      <c r="BPU47" s="116"/>
      <c r="BPV47" s="116"/>
      <c r="BPW47" s="116"/>
      <c r="BPX47" s="116"/>
      <c r="BPY47" s="116"/>
      <c r="BPZ47" s="116"/>
      <c r="BQA47" s="116"/>
      <c r="BQB47" s="116"/>
      <c r="BQC47" s="116"/>
      <c r="BQD47" s="116"/>
      <c r="BQE47" s="116"/>
      <c r="BQF47" s="116"/>
      <c r="BQG47" s="116"/>
      <c r="BQH47" s="116"/>
      <c r="BQI47" s="116"/>
      <c r="BQJ47" s="116"/>
      <c r="BQK47" s="116"/>
      <c r="BQL47" s="116"/>
      <c r="BQM47" s="116"/>
      <c r="BQN47" s="116"/>
      <c r="BQO47" s="116"/>
      <c r="BQP47" s="116"/>
      <c r="BQQ47" s="116"/>
      <c r="BQR47" s="116"/>
      <c r="BQS47" s="116"/>
      <c r="BQT47" s="116"/>
      <c r="BQU47" s="116"/>
      <c r="BQV47" s="116"/>
      <c r="BQW47" s="116"/>
      <c r="BQX47" s="116"/>
      <c r="BQY47" s="116"/>
      <c r="BQZ47" s="116"/>
      <c r="BRA47" s="116"/>
      <c r="BRB47" s="116"/>
      <c r="BRC47" s="116"/>
      <c r="BRD47" s="116"/>
      <c r="BRE47" s="116"/>
      <c r="BRF47" s="116"/>
      <c r="BRG47" s="116"/>
      <c r="BRH47" s="116"/>
      <c r="BRI47" s="116"/>
      <c r="BRJ47" s="116"/>
      <c r="BRK47" s="116"/>
      <c r="BRL47" s="116"/>
      <c r="BRM47" s="116"/>
      <c r="BRN47" s="116"/>
      <c r="BRO47" s="116"/>
      <c r="BRP47" s="116"/>
      <c r="BRQ47" s="116"/>
      <c r="BRR47" s="116"/>
      <c r="BRS47" s="116"/>
      <c r="BRT47" s="116"/>
      <c r="BRU47" s="116"/>
      <c r="BRV47" s="116"/>
      <c r="BRW47" s="116"/>
      <c r="BRX47" s="116"/>
      <c r="BRY47" s="116"/>
      <c r="BRZ47" s="116"/>
      <c r="BSA47" s="116"/>
      <c r="BSB47" s="116"/>
      <c r="BSC47" s="116"/>
      <c r="BSD47" s="116"/>
      <c r="BSE47" s="116"/>
      <c r="BSF47" s="116"/>
      <c r="BSG47" s="116"/>
      <c r="BSH47" s="116"/>
      <c r="BSI47" s="116"/>
      <c r="BSJ47" s="116"/>
      <c r="BSK47" s="116"/>
      <c r="BSL47" s="116"/>
      <c r="BSM47" s="116"/>
      <c r="BSN47" s="116"/>
      <c r="BSO47" s="116"/>
      <c r="BSP47" s="116"/>
      <c r="BSQ47" s="116"/>
      <c r="BSR47" s="116"/>
      <c r="BSS47" s="116"/>
      <c r="BST47" s="116"/>
      <c r="BSU47" s="116"/>
      <c r="BSV47" s="116"/>
      <c r="BSW47" s="116"/>
      <c r="BSX47" s="116"/>
      <c r="BSY47" s="116"/>
      <c r="BSZ47" s="116"/>
      <c r="BTA47" s="116"/>
      <c r="BTB47" s="116"/>
      <c r="BTC47" s="116"/>
      <c r="BTD47" s="116"/>
      <c r="BTE47" s="116"/>
      <c r="BTF47" s="116"/>
      <c r="BTG47" s="116"/>
      <c r="BTH47" s="116"/>
      <c r="BTI47" s="116"/>
      <c r="BTJ47" s="116"/>
      <c r="BTK47" s="116"/>
      <c r="BTL47" s="116"/>
      <c r="BTM47" s="116"/>
      <c r="BTN47" s="116"/>
      <c r="BTO47" s="116"/>
      <c r="BTP47" s="116"/>
      <c r="BTQ47" s="116"/>
      <c r="BTR47" s="116"/>
      <c r="BTS47" s="116"/>
      <c r="BTT47" s="116"/>
      <c r="BTU47" s="116"/>
      <c r="BTV47" s="116"/>
      <c r="BTW47" s="116"/>
      <c r="BTX47" s="116"/>
      <c r="BTY47" s="116"/>
      <c r="BTZ47" s="116"/>
      <c r="BUA47" s="116"/>
      <c r="BUB47" s="116"/>
      <c r="BUC47" s="116"/>
      <c r="BUD47" s="116"/>
      <c r="BUE47" s="116"/>
      <c r="BUF47" s="116"/>
      <c r="BUG47" s="116"/>
      <c r="BUH47" s="116"/>
      <c r="BUI47" s="116"/>
      <c r="BUJ47" s="116"/>
      <c r="BUK47" s="116"/>
      <c r="BUL47" s="116"/>
      <c r="BUM47" s="116"/>
      <c r="BUN47" s="116"/>
      <c r="BUO47" s="116"/>
      <c r="BUP47" s="116"/>
      <c r="BUQ47" s="116"/>
      <c r="BUR47" s="116"/>
      <c r="BUS47" s="116"/>
      <c r="BUT47" s="116"/>
      <c r="BUU47" s="116"/>
      <c r="BUV47" s="116"/>
      <c r="BUW47" s="116"/>
      <c r="BUX47" s="116"/>
      <c r="BUY47" s="116"/>
      <c r="BUZ47" s="116"/>
      <c r="BVA47" s="116"/>
      <c r="BVB47" s="116"/>
      <c r="BVC47" s="116"/>
      <c r="BVD47" s="116"/>
      <c r="BVE47" s="116"/>
      <c r="BVF47" s="116"/>
      <c r="BVG47" s="116"/>
      <c r="BVH47" s="116"/>
      <c r="BVI47" s="116"/>
      <c r="BVJ47" s="116"/>
      <c r="BVK47" s="116"/>
      <c r="BVL47" s="116"/>
      <c r="BVM47" s="116"/>
      <c r="BVN47" s="116"/>
      <c r="BVO47" s="116"/>
      <c r="BVP47" s="116"/>
      <c r="BVQ47" s="116"/>
      <c r="BVR47" s="116"/>
      <c r="BVS47" s="116"/>
      <c r="BVT47" s="116"/>
      <c r="BVU47" s="116"/>
      <c r="BVV47" s="116"/>
      <c r="BVW47" s="116"/>
      <c r="BVX47" s="116"/>
      <c r="BVY47" s="116"/>
      <c r="BVZ47" s="116"/>
      <c r="BWA47" s="116"/>
      <c r="BWB47" s="116"/>
      <c r="BWC47" s="116"/>
      <c r="BWD47" s="116"/>
      <c r="BWE47" s="116"/>
      <c r="BWF47" s="116"/>
      <c r="BWG47" s="116"/>
      <c r="BWH47" s="116"/>
      <c r="BWI47" s="116"/>
      <c r="BWJ47" s="116"/>
      <c r="BWK47" s="116"/>
      <c r="BWL47" s="116"/>
      <c r="BWM47" s="116"/>
      <c r="BWN47" s="116"/>
      <c r="BWO47" s="116"/>
      <c r="BWP47" s="116"/>
      <c r="BWQ47" s="116"/>
      <c r="BWR47" s="116"/>
      <c r="BWS47" s="116"/>
      <c r="BWT47" s="116"/>
      <c r="BWU47" s="116"/>
      <c r="BWV47" s="116"/>
      <c r="BWW47" s="116"/>
      <c r="BWX47" s="116"/>
      <c r="BWY47" s="116"/>
      <c r="BWZ47" s="116"/>
      <c r="BXA47" s="116"/>
      <c r="BXB47" s="116"/>
      <c r="BXC47" s="116"/>
      <c r="BXD47" s="116"/>
      <c r="BXE47" s="116"/>
      <c r="BXF47" s="116"/>
      <c r="BXG47" s="116"/>
      <c r="BXH47" s="116"/>
      <c r="BXI47" s="116"/>
      <c r="BXJ47" s="116"/>
      <c r="BXK47" s="116"/>
      <c r="BXL47" s="116"/>
      <c r="BXM47" s="116"/>
      <c r="BXN47" s="116"/>
      <c r="BXO47" s="116"/>
      <c r="BXP47" s="116"/>
      <c r="BXQ47" s="116"/>
      <c r="BXR47" s="116"/>
      <c r="BXS47" s="116"/>
      <c r="BXT47" s="116"/>
      <c r="BXU47" s="116"/>
      <c r="BXV47" s="116"/>
      <c r="BXW47" s="116"/>
      <c r="BXX47" s="116"/>
      <c r="BXY47" s="116"/>
      <c r="BXZ47" s="116"/>
      <c r="BYA47" s="116"/>
      <c r="BYB47" s="116"/>
      <c r="BYC47" s="116"/>
      <c r="BYD47" s="116"/>
      <c r="BYE47" s="116"/>
      <c r="BYF47" s="116"/>
      <c r="BYG47" s="116"/>
      <c r="BYH47" s="116"/>
      <c r="BYI47" s="116"/>
      <c r="BYJ47" s="116"/>
      <c r="BYK47" s="116"/>
      <c r="BYL47" s="116"/>
      <c r="BYM47" s="116"/>
      <c r="BYN47" s="116"/>
      <c r="BYO47" s="116"/>
      <c r="BYP47" s="116"/>
      <c r="BYQ47" s="116"/>
      <c r="BYR47" s="116"/>
      <c r="BYS47" s="116"/>
      <c r="BYT47" s="116"/>
      <c r="BYU47" s="116"/>
      <c r="BYV47" s="116"/>
      <c r="BYW47" s="116"/>
      <c r="BYX47" s="116"/>
      <c r="BYY47" s="116"/>
      <c r="BYZ47" s="116"/>
      <c r="BZA47" s="116"/>
      <c r="BZB47" s="116"/>
      <c r="BZC47" s="116"/>
      <c r="BZD47" s="116"/>
      <c r="BZE47" s="116"/>
      <c r="BZF47" s="116"/>
      <c r="BZG47" s="116"/>
      <c r="BZH47" s="116"/>
      <c r="BZI47" s="116"/>
      <c r="BZJ47" s="116"/>
      <c r="BZK47" s="116"/>
      <c r="BZL47" s="116"/>
      <c r="BZM47" s="116"/>
      <c r="BZN47" s="116"/>
      <c r="BZO47" s="116"/>
      <c r="BZP47" s="116"/>
      <c r="BZQ47" s="116"/>
      <c r="BZR47" s="116"/>
      <c r="BZS47" s="116"/>
      <c r="BZT47" s="116"/>
      <c r="BZU47" s="116"/>
      <c r="BZV47" s="116"/>
      <c r="BZW47" s="116"/>
      <c r="BZX47" s="116"/>
      <c r="BZY47" s="116"/>
      <c r="BZZ47" s="116"/>
      <c r="CAA47" s="116"/>
      <c r="CAB47" s="116"/>
      <c r="CAC47" s="116"/>
      <c r="CAD47" s="116"/>
      <c r="CAE47" s="116"/>
      <c r="CAF47" s="116"/>
      <c r="CAG47" s="116"/>
      <c r="CAH47" s="116"/>
      <c r="CAI47" s="116"/>
      <c r="CAJ47" s="116"/>
      <c r="CAK47" s="116"/>
      <c r="CAL47" s="116"/>
      <c r="CAM47" s="116"/>
      <c r="CAN47" s="116"/>
      <c r="CAO47" s="116"/>
      <c r="CAP47" s="116"/>
      <c r="CAQ47" s="116"/>
      <c r="CAR47" s="116"/>
      <c r="CAS47" s="116"/>
      <c r="CAT47" s="116"/>
      <c r="CAU47" s="116"/>
      <c r="CAV47" s="116"/>
      <c r="CAW47" s="116"/>
      <c r="CAX47" s="116"/>
      <c r="CAY47" s="116"/>
      <c r="CAZ47" s="116"/>
      <c r="CBA47" s="116"/>
      <c r="CBB47" s="116"/>
      <c r="CBC47" s="116"/>
      <c r="CBD47" s="116"/>
      <c r="CBE47" s="116"/>
      <c r="CBF47" s="116"/>
      <c r="CBG47" s="116"/>
      <c r="CBH47" s="116"/>
      <c r="CBI47" s="116"/>
      <c r="CBJ47" s="116"/>
      <c r="CBK47" s="116"/>
      <c r="CBL47" s="116"/>
      <c r="CBM47" s="116"/>
      <c r="CBN47" s="116"/>
      <c r="CBO47" s="116"/>
      <c r="CBP47" s="116"/>
      <c r="CBQ47" s="116"/>
      <c r="CBR47" s="116"/>
      <c r="CBS47" s="116"/>
      <c r="CBT47" s="116"/>
      <c r="CBU47" s="116"/>
      <c r="CBV47" s="116"/>
      <c r="CBW47" s="116"/>
      <c r="CBX47" s="116"/>
      <c r="CBY47" s="116"/>
      <c r="CBZ47" s="116"/>
      <c r="CCA47" s="116"/>
      <c r="CCB47" s="116"/>
      <c r="CCC47" s="116"/>
      <c r="CCD47" s="116"/>
      <c r="CCE47" s="116"/>
      <c r="CCF47" s="116"/>
      <c r="CCG47" s="116"/>
      <c r="CCH47" s="116"/>
      <c r="CCI47" s="116"/>
      <c r="CCJ47" s="116"/>
      <c r="CCK47" s="116"/>
      <c r="CCL47" s="116"/>
      <c r="CCM47" s="116"/>
      <c r="CCN47" s="116"/>
      <c r="CCO47" s="116"/>
      <c r="CCP47" s="116"/>
      <c r="CCQ47" s="116"/>
      <c r="CCR47" s="116"/>
      <c r="CCS47" s="116"/>
      <c r="CCT47" s="116"/>
      <c r="CCU47" s="116"/>
      <c r="CCV47" s="116"/>
      <c r="CCW47" s="116"/>
      <c r="CCX47" s="116"/>
      <c r="CCY47" s="116"/>
      <c r="CCZ47" s="116"/>
      <c r="CDA47" s="116"/>
      <c r="CDB47" s="116"/>
      <c r="CDC47" s="116"/>
      <c r="CDD47" s="116"/>
      <c r="CDE47" s="116"/>
      <c r="CDF47" s="116"/>
      <c r="CDG47" s="116"/>
      <c r="CDH47" s="116"/>
      <c r="CDI47" s="116"/>
      <c r="CDJ47" s="116"/>
      <c r="CDK47" s="116"/>
      <c r="CDL47" s="116"/>
      <c r="CDM47" s="116"/>
      <c r="CDN47" s="116"/>
      <c r="CDO47" s="116"/>
      <c r="CDP47" s="116"/>
      <c r="CDQ47" s="116"/>
      <c r="CDR47" s="116"/>
      <c r="CDS47" s="116"/>
      <c r="CDT47" s="116"/>
      <c r="CDU47" s="116"/>
      <c r="CDV47" s="116"/>
      <c r="CDW47" s="116"/>
      <c r="CDX47" s="116"/>
      <c r="CDY47" s="116"/>
      <c r="CDZ47" s="116"/>
      <c r="CEA47" s="116"/>
      <c r="CEB47" s="116"/>
      <c r="CEC47" s="116"/>
      <c r="CED47" s="116"/>
      <c r="CEE47" s="116"/>
      <c r="CEF47" s="116"/>
      <c r="CEG47" s="116"/>
      <c r="CEH47" s="116"/>
      <c r="CEI47" s="116"/>
      <c r="CEJ47" s="116"/>
      <c r="CEK47" s="116"/>
      <c r="CEL47" s="116"/>
      <c r="CEM47" s="116"/>
      <c r="CEN47" s="116"/>
      <c r="CEO47" s="116"/>
      <c r="CEP47" s="116"/>
      <c r="CEQ47" s="116"/>
      <c r="CER47" s="116"/>
      <c r="CES47" s="116"/>
      <c r="CET47" s="116"/>
      <c r="CEU47" s="116"/>
      <c r="CEV47" s="116"/>
      <c r="CEW47" s="116"/>
      <c r="CEX47" s="116"/>
      <c r="CEY47" s="116"/>
      <c r="CEZ47" s="116"/>
      <c r="CFA47" s="116"/>
      <c r="CFB47" s="116"/>
      <c r="CFC47" s="116"/>
      <c r="CFD47" s="116"/>
      <c r="CFE47" s="116"/>
      <c r="CFF47" s="116"/>
      <c r="CFG47" s="116"/>
      <c r="CFH47" s="116"/>
      <c r="CFI47" s="116"/>
      <c r="CFJ47" s="116"/>
      <c r="CFK47" s="116"/>
      <c r="CFL47" s="116"/>
      <c r="CFM47" s="116"/>
      <c r="CFN47" s="116"/>
      <c r="CFO47" s="116"/>
      <c r="CFP47" s="116"/>
      <c r="CFQ47" s="116"/>
      <c r="CFR47" s="116"/>
      <c r="CFS47" s="116"/>
      <c r="CFT47" s="116"/>
      <c r="CFU47" s="116"/>
      <c r="CFV47" s="116"/>
      <c r="CFW47" s="116"/>
      <c r="CFX47" s="116"/>
      <c r="CFY47" s="116"/>
      <c r="CFZ47" s="116"/>
      <c r="CGA47" s="116"/>
      <c r="CGB47" s="116"/>
      <c r="CGC47" s="116"/>
      <c r="CGD47" s="116"/>
      <c r="CGE47" s="116"/>
      <c r="CGF47" s="116"/>
      <c r="CGG47" s="116"/>
      <c r="CGH47" s="116"/>
      <c r="CGI47" s="116"/>
      <c r="CGJ47" s="116"/>
      <c r="CGK47" s="116"/>
      <c r="CGL47" s="116"/>
      <c r="CGM47" s="116"/>
      <c r="CGN47" s="116"/>
      <c r="CGO47" s="116"/>
      <c r="CGP47" s="116"/>
      <c r="CGQ47" s="116"/>
      <c r="CGR47" s="116"/>
      <c r="CGS47" s="116"/>
      <c r="CGT47" s="116"/>
      <c r="CGU47" s="116"/>
      <c r="CGV47" s="116"/>
      <c r="CGW47" s="116"/>
      <c r="CGX47" s="116"/>
      <c r="CGY47" s="116"/>
      <c r="CGZ47" s="116"/>
      <c r="CHA47" s="116"/>
      <c r="CHB47" s="116"/>
      <c r="CHC47" s="116"/>
      <c r="CHD47" s="116"/>
      <c r="CHE47" s="116"/>
      <c r="CHF47" s="116"/>
      <c r="CHG47" s="116"/>
      <c r="CHH47" s="116"/>
      <c r="CHI47" s="116"/>
      <c r="CHJ47" s="116"/>
      <c r="CHK47" s="116"/>
      <c r="CHL47" s="116"/>
      <c r="CHM47" s="116"/>
      <c r="CHN47" s="116"/>
      <c r="CHO47" s="116"/>
      <c r="CHP47" s="116"/>
      <c r="CHQ47" s="116"/>
      <c r="CHR47" s="116"/>
      <c r="CHS47" s="116"/>
      <c r="CHT47" s="116"/>
      <c r="CHU47" s="116"/>
      <c r="CHV47" s="116"/>
      <c r="CHW47" s="116"/>
      <c r="CHX47" s="116"/>
      <c r="CHY47" s="116"/>
      <c r="CHZ47" s="116"/>
      <c r="CIA47" s="116"/>
      <c r="CIB47" s="116"/>
      <c r="CIC47" s="116"/>
      <c r="CID47" s="116"/>
      <c r="CIE47" s="116"/>
      <c r="CIF47" s="116"/>
      <c r="CIG47" s="116"/>
      <c r="CIH47" s="116"/>
      <c r="CII47" s="116"/>
      <c r="CIJ47" s="116"/>
      <c r="CIK47" s="116"/>
      <c r="CIL47" s="116"/>
      <c r="CIM47" s="116"/>
      <c r="CIN47" s="116"/>
      <c r="CIO47" s="116"/>
      <c r="CIP47" s="116"/>
      <c r="CIQ47" s="116"/>
      <c r="CIR47" s="116"/>
      <c r="CIS47" s="116"/>
      <c r="CIT47" s="116"/>
      <c r="CIU47" s="116"/>
      <c r="CIV47" s="116"/>
      <c r="CIW47" s="116"/>
      <c r="CIX47" s="116"/>
      <c r="CIY47" s="116"/>
      <c r="CIZ47" s="116"/>
      <c r="CJA47" s="116"/>
      <c r="CJB47" s="116"/>
      <c r="CJC47" s="116"/>
      <c r="CJD47" s="116"/>
      <c r="CJE47" s="116"/>
      <c r="CJF47" s="116"/>
      <c r="CJG47" s="116"/>
      <c r="CJH47" s="116"/>
      <c r="CJI47" s="116"/>
      <c r="CJJ47" s="116"/>
      <c r="CJK47" s="116"/>
      <c r="CJL47" s="116"/>
      <c r="CJM47" s="116"/>
      <c r="CJN47" s="116"/>
      <c r="CJO47" s="116"/>
      <c r="CJP47" s="116"/>
      <c r="CJQ47" s="116"/>
      <c r="CJR47" s="116"/>
      <c r="CJS47" s="116"/>
      <c r="CJT47" s="116"/>
      <c r="CJU47" s="116"/>
      <c r="CJV47" s="116"/>
      <c r="CJW47" s="116"/>
      <c r="CJX47" s="116"/>
      <c r="CJY47" s="116"/>
      <c r="CJZ47" s="116"/>
      <c r="CKA47" s="116"/>
      <c r="CKB47" s="116"/>
      <c r="CKC47" s="116"/>
      <c r="CKD47" s="116"/>
      <c r="CKE47" s="116"/>
      <c r="CKF47" s="116"/>
      <c r="CKG47" s="116"/>
      <c r="CKH47" s="116"/>
      <c r="CKI47" s="116"/>
      <c r="CKJ47" s="116"/>
      <c r="CKK47" s="116"/>
      <c r="CKL47" s="116"/>
      <c r="CKM47" s="116"/>
      <c r="CKN47" s="116"/>
      <c r="CKO47" s="116"/>
      <c r="CKP47" s="116"/>
      <c r="CKQ47" s="116"/>
      <c r="CKR47" s="116"/>
      <c r="CKS47" s="116"/>
      <c r="CKT47" s="116"/>
      <c r="CKU47" s="116"/>
      <c r="CKV47" s="116"/>
      <c r="CKW47" s="116"/>
      <c r="CKX47" s="116"/>
      <c r="CKY47" s="116"/>
      <c r="CKZ47" s="116"/>
      <c r="CLA47" s="116"/>
      <c r="CLB47" s="116"/>
      <c r="CLC47" s="116"/>
      <c r="CLD47" s="116"/>
      <c r="CLE47" s="116"/>
      <c r="CLF47" s="116"/>
      <c r="CLG47" s="116"/>
      <c r="CLH47" s="116"/>
      <c r="CLI47" s="116"/>
      <c r="CLJ47" s="116"/>
      <c r="CLK47" s="116"/>
      <c r="CLL47" s="116"/>
      <c r="CLM47" s="116"/>
      <c r="CLN47" s="116"/>
      <c r="CLO47" s="116"/>
      <c r="CLP47" s="116"/>
      <c r="CLQ47" s="116"/>
      <c r="CLR47" s="116"/>
      <c r="CLS47" s="116"/>
      <c r="CLT47" s="116"/>
      <c r="CLU47" s="116"/>
      <c r="CLV47" s="116"/>
      <c r="CLW47" s="116"/>
      <c r="CLX47" s="116"/>
      <c r="CLY47" s="116"/>
      <c r="CLZ47" s="116"/>
      <c r="CMA47" s="116"/>
      <c r="CMB47" s="116"/>
      <c r="CMC47" s="116"/>
      <c r="CMD47" s="116"/>
      <c r="CME47" s="116"/>
      <c r="CMF47" s="116"/>
      <c r="CMG47" s="116"/>
      <c r="CMH47" s="116"/>
      <c r="CMI47" s="116"/>
      <c r="CMJ47" s="116"/>
      <c r="CMK47" s="116"/>
      <c r="CML47" s="116"/>
      <c r="CMM47" s="116"/>
      <c r="CMN47" s="116"/>
      <c r="CMO47" s="116"/>
      <c r="CMP47" s="116"/>
      <c r="CMQ47" s="116"/>
      <c r="CMR47" s="116"/>
      <c r="CMS47" s="116"/>
      <c r="CMT47" s="116"/>
      <c r="CMU47" s="116"/>
      <c r="CMV47" s="116"/>
      <c r="CMW47" s="116"/>
      <c r="CMX47" s="116"/>
      <c r="CMY47" s="116"/>
      <c r="CMZ47" s="116"/>
      <c r="CNA47" s="116"/>
      <c r="CNB47" s="116"/>
      <c r="CNC47" s="116"/>
      <c r="CND47" s="116"/>
      <c r="CNE47" s="116"/>
      <c r="CNF47" s="116"/>
      <c r="CNG47" s="116"/>
      <c r="CNH47" s="116"/>
      <c r="CNI47" s="116"/>
      <c r="CNJ47" s="116"/>
      <c r="CNK47" s="116"/>
      <c r="CNL47" s="116"/>
      <c r="CNM47" s="116"/>
      <c r="CNN47" s="116"/>
      <c r="CNO47" s="116"/>
      <c r="CNP47" s="116"/>
      <c r="CNQ47" s="116"/>
      <c r="CNR47" s="116"/>
      <c r="CNS47" s="116"/>
      <c r="CNT47" s="116"/>
      <c r="CNU47" s="116"/>
      <c r="CNV47" s="116"/>
      <c r="CNW47" s="116"/>
      <c r="CNX47" s="116"/>
      <c r="CNY47" s="116"/>
      <c r="CNZ47" s="116"/>
      <c r="COA47" s="116"/>
      <c r="COB47" s="116"/>
      <c r="COC47" s="116"/>
      <c r="COD47" s="116"/>
      <c r="COE47" s="116"/>
      <c r="COF47" s="116"/>
      <c r="COG47" s="116"/>
      <c r="COH47" s="116"/>
      <c r="COI47" s="116"/>
      <c r="COJ47" s="116"/>
      <c r="COK47" s="116"/>
      <c r="COL47" s="116"/>
      <c r="COM47" s="116"/>
      <c r="CON47" s="116"/>
      <c r="COO47" s="116"/>
      <c r="COP47" s="116"/>
      <c r="COQ47" s="116"/>
      <c r="COR47" s="116"/>
      <c r="COS47" s="116"/>
      <c r="COT47" s="116"/>
      <c r="COU47" s="116"/>
      <c r="COV47" s="116"/>
      <c r="COW47" s="116"/>
      <c r="COX47" s="116"/>
      <c r="COY47" s="116"/>
      <c r="COZ47" s="116"/>
      <c r="CPA47" s="116"/>
      <c r="CPB47" s="116"/>
      <c r="CPC47" s="116"/>
      <c r="CPD47" s="116"/>
      <c r="CPE47" s="116"/>
      <c r="CPF47" s="116"/>
      <c r="CPG47" s="116"/>
      <c r="CPH47" s="116"/>
      <c r="CPI47" s="116"/>
      <c r="CPJ47" s="116"/>
      <c r="CPK47" s="116"/>
      <c r="CPL47" s="116"/>
      <c r="CPM47" s="116"/>
      <c r="CPN47" s="116"/>
      <c r="CPO47" s="116"/>
      <c r="CPP47" s="116"/>
      <c r="CPQ47" s="116"/>
      <c r="CPR47" s="116"/>
      <c r="CPS47" s="116"/>
      <c r="CPT47" s="116"/>
      <c r="CPU47" s="116"/>
      <c r="CPV47" s="116"/>
      <c r="CPW47" s="116"/>
      <c r="CPX47" s="116"/>
      <c r="CPY47" s="116"/>
      <c r="CPZ47" s="116"/>
      <c r="CQA47" s="116"/>
      <c r="CQB47" s="116"/>
      <c r="CQC47" s="116"/>
      <c r="CQD47" s="116"/>
      <c r="CQE47" s="116"/>
      <c r="CQF47" s="116"/>
      <c r="CQG47" s="116"/>
      <c r="CQH47" s="116"/>
      <c r="CQI47" s="116"/>
      <c r="CQJ47" s="116"/>
      <c r="CQK47" s="116"/>
      <c r="CQL47" s="116"/>
      <c r="CQM47" s="116"/>
      <c r="CQN47" s="116"/>
      <c r="CQO47" s="116"/>
      <c r="CQP47" s="116"/>
      <c r="CQQ47" s="116"/>
      <c r="CQR47" s="116"/>
      <c r="CQS47" s="116"/>
      <c r="CQT47" s="116"/>
      <c r="CQU47" s="116"/>
      <c r="CQV47" s="116"/>
      <c r="CQW47" s="116"/>
      <c r="CQX47" s="116"/>
      <c r="CQY47" s="116"/>
      <c r="CQZ47" s="116"/>
      <c r="CRA47" s="116"/>
      <c r="CRB47" s="116"/>
      <c r="CRC47" s="116"/>
      <c r="CRD47" s="116"/>
      <c r="CRE47" s="116"/>
      <c r="CRF47" s="116"/>
      <c r="CRG47" s="116"/>
      <c r="CRH47" s="116"/>
      <c r="CRI47" s="116"/>
      <c r="CRJ47" s="116"/>
      <c r="CRK47" s="116"/>
      <c r="CRL47" s="116"/>
      <c r="CRM47" s="116"/>
      <c r="CRN47" s="116"/>
      <c r="CRO47" s="116"/>
      <c r="CRP47" s="116"/>
      <c r="CRQ47" s="116"/>
      <c r="CRR47" s="116"/>
      <c r="CRS47" s="116"/>
      <c r="CRT47" s="116"/>
      <c r="CRU47" s="116"/>
      <c r="CRV47" s="116"/>
      <c r="CRW47" s="116"/>
      <c r="CRX47" s="116"/>
      <c r="CRY47" s="116"/>
      <c r="CRZ47" s="116"/>
      <c r="CSA47" s="116"/>
      <c r="CSB47" s="116"/>
      <c r="CSC47" s="116"/>
      <c r="CSD47" s="116"/>
      <c r="CSE47" s="116"/>
      <c r="CSF47" s="116"/>
      <c r="CSG47" s="116"/>
      <c r="CSH47" s="116"/>
      <c r="CSI47" s="116"/>
      <c r="CSJ47" s="116"/>
      <c r="CSK47" s="116"/>
      <c r="CSL47" s="116"/>
      <c r="CSM47" s="116"/>
      <c r="CSN47" s="116"/>
      <c r="CSO47" s="116"/>
      <c r="CSP47" s="116"/>
      <c r="CSQ47" s="116"/>
      <c r="CSR47" s="116"/>
      <c r="CSS47" s="116"/>
      <c r="CST47" s="116"/>
      <c r="CSU47" s="116"/>
      <c r="CSV47" s="116"/>
      <c r="CSW47" s="116"/>
      <c r="CSX47" s="116"/>
      <c r="CSY47" s="116"/>
      <c r="CSZ47" s="116"/>
      <c r="CTA47" s="116"/>
      <c r="CTB47" s="116"/>
      <c r="CTC47" s="116"/>
      <c r="CTD47" s="116"/>
      <c r="CTE47" s="116"/>
      <c r="CTF47" s="116"/>
      <c r="CTG47" s="116"/>
      <c r="CTH47" s="116"/>
      <c r="CTI47" s="116"/>
      <c r="CTJ47" s="116"/>
      <c r="CTK47" s="116"/>
      <c r="CTL47" s="116"/>
      <c r="CTM47" s="116"/>
      <c r="CTN47" s="116"/>
      <c r="CTO47" s="116"/>
      <c r="CTP47" s="116"/>
      <c r="CTQ47" s="116"/>
      <c r="CTR47" s="116"/>
      <c r="CTS47" s="116"/>
      <c r="CTT47" s="116"/>
      <c r="CTU47" s="116"/>
      <c r="CTV47" s="116"/>
      <c r="CTW47" s="116"/>
      <c r="CTX47" s="116"/>
      <c r="CTY47" s="116"/>
      <c r="CTZ47" s="116"/>
      <c r="CUA47" s="116"/>
      <c r="CUB47" s="116"/>
      <c r="CUC47" s="116"/>
      <c r="CUD47" s="116"/>
      <c r="CUE47" s="116"/>
      <c r="CUF47" s="116"/>
      <c r="CUG47" s="116"/>
      <c r="CUH47" s="116"/>
      <c r="CUI47" s="116"/>
      <c r="CUJ47" s="116"/>
      <c r="CUK47" s="116"/>
      <c r="CUL47" s="116"/>
      <c r="CUM47" s="116"/>
      <c r="CUN47" s="116"/>
      <c r="CUO47" s="116"/>
      <c r="CUP47" s="116"/>
      <c r="CUQ47" s="116"/>
      <c r="CUR47" s="116"/>
      <c r="CUS47" s="116"/>
      <c r="CUT47" s="116"/>
      <c r="CUU47" s="116"/>
      <c r="CUV47" s="116"/>
      <c r="CUW47" s="116"/>
      <c r="CUX47" s="116"/>
      <c r="CUY47" s="116"/>
      <c r="CUZ47" s="116"/>
      <c r="CVA47" s="116"/>
      <c r="CVB47" s="116"/>
      <c r="CVC47" s="116"/>
      <c r="CVD47" s="116"/>
      <c r="CVE47" s="116"/>
      <c r="CVF47" s="116"/>
      <c r="CVG47" s="116"/>
      <c r="CVH47" s="116"/>
      <c r="CVI47" s="116"/>
      <c r="CVJ47" s="116"/>
      <c r="CVK47" s="116"/>
      <c r="CVL47" s="116"/>
      <c r="CVM47" s="116"/>
      <c r="CVN47" s="116"/>
      <c r="CVO47" s="116"/>
      <c r="CVP47" s="116"/>
      <c r="CVQ47" s="116"/>
      <c r="CVR47" s="116"/>
      <c r="CVS47" s="116"/>
      <c r="CVT47" s="116"/>
      <c r="CVU47" s="116"/>
      <c r="CVV47" s="116"/>
      <c r="CVW47" s="116"/>
      <c r="CVX47" s="116"/>
      <c r="CVY47" s="116"/>
      <c r="CVZ47" s="116"/>
      <c r="CWA47" s="116"/>
      <c r="CWB47" s="116"/>
      <c r="CWC47" s="116"/>
      <c r="CWD47" s="116"/>
      <c r="CWE47" s="116"/>
      <c r="CWF47" s="116"/>
      <c r="CWG47" s="116"/>
      <c r="CWH47" s="116"/>
      <c r="CWI47" s="116"/>
      <c r="CWJ47" s="116"/>
      <c r="CWK47" s="116"/>
      <c r="CWL47" s="116"/>
      <c r="CWM47" s="116"/>
      <c r="CWN47" s="116"/>
      <c r="CWO47" s="116"/>
      <c r="CWP47" s="116"/>
      <c r="CWQ47" s="116"/>
      <c r="CWR47" s="116"/>
      <c r="CWS47" s="116"/>
      <c r="CWT47" s="116"/>
      <c r="CWU47" s="116"/>
      <c r="CWV47" s="116"/>
      <c r="CWW47" s="116"/>
      <c r="CWX47" s="116"/>
      <c r="CWY47" s="116"/>
      <c r="CWZ47" s="116"/>
      <c r="CXA47" s="116"/>
      <c r="CXB47" s="116"/>
      <c r="CXC47" s="116"/>
      <c r="CXD47" s="116"/>
      <c r="CXE47" s="116"/>
      <c r="CXF47" s="116"/>
      <c r="CXG47" s="116"/>
      <c r="CXH47" s="116"/>
      <c r="CXI47" s="116"/>
      <c r="CXJ47" s="116"/>
      <c r="CXK47" s="116"/>
      <c r="CXL47" s="116"/>
      <c r="CXM47" s="116"/>
      <c r="CXN47" s="116"/>
      <c r="CXO47" s="116"/>
      <c r="CXP47" s="116"/>
      <c r="CXQ47" s="116"/>
      <c r="CXR47" s="116"/>
      <c r="CXS47" s="116"/>
      <c r="CXT47" s="116"/>
      <c r="CXU47" s="116"/>
      <c r="CXV47" s="116"/>
      <c r="CXW47" s="116"/>
      <c r="CXX47" s="116"/>
      <c r="CXY47" s="116"/>
      <c r="CXZ47" s="116"/>
      <c r="CYA47" s="116"/>
      <c r="CYB47" s="116"/>
      <c r="CYC47" s="116"/>
      <c r="CYD47" s="116"/>
      <c r="CYE47" s="116"/>
      <c r="CYF47" s="116"/>
      <c r="CYG47" s="116"/>
      <c r="CYH47" s="116"/>
      <c r="CYI47" s="116"/>
      <c r="CYJ47" s="116"/>
      <c r="CYK47" s="116"/>
      <c r="CYL47" s="116"/>
      <c r="CYM47" s="116"/>
      <c r="CYN47" s="116"/>
      <c r="CYO47" s="116"/>
      <c r="CYP47" s="116"/>
      <c r="CYQ47" s="116"/>
      <c r="CYR47" s="116"/>
      <c r="CYS47" s="116"/>
      <c r="CYT47" s="116"/>
      <c r="CYU47" s="116"/>
      <c r="CYV47" s="116"/>
      <c r="CYW47" s="116"/>
      <c r="CYX47" s="116"/>
      <c r="CYY47" s="116"/>
      <c r="CYZ47" s="116"/>
      <c r="CZA47" s="116"/>
      <c r="CZB47" s="116"/>
      <c r="CZC47" s="116"/>
      <c r="CZD47" s="116"/>
      <c r="CZE47" s="116"/>
      <c r="CZF47" s="116"/>
      <c r="CZG47" s="116"/>
      <c r="CZH47" s="116"/>
      <c r="CZI47" s="116"/>
      <c r="CZJ47" s="116"/>
      <c r="CZK47" s="116"/>
      <c r="CZL47" s="116"/>
      <c r="CZM47" s="116"/>
      <c r="CZN47" s="116"/>
      <c r="CZO47" s="116"/>
      <c r="CZP47" s="116"/>
      <c r="CZQ47" s="116"/>
      <c r="CZR47" s="116"/>
      <c r="CZS47" s="116"/>
      <c r="CZT47" s="116"/>
      <c r="CZU47" s="116"/>
      <c r="CZV47" s="116"/>
      <c r="CZW47" s="116"/>
      <c r="CZX47" s="116"/>
      <c r="CZY47" s="116"/>
      <c r="CZZ47" s="116"/>
      <c r="DAA47" s="116"/>
      <c r="DAB47" s="116"/>
      <c r="DAC47" s="116"/>
      <c r="DAD47" s="116"/>
      <c r="DAE47" s="116"/>
      <c r="DAF47" s="116"/>
      <c r="DAG47" s="116"/>
      <c r="DAH47" s="116"/>
      <c r="DAI47" s="116"/>
      <c r="DAJ47" s="116"/>
      <c r="DAK47" s="116"/>
      <c r="DAL47" s="116"/>
      <c r="DAM47" s="116"/>
      <c r="DAN47" s="116"/>
      <c r="DAO47" s="116"/>
      <c r="DAP47" s="116"/>
      <c r="DAQ47" s="116"/>
      <c r="DAR47" s="116"/>
      <c r="DAS47" s="116"/>
      <c r="DAT47" s="116"/>
      <c r="DAU47" s="116"/>
      <c r="DAV47" s="116"/>
      <c r="DAW47" s="116"/>
      <c r="DAX47" s="116"/>
      <c r="DAY47" s="116"/>
      <c r="DAZ47" s="116"/>
      <c r="DBA47" s="116"/>
      <c r="DBB47" s="116"/>
      <c r="DBC47" s="116"/>
      <c r="DBD47" s="116"/>
      <c r="DBE47" s="116"/>
      <c r="DBF47" s="116"/>
      <c r="DBG47" s="116"/>
      <c r="DBH47" s="116"/>
      <c r="DBI47" s="116"/>
      <c r="DBJ47" s="116"/>
      <c r="DBK47" s="116"/>
      <c r="DBL47" s="116"/>
      <c r="DBM47" s="116"/>
      <c r="DBN47" s="116"/>
      <c r="DBO47" s="116"/>
      <c r="DBP47" s="116"/>
      <c r="DBQ47" s="116"/>
      <c r="DBR47" s="116"/>
      <c r="DBS47" s="116"/>
      <c r="DBT47" s="116"/>
      <c r="DBU47" s="116"/>
      <c r="DBV47" s="116"/>
      <c r="DBW47" s="116"/>
      <c r="DBX47" s="116"/>
      <c r="DBY47" s="116"/>
      <c r="DBZ47" s="116"/>
      <c r="DCA47" s="116"/>
      <c r="DCB47" s="116"/>
      <c r="DCC47" s="116"/>
      <c r="DCD47" s="116"/>
      <c r="DCE47" s="116"/>
      <c r="DCF47" s="116"/>
      <c r="DCG47" s="116"/>
      <c r="DCH47" s="116"/>
      <c r="DCI47" s="116"/>
      <c r="DCJ47" s="116"/>
      <c r="DCK47" s="116"/>
      <c r="DCL47" s="116"/>
      <c r="DCM47" s="116"/>
      <c r="DCN47" s="116"/>
      <c r="DCO47" s="116"/>
      <c r="DCP47" s="116"/>
      <c r="DCQ47" s="116"/>
      <c r="DCR47" s="116"/>
      <c r="DCS47" s="116"/>
      <c r="DCT47" s="116"/>
      <c r="DCU47" s="116"/>
      <c r="DCV47" s="116"/>
      <c r="DCW47" s="116"/>
      <c r="DCX47" s="116"/>
      <c r="DCY47" s="116"/>
      <c r="DCZ47" s="116"/>
      <c r="DDA47" s="116"/>
      <c r="DDB47" s="116"/>
      <c r="DDC47" s="116"/>
      <c r="DDD47" s="116"/>
      <c r="DDE47" s="116"/>
      <c r="DDF47" s="116"/>
      <c r="DDG47" s="116"/>
      <c r="DDH47" s="116"/>
      <c r="DDI47" s="116"/>
      <c r="DDJ47" s="116"/>
      <c r="DDK47" s="116"/>
      <c r="DDL47" s="116"/>
      <c r="DDM47" s="116"/>
      <c r="DDN47" s="116"/>
      <c r="DDO47" s="116"/>
      <c r="DDP47" s="116"/>
      <c r="DDQ47" s="116"/>
      <c r="DDR47" s="116"/>
      <c r="DDS47" s="116"/>
      <c r="DDT47" s="116"/>
      <c r="DDU47" s="116"/>
      <c r="DDV47" s="116"/>
      <c r="DDW47" s="116"/>
      <c r="DDX47" s="116"/>
      <c r="DDY47" s="116"/>
      <c r="DDZ47" s="116"/>
      <c r="DEA47" s="116"/>
      <c r="DEB47" s="116"/>
      <c r="DEC47" s="116"/>
      <c r="DED47" s="116"/>
      <c r="DEE47" s="116"/>
      <c r="DEF47" s="116"/>
      <c r="DEG47" s="116"/>
      <c r="DEH47" s="116"/>
      <c r="DEI47" s="116"/>
      <c r="DEJ47" s="116"/>
      <c r="DEK47" s="116"/>
      <c r="DEL47" s="116"/>
      <c r="DEM47" s="116"/>
      <c r="DEN47" s="116"/>
      <c r="DEO47" s="116"/>
      <c r="DEP47" s="116"/>
      <c r="DEQ47" s="116"/>
      <c r="DER47" s="116"/>
      <c r="DES47" s="116"/>
      <c r="DET47" s="116"/>
      <c r="DEU47" s="116"/>
      <c r="DEV47" s="116"/>
      <c r="DEW47" s="116"/>
      <c r="DEX47" s="116"/>
      <c r="DEY47" s="116"/>
      <c r="DEZ47" s="116"/>
      <c r="DFA47" s="116"/>
      <c r="DFB47" s="116"/>
      <c r="DFC47" s="116"/>
      <c r="DFD47" s="116"/>
      <c r="DFE47" s="116"/>
      <c r="DFF47" s="116"/>
      <c r="DFG47" s="116"/>
      <c r="DFH47" s="116"/>
      <c r="DFI47" s="116"/>
      <c r="DFJ47" s="116"/>
      <c r="DFK47" s="116"/>
      <c r="DFL47" s="116"/>
      <c r="DFM47" s="116"/>
      <c r="DFN47" s="116"/>
      <c r="DFO47" s="116"/>
      <c r="DFP47" s="116"/>
      <c r="DFQ47" s="116"/>
      <c r="DFR47" s="116"/>
      <c r="DFS47" s="116"/>
      <c r="DFT47" s="116"/>
      <c r="DFU47" s="116"/>
      <c r="DFV47" s="116"/>
      <c r="DFW47" s="116"/>
      <c r="DFX47" s="116"/>
      <c r="DFY47" s="116"/>
      <c r="DFZ47" s="116"/>
      <c r="DGA47" s="116"/>
      <c r="DGB47" s="116"/>
      <c r="DGC47" s="116"/>
      <c r="DGD47" s="116"/>
      <c r="DGE47" s="116"/>
      <c r="DGF47" s="116"/>
      <c r="DGG47" s="116"/>
      <c r="DGH47" s="116"/>
      <c r="DGI47" s="116"/>
      <c r="DGJ47" s="116"/>
      <c r="DGK47" s="116"/>
      <c r="DGL47" s="116"/>
      <c r="DGM47" s="116"/>
      <c r="DGN47" s="116"/>
      <c r="DGO47" s="116"/>
      <c r="DGP47" s="116"/>
      <c r="DGQ47" s="116"/>
      <c r="DGR47" s="116"/>
      <c r="DGS47" s="116"/>
      <c r="DGT47" s="116"/>
      <c r="DGU47" s="116"/>
      <c r="DGV47" s="116"/>
      <c r="DGW47" s="116"/>
      <c r="DGX47" s="116"/>
      <c r="DGY47" s="116"/>
      <c r="DGZ47" s="116"/>
      <c r="DHA47" s="116"/>
      <c r="DHB47" s="116"/>
      <c r="DHC47" s="116"/>
      <c r="DHD47" s="116"/>
      <c r="DHE47" s="116"/>
      <c r="DHF47" s="116"/>
      <c r="DHG47" s="116"/>
      <c r="DHH47" s="116"/>
      <c r="DHI47" s="116"/>
      <c r="DHJ47" s="116"/>
      <c r="DHK47" s="116"/>
      <c r="DHL47" s="116"/>
      <c r="DHM47" s="116"/>
      <c r="DHN47" s="116"/>
      <c r="DHO47" s="116"/>
      <c r="DHP47" s="116"/>
      <c r="DHQ47" s="116"/>
      <c r="DHR47" s="116"/>
      <c r="DHS47" s="116"/>
      <c r="DHT47" s="116"/>
      <c r="DHU47" s="116"/>
      <c r="DHV47" s="116"/>
      <c r="DHW47" s="116"/>
      <c r="DHX47" s="116"/>
      <c r="DHY47" s="116"/>
      <c r="DHZ47" s="116"/>
      <c r="DIA47" s="116"/>
      <c r="DIB47" s="116"/>
      <c r="DIC47" s="116"/>
      <c r="DID47" s="116"/>
      <c r="DIE47" s="116"/>
      <c r="DIF47" s="116"/>
      <c r="DIG47" s="116"/>
      <c r="DIH47" s="116"/>
      <c r="DII47" s="116"/>
      <c r="DIJ47" s="116"/>
      <c r="DIK47" s="116"/>
      <c r="DIL47" s="116"/>
      <c r="DIM47" s="116"/>
      <c r="DIN47" s="116"/>
      <c r="DIO47" s="116"/>
      <c r="DIP47" s="116"/>
      <c r="DIQ47" s="116"/>
      <c r="DIR47" s="116"/>
      <c r="DIS47" s="116"/>
      <c r="DIT47" s="116"/>
      <c r="DIU47" s="116"/>
      <c r="DIV47" s="116"/>
      <c r="DIW47" s="116"/>
      <c r="DIX47" s="116"/>
      <c r="DIY47" s="116"/>
      <c r="DIZ47" s="116"/>
      <c r="DJA47" s="116"/>
      <c r="DJB47" s="116"/>
      <c r="DJC47" s="116"/>
      <c r="DJD47" s="116"/>
      <c r="DJE47" s="116"/>
      <c r="DJF47" s="116"/>
      <c r="DJG47" s="116"/>
      <c r="DJH47" s="116"/>
      <c r="DJI47" s="116"/>
      <c r="DJJ47" s="116"/>
      <c r="DJK47" s="116"/>
      <c r="DJL47" s="116"/>
      <c r="DJM47" s="116"/>
      <c r="DJN47" s="116"/>
      <c r="DJO47" s="116"/>
      <c r="DJP47" s="116"/>
      <c r="DJQ47" s="116"/>
      <c r="DJR47" s="116"/>
      <c r="DJS47" s="116"/>
      <c r="DJT47" s="116"/>
      <c r="DJU47" s="116"/>
      <c r="DJV47" s="116"/>
      <c r="DJW47" s="116"/>
      <c r="DJX47" s="116"/>
      <c r="DJY47" s="116"/>
      <c r="DJZ47" s="116"/>
      <c r="DKA47" s="116"/>
      <c r="DKB47" s="116"/>
      <c r="DKC47" s="116"/>
      <c r="DKD47" s="116"/>
      <c r="DKE47" s="116"/>
      <c r="DKF47" s="116"/>
      <c r="DKG47" s="116"/>
      <c r="DKH47" s="116"/>
      <c r="DKI47" s="116"/>
      <c r="DKJ47" s="116"/>
      <c r="DKK47" s="116"/>
      <c r="DKL47" s="116"/>
      <c r="DKM47" s="116"/>
      <c r="DKN47" s="116"/>
      <c r="DKO47" s="116"/>
      <c r="DKP47" s="116"/>
      <c r="DKQ47" s="116"/>
      <c r="DKR47" s="116"/>
      <c r="DKS47" s="116"/>
      <c r="DKT47" s="116"/>
      <c r="DKU47" s="116"/>
      <c r="DKV47" s="116"/>
      <c r="DKW47" s="116"/>
      <c r="DKX47" s="116"/>
      <c r="DKY47" s="116"/>
      <c r="DKZ47" s="116"/>
      <c r="DLA47" s="116"/>
      <c r="DLB47" s="116"/>
      <c r="DLC47" s="116"/>
      <c r="DLD47" s="116"/>
      <c r="DLE47" s="116"/>
      <c r="DLF47" s="116"/>
      <c r="DLG47" s="116"/>
      <c r="DLH47" s="116"/>
      <c r="DLI47" s="116"/>
      <c r="DLJ47" s="116"/>
      <c r="DLK47" s="116"/>
      <c r="DLL47" s="116"/>
      <c r="DLM47" s="116"/>
      <c r="DLN47" s="116"/>
      <c r="DLO47" s="116"/>
      <c r="DLP47" s="116"/>
      <c r="DLQ47" s="116"/>
      <c r="DLR47" s="116"/>
      <c r="DLS47" s="116"/>
      <c r="DLT47" s="116"/>
      <c r="DLU47" s="116"/>
      <c r="DLV47" s="116"/>
      <c r="DLW47" s="116"/>
      <c r="DLX47" s="116"/>
      <c r="DLY47" s="116"/>
      <c r="DLZ47" s="116"/>
      <c r="DMA47" s="116"/>
      <c r="DMB47" s="116"/>
      <c r="DMC47" s="116"/>
      <c r="DMD47" s="116"/>
      <c r="DME47" s="116"/>
      <c r="DMF47" s="116"/>
      <c r="DMG47" s="116"/>
      <c r="DMH47" s="116"/>
      <c r="DMI47" s="116"/>
      <c r="DMJ47" s="116"/>
      <c r="DMK47" s="116"/>
      <c r="DML47" s="116"/>
      <c r="DMM47" s="116"/>
      <c r="DMN47" s="116"/>
      <c r="DMO47" s="116"/>
      <c r="DMP47" s="116"/>
      <c r="DMQ47" s="116"/>
      <c r="DMR47" s="116"/>
      <c r="DMS47" s="116"/>
      <c r="DMT47" s="116"/>
      <c r="DMU47" s="116"/>
      <c r="DMV47" s="116"/>
      <c r="DMW47" s="116"/>
      <c r="DMX47" s="116"/>
      <c r="DMY47" s="116"/>
      <c r="DMZ47" s="116"/>
      <c r="DNA47" s="116"/>
      <c r="DNB47" s="116"/>
      <c r="DNC47" s="116"/>
      <c r="DND47" s="116"/>
      <c r="DNE47" s="116"/>
      <c r="DNF47" s="116"/>
      <c r="DNG47" s="116"/>
      <c r="DNH47" s="116"/>
      <c r="DNI47" s="116"/>
      <c r="DNJ47" s="116"/>
      <c r="DNK47" s="116"/>
      <c r="DNL47" s="116"/>
      <c r="DNM47" s="116"/>
      <c r="DNN47" s="116"/>
      <c r="DNO47" s="116"/>
      <c r="DNP47" s="116"/>
      <c r="DNQ47" s="116"/>
      <c r="DNR47" s="116"/>
      <c r="DNS47" s="116"/>
      <c r="DNT47" s="116"/>
      <c r="DNU47" s="116"/>
      <c r="DNV47" s="116"/>
      <c r="DNW47" s="116"/>
      <c r="DNX47" s="116"/>
      <c r="DNY47" s="116"/>
      <c r="DNZ47" s="116"/>
      <c r="DOA47" s="116"/>
      <c r="DOB47" s="116"/>
      <c r="DOC47" s="116"/>
      <c r="DOD47" s="116"/>
      <c r="DOE47" s="116"/>
      <c r="DOF47" s="116"/>
      <c r="DOG47" s="116"/>
      <c r="DOH47" s="116"/>
      <c r="DOI47" s="116"/>
      <c r="DOJ47" s="116"/>
      <c r="DOK47" s="116"/>
      <c r="DOL47" s="116"/>
      <c r="DOM47" s="116"/>
      <c r="DON47" s="116"/>
      <c r="DOO47" s="116"/>
      <c r="DOP47" s="116"/>
      <c r="DOQ47" s="116"/>
      <c r="DOR47" s="116"/>
      <c r="DOS47" s="116"/>
      <c r="DOT47" s="116"/>
      <c r="DOU47" s="116"/>
      <c r="DOV47" s="116"/>
      <c r="DOW47" s="116"/>
      <c r="DOX47" s="116"/>
      <c r="DOY47" s="116"/>
      <c r="DOZ47" s="116"/>
      <c r="DPA47" s="116"/>
      <c r="DPB47" s="116"/>
      <c r="DPC47" s="116"/>
      <c r="DPD47" s="116"/>
      <c r="DPE47" s="116"/>
      <c r="DPF47" s="116"/>
      <c r="DPG47" s="116"/>
      <c r="DPH47" s="116"/>
      <c r="DPI47" s="116"/>
      <c r="DPJ47" s="116"/>
      <c r="DPK47" s="116"/>
      <c r="DPL47" s="116"/>
      <c r="DPM47" s="116"/>
      <c r="DPN47" s="116"/>
      <c r="DPO47" s="116"/>
      <c r="DPP47" s="116"/>
      <c r="DPQ47" s="116"/>
      <c r="DPR47" s="116"/>
      <c r="DPS47" s="116"/>
      <c r="DPT47" s="116"/>
      <c r="DPU47" s="116"/>
      <c r="DPV47" s="116"/>
      <c r="DPW47" s="116"/>
      <c r="DPX47" s="116"/>
      <c r="DPY47" s="116"/>
      <c r="DPZ47" s="116"/>
      <c r="DQA47" s="116"/>
      <c r="DQB47" s="116"/>
      <c r="DQC47" s="116"/>
      <c r="DQD47" s="116"/>
      <c r="DQE47" s="116"/>
      <c r="DQF47" s="116"/>
      <c r="DQG47" s="116"/>
      <c r="DQH47" s="116"/>
      <c r="DQI47" s="116"/>
      <c r="DQJ47" s="116"/>
      <c r="DQK47" s="116"/>
      <c r="DQL47" s="116"/>
      <c r="DQM47" s="116"/>
      <c r="DQN47" s="116"/>
      <c r="DQO47" s="116"/>
      <c r="DQP47" s="116"/>
      <c r="DQQ47" s="116"/>
      <c r="DQR47" s="116"/>
      <c r="DQS47" s="116"/>
      <c r="DQT47" s="116"/>
      <c r="DQU47" s="116"/>
      <c r="DQV47" s="116"/>
      <c r="DQW47" s="116"/>
      <c r="DQX47" s="116"/>
      <c r="DQY47" s="116"/>
      <c r="DQZ47" s="116"/>
      <c r="DRA47" s="116"/>
      <c r="DRB47" s="116"/>
      <c r="DRC47" s="116"/>
      <c r="DRD47" s="116"/>
      <c r="DRE47" s="116"/>
      <c r="DRF47" s="116"/>
      <c r="DRG47" s="116"/>
      <c r="DRH47" s="116"/>
      <c r="DRI47" s="116"/>
      <c r="DRJ47" s="116"/>
      <c r="DRK47" s="116"/>
      <c r="DRL47" s="116"/>
      <c r="DRM47" s="116"/>
      <c r="DRN47" s="116"/>
      <c r="DRO47" s="116"/>
      <c r="DRP47" s="116"/>
      <c r="DRQ47" s="116"/>
      <c r="DRR47" s="116"/>
      <c r="DRS47" s="116"/>
      <c r="DRT47" s="116"/>
      <c r="DRU47" s="116"/>
      <c r="DRV47" s="116"/>
      <c r="DRW47" s="116"/>
      <c r="DRX47" s="116"/>
      <c r="DRY47" s="116"/>
      <c r="DRZ47" s="116"/>
      <c r="DSA47" s="116"/>
      <c r="DSB47" s="116"/>
      <c r="DSC47" s="116"/>
      <c r="DSD47" s="116"/>
      <c r="DSE47" s="116"/>
      <c r="DSF47" s="116"/>
      <c r="DSG47" s="116"/>
      <c r="DSH47" s="116"/>
      <c r="DSI47" s="116"/>
      <c r="DSJ47" s="116"/>
      <c r="DSK47" s="116"/>
      <c r="DSL47" s="116"/>
      <c r="DSM47" s="116"/>
      <c r="DSN47" s="116"/>
      <c r="DSO47" s="116"/>
      <c r="DSP47" s="116"/>
      <c r="DSQ47" s="116"/>
      <c r="DSR47" s="116"/>
      <c r="DSS47" s="116"/>
      <c r="DST47" s="116"/>
      <c r="DSU47" s="116"/>
      <c r="DSV47" s="116"/>
      <c r="DSW47" s="116"/>
      <c r="DSX47" s="116"/>
      <c r="DSY47" s="116"/>
      <c r="DSZ47" s="116"/>
      <c r="DTA47" s="116"/>
      <c r="DTB47" s="116"/>
      <c r="DTC47" s="116"/>
      <c r="DTD47" s="116"/>
      <c r="DTE47" s="116"/>
      <c r="DTF47" s="116"/>
      <c r="DTG47" s="116"/>
      <c r="DTH47" s="116"/>
      <c r="DTI47" s="116"/>
      <c r="DTJ47" s="116"/>
      <c r="DTK47" s="116"/>
      <c r="DTL47" s="116"/>
      <c r="DTM47" s="116"/>
      <c r="DTN47" s="116"/>
      <c r="DTO47" s="116"/>
      <c r="DTP47" s="116"/>
      <c r="DTQ47" s="116"/>
      <c r="DTR47" s="116"/>
      <c r="DTS47" s="116"/>
      <c r="DTT47" s="116"/>
      <c r="DTU47" s="116"/>
      <c r="DTV47" s="116"/>
      <c r="DTW47" s="116"/>
      <c r="DTX47" s="116"/>
      <c r="DTY47" s="116"/>
      <c r="DTZ47" s="116"/>
      <c r="DUA47" s="116"/>
      <c r="DUB47" s="116"/>
      <c r="DUC47" s="116"/>
      <c r="DUD47" s="116"/>
      <c r="DUE47" s="116"/>
      <c r="DUF47" s="116"/>
      <c r="DUG47" s="116"/>
      <c r="DUH47" s="116"/>
      <c r="DUI47" s="116"/>
      <c r="DUJ47" s="116"/>
      <c r="DUK47" s="116"/>
      <c r="DUL47" s="116"/>
      <c r="DUM47" s="116"/>
      <c r="DUN47" s="116"/>
      <c r="DUO47" s="116"/>
      <c r="DUP47" s="116"/>
      <c r="DUQ47" s="116"/>
      <c r="DUR47" s="116"/>
      <c r="DUS47" s="116"/>
      <c r="DUT47" s="116"/>
      <c r="DUU47" s="116"/>
      <c r="DUV47" s="116"/>
      <c r="DUW47" s="116"/>
      <c r="DUX47" s="116"/>
      <c r="DUY47" s="116"/>
      <c r="DUZ47" s="116"/>
      <c r="DVA47" s="116"/>
      <c r="DVB47" s="116"/>
      <c r="DVC47" s="116"/>
      <c r="DVD47" s="116"/>
      <c r="DVE47" s="116"/>
      <c r="DVF47" s="116"/>
      <c r="DVG47" s="116"/>
      <c r="DVH47" s="116"/>
      <c r="DVI47" s="116"/>
      <c r="DVJ47" s="116"/>
      <c r="DVK47" s="116"/>
      <c r="DVL47" s="116"/>
      <c r="DVM47" s="116"/>
      <c r="DVN47" s="116"/>
      <c r="DVO47" s="116"/>
      <c r="DVP47" s="116"/>
      <c r="DVQ47" s="116"/>
      <c r="DVR47" s="116"/>
      <c r="DVS47" s="116"/>
      <c r="DVT47" s="116"/>
      <c r="DVU47" s="116"/>
      <c r="DVV47" s="116"/>
      <c r="DVW47" s="116"/>
      <c r="DVX47" s="116"/>
      <c r="DVY47" s="116"/>
      <c r="DVZ47" s="116"/>
      <c r="DWA47" s="116"/>
      <c r="DWB47" s="116"/>
      <c r="DWC47" s="116"/>
      <c r="DWD47" s="116"/>
      <c r="DWE47" s="116"/>
      <c r="DWF47" s="116"/>
      <c r="DWG47" s="116"/>
      <c r="DWH47" s="116"/>
      <c r="DWI47" s="116"/>
      <c r="DWJ47" s="116"/>
      <c r="DWK47" s="116"/>
      <c r="DWL47" s="116"/>
      <c r="DWM47" s="116"/>
      <c r="DWN47" s="116"/>
      <c r="DWO47" s="116"/>
      <c r="DWP47" s="116"/>
      <c r="DWQ47" s="116"/>
      <c r="DWR47" s="116"/>
      <c r="DWS47" s="116"/>
      <c r="DWT47" s="116"/>
      <c r="DWU47" s="116"/>
      <c r="DWV47" s="116"/>
      <c r="DWW47" s="116"/>
      <c r="DWX47" s="116"/>
      <c r="DWY47" s="116"/>
      <c r="DWZ47" s="116"/>
      <c r="DXA47" s="116"/>
      <c r="DXB47" s="116"/>
      <c r="DXC47" s="116"/>
      <c r="DXD47" s="116"/>
      <c r="DXE47" s="116"/>
      <c r="DXF47" s="116"/>
      <c r="DXG47" s="116"/>
      <c r="DXH47" s="116"/>
      <c r="DXI47" s="116"/>
      <c r="DXJ47" s="116"/>
      <c r="DXK47" s="116"/>
      <c r="DXL47" s="116"/>
      <c r="DXM47" s="116"/>
      <c r="DXN47" s="116"/>
      <c r="DXO47" s="116"/>
      <c r="DXP47" s="116"/>
      <c r="DXQ47" s="116"/>
      <c r="DXR47" s="116"/>
      <c r="DXS47" s="116"/>
      <c r="DXT47" s="116"/>
      <c r="DXU47" s="116"/>
      <c r="DXV47" s="116"/>
      <c r="DXW47" s="116"/>
      <c r="DXX47" s="116"/>
      <c r="DXY47" s="116"/>
      <c r="DXZ47" s="116"/>
      <c r="DYA47" s="116"/>
      <c r="DYB47" s="116"/>
      <c r="DYC47" s="116"/>
      <c r="DYD47" s="116"/>
      <c r="DYE47" s="116"/>
      <c r="DYF47" s="116"/>
      <c r="DYG47" s="116"/>
      <c r="DYH47" s="116"/>
      <c r="DYI47" s="116"/>
      <c r="DYJ47" s="116"/>
      <c r="DYK47" s="116"/>
      <c r="DYL47" s="116"/>
      <c r="DYM47" s="116"/>
      <c r="DYN47" s="116"/>
      <c r="DYO47" s="116"/>
      <c r="DYP47" s="116"/>
      <c r="DYQ47" s="116"/>
      <c r="DYR47" s="116"/>
      <c r="DYS47" s="116"/>
      <c r="DYT47" s="116"/>
      <c r="DYU47" s="116"/>
      <c r="DYV47" s="116"/>
      <c r="DYW47" s="116"/>
      <c r="DYX47" s="116"/>
      <c r="DYY47" s="116"/>
      <c r="DYZ47" s="116"/>
      <c r="DZA47" s="116"/>
      <c r="DZB47" s="116"/>
      <c r="DZC47" s="116"/>
      <c r="DZD47" s="116"/>
      <c r="DZE47" s="116"/>
      <c r="DZF47" s="116"/>
      <c r="DZG47" s="116"/>
      <c r="DZH47" s="116"/>
      <c r="DZI47" s="116"/>
      <c r="DZJ47" s="116"/>
      <c r="DZK47" s="116"/>
      <c r="DZL47" s="116"/>
      <c r="DZM47" s="116"/>
      <c r="DZN47" s="116"/>
      <c r="DZO47" s="116"/>
      <c r="DZP47" s="116"/>
      <c r="DZQ47" s="116"/>
      <c r="DZR47" s="116"/>
      <c r="DZS47" s="116"/>
      <c r="DZT47" s="116"/>
      <c r="DZU47" s="116"/>
      <c r="DZV47" s="116"/>
      <c r="DZW47" s="116"/>
      <c r="DZX47" s="116"/>
      <c r="DZY47" s="116"/>
      <c r="DZZ47" s="116"/>
      <c r="EAA47" s="116"/>
      <c r="EAB47" s="116"/>
      <c r="EAC47" s="116"/>
      <c r="EAD47" s="116"/>
      <c r="EAE47" s="116"/>
      <c r="EAF47" s="116"/>
      <c r="EAG47" s="116"/>
      <c r="EAH47" s="116"/>
      <c r="EAI47" s="116"/>
      <c r="EAJ47" s="116"/>
      <c r="EAK47" s="116"/>
      <c r="EAL47" s="116"/>
      <c r="EAM47" s="116"/>
      <c r="EAN47" s="116"/>
      <c r="EAO47" s="116"/>
      <c r="EAP47" s="116"/>
      <c r="EAQ47" s="116"/>
      <c r="EAR47" s="116"/>
      <c r="EAS47" s="116"/>
      <c r="EAT47" s="116"/>
      <c r="EAU47" s="116"/>
      <c r="EAV47" s="116"/>
      <c r="EAW47" s="116"/>
      <c r="EAX47" s="116"/>
      <c r="EAY47" s="116"/>
      <c r="EAZ47" s="116"/>
      <c r="EBA47" s="116"/>
      <c r="EBB47" s="116"/>
      <c r="EBC47" s="116"/>
      <c r="EBD47" s="116"/>
      <c r="EBE47" s="116"/>
      <c r="EBF47" s="116"/>
      <c r="EBG47" s="116"/>
      <c r="EBH47" s="116"/>
      <c r="EBI47" s="116"/>
      <c r="EBJ47" s="116"/>
      <c r="EBK47" s="116"/>
      <c r="EBL47" s="116"/>
      <c r="EBM47" s="116"/>
      <c r="EBN47" s="116"/>
      <c r="EBO47" s="116"/>
      <c r="EBP47" s="116"/>
      <c r="EBQ47" s="116"/>
      <c r="EBR47" s="116"/>
      <c r="EBS47" s="116"/>
      <c r="EBT47" s="116"/>
      <c r="EBU47" s="116"/>
      <c r="EBV47" s="116"/>
      <c r="EBW47" s="116"/>
      <c r="EBX47" s="116"/>
      <c r="EBY47" s="116"/>
      <c r="EBZ47" s="116"/>
      <c r="ECA47" s="116"/>
      <c r="ECB47" s="116"/>
      <c r="ECC47" s="116"/>
      <c r="ECD47" s="116"/>
      <c r="ECE47" s="116"/>
      <c r="ECF47" s="116"/>
      <c r="ECG47" s="116"/>
      <c r="ECH47" s="116"/>
      <c r="ECI47" s="116"/>
      <c r="ECJ47" s="116"/>
      <c r="ECK47" s="116"/>
      <c r="ECL47" s="116"/>
      <c r="ECM47" s="116"/>
      <c r="ECN47" s="116"/>
      <c r="ECO47" s="116"/>
      <c r="ECP47" s="116"/>
      <c r="ECQ47" s="116"/>
      <c r="ECR47" s="116"/>
      <c r="ECS47" s="116"/>
      <c r="ECT47" s="116"/>
      <c r="ECU47" s="116"/>
      <c r="ECV47" s="116"/>
      <c r="ECW47" s="116"/>
      <c r="ECX47" s="116"/>
      <c r="ECY47" s="116"/>
      <c r="ECZ47" s="116"/>
      <c r="EDA47" s="116"/>
      <c r="EDB47" s="116"/>
      <c r="EDC47" s="116"/>
      <c r="EDD47" s="116"/>
      <c r="EDE47" s="116"/>
      <c r="EDF47" s="116"/>
      <c r="EDG47" s="116"/>
      <c r="EDH47" s="116"/>
      <c r="EDI47" s="116"/>
      <c r="EDJ47" s="116"/>
      <c r="EDK47" s="116"/>
      <c r="EDL47" s="116"/>
      <c r="EDM47" s="116"/>
      <c r="EDN47" s="116"/>
      <c r="EDO47" s="116"/>
      <c r="EDP47" s="116"/>
      <c r="EDQ47" s="116"/>
      <c r="EDR47" s="116"/>
      <c r="EDS47" s="116"/>
      <c r="EDT47" s="116"/>
      <c r="EDU47" s="116"/>
      <c r="EDV47" s="116"/>
      <c r="EDW47" s="116"/>
      <c r="EDX47" s="116"/>
      <c r="EDY47" s="116"/>
      <c r="EDZ47" s="116"/>
      <c r="EEA47" s="116"/>
      <c r="EEB47" s="116"/>
      <c r="EEC47" s="116"/>
      <c r="EED47" s="116"/>
      <c r="EEE47" s="116"/>
      <c r="EEF47" s="116"/>
      <c r="EEG47" s="116"/>
      <c r="EEH47" s="116"/>
      <c r="EEI47" s="116"/>
      <c r="EEJ47" s="116"/>
      <c r="EEK47" s="116"/>
      <c r="EEL47" s="116"/>
      <c r="EEM47" s="116"/>
      <c r="EEN47" s="116"/>
      <c r="EEO47" s="116"/>
      <c r="EEP47" s="116"/>
      <c r="EEQ47" s="116"/>
      <c r="EER47" s="116"/>
      <c r="EES47" s="116"/>
      <c r="EET47" s="116"/>
      <c r="EEU47" s="116"/>
      <c r="EEV47" s="116"/>
      <c r="EEW47" s="116"/>
      <c r="EEX47" s="116"/>
      <c r="EEY47" s="116"/>
      <c r="EEZ47" s="116"/>
      <c r="EFA47" s="116"/>
      <c r="EFB47" s="116"/>
      <c r="EFC47" s="116"/>
      <c r="EFD47" s="116"/>
      <c r="EFE47" s="116"/>
      <c r="EFF47" s="116"/>
      <c r="EFG47" s="116"/>
      <c r="EFH47" s="116"/>
      <c r="EFI47" s="116"/>
      <c r="EFJ47" s="116"/>
      <c r="EFK47" s="116"/>
      <c r="EFL47" s="116"/>
      <c r="EFM47" s="116"/>
      <c r="EFN47" s="116"/>
      <c r="EFO47" s="116"/>
      <c r="EFP47" s="116"/>
      <c r="EFQ47" s="116"/>
      <c r="EFR47" s="116"/>
      <c r="EFS47" s="116"/>
      <c r="EFT47" s="116"/>
      <c r="EFU47" s="116"/>
      <c r="EFV47" s="116"/>
      <c r="EFW47" s="116"/>
      <c r="EFX47" s="116"/>
      <c r="EFY47" s="116"/>
      <c r="EFZ47" s="116"/>
      <c r="EGA47" s="116"/>
      <c r="EGB47" s="116"/>
      <c r="EGC47" s="116"/>
      <c r="EGD47" s="116"/>
      <c r="EGE47" s="116"/>
      <c r="EGF47" s="116"/>
      <c r="EGG47" s="116"/>
      <c r="EGH47" s="116"/>
      <c r="EGI47" s="116"/>
      <c r="EGJ47" s="116"/>
      <c r="EGK47" s="116"/>
      <c r="EGL47" s="116"/>
      <c r="EGM47" s="116"/>
      <c r="EGN47" s="116"/>
      <c r="EGO47" s="116"/>
      <c r="EGP47" s="116"/>
      <c r="EGQ47" s="116"/>
      <c r="EGR47" s="116"/>
      <c r="EGS47" s="116"/>
      <c r="EGT47" s="116"/>
      <c r="EGU47" s="116"/>
      <c r="EGV47" s="116"/>
      <c r="EGW47" s="116"/>
      <c r="EGX47" s="116"/>
      <c r="EGY47" s="116"/>
      <c r="EGZ47" s="116"/>
      <c r="EHA47" s="116"/>
      <c r="EHB47" s="116"/>
      <c r="EHC47" s="116"/>
      <c r="EHD47" s="116"/>
      <c r="EHE47" s="116"/>
      <c r="EHF47" s="116"/>
      <c r="EHG47" s="116"/>
      <c r="EHH47" s="116"/>
      <c r="EHI47" s="116"/>
      <c r="EHJ47" s="116"/>
      <c r="EHK47" s="116"/>
      <c r="EHL47" s="116"/>
      <c r="EHM47" s="116"/>
      <c r="EHN47" s="116"/>
      <c r="EHO47" s="116"/>
      <c r="EHP47" s="116"/>
      <c r="EHQ47" s="116"/>
      <c r="EHR47" s="116"/>
      <c r="EHS47" s="116"/>
      <c r="EHT47" s="116"/>
      <c r="EHU47" s="116"/>
      <c r="EHV47" s="116"/>
      <c r="EHW47" s="116"/>
      <c r="EHX47" s="116"/>
      <c r="EHY47" s="116"/>
      <c r="EHZ47" s="116"/>
      <c r="EIA47" s="116"/>
      <c r="EIB47" s="116"/>
      <c r="EIC47" s="116"/>
      <c r="EID47" s="116"/>
      <c r="EIE47" s="116"/>
      <c r="EIF47" s="116"/>
      <c r="EIG47" s="116"/>
      <c r="EIH47" s="116"/>
      <c r="EII47" s="116"/>
      <c r="EIJ47" s="116"/>
      <c r="EIK47" s="116"/>
      <c r="EIL47" s="116"/>
      <c r="EIM47" s="116"/>
      <c r="EIN47" s="116"/>
      <c r="EIO47" s="116"/>
      <c r="EIP47" s="116"/>
      <c r="EIQ47" s="116"/>
      <c r="EIR47" s="116"/>
      <c r="EIS47" s="116"/>
      <c r="EIT47" s="116"/>
      <c r="EIU47" s="116"/>
      <c r="EIV47" s="116"/>
      <c r="EIW47" s="116"/>
      <c r="EIX47" s="116"/>
      <c r="EIY47" s="116"/>
      <c r="EIZ47" s="116"/>
      <c r="EJA47" s="116"/>
      <c r="EJB47" s="116"/>
      <c r="EJC47" s="116"/>
      <c r="EJD47" s="116"/>
      <c r="EJE47" s="116"/>
      <c r="EJF47" s="116"/>
      <c r="EJG47" s="116"/>
      <c r="EJH47" s="116"/>
      <c r="EJI47" s="116"/>
      <c r="EJJ47" s="116"/>
      <c r="EJK47" s="116"/>
      <c r="EJL47" s="116"/>
      <c r="EJM47" s="116"/>
      <c r="EJN47" s="116"/>
      <c r="EJO47" s="116"/>
      <c r="EJP47" s="116"/>
      <c r="EJQ47" s="116"/>
      <c r="EJR47" s="116"/>
      <c r="EJS47" s="116"/>
      <c r="EJT47" s="116"/>
      <c r="EJU47" s="116"/>
      <c r="EJV47" s="116"/>
      <c r="EJW47" s="116"/>
      <c r="EJX47" s="116"/>
      <c r="EJY47" s="116"/>
      <c r="EJZ47" s="116"/>
      <c r="EKA47" s="116"/>
      <c r="EKB47" s="116"/>
      <c r="EKC47" s="116"/>
      <c r="EKD47" s="116"/>
      <c r="EKE47" s="116"/>
      <c r="EKF47" s="116"/>
      <c r="EKG47" s="116"/>
      <c r="EKH47" s="116"/>
      <c r="EKI47" s="116"/>
      <c r="EKJ47" s="116"/>
      <c r="EKK47" s="116"/>
      <c r="EKL47" s="116"/>
      <c r="EKM47" s="116"/>
      <c r="EKN47" s="116"/>
      <c r="EKO47" s="116"/>
      <c r="EKP47" s="116"/>
      <c r="EKQ47" s="116"/>
      <c r="EKR47" s="116"/>
      <c r="EKS47" s="116"/>
      <c r="EKT47" s="116"/>
      <c r="EKU47" s="116"/>
      <c r="EKV47" s="116"/>
      <c r="EKW47" s="116"/>
      <c r="EKX47" s="116"/>
      <c r="EKY47" s="116"/>
      <c r="EKZ47" s="116"/>
      <c r="ELA47" s="116"/>
      <c r="ELB47" s="116"/>
      <c r="ELC47" s="116"/>
      <c r="ELD47" s="116"/>
      <c r="ELE47" s="116"/>
      <c r="ELF47" s="116"/>
      <c r="ELG47" s="116"/>
      <c r="ELH47" s="116"/>
      <c r="ELI47" s="116"/>
      <c r="ELJ47" s="116"/>
      <c r="ELK47" s="116"/>
      <c r="ELL47" s="116"/>
      <c r="ELM47" s="116"/>
      <c r="ELN47" s="116"/>
      <c r="ELO47" s="116"/>
      <c r="ELP47" s="116"/>
      <c r="ELQ47" s="116"/>
      <c r="ELR47" s="116"/>
      <c r="ELS47" s="116"/>
      <c r="ELT47" s="116"/>
      <c r="ELU47" s="116"/>
      <c r="ELV47" s="116"/>
      <c r="ELW47" s="116"/>
      <c r="ELX47" s="116"/>
      <c r="ELY47" s="116"/>
      <c r="ELZ47" s="116"/>
      <c r="EMA47" s="116"/>
      <c r="EMB47" s="116"/>
      <c r="EMC47" s="116"/>
      <c r="EMD47" s="116"/>
      <c r="EME47" s="116"/>
      <c r="EMF47" s="116"/>
      <c r="EMG47" s="116"/>
      <c r="EMH47" s="116"/>
      <c r="EMI47" s="116"/>
      <c r="EMJ47" s="116"/>
      <c r="EMK47" s="116"/>
      <c r="EML47" s="116"/>
      <c r="EMM47" s="116"/>
      <c r="EMN47" s="116"/>
      <c r="EMO47" s="116"/>
      <c r="EMP47" s="116"/>
      <c r="EMQ47" s="116"/>
      <c r="EMR47" s="116"/>
      <c r="EMS47" s="116"/>
      <c r="EMT47" s="116"/>
      <c r="EMU47" s="116"/>
      <c r="EMV47" s="116"/>
      <c r="EMW47" s="116"/>
      <c r="EMX47" s="116"/>
      <c r="EMY47" s="116"/>
      <c r="EMZ47" s="116"/>
      <c r="ENA47" s="116"/>
      <c r="ENB47" s="116"/>
      <c r="ENC47" s="116"/>
      <c r="END47" s="116"/>
      <c r="ENE47" s="116"/>
      <c r="ENF47" s="116"/>
      <c r="ENG47" s="116"/>
      <c r="ENH47" s="116"/>
      <c r="ENI47" s="116"/>
      <c r="ENJ47" s="116"/>
      <c r="ENK47" s="116"/>
      <c r="ENL47" s="116"/>
      <c r="ENM47" s="116"/>
      <c r="ENN47" s="116"/>
      <c r="ENO47" s="116"/>
      <c r="ENP47" s="116"/>
      <c r="ENQ47" s="116"/>
      <c r="ENR47" s="116"/>
      <c r="ENS47" s="116"/>
      <c r="ENT47" s="116"/>
      <c r="ENU47" s="116"/>
      <c r="ENV47" s="116"/>
      <c r="ENW47" s="116"/>
      <c r="ENX47" s="116"/>
      <c r="ENY47" s="116"/>
      <c r="ENZ47" s="116"/>
      <c r="EOA47" s="116"/>
      <c r="EOB47" s="116"/>
      <c r="EOC47" s="116"/>
      <c r="EOD47" s="116"/>
      <c r="EOE47" s="116"/>
      <c r="EOF47" s="116"/>
      <c r="EOG47" s="116"/>
      <c r="EOH47" s="116"/>
      <c r="EOI47" s="116"/>
      <c r="EOJ47" s="116"/>
      <c r="EOK47" s="116"/>
      <c r="EOL47" s="116"/>
      <c r="EOM47" s="116"/>
      <c r="EON47" s="116"/>
      <c r="EOO47" s="116"/>
      <c r="EOP47" s="116"/>
      <c r="EOQ47" s="116"/>
      <c r="EOR47" s="116"/>
      <c r="EOS47" s="116"/>
      <c r="EOT47" s="116"/>
      <c r="EOU47" s="116"/>
      <c r="EOV47" s="116"/>
      <c r="EOW47" s="116"/>
      <c r="EOX47" s="116"/>
      <c r="EOY47" s="116"/>
      <c r="EOZ47" s="116"/>
      <c r="EPA47" s="116"/>
      <c r="EPB47" s="116"/>
      <c r="EPC47" s="116"/>
      <c r="EPD47" s="116"/>
      <c r="EPE47" s="116"/>
      <c r="EPF47" s="116"/>
      <c r="EPG47" s="116"/>
      <c r="EPH47" s="116"/>
      <c r="EPI47" s="116"/>
      <c r="EPJ47" s="116"/>
      <c r="EPK47" s="116"/>
      <c r="EPL47" s="116"/>
      <c r="EPM47" s="116"/>
      <c r="EPN47" s="116"/>
      <c r="EPO47" s="116"/>
      <c r="EPP47" s="116"/>
      <c r="EPQ47" s="116"/>
      <c r="EPR47" s="116"/>
      <c r="EPS47" s="116"/>
      <c r="EPT47" s="116"/>
      <c r="EPU47" s="116"/>
      <c r="EPV47" s="116"/>
      <c r="EPW47" s="116"/>
      <c r="EPX47" s="116"/>
      <c r="EPY47" s="116"/>
      <c r="EPZ47" s="116"/>
      <c r="EQA47" s="116"/>
      <c r="EQB47" s="116"/>
      <c r="EQC47" s="116"/>
      <c r="EQD47" s="116"/>
      <c r="EQE47" s="116"/>
      <c r="EQF47" s="116"/>
      <c r="EQG47" s="116"/>
      <c r="EQH47" s="116"/>
      <c r="EQI47" s="116"/>
      <c r="EQJ47" s="116"/>
      <c r="EQK47" s="116"/>
      <c r="EQL47" s="116"/>
      <c r="EQM47" s="116"/>
      <c r="EQN47" s="116"/>
      <c r="EQO47" s="116"/>
      <c r="EQP47" s="116"/>
      <c r="EQQ47" s="116"/>
      <c r="EQR47" s="116"/>
      <c r="EQS47" s="116"/>
      <c r="EQT47" s="116"/>
      <c r="EQU47" s="116"/>
      <c r="EQV47" s="116"/>
      <c r="EQW47" s="116"/>
      <c r="EQX47" s="116"/>
      <c r="EQY47" s="116"/>
      <c r="EQZ47" s="116"/>
      <c r="ERA47" s="116"/>
      <c r="ERB47" s="116"/>
      <c r="ERC47" s="116"/>
      <c r="ERD47" s="116"/>
      <c r="ERE47" s="116"/>
      <c r="ERF47" s="116"/>
      <c r="ERG47" s="116"/>
      <c r="ERH47" s="116"/>
      <c r="ERI47" s="116"/>
      <c r="ERJ47" s="116"/>
      <c r="ERK47" s="116"/>
      <c r="ERL47" s="116"/>
      <c r="ERM47" s="116"/>
      <c r="ERN47" s="116"/>
      <c r="ERO47" s="116"/>
      <c r="ERP47" s="116"/>
      <c r="ERQ47" s="116"/>
      <c r="ERR47" s="116"/>
      <c r="ERS47" s="116"/>
      <c r="ERT47" s="116"/>
      <c r="ERU47" s="116"/>
      <c r="ERV47" s="116"/>
      <c r="ERW47" s="116"/>
      <c r="ERX47" s="116"/>
      <c r="ERY47" s="116"/>
      <c r="ERZ47" s="116"/>
      <c r="ESA47" s="116"/>
      <c r="ESB47" s="116"/>
      <c r="ESC47" s="116"/>
      <c r="ESD47" s="116"/>
      <c r="ESE47" s="116"/>
      <c r="ESF47" s="116"/>
      <c r="ESG47" s="116"/>
      <c r="ESH47" s="116"/>
      <c r="ESI47" s="116"/>
      <c r="ESJ47" s="116"/>
      <c r="ESK47" s="116"/>
      <c r="ESL47" s="116"/>
      <c r="ESM47" s="116"/>
      <c r="ESN47" s="116"/>
      <c r="ESO47" s="116"/>
      <c r="ESP47" s="116"/>
      <c r="ESQ47" s="116"/>
      <c r="ESR47" s="116"/>
      <c r="ESS47" s="116"/>
      <c r="EST47" s="116"/>
      <c r="ESU47" s="116"/>
      <c r="ESV47" s="116"/>
      <c r="ESW47" s="116"/>
      <c r="ESX47" s="116"/>
      <c r="ESY47" s="116"/>
      <c r="ESZ47" s="116"/>
      <c r="ETA47" s="116"/>
      <c r="ETB47" s="116"/>
      <c r="ETC47" s="116"/>
      <c r="ETD47" s="116"/>
      <c r="ETE47" s="116"/>
      <c r="ETF47" s="116"/>
      <c r="ETG47" s="116"/>
      <c r="ETH47" s="116"/>
      <c r="ETI47" s="116"/>
      <c r="ETJ47" s="116"/>
      <c r="ETK47" s="116"/>
      <c r="ETL47" s="116"/>
      <c r="ETM47" s="116"/>
      <c r="ETN47" s="116"/>
      <c r="ETO47" s="116"/>
      <c r="ETP47" s="116"/>
      <c r="ETQ47" s="116"/>
      <c r="ETR47" s="116"/>
      <c r="ETS47" s="116"/>
      <c r="ETT47" s="116"/>
      <c r="ETU47" s="116"/>
      <c r="ETV47" s="116"/>
      <c r="ETW47" s="116"/>
      <c r="ETX47" s="116"/>
      <c r="ETY47" s="116"/>
      <c r="ETZ47" s="116"/>
      <c r="EUA47" s="116"/>
      <c r="EUB47" s="116"/>
      <c r="EUC47" s="116"/>
      <c r="EUD47" s="116"/>
      <c r="EUE47" s="116"/>
      <c r="EUF47" s="116"/>
      <c r="EUG47" s="116"/>
      <c r="EUH47" s="116"/>
      <c r="EUI47" s="116"/>
      <c r="EUJ47" s="116"/>
      <c r="EUK47" s="116"/>
      <c r="EUL47" s="116"/>
      <c r="EUM47" s="116"/>
      <c r="EUN47" s="116"/>
      <c r="EUO47" s="116"/>
      <c r="EUP47" s="116"/>
      <c r="EUQ47" s="116"/>
      <c r="EUR47" s="116"/>
      <c r="EUS47" s="116"/>
      <c r="EUT47" s="116"/>
      <c r="EUU47" s="116"/>
      <c r="EUV47" s="116"/>
      <c r="EUW47" s="116"/>
      <c r="EUX47" s="116"/>
      <c r="EUY47" s="116"/>
      <c r="EUZ47" s="116"/>
      <c r="EVA47" s="116"/>
      <c r="EVB47" s="116"/>
      <c r="EVC47" s="116"/>
      <c r="EVD47" s="116"/>
      <c r="EVE47" s="116"/>
      <c r="EVF47" s="116"/>
      <c r="EVG47" s="116"/>
      <c r="EVH47" s="116"/>
      <c r="EVI47" s="116"/>
      <c r="EVJ47" s="116"/>
      <c r="EVK47" s="116"/>
      <c r="EVL47" s="116"/>
      <c r="EVM47" s="116"/>
      <c r="EVN47" s="116"/>
      <c r="EVO47" s="116"/>
      <c r="EVP47" s="116"/>
      <c r="EVQ47" s="116"/>
      <c r="EVR47" s="116"/>
      <c r="EVS47" s="116"/>
      <c r="EVT47" s="116"/>
      <c r="EVU47" s="116"/>
      <c r="EVV47" s="116"/>
      <c r="EVW47" s="116"/>
      <c r="EVX47" s="116"/>
      <c r="EVY47" s="116"/>
      <c r="EVZ47" s="116"/>
      <c r="EWA47" s="116"/>
      <c r="EWB47" s="116"/>
      <c r="EWC47" s="116"/>
      <c r="EWD47" s="116"/>
      <c r="EWE47" s="116"/>
      <c r="EWF47" s="116"/>
      <c r="EWG47" s="116"/>
      <c r="EWH47" s="116"/>
      <c r="EWI47" s="116"/>
      <c r="EWJ47" s="116"/>
      <c r="EWK47" s="116"/>
      <c r="EWL47" s="116"/>
      <c r="EWM47" s="116"/>
      <c r="EWN47" s="116"/>
      <c r="EWO47" s="116"/>
      <c r="EWP47" s="116"/>
      <c r="EWQ47" s="116"/>
      <c r="EWR47" s="116"/>
      <c r="EWS47" s="116"/>
      <c r="EWT47" s="116"/>
      <c r="EWU47" s="116"/>
      <c r="EWV47" s="116"/>
      <c r="EWW47" s="116"/>
      <c r="EWX47" s="116"/>
      <c r="EWY47" s="116"/>
      <c r="EWZ47" s="116"/>
      <c r="EXA47" s="116"/>
      <c r="EXB47" s="116"/>
      <c r="EXC47" s="116"/>
      <c r="EXD47" s="116"/>
      <c r="EXE47" s="116"/>
      <c r="EXF47" s="116"/>
      <c r="EXG47" s="116"/>
      <c r="EXH47" s="116"/>
      <c r="EXI47" s="116"/>
      <c r="EXJ47" s="116"/>
      <c r="EXK47" s="116"/>
      <c r="EXL47" s="116"/>
      <c r="EXM47" s="116"/>
      <c r="EXN47" s="116"/>
      <c r="EXO47" s="116"/>
      <c r="EXP47" s="116"/>
      <c r="EXQ47" s="116"/>
      <c r="EXR47" s="116"/>
      <c r="EXS47" s="116"/>
      <c r="EXT47" s="116"/>
      <c r="EXU47" s="116"/>
      <c r="EXV47" s="116"/>
      <c r="EXW47" s="116"/>
      <c r="EXX47" s="116"/>
      <c r="EXY47" s="116"/>
      <c r="EXZ47" s="116"/>
      <c r="EYA47" s="116"/>
      <c r="EYB47" s="116"/>
      <c r="EYC47" s="116"/>
      <c r="EYD47" s="116"/>
      <c r="EYE47" s="116"/>
      <c r="EYF47" s="116"/>
      <c r="EYG47" s="116"/>
      <c r="EYH47" s="116"/>
      <c r="EYI47" s="116"/>
      <c r="EYJ47" s="116"/>
      <c r="EYK47" s="116"/>
      <c r="EYL47" s="116"/>
      <c r="EYM47" s="116"/>
      <c r="EYN47" s="116"/>
      <c r="EYO47" s="116"/>
      <c r="EYP47" s="116"/>
      <c r="EYQ47" s="116"/>
      <c r="EYR47" s="116"/>
      <c r="EYS47" s="116"/>
      <c r="EYT47" s="116"/>
      <c r="EYU47" s="116"/>
      <c r="EYV47" s="116"/>
      <c r="EYW47" s="116"/>
      <c r="EYX47" s="116"/>
      <c r="EYY47" s="116"/>
      <c r="EYZ47" s="116"/>
      <c r="EZA47" s="116"/>
      <c r="EZB47" s="116"/>
      <c r="EZC47" s="116"/>
      <c r="EZD47" s="116"/>
      <c r="EZE47" s="116"/>
      <c r="EZF47" s="116"/>
      <c r="EZG47" s="116"/>
      <c r="EZH47" s="116"/>
      <c r="EZI47" s="116"/>
      <c r="EZJ47" s="116"/>
      <c r="EZK47" s="116"/>
      <c r="EZL47" s="116"/>
      <c r="EZM47" s="116"/>
      <c r="EZN47" s="116"/>
      <c r="EZO47" s="116"/>
      <c r="EZP47" s="116"/>
      <c r="EZQ47" s="116"/>
      <c r="EZR47" s="116"/>
      <c r="EZS47" s="116"/>
      <c r="EZT47" s="116"/>
      <c r="EZU47" s="116"/>
      <c r="EZV47" s="116"/>
      <c r="EZW47" s="116"/>
      <c r="EZX47" s="116"/>
      <c r="EZY47" s="116"/>
      <c r="EZZ47" s="116"/>
      <c r="FAA47" s="116"/>
      <c r="FAB47" s="116"/>
      <c r="FAC47" s="116"/>
      <c r="FAD47" s="116"/>
      <c r="FAE47" s="116"/>
      <c r="FAF47" s="116"/>
      <c r="FAG47" s="116"/>
      <c r="FAH47" s="116"/>
      <c r="FAI47" s="116"/>
      <c r="FAJ47" s="116"/>
      <c r="FAK47" s="116"/>
      <c r="FAL47" s="116"/>
      <c r="FAM47" s="116"/>
      <c r="FAN47" s="116"/>
      <c r="FAO47" s="116"/>
      <c r="FAP47" s="116"/>
      <c r="FAQ47" s="116"/>
      <c r="FAR47" s="116"/>
      <c r="FAS47" s="116"/>
      <c r="FAT47" s="116"/>
      <c r="FAU47" s="116"/>
      <c r="FAV47" s="116"/>
      <c r="FAW47" s="116"/>
      <c r="FAX47" s="116"/>
      <c r="FAY47" s="116"/>
      <c r="FAZ47" s="116"/>
      <c r="FBA47" s="116"/>
      <c r="FBB47" s="116"/>
      <c r="FBC47" s="116"/>
      <c r="FBD47" s="116"/>
      <c r="FBE47" s="116"/>
      <c r="FBF47" s="116"/>
      <c r="FBG47" s="116"/>
      <c r="FBH47" s="116"/>
      <c r="FBI47" s="116"/>
      <c r="FBJ47" s="116"/>
      <c r="FBK47" s="116"/>
      <c r="FBL47" s="116"/>
      <c r="FBM47" s="116"/>
      <c r="FBN47" s="116"/>
      <c r="FBO47" s="116"/>
      <c r="FBP47" s="116"/>
      <c r="FBQ47" s="116"/>
      <c r="FBR47" s="116"/>
      <c r="FBS47" s="116"/>
      <c r="FBT47" s="116"/>
      <c r="FBU47" s="116"/>
      <c r="FBV47" s="116"/>
      <c r="FBW47" s="116"/>
      <c r="FBX47" s="116"/>
      <c r="FBY47" s="116"/>
      <c r="FBZ47" s="116"/>
      <c r="FCA47" s="116"/>
      <c r="FCB47" s="116"/>
      <c r="FCC47" s="116"/>
      <c r="FCD47" s="116"/>
      <c r="FCE47" s="116"/>
      <c r="FCF47" s="116"/>
      <c r="FCG47" s="116"/>
      <c r="FCH47" s="116"/>
      <c r="FCI47" s="116"/>
      <c r="FCJ47" s="116"/>
      <c r="FCK47" s="116"/>
      <c r="FCL47" s="116"/>
      <c r="FCM47" s="116"/>
      <c r="FCN47" s="116"/>
      <c r="FCO47" s="116"/>
      <c r="FCP47" s="116"/>
      <c r="FCQ47" s="116"/>
      <c r="FCR47" s="116"/>
      <c r="FCS47" s="116"/>
      <c r="FCT47" s="116"/>
      <c r="FCU47" s="116"/>
      <c r="FCV47" s="116"/>
      <c r="FCW47" s="116"/>
      <c r="FCX47" s="116"/>
      <c r="FCY47" s="116"/>
      <c r="FCZ47" s="116"/>
      <c r="FDA47" s="116"/>
      <c r="FDB47" s="116"/>
      <c r="FDC47" s="116"/>
      <c r="FDD47" s="116"/>
      <c r="FDE47" s="116"/>
      <c r="FDF47" s="116"/>
      <c r="FDG47" s="116"/>
      <c r="FDH47" s="116"/>
      <c r="FDI47" s="116"/>
      <c r="FDJ47" s="116"/>
      <c r="FDK47" s="116"/>
      <c r="FDL47" s="116"/>
      <c r="FDM47" s="116"/>
      <c r="FDN47" s="116"/>
      <c r="FDO47" s="116"/>
      <c r="FDP47" s="116"/>
      <c r="FDQ47" s="116"/>
      <c r="FDR47" s="116"/>
      <c r="FDS47" s="116"/>
      <c r="FDT47" s="116"/>
      <c r="FDU47" s="116"/>
      <c r="FDV47" s="116"/>
      <c r="FDW47" s="116"/>
      <c r="FDX47" s="116"/>
      <c r="FDY47" s="116"/>
      <c r="FDZ47" s="116"/>
      <c r="FEA47" s="116"/>
      <c r="FEB47" s="116"/>
      <c r="FEC47" s="116"/>
      <c r="FED47" s="116"/>
      <c r="FEE47" s="116"/>
      <c r="FEF47" s="116"/>
      <c r="FEG47" s="116"/>
      <c r="FEH47" s="116"/>
      <c r="FEI47" s="116"/>
      <c r="FEJ47" s="116"/>
      <c r="FEK47" s="116"/>
      <c r="FEL47" s="116"/>
      <c r="FEM47" s="116"/>
      <c r="FEN47" s="116"/>
      <c r="FEO47" s="116"/>
      <c r="FEP47" s="116"/>
      <c r="FEQ47" s="116"/>
      <c r="FER47" s="116"/>
      <c r="FES47" s="116"/>
      <c r="FET47" s="116"/>
      <c r="FEU47" s="116"/>
      <c r="FEV47" s="116"/>
      <c r="FEW47" s="116"/>
      <c r="FEX47" s="116"/>
      <c r="FEY47" s="116"/>
      <c r="FEZ47" s="116"/>
      <c r="FFA47" s="116"/>
      <c r="FFB47" s="116"/>
      <c r="FFC47" s="116"/>
      <c r="FFD47" s="116"/>
      <c r="FFE47" s="116"/>
      <c r="FFF47" s="116"/>
      <c r="FFG47" s="116"/>
      <c r="FFH47" s="116"/>
      <c r="FFI47" s="116"/>
      <c r="FFJ47" s="116"/>
      <c r="FFK47" s="116"/>
      <c r="FFL47" s="116"/>
      <c r="FFM47" s="116"/>
      <c r="FFN47" s="116"/>
      <c r="FFO47" s="116"/>
      <c r="FFP47" s="116"/>
      <c r="FFQ47" s="116"/>
      <c r="FFR47" s="116"/>
      <c r="FFS47" s="116"/>
      <c r="FFT47" s="116"/>
      <c r="FFU47" s="116"/>
      <c r="FFV47" s="116"/>
      <c r="FFW47" s="116"/>
      <c r="FFX47" s="116"/>
      <c r="FFY47" s="116"/>
      <c r="FFZ47" s="116"/>
      <c r="FGA47" s="116"/>
      <c r="FGB47" s="116"/>
      <c r="FGC47" s="116"/>
      <c r="FGD47" s="116"/>
      <c r="FGE47" s="116"/>
      <c r="FGF47" s="116"/>
      <c r="FGG47" s="116"/>
      <c r="FGH47" s="116"/>
      <c r="FGI47" s="116"/>
      <c r="FGJ47" s="116"/>
      <c r="FGK47" s="116"/>
      <c r="FGL47" s="116"/>
      <c r="FGM47" s="116"/>
      <c r="FGN47" s="116"/>
      <c r="FGO47" s="116"/>
      <c r="FGP47" s="116"/>
      <c r="FGQ47" s="116"/>
      <c r="FGR47" s="116"/>
      <c r="FGS47" s="116"/>
      <c r="FGT47" s="116"/>
      <c r="FGU47" s="116"/>
      <c r="FGV47" s="116"/>
      <c r="FGW47" s="116"/>
      <c r="FGX47" s="116"/>
      <c r="FGY47" s="116"/>
      <c r="FGZ47" s="116"/>
      <c r="FHA47" s="116"/>
      <c r="FHB47" s="116"/>
      <c r="FHC47" s="116"/>
      <c r="FHD47" s="116"/>
      <c r="FHE47" s="116"/>
      <c r="FHF47" s="116"/>
      <c r="FHG47" s="116"/>
      <c r="FHH47" s="116"/>
      <c r="FHI47" s="116"/>
      <c r="FHJ47" s="116"/>
      <c r="FHK47" s="116"/>
      <c r="FHL47" s="116"/>
      <c r="FHM47" s="116"/>
      <c r="FHN47" s="116"/>
      <c r="FHO47" s="116"/>
      <c r="FHP47" s="116"/>
      <c r="FHQ47" s="116"/>
      <c r="FHR47" s="116"/>
      <c r="FHS47" s="116"/>
      <c r="FHT47" s="116"/>
      <c r="FHU47" s="116"/>
      <c r="FHV47" s="116"/>
      <c r="FHW47" s="116"/>
      <c r="FHX47" s="116"/>
      <c r="FHY47" s="116"/>
      <c r="FHZ47" s="116"/>
      <c r="FIA47" s="116"/>
      <c r="FIB47" s="116"/>
      <c r="FIC47" s="116"/>
      <c r="FID47" s="116"/>
      <c r="FIE47" s="116"/>
      <c r="FIF47" s="116"/>
      <c r="FIG47" s="116"/>
      <c r="FIH47" s="116"/>
      <c r="FII47" s="116"/>
      <c r="FIJ47" s="116"/>
      <c r="FIK47" s="116"/>
      <c r="FIL47" s="116"/>
      <c r="FIM47" s="116"/>
      <c r="FIN47" s="116"/>
      <c r="FIO47" s="116"/>
      <c r="FIP47" s="116"/>
      <c r="FIQ47" s="116"/>
      <c r="FIR47" s="116"/>
      <c r="FIS47" s="116"/>
      <c r="FIT47" s="116"/>
      <c r="FIU47" s="116"/>
      <c r="FIV47" s="116"/>
      <c r="FIW47" s="116"/>
      <c r="FIX47" s="116"/>
      <c r="FIY47" s="116"/>
      <c r="FIZ47" s="116"/>
      <c r="FJA47" s="116"/>
      <c r="FJB47" s="116"/>
      <c r="FJC47" s="116"/>
      <c r="FJD47" s="116"/>
      <c r="FJE47" s="116"/>
      <c r="FJF47" s="116"/>
      <c r="FJG47" s="116"/>
      <c r="FJH47" s="116"/>
      <c r="FJI47" s="116"/>
      <c r="FJJ47" s="116"/>
      <c r="FJK47" s="116"/>
      <c r="FJL47" s="116"/>
      <c r="FJM47" s="116"/>
      <c r="FJN47" s="116"/>
      <c r="FJO47" s="116"/>
      <c r="FJP47" s="116"/>
      <c r="FJQ47" s="116"/>
      <c r="FJR47" s="116"/>
      <c r="FJS47" s="116"/>
      <c r="FJT47" s="116"/>
      <c r="FJU47" s="116"/>
      <c r="FJV47" s="116"/>
      <c r="FJW47" s="116"/>
      <c r="FJX47" s="116"/>
      <c r="FJY47" s="116"/>
      <c r="FJZ47" s="116"/>
      <c r="FKA47" s="116"/>
      <c r="FKB47" s="116"/>
      <c r="FKC47" s="116"/>
      <c r="FKD47" s="116"/>
      <c r="FKE47" s="116"/>
      <c r="FKF47" s="116"/>
      <c r="FKG47" s="116"/>
      <c r="FKH47" s="116"/>
      <c r="FKI47" s="116"/>
      <c r="FKJ47" s="116"/>
      <c r="FKK47" s="116"/>
      <c r="FKL47" s="116"/>
      <c r="FKM47" s="116"/>
      <c r="FKN47" s="116"/>
      <c r="FKO47" s="116"/>
      <c r="FKP47" s="116"/>
      <c r="FKQ47" s="116"/>
      <c r="FKR47" s="116"/>
      <c r="FKS47" s="116"/>
      <c r="FKT47" s="116"/>
      <c r="FKU47" s="116"/>
      <c r="FKV47" s="116"/>
      <c r="FKW47" s="116"/>
      <c r="FKX47" s="116"/>
      <c r="FKY47" s="116"/>
      <c r="FKZ47" s="116"/>
      <c r="FLA47" s="116"/>
      <c r="FLB47" s="116"/>
      <c r="FLC47" s="116"/>
      <c r="FLD47" s="116"/>
      <c r="FLE47" s="116"/>
      <c r="FLF47" s="116"/>
      <c r="FLG47" s="116"/>
      <c r="FLH47" s="116"/>
      <c r="FLI47" s="116"/>
      <c r="FLJ47" s="116"/>
      <c r="FLK47" s="116"/>
      <c r="FLL47" s="116"/>
      <c r="FLM47" s="116"/>
      <c r="FLN47" s="116"/>
      <c r="FLO47" s="116"/>
      <c r="FLP47" s="116"/>
      <c r="FLQ47" s="116"/>
      <c r="FLR47" s="116"/>
      <c r="FLS47" s="116"/>
      <c r="FLT47" s="116"/>
      <c r="FLU47" s="116"/>
      <c r="FLV47" s="116"/>
      <c r="FLW47" s="116"/>
      <c r="FLX47" s="116"/>
      <c r="FLY47" s="116"/>
      <c r="FLZ47" s="116"/>
      <c r="FMA47" s="116"/>
      <c r="FMB47" s="116"/>
      <c r="FMC47" s="116"/>
      <c r="FMD47" s="116"/>
      <c r="FME47" s="116"/>
      <c r="FMF47" s="116"/>
      <c r="FMG47" s="116"/>
      <c r="FMH47" s="116"/>
      <c r="FMI47" s="116"/>
      <c r="FMJ47" s="116"/>
      <c r="FMK47" s="116"/>
      <c r="FML47" s="116"/>
      <c r="FMM47" s="116"/>
      <c r="FMN47" s="116"/>
      <c r="FMO47" s="116"/>
      <c r="FMP47" s="116"/>
      <c r="FMQ47" s="116"/>
      <c r="FMR47" s="116"/>
      <c r="FMS47" s="116"/>
      <c r="FMT47" s="116"/>
      <c r="FMU47" s="116"/>
      <c r="FMV47" s="116"/>
      <c r="FMW47" s="116"/>
      <c r="FMX47" s="116"/>
      <c r="FMY47" s="116"/>
      <c r="FMZ47" s="116"/>
      <c r="FNA47" s="116"/>
      <c r="FNB47" s="116"/>
      <c r="FNC47" s="116"/>
      <c r="FND47" s="116"/>
      <c r="FNE47" s="116"/>
      <c r="FNF47" s="116"/>
      <c r="FNG47" s="116"/>
      <c r="FNH47" s="116"/>
      <c r="FNI47" s="116"/>
      <c r="FNJ47" s="116"/>
      <c r="FNK47" s="116"/>
      <c r="FNL47" s="116"/>
      <c r="FNM47" s="116"/>
      <c r="FNN47" s="116"/>
      <c r="FNO47" s="116"/>
      <c r="FNP47" s="116"/>
      <c r="FNQ47" s="116"/>
      <c r="FNR47" s="116"/>
      <c r="FNS47" s="116"/>
      <c r="FNT47" s="116"/>
      <c r="FNU47" s="116"/>
      <c r="FNV47" s="116"/>
      <c r="FNW47" s="116"/>
      <c r="FNX47" s="116"/>
      <c r="FNY47" s="116"/>
      <c r="FNZ47" s="116"/>
      <c r="FOA47" s="116"/>
      <c r="FOB47" s="116"/>
      <c r="FOC47" s="116"/>
      <c r="FOD47" s="116"/>
      <c r="FOE47" s="116"/>
      <c r="FOF47" s="116"/>
      <c r="FOG47" s="116"/>
      <c r="FOH47" s="116"/>
      <c r="FOI47" s="116"/>
      <c r="FOJ47" s="116"/>
      <c r="FOK47" s="116"/>
      <c r="FOL47" s="116"/>
      <c r="FOM47" s="116"/>
      <c r="FON47" s="116"/>
      <c r="FOO47" s="116"/>
      <c r="FOP47" s="116"/>
      <c r="FOQ47" s="116"/>
      <c r="FOR47" s="116"/>
      <c r="FOS47" s="116"/>
      <c r="FOT47" s="116"/>
      <c r="FOU47" s="116"/>
      <c r="FOV47" s="116"/>
      <c r="FOW47" s="116"/>
      <c r="FOX47" s="116"/>
      <c r="FOY47" s="116"/>
      <c r="FOZ47" s="116"/>
      <c r="FPA47" s="116"/>
      <c r="FPB47" s="116"/>
      <c r="FPC47" s="116"/>
      <c r="FPD47" s="116"/>
      <c r="FPE47" s="116"/>
      <c r="FPF47" s="116"/>
      <c r="FPG47" s="116"/>
      <c r="FPH47" s="116"/>
      <c r="FPI47" s="116"/>
      <c r="FPJ47" s="116"/>
      <c r="FPK47" s="116"/>
      <c r="FPL47" s="116"/>
      <c r="FPM47" s="116"/>
      <c r="FPN47" s="116"/>
      <c r="FPO47" s="116"/>
      <c r="FPP47" s="116"/>
      <c r="FPQ47" s="116"/>
      <c r="FPR47" s="116"/>
      <c r="FPS47" s="116"/>
      <c r="FPT47" s="116"/>
      <c r="FPU47" s="116"/>
      <c r="FPV47" s="116"/>
      <c r="FPW47" s="116"/>
      <c r="FPX47" s="116"/>
      <c r="FPY47" s="116"/>
      <c r="FPZ47" s="116"/>
      <c r="FQA47" s="116"/>
      <c r="FQB47" s="116"/>
      <c r="FQC47" s="116"/>
      <c r="FQD47" s="116"/>
      <c r="FQE47" s="116"/>
      <c r="FQF47" s="116"/>
      <c r="FQG47" s="116"/>
      <c r="FQH47" s="116"/>
      <c r="FQI47" s="116"/>
      <c r="FQJ47" s="116"/>
      <c r="FQK47" s="116"/>
      <c r="FQL47" s="116"/>
      <c r="FQM47" s="116"/>
      <c r="FQN47" s="116"/>
      <c r="FQO47" s="116"/>
      <c r="FQP47" s="116"/>
      <c r="FQQ47" s="116"/>
      <c r="FQR47" s="116"/>
      <c r="FQS47" s="116"/>
      <c r="FQT47" s="116"/>
      <c r="FQU47" s="116"/>
      <c r="FQV47" s="116"/>
      <c r="FQW47" s="116"/>
      <c r="FQX47" s="116"/>
      <c r="FQY47" s="116"/>
      <c r="FQZ47" s="116"/>
      <c r="FRA47" s="116"/>
      <c r="FRB47" s="116"/>
      <c r="FRC47" s="116"/>
      <c r="FRD47" s="116"/>
      <c r="FRE47" s="116"/>
      <c r="FRF47" s="116"/>
      <c r="FRG47" s="116"/>
      <c r="FRH47" s="116"/>
      <c r="FRI47" s="116"/>
      <c r="FRJ47" s="116"/>
      <c r="FRK47" s="116"/>
      <c r="FRL47" s="116"/>
      <c r="FRM47" s="116"/>
      <c r="FRN47" s="116"/>
      <c r="FRO47" s="116"/>
      <c r="FRP47" s="116"/>
      <c r="FRQ47" s="116"/>
      <c r="FRR47" s="116"/>
      <c r="FRS47" s="116"/>
      <c r="FRT47" s="116"/>
      <c r="FRU47" s="116"/>
      <c r="FRV47" s="116"/>
      <c r="FRW47" s="116"/>
      <c r="FRX47" s="116"/>
      <c r="FRY47" s="116"/>
      <c r="FRZ47" s="116"/>
      <c r="FSA47" s="116"/>
      <c r="FSB47" s="116"/>
      <c r="FSC47" s="116"/>
      <c r="FSD47" s="116"/>
      <c r="FSE47" s="116"/>
      <c r="FSF47" s="116"/>
      <c r="FSG47" s="116"/>
      <c r="FSH47" s="116"/>
      <c r="FSI47" s="116"/>
      <c r="FSJ47" s="116"/>
      <c r="FSK47" s="116"/>
      <c r="FSL47" s="116"/>
      <c r="FSM47" s="116"/>
      <c r="FSN47" s="116"/>
      <c r="FSO47" s="116"/>
      <c r="FSP47" s="116"/>
      <c r="FSQ47" s="116"/>
      <c r="FSR47" s="116"/>
      <c r="FSS47" s="116"/>
      <c r="FST47" s="116"/>
      <c r="FSU47" s="116"/>
      <c r="FSV47" s="116"/>
      <c r="FSW47" s="116"/>
      <c r="FSX47" s="116"/>
      <c r="FSY47" s="116"/>
      <c r="FSZ47" s="116"/>
      <c r="FTA47" s="116"/>
      <c r="FTB47" s="116"/>
      <c r="FTC47" s="116"/>
      <c r="FTD47" s="116"/>
      <c r="FTE47" s="116"/>
      <c r="FTF47" s="116"/>
      <c r="FTG47" s="116"/>
      <c r="FTH47" s="116"/>
      <c r="FTI47" s="116"/>
      <c r="FTJ47" s="116"/>
      <c r="FTK47" s="116"/>
      <c r="FTL47" s="116"/>
      <c r="FTM47" s="116"/>
      <c r="FTN47" s="116"/>
      <c r="FTO47" s="116"/>
      <c r="FTP47" s="116"/>
      <c r="FTQ47" s="116"/>
      <c r="FTR47" s="116"/>
      <c r="FTS47" s="116"/>
      <c r="FTT47" s="116"/>
      <c r="FTU47" s="116"/>
      <c r="FTV47" s="116"/>
      <c r="FTW47" s="116"/>
      <c r="FTX47" s="116"/>
      <c r="FTY47" s="116"/>
      <c r="FTZ47" s="116"/>
      <c r="FUA47" s="116"/>
      <c r="FUB47" s="116"/>
      <c r="FUC47" s="116"/>
      <c r="FUD47" s="116"/>
      <c r="FUE47" s="116"/>
      <c r="FUF47" s="116"/>
      <c r="FUG47" s="116"/>
      <c r="FUH47" s="116"/>
      <c r="FUI47" s="116"/>
      <c r="FUJ47" s="116"/>
      <c r="FUK47" s="116"/>
      <c r="FUL47" s="116"/>
      <c r="FUM47" s="116"/>
      <c r="FUN47" s="116"/>
      <c r="FUO47" s="116"/>
      <c r="FUP47" s="116"/>
      <c r="FUQ47" s="116"/>
      <c r="FUR47" s="116"/>
      <c r="FUS47" s="116"/>
      <c r="FUT47" s="116"/>
      <c r="FUU47" s="116"/>
      <c r="FUV47" s="116"/>
      <c r="FUW47" s="116"/>
      <c r="FUX47" s="116"/>
      <c r="FUY47" s="116"/>
      <c r="FUZ47" s="116"/>
      <c r="FVA47" s="116"/>
      <c r="FVB47" s="116"/>
      <c r="FVC47" s="116"/>
      <c r="FVD47" s="116"/>
      <c r="FVE47" s="116"/>
      <c r="FVF47" s="116"/>
      <c r="FVG47" s="116"/>
      <c r="FVH47" s="116"/>
      <c r="FVI47" s="116"/>
      <c r="FVJ47" s="116"/>
      <c r="FVK47" s="116"/>
      <c r="FVL47" s="116"/>
      <c r="FVM47" s="116"/>
      <c r="FVN47" s="116"/>
      <c r="FVO47" s="116"/>
      <c r="FVP47" s="116"/>
      <c r="FVQ47" s="116"/>
      <c r="FVR47" s="116"/>
      <c r="FVS47" s="116"/>
      <c r="FVT47" s="116"/>
      <c r="FVU47" s="116"/>
      <c r="FVV47" s="116"/>
      <c r="FVW47" s="116"/>
      <c r="FVX47" s="116"/>
      <c r="FVY47" s="116"/>
      <c r="FVZ47" s="116"/>
      <c r="FWA47" s="116"/>
      <c r="FWB47" s="116"/>
      <c r="FWC47" s="116"/>
      <c r="FWD47" s="116"/>
      <c r="FWE47" s="116"/>
      <c r="FWF47" s="116"/>
      <c r="FWG47" s="116"/>
      <c r="FWH47" s="116"/>
      <c r="FWI47" s="116"/>
      <c r="FWJ47" s="116"/>
      <c r="FWK47" s="116"/>
      <c r="FWL47" s="116"/>
      <c r="FWM47" s="116"/>
      <c r="FWN47" s="116"/>
      <c r="FWO47" s="116"/>
      <c r="FWP47" s="116"/>
      <c r="FWQ47" s="116"/>
      <c r="FWR47" s="116"/>
      <c r="FWS47" s="116"/>
      <c r="FWT47" s="116"/>
      <c r="FWU47" s="116"/>
      <c r="FWV47" s="116"/>
      <c r="FWW47" s="116"/>
      <c r="FWX47" s="116"/>
      <c r="FWY47" s="116"/>
      <c r="FWZ47" s="116"/>
      <c r="FXA47" s="116"/>
      <c r="FXB47" s="116"/>
      <c r="FXC47" s="116"/>
      <c r="FXD47" s="116"/>
      <c r="FXE47" s="116"/>
      <c r="FXF47" s="116"/>
      <c r="FXG47" s="116"/>
      <c r="FXH47" s="116"/>
      <c r="FXI47" s="116"/>
      <c r="FXJ47" s="116"/>
      <c r="FXK47" s="116"/>
      <c r="FXL47" s="116"/>
      <c r="FXM47" s="116"/>
      <c r="FXN47" s="116"/>
      <c r="FXO47" s="116"/>
      <c r="FXP47" s="116"/>
      <c r="FXQ47" s="116"/>
      <c r="FXR47" s="116"/>
      <c r="FXS47" s="116"/>
      <c r="FXT47" s="116"/>
      <c r="FXU47" s="116"/>
      <c r="FXV47" s="116"/>
      <c r="FXW47" s="116"/>
      <c r="FXX47" s="116"/>
      <c r="FXY47" s="116"/>
      <c r="FXZ47" s="116"/>
      <c r="FYA47" s="116"/>
      <c r="FYB47" s="116"/>
      <c r="FYC47" s="116"/>
      <c r="FYD47" s="116"/>
      <c r="FYE47" s="116"/>
      <c r="FYF47" s="116"/>
      <c r="FYG47" s="116"/>
      <c r="FYH47" s="116"/>
      <c r="FYI47" s="116"/>
      <c r="FYJ47" s="116"/>
      <c r="FYK47" s="116"/>
      <c r="FYL47" s="116"/>
      <c r="FYM47" s="116"/>
      <c r="FYN47" s="116"/>
      <c r="FYO47" s="116"/>
      <c r="FYP47" s="116"/>
      <c r="FYQ47" s="116"/>
      <c r="FYR47" s="116"/>
      <c r="FYS47" s="116"/>
      <c r="FYT47" s="116"/>
      <c r="FYU47" s="116"/>
      <c r="FYV47" s="116"/>
      <c r="FYW47" s="116"/>
      <c r="FYX47" s="116"/>
      <c r="FYY47" s="116"/>
      <c r="FYZ47" s="116"/>
      <c r="FZA47" s="116"/>
      <c r="FZB47" s="116"/>
      <c r="FZC47" s="116"/>
      <c r="FZD47" s="116"/>
      <c r="FZE47" s="116"/>
      <c r="FZF47" s="116"/>
      <c r="FZG47" s="116"/>
      <c r="FZH47" s="116"/>
      <c r="FZI47" s="116"/>
      <c r="FZJ47" s="116"/>
      <c r="FZK47" s="116"/>
      <c r="FZL47" s="116"/>
      <c r="FZM47" s="116"/>
      <c r="FZN47" s="116"/>
      <c r="FZO47" s="116"/>
      <c r="FZP47" s="116"/>
      <c r="FZQ47" s="116"/>
      <c r="FZR47" s="116"/>
      <c r="FZS47" s="116"/>
      <c r="FZT47" s="116"/>
      <c r="FZU47" s="116"/>
      <c r="FZV47" s="116"/>
      <c r="FZW47" s="116"/>
      <c r="FZX47" s="116"/>
      <c r="FZY47" s="116"/>
      <c r="FZZ47" s="116"/>
      <c r="GAA47" s="116"/>
      <c r="GAB47" s="116"/>
      <c r="GAC47" s="116"/>
      <c r="GAD47" s="116"/>
      <c r="GAE47" s="116"/>
      <c r="GAF47" s="116"/>
      <c r="GAG47" s="116"/>
      <c r="GAH47" s="116"/>
      <c r="GAI47" s="116"/>
      <c r="GAJ47" s="116"/>
      <c r="GAK47" s="116"/>
      <c r="GAL47" s="116"/>
      <c r="GAM47" s="116"/>
      <c r="GAN47" s="116"/>
      <c r="GAO47" s="116"/>
      <c r="GAP47" s="116"/>
      <c r="GAQ47" s="116"/>
      <c r="GAR47" s="116"/>
      <c r="GAS47" s="116"/>
      <c r="GAT47" s="116"/>
      <c r="GAU47" s="116"/>
      <c r="GAV47" s="116"/>
      <c r="GAW47" s="116"/>
      <c r="GAX47" s="116"/>
      <c r="GAY47" s="116"/>
      <c r="GAZ47" s="116"/>
      <c r="GBA47" s="116"/>
      <c r="GBB47" s="116"/>
      <c r="GBC47" s="116"/>
      <c r="GBD47" s="116"/>
      <c r="GBE47" s="116"/>
      <c r="GBF47" s="116"/>
      <c r="GBG47" s="116"/>
      <c r="GBH47" s="116"/>
      <c r="GBI47" s="116"/>
      <c r="GBJ47" s="116"/>
      <c r="GBK47" s="116"/>
      <c r="GBL47" s="116"/>
      <c r="GBM47" s="116"/>
      <c r="GBN47" s="116"/>
      <c r="GBO47" s="116"/>
      <c r="GBP47" s="116"/>
      <c r="GBQ47" s="116"/>
      <c r="GBR47" s="116"/>
      <c r="GBS47" s="116"/>
      <c r="GBT47" s="116"/>
      <c r="GBU47" s="116"/>
      <c r="GBV47" s="116"/>
      <c r="GBW47" s="116"/>
      <c r="GBX47" s="116"/>
      <c r="GBY47" s="116"/>
      <c r="GBZ47" s="116"/>
      <c r="GCA47" s="116"/>
      <c r="GCB47" s="116"/>
      <c r="GCC47" s="116"/>
      <c r="GCD47" s="116"/>
      <c r="GCE47" s="116"/>
      <c r="GCF47" s="116"/>
      <c r="GCG47" s="116"/>
      <c r="GCH47" s="116"/>
      <c r="GCI47" s="116"/>
      <c r="GCJ47" s="116"/>
      <c r="GCK47" s="116"/>
      <c r="GCL47" s="116"/>
      <c r="GCM47" s="116"/>
      <c r="GCN47" s="116"/>
      <c r="GCO47" s="116"/>
      <c r="GCP47" s="116"/>
      <c r="GCQ47" s="116"/>
      <c r="GCR47" s="116"/>
      <c r="GCS47" s="116"/>
      <c r="GCT47" s="116"/>
      <c r="GCU47" s="116"/>
      <c r="GCV47" s="116"/>
      <c r="GCW47" s="116"/>
      <c r="GCX47" s="116"/>
      <c r="GCY47" s="116"/>
      <c r="GCZ47" s="116"/>
      <c r="GDA47" s="116"/>
      <c r="GDB47" s="116"/>
      <c r="GDC47" s="116"/>
      <c r="GDD47" s="116"/>
      <c r="GDE47" s="116"/>
      <c r="GDF47" s="116"/>
      <c r="GDG47" s="116"/>
      <c r="GDH47" s="116"/>
      <c r="GDI47" s="116"/>
      <c r="GDJ47" s="116"/>
      <c r="GDK47" s="116"/>
      <c r="GDL47" s="116"/>
      <c r="GDM47" s="116"/>
      <c r="GDN47" s="116"/>
      <c r="GDO47" s="116"/>
      <c r="GDP47" s="116"/>
      <c r="GDQ47" s="116"/>
      <c r="GDR47" s="116"/>
      <c r="GDS47" s="116"/>
      <c r="GDT47" s="116"/>
      <c r="GDU47" s="116"/>
      <c r="GDV47" s="116"/>
      <c r="GDW47" s="116"/>
      <c r="GDX47" s="116"/>
      <c r="GDY47" s="116"/>
      <c r="GDZ47" s="116"/>
      <c r="GEA47" s="116"/>
      <c r="GEB47" s="116"/>
      <c r="GEC47" s="116"/>
      <c r="GED47" s="116"/>
      <c r="GEE47" s="116"/>
      <c r="GEF47" s="116"/>
      <c r="GEG47" s="116"/>
      <c r="GEH47" s="116"/>
      <c r="GEI47" s="116"/>
      <c r="GEJ47" s="116"/>
      <c r="GEK47" s="116"/>
      <c r="GEL47" s="116"/>
      <c r="GEM47" s="116"/>
      <c r="GEN47" s="116"/>
      <c r="GEO47" s="116"/>
      <c r="GEP47" s="116"/>
      <c r="GEQ47" s="116"/>
      <c r="GER47" s="116"/>
      <c r="GES47" s="116"/>
      <c r="GET47" s="116"/>
      <c r="GEU47" s="116"/>
      <c r="GEV47" s="116"/>
      <c r="GEW47" s="116"/>
      <c r="GEX47" s="116"/>
      <c r="GEY47" s="116"/>
      <c r="GEZ47" s="116"/>
      <c r="GFA47" s="116"/>
      <c r="GFB47" s="116"/>
      <c r="GFC47" s="116"/>
      <c r="GFD47" s="116"/>
      <c r="GFE47" s="116"/>
      <c r="GFF47" s="116"/>
      <c r="GFG47" s="116"/>
      <c r="GFH47" s="116"/>
      <c r="GFI47" s="116"/>
      <c r="GFJ47" s="116"/>
      <c r="GFK47" s="116"/>
      <c r="GFL47" s="116"/>
      <c r="GFM47" s="116"/>
      <c r="GFN47" s="116"/>
      <c r="GFO47" s="116"/>
      <c r="GFP47" s="116"/>
      <c r="GFQ47" s="116"/>
      <c r="GFR47" s="116"/>
      <c r="GFS47" s="116"/>
      <c r="GFT47" s="116"/>
      <c r="GFU47" s="116"/>
      <c r="GFV47" s="116"/>
      <c r="GFW47" s="116"/>
      <c r="GFX47" s="116"/>
      <c r="GFY47" s="116"/>
      <c r="GFZ47" s="116"/>
      <c r="GGA47" s="116"/>
      <c r="GGB47" s="116"/>
      <c r="GGC47" s="116"/>
      <c r="GGD47" s="116"/>
      <c r="GGE47" s="116"/>
      <c r="GGF47" s="116"/>
      <c r="GGG47" s="116"/>
      <c r="GGH47" s="116"/>
      <c r="GGI47" s="116"/>
      <c r="GGJ47" s="116"/>
      <c r="GGK47" s="116"/>
      <c r="GGL47" s="116"/>
      <c r="GGM47" s="116"/>
      <c r="GGN47" s="116"/>
      <c r="GGO47" s="116"/>
      <c r="GGP47" s="116"/>
      <c r="GGQ47" s="116"/>
      <c r="GGR47" s="116"/>
      <c r="GGS47" s="116"/>
      <c r="GGT47" s="116"/>
      <c r="GGU47" s="116"/>
      <c r="GGV47" s="116"/>
      <c r="GGW47" s="116"/>
      <c r="GGX47" s="116"/>
      <c r="GGY47" s="116"/>
      <c r="GGZ47" s="116"/>
      <c r="GHA47" s="116"/>
      <c r="GHB47" s="116"/>
      <c r="GHC47" s="116"/>
      <c r="GHD47" s="116"/>
      <c r="GHE47" s="116"/>
      <c r="GHF47" s="116"/>
      <c r="GHG47" s="116"/>
      <c r="GHH47" s="116"/>
      <c r="GHI47" s="116"/>
      <c r="GHJ47" s="116"/>
      <c r="GHK47" s="116"/>
      <c r="GHL47" s="116"/>
      <c r="GHM47" s="116"/>
      <c r="GHN47" s="116"/>
      <c r="GHO47" s="116"/>
      <c r="GHP47" s="116"/>
      <c r="GHQ47" s="116"/>
      <c r="GHR47" s="116"/>
      <c r="GHS47" s="116"/>
      <c r="GHT47" s="116"/>
      <c r="GHU47" s="116"/>
      <c r="GHV47" s="116"/>
      <c r="GHW47" s="116"/>
      <c r="GHX47" s="116"/>
      <c r="GHY47" s="116"/>
      <c r="GHZ47" s="116"/>
      <c r="GIA47" s="116"/>
      <c r="GIB47" s="116"/>
      <c r="GIC47" s="116"/>
      <c r="GID47" s="116"/>
      <c r="GIE47" s="116"/>
      <c r="GIF47" s="116"/>
      <c r="GIG47" s="116"/>
      <c r="GIH47" s="116"/>
      <c r="GII47" s="116"/>
      <c r="GIJ47" s="116"/>
      <c r="GIK47" s="116"/>
      <c r="GIL47" s="116"/>
      <c r="GIM47" s="116"/>
      <c r="GIN47" s="116"/>
      <c r="GIO47" s="116"/>
      <c r="GIP47" s="116"/>
      <c r="GIQ47" s="116"/>
      <c r="GIR47" s="116"/>
      <c r="GIS47" s="116"/>
      <c r="GIT47" s="116"/>
      <c r="GIU47" s="116"/>
      <c r="GIV47" s="116"/>
      <c r="GIW47" s="116"/>
      <c r="GIX47" s="116"/>
      <c r="GIY47" s="116"/>
      <c r="GIZ47" s="116"/>
      <c r="GJA47" s="116"/>
      <c r="GJB47" s="116"/>
      <c r="GJC47" s="116"/>
      <c r="GJD47" s="116"/>
      <c r="GJE47" s="116"/>
      <c r="GJF47" s="116"/>
      <c r="GJG47" s="116"/>
      <c r="GJH47" s="116"/>
      <c r="GJI47" s="116"/>
      <c r="GJJ47" s="116"/>
      <c r="GJK47" s="116"/>
      <c r="GJL47" s="116"/>
      <c r="GJM47" s="116"/>
      <c r="GJN47" s="116"/>
      <c r="GJO47" s="116"/>
      <c r="GJP47" s="116"/>
      <c r="GJQ47" s="116"/>
      <c r="GJR47" s="116"/>
      <c r="GJS47" s="116"/>
      <c r="GJT47" s="116"/>
      <c r="GJU47" s="116"/>
      <c r="GJV47" s="116"/>
      <c r="GJW47" s="116"/>
      <c r="GJX47" s="116"/>
      <c r="GJY47" s="116"/>
      <c r="GJZ47" s="116"/>
      <c r="GKA47" s="116"/>
      <c r="GKB47" s="116"/>
      <c r="GKC47" s="116"/>
      <c r="GKD47" s="116"/>
      <c r="GKE47" s="116"/>
      <c r="GKF47" s="116"/>
      <c r="GKG47" s="116"/>
      <c r="GKH47" s="116"/>
      <c r="GKI47" s="116"/>
      <c r="GKJ47" s="116"/>
      <c r="GKK47" s="116"/>
      <c r="GKL47" s="116"/>
      <c r="GKM47" s="116"/>
      <c r="GKN47" s="116"/>
      <c r="GKO47" s="116"/>
      <c r="GKP47" s="116"/>
      <c r="GKQ47" s="116"/>
      <c r="GKR47" s="116"/>
      <c r="GKS47" s="116"/>
      <c r="GKT47" s="116"/>
      <c r="GKU47" s="116"/>
      <c r="GKV47" s="116"/>
      <c r="GKW47" s="116"/>
      <c r="GKX47" s="116"/>
      <c r="GKY47" s="116"/>
      <c r="GKZ47" s="116"/>
      <c r="GLA47" s="116"/>
      <c r="GLB47" s="116"/>
      <c r="GLC47" s="116"/>
      <c r="GLD47" s="116"/>
      <c r="GLE47" s="116"/>
      <c r="GLF47" s="116"/>
      <c r="GLG47" s="116"/>
      <c r="GLH47" s="116"/>
      <c r="GLI47" s="116"/>
      <c r="GLJ47" s="116"/>
      <c r="GLK47" s="116"/>
      <c r="GLL47" s="116"/>
      <c r="GLM47" s="116"/>
      <c r="GLN47" s="116"/>
      <c r="GLO47" s="116"/>
      <c r="GLP47" s="116"/>
      <c r="GLQ47" s="116"/>
      <c r="GLR47" s="116"/>
      <c r="GLS47" s="116"/>
      <c r="GLT47" s="116"/>
      <c r="GLU47" s="116"/>
      <c r="GLV47" s="116"/>
      <c r="GLW47" s="116"/>
      <c r="GLX47" s="116"/>
      <c r="GLY47" s="116"/>
      <c r="GLZ47" s="116"/>
      <c r="GMA47" s="116"/>
      <c r="GMB47" s="116"/>
      <c r="GMC47" s="116"/>
      <c r="GMD47" s="116"/>
      <c r="GME47" s="116"/>
      <c r="GMF47" s="116"/>
      <c r="GMG47" s="116"/>
      <c r="GMH47" s="116"/>
      <c r="GMI47" s="116"/>
      <c r="GMJ47" s="116"/>
      <c r="GMK47" s="116"/>
      <c r="GML47" s="116"/>
      <c r="GMM47" s="116"/>
      <c r="GMN47" s="116"/>
      <c r="GMO47" s="116"/>
      <c r="GMP47" s="116"/>
      <c r="GMQ47" s="116"/>
      <c r="GMR47" s="116"/>
      <c r="GMS47" s="116"/>
      <c r="GMT47" s="116"/>
      <c r="GMU47" s="116"/>
      <c r="GMV47" s="116"/>
      <c r="GMW47" s="116"/>
      <c r="GMX47" s="116"/>
      <c r="GMY47" s="116"/>
      <c r="GMZ47" s="116"/>
      <c r="GNA47" s="116"/>
      <c r="GNB47" s="116"/>
      <c r="GNC47" s="116"/>
      <c r="GND47" s="116"/>
      <c r="GNE47" s="116"/>
      <c r="GNF47" s="116"/>
      <c r="GNG47" s="116"/>
      <c r="GNH47" s="116"/>
      <c r="GNI47" s="116"/>
      <c r="GNJ47" s="116"/>
      <c r="GNK47" s="116"/>
      <c r="GNL47" s="116"/>
      <c r="GNM47" s="116"/>
      <c r="GNN47" s="116"/>
      <c r="GNO47" s="116"/>
      <c r="GNP47" s="116"/>
      <c r="GNQ47" s="116"/>
      <c r="GNR47" s="116"/>
      <c r="GNS47" s="116"/>
      <c r="GNT47" s="116"/>
      <c r="GNU47" s="116"/>
      <c r="GNV47" s="116"/>
      <c r="GNW47" s="116"/>
      <c r="GNX47" s="116"/>
      <c r="GNY47" s="116"/>
      <c r="GNZ47" s="116"/>
      <c r="GOA47" s="116"/>
      <c r="GOB47" s="116"/>
      <c r="GOC47" s="116"/>
      <c r="GOD47" s="116"/>
      <c r="GOE47" s="116"/>
      <c r="GOF47" s="116"/>
      <c r="GOG47" s="116"/>
      <c r="GOH47" s="116"/>
      <c r="GOI47" s="116"/>
      <c r="GOJ47" s="116"/>
      <c r="GOK47" s="116"/>
      <c r="GOL47" s="116"/>
      <c r="GOM47" s="116"/>
      <c r="GON47" s="116"/>
      <c r="GOO47" s="116"/>
      <c r="GOP47" s="116"/>
      <c r="GOQ47" s="116"/>
      <c r="GOR47" s="116"/>
      <c r="GOS47" s="116"/>
      <c r="GOT47" s="116"/>
      <c r="GOU47" s="116"/>
      <c r="GOV47" s="116"/>
      <c r="GOW47" s="116"/>
      <c r="GOX47" s="116"/>
      <c r="GOY47" s="116"/>
      <c r="GOZ47" s="116"/>
      <c r="GPA47" s="116"/>
      <c r="GPB47" s="116"/>
      <c r="GPC47" s="116"/>
      <c r="GPD47" s="116"/>
      <c r="GPE47" s="116"/>
      <c r="GPF47" s="116"/>
      <c r="GPG47" s="116"/>
      <c r="GPH47" s="116"/>
      <c r="GPI47" s="116"/>
      <c r="GPJ47" s="116"/>
      <c r="GPK47" s="116"/>
      <c r="GPL47" s="116"/>
      <c r="GPM47" s="116"/>
      <c r="GPN47" s="116"/>
      <c r="GPO47" s="116"/>
      <c r="GPP47" s="116"/>
      <c r="GPQ47" s="116"/>
      <c r="GPR47" s="116"/>
      <c r="GPS47" s="116"/>
      <c r="GPT47" s="116"/>
      <c r="GPU47" s="116"/>
      <c r="GPV47" s="116"/>
      <c r="GPW47" s="116"/>
      <c r="GPX47" s="116"/>
      <c r="GPY47" s="116"/>
      <c r="GPZ47" s="116"/>
      <c r="GQA47" s="116"/>
      <c r="GQB47" s="116"/>
      <c r="GQC47" s="116"/>
      <c r="GQD47" s="116"/>
      <c r="GQE47" s="116"/>
      <c r="GQF47" s="116"/>
      <c r="GQG47" s="116"/>
      <c r="GQH47" s="116"/>
      <c r="GQI47" s="116"/>
      <c r="GQJ47" s="116"/>
      <c r="GQK47" s="116"/>
      <c r="GQL47" s="116"/>
      <c r="GQM47" s="116"/>
      <c r="GQN47" s="116"/>
      <c r="GQO47" s="116"/>
      <c r="GQP47" s="116"/>
      <c r="GQQ47" s="116"/>
      <c r="GQR47" s="116"/>
      <c r="GQS47" s="116"/>
      <c r="GQT47" s="116"/>
      <c r="GQU47" s="116"/>
      <c r="GQV47" s="116"/>
      <c r="GQW47" s="116"/>
      <c r="GQX47" s="116"/>
      <c r="GQY47" s="116"/>
      <c r="GQZ47" s="116"/>
      <c r="GRA47" s="116"/>
      <c r="GRB47" s="116"/>
      <c r="GRC47" s="116"/>
      <c r="GRD47" s="116"/>
      <c r="GRE47" s="116"/>
      <c r="GRF47" s="116"/>
      <c r="GRG47" s="116"/>
      <c r="GRH47" s="116"/>
      <c r="GRI47" s="116"/>
      <c r="GRJ47" s="116"/>
      <c r="GRK47" s="116"/>
      <c r="GRL47" s="116"/>
      <c r="GRM47" s="116"/>
      <c r="GRN47" s="116"/>
      <c r="GRO47" s="116"/>
      <c r="GRP47" s="116"/>
      <c r="GRQ47" s="116"/>
      <c r="GRR47" s="116"/>
      <c r="GRS47" s="116"/>
      <c r="GRT47" s="116"/>
      <c r="GRU47" s="116"/>
      <c r="GRV47" s="116"/>
      <c r="GRW47" s="116"/>
      <c r="GRX47" s="116"/>
      <c r="GRY47" s="116"/>
      <c r="GRZ47" s="116"/>
      <c r="GSA47" s="116"/>
      <c r="GSB47" s="116"/>
      <c r="GSC47" s="116"/>
      <c r="GSD47" s="116"/>
      <c r="GSE47" s="116"/>
      <c r="GSF47" s="116"/>
      <c r="GSG47" s="116"/>
      <c r="GSH47" s="116"/>
      <c r="GSI47" s="116"/>
      <c r="GSJ47" s="116"/>
      <c r="GSK47" s="116"/>
      <c r="GSL47" s="116"/>
      <c r="GSM47" s="116"/>
      <c r="GSN47" s="116"/>
      <c r="GSO47" s="116"/>
      <c r="GSP47" s="116"/>
      <c r="GSQ47" s="116"/>
      <c r="GSR47" s="116"/>
      <c r="GSS47" s="116"/>
      <c r="GST47" s="116"/>
      <c r="GSU47" s="116"/>
      <c r="GSV47" s="116"/>
      <c r="GSW47" s="116"/>
      <c r="GSX47" s="116"/>
      <c r="GSY47" s="116"/>
      <c r="GSZ47" s="116"/>
      <c r="GTA47" s="116"/>
      <c r="GTB47" s="116"/>
      <c r="GTC47" s="116"/>
      <c r="GTD47" s="116"/>
      <c r="GTE47" s="116"/>
      <c r="GTF47" s="116"/>
      <c r="GTG47" s="116"/>
      <c r="GTH47" s="116"/>
      <c r="GTI47" s="116"/>
      <c r="GTJ47" s="116"/>
      <c r="GTK47" s="116"/>
      <c r="GTL47" s="116"/>
      <c r="GTM47" s="116"/>
      <c r="GTN47" s="116"/>
      <c r="GTO47" s="116"/>
      <c r="GTP47" s="116"/>
      <c r="GTQ47" s="116"/>
      <c r="GTR47" s="116"/>
      <c r="GTS47" s="116"/>
      <c r="GTT47" s="116"/>
      <c r="GTU47" s="116"/>
      <c r="GTV47" s="116"/>
      <c r="GTW47" s="116"/>
      <c r="GTX47" s="116"/>
      <c r="GTY47" s="116"/>
      <c r="GTZ47" s="116"/>
      <c r="GUA47" s="116"/>
      <c r="GUB47" s="116"/>
      <c r="GUC47" s="116"/>
      <c r="GUD47" s="116"/>
      <c r="GUE47" s="116"/>
      <c r="GUF47" s="116"/>
      <c r="GUG47" s="116"/>
      <c r="GUH47" s="116"/>
      <c r="GUI47" s="116"/>
      <c r="GUJ47" s="116"/>
      <c r="GUK47" s="116"/>
      <c r="GUL47" s="116"/>
      <c r="GUM47" s="116"/>
      <c r="GUN47" s="116"/>
      <c r="GUO47" s="116"/>
      <c r="GUP47" s="116"/>
      <c r="GUQ47" s="116"/>
      <c r="GUR47" s="116"/>
      <c r="GUS47" s="116"/>
      <c r="GUT47" s="116"/>
      <c r="GUU47" s="116"/>
      <c r="GUV47" s="116"/>
      <c r="GUW47" s="116"/>
      <c r="GUX47" s="116"/>
      <c r="GUY47" s="116"/>
      <c r="GUZ47" s="116"/>
      <c r="GVA47" s="116"/>
      <c r="GVB47" s="116"/>
      <c r="GVC47" s="116"/>
      <c r="GVD47" s="116"/>
      <c r="GVE47" s="116"/>
      <c r="GVF47" s="116"/>
      <c r="GVG47" s="116"/>
      <c r="GVH47" s="116"/>
      <c r="GVI47" s="116"/>
      <c r="GVJ47" s="116"/>
      <c r="GVK47" s="116"/>
      <c r="GVL47" s="116"/>
      <c r="GVM47" s="116"/>
      <c r="GVN47" s="116"/>
      <c r="GVO47" s="116"/>
      <c r="GVP47" s="116"/>
      <c r="GVQ47" s="116"/>
      <c r="GVR47" s="116"/>
      <c r="GVS47" s="116"/>
      <c r="GVT47" s="116"/>
      <c r="GVU47" s="116"/>
      <c r="GVV47" s="116"/>
      <c r="GVW47" s="116"/>
      <c r="GVX47" s="116"/>
      <c r="GVY47" s="116"/>
      <c r="GVZ47" s="116"/>
      <c r="GWA47" s="116"/>
      <c r="GWB47" s="116"/>
      <c r="GWC47" s="116"/>
      <c r="GWD47" s="116"/>
      <c r="GWE47" s="116"/>
      <c r="GWF47" s="116"/>
      <c r="GWG47" s="116"/>
      <c r="GWH47" s="116"/>
      <c r="GWI47" s="116"/>
      <c r="GWJ47" s="116"/>
      <c r="GWK47" s="116"/>
      <c r="GWL47" s="116"/>
      <c r="GWM47" s="116"/>
      <c r="GWN47" s="116"/>
      <c r="GWO47" s="116"/>
      <c r="GWP47" s="116"/>
      <c r="GWQ47" s="116"/>
      <c r="GWR47" s="116"/>
      <c r="GWS47" s="116"/>
      <c r="GWT47" s="116"/>
      <c r="GWU47" s="116"/>
      <c r="GWV47" s="116"/>
      <c r="GWW47" s="116"/>
      <c r="GWX47" s="116"/>
      <c r="GWY47" s="116"/>
      <c r="GWZ47" s="116"/>
      <c r="GXA47" s="116"/>
      <c r="GXB47" s="116"/>
      <c r="GXC47" s="116"/>
      <c r="GXD47" s="116"/>
      <c r="GXE47" s="116"/>
      <c r="GXF47" s="116"/>
      <c r="GXG47" s="116"/>
      <c r="GXH47" s="116"/>
      <c r="GXI47" s="116"/>
      <c r="GXJ47" s="116"/>
      <c r="GXK47" s="116"/>
      <c r="GXL47" s="116"/>
      <c r="GXM47" s="116"/>
      <c r="GXN47" s="116"/>
      <c r="GXO47" s="116"/>
      <c r="GXP47" s="116"/>
      <c r="GXQ47" s="116"/>
      <c r="GXR47" s="116"/>
      <c r="GXS47" s="116"/>
      <c r="GXT47" s="116"/>
      <c r="GXU47" s="116"/>
      <c r="GXV47" s="116"/>
      <c r="GXW47" s="116"/>
      <c r="GXX47" s="116"/>
      <c r="GXY47" s="116"/>
      <c r="GXZ47" s="116"/>
      <c r="GYA47" s="116"/>
      <c r="GYB47" s="116"/>
      <c r="GYC47" s="116"/>
      <c r="GYD47" s="116"/>
      <c r="GYE47" s="116"/>
      <c r="GYF47" s="116"/>
      <c r="GYG47" s="116"/>
      <c r="GYH47" s="116"/>
      <c r="GYI47" s="116"/>
      <c r="GYJ47" s="116"/>
      <c r="GYK47" s="116"/>
      <c r="GYL47" s="116"/>
      <c r="GYM47" s="116"/>
      <c r="GYN47" s="116"/>
      <c r="GYO47" s="116"/>
      <c r="GYP47" s="116"/>
      <c r="GYQ47" s="116"/>
      <c r="GYR47" s="116"/>
      <c r="GYS47" s="116"/>
      <c r="GYT47" s="116"/>
      <c r="GYU47" s="116"/>
      <c r="GYV47" s="116"/>
      <c r="GYW47" s="116"/>
      <c r="GYX47" s="116"/>
      <c r="GYY47" s="116"/>
      <c r="GYZ47" s="116"/>
      <c r="GZA47" s="116"/>
      <c r="GZB47" s="116"/>
      <c r="GZC47" s="116"/>
      <c r="GZD47" s="116"/>
      <c r="GZE47" s="116"/>
      <c r="GZF47" s="116"/>
      <c r="GZG47" s="116"/>
      <c r="GZH47" s="116"/>
      <c r="GZI47" s="116"/>
      <c r="GZJ47" s="116"/>
      <c r="GZK47" s="116"/>
      <c r="GZL47" s="116"/>
      <c r="GZM47" s="116"/>
      <c r="GZN47" s="116"/>
      <c r="GZO47" s="116"/>
      <c r="GZP47" s="116"/>
      <c r="GZQ47" s="116"/>
      <c r="GZR47" s="116"/>
      <c r="GZS47" s="116"/>
      <c r="GZT47" s="116"/>
      <c r="GZU47" s="116"/>
      <c r="GZV47" s="116"/>
      <c r="GZW47" s="116"/>
      <c r="GZX47" s="116"/>
      <c r="GZY47" s="116"/>
      <c r="GZZ47" s="116"/>
      <c r="HAA47" s="116"/>
      <c r="HAB47" s="116"/>
      <c r="HAC47" s="116"/>
      <c r="HAD47" s="116"/>
      <c r="HAE47" s="116"/>
      <c r="HAF47" s="116"/>
      <c r="HAG47" s="116"/>
      <c r="HAH47" s="116"/>
      <c r="HAI47" s="116"/>
      <c r="HAJ47" s="116"/>
      <c r="HAK47" s="116"/>
      <c r="HAL47" s="116"/>
      <c r="HAM47" s="116"/>
      <c r="HAN47" s="116"/>
      <c r="HAO47" s="116"/>
      <c r="HAP47" s="116"/>
      <c r="HAQ47" s="116"/>
      <c r="HAR47" s="116"/>
      <c r="HAS47" s="116"/>
      <c r="HAT47" s="116"/>
      <c r="HAU47" s="116"/>
      <c r="HAV47" s="116"/>
      <c r="HAW47" s="116"/>
      <c r="HAX47" s="116"/>
      <c r="HAY47" s="116"/>
      <c r="HAZ47" s="116"/>
      <c r="HBA47" s="116"/>
      <c r="HBB47" s="116"/>
      <c r="HBC47" s="116"/>
      <c r="HBD47" s="116"/>
      <c r="HBE47" s="116"/>
      <c r="HBF47" s="116"/>
      <c r="HBG47" s="116"/>
      <c r="HBH47" s="116"/>
      <c r="HBI47" s="116"/>
      <c r="HBJ47" s="116"/>
      <c r="HBK47" s="116"/>
      <c r="HBL47" s="116"/>
      <c r="HBM47" s="116"/>
      <c r="HBN47" s="116"/>
      <c r="HBO47" s="116"/>
      <c r="HBP47" s="116"/>
      <c r="HBQ47" s="116"/>
      <c r="HBR47" s="116"/>
      <c r="HBS47" s="116"/>
      <c r="HBT47" s="116"/>
      <c r="HBU47" s="116"/>
      <c r="HBV47" s="116"/>
      <c r="HBW47" s="116"/>
      <c r="HBX47" s="116"/>
      <c r="HBY47" s="116"/>
      <c r="HBZ47" s="116"/>
      <c r="HCA47" s="116"/>
      <c r="HCB47" s="116"/>
      <c r="HCC47" s="116"/>
      <c r="HCD47" s="116"/>
      <c r="HCE47" s="116"/>
      <c r="HCF47" s="116"/>
      <c r="HCG47" s="116"/>
      <c r="HCH47" s="116"/>
      <c r="HCI47" s="116"/>
      <c r="HCJ47" s="116"/>
      <c r="HCK47" s="116"/>
      <c r="HCL47" s="116"/>
      <c r="HCM47" s="116"/>
      <c r="HCN47" s="116"/>
      <c r="HCO47" s="116"/>
      <c r="HCP47" s="116"/>
      <c r="HCQ47" s="116"/>
      <c r="HCR47" s="116"/>
      <c r="HCS47" s="116"/>
      <c r="HCT47" s="116"/>
      <c r="HCU47" s="116"/>
      <c r="HCV47" s="116"/>
      <c r="HCW47" s="116"/>
      <c r="HCX47" s="116"/>
      <c r="HCY47" s="116"/>
      <c r="HCZ47" s="116"/>
      <c r="HDA47" s="116"/>
      <c r="HDB47" s="116"/>
      <c r="HDC47" s="116"/>
      <c r="HDD47" s="116"/>
      <c r="HDE47" s="116"/>
      <c r="HDF47" s="116"/>
      <c r="HDG47" s="116"/>
      <c r="HDH47" s="116"/>
      <c r="HDI47" s="116"/>
      <c r="HDJ47" s="116"/>
      <c r="HDK47" s="116"/>
      <c r="HDL47" s="116"/>
      <c r="HDM47" s="116"/>
      <c r="HDN47" s="116"/>
      <c r="HDO47" s="116"/>
      <c r="HDP47" s="116"/>
      <c r="HDQ47" s="116"/>
      <c r="HDR47" s="116"/>
      <c r="HDS47" s="116"/>
      <c r="HDT47" s="116"/>
      <c r="HDU47" s="116"/>
      <c r="HDV47" s="116"/>
      <c r="HDW47" s="116"/>
      <c r="HDX47" s="116"/>
      <c r="HDY47" s="116"/>
      <c r="HDZ47" s="116"/>
      <c r="HEA47" s="116"/>
      <c r="HEB47" s="116"/>
      <c r="HEC47" s="116"/>
      <c r="HED47" s="116"/>
      <c r="HEE47" s="116"/>
      <c r="HEF47" s="116"/>
      <c r="HEG47" s="116"/>
      <c r="HEH47" s="116"/>
      <c r="HEI47" s="116"/>
      <c r="HEJ47" s="116"/>
      <c r="HEK47" s="116"/>
      <c r="HEL47" s="116"/>
      <c r="HEM47" s="116"/>
      <c r="HEN47" s="116"/>
      <c r="HEO47" s="116"/>
      <c r="HEP47" s="116"/>
      <c r="HEQ47" s="116"/>
      <c r="HER47" s="116"/>
      <c r="HES47" s="116"/>
      <c r="HET47" s="116"/>
      <c r="HEU47" s="116"/>
      <c r="HEV47" s="116"/>
      <c r="HEW47" s="116"/>
      <c r="HEX47" s="116"/>
      <c r="HEY47" s="116"/>
      <c r="HEZ47" s="116"/>
      <c r="HFA47" s="116"/>
      <c r="HFB47" s="116"/>
      <c r="HFC47" s="116"/>
      <c r="HFD47" s="116"/>
      <c r="HFE47" s="116"/>
      <c r="HFF47" s="116"/>
      <c r="HFG47" s="116"/>
      <c r="HFH47" s="116"/>
      <c r="HFI47" s="116"/>
      <c r="HFJ47" s="116"/>
      <c r="HFK47" s="116"/>
      <c r="HFL47" s="116"/>
      <c r="HFM47" s="116"/>
      <c r="HFN47" s="116"/>
      <c r="HFO47" s="116"/>
      <c r="HFP47" s="116"/>
      <c r="HFQ47" s="116"/>
      <c r="HFR47" s="116"/>
      <c r="HFS47" s="116"/>
      <c r="HFT47" s="116"/>
      <c r="HFU47" s="116"/>
      <c r="HFV47" s="116"/>
      <c r="HFW47" s="116"/>
      <c r="HFX47" s="116"/>
      <c r="HFY47" s="116"/>
      <c r="HFZ47" s="116"/>
      <c r="HGA47" s="116"/>
      <c r="HGB47" s="116"/>
      <c r="HGC47" s="116"/>
      <c r="HGD47" s="116"/>
      <c r="HGE47" s="116"/>
      <c r="HGF47" s="116"/>
      <c r="HGG47" s="116"/>
      <c r="HGH47" s="116"/>
      <c r="HGI47" s="116"/>
      <c r="HGJ47" s="116"/>
      <c r="HGK47" s="116"/>
      <c r="HGL47" s="116"/>
      <c r="HGM47" s="116"/>
      <c r="HGN47" s="116"/>
      <c r="HGO47" s="116"/>
      <c r="HGP47" s="116"/>
      <c r="HGQ47" s="116"/>
      <c r="HGR47" s="116"/>
      <c r="HGS47" s="116"/>
      <c r="HGT47" s="116"/>
      <c r="HGU47" s="116"/>
      <c r="HGV47" s="116"/>
      <c r="HGW47" s="116"/>
      <c r="HGX47" s="116"/>
      <c r="HGY47" s="116"/>
      <c r="HGZ47" s="116"/>
      <c r="HHA47" s="116"/>
      <c r="HHB47" s="116"/>
      <c r="HHC47" s="116"/>
      <c r="HHD47" s="116"/>
      <c r="HHE47" s="116"/>
      <c r="HHF47" s="116"/>
      <c r="HHG47" s="116"/>
      <c r="HHH47" s="116"/>
      <c r="HHI47" s="116"/>
      <c r="HHJ47" s="116"/>
      <c r="HHK47" s="116"/>
      <c r="HHL47" s="116"/>
      <c r="HHM47" s="116"/>
      <c r="HHN47" s="116"/>
      <c r="HHO47" s="116"/>
      <c r="HHP47" s="116"/>
      <c r="HHQ47" s="116"/>
      <c r="HHR47" s="116"/>
      <c r="HHS47" s="116"/>
      <c r="HHT47" s="116"/>
      <c r="HHU47" s="116"/>
      <c r="HHV47" s="116"/>
      <c r="HHW47" s="116"/>
      <c r="HHX47" s="116"/>
      <c r="HHY47" s="116"/>
      <c r="HHZ47" s="116"/>
      <c r="HIA47" s="116"/>
      <c r="HIB47" s="116"/>
      <c r="HIC47" s="116"/>
      <c r="HID47" s="116"/>
      <c r="HIE47" s="116"/>
      <c r="HIF47" s="116"/>
      <c r="HIG47" s="116"/>
      <c r="HIH47" s="116"/>
      <c r="HII47" s="116"/>
      <c r="HIJ47" s="116"/>
      <c r="HIK47" s="116"/>
      <c r="HIL47" s="116"/>
      <c r="HIM47" s="116"/>
      <c r="HIN47" s="116"/>
      <c r="HIO47" s="116"/>
      <c r="HIP47" s="116"/>
      <c r="HIQ47" s="116"/>
      <c r="HIR47" s="116"/>
      <c r="HIS47" s="116"/>
      <c r="HIT47" s="116"/>
      <c r="HIU47" s="116"/>
      <c r="HIV47" s="116"/>
      <c r="HIW47" s="116"/>
      <c r="HIX47" s="116"/>
      <c r="HIY47" s="116"/>
      <c r="HIZ47" s="116"/>
      <c r="HJA47" s="116"/>
      <c r="HJB47" s="116"/>
      <c r="HJC47" s="116"/>
      <c r="HJD47" s="116"/>
      <c r="HJE47" s="116"/>
      <c r="HJF47" s="116"/>
      <c r="HJG47" s="116"/>
      <c r="HJH47" s="116"/>
      <c r="HJI47" s="116"/>
      <c r="HJJ47" s="116"/>
      <c r="HJK47" s="116"/>
      <c r="HJL47" s="116"/>
      <c r="HJM47" s="116"/>
      <c r="HJN47" s="116"/>
      <c r="HJO47" s="116"/>
      <c r="HJP47" s="116"/>
      <c r="HJQ47" s="116"/>
      <c r="HJR47" s="116"/>
      <c r="HJS47" s="116"/>
      <c r="HJT47" s="116"/>
      <c r="HJU47" s="116"/>
      <c r="HJV47" s="116"/>
      <c r="HJW47" s="116"/>
      <c r="HJX47" s="116"/>
      <c r="HJY47" s="116"/>
      <c r="HJZ47" s="116"/>
      <c r="HKA47" s="116"/>
      <c r="HKB47" s="116"/>
      <c r="HKC47" s="116"/>
      <c r="HKD47" s="116"/>
      <c r="HKE47" s="116"/>
      <c r="HKF47" s="116"/>
      <c r="HKG47" s="116"/>
      <c r="HKH47" s="116"/>
      <c r="HKI47" s="116"/>
      <c r="HKJ47" s="116"/>
      <c r="HKK47" s="116"/>
      <c r="HKL47" s="116"/>
      <c r="HKM47" s="116"/>
      <c r="HKN47" s="116"/>
      <c r="HKO47" s="116"/>
      <c r="HKP47" s="116"/>
      <c r="HKQ47" s="116"/>
      <c r="HKR47" s="116"/>
      <c r="HKS47" s="116"/>
      <c r="HKT47" s="116"/>
      <c r="HKU47" s="116"/>
      <c r="HKV47" s="116"/>
      <c r="HKW47" s="116"/>
      <c r="HKX47" s="116"/>
      <c r="HKY47" s="116"/>
      <c r="HKZ47" s="116"/>
      <c r="HLA47" s="116"/>
      <c r="HLB47" s="116"/>
      <c r="HLC47" s="116"/>
      <c r="HLD47" s="116"/>
      <c r="HLE47" s="116"/>
      <c r="HLF47" s="116"/>
      <c r="HLG47" s="116"/>
      <c r="HLH47" s="116"/>
      <c r="HLI47" s="116"/>
      <c r="HLJ47" s="116"/>
      <c r="HLK47" s="116"/>
      <c r="HLL47" s="116"/>
      <c r="HLM47" s="116"/>
      <c r="HLN47" s="116"/>
      <c r="HLO47" s="116"/>
      <c r="HLP47" s="116"/>
      <c r="HLQ47" s="116"/>
      <c r="HLR47" s="116"/>
      <c r="HLS47" s="116"/>
      <c r="HLT47" s="116"/>
      <c r="HLU47" s="116"/>
      <c r="HLV47" s="116"/>
      <c r="HLW47" s="116"/>
      <c r="HLX47" s="116"/>
      <c r="HLY47" s="116"/>
      <c r="HLZ47" s="116"/>
      <c r="HMA47" s="116"/>
      <c r="HMB47" s="116"/>
      <c r="HMC47" s="116"/>
      <c r="HMD47" s="116"/>
      <c r="HME47" s="116"/>
      <c r="HMF47" s="116"/>
      <c r="HMG47" s="116"/>
      <c r="HMH47" s="116"/>
      <c r="HMI47" s="116"/>
      <c r="HMJ47" s="116"/>
      <c r="HMK47" s="116"/>
      <c r="HML47" s="116"/>
      <c r="HMM47" s="116"/>
      <c r="HMN47" s="116"/>
      <c r="HMO47" s="116"/>
      <c r="HMP47" s="116"/>
      <c r="HMQ47" s="116"/>
      <c r="HMR47" s="116"/>
      <c r="HMS47" s="116"/>
      <c r="HMT47" s="116"/>
      <c r="HMU47" s="116"/>
      <c r="HMV47" s="116"/>
      <c r="HMW47" s="116"/>
      <c r="HMX47" s="116"/>
      <c r="HMY47" s="116"/>
      <c r="HMZ47" s="116"/>
      <c r="HNA47" s="116"/>
      <c r="HNB47" s="116"/>
      <c r="HNC47" s="116"/>
      <c r="HND47" s="116"/>
      <c r="HNE47" s="116"/>
      <c r="HNF47" s="116"/>
      <c r="HNG47" s="116"/>
      <c r="HNH47" s="116"/>
      <c r="HNI47" s="116"/>
      <c r="HNJ47" s="116"/>
      <c r="HNK47" s="116"/>
      <c r="HNL47" s="116"/>
      <c r="HNM47" s="116"/>
      <c r="HNN47" s="116"/>
      <c r="HNO47" s="116"/>
      <c r="HNP47" s="116"/>
      <c r="HNQ47" s="116"/>
      <c r="HNR47" s="116"/>
      <c r="HNS47" s="116"/>
      <c r="HNT47" s="116"/>
      <c r="HNU47" s="116"/>
      <c r="HNV47" s="116"/>
      <c r="HNW47" s="116"/>
      <c r="HNX47" s="116"/>
      <c r="HNY47" s="116"/>
      <c r="HNZ47" s="116"/>
      <c r="HOA47" s="116"/>
      <c r="HOB47" s="116"/>
      <c r="HOC47" s="116"/>
      <c r="HOD47" s="116"/>
      <c r="HOE47" s="116"/>
      <c r="HOF47" s="116"/>
      <c r="HOG47" s="116"/>
      <c r="HOH47" s="116"/>
      <c r="HOI47" s="116"/>
      <c r="HOJ47" s="116"/>
      <c r="HOK47" s="116"/>
      <c r="HOL47" s="116"/>
      <c r="HOM47" s="116"/>
      <c r="HON47" s="116"/>
      <c r="HOO47" s="116"/>
      <c r="HOP47" s="116"/>
      <c r="HOQ47" s="116"/>
      <c r="HOR47" s="116"/>
      <c r="HOS47" s="116"/>
      <c r="HOT47" s="116"/>
      <c r="HOU47" s="116"/>
      <c r="HOV47" s="116"/>
      <c r="HOW47" s="116"/>
      <c r="HOX47" s="116"/>
      <c r="HOY47" s="116"/>
      <c r="HOZ47" s="116"/>
      <c r="HPA47" s="116"/>
      <c r="HPB47" s="116"/>
      <c r="HPC47" s="116"/>
      <c r="HPD47" s="116"/>
      <c r="HPE47" s="116"/>
      <c r="HPF47" s="116"/>
      <c r="HPG47" s="116"/>
      <c r="HPH47" s="116"/>
      <c r="HPI47" s="116"/>
      <c r="HPJ47" s="116"/>
      <c r="HPK47" s="116"/>
      <c r="HPL47" s="116"/>
      <c r="HPM47" s="116"/>
      <c r="HPN47" s="116"/>
      <c r="HPO47" s="116"/>
      <c r="HPP47" s="116"/>
      <c r="HPQ47" s="116"/>
      <c r="HPR47" s="116"/>
      <c r="HPS47" s="116"/>
      <c r="HPT47" s="116"/>
      <c r="HPU47" s="116"/>
      <c r="HPV47" s="116"/>
      <c r="HPW47" s="116"/>
      <c r="HPX47" s="116"/>
      <c r="HPY47" s="116"/>
      <c r="HPZ47" s="116"/>
      <c r="HQA47" s="116"/>
      <c r="HQB47" s="116"/>
      <c r="HQC47" s="116"/>
      <c r="HQD47" s="116"/>
      <c r="HQE47" s="116"/>
      <c r="HQF47" s="116"/>
      <c r="HQG47" s="116"/>
      <c r="HQH47" s="116"/>
      <c r="HQI47" s="116"/>
      <c r="HQJ47" s="116"/>
      <c r="HQK47" s="116"/>
      <c r="HQL47" s="116"/>
      <c r="HQM47" s="116"/>
      <c r="HQN47" s="116"/>
      <c r="HQO47" s="116"/>
      <c r="HQP47" s="116"/>
      <c r="HQQ47" s="116"/>
      <c r="HQR47" s="116"/>
      <c r="HQS47" s="116"/>
      <c r="HQT47" s="116"/>
      <c r="HQU47" s="116"/>
      <c r="HQV47" s="116"/>
      <c r="HQW47" s="116"/>
      <c r="HQX47" s="116"/>
      <c r="HQY47" s="116"/>
      <c r="HQZ47" s="116"/>
      <c r="HRA47" s="116"/>
      <c r="HRB47" s="116"/>
      <c r="HRC47" s="116"/>
      <c r="HRD47" s="116"/>
      <c r="HRE47" s="116"/>
      <c r="HRF47" s="116"/>
      <c r="HRG47" s="116"/>
      <c r="HRH47" s="116"/>
      <c r="HRI47" s="116"/>
      <c r="HRJ47" s="116"/>
      <c r="HRK47" s="116"/>
      <c r="HRL47" s="116"/>
      <c r="HRM47" s="116"/>
      <c r="HRN47" s="116"/>
      <c r="HRO47" s="116"/>
      <c r="HRP47" s="116"/>
      <c r="HRQ47" s="116"/>
      <c r="HRR47" s="116"/>
      <c r="HRS47" s="116"/>
      <c r="HRT47" s="116"/>
      <c r="HRU47" s="116"/>
      <c r="HRV47" s="116"/>
      <c r="HRW47" s="116"/>
      <c r="HRX47" s="116"/>
      <c r="HRY47" s="116"/>
      <c r="HRZ47" s="116"/>
      <c r="HSA47" s="116"/>
      <c r="HSB47" s="116"/>
      <c r="HSC47" s="116"/>
      <c r="HSD47" s="116"/>
      <c r="HSE47" s="116"/>
      <c r="HSF47" s="116"/>
      <c r="HSG47" s="116"/>
      <c r="HSH47" s="116"/>
      <c r="HSI47" s="116"/>
      <c r="HSJ47" s="116"/>
      <c r="HSK47" s="116"/>
      <c r="HSL47" s="116"/>
      <c r="HSM47" s="116"/>
      <c r="HSN47" s="116"/>
      <c r="HSO47" s="116"/>
      <c r="HSP47" s="116"/>
      <c r="HSQ47" s="116"/>
      <c r="HSR47" s="116"/>
      <c r="HSS47" s="116"/>
      <c r="HST47" s="116"/>
      <c r="HSU47" s="116"/>
      <c r="HSV47" s="116"/>
      <c r="HSW47" s="116"/>
      <c r="HSX47" s="116"/>
      <c r="HSY47" s="116"/>
      <c r="HSZ47" s="116"/>
      <c r="HTA47" s="116"/>
      <c r="HTB47" s="116"/>
      <c r="HTC47" s="116"/>
      <c r="HTD47" s="116"/>
      <c r="HTE47" s="116"/>
      <c r="HTF47" s="116"/>
      <c r="HTG47" s="116"/>
      <c r="HTH47" s="116"/>
      <c r="HTI47" s="116"/>
      <c r="HTJ47" s="116"/>
      <c r="HTK47" s="116"/>
      <c r="HTL47" s="116"/>
      <c r="HTM47" s="116"/>
      <c r="HTN47" s="116"/>
      <c r="HTO47" s="116"/>
      <c r="HTP47" s="116"/>
      <c r="HTQ47" s="116"/>
      <c r="HTR47" s="116"/>
      <c r="HTS47" s="116"/>
      <c r="HTT47" s="116"/>
      <c r="HTU47" s="116"/>
      <c r="HTV47" s="116"/>
      <c r="HTW47" s="116"/>
      <c r="HTX47" s="116"/>
      <c r="HTY47" s="116"/>
      <c r="HTZ47" s="116"/>
      <c r="HUA47" s="116"/>
      <c r="HUB47" s="116"/>
      <c r="HUC47" s="116"/>
      <c r="HUD47" s="116"/>
      <c r="HUE47" s="116"/>
      <c r="HUF47" s="116"/>
      <c r="HUG47" s="116"/>
      <c r="HUH47" s="116"/>
      <c r="HUI47" s="116"/>
      <c r="HUJ47" s="116"/>
      <c r="HUK47" s="116"/>
      <c r="HUL47" s="116"/>
      <c r="HUM47" s="116"/>
      <c r="HUN47" s="116"/>
      <c r="HUO47" s="116"/>
      <c r="HUP47" s="116"/>
      <c r="HUQ47" s="116"/>
      <c r="HUR47" s="116"/>
      <c r="HUS47" s="116"/>
      <c r="HUT47" s="116"/>
      <c r="HUU47" s="116"/>
      <c r="HUV47" s="116"/>
      <c r="HUW47" s="116"/>
      <c r="HUX47" s="116"/>
      <c r="HUY47" s="116"/>
      <c r="HUZ47" s="116"/>
      <c r="HVA47" s="116"/>
      <c r="HVB47" s="116"/>
      <c r="HVC47" s="116"/>
      <c r="HVD47" s="116"/>
      <c r="HVE47" s="116"/>
      <c r="HVF47" s="116"/>
      <c r="HVG47" s="116"/>
      <c r="HVH47" s="116"/>
      <c r="HVI47" s="116"/>
      <c r="HVJ47" s="116"/>
      <c r="HVK47" s="116"/>
      <c r="HVL47" s="116"/>
      <c r="HVM47" s="116"/>
      <c r="HVN47" s="116"/>
      <c r="HVO47" s="116"/>
      <c r="HVP47" s="116"/>
      <c r="HVQ47" s="116"/>
      <c r="HVR47" s="116"/>
      <c r="HVS47" s="116"/>
      <c r="HVT47" s="116"/>
      <c r="HVU47" s="116"/>
      <c r="HVV47" s="116"/>
      <c r="HVW47" s="116"/>
      <c r="HVX47" s="116"/>
      <c r="HVY47" s="116"/>
      <c r="HVZ47" s="116"/>
      <c r="HWA47" s="116"/>
      <c r="HWB47" s="116"/>
      <c r="HWC47" s="116"/>
      <c r="HWD47" s="116"/>
      <c r="HWE47" s="116"/>
      <c r="HWF47" s="116"/>
      <c r="HWG47" s="116"/>
      <c r="HWH47" s="116"/>
      <c r="HWI47" s="116"/>
      <c r="HWJ47" s="116"/>
      <c r="HWK47" s="116"/>
      <c r="HWL47" s="116"/>
      <c r="HWM47" s="116"/>
      <c r="HWN47" s="116"/>
      <c r="HWO47" s="116"/>
      <c r="HWP47" s="116"/>
      <c r="HWQ47" s="116"/>
      <c r="HWR47" s="116"/>
      <c r="HWS47" s="116"/>
      <c r="HWT47" s="116"/>
      <c r="HWU47" s="116"/>
      <c r="HWV47" s="116"/>
      <c r="HWW47" s="116"/>
      <c r="HWX47" s="116"/>
      <c r="HWY47" s="116"/>
      <c r="HWZ47" s="116"/>
      <c r="HXA47" s="116"/>
      <c r="HXB47" s="116"/>
      <c r="HXC47" s="116"/>
      <c r="HXD47" s="116"/>
      <c r="HXE47" s="116"/>
      <c r="HXF47" s="116"/>
      <c r="HXG47" s="116"/>
      <c r="HXH47" s="116"/>
      <c r="HXI47" s="116"/>
      <c r="HXJ47" s="116"/>
      <c r="HXK47" s="116"/>
      <c r="HXL47" s="116"/>
      <c r="HXM47" s="116"/>
      <c r="HXN47" s="116"/>
      <c r="HXO47" s="116"/>
      <c r="HXP47" s="116"/>
      <c r="HXQ47" s="116"/>
      <c r="HXR47" s="116"/>
      <c r="HXS47" s="116"/>
      <c r="HXT47" s="116"/>
      <c r="HXU47" s="116"/>
      <c r="HXV47" s="116"/>
      <c r="HXW47" s="116"/>
      <c r="HXX47" s="116"/>
      <c r="HXY47" s="116"/>
      <c r="HXZ47" s="116"/>
      <c r="HYA47" s="116"/>
      <c r="HYB47" s="116"/>
      <c r="HYC47" s="116"/>
      <c r="HYD47" s="116"/>
      <c r="HYE47" s="116"/>
      <c r="HYF47" s="116"/>
      <c r="HYG47" s="116"/>
      <c r="HYH47" s="116"/>
      <c r="HYI47" s="116"/>
      <c r="HYJ47" s="116"/>
      <c r="HYK47" s="116"/>
      <c r="HYL47" s="116"/>
      <c r="HYM47" s="116"/>
      <c r="HYN47" s="116"/>
      <c r="HYO47" s="116"/>
      <c r="HYP47" s="116"/>
      <c r="HYQ47" s="116"/>
      <c r="HYR47" s="116"/>
      <c r="HYS47" s="116"/>
      <c r="HYT47" s="116"/>
      <c r="HYU47" s="116"/>
      <c r="HYV47" s="116"/>
      <c r="HYW47" s="116"/>
      <c r="HYX47" s="116"/>
      <c r="HYY47" s="116"/>
      <c r="HYZ47" s="116"/>
      <c r="HZA47" s="116"/>
      <c r="HZB47" s="116"/>
      <c r="HZC47" s="116"/>
      <c r="HZD47" s="116"/>
      <c r="HZE47" s="116"/>
      <c r="HZF47" s="116"/>
      <c r="HZG47" s="116"/>
      <c r="HZH47" s="116"/>
      <c r="HZI47" s="116"/>
      <c r="HZJ47" s="116"/>
      <c r="HZK47" s="116"/>
      <c r="HZL47" s="116"/>
      <c r="HZM47" s="116"/>
      <c r="HZN47" s="116"/>
      <c r="HZO47" s="116"/>
      <c r="HZP47" s="116"/>
      <c r="HZQ47" s="116"/>
      <c r="HZR47" s="116"/>
      <c r="HZS47" s="116"/>
      <c r="HZT47" s="116"/>
      <c r="HZU47" s="116"/>
      <c r="HZV47" s="116"/>
      <c r="HZW47" s="116"/>
      <c r="HZX47" s="116"/>
      <c r="HZY47" s="116"/>
      <c r="HZZ47" s="116"/>
      <c r="IAA47" s="116"/>
      <c r="IAB47" s="116"/>
      <c r="IAC47" s="116"/>
      <c r="IAD47" s="116"/>
      <c r="IAE47" s="116"/>
      <c r="IAF47" s="116"/>
      <c r="IAG47" s="116"/>
      <c r="IAH47" s="116"/>
      <c r="IAI47" s="116"/>
      <c r="IAJ47" s="116"/>
      <c r="IAK47" s="116"/>
      <c r="IAL47" s="116"/>
      <c r="IAM47" s="116"/>
      <c r="IAN47" s="116"/>
      <c r="IAO47" s="116"/>
      <c r="IAP47" s="116"/>
      <c r="IAQ47" s="116"/>
      <c r="IAR47" s="116"/>
      <c r="IAS47" s="116"/>
      <c r="IAT47" s="116"/>
      <c r="IAU47" s="116"/>
      <c r="IAV47" s="116"/>
      <c r="IAW47" s="116"/>
      <c r="IAX47" s="116"/>
      <c r="IAY47" s="116"/>
      <c r="IAZ47" s="116"/>
      <c r="IBA47" s="116"/>
      <c r="IBB47" s="116"/>
      <c r="IBC47" s="116"/>
      <c r="IBD47" s="116"/>
      <c r="IBE47" s="116"/>
      <c r="IBF47" s="116"/>
      <c r="IBG47" s="116"/>
      <c r="IBH47" s="116"/>
      <c r="IBI47" s="116"/>
      <c r="IBJ47" s="116"/>
      <c r="IBK47" s="116"/>
      <c r="IBL47" s="116"/>
      <c r="IBM47" s="116"/>
      <c r="IBN47" s="116"/>
      <c r="IBO47" s="116"/>
      <c r="IBP47" s="116"/>
      <c r="IBQ47" s="116"/>
      <c r="IBR47" s="116"/>
      <c r="IBS47" s="116"/>
      <c r="IBT47" s="116"/>
      <c r="IBU47" s="116"/>
      <c r="IBV47" s="116"/>
      <c r="IBW47" s="116"/>
      <c r="IBX47" s="116"/>
      <c r="IBY47" s="116"/>
      <c r="IBZ47" s="116"/>
      <c r="ICA47" s="116"/>
      <c r="ICB47" s="116"/>
      <c r="ICC47" s="116"/>
      <c r="ICD47" s="116"/>
      <c r="ICE47" s="116"/>
      <c r="ICF47" s="116"/>
      <c r="ICG47" s="116"/>
      <c r="ICH47" s="116"/>
      <c r="ICI47" s="116"/>
      <c r="ICJ47" s="116"/>
      <c r="ICK47" s="116"/>
      <c r="ICL47" s="116"/>
      <c r="ICM47" s="116"/>
      <c r="ICN47" s="116"/>
      <c r="ICO47" s="116"/>
      <c r="ICP47" s="116"/>
      <c r="ICQ47" s="116"/>
      <c r="ICR47" s="116"/>
      <c r="ICS47" s="116"/>
      <c r="ICT47" s="116"/>
      <c r="ICU47" s="116"/>
      <c r="ICV47" s="116"/>
      <c r="ICW47" s="116"/>
      <c r="ICX47" s="116"/>
      <c r="ICY47" s="116"/>
      <c r="ICZ47" s="116"/>
      <c r="IDA47" s="116"/>
      <c r="IDB47" s="116"/>
      <c r="IDC47" s="116"/>
      <c r="IDD47" s="116"/>
      <c r="IDE47" s="116"/>
      <c r="IDF47" s="116"/>
      <c r="IDG47" s="116"/>
      <c r="IDH47" s="116"/>
      <c r="IDI47" s="116"/>
      <c r="IDJ47" s="116"/>
      <c r="IDK47" s="116"/>
      <c r="IDL47" s="116"/>
      <c r="IDM47" s="116"/>
      <c r="IDN47" s="116"/>
      <c r="IDO47" s="116"/>
      <c r="IDP47" s="116"/>
      <c r="IDQ47" s="116"/>
      <c r="IDR47" s="116"/>
      <c r="IDS47" s="116"/>
      <c r="IDT47" s="116"/>
      <c r="IDU47" s="116"/>
      <c r="IDV47" s="116"/>
      <c r="IDW47" s="116"/>
      <c r="IDX47" s="116"/>
      <c r="IDY47" s="116"/>
      <c r="IDZ47" s="116"/>
      <c r="IEA47" s="116"/>
      <c r="IEB47" s="116"/>
      <c r="IEC47" s="116"/>
      <c r="IED47" s="116"/>
      <c r="IEE47" s="116"/>
      <c r="IEF47" s="116"/>
      <c r="IEG47" s="116"/>
      <c r="IEH47" s="116"/>
      <c r="IEI47" s="116"/>
      <c r="IEJ47" s="116"/>
      <c r="IEK47" s="116"/>
      <c r="IEL47" s="116"/>
      <c r="IEM47" s="116"/>
      <c r="IEN47" s="116"/>
      <c r="IEO47" s="116"/>
      <c r="IEP47" s="116"/>
      <c r="IEQ47" s="116"/>
      <c r="IER47" s="116"/>
      <c r="IES47" s="116"/>
      <c r="IET47" s="116"/>
      <c r="IEU47" s="116"/>
      <c r="IEV47" s="116"/>
      <c r="IEW47" s="116"/>
      <c r="IEX47" s="116"/>
      <c r="IEY47" s="116"/>
      <c r="IEZ47" s="116"/>
      <c r="IFA47" s="116"/>
      <c r="IFB47" s="116"/>
      <c r="IFC47" s="116"/>
      <c r="IFD47" s="116"/>
      <c r="IFE47" s="116"/>
      <c r="IFF47" s="116"/>
      <c r="IFG47" s="116"/>
      <c r="IFH47" s="116"/>
      <c r="IFI47" s="116"/>
      <c r="IFJ47" s="116"/>
      <c r="IFK47" s="116"/>
      <c r="IFL47" s="116"/>
      <c r="IFM47" s="116"/>
      <c r="IFN47" s="116"/>
      <c r="IFO47" s="116"/>
      <c r="IFP47" s="116"/>
      <c r="IFQ47" s="116"/>
      <c r="IFR47" s="116"/>
      <c r="IFS47" s="116"/>
      <c r="IFT47" s="116"/>
      <c r="IFU47" s="116"/>
      <c r="IFV47" s="116"/>
      <c r="IFW47" s="116"/>
      <c r="IFX47" s="116"/>
      <c r="IFY47" s="116"/>
      <c r="IFZ47" s="116"/>
      <c r="IGA47" s="116"/>
      <c r="IGB47" s="116"/>
      <c r="IGC47" s="116"/>
      <c r="IGD47" s="116"/>
      <c r="IGE47" s="116"/>
      <c r="IGF47" s="116"/>
      <c r="IGG47" s="116"/>
      <c r="IGH47" s="116"/>
      <c r="IGI47" s="116"/>
      <c r="IGJ47" s="116"/>
      <c r="IGK47" s="116"/>
      <c r="IGL47" s="116"/>
      <c r="IGM47" s="116"/>
      <c r="IGN47" s="116"/>
      <c r="IGO47" s="116"/>
      <c r="IGP47" s="116"/>
      <c r="IGQ47" s="116"/>
      <c r="IGR47" s="116"/>
      <c r="IGS47" s="116"/>
      <c r="IGT47" s="116"/>
      <c r="IGU47" s="116"/>
      <c r="IGV47" s="116"/>
      <c r="IGW47" s="116"/>
      <c r="IGX47" s="116"/>
      <c r="IGY47" s="116"/>
      <c r="IGZ47" s="116"/>
      <c r="IHA47" s="116"/>
      <c r="IHB47" s="116"/>
      <c r="IHC47" s="116"/>
      <c r="IHD47" s="116"/>
      <c r="IHE47" s="116"/>
      <c r="IHF47" s="116"/>
      <c r="IHG47" s="116"/>
      <c r="IHH47" s="116"/>
      <c r="IHI47" s="116"/>
      <c r="IHJ47" s="116"/>
      <c r="IHK47" s="116"/>
      <c r="IHL47" s="116"/>
      <c r="IHM47" s="116"/>
      <c r="IHN47" s="116"/>
      <c r="IHO47" s="116"/>
      <c r="IHP47" s="116"/>
      <c r="IHQ47" s="116"/>
      <c r="IHR47" s="116"/>
      <c r="IHS47" s="116"/>
      <c r="IHT47" s="116"/>
      <c r="IHU47" s="116"/>
      <c r="IHV47" s="116"/>
      <c r="IHW47" s="116"/>
      <c r="IHX47" s="116"/>
      <c r="IHY47" s="116"/>
      <c r="IHZ47" s="116"/>
      <c r="IIA47" s="116"/>
      <c r="IIB47" s="116"/>
      <c r="IIC47" s="116"/>
      <c r="IID47" s="116"/>
      <c r="IIE47" s="116"/>
      <c r="IIF47" s="116"/>
      <c r="IIG47" s="116"/>
      <c r="IIH47" s="116"/>
      <c r="III47" s="116"/>
      <c r="IIJ47" s="116"/>
      <c r="IIK47" s="116"/>
      <c r="IIL47" s="116"/>
      <c r="IIM47" s="116"/>
      <c r="IIN47" s="116"/>
      <c r="IIO47" s="116"/>
      <c r="IIP47" s="116"/>
      <c r="IIQ47" s="116"/>
      <c r="IIR47" s="116"/>
      <c r="IIS47" s="116"/>
      <c r="IIT47" s="116"/>
      <c r="IIU47" s="116"/>
      <c r="IIV47" s="116"/>
      <c r="IIW47" s="116"/>
      <c r="IIX47" s="116"/>
      <c r="IIY47" s="116"/>
      <c r="IIZ47" s="116"/>
      <c r="IJA47" s="116"/>
      <c r="IJB47" s="116"/>
      <c r="IJC47" s="116"/>
      <c r="IJD47" s="116"/>
      <c r="IJE47" s="116"/>
      <c r="IJF47" s="116"/>
      <c r="IJG47" s="116"/>
      <c r="IJH47" s="116"/>
      <c r="IJI47" s="116"/>
      <c r="IJJ47" s="116"/>
      <c r="IJK47" s="116"/>
      <c r="IJL47" s="116"/>
      <c r="IJM47" s="116"/>
      <c r="IJN47" s="116"/>
      <c r="IJO47" s="116"/>
      <c r="IJP47" s="116"/>
      <c r="IJQ47" s="116"/>
      <c r="IJR47" s="116"/>
      <c r="IJS47" s="116"/>
      <c r="IJT47" s="116"/>
      <c r="IJU47" s="116"/>
      <c r="IJV47" s="116"/>
      <c r="IJW47" s="116"/>
      <c r="IJX47" s="116"/>
      <c r="IJY47" s="116"/>
      <c r="IJZ47" s="116"/>
      <c r="IKA47" s="116"/>
      <c r="IKB47" s="116"/>
      <c r="IKC47" s="116"/>
      <c r="IKD47" s="116"/>
      <c r="IKE47" s="116"/>
      <c r="IKF47" s="116"/>
      <c r="IKG47" s="116"/>
      <c r="IKH47" s="116"/>
      <c r="IKI47" s="116"/>
      <c r="IKJ47" s="116"/>
      <c r="IKK47" s="116"/>
      <c r="IKL47" s="116"/>
      <c r="IKM47" s="116"/>
      <c r="IKN47" s="116"/>
      <c r="IKO47" s="116"/>
      <c r="IKP47" s="116"/>
      <c r="IKQ47" s="116"/>
      <c r="IKR47" s="116"/>
      <c r="IKS47" s="116"/>
      <c r="IKT47" s="116"/>
      <c r="IKU47" s="116"/>
      <c r="IKV47" s="116"/>
      <c r="IKW47" s="116"/>
      <c r="IKX47" s="116"/>
      <c r="IKY47" s="116"/>
      <c r="IKZ47" s="116"/>
      <c r="ILA47" s="116"/>
      <c r="ILB47" s="116"/>
      <c r="ILC47" s="116"/>
      <c r="ILD47" s="116"/>
      <c r="ILE47" s="116"/>
      <c r="ILF47" s="116"/>
      <c r="ILG47" s="116"/>
      <c r="ILH47" s="116"/>
      <c r="ILI47" s="116"/>
      <c r="ILJ47" s="116"/>
      <c r="ILK47" s="116"/>
      <c r="ILL47" s="116"/>
      <c r="ILM47" s="116"/>
      <c r="ILN47" s="116"/>
      <c r="ILO47" s="116"/>
      <c r="ILP47" s="116"/>
      <c r="ILQ47" s="116"/>
      <c r="ILR47" s="116"/>
      <c r="ILS47" s="116"/>
      <c r="ILT47" s="116"/>
      <c r="ILU47" s="116"/>
      <c r="ILV47" s="116"/>
      <c r="ILW47" s="116"/>
      <c r="ILX47" s="116"/>
      <c r="ILY47" s="116"/>
      <c r="ILZ47" s="116"/>
      <c r="IMA47" s="116"/>
      <c r="IMB47" s="116"/>
      <c r="IMC47" s="116"/>
      <c r="IMD47" s="116"/>
      <c r="IME47" s="116"/>
      <c r="IMF47" s="116"/>
      <c r="IMG47" s="116"/>
      <c r="IMH47" s="116"/>
      <c r="IMI47" s="116"/>
      <c r="IMJ47" s="116"/>
      <c r="IMK47" s="116"/>
      <c r="IML47" s="116"/>
      <c r="IMM47" s="116"/>
      <c r="IMN47" s="116"/>
      <c r="IMO47" s="116"/>
      <c r="IMP47" s="116"/>
      <c r="IMQ47" s="116"/>
      <c r="IMR47" s="116"/>
      <c r="IMS47" s="116"/>
      <c r="IMT47" s="116"/>
      <c r="IMU47" s="116"/>
      <c r="IMV47" s="116"/>
      <c r="IMW47" s="116"/>
      <c r="IMX47" s="116"/>
      <c r="IMY47" s="116"/>
      <c r="IMZ47" s="116"/>
      <c r="INA47" s="116"/>
      <c r="INB47" s="116"/>
      <c r="INC47" s="116"/>
      <c r="IND47" s="116"/>
      <c r="INE47" s="116"/>
      <c r="INF47" s="116"/>
      <c r="ING47" s="116"/>
      <c r="INH47" s="116"/>
      <c r="INI47" s="116"/>
      <c r="INJ47" s="116"/>
      <c r="INK47" s="116"/>
      <c r="INL47" s="116"/>
      <c r="INM47" s="116"/>
      <c r="INN47" s="116"/>
      <c r="INO47" s="116"/>
      <c r="INP47" s="116"/>
      <c r="INQ47" s="116"/>
      <c r="INR47" s="116"/>
      <c r="INS47" s="116"/>
      <c r="INT47" s="116"/>
      <c r="INU47" s="116"/>
      <c r="INV47" s="116"/>
      <c r="INW47" s="116"/>
      <c r="INX47" s="116"/>
      <c r="INY47" s="116"/>
      <c r="INZ47" s="116"/>
      <c r="IOA47" s="116"/>
      <c r="IOB47" s="116"/>
      <c r="IOC47" s="116"/>
      <c r="IOD47" s="116"/>
      <c r="IOE47" s="116"/>
      <c r="IOF47" s="116"/>
      <c r="IOG47" s="116"/>
      <c r="IOH47" s="116"/>
      <c r="IOI47" s="116"/>
      <c r="IOJ47" s="116"/>
      <c r="IOK47" s="116"/>
      <c r="IOL47" s="116"/>
      <c r="IOM47" s="116"/>
      <c r="ION47" s="116"/>
      <c r="IOO47" s="116"/>
      <c r="IOP47" s="116"/>
      <c r="IOQ47" s="116"/>
      <c r="IOR47" s="116"/>
      <c r="IOS47" s="116"/>
      <c r="IOT47" s="116"/>
      <c r="IOU47" s="116"/>
      <c r="IOV47" s="116"/>
      <c r="IOW47" s="116"/>
      <c r="IOX47" s="116"/>
      <c r="IOY47" s="116"/>
      <c r="IOZ47" s="116"/>
      <c r="IPA47" s="116"/>
      <c r="IPB47" s="116"/>
      <c r="IPC47" s="116"/>
      <c r="IPD47" s="116"/>
      <c r="IPE47" s="116"/>
      <c r="IPF47" s="116"/>
      <c r="IPG47" s="116"/>
      <c r="IPH47" s="116"/>
      <c r="IPI47" s="116"/>
      <c r="IPJ47" s="116"/>
      <c r="IPK47" s="116"/>
      <c r="IPL47" s="116"/>
      <c r="IPM47" s="116"/>
      <c r="IPN47" s="116"/>
      <c r="IPO47" s="116"/>
      <c r="IPP47" s="116"/>
      <c r="IPQ47" s="116"/>
      <c r="IPR47" s="116"/>
      <c r="IPS47" s="116"/>
      <c r="IPT47" s="116"/>
      <c r="IPU47" s="116"/>
      <c r="IPV47" s="116"/>
      <c r="IPW47" s="116"/>
      <c r="IPX47" s="116"/>
      <c r="IPY47" s="116"/>
      <c r="IPZ47" s="116"/>
      <c r="IQA47" s="116"/>
      <c r="IQB47" s="116"/>
      <c r="IQC47" s="116"/>
      <c r="IQD47" s="116"/>
      <c r="IQE47" s="116"/>
      <c r="IQF47" s="116"/>
      <c r="IQG47" s="116"/>
      <c r="IQH47" s="116"/>
      <c r="IQI47" s="116"/>
      <c r="IQJ47" s="116"/>
      <c r="IQK47" s="116"/>
      <c r="IQL47" s="116"/>
      <c r="IQM47" s="116"/>
      <c r="IQN47" s="116"/>
      <c r="IQO47" s="116"/>
      <c r="IQP47" s="116"/>
      <c r="IQQ47" s="116"/>
      <c r="IQR47" s="116"/>
      <c r="IQS47" s="116"/>
      <c r="IQT47" s="116"/>
      <c r="IQU47" s="116"/>
      <c r="IQV47" s="116"/>
      <c r="IQW47" s="116"/>
      <c r="IQX47" s="116"/>
      <c r="IQY47" s="116"/>
      <c r="IQZ47" s="116"/>
      <c r="IRA47" s="116"/>
      <c r="IRB47" s="116"/>
      <c r="IRC47" s="116"/>
      <c r="IRD47" s="116"/>
      <c r="IRE47" s="116"/>
      <c r="IRF47" s="116"/>
      <c r="IRG47" s="116"/>
      <c r="IRH47" s="116"/>
      <c r="IRI47" s="116"/>
      <c r="IRJ47" s="116"/>
      <c r="IRK47" s="116"/>
      <c r="IRL47" s="116"/>
      <c r="IRM47" s="116"/>
      <c r="IRN47" s="116"/>
      <c r="IRO47" s="116"/>
      <c r="IRP47" s="116"/>
      <c r="IRQ47" s="116"/>
      <c r="IRR47" s="116"/>
      <c r="IRS47" s="116"/>
      <c r="IRT47" s="116"/>
      <c r="IRU47" s="116"/>
      <c r="IRV47" s="116"/>
      <c r="IRW47" s="116"/>
      <c r="IRX47" s="116"/>
      <c r="IRY47" s="116"/>
      <c r="IRZ47" s="116"/>
      <c r="ISA47" s="116"/>
      <c r="ISB47" s="116"/>
      <c r="ISC47" s="116"/>
      <c r="ISD47" s="116"/>
      <c r="ISE47" s="116"/>
      <c r="ISF47" s="116"/>
      <c r="ISG47" s="116"/>
      <c r="ISH47" s="116"/>
      <c r="ISI47" s="116"/>
      <c r="ISJ47" s="116"/>
      <c r="ISK47" s="116"/>
      <c r="ISL47" s="116"/>
      <c r="ISM47" s="116"/>
      <c r="ISN47" s="116"/>
      <c r="ISO47" s="116"/>
      <c r="ISP47" s="116"/>
      <c r="ISQ47" s="116"/>
      <c r="ISR47" s="116"/>
      <c r="ISS47" s="116"/>
      <c r="IST47" s="116"/>
      <c r="ISU47" s="116"/>
      <c r="ISV47" s="116"/>
      <c r="ISW47" s="116"/>
      <c r="ISX47" s="116"/>
      <c r="ISY47" s="116"/>
      <c r="ISZ47" s="116"/>
      <c r="ITA47" s="116"/>
      <c r="ITB47" s="116"/>
      <c r="ITC47" s="116"/>
      <c r="ITD47" s="116"/>
      <c r="ITE47" s="116"/>
      <c r="ITF47" s="116"/>
      <c r="ITG47" s="116"/>
      <c r="ITH47" s="116"/>
      <c r="ITI47" s="116"/>
      <c r="ITJ47" s="116"/>
      <c r="ITK47" s="116"/>
      <c r="ITL47" s="116"/>
      <c r="ITM47" s="116"/>
      <c r="ITN47" s="116"/>
      <c r="ITO47" s="116"/>
      <c r="ITP47" s="116"/>
      <c r="ITQ47" s="116"/>
      <c r="ITR47" s="116"/>
      <c r="ITS47" s="116"/>
      <c r="ITT47" s="116"/>
      <c r="ITU47" s="116"/>
      <c r="ITV47" s="116"/>
      <c r="ITW47" s="116"/>
      <c r="ITX47" s="116"/>
      <c r="ITY47" s="116"/>
      <c r="ITZ47" s="116"/>
      <c r="IUA47" s="116"/>
      <c r="IUB47" s="116"/>
      <c r="IUC47" s="116"/>
      <c r="IUD47" s="116"/>
      <c r="IUE47" s="116"/>
      <c r="IUF47" s="116"/>
      <c r="IUG47" s="116"/>
      <c r="IUH47" s="116"/>
      <c r="IUI47" s="116"/>
      <c r="IUJ47" s="116"/>
      <c r="IUK47" s="116"/>
      <c r="IUL47" s="116"/>
      <c r="IUM47" s="116"/>
      <c r="IUN47" s="116"/>
      <c r="IUO47" s="116"/>
      <c r="IUP47" s="116"/>
      <c r="IUQ47" s="116"/>
      <c r="IUR47" s="116"/>
      <c r="IUS47" s="116"/>
      <c r="IUT47" s="116"/>
      <c r="IUU47" s="116"/>
      <c r="IUV47" s="116"/>
      <c r="IUW47" s="116"/>
      <c r="IUX47" s="116"/>
      <c r="IUY47" s="116"/>
      <c r="IUZ47" s="116"/>
      <c r="IVA47" s="116"/>
      <c r="IVB47" s="116"/>
      <c r="IVC47" s="116"/>
      <c r="IVD47" s="116"/>
      <c r="IVE47" s="116"/>
      <c r="IVF47" s="116"/>
      <c r="IVG47" s="116"/>
      <c r="IVH47" s="116"/>
      <c r="IVI47" s="116"/>
      <c r="IVJ47" s="116"/>
      <c r="IVK47" s="116"/>
      <c r="IVL47" s="116"/>
      <c r="IVM47" s="116"/>
      <c r="IVN47" s="116"/>
      <c r="IVO47" s="116"/>
      <c r="IVP47" s="116"/>
      <c r="IVQ47" s="116"/>
      <c r="IVR47" s="116"/>
      <c r="IVS47" s="116"/>
      <c r="IVT47" s="116"/>
      <c r="IVU47" s="116"/>
      <c r="IVV47" s="116"/>
      <c r="IVW47" s="116"/>
      <c r="IVX47" s="116"/>
      <c r="IVY47" s="116"/>
      <c r="IVZ47" s="116"/>
      <c r="IWA47" s="116"/>
      <c r="IWB47" s="116"/>
      <c r="IWC47" s="116"/>
      <c r="IWD47" s="116"/>
      <c r="IWE47" s="116"/>
      <c r="IWF47" s="116"/>
      <c r="IWG47" s="116"/>
      <c r="IWH47" s="116"/>
      <c r="IWI47" s="116"/>
      <c r="IWJ47" s="116"/>
      <c r="IWK47" s="116"/>
      <c r="IWL47" s="116"/>
      <c r="IWM47" s="116"/>
      <c r="IWN47" s="116"/>
      <c r="IWO47" s="116"/>
      <c r="IWP47" s="116"/>
      <c r="IWQ47" s="116"/>
      <c r="IWR47" s="116"/>
      <c r="IWS47" s="116"/>
      <c r="IWT47" s="116"/>
      <c r="IWU47" s="116"/>
      <c r="IWV47" s="116"/>
      <c r="IWW47" s="116"/>
      <c r="IWX47" s="116"/>
      <c r="IWY47" s="116"/>
      <c r="IWZ47" s="116"/>
      <c r="IXA47" s="116"/>
      <c r="IXB47" s="116"/>
      <c r="IXC47" s="116"/>
      <c r="IXD47" s="116"/>
      <c r="IXE47" s="116"/>
      <c r="IXF47" s="116"/>
      <c r="IXG47" s="116"/>
      <c r="IXH47" s="116"/>
      <c r="IXI47" s="116"/>
      <c r="IXJ47" s="116"/>
      <c r="IXK47" s="116"/>
      <c r="IXL47" s="116"/>
      <c r="IXM47" s="116"/>
      <c r="IXN47" s="116"/>
      <c r="IXO47" s="116"/>
      <c r="IXP47" s="116"/>
      <c r="IXQ47" s="116"/>
      <c r="IXR47" s="116"/>
      <c r="IXS47" s="116"/>
      <c r="IXT47" s="116"/>
      <c r="IXU47" s="116"/>
      <c r="IXV47" s="116"/>
      <c r="IXW47" s="116"/>
      <c r="IXX47" s="116"/>
      <c r="IXY47" s="116"/>
      <c r="IXZ47" s="116"/>
      <c r="IYA47" s="116"/>
      <c r="IYB47" s="116"/>
      <c r="IYC47" s="116"/>
      <c r="IYD47" s="116"/>
      <c r="IYE47" s="116"/>
      <c r="IYF47" s="116"/>
      <c r="IYG47" s="116"/>
      <c r="IYH47" s="116"/>
      <c r="IYI47" s="116"/>
      <c r="IYJ47" s="116"/>
      <c r="IYK47" s="116"/>
      <c r="IYL47" s="116"/>
      <c r="IYM47" s="116"/>
      <c r="IYN47" s="116"/>
      <c r="IYO47" s="116"/>
      <c r="IYP47" s="116"/>
      <c r="IYQ47" s="116"/>
      <c r="IYR47" s="116"/>
      <c r="IYS47" s="116"/>
      <c r="IYT47" s="116"/>
      <c r="IYU47" s="116"/>
      <c r="IYV47" s="116"/>
      <c r="IYW47" s="116"/>
      <c r="IYX47" s="116"/>
      <c r="IYY47" s="116"/>
      <c r="IYZ47" s="116"/>
      <c r="IZA47" s="116"/>
      <c r="IZB47" s="116"/>
      <c r="IZC47" s="116"/>
      <c r="IZD47" s="116"/>
      <c r="IZE47" s="116"/>
      <c r="IZF47" s="116"/>
      <c r="IZG47" s="116"/>
      <c r="IZH47" s="116"/>
      <c r="IZI47" s="116"/>
      <c r="IZJ47" s="116"/>
      <c r="IZK47" s="116"/>
      <c r="IZL47" s="116"/>
      <c r="IZM47" s="116"/>
      <c r="IZN47" s="116"/>
      <c r="IZO47" s="116"/>
      <c r="IZP47" s="116"/>
      <c r="IZQ47" s="116"/>
      <c r="IZR47" s="116"/>
      <c r="IZS47" s="116"/>
      <c r="IZT47" s="116"/>
      <c r="IZU47" s="116"/>
      <c r="IZV47" s="116"/>
      <c r="IZW47" s="116"/>
      <c r="IZX47" s="116"/>
      <c r="IZY47" s="116"/>
      <c r="IZZ47" s="116"/>
      <c r="JAA47" s="116"/>
      <c r="JAB47" s="116"/>
      <c r="JAC47" s="116"/>
      <c r="JAD47" s="116"/>
      <c r="JAE47" s="116"/>
      <c r="JAF47" s="116"/>
      <c r="JAG47" s="116"/>
      <c r="JAH47" s="116"/>
      <c r="JAI47" s="116"/>
      <c r="JAJ47" s="116"/>
      <c r="JAK47" s="116"/>
      <c r="JAL47" s="116"/>
      <c r="JAM47" s="116"/>
      <c r="JAN47" s="116"/>
      <c r="JAO47" s="116"/>
      <c r="JAP47" s="116"/>
      <c r="JAQ47" s="116"/>
      <c r="JAR47" s="116"/>
      <c r="JAS47" s="116"/>
      <c r="JAT47" s="116"/>
      <c r="JAU47" s="116"/>
      <c r="JAV47" s="116"/>
      <c r="JAW47" s="116"/>
      <c r="JAX47" s="116"/>
      <c r="JAY47" s="116"/>
      <c r="JAZ47" s="116"/>
      <c r="JBA47" s="116"/>
      <c r="JBB47" s="116"/>
      <c r="JBC47" s="116"/>
      <c r="JBD47" s="116"/>
      <c r="JBE47" s="116"/>
      <c r="JBF47" s="116"/>
      <c r="JBG47" s="116"/>
      <c r="JBH47" s="116"/>
      <c r="JBI47" s="116"/>
      <c r="JBJ47" s="116"/>
      <c r="JBK47" s="116"/>
      <c r="JBL47" s="116"/>
      <c r="JBM47" s="116"/>
      <c r="JBN47" s="116"/>
      <c r="JBO47" s="116"/>
      <c r="JBP47" s="116"/>
      <c r="JBQ47" s="116"/>
      <c r="JBR47" s="116"/>
      <c r="JBS47" s="116"/>
      <c r="JBT47" s="116"/>
      <c r="JBU47" s="116"/>
      <c r="JBV47" s="116"/>
      <c r="JBW47" s="116"/>
      <c r="JBX47" s="116"/>
      <c r="JBY47" s="116"/>
      <c r="JBZ47" s="116"/>
      <c r="JCA47" s="116"/>
      <c r="JCB47" s="116"/>
      <c r="JCC47" s="116"/>
      <c r="JCD47" s="116"/>
      <c r="JCE47" s="116"/>
      <c r="JCF47" s="116"/>
      <c r="JCG47" s="116"/>
      <c r="JCH47" s="116"/>
      <c r="JCI47" s="116"/>
      <c r="JCJ47" s="116"/>
      <c r="JCK47" s="116"/>
      <c r="JCL47" s="116"/>
      <c r="JCM47" s="116"/>
      <c r="JCN47" s="116"/>
      <c r="JCO47" s="116"/>
      <c r="JCP47" s="116"/>
      <c r="JCQ47" s="116"/>
      <c r="JCR47" s="116"/>
      <c r="JCS47" s="116"/>
      <c r="JCT47" s="116"/>
      <c r="JCU47" s="116"/>
      <c r="JCV47" s="116"/>
      <c r="JCW47" s="116"/>
      <c r="JCX47" s="116"/>
      <c r="JCY47" s="116"/>
      <c r="JCZ47" s="116"/>
      <c r="JDA47" s="116"/>
      <c r="JDB47" s="116"/>
      <c r="JDC47" s="116"/>
      <c r="JDD47" s="116"/>
      <c r="JDE47" s="116"/>
      <c r="JDF47" s="116"/>
      <c r="JDG47" s="116"/>
      <c r="JDH47" s="116"/>
      <c r="JDI47" s="116"/>
      <c r="JDJ47" s="116"/>
      <c r="JDK47" s="116"/>
      <c r="JDL47" s="116"/>
      <c r="JDM47" s="116"/>
      <c r="JDN47" s="116"/>
      <c r="JDO47" s="116"/>
      <c r="JDP47" s="116"/>
      <c r="JDQ47" s="116"/>
      <c r="JDR47" s="116"/>
      <c r="JDS47" s="116"/>
      <c r="JDT47" s="116"/>
      <c r="JDU47" s="116"/>
      <c r="JDV47" s="116"/>
      <c r="JDW47" s="116"/>
      <c r="JDX47" s="116"/>
      <c r="JDY47" s="116"/>
      <c r="JDZ47" s="116"/>
      <c r="JEA47" s="116"/>
      <c r="JEB47" s="116"/>
      <c r="JEC47" s="116"/>
      <c r="JED47" s="116"/>
      <c r="JEE47" s="116"/>
      <c r="JEF47" s="116"/>
      <c r="JEG47" s="116"/>
      <c r="JEH47" s="116"/>
      <c r="JEI47" s="116"/>
      <c r="JEJ47" s="116"/>
      <c r="JEK47" s="116"/>
      <c r="JEL47" s="116"/>
      <c r="JEM47" s="116"/>
      <c r="JEN47" s="116"/>
      <c r="JEO47" s="116"/>
      <c r="JEP47" s="116"/>
      <c r="JEQ47" s="116"/>
      <c r="JER47" s="116"/>
      <c r="JES47" s="116"/>
      <c r="JET47" s="116"/>
      <c r="JEU47" s="116"/>
      <c r="JEV47" s="116"/>
      <c r="JEW47" s="116"/>
      <c r="JEX47" s="116"/>
      <c r="JEY47" s="116"/>
      <c r="JEZ47" s="116"/>
      <c r="JFA47" s="116"/>
      <c r="JFB47" s="116"/>
      <c r="JFC47" s="116"/>
      <c r="JFD47" s="116"/>
      <c r="JFE47" s="116"/>
      <c r="JFF47" s="116"/>
      <c r="JFG47" s="116"/>
      <c r="JFH47" s="116"/>
      <c r="JFI47" s="116"/>
      <c r="JFJ47" s="116"/>
      <c r="JFK47" s="116"/>
      <c r="JFL47" s="116"/>
      <c r="JFM47" s="116"/>
      <c r="JFN47" s="116"/>
      <c r="JFO47" s="116"/>
      <c r="JFP47" s="116"/>
      <c r="JFQ47" s="116"/>
      <c r="JFR47" s="116"/>
      <c r="JFS47" s="116"/>
      <c r="JFT47" s="116"/>
      <c r="JFU47" s="116"/>
      <c r="JFV47" s="116"/>
      <c r="JFW47" s="116"/>
      <c r="JFX47" s="116"/>
      <c r="JFY47" s="116"/>
      <c r="JFZ47" s="116"/>
      <c r="JGA47" s="116"/>
      <c r="JGB47" s="116"/>
      <c r="JGC47" s="116"/>
      <c r="JGD47" s="116"/>
      <c r="JGE47" s="116"/>
      <c r="JGF47" s="116"/>
      <c r="JGG47" s="116"/>
      <c r="JGH47" s="116"/>
      <c r="JGI47" s="116"/>
      <c r="JGJ47" s="116"/>
      <c r="JGK47" s="116"/>
      <c r="JGL47" s="116"/>
      <c r="JGM47" s="116"/>
      <c r="JGN47" s="116"/>
      <c r="JGO47" s="116"/>
      <c r="JGP47" s="116"/>
      <c r="JGQ47" s="116"/>
      <c r="JGR47" s="116"/>
      <c r="JGS47" s="116"/>
      <c r="JGT47" s="116"/>
      <c r="JGU47" s="116"/>
      <c r="JGV47" s="116"/>
      <c r="JGW47" s="116"/>
      <c r="JGX47" s="116"/>
      <c r="JGY47" s="116"/>
      <c r="JGZ47" s="116"/>
      <c r="JHA47" s="116"/>
      <c r="JHB47" s="116"/>
      <c r="JHC47" s="116"/>
      <c r="JHD47" s="116"/>
      <c r="JHE47" s="116"/>
      <c r="JHF47" s="116"/>
      <c r="JHG47" s="116"/>
      <c r="JHH47" s="116"/>
      <c r="JHI47" s="116"/>
      <c r="JHJ47" s="116"/>
      <c r="JHK47" s="116"/>
      <c r="JHL47" s="116"/>
      <c r="JHM47" s="116"/>
      <c r="JHN47" s="116"/>
      <c r="JHO47" s="116"/>
      <c r="JHP47" s="116"/>
      <c r="JHQ47" s="116"/>
      <c r="JHR47" s="116"/>
      <c r="JHS47" s="116"/>
      <c r="JHT47" s="116"/>
      <c r="JHU47" s="116"/>
      <c r="JHV47" s="116"/>
      <c r="JHW47" s="116"/>
      <c r="JHX47" s="116"/>
      <c r="JHY47" s="116"/>
      <c r="JHZ47" s="116"/>
      <c r="JIA47" s="116"/>
      <c r="JIB47" s="116"/>
      <c r="JIC47" s="116"/>
      <c r="JID47" s="116"/>
      <c r="JIE47" s="116"/>
      <c r="JIF47" s="116"/>
      <c r="JIG47" s="116"/>
      <c r="JIH47" s="116"/>
      <c r="JII47" s="116"/>
      <c r="JIJ47" s="116"/>
      <c r="JIK47" s="116"/>
      <c r="JIL47" s="116"/>
      <c r="JIM47" s="116"/>
      <c r="JIN47" s="116"/>
      <c r="JIO47" s="116"/>
      <c r="JIP47" s="116"/>
      <c r="JIQ47" s="116"/>
      <c r="JIR47" s="116"/>
      <c r="JIS47" s="116"/>
      <c r="JIT47" s="116"/>
      <c r="JIU47" s="116"/>
      <c r="JIV47" s="116"/>
      <c r="JIW47" s="116"/>
      <c r="JIX47" s="116"/>
      <c r="JIY47" s="116"/>
      <c r="JIZ47" s="116"/>
      <c r="JJA47" s="116"/>
      <c r="JJB47" s="116"/>
      <c r="JJC47" s="116"/>
      <c r="JJD47" s="116"/>
      <c r="JJE47" s="116"/>
      <c r="JJF47" s="116"/>
      <c r="JJG47" s="116"/>
      <c r="JJH47" s="116"/>
      <c r="JJI47" s="116"/>
      <c r="JJJ47" s="116"/>
      <c r="JJK47" s="116"/>
      <c r="JJL47" s="116"/>
      <c r="JJM47" s="116"/>
      <c r="JJN47" s="116"/>
      <c r="JJO47" s="116"/>
      <c r="JJP47" s="116"/>
      <c r="JJQ47" s="116"/>
      <c r="JJR47" s="116"/>
      <c r="JJS47" s="116"/>
      <c r="JJT47" s="116"/>
      <c r="JJU47" s="116"/>
      <c r="JJV47" s="116"/>
      <c r="JJW47" s="116"/>
      <c r="JJX47" s="116"/>
      <c r="JJY47" s="116"/>
      <c r="JJZ47" s="116"/>
      <c r="JKA47" s="116"/>
      <c r="JKB47" s="116"/>
      <c r="JKC47" s="116"/>
      <c r="JKD47" s="116"/>
      <c r="JKE47" s="116"/>
      <c r="JKF47" s="116"/>
      <c r="JKG47" s="116"/>
      <c r="JKH47" s="116"/>
      <c r="JKI47" s="116"/>
      <c r="JKJ47" s="116"/>
      <c r="JKK47" s="116"/>
      <c r="JKL47" s="116"/>
      <c r="JKM47" s="116"/>
      <c r="JKN47" s="116"/>
      <c r="JKO47" s="116"/>
      <c r="JKP47" s="116"/>
      <c r="JKQ47" s="116"/>
      <c r="JKR47" s="116"/>
      <c r="JKS47" s="116"/>
      <c r="JKT47" s="116"/>
      <c r="JKU47" s="116"/>
      <c r="JKV47" s="116"/>
      <c r="JKW47" s="116"/>
      <c r="JKX47" s="116"/>
      <c r="JKY47" s="116"/>
      <c r="JKZ47" s="116"/>
      <c r="JLA47" s="116"/>
      <c r="JLB47" s="116"/>
      <c r="JLC47" s="116"/>
      <c r="JLD47" s="116"/>
      <c r="JLE47" s="116"/>
      <c r="JLF47" s="116"/>
      <c r="JLG47" s="116"/>
      <c r="JLH47" s="116"/>
      <c r="JLI47" s="116"/>
      <c r="JLJ47" s="116"/>
      <c r="JLK47" s="116"/>
      <c r="JLL47" s="116"/>
      <c r="JLM47" s="116"/>
      <c r="JLN47" s="116"/>
      <c r="JLO47" s="116"/>
      <c r="JLP47" s="116"/>
      <c r="JLQ47" s="116"/>
      <c r="JLR47" s="116"/>
      <c r="JLS47" s="116"/>
      <c r="JLT47" s="116"/>
      <c r="JLU47" s="116"/>
      <c r="JLV47" s="116"/>
      <c r="JLW47" s="116"/>
      <c r="JLX47" s="116"/>
      <c r="JLY47" s="116"/>
      <c r="JLZ47" s="116"/>
      <c r="JMA47" s="116"/>
      <c r="JMB47" s="116"/>
      <c r="JMC47" s="116"/>
      <c r="JMD47" s="116"/>
      <c r="JME47" s="116"/>
      <c r="JMF47" s="116"/>
      <c r="JMG47" s="116"/>
      <c r="JMH47" s="116"/>
      <c r="JMI47" s="116"/>
      <c r="JMJ47" s="116"/>
      <c r="JMK47" s="116"/>
      <c r="JML47" s="116"/>
      <c r="JMM47" s="116"/>
      <c r="JMN47" s="116"/>
      <c r="JMO47" s="116"/>
      <c r="JMP47" s="116"/>
      <c r="JMQ47" s="116"/>
      <c r="JMR47" s="116"/>
      <c r="JMS47" s="116"/>
      <c r="JMT47" s="116"/>
      <c r="JMU47" s="116"/>
      <c r="JMV47" s="116"/>
      <c r="JMW47" s="116"/>
      <c r="JMX47" s="116"/>
      <c r="JMY47" s="116"/>
      <c r="JMZ47" s="116"/>
      <c r="JNA47" s="116"/>
      <c r="JNB47" s="116"/>
      <c r="JNC47" s="116"/>
      <c r="JND47" s="116"/>
      <c r="JNE47" s="116"/>
      <c r="JNF47" s="116"/>
      <c r="JNG47" s="116"/>
      <c r="JNH47" s="116"/>
      <c r="JNI47" s="116"/>
      <c r="JNJ47" s="116"/>
      <c r="JNK47" s="116"/>
      <c r="JNL47" s="116"/>
      <c r="JNM47" s="116"/>
      <c r="JNN47" s="116"/>
      <c r="JNO47" s="116"/>
      <c r="JNP47" s="116"/>
      <c r="JNQ47" s="116"/>
      <c r="JNR47" s="116"/>
      <c r="JNS47" s="116"/>
      <c r="JNT47" s="116"/>
      <c r="JNU47" s="116"/>
      <c r="JNV47" s="116"/>
      <c r="JNW47" s="116"/>
      <c r="JNX47" s="116"/>
      <c r="JNY47" s="116"/>
      <c r="JNZ47" s="116"/>
      <c r="JOA47" s="116"/>
      <c r="JOB47" s="116"/>
      <c r="JOC47" s="116"/>
      <c r="JOD47" s="116"/>
      <c r="JOE47" s="116"/>
      <c r="JOF47" s="116"/>
      <c r="JOG47" s="116"/>
      <c r="JOH47" s="116"/>
      <c r="JOI47" s="116"/>
      <c r="JOJ47" s="116"/>
      <c r="JOK47" s="116"/>
      <c r="JOL47" s="116"/>
      <c r="JOM47" s="116"/>
      <c r="JON47" s="116"/>
      <c r="JOO47" s="116"/>
      <c r="JOP47" s="116"/>
      <c r="JOQ47" s="116"/>
      <c r="JOR47" s="116"/>
      <c r="JOS47" s="116"/>
      <c r="JOT47" s="116"/>
      <c r="JOU47" s="116"/>
      <c r="JOV47" s="116"/>
      <c r="JOW47" s="116"/>
      <c r="JOX47" s="116"/>
      <c r="JOY47" s="116"/>
      <c r="JOZ47" s="116"/>
      <c r="JPA47" s="116"/>
      <c r="JPB47" s="116"/>
      <c r="JPC47" s="116"/>
      <c r="JPD47" s="116"/>
      <c r="JPE47" s="116"/>
      <c r="JPF47" s="116"/>
      <c r="JPG47" s="116"/>
      <c r="JPH47" s="116"/>
      <c r="JPI47" s="116"/>
      <c r="JPJ47" s="116"/>
      <c r="JPK47" s="116"/>
      <c r="JPL47" s="116"/>
      <c r="JPM47" s="116"/>
      <c r="JPN47" s="116"/>
      <c r="JPO47" s="116"/>
      <c r="JPP47" s="116"/>
      <c r="JPQ47" s="116"/>
      <c r="JPR47" s="116"/>
      <c r="JPS47" s="116"/>
      <c r="JPT47" s="116"/>
      <c r="JPU47" s="116"/>
      <c r="JPV47" s="116"/>
      <c r="JPW47" s="116"/>
      <c r="JPX47" s="116"/>
      <c r="JPY47" s="116"/>
      <c r="JPZ47" s="116"/>
      <c r="JQA47" s="116"/>
      <c r="JQB47" s="116"/>
      <c r="JQC47" s="116"/>
      <c r="JQD47" s="116"/>
      <c r="JQE47" s="116"/>
      <c r="JQF47" s="116"/>
      <c r="JQG47" s="116"/>
      <c r="JQH47" s="116"/>
      <c r="JQI47" s="116"/>
      <c r="JQJ47" s="116"/>
      <c r="JQK47" s="116"/>
      <c r="JQL47" s="116"/>
      <c r="JQM47" s="116"/>
      <c r="JQN47" s="116"/>
      <c r="JQO47" s="116"/>
      <c r="JQP47" s="116"/>
      <c r="JQQ47" s="116"/>
      <c r="JQR47" s="116"/>
      <c r="JQS47" s="116"/>
      <c r="JQT47" s="116"/>
      <c r="JQU47" s="116"/>
      <c r="JQV47" s="116"/>
      <c r="JQW47" s="116"/>
      <c r="JQX47" s="116"/>
      <c r="JQY47" s="116"/>
      <c r="JQZ47" s="116"/>
      <c r="JRA47" s="116"/>
      <c r="JRB47" s="116"/>
      <c r="JRC47" s="116"/>
      <c r="JRD47" s="116"/>
      <c r="JRE47" s="116"/>
      <c r="JRF47" s="116"/>
      <c r="JRG47" s="116"/>
      <c r="JRH47" s="116"/>
      <c r="JRI47" s="116"/>
      <c r="JRJ47" s="116"/>
      <c r="JRK47" s="116"/>
      <c r="JRL47" s="116"/>
      <c r="JRM47" s="116"/>
      <c r="JRN47" s="116"/>
      <c r="JRO47" s="116"/>
      <c r="JRP47" s="116"/>
      <c r="JRQ47" s="116"/>
      <c r="JRR47" s="116"/>
      <c r="JRS47" s="116"/>
      <c r="JRT47" s="116"/>
      <c r="JRU47" s="116"/>
      <c r="JRV47" s="116"/>
      <c r="JRW47" s="116"/>
      <c r="JRX47" s="116"/>
      <c r="JRY47" s="116"/>
      <c r="JRZ47" s="116"/>
      <c r="JSA47" s="116"/>
      <c r="JSB47" s="116"/>
      <c r="JSC47" s="116"/>
      <c r="JSD47" s="116"/>
      <c r="JSE47" s="116"/>
      <c r="JSF47" s="116"/>
      <c r="JSG47" s="116"/>
      <c r="JSH47" s="116"/>
      <c r="JSI47" s="116"/>
      <c r="JSJ47" s="116"/>
      <c r="JSK47" s="116"/>
      <c r="JSL47" s="116"/>
      <c r="JSM47" s="116"/>
      <c r="JSN47" s="116"/>
      <c r="JSO47" s="116"/>
      <c r="JSP47" s="116"/>
      <c r="JSQ47" s="116"/>
      <c r="JSR47" s="116"/>
      <c r="JSS47" s="116"/>
      <c r="JST47" s="116"/>
      <c r="JSU47" s="116"/>
      <c r="JSV47" s="116"/>
      <c r="JSW47" s="116"/>
      <c r="JSX47" s="116"/>
      <c r="JSY47" s="116"/>
      <c r="JSZ47" s="116"/>
      <c r="JTA47" s="116"/>
      <c r="JTB47" s="116"/>
      <c r="JTC47" s="116"/>
      <c r="JTD47" s="116"/>
      <c r="JTE47" s="116"/>
      <c r="JTF47" s="116"/>
      <c r="JTG47" s="116"/>
      <c r="JTH47" s="116"/>
      <c r="JTI47" s="116"/>
      <c r="JTJ47" s="116"/>
      <c r="JTK47" s="116"/>
      <c r="JTL47" s="116"/>
      <c r="JTM47" s="116"/>
      <c r="JTN47" s="116"/>
      <c r="JTO47" s="116"/>
      <c r="JTP47" s="116"/>
      <c r="JTQ47" s="116"/>
      <c r="JTR47" s="116"/>
      <c r="JTS47" s="116"/>
      <c r="JTT47" s="116"/>
      <c r="JTU47" s="116"/>
      <c r="JTV47" s="116"/>
      <c r="JTW47" s="116"/>
      <c r="JTX47" s="116"/>
      <c r="JTY47" s="116"/>
      <c r="JTZ47" s="116"/>
      <c r="JUA47" s="116"/>
      <c r="JUB47" s="116"/>
      <c r="JUC47" s="116"/>
      <c r="JUD47" s="116"/>
      <c r="JUE47" s="116"/>
      <c r="JUF47" s="116"/>
      <c r="JUG47" s="116"/>
      <c r="JUH47" s="116"/>
      <c r="JUI47" s="116"/>
      <c r="JUJ47" s="116"/>
      <c r="JUK47" s="116"/>
      <c r="JUL47" s="116"/>
      <c r="JUM47" s="116"/>
      <c r="JUN47" s="116"/>
      <c r="JUO47" s="116"/>
      <c r="JUP47" s="116"/>
      <c r="JUQ47" s="116"/>
      <c r="JUR47" s="116"/>
      <c r="JUS47" s="116"/>
      <c r="JUT47" s="116"/>
      <c r="JUU47" s="116"/>
      <c r="JUV47" s="116"/>
      <c r="JUW47" s="116"/>
      <c r="JUX47" s="116"/>
      <c r="JUY47" s="116"/>
      <c r="JUZ47" s="116"/>
      <c r="JVA47" s="116"/>
      <c r="JVB47" s="116"/>
      <c r="JVC47" s="116"/>
      <c r="JVD47" s="116"/>
      <c r="JVE47" s="116"/>
      <c r="JVF47" s="116"/>
      <c r="JVG47" s="116"/>
      <c r="JVH47" s="116"/>
      <c r="JVI47" s="116"/>
      <c r="JVJ47" s="116"/>
      <c r="JVK47" s="116"/>
      <c r="JVL47" s="116"/>
      <c r="JVM47" s="116"/>
      <c r="JVN47" s="116"/>
      <c r="JVO47" s="116"/>
      <c r="JVP47" s="116"/>
      <c r="JVQ47" s="116"/>
      <c r="JVR47" s="116"/>
      <c r="JVS47" s="116"/>
      <c r="JVT47" s="116"/>
      <c r="JVU47" s="116"/>
      <c r="JVV47" s="116"/>
      <c r="JVW47" s="116"/>
      <c r="JVX47" s="116"/>
      <c r="JVY47" s="116"/>
      <c r="JVZ47" s="116"/>
      <c r="JWA47" s="116"/>
      <c r="JWB47" s="116"/>
      <c r="JWC47" s="116"/>
      <c r="JWD47" s="116"/>
      <c r="JWE47" s="116"/>
      <c r="JWF47" s="116"/>
      <c r="JWG47" s="116"/>
      <c r="JWH47" s="116"/>
      <c r="JWI47" s="116"/>
      <c r="JWJ47" s="116"/>
      <c r="JWK47" s="116"/>
      <c r="JWL47" s="116"/>
      <c r="JWM47" s="116"/>
      <c r="JWN47" s="116"/>
      <c r="JWO47" s="116"/>
      <c r="JWP47" s="116"/>
      <c r="JWQ47" s="116"/>
      <c r="JWR47" s="116"/>
      <c r="JWS47" s="116"/>
      <c r="JWT47" s="116"/>
      <c r="JWU47" s="116"/>
      <c r="JWV47" s="116"/>
      <c r="JWW47" s="116"/>
      <c r="JWX47" s="116"/>
      <c r="JWY47" s="116"/>
      <c r="JWZ47" s="116"/>
      <c r="JXA47" s="116"/>
      <c r="JXB47" s="116"/>
      <c r="JXC47" s="116"/>
      <c r="JXD47" s="116"/>
      <c r="JXE47" s="116"/>
      <c r="JXF47" s="116"/>
      <c r="JXG47" s="116"/>
      <c r="JXH47" s="116"/>
      <c r="JXI47" s="116"/>
      <c r="JXJ47" s="116"/>
      <c r="JXK47" s="116"/>
      <c r="JXL47" s="116"/>
      <c r="JXM47" s="116"/>
      <c r="JXN47" s="116"/>
      <c r="JXO47" s="116"/>
      <c r="JXP47" s="116"/>
      <c r="JXQ47" s="116"/>
      <c r="JXR47" s="116"/>
      <c r="JXS47" s="116"/>
      <c r="JXT47" s="116"/>
      <c r="JXU47" s="116"/>
      <c r="JXV47" s="116"/>
      <c r="JXW47" s="116"/>
      <c r="JXX47" s="116"/>
      <c r="JXY47" s="116"/>
      <c r="JXZ47" s="116"/>
      <c r="JYA47" s="116"/>
      <c r="JYB47" s="116"/>
      <c r="JYC47" s="116"/>
      <c r="JYD47" s="116"/>
      <c r="JYE47" s="116"/>
      <c r="JYF47" s="116"/>
      <c r="JYG47" s="116"/>
      <c r="JYH47" s="116"/>
      <c r="JYI47" s="116"/>
      <c r="JYJ47" s="116"/>
      <c r="JYK47" s="116"/>
      <c r="JYL47" s="116"/>
      <c r="JYM47" s="116"/>
      <c r="JYN47" s="116"/>
      <c r="JYO47" s="116"/>
      <c r="JYP47" s="116"/>
      <c r="JYQ47" s="116"/>
      <c r="JYR47" s="116"/>
      <c r="JYS47" s="116"/>
      <c r="JYT47" s="116"/>
      <c r="JYU47" s="116"/>
      <c r="JYV47" s="116"/>
      <c r="JYW47" s="116"/>
      <c r="JYX47" s="116"/>
      <c r="JYY47" s="116"/>
      <c r="JYZ47" s="116"/>
      <c r="JZA47" s="116"/>
      <c r="JZB47" s="116"/>
      <c r="JZC47" s="116"/>
      <c r="JZD47" s="116"/>
      <c r="JZE47" s="116"/>
      <c r="JZF47" s="116"/>
      <c r="JZG47" s="116"/>
      <c r="JZH47" s="116"/>
      <c r="JZI47" s="116"/>
      <c r="JZJ47" s="116"/>
      <c r="JZK47" s="116"/>
      <c r="JZL47" s="116"/>
      <c r="JZM47" s="116"/>
      <c r="JZN47" s="116"/>
      <c r="JZO47" s="116"/>
      <c r="JZP47" s="116"/>
      <c r="JZQ47" s="116"/>
      <c r="JZR47" s="116"/>
      <c r="JZS47" s="116"/>
      <c r="JZT47" s="116"/>
      <c r="JZU47" s="116"/>
      <c r="JZV47" s="116"/>
      <c r="JZW47" s="116"/>
      <c r="JZX47" s="116"/>
      <c r="JZY47" s="116"/>
      <c r="JZZ47" s="116"/>
      <c r="KAA47" s="116"/>
      <c r="KAB47" s="116"/>
      <c r="KAC47" s="116"/>
      <c r="KAD47" s="116"/>
      <c r="KAE47" s="116"/>
      <c r="KAF47" s="116"/>
      <c r="KAG47" s="116"/>
      <c r="KAH47" s="116"/>
      <c r="KAI47" s="116"/>
      <c r="KAJ47" s="116"/>
      <c r="KAK47" s="116"/>
      <c r="KAL47" s="116"/>
      <c r="KAM47" s="116"/>
      <c r="KAN47" s="116"/>
      <c r="KAO47" s="116"/>
      <c r="KAP47" s="116"/>
      <c r="KAQ47" s="116"/>
      <c r="KAR47" s="116"/>
      <c r="KAS47" s="116"/>
      <c r="KAT47" s="116"/>
      <c r="KAU47" s="116"/>
      <c r="KAV47" s="116"/>
      <c r="KAW47" s="116"/>
      <c r="KAX47" s="116"/>
      <c r="KAY47" s="116"/>
      <c r="KAZ47" s="116"/>
      <c r="KBA47" s="116"/>
      <c r="KBB47" s="116"/>
      <c r="KBC47" s="116"/>
      <c r="KBD47" s="116"/>
      <c r="KBE47" s="116"/>
      <c r="KBF47" s="116"/>
      <c r="KBG47" s="116"/>
      <c r="KBH47" s="116"/>
      <c r="KBI47" s="116"/>
      <c r="KBJ47" s="116"/>
      <c r="KBK47" s="116"/>
      <c r="KBL47" s="116"/>
      <c r="KBM47" s="116"/>
      <c r="KBN47" s="116"/>
      <c r="KBO47" s="116"/>
      <c r="KBP47" s="116"/>
      <c r="KBQ47" s="116"/>
      <c r="KBR47" s="116"/>
      <c r="KBS47" s="116"/>
      <c r="KBT47" s="116"/>
      <c r="KBU47" s="116"/>
      <c r="KBV47" s="116"/>
      <c r="KBW47" s="116"/>
      <c r="KBX47" s="116"/>
      <c r="KBY47" s="116"/>
      <c r="KBZ47" s="116"/>
      <c r="KCA47" s="116"/>
      <c r="KCB47" s="116"/>
      <c r="KCC47" s="116"/>
      <c r="KCD47" s="116"/>
      <c r="KCE47" s="116"/>
      <c r="KCF47" s="116"/>
      <c r="KCG47" s="116"/>
      <c r="KCH47" s="116"/>
      <c r="KCI47" s="116"/>
      <c r="KCJ47" s="116"/>
      <c r="KCK47" s="116"/>
      <c r="KCL47" s="116"/>
      <c r="KCM47" s="116"/>
      <c r="KCN47" s="116"/>
      <c r="KCO47" s="116"/>
      <c r="KCP47" s="116"/>
      <c r="KCQ47" s="116"/>
      <c r="KCR47" s="116"/>
      <c r="KCS47" s="116"/>
      <c r="KCT47" s="116"/>
      <c r="KCU47" s="116"/>
      <c r="KCV47" s="116"/>
      <c r="KCW47" s="116"/>
      <c r="KCX47" s="116"/>
      <c r="KCY47" s="116"/>
      <c r="KCZ47" s="116"/>
      <c r="KDA47" s="116"/>
      <c r="KDB47" s="116"/>
      <c r="KDC47" s="116"/>
      <c r="KDD47" s="116"/>
      <c r="KDE47" s="116"/>
      <c r="KDF47" s="116"/>
      <c r="KDG47" s="116"/>
      <c r="KDH47" s="116"/>
      <c r="KDI47" s="116"/>
      <c r="KDJ47" s="116"/>
      <c r="KDK47" s="116"/>
      <c r="KDL47" s="116"/>
      <c r="KDM47" s="116"/>
      <c r="KDN47" s="116"/>
      <c r="KDO47" s="116"/>
      <c r="KDP47" s="116"/>
      <c r="KDQ47" s="116"/>
      <c r="KDR47" s="116"/>
      <c r="KDS47" s="116"/>
      <c r="KDT47" s="116"/>
      <c r="KDU47" s="116"/>
      <c r="KDV47" s="116"/>
      <c r="KDW47" s="116"/>
      <c r="KDX47" s="116"/>
      <c r="KDY47" s="116"/>
      <c r="KDZ47" s="116"/>
      <c r="KEA47" s="116"/>
      <c r="KEB47" s="116"/>
      <c r="KEC47" s="116"/>
      <c r="KED47" s="116"/>
      <c r="KEE47" s="116"/>
      <c r="KEF47" s="116"/>
      <c r="KEG47" s="116"/>
      <c r="KEH47" s="116"/>
      <c r="KEI47" s="116"/>
      <c r="KEJ47" s="116"/>
      <c r="KEK47" s="116"/>
      <c r="KEL47" s="116"/>
      <c r="KEM47" s="116"/>
      <c r="KEN47" s="116"/>
      <c r="KEO47" s="116"/>
      <c r="KEP47" s="116"/>
      <c r="KEQ47" s="116"/>
      <c r="KER47" s="116"/>
      <c r="KES47" s="116"/>
      <c r="KET47" s="116"/>
      <c r="KEU47" s="116"/>
      <c r="KEV47" s="116"/>
      <c r="KEW47" s="116"/>
      <c r="KEX47" s="116"/>
      <c r="KEY47" s="116"/>
      <c r="KEZ47" s="116"/>
      <c r="KFA47" s="116"/>
      <c r="KFB47" s="116"/>
      <c r="KFC47" s="116"/>
      <c r="KFD47" s="116"/>
      <c r="KFE47" s="116"/>
      <c r="KFF47" s="116"/>
      <c r="KFG47" s="116"/>
      <c r="KFH47" s="116"/>
      <c r="KFI47" s="116"/>
      <c r="KFJ47" s="116"/>
      <c r="KFK47" s="116"/>
      <c r="KFL47" s="116"/>
      <c r="KFM47" s="116"/>
      <c r="KFN47" s="116"/>
      <c r="KFO47" s="116"/>
      <c r="KFP47" s="116"/>
      <c r="KFQ47" s="116"/>
      <c r="KFR47" s="116"/>
      <c r="KFS47" s="116"/>
      <c r="KFT47" s="116"/>
      <c r="KFU47" s="116"/>
      <c r="KFV47" s="116"/>
      <c r="KFW47" s="116"/>
      <c r="KFX47" s="116"/>
      <c r="KFY47" s="116"/>
      <c r="KFZ47" s="116"/>
      <c r="KGA47" s="116"/>
      <c r="KGB47" s="116"/>
      <c r="KGC47" s="116"/>
      <c r="KGD47" s="116"/>
      <c r="KGE47" s="116"/>
      <c r="KGF47" s="116"/>
      <c r="KGG47" s="116"/>
      <c r="KGH47" s="116"/>
      <c r="KGI47" s="116"/>
      <c r="KGJ47" s="116"/>
      <c r="KGK47" s="116"/>
      <c r="KGL47" s="116"/>
      <c r="KGM47" s="116"/>
      <c r="KGN47" s="116"/>
      <c r="KGO47" s="116"/>
      <c r="KGP47" s="116"/>
      <c r="KGQ47" s="116"/>
      <c r="KGR47" s="116"/>
      <c r="KGS47" s="116"/>
      <c r="KGT47" s="116"/>
      <c r="KGU47" s="116"/>
      <c r="KGV47" s="116"/>
      <c r="KGW47" s="116"/>
      <c r="KGX47" s="116"/>
      <c r="KGY47" s="116"/>
      <c r="KGZ47" s="116"/>
      <c r="KHA47" s="116"/>
      <c r="KHB47" s="116"/>
      <c r="KHC47" s="116"/>
      <c r="KHD47" s="116"/>
      <c r="KHE47" s="116"/>
      <c r="KHF47" s="116"/>
      <c r="KHG47" s="116"/>
      <c r="KHH47" s="116"/>
      <c r="KHI47" s="116"/>
      <c r="KHJ47" s="116"/>
      <c r="KHK47" s="116"/>
      <c r="KHL47" s="116"/>
      <c r="KHM47" s="116"/>
      <c r="KHN47" s="116"/>
      <c r="KHO47" s="116"/>
      <c r="KHP47" s="116"/>
      <c r="KHQ47" s="116"/>
      <c r="KHR47" s="116"/>
      <c r="KHS47" s="116"/>
      <c r="KHT47" s="116"/>
      <c r="KHU47" s="116"/>
      <c r="KHV47" s="116"/>
      <c r="KHW47" s="116"/>
      <c r="KHX47" s="116"/>
      <c r="KHY47" s="116"/>
      <c r="KHZ47" s="116"/>
      <c r="KIA47" s="116"/>
      <c r="KIB47" s="116"/>
      <c r="KIC47" s="116"/>
      <c r="KID47" s="116"/>
      <c r="KIE47" s="116"/>
      <c r="KIF47" s="116"/>
      <c r="KIG47" s="116"/>
      <c r="KIH47" s="116"/>
      <c r="KII47" s="116"/>
      <c r="KIJ47" s="116"/>
      <c r="KIK47" s="116"/>
      <c r="KIL47" s="116"/>
      <c r="KIM47" s="116"/>
      <c r="KIN47" s="116"/>
      <c r="KIO47" s="116"/>
      <c r="KIP47" s="116"/>
      <c r="KIQ47" s="116"/>
      <c r="KIR47" s="116"/>
      <c r="KIS47" s="116"/>
      <c r="KIT47" s="116"/>
      <c r="KIU47" s="116"/>
      <c r="KIV47" s="116"/>
      <c r="KIW47" s="116"/>
      <c r="KIX47" s="116"/>
      <c r="KIY47" s="116"/>
      <c r="KIZ47" s="116"/>
      <c r="KJA47" s="116"/>
      <c r="KJB47" s="116"/>
      <c r="KJC47" s="116"/>
      <c r="KJD47" s="116"/>
      <c r="KJE47" s="116"/>
      <c r="KJF47" s="116"/>
      <c r="KJG47" s="116"/>
      <c r="KJH47" s="116"/>
      <c r="KJI47" s="116"/>
      <c r="KJJ47" s="116"/>
      <c r="KJK47" s="116"/>
      <c r="KJL47" s="116"/>
      <c r="KJM47" s="116"/>
      <c r="KJN47" s="116"/>
      <c r="KJO47" s="116"/>
      <c r="KJP47" s="116"/>
      <c r="KJQ47" s="116"/>
      <c r="KJR47" s="116"/>
      <c r="KJS47" s="116"/>
      <c r="KJT47" s="116"/>
      <c r="KJU47" s="116"/>
      <c r="KJV47" s="116"/>
      <c r="KJW47" s="116"/>
      <c r="KJX47" s="116"/>
      <c r="KJY47" s="116"/>
      <c r="KJZ47" s="116"/>
      <c r="KKA47" s="116"/>
      <c r="KKB47" s="116"/>
      <c r="KKC47" s="116"/>
      <c r="KKD47" s="116"/>
      <c r="KKE47" s="116"/>
      <c r="KKF47" s="116"/>
      <c r="KKG47" s="116"/>
      <c r="KKH47" s="116"/>
      <c r="KKI47" s="116"/>
      <c r="KKJ47" s="116"/>
      <c r="KKK47" s="116"/>
      <c r="KKL47" s="116"/>
      <c r="KKM47" s="116"/>
      <c r="KKN47" s="116"/>
      <c r="KKO47" s="116"/>
      <c r="KKP47" s="116"/>
      <c r="KKQ47" s="116"/>
      <c r="KKR47" s="116"/>
      <c r="KKS47" s="116"/>
      <c r="KKT47" s="116"/>
      <c r="KKU47" s="116"/>
      <c r="KKV47" s="116"/>
      <c r="KKW47" s="116"/>
      <c r="KKX47" s="116"/>
      <c r="KKY47" s="116"/>
      <c r="KKZ47" s="116"/>
      <c r="KLA47" s="116"/>
      <c r="KLB47" s="116"/>
      <c r="KLC47" s="116"/>
      <c r="KLD47" s="116"/>
      <c r="KLE47" s="116"/>
      <c r="KLF47" s="116"/>
      <c r="KLG47" s="116"/>
      <c r="KLH47" s="116"/>
      <c r="KLI47" s="116"/>
      <c r="KLJ47" s="116"/>
      <c r="KLK47" s="116"/>
      <c r="KLL47" s="116"/>
      <c r="KLM47" s="116"/>
      <c r="KLN47" s="116"/>
      <c r="KLO47" s="116"/>
      <c r="KLP47" s="116"/>
      <c r="KLQ47" s="116"/>
      <c r="KLR47" s="116"/>
      <c r="KLS47" s="116"/>
      <c r="KLT47" s="116"/>
      <c r="KLU47" s="116"/>
      <c r="KLV47" s="116"/>
      <c r="KLW47" s="116"/>
      <c r="KLX47" s="116"/>
      <c r="KLY47" s="116"/>
      <c r="KLZ47" s="116"/>
      <c r="KMA47" s="116"/>
      <c r="KMB47" s="116"/>
      <c r="KMC47" s="116"/>
      <c r="KMD47" s="116"/>
      <c r="KME47" s="116"/>
      <c r="KMF47" s="116"/>
      <c r="KMG47" s="116"/>
      <c r="KMH47" s="116"/>
      <c r="KMI47" s="116"/>
      <c r="KMJ47" s="116"/>
      <c r="KMK47" s="116"/>
      <c r="KML47" s="116"/>
      <c r="KMM47" s="116"/>
      <c r="KMN47" s="116"/>
      <c r="KMO47" s="116"/>
      <c r="KMP47" s="116"/>
      <c r="KMQ47" s="116"/>
      <c r="KMR47" s="116"/>
      <c r="KMS47" s="116"/>
      <c r="KMT47" s="116"/>
      <c r="KMU47" s="116"/>
      <c r="KMV47" s="116"/>
      <c r="KMW47" s="116"/>
      <c r="KMX47" s="116"/>
      <c r="KMY47" s="116"/>
      <c r="KMZ47" s="116"/>
      <c r="KNA47" s="116"/>
      <c r="KNB47" s="116"/>
      <c r="KNC47" s="116"/>
      <c r="KND47" s="116"/>
      <c r="KNE47" s="116"/>
      <c r="KNF47" s="116"/>
      <c r="KNG47" s="116"/>
      <c r="KNH47" s="116"/>
      <c r="KNI47" s="116"/>
      <c r="KNJ47" s="116"/>
      <c r="KNK47" s="116"/>
      <c r="KNL47" s="116"/>
      <c r="KNM47" s="116"/>
      <c r="KNN47" s="116"/>
      <c r="KNO47" s="116"/>
      <c r="KNP47" s="116"/>
      <c r="KNQ47" s="116"/>
      <c r="KNR47" s="116"/>
      <c r="KNS47" s="116"/>
      <c r="KNT47" s="116"/>
      <c r="KNU47" s="116"/>
      <c r="KNV47" s="116"/>
      <c r="KNW47" s="116"/>
      <c r="KNX47" s="116"/>
      <c r="KNY47" s="116"/>
      <c r="KNZ47" s="116"/>
      <c r="KOA47" s="116"/>
      <c r="KOB47" s="116"/>
      <c r="KOC47" s="116"/>
      <c r="KOD47" s="116"/>
      <c r="KOE47" s="116"/>
      <c r="KOF47" s="116"/>
      <c r="KOG47" s="116"/>
      <c r="KOH47" s="116"/>
      <c r="KOI47" s="116"/>
      <c r="KOJ47" s="116"/>
      <c r="KOK47" s="116"/>
      <c r="KOL47" s="116"/>
      <c r="KOM47" s="116"/>
      <c r="KON47" s="116"/>
      <c r="KOO47" s="116"/>
      <c r="KOP47" s="116"/>
      <c r="KOQ47" s="116"/>
      <c r="KOR47" s="116"/>
      <c r="KOS47" s="116"/>
      <c r="KOT47" s="116"/>
      <c r="KOU47" s="116"/>
      <c r="KOV47" s="116"/>
      <c r="KOW47" s="116"/>
      <c r="KOX47" s="116"/>
      <c r="KOY47" s="116"/>
      <c r="KOZ47" s="116"/>
      <c r="KPA47" s="116"/>
      <c r="KPB47" s="116"/>
      <c r="KPC47" s="116"/>
      <c r="KPD47" s="116"/>
      <c r="KPE47" s="116"/>
      <c r="KPF47" s="116"/>
      <c r="KPG47" s="116"/>
      <c r="KPH47" s="116"/>
      <c r="KPI47" s="116"/>
      <c r="KPJ47" s="116"/>
      <c r="KPK47" s="116"/>
      <c r="KPL47" s="116"/>
      <c r="KPM47" s="116"/>
      <c r="KPN47" s="116"/>
      <c r="KPO47" s="116"/>
      <c r="KPP47" s="116"/>
      <c r="KPQ47" s="116"/>
      <c r="KPR47" s="116"/>
      <c r="KPS47" s="116"/>
      <c r="KPT47" s="116"/>
      <c r="KPU47" s="116"/>
      <c r="KPV47" s="116"/>
      <c r="KPW47" s="116"/>
      <c r="KPX47" s="116"/>
      <c r="KPY47" s="116"/>
      <c r="KPZ47" s="116"/>
      <c r="KQA47" s="116"/>
      <c r="KQB47" s="116"/>
      <c r="KQC47" s="116"/>
      <c r="KQD47" s="116"/>
      <c r="KQE47" s="116"/>
      <c r="KQF47" s="116"/>
      <c r="KQG47" s="116"/>
      <c r="KQH47" s="116"/>
      <c r="KQI47" s="116"/>
      <c r="KQJ47" s="116"/>
      <c r="KQK47" s="116"/>
      <c r="KQL47" s="116"/>
      <c r="KQM47" s="116"/>
      <c r="KQN47" s="116"/>
      <c r="KQO47" s="116"/>
      <c r="KQP47" s="116"/>
      <c r="KQQ47" s="116"/>
      <c r="KQR47" s="116"/>
      <c r="KQS47" s="116"/>
      <c r="KQT47" s="116"/>
      <c r="KQU47" s="116"/>
      <c r="KQV47" s="116"/>
      <c r="KQW47" s="116"/>
      <c r="KQX47" s="116"/>
      <c r="KQY47" s="116"/>
      <c r="KQZ47" s="116"/>
      <c r="KRA47" s="116"/>
      <c r="KRB47" s="116"/>
      <c r="KRC47" s="116"/>
      <c r="KRD47" s="116"/>
      <c r="KRE47" s="116"/>
      <c r="KRF47" s="116"/>
      <c r="KRG47" s="116"/>
      <c r="KRH47" s="116"/>
      <c r="KRI47" s="116"/>
      <c r="KRJ47" s="116"/>
      <c r="KRK47" s="116"/>
      <c r="KRL47" s="116"/>
      <c r="KRM47" s="116"/>
      <c r="KRN47" s="116"/>
      <c r="KRO47" s="116"/>
      <c r="KRP47" s="116"/>
      <c r="KRQ47" s="116"/>
      <c r="KRR47" s="116"/>
      <c r="KRS47" s="116"/>
      <c r="KRT47" s="116"/>
      <c r="KRU47" s="116"/>
      <c r="KRV47" s="116"/>
      <c r="KRW47" s="116"/>
      <c r="KRX47" s="116"/>
      <c r="KRY47" s="116"/>
      <c r="KRZ47" s="116"/>
      <c r="KSA47" s="116"/>
      <c r="KSB47" s="116"/>
      <c r="KSC47" s="116"/>
      <c r="KSD47" s="116"/>
      <c r="KSE47" s="116"/>
      <c r="KSF47" s="116"/>
      <c r="KSG47" s="116"/>
      <c r="KSH47" s="116"/>
      <c r="KSI47" s="116"/>
      <c r="KSJ47" s="116"/>
      <c r="KSK47" s="116"/>
      <c r="KSL47" s="116"/>
      <c r="KSM47" s="116"/>
      <c r="KSN47" s="116"/>
      <c r="KSO47" s="116"/>
      <c r="KSP47" s="116"/>
      <c r="KSQ47" s="116"/>
      <c r="KSR47" s="116"/>
      <c r="KSS47" s="116"/>
      <c r="KST47" s="116"/>
      <c r="KSU47" s="116"/>
      <c r="KSV47" s="116"/>
      <c r="KSW47" s="116"/>
      <c r="KSX47" s="116"/>
      <c r="KSY47" s="116"/>
      <c r="KSZ47" s="116"/>
      <c r="KTA47" s="116"/>
      <c r="KTB47" s="116"/>
      <c r="KTC47" s="116"/>
      <c r="KTD47" s="116"/>
      <c r="KTE47" s="116"/>
      <c r="KTF47" s="116"/>
      <c r="KTG47" s="116"/>
      <c r="KTH47" s="116"/>
      <c r="KTI47" s="116"/>
      <c r="KTJ47" s="116"/>
      <c r="KTK47" s="116"/>
      <c r="KTL47" s="116"/>
      <c r="KTM47" s="116"/>
      <c r="KTN47" s="116"/>
      <c r="KTO47" s="116"/>
      <c r="KTP47" s="116"/>
      <c r="KTQ47" s="116"/>
      <c r="KTR47" s="116"/>
      <c r="KTS47" s="116"/>
      <c r="KTT47" s="116"/>
      <c r="KTU47" s="116"/>
      <c r="KTV47" s="116"/>
      <c r="KTW47" s="116"/>
      <c r="KTX47" s="116"/>
      <c r="KTY47" s="116"/>
      <c r="KTZ47" s="116"/>
      <c r="KUA47" s="116"/>
      <c r="KUB47" s="116"/>
      <c r="KUC47" s="116"/>
      <c r="KUD47" s="116"/>
      <c r="KUE47" s="116"/>
      <c r="KUF47" s="116"/>
      <c r="KUG47" s="116"/>
      <c r="KUH47" s="116"/>
      <c r="KUI47" s="116"/>
      <c r="KUJ47" s="116"/>
      <c r="KUK47" s="116"/>
      <c r="KUL47" s="116"/>
      <c r="KUM47" s="116"/>
      <c r="KUN47" s="116"/>
      <c r="KUO47" s="116"/>
      <c r="KUP47" s="116"/>
      <c r="KUQ47" s="116"/>
      <c r="KUR47" s="116"/>
      <c r="KUS47" s="116"/>
      <c r="KUT47" s="116"/>
      <c r="KUU47" s="116"/>
      <c r="KUV47" s="116"/>
      <c r="KUW47" s="116"/>
      <c r="KUX47" s="116"/>
      <c r="KUY47" s="116"/>
      <c r="KUZ47" s="116"/>
      <c r="KVA47" s="116"/>
      <c r="KVB47" s="116"/>
      <c r="KVC47" s="116"/>
      <c r="KVD47" s="116"/>
      <c r="KVE47" s="116"/>
      <c r="KVF47" s="116"/>
      <c r="KVG47" s="116"/>
      <c r="KVH47" s="116"/>
      <c r="KVI47" s="116"/>
      <c r="KVJ47" s="116"/>
      <c r="KVK47" s="116"/>
      <c r="KVL47" s="116"/>
      <c r="KVM47" s="116"/>
      <c r="KVN47" s="116"/>
      <c r="KVO47" s="116"/>
      <c r="KVP47" s="116"/>
      <c r="KVQ47" s="116"/>
      <c r="KVR47" s="116"/>
      <c r="KVS47" s="116"/>
      <c r="KVT47" s="116"/>
      <c r="KVU47" s="116"/>
      <c r="KVV47" s="116"/>
      <c r="KVW47" s="116"/>
      <c r="KVX47" s="116"/>
      <c r="KVY47" s="116"/>
      <c r="KVZ47" s="116"/>
      <c r="KWA47" s="116"/>
      <c r="KWB47" s="116"/>
      <c r="KWC47" s="116"/>
      <c r="KWD47" s="116"/>
      <c r="KWE47" s="116"/>
      <c r="KWF47" s="116"/>
      <c r="KWG47" s="116"/>
      <c r="KWH47" s="116"/>
      <c r="KWI47" s="116"/>
      <c r="KWJ47" s="116"/>
      <c r="KWK47" s="116"/>
      <c r="KWL47" s="116"/>
      <c r="KWM47" s="116"/>
      <c r="KWN47" s="116"/>
      <c r="KWO47" s="116"/>
      <c r="KWP47" s="116"/>
      <c r="KWQ47" s="116"/>
      <c r="KWR47" s="116"/>
      <c r="KWS47" s="116"/>
      <c r="KWT47" s="116"/>
      <c r="KWU47" s="116"/>
      <c r="KWV47" s="116"/>
      <c r="KWW47" s="116"/>
      <c r="KWX47" s="116"/>
      <c r="KWY47" s="116"/>
      <c r="KWZ47" s="116"/>
      <c r="KXA47" s="116"/>
      <c r="KXB47" s="116"/>
      <c r="KXC47" s="116"/>
      <c r="KXD47" s="116"/>
      <c r="KXE47" s="116"/>
      <c r="KXF47" s="116"/>
      <c r="KXG47" s="116"/>
      <c r="KXH47" s="116"/>
      <c r="KXI47" s="116"/>
      <c r="KXJ47" s="116"/>
      <c r="KXK47" s="116"/>
      <c r="KXL47" s="116"/>
      <c r="KXM47" s="116"/>
      <c r="KXN47" s="116"/>
      <c r="KXO47" s="116"/>
      <c r="KXP47" s="116"/>
      <c r="KXQ47" s="116"/>
      <c r="KXR47" s="116"/>
      <c r="KXS47" s="116"/>
      <c r="KXT47" s="116"/>
      <c r="KXU47" s="116"/>
      <c r="KXV47" s="116"/>
      <c r="KXW47" s="116"/>
      <c r="KXX47" s="116"/>
      <c r="KXY47" s="116"/>
      <c r="KXZ47" s="116"/>
      <c r="KYA47" s="116"/>
      <c r="KYB47" s="116"/>
      <c r="KYC47" s="116"/>
      <c r="KYD47" s="116"/>
      <c r="KYE47" s="116"/>
      <c r="KYF47" s="116"/>
      <c r="KYG47" s="116"/>
      <c r="KYH47" s="116"/>
      <c r="KYI47" s="116"/>
      <c r="KYJ47" s="116"/>
      <c r="KYK47" s="116"/>
      <c r="KYL47" s="116"/>
      <c r="KYM47" s="116"/>
      <c r="KYN47" s="116"/>
      <c r="KYO47" s="116"/>
      <c r="KYP47" s="116"/>
      <c r="KYQ47" s="116"/>
      <c r="KYR47" s="116"/>
      <c r="KYS47" s="116"/>
      <c r="KYT47" s="116"/>
      <c r="KYU47" s="116"/>
      <c r="KYV47" s="116"/>
      <c r="KYW47" s="116"/>
      <c r="KYX47" s="116"/>
      <c r="KYY47" s="116"/>
      <c r="KYZ47" s="116"/>
      <c r="KZA47" s="116"/>
      <c r="KZB47" s="116"/>
      <c r="KZC47" s="116"/>
      <c r="KZD47" s="116"/>
      <c r="KZE47" s="116"/>
      <c r="KZF47" s="116"/>
      <c r="KZG47" s="116"/>
      <c r="KZH47" s="116"/>
      <c r="KZI47" s="116"/>
      <c r="KZJ47" s="116"/>
      <c r="KZK47" s="116"/>
      <c r="KZL47" s="116"/>
      <c r="KZM47" s="116"/>
      <c r="KZN47" s="116"/>
      <c r="KZO47" s="116"/>
      <c r="KZP47" s="116"/>
      <c r="KZQ47" s="116"/>
      <c r="KZR47" s="116"/>
      <c r="KZS47" s="116"/>
      <c r="KZT47" s="116"/>
      <c r="KZU47" s="116"/>
      <c r="KZV47" s="116"/>
      <c r="KZW47" s="116"/>
      <c r="KZX47" s="116"/>
      <c r="KZY47" s="116"/>
      <c r="KZZ47" s="116"/>
      <c r="LAA47" s="116"/>
      <c r="LAB47" s="116"/>
      <c r="LAC47" s="116"/>
      <c r="LAD47" s="116"/>
      <c r="LAE47" s="116"/>
      <c r="LAF47" s="116"/>
      <c r="LAG47" s="116"/>
      <c r="LAH47" s="116"/>
      <c r="LAI47" s="116"/>
      <c r="LAJ47" s="116"/>
      <c r="LAK47" s="116"/>
      <c r="LAL47" s="116"/>
      <c r="LAM47" s="116"/>
      <c r="LAN47" s="116"/>
      <c r="LAO47" s="116"/>
      <c r="LAP47" s="116"/>
      <c r="LAQ47" s="116"/>
      <c r="LAR47" s="116"/>
      <c r="LAS47" s="116"/>
      <c r="LAT47" s="116"/>
      <c r="LAU47" s="116"/>
      <c r="LAV47" s="116"/>
      <c r="LAW47" s="116"/>
      <c r="LAX47" s="116"/>
      <c r="LAY47" s="116"/>
      <c r="LAZ47" s="116"/>
      <c r="LBA47" s="116"/>
      <c r="LBB47" s="116"/>
      <c r="LBC47" s="116"/>
      <c r="LBD47" s="116"/>
      <c r="LBE47" s="116"/>
      <c r="LBF47" s="116"/>
      <c r="LBG47" s="116"/>
      <c r="LBH47" s="116"/>
      <c r="LBI47" s="116"/>
      <c r="LBJ47" s="116"/>
      <c r="LBK47" s="116"/>
      <c r="LBL47" s="116"/>
      <c r="LBM47" s="116"/>
      <c r="LBN47" s="116"/>
      <c r="LBO47" s="116"/>
      <c r="LBP47" s="116"/>
      <c r="LBQ47" s="116"/>
      <c r="LBR47" s="116"/>
      <c r="LBS47" s="116"/>
      <c r="LBT47" s="116"/>
      <c r="LBU47" s="116"/>
      <c r="LBV47" s="116"/>
      <c r="LBW47" s="116"/>
      <c r="LBX47" s="116"/>
      <c r="LBY47" s="116"/>
      <c r="LBZ47" s="116"/>
      <c r="LCA47" s="116"/>
      <c r="LCB47" s="116"/>
      <c r="LCC47" s="116"/>
      <c r="LCD47" s="116"/>
      <c r="LCE47" s="116"/>
      <c r="LCF47" s="116"/>
      <c r="LCG47" s="116"/>
      <c r="LCH47" s="116"/>
      <c r="LCI47" s="116"/>
      <c r="LCJ47" s="116"/>
      <c r="LCK47" s="116"/>
      <c r="LCL47" s="116"/>
      <c r="LCM47" s="116"/>
      <c r="LCN47" s="116"/>
      <c r="LCO47" s="116"/>
      <c r="LCP47" s="116"/>
      <c r="LCQ47" s="116"/>
      <c r="LCR47" s="116"/>
      <c r="LCS47" s="116"/>
      <c r="LCT47" s="116"/>
      <c r="LCU47" s="116"/>
      <c r="LCV47" s="116"/>
      <c r="LCW47" s="116"/>
      <c r="LCX47" s="116"/>
      <c r="LCY47" s="116"/>
      <c r="LCZ47" s="116"/>
      <c r="LDA47" s="116"/>
      <c r="LDB47" s="116"/>
      <c r="LDC47" s="116"/>
      <c r="LDD47" s="116"/>
      <c r="LDE47" s="116"/>
      <c r="LDF47" s="116"/>
      <c r="LDG47" s="116"/>
      <c r="LDH47" s="116"/>
      <c r="LDI47" s="116"/>
      <c r="LDJ47" s="116"/>
      <c r="LDK47" s="116"/>
      <c r="LDL47" s="116"/>
      <c r="LDM47" s="116"/>
      <c r="LDN47" s="116"/>
      <c r="LDO47" s="116"/>
      <c r="LDP47" s="116"/>
      <c r="LDQ47" s="116"/>
      <c r="LDR47" s="116"/>
      <c r="LDS47" s="116"/>
      <c r="LDT47" s="116"/>
      <c r="LDU47" s="116"/>
      <c r="LDV47" s="116"/>
      <c r="LDW47" s="116"/>
      <c r="LDX47" s="116"/>
      <c r="LDY47" s="116"/>
      <c r="LDZ47" s="116"/>
      <c r="LEA47" s="116"/>
      <c r="LEB47" s="116"/>
      <c r="LEC47" s="116"/>
      <c r="LED47" s="116"/>
      <c r="LEE47" s="116"/>
      <c r="LEF47" s="116"/>
      <c r="LEG47" s="116"/>
      <c r="LEH47" s="116"/>
      <c r="LEI47" s="116"/>
      <c r="LEJ47" s="116"/>
      <c r="LEK47" s="116"/>
      <c r="LEL47" s="116"/>
      <c r="LEM47" s="116"/>
      <c r="LEN47" s="116"/>
      <c r="LEO47" s="116"/>
      <c r="LEP47" s="116"/>
      <c r="LEQ47" s="116"/>
      <c r="LER47" s="116"/>
      <c r="LES47" s="116"/>
      <c r="LET47" s="116"/>
      <c r="LEU47" s="116"/>
      <c r="LEV47" s="116"/>
      <c r="LEW47" s="116"/>
      <c r="LEX47" s="116"/>
      <c r="LEY47" s="116"/>
      <c r="LEZ47" s="116"/>
      <c r="LFA47" s="116"/>
      <c r="LFB47" s="116"/>
      <c r="LFC47" s="116"/>
      <c r="LFD47" s="116"/>
      <c r="LFE47" s="116"/>
      <c r="LFF47" s="116"/>
      <c r="LFG47" s="116"/>
      <c r="LFH47" s="116"/>
      <c r="LFI47" s="116"/>
      <c r="LFJ47" s="116"/>
      <c r="LFK47" s="116"/>
      <c r="LFL47" s="116"/>
      <c r="LFM47" s="116"/>
      <c r="LFN47" s="116"/>
      <c r="LFO47" s="116"/>
      <c r="LFP47" s="116"/>
      <c r="LFQ47" s="116"/>
      <c r="LFR47" s="116"/>
      <c r="LFS47" s="116"/>
      <c r="LFT47" s="116"/>
      <c r="LFU47" s="116"/>
      <c r="LFV47" s="116"/>
      <c r="LFW47" s="116"/>
      <c r="LFX47" s="116"/>
      <c r="LFY47" s="116"/>
      <c r="LFZ47" s="116"/>
      <c r="LGA47" s="116"/>
      <c r="LGB47" s="116"/>
      <c r="LGC47" s="116"/>
      <c r="LGD47" s="116"/>
      <c r="LGE47" s="116"/>
      <c r="LGF47" s="116"/>
      <c r="LGG47" s="116"/>
      <c r="LGH47" s="116"/>
      <c r="LGI47" s="116"/>
      <c r="LGJ47" s="116"/>
      <c r="LGK47" s="116"/>
      <c r="LGL47" s="116"/>
      <c r="LGM47" s="116"/>
      <c r="LGN47" s="116"/>
      <c r="LGO47" s="116"/>
      <c r="LGP47" s="116"/>
      <c r="LGQ47" s="116"/>
      <c r="LGR47" s="116"/>
      <c r="LGS47" s="116"/>
      <c r="LGT47" s="116"/>
      <c r="LGU47" s="116"/>
      <c r="LGV47" s="116"/>
      <c r="LGW47" s="116"/>
      <c r="LGX47" s="116"/>
      <c r="LGY47" s="116"/>
      <c r="LGZ47" s="116"/>
      <c r="LHA47" s="116"/>
      <c r="LHB47" s="116"/>
      <c r="LHC47" s="116"/>
      <c r="LHD47" s="116"/>
      <c r="LHE47" s="116"/>
      <c r="LHF47" s="116"/>
      <c r="LHG47" s="116"/>
      <c r="LHH47" s="116"/>
      <c r="LHI47" s="116"/>
      <c r="LHJ47" s="116"/>
      <c r="LHK47" s="116"/>
      <c r="LHL47" s="116"/>
      <c r="LHM47" s="116"/>
      <c r="LHN47" s="116"/>
      <c r="LHO47" s="116"/>
      <c r="LHP47" s="116"/>
      <c r="LHQ47" s="116"/>
      <c r="LHR47" s="116"/>
      <c r="LHS47" s="116"/>
      <c r="LHT47" s="116"/>
      <c r="LHU47" s="116"/>
      <c r="LHV47" s="116"/>
      <c r="LHW47" s="116"/>
      <c r="LHX47" s="116"/>
      <c r="LHY47" s="116"/>
      <c r="LHZ47" s="116"/>
      <c r="LIA47" s="116"/>
      <c r="LIB47" s="116"/>
      <c r="LIC47" s="116"/>
      <c r="LID47" s="116"/>
      <c r="LIE47" s="116"/>
      <c r="LIF47" s="116"/>
      <c r="LIG47" s="116"/>
      <c r="LIH47" s="116"/>
      <c r="LII47" s="116"/>
      <c r="LIJ47" s="116"/>
      <c r="LIK47" s="116"/>
      <c r="LIL47" s="116"/>
      <c r="LIM47" s="116"/>
      <c r="LIN47" s="116"/>
      <c r="LIO47" s="116"/>
      <c r="LIP47" s="116"/>
      <c r="LIQ47" s="116"/>
      <c r="LIR47" s="116"/>
      <c r="LIS47" s="116"/>
      <c r="LIT47" s="116"/>
      <c r="LIU47" s="116"/>
      <c r="LIV47" s="116"/>
      <c r="LIW47" s="116"/>
      <c r="LIX47" s="116"/>
      <c r="LIY47" s="116"/>
      <c r="LIZ47" s="116"/>
      <c r="LJA47" s="116"/>
      <c r="LJB47" s="116"/>
      <c r="LJC47" s="116"/>
      <c r="LJD47" s="116"/>
      <c r="LJE47" s="116"/>
      <c r="LJF47" s="116"/>
      <c r="LJG47" s="116"/>
      <c r="LJH47" s="116"/>
      <c r="LJI47" s="116"/>
      <c r="LJJ47" s="116"/>
      <c r="LJK47" s="116"/>
      <c r="LJL47" s="116"/>
      <c r="LJM47" s="116"/>
      <c r="LJN47" s="116"/>
      <c r="LJO47" s="116"/>
      <c r="LJP47" s="116"/>
      <c r="LJQ47" s="116"/>
      <c r="LJR47" s="116"/>
      <c r="LJS47" s="116"/>
      <c r="LJT47" s="116"/>
      <c r="LJU47" s="116"/>
      <c r="LJV47" s="116"/>
      <c r="LJW47" s="116"/>
      <c r="LJX47" s="116"/>
      <c r="LJY47" s="116"/>
      <c r="LJZ47" s="116"/>
      <c r="LKA47" s="116"/>
      <c r="LKB47" s="116"/>
      <c r="LKC47" s="116"/>
      <c r="LKD47" s="116"/>
      <c r="LKE47" s="116"/>
      <c r="LKF47" s="116"/>
      <c r="LKG47" s="116"/>
      <c r="LKH47" s="116"/>
      <c r="LKI47" s="116"/>
      <c r="LKJ47" s="116"/>
      <c r="LKK47" s="116"/>
      <c r="LKL47" s="116"/>
      <c r="LKM47" s="116"/>
      <c r="LKN47" s="116"/>
      <c r="LKO47" s="116"/>
      <c r="LKP47" s="116"/>
      <c r="LKQ47" s="116"/>
      <c r="LKR47" s="116"/>
      <c r="LKS47" s="116"/>
      <c r="LKT47" s="116"/>
      <c r="LKU47" s="116"/>
      <c r="LKV47" s="116"/>
      <c r="LKW47" s="116"/>
      <c r="LKX47" s="116"/>
      <c r="LKY47" s="116"/>
      <c r="LKZ47" s="116"/>
      <c r="LLA47" s="116"/>
      <c r="LLB47" s="116"/>
      <c r="LLC47" s="116"/>
      <c r="LLD47" s="116"/>
      <c r="LLE47" s="116"/>
      <c r="LLF47" s="116"/>
      <c r="LLG47" s="116"/>
      <c r="LLH47" s="116"/>
      <c r="LLI47" s="116"/>
      <c r="LLJ47" s="116"/>
      <c r="LLK47" s="116"/>
      <c r="LLL47" s="116"/>
      <c r="LLM47" s="116"/>
      <c r="LLN47" s="116"/>
      <c r="LLO47" s="116"/>
      <c r="LLP47" s="116"/>
      <c r="LLQ47" s="116"/>
      <c r="LLR47" s="116"/>
      <c r="LLS47" s="116"/>
      <c r="LLT47" s="116"/>
      <c r="LLU47" s="116"/>
      <c r="LLV47" s="116"/>
      <c r="LLW47" s="116"/>
      <c r="LLX47" s="116"/>
      <c r="LLY47" s="116"/>
      <c r="LLZ47" s="116"/>
      <c r="LMA47" s="116"/>
      <c r="LMB47" s="116"/>
      <c r="LMC47" s="116"/>
      <c r="LMD47" s="116"/>
      <c r="LME47" s="116"/>
      <c r="LMF47" s="116"/>
      <c r="LMG47" s="116"/>
      <c r="LMH47" s="116"/>
      <c r="LMI47" s="116"/>
      <c r="LMJ47" s="116"/>
      <c r="LMK47" s="116"/>
      <c r="LML47" s="116"/>
      <c r="LMM47" s="116"/>
      <c r="LMN47" s="116"/>
      <c r="LMO47" s="116"/>
      <c r="LMP47" s="116"/>
      <c r="LMQ47" s="116"/>
      <c r="LMR47" s="116"/>
      <c r="LMS47" s="116"/>
      <c r="LMT47" s="116"/>
      <c r="LMU47" s="116"/>
      <c r="LMV47" s="116"/>
      <c r="LMW47" s="116"/>
      <c r="LMX47" s="116"/>
      <c r="LMY47" s="116"/>
      <c r="LMZ47" s="116"/>
      <c r="LNA47" s="116"/>
      <c r="LNB47" s="116"/>
      <c r="LNC47" s="116"/>
      <c r="LND47" s="116"/>
      <c r="LNE47" s="116"/>
      <c r="LNF47" s="116"/>
      <c r="LNG47" s="116"/>
      <c r="LNH47" s="116"/>
      <c r="LNI47" s="116"/>
      <c r="LNJ47" s="116"/>
      <c r="LNK47" s="116"/>
      <c r="LNL47" s="116"/>
      <c r="LNM47" s="116"/>
      <c r="LNN47" s="116"/>
      <c r="LNO47" s="116"/>
      <c r="LNP47" s="116"/>
      <c r="LNQ47" s="116"/>
      <c r="LNR47" s="116"/>
      <c r="LNS47" s="116"/>
      <c r="LNT47" s="116"/>
      <c r="LNU47" s="116"/>
      <c r="LNV47" s="116"/>
      <c r="LNW47" s="116"/>
      <c r="LNX47" s="116"/>
      <c r="LNY47" s="116"/>
      <c r="LNZ47" s="116"/>
      <c r="LOA47" s="116"/>
      <c r="LOB47" s="116"/>
      <c r="LOC47" s="116"/>
      <c r="LOD47" s="116"/>
      <c r="LOE47" s="116"/>
      <c r="LOF47" s="116"/>
      <c r="LOG47" s="116"/>
      <c r="LOH47" s="116"/>
      <c r="LOI47" s="116"/>
      <c r="LOJ47" s="116"/>
      <c r="LOK47" s="116"/>
      <c r="LOL47" s="116"/>
      <c r="LOM47" s="116"/>
      <c r="LON47" s="116"/>
      <c r="LOO47" s="116"/>
      <c r="LOP47" s="116"/>
      <c r="LOQ47" s="116"/>
      <c r="LOR47" s="116"/>
      <c r="LOS47" s="116"/>
      <c r="LOT47" s="116"/>
      <c r="LOU47" s="116"/>
      <c r="LOV47" s="116"/>
      <c r="LOW47" s="116"/>
      <c r="LOX47" s="116"/>
      <c r="LOY47" s="116"/>
      <c r="LOZ47" s="116"/>
      <c r="LPA47" s="116"/>
      <c r="LPB47" s="116"/>
      <c r="LPC47" s="116"/>
      <c r="LPD47" s="116"/>
      <c r="LPE47" s="116"/>
      <c r="LPF47" s="116"/>
      <c r="LPG47" s="116"/>
      <c r="LPH47" s="116"/>
      <c r="LPI47" s="116"/>
      <c r="LPJ47" s="116"/>
      <c r="LPK47" s="116"/>
      <c r="LPL47" s="116"/>
      <c r="LPM47" s="116"/>
      <c r="LPN47" s="116"/>
      <c r="LPO47" s="116"/>
      <c r="LPP47" s="116"/>
      <c r="LPQ47" s="116"/>
      <c r="LPR47" s="116"/>
      <c r="LPS47" s="116"/>
      <c r="LPT47" s="116"/>
      <c r="LPU47" s="116"/>
      <c r="LPV47" s="116"/>
      <c r="LPW47" s="116"/>
      <c r="LPX47" s="116"/>
      <c r="LPY47" s="116"/>
      <c r="LPZ47" s="116"/>
      <c r="LQA47" s="116"/>
      <c r="LQB47" s="116"/>
      <c r="LQC47" s="116"/>
      <c r="LQD47" s="116"/>
      <c r="LQE47" s="116"/>
      <c r="LQF47" s="116"/>
      <c r="LQG47" s="116"/>
      <c r="LQH47" s="116"/>
      <c r="LQI47" s="116"/>
      <c r="LQJ47" s="116"/>
      <c r="LQK47" s="116"/>
      <c r="LQL47" s="116"/>
      <c r="LQM47" s="116"/>
      <c r="LQN47" s="116"/>
      <c r="LQO47" s="116"/>
      <c r="LQP47" s="116"/>
      <c r="LQQ47" s="116"/>
      <c r="LQR47" s="116"/>
      <c r="LQS47" s="116"/>
      <c r="LQT47" s="116"/>
      <c r="LQU47" s="116"/>
      <c r="LQV47" s="116"/>
      <c r="LQW47" s="116"/>
      <c r="LQX47" s="116"/>
      <c r="LQY47" s="116"/>
      <c r="LQZ47" s="116"/>
      <c r="LRA47" s="116"/>
      <c r="LRB47" s="116"/>
      <c r="LRC47" s="116"/>
      <c r="LRD47" s="116"/>
      <c r="LRE47" s="116"/>
      <c r="LRF47" s="116"/>
      <c r="LRG47" s="116"/>
      <c r="LRH47" s="116"/>
      <c r="LRI47" s="116"/>
      <c r="LRJ47" s="116"/>
      <c r="LRK47" s="116"/>
      <c r="LRL47" s="116"/>
      <c r="LRM47" s="116"/>
      <c r="LRN47" s="116"/>
      <c r="LRO47" s="116"/>
      <c r="LRP47" s="116"/>
      <c r="LRQ47" s="116"/>
      <c r="LRR47" s="116"/>
      <c r="LRS47" s="116"/>
      <c r="LRT47" s="116"/>
      <c r="LRU47" s="116"/>
      <c r="LRV47" s="116"/>
      <c r="LRW47" s="116"/>
      <c r="LRX47" s="116"/>
      <c r="LRY47" s="116"/>
      <c r="LRZ47" s="116"/>
      <c r="LSA47" s="116"/>
      <c r="LSB47" s="116"/>
      <c r="LSC47" s="116"/>
      <c r="LSD47" s="116"/>
      <c r="LSE47" s="116"/>
      <c r="LSF47" s="116"/>
      <c r="LSG47" s="116"/>
      <c r="LSH47" s="116"/>
      <c r="LSI47" s="116"/>
      <c r="LSJ47" s="116"/>
      <c r="LSK47" s="116"/>
      <c r="LSL47" s="116"/>
      <c r="LSM47" s="116"/>
      <c r="LSN47" s="116"/>
      <c r="LSO47" s="116"/>
      <c r="LSP47" s="116"/>
      <c r="LSQ47" s="116"/>
      <c r="LSR47" s="116"/>
      <c r="LSS47" s="116"/>
      <c r="LST47" s="116"/>
      <c r="LSU47" s="116"/>
      <c r="LSV47" s="116"/>
      <c r="LSW47" s="116"/>
      <c r="LSX47" s="116"/>
      <c r="LSY47" s="116"/>
      <c r="LSZ47" s="116"/>
      <c r="LTA47" s="116"/>
      <c r="LTB47" s="116"/>
      <c r="LTC47" s="116"/>
      <c r="LTD47" s="116"/>
      <c r="LTE47" s="116"/>
      <c r="LTF47" s="116"/>
      <c r="LTG47" s="116"/>
      <c r="LTH47" s="116"/>
      <c r="LTI47" s="116"/>
      <c r="LTJ47" s="116"/>
      <c r="LTK47" s="116"/>
      <c r="LTL47" s="116"/>
      <c r="LTM47" s="116"/>
      <c r="LTN47" s="116"/>
      <c r="LTO47" s="116"/>
      <c r="LTP47" s="116"/>
      <c r="LTQ47" s="116"/>
      <c r="LTR47" s="116"/>
      <c r="LTS47" s="116"/>
      <c r="LTT47" s="116"/>
      <c r="LTU47" s="116"/>
      <c r="LTV47" s="116"/>
      <c r="LTW47" s="116"/>
      <c r="LTX47" s="116"/>
      <c r="LTY47" s="116"/>
      <c r="LTZ47" s="116"/>
      <c r="LUA47" s="116"/>
      <c r="LUB47" s="116"/>
      <c r="LUC47" s="116"/>
      <c r="LUD47" s="116"/>
      <c r="LUE47" s="116"/>
      <c r="LUF47" s="116"/>
      <c r="LUG47" s="116"/>
      <c r="LUH47" s="116"/>
      <c r="LUI47" s="116"/>
      <c r="LUJ47" s="116"/>
      <c r="LUK47" s="116"/>
      <c r="LUL47" s="116"/>
      <c r="LUM47" s="116"/>
      <c r="LUN47" s="116"/>
      <c r="LUO47" s="116"/>
      <c r="LUP47" s="116"/>
      <c r="LUQ47" s="116"/>
      <c r="LUR47" s="116"/>
      <c r="LUS47" s="116"/>
      <c r="LUT47" s="116"/>
      <c r="LUU47" s="116"/>
      <c r="LUV47" s="116"/>
      <c r="LUW47" s="116"/>
      <c r="LUX47" s="116"/>
      <c r="LUY47" s="116"/>
      <c r="LUZ47" s="116"/>
      <c r="LVA47" s="116"/>
      <c r="LVB47" s="116"/>
      <c r="LVC47" s="116"/>
      <c r="LVD47" s="116"/>
      <c r="LVE47" s="116"/>
      <c r="LVF47" s="116"/>
      <c r="LVG47" s="116"/>
      <c r="LVH47" s="116"/>
      <c r="LVI47" s="116"/>
      <c r="LVJ47" s="116"/>
      <c r="LVK47" s="116"/>
      <c r="LVL47" s="116"/>
      <c r="LVM47" s="116"/>
      <c r="LVN47" s="116"/>
      <c r="LVO47" s="116"/>
      <c r="LVP47" s="116"/>
      <c r="LVQ47" s="116"/>
      <c r="LVR47" s="116"/>
      <c r="LVS47" s="116"/>
      <c r="LVT47" s="116"/>
      <c r="LVU47" s="116"/>
      <c r="LVV47" s="116"/>
      <c r="LVW47" s="116"/>
      <c r="LVX47" s="116"/>
      <c r="LVY47" s="116"/>
      <c r="LVZ47" s="116"/>
      <c r="LWA47" s="116"/>
      <c r="LWB47" s="116"/>
      <c r="LWC47" s="116"/>
      <c r="LWD47" s="116"/>
      <c r="LWE47" s="116"/>
      <c r="LWF47" s="116"/>
      <c r="LWG47" s="116"/>
      <c r="LWH47" s="116"/>
      <c r="LWI47" s="116"/>
      <c r="LWJ47" s="116"/>
      <c r="LWK47" s="116"/>
      <c r="LWL47" s="116"/>
      <c r="LWM47" s="116"/>
      <c r="LWN47" s="116"/>
      <c r="LWO47" s="116"/>
      <c r="LWP47" s="116"/>
      <c r="LWQ47" s="116"/>
      <c r="LWR47" s="116"/>
      <c r="LWS47" s="116"/>
      <c r="LWT47" s="116"/>
      <c r="LWU47" s="116"/>
      <c r="LWV47" s="116"/>
      <c r="LWW47" s="116"/>
      <c r="LWX47" s="116"/>
      <c r="LWY47" s="116"/>
      <c r="LWZ47" s="116"/>
      <c r="LXA47" s="116"/>
      <c r="LXB47" s="116"/>
      <c r="LXC47" s="116"/>
      <c r="LXD47" s="116"/>
      <c r="LXE47" s="116"/>
      <c r="LXF47" s="116"/>
      <c r="LXG47" s="116"/>
      <c r="LXH47" s="116"/>
      <c r="LXI47" s="116"/>
      <c r="LXJ47" s="116"/>
      <c r="LXK47" s="116"/>
      <c r="LXL47" s="116"/>
      <c r="LXM47" s="116"/>
      <c r="LXN47" s="116"/>
      <c r="LXO47" s="116"/>
      <c r="LXP47" s="116"/>
      <c r="LXQ47" s="116"/>
      <c r="LXR47" s="116"/>
      <c r="LXS47" s="116"/>
      <c r="LXT47" s="116"/>
      <c r="LXU47" s="116"/>
      <c r="LXV47" s="116"/>
      <c r="LXW47" s="116"/>
      <c r="LXX47" s="116"/>
      <c r="LXY47" s="116"/>
      <c r="LXZ47" s="116"/>
      <c r="LYA47" s="116"/>
      <c r="LYB47" s="116"/>
      <c r="LYC47" s="116"/>
      <c r="LYD47" s="116"/>
      <c r="LYE47" s="116"/>
      <c r="LYF47" s="116"/>
      <c r="LYG47" s="116"/>
      <c r="LYH47" s="116"/>
      <c r="LYI47" s="116"/>
      <c r="LYJ47" s="116"/>
      <c r="LYK47" s="116"/>
      <c r="LYL47" s="116"/>
      <c r="LYM47" s="116"/>
      <c r="LYN47" s="116"/>
      <c r="LYO47" s="116"/>
      <c r="LYP47" s="116"/>
      <c r="LYQ47" s="116"/>
      <c r="LYR47" s="116"/>
      <c r="LYS47" s="116"/>
      <c r="LYT47" s="116"/>
      <c r="LYU47" s="116"/>
      <c r="LYV47" s="116"/>
      <c r="LYW47" s="116"/>
      <c r="LYX47" s="116"/>
      <c r="LYY47" s="116"/>
      <c r="LYZ47" s="116"/>
      <c r="LZA47" s="116"/>
      <c r="LZB47" s="116"/>
      <c r="LZC47" s="116"/>
      <c r="LZD47" s="116"/>
      <c r="LZE47" s="116"/>
      <c r="LZF47" s="116"/>
      <c r="LZG47" s="116"/>
      <c r="LZH47" s="116"/>
      <c r="LZI47" s="116"/>
      <c r="LZJ47" s="116"/>
      <c r="LZK47" s="116"/>
      <c r="LZL47" s="116"/>
      <c r="LZM47" s="116"/>
      <c r="LZN47" s="116"/>
      <c r="LZO47" s="116"/>
      <c r="LZP47" s="116"/>
      <c r="LZQ47" s="116"/>
      <c r="LZR47" s="116"/>
      <c r="LZS47" s="116"/>
      <c r="LZT47" s="116"/>
      <c r="LZU47" s="116"/>
      <c r="LZV47" s="116"/>
      <c r="LZW47" s="116"/>
      <c r="LZX47" s="116"/>
      <c r="LZY47" s="116"/>
      <c r="LZZ47" s="116"/>
      <c r="MAA47" s="116"/>
      <c r="MAB47" s="116"/>
      <c r="MAC47" s="116"/>
      <c r="MAD47" s="116"/>
      <c r="MAE47" s="116"/>
      <c r="MAF47" s="116"/>
      <c r="MAG47" s="116"/>
      <c r="MAH47" s="116"/>
      <c r="MAI47" s="116"/>
      <c r="MAJ47" s="116"/>
      <c r="MAK47" s="116"/>
      <c r="MAL47" s="116"/>
      <c r="MAM47" s="116"/>
      <c r="MAN47" s="116"/>
      <c r="MAO47" s="116"/>
      <c r="MAP47" s="116"/>
      <c r="MAQ47" s="116"/>
      <c r="MAR47" s="116"/>
      <c r="MAS47" s="116"/>
      <c r="MAT47" s="116"/>
      <c r="MAU47" s="116"/>
      <c r="MAV47" s="116"/>
      <c r="MAW47" s="116"/>
      <c r="MAX47" s="116"/>
      <c r="MAY47" s="116"/>
      <c r="MAZ47" s="116"/>
      <c r="MBA47" s="116"/>
      <c r="MBB47" s="116"/>
      <c r="MBC47" s="116"/>
      <c r="MBD47" s="116"/>
      <c r="MBE47" s="116"/>
      <c r="MBF47" s="116"/>
      <c r="MBG47" s="116"/>
      <c r="MBH47" s="116"/>
      <c r="MBI47" s="116"/>
      <c r="MBJ47" s="116"/>
      <c r="MBK47" s="116"/>
      <c r="MBL47" s="116"/>
      <c r="MBM47" s="116"/>
      <c r="MBN47" s="116"/>
      <c r="MBO47" s="116"/>
      <c r="MBP47" s="116"/>
      <c r="MBQ47" s="116"/>
      <c r="MBR47" s="116"/>
      <c r="MBS47" s="116"/>
      <c r="MBT47" s="116"/>
      <c r="MBU47" s="116"/>
      <c r="MBV47" s="116"/>
      <c r="MBW47" s="116"/>
      <c r="MBX47" s="116"/>
      <c r="MBY47" s="116"/>
      <c r="MBZ47" s="116"/>
      <c r="MCA47" s="116"/>
      <c r="MCB47" s="116"/>
      <c r="MCC47" s="116"/>
      <c r="MCD47" s="116"/>
      <c r="MCE47" s="116"/>
      <c r="MCF47" s="116"/>
      <c r="MCG47" s="116"/>
      <c r="MCH47" s="116"/>
      <c r="MCI47" s="116"/>
      <c r="MCJ47" s="116"/>
      <c r="MCK47" s="116"/>
      <c r="MCL47" s="116"/>
      <c r="MCM47" s="116"/>
      <c r="MCN47" s="116"/>
      <c r="MCO47" s="116"/>
      <c r="MCP47" s="116"/>
      <c r="MCQ47" s="116"/>
      <c r="MCR47" s="116"/>
      <c r="MCS47" s="116"/>
      <c r="MCT47" s="116"/>
      <c r="MCU47" s="116"/>
      <c r="MCV47" s="116"/>
      <c r="MCW47" s="116"/>
      <c r="MCX47" s="116"/>
      <c r="MCY47" s="116"/>
      <c r="MCZ47" s="116"/>
      <c r="MDA47" s="116"/>
      <c r="MDB47" s="116"/>
      <c r="MDC47" s="116"/>
      <c r="MDD47" s="116"/>
      <c r="MDE47" s="116"/>
      <c r="MDF47" s="116"/>
      <c r="MDG47" s="116"/>
      <c r="MDH47" s="116"/>
      <c r="MDI47" s="116"/>
      <c r="MDJ47" s="116"/>
      <c r="MDK47" s="116"/>
      <c r="MDL47" s="116"/>
      <c r="MDM47" s="116"/>
      <c r="MDN47" s="116"/>
      <c r="MDO47" s="116"/>
      <c r="MDP47" s="116"/>
      <c r="MDQ47" s="116"/>
      <c r="MDR47" s="116"/>
      <c r="MDS47" s="116"/>
      <c r="MDT47" s="116"/>
      <c r="MDU47" s="116"/>
      <c r="MDV47" s="116"/>
      <c r="MDW47" s="116"/>
      <c r="MDX47" s="116"/>
      <c r="MDY47" s="116"/>
      <c r="MDZ47" s="116"/>
      <c r="MEA47" s="116"/>
      <c r="MEB47" s="116"/>
      <c r="MEC47" s="116"/>
      <c r="MED47" s="116"/>
      <c r="MEE47" s="116"/>
      <c r="MEF47" s="116"/>
      <c r="MEG47" s="116"/>
      <c r="MEH47" s="116"/>
      <c r="MEI47" s="116"/>
      <c r="MEJ47" s="116"/>
      <c r="MEK47" s="116"/>
      <c r="MEL47" s="116"/>
      <c r="MEM47" s="116"/>
      <c r="MEN47" s="116"/>
      <c r="MEO47" s="116"/>
      <c r="MEP47" s="116"/>
      <c r="MEQ47" s="116"/>
      <c r="MER47" s="116"/>
      <c r="MES47" s="116"/>
      <c r="MET47" s="116"/>
      <c r="MEU47" s="116"/>
      <c r="MEV47" s="116"/>
      <c r="MEW47" s="116"/>
      <c r="MEX47" s="116"/>
      <c r="MEY47" s="116"/>
      <c r="MEZ47" s="116"/>
      <c r="MFA47" s="116"/>
      <c r="MFB47" s="116"/>
      <c r="MFC47" s="116"/>
      <c r="MFD47" s="116"/>
      <c r="MFE47" s="116"/>
      <c r="MFF47" s="116"/>
      <c r="MFG47" s="116"/>
      <c r="MFH47" s="116"/>
      <c r="MFI47" s="116"/>
      <c r="MFJ47" s="116"/>
      <c r="MFK47" s="116"/>
      <c r="MFL47" s="116"/>
      <c r="MFM47" s="116"/>
      <c r="MFN47" s="116"/>
      <c r="MFO47" s="116"/>
      <c r="MFP47" s="116"/>
      <c r="MFQ47" s="116"/>
      <c r="MFR47" s="116"/>
      <c r="MFS47" s="116"/>
      <c r="MFT47" s="116"/>
      <c r="MFU47" s="116"/>
      <c r="MFV47" s="116"/>
      <c r="MFW47" s="116"/>
      <c r="MFX47" s="116"/>
      <c r="MFY47" s="116"/>
      <c r="MFZ47" s="116"/>
      <c r="MGA47" s="116"/>
      <c r="MGB47" s="116"/>
      <c r="MGC47" s="116"/>
      <c r="MGD47" s="116"/>
      <c r="MGE47" s="116"/>
      <c r="MGF47" s="116"/>
      <c r="MGG47" s="116"/>
      <c r="MGH47" s="116"/>
      <c r="MGI47" s="116"/>
      <c r="MGJ47" s="116"/>
      <c r="MGK47" s="116"/>
      <c r="MGL47" s="116"/>
      <c r="MGM47" s="116"/>
      <c r="MGN47" s="116"/>
      <c r="MGO47" s="116"/>
      <c r="MGP47" s="116"/>
      <c r="MGQ47" s="116"/>
      <c r="MGR47" s="116"/>
      <c r="MGS47" s="116"/>
      <c r="MGT47" s="116"/>
      <c r="MGU47" s="116"/>
      <c r="MGV47" s="116"/>
      <c r="MGW47" s="116"/>
      <c r="MGX47" s="116"/>
      <c r="MGY47" s="116"/>
      <c r="MGZ47" s="116"/>
      <c r="MHA47" s="116"/>
      <c r="MHB47" s="116"/>
      <c r="MHC47" s="116"/>
      <c r="MHD47" s="116"/>
      <c r="MHE47" s="116"/>
      <c r="MHF47" s="116"/>
      <c r="MHG47" s="116"/>
      <c r="MHH47" s="116"/>
      <c r="MHI47" s="116"/>
      <c r="MHJ47" s="116"/>
      <c r="MHK47" s="116"/>
      <c r="MHL47" s="116"/>
      <c r="MHM47" s="116"/>
      <c r="MHN47" s="116"/>
      <c r="MHO47" s="116"/>
      <c r="MHP47" s="116"/>
      <c r="MHQ47" s="116"/>
      <c r="MHR47" s="116"/>
      <c r="MHS47" s="116"/>
      <c r="MHT47" s="116"/>
      <c r="MHU47" s="116"/>
      <c r="MHV47" s="116"/>
      <c r="MHW47" s="116"/>
      <c r="MHX47" s="116"/>
      <c r="MHY47" s="116"/>
      <c r="MHZ47" s="116"/>
      <c r="MIA47" s="116"/>
      <c r="MIB47" s="116"/>
      <c r="MIC47" s="116"/>
      <c r="MID47" s="116"/>
      <c r="MIE47" s="116"/>
      <c r="MIF47" s="116"/>
      <c r="MIG47" s="116"/>
      <c r="MIH47" s="116"/>
      <c r="MII47" s="116"/>
      <c r="MIJ47" s="116"/>
      <c r="MIK47" s="116"/>
      <c r="MIL47" s="116"/>
      <c r="MIM47" s="116"/>
      <c r="MIN47" s="116"/>
      <c r="MIO47" s="116"/>
      <c r="MIP47" s="116"/>
      <c r="MIQ47" s="116"/>
      <c r="MIR47" s="116"/>
      <c r="MIS47" s="116"/>
      <c r="MIT47" s="116"/>
      <c r="MIU47" s="116"/>
      <c r="MIV47" s="116"/>
      <c r="MIW47" s="116"/>
      <c r="MIX47" s="116"/>
      <c r="MIY47" s="116"/>
      <c r="MIZ47" s="116"/>
      <c r="MJA47" s="116"/>
      <c r="MJB47" s="116"/>
      <c r="MJC47" s="116"/>
      <c r="MJD47" s="116"/>
      <c r="MJE47" s="116"/>
      <c r="MJF47" s="116"/>
      <c r="MJG47" s="116"/>
      <c r="MJH47" s="116"/>
      <c r="MJI47" s="116"/>
      <c r="MJJ47" s="116"/>
      <c r="MJK47" s="116"/>
      <c r="MJL47" s="116"/>
      <c r="MJM47" s="116"/>
      <c r="MJN47" s="116"/>
      <c r="MJO47" s="116"/>
      <c r="MJP47" s="116"/>
      <c r="MJQ47" s="116"/>
      <c r="MJR47" s="116"/>
      <c r="MJS47" s="116"/>
      <c r="MJT47" s="116"/>
      <c r="MJU47" s="116"/>
      <c r="MJV47" s="116"/>
      <c r="MJW47" s="116"/>
      <c r="MJX47" s="116"/>
      <c r="MJY47" s="116"/>
      <c r="MJZ47" s="116"/>
      <c r="MKA47" s="116"/>
      <c r="MKB47" s="116"/>
      <c r="MKC47" s="116"/>
      <c r="MKD47" s="116"/>
      <c r="MKE47" s="116"/>
      <c r="MKF47" s="116"/>
      <c r="MKG47" s="116"/>
      <c r="MKH47" s="116"/>
      <c r="MKI47" s="116"/>
      <c r="MKJ47" s="116"/>
      <c r="MKK47" s="116"/>
      <c r="MKL47" s="116"/>
      <c r="MKM47" s="116"/>
      <c r="MKN47" s="116"/>
      <c r="MKO47" s="116"/>
      <c r="MKP47" s="116"/>
      <c r="MKQ47" s="116"/>
      <c r="MKR47" s="116"/>
      <c r="MKS47" s="116"/>
      <c r="MKT47" s="116"/>
      <c r="MKU47" s="116"/>
      <c r="MKV47" s="116"/>
      <c r="MKW47" s="116"/>
      <c r="MKX47" s="116"/>
      <c r="MKY47" s="116"/>
      <c r="MKZ47" s="116"/>
      <c r="MLA47" s="116"/>
      <c r="MLB47" s="116"/>
      <c r="MLC47" s="116"/>
      <c r="MLD47" s="116"/>
      <c r="MLE47" s="116"/>
      <c r="MLF47" s="116"/>
      <c r="MLG47" s="116"/>
      <c r="MLH47" s="116"/>
      <c r="MLI47" s="116"/>
      <c r="MLJ47" s="116"/>
      <c r="MLK47" s="116"/>
      <c r="MLL47" s="116"/>
      <c r="MLM47" s="116"/>
      <c r="MLN47" s="116"/>
      <c r="MLO47" s="116"/>
      <c r="MLP47" s="116"/>
      <c r="MLQ47" s="116"/>
      <c r="MLR47" s="116"/>
      <c r="MLS47" s="116"/>
      <c r="MLT47" s="116"/>
      <c r="MLU47" s="116"/>
      <c r="MLV47" s="116"/>
      <c r="MLW47" s="116"/>
      <c r="MLX47" s="116"/>
      <c r="MLY47" s="116"/>
      <c r="MLZ47" s="116"/>
      <c r="MMA47" s="116"/>
      <c r="MMB47" s="116"/>
      <c r="MMC47" s="116"/>
      <c r="MMD47" s="116"/>
      <c r="MME47" s="116"/>
      <c r="MMF47" s="116"/>
      <c r="MMG47" s="116"/>
      <c r="MMH47" s="116"/>
      <c r="MMI47" s="116"/>
      <c r="MMJ47" s="116"/>
      <c r="MMK47" s="116"/>
      <c r="MML47" s="116"/>
      <c r="MMM47" s="116"/>
      <c r="MMN47" s="116"/>
      <c r="MMO47" s="116"/>
      <c r="MMP47" s="116"/>
      <c r="MMQ47" s="116"/>
      <c r="MMR47" s="116"/>
      <c r="MMS47" s="116"/>
      <c r="MMT47" s="116"/>
      <c r="MMU47" s="116"/>
      <c r="MMV47" s="116"/>
      <c r="MMW47" s="116"/>
      <c r="MMX47" s="116"/>
      <c r="MMY47" s="116"/>
      <c r="MMZ47" s="116"/>
      <c r="MNA47" s="116"/>
      <c r="MNB47" s="116"/>
      <c r="MNC47" s="116"/>
      <c r="MND47" s="116"/>
      <c r="MNE47" s="116"/>
      <c r="MNF47" s="116"/>
      <c r="MNG47" s="116"/>
      <c r="MNH47" s="116"/>
      <c r="MNI47" s="116"/>
      <c r="MNJ47" s="116"/>
      <c r="MNK47" s="116"/>
      <c r="MNL47" s="116"/>
      <c r="MNM47" s="116"/>
      <c r="MNN47" s="116"/>
      <c r="MNO47" s="116"/>
      <c r="MNP47" s="116"/>
      <c r="MNQ47" s="116"/>
      <c r="MNR47" s="116"/>
      <c r="MNS47" s="116"/>
      <c r="MNT47" s="116"/>
      <c r="MNU47" s="116"/>
      <c r="MNV47" s="116"/>
      <c r="MNW47" s="116"/>
      <c r="MNX47" s="116"/>
      <c r="MNY47" s="116"/>
      <c r="MNZ47" s="116"/>
      <c r="MOA47" s="116"/>
      <c r="MOB47" s="116"/>
      <c r="MOC47" s="116"/>
      <c r="MOD47" s="116"/>
      <c r="MOE47" s="116"/>
      <c r="MOF47" s="116"/>
      <c r="MOG47" s="116"/>
      <c r="MOH47" s="116"/>
      <c r="MOI47" s="116"/>
      <c r="MOJ47" s="116"/>
      <c r="MOK47" s="116"/>
      <c r="MOL47" s="116"/>
      <c r="MOM47" s="116"/>
      <c r="MON47" s="116"/>
      <c r="MOO47" s="116"/>
      <c r="MOP47" s="116"/>
      <c r="MOQ47" s="116"/>
      <c r="MOR47" s="116"/>
      <c r="MOS47" s="116"/>
      <c r="MOT47" s="116"/>
      <c r="MOU47" s="116"/>
      <c r="MOV47" s="116"/>
      <c r="MOW47" s="116"/>
      <c r="MOX47" s="116"/>
      <c r="MOY47" s="116"/>
      <c r="MOZ47" s="116"/>
      <c r="MPA47" s="116"/>
      <c r="MPB47" s="116"/>
      <c r="MPC47" s="116"/>
      <c r="MPD47" s="116"/>
      <c r="MPE47" s="116"/>
      <c r="MPF47" s="116"/>
      <c r="MPG47" s="116"/>
      <c r="MPH47" s="116"/>
      <c r="MPI47" s="116"/>
      <c r="MPJ47" s="116"/>
      <c r="MPK47" s="116"/>
      <c r="MPL47" s="116"/>
      <c r="MPM47" s="116"/>
      <c r="MPN47" s="116"/>
      <c r="MPO47" s="116"/>
      <c r="MPP47" s="116"/>
      <c r="MPQ47" s="116"/>
      <c r="MPR47" s="116"/>
      <c r="MPS47" s="116"/>
      <c r="MPT47" s="116"/>
      <c r="MPU47" s="116"/>
      <c r="MPV47" s="116"/>
      <c r="MPW47" s="116"/>
      <c r="MPX47" s="116"/>
      <c r="MPY47" s="116"/>
      <c r="MPZ47" s="116"/>
      <c r="MQA47" s="116"/>
      <c r="MQB47" s="116"/>
      <c r="MQC47" s="116"/>
      <c r="MQD47" s="116"/>
      <c r="MQE47" s="116"/>
      <c r="MQF47" s="116"/>
      <c r="MQG47" s="116"/>
      <c r="MQH47" s="116"/>
      <c r="MQI47" s="116"/>
      <c r="MQJ47" s="116"/>
      <c r="MQK47" s="116"/>
      <c r="MQL47" s="116"/>
      <c r="MQM47" s="116"/>
      <c r="MQN47" s="116"/>
      <c r="MQO47" s="116"/>
      <c r="MQP47" s="116"/>
      <c r="MQQ47" s="116"/>
      <c r="MQR47" s="116"/>
      <c r="MQS47" s="116"/>
      <c r="MQT47" s="116"/>
      <c r="MQU47" s="116"/>
      <c r="MQV47" s="116"/>
      <c r="MQW47" s="116"/>
      <c r="MQX47" s="116"/>
      <c r="MQY47" s="116"/>
      <c r="MQZ47" s="116"/>
      <c r="MRA47" s="116"/>
      <c r="MRB47" s="116"/>
      <c r="MRC47" s="116"/>
      <c r="MRD47" s="116"/>
      <c r="MRE47" s="116"/>
      <c r="MRF47" s="116"/>
      <c r="MRG47" s="116"/>
      <c r="MRH47" s="116"/>
      <c r="MRI47" s="116"/>
      <c r="MRJ47" s="116"/>
      <c r="MRK47" s="116"/>
      <c r="MRL47" s="116"/>
      <c r="MRM47" s="116"/>
      <c r="MRN47" s="116"/>
      <c r="MRO47" s="116"/>
      <c r="MRP47" s="116"/>
      <c r="MRQ47" s="116"/>
      <c r="MRR47" s="116"/>
      <c r="MRS47" s="116"/>
      <c r="MRT47" s="116"/>
      <c r="MRU47" s="116"/>
      <c r="MRV47" s="116"/>
      <c r="MRW47" s="116"/>
      <c r="MRX47" s="116"/>
      <c r="MRY47" s="116"/>
      <c r="MRZ47" s="116"/>
      <c r="MSA47" s="116"/>
      <c r="MSB47" s="116"/>
      <c r="MSC47" s="116"/>
      <c r="MSD47" s="116"/>
      <c r="MSE47" s="116"/>
      <c r="MSF47" s="116"/>
      <c r="MSG47" s="116"/>
      <c r="MSH47" s="116"/>
      <c r="MSI47" s="116"/>
      <c r="MSJ47" s="116"/>
      <c r="MSK47" s="116"/>
      <c r="MSL47" s="116"/>
      <c r="MSM47" s="116"/>
      <c r="MSN47" s="116"/>
      <c r="MSO47" s="116"/>
      <c r="MSP47" s="116"/>
      <c r="MSQ47" s="116"/>
      <c r="MSR47" s="116"/>
      <c r="MSS47" s="116"/>
      <c r="MST47" s="116"/>
      <c r="MSU47" s="116"/>
      <c r="MSV47" s="116"/>
      <c r="MSW47" s="116"/>
      <c r="MSX47" s="116"/>
      <c r="MSY47" s="116"/>
      <c r="MSZ47" s="116"/>
      <c r="MTA47" s="116"/>
      <c r="MTB47" s="116"/>
      <c r="MTC47" s="116"/>
      <c r="MTD47" s="116"/>
      <c r="MTE47" s="116"/>
      <c r="MTF47" s="116"/>
      <c r="MTG47" s="116"/>
      <c r="MTH47" s="116"/>
      <c r="MTI47" s="116"/>
      <c r="MTJ47" s="116"/>
      <c r="MTK47" s="116"/>
      <c r="MTL47" s="116"/>
      <c r="MTM47" s="116"/>
      <c r="MTN47" s="116"/>
      <c r="MTO47" s="116"/>
      <c r="MTP47" s="116"/>
      <c r="MTQ47" s="116"/>
      <c r="MTR47" s="116"/>
      <c r="MTS47" s="116"/>
      <c r="MTT47" s="116"/>
      <c r="MTU47" s="116"/>
      <c r="MTV47" s="116"/>
      <c r="MTW47" s="116"/>
      <c r="MTX47" s="116"/>
      <c r="MTY47" s="116"/>
      <c r="MTZ47" s="116"/>
      <c r="MUA47" s="116"/>
      <c r="MUB47" s="116"/>
      <c r="MUC47" s="116"/>
      <c r="MUD47" s="116"/>
      <c r="MUE47" s="116"/>
      <c r="MUF47" s="116"/>
      <c r="MUG47" s="116"/>
      <c r="MUH47" s="116"/>
      <c r="MUI47" s="116"/>
      <c r="MUJ47" s="116"/>
      <c r="MUK47" s="116"/>
      <c r="MUL47" s="116"/>
      <c r="MUM47" s="116"/>
      <c r="MUN47" s="116"/>
      <c r="MUO47" s="116"/>
      <c r="MUP47" s="116"/>
      <c r="MUQ47" s="116"/>
      <c r="MUR47" s="116"/>
      <c r="MUS47" s="116"/>
      <c r="MUT47" s="116"/>
      <c r="MUU47" s="116"/>
      <c r="MUV47" s="116"/>
      <c r="MUW47" s="116"/>
      <c r="MUX47" s="116"/>
      <c r="MUY47" s="116"/>
      <c r="MUZ47" s="116"/>
      <c r="MVA47" s="116"/>
      <c r="MVB47" s="116"/>
      <c r="MVC47" s="116"/>
      <c r="MVD47" s="116"/>
      <c r="MVE47" s="116"/>
      <c r="MVF47" s="116"/>
      <c r="MVG47" s="116"/>
      <c r="MVH47" s="116"/>
      <c r="MVI47" s="116"/>
      <c r="MVJ47" s="116"/>
      <c r="MVK47" s="116"/>
      <c r="MVL47" s="116"/>
      <c r="MVM47" s="116"/>
      <c r="MVN47" s="116"/>
      <c r="MVO47" s="116"/>
      <c r="MVP47" s="116"/>
      <c r="MVQ47" s="116"/>
      <c r="MVR47" s="116"/>
      <c r="MVS47" s="116"/>
      <c r="MVT47" s="116"/>
      <c r="MVU47" s="116"/>
      <c r="MVV47" s="116"/>
      <c r="MVW47" s="116"/>
      <c r="MVX47" s="116"/>
      <c r="MVY47" s="116"/>
      <c r="MVZ47" s="116"/>
      <c r="MWA47" s="116"/>
      <c r="MWB47" s="116"/>
      <c r="MWC47" s="116"/>
      <c r="MWD47" s="116"/>
      <c r="MWE47" s="116"/>
      <c r="MWF47" s="116"/>
      <c r="MWG47" s="116"/>
      <c r="MWH47" s="116"/>
      <c r="MWI47" s="116"/>
      <c r="MWJ47" s="116"/>
      <c r="MWK47" s="116"/>
      <c r="MWL47" s="116"/>
      <c r="MWM47" s="116"/>
      <c r="MWN47" s="116"/>
      <c r="MWO47" s="116"/>
      <c r="MWP47" s="116"/>
      <c r="MWQ47" s="116"/>
      <c r="MWR47" s="116"/>
      <c r="MWS47" s="116"/>
      <c r="MWT47" s="116"/>
      <c r="MWU47" s="116"/>
      <c r="MWV47" s="116"/>
      <c r="MWW47" s="116"/>
      <c r="MWX47" s="116"/>
      <c r="MWY47" s="116"/>
      <c r="MWZ47" s="116"/>
      <c r="MXA47" s="116"/>
      <c r="MXB47" s="116"/>
      <c r="MXC47" s="116"/>
      <c r="MXD47" s="116"/>
      <c r="MXE47" s="116"/>
      <c r="MXF47" s="116"/>
      <c r="MXG47" s="116"/>
      <c r="MXH47" s="116"/>
      <c r="MXI47" s="116"/>
      <c r="MXJ47" s="116"/>
      <c r="MXK47" s="116"/>
      <c r="MXL47" s="116"/>
      <c r="MXM47" s="116"/>
      <c r="MXN47" s="116"/>
      <c r="MXO47" s="116"/>
      <c r="MXP47" s="116"/>
      <c r="MXQ47" s="116"/>
      <c r="MXR47" s="116"/>
      <c r="MXS47" s="116"/>
      <c r="MXT47" s="116"/>
      <c r="MXU47" s="116"/>
      <c r="MXV47" s="116"/>
      <c r="MXW47" s="116"/>
      <c r="MXX47" s="116"/>
      <c r="MXY47" s="116"/>
      <c r="MXZ47" s="116"/>
      <c r="MYA47" s="116"/>
      <c r="MYB47" s="116"/>
      <c r="MYC47" s="116"/>
      <c r="MYD47" s="116"/>
      <c r="MYE47" s="116"/>
      <c r="MYF47" s="116"/>
      <c r="MYG47" s="116"/>
      <c r="MYH47" s="116"/>
      <c r="MYI47" s="116"/>
      <c r="MYJ47" s="116"/>
      <c r="MYK47" s="116"/>
      <c r="MYL47" s="116"/>
      <c r="MYM47" s="116"/>
      <c r="MYN47" s="116"/>
      <c r="MYO47" s="116"/>
      <c r="MYP47" s="116"/>
      <c r="MYQ47" s="116"/>
      <c r="MYR47" s="116"/>
      <c r="MYS47" s="116"/>
      <c r="MYT47" s="116"/>
      <c r="MYU47" s="116"/>
      <c r="MYV47" s="116"/>
      <c r="MYW47" s="116"/>
      <c r="MYX47" s="116"/>
      <c r="MYY47" s="116"/>
      <c r="MYZ47" s="116"/>
      <c r="MZA47" s="116"/>
      <c r="MZB47" s="116"/>
      <c r="MZC47" s="116"/>
      <c r="MZD47" s="116"/>
      <c r="MZE47" s="116"/>
      <c r="MZF47" s="116"/>
      <c r="MZG47" s="116"/>
      <c r="MZH47" s="116"/>
      <c r="MZI47" s="116"/>
      <c r="MZJ47" s="116"/>
      <c r="MZK47" s="116"/>
      <c r="MZL47" s="116"/>
      <c r="MZM47" s="116"/>
      <c r="MZN47" s="116"/>
      <c r="MZO47" s="116"/>
      <c r="MZP47" s="116"/>
      <c r="MZQ47" s="116"/>
      <c r="MZR47" s="116"/>
      <c r="MZS47" s="116"/>
      <c r="MZT47" s="116"/>
      <c r="MZU47" s="116"/>
      <c r="MZV47" s="116"/>
      <c r="MZW47" s="116"/>
      <c r="MZX47" s="116"/>
      <c r="MZY47" s="116"/>
      <c r="MZZ47" s="116"/>
      <c r="NAA47" s="116"/>
      <c r="NAB47" s="116"/>
      <c r="NAC47" s="116"/>
      <c r="NAD47" s="116"/>
      <c r="NAE47" s="116"/>
      <c r="NAF47" s="116"/>
      <c r="NAG47" s="116"/>
      <c r="NAH47" s="116"/>
      <c r="NAI47" s="116"/>
      <c r="NAJ47" s="116"/>
      <c r="NAK47" s="116"/>
      <c r="NAL47" s="116"/>
      <c r="NAM47" s="116"/>
      <c r="NAN47" s="116"/>
      <c r="NAO47" s="116"/>
      <c r="NAP47" s="116"/>
      <c r="NAQ47" s="116"/>
      <c r="NAR47" s="116"/>
      <c r="NAS47" s="116"/>
      <c r="NAT47" s="116"/>
      <c r="NAU47" s="116"/>
      <c r="NAV47" s="116"/>
      <c r="NAW47" s="116"/>
      <c r="NAX47" s="116"/>
      <c r="NAY47" s="116"/>
      <c r="NAZ47" s="116"/>
      <c r="NBA47" s="116"/>
      <c r="NBB47" s="116"/>
      <c r="NBC47" s="116"/>
      <c r="NBD47" s="116"/>
      <c r="NBE47" s="116"/>
      <c r="NBF47" s="116"/>
      <c r="NBG47" s="116"/>
      <c r="NBH47" s="116"/>
      <c r="NBI47" s="116"/>
      <c r="NBJ47" s="116"/>
      <c r="NBK47" s="116"/>
      <c r="NBL47" s="116"/>
      <c r="NBM47" s="116"/>
      <c r="NBN47" s="116"/>
      <c r="NBO47" s="116"/>
      <c r="NBP47" s="116"/>
      <c r="NBQ47" s="116"/>
      <c r="NBR47" s="116"/>
      <c r="NBS47" s="116"/>
      <c r="NBT47" s="116"/>
      <c r="NBU47" s="116"/>
      <c r="NBV47" s="116"/>
      <c r="NBW47" s="116"/>
      <c r="NBX47" s="116"/>
      <c r="NBY47" s="116"/>
      <c r="NBZ47" s="116"/>
      <c r="NCA47" s="116"/>
      <c r="NCB47" s="116"/>
      <c r="NCC47" s="116"/>
      <c r="NCD47" s="116"/>
      <c r="NCE47" s="116"/>
      <c r="NCF47" s="116"/>
      <c r="NCG47" s="116"/>
      <c r="NCH47" s="116"/>
      <c r="NCI47" s="116"/>
      <c r="NCJ47" s="116"/>
      <c r="NCK47" s="116"/>
      <c r="NCL47" s="116"/>
      <c r="NCM47" s="116"/>
      <c r="NCN47" s="116"/>
      <c r="NCO47" s="116"/>
      <c r="NCP47" s="116"/>
      <c r="NCQ47" s="116"/>
      <c r="NCR47" s="116"/>
      <c r="NCS47" s="116"/>
      <c r="NCT47" s="116"/>
      <c r="NCU47" s="116"/>
      <c r="NCV47" s="116"/>
      <c r="NCW47" s="116"/>
      <c r="NCX47" s="116"/>
      <c r="NCY47" s="116"/>
      <c r="NCZ47" s="116"/>
      <c r="NDA47" s="116"/>
      <c r="NDB47" s="116"/>
      <c r="NDC47" s="116"/>
      <c r="NDD47" s="116"/>
      <c r="NDE47" s="116"/>
      <c r="NDF47" s="116"/>
      <c r="NDG47" s="116"/>
      <c r="NDH47" s="116"/>
      <c r="NDI47" s="116"/>
      <c r="NDJ47" s="116"/>
      <c r="NDK47" s="116"/>
      <c r="NDL47" s="116"/>
      <c r="NDM47" s="116"/>
      <c r="NDN47" s="116"/>
      <c r="NDO47" s="116"/>
      <c r="NDP47" s="116"/>
      <c r="NDQ47" s="116"/>
      <c r="NDR47" s="116"/>
      <c r="NDS47" s="116"/>
      <c r="NDT47" s="116"/>
      <c r="NDU47" s="116"/>
      <c r="NDV47" s="116"/>
      <c r="NDW47" s="116"/>
      <c r="NDX47" s="116"/>
      <c r="NDY47" s="116"/>
      <c r="NDZ47" s="116"/>
      <c r="NEA47" s="116"/>
      <c r="NEB47" s="116"/>
      <c r="NEC47" s="116"/>
      <c r="NED47" s="116"/>
      <c r="NEE47" s="116"/>
      <c r="NEF47" s="116"/>
      <c r="NEG47" s="116"/>
      <c r="NEH47" s="116"/>
      <c r="NEI47" s="116"/>
      <c r="NEJ47" s="116"/>
      <c r="NEK47" s="116"/>
      <c r="NEL47" s="116"/>
      <c r="NEM47" s="116"/>
      <c r="NEN47" s="116"/>
      <c r="NEO47" s="116"/>
      <c r="NEP47" s="116"/>
      <c r="NEQ47" s="116"/>
      <c r="NER47" s="116"/>
      <c r="NES47" s="116"/>
      <c r="NET47" s="116"/>
      <c r="NEU47" s="116"/>
      <c r="NEV47" s="116"/>
      <c r="NEW47" s="116"/>
      <c r="NEX47" s="116"/>
      <c r="NEY47" s="116"/>
      <c r="NEZ47" s="116"/>
      <c r="NFA47" s="116"/>
      <c r="NFB47" s="116"/>
      <c r="NFC47" s="116"/>
      <c r="NFD47" s="116"/>
      <c r="NFE47" s="116"/>
      <c r="NFF47" s="116"/>
      <c r="NFG47" s="116"/>
      <c r="NFH47" s="116"/>
      <c r="NFI47" s="116"/>
      <c r="NFJ47" s="116"/>
      <c r="NFK47" s="116"/>
      <c r="NFL47" s="116"/>
      <c r="NFM47" s="116"/>
      <c r="NFN47" s="116"/>
      <c r="NFO47" s="116"/>
      <c r="NFP47" s="116"/>
      <c r="NFQ47" s="116"/>
      <c r="NFR47" s="116"/>
      <c r="NFS47" s="116"/>
      <c r="NFT47" s="116"/>
      <c r="NFU47" s="116"/>
      <c r="NFV47" s="116"/>
      <c r="NFW47" s="116"/>
      <c r="NFX47" s="116"/>
      <c r="NFY47" s="116"/>
      <c r="NFZ47" s="116"/>
      <c r="NGA47" s="116"/>
      <c r="NGB47" s="116"/>
      <c r="NGC47" s="116"/>
      <c r="NGD47" s="116"/>
      <c r="NGE47" s="116"/>
      <c r="NGF47" s="116"/>
      <c r="NGG47" s="116"/>
      <c r="NGH47" s="116"/>
      <c r="NGI47" s="116"/>
      <c r="NGJ47" s="116"/>
      <c r="NGK47" s="116"/>
      <c r="NGL47" s="116"/>
      <c r="NGM47" s="116"/>
      <c r="NGN47" s="116"/>
      <c r="NGO47" s="116"/>
      <c r="NGP47" s="116"/>
      <c r="NGQ47" s="116"/>
      <c r="NGR47" s="116"/>
      <c r="NGS47" s="116"/>
      <c r="NGT47" s="116"/>
      <c r="NGU47" s="116"/>
      <c r="NGV47" s="116"/>
      <c r="NGW47" s="116"/>
      <c r="NGX47" s="116"/>
      <c r="NGY47" s="116"/>
      <c r="NGZ47" s="116"/>
      <c r="NHA47" s="116"/>
      <c r="NHB47" s="116"/>
      <c r="NHC47" s="116"/>
      <c r="NHD47" s="116"/>
      <c r="NHE47" s="116"/>
      <c r="NHF47" s="116"/>
      <c r="NHG47" s="116"/>
      <c r="NHH47" s="116"/>
      <c r="NHI47" s="116"/>
      <c r="NHJ47" s="116"/>
      <c r="NHK47" s="116"/>
      <c r="NHL47" s="116"/>
      <c r="NHM47" s="116"/>
      <c r="NHN47" s="116"/>
      <c r="NHO47" s="116"/>
      <c r="NHP47" s="116"/>
      <c r="NHQ47" s="116"/>
      <c r="NHR47" s="116"/>
      <c r="NHS47" s="116"/>
      <c r="NHT47" s="116"/>
      <c r="NHU47" s="116"/>
      <c r="NHV47" s="116"/>
      <c r="NHW47" s="116"/>
      <c r="NHX47" s="116"/>
      <c r="NHY47" s="116"/>
      <c r="NHZ47" s="116"/>
      <c r="NIA47" s="116"/>
      <c r="NIB47" s="116"/>
      <c r="NIC47" s="116"/>
      <c r="NID47" s="116"/>
      <c r="NIE47" s="116"/>
      <c r="NIF47" s="116"/>
      <c r="NIG47" s="116"/>
      <c r="NIH47" s="116"/>
      <c r="NII47" s="116"/>
      <c r="NIJ47" s="116"/>
      <c r="NIK47" s="116"/>
      <c r="NIL47" s="116"/>
      <c r="NIM47" s="116"/>
      <c r="NIN47" s="116"/>
      <c r="NIO47" s="116"/>
      <c r="NIP47" s="116"/>
      <c r="NIQ47" s="116"/>
      <c r="NIR47" s="116"/>
      <c r="NIS47" s="116"/>
      <c r="NIT47" s="116"/>
      <c r="NIU47" s="116"/>
      <c r="NIV47" s="116"/>
      <c r="NIW47" s="116"/>
      <c r="NIX47" s="116"/>
      <c r="NIY47" s="116"/>
      <c r="NIZ47" s="116"/>
      <c r="NJA47" s="116"/>
      <c r="NJB47" s="116"/>
      <c r="NJC47" s="116"/>
      <c r="NJD47" s="116"/>
      <c r="NJE47" s="116"/>
      <c r="NJF47" s="116"/>
      <c r="NJG47" s="116"/>
      <c r="NJH47" s="116"/>
      <c r="NJI47" s="116"/>
      <c r="NJJ47" s="116"/>
      <c r="NJK47" s="116"/>
      <c r="NJL47" s="116"/>
      <c r="NJM47" s="116"/>
      <c r="NJN47" s="116"/>
      <c r="NJO47" s="116"/>
      <c r="NJP47" s="116"/>
      <c r="NJQ47" s="116"/>
      <c r="NJR47" s="116"/>
      <c r="NJS47" s="116"/>
      <c r="NJT47" s="116"/>
      <c r="NJU47" s="116"/>
      <c r="NJV47" s="116"/>
      <c r="NJW47" s="116"/>
      <c r="NJX47" s="116"/>
      <c r="NJY47" s="116"/>
      <c r="NJZ47" s="116"/>
      <c r="NKA47" s="116"/>
      <c r="NKB47" s="116"/>
      <c r="NKC47" s="116"/>
      <c r="NKD47" s="116"/>
      <c r="NKE47" s="116"/>
      <c r="NKF47" s="116"/>
      <c r="NKG47" s="116"/>
      <c r="NKH47" s="116"/>
      <c r="NKI47" s="116"/>
      <c r="NKJ47" s="116"/>
      <c r="NKK47" s="116"/>
      <c r="NKL47" s="116"/>
      <c r="NKM47" s="116"/>
      <c r="NKN47" s="116"/>
      <c r="NKO47" s="116"/>
      <c r="NKP47" s="116"/>
      <c r="NKQ47" s="116"/>
      <c r="NKR47" s="116"/>
      <c r="NKS47" s="116"/>
      <c r="NKT47" s="116"/>
      <c r="NKU47" s="116"/>
      <c r="NKV47" s="116"/>
      <c r="NKW47" s="116"/>
      <c r="NKX47" s="116"/>
      <c r="NKY47" s="116"/>
      <c r="NKZ47" s="116"/>
      <c r="NLA47" s="116"/>
      <c r="NLB47" s="116"/>
      <c r="NLC47" s="116"/>
      <c r="NLD47" s="116"/>
      <c r="NLE47" s="116"/>
      <c r="NLF47" s="116"/>
      <c r="NLG47" s="116"/>
      <c r="NLH47" s="116"/>
      <c r="NLI47" s="116"/>
      <c r="NLJ47" s="116"/>
      <c r="NLK47" s="116"/>
      <c r="NLL47" s="116"/>
      <c r="NLM47" s="116"/>
      <c r="NLN47" s="116"/>
      <c r="NLO47" s="116"/>
      <c r="NLP47" s="116"/>
      <c r="NLQ47" s="116"/>
      <c r="NLR47" s="116"/>
      <c r="NLS47" s="116"/>
      <c r="NLT47" s="116"/>
      <c r="NLU47" s="116"/>
      <c r="NLV47" s="116"/>
      <c r="NLW47" s="116"/>
      <c r="NLX47" s="116"/>
      <c r="NLY47" s="116"/>
      <c r="NLZ47" s="116"/>
      <c r="NMA47" s="116"/>
      <c r="NMB47" s="116"/>
      <c r="NMC47" s="116"/>
      <c r="NMD47" s="116"/>
      <c r="NME47" s="116"/>
      <c r="NMF47" s="116"/>
      <c r="NMG47" s="116"/>
      <c r="NMH47" s="116"/>
      <c r="NMI47" s="116"/>
      <c r="NMJ47" s="116"/>
      <c r="NMK47" s="116"/>
      <c r="NML47" s="116"/>
      <c r="NMM47" s="116"/>
      <c r="NMN47" s="116"/>
      <c r="NMO47" s="116"/>
      <c r="NMP47" s="116"/>
      <c r="NMQ47" s="116"/>
      <c r="NMR47" s="116"/>
      <c r="NMS47" s="116"/>
      <c r="NMT47" s="116"/>
      <c r="NMU47" s="116"/>
      <c r="NMV47" s="116"/>
      <c r="NMW47" s="116"/>
      <c r="NMX47" s="116"/>
      <c r="NMY47" s="116"/>
      <c r="NMZ47" s="116"/>
      <c r="NNA47" s="116"/>
      <c r="NNB47" s="116"/>
      <c r="NNC47" s="116"/>
      <c r="NND47" s="116"/>
      <c r="NNE47" s="116"/>
      <c r="NNF47" s="116"/>
      <c r="NNG47" s="116"/>
      <c r="NNH47" s="116"/>
      <c r="NNI47" s="116"/>
      <c r="NNJ47" s="116"/>
      <c r="NNK47" s="116"/>
      <c r="NNL47" s="116"/>
      <c r="NNM47" s="116"/>
      <c r="NNN47" s="116"/>
      <c r="NNO47" s="116"/>
      <c r="NNP47" s="116"/>
      <c r="NNQ47" s="116"/>
      <c r="NNR47" s="116"/>
      <c r="NNS47" s="116"/>
      <c r="NNT47" s="116"/>
      <c r="NNU47" s="116"/>
      <c r="NNV47" s="116"/>
      <c r="NNW47" s="116"/>
      <c r="NNX47" s="116"/>
      <c r="NNY47" s="116"/>
      <c r="NNZ47" s="116"/>
      <c r="NOA47" s="116"/>
      <c r="NOB47" s="116"/>
      <c r="NOC47" s="116"/>
      <c r="NOD47" s="116"/>
      <c r="NOE47" s="116"/>
      <c r="NOF47" s="116"/>
      <c r="NOG47" s="116"/>
      <c r="NOH47" s="116"/>
      <c r="NOI47" s="116"/>
      <c r="NOJ47" s="116"/>
      <c r="NOK47" s="116"/>
      <c r="NOL47" s="116"/>
      <c r="NOM47" s="116"/>
      <c r="NON47" s="116"/>
      <c r="NOO47" s="116"/>
      <c r="NOP47" s="116"/>
      <c r="NOQ47" s="116"/>
      <c r="NOR47" s="116"/>
      <c r="NOS47" s="116"/>
      <c r="NOT47" s="116"/>
      <c r="NOU47" s="116"/>
      <c r="NOV47" s="116"/>
      <c r="NOW47" s="116"/>
      <c r="NOX47" s="116"/>
      <c r="NOY47" s="116"/>
      <c r="NOZ47" s="116"/>
      <c r="NPA47" s="116"/>
      <c r="NPB47" s="116"/>
      <c r="NPC47" s="116"/>
      <c r="NPD47" s="116"/>
      <c r="NPE47" s="116"/>
      <c r="NPF47" s="116"/>
      <c r="NPG47" s="116"/>
      <c r="NPH47" s="116"/>
      <c r="NPI47" s="116"/>
      <c r="NPJ47" s="116"/>
      <c r="NPK47" s="116"/>
      <c r="NPL47" s="116"/>
      <c r="NPM47" s="116"/>
      <c r="NPN47" s="116"/>
      <c r="NPO47" s="116"/>
      <c r="NPP47" s="116"/>
      <c r="NPQ47" s="116"/>
      <c r="NPR47" s="116"/>
      <c r="NPS47" s="116"/>
      <c r="NPT47" s="116"/>
      <c r="NPU47" s="116"/>
      <c r="NPV47" s="116"/>
      <c r="NPW47" s="116"/>
      <c r="NPX47" s="116"/>
      <c r="NPY47" s="116"/>
      <c r="NPZ47" s="116"/>
      <c r="NQA47" s="116"/>
      <c r="NQB47" s="116"/>
      <c r="NQC47" s="116"/>
      <c r="NQD47" s="116"/>
      <c r="NQE47" s="116"/>
      <c r="NQF47" s="116"/>
      <c r="NQG47" s="116"/>
      <c r="NQH47" s="116"/>
      <c r="NQI47" s="116"/>
      <c r="NQJ47" s="116"/>
      <c r="NQK47" s="116"/>
      <c r="NQL47" s="116"/>
      <c r="NQM47" s="116"/>
      <c r="NQN47" s="116"/>
      <c r="NQO47" s="116"/>
      <c r="NQP47" s="116"/>
      <c r="NQQ47" s="116"/>
      <c r="NQR47" s="116"/>
      <c r="NQS47" s="116"/>
      <c r="NQT47" s="116"/>
      <c r="NQU47" s="116"/>
      <c r="NQV47" s="116"/>
      <c r="NQW47" s="116"/>
      <c r="NQX47" s="116"/>
      <c r="NQY47" s="116"/>
      <c r="NQZ47" s="116"/>
      <c r="NRA47" s="116"/>
      <c r="NRB47" s="116"/>
      <c r="NRC47" s="116"/>
      <c r="NRD47" s="116"/>
      <c r="NRE47" s="116"/>
      <c r="NRF47" s="116"/>
      <c r="NRG47" s="116"/>
      <c r="NRH47" s="116"/>
      <c r="NRI47" s="116"/>
      <c r="NRJ47" s="116"/>
      <c r="NRK47" s="116"/>
      <c r="NRL47" s="116"/>
      <c r="NRM47" s="116"/>
      <c r="NRN47" s="116"/>
      <c r="NRO47" s="116"/>
      <c r="NRP47" s="116"/>
      <c r="NRQ47" s="116"/>
      <c r="NRR47" s="116"/>
      <c r="NRS47" s="116"/>
      <c r="NRT47" s="116"/>
      <c r="NRU47" s="116"/>
      <c r="NRV47" s="116"/>
      <c r="NRW47" s="116"/>
      <c r="NRX47" s="116"/>
      <c r="NRY47" s="116"/>
      <c r="NRZ47" s="116"/>
      <c r="NSA47" s="116"/>
      <c r="NSB47" s="116"/>
      <c r="NSC47" s="116"/>
      <c r="NSD47" s="116"/>
      <c r="NSE47" s="116"/>
      <c r="NSF47" s="116"/>
      <c r="NSG47" s="116"/>
      <c r="NSH47" s="116"/>
      <c r="NSI47" s="116"/>
      <c r="NSJ47" s="116"/>
      <c r="NSK47" s="116"/>
      <c r="NSL47" s="116"/>
      <c r="NSM47" s="116"/>
      <c r="NSN47" s="116"/>
      <c r="NSO47" s="116"/>
      <c r="NSP47" s="116"/>
      <c r="NSQ47" s="116"/>
      <c r="NSR47" s="116"/>
      <c r="NSS47" s="116"/>
      <c r="NST47" s="116"/>
      <c r="NSU47" s="116"/>
      <c r="NSV47" s="116"/>
      <c r="NSW47" s="116"/>
      <c r="NSX47" s="116"/>
      <c r="NSY47" s="116"/>
      <c r="NSZ47" s="116"/>
      <c r="NTA47" s="116"/>
      <c r="NTB47" s="116"/>
      <c r="NTC47" s="116"/>
      <c r="NTD47" s="116"/>
      <c r="NTE47" s="116"/>
      <c r="NTF47" s="116"/>
      <c r="NTG47" s="116"/>
      <c r="NTH47" s="116"/>
      <c r="NTI47" s="116"/>
      <c r="NTJ47" s="116"/>
      <c r="NTK47" s="116"/>
      <c r="NTL47" s="116"/>
      <c r="NTM47" s="116"/>
      <c r="NTN47" s="116"/>
      <c r="NTO47" s="116"/>
      <c r="NTP47" s="116"/>
      <c r="NTQ47" s="116"/>
      <c r="NTR47" s="116"/>
      <c r="NTS47" s="116"/>
      <c r="NTT47" s="116"/>
      <c r="NTU47" s="116"/>
      <c r="NTV47" s="116"/>
      <c r="NTW47" s="116"/>
      <c r="NTX47" s="116"/>
      <c r="NTY47" s="116"/>
      <c r="NTZ47" s="116"/>
      <c r="NUA47" s="116"/>
      <c r="NUB47" s="116"/>
      <c r="NUC47" s="116"/>
      <c r="NUD47" s="116"/>
      <c r="NUE47" s="116"/>
      <c r="NUF47" s="116"/>
      <c r="NUG47" s="116"/>
      <c r="NUH47" s="116"/>
      <c r="NUI47" s="116"/>
      <c r="NUJ47" s="116"/>
      <c r="NUK47" s="116"/>
      <c r="NUL47" s="116"/>
      <c r="NUM47" s="116"/>
      <c r="NUN47" s="116"/>
      <c r="NUO47" s="116"/>
      <c r="NUP47" s="116"/>
      <c r="NUQ47" s="116"/>
      <c r="NUR47" s="116"/>
      <c r="NUS47" s="116"/>
      <c r="NUT47" s="116"/>
      <c r="NUU47" s="116"/>
      <c r="NUV47" s="116"/>
      <c r="NUW47" s="116"/>
      <c r="NUX47" s="116"/>
      <c r="NUY47" s="116"/>
      <c r="NUZ47" s="116"/>
      <c r="NVA47" s="116"/>
      <c r="NVB47" s="116"/>
      <c r="NVC47" s="116"/>
      <c r="NVD47" s="116"/>
      <c r="NVE47" s="116"/>
      <c r="NVF47" s="116"/>
      <c r="NVG47" s="116"/>
      <c r="NVH47" s="116"/>
      <c r="NVI47" s="116"/>
      <c r="NVJ47" s="116"/>
      <c r="NVK47" s="116"/>
      <c r="NVL47" s="116"/>
      <c r="NVM47" s="116"/>
      <c r="NVN47" s="116"/>
      <c r="NVO47" s="116"/>
      <c r="NVP47" s="116"/>
      <c r="NVQ47" s="116"/>
      <c r="NVR47" s="116"/>
      <c r="NVS47" s="116"/>
      <c r="NVT47" s="116"/>
      <c r="NVU47" s="116"/>
      <c r="NVV47" s="116"/>
      <c r="NVW47" s="116"/>
      <c r="NVX47" s="116"/>
      <c r="NVY47" s="116"/>
      <c r="NVZ47" s="116"/>
      <c r="NWA47" s="116"/>
      <c r="NWB47" s="116"/>
      <c r="NWC47" s="116"/>
      <c r="NWD47" s="116"/>
      <c r="NWE47" s="116"/>
      <c r="NWF47" s="116"/>
      <c r="NWG47" s="116"/>
      <c r="NWH47" s="116"/>
      <c r="NWI47" s="116"/>
      <c r="NWJ47" s="116"/>
      <c r="NWK47" s="116"/>
      <c r="NWL47" s="116"/>
      <c r="NWM47" s="116"/>
      <c r="NWN47" s="116"/>
      <c r="NWO47" s="116"/>
      <c r="NWP47" s="116"/>
      <c r="NWQ47" s="116"/>
      <c r="NWR47" s="116"/>
      <c r="NWS47" s="116"/>
      <c r="NWT47" s="116"/>
      <c r="NWU47" s="116"/>
      <c r="NWV47" s="116"/>
      <c r="NWW47" s="116"/>
      <c r="NWX47" s="116"/>
      <c r="NWY47" s="116"/>
      <c r="NWZ47" s="116"/>
      <c r="NXA47" s="116"/>
      <c r="NXB47" s="116"/>
      <c r="NXC47" s="116"/>
      <c r="NXD47" s="116"/>
      <c r="NXE47" s="116"/>
      <c r="NXF47" s="116"/>
      <c r="NXG47" s="116"/>
      <c r="NXH47" s="116"/>
      <c r="NXI47" s="116"/>
      <c r="NXJ47" s="116"/>
      <c r="NXK47" s="116"/>
      <c r="NXL47" s="116"/>
      <c r="NXM47" s="116"/>
      <c r="NXN47" s="116"/>
      <c r="NXO47" s="116"/>
      <c r="NXP47" s="116"/>
      <c r="NXQ47" s="116"/>
      <c r="NXR47" s="116"/>
      <c r="NXS47" s="116"/>
      <c r="NXT47" s="116"/>
      <c r="NXU47" s="116"/>
      <c r="NXV47" s="116"/>
      <c r="NXW47" s="116"/>
      <c r="NXX47" s="116"/>
      <c r="NXY47" s="116"/>
      <c r="NXZ47" s="116"/>
      <c r="NYA47" s="116"/>
      <c r="NYB47" s="116"/>
      <c r="NYC47" s="116"/>
      <c r="NYD47" s="116"/>
      <c r="NYE47" s="116"/>
      <c r="NYF47" s="116"/>
      <c r="NYG47" s="116"/>
      <c r="NYH47" s="116"/>
      <c r="NYI47" s="116"/>
      <c r="NYJ47" s="116"/>
      <c r="NYK47" s="116"/>
      <c r="NYL47" s="116"/>
      <c r="NYM47" s="116"/>
      <c r="NYN47" s="116"/>
      <c r="NYO47" s="116"/>
      <c r="NYP47" s="116"/>
      <c r="NYQ47" s="116"/>
      <c r="NYR47" s="116"/>
      <c r="NYS47" s="116"/>
      <c r="NYT47" s="116"/>
      <c r="NYU47" s="116"/>
      <c r="NYV47" s="116"/>
      <c r="NYW47" s="116"/>
      <c r="NYX47" s="116"/>
      <c r="NYY47" s="116"/>
      <c r="NYZ47" s="116"/>
      <c r="NZA47" s="116"/>
      <c r="NZB47" s="116"/>
      <c r="NZC47" s="116"/>
      <c r="NZD47" s="116"/>
      <c r="NZE47" s="116"/>
      <c r="NZF47" s="116"/>
      <c r="NZG47" s="116"/>
      <c r="NZH47" s="116"/>
      <c r="NZI47" s="116"/>
      <c r="NZJ47" s="116"/>
      <c r="NZK47" s="116"/>
      <c r="NZL47" s="116"/>
      <c r="NZM47" s="116"/>
      <c r="NZN47" s="116"/>
      <c r="NZO47" s="116"/>
      <c r="NZP47" s="116"/>
      <c r="NZQ47" s="116"/>
      <c r="NZR47" s="116"/>
      <c r="NZS47" s="116"/>
      <c r="NZT47" s="116"/>
      <c r="NZU47" s="116"/>
      <c r="NZV47" s="116"/>
      <c r="NZW47" s="116"/>
      <c r="NZX47" s="116"/>
      <c r="NZY47" s="116"/>
      <c r="NZZ47" s="116"/>
      <c r="OAA47" s="116"/>
      <c r="OAB47" s="116"/>
      <c r="OAC47" s="116"/>
      <c r="OAD47" s="116"/>
      <c r="OAE47" s="116"/>
      <c r="OAF47" s="116"/>
      <c r="OAG47" s="116"/>
      <c r="OAH47" s="116"/>
      <c r="OAI47" s="116"/>
      <c r="OAJ47" s="116"/>
      <c r="OAK47" s="116"/>
      <c r="OAL47" s="116"/>
      <c r="OAM47" s="116"/>
      <c r="OAN47" s="116"/>
      <c r="OAO47" s="116"/>
      <c r="OAP47" s="116"/>
      <c r="OAQ47" s="116"/>
      <c r="OAR47" s="116"/>
      <c r="OAS47" s="116"/>
      <c r="OAT47" s="116"/>
      <c r="OAU47" s="116"/>
      <c r="OAV47" s="116"/>
      <c r="OAW47" s="116"/>
      <c r="OAX47" s="116"/>
      <c r="OAY47" s="116"/>
      <c r="OAZ47" s="116"/>
      <c r="OBA47" s="116"/>
      <c r="OBB47" s="116"/>
      <c r="OBC47" s="116"/>
      <c r="OBD47" s="116"/>
      <c r="OBE47" s="116"/>
      <c r="OBF47" s="116"/>
      <c r="OBG47" s="116"/>
      <c r="OBH47" s="116"/>
      <c r="OBI47" s="116"/>
      <c r="OBJ47" s="116"/>
      <c r="OBK47" s="116"/>
      <c r="OBL47" s="116"/>
      <c r="OBM47" s="116"/>
      <c r="OBN47" s="116"/>
      <c r="OBO47" s="116"/>
      <c r="OBP47" s="116"/>
      <c r="OBQ47" s="116"/>
      <c r="OBR47" s="116"/>
      <c r="OBS47" s="116"/>
      <c r="OBT47" s="116"/>
      <c r="OBU47" s="116"/>
      <c r="OBV47" s="116"/>
      <c r="OBW47" s="116"/>
      <c r="OBX47" s="116"/>
      <c r="OBY47" s="116"/>
      <c r="OBZ47" s="116"/>
      <c r="OCA47" s="116"/>
      <c r="OCB47" s="116"/>
      <c r="OCC47" s="116"/>
      <c r="OCD47" s="116"/>
      <c r="OCE47" s="116"/>
      <c r="OCF47" s="116"/>
      <c r="OCG47" s="116"/>
      <c r="OCH47" s="116"/>
      <c r="OCI47" s="116"/>
      <c r="OCJ47" s="116"/>
      <c r="OCK47" s="116"/>
      <c r="OCL47" s="116"/>
      <c r="OCM47" s="116"/>
      <c r="OCN47" s="116"/>
      <c r="OCO47" s="116"/>
      <c r="OCP47" s="116"/>
      <c r="OCQ47" s="116"/>
      <c r="OCR47" s="116"/>
      <c r="OCS47" s="116"/>
      <c r="OCT47" s="116"/>
      <c r="OCU47" s="116"/>
      <c r="OCV47" s="116"/>
      <c r="OCW47" s="116"/>
      <c r="OCX47" s="116"/>
      <c r="OCY47" s="116"/>
      <c r="OCZ47" s="116"/>
      <c r="ODA47" s="116"/>
      <c r="ODB47" s="116"/>
      <c r="ODC47" s="116"/>
      <c r="ODD47" s="116"/>
      <c r="ODE47" s="116"/>
      <c r="ODF47" s="116"/>
      <c r="ODG47" s="116"/>
      <c r="ODH47" s="116"/>
      <c r="ODI47" s="116"/>
      <c r="ODJ47" s="116"/>
      <c r="ODK47" s="116"/>
      <c r="ODL47" s="116"/>
      <c r="ODM47" s="116"/>
      <c r="ODN47" s="116"/>
      <c r="ODO47" s="116"/>
      <c r="ODP47" s="116"/>
      <c r="ODQ47" s="116"/>
      <c r="ODR47" s="116"/>
      <c r="ODS47" s="116"/>
      <c r="ODT47" s="116"/>
      <c r="ODU47" s="116"/>
      <c r="ODV47" s="116"/>
      <c r="ODW47" s="116"/>
      <c r="ODX47" s="116"/>
      <c r="ODY47" s="116"/>
      <c r="ODZ47" s="116"/>
      <c r="OEA47" s="116"/>
      <c r="OEB47" s="116"/>
      <c r="OEC47" s="116"/>
      <c r="OED47" s="116"/>
      <c r="OEE47" s="116"/>
      <c r="OEF47" s="116"/>
      <c r="OEG47" s="116"/>
      <c r="OEH47" s="116"/>
      <c r="OEI47" s="116"/>
      <c r="OEJ47" s="116"/>
      <c r="OEK47" s="116"/>
      <c r="OEL47" s="116"/>
      <c r="OEM47" s="116"/>
      <c r="OEN47" s="116"/>
      <c r="OEO47" s="116"/>
      <c r="OEP47" s="116"/>
      <c r="OEQ47" s="116"/>
      <c r="OER47" s="116"/>
      <c r="OES47" s="116"/>
      <c r="OET47" s="116"/>
      <c r="OEU47" s="116"/>
      <c r="OEV47" s="116"/>
      <c r="OEW47" s="116"/>
      <c r="OEX47" s="116"/>
      <c r="OEY47" s="116"/>
      <c r="OEZ47" s="116"/>
      <c r="OFA47" s="116"/>
      <c r="OFB47" s="116"/>
      <c r="OFC47" s="116"/>
      <c r="OFD47" s="116"/>
      <c r="OFE47" s="116"/>
      <c r="OFF47" s="116"/>
      <c r="OFG47" s="116"/>
      <c r="OFH47" s="116"/>
      <c r="OFI47" s="116"/>
      <c r="OFJ47" s="116"/>
      <c r="OFK47" s="116"/>
      <c r="OFL47" s="116"/>
      <c r="OFM47" s="116"/>
      <c r="OFN47" s="116"/>
      <c r="OFO47" s="116"/>
      <c r="OFP47" s="116"/>
      <c r="OFQ47" s="116"/>
      <c r="OFR47" s="116"/>
      <c r="OFS47" s="116"/>
      <c r="OFT47" s="116"/>
      <c r="OFU47" s="116"/>
      <c r="OFV47" s="116"/>
      <c r="OFW47" s="116"/>
      <c r="OFX47" s="116"/>
      <c r="OFY47" s="116"/>
      <c r="OFZ47" s="116"/>
      <c r="OGA47" s="116"/>
      <c r="OGB47" s="116"/>
      <c r="OGC47" s="116"/>
      <c r="OGD47" s="116"/>
      <c r="OGE47" s="116"/>
      <c r="OGF47" s="116"/>
      <c r="OGG47" s="116"/>
      <c r="OGH47" s="116"/>
      <c r="OGI47" s="116"/>
      <c r="OGJ47" s="116"/>
      <c r="OGK47" s="116"/>
      <c r="OGL47" s="116"/>
      <c r="OGM47" s="116"/>
      <c r="OGN47" s="116"/>
      <c r="OGO47" s="116"/>
      <c r="OGP47" s="116"/>
      <c r="OGQ47" s="116"/>
      <c r="OGR47" s="116"/>
      <c r="OGS47" s="116"/>
      <c r="OGT47" s="116"/>
      <c r="OGU47" s="116"/>
      <c r="OGV47" s="116"/>
      <c r="OGW47" s="116"/>
      <c r="OGX47" s="116"/>
      <c r="OGY47" s="116"/>
      <c r="OGZ47" s="116"/>
      <c r="OHA47" s="116"/>
      <c r="OHB47" s="116"/>
      <c r="OHC47" s="116"/>
      <c r="OHD47" s="116"/>
      <c r="OHE47" s="116"/>
      <c r="OHF47" s="116"/>
      <c r="OHG47" s="116"/>
      <c r="OHH47" s="116"/>
      <c r="OHI47" s="116"/>
      <c r="OHJ47" s="116"/>
      <c r="OHK47" s="116"/>
      <c r="OHL47" s="116"/>
      <c r="OHM47" s="116"/>
      <c r="OHN47" s="116"/>
      <c r="OHO47" s="116"/>
      <c r="OHP47" s="116"/>
      <c r="OHQ47" s="116"/>
      <c r="OHR47" s="116"/>
      <c r="OHS47" s="116"/>
      <c r="OHT47" s="116"/>
      <c r="OHU47" s="116"/>
      <c r="OHV47" s="116"/>
      <c r="OHW47" s="116"/>
      <c r="OHX47" s="116"/>
      <c r="OHY47" s="116"/>
      <c r="OHZ47" s="116"/>
      <c r="OIA47" s="116"/>
      <c r="OIB47" s="116"/>
      <c r="OIC47" s="116"/>
      <c r="OID47" s="116"/>
      <c r="OIE47" s="116"/>
      <c r="OIF47" s="116"/>
      <c r="OIG47" s="116"/>
      <c r="OIH47" s="116"/>
      <c r="OII47" s="116"/>
      <c r="OIJ47" s="116"/>
      <c r="OIK47" s="116"/>
      <c r="OIL47" s="116"/>
      <c r="OIM47" s="116"/>
      <c r="OIN47" s="116"/>
      <c r="OIO47" s="116"/>
      <c r="OIP47" s="116"/>
      <c r="OIQ47" s="116"/>
      <c r="OIR47" s="116"/>
      <c r="OIS47" s="116"/>
      <c r="OIT47" s="116"/>
      <c r="OIU47" s="116"/>
      <c r="OIV47" s="116"/>
      <c r="OIW47" s="116"/>
      <c r="OIX47" s="116"/>
      <c r="OIY47" s="116"/>
      <c r="OIZ47" s="116"/>
      <c r="OJA47" s="116"/>
      <c r="OJB47" s="116"/>
      <c r="OJC47" s="116"/>
      <c r="OJD47" s="116"/>
      <c r="OJE47" s="116"/>
      <c r="OJF47" s="116"/>
      <c r="OJG47" s="116"/>
      <c r="OJH47" s="116"/>
      <c r="OJI47" s="116"/>
      <c r="OJJ47" s="116"/>
      <c r="OJK47" s="116"/>
      <c r="OJL47" s="116"/>
      <c r="OJM47" s="116"/>
      <c r="OJN47" s="116"/>
      <c r="OJO47" s="116"/>
      <c r="OJP47" s="116"/>
      <c r="OJQ47" s="116"/>
      <c r="OJR47" s="116"/>
      <c r="OJS47" s="116"/>
      <c r="OJT47" s="116"/>
      <c r="OJU47" s="116"/>
      <c r="OJV47" s="116"/>
      <c r="OJW47" s="116"/>
      <c r="OJX47" s="116"/>
      <c r="OJY47" s="116"/>
      <c r="OJZ47" s="116"/>
      <c r="OKA47" s="116"/>
      <c r="OKB47" s="116"/>
      <c r="OKC47" s="116"/>
      <c r="OKD47" s="116"/>
      <c r="OKE47" s="116"/>
      <c r="OKF47" s="116"/>
      <c r="OKG47" s="116"/>
      <c r="OKH47" s="116"/>
      <c r="OKI47" s="116"/>
      <c r="OKJ47" s="116"/>
      <c r="OKK47" s="116"/>
      <c r="OKL47" s="116"/>
      <c r="OKM47" s="116"/>
      <c r="OKN47" s="116"/>
      <c r="OKO47" s="116"/>
      <c r="OKP47" s="116"/>
      <c r="OKQ47" s="116"/>
      <c r="OKR47" s="116"/>
      <c r="OKS47" s="116"/>
      <c r="OKT47" s="116"/>
      <c r="OKU47" s="116"/>
      <c r="OKV47" s="116"/>
      <c r="OKW47" s="116"/>
      <c r="OKX47" s="116"/>
      <c r="OKY47" s="116"/>
      <c r="OKZ47" s="116"/>
      <c r="OLA47" s="116"/>
      <c r="OLB47" s="116"/>
      <c r="OLC47" s="116"/>
      <c r="OLD47" s="116"/>
      <c r="OLE47" s="116"/>
      <c r="OLF47" s="116"/>
      <c r="OLG47" s="116"/>
      <c r="OLH47" s="116"/>
      <c r="OLI47" s="116"/>
      <c r="OLJ47" s="116"/>
      <c r="OLK47" s="116"/>
      <c r="OLL47" s="116"/>
      <c r="OLM47" s="116"/>
      <c r="OLN47" s="116"/>
      <c r="OLO47" s="116"/>
      <c r="OLP47" s="116"/>
      <c r="OLQ47" s="116"/>
      <c r="OLR47" s="116"/>
      <c r="OLS47" s="116"/>
      <c r="OLT47" s="116"/>
      <c r="OLU47" s="116"/>
      <c r="OLV47" s="116"/>
      <c r="OLW47" s="116"/>
      <c r="OLX47" s="116"/>
      <c r="OLY47" s="116"/>
      <c r="OLZ47" s="116"/>
      <c r="OMA47" s="116"/>
      <c r="OMB47" s="116"/>
      <c r="OMC47" s="116"/>
      <c r="OMD47" s="116"/>
      <c r="OME47" s="116"/>
      <c r="OMF47" s="116"/>
      <c r="OMG47" s="116"/>
      <c r="OMH47" s="116"/>
      <c r="OMI47" s="116"/>
      <c r="OMJ47" s="116"/>
      <c r="OMK47" s="116"/>
      <c r="OML47" s="116"/>
      <c r="OMM47" s="116"/>
      <c r="OMN47" s="116"/>
      <c r="OMO47" s="116"/>
      <c r="OMP47" s="116"/>
      <c r="OMQ47" s="116"/>
      <c r="OMR47" s="116"/>
      <c r="OMS47" s="116"/>
      <c r="OMT47" s="116"/>
      <c r="OMU47" s="116"/>
      <c r="OMV47" s="116"/>
      <c r="OMW47" s="116"/>
      <c r="OMX47" s="116"/>
      <c r="OMY47" s="116"/>
      <c r="OMZ47" s="116"/>
      <c r="ONA47" s="116"/>
      <c r="ONB47" s="116"/>
      <c r="ONC47" s="116"/>
      <c r="OND47" s="116"/>
      <c r="ONE47" s="116"/>
      <c r="ONF47" s="116"/>
      <c r="ONG47" s="116"/>
      <c r="ONH47" s="116"/>
      <c r="ONI47" s="116"/>
      <c r="ONJ47" s="116"/>
      <c r="ONK47" s="116"/>
      <c r="ONL47" s="116"/>
      <c r="ONM47" s="116"/>
      <c r="ONN47" s="116"/>
      <c r="ONO47" s="116"/>
      <c r="ONP47" s="116"/>
      <c r="ONQ47" s="116"/>
      <c r="ONR47" s="116"/>
      <c r="ONS47" s="116"/>
      <c r="ONT47" s="116"/>
      <c r="ONU47" s="116"/>
      <c r="ONV47" s="116"/>
      <c r="ONW47" s="116"/>
      <c r="ONX47" s="116"/>
      <c r="ONY47" s="116"/>
      <c r="ONZ47" s="116"/>
      <c r="OOA47" s="116"/>
      <c r="OOB47" s="116"/>
      <c r="OOC47" s="116"/>
      <c r="OOD47" s="116"/>
      <c r="OOE47" s="116"/>
      <c r="OOF47" s="116"/>
      <c r="OOG47" s="116"/>
      <c r="OOH47" s="116"/>
      <c r="OOI47" s="116"/>
      <c r="OOJ47" s="116"/>
      <c r="OOK47" s="116"/>
      <c r="OOL47" s="116"/>
      <c r="OOM47" s="116"/>
      <c r="OON47" s="116"/>
      <c r="OOO47" s="116"/>
      <c r="OOP47" s="116"/>
      <c r="OOQ47" s="116"/>
      <c r="OOR47" s="116"/>
      <c r="OOS47" s="116"/>
      <c r="OOT47" s="116"/>
      <c r="OOU47" s="116"/>
      <c r="OOV47" s="116"/>
      <c r="OOW47" s="116"/>
      <c r="OOX47" s="116"/>
      <c r="OOY47" s="116"/>
      <c r="OOZ47" s="116"/>
      <c r="OPA47" s="116"/>
      <c r="OPB47" s="116"/>
      <c r="OPC47" s="116"/>
      <c r="OPD47" s="116"/>
      <c r="OPE47" s="116"/>
      <c r="OPF47" s="116"/>
      <c r="OPG47" s="116"/>
      <c r="OPH47" s="116"/>
      <c r="OPI47" s="116"/>
      <c r="OPJ47" s="116"/>
      <c r="OPK47" s="116"/>
      <c r="OPL47" s="116"/>
      <c r="OPM47" s="116"/>
      <c r="OPN47" s="116"/>
      <c r="OPO47" s="116"/>
      <c r="OPP47" s="116"/>
      <c r="OPQ47" s="116"/>
      <c r="OPR47" s="116"/>
      <c r="OPS47" s="116"/>
      <c r="OPT47" s="116"/>
      <c r="OPU47" s="116"/>
      <c r="OPV47" s="116"/>
      <c r="OPW47" s="116"/>
      <c r="OPX47" s="116"/>
      <c r="OPY47" s="116"/>
      <c r="OPZ47" s="116"/>
      <c r="OQA47" s="116"/>
      <c r="OQB47" s="116"/>
      <c r="OQC47" s="116"/>
      <c r="OQD47" s="116"/>
      <c r="OQE47" s="116"/>
      <c r="OQF47" s="116"/>
      <c r="OQG47" s="116"/>
      <c r="OQH47" s="116"/>
      <c r="OQI47" s="116"/>
      <c r="OQJ47" s="116"/>
      <c r="OQK47" s="116"/>
      <c r="OQL47" s="116"/>
      <c r="OQM47" s="116"/>
      <c r="OQN47" s="116"/>
      <c r="OQO47" s="116"/>
      <c r="OQP47" s="116"/>
      <c r="OQQ47" s="116"/>
      <c r="OQR47" s="116"/>
      <c r="OQS47" s="116"/>
      <c r="OQT47" s="116"/>
      <c r="OQU47" s="116"/>
      <c r="OQV47" s="116"/>
      <c r="OQW47" s="116"/>
      <c r="OQX47" s="116"/>
      <c r="OQY47" s="116"/>
      <c r="OQZ47" s="116"/>
      <c r="ORA47" s="116"/>
      <c r="ORB47" s="116"/>
      <c r="ORC47" s="116"/>
      <c r="ORD47" s="116"/>
      <c r="ORE47" s="116"/>
      <c r="ORF47" s="116"/>
      <c r="ORG47" s="116"/>
      <c r="ORH47" s="116"/>
      <c r="ORI47" s="116"/>
      <c r="ORJ47" s="116"/>
      <c r="ORK47" s="116"/>
      <c r="ORL47" s="116"/>
      <c r="ORM47" s="116"/>
      <c r="ORN47" s="116"/>
      <c r="ORO47" s="116"/>
      <c r="ORP47" s="116"/>
      <c r="ORQ47" s="116"/>
      <c r="ORR47" s="116"/>
      <c r="ORS47" s="116"/>
      <c r="ORT47" s="116"/>
      <c r="ORU47" s="116"/>
      <c r="ORV47" s="116"/>
      <c r="ORW47" s="116"/>
      <c r="ORX47" s="116"/>
      <c r="ORY47" s="116"/>
      <c r="ORZ47" s="116"/>
      <c r="OSA47" s="116"/>
      <c r="OSB47" s="116"/>
      <c r="OSC47" s="116"/>
      <c r="OSD47" s="116"/>
      <c r="OSE47" s="116"/>
      <c r="OSF47" s="116"/>
      <c r="OSG47" s="116"/>
      <c r="OSH47" s="116"/>
      <c r="OSI47" s="116"/>
      <c r="OSJ47" s="116"/>
      <c r="OSK47" s="116"/>
      <c r="OSL47" s="116"/>
      <c r="OSM47" s="116"/>
      <c r="OSN47" s="116"/>
      <c r="OSO47" s="116"/>
      <c r="OSP47" s="116"/>
      <c r="OSQ47" s="116"/>
      <c r="OSR47" s="116"/>
      <c r="OSS47" s="116"/>
      <c r="OST47" s="116"/>
      <c r="OSU47" s="116"/>
      <c r="OSV47" s="116"/>
      <c r="OSW47" s="116"/>
      <c r="OSX47" s="116"/>
      <c r="OSY47" s="116"/>
      <c r="OSZ47" s="116"/>
      <c r="OTA47" s="116"/>
      <c r="OTB47" s="116"/>
      <c r="OTC47" s="116"/>
      <c r="OTD47" s="116"/>
      <c r="OTE47" s="116"/>
      <c r="OTF47" s="116"/>
      <c r="OTG47" s="116"/>
      <c r="OTH47" s="116"/>
      <c r="OTI47" s="116"/>
      <c r="OTJ47" s="116"/>
      <c r="OTK47" s="116"/>
      <c r="OTL47" s="116"/>
      <c r="OTM47" s="116"/>
      <c r="OTN47" s="116"/>
      <c r="OTO47" s="116"/>
      <c r="OTP47" s="116"/>
      <c r="OTQ47" s="116"/>
      <c r="OTR47" s="116"/>
      <c r="OTS47" s="116"/>
      <c r="OTT47" s="116"/>
      <c r="OTU47" s="116"/>
      <c r="OTV47" s="116"/>
      <c r="OTW47" s="116"/>
      <c r="OTX47" s="116"/>
      <c r="OTY47" s="116"/>
      <c r="OTZ47" s="116"/>
      <c r="OUA47" s="116"/>
      <c r="OUB47" s="116"/>
      <c r="OUC47" s="116"/>
      <c r="OUD47" s="116"/>
      <c r="OUE47" s="116"/>
      <c r="OUF47" s="116"/>
      <c r="OUG47" s="116"/>
      <c r="OUH47" s="116"/>
      <c r="OUI47" s="116"/>
      <c r="OUJ47" s="116"/>
      <c r="OUK47" s="116"/>
      <c r="OUL47" s="116"/>
      <c r="OUM47" s="116"/>
      <c r="OUN47" s="116"/>
      <c r="OUO47" s="116"/>
      <c r="OUP47" s="116"/>
      <c r="OUQ47" s="116"/>
      <c r="OUR47" s="116"/>
      <c r="OUS47" s="116"/>
      <c r="OUT47" s="116"/>
      <c r="OUU47" s="116"/>
      <c r="OUV47" s="116"/>
      <c r="OUW47" s="116"/>
      <c r="OUX47" s="116"/>
      <c r="OUY47" s="116"/>
      <c r="OUZ47" s="116"/>
      <c r="OVA47" s="116"/>
      <c r="OVB47" s="116"/>
      <c r="OVC47" s="116"/>
      <c r="OVD47" s="116"/>
      <c r="OVE47" s="116"/>
      <c r="OVF47" s="116"/>
      <c r="OVG47" s="116"/>
      <c r="OVH47" s="116"/>
      <c r="OVI47" s="116"/>
      <c r="OVJ47" s="116"/>
      <c r="OVK47" s="116"/>
      <c r="OVL47" s="116"/>
      <c r="OVM47" s="116"/>
      <c r="OVN47" s="116"/>
      <c r="OVO47" s="116"/>
      <c r="OVP47" s="116"/>
      <c r="OVQ47" s="116"/>
      <c r="OVR47" s="116"/>
      <c r="OVS47" s="116"/>
      <c r="OVT47" s="116"/>
      <c r="OVU47" s="116"/>
      <c r="OVV47" s="116"/>
      <c r="OVW47" s="116"/>
      <c r="OVX47" s="116"/>
      <c r="OVY47" s="116"/>
      <c r="OVZ47" s="116"/>
      <c r="OWA47" s="116"/>
      <c r="OWB47" s="116"/>
      <c r="OWC47" s="116"/>
      <c r="OWD47" s="116"/>
      <c r="OWE47" s="116"/>
      <c r="OWF47" s="116"/>
      <c r="OWG47" s="116"/>
      <c r="OWH47" s="116"/>
      <c r="OWI47" s="116"/>
      <c r="OWJ47" s="116"/>
      <c r="OWK47" s="116"/>
      <c r="OWL47" s="116"/>
      <c r="OWM47" s="116"/>
      <c r="OWN47" s="116"/>
      <c r="OWO47" s="116"/>
      <c r="OWP47" s="116"/>
      <c r="OWQ47" s="116"/>
      <c r="OWR47" s="116"/>
      <c r="OWS47" s="116"/>
      <c r="OWT47" s="116"/>
      <c r="OWU47" s="116"/>
      <c r="OWV47" s="116"/>
      <c r="OWW47" s="116"/>
      <c r="OWX47" s="116"/>
      <c r="OWY47" s="116"/>
      <c r="OWZ47" s="116"/>
      <c r="OXA47" s="116"/>
      <c r="OXB47" s="116"/>
      <c r="OXC47" s="116"/>
      <c r="OXD47" s="116"/>
      <c r="OXE47" s="116"/>
      <c r="OXF47" s="116"/>
      <c r="OXG47" s="116"/>
      <c r="OXH47" s="116"/>
      <c r="OXI47" s="116"/>
      <c r="OXJ47" s="116"/>
      <c r="OXK47" s="116"/>
      <c r="OXL47" s="116"/>
      <c r="OXM47" s="116"/>
      <c r="OXN47" s="116"/>
      <c r="OXO47" s="116"/>
      <c r="OXP47" s="116"/>
      <c r="OXQ47" s="116"/>
      <c r="OXR47" s="116"/>
      <c r="OXS47" s="116"/>
      <c r="OXT47" s="116"/>
      <c r="OXU47" s="116"/>
      <c r="OXV47" s="116"/>
      <c r="OXW47" s="116"/>
      <c r="OXX47" s="116"/>
      <c r="OXY47" s="116"/>
      <c r="OXZ47" s="116"/>
      <c r="OYA47" s="116"/>
      <c r="OYB47" s="116"/>
      <c r="OYC47" s="116"/>
      <c r="OYD47" s="116"/>
      <c r="OYE47" s="116"/>
      <c r="OYF47" s="116"/>
      <c r="OYG47" s="116"/>
      <c r="OYH47" s="116"/>
      <c r="OYI47" s="116"/>
      <c r="OYJ47" s="116"/>
      <c r="OYK47" s="116"/>
      <c r="OYL47" s="116"/>
      <c r="OYM47" s="116"/>
      <c r="OYN47" s="116"/>
      <c r="OYO47" s="116"/>
      <c r="OYP47" s="116"/>
      <c r="OYQ47" s="116"/>
      <c r="OYR47" s="116"/>
      <c r="OYS47" s="116"/>
      <c r="OYT47" s="116"/>
      <c r="OYU47" s="116"/>
      <c r="OYV47" s="116"/>
      <c r="OYW47" s="116"/>
      <c r="OYX47" s="116"/>
      <c r="OYY47" s="116"/>
      <c r="OYZ47" s="116"/>
      <c r="OZA47" s="116"/>
      <c r="OZB47" s="116"/>
      <c r="OZC47" s="116"/>
      <c r="OZD47" s="116"/>
      <c r="OZE47" s="116"/>
      <c r="OZF47" s="116"/>
      <c r="OZG47" s="116"/>
      <c r="OZH47" s="116"/>
      <c r="OZI47" s="116"/>
      <c r="OZJ47" s="116"/>
      <c r="OZK47" s="116"/>
      <c r="OZL47" s="116"/>
      <c r="OZM47" s="116"/>
      <c r="OZN47" s="116"/>
      <c r="OZO47" s="116"/>
      <c r="OZP47" s="116"/>
      <c r="OZQ47" s="116"/>
      <c r="OZR47" s="116"/>
      <c r="OZS47" s="116"/>
      <c r="OZT47" s="116"/>
      <c r="OZU47" s="116"/>
      <c r="OZV47" s="116"/>
      <c r="OZW47" s="116"/>
      <c r="OZX47" s="116"/>
      <c r="OZY47" s="116"/>
      <c r="OZZ47" s="116"/>
      <c r="PAA47" s="116"/>
      <c r="PAB47" s="116"/>
      <c r="PAC47" s="116"/>
      <c r="PAD47" s="116"/>
      <c r="PAE47" s="116"/>
      <c r="PAF47" s="116"/>
      <c r="PAG47" s="116"/>
      <c r="PAH47" s="116"/>
      <c r="PAI47" s="116"/>
      <c r="PAJ47" s="116"/>
      <c r="PAK47" s="116"/>
      <c r="PAL47" s="116"/>
      <c r="PAM47" s="116"/>
      <c r="PAN47" s="116"/>
      <c r="PAO47" s="116"/>
      <c r="PAP47" s="116"/>
      <c r="PAQ47" s="116"/>
      <c r="PAR47" s="116"/>
      <c r="PAS47" s="116"/>
      <c r="PAT47" s="116"/>
      <c r="PAU47" s="116"/>
      <c r="PAV47" s="116"/>
      <c r="PAW47" s="116"/>
      <c r="PAX47" s="116"/>
      <c r="PAY47" s="116"/>
      <c r="PAZ47" s="116"/>
      <c r="PBA47" s="116"/>
      <c r="PBB47" s="116"/>
      <c r="PBC47" s="116"/>
      <c r="PBD47" s="116"/>
      <c r="PBE47" s="116"/>
      <c r="PBF47" s="116"/>
      <c r="PBG47" s="116"/>
      <c r="PBH47" s="116"/>
      <c r="PBI47" s="116"/>
      <c r="PBJ47" s="116"/>
      <c r="PBK47" s="116"/>
      <c r="PBL47" s="116"/>
      <c r="PBM47" s="116"/>
      <c r="PBN47" s="116"/>
      <c r="PBO47" s="116"/>
      <c r="PBP47" s="116"/>
      <c r="PBQ47" s="116"/>
      <c r="PBR47" s="116"/>
      <c r="PBS47" s="116"/>
      <c r="PBT47" s="116"/>
      <c r="PBU47" s="116"/>
      <c r="PBV47" s="116"/>
      <c r="PBW47" s="116"/>
      <c r="PBX47" s="116"/>
      <c r="PBY47" s="116"/>
      <c r="PBZ47" s="116"/>
      <c r="PCA47" s="116"/>
      <c r="PCB47" s="116"/>
      <c r="PCC47" s="116"/>
      <c r="PCD47" s="116"/>
      <c r="PCE47" s="116"/>
      <c r="PCF47" s="116"/>
      <c r="PCG47" s="116"/>
      <c r="PCH47" s="116"/>
      <c r="PCI47" s="116"/>
      <c r="PCJ47" s="116"/>
      <c r="PCK47" s="116"/>
      <c r="PCL47" s="116"/>
      <c r="PCM47" s="116"/>
      <c r="PCN47" s="116"/>
      <c r="PCO47" s="116"/>
      <c r="PCP47" s="116"/>
      <c r="PCQ47" s="116"/>
      <c r="PCR47" s="116"/>
      <c r="PCS47" s="116"/>
      <c r="PCT47" s="116"/>
      <c r="PCU47" s="116"/>
      <c r="PCV47" s="116"/>
      <c r="PCW47" s="116"/>
      <c r="PCX47" s="116"/>
      <c r="PCY47" s="116"/>
      <c r="PCZ47" s="116"/>
      <c r="PDA47" s="116"/>
      <c r="PDB47" s="116"/>
      <c r="PDC47" s="116"/>
      <c r="PDD47" s="116"/>
      <c r="PDE47" s="116"/>
      <c r="PDF47" s="116"/>
      <c r="PDG47" s="116"/>
      <c r="PDH47" s="116"/>
      <c r="PDI47" s="116"/>
      <c r="PDJ47" s="116"/>
      <c r="PDK47" s="116"/>
      <c r="PDL47" s="116"/>
      <c r="PDM47" s="116"/>
      <c r="PDN47" s="116"/>
      <c r="PDO47" s="116"/>
      <c r="PDP47" s="116"/>
      <c r="PDQ47" s="116"/>
      <c r="PDR47" s="116"/>
      <c r="PDS47" s="116"/>
      <c r="PDT47" s="116"/>
      <c r="PDU47" s="116"/>
      <c r="PDV47" s="116"/>
      <c r="PDW47" s="116"/>
      <c r="PDX47" s="116"/>
      <c r="PDY47" s="116"/>
      <c r="PDZ47" s="116"/>
      <c r="PEA47" s="116"/>
      <c r="PEB47" s="116"/>
      <c r="PEC47" s="116"/>
      <c r="PED47" s="116"/>
      <c r="PEE47" s="116"/>
      <c r="PEF47" s="116"/>
      <c r="PEG47" s="116"/>
      <c r="PEH47" s="116"/>
      <c r="PEI47" s="116"/>
      <c r="PEJ47" s="116"/>
      <c r="PEK47" s="116"/>
      <c r="PEL47" s="116"/>
      <c r="PEM47" s="116"/>
      <c r="PEN47" s="116"/>
      <c r="PEO47" s="116"/>
      <c r="PEP47" s="116"/>
      <c r="PEQ47" s="116"/>
      <c r="PER47" s="116"/>
      <c r="PES47" s="116"/>
      <c r="PET47" s="116"/>
      <c r="PEU47" s="116"/>
      <c r="PEV47" s="116"/>
      <c r="PEW47" s="116"/>
      <c r="PEX47" s="116"/>
      <c r="PEY47" s="116"/>
      <c r="PEZ47" s="116"/>
      <c r="PFA47" s="116"/>
      <c r="PFB47" s="116"/>
      <c r="PFC47" s="116"/>
      <c r="PFD47" s="116"/>
      <c r="PFE47" s="116"/>
      <c r="PFF47" s="116"/>
      <c r="PFG47" s="116"/>
      <c r="PFH47" s="116"/>
      <c r="PFI47" s="116"/>
      <c r="PFJ47" s="116"/>
      <c r="PFK47" s="116"/>
      <c r="PFL47" s="116"/>
      <c r="PFM47" s="116"/>
      <c r="PFN47" s="116"/>
      <c r="PFO47" s="116"/>
      <c r="PFP47" s="116"/>
      <c r="PFQ47" s="116"/>
      <c r="PFR47" s="116"/>
      <c r="PFS47" s="116"/>
      <c r="PFT47" s="116"/>
      <c r="PFU47" s="116"/>
      <c r="PFV47" s="116"/>
      <c r="PFW47" s="116"/>
      <c r="PFX47" s="116"/>
      <c r="PFY47" s="116"/>
      <c r="PFZ47" s="116"/>
      <c r="PGA47" s="116"/>
      <c r="PGB47" s="116"/>
      <c r="PGC47" s="116"/>
      <c r="PGD47" s="116"/>
      <c r="PGE47" s="116"/>
      <c r="PGF47" s="116"/>
      <c r="PGG47" s="116"/>
      <c r="PGH47" s="116"/>
      <c r="PGI47" s="116"/>
      <c r="PGJ47" s="116"/>
      <c r="PGK47" s="116"/>
      <c r="PGL47" s="116"/>
      <c r="PGM47" s="116"/>
      <c r="PGN47" s="116"/>
      <c r="PGO47" s="116"/>
      <c r="PGP47" s="116"/>
      <c r="PGQ47" s="116"/>
      <c r="PGR47" s="116"/>
      <c r="PGS47" s="116"/>
      <c r="PGT47" s="116"/>
      <c r="PGU47" s="116"/>
      <c r="PGV47" s="116"/>
      <c r="PGW47" s="116"/>
      <c r="PGX47" s="116"/>
      <c r="PGY47" s="116"/>
      <c r="PGZ47" s="116"/>
      <c r="PHA47" s="116"/>
      <c r="PHB47" s="116"/>
      <c r="PHC47" s="116"/>
      <c r="PHD47" s="116"/>
      <c r="PHE47" s="116"/>
      <c r="PHF47" s="116"/>
      <c r="PHG47" s="116"/>
      <c r="PHH47" s="116"/>
      <c r="PHI47" s="116"/>
      <c r="PHJ47" s="116"/>
      <c r="PHK47" s="116"/>
      <c r="PHL47" s="116"/>
      <c r="PHM47" s="116"/>
      <c r="PHN47" s="116"/>
      <c r="PHO47" s="116"/>
      <c r="PHP47" s="116"/>
      <c r="PHQ47" s="116"/>
      <c r="PHR47" s="116"/>
      <c r="PHS47" s="116"/>
      <c r="PHT47" s="116"/>
      <c r="PHU47" s="116"/>
      <c r="PHV47" s="116"/>
      <c r="PHW47" s="116"/>
      <c r="PHX47" s="116"/>
      <c r="PHY47" s="116"/>
      <c r="PHZ47" s="116"/>
      <c r="PIA47" s="116"/>
      <c r="PIB47" s="116"/>
      <c r="PIC47" s="116"/>
      <c r="PID47" s="116"/>
      <c r="PIE47" s="116"/>
      <c r="PIF47" s="116"/>
      <c r="PIG47" s="116"/>
      <c r="PIH47" s="116"/>
      <c r="PII47" s="116"/>
      <c r="PIJ47" s="116"/>
      <c r="PIK47" s="116"/>
      <c r="PIL47" s="116"/>
      <c r="PIM47" s="116"/>
      <c r="PIN47" s="116"/>
      <c r="PIO47" s="116"/>
      <c r="PIP47" s="116"/>
      <c r="PIQ47" s="116"/>
      <c r="PIR47" s="116"/>
      <c r="PIS47" s="116"/>
      <c r="PIT47" s="116"/>
      <c r="PIU47" s="116"/>
      <c r="PIV47" s="116"/>
      <c r="PIW47" s="116"/>
      <c r="PIX47" s="116"/>
      <c r="PIY47" s="116"/>
      <c r="PIZ47" s="116"/>
      <c r="PJA47" s="116"/>
      <c r="PJB47" s="116"/>
      <c r="PJC47" s="116"/>
      <c r="PJD47" s="116"/>
      <c r="PJE47" s="116"/>
      <c r="PJF47" s="116"/>
      <c r="PJG47" s="116"/>
      <c r="PJH47" s="116"/>
      <c r="PJI47" s="116"/>
      <c r="PJJ47" s="116"/>
      <c r="PJK47" s="116"/>
      <c r="PJL47" s="116"/>
      <c r="PJM47" s="116"/>
      <c r="PJN47" s="116"/>
      <c r="PJO47" s="116"/>
      <c r="PJP47" s="116"/>
      <c r="PJQ47" s="116"/>
      <c r="PJR47" s="116"/>
      <c r="PJS47" s="116"/>
      <c r="PJT47" s="116"/>
      <c r="PJU47" s="116"/>
      <c r="PJV47" s="116"/>
      <c r="PJW47" s="116"/>
      <c r="PJX47" s="116"/>
      <c r="PJY47" s="116"/>
      <c r="PJZ47" s="116"/>
      <c r="PKA47" s="116"/>
      <c r="PKB47" s="116"/>
      <c r="PKC47" s="116"/>
      <c r="PKD47" s="116"/>
      <c r="PKE47" s="116"/>
      <c r="PKF47" s="116"/>
      <c r="PKG47" s="116"/>
      <c r="PKH47" s="116"/>
      <c r="PKI47" s="116"/>
      <c r="PKJ47" s="116"/>
      <c r="PKK47" s="116"/>
      <c r="PKL47" s="116"/>
      <c r="PKM47" s="116"/>
      <c r="PKN47" s="116"/>
      <c r="PKO47" s="116"/>
      <c r="PKP47" s="116"/>
      <c r="PKQ47" s="116"/>
      <c r="PKR47" s="116"/>
      <c r="PKS47" s="116"/>
      <c r="PKT47" s="116"/>
      <c r="PKU47" s="116"/>
      <c r="PKV47" s="116"/>
      <c r="PKW47" s="116"/>
      <c r="PKX47" s="116"/>
      <c r="PKY47" s="116"/>
      <c r="PKZ47" s="116"/>
      <c r="PLA47" s="116"/>
      <c r="PLB47" s="116"/>
      <c r="PLC47" s="116"/>
      <c r="PLD47" s="116"/>
      <c r="PLE47" s="116"/>
      <c r="PLF47" s="116"/>
      <c r="PLG47" s="116"/>
      <c r="PLH47" s="116"/>
      <c r="PLI47" s="116"/>
      <c r="PLJ47" s="116"/>
      <c r="PLK47" s="116"/>
      <c r="PLL47" s="116"/>
      <c r="PLM47" s="116"/>
      <c r="PLN47" s="116"/>
      <c r="PLO47" s="116"/>
      <c r="PLP47" s="116"/>
      <c r="PLQ47" s="116"/>
      <c r="PLR47" s="116"/>
      <c r="PLS47" s="116"/>
      <c r="PLT47" s="116"/>
      <c r="PLU47" s="116"/>
      <c r="PLV47" s="116"/>
      <c r="PLW47" s="116"/>
      <c r="PLX47" s="116"/>
      <c r="PLY47" s="116"/>
      <c r="PLZ47" s="116"/>
      <c r="PMA47" s="116"/>
      <c r="PMB47" s="116"/>
      <c r="PMC47" s="116"/>
      <c r="PMD47" s="116"/>
      <c r="PME47" s="116"/>
      <c r="PMF47" s="116"/>
      <c r="PMG47" s="116"/>
      <c r="PMH47" s="116"/>
      <c r="PMI47" s="116"/>
      <c r="PMJ47" s="116"/>
      <c r="PMK47" s="116"/>
      <c r="PML47" s="116"/>
      <c r="PMM47" s="116"/>
      <c r="PMN47" s="116"/>
      <c r="PMO47" s="116"/>
      <c r="PMP47" s="116"/>
      <c r="PMQ47" s="116"/>
      <c r="PMR47" s="116"/>
      <c r="PMS47" s="116"/>
      <c r="PMT47" s="116"/>
      <c r="PMU47" s="116"/>
      <c r="PMV47" s="116"/>
      <c r="PMW47" s="116"/>
      <c r="PMX47" s="116"/>
      <c r="PMY47" s="116"/>
      <c r="PMZ47" s="116"/>
      <c r="PNA47" s="116"/>
      <c r="PNB47" s="116"/>
      <c r="PNC47" s="116"/>
      <c r="PND47" s="116"/>
      <c r="PNE47" s="116"/>
      <c r="PNF47" s="116"/>
      <c r="PNG47" s="116"/>
      <c r="PNH47" s="116"/>
      <c r="PNI47" s="116"/>
      <c r="PNJ47" s="116"/>
      <c r="PNK47" s="116"/>
      <c r="PNL47" s="116"/>
      <c r="PNM47" s="116"/>
      <c r="PNN47" s="116"/>
      <c r="PNO47" s="116"/>
      <c r="PNP47" s="116"/>
      <c r="PNQ47" s="116"/>
      <c r="PNR47" s="116"/>
      <c r="PNS47" s="116"/>
      <c r="PNT47" s="116"/>
      <c r="PNU47" s="116"/>
      <c r="PNV47" s="116"/>
      <c r="PNW47" s="116"/>
      <c r="PNX47" s="116"/>
      <c r="PNY47" s="116"/>
      <c r="PNZ47" s="116"/>
      <c r="POA47" s="116"/>
      <c r="POB47" s="116"/>
      <c r="POC47" s="116"/>
      <c r="POD47" s="116"/>
      <c r="POE47" s="116"/>
      <c r="POF47" s="116"/>
      <c r="POG47" s="116"/>
      <c r="POH47" s="116"/>
      <c r="POI47" s="116"/>
      <c r="POJ47" s="116"/>
      <c r="POK47" s="116"/>
      <c r="POL47" s="116"/>
      <c r="POM47" s="116"/>
      <c r="PON47" s="116"/>
      <c r="POO47" s="116"/>
      <c r="POP47" s="116"/>
      <c r="POQ47" s="116"/>
      <c r="POR47" s="116"/>
      <c r="POS47" s="116"/>
      <c r="POT47" s="116"/>
      <c r="POU47" s="116"/>
      <c r="POV47" s="116"/>
      <c r="POW47" s="116"/>
      <c r="POX47" s="116"/>
      <c r="POY47" s="116"/>
      <c r="POZ47" s="116"/>
      <c r="PPA47" s="116"/>
      <c r="PPB47" s="116"/>
      <c r="PPC47" s="116"/>
      <c r="PPD47" s="116"/>
      <c r="PPE47" s="116"/>
      <c r="PPF47" s="116"/>
      <c r="PPG47" s="116"/>
      <c r="PPH47" s="116"/>
      <c r="PPI47" s="116"/>
      <c r="PPJ47" s="116"/>
      <c r="PPK47" s="116"/>
      <c r="PPL47" s="116"/>
      <c r="PPM47" s="116"/>
      <c r="PPN47" s="116"/>
      <c r="PPO47" s="116"/>
      <c r="PPP47" s="116"/>
      <c r="PPQ47" s="116"/>
      <c r="PPR47" s="116"/>
      <c r="PPS47" s="116"/>
      <c r="PPT47" s="116"/>
      <c r="PPU47" s="116"/>
      <c r="PPV47" s="116"/>
      <c r="PPW47" s="116"/>
      <c r="PPX47" s="116"/>
      <c r="PPY47" s="116"/>
      <c r="PPZ47" s="116"/>
      <c r="PQA47" s="116"/>
      <c r="PQB47" s="116"/>
      <c r="PQC47" s="116"/>
      <c r="PQD47" s="116"/>
      <c r="PQE47" s="116"/>
      <c r="PQF47" s="116"/>
      <c r="PQG47" s="116"/>
      <c r="PQH47" s="116"/>
      <c r="PQI47" s="116"/>
      <c r="PQJ47" s="116"/>
      <c r="PQK47" s="116"/>
      <c r="PQL47" s="116"/>
      <c r="PQM47" s="116"/>
      <c r="PQN47" s="116"/>
      <c r="PQO47" s="116"/>
      <c r="PQP47" s="116"/>
      <c r="PQQ47" s="116"/>
      <c r="PQR47" s="116"/>
      <c r="PQS47" s="116"/>
      <c r="PQT47" s="116"/>
      <c r="PQU47" s="116"/>
      <c r="PQV47" s="116"/>
      <c r="PQW47" s="116"/>
      <c r="PQX47" s="116"/>
      <c r="PQY47" s="116"/>
      <c r="PQZ47" s="116"/>
      <c r="PRA47" s="116"/>
      <c r="PRB47" s="116"/>
      <c r="PRC47" s="116"/>
      <c r="PRD47" s="116"/>
      <c r="PRE47" s="116"/>
      <c r="PRF47" s="116"/>
      <c r="PRG47" s="116"/>
      <c r="PRH47" s="116"/>
      <c r="PRI47" s="116"/>
      <c r="PRJ47" s="116"/>
      <c r="PRK47" s="116"/>
      <c r="PRL47" s="116"/>
      <c r="PRM47" s="116"/>
      <c r="PRN47" s="116"/>
      <c r="PRO47" s="116"/>
      <c r="PRP47" s="116"/>
      <c r="PRQ47" s="116"/>
      <c r="PRR47" s="116"/>
      <c r="PRS47" s="116"/>
      <c r="PRT47" s="116"/>
      <c r="PRU47" s="116"/>
      <c r="PRV47" s="116"/>
      <c r="PRW47" s="116"/>
      <c r="PRX47" s="116"/>
      <c r="PRY47" s="116"/>
      <c r="PRZ47" s="116"/>
      <c r="PSA47" s="116"/>
      <c r="PSB47" s="116"/>
      <c r="PSC47" s="116"/>
      <c r="PSD47" s="116"/>
      <c r="PSE47" s="116"/>
      <c r="PSF47" s="116"/>
      <c r="PSG47" s="116"/>
      <c r="PSH47" s="116"/>
      <c r="PSI47" s="116"/>
      <c r="PSJ47" s="116"/>
      <c r="PSK47" s="116"/>
      <c r="PSL47" s="116"/>
      <c r="PSM47" s="116"/>
      <c r="PSN47" s="116"/>
      <c r="PSO47" s="116"/>
      <c r="PSP47" s="116"/>
      <c r="PSQ47" s="116"/>
      <c r="PSR47" s="116"/>
      <c r="PSS47" s="116"/>
      <c r="PST47" s="116"/>
      <c r="PSU47" s="116"/>
      <c r="PSV47" s="116"/>
      <c r="PSW47" s="116"/>
      <c r="PSX47" s="116"/>
      <c r="PSY47" s="116"/>
      <c r="PSZ47" s="116"/>
      <c r="PTA47" s="116"/>
      <c r="PTB47" s="116"/>
      <c r="PTC47" s="116"/>
      <c r="PTD47" s="116"/>
      <c r="PTE47" s="116"/>
      <c r="PTF47" s="116"/>
      <c r="PTG47" s="116"/>
      <c r="PTH47" s="116"/>
      <c r="PTI47" s="116"/>
      <c r="PTJ47" s="116"/>
      <c r="PTK47" s="116"/>
      <c r="PTL47" s="116"/>
      <c r="PTM47" s="116"/>
      <c r="PTN47" s="116"/>
      <c r="PTO47" s="116"/>
      <c r="PTP47" s="116"/>
      <c r="PTQ47" s="116"/>
      <c r="PTR47" s="116"/>
      <c r="PTS47" s="116"/>
      <c r="PTT47" s="116"/>
      <c r="PTU47" s="116"/>
      <c r="PTV47" s="116"/>
      <c r="PTW47" s="116"/>
      <c r="PTX47" s="116"/>
      <c r="PTY47" s="116"/>
      <c r="PTZ47" s="116"/>
      <c r="PUA47" s="116"/>
      <c r="PUB47" s="116"/>
      <c r="PUC47" s="116"/>
      <c r="PUD47" s="116"/>
      <c r="PUE47" s="116"/>
      <c r="PUF47" s="116"/>
      <c r="PUG47" s="116"/>
      <c r="PUH47" s="116"/>
      <c r="PUI47" s="116"/>
      <c r="PUJ47" s="116"/>
      <c r="PUK47" s="116"/>
      <c r="PUL47" s="116"/>
      <c r="PUM47" s="116"/>
      <c r="PUN47" s="116"/>
      <c r="PUO47" s="116"/>
      <c r="PUP47" s="116"/>
      <c r="PUQ47" s="116"/>
      <c r="PUR47" s="116"/>
      <c r="PUS47" s="116"/>
      <c r="PUT47" s="116"/>
      <c r="PUU47" s="116"/>
      <c r="PUV47" s="116"/>
      <c r="PUW47" s="116"/>
      <c r="PUX47" s="116"/>
      <c r="PUY47" s="116"/>
      <c r="PUZ47" s="116"/>
      <c r="PVA47" s="116"/>
      <c r="PVB47" s="116"/>
      <c r="PVC47" s="116"/>
      <c r="PVD47" s="116"/>
      <c r="PVE47" s="116"/>
      <c r="PVF47" s="116"/>
      <c r="PVG47" s="116"/>
      <c r="PVH47" s="116"/>
      <c r="PVI47" s="116"/>
      <c r="PVJ47" s="116"/>
      <c r="PVK47" s="116"/>
      <c r="PVL47" s="116"/>
      <c r="PVM47" s="116"/>
      <c r="PVN47" s="116"/>
      <c r="PVO47" s="116"/>
      <c r="PVP47" s="116"/>
      <c r="PVQ47" s="116"/>
      <c r="PVR47" s="116"/>
      <c r="PVS47" s="116"/>
      <c r="PVT47" s="116"/>
      <c r="PVU47" s="116"/>
      <c r="PVV47" s="116"/>
      <c r="PVW47" s="116"/>
      <c r="PVX47" s="116"/>
      <c r="PVY47" s="116"/>
      <c r="PVZ47" s="116"/>
      <c r="PWA47" s="116"/>
      <c r="PWB47" s="116"/>
      <c r="PWC47" s="116"/>
      <c r="PWD47" s="116"/>
      <c r="PWE47" s="116"/>
      <c r="PWF47" s="116"/>
      <c r="PWG47" s="116"/>
      <c r="PWH47" s="116"/>
      <c r="PWI47" s="116"/>
      <c r="PWJ47" s="116"/>
      <c r="PWK47" s="116"/>
      <c r="PWL47" s="116"/>
      <c r="PWM47" s="116"/>
      <c r="PWN47" s="116"/>
      <c r="PWO47" s="116"/>
      <c r="PWP47" s="116"/>
      <c r="PWQ47" s="116"/>
      <c r="PWR47" s="116"/>
      <c r="PWS47" s="116"/>
      <c r="PWT47" s="116"/>
      <c r="PWU47" s="116"/>
      <c r="PWV47" s="116"/>
      <c r="PWW47" s="116"/>
      <c r="PWX47" s="116"/>
      <c r="PWY47" s="116"/>
      <c r="PWZ47" s="116"/>
      <c r="PXA47" s="116"/>
      <c r="PXB47" s="116"/>
      <c r="PXC47" s="116"/>
      <c r="PXD47" s="116"/>
      <c r="PXE47" s="116"/>
      <c r="PXF47" s="116"/>
      <c r="PXG47" s="116"/>
      <c r="PXH47" s="116"/>
      <c r="PXI47" s="116"/>
      <c r="PXJ47" s="116"/>
      <c r="PXK47" s="116"/>
      <c r="PXL47" s="116"/>
      <c r="PXM47" s="116"/>
      <c r="PXN47" s="116"/>
      <c r="PXO47" s="116"/>
      <c r="PXP47" s="116"/>
      <c r="PXQ47" s="116"/>
      <c r="PXR47" s="116"/>
      <c r="PXS47" s="116"/>
      <c r="PXT47" s="116"/>
      <c r="PXU47" s="116"/>
      <c r="PXV47" s="116"/>
      <c r="PXW47" s="116"/>
      <c r="PXX47" s="116"/>
      <c r="PXY47" s="116"/>
      <c r="PXZ47" s="116"/>
      <c r="PYA47" s="116"/>
      <c r="PYB47" s="116"/>
      <c r="PYC47" s="116"/>
      <c r="PYD47" s="116"/>
      <c r="PYE47" s="116"/>
      <c r="PYF47" s="116"/>
      <c r="PYG47" s="116"/>
      <c r="PYH47" s="116"/>
      <c r="PYI47" s="116"/>
      <c r="PYJ47" s="116"/>
      <c r="PYK47" s="116"/>
      <c r="PYL47" s="116"/>
      <c r="PYM47" s="116"/>
      <c r="PYN47" s="116"/>
      <c r="PYO47" s="116"/>
      <c r="PYP47" s="116"/>
      <c r="PYQ47" s="116"/>
      <c r="PYR47" s="116"/>
      <c r="PYS47" s="116"/>
      <c r="PYT47" s="116"/>
      <c r="PYU47" s="116"/>
      <c r="PYV47" s="116"/>
      <c r="PYW47" s="116"/>
      <c r="PYX47" s="116"/>
      <c r="PYY47" s="116"/>
      <c r="PYZ47" s="116"/>
      <c r="PZA47" s="116"/>
      <c r="PZB47" s="116"/>
      <c r="PZC47" s="116"/>
      <c r="PZD47" s="116"/>
      <c r="PZE47" s="116"/>
      <c r="PZF47" s="116"/>
      <c r="PZG47" s="116"/>
      <c r="PZH47" s="116"/>
      <c r="PZI47" s="116"/>
      <c r="PZJ47" s="116"/>
      <c r="PZK47" s="116"/>
      <c r="PZL47" s="116"/>
      <c r="PZM47" s="116"/>
      <c r="PZN47" s="116"/>
      <c r="PZO47" s="116"/>
      <c r="PZP47" s="116"/>
      <c r="PZQ47" s="116"/>
      <c r="PZR47" s="116"/>
      <c r="PZS47" s="116"/>
      <c r="PZT47" s="116"/>
      <c r="PZU47" s="116"/>
      <c r="PZV47" s="116"/>
      <c r="PZW47" s="116"/>
      <c r="PZX47" s="116"/>
      <c r="PZY47" s="116"/>
      <c r="PZZ47" s="116"/>
      <c r="QAA47" s="116"/>
      <c r="QAB47" s="116"/>
      <c r="QAC47" s="116"/>
      <c r="QAD47" s="116"/>
      <c r="QAE47" s="116"/>
      <c r="QAF47" s="116"/>
      <c r="QAG47" s="116"/>
      <c r="QAH47" s="116"/>
      <c r="QAI47" s="116"/>
      <c r="QAJ47" s="116"/>
      <c r="QAK47" s="116"/>
      <c r="QAL47" s="116"/>
      <c r="QAM47" s="116"/>
      <c r="QAN47" s="116"/>
      <c r="QAO47" s="116"/>
      <c r="QAP47" s="116"/>
      <c r="QAQ47" s="116"/>
      <c r="QAR47" s="116"/>
      <c r="QAS47" s="116"/>
      <c r="QAT47" s="116"/>
      <c r="QAU47" s="116"/>
      <c r="QAV47" s="116"/>
      <c r="QAW47" s="116"/>
      <c r="QAX47" s="116"/>
      <c r="QAY47" s="116"/>
      <c r="QAZ47" s="116"/>
      <c r="QBA47" s="116"/>
      <c r="QBB47" s="116"/>
      <c r="QBC47" s="116"/>
      <c r="QBD47" s="116"/>
      <c r="QBE47" s="116"/>
      <c r="QBF47" s="116"/>
      <c r="QBG47" s="116"/>
      <c r="QBH47" s="116"/>
      <c r="QBI47" s="116"/>
      <c r="QBJ47" s="116"/>
      <c r="QBK47" s="116"/>
      <c r="QBL47" s="116"/>
      <c r="QBM47" s="116"/>
      <c r="QBN47" s="116"/>
      <c r="QBO47" s="116"/>
      <c r="QBP47" s="116"/>
      <c r="QBQ47" s="116"/>
      <c r="QBR47" s="116"/>
      <c r="QBS47" s="116"/>
      <c r="QBT47" s="116"/>
      <c r="QBU47" s="116"/>
      <c r="QBV47" s="116"/>
      <c r="QBW47" s="116"/>
      <c r="QBX47" s="116"/>
      <c r="QBY47" s="116"/>
      <c r="QBZ47" s="116"/>
      <c r="QCA47" s="116"/>
      <c r="QCB47" s="116"/>
      <c r="QCC47" s="116"/>
      <c r="QCD47" s="116"/>
      <c r="QCE47" s="116"/>
      <c r="QCF47" s="116"/>
      <c r="QCG47" s="116"/>
      <c r="QCH47" s="116"/>
      <c r="QCI47" s="116"/>
      <c r="QCJ47" s="116"/>
      <c r="QCK47" s="116"/>
      <c r="QCL47" s="116"/>
      <c r="QCM47" s="116"/>
      <c r="QCN47" s="116"/>
      <c r="QCO47" s="116"/>
      <c r="QCP47" s="116"/>
      <c r="QCQ47" s="116"/>
      <c r="QCR47" s="116"/>
      <c r="QCS47" s="116"/>
      <c r="QCT47" s="116"/>
      <c r="QCU47" s="116"/>
      <c r="QCV47" s="116"/>
      <c r="QCW47" s="116"/>
      <c r="QCX47" s="116"/>
      <c r="QCY47" s="116"/>
      <c r="QCZ47" s="116"/>
      <c r="QDA47" s="116"/>
      <c r="QDB47" s="116"/>
      <c r="QDC47" s="116"/>
      <c r="QDD47" s="116"/>
      <c r="QDE47" s="116"/>
      <c r="QDF47" s="116"/>
      <c r="QDG47" s="116"/>
      <c r="QDH47" s="116"/>
      <c r="QDI47" s="116"/>
      <c r="QDJ47" s="116"/>
      <c r="QDK47" s="116"/>
      <c r="QDL47" s="116"/>
      <c r="QDM47" s="116"/>
      <c r="QDN47" s="116"/>
      <c r="QDO47" s="116"/>
      <c r="QDP47" s="116"/>
      <c r="QDQ47" s="116"/>
      <c r="QDR47" s="116"/>
      <c r="QDS47" s="116"/>
      <c r="QDT47" s="116"/>
      <c r="QDU47" s="116"/>
      <c r="QDV47" s="116"/>
      <c r="QDW47" s="116"/>
      <c r="QDX47" s="116"/>
      <c r="QDY47" s="116"/>
      <c r="QDZ47" s="116"/>
      <c r="QEA47" s="116"/>
      <c r="QEB47" s="116"/>
      <c r="QEC47" s="116"/>
      <c r="QED47" s="116"/>
      <c r="QEE47" s="116"/>
      <c r="QEF47" s="116"/>
      <c r="QEG47" s="116"/>
      <c r="QEH47" s="116"/>
      <c r="QEI47" s="116"/>
      <c r="QEJ47" s="116"/>
      <c r="QEK47" s="116"/>
      <c r="QEL47" s="116"/>
      <c r="QEM47" s="116"/>
      <c r="QEN47" s="116"/>
      <c r="QEO47" s="116"/>
      <c r="QEP47" s="116"/>
      <c r="QEQ47" s="116"/>
      <c r="QER47" s="116"/>
      <c r="QES47" s="116"/>
      <c r="QET47" s="116"/>
      <c r="QEU47" s="116"/>
      <c r="QEV47" s="116"/>
      <c r="QEW47" s="116"/>
      <c r="QEX47" s="116"/>
      <c r="QEY47" s="116"/>
      <c r="QEZ47" s="116"/>
      <c r="QFA47" s="116"/>
      <c r="QFB47" s="116"/>
      <c r="QFC47" s="116"/>
      <c r="QFD47" s="116"/>
      <c r="QFE47" s="116"/>
      <c r="QFF47" s="116"/>
      <c r="QFG47" s="116"/>
      <c r="QFH47" s="116"/>
      <c r="QFI47" s="116"/>
      <c r="QFJ47" s="116"/>
      <c r="QFK47" s="116"/>
      <c r="QFL47" s="116"/>
      <c r="QFM47" s="116"/>
      <c r="QFN47" s="116"/>
      <c r="QFO47" s="116"/>
      <c r="QFP47" s="116"/>
      <c r="QFQ47" s="116"/>
      <c r="QFR47" s="116"/>
      <c r="QFS47" s="116"/>
      <c r="QFT47" s="116"/>
      <c r="QFU47" s="116"/>
      <c r="QFV47" s="116"/>
      <c r="QFW47" s="116"/>
      <c r="QFX47" s="116"/>
      <c r="QFY47" s="116"/>
      <c r="QFZ47" s="116"/>
      <c r="QGA47" s="116"/>
      <c r="QGB47" s="116"/>
      <c r="QGC47" s="116"/>
      <c r="QGD47" s="116"/>
      <c r="QGE47" s="116"/>
      <c r="QGF47" s="116"/>
      <c r="QGG47" s="116"/>
      <c r="QGH47" s="116"/>
      <c r="QGI47" s="116"/>
      <c r="QGJ47" s="116"/>
      <c r="QGK47" s="116"/>
      <c r="QGL47" s="116"/>
      <c r="QGM47" s="116"/>
      <c r="QGN47" s="116"/>
      <c r="QGO47" s="116"/>
      <c r="QGP47" s="116"/>
      <c r="QGQ47" s="116"/>
      <c r="QGR47" s="116"/>
      <c r="QGS47" s="116"/>
      <c r="QGT47" s="116"/>
      <c r="QGU47" s="116"/>
      <c r="QGV47" s="116"/>
      <c r="QGW47" s="116"/>
      <c r="QGX47" s="116"/>
      <c r="QGY47" s="116"/>
      <c r="QGZ47" s="116"/>
      <c r="QHA47" s="116"/>
      <c r="QHB47" s="116"/>
      <c r="QHC47" s="116"/>
      <c r="QHD47" s="116"/>
      <c r="QHE47" s="116"/>
      <c r="QHF47" s="116"/>
      <c r="QHG47" s="116"/>
      <c r="QHH47" s="116"/>
      <c r="QHI47" s="116"/>
      <c r="QHJ47" s="116"/>
      <c r="QHK47" s="116"/>
      <c r="QHL47" s="116"/>
      <c r="QHM47" s="116"/>
      <c r="QHN47" s="116"/>
      <c r="QHO47" s="116"/>
      <c r="QHP47" s="116"/>
      <c r="QHQ47" s="116"/>
      <c r="QHR47" s="116"/>
      <c r="QHS47" s="116"/>
      <c r="QHT47" s="116"/>
      <c r="QHU47" s="116"/>
      <c r="QHV47" s="116"/>
      <c r="QHW47" s="116"/>
      <c r="QHX47" s="116"/>
      <c r="QHY47" s="116"/>
      <c r="QHZ47" s="116"/>
      <c r="QIA47" s="116"/>
      <c r="QIB47" s="116"/>
      <c r="QIC47" s="116"/>
      <c r="QID47" s="116"/>
      <c r="QIE47" s="116"/>
      <c r="QIF47" s="116"/>
      <c r="QIG47" s="116"/>
      <c r="QIH47" s="116"/>
      <c r="QII47" s="116"/>
      <c r="QIJ47" s="116"/>
      <c r="QIK47" s="116"/>
      <c r="QIL47" s="116"/>
      <c r="QIM47" s="116"/>
      <c r="QIN47" s="116"/>
      <c r="QIO47" s="116"/>
      <c r="QIP47" s="116"/>
      <c r="QIQ47" s="116"/>
      <c r="QIR47" s="116"/>
      <c r="QIS47" s="116"/>
      <c r="QIT47" s="116"/>
      <c r="QIU47" s="116"/>
      <c r="QIV47" s="116"/>
      <c r="QIW47" s="116"/>
      <c r="QIX47" s="116"/>
      <c r="QIY47" s="116"/>
      <c r="QIZ47" s="116"/>
      <c r="QJA47" s="116"/>
      <c r="QJB47" s="116"/>
      <c r="QJC47" s="116"/>
      <c r="QJD47" s="116"/>
      <c r="QJE47" s="116"/>
      <c r="QJF47" s="116"/>
      <c r="QJG47" s="116"/>
      <c r="QJH47" s="116"/>
      <c r="QJI47" s="116"/>
      <c r="QJJ47" s="116"/>
      <c r="QJK47" s="116"/>
      <c r="QJL47" s="116"/>
      <c r="QJM47" s="116"/>
      <c r="QJN47" s="116"/>
      <c r="QJO47" s="116"/>
      <c r="QJP47" s="116"/>
      <c r="QJQ47" s="116"/>
      <c r="QJR47" s="116"/>
      <c r="QJS47" s="116"/>
      <c r="QJT47" s="116"/>
      <c r="QJU47" s="116"/>
      <c r="QJV47" s="116"/>
      <c r="QJW47" s="116"/>
      <c r="QJX47" s="116"/>
      <c r="QJY47" s="116"/>
      <c r="QJZ47" s="116"/>
      <c r="QKA47" s="116"/>
      <c r="QKB47" s="116"/>
      <c r="QKC47" s="116"/>
      <c r="QKD47" s="116"/>
      <c r="QKE47" s="116"/>
      <c r="QKF47" s="116"/>
      <c r="QKG47" s="116"/>
      <c r="QKH47" s="116"/>
      <c r="QKI47" s="116"/>
      <c r="QKJ47" s="116"/>
      <c r="QKK47" s="116"/>
      <c r="QKL47" s="116"/>
      <c r="QKM47" s="116"/>
      <c r="QKN47" s="116"/>
      <c r="QKO47" s="116"/>
      <c r="QKP47" s="116"/>
      <c r="QKQ47" s="116"/>
      <c r="QKR47" s="116"/>
      <c r="QKS47" s="116"/>
      <c r="QKT47" s="116"/>
      <c r="QKU47" s="116"/>
      <c r="QKV47" s="116"/>
      <c r="QKW47" s="116"/>
      <c r="QKX47" s="116"/>
      <c r="QKY47" s="116"/>
      <c r="QKZ47" s="116"/>
      <c r="QLA47" s="116"/>
      <c r="QLB47" s="116"/>
      <c r="QLC47" s="116"/>
      <c r="QLD47" s="116"/>
      <c r="QLE47" s="116"/>
      <c r="QLF47" s="116"/>
      <c r="QLG47" s="116"/>
      <c r="QLH47" s="116"/>
      <c r="QLI47" s="116"/>
      <c r="QLJ47" s="116"/>
      <c r="QLK47" s="116"/>
      <c r="QLL47" s="116"/>
      <c r="QLM47" s="116"/>
      <c r="QLN47" s="116"/>
      <c r="QLO47" s="116"/>
      <c r="QLP47" s="116"/>
      <c r="QLQ47" s="116"/>
      <c r="QLR47" s="116"/>
      <c r="QLS47" s="116"/>
      <c r="QLT47" s="116"/>
      <c r="QLU47" s="116"/>
      <c r="QLV47" s="116"/>
      <c r="QLW47" s="116"/>
      <c r="QLX47" s="116"/>
      <c r="QLY47" s="116"/>
      <c r="QLZ47" s="116"/>
      <c r="QMA47" s="116"/>
      <c r="QMB47" s="116"/>
      <c r="QMC47" s="116"/>
      <c r="QMD47" s="116"/>
      <c r="QME47" s="116"/>
      <c r="QMF47" s="116"/>
      <c r="QMG47" s="116"/>
      <c r="QMH47" s="116"/>
      <c r="QMI47" s="116"/>
      <c r="QMJ47" s="116"/>
      <c r="QMK47" s="116"/>
      <c r="QML47" s="116"/>
      <c r="QMM47" s="116"/>
      <c r="QMN47" s="116"/>
      <c r="QMO47" s="116"/>
      <c r="QMP47" s="116"/>
      <c r="QMQ47" s="116"/>
      <c r="QMR47" s="116"/>
      <c r="QMS47" s="116"/>
      <c r="QMT47" s="116"/>
      <c r="QMU47" s="116"/>
      <c r="QMV47" s="116"/>
      <c r="QMW47" s="116"/>
      <c r="QMX47" s="116"/>
      <c r="QMY47" s="116"/>
      <c r="QMZ47" s="116"/>
      <c r="QNA47" s="116"/>
      <c r="QNB47" s="116"/>
      <c r="QNC47" s="116"/>
      <c r="QND47" s="116"/>
      <c r="QNE47" s="116"/>
      <c r="QNF47" s="116"/>
      <c r="QNG47" s="116"/>
      <c r="QNH47" s="116"/>
      <c r="QNI47" s="116"/>
      <c r="QNJ47" s="116"/>
      <c r="QNK47" s="116"/>
      <c r="QNL47" s="116"/>
      <c r="QNM47" s="116"/>
      <c r="QNN47" s="116"/>
      <c r="QNO47" s="116"/>
      <c r="QNP47" s="116"/>
      <c r="QNQ47" s="116"/>
      <c r="QNR47" s="116"/>
      <c r="QNS47" s="116"/>
      <c r="QNT47" s="116"/>
      <c r="QNU47" s="116"/>
      <c r="QNV47" s="116"/>
      <c r="QNW47" s="116"/>
      <c r="QNX47" s="116"/>
      <c r="QNY47" s="116"/>
      <c r="QNZ47" s="116"/>
      <c r="QOA47" s="116"/>
      <c r="QOB47" s="116"/>
      <c r="QOC47" s="116"/>
      <c r="QOD47" s="116"/>
      <c r="QOE47" s="116"/>
      <c r="QOF47" s="116"/>
      <c r="QOG47" s="116"/>
      <c r="QOH47" s="116"/>
      <c r="QOI47" s="116"/>
      <c r="QOJ47" s="116"/>
      <c r="QOK47" s="116"/>
      <c r="QOL47" s="116"/>
      <c r="QOM47" s="116"/>
      <c r="QON47" s="116"/>
      <c r="QOO47" s="116"/>
      <c r="QOP47" s="116"/>
      <c r="QOQ47" s="116"/>
      <c r="QOR47" s="116"/>
      <c r="QOS47" s="116"/>
      <c r="QOT47" s="116"/>
      <c r="QOU47" s="116"/>
      <c r="QOV47" s="116"/>
      <c r="QOW47" s="116"/>
      <c r="QOX47" s="116"/>
      <c r="QOY47" s="116"/>
      <c r="QOZ47" s="116"/>
      <c r="QPA47" s="116"/>
      <c r="QPB47" s="116"/>
      <c r="QPC47" s="116"/>
      <c r="QPD47" s="116"/>
      <c r="QPE47" s="116"/>
      <c r="QPF47" s="116"/>
      <c r="QPG47" s="116"/>
      <c r="QPH47" s="116"/>
      <c r="QPI47" s="116"/>
      <c r="QPJ47" s="116"/>
      <c r="QPK47" s="116"/>
      <c r="QPL47" s="116"/>
      <c r="QPM47" s="116"/>
      <c r="QPN47" s="116"/>
      <c r="QPO47" s="116"/>
      <c r="QPP47" s="116"/>
      <c r="QPQ47" s="116"/>
      <c r="QPR47" s="116"/>
      <c r="QPS47" s="116"/>
      <c r="QPT47" s="116"/>
      <c r="QPU47" s="116"/>
      <c r="QPV47" s="116"/>
      <c r="QPW47" s="116"/>
      <c r="QPX47" s="116"/>
      <c r="QPY47" s="116"/>
      <c r="QPZ47" s="116"/>
      <c r="QQA47" s="116"/>
      <c r="QQB47" s="116"/>
      <c r="QQC47" s="116"/>
      <c r="QQD47" s="116"/>
      <c r="QQE47" s="116"/>
      <c r="QQF47" s="116"/>
      <c r="QQG47" s="116"/>
      <c r="QQH47" s="116"/>
      <c r="QQI47" s="116"/>
      <c r="QQJ47" s="116"/>
      <c r="QQK47" s="116"/>
      <c r="QQL47" s="116"/>
      <c r="QQM47" s="116"/>
      <c r="QQN47" s="116"/>
      <c r="QQO47" s="116"/>
      <c r="QQP47" s="116"/>
      <c r="QQQ47" s="116"/>
      <c r="QQR47" s="116"/>
      <c r="QQS47" s="116"/>
      <c r="QQT47" s="116"/>
      <c r="QQU47" s="116"/>
      <c r="QQV47" s="116"/>
      <c r="QQW47" s="116"/>
      <c r="QQX47" s="116"/>
      <c r="QQY47" s="116"/>
      <c r="QQZ47" s="116"/>
      <c r="QRA47" s="116"/>
      <c r="QRB47" s="116"/>
      <c r="QRC47" s="116"/>
      <c r="QRD47" s="116"/>
      <c r="QRE47" s="116"/>
      <c r="QRF47" s="116"/>
      <c r="QRG47" s="116"/>
      <c r="QRH47" s="116"/>
      <c r="QRI47" s="116"/>
      <c r="QRJ47" s="116"/>
      <c r="QRK47" s="116"/>
      <c r="QRL47" s="116"/>
      <c r="QRM47" s="116"/>
      <c r="QRN47" s="116"/>
      <c r="QRO47" s="116"/>
      <c r="QRP47" s="116"/>
      <c r="QRQ47" s="116"/>
      <c r="QRR47" s="116"/>
      <c r="QRS47" s="116"/>
      <c r="QRT47" s="116"/>
      <c r="QRU47" s="116"/>
      <c r="QRV47" s="116"/>
      <c r="QRW47" s="116"/>
      <c r="QRX47" s="116"/>
      <c r="QRY47" s="116"/>
      <c r="QRZ47" s="116"/>
      <c r="QSA47" s="116"/>
      <c r="QSB47" s="116"/>
      <c r="QSC47" s="116"/>
      <c r="QSD47" s="116"/>
      <c r="QSE47" s="116"/>
      <c r="QSF47" s="116"/>
      <c r="QSG47" s="116"/>
      <c r="QSH47" s="116"/>
      <c r="QSI47" s="116"/>
      <c r="QSJ47" s="116"/>
      <c r="QSK47" s="116"/>
      <c r="QSL47" s="116"/>
      <c r="QSM47" s="116"/>
      <c r="QSN47" s="116"/>
      <c r="QSO47" s="116"/>
      <c r="QSP47" s="116"/>
      <c r="QSQ47" s="116"/>
      <c r="QSR47" s="116"/>
      <c r="QSS47" s="116"/>
      <c r="QST47" s="116"/>
      <c r="QSU47" s="116"/>
      <c r="QSV47" s="116"/>
      <c r="QSW47" s="116"/>
      <c r="QSX47" s="116"/>
      <c r="QSY47" s="116"/>
      <c r="QSZ47" s="116"/>
      <c r="QTA47" s="116"/>
      <c r="QTB47" s="116"/>
      <c r="QTC47" s="116"/>
      <c r="QTD47" s="116"/>
      <c r="QTE47" s="116"/>
      <c r="QTF47" s="116"/>
      <c r="QTG47" s="116"/>
      <c r="QTH47" s="116"/>
      <c r="QTI47" s="116"/>
      <c r="QTJ47" s="116"/>
      <c r="QTK47" s="116"/>
      <c r="QTL47" s="116"/>
      <c r="QTM47" s="116"/>
      <c r="QTN47" s="116"/>
      <c r="QTO47" s="116"/>
      <c r="QTP47" s="116"/>
      <c r="QTQ47" s="116"/>
      <c r="QTR47" s="116"/>
      <c r="QTS47" s="116"/>
      <c r="QTT47" s="116"/>
      <c r="QTU47" s="116"/>
      <c r="QTV47" s="116"/>
      <c r="QTW47" s="116"/>
      <c r="QTX47" s="116"/>
      <c r="QTY47" s="116"/>
      <c r="QTZ47" s="116"/>
      <c r="QUA47" s="116"/>
      <c r="QUB47" s="116"/>
      <c r="QUC47" s="116"/>
      <c r="QUD47" s="116"/>
      <c r="QUE47" s="116"/>
      <c r="QUF47" s="116"/>
      <c r="QUG47" s="116"/>
      <c r="QUH47" s="116"/>
      <c r="QUI47" s="116"/>
      <c r="QUJ47" s="116"/>
      <c r="QUK47" s="116"/>
      <c r="QUL47" s="116"/>
      <c r="QUM47" s="116"/>
      <c r="QUN47" s="116"/>
      <c r="QUO47" s="116"/>
      <c r="QUP47" s="116"/>
      <c r="QUQ47" s="116"/>
      <c r="QUR47" s="116"/>
      <c r="QUS47" s="116"/>
      <c r="QUT47" s="116"/>
      <c r="QUU47" s="116"/>
      <c r="QUV47" s="116"/>
      <c r="QUW47" s="116"/>
      <c r="QUX47" s="116"/>
      <c r="QUY47" s="116"/>
      <c r="QUZ47" s="116"/>
      <c r="QVA47" s="116"/>
      <c r="QVB47" s="116"/>
      <c r="QVC47" s="116"/>
      <c r="QVD47" s="116"/>
      <c r="QVE47" s="116"/>
      <c r="QVF47" s="116"/>
      <c r="QVG47" s="116"/>
      <c r="QVH47" s="116"/>
      <c r="QVI47" s="116"/>
      <c r="QVJ47" s="116"/>
      <c r="QVK47" s="116"/>
      <c r="QVL47" s="116"/>
      <c r="QVM47" s="116"/>
      <c r="QVN47" s="116"/>
      <c r="QVO47" s="116"/>
      <c r="QVP47" s="116"/>
      <c r="QVQ47" s="116"/>
      <c r="QVR47" s="116"/>
      <c r="QVS47" s="116"/>
      <c r="QVT47" s="116"/>
      <c r="QVU47" s="116"/>
      <c r="QVV47" s="116"/>
      <c r="QVW47" s="116"/>
      <c r="QVX47" s="116"/>
      <c r="QVY47" s="116"/>
      <c r="QVZ47" s="116"/>
      <c r="QWA47" s="116"/>
      <c r="QWB47" s="116"/>
      <c r="QWC47" s="116"/>
      <c r="QWD47" s="116"/>
      <c r="QWE47" s="116"/>
      <c r="QWF47" s="116"/>
      <c r="QWG47" s="116"/>
      <c r="QWH47" s="116"/>
      <c r="QWI47" s="116"/>
      <c r="QWJ47" s="116"/>
      <c r="QWK47" s="116"/>
      <c r="QWL47" s="116"/>
      <c r="QWM47" s="116"/>
      <c r="QWN47" s="116"/>
      <c r="QWO47" s="116"/>
      <c r="QWP47" s="116"/>
      <c r="QWQ47" s="116"/>
      <c r="QWR47" s="116"/>
      <c r="QWS47" s="116"/>
      <c r="QWT47" s="116"/>
      <c r="QWU47" s="116"/>
      <c r="QWV47" s="116"/>
      <c r="QWW47" s="116"/>
      <c r="QWX47" s="116"/>
      <c r="QWY47" s="116"/>
      <c r="QWZ47" s="116"/>
      <c r="QXA47" s="116"/>
      <c r="QXB47" s="116"/>
      <c r="QXC47" s="116"/>
      <c r="QXD47" s="116"/>
      <c r="QXE47" s="116"/>
      <c r="QXF47" s="116"/>
      <c r="QXG47" s="116"/>
      <c r="QXH47" s="116"/>
      <c r="QXI47" s="116"/>
      <c r="QXJ47" s="116"/>
      <c r="QXK47" s="116"/>
      <c r="QXL47" s="116"/>
      <c r="QXM47" s="116"/>
      <c r="QXN47" s="116"/>
      <c r="QXO47" s="116"/>
      <c r="QXP47" s="116"/>
      <c r="QXQ47" s="116"/>
      <c r="QXR47" s="116"/>
      <c r="QXS47" s="116"/>
      <c r="QXT47" s="116"/>
      <c r="QXU47" s="116"/>
      <c r="QXV47" s="116"/>
      <c r="QXW47" s="116"/>
      <c r="QXX47" s="116"/>
      <c r="QXY47" s="116"/>
      <c r="QXZ47" s="116"/>
      <c r="QYA47" s="116"/>
      <c r="QYB47" s="116"/>
      <c r="QYC47" s="116"/>
      <c r="QYD47" s="116"/>
      <c r="QYE47" s="116"/>
      <c r="QYF47" s="116"/>
      <c r="QYG47" s="116"/>
      <c r="QYH47" s="116"/>
      <c r="QYI47" s="116"/>
      <c r="QYJ47" s="116"/>
      <c r="QYK47" s="116"/>
      <c r="QYL47" s="116"/>
      <c r="QYM47" s="116"/>
      <c r="QYN47" s="116"/>
      <c r="QYO47" s="116"/>
      <c r="QYP47" s="116"/>
      <c r="QYQ47" s="116"/>
      <c r="QYR47" s="116"/>
      <c r="QYS47" s="116"/>
      <c r="QYT47" s="116"/>
      <c r="QYU47" s="116"/>
      <c r="QYV47" s="116"/>
      <c r="QYW47" s="116"/>
      <c r="QYX47" s="116"/>
      <c r="QYY47" s="116"/>
      <c r="QYZ47" s="116"/>
      <c r="QZA47" s="116"/>
      <c r="QZB47" s="116"/>
      <c r="QZC47" s="116"/>
      <c r="QZD47" s="116"/>
      <c r="QZE47" s="116"/>
      <c r="QZF47" s="116"/>
      <c r="QZG47" s="116"/>
      <c r="QZH47" s="116"/>
      <c r="QZI47" s="116"/>
      <c r="QZJ47" s="116"/>
      <c r="QZK47" s="116"/>
      <c r="QZL47" s="116"/>
      <c r="QZM47" s="116"/>
      <c r="QZN47" s="116"/>
      <c r="QZO47" s="116"/>
      <c r="QZP47" s="116"/>
      <c r="QZQ47" s="116"/>
      <c r="QZR47" s="116"/>
      <c r="QZS47" s="116"/>
      <c r="QZT47" s="116"/>
      <c r="QZU47" s="116"/>
      <c r="QZV47" s="116"/>
      <c r="QZW47" s="116"/>
      <c r="QZX47" s="116"/>
      <c r="QZY47" s="116"/>
      <c r="QZZ47" s="116"/>
      <c r="RAA47" s="116"/>
      <c r="RAB47" s="116"/>
      <c r="RAC47" s="116"/>
      <c r="RAD47" s="116"/>
      <c r="RAE47" s="116"/>
      <c r="RAF47" s="116"/>
      <c r="RAG47" s="116"/>
      <c r="RAH47" s="116"/>
      <c r="RAI47" s="116"/>
      <c r="RAJ47" s="116"/>
      <c r="RAK47" s="116"/>
      <c r="RAL47" s="116"/>
      <c r="RAM47" s="116"/>
      <c r="RAN47" s="116"/>
      <c r="RAO47" s="116"/>
      <c r="RAP47" s="116"/>
      <c r="RAQ47" s="116"/>
      <c r="RAR47" s="116"/>
      <c r="RAS47" s="116"/>
      <c r="RAT47" s="116"/>
      <c r="RAU47" s="116"/>
      <c r="RAV47" s="116"/>
      <c r="RAW47" s="116"/>
      <c r="RAX47" s="116"/>
      <c r="RAY47" s="116"/>
      <c r="RAZ47" s="116"/>
      <c r="RBA47" s="116"/>
      <c r="RBB47" s="116"/>
      <c r="RBC47" s="116"/>
      <c r="RBD47" s="116"/>
      <c r="RBE47" s="116"/>
      <c r="RBF47" s="116"/>
      <c r="RBG47" s="116"/>
      <c r="RBH47" s="116"/>
      <c r="RBI47" s="116"/>
      <c r="RBJ47" s="116"/>
      <c r="RBK47" s="116"/>
      <c r="RBL47" s="116"/>
      <c r="RBM47" s="116"/>
      <c r="RBN47" s="116"/>
      <c r="RBO47" s="116"/>
      <c r="RBP47" s="116"/>
      <c r="RBQ47" s="116"/>
      <c r="RBR47" s="116"/>
      <c r="RBS47" s="116"/>
      <c r="RBT47" s="116"/>
      <c r="RBU47" s="116"/>
      <c r="RBV47" s="116"/>
      <c r="RBW47" s="116"/>
      <c r="RBX47" s="116"/>
      <c r="RBY47" s="116"/>
      <c r="RBZ47" s="116"/>
      <c r="RCA47" s="116"/>
      <c r="RCB47" s="116"/>
      <c r="RCC47" s="116"/>
      <c r="RCD47" s="116"/>
      <c r="RCE47" s="116"/>
      <c r="RCF47" s="116"/>
      <c r="RCG47" s="116"/>
      <c r="RCH47" s="116"/>
      <c r="RCI47" s="116"/>
      <c r="RCJ47" s="116"/>
      <c r="RCK47" s="116"/>
      <c r="RCL47" s="116"/>
      <c r="RCM47" s="116"/>
      <c r="RCN47" s="116"/>
      <c r="RCO47" s="116"/>
      <c r="RCP47" s="116"/>
      <c r="RCQ47" s="116"/>
      <c r="RCR47" s="116"/>
      <c r="RCS47" s="116"/>
      <c r="RCT47" s="116"/>
      <c r="RCU47" s="116"/>
      <c r="RCV47" s="116"/>
      <c r="RCW47" s="116"/>
      <c r="RCX47" s="116"/>
      <c r="RCY47" s="116"/>
      <c r="RCZ47" s="116"/>
      <c r="RDA47" s="116"/>
      <c r="RDB47" s="116"/>
      <c r="RDC47" s="116"/>
      <c r="RDD47" s="116"/>
      <c r="RDE47" s="116"/>
      <c r="RDF47" s="116"/>
      <c r="RDG47" s="116"/>
      <c r="RDH47" s="116"/>
      <c r="RDI47" s="116"/>
      <c r="RDJ47" s="116"/>
      <c r="RDK47" s="116"/>
      <c r="RDL47" s="116"/>
      <c r="RDM47" s="116"/>
      <c r="RDN47" s="116"/>
      <c r="RDO47" s="116"/>
      <c r="RDP47" s="116"/>
      <c r="RDQ47" s="116"/>
      <c r="RDR47" s="116"/>
      <c r="RDS47" s="116"/>
      <c r="RDT47" s="116"/>
      <c r="RDU47" s="116"/>
      <c r="RDV47" s="116"/>
      <c r="RDW47" s="116"/>
      <c r="RDX47" s="116"/>
      <c r="RDY47" s="116"/>
      <c r="RDZ47" s="116"/>
      <c r="REA47" s="116"/>
      <c r="REB47" s="116"/>
      <c r="REC47" s="116"/>
      <c r="RED47" s="116"/>
      <c r="REE47" s="116"/>
      <c r="REF47" s="116"/>
      <c r="REG47" s="116"/>
      <c r="REH47" s="116"/>
      <c r="REI47" s="116"/>
      <c r="REJ47" s="116"/>
      <c r="REK47" s="116"/>
      <c r="REL47" s="116"/>
      <c r="REM47" s="116"/>
      <c r="REN47" s="116"/>
      <c r="REO47" s="116"/>
      <c r="REP47" s="116"/>
      <c r="REQ47" s="116"/>
      <c r="RER47" s="116"/>
      <c r="RES47" s="116"/>
      <c r="RET47" s="116"/>
      <c r="REU47" s="116"/>
      <c r="REV47" s="116"/>
      <c r="REW47" s="116"/>
      <c r="REX47" s="116"/>
      <c r="REY47" s="116"/>
      <c r="REZ47" s="116"/>
      <c r="RFA47" s="116"/>
      <c r="RFB47" s="116"/>
      <c r="RFC47" s="116"/>
      <c r="RFD47" s="116"/>
      <c r="RFE47" s="116"/>
      <c r="RFF47" s="116"/>
      <c r="RFG47" s="116"/>
      <c r="RFH47" s="116"/>
      <c r="RFI47" s="116"/>
      <c r="RFJ47" s="116"/>
      <c r="RFK47" s="116"/>
      <c r="RFL47" s="116"/>
      <c r="RFM47" s="116"/>
      <c r="RFN47" s="116"/>
      <c r="RFO47" s="116"/>
      <c r="RFP47" s="116"/>
      <c r="RFQ47" s="116"/>
      <c r="RFR47" s="116"/>
      <c r="RFS47" s="116"/>
      <c r="RFT47" s="116"/>
      <c r="RFU47" s="116"/>
      <c r="RFV47" s="116"/>
      <c r="RFW47" s="116"/>
      <c r="RFX47" s="116"/>
      <c r="RFY47" s="116"/>
      <c r="RFZ47" s="116"/>
      <c r="RGA47" s="116"/>
      <c r="RGB47" s="116"/>
      <c r="RGC47" s="116"/>
      <c r="RGD47" s="116"/>
      <c r="RGE47" s="116"/>
      <c r="RGF47" s="116"/>
      <c r="RGG47" s="116"/>
      <c r="RGH47" s="116"/>
      <c r="RGI47" s="116"/>
      <c r="RGJ47" s="116"/>
      <c r="RGK47" s="116"/>
      <c r="RGL47" s="116"/>
      <c r="RGM47" s="116"/>
      <c r="RGN47" s="116"/>
      <c r="RGO47" s="116"/>
      <c r="RGP47" s="116"/>
      <c r="RGQ47" s="116"/>
      <c r="RGR47" s="116"/>
      <c r="RGS47" s="116"/>
      <c r="RGT47" s="116"/>
      <c r="RGU47" s="116"/>
      <c r="RGV47" s="116"/>
      <c r="RGW47" s="116"/>
      <c r="RGX47" s="116"/>
      <c r="RGY47" s="116"/>
      <c r="RGZ47" s="116"/>
      <c r="RHA47" s="116"/>
      <c r="RHB47" s="116"/>
      <c r="RHC47" s="116"/>
      <c r="RHD47" s="116"/>
      <c r="RHE47" s="116"/>
      <c r="RHF47" s="116"/>
      <c r="RHG47" s="116"/>
      <c r="RHH47" s="116"/>
      <c r="RHI47" s="116"/>
      <c r="RHJ47" s="116"/>
      <c r="RHK47" s="116"/>
      <c r="RHL47" s="116"/>
      <c r="RHM47" s="116"/>
      <c r="RHN47" s="116"/>
      <c r="RHO47" s="116"/>
      <c r="RHP47" s="116"/>
      <c r="RHQ47" s="116"/>
      <c r="RHR47" s="116"/>
      <c r="RHS47" s="116"/>
      <c r="RHT47" s="116"/>
      <c r="RHU47" s="116"/>
      <c r="RHV47" s="116"/>
      <c r="RHW47" s="116"/>
      <c r="RHX47" s="116"/>
      <c r="RHY47" s="116"/>
      <c r="RHZ47" s="116"/>
      <c r="RIA47" s="116"/>
      <c r="RIB47" s="116"/>
      <c r="RIC47" s="116"/>
      <c r="RID47" s="116"/>
      <c r="RIE47" s="116"/>
      <c r="RIF47" s="116"/>
      <c r="RIG47" s="116"/>
      <c r="RIH47" s="116"/>
      <c r="RII47" s="116"/>
      <c r="RIJ47" s="116"/>
      <c r="RIK47" s="116"/>
      <c r="RIL47" s="116"/>
      <c r="RIM47" s="116"/>
      <c r="RIN47" s="116"/>
      <c r="RIO47" s="116"/>
      <c r="RIP47" s="116"/>
      <c r="RIQ47" s="116"/>
      <c r="RIR47" s="116"/>
      <c r="RIS47" s="116"/>
      <c r="RIT47" s="116"/>
      <c r="RIU47" s="116"/>
      <c r="RIV47" s="116"/>
      <c r="RIW47" s="116"/>
      <c r="RIX47" s="116"/>
      <c r="RIY47" s="116"/>
      <c r="RIZ47" s="116"/>
      <c r="RJA47" s="116"/>
      <c r="RJB47" s="116"/>
      <c r="RJC47" s="116"/>
      <c r="RJD47" s="116"/>
      <c r="RJE47" s="116"/>
      <c r="RJF47" s="116"/>
      <c r="RJG47" s="116"/>
      <c r="RJH47" s="116"/>
      <c r="RJI47" s="116"/>
      <c r="RJJ47" s="116"/>
      <c r="RJK47" s="116"/>
      <c r="RJL47" s="116"/>
      <c r="RJM47" s="116"/>
      <c r="RJN47" s="116"/>
      <c r="RJO47" s="116"/>
      <c r="RJP47" s="116"/>
      <c r="RJQ47" s="116"/>
      <c r="RJR47" s="116"/>
      <c r="RJS47" s="116"/>
      <c r="RJT47" s="116"/>
      <c r="RJU47" s="116"/>
      <c r="RJV47" s="116"/>
      <c r="RJW47" s="116"/>
      <c r="RJX47" s="116"/>
      <c r="RJY47" s="116"/>
      <c r="RJZ47" s="116"/>
      <c r="RKA47" s="116"/>
      <c r="RKB47" s="116"/>
      <c r="RKC47" s="116"/>
      <c r="RKD47" s="116"/>
      <c r="RKE47" s="116"/>
      <c r="RKF47" s="116"/>
      <c r="RKG47" s="116"/>
      <c r="RKH47" s="116"/>
      <c r="RKI47" s="116"/>
      <c r="RKJ47" s="116"/>
      <c r="RKK47" s="116"/>
      <c r="RKL47" s="116"/>
      <c r="RKM47" s="116"/>
      <c r="RKN47" s="116"/>
      <c r="RKO47" s="116"/>
      <c r="RKP47" s="116"/>
      <c r="RKQ47" s="116"/>
      <c r="RKR47" s="116"/>
      <c r="RKS47" s="116"/>
      <c r="RKT47" s="116"/>
      <c r="RKU47" s="116"/>
      <c r="RKV47" s="116"/>
      <c r="RKW47" s="116"/>
      <c r="RKX47" s="116"/>
      <c r="RKY47" s="116"/>
      <c r="RKZ47" s="116"/>
      <c r="RLA47" s="116"/>
      <c r="RLB47" s="116"/>
      <c r="RLC47" s="116"/>
      <c r="RLD47" s="116"/>
      <c r="RLE47" s="116"/>
      <c r="RLF47" s="116"/>
      <c r="RLG47" s="116"/>
      <c r="RLH47" s="116"/>
      <c r="RLI47" s="116"/>
      <c r="RLJ47" s="116"/>
      <c r="RLK47" s="116"/>
      <c r="RLL47" s="116"/>
      <c r="RLM47" s="116"/>
      <c r="RLN47" s="116"/>
      <c r="RLO47" s="116"/>
      <c r="RLP47" s="116"/>
      <c r="RLQ47" s="116"/>
      <c r="RLR47" s="116"/>
      <c r="RLS47" s="116"/>
      <c r="RLT47" s="116"/>
      <c r="RLU47" s="116"/>
      <c r="RLV47" s="116"/>
      <c r="RLW47" s="116"/>
      <c r="RLX47" s="116"/>
      <c r="RLY47" s="116"/>
      <c r="RLZ47" s="116"/>
      <c r="RMA47" s="116"/>
      <c r="RMB47" s="116"/>
      <c r="RMC47" s="116"/>
      <c r="RMD47" s="116"/>
      <c r="RME47" s="116"/>
      <c r="RMF47" s="116"/>
      <c r="RMG47" s="116"/>
      <c r="RMH47" s="116"/>
      <c r="RMI47" s="116"/>
      <c r="RMJ47" s="116"/>
      <c r="RMK47" s="116"/>
      <c r="RML47" s="116"/>
      <c r="RMM47" s="116"/>
      <c r="RMN47" s="116"/>
      <c r="RMO47" s="116"/>
      <c r="RMP47" s="116"/>
      <c r="RMQ47" s="116"/>
      <c r="RMR47" s="116"/>
      <c r="RMS47" s="116"/>
      <c r="RMT47" s="116"/>
      <c r="RMU47" s="116"/>
      <c r="RMV47" s="116"/>
      <c r="RMW47" s="116"/>
      <c r="RMX47" s="116"/>
      <c r="RMY47" s="116"/>
      <c r="RMZ47" s="116"/>
      <c r="RNA47" s="116"/>
      <c r="RNB47" s="116"/>
      <c r="RNC47" s="116"/>
      <c r="RND47" s="116"/>
      <c r="RNE47" s="116"/>
      <c r="RNF47" s="116"/>
      <c r="RNG47" s="116"/>
      <c r="RNH47" s="116"/>
      <c r="RNI47" s="116"/>
      <c r="RNJ47" s="116"/>
      <c r="RNK47" s="116"/>
      <c r="RNL47" s="116"/>
      <c r="RNM47" s="116"/>
      <c r="RNN47" s="116"/>
      <c r="RNO47" s="116"/>
      <c r="RNP47" s="116"/>
      <c r="RNQ47" s="116"/>
      <c r="RNR47" s="116"/>
      <c r="RNS47" s="116"/>
      <c r="RNT47" s="116"/>
      <c r="RNU47" s="116"/>
      <c r="RNV47" s="116"/>
      <c r="RNW47" s="116"/>
      <c r="RNX47" s="116"/>
      <c r="RNY47" s="116"/>
      <c r="RNZ47" s="116"/>
      <c r="ROA47" s="116"/>
      <c r="ROB47" s="116"/>
      <c r="ROC47" s="116"/>
      <c r="ROD47" s="116"/>
      <c r="ROE47" s="116"/>
      <c r="ROF47" s="116"/>
      <c r="ROG47" s="116"/>
      <c r="ROH47" s="116"/>
      <c r="ROI47" s="116"/>
      <c r="ROJ47" s="116"/>
      <c r="ROK47" s="116"/>
      <c r="ROL47" s="116"/>
      <c r="ROM47" s="116"/>
      <c r="RON47" s="116"/>
      <c r="ROO47" s="116"/>
      <c r="ROP47" s="116"/>
      <c r="ROQ47" s="116"/>
      <c r="ROR47" s="116"/>
      <c r="ROS47" s="116"/>
      <c r="ROT47" s="116"/>
      <c r="ROU47" s="116"/>
      <c r="ROV47" s="116"/>
      <c r="ROW47" s="116"/>
      <c r="ROX47" s="116"/>
      <c r="ROY47" s="116"/>
      <c r="ROZ47" s="116"/>
      <c r="RPA47" s="116"/>
      <c r="RPB47" s="116"/>
      <c r="RPC47" s="116"/>
      <c r="RPD47" s="116"/>
      <c r="RPE47" s="116"/>
      <c r="RPF47" s="116"/>
      <c r="RPG47" s="116"/>
      <c r="RPH47" s="116"/>
      <c r="RPI47" s="116"/>
      <c r="RPJ47" s="116"/>
      <c r="RPK47" s="116"/>
      <c r="RPL47" s="116"/>
      <c r="RPM47" s="116"/>
      <c r="RPN47" s="116"/>
      <c r="RPO47" s="116"/>
      <c r="RPP47" s="116"/>
      <c r="RPQ47" s="116"/>
      <c r="RPR47" s="116"/>
      <c r="RPS47" s="116"/>
      <c r="RPT47" s="116"/>
      <c r="RPU47" s="116"/>
      <c r="RPV47" s="116"/>
      <c r="RPW47" s="116"/>
      <c r="RPX47" s="116"/>
      <c r="RPY47" s="116"/>
      <c r="RPZ47" s="116"/>
      <c r="RQA47" s="116"/>
      <c r="RQB47" s="116"/>
      <c r="RQC47" s="116"/>
      <c r="RQD47" s="116"/>
      <c r="RQE47" s="116"/>
      <c r="RQF47" s="116"/>
      <c r="RQG47" s="116"/>
      <c r="RQH47" s="116"/>
      <c r="RQI47" s="116"/>
      <c r="RQJ47" s="116"/>
      <c r="RQK47" s="116"/>
      <c r="RQL47" s="116"/>
      <c r="RQM47" s="116"/>
      <c r="RQN47" s="116"/>
      <c r="RQO47" s="116"/>
      <c r="RQP47" s="116"/>
      <c r="RQQ47" s="116"/>
      <c r="RQR47" s="116"/>
      <c r="RQS47" s="116"/>
      <c r="RQT47" s="116"/>
      <c r="RQU47" s="116"/>
      <c r="RQV47" s="116"/>
      <c r="RQW47" s="116"/>
      <c r="RQX47" s="116"/>
      <c r="RQY47" s="116"/>
      <c r="RQZ47" s="116"/>
      <c r="RRA47" s="116"/>
      <c r="RRB47" s="116"/>
      <c r="RRC47" s="116"/>
      <c r="RRD47" s="116"/>
      <c r="RRE47" s="116"/>
      <c r="RRF47" s="116"/>
      <c r="RRG47" s="116"/>
      <c r="RRH47" s="116"/>
      <c r="RRI47" s="116"/>
      <c r="RRJ47" s="116"/>
      <c r="RRK47" s="116"/>
      <c r="RRL47" s="116"/>
      <c r="RRM47" s="116"/>
      <c r="RRN47" s="116"/>
      <c r="RRO47" s="116"/>
      <c r="RRP47" s="116"/>
      <c r="RRQ47" s="116"/>
      <c r="RRR47" s="116"/>
      <c r="RRS47" s="116"/>
      <c r="RRT47" s="116"/>
      <c r="RRU47" s="116"/>
      <c r="RRV47" s="116"/>
      <c r="RRW47" s="116"/>
      <c r="RRX47" s="116"/>
      <c r="RRY47" s="116"/>
      <c r="RRZ47" s="116"/>
      <c r="RSA47" s="116"/>
      <c r="RSB47" s="116"/>
      <c r="RSC47" s="116"/>
      <c r="RSD47" s="116"/>
      <c r="RSE47" s="116"/>
      <c r="RSF47" s="116"/>
      <c r="RSG47" s="116"/>
      <c r="RSH47" s="116"/>
      <c r="RSI47" s="116"/>
      <c r="RSJ47" s="116"/>
      <c r="RSK47" s="116"/>
      <c r="RSL47" s="116"/>
      <c r="RSM47" s="116"/>
      <c r="RSN47" s="116"/>
      <c r="RSO47" s="116"/>
      <c r="RSP47" s="116"/>
      <c r="RSQ47" s="116"/>
      <c r="RSR47" s="116"/>
      <c r="RSS47" s="116"/>
      <c r="RST47" s="116"/>
      <c r="RSU47" s="116"/>
      <c r="RSV47" s="116"/>
      <c r="RSW47" s="116"/>
      <c r="RSX47" s="116"/>
      <c r="RSY47" s="116"/>
      <c r="RSZ47" s="116"/>
      <c r="RTA47" s="116"/>
      <c r="RTB47" s="116"/>
      <c r="RTC47" s="116"/>
      <c r="RTD47" s="116"/>
      <c r="RTE47" s="116"/>
      <c r="RTF47" s="116"/>
      <c r="RTG47" s="116"/>
      <c r="RTH47" s="116"/>
      <c r="RTI47" s="116"/>
      <c r="RTJ47" s="116"/>
      <c r="RTK47" s="116"/>
      <c r="RTL47" s="116"/>
      <c r="RTM47" s="116"/>
      <c r="RTN47" s="116"/>
      <c r="RTO47" s="116"/>
      <c r="RTP47" s="116"/>
      <c r="RTQ47" s="116"/>
      <c r="RTR47" s="116"/>
      <c r="RTS47" s="116"/>
      <c r="RTT47" s="116"/>
      <c r="RTU47" s="116"/>
      <c r="RTV47" s="116"/>
      <c r="RTW47" s="116"/>
      <c r="RTX47" s="116"/>
      <c r="RTY47" s="116"/>
      <c r="RTZ47" s="116"/>
      <c r="RUA47" s="116"/>
      <c r="RUB47" s="116"/>
      <c r="RUC47" s="116"/>
      <c r="RUD47" s="116"/>
      <c r="RUE47" s="116"/>
      <c r="RUF47" s="116"/>
      <c r="RUG47" s="116"/>
      <c r="RUH47" s="116"/>
      <c r="RUI47" s="116"/>
      <c r="RUJ47" s="116"/>
      <c r="RUK47" s="116"/>
      <c r="RUL47" s="116"/>
      <c r="RUM47" s="116"/>
      <c r="RUN47" s="116"/>
      <c r="RUO47" s="116"/>
      <c r="RUP47" s="116"/>
      <c r="RUQ47" s="116"/>
      <c r="RUR47" s="116"/>
      <c r="RUS47" s="116"/>
      <c r="RUT47" s="116"/>
      <c r="RUU47" s="116"/>
      <c r="RUV47" s="116"/>
      <c r="RUW47" s="116"/>
      <c r="RUX47" s="116"/>
      <c r="RUY47" s="116"/>
      <c r="RUZ47" s="116"/>
      <c r="RVA47" s="116"/>
      <c r="RVB47" s="116"/>
      <c r="RVC47" s="116"/>
      <c r="RVD47" s="116"/>
      <c r="RVE47" s="116"/>
      <c r="RVF47" s="116"/>
      <c r="RVG47" s="116"/>
      <c r="RVH47" s="116"/>
      <c r="RVI47" s="116"/>
      <c r="RVJ47" s="116"/>
      <c r="RVK47" s="116"/>
      <c r="RVL47" s="116"/>
      <c r="RVM47" s="116"/>
      <c r="RVN47" s="116"/>
      <c r="RVO47" s="116"/>
      <c r="RVP47" s="116"/>
      <c r="RVQ47" s="116"/>
      <c r="RVR47" s="116"/>
      <c r="RVS47" s="116"/>
      <c r="RVT47" s="116"/>
      <c r="RVU47" s="116"/>
      <c r="RVV47" s="116"/>
      <c r="RVW47" s="116"/>
      <c r="RVX47" s="116"/>
      <c r="RVY47" s="116"/>
      <c r="RVZ47" s="116"/>
      <c r="RWA47" s="116"/>
      <c r="RWB47" s="116"/>
      <c r="RWC47" s="116"/>
      <c r="RWD47" s="116"/>
      <c r="RWE47" s="116"/>
      <c r="RWF47" s="116"/>
      <c r="RWG47" s="116"/>
      <c r="RWH47" s="116"/>
      <c r="RWI47" s="116"/>
      <c r="RWJ47" s="116"/>
      <c r="RWK47" s="116"/>
      <c r="RWL47" s="116"/>
      <c r="RWM47" s="116"/>
      <c r="RWN47" s="116"/>
      <c r="RWO47" s="116"/>
      <c r="RWP47" s="116"/>
      <c r="RWQ47" s="116"/>
      <c r="RWR47" s="116"/>
      <c r="RWS47" s="116"/>
      <c r="RWT47" s="116"/>
      <c r="RWU47" s="116"/>
      <c r="RWV47" s="116"/>
      <c r="RWW47" s="116"/>
      <c r="RWX47" s="116"/>
      <c r="RWY47" s="116"/>
      <c r="RWZ47" s="116"/>
      <c r="RXA47" s="116"/>
      <c r="RXB47" s="116"/>
      <c r="RXC47" s="116"/>
      <c r="RXD47" s="116"/>
      <c r="RXE47" s="116"/>
      <c r="RXF47" s="116"/>
      <c r="RXG47" s="116"/>
      <c r="RXH47" s="116"/>
      <c r="RXI47" s="116"/>
      <c r="RXJ47" s="116"/>
      <c r="RXK47" s="116"/>
      <c r="RXL47" s="116"/>
      <c r="RXM47" s="116"/>
      <c r="RXN47" s="116"/>
      <c r="RXO47" s="116"/>
      <c r="RXP47" s="116"/>
      <c r="RXQ47" s="116"/>
      <c r="RXR47" s="116"/>
      <c r="RXS47" s="116"/>
      <c r="RXT47" s="116"/>
      <c r="RXU47" s="116"/>
      <c r="RXV47" s="116"/>
      <c r="RXW47" s="116"/>
      <c r="RXX47" s="116"/>
      <c r="RXY47" s="116"/>
      <c r="RXZ47" s="116"/>
      <c r="RYA47" s="116"/>
      <c r="RYB47" s="116"/>
      <c r="RYC47" s="116"/>
      <c r="RYD47" s="116"/>
      <c r="RYE47" s="116"/>
      <c r="RYF47" s="116"/>
      <c r="RYG47" s="116"/>
      <c r="RYH47" s="116"/>
      <c r="RYI47" s="116"/>
      <c r="RYJ47" s="116"/>
      <c r="RYK47" s="116"/>
      <c r="RYL47" s="116"/>
      <c r="RYM47" s="116"/>
      <c r="RYN47" s="116"/>
      <c r="RYO47" s="116"/>
      <c r="RYP47" s="116"/>
      <c r="RYQ47" s="116"/>
      <c r="RYR47" s="116"/>
      <c r="RYS47" s="116"/>
      <c r="RYT47" s="116"/>
      <c r="RYU47" s="116"/>
      <c r="RYV47" s="116"/>
      <c r="RYW47" s="116"/>
      <c r="RYX47" s="116"/>
      <c r="RYY47" s="116"/>
      <c r="RYZ47" s="116"/>
      <c r="RZA47" s="116"/>
      <c r="RZB47" s="116"/>
      <c r="RZC47" s="116"/>
      <c r="RZD47" s="116"/>
      <c r="RZE47" s="116"/>
      <c r="RZF47" s="116"/>
      <c r="RZG47" s="116"/>
      <c r="RZH47" s="116"/>
      <c r="RZI47" s="116"/>
      <c r="RZJ47" s="116"/>
      <c r="RZK47" s="116"/>
      <c r="RZL47" s="116"/>
      <c r="RZM47" s="116"/>
      <c r="RZN47" s="116"/>
      <c r="RZO47" s="116"/>
      <c r="RZP47" s="116"/>
      <c r="RZQ47" s="116"/>
      <c r="RZR47" s="116"/>
      <c r="RZS47" s="116"/>
      <c r="RZT47" s="116"/>
      <c r="RZU47" s="116"/>
      <c r="RZV47" s="116"/>
      <c r="RZW47" s="116"/>
      <c r="RZX47" s="116"/>
      <c r="RZY47" s="116"/>
      <c r="RZZ47" s="116"/>
      <c r="SAA47" s="116"/>
      <c r="SAB47" s="116"/>
      <c r="SAC47" s="116"/>
      <c r="SAD47" s="116"/>
      <c r="SAE47" s="116"/>
      <c r="SAF47" s="116"/>
      <c r="SAG47" s="116"/>
      <c r="SAH47" s="116"/>
      <c r="SAI47" s="116"/>
      <c r="SAJ47" s="116"/>
      <c r="SAK47" s="116"/>
      <c r="SAL47" s="116"/>
      <c r="SAM47" s="116"/>
      <c r="SAN47" s="116"/>
      <c r="SAO47" s="116"/>
      <c r="SAP47" s="116"/>
      <c r="SAQ47" s="116"/>
      <c r="SAR47" s="116"/>
      <c r="SAS47" s="116"/>
      <c r="SAT47" s="116"/>
      <c r="SAU47" s="116"/>
      <c r="SAV47" s="116"/>
      <c r="SAW47" s="116"/>
      <c r="SAX47" s="116"/>
      <c r="SAY47" s="116"/>
      <c r="SAZ47" s="116"/>
      <c r="SBA47" s="116"/>
      <c r="SBB47" s="116"/>
      <c r="SBC47" s="116"/>
      <c r="SBD47" s="116"/>
      <c r="SBE47" s="116"/>
      <c r="SBF47" s="116"/>
      <c r="SBG47" s="116"/>
      <c r="SBH47" s="116"/>
      <c r="SBI47" s="116"/>
      <c r="SBJ47" s="116"/>
      <c r="SBK47" s="116"/>
      <c r="SBL47" s="116"/>
      <c r="SBM47" s="116"/>
      <c r="SBN47" s="116"/>
      <c r="SBO47" s="116"/>
      <c r="SBP47" s="116"/>
      <c r="SBQ47" s="116"/>
      <c r="SBR47" s="116"/>
      <c r="SBS47" s="116"/>
      <c r="SBT47" s="116"/>
      <c r="SBU47" s="116"/>
      <c r="SBV47" s="116"/>
      <c r="SBW47" s="116"/>
      <c r="SBX47" s="116"/>
      <c r="SBY47" s="116"/>
      <c r="SBZ47" s="116"/>
      <c r="SCA47" s="116"/>
      <c r="SCB47" s="116"/>
      <c r="SCC47" s="116"/>
      <c r="SCD47" s="116"/>
      <c r="SCE47" s="116"/>
      <c r="SCF47" s="116"/>
      <c r="SCG47" s="116"/>
      <c r="SCH47" s="116"/>
      <c r="SCI47" s="116"/>
      <c r="SCJ47" s="116"/>
      <c r="SCK47" s="116"/>
      <c r="SCL47" s="116"/>
      <c r="SCM47" s="116"/>
      <c r="SCN47" s="116"/>
      <c r="SCO47" s="116"/>
      <c r="SCP47" s="116"/>
      <c r="SCQ47" s="116"/>
      <c r="SCR47" s="116"/>
      <c r="SCS47" s="116"/>
      <c r="SCT47" s="116"/>
      <c r="SCU47" s="116"/>
      <c r="SCV47" s="116"/>
      <c r="SCW47" s="116"/>
      <c r="SCX47" s="116"/>
      <c r="SCY47" s="116"/>
      <c r="SCZ47" s="116"/>
      <c r="SDA47" s="116"/>
      <c r="SDB47" s="116"/>
      <c r="SDC47" s="116"/>
      <c r="SDD47" s="116"/>
      <c r="SDE47" s="116"/>
      <c r="SDF47" s="116"/>
      <c r="SDG47" s="116"/>
      <c r="SDH47" s="116"/>
      <c r="SDI47" s="116"/>
      <c r="SDJ47" s="116"/>
      <c r="SDK47" s="116"/>
      <c r="SDL47" s="116"/>
      <c r="SDM47" s="116"/>
      <c r="SDN47" s="116"/>
      <c r="SDO47" s="116"/>
      <c r="SDP47" s="116"/>
      <c r="SDQ47" s="116"/>
      <c r="SDR47" s="116"/>
      <c r="SDS47" s="116"/>
      <c r="SDT47" s="116"/>
      <c r="SDU47" s="116"/>
      <c r="SDV47" s="116"/>
      <c r="SDW47" s="116"/>
      <c r="SDX47" s="116"/>
      <c r="SDY47" s="116"/>
      <c r="SDZ47" s="116"/>
      <c r="SEA47" s="116"/>
      <c r="SEB47" s="116"/>
      <c r="SEC47" s="116"/>
      <c r="SED47" s="116"/>
      <c r="SEE47" s="116"/>
      <c r="SEF47" s="116"/>
      <c r="SEG47" s="116"/>
      <c r="SEH47" s="116"/>
      <c r="SEI47" s="116"/>
      <c r="SEJ47" s="116"/>
      <c r="SEK47" s="116"/>
      <c r="SEL47" s="116"/>
      <c r="SEM47" s="116"/>
      <c r="SEN47" s="116"/>
      <c r="SEO47" s="116"/>
      <c r="SEP47" s="116"/>
      <c r="SEQ47" s="116"/>
      <c r="SER47" s="116"/>
      <c r="SES47" s="116"/>
      <c r="SET47" s="116"/>
      <c r="SEU47" s="116"/>
      <c r="SEV47" s="116"/>
      <c r="SEW47" s="116"/>
      <c r="SEX47" s="116"/>
      <c r="SEY47" s="116"/>
      <c r="SEZ47" s="116"/>
      <c r="SFA47" s="116"/>
      <c r="SFB47" s="116"/>
      <c r="SFC47" s="116"/>
      <c r="SFD47" s="116"/>
      <c r="SFE47" s="116"/>
      <c r="SFF47" s="116"/>
      <c r="SFG47" s="116"/>
      <c r="SFH47" s="116"/>
      <c r="SFI47" s="116"/>
      <c r="SFJ47" s="116"/>
      <c r="SFK47" s="116"/>
      <c r="SFL47" s="116"/>
      <c r="SFM47" s="116"/>
      <c r="SFN47" s="116"/>
      <c r="SFO47" s="116"/>
      <c r="SFP47" s="116"/>
      <c r="SFQ47" s="116"/>
      <c r="SFR47" s="116"/>
      <c r="SFS47" s="116"/>
      <c r="SFT47" s="116"/>
      <c r="SFU47" s="116"/>
      <c r="SFV47" s="116"/>
      <c r="SFW47" s="116"/>
      <c r="SFX47" s="116"/>
      <c r="SFY47" s="116"/>
      <c r="SFZ47" s="116"/>
      <c r="SGA47" s="116"/>
      <c r="SGB47" s="116"/>
      <c r="SGC47" s="116"/>
      <c r="SGD47" s="116"/>
      <c r="SGE47" s="116"/>
      <c r="SGF47" s="116"/>
      <c r="SGG47" s="116"/>
      <c r="SGH47" s="116"/>
      <c r="SGI47" s="116"/>
      <c r="SGJ47" s="116"/>
      <c r="SGK47" s="116"/>
      <c r="SGL47" s="116"/>
      <c r="SGM47" s="116"/>
      <c r="SGN47" s="116"/>
      <c r="SGO47" s="116"/>
      <c r="SGP47" s="116"/>
      <c r="SGQ47" s="116"/>
      <c r="SGR47" s="116"/>
      <c r="SGS47" s="116"/>
      <c r="SGT47" s="116"/>
      <c r="SGU47" s="116"/>
      <c r="SGV47" s="116"/>
      <c r="SGW47" s="116"/>
      <c r="SGX47" s="116"/>
      <c r="SGY47" s="116"/>
      <c r="SGZ47" s="116"/>
      <c r="SHA47" s="116"/>
      <c r="SHB47" s="116"/>
      <c r="SHC47" s="116"/>
      <c r="SHD47" s="116"/>
      <c r="SHE47" s="116"/>
      <c r="SHF47" s="116"/>
      <c r="SHG47" s="116"/>
      <c r="SHH47" s="116"/>
      <c r="SHI47" s="116"/>
      <c r="SHJ47" s="116"/>
      <c r="SHK47" s="116"/>
      <c r="SHL47" s="116"/>
      <c r="SHM47" s="116"/>
      <c r="SHN47" s="116"/>
      <c r="SHO47" s="116"/>
      <c r="SHP47" s="116"/>
      <c r="SHQ47" s="116"/>
      <c r="SHR47" s="116"/>
      <c r="SHS47" s="116"/>
      <c r="SHT47" s="116"/>
      <c r="SHU47" s="116"/>
      <c r="SHV47" s="116"/>
      <c r="SHW47" s="116"/>
      <c r="SHX47" s="116"/>
      <c r="SHY47" s="116"/>
      <c r="SHZ47" s="116"/>
      <c r="SIA47" s="116"/>
      <c r="SIB47" s="116"/>
      <c r="SIC47" s="116"/>
      <c r="SID47" s="116"/>
      <c r="SIE47" s="116"/>
      <c r="SIF47" s="116"/>
      <c r="SIG47" s="116"/>
      <c r="SIH47" s="116"/>
      <c r="SII47" s="116"/>
      <c r="SIJ47" s="116"/>
      <c r="SIK47" s="116"/>
      <c r="SIL47" s="116"/>
      <c r="SIM47" s="116"/>
      <c r="SIN47" s="116"/>
      <c r="SIO47" s="116"/>
      <c r="SIP47" s="116"/>
      <c r="SIQ47" s="116"/>
      <c r="SIR47" s="116"/>
      <c r="SIS47" s="116"/>
      <c r="SIT47" s="116"/>
      <c r="SIU47" s="116"/>
      <c r="SIV47" s="116"/>
      <c r="SIW47" s="116"/>
      <c r="SIX47" s="116"/>
      <c r="SIY47" s="116"/>
      <c r="SIZ47" s="116"/>
      <c r="SJA47" s="116"/>
      <c r="SJB47" s="116"/>
      <c r="SJC47" s="116"/>
      <c r="SJD47" s="116"/>
      <c r="SJE47" s="116"/>
      <c r="SJF47" s="116"/>
      <c r="SJG47" s="116"/>
      <c r="SJH47" s="116"/>
      <c r="SJI47" s="116"/>
      <c r="SJJ47" s="116"/>
      <c r="SJK47" s="116"/>
      <c r="SJL47" s="116"/>
      <c r="SJM47" s="116"/>
      <c r="SJN47" s="116"/>
      <c r="SJO47" s="116"/>
      <c r="SJP47" s="116"/>
      <c r="SJQ47" s="116"/>
      <c r="SJR47" s="116"/>
      <c r="SJS47" s="116"/>
      <c r="SJT47" s="116"/>
      <c r="SJU47" s="116"/>
      <c r="SJV47" s="116"/>
      <c r="SJW47" s="116"/>
      <c r="SJX47" s="116"/>
      <c r="SJY47" s="116"/>
      <c r="SJZ47" s="116"/>
      <c r="SKA47" s="116"/>
      <c r="SKB47" s="116"/>
      <c r="SKC47" s="116"/>
      <c r="SKD47" s="116"/>
      <c r="SKE47" s="116"/>
      <c r="SKF47" s="116"/>
      <c r="SKG47" s="116"/>
      <c r="SKH47" s="116"/>
      <c r="SKI47" s="116"/>
      <c r="SKJ47" s="116"/>
      <c r="SKK47" s="116"/>
      <c r="SKL47" s="116"/>
      <c r="SKM47" s="116"/>
      <c r="SKN47" s="116"/>
      <c r="SKO47" s="116"/>
      <c r="SKP47" s="116"/>
      <c r="SKQ47" s="116"/>
      <c r="SKR47" s="116"/>
      <c r="SKS47" s="116"/>
      <c r="SKT47" s="116"/>
      <c r="SKU47" s="116"/>
      <c r="SKV47" s="116"/>
      <c r="SKW47" s="116"/>
      <c r="SKX47" s="116"/>
      <c r="SKY47" s="116"/>
      <c r="SKZ47" s="116"/>
      <c r="SLA47" s="116"/>
      <c r="SLB47" s="116"/>
      <c r="SLC47" s="116"/>
      <c r="SLD47" s="116"/>
      <c r="SLE47" s="116"/>
      <c r="SLF47" s="116"/>
      <c r="SLG47" s="116"/>
      <c r="SLH47" s="116"/>
      <c r="SLI47" s="116"/>
      <c r="SLJ47" s="116"/>
      <c r="SLK47" s="116"/>
      <c r="SLL47" s="116"/>
      <c r="SLM47" s="116"/>
      <c r="SLN47" s="116"/>
      <c r="SLO47" s="116"/>
      <c r="SLP47" s="116"/>
      <c r="SLQ47" s="116"/>
      <c r="SLR47" s="116"/>
      <c r="SLS47" s="116"/>
      <c r="SLT47" s="116"/>
      <c r="SLU47" s="116"/>
      <c r="SLV47" s="116"/>
      <c r="SLW47" s="116"/>
      <c r="SLX47" s="116"/>
      <c r="SLY47" s="116"/>
      <c r="SLZ47" s="116"/>
      <c r="SMA47" s="116"/>
      <c r="SMB47" s="116"/>
      <c r="SMC47" s="116"/>
      <c r="SMD47" s="116"/>
      <c r="SME47" s="116"/>
      <c r="SMF47" s="116"/>
      <c r="SMG47" s="116"/>
      <c r="SMH47" s="116"/>
      <c r="SMI47" s="116"/>
      <c r="SMJ47" s="116"/>
      <c r="SMK47" s="116"/>
      <c r="SML47" s="116"/>
      <c r="SMM47" s="116"/>
      <c r="SMN47" s="116"/>
      <c r="SMO47" s="116"/>
      <c r="SMP47" s="116"/>
      <c r="SMQ47" s="116"/>
      <c r="SMR47" s="116"/>
      <c r="SMS47" s="116"/>
      <c r="SMT47" s="116"/>
      <c r="SMU47" s="116"/>
      <c r="SMV47" s="116"/>
      <c r="SMW47" s="116"/>
      <c r="SMX47" s="116"/>
      <c r="SMY47" s="116"/>
      <c r="SMZ47" s="116"/>
      <c r="SNA47" s="116"/>
      <c r="SNB47" s="116"/>
      <c r="SNC47" s="116"/>
      <c r="SND47" s="116"/>
      <c r="SNE47" s="116"/>
      <c r="SNF47" s="116"/>
      <c r="SNG47" s="116"/>
      <c r="SNH47" s="116"/>
      <c r="SNI47" s="116"/>
      <c r="SNJ47" s="116"/>
      <c r="SNK47" s="116"/>
      <c r="SNL47" s="116"/>
      <c r="SNM47" s="116"/>
      <c r="SNN47" s="116"/>
      <c r="SNO47" s="116"/>
      <c r="SNP47" s="116"/>
      <c r="SNQ47" s="116"/>
      <c r="SNR47" s="116"/>
      <c r="SNS47" s="116"/>
      <c r="SNT47" s="116"/>
      <c r="SNU47" s="116"/>
      <c r="SNV47" s="116"/>
      <c r="SNW47" s="116"/>
      <c r="SNX47" s="116"/>
      <c r="SNY47" s="116"/>
      <c r="SNZ47" s="116"/>
      <c r="SOA47" s="116"/>
      <c r="SOB47" s="116"/>
      <c r="SOC47" s="116"/>
      <c r="SOD47" s="116"/>
      <c r="SOE47" s="116"/>
      <c r="SOF47" s="116"/>
      <c r="SOG47" s="116"/>
      <c r="SOH47" s="116"/>
      <c r="SOI47" s="116"/>
      <c r="SOJ47" s="116"/>
      <c r="SOK47" s="116"/>
      <c r="SOL47" s="116"/>
      <c r="SOM47" s="116"/>
      <c r="SON47" s="116"/>
      <c r="SOO47" s="116"/>
      <c r="SOP47" s="116"/>
      <c r="SOQ47" s="116"/>
      <c r="SOR47" s="116"/>
      <c r="SOS47" s="116"/>
      <c r="SOT47" s="116"/>
      <c r="SOU47" s="116"/>
      <c r="SOV47" s="116"/>
      <c r="SOW47" s="116"/>
      <c r="SOX47" s="116"/>
      <c r="SOY47" s="116"/>
      <c r="SOZ47" s="116"/>
      <c r="SPA47" s="116"/>
      <c r="SPB47" s="116"/>
      <c r="SPC47" s="116"/>
      <c r="SPD47" s="116"/>
      <c r="SPE47" s="116"/>
      <c r="SPF47" s="116"/>
      <c r="SPG47" s="116"/>
      <c r="SPH47" s="116"/>
      <c r="SPI47" s="116"/>
      <c r="SPJ47" s="116"/>
      <c r="SPK47" s="116"/>
      <c r="SPL47" s="116"/>
      <c r="SPM47" s="116"/>
      <c r="SPN47" s="116"/>
      <c r="SPO47" s="116"/>
      <c r="SPP47" s="116"/>
      <c r="SPQ47" s="116"/>
      <c r="SPR47" s="116"/>
      <c r="SPS47" s="116"/>
      <c r="SPT47" s="116"/>
      <c r="SPU47" s="116"/>
      <c r="SPV47" s="116"/>
      <c r="SPW47" s="116"/>
      <c r="SPX47" s="116"/>
      <c r="SPY47" s="116"/>
      <c r="SPZ47" s="116"/>
      <c r="SQA47" s="116"/>
      <c r="SQB47" s="116"/>
      <c r="SQC47" s="116"/>
      <c r="SQD47" s="116"/>
      <c r="SQE47" s="116"/>
      <c r="SQF47" s="116"/>
      <c r="SQG47" s="116"/>
      <c r="SQH47" s="116"/>
      <c r="SQI47" s="116"/>
      <c r="SQJ47" s="116"/>
      <c r="SQK47" s="116"/>
      <c r="SQL47" s="116"/>
      <c r="SQM47" s="116"/>
      <c r="SQN47" s="116"/>
      <c r="SQO47" s="116"/>
      <c r="SQP47" s="116"/>
      <c r="SQQ47" s="116"/>
      <c r="SQR47" s="116"/>
      <c r="SQS47" s="116"/>
      <c r="SQT47" s="116"/>
      <c r="SQU47" s="116"/>
      <c r="SQV47" s="116"/>
      <c r="SQW47" s="116"/>
      <c r="SQX47" s="116"/>
      <c r="SQY47" s="116"/>
      <c r="SQZ47" s="116"/>
      <c r="SRA47" s="116"/>
      <c r="SRB47" s="116"/>
      <c r="SRC47" s="116"/>
      <c r="SRD47" s="116"/>
      <c r="SRE47" s="116"/>
      <c r="SRF47" s="116"/>
      <c r="SRG47" s="116"/>
      <c r="SRH47" s="116"/>
      <c r="SRI47" s="116"/>
      <c r="SRJ47" s="116"/>
      <c r="SRK47" s="116"/>
      <c r="SRL47" s="116"/>
      <c r="SRM47" s="116"/>
      <c r="SRN47" s="116"/>
      <c r="SRO47" s="116"/>
      <c r="SRP47" s="116"/>
      <c r="SRQ47" s="116"/>
      <c r="SRR47" s="116"/>
      <c r="SRS47" s="116"/>
      <c r="SRT47" s="116"/>
      <c r="SRU47" s="116"/>
      <c r="SRV47" s="116"/>
      <c r="SRW47" s="116"/>
      <c r="SRX47" s="116"/>
      <c r="SRY47" s="116"/>
      <c r="SRZ47" s="116"/>
      <c r="SSA47" s="116"/>
      <c r="SSB47" s="116"/>
      <c r="SSC47" s="116"/>
      <c r="SSD47" s="116"/>
      <c r="SSE47" s="116"/>
      <c r="SSF47" s="116"/>
      <c r="SSG47" s="116"/>
      <c r="SSH47" s="116"/>
      <c r="SSI47" s="116"/>
      <c r="SSJ47" s="116"/>
      <c r="SSK47" s="116"/>
      <c r="SSL47" s="116"/>
      <c r="SSM47" s="116"/>
      <c r="SSN47" s="116"/>
      <c r="SSO47" s="116"/>
      <c r="SSP47" s="116"/>
      <c r="SSQ47" s="116"/>
      <c r="SSR47" s="116"/>
      <c r="SSS47" s="116"/>
      <c r="SST47" s="116"/>
      <c r="SSU47" s="116"/>
      <c r="SSV47" s="116"/>
      <c r="SSW47" s="116"/>
      <c r="SSX47" s="116"/>
      <c r="SSY47" s="116"/>
      <c r="SSZ47" s="116"/>
      <c r="STA47" s="116"/>
      <c r="STB47" s="116"/>
      <c r="STC47" s="116"/>
      <c r="STD47" s="116"/>
      <c r="STE47" s="116"/>
      <c r="STF47" s="116"/>
      <c r="STG47" s="116"/>
      <c r="STH47" s="116"/>
      <c r="STI47" s="116"/>
      <c r="STJ47" s="116"/>
      <c r="STK47" s="116"/>
      <c r="STL47" s="116"/>
      <c r="STM47" s="116"/>
      <c r="STN47" s="116"/>
      <c r="STO47" s="116"/>
      <c r="STP47" s="116"/>
      <c r="STQ47" s="116"/>
      <c r="STR47" s="116"/>
      <c r="STS47" s="116"/>
      <c r="STT47" s="116"/>
      <c r="STU47" s="116"/>
      <c r="STV47" s="116"/>
      <c r="STW47" s="116"/>
      <c r="STX47" s="116"/>
      <c r="STY47" s="116"/>
      <c r="STZ47" s="116"/>
      <c r="SUA47" s="116"/>
      <c r="SUB47" s="116"/>
      <c r="SUC47" s="116"/>
      <c r="SUD47" s="116"/>
      <c r="SUE47" s="116"/>
      <c r="SUF47" s="116"/>
      <c r="SUG47" s="116"/>
      <c r="SUH47" s="116"/>
      <c r="SUI47" s="116"/>
      <c r="SUJ47" s="116"/>
      <c r="SUK47" s="116"/>
      <c r="SUL47" s="116"/>
      <c r="SUM47" s="116"/>
      <c r="SUN47" s="116"/>
      <c r="SUO47" s="116"/>
      <c r="SUP47" s="116"/>
      <c r="SUQ47" s="116"/>
      <c r="SUR47" s="116"/>
      <c r="SUS47" s="116"/>
      <c r="SUT47" s="116"/>
      <c r="SUU47" s="116"/>
      <c r="SUV47" s="116"/>
      <c r="SUW47" s="116"/>
      <c r="SUX47" s="116"/>
      <c r="SUY47" s="116"/>
      <c r="SUZ47" s="116"/>
      <c r="SVA47" s="116"/>
      <c r="SVB47" s="116"/>
      <c r="SVC47" s="116"/>
      <c r="SVD47" s="116"/>
      <c r="SVE47" s="116"/>
      <c r="SVF47" s="116"/>
      <c r="SVG47" s="116"/>
      <c r="SVH47" s="116"/>
      <c r="SVI47" s="116"/>
      <c r="SVJ47" s="116"/>
      <c r="SVK47" s="116"/>
      <c r="SVL47" s="116"/>
      <c r="SVM47" s="116"/>
      <c r="SVN47" s="116"/>
      <c r="SVO47" s="116"/>
      <c r="SVP47" s="116"/>
      <c r="SVQ47" s="116"/>
      <c r="SVR47" s="116"/>
      <c r="SVS47" s="116"/>
      <c r="SVT47" s="116"/>
      <c r="SVU47" s="116"/>
      <c r="SVV47" s="116"/>
      <c r="SVW47" s="116"/>
      <c r="SVX47" s="116"/>
      <c r="SVY47" s="116"/>
      <c r="SVZ47" s="116"/>
      <c r="SWA47" s="116"/>
      <c r="SWB47" s="116"/>
      <c r="SWC47" s="116"/>
      <c r="SWD47" s="116"/>
      <c r="SWE47" s="116"/>
      <c r="SWF47" s="116"/>
      <c r="SWG47" s="116"/>
      <c r="SWH47" s="116"/>
      <c r="SWI47" s="116"/>
      <c r="SWJ47" s="116"/>
      <c r="SWK47" s="116"/>
      <c r="SWL47" s="116"/>
      <c r="SWM47" s="116"/>
      <c r="SWN47" s="116"/>
      <c r="SWO47" s="116"/>
      <c r="SWP47" s="116"/>
      <c r="SWQ47" s="116"/>
      <c r="SWR47" s="116"/>
      <c r="SWS47" s="116"/>
      <c r="SWT47" s="116"/>
      <c r="SWU47" s="116"/>
      <c r="SWV47" s="116"/>
      <c r="SWW47" s="116"/>
      <c r="SWX47" s="116"/>
      <c r="SWY47" s="116"/>
      <c r="SWZ47" s="116"/>
      <c r="SXA47" s="116"/>
      <c r="SXB47" s="116"/>
      <c r="SXC47" s="116"/>
      <c r="SXD47" s="116"/>
      <c r="SXE47" s="116"/>
      <c r="SXF47" s="116"/>
      <c r="SXG47" s="116"/>
      <c r="SXH47" s="116"/>
      <c r="SXI47" s="116"/>
      <c r="SXJ47" s="116"/>
      <c r="SXK47" s="116"/>
      <c r="SXL47" s="116"/>
      <c r="SXM47" s="116"/>
      <c r="SXN47" s="116"/>
      <c r="SXO47" s="116"/>
      <c r="SXP47" s="116"/>
      <c r="SXQ47" s="116"/>
      <c r="SXR47" s="116"/>
      <c r="SXS47" s="116"/>
      <c r="SXT47" s="116"/>
      <c r="SXU47" s="116"/>
      <c r="SXV47" s="116"/>
      <c r="SXW47" s="116"/>
      <c r="SXX47" s="116"/>
      <c r="SXY47" s="116"/>
      <c r="SXZ47" s="116"/>
      <c r="SYA47" s="116"/>
      <c r="SYB47" s="116"/>
      <c r="SYC47" s="116"/>
      <c r="SYD47" s="116"/>
      <c r="SYE47" s="116"/>
      <c r="SYF47" s="116"/>
      <c r="SYG47" s="116"/>
      <c r="SYH47" s="116"/>
      <c r="SYI47" s="116"/>
      <c r="SYJ47" s="116"/>
      <c r="SYK47" s="116"/>
      <c r="SYL47" s="116"/>
      <c r="SYM47" s="116"/>
      <c r="SYN47" s="116"/>
      <c r="SYO47" s="116"/>
      <c r="SYP47" s="116"/>
      <c r="SYQ47" s="116"/>
      <c r="SYR47" s="116"/>
      <c r="SYS47" s="116"/>
      <c r="SYT47" s="116"/>
      <c r="SYU47" s="116"/>
      <c r="SYV47" s="116"/>
      <c r="SYW47" s="116"/>
      <c r="SYX47" s="116"/>
      <c r="SYY47" s="116"/>
      <c r="SYZ47" s="116"/>
      <c r="SZA47" s="116"/>
      <c r="SZB47" s="116"/>
      <c r="SZC47" s="116"/>
      <c r="SZD47" s="116"/>
      <c r="SZE47" s="116"/>
      <c r="SZF47" s="116"/>
      <c r="SZG47" s="116"/>
      <c r="SZH47" s="116"/>
      <c r="SZI47" s="116"/>
      <c r="SZJ47" s="116"/>
      <c r="SZK47" s="116"/>
      <c r="SZL47" s="116"/>
      <c r="SZM47" s="116"/>
      <c r="SZN47" s="116"/>
      <c r="SZO47" s="116"/>
      <c r="SZP47" s="116"/>
      <c r="SZQ47" s="116"/>
      <c r="SZR47" s="116"/>
      <c r="SZS47" s="116"/>
      <c r="SZT47" s="116"/>
      <c r="SZU47" s="116"/>
      <c r="SZV47" s="116"/>
      <c r="SZW47" s="116"/>
      <c r="SZX47" s="116"/>
      <c r="SZY47" s="116"/>
      <c r="SZZ47" s="116"/>
      <c r="TAA47" s="116"/>
      <c r="TAB47" s="116"/>
      <c r="TAC47" s="116"/>
      <c r="TAD47" s="116"/>
      <c r="TAE47" s="116"/>
      <c r="TAF47" s="116"/>
      <c r="TAG47" s="116"/>
      <c r="TAH47" s="116"/>
      <c r="TAI47" s="116"/>
      <c r="TAJ47" s="116"/>
      <c r="TAK47" s="116"/>
      <c r="TAL47" s="116"/>
      <c r="TAM47" s="116"/>
      <c r="TAN47" s="116"/>
      <c r="TAO47" s="116"/>
      <c r="TAP47" s="116"/>
      <c r="TAQ47" s="116"/>
      <c r="TAR47" s="116"/>
      <c r="TAS47" s="116"/>
      <c r="TAT47" s="116"/>
      <c r="TAU47" s="116"/>
      <c r="TAV47" s="116"/>
      <c r="TAW47" s="116"/>
      <c r="TAX47" s="116"/>
      <c r="TAY47" s="116"/>
      <c r="TAZ47" s="116"/>
      <c r="TBA47" s="116"/>
      <c r="TBB47" s="116"/>
      <c r="TBC47" s="116"/>
      <c r="TBD47" s="116"/>
      <c r="TBE47" s="116"/>
      <c r="TBF47" s="116"/>
      <c r="TBG47" s="116"/>
      <c r="TBH47" s="116"/>
      <c r="TBI47" s="116"/>
      <c r="TBJ47" s="116"/>
      <c r="TBK47" s="116"/>
      <c r="TBL47" s="116"/>
      <c r="TBM47" s="116"/>
      <c r="TBN47" s="116"/>
      <c r="TBO47" s="116"/>
      <c r="TBP47" s="116"/>
      <c r="TBQ47" s="116"/>
      <c r="TBR47" s="116"/>
      <c r="TBS47" s="116"/>
      <c r="TBT47" s="116"/>
      <c r="TBU47" s="116"/>
      <c r="TBV47" s="116"/>
      <c r="TBW47" s="116"/>
      <c r="TBX47" s="116"/>
      <c r="TBY47" s="116"/>
      <c r="TBZ47" s="116"/>
      <c r="TCA47" s="116"/>
      <c r="TCB47" s="116"/>
      <c r="TCC47" s="116"/>
      <c r="TCD47" s="116"/>
      <c r="TCE47" s="116"/>
      <c r="TCF47" s="116"/>
      <c r="TCG47" s="116"/>
      <c r="TCH47" s="116"/>
      <c r="TCI47" s="116"/>
      <c r="TCJ47" s="116"/>
      <c r="TCK47" s="116"/>
      <c r="TCL47" s="116"/>
      <c r="TCM47" s="116"/>
      <c r="TCN47" s="116"/>
      <c r="TCO47" s="116"/>
      <c r="TCP47" s="116"/>
      <c r="TCQ47" s="116"/>
      <c r="TCR47" s="116"/>
      <c r="TCS47" s="116"/>
      <c r="TCT47" s="116"/>
      <c r="TCU47" s="116"/>
      <c r="TCV47" s="116"/>
      <c r="TCW47" s="116"/>
      <c r="TCX47" s="116"/>
      <c r="TCY47" s="116"/>
      <c r="TCZ47" s="116"/>
      <c r="TDA47" s="116"/>
      <c r="TDB47" s="116"/>
      <c r="TDC47" s="116"/>
      <c r="TDD47" s="116"/>
      <c r="TDE47" s="116"/>
      <c r="TDF47" s="116"/>
      <c r="TDG47" s="116"/>
      <c r="TDH47" s="116"/>
      <c r="TDI47" s="116"/>
      <c r="TDJ47" s="116"/>
      <c r="TDK47" s="116"/>
      <c r="TDL47" s="116"/>
      <c r="TDM47" s="116"/>
      <c r="TDN47" s="116"/>
      <c r="TDO47" s="116"/>
      <c r="TDP47" s="116"/>
      <c r="TDQ47" s="116"/>
      <c r="TDR47" s="116"/>
      <c r="TDS47" s="116"/>
      <c r="TDT47" s="116"/>
      <c r="TDU47" s="116"/>
      <c r="TDV47" s="116"/>
      <c r="TDW47" s="116"/>
      <c r="TDX47" s="116"/>
      <c r="TDY47" s="116"/>
      <c r="TDZ47" s="116"/>
      <c r="TEA47" s="116"/>
      <c r="TEB47" s="116"/>
      <c r="TEC47" s="116"/>
      <c r="TED47" s="116"/>
      <c r="TEE47" s="116"/>
      <c r="TEF47" s="116"/>
      <c r="TEG47" s="116"/>
      <c r="TEH47" s="116"/>
      <c r="TEI47" s="116"/>
      <c r="TEJ47" s="116"/>
      <c r="TEK47" s="116"/>
      <c r="TEL47" s="116"/>
      <c r="TEM47" s="116"/>
      <c r="TEN47" s="116"/>
      <c r="TEO47" s="116"/>
      <c r="TEP47" s="116"/>
      <c r="TEQ47" s="116"/>
      <c r="TER47" s="116"/>
      <c r="TES47" s="116"/>
      <c r="TET47" s="116"/>
      <c r="TEU47" s="116"/>
      <c r="TEV47" s="116"/>
      <c r="TEW47" s="116"/>
      <c r="TEX47" s="116"/>
      <c r="TEY47" s="116"/>
      <c r="TEZ47" s="116"/>
      <c r="TFA47" s="116"/>
      <c r="TFB47" s="116"/>
      <c r="TFC47" s="116"/>
      <c r="TFD47" s="116"/>
      <c r="TFE47" s="116"/>
      <c r="TFF47" s="116"/>
      <c r="TFG47" s="116"/>
      <c r="TFH47" s="116"/>
      <c r="TFI47" s="116"/>
      <c r="TFJ47" s="116"/>
      <c r="TFK47" s="116"/>
      <c r="TFL47" s="116"/>
      <c r="TFM47" s="116"/>
      <c r="TFN47" s="116"/>
      <c r="TFO47" s="116"/>
      <c r="TFP47" s="116"/>
      <c r="TFQ47" s="116"/>
      <c r="TFR47" s="116"/>
      <c r="TFS47" s="116"/>
      <c r="TFT47" s="116"/>
      <c r="TFU47" s="116"/>
      <c r="TFV47" s="116"/>
      <c r="TFW47" s="116"/>
      <c r="TFX47" s="116"/>
      <c r="TFY47" s="116"/>
      <c r="TFZ47" s="116"/>
      <c r="TGA47" s="116"/>
      <c r="TGB47" s="116"/>
      <c r="TGC47" s="116"/>
      <c r="TGD47" s="116"/>
      <c r="TGE47" s="116"/>
      <c r="TGF47" s="116"/>
      <c r="TGG47" s="116"/>
      <c r="TGH47" s="116"/>
      <c r="TGI47" s="116"/>
      <c r="TGJ47" s="116"/>
      <c r="TGK47" s="116"/>
      <c r="TGL47" s="116"/>
      <c r="TGM47" s="116"/>
      <c r="TGN47" s="116"/>
      <c r="TGO47" s="116"/>
      <c r="TGP47" s="116"/>
      <c r="TGQ47" s="116"/>
      <c r="TGR47" s="116"/>
      <c r="TGS47" s="116"/>
      <c r="TGT47" s="116"/>
      <c r="TGU47" s="116"/>
      <c r="TGV47" s="116"/>
      <c r="TGW47" s="116"/>
      <c r="TGX47" s="116"/>
      <c r="TGY47" s="116"/>
      <c r="TGZ47" s="116"/>
      <c r="THA47" s="116"/>
      <c r="THB47" s="116"/>
      <c r="THC47" s="116"/>
      <c r="THD47" s="116"/>
      <c r="THE47" s="116"/>
      <c r="THF47" s="116"/>
      <c r="THG47" s="116"/>
      <c r="THH47" s="116"/>
      <c r="THI47" s="116"/>
      <c r="THJ47" s="116"/>
      <c r="THK47" s="116"/>
      <c r="THL47" s="116"/>
      <c r="THM47" s="116"/>
      <c r="THN47" s="116"/>
      <c r="THO47" s="116"/>
      <c r="THP47" s="116"/>
      <c r="THQ47" s="116"/>
      <c r="THR47" s="116"/>
      <c r="THS47" s="116"/>
      <c r="THT47" s="116"/>
      <c r="THU47" s="116"/>
      <c r="THV47" s="116"/>
      <c r="THW47" s="116"/>
      <c r="THX47" s="116"/>
      <c r="THY47" s="116"/>
      <c r="THZ47" s="116"/>
      <c r="TIA47" s="116"/>
      <c r="TIB47" s="116"/>
      <c r="TIC47" s="116"/>
      <c r="TID47" s="116"/>
      <c r="TIE47" s="116"/>
      <c r="TIF47" s="116"/>
      <c r="TIG47" s="116"/>
      <c r="TIH47" s="116"/>
      <c r="TII47" s="116"/>
      <c r="TIJ47" s="116"/>
      <c r="TIK47" s="116"/>
      <c r="TIL47" s="116"/>
      <c r="TIM47" s="116"/>
      <c r="TIN47" s="116"/>
      <c r="TIO47" s="116"/>
      <c r="TIP47" s="116"/>
      <c r="TIQ47" s="116"/>
      <c r="TIR47" s="116"/>
      <c r="TIS47" s="116"/>
      <c r="TIT47" s="116"/>
      <c r="TIU47" s="116"/>
      <c r="TIV47" s="116"/>
      <c r="TIW47" s="116"/>
      <c r="TIX47" s="116"/>
      <c r="TIY47" s="116"/>
      <c r="TIZ47" s="116"/>
      <c r="TJA47" s="116"/>
      <c r="TJB47" s="116"/>
      <c r="TJC47" s="116"/>
      <c r="TJD47" s="116"/>
      <c r="TJE47" s="116"/>
      <c r="TJF47" s="116"/>
      <c r="TJG47" s="116"/>
      <c r="TJH47" s="116"/>
      <c r="TJI47" s="116"/>
      <c r="TJJ47" s="116"/>
      <c r="TJK47" s="116"/>
      <c r="TJL47" s="116"/>
      <c r="TJM47" s="116"/>
      <c r="TJN47" s="116"/>
      <c r="TJO47" s="116"/>
      <c r="TJP47" s="116"/>
      <c r="TJQ47" s="116"/>
      <c r="TJR47" s="116"/>
      <c r="TJS47" s="116"/>
      <c r="TJT47" s="116"/>
      <c r="TJU47" s="116"/>
      <c r="TJV47" s="116"/>
      <c r="TJW47" s="116"/>
      <c r="TJX47" s="116"/>
      <c r="TJY47" s="116"/>
      <c r="TJZ47" s="116"/>
      <c r="TKA47" s="116"/>
      <c r="TKB47" s="116"/>
      <c r="TKC47" s="116"/>
      <c r="TKD47" s="116"/>
      <c r="TKE47" s="116"/>
      <c r="TKF47" s="116"/>
      <c r="TKG47" s="116"/>
      <c r="TKH47" s="116"/>
      <c r="TKI47" s="116"/>
      <c r="TKJ47" s="116"/>
      <c r="TKK47" s="116"/>
      <c r="TKL47" s="116"/>
      <c r="TKM47" s="116"/>
      <c r="TKN47" s="116"/>
      <c r="TKO47" s="116"/>
      <c r="TKP47" s="116"/>
      <c r="TKQ47" s="116"/>
      <c r="TKR47" s="116"/>
      <c r="TKS47" s="116"/>
      <c r="TKT47" s="116"/>
      <c r="TKU47" s="116"/>
      <c r="TKV47" s="116"/>
      <c r="TKW47" s="116"/>
      <c r="TKX47" s="116"/>
      <c r="TKY47" s="116"/>
      <c r="TKZ47" s="116"/>
      <c r="TLA47" s="116"/>
      <c r="TLB47" s="116"/>
      <c r="TLC47" s="116"/>
      <c r="TLD47" s="116"/>
      <c r="TLE47" s="116"/>
      <c r="TLF47" s="116"/>
      <c r="TLG47" s="116"/>
      <c r="TLH47" s="116"/>
      <c r="TLI47" s="116"/>
      <c r="TLJ47" s="116"/>
      <c r="TLK47" s="116"/>
      <c r="TLL47" s="116"/>
      <c r="TLM47" s="116"/>
      <c r="TLN47" s="116"/>
      <c r="TLO47" s="116"/>
      <c r="TLP47" s="116"/>
      <c r="TLQ47" s="116"/>
      <c r="TLR47" s="116"/>
      <c r="TLS47" s="116"/>
      <c r="TLT47" s="116"/>
      <c r="TLU47" s="116"/>
      <c r="TLV47" s="116"/>
      <c r="TLW47" s="116"/>
      <c r="TLX47" s="116"/>
      <c r="TLY47" s="116"/>
      <c r="TLZ47" s="116"/>
      <c r="TMA47" s="116"/>
      <c r="TMB47" s="116"/>
      <c r="TMC47" s="116"/>
      <c r="TMD47" s="116"/>
      <c r="TME47" s="116"/>
      <c r="TMF47" s="116"/>
      <c r="TMG47" s="116"/>
      <c r="TMH47" s="116"/>
      <c r="TMI47" s="116"/>
      <c r="TMJ47" s="116"/>
      <c r="TMK47" s="116"/>
      <c r="TML47" s="116"/>
      <c r="TMM47" s="116"/>
      <c r="TMN47" s="116"/>
      <c r="TMO47" s="116"/>
      <c r="TMP47" s="116"/>
      <c r="TMQ47" s="116"/>
      <c r="TMR47" s="116"/>
      <c r="TMS47" s="116"/>
      <c r="TMT47" s="116"/>
      <c r="TMU47" s="116"/>
      <c r="TMV47" s="116"/>
      <c r="TMW47" s="116"/>
      <c r="TMX47" s="116"/>
      <c r="TMY47" s="116"/>
      <c r="TMZ47" s="116"/>
      <c r="TNA47" s="116"/>
      <c r="TNB47" s="116"/>
      <c r="TNC47" s="116"/>
      <c r="TND47" s="116"/>
      <c r="TNE47" s="116"/>
      <c r="TNF47" s="116"/>
      <c r="TNG47" s="116"/>
      <c r="TNH47" s="116"/>
      <c r="TNI47" s="116"/>
      <c r="TNJ47" s="116"/>
      <c r="TNK47" s="116"/>
      <c r="TNL47" s="116"/>
      <c r="TNM47" s="116"/>
      <c r="TNN47" s="116"/>
      <c r="TNO47" s="116"/>
      <c r="TNP47" s="116"/>
      <c r="TNQ47" s="116"/>
      <c r="TNR47" s="116"/>
      <c r="TNS47" s="116"/>
      <c r="TNT47" s="116"/>
      <c r="TNU47" s="116"/>
      <c r="TNV47" s="116"/>
      <c r="TNW47" s="116"/>
      <c r="TNX47" s="116"/>
      <c r="TNY47" s="116"/>
      <c r="TNZ47" s="116"/>
      <c r="TOA47" s="116"/>
      <c r="TOB47" s="116"/>
      <c r="TOC47" s="116"/>
      <c r="TOD47" s="116"/>
      <c r="TOE47" s="116"/>
      <c r="TOF47" s="116"/>
      <c r="TOG47" s="116"/>
      <c r="TOH47" s="116"/>
      <c r="TOI47" s="116"/>
      <c r="TOJ47" s="116"/>
      <c r="TOK47" s="116"/>
      <c r="TOL47" s="116"/>
      <c r="TOM47" s="116"/>
      <c r="TON47" s="116"/>
      <c r="TOO47" s="116"/>
      <c r="TOP47" s="116"/>
      <c r="TOQ47" s="116"/>
      <c r="TOR47" s="116"/>
      <c r="TOS47" s="116"/>
      <c r="TOT47" s="116"/>
      <c r="TOU47" s="116"/>
      <c r="TOV47" s="116"/>
      <c r="TOW47" s="116"/>
      <c r="TOX47" s="116"/>
      <c r="TOY47" s="116"/>
      <c r="TOZ47" s="116"/>
      <c r="TPA47" s="116"/>
      <c r="TPB47" s="116"/>
      <c r="TPC47" s="116"/>
      <c r="TPD47" s="116"/>
      <c r="TPE47" s="116"/>
      <c r="TPF47" s="116"/>
      <c r="TPG47" s="116"/>
      <c r="TPH47" s="116"/>
      <c r="TPI47" s="116"/>
      <c r="TPJ47" s="116"/>
      <c r="TPK47" s="116"/>
      <c r="TPL47" s="116"/>
      <c r="TPM47" s="116"/>
      <c r="TPN47" s="116"/>
      <c r="TPO47" s="116"/>
      <c r="TPP47" s="116"/>
      <c r="TPQ47" s="116"/>
      <c r="TPR47" s="116"/>
      <c r="TPS47" s="116"/>
      <c r="TPT47" s="116"/>
      <c r="TPU47" s="116"/>
      <c r="TPV47" s="116"/>
      <c r="TPW47" s="116"/>
      <c r="TPX47" s="116"/>
      <c r="TPY47" s="116"/>
      <c r="TPZ47" s="116"/>
      <c r="TQA47" s="116"/>
      <c r="TQB47" s="116"/>
      <c r="TQC47" s="116"/>
      <c r="TQD47" s="116"/>
      <c r="TQE47" s="116"/>
      <c r="TQF47" s="116"/>
      <c r="TQG47" s="116"/>
      <c r="TQH47" s="116"/>
      <c r="TQI47" s="116"/>
      <c r="TQJ47" s="116"/>
      <c r="TQK47" s="116"/>
      <c r="TQL47" s="116"/>
      <c r="TQM47" s="116"/>
      <c r="TQN47" s="116"/>
      <c r="TQO47" s="116"/>
      <c r="TQP47" s="116"/>
      <c r="TQQ47" s="116"/>
      <c r="TQR47" s="116"/>
      <c r="TQS47" s="116"/>
      <c r="TQT47" s="116"/>
      <c r="TQU47" s="116"/>
      <c r="TQV47" s="116"/>
      <c r="TQW47" s="116"/>
      <c r="TQX47" s="116"/>
      <c r="TQY47" s="116"/>
      <c r="TQZ47" s="116"/>
      <c r="TRA47" s="116"/>
      <c r="TRB47" s="116"/>
      <c r="TRC47" s="116"/>
      <c r="TRD47" s="116"/>
      <c r="TRE47" s="116"/>
      <c r="TRF47" s="116"/>
      <c r="TRG47" s="116"/>
      <c r="TRH47" s="116"/>
      <c r="TRI47" s="116"/>
      <c r="TRJ47" s="116"/>
      <c r="TRK47" s="116"/>
      <c r="TRL47" s="116"/>
      <c r="TRM47" s="116"/>
      <c r="TRN47" s="116"/>
      <c r="TRO47" s="116"/>
      <c r="TRP47" s="116"/>
      <c r="TRQ47" s="116"/>
      <c r="TRR47" s="116"/>
      <c r="TRS47" s="116"/>
      <c r="TRT47" s="116"/>
      <c r="TRU47" s="116"/>
      <c r="TRV47" s="116"/>
      <c r="TRW47" s="116"/>
      <c r="TRX47" s="116"/>
      <c r="TRY47" s="116"/>
      <c r="TRZ47" s="116"/>
      <c r="TSA47" s="116"/>
      <c r="TSB47" s="116"/>
      <c r="TSC47" s="116"/>
      <c r="TSD47" s="116"/>
      <c r="TSE47" s="116"/>
      <c r="TSF47" s="116"/>
      <c r="TSG47" s="116"/>
      <c r="TSH47" s="116"/>
      <c r="TSI47" s="116"/>
      <c r="TSJ47" s="116"/>
      <c r="TSK47" s="116"/>
      <c r="TSL47" s="116"/>
      <c r="TSM47" s="116"/>
      <c r="TSN47" s="116"/>
      <c r="TSO47" s="116"/>
      <c r="TSP47" s="116"/>
      <c r="TSQ47" s="116"/>
      <c r="TSR47" s="116"/>
      <c r="TSS47" s="116"/>
      <c r="TST47" s="116"/>
      <c r="TSU47" s="116"/>
      <c r="TSV47" s="116"/>
      <c r="TSW47" s="116"/>
      <c r="TSX47" s="116"/>
      <c r="TSY47" s="116"/>
      <c r="TSZ47" s="116"/>
      <c r="TTA47" s="116"/>
      <c r="TTB47" s="116"/>
      <c r="TTC47" s="116"/>
      <c r="TTD47" s="116"/>
      <c r="TTE47" s="116"/>
      <c r="TTF47" s="116"/>
      <c r="TTG47" s="116"/>
      <c r="TTH47" s="116"/>
      <c r="TTI47" s="116"/>
      <c r="TTJ47" s="116"/>
      <c r="TTK47" s="116"/>
      <c r="TTL47" s="116"/>
      <c r="TTM47" s="116"/>
      <c r="TTN47" s="116"/>
      <c r="TTO47" s="116"/>
      <c r="TTP47" s="116"/>
      <c r="TTQ47" s="116"/>
      <c r="TTR47" s="116"/>
      <c r="TTS47" s="116"/>
      <c r="TTT47" s="116"/>
      <c r="TTU47" s="116"/>
      <c r="TTV47" s="116"/>
      <c r="TTW47" s="116"/>
      <c r="TTX47" s="116"/>
      <c r="TTY47" s="116"/>
      <c r="TTZ47" s="116"/>
      <c r="TUA47" s="116"/>
      <c r="TUB47" s="116"/>
      <c r="TUC47" s="116"/>
      <c r="TUD47" s="116"/>
      <c r="TUE47" s="116"/>
      <c r="TUF47" s="116"/>
      <c r="TUG47" s="116"/>
      <c r="TUH47" s="116"/>
      <c r="TUI47" s="116"/>
      <c r="TUJ47" s="116"/>
      <c r="TUK47" s="116"/>
      <c r="TUL47" s="116"/>
      <c r="TUM47" s="116"/>
      <c r="TUN47" s="116"/>
      <c r="TUO47" s="116"/>
      <c r="TUP47" s="116"/>
      <c r="TUQ47" s="116"/>
      <c r="TUR47" s="116"/>
      <c r="TUS47" s="116"/>
      <c r="TUT47" s="116"/>
      <c r="TUU47" s="116"/>
      <c r="TUV47" s="116"/>
      <c r="TUW47" s="116"/>
      <c r="TUX47" s="116"/>
      <c r="TUY47" s="116"/>
      <c r="TUZ47" s="116"/>
      <c r="TVA47" s="116"/>
      <c r="TVB47" s="116"/>
      <c r="TVC47" s="116"/>
      <c r="TVD47" s="116"/>
      <c r="TVE47" s="116"/>
      <c r="TVF47" s="116"/>
      <c r="TVG47" s="116"/>
      <c r="TVH47" s="116"/>
      <c r="TVI47" s="116"/>
      <c r="TVJ47" s="116"/>
      <c r="TVK47" s="116"/>
      <c r="TVL47" s="116"/>
      <c r="TVM47" s="116"/>
      <c r="TVN47" s="116"/>
      <c r="TVO47" s="116"/>
      <c r="TVP47" s="116"/>
      <c r="TVQ47" s="116"/>
      <c r="TVR47" s="116"/>
      <c r="TVS47" s="116"/>
      <c r="TVT47" s="116"/>
      <c r="TVU47" s="116"/>
      <c r="TVV47" s="116"/>
      <c r="TVW47" s="116"/>
      <c r="TVX47" s="116"/>
      <c r="TVY47" s="116"/>
      <c r="TVZ47" s="116"/>
      <c r="TWA47" s="116"/>
      <c r="TWB47" s="116"/>
      <c r="TWC47" s="116"/>
      <c r="TWD47" s="116"/>
      <c r="TWE47" s="116"/>
      <c r="TWF47" s="116"/>
      <c r="TWG47" s="116"/>
      <c r="TWH47" s="116"/>
      <c r="TWI47" s="116"/>
      <c r="TWJ47" s="116"/>
      <c r="TWK47" s="116"/>
      <c r="TWL47" s="116"/>
      <c r="TWM47" s="116"/>
      <c r="TWN47" s="116"/>
      <c r="TWO47" s="116"/>
      <c r="TWP47" s="116"/>
      <c r="TWQ47" s="116"/>
      <c r="TWR47" s="116"/>
      <c r="TWS47" s="116"/>
      <c r="TWT47" s="116"/>
      <c r="TWU47" s="116"/>
      <c r="TWV47" s="116"/>
      <c r="TWW47" s="116"/>
      <c r="TWX47" s="116"/>
      <c r="TWY47" s="116"/>
      <c r="TWZ47" s="116"/>
      <c r="TXA47" s="116"/>
      <c r="TXB47" s="116"/>
      <c r="TXC47" s="116"/>
      <c r="TXD47" s="116"/>
      <c r="TXE47" s="116"/>
      <c r="TXF47" s="116"/>
      <c r="TXG47" s="116"/>
      <c r="TXH47" s="116"/>
      <c r="TXI47" s="116"/>
      <c r="TXJ47" s="116"/>
      <c r="TXK47" s="116"/>
      <c r="TXL47" s="116"/>
      <c r="TXM47" s="116"/>
      <c r="TXN47" s="116"/>
      <c r="TXO47" s="116"/>
      <c r="TXP47" s="116"/>
      <c r="TXQ47" s="116"/>
      <c r="TXR47" s="116"/>
      <c r="TXS47" s="116"/>
      <c r="TXT47" s="116"/>
      <c r="TXU47" s="116"/>
      <c r="TXV47" s="116"/>
      <c r="TXW47" s="116"/>
      <c r="TXX47" s="116"/>
      <c r="TXY47" s="116"/>
      <c r="TXZ47" s="116"/>
      <c r="TYA47" s="116"/>
      <c r="TYB47" s="116"/>
      <c r="TYC47" s="116"/>
      <c r="TYD47" s="116"/>
      <c r="TYE47" s="116"/>
      <c r="TYF47" s="116"/>
      <c r="TYG47" s="116"/>
      <c r="TYH47" s="116"/>
      <c r="TYI47" s="116"/>
      <c r="TYJ47" s="116"/>
      <c r="TYK47" s="116"/>
      <c r="TYL47" s="116"/>
      <c r="TYM47" s="116"/>
      <c r="TYN47" s="116"/>
      <c r="TYO47" s="116"/>
      <c r="TYP47" s="116"/>
      <c r="TYQ47" s="116"/>
      <c r="TYR47" s="116"/>
      <c r="TYS47" s="116"/>
      <c r="TYT47" s="116"/>
      <c r="TYU47" s="116"/>
      <c r="TYV47" s="116"/>
      <c r="TYW47" s="116"/>
      <c r="TYX47" s="116"/>
      <c r="TYY47" s="116"/>
      <c r="TYZ47" s="116"/>
      <c r="TZA47" s="116"/>
      <c r="TZB47" s="116"/>
      <c r="TZC47" s="116"/>
      <c r="TZD47" s="116"/>
      <c r="TZE47" s="116"/>
      <c r="TZF47" s="116"/>
      <c r="TZG47" s="116"/>
      <c r="TZH47" s="116"/>
      <c r="TZI47" s="116"/>
      <c r="TZJ47" s="116"/>
      <c r="TZK47" s="116"/>
      <c r="TZL47" s="116"/>
      <c r="TZM47" s="116"/>
      <c r="TZN47" s="116"/>
      <c r="TZO47" s="116"/>
      <c r="TZP47" s="116"/>
      <c r="TZQ47" s="116"/>
      <c r="TZR47" s="116"/>
      <c r="TZS47" s="116"/>
      <c r="TZT47" s="116"/>
      <c r="TZU47" s="116"/>
      <c r="TZV47" s="116"/>
      <c r="TZW47" s="116"/>
      <c r="TZX47" s="116"/>
      <c r="TZY47" s="116"/>
      <c r="TZZ47" s="116"/>
      <c r="UAA47" s="116"/>
      <c r="UAB47" s="116"/>
      <c r="UAC47" s="116"/>
      <c r="UAD47" s="116"/>
      <c r="UAE47" s="116"/>
      <c r="UAF47" s="116"/>
      <c r="UAG47" s="116"/>
      <c r="UAH47" s="116"/>
      <c r="UAI47" s="116"/>
      <c r="UAJ47" s="116"/>
      <c r="UAK47" s="116"/>
      <c r="UAL47" s="116"/>
      <c r="UAM47" s="116"/>
      <c r="UAN47" s="116"/>
      <c r="UAO47" s="116"/>
      <c r="UAP47" s="116"/>
      <c r="UAQ47" s="116"/>
      <c r="UAR47" s="116"/>
      <c r="UAS47" s="116"/>
      <c r="UAT47" s="116"/>
      <c r="UAU47" s="116"/>
      <c r="UAV47" s="116"/>
      <c r="UAW47" s="116"/>
      <c r="UAX47" s="116"/>
      <c r="UAY47" s="116"/>
      <c r="UAZ47" s="116"/>
      <c r="UBA47" s="116"/>
      <c r="UBB47" s="116"/>
      <c r="UBC47" s="116"/>
      <c r="UBD47" s="116"/>
      <c r="UBE47" s="116"/>
      <c r="UBF47" s="116"/>
      <c r="UBG47" s="116"/>
      <c r="UBH47" s="116"/>
      <c r="UBI47" s="116"/>
      <c r="UBJ47" s="116"/>
      <c r="UBK47" s="116"/>
      <c r="UBL47" s="116"/>
      <c r="UBM47" s="116"/>
      <c r="UBN47" s="116"/>
      <c r="UBO47" s="116"/>
      <c r="UBP47" s="116"/>
      <c r="UBQ47" s="116"/>
      <c r="UBR47" s="116"/>
      <c r="UBS47" s="116"/>
      <c r="UBT47" s="116"/>
      <c r="UBU47" s="116"/>
      <c r="UBV47" s="116"/>
      <c r="UBW47" s="116"/>
      <c r="UBX47" s="116"/>
      <c r="UBY47" s="116"/>
      <c r="UBZ47" s="116"/>
      <c r="UCA47" s="116"/>
      <c r="UCB47" s="116"/>
      <c r="UCC47" s="116"/>
      <c r="UCD47" s="116"/>
      <c r="UCE47" s="116"/>
      <c r="UCF47" s="116"/>
      <c r="UCG47" s="116"/>
      <c r="UCH47" s="116"/>
      <c r="UCI47" s="116"/>
      <c r="UCJ47" s="116"/>
      <c r="UCK47" s="116"/>
      <c r="UCL47" s="116"/>
      <c r="UCM47" s="116"/>
      <c r="UCN47" s="116"/>
      <c r="UCO47" s="116"/>
      <c r="UCP47" s="116"/>
      <c r="UCQ47" s="116"/>
      <c r="UCR47" s="116"/>
      <c r="UCS47" s="116"/>
      <c r="UCT47" s="116"/>
      <c r="UCU47" s="116"/>
      <c r="UCV47" s="116"/>
      <c r="UCW47" s="116"/>
      <c r="UCX47" s="116"/>
      <c r="UCY47" s="116"/>
      <c r="UCZ47" s="116"/>
      <c r="UDA47" s="116"/>
      <c r="UDB47" s="116"/>
      <c r="UDC47" s="116"/>
      <c r="UDD47" s="116"/>
      <c r="UDE47" s="116"/>
      <c r="UDF47" s="116"/>
      <c r="UDG47" s="116"/>
      <c r="UDH47" s="116"/>
      <c r="UDI47" s="116"/>
      <c r="UDJ47" s="116"/>
      <c r="UDK47" s="116"/>
      <c r="UDL47" s="116"/>
      <c r="UDM47" s="116"/>
      <c r="UDN47" s="116"/>
      <c r="UDO47" s="116"/>
      <c r="UDP47" s="116"/>
      <c r="UDQ47" s="116"/>
      <c r="UDR47" s="116"/>
      <c r="UDS47" s="116"/>
      <c r="UDT47" s="116"/>
      <c r="UDU47" s="116"/>
      <c r="UDV47" s="116"/>
      <c r="UDW47" s="116"/>
      <c r="UDX47" s="116"/>
      <c r="UDY47" s="116"/>
      <c r="UDZ47" s="116"/>
      <c r="UEA47" s="116"/>
      <c r="UEB47" s="116"/>
      <c r="UEC47" s="116"/>
      <c r="UED47" s="116"/>
      <c r="UEE47" s="116"/>
      <c r="UEF47" s="116"/>
      <c r="UEG47" s="116"/>
      <c r="UEH47" s="116"/>
      <c r="UEI47" s="116"/>
      <c r="UEJ47" s="116"/>
      <c r="UEK47" s="116"/>
      <c r="UEL47" s="116"/>
      <c r="UEM47" s="116"/>
      <c r="UEN47" s="116"/>
      <c r="UEO47" s="116"/>
      <c r="UEP47" s="116"/>
      <c r="UEQ47" s="116"/>
      <c r="UER47" s="116"/>
      <c r="UES47" s="116"/>
      <c r="UET47" s="116"/>
      <c r="UEU47" s="116"/>
      <c r="UEV47" s="116"/>
      <c r="UEW47" s="116"/>
      <c r="UEX47" s="116"/>
      <c r="UEY47" s="116"/>
      <c r="UEZ47" s="116"/>
      <c r="UFA47" s="116"/>
      <c r="UFB47" s="116"/>
      <c r="UFC47" s="116"/>
      <c r="UFD47" s="116"/>
      <c r="UFE47" s="116"/>
      <c r="UFF47" s="116"/>
      <c r="UFG47" s="116"/>
      <c r="UFH47" s="116"/>
      <c r="UFI47" s="116"/>
      <c r="UFJ47" s="116"/>
      <c r="UFK47" s="116"/>
      <c r="UFL47" s="116"/>
      <c r="UFM47" s="116"/>
      <c r="UFN47" s="116"/>
      <c r="UFO47" s="116"/>
      <c r="UFP47" s="116"/>
      <c r="UFQ47" s="116"/>
      <c r="UFR47" s="116"/>
      <c r="UFS47" s="116"/>
      <c r="UFT47" s="116"/>
      <c r="UFU47" s="116"/>
      <c r="UFV47" s="116"/>
      <c r="UFW47" s="116"/>
      <c r="UFX47" s="116"/>
      <c r="UFY47" s="116"/>
      <c r="UFZ47" s="116"/>
      <c r="UGA47" s="116"/>
      <c r="UGB47" s="116"/>
      <c r="UGC47" s="116"/>
      <c r="UGD47" s="116"/>
      <c r="UGE47" s="116"/>
      <c r="UGF47" s="116"/>
      <c r="UGG47" s="116"/>
      <c r="UGH47" s="116"/>
      <c r="UGI47" s="116"/>
      <c r="UGJ47" s="116"/>
      <c r="UGK47" s="116"/>
      <c r="UGL47" s="116"/>
      <c r="UGM47" s="116"/>
      <c r="UGN47" s="116"/>
      <c r="UGO47" s="116"/>
      <c r="UGP47" s="116"/>
      <c r="UGQ47" s="116"/>
      <c r="UGR47" s="116"/>
      <c r="UGS47" s="116"/>
      <c r="UGT47" s="116"/>
      <c r="UGU47" s="116"/>
      <c r="UGV47" s="116"/>
      <c r="UGW47" s="116"/>
      <c r="UGX47" s="116"/>
      <c r="UGY47" s="116"/>
      <c r="UGZ47" s="116"/>
      <c r="UHA47" s="116"/>
      <c r="UHB47" s="116"/>
      <c r="UHC47" s="116"/>
      <c r="UHD47" s="116"/>
      <c r="UHE47" s="116"/>
      <c r="UHF47" s="116"/>
      <c r="UHG47" s="116"/>
      <c r="UHH47" s="116"/>
      <c r="UHI47" s="116"/>
      <c r="UHJ47" s="116"/>
      <c r="UHK47" s="116"/>
      <c r="UHL47" s="116"/>
      <c r="UHM47" s="116"/>
      <c r="UHN47" s="116"/>
      <c r="UHO47" s="116"/>
      <c r="UHP47" s="116"/>
      <c r="UHQ47" s="116"/>
      <c r="UHR47" s="116"/>
      <c r="UHS47" s="116"/>
      <c r="UHT47" s="116"/>
      <c r="UHU47" s="116"/>
      <c r="UHV47" s="116"/>
      <c r="UHW47" s="116"/>
      <c r="UHX47" s="116"/>
      <c r="UHY47" s="116"/>
      <c r="UHZ47" s="116"/>
      <c r="UIA47" s="116"/>
      <c r="UIB47" s="116"/>
      <c r="UIC47" s="116"/>
      <c r="UID47" s="116"/>
      <c r="UIE47" s="116"/>
      <c r="UIF47" s="116"/>
      <c r="UIG47" s="116"/>
      <c r="UIH47" s="116"/>
      <c r="UII47" s="116"/>
      <c r="UIJ47" s="116"/>
      <c r="UIK47" s="116"/>
      <c r="UIL47" s="116"/>
      <c r="UIM47" s="116"/>
      <c r="UIN47" s="116"/>
      <c r="UIO47" s="116"/>
      <c r="UIP47" s="116"/>
      <c r="UIQ47" s="116"/>
      <c r="UIR47" s="116"/>
      <c r="UIS47" s="116"/>
      <c r="UIT47" s="116"/>
      <c r="UIU47" s="116"/>
      <c r="UIV47" s="116"/>
      <c r="UIW47" s="116"/>
      <c r="UIX47" s="116"/>
      <c r="UIY47" s="116"/>
      <c r="UIZ47" s="116"/>
      <c r="UJA47" s="116"/>
      <c r="UJB47" s="116"/>
      <c r="UJC47" s="116"/>
      <c r="UJD47" s="116"/>
      <c r="UJE47" s="116"/>
      <c r="UJF47" s="116"/>
      <c r="UJG47" s="116"/>
      <c r="UJH47" s="116"/>
      <c r="UJI47" s="116"/>
      <c r="UJJ47" s="116"/>
      <c r="UJK47" s="116"/>
      <c r="UJL47" s="116"/>
      <c r="UJM47" s="116"/>
      <c r="UJN47" s="116"/>
      <c r="UJO47" s="116"/>
      <c r="UJP47" s="116"/>
      <c r="UJQ47" s="116"/>
      <c r="UJR47" s="116"/>
      <c r="UJS47" s="116"/>
      <c r="UJT47" s="116"/>
      <c r="UJU47" s="116"/>
      <c r="UJV47" s="116"/>
      <c r="UJW47" s="116"/>
      <c r="UJX47" s="116"/>
      <c r="UJY47" s="116"/>
      <c r="UJZ47" s="116"/>
      <c r="UKA47" s="116"/>
      <c r="UKB47" s="116"/>
      <c r="UKC47" s="116"/>
      <c r="UKD47" s="116"/>
      <c r="UKE47" s="116"/>
      <c r="UKF47" s="116"/>
      <c r="UKG47" s="116"/>
      <c r="UKH47" s="116"/>
      <c r="UKI47" s="116"/>
      <c r="UKJ47" s="116"/>
      <c r="UKK47" s="116"/>
      <c r="UKL47" s="116"/>
      <c r="UKM47" s="116"/>
      <c r="UKN47" s="116"/>
      <c r="UKO47" s="116"/>
      <c r="UKP47" s="116"/>
      <c r="UKQ47" s="116"/>
      <c r="UKR47" s="116"/>
      <c r="UKS47" s="116"/>
      <c r="UKT47" s="116"/>
      <c r="UKU47" s="116"/>
      <c r="UKV47" s="116"/>
      <c r="UKW47" s="116"/>
      <c r="UKX47" s="116"/>
      <c r="UKY47" s="116"/>
      <c r="UKZ47" s="116"/>
      <c r="ULA47" s="116"/>
      <c r="ULB47" s="116"/>
      <c r="ULC47" s="116"/>
      <c r="ULD47" s="116"/>
      <c r="ULE47" s="116"/>
      <c r="ULF47" s="116"/>
      <c r="ULG47" s="116"/>
      <c r="ULH47" s="116"/>
      <c r="ULI47" s="116"/>
      <c r="ULJ47" s="116"/>
      <c r="ULK47" s="116"/>
      <c r="ULL47" s="116"/>
      <c r="ULM47" s="116"/>
      <c r="ULN47" s="116"/>
      <c r="ULO47" s="116"/>
      <c r="ULP47" s="116"/>
      <c r="ULQ47" s="116"/>
      <c r="ULR47" s="116"/>
      <c r="ULS47" s="116"/>
      <c r="ULT47" s="116"/>
      <c r="ULU47" s="116"/>
      <c r="ULV47" s="116"/>
      <c r="ULW47" s="116"/>
      <c r="ULX47" s="116"/>
      <c r="ULY47" s="116"/>
      <c r="ULZ47" s="116"/>
      <c r="UMA47" s="116"/>
      <c r="UMB47" s="116"/>
      <c r="UMC47" s="116"/>
      <c r="UMD47" s="116"/>
      <c r="UME47" s="116"/>
      <c r="UMF47" s="116"/>
      <c r="UMG47" s="116"/>
      <c r="UMH47" s="116"/>
      <c r="UMI47" s="116"/>
      <c r="UMJ47" s="116"/>
      <c r="UMK47" s="116"/>
      <c r="UML47" s="116"/>
      <c r="UMM47" s="116"/>
      <c r="UMN47" s="116"/>
      <c r="UMO47" s="116"/>
      <c r="UMP47" s="116"/>
      <c r="UMQ47" s="116"/>
      <c r="UMR47" s="116"/>
      <c r="UMS47" s="116"/>
      <c r="UMT47" s="116"/>
      <c r="UMU47" s="116"/>
      <c r="UMV47" s="116"/>
      <c r="UMW47" s="116"/>
      <c r="UMX47" s="116"/>
      <c r="UMY47" s="116"/>
      <c r="UMZ47" s="116"/>
      <c r="UNA47" s="116"/>
      <c r="UNB47" s="116"/>
      <c r="UNC47" s="116"/>
      <c r="UND47" s="116"/>
      <c r="UNE47" s="116"/>
      <c r="UNF47" s="116"/>
      <c r="UNG47" s="116"/>
      <c r="UNH47" s="116"/>
      <c r="UNI47" s="116"/>
      <c r="UNJ47" s="116"/>
      <c r="UNK47" s="116"/>
      <c r="UNL47" s="116"/>
      <c r="UNM47" s="116"/>
      <c r="UNN47" s="116"/>
      <c r="UNO47" s="116"/>
      <c r="UNP47" s="116"/>
      <c r="UNQ47" s="116"/>
      <c r="UNR47" s="116"/>
      <c r="UNS47" s="116"/>
      <c r="UNT47" s="116"/>
      <c r="UNU47" s="116"/>
      <c r="UNV47" s="116"/>
      <c r="UNW47" s="116"/>
      <c r="UNX47" s="116"/>
      <c r="UNY47" s="116"/>
      <c r="UNZ47" s="116"/>
      <c r="UOA47" s="116"/>
      <c r="UOB47" s="116"/>
      <c r="UOC47" s="116"/>
      <c r="UOD47" s="116"/>
      <c r="UOE47" s="116"/>
      <c r="UOF47" s="116"/>
      <c r="UOG47" s="116"/>
      <c r="UOH47" s="116"/>
      <c r="UOI47" s="116"/>
      <c r="UOJ47" s="116"/>
      <c r="UOK47" s="116"/>
      <c r="UOL47" s="116"/>
      <c r="UOM47" s="116"/>
      <c r="UON47" s="116"/>
      <c r="UOO47" s="116"/>
      <c r="UOP47" s="116"/>
      <c r="UOQ47" s="116"/>
      <c r="UOR47" s="116"/>
      <c r="UOS47" s="116"/>
      <c r="UOT47" s="116"/>
      <c r="UOU47" s="116"/>
      <c r="UOV47" s="116"/>
      <c r="UOW47" s="116"/>
      <c r="UOX47" s="116"/>
      <c r="UOY47" s="116"/>
      <c r="UOZ47" s="116"/>
      <c r="UPA47" s="116"/>
      <c r="UPB47" s="116"/>
      <c r="UPC47" s="116"/>
      <c r="UPD47" s="116"/>
      <c r="UPE47" s="116"/>
      <c r="UPF47" s="116"/>
      <c r="UPG47" s="116"/>
      <c r="UPH47" s="116"/>
      <c r="UPI47" s="116"/>
      <c r="UPJ47" s="116"/>
      <c r="UPK47" s="116"/>
      <c r="UPL47" s="116"/>
      <c r="UPM47" s="116"/>
      <c r="UPN47" s="116"/>
      <c r="UPO47" s="116"/>
      <c r="UPP47" s="116"/>
      <c r="UPQ47" s="116"/>
      <c r="UPR47" s="116"/>
      <c r="UPS47" s="116"/>
      <c r="UPT47" s="116"/>
      <c r="UPU47" s="116"/>
      <c r="UPV47" s="116"/>
      <c r="UPW47" s="116"/>
      <c r="UPX47" s="116"/>
      <c r="UPY47" s="116"/>
      <c r="UPZ47" s="116"/>
      <c r="UQA47" s="116"/>
      <c r="UQB47" s="116"/>
      <c r="UQC47" s="116"/>
      <c r="UQD47" s="116"/>
      <c r="UQE47" s="116"/>
      <c r="UQF47" s="116"/>
      <c r="UQG47" s="116"/>
      <c r="UQH47" s="116"/>
      <c r="UQI47" s="116"/>
      <c r="UQJ47" s="116"/>
      <c r="UQK47" s="116"/>
      <c r="UQL47" s="116"/>
      <c r="UQM47" s="116"/>
      <c r="UQN47" s="116"/>
      <c r="UQO47" s="116"/>
      <c r="UQP47" s="116"/>
      <c r="UQQ47" s="116"/>
      <c r="UQR47" s="116"/>
      <c r="UQS47" s="116"/>
      <c r="UQT47" s="116"/>
      <c r="UQU47" s="116"/>
      <c r="UQV47" s="116"/>
      <c r="UQW47" s="116"/>
      <c r="UQX47" s="116"/>
      <c r="UQY47" s="116"/>
      <c r="UQZ47" s="116"/>
      <c r="URA47" s="116"/>
      <c r="URB47" s="116"/>
      <c r="URC47" s="116"/>
      <c r="URD47" s="116"/>
      <c r="URE47" s="116"/>
      <c r="URF47" s="116"/>
      <c r="URG47" s="116"/>
      <c r="URH47" s="116"/>
      <c r="URI47" s="116"/>
      <c r="URJ47" s="116"/>
      <c r="URK47" s="116"/>
      <c r="URL47" s="116"/>
      <c r="URM47" s="116"/>
      <c r="URN47" s="116"/>
      <c r="URO47" s="116"/>
      <c r="URP47" s="116"/>
      <c r="URQ47" s="116"/>
      <c r="URR47" s="116"/>
      <c r="URS47" s="116"/>
      <c r="URT47" s="116"/>
      <c r="URU47" s="116"/>
      <c r="URV47" s="116"/>
      <c r="URW47" s="116"/>
      <c r="URX47" s="116"/>
      <c r="URY47" s="116"/>
      <c r="URZ47" s="116"/>
      <c r="USA47" s="116"/>
      <c r="USB47" s="116"/>
      <c r="USC47" s="116"/>
      <c r="USD47" s="116"/>
      <c r="USE47" s="116"/>
      <c r="USF47" s="116"/>
      <c r="USG47" s="116"/>
      <c r="USH47" s="116"/>
      <c r="USI47" s="116"/>
      <c r="USJ47" s="116"/>
      <c r="USK47" s="116"/>
      <c r="USL47" s="116"/>
      <c r="USM47" s="116"/>
      <c r="USN47" s="116"/>
      <c r="USO47" s="116"/>
      <c r="USP47" s="116"/>
      <c r="USQ47" s="116"/>
      <c r="USR47" s="116"/>
      <c r="USS47" s="116"/>
      <c r="UST47" s="116"/>
      <c r="USU47" s="116"/>
      <c r="USV47" s="116"/>
      <c r="USW47" s="116"/>
      <c r="USX47" s="116"/>
      <c r="USY47" s="116"/>
      <c r="USZ47" s="116"/>
      <c r="UTA47" s="116"/>
      <c r="UTB47" s="116"/>
      <c r="UTC47" s="116"/>
      <c r="UTD47" s="116"/>
      <c r="UTE47" s="116"/>
      <c r="UTF47" s="116"/>
      <c r="UTG47" s="116"/>
      <c r="UTH47" s="116"/>
      <c r="UTI47" s="116"/>
      <c r="UTJ47" s="116"/>
      <c r="UTK47" s="116"/>
      <c r="UTL47" s="116"/>
      <c r="UTM47" s="116"/>
      <c r="UTN47" s="116"/>
      <c r="UTO47" s="116"/>
      <c r="UTP47" s="116"/>
      <c r="UTQ47" s="116"/>
      <c r="UTR47" s="116"/>
      <c r="UTS47" s="116"/>
      <c r="UTT47" s="116"/>
      <c r="UTU47" s="116"/>
      <c r="UTV47" s="116"/>
      <c r="UTW47" s="116"/>
      <c r="UTX47" s="116"/>
      <c r="UTY47" s="116"/>
      <c r="UTZ47" s="116"/>
      <c r="UUA47" s="116"/>
      <c r="UUB47" s="116"/>
      <c r="UUC47" s="116"/>
      <c r="UUD47" s="116"/>
      <c r="UUE47" s="116"/>
      <c r="UUF47" s="116"/>
      <c r="UUG47" s="116"/>
      <c r="UUH47" s="116"/>
      <c r="UUI47" s="116"/>
      <c r="UUJ47" s="116"/>
      <c r="UUK47" s="116"/>
      <c r="UUL47" s="116"/>
      <c r="UUM47" s="116"/>
      <c r="UUN47" s="116"/>
      <c r="UUO47" s="116"/>
      <c r="UUP47" s="116"/>
      <c r="UUQ47" s="116"/>
      <c r="UUR47" s="116"/>
      <c r="UUS47" s="116"/>
      <c r="UUT47" s="116"/>
      <c r="UUU47" s="116"/>
      <c r="UUV47" s="116"/>
      <c r="UUW47" s="116"/>
      <c r="UUX47" s="116"/>
      <c r="UUY47" s="116"/>
      <c r="UUZ47" s="116"/>
      <c r="UVA47" s="116"/>
      <c r="UVB47" s="116"/>
      <c r="UVC47" s="116"/>
      <c r="UVD47" s="116"/>
      <c r="UVE47" s="116"/>
      <c r="UVF47" s="116"/>
      <c r="UVG47" s="116"/>
      <c r="UVH47" s="116"/>
      <c r="UVI47" s="116"/>
      <c r="UVJ47" s="116"/>
      <c r="UVK47" s="116"/>
      <c r="UVL47" s="116"/>
      <c r="UVM47" s="116"/>
      <c r="UVN47" s="116"/>
      <c r="UVO47" s="116"/>
      <c r="UVP47" s="116"/>
      <c r="UVQ47" s="116"/>
      <c r="UVR47" s="116"/>
      <c r="UVS47" s="116"/>
      <c r="UVT47" s="116"/>
      <c r="UVU47" s="116"/>
      <c r="UVV47" s="116"/>
      <c r="UVW47" s="116"/>
      <c r="UVX47" s="116"/>
      <c r="UVY47" s="116"/>
      <c r="UVZ47" s="116"/>
      <c r="UWA47" s="116"/>
      <c r="UWB47" s="116"/>
      <c r="UWC47" s="116"/>
      <c r="UWD47" s="116"/>
      <c r="UWE47" s="116"/>
      <c r="UWF47" s="116"/>
      <c r="UWG47" s="116"/>
      <c r="UWH47" s="116"/>
      <c r="UWI47" s="116"/>
      <c r="UWJ47" s="116"/>
      <c r="UWK47" s="116"/>
      <c r="UWL47" s="116"/>
      <c r="UWM47" s="116"/>
      <c r="UWN47" s="116"/>
      <c r="UWO47" s="116"/>
      <c r="UWP47" s="116"/>
      <c r="UWQ47" s="116"/>
      <c r="UWR47" s="116"/>
      <c r="UWS47" s="116"/>
      <c r="UWT47" s="116"/>
      <c r="UWU47" s="116"/>
      <c r="UWV47" s="116"/>
      <c r="UWW47" s="116"/>
      <c r="UWX47" s="116"/>
      <c r="UWY47" s="116"/>
      <c r="UWZ47" s="116"/>
      <c r="UXA47" s="116"/>
      <c r="UXB47" s="116"/>
      <c r="UXC47" s="116"/>
      <c r="UXD47" s="116"/>
      <c r="UXE47" s="116"/>
      <c r="UXF47" s="116"/>
      <c r="UXG47" s="116"/>
      <c r="UXH47" s="116"/>
      <c r="UXI47" s="116"/>
      <c r="UXJ47" s="116"/>
      <c r="UXK47" s="116"/>
      <c r="UXL47" s="116"/>
      <c r="UXM47" s="116"/>
      <c r="UXN47" s="116"/>
      <c r="UXO47" s="116"/>
      <c r="UXP47" s="116"/>
      <c r="UXQ47" s="116"/>
      <c r="UXR47" s="116"/>
      <c r="UXS47" s="116"/>
      <c r="UXT47" s="116"/>
      <c r="UXU47" s="116"/>
      <c r="UXV47" s="116"/>
      <c r="UXW47" s="116"/>
      <c r="UXX47" s="116"/>
      <c r="UXY47" s="116"/>
      <c r="UXZ47" s="116"/>
      <c r="UYA47" s="116"/>
      <c r="UYB47" s="116"/>
      <c r="UYC47" s="116"/>
      <c r="UYD47" s="116"/>
      <c r="UYE47" s="116"/>
      <c r="UYF47" s="116"/>
      <c r="UYG47" s="116"/>
      <c r="UYH47" s="116"/>
      <c r="UYI47" s="116"/>
      <c r="UYJ47" s="116"/>
      <c r="UYK47" s="116"/>
      <c r="UYL47" s="116"/>
      <c r="UYM47" s="116"/>
      <c r="UYN47" s="116"/>
      <c r="UYO47" s="116"/>
      <c r="UYP47" s="116"/>
      <c r="UYQ47" s="116"/>
      <c r="UYR47" s="116"/>
      <c r="UYS47" s="116"/>
      <c r="UYT47" s="116"/>
      <c r="UYU47" s="116"/>
      <c r="UYV47" s="116"/>
      <c r="UYW47" s="116"/>
      <c r="UYX47" s="116"/>
      <c r="UYY47" s="116"/>
      <c r="UYZ47" s="116"/>
      <c r="UZA47" s="116"/>
      <c r="UZB47" s="116"/>
      <c r="UZC47" s="116"/>
      <c r="UZD47" s="116"/>
      <c r="UZE47" s="116"/>
      <c r="UZF47" s="116"/>
      <c r="UZG47" s="116"/>
      <c r="UZH47" s="116"/>
      <c r="UZI47" s="116"/>
      <c r="UZJ47" s="116"/>
      <c r="UZK47" s="116"/>
      <c r="UZL47" s="116"/>
      <c r="UZM47" s="116"/>
      <c r="UZN47" s="116"/>
      <c r="UZO47" s="116"/>
      <c r="UZP47" s="116"/>
      <c r="UZQ47" s="116"/>
      <c r="UZR47" s="116"/>
      <c r="UZS47" s="116"/>
      <c r="UZT47" s="116"/>
      <c r="UZU47" s="116"/>
      <c r="UZV47" s="116"/>
      <c r="UZW47" s="116"/>
      <c r="UZX47" s="116"/>
      <c r="UZY47" s="116"/>
      <c r="UZZ47" s="116"/>
      <c r="VAA47" s="116"/>
      <c r="VAB47" s="116"/>
      <c r="VAC47" s="116"/>
      <c r="VAD47" s="116"/>
      <c r="VAE47" s="116"/>
      <c r="VAF47" s="116"/>
      <c r="VAG47" s="116"/>
      <c r="VAH47" s="116"/>
      <c r="VAI47" s="116"/>
      <c r="VAJ47" s="116"/>
      <c r="VAK47" s="116"/>
      <c r="VAL47" s="116"/>
      <c r="VAM47" s="116"/>
      <c r="VAN47" s="116"/>
      <c r="VAO47" s="116"/>
      <c r="VAP47" s="116"/>
      <c r="VAQ47" s="116"/>
      <c r="VAR47" s="116"/>
      <c r="VAS47" s="116"/>
      <c r="VAT47" s="116"/>
      <c r="VAU47" s="116"/>
      <c r="VAV47" s="116"/>
      <c r="VAW47" s="116"/>
      <c r="VAX47" s="116"/>
      <c r="VAY47" s="116"/>
      <c r="VAZ47" s="116"/>
      <c r="VBA47" s="116"/>
      <c r="VBB47" s="116"/>
      <c r="VBC47" s="116"/>
      <c r="VBD47" s="116"/>
      <c r="VBE47" s="116"/>
      <c r="VBF47" s="116"/>
      <c r="VBG47" s="116"/>
      <c r="VBH47" s="116"/>
      <c r="VBI47" s="116"/>
      <c r="VBJ47" s="116"/>
      <c r="VBK47" s="116"/>
      <c r="VBL47" s="116"/>
      <c r="VBM47" s="116"/>
      <c r="VBN47" s="116"/>
      <c r="VBO47" s="116"/>
      <c r="VBP47" s="116"/>
      <c r="VBQ47" s="116"/>
      <c r="VBR47" s="116"/>
      <c r="VBS47" s="116"/>
      <c r="VBT47" s="116"/>
      <c r="VBU47" s="116"/>
      <c r="VBV47" s="116"/>
      <c r="VBW47" s="116"/>
      <c r="VBX47" s="116"/>
      <c r="VBY47" s="116"/>
      <c r="VBZ47" s="116"/>
      <c r="VCA47" s="116"/>
      <c r="VCB47" s="116"/>
      <c r="VCC47" s="116"/>
      <c r="VCD47" s="116"/>
      <c r="VCE47" s="116"/>
      <c r="VCF47" s="116"/>
      <c r="VCG47" s="116"/>
      <c r="VCH47" s="116"/>
      <c r="VCI47" s="116"/>
      <c r="VCJ47" s="116"/>
      <c r="VCK47" s="116"/>
      <c r="VCL47" s="116"/>
      <c r="VCM47" s="116"/>
      <c r="VCN47" s="116"/>
      <c r="VCO47" s="116"/>
      <c r="VCP47" s="116"/>
      <c r="VCQ47" s="116"/>
      <c r="VCR47" s="116"/>
      <c r="VCS47" s="116"/>
      <c r="VCT47" s="116"/>
      <c r="VCU47" s="116"/>
      <c r="VCV47" s="116"/>
      <c r="VCW47" s="116"/>
      <c r="VCX47" s="116"/>
      <c r="VCY47" s="116"/>
      <c r="VCZ47" s="116"/>
      <c r="VDA47" s="116"/>
      <c r="VDB47" s="116"/>
      <c r="VDC47" s="116"/>
      <c r="VDD47" s="116"/>
      <c r="VDE47" s="116"/>
      <c r="VDF47" s="116"/>
      <c r="VDG47" s="116"/>
      <c r="VDH47" s="116"/>
      <c r="VDI47" s="116"/>
      <c r="VDJ47" s="116"/>
      <c r="VDK47" s="116"/>
      <c r="VDL47" s="116"/>
      <c r="VDM47" s="116"/>
      <c r="VDN47" s="116"/>
      <c r="VDO47" s="116"/>
      <c r="VDP47" s="116"/>
      <c r="VDQ47" s="116"/>
      <c r="VDR47" s="116"/>
      <c r="VDS47" s="116"/>
      <c r="VDT47" s="116"/>
      <c r="VDU47" s="116"/>
      <c r="VDV47" s="116"/>
      <c r="VDW47" s="116"/>
      <c r="VDX47" s="116"/>
      <c r="VDY47" s="116"/>
      <c r="VDZ47" s="116"/>
      <c r="VEA47" s="116"/>
      <c r="VEB47" s="116"/>
      <c r="VEC47" s="116"/>
      <c r="VED47" s="116"/>
      <c r="VEE47" s="116"/>
      <c r="VEF47" s="116"/>
      <c r="VEG47" s="116"/>
      <c r="VEH47" s="116"/>
      <c r="VEI47" s="116"/>
      <c r="VEJ47" s="116"/>
      <c r="VEK47" s="116"/>
      <c r="VEL47" s="116"/>
      <c r="VEM47" s="116"/>
      <c r="VEN47" s="116"/>
      <c r="VEO47" s="116"/>
      <c r="VEP47" s="116"/>
      <c r="VEQ47" s="116"/>
      <c r="VER47" s="116"/>
      <c r="VES47" s="116"/>
      <c r="VET47" s="116"/>
      <c r="VEU47" s="116"/>
      <c r="VEV47" s="116"/>
      <c r="VEW47" s="116"/>
      <c r="VEX47" s="116"/>
      <c r="VEY47" s="116"/>
      <c r="VEZ47" s="116"/>
      <c r="VFA47" s="116"/>
      <c r="VFB47" s="116"/>
      <c r="VFC47" s="116"/>
      <c r="VFD47" s="116"/>
      <c r="VFE47" s="116"/>
      <c r="VFF47" s="116"/>
      <c r="VFG47" s="116"/>
      <c r="VFH47" s="116"/>
      <c r="VFI47" s="116"/>
      <c r="VFJ47" s="116"/>
      <c r="VFK47" s="116"/>
      <c r="VFL47" s="116"/>
      <c r="VFM47" s="116"/>
      <c r="VFN47" s="116"/>
      <c r="VFO47" s="116"/>
      <c r="VFP47" s="116"/>
      <c r="VFQ47" s="116"/>
      <c r="VFR47" s="116"/>
      <c r="VFS47" s="116"/>
      <c r="VFT47" s="116"/>
      <c r="VFU47" s="116"/>
      <c r="VFV47" s="116"/>
      <c r="VFW47" s="116"/>
      <c r="VFX47" s="116"/>
      <c r="VFY47" s="116"/>
      <c r="VFZ47" s="116"/>
      <c r="VGA47" s="116"/>
      <c r="VGB47" s="116"/>
      <c r="VGC47" s="116"/>
      <c r="VGD47" s="116"/>
      <c r="VGE47" s="116"/>
      <c r="VGF47" s="116"/>
      <c r="VGG47" s="116"/>
      <c r="VGH47" s="116"/>
      <c r="VGI47" s="116"/>
      <c r="VGJ47" s="116"/>
      <c r="VGK47" s="116"/>
      <c r="VGL47" s="116"/>
      <c r="VGM47" s="116"/>
      <c r="VGN47" s="116"/>
      <c r="VGO47" s="116"/>
      <c r="VGP47" s="116"/>
      <c r="VGQ47" s="116"/>
      <c r="VGR47" s="116"/>
      <c r="VGS47" s="116"/>
      <c r="VGT47" s="116"/>
      <c r="VGU47" s="116"/>
      <c r="VGV47" s="116"/>
      <c r="VGW47" s="116"/>
      <c r="VGX47" s="116"/>
      <c r="VGY47" s="116"/>
      <c r="VGZ47" s="116"/>
      <c r="VHA47" s="116"/>
      <c r="VHB47" s="116"/>
      <c r="VHC47" s="116"/>
      <c r="VHD47" s="116"/>
      <c r="VHE47" s="116"/>
      <c r="VHF47" s="116"/>
      <c r="VHG47" s="116"/>
      <c r="VHH47" s="116"/>
      <c r="VHI47" s="116"/>
      <c r="VHJ47" s="116"/>
      <c r="VHK47" s="116"/>
      <c r="VHL47" s="116"/>
      <c r="VHM47" s="116"/>
      <c r="VHN47" s="116"/>
      <c r="VHO47" s="116"/>
      <c r="VHP47" s="116"/>
      <c r="VHQ47" s="116"/>
      <c r="VHR47" s="116"/>
      <c r="VHS47" s="116"/>
      <c r="VHT47" s="116"/>
      <c r="VHU47" s="116"/>
      <c r="VHV47" s="116"/>
      <c r="VHW47" s="116"/>
      <c r="VHX47" s="116"/>
      <c r="VHY47" s="116"/>
      <c r="VHZ47" s="116"/>
      <c r="VIA47" s="116"/>
      <c r="VIB47" s="116"/>
      <c r="VIC47" s="116"/>
      <c r="VID47" s="116"/>
      <c r="VIE47" s="116"/>
      <c r="VIF47" s="116"/>
      <c r="VIG47" s="116"/>
      <c r="VIH47" s="116"/>
      <c r="VII47" s="116"/>
      <c r="VIJ47" s="116"/>
      <c r="VIK47" s="116"/>
      <c r="VIL47" s="116"/>
      <c r="VIM47" s="116"/>
      <c r="VIN47" s="116"/>
      <c r="VIO47" s="116"/>
      <c r="VIP47" s="116"/>
      <c r="VIQ47" s="116"/>
      <c r="VIR47" s="116"/>
      <c r="VIS47" s="116"/>
      <c r="VIT47" s="116"/>
      <c r="VIU47" s="116"/>
      <c r="VIV47" s="116"/>
      <c r="VIW47" s="116"/>
      <c r="VIX47" s="116"/>
      <c r="VIY47" s="116"/>
      <c r="VIZ47" s="116"/>
      <c r="VJA47" s="116"/>
      <c r="VJB47" s="116"/>
      <c r="VJC47" s="116"/>
      <c r="VJD47" s="116"/>
      <c r="VJE47" s="116"/>
      <c r="VJF47" s="116"/>
      <c r="VJG47" s="116"/>
      <c r="VJH47" s="116"/>
      <c r="VJI47" s="116"/>
      <c r="VJJ47" s="116"/>
      <c r="VJK47" s="116"/>
      <c r="VJL47" s="116"/>
      <c r="VJM47" s="116"/>
      <c r="VJN47" s="116"/>
      <c r="VJO47" s="116"/>
      <c r="VJP47" s="116"/>
      <c r="VJQ47" s="116"/>
      <c r="VJR47" s="116"/>
      <c r="VJS47" s="116"/>
      <c r="VJT47" s="116"/>
      <c r="VJU47" s="116"/>
      <c r="VJV47" s="116"/>
      <c r="VJW47" s="116"/>
      <c r="VJX47" s="116"/>
      <c r="VJY47" s="116"/>
      <c r="VJZ47" s="116"/>
      <c r="VKA47" s="116"/>
      <c r="VKB47" s="116"/>
      <c r="VKC47" s="116"/>
      <c r="VKD47" s="116"/>
      <c r="VKE47" s="116"/>
      <c r="VKF47" s="116"/>
      <c r="VKG47" s="116"/>
      <c r="VKH47" s="116"/>
      <c r="VKI47" s="116"/>
      <c r="VKJ47" s="116"/>
      <c r="VKK47" s="116"/>
      <c r="VKL47" s="116"/>
      <c r="VKM47" s="116"/>
      <c r="VKN47" s="116"/>
      <c r="VKO47" s="116"/>
      <c r="VKP47" s="116"/>
      <c r="VKQ47" s="116"/>
      <c r="VKR47" s="116"/>
      <c r="VKS47" s="116"/>
      <c r="VKT47" s="116"/>
      <c r="VKU47" s="116"/>
      <c r="VKV47" s="116"/>
      <c r="VKW47" s="116"/>
      <c r="VKX47" s="116"/>
      <c r="VKY47" s="116"/>
      <c r="VKZ47" s="116"/>
      <c r="VLA47" s="116"/>
      <c r="VLB47" s="116"/>
      <c r="VLC47" s="116"/>
      <c r="VLD47" s="116"/>
      <c r="VLE47" s="116"/>
      <c r="VLF47" s="116"/>
      <c r="VLG47" s="116"/>
      <c r="VLH47" s="116"/>
      <c r="VLI47" s="116"/>
      <c r="VLJ47" s="116"/>
      <c r="VLK47" s="116"/>
      <c r="VLL47" s="116"/>
      <c r="VLM47" s="116"/>
      <c r="VLN47" s="116"/>
      <c r="VLO47" s="116"/>
      <c r="VLP47" s="116"/>
      <c r="VLQ47" s="116"/>
      <c r="VLR47" s="116"/>
      <c r="VLS47" s="116"/>
      <c r="VLT47" s="116"/>
      <c r="VLU47" s="116"/>
      <c r="VLV47" s="116"/>
      <c r="VLW47" s="116"/>
      <c r="VLX47" s="116"/>
      <c r="VLY47" s="116"/>
      <c r="VLZ47" s="116"/>
      <c r="VMA47" s="116"/>
      <c r="VMB47" s="116"/>
      <c r="VMC47" s="116"/>
      <c r="VMD47" s="116"/>
      <c r="VME47" s="116"/>
      <c r="VMF47" s="116"/>
      <c r="VMG47" s="116"/>
      <c r="VMH47" s="116"/>
      <c r="VMI47" s="116"/>
      <c r="VMJ47" s="116"/>
      <c r="VMK47" s="116"/>
      <c r="VML47" s="116"/>
      <c r="VMM47" s="116"/>
      <c r="VMN47" s="116"/>
      <c r="VMO47" s="116"/>
      <c r="VMP47" s="116"/>
      <c r="VMQ47" s="116"/>
      <c r="VMR47" s="116"/>
      <c r="VMS47" s="116"/>
      <c r="VMT47" s="116"/>
      <c r="VMU47" s="116"/>
      <c r="VMV47" s="116"/>
      <c r="VMW47" s="116"/>
      <c r="VMX47" s="116"/>
      <c r="VMY47" s="116"/>
      <c r="VMZ47" s="116"/>
      <c r="VNA47" s="116"/>
      <c r="VNB47" s="116"/>
      <c r="VNC47" s="116"/>
      <c r="VND47" s="116"/>
      <c r="VNE47" s="116"/>
      <c r="VNF47" s="116"/>
      <c r="VNG47" s="116"/>
      <c r="VNH47" s="116"/>
      <c r="VNI47" s="116"/>
      <c r="VNJ47" s="116"/>
      <c r="VNK47" s="116"/>
      <c r="VNL47" s="116"/>
      <c r="VNM47" s="116"/>
      <c r="VNN47" s="116"/>
      <c r="VNO47" s="116"/>
      <c r="VNP47" s="116"/>
      <c r="VNQ47" s="116"/>
      <c r="VNR47" s="116"/>
      <c r="VNS47" s="116"/>
      <c r="VNT47" s="116"/>
      <c r="VNU47" s="116"/>
      <c r="VNV47" s="116"/>
      <c r="VNW47" s="116"/>
      <c r="VNX47" s="116"/>
      <c r="VNY47" s="116"/>
      <c r="VNZ47" s="116"/>
      <c r="VOA47" s="116"/>
      <c r="VOB47" s="116"/>
      <c r="VOC47" s="116"/>
      <c r="VOD47" s="116"/>
      <c r="VOE47" s="116"/>
      <c r="VOF47" s="116"/>
      <c r="VOG47" s="116"/>
      <c r="VOH47" s="116"/>
      <c r="VOI47" s="116"/>
      <c r="VOJ47" s="116"/>
      <c r="VOK47" s="116"/>
      <c r="VOL47" s="116"/>
      <c r="VOM47" s="116"/>
      <c r="VON47" s="116"/>
      <c r="VOO47" s="116"/>
      <c r="VOP47" s="116"/>
      <c r="VOQ47" s="116"/>
      <c r="VOR47" s="116"/>
      <c r="VOS47" s="116"/>
      <c r="VOT47" s="116"/>
      <c r="VOU47" s="116"/>
      <c r="VOV47" s="116"/>
      <c r="VOW47" s="116"/>
      <c r="VOX47" s="116"/>
      <c r="VOY47" s="116"/>
      <c r="VOZ47" s="116"/>
      <c r="VPA47" s="116"/>
      <c r="VPB47" s="116"/>
      <c r="VPC47" s="116"/>
      <c r="VPD47" s="116"/>
      <c r="VPE47" s="116"/>
      <c r="VPF47" s="116"/>
      <c r="VPG47" s="116"/>
      <c r="VPH47" s="116"/>
      <c r="VPI47" s="116"/>
      <c r="VPJ47" s="116"/>
      <c r="VPK47" s="116"/>
      <c r="VPL47" s="116"/>
      <c r="VPM47" s="116"/>
      <c r="VPN47" s="116"/>
      <c r="VPO47" s="116"/>
      <c r="VPP47" s="116"/>
      <c r="VPQ47" s="116"/>
      <c r="VPR47" s="116"/>
      <c r="VPS47" s="116"/>
      <c r="VPT47" s="116"/>
      <c r="VPU47" s="116"/>
      <c r="VPV47" s="116"/>
      <c r="VPW47" s="116"/>
      <c r="VPX47" s="116"/>
      <c r="VPY47" s="116"/>
      <c r="VPZ47" s="116"/>
      <c r="VQA47" s="116"/>
      <c r="VQB47" s="116"/>
      <c r="VQC47" s="116"/>
      <c r="VQD47" s="116"/>
      <c r="VQE47" s="116"/>
      <c r="VQF47" s="116"/>
      <c r="VQG47" s="116"/>
      <c r="VQH47" s="116"/>
      <c r="VQI47" s="116"/>
      <c r="VQJ47" s="116"/>
      <c r="VQK47" s="116"/>
      <c r="VQL47" s="116"/>
      <c r="VQM47" s="116"/>
      <c r="VQN47" s="116"/>
      <c r="VQO47" s="116"/>
      <c r="VQP47" s="116"/>
      <c r="VQQ47" s="116"/>
      <c r="VQR47" s="116"/>
      <c r="VQS47" s="116"/>
      <c r="VQT47" s="116"/>
      <c r="VQU47" s="116"/>
      <c r="VQV47" s="116"/>
      <c r="VQW47" s="116"/>
      <c r="VQX47" s="116"/>
      <c r="VQY47" s="116"/>
      <c r="VQZ47" s="116"/>
      <c r="VRA47" s="116"/>
      <c r="VRB47" s="116"/>
      <c r="VRC47" s="116"/>
      <c r="VRD47" s="116"/>
      <c r="VRE47" s="116"/>
      <c r="VRF47" s="116"/>
      <c r="VRG47" s="116"/>
      <c r="VRH47" s="116"/>
      <c r="VRI47" s="116"/>
      <c r="VRJ47" s="116"/>
      <c r="VRK47" s="116"/>
      <c r="VRL47" s="116"/>
      <c r="VRM47" s="116"/>
      <c r="VRN47" s="116"/>
      <c r="VRO47" s="116"/>
      <c r="VRP47" s="116"/>
      <c r="VRQ47" s="116"/>
      <c r="VRR47" s="116"/>
      <c r="VRS47" s="116"/>
      <c r="VRT47" s="116"/>
      <c r="VRU47" s="116"/>
      <c r="VRV47" s="116"/>
      <c r="VRW47" s="116"/>
      <c r="VRX47" s="116"/>
      <c r="VRY47" s="116"/>
      <c r="VRZ47" s="116"/>
      <c r="VSA47" s="116"/>
      <c r="VSB47" s="116"/>
      <c r="VSC47" s="116"/>
      <c r="VSD47" s="116"/>
      <c r="VSE47" s="116"/>
      <c r="VSF47" s="116"/>
      <c r="VSG47" s="116"/>
      <c r="VSH47" s="116"/>
      <c r="VSI47" s="116"/>
      <c r="VSJ47" s="116"/>
      <c r="VSK47" s="116"/>
      <c r="VSL47" s="116"/>
      <c r="VSM47" s="116"/>
      <c r="VSN47" s="116"/>
      <c r="VSO47" s="116"/>
      <c r="VSP47" s="116"/>
      <c r="VSQ47" s="116"/>
      <c r="VSR47" s="116"/>
      <c r="VSS47" s="116"/>
      <c r="VST47" s="116"/>
      <c r="VSU47" s="116"/>
      <c r="VSV47" s="116"/>
      <c r="VSW47" s="116"/>
      <c r="VSX47" s="116"/>
      <c r="VSY47" s="116"/>
      <c r="VSZ47" s="116"/>
      <c r="VTA47" s="116"/>
      <c r="VTB47" s="116"/>
      <c r="VTC47" s="116"/>
      <c r="VTD47" s="116"/>
      <c r="VTE47" s="116"/>
      <c r="VTF47" s="116"/>
      <c r="VTG47" s="116"/>
      <c r="VTH47" s="116"/>
      <c r="VTI47" s="116"/>
      <c r="VTJ47" s="116"/>
      <c r="VTK47" s="116"/>
      <c r="VTL47" s="116"/>
      <c r="VTM47" s="116"/>
      <c r="VTN47" s="116"/>
      <c r="VTO47" s="116"/>
      <c r="VTP47" s="116"/>
      <c r="VTQ47" s="116"/>
      <c r="VTR47" s="116"/>
      <c r="VTS47" s="116"/>
      <c r="VTT47" s="116"/>
      <c r="VTU47" s="116"/>
      <c r="VTV47" s="116"/>
      <c r="VTW47" s="116"/>
      <c r="VTX47" s="116"/>
      <c r="VTY47" s="116"/>
      <c r="VTZ47" s="116"/>
      <c r="VUA47" s="116"/>
      <c r="VUB47" s="116"/>
      <c r="VUC47" s="116"/>
      <c r="VUD47" s="116"/>
      <c r="VUE47" s="116"/>
      <c r="VUF47" s="116"/>
      <c r="VUG47" s="116"/>
      <c r="VUH47" s="116"/>
      <c r="VUI47" s="116"/>
      <c r="VUJ47" s="116"/>
      <c r="VUK47" s="116"/>
      <c r="VUL47" s="116"/>
      <c r="VUM47" s="116"/>
      <c r="VUN47" s="116"/>
      <c r="VUO47" s="116"/>
      <c r="VUP47" s="116"/>
      <c r="VUQ47" s="116"/>
      <c r="VUR47" s="116"/>
      <c r="VUS47" s="116"/>
      <c r="VUT47" s="116"/>
      <c r="VUU47" s="116"/>
      <c r="VUV47" s="116"/>
      <c r="VUW47" s="116"/>
      <c r="VUX47" s="116"/>
      <c r="VUY47" s="116"/>
      <c r="VUZ47" s="116"/>
      <c r="VVA47" s="116"/>
      <c r="VVB47" s="116"/>
      <c r="VVC47" s="116"/>
      <c r="VVD47" s="116"/>
      <c r="VVE47" s="116"/>
      <c r="VVF47" s="116"/>
      <c r="VVG47" s="116"/>
      <c r="VVH47" s="116"/>
      <c r="VVI47" s="116"/>
      <c r="VVJ47" s="116"/>
      <c r="VVK47" s="116"/>
      <c r="VVL47" s="116"/>
      <c r="VVM47" s="116"/>
      <c r="VVN47" s="116"/>
      <c r="VVO47" s="116"/>
      <c r="VVP47" s="116"/>
      <c r="VVQ47" s="116"/>
      <c r="VVR47" s="116"/>
      <c r="VVS47" s="116"/>
      <c r="VVT47" s="116"/>
      <c r="VVU47" s="116"/>
      <c r="VVV47" s="116"/>
      <c r="VVW47" s="116"/>
      <c r="VVX47" s="116"/>
      <c r="VVY47" s="116"/>
      <c r="VVZ47" s="116"/>
      <c r="VWA47" s="116"/>
      <c r="VWB47" s="116"/>
      <c r="VWC47" s="116"/>
      <c r="VWD47" s="116"/>
      <c r="VWE47" s="116"/>
      <c r="VWF47" s="116"/>
      <c r="VWG47" s="116"/>
      <c r="VWH47" s="116"/>
      <c r="VWI47" s="116"/>
      <c r="VWJ47" s="116"/>
      <c r="VWK47" s="116"/>
      <c r="VWL47" s="116"/>
      <c r="VWM47" s="116"/>
      <c r="VWN47" s="116"/>
      <c r="VWO47" s="116"/>
      <c r="VWP47" s="116"/>
      <c r="VWQ47" s="116"/>
      <c r="VWR47" s="116"/>
      <c r="VWS47" s="116"/>
      <c r="VWT47" s="116"/>
      <c r="VWU47" s="116"/>
      <c r="VWV47" s="116"/>
      <c r="VWW47" s="116"/>
      <c r="VWX47" s="116"/>
      <c r="VWY47" s="116"/>
      <c r="VWZ47" s="116"/>
      <c r="VXA47" s="116"/>
      <c r="VXB47" s="116"/>
      <c r="VXC47" s="116"/>
      <c r="VXD47" s="116"/>
      <c r="VXE47" s="116"/>
      <c r="VXF47" s="116"/>
      <c r="VXG47" s="116"/>
      <c r="VXH47" s="116"/>
      <c r="VXI47" s="116"/>
      <c r="VXJ47" s="116"/>
      <c r="VXK47" s="116"/>
      <c r="VXL47" s="116"/>
      <c r="VXM47" s="116"/>
      <c r="VXN47" s="116"/>
      <c r="VXO47" s="116"/>
      <c r="VXP47" s="116"/>
      <c r="VXQ47" s="116"/>
      <c r="VXR47" s="116"/>
      <c r="VXS47" s="116"/>
      <c r="VXT47" s="116"/>
      <c r="VXU47" s="116"/>
      <c r="VXV47" s="116"/>
      <c r="VXW47" s="116"/>
      <c r="VXX47" s="116"/>
      <c r="VXY47" s="116"/>
      <c r="VXZ47" s="116"/>
      <c r="VYA47" s="116"/>
      <c r="VYB47" s="116"/>
      <c r="VYC47" s="116"/>
      <c r="VYD47" s="116"/>
      <c r="VYE47" s="116"/>
      <c r="VYF47" s="116"/>
      <c r="VYG47" s="116"/>
      <c r="VYH47" s="116"/>
      <c r="VYI47" s="116"/>
      <c r="VYJ47" s="116"/>
      <c r="VYK47" s="116"/>
      <c r="VYL47" s="116"/>
      <c r="VYM47" s="116"/>
      <c r="VYN47" s="116"/>
      <c r="VYO47" s="116"/>
      <c r="VYP47" s="116"/>
      <c r="VYQ47" s="116"/>
      <c r="VYR47" s="116"/>
      <c r="VYS47" s="116"/>
      <c r="VYT47" s="116"/>
      <c r="VYU47" s="116"/>
      <c r="VYV47" s="116"/>
      <c r="VYW47" s="116"/>
      <c r="VYX47" s="116"/>
      <c r="VYY47" s="116"/>
      <c r="VYZ47" s="116"/>
      <c r="VZA47" s="116"/>
      <c r="VZB47" s="116"/>
      <c r="VZC47" s="116"/>
      <c r="VZD47" s="116"/>
      <c r="VZE47" s="116"/>
      <c r="VZF47" s="116"/>
      <c r="VZG47" s="116"/>
      <c r="VZH47" s="116"/>
      <c r="VZI47" s="116"/>
      <c r="VZJ47" s="116"/>
      <c r="VZK47" s="116"/>
      <c r="VZL47" s="116"/>
      <c r="VZM47" s="116"/>
      <c r="VZN47" s="116"/>
      <c r="VZO47" s="116"/>
      <c r="VZP47" s="116"/>
      <c r="VZQ47" s="116"/>
      <c r="VZR47" s="116"/>
      <c r="VZS47" s="116"/>
      <c r="VZT47" s="116"/>
      <c r="VZU47" s="116"/>
      <c r="VZV47" s="116"/>
      <c r="VZW47" s="116"/>
      <c r="VZX47" s="116"/>
      <c r="VZY47" s="116"/>
      <c r="VZZ47" s="116"/>
      <c r="WAA47" s="116"/>
      <c r="WAB47" s="116"/>
      <c r="WAC47" s="116"/>
      <c r="WAD47" s="116"/>
      <c r="WAE47" s="116"/>
      <c r="WAF47" s="116"/>
      <c r="WAG47" s="116"/>
      <c r="WAH47" s="116"/>
      <c r="WAI47" s="116"/>
      <c r="WAJ47" s="116"/>
      <c r="WAK47" s="116"/>
      <c r="WAL47" s="116"/>
      <c r="WAM47" s="116"/>
      <c r="WAN47" s="116"/>
      <c r="WAO47" s="116"/>
      <c r="WAP47" s="116"/>
      <c r="WAQ47" s="116"/>
      <c r="WAR47" s="116"/>
      <c r="WAS47" s="116"/>
      <c r="WAT47" s="116"/>
      <c r="WAU47" s="116"/>
      <c r="WAV47" s="116"/>
      <c r="WAW47" s="116"/>
      <c r="WAX47" s="116"/>
      <c r="WAY47" s="116"/>
      <c r="WAZ47" s="116"/>
      <c r="WBA47" s="116"/>
      <c r="WBB47" s="116"/>
      <c r="WBC47" s="116"/>
      <c r="WBD47" s="116"/>
      <c r="WBE47" s="116"/>
      <c r="WBF47" s="116"/>
      <c r="WBG47" s="116"/>
      <c r="WBH47" s="116"/>
      <c r="WBI47" s="116"/>
      <c r="WBJ47" s="116"/>
      <c r="WBK47" s="116"/>
      <c r="WBL47" s="116"/>
      <c r="WBM47" s="116"/>
      <c r="WBN47" s="116"/>
      <c r="WBO47" s="116"/>
      <c r="WBP47" s="116"/>
      <c r="WBQ47" s="116"/>
      <c r="WBR47" s="116"/>
      <c r="WBS47" s="116"/>
      <c r="WBT47" s="116"/>
      <c r="WBU47" s="116"/>
      <c r="WBV47" s="116"/>
      <c r="WBW47" s="116"/>
      <c r="WBX47" s="116"/>
      <c r="WBY47" s="116"/>
      <c r="WBZ47" s="116"/>
      <c r="WCA47" s="116"/>
      <c r="WCB47" s="116"/>
      <c r="WCC47" s="116"/>
      <c r="WCD47" s="116"/>
      <c r="WCE47" s="116"/>
      <c r="WCF47" s="116"/>
      <c r="WCG47" s="116"/>
      <c r="WCH47" s="116"/>
      <c r="WCI47" s="116"/>
      <c r="WCJ47" s="116"/>
      <c r="WCK47" s="116"/>
      <c r="WCL47" s="116"/>
      <c r="WCM47" s="116"/>
      <c r="WCN47" s="116"/>
      <c r="WCO47" s="116"/>
      <c r="WCP47" s="116"/>
      <c r="WCQ47" s="116"/>
      <c r="WCR47" s="116"/>
      <c r="WCS47" s="116"/>
      <c r="WCT47" s="116"/>
      <c r="WCU47" s="116"/>
      <c r="WCV47" s="116"/>
      <c r="WCW47" s="116"/>
      <c r="WCX47" s="116"/>
      <c r="WCY47" s="116"/>
      <c r="WCZ47" s="116"/>
      <c r="WDA47" s="116"/>
      <c r="WDB47" s="116"/>
      <c r="WDC47" s="116"/>
      <c r="WDD47" s="116"/>
      <c r="WDE47" s="116"/>
      <c r="WDF47" s="116"/>
      <c r="WDG47" s="116"/>
      <c r="WDH47" s="116"/>
      <c r="WDI47" s="116"/>
      <c r="WDJ47" s="116"/>
      <c r="WDK47" s="116"/>
      <c r="WDL47" s="116"/>
      <c r="WDM47" s="116"/>
      <c r="WDN47" s="116"/>
      <c r="WDO47" s="116"/>
      <c r="WDP47" s="116"/>
      <c r="WDQ47" s="116"/>
      <c r="WDR47" s="116"/>
      <c r="WDS47" s="116"/>
      <c r="WDT47" s="116"/>
      <c r="WDU47" s="116"/>
      <c r="WDV47" s="116"/>
      <c r="WDW47" s="116"/>
      <c r="WDX47" s="116"/>
      <c r="WDY47" s="116"/>
      <c r="WDZ47" s="116"/>
      <c r="WEA47" s="116"/>
      <c r="WEB47" s="116"/>
      <c r="WEC47" s="116"/>
      <c r="WED47" s="116"/>
      <c r="WEE47" s="116"/>
      <c r="WEF47" s="116"/>
      <c r="WEG47" s="116"/>
      <c r="WEH47" s="116"/>
      <c r="WEI47" s="116"/>
      <c r="WEJ47" s="116"/>
      <c r="WEK47" s="116"/>
      <c r="WEL47" s="116"/>
      <c r="WEM47" s="116"/>
      <c r="WEN47" s="116"/>
      <c r="WEO47" s="116"/>
      <c r="WEP47" s="116"/>
      <c r="WEQ47" s="116"/>
      <c r="WER47" s="116"/>
      <c r="WES47" s="116"/>
      <c r="WET47" s="116"/>
      <c r="WEU47" s="116"/>
      <c r="WEV47" s="116"/>
      <c r="WEW47" s="116"/>
      <c r="WEX47" s="116"/>
      <c r="WEY47" s="116"/>
      <c r="WEZ47" s="116"/>
      <c r="WFA47" s="116"/>
      <c r="WFB47" s="116"/>
      <c r="WFC47" s="116"/>
      <c r="WFD47" s="116"/>
      <c r="WFE47" s="116"/>
      <c r="WFF47" s="116"/>
      <c r="WFG47" s="116"/>
      <c r="WFH47" s="116"/>
      <c r="WFI47" s="116"/>
      <c r="WFJ47" s="116"/>
      <c r="WFK47" s="116"/>
      <c r="WFL47" s="116"/>
      <c r="WFM47" s="116"/>
      <c r="WFN47" s="116"/>
      <c r="WFO47" s="116"/>
      <c r="WFP47" s="116"/>
      <c r="WFQ47" s="116"/>
      <c r="WFR47" s="116"/>
      <c r="WFS47" s="116"/>
      <c r="WFT47" s="116"/>
      <c r="WFU47" s="116"/>
      <c r="WFV47" s="116"/>
      <c r="WFW47" s="116"/>
      <c r="WFX47" s="116"/>
      <c r="WFY47" s="116"/>
      <c r="WFZ47" s="116"/>
      <c r="WGA47" s="116"/>
      <c r="WGB47" s="116"/>
      <c r="WGC47" s="116"/>
      <c r="WGD47" s="116"/>
      <c r="WGE47" s="116"/>
      <c r="WGF47" s="116"/>
      <c r="WGG47" s="116"/>
      <c r="WGH47" s="116"/>
      <c r="WGI47" s="116"/>
      <c r="WGJ47" s="116"/>
      <c r="WGK47" s="116"/>
      <c r="WGL47" s="116"/>
      <c r="WGM47" s="116"/>
      <c r="WGN47" s="116"/>
      <c r="WGO47" s="116"/>
      <c r="WGP47" s="116"/>
      <c r="WGQ47" s="116"/>
      <c r="WGR47" s="116"/>
      <c r="WGS47" s="116"/>
      <c r="WGT47" s="116"/>
      <c r="WGU47" s="116"/>
      <c r="WGV47" s="116"/>
      <c r="WGW47" s="116"/>
      <c r="WGX47" s="116"/>
      <c r="WGY47" s="116"/>
      <c r="WGZ47" s="116"/>
      <c r="WHA47" s="116"/>
      <c r="WHB47" s="116"/>
      <c r="WHC47" s="116"/>
      <c r="WHD47" s="116"/>
      <c r="WHE47" s="116"/>
      <c r="WHF47" s="116"/>
      <c r="WHG47" s="116"/>
      <c r="WHH47" s="116"/>
      <c r="WHI47" s="116"/>
      <c r="WHJ47" s="116"/>
      <c r="WHK47" s="116"/>
      <c r="WHL47" s="116"/>
      <c r="WHM47" s="116"/>
      <c r="WHN47" s="116"/>
      <c r="WHO47" s="116"/>
      <c r="WHP47" s="116"/>
      <c r="WHQ47" s="116"/>
      <c r="WHR47" s="116"/>
      <c r="WHS47" s="116"/>
      <c r="WHT47" s="116"/>
      <c r="WHU47" s="116"/>
      <c r="WHV47" s="116"/>
      <c r="WHW47" s="116"/>
      <c r="WHX47" s="116"/>
      <c r="WHY47" s="116"/>
      <c r="WHZ47" s="116"/>
      <c r="WIA47" s="116"/>
      <c r="WIB47" s="116"/>
      <c r="WIC47" s="116"/>
      <c r="WID47" s="116"/>
      <c r="WIE47" s="116"/>
      <c r="WIF47" s="116"/>
      <c r="WIG47" s="116"/>
      <c r="WIH47" s="116"/>
      <c r="WII47" s="116"/>
      <c r="WIJ47" s="116"/>
      <c r="WIK47" s="116"/>
      <c r="WIL47" s="116"/>
      <c r="WIM47" s="116"/>
      <c r="WIN47" s="116"/>
      <c r="WIO47" s="116"/>
      <c r="WIP47" s="116"/>
      <c r="WIQ47" s="116"/>
      <c r="WIR47" s="116"/>
      <c r="WIS47" s="116"/>
      <c r="WIT47" s="116"/>
      <c r="WIU47" s="116"/>
      <c r="WIV47" s="116"/>
      <c r="WIW47" s="116"/>
      <c r="WIX47" s="116"/>
      <c r="WIY47" s="116"/>
      <c r="WIZ47" s="116"/>
      <c r="WJA47" s="116"/>
      <c r="WJB47" s="116"/>
      <c r="WJC47" s="116"/>
      <c r="WJD47" s="116"/>
      <c r="WJE47" s="116"/>
      <c r="WJF47" s="116"/>
      <c r="WJG47" s="116"/>
      <c r="WJH47" s="116"/>
      <c r="WJI47" s="116"/>
      <c r="WJJ47" s="116"/>
      <c r="WJK47" s="116"/>
      <c r="WJL47" s="116"/>
      <c r="WJM47" s="116"/>
      <c r="WJN47" s="116"/>
      <c r="WJO47" s="116"/>
      <c r="WJP47" s="116"/>
      <c r="WJQ47" s="116"/>
      <c r="WJR47" s="116"/>
      <c r="WJS47" s="116"/>
      <c r="WJT47" s="116"/>
      <c r="WJU47" s="116"/>
      <c r="WJV47" s="116"/>
      <c r="WJW47" s="116"/>
      <c r="WJX47" s="116"/>
      <c r="WJY47" s="116"/>
      <c r="WJZ47" s="116"/>
      <c r="WKA47" s="116"/>
      <c r="WKB47" s="116"/>
      <c r="WKC47" s="116"/>
      <c r="WKD47" s="116"/>
      <c r="WKE47" s="116"/>
      <c r="WKF47" s="116"/>
      <c r="WKG47" s="116"/>
      <c r="WKH47" s="116"/>
      <c r="WKI47" s="116"/>
      <c r="WKJ47" s="116"/>
      <c r="WKK47" s="116"/>
      <c r="WKL47" s="116"/>
      <c r="WKM47" s="116"/>
      <c r="WKN47" s="116"/>
      <c r="WKO47" s="116"/>
      <c r="WKP47" s="116"/>
      <c r="WKQ47" s="116"/>
      <c r="WKR47" s="116"/>
      <c r="WKS47" s="116"/>
      <c r="WKT47" s="116"/>
      <c r="WKU47" s="116"/>
      <c r="WKV47" s="116"/>
      <c r="WKW47" s="116"/>
      <c r="WKX47" s="116"/>
      <c r="WKY47" s="116"/>
      <c r="WKZ47" s="116"/>
      <c r="WLA47" s="116"/>
      <c r="WLB47" s="116"/>
      <c r="WLC47" s="116"/>
      <c r="WLD47" s="116"/>
      <c r="WLE47" s="116"/>
      <c r="WLF47" s="116"/>
      <c r="WLG47" s="116"/>
      <c r="WLH47" s="116"/>
      <c r="WLI47" s="116"/>
      <c r="WLJ47" s="116"/>
      <c r="WLK47" s="116"/>
      <c r="WLL47" s="116"/>
      <c r="WLM47" s="116"/>
      <c r="WLN47" s="116"/>
      <c r="WLO47" s="116"/>
      <c r="WLP47" s="116"/>
      <c r="WLQ47" s="116"/>
      <c r="WLR47" s="116"/>
      <c r="WLS47" s="116"/>
      <c r="WLT47" s="116"/>
      <c r="WLU47" s="116"/>
      <c r="WLV47" s="116"/>
      <c r="WLW47" s="116"/>
      <c r="WLX47" s="116"/>
      <c r="WLY47" s="116"/>
      <c r="WLZ47" s="116"/>
      <c r="WMA47" s="116"/>
      <c r="WMB47" s="116"/>
      <c r="WMC47" s="116"/>
      <c r="WMD47" s="116"/>
      <c r="WME47" s="116"/>
      <c r="WMF47" s="116"/>
      <c r="WMG47" s="116"/>
      <c r="WMH47" s="116"/>
      <c r="WMI47" s="116"/>
      <c r="WMJ47" s="116"/>
      <c r="WMK47" s="116"/>
      <c r="WML47" s="116"/>
      <c r="WMM47" s="116"/>
      <c r="WMN47" s="116"/>
      <c r="WMO47" s="116"/>
      <c r="WMP47" s="116"/>
      <c r="WMQ47" s="116"/>
      <c r="WMR47" s="116"/>
      <c r="WMS47" s="116"/>
      <c r="WMT47" s="116"/>
      <c r="WMU47" s="116"/>
      <c r="WMV47" s="116"/>
      <c r="WMW47" s="116"/>
      <c r="WMX47" s="116"/>
      <c r="WMY47" s="116"/>
      <c r="WMZ47" s="116"/>
      <c r="WNA47" s="116"/>
      <c r="WNB47" s="116"/>
      <c r="WNC47" s="116"/>
      <c r="WND47" s="116"/>
      <c r="WNE47" s="116"/>
      <c r="WNF47" s="116"/>
      <c r="WNG47" s="116"/>
      <c r="WNH47" s="116"/>
      <c r="WNI47" s="116"/>
      <c r="WNJ47" s="116"/>
      <c r="WNK47" s="116"/>
      <c r="WNL47" s="116"/>
      <c r="WNM47" s="116"/>
      <c r="WNN47" s="116"/>
      <c r="WNO47" s="116"/>
      <c r="WNP47" s="116"/>
      <c r="WNQ47" s="116"/>
      <c r="WNR47" s="116"/>
      <c r="WNS47" s="116"/>
      <c r="WNT47" s="116"/>
      <c r="WNU47" s="116"/>
      <c r="WNV47" s="116"/>
      <c r="WNW47" s="116"/>
      <c r="WNX47" s="116"/>
      <c r="WNY47" s="116"/>
      <c r="WNZ47" s="116"/>
      <c r="WOA47" s="116"/>
      <c r="WOB47" s="116"/>
      <c r="WOC47" s="116"/>
      <c r="WOD47" s="116"/>
      <c r="WOE47" s="116"/>
      <c r="WOF47" s="116"/>
      <c r="WOG47" s="116"/>
      <c r="WOH47" s="116"/>
      <c r="WOI47" s="116"/>
      <c r="WOJ47" s="116"/>
      <c r="WOK47" s="116"/>
      <c r="WOL47" s="116"/>
      <c r="WOM47" s="116"/>
      <c r="WON47" s="116"/>
      <c r="WOO47" s="116"/>
      <c r="WOP47" s="116"/>
      <c r="WOQ47" s="116"/>
      <c r="WOR47" s="116"/>
      <c r="WOS47" s="116"/>
      <c r="WOT47" s="116"/>
      <c r="WOU47" s="116"/>
      <c r="WOV47" s="116"/>
      <c r="WOW47" s="116"/>
      <c r="WOX47" s="116"/>
      <c r="WOY47" s="116"/>
      <c r="WOZ47" s="116"/>
      <c r="WPA47" s="116"/>
      <c r="WPB47" s="116"/>
      <c r="WPC47" s="116"/>
      <c r="WPD47" s="116"/>
      <c r="WPE47" s="116"/>
      <c r="WPF47" s="116"/>
      <c r="WPG47" s="116"/>
      <c r="WPH47" s="116"/>
      <c r="WPI47" s="116"/>
      <c r="WPJ47" s="116"/>
      <c r="WPK47" s="116"/>
      <c r="WPL47" s="116"/>
      <c r="WPM47" s="116"/>
      <c r="WPN47" s="116"/>
      <c r="WPO47" s="116"/>
      <c r="WPP47" s="116"/>
      <c r="WPQ47" s="116"/>
      <c r="WPR47" s="116"/>
      <c r="WPS47" s="116"/>
      <c r="WPT47" s="116"/>
      <c r="WPU47" s="116"/>
      <c r="WPV47" s="116"/>
      <c r="WPW47" s="116"/>
      <c r="WPX47" s="116"/>
      <c r="WPY47" s="116"/>
      <c r="WPZ47" s="116"/>
      <c r="WQA47" s="116"/>
      <c r="WQB47" s="116"/>
      <c r="WQC47" s="116"/>
      <c r="WQD47" s="116"/>
      <c r="WQE47" s="116"/>
      <c r="WQF47" s="116"/>
      <c r="WQG47" s="116"/>
      <c r="WQH47" s="116"/>
      <c r="WQI47" s="116"/>
      <c r="WQJ47" s="116"/>
      <c r="WQK47" s="116"/>
      <c r="WQL47" s="116"/>
      <c r="WQM47" s="116"/>
      <c r="WQN47" s="116"/>
      <c r="WQO47" s="116"/>
      <c r="WQP47" s="116"/>
      <c r="WQQ47" s="116"/>
      <c r="WQR47" s="116"/>
      <c r="WQS47" s="116"/>
      <c r="WQT47" s="116"/>
      <c r="WQU47" s="116"/>
      <c r="WQV47" s="116"/>
      <c r="WQW47" s="116"/>
      <c r="WQX47" s="116"/>
      <c r="WQY47" s="116"/>
      <c r="WQZ47" s="116"/>
      <c r="WRA47" s="116"/>
      <c r="WRB47" s="116"/>
      <c r="WRC47" s="116"/>
      <c r="WRD47" s="116"/>
      <c r="WRE47" s="116"/>
      <c r="WRF47" s="116"/>
      <c r="WRG47" s="116"/>
      <c r="WRH47" s="116"/>
      <c r="WRI47" s="116"/>
      <c r="WRJ47" s="116"/>
      <c r="WRK47" s="116"/>
      <c r="WRL47" s="116"/>
      <c r="WRM47" s="116"/>
      <c r="WRN47" s="116"/>
      <c r="WRO47" s="116"/>
      <c r="WRP47" s="116"/>
      <c r="WRQ47" s="116"/>
      <c r="WRR47" s="116"/>
      <c r="WRS47" s="116"/>
      <c r="WRT47" s="116"/>
      <c r="WRU47" s="116"/>
      <c r="WRV47" s="116"/>
      <c r="WRW47" s="116"/>
      <c r="WRX47" s="116"/>
      <c r="WRY47" s="116"/>
      <c r="WRZ47" s="116"/>
      <c r="WSA47" s="116"/>
      <c r="WSB47" s="116"/>
      <c r="WSC47" s="116"/>
      <c r="WSD47" s="116"/>
      <c r="WSE47" s="116"/>
      <c r="WSF47" s="116"/>
      <c r="WSG47" s="116"/>
      <c r="WSH47" s="116"/>
      <c r="WSI47" s="116"/>
      <c r="WSJ47" s="116"/>
      <c r="WSK47" s="116"/>
      <c r="WSL47" s="116"/>
      <c r="WSM47" s="116"/>
      <c r="WSN47" s="116"/>
      <c r="WSO47" s="116"/>
      <c r="WSP47" s="116"/>
      <c r="WSQ47" s="116"/>
      <c r="WSR47" s="116"/>
      <c r="WSS47" s="116"/>
      <c r="WST47" s="116"/>
      <c r="WSU47" s="116"/>
      <c r="WSV47" s="116"/>
      <c r="WSW47" s="116"/>
      <c r="WSX47" s="116"/>
      <c r="WSY47" s="116"/>
      <c r="WSZ47" s="116"/>
      <c r="WTA47" s="116"/>
      <c r="WTB47" s="116"/>
      <c r="WTC47" s="116"/>
      <c r="WTD47" s="116"/>
      <c r="WTE47" s="116"/>
      <c r="WTF47" s="116"/>
      <c r="WTG47" s="116"/>
      <c r="WTH47" s="116"/>
      <c r="WTI47" s="116"/>
      <c r="WTJ47" s="116"/>
      <c r="WTK47" s="116"/>
      <c r="WTL47" s="116"/>
      <c r="WTM47" s="116"/>
      <c r="WTN47" s="116"/>
      <c r="WTO47" s="116"/>
      <c r="WTP47" s="116"/>
      <c r="WTQ47" s="116"/>
      <c r="WTR47" s="116"/>
      <c r="WTS47" s="116"/>
      <c r="WTT47" s="116"/>
      <c r="WTU47" s="116"/>
      <c r="WTV47" s="116"/>
      <c r="WTW47" s="116"/>
      <c r="WTX47" s="116"/>
      <c r="WTY47" s="116"/>
      <c r="WTZ47" s="116"/>
      <c r="WUA47" s="116"/>
      <c r="WUB47" s="116"/>
      <c r="WUC47" s="116"/>
      <c r="WUD47" s="116"/>
      <c r="WUE47" s="116"/>
      <c r="WUF47" s="116"/>
      <c r="WUG47" s="116"/>
      <c r="WUH47" s="116"/>
      <c r="WUI47" s="116"/>
      <c r="WUJ47" s="116"/>
      <c r="WUK47" s="116"/>
      <c r="WUL47" s="116"/>
      <c r="WUM47" s="116"/>
      <c r="WUN47" s="116"/>
      <c r="WUO47" s="116"/>
      <c r="WUP47" s="116"/>
      <c r="WUQ47" s="116"/>
      <c r="WUR47" s="116"/>
      <c r="WUS47" s="116"/>
      <c r="WUT47" s="116"/>
      <c r="WUU47" s="116"/>
      <c r="WUV47" s="116"/>
      <c r="WUW47" s="116"/>
      <c r="WUX47" s="116"/>
      <c r="WUY47" s="116"/>
      <c r="WUZ47" s="116"/>
      <c r="WVA47" s="116"/>
      <c r="WVB47" s="116"/>
      <c r="WVC47" s="116"/>
      <c r="WVD47" s="116"/>
      <c r="WVE47" s="116"/>
      <c r="WVF47" s="116"/>
      <c r="WVG47" s="116"/>
      <c r="WVH47" s="116"/>
      <c r="WVI47" s="116"/>
      <c r="WVJ47" s="116"/>
      <c r="WVK47" s="116"/>
      <c r="WVL47" s="116"/>
      <c r="WVM47" s="116"/>
      <c r="WVN47" s="116"/>
      <c r="WVO47" s="116"/>
      <c r="WVP47" s="116"/>
      <c r="WVQ47" s="116"/>
      <c r="WVR47" s="116"/>
      <c r="WVS47" s="116"/>
      <c r="WVT47" s="116"/>
      <c r="WVU47" s="116"/>
      <c r="WVV47" s="116"/>
      <c r="WVW47" s="116"/>
      <c r="WVX47" s="116"/>
      <c r="WVY47" s="116"/>
      <c r="WVZ47" s="116"/>
      <c r="WWA47" s="116"/>
      <c r="WWB47" s="116"/>
      <c r="WWC47" s="116"/>
      <c r="WWD47" s="116"/>
      <c r="WWE47" s="116"/>
      <c r="WWF47" s="116"/>
      <c r="WWG47" s="116"/>
      <c r="WWH47" s="116"/>
      <c r="WWI47" s="116"/>
      <c r="WWJ47" s="116"/>
      <c r="WWK47" s="116"/>
      <c r="WWL47" s="116"/>
      <c r="WWM47" s="116"/>
      <c r="WWN47" s="116"/>
      <c r="WWO47" s="116"/>
      <c r="WWP47" s="116"/>
      <c r="WWQ47" s="116"/>
      <c r="WWR47" s="116"/>
      <c r="WWS47" s="116"/>
      <c r="WWT47" s="116"/>
      <c r="WWU47" s="116"/>
      <c r="WWV47" s="116"/>
      <c r="WWW47" s="116"/>
      <c r="WWX47" s="116"/>
      <c r="WWY47" s="116"/>
      <c r="WWZ47" s="116"/>
      <c r="WXA47" s="116"/>
      <c r="WXB47" s="116"/>
      <c r="WXC47" s="116"/>
      <c r="WXD47" s="116"/>
      <c r="WXE47" s="116"/>
      <c r="WXF47" s="116"/>
      <c r="WXG47" s="116"/>
      <c r="WXH47" s="116"/>
      <c r="WXI47" s="116"/>
      <c r="WXJ47" s="116"/>
      <c r="WXK47" s="116"/>
      <c r="WXL47" s="116"/>
      <c r="WXM47" s="116"/>
      <c r="WXN47" s="116"/>
      <c r="WXO47" s="116"/>
      <c r="WXP47" s="116"/>
      <c r="WXQ47" s="116"/>
      <c r="WXR47" s="116"/>
      <c r="WXS47" s="116"/>
      <c r="WXT47" s="116"/>
      <c r="WXU47" s="116"/>
      <c r="WXV47" s="116"/>
      <c r="WXW47" s="116"/>
      <c r="WXX47" s="116"/>
      <c r="WXY47" s="116"/>
      <c r="WXZ47" s="116"/>
      <c r="WYA47" s="116"/>
      <c r="WYB47" s="116"/>
      <c r="WYC47" s="116"/>
      <c r="WYD47" s="116"/>
      <c r="WYE47" s="116"/>
      <c r="WYF47" s="116"/>
      <c r="WYG47" s="116"/>
      <c r="WYH47" s="116"/>
      <c r="WYI47" s="116"/>
      <c r="WYJ47" s="116"/>
      <c r="WYK47" s="116"/>
      <c r="WYL47" s="116"/>
      <c r="WYM47" s="116"/>
      <c r="WYN47" s="116"/>
      <c r="WYO47" s="116"/>
      <c r="WYP47" s="116"/>
      <c r="WYQ47" s="116"/>
      <c r="WYR47" s="116"/>
      <c r="WYS47" s="116"/>
      <c r="WYT47" s="116"/>
      <c r="WYU47" s="116"/>
      <c r="WYV47" s="116"/>
      <c r="WYW47" s="116"/>
      <c r="WYX47" s="116"/>
      <c r="WYY47" s="116"/>
      <c r="WYZ47" s="116"/>
      <c r="WZA47" s="116"/>
      <c r="WZB47" s="116"/>
      <c r="WZC47" s="116"/>
      <c r="WZD47" s="116"/>
      <c r="WZE47" s="116"/>
      <c r="WZF47" s="116"/>
      <c r="WZG47" s="116"/>
      <c r="WZH47" s="116"/>
      <c r="WZI47" s="116"/>
      <c r="WZJ47" s="116"/>
      <c r="WZK47" s="116"/>
      <c r="WZL47" s="116"/>
      <c r="WZM47" s="116"/>
      <c r="WZN47" s="116"/>
      <c r="WZO47" s="116"/>
      <c r="WZP47" s="116"/>
      <c r="WZQ47" s="116"/>
      <c r="WZR47" s="116"/>
      <c r="WZS47" s="116"/>
      <c r="WZT47" s="116"/>
      <c r="WZU47" s="116"/>
      <c r="WZV47" s="116"/>
      <c r="WZW47" s="116"/>
      <c r="WZX47" s="116"/>
      <c r="WZY47" s="116"/>
      <c r="WZZ47" s="116"/>
      <c r="XAA47" s="116"/>
      <c r="XAB47" s="116"/>
      <c r="XAC47" s="116"/>
      <c r="XAD47" s="116"/>
      <c r="XAE47" s="116"/>
      <c r="XAF47" s="116"/>
      <c r="XAG47" s="116"/>
      <c r="XAH47" s="116"/>
      <c r="XAI47" s="116"/>
      <c r="XAJ47" s="116"/>
      <c r="XAK47" s="116"/>
      <c r="XAL47" s="116"/>
      <c r="XAM47" s="116"/>
      <c r="XAN47" s="116"/>
      <c r="XAO47" s="116"/>
      <c r="XAP47" s="116"/>
      <c r="XAQ47" s="116"/>
      <c r="XAR47" s="116"/>
      <c r="XAS47" s="116"/>
      <c r="XAT47" s="116"/>
      <c r="XAU47" s="116"/>
      <c r="XAV47" s="116"/>
      <c r="XAW47" s="116"/>
      <c r="XAX47" s="116"/>
      <c r="XAY47" s="116"/>
      <c r="XAZ47" s="116"/>
      <c r="XBA47" s="116"/>
      <c r="XBB47" s="116"/>
      <c r="XBC47" s="116"/>
      <c r="XBD47" s="116"/>
      <c r="XBE47" s="116"/>
      <c r="XBF47" s="116"/>
      <c r="XBG47" s="116"/>
      <c r="XBH47" s="116"/>
      <c r="XBI47" s="116"/>
      <c r="XBJ47" s="116"/>
      <c r="XBK47" s="116"/>
      <c r="XBL47" s="116"/>
      <c r="XBM47" s="116"/>
      <c r="XBN47" s="116"/>
      <c r="XBO47" s="116"/>
      <c r="XBP47" s="116"/>
      <c r="XBQ47" s="116"/>
      <c r="XBR47" s="116"/>
      <c r="XBS47" s="116"/>
      <c r="XBT47" s="116"/>
      <c r="XBU47" s="116"/>
      <c r="XBV47" s="116"/>
      <c r="XBW47" s="116"/>
      <c r="XBX47" s="116"/>
      <c r="XBY47" s="116"/>
      <c r="XBZ47" s="116"/>
      <c r="XCA47" s="116"/>
      <c r="XCB47" s="116"/>
      <c r="XCC47" s="116"/>
      <c r="XCD47" s="116"/>
      <c r="XCE47" s="116"/>
      <c r="XCF47" s="116"/>
      <c r="XCG47" s="116"/>
      <c r="XCH47" s="116"/>
      <c r="XCI47" s="116"/>
      <c r="XCJ47" s="116"/>
      <c r="XCK47" s="116"/>
      <c r="XCL47" s="116"/>
      <c r="XCM47" s="116"/>
      <c r="XCN47" s="116"/>
      <c r="XCO47" s="116"/>
      <c r="XCP47" s="116"/>
      <c r="XCQ47" s="116"/>
      <c r="XCR47" s="116"/>
      <c r="XCS47" s="116"/>
      <c r="XCT47" s="116"/>
      <c r="XCU47" s="116"/>
      <c r="XCV47" s="116"/>
      <c r="XCW47" s="116"/>
      <c r="XCX47" s="116"/>
      <c r="XCY47" s="116"/>
      <c r="XCZ47" s="116"/>
      <c r="XDA47" s="116"/>
      <c r="XDB47" s="116"/>
      <c r="XDC47" s="116"/>
      <c r="XDD47" s="116"/>
      <c r="XDE47" s="116"/>
      <c r="XDF47" s="116"/>
    </row>
    <row r="48" spans="1:16334" x14ac:dyDescent="0.15">
      <c r="A48" s="116"/>
      <c r="B48" s="166" t="s">
        <v>328</v>
      </c>
      <c r="C48" s="116"/>
      <c r="D48" s="116"/>
      <c r="E48" s="116"/>
      <c r="F48" s="116"/>
      <c r="G48" s="116"/>
      <c r="H48" s="116"/>
      <c r="I48" s="116"/>
      <c r="J48" s="116"/>
      <c r="K48" s="116"/>
      <c r="L48" s="116"/>
      <c r="M48" s="116"/>
      <c r="N48" s="116"/>
      <c r="O48" s="116"/>
      <c r="P48" s="116"/>
      <c r="Q48" s="116"/>
      <c r="R48" s="116"/>
      <c r="S48" s="116"/>
      <c r="T48" s="116"/>
      <c r="U48" s="116"/>
      <c r="V48" s="116"/>
      <c r="W48" s="116"/>
      <c r="X48" s="116"/>
      <c r="Y48" s="116"/>
      <c r="Z48" s="116"/>
      <c r="AA48" s="116"/>
      <c r="AB48" s="116"/>
      <c r="AC48" s="116"/>
      <c r="AD48" s="116"/>
      <c r="AE48" s="116"/>
      <c r="AF48" s="116"/>
      <c r="AG48" s="116"/>
      <c r="AH48" s="116"/>
      <c r="AI48" s="116"/>
      <c r="AJ48" s="51">
        <f t="shared" si="13"/>
        <v>0</v>
      </c>
      <c r="AK48" s="51">
        <f t="shared" si="14"/>
        <v>0</v>
      </c>
      <c r="AL48" s="179">
        <f t="shared" si="15"/>
        <v>0</v>
      </c>
      <c r="AM48" s="177">
        <f t="shared" si="16"/>
        <v>0</v>
      </c>
      <c r="AN48" s="177">
        <f t="shared" si="17"/>
        <v>0</v>
      </c>
      <c r="AO48" s="177">
        <f t="shared" si="18"/>
        <v>0</v>
      </c>
      <c r="AP48" s="53" t="str">
        <f t="shared" si="19"/>
        <v/>
      </c>
      <c r="AQ48" s="54" t="str">
        <f t="shared" si="20"/>
        <v/>
      </c>
      <c r="AR48" s="54" t="str">
        <f t="shared" si="21"/>
        <v/>
      </c>
      <c r="AS48" s="46" t="str">
        <f t="shared" si="22"/>
        <v/>
      </c>
      <c r="AT48" s="55">
        <f t="shared" si="23"/>
        <v>99999.004799999995</v>
      </c>
      <c r="AU48" s="2">
        <f t="shared" si="24"/>
        <v>44</v>
      </c>
      <c r="AV48" s="101" t="str">
        <f t="shared" si="25"/>
        <v/>
      </c>
      <c r="AW48" s="2">
        <f t="shared" si="26"/>
        <v>0</v>
      </c>
      <c r="AX48" s="116"/>
      <c r="AY48" s="116"/>
      <c r="AZ48" s="116"/>
      <c r="BA48" s="116"/>
      <c r="BB48" s="116"/>
      <c r="BC48" s="116"/>
      <c r="BD48" s="116"/>
      <c r="BE48" s="116"/>
      <c r="BF48" s="116"/>
      <c r="BG48" s="116"/>
      <c r="BH48" s="116"/>
      <c r="BI48" s="116"/>
      <c r="BJ48" s="116"/>
      <c r="BK48" s="116"/>
      <c r="BL48" s="116"/>
      <c r="BM48" s="116"/>
      <c r="BN48" s="116"/>
      <c r="BO48" s="116"/>
      <c r="BP48" s="116"/>
      <c r="BQ48" s="116"/>
      <c r="BR48" s="116"/>
      <c r="BS48" s="116"/>
      <c r="BT48" s="116"/>
      <c r="BU48" s="116"/>
      <c r="BV48" s="116"/>
      <c r="BW48" s="116"/>
      <c r="BX48" s="116"/>
      <c r="BY48" s="116"/>
      <c r="BZ48" s="116"/>
      <c r="CA48" s="116"/>
      <c r="CB48" s="116"/>
      <c r="CC48" s="116"/>
      <c r="CD48" s="116"/>
      <c r="CE48" s="116"/>
      <c r="CF48" s="116"/>
      <c r="CG48" s="116"/>
      <c r="CH48" s="116"/>
      <c r="CI48" s="116"/>
      <c r="CJ48" s="116"/>
      <c r="CK48" s="116"/>
      <c r="CL48" s="116"/>
      <c r="CM48" s="116"/>
      <c r="CN48" s="116"/>
      <c r="CO48" s="116"/>
      <c r="CP48" s="116"/>
      <c r="CQ48" s="116"/>
      <c r="CR48" s="116"/>
      <c r="CS48" s="116"/>
      <c r="CT48" s="116"/>
      <c r="CU48" s="116"/>
      <c r="CV48" s="116"/>
      <c r="CW48" s="116"/>
      <c r="CX48" s="116"/>
      <c r="CY48" s="116"/>
      <c r="CZ48" s="116"/>
      <c r="DA48" s="116"/>
      <c r="DB48" s="116"/>
      <c r="DC48" s="116"/>
      <c r="DD48" s="116"/>
      <c r="DE48" s="116"/>
      <c r="DF48" s="116"/>
      <c r="DG48" s="116"/>
      <c r="DH48" s="116"/>
      <c r="DI48" s="116"/>
      <c r="DJ48" s="116"/>
      <c r="DK48" s="116"/>
      <c r="DL48" s="116"/>
      <c r="DM48" s="116"/>
      <c r="DN48" s="116"/>
      <c r="DO48" s="116"/>
      <c r="DP48" s="116"/>
      <c r="DQ48" s="116"/>
      <c r="DR48" s="116"/>
      <c r="DS48" s="116"/>
      <c r="DT48" s="116"/>
      <c r="DU48" s="116"/>
      <c r="DV48" s="116"/>
      <c r="DW48" s="116"/>
      <c r="DX48" s="116"/>
      <c r="DY48" s="116"/>
      <c r="DZ48" s="116"/>
      <c r="EA48" s="116"/>
      <c r="EB48" s="116"/>
      <c r="EC48" s="116"/>
      <c r="ED48" s="116"/>
      <c r="EE48" s="116"/>
      <c r="EF48" s="116"/>
      <c r="EG48" s="116"/>
      <c r="EH48" s="116"/>
      <c r="EI48" s="116"/>
      <c r="EJ48" s="116"/>
      <c r="EK48" s="116"/>
      <c r="EL48" s="116"/>
      <c r="EM48" s="116"/>
      <c r="EN48" s="116"/>
      <c r="EO48" s="116"/>
      <c r="EP48" s="116"/>
      <c r="EQ48" s="116"/>
      <c r="ER48" s="116"/>
      <c r="ES48" s="116"/>
      <c r="ET48" s="116"/>
      <c r="EU48" s="116"/>
      <c r="EV48" s="116"/>
      <c r="EW48" s="116"/>
      <c r="EX48" s="116"/>
      <c r="EY48" s="116"/>
      <c r="EZ48" s="116"/>
      <c r="FA48" s="116"/>
      <c r="FB48" s="116"/>
      <c r="FC48" s="116"/>
      <c r="FD48" s="116"/>
      <c r="FE48" s="116"/>
      <c r="FF48" s="116"/>
      <c r="FG48" s="116"/>
      <c r="FH48" s="116"/>
      <c r="FI48" s="116"/>
      <c r="FJ48" s="116"/>
      <c r="FK48" s="116"/>
      <c r="FL48" s="116"/>
      <c r="FM48" s="116"/>
      <c r="FN48" s="116"/>
      <c r="FO48" s="116"/>
      <c r="FP48" s="116"/>
      <c r="FQ48" s="116"/>
      <c r="FR48" s="116"/>
      <c r="FS48" s="116"/>
      <c r="FT48" s="116"/>
      <c r="FU48" s="116"/>
      <c r="FV48" s="116"/>
      <c r="FW48" s="116"/>
      <c r="FX48" s="116"/>
      <c r="FY48" s="116"/>
      <c r="FZ48" s="116"/>
      <c r="GA48" s="116"/>
      <c r="GB48" s="116"/>
      <c r="GC48" s="116"/>
      <c r="GD48" s="116"/>
      <c r="GE48" s="116"/>
      <c r="GF48" s="116"/>
      <c r="GG48" s="116"/>
      <c r="GH48" s="116"/>
      <c r="GI48" s="116"/>
      <c r="GJ48" s="116"/>
      <c r="GK48" s="116"/>
      <c r="GL48" s="116"/>
      <c r="GM48" s="116"/>
      <c r="GN48" s="116"/>
      <c r="GO48" s="116"/>
      <c r="GP48" s="116"/>
      <c r="GQ48" s="116"/>
      <c r="GR48" s="116"/>
      <c r="GS48" s="116"/>
      <c r="GT48" s="116"/>
      <c r="GU48" s="116"/>
      <c r="GV48" s="116"/>
      <c r="GW48" s="116"/>
      <c r="GX48" s="116"/>
      <c r="GY48" s="116"/>
      <c r="GZ48" s="116"/>
      <c r="HA48" s="116"/>
      <c r="HB48" s="116"/>
      <c r="HC48" s="116"/>
      <c r="HD48" s="116"/>
      <c r="HE48" s="116"/>
      <c r="HF48" s="116"/>
      <c r="HG48" s="116"/>
      <c r="HH48" s="116"/>
      <c r="HI48" s="116"/>
      <c r="HJ48" s="116"/>
      <c r="HK48" s="116"/>
      <c r="HL48" s="116"/>
      <c r="HM48" s="116"/>
      <c r="HN48" s="116"/>
      <c r="HO48" s="116"/>
      <c r="HP48" s="116"/>
      <c r="HQ48" s="116"/>
      <c r="HR48" s="116"/>
      <c r="HS48" s="116"/>
      <c r="HT48" s="116"/>
      <c r="HU48" s="116"/>
      <c r="HV48" s="116"/>
      <c r="HW48" s="116"/>
      <c r="HX48" s="116"/>
      <c r="HY48" s="116"/>
      <c r="HZ48" s="116"/>
      <c r="IA48" s="116"/>
      <c r="IB48" s="116"/>
      <c r="IC48" s="116"/>
      <c r="ID48" s="116"/>
      <c r="IE48" s="116"/>
      <c r="IF48" s="116"/>
      <c r="IG48" s="116"/>
      <c r="IH48" s="116"/>
      <c r="II48" s="116"/>
      <c r="IJ48" s="116"/>
      <c r="IK48" s="116"/>
      <c r="IL48" s="116"/>
      <c r="IM48" s="116"/>
      <c r="IN48" s="116"/>
      <c r="IO48" s="116"/>
      <c r="IP48" s="116"/>
      <c r="IQ48" s="116"/>
      <c r="IR48" s="116"/>
      <c r="IS48" s="116"/>
      <c r="IT48" s="116"/>
      <c r="IU48" s="116"/>
      <c r="IV48" s="116"/>
      <c r="IW48" s="116"/>
      <c r="IX48" s="116"/>
      <c r="IY48" s="116"/>
      <c r="IZ48" s="116"/>
      <c r="JA48" s="116"/>
      <c r="JB48" s="116"/>
      <c r="JC48" s="116"/>
      <c r="JD48" s="116"/>
      <c r="JE48" s="116"/>
      <c r="JF48" s="116"/>
      <c r="JG48" s="116"/>
      <c r="JH48" s="116"/>
      <c r="JI48" s="116"/>
      <c r="JJ48" s="116"/>
      <c r="JK48" s="116"/>
      <c r="JL48" s="116"/>
      <c r="JM48" s="116"/>
      <c r="JN48" s="116"/>
      <c r="JO48" s="116"/>
      <c r="JP48" s="116"/>
      <c r="JQ48" s="116"/>
      <c r="JR48" s="116"/>
      <c r="JS48" s="116"/>
      <c r="JT48" s="116"/>
      <c r="JU48" s="116"/>
      <c r="JV48" s="116"/>
      <c r="JW48" s="116"/>
      <c r="JX48" s="116"/>
      <c r="JY48" s="116"/>
      <c r="JZ48" s="116"/>
      <c r="KA48" s="116"/>
      <c r="KB48" s="116"/>
      <c r="KC48" s="116"/>
      <c r="KD48" s="116"/>
      <c r="KE48" s="116"/>
      <c r="KF48" s="116"/>
      <c r="KG48" s="116"/>
      <c r="KH48" s="116"/>
      <c r="KI48" s="116"/>
      <c r="KJ48" s="116"/>
      <c r="KK48" s="116"/>
      <c r="KL48" s="116"/>
      <c r="KM48" s="116"/>
      <c r="KN48" s="116"/>
      <c r="KO48" s="116"/>
      <c r="KP48" s="116"/>
      <c r="KQ48" s="116"/>
      <c r="KR48" s="116"/>
      <c r="KS48" s="116"/>
      <c r="KT48" s="116"/>
      <c r="KU48" s="116"/>
      <c r="KV48" s="116"/>
      <c r="KW48" s="116"/>
      <c r="KX48" s="116"/>
      <c r="KY48" s="116"/>
      <c r="KZ48" s="116"/>
      <c r="LA48" s="116"/>
      <c r="LB48" s="116"/>
      <c r="LC48" s="116"/>
      <c r="LD48" s="116"/>
      <c r="LE48" s="116"/>
      <c r="LF48" s="116"/>
      <c r="LG48" s="116"/>
      <c r="LH48" s="116"/>
      <c r="LI48" s="116"/>
      <c r="LJ48" s="116"/>
      <c r="LK48" s="116"/>
      <c r="LL48" s="116"/>
      <c r="LM48" s="116"/>
      <c r="LN48" s="116"/>
      <c r="LO48" s="116"/>
      <c r="LP48" s="116"/>
      <c r="LQ48" s="116"/>
      <c r="LR48" s="116"/>
      <c r="LS48" s="116"/>
      <c r="LT48" s="116"/>
      <c r="LU48" s="116"/>
      <c r="LV48" s="116"/>
      <c r="LW48" s="116"/>
      <c r="LX48" s="116"/>
      <c r="LY48" s="116"/>
      <c r="LZ48" s="116"/>
      <c r="MA48" s="116"/>
      <c r="MB48" s="116"/>
      <c r="MC48" s="116"/>
      <c r="MD48" s="116"/>
      <c r="ME48" s="116"/>
      <c r="MF48" s="116"/>
      <c r="MG48" s="116"/>
      <c r="MH48" s="116"/>
      <c r="MI48" s="116"/>
      <c r="MJ48" s="116"/>
      <c r="MK48" s="116"/>
      <c r="ML48" s="116"/>
      <c r="MM48" s="116"/>
      <c r="MN48" s="116"/>
      <c r="MO48" s="116"/>
      <c r="MP48" s="116"/>
      <c r="MQ48" s="116"/>
      <c r="MR48" s="116"/>
      <c r="MS48" s="116"/>
      <c r="MT48" s="116"/>
      <c r="MU48" s="116"/>
      <c r="MV48" s="116"/>
      <c r="MW48" s="116"/>
      <c r="MX48" s="116"/>
      <c r="MY48" s="116"/>
      <c r="MZ48" s="116"/>
      <c r="NA48" s="116"/>
      <c r="NB48" s="116"/>
      <c r="NC48" s="116"/>
      <c r="ND48" s="116"/>
      <c r="NE48" s="116"/>
      <c r="NF48" s="116"/>
      <c r="NG48" s="116"/>
      <c r="NH48" s="116"/>
      <c r="NI48" s="116"/>
      <c r="NJ48" s="116"/>
      <c r="NK48" s="116"/>
      <c r="NL48" s="116"/>
      <c r="NM48" s="116"/>
      <c r="NN48" s="116"/>
      <c r="NO48" s="116"/>
      <c r="NP48" s="116"/>
      <c r="NQ48" s="116"/>
      <c r="NR48" s="116"/>
      <c r="NS48" s="116"/>
      <c r="NT48" s="116"/>
      <c r="NU48" s="116"/>
      <c r="NV48" s="116"/>
      <c r="NW48" s="116"/>
      <c r="NX48" s="116"/>
      <c r="NY48" s="116"/>
      <c r="NZ48" s="116"/>
      <c r="OA48" s="116"/>
      <c r="OB48" s="116"/>
      <c r="OC48" s="116"/>
      <c r="OD48" s="116"/>
      <c r="OE48" s="116"/>
      <c r="OF48" s="116"/>
      <c r="OG48" s="116"/>
      <c r="OH48" s="116"/>
      <c r="OI48" s="116"/>
      <c r="OJ48" s="116"/>
      <c r="OK48" s="116"/>
      <c r="OL48" s="116"/>
      <c r="OM48" s="116"/>
      <c r="ON48" s="116"/>
      <c r="OO48" s="116"/>
      <c r="OP48" s="116"/>
      <c r="OQ48" s="116"/>
      <c r="OR48" s="116"/>
      <c r="OS48" s="116"/>
      <c r="OT48" s="116"/>
      <c r="OU48" s="116"/>
      <c r="OV48" s="116"/>
      <c r="OW48" s="116"/>
      <c r="OX48" s="116"/>
      <c r="OY48" s="116"/>
      <c r="OZ48" s="116"/>
      <c r="PA48" s="116"/>
      <c r="PB48" s="116"/>
      <c r="PC48" s="116"/>
      <c r="PD48" s="116"/>
      <c r="PE48" s="116"/>
      <c r="PF48" s="116"/>
      <c r="PG48" s="116"/>
      <c r="PH48" s="116"/>
      <c r="PI48" s="116"/>
      <c r="PJ48" s="116"/>
      <c r="PK48" s="116"/>
      <c r="PL48" s="116"/>
      <c r="PM48" s="116"/>
      <c r="PN48" s="116"/>
      <c r="PO48" s="116"/>
      <c r="PP48" s="116"/>
      <c r="PQ48" s="116"/>
      <c r="PR48" s="116"/>
      <c r="PS48" s="116"/>
      <c r="PT48" s="116"/>
      <c r="PU48" s="116"/>
      <c r="PV48" s="116"/>
      <c r="PW48" s="116"/>
      <c r="PX48" s="116"/>
      <c r="PY48" s="116"/>
      <c r="PZ48" s="116"/>
      <c r="QA48" s="116"/>
      <c r="QB48" s="116"/>
      <c r="QC48" s="116"/>
      <c r="QD48" s="116"/>
      <c r="QE48" s="116"/>
      <c r="QF48" s="116"/>
      <c r="QG48" s="116"/>
      <c r="QH48" s="116"/>
      <c r="QI48" s="116"/>
      <c r="QJ48" s="116"/>
      <c r="QK48" s="116"/>
      <c r="QL48" s="116"/>
      <c r="QM48" s="116"/>
      <c r="QN48" s="116"/>
      <c r="QO48" s="116"/>
      <c r="QP48" s="116"/>
      <c r="QQ48" s="116"/>
      <c r="QR48" s="116"/>
      <c r="QS48" s="116"/>
      <c r="QT48" s="116"/>
      <c r="QU48" s="116"/>
      <c r="QV48" s="116"/>
      <c r="QW48" s="116"/>
      <c r="QX48" s="116"/>
      <c r="QY48" s="116"/>
      <c r="QZ48" s="116"/>
      <c r="RA48" s="116"/>
      <c r="RB48" s="116"/>
      <c r="RC48" s="116"/>
      <c r="RD48" s="116"/>
      <c r="RE48" s="116"/>
      <c r="RF48" s="116"/>
      <c r="RG48" s="116"/>
      <c r="RH48" s="116"/>
      <c r="RI48" s="116"/>
      <c r="RJ48" s="116"/>
      <c r="RK48" s="116"/>
      <c r="RL48" s="116"/>
      <c r="RM48" s="116"/>
      <c r="RN48" s="116"/>
      <c r="RO48" s="116"/>
      <c r="RP48" s="116"/>
      <c r="RQ48" s="116"/>
      <c r="RR48" s="116"/>
      <c r="RS48" s="116"/>
      <c r="RT48" s="116"/>
      <c r="RU48" s="116"/>
      <c r="RV48" s="116"/>
      <c r="RW48" s="116"/>
      <c r="RX48" s="116"/>
      <c r="RY48" s="116"/>
      <c r="RZ48" s="116"/>
      <c r="SA48" s="116"/>
      <c r="SB48" s="116"/>
      <c r="SC48" s="116"/>
      <c r="SD48" s="116"/>
      <c r="SE48" s="116"/>
      <c r="SF48" s="116"/>
      <c r="SG48" s="116"/>
      <c r="SH48" s="116"/>
      <c r="SI48" s="116"/>
      <c r="SJ48" s="116"/>
      <c r="SK48" s="116"/>
      <c r="SL48" s="116"/>
      <c r="SM48" s="116"/>
      <c r="SN48" s="116"/>
      <c r="SO48" s="116"/>
      <c r="SP48" s="116"/>
      <c r="SQ48" s="116"/>
      <c r="SR48" s="116"/>
      <c r="SS48" s="116"/>
      <c r="ST48" s="116"/>
      <c r="SU48" s="116"/>
      <c r="SV48" s="116"/>
      <c r="SW48" s="116"/>
      <c r="SX48" s="116"/>
      <c r="SY48" s="116"/>
      <c r="SZ48" s="116"/>
      <c r="TA48" s="116"/>
      <c r="TB48" s="116"/>
      <c r="TC48" s="116"/>
      <c r="TD48" s="116"/>
      <c r="TE48" s="116"/>
      <c r="TF48" s="116"/>
      <c r="TG48" s="116"/>
      <c r="TH48" s="116"/>
      <c r="TI48" s="116"/>
      <c r="TJ48" s="116"/>
      <c r="TK48" s="116"/>
      <c r="TL48" s="116"/>
      <c r="TM48" s="116"/>
      <c r="TN48" s="116"/>
      <c r="TO48" s="116"/>
      <c r="TP48" s="116"/>
      <c r="TQ48" s="116"/>
      <c r="TR48" s="116"/>
      <c r="TS48" s="116"/>
      <c r="TT48" s="116"/>
      <c r="TU48" s="116"/>
      <c r="TV48" s="116"/>
      <c r="TW48" s="116"/>
      <c r="TX48" s="116"/>
      <c r="TY48" s="116"/>
      <c r="TZ48" s="116"/>
      <c r="UA48" s="116"/>
      <c r="UB48" s="116"/>
      <c r="UC48" s="116"/>
      <c r="UD48" s="116"/>
      <c r="UE48" s="116"/>
      <c r="UF48" s="116"/>
      <c r="UG48" s="116"/>
      <c r="UH48" s="116"/>
      <c r="UI48" s="116"/>
      <c r="UJ48" s="116"/>
      <c r="UK48" s="116"/>
      <c r="UL48" s="116"/>
      <c r="UM48" s="116"/>
      <c r="UN48" s="116"/>
      <c r="UO48" s="116"/>
      <c r="UP48" s="116"/>
      <c r="UQ48" s="116"/>
      <c r="UR48" s="116"/>
      <c r="US48" s="116"/>
      <c r="UT48" s="116"/>
      <c r="UU48" s="116"/>
      <c r="UV48" s="116"/>
      <c r="UW48" s="116"/>
      <c r="UX48" s="116"/>
      <c r="UY48" s="116"/>
      <c r="UZ48" s="116"/>
      <c r="VA48" s="116"/>
      <c r="VB48" s="116"/>
      <c r="VC48" s="116"/>
      <c r="VD48" s="116"/>
      <c r="VE48" s="116"/>
      <c r="VF48" s="116"/>
      <c r="VG48" s="116"/>
      <c r="VH48" s="116"/>
      <c r="VI48" s="116"/>
      <c r="VJ48" s="116"/>
      <c r="VK48" s="116"/>
      <c r="VL48" s="116"/>
      <c r="VM48" s="116"/>
      <c r="VN48" s="116"/>
      <c r="VO48" s="116"/>
      <c r="VP48" s="116"/>
      <c r="VQ48" s="116"/>
      <c r="VR48" s="116"/>
      <c r="VS48" s="116"/>
      <c r="VT48" s="116"/>
      <c r="VU48" s="116"/>
      <c r="VV48" s="116"/>
      <c r="VW48" s="116"/>
      <c r="VX48" s="116"/>
      <c r="VY48" s="116"/>
      <c r="VZ48" s="116"/>
      <c r="WA48" s="116"/>
      <c r="WB48" s="116"/>
      <c r="WC48" s="116"/>
      <c r="WD48" s="116"/>
      <c r="WE48" s="116"/>
      <c r="WF48" s="116"/>
      <c r="WG48" s="116"/>
      <c r="WH48" s="116"/>
      <c r="WI48" s="116"/>
      <c r="WJ48" s="116"/>
      <c r="WK48" s="116"/>
      <c r="WL48" s="116"/>
      <c r="WM48" s="116"/>
      <c r="WN48" s="116"/>
      <c r="WO48" s="116"/>
      <c r="WP48" s="116"/>
      <c r="WQ48" s="116"/>
      <c r="WR48" s="116"/>
      <c r="WS48" s="116"/>
      <c r="WT48" s="116"/>
      <c r="WU48" s="116"/>
      <c r="WV48" s="116"/>
      <c r="WW48" s="116"/>
      <c r="WX48" s="116"/>
      <c r="WY48" s="116"/>
      <c r="WZ48" s="116"/>
      <c r="XA48" s="116"/>
      <c r="XB48" s="116"/>
      <c r="XC48" s="116"/>
      <c r="XD48" s="116"/>
      <c r="XE48" s="116"/>
      <c r="XF48" s="116"/>
      <c r="XG48" s="116"/>
      <c r="XH48" s="116"/>
      <c r="XI48" s="116"/>
      <c r="XJ48" s="116"/>
      <c r="XK48" s="116"/>
      <c r="XL48" s="116"/>
      <c r="XM48" s="116"/>
      <c r="XN48" s="116"/>
      <c r="XO48" s="116"/>
      <c r="XP48" s="116"/>
      <c r="XQ48" s="116"/>
      <c r="XR48" s="116"/>
      <c r="XS48" s="116"/>
      <c r="XT48" s="116"/>
      <c r="XU48" s="116"/>
      <c r="XV48" s="116"/>
      <c r="XW48" s="116"/>
      <c r="XX48" s="116"/>
      <c r="XY48" s="116"/>
      <c r="XZ48" s="116"/>
      <c r="YA48" s="116"/>
      <c r="YB48" s="116"/>
      <c r="YC48" s="116"/>
      <c r="YD48" s="116"/>
      <c r="YE48" s="116"/>
      <c r="YF48" s="116"/>
      <c r="YG48" s="116"/>
      <c r="YH48" s="116"/>
      <c r="YI48" s="116"/>
      <c r="YJ48" s="116"/>
      <c r="YK48" s="116"/>
      <c r="YL48" s="116"/>
      <c r="YM48" s="116"/>
      <c r="YN48" s="116"/>
      <c r="YO48" s="116"/>
      <c r="YP48" s="116"/>
      <c r="YQ48" s="116"/>
      <c r="YR48" s="116"/>
      <c r="YS48" s="116"/>
      <c r="YT48" s="116"/>
      <c r="YU48" s="116"/>
      <c r="YV48" s="116"/>
      <c r="YW48" s="116"/>
      <c r="YX48" s="116"/>
      <c r="YY48" s="116"/>
      <c r="YZ48" s="116"/>
      <c r="ZA48" s="116"/>
      <c r="ZB48" s="116"/>
      <c r="ZC48" s="116"/>
      <c r="ZD48" s="116"/>
      <c r="ZE48" s="116"/>
      <c r="ZF48" s="116"/>
      <c r="ZG48" s="116"/>
      <c r="ZH48" s="116"/>
      <c r="ZI48" s="116"/>
      <c r="ZJ48" s="116"/>
      <c r="ZK48" s="116"/>
      <c r="ZL48" s="116"/>
      <c r="ZM48" s="116"/>
      <c r="ZN48" s="116"/>
      <c r="ZO48" s="116"/>
      <c r="ZP48" s="116"/>
      <c r="ZQ48" s="116"/>
      <c r="ZR48" s="116"/>
      <c r="ZS48" s="116"/>
      <c r="ZT48" s="116"/>
      <c r="ZU48" s="116"/>
      <c r="ZV48" s="116"/>
      <c r="ZW48" s="116"/>
      <c r="ZX48" s="116"/>
      <c r="ZY48" s="116"/>
      <c r="ZZ48" s="116"/>
      <c r="AAA48" s="116"/>
      <c r="AAB48" s="116"/>
      <c r="AAC48" s="116"/>
      <c r="AAD48" s="116"/>
      <c r="AAE48" s="116"/>
      <c r="AAF48" s="116"/>
      <c r="AAG48" s="116"/>
      <c r="AAH48" s="116"/>
      <c r="AAI48" s="116"/>
      <c r="AAJ48" s="116"/>
      <c r="AAK48" s="116"/>
      <c r="AAL48" s="116"/>
      <c r="AAM48" s="116"/>
      <c r="AAN48" s="116"/>
      <c r="AAO48" s="116"/>
      <c r="AAP48" s="116"/>
      <c r="AAQ48" s="116"/>
      <c r="AAR48" s="116"/>
      <c r="AAS48" s="116"/>
      <c r="AAT48" s="116"/>
      <c r="AAU48" s="116"/>
      <c r="AAV48" s="116"/>
      <c r="AAW48" s="116"/>
      <c r="AAX48" s="116"/>
      <c r="AAY48" s="116"/>
      <c r="AAZ48" s="116"/>
      <c r="ABA48" s="116"/>
      <c r="ABB48" s="116"/>
      <c r="ABC48" s="116"/>
      <c r="ABD48" s="116"/>
      <c r="ABE48" s="116"/>
      <c r="ABF48" s="116"/>
      <c r="ABG48" s="116"/>
      <c r="ABH48" s="116"/>
      <c r="ABI48" s="116"/>
      <c r="ABJ48" s="116"/>
      <c r="ABK48" s="116"/>
      <c r="ABL48" s="116"/>
      <c r="ABM48" s="116"/>
      <c r="ABN48" s="116"/>
      <c r="ABO48" s="116"/>
      <c r="ABP48" s="116"/>
      <c r="ABQ48" s="116"/>
      <c r="ABR48" s="116"/>
      <c r="ABS48" s="116"/>
      <c r="ABT48" s="116"/>
      <c r="ABU48" s="116"/>
      <c r="ABV48" s="116"/>
      <c r="ABW48" s="116"/>
      <c r="ABX48" s="116"/>
      <c r="ABY48" s="116"/>
      <c r="ABZ48" s="116"/>
      <c r="ACA48" s="116"/>
      <c r="ACB48" s="116"/>
      <c r="ACC48" s="116"/>
      <c r="ACD48" s="116"/>
      <c r="ACE48" s="116"/>
      <c r="ACF48" s="116"/>
      <c r="ACG48" s="116"/>
      <c r="ACH48" s="116"/>
      <c r="ACI48" s="116"/>
      <c r="ACJ48" s="116"/>
      <c r="ACK48" s="116"/>
      <c r="ACL48" s="116"/>
      <c r="ACM48" s="116"/>
      <c r="ACN48" s="116"/>
      <c r="ACO48" s="116"/>
      <c r="ACP48" s="116"/>
      <c r="ACQ48" s="116"/>
      <c r="ACR48" s="116"/>
      <c r="ACS48" s="116"/>
      <c r="ACT48" s="116"/>
      <c r="ACU48" s="116"/>
      <c r="ACV48" s="116"/>
      <c r="ACW48" s="116"/>
      <c r="ACX48" s="116"/>
      <c r="ACY48" s="116"/>
      <c r="ACZ48" s="116"/>
      <c r="ADA48" s="116"/>
      <c r="ADB48" s="116"/>
      <c r="ADC48" s="116"/>
      <c r="ADD48" s="116"/>
      <c r="ADE48" s="116"/>
      <c r="ADF48" s="116"/>
      <c r="ADG48" s="116"/>
      <c r="ADH48" s="116"/>
      <c r="ADI48" s="116"/>
      <c r="ADJ48" s="116"/>
      <c r="ADK48" s="116"/>
      <c r="ADL48" s="116"/>
      <c r="ADM48" s="116"/>
      <c r="ADN48" s="116"/>
      <c r="ADO48" s="116"/>
      <c r="ADP48" s="116"/>
      <c r="ADQ48" s="116"/>
      <c r="ADR48" s="116"/>
      <c r="ADS48" s="116"/>
      <c r="ADT48" s="116"/>
      <c r="ADU48" s="116"/>
      <c r="ADV48" s="116"/>
      <c r="ADW48" s="116"/>
      <c r="ADX48" s="116"/>
      <c r="ADY48" s="116"/>
      <c r="ADZ48" s="116"/>
      <c r="AEA48" s="116"/>
      <c r="AEB48" s="116"/>
      <c r="AEC48" s="116"/>
      <c r="AED48" s="116"/>
      <c r="AEE48" s="116"/>
      <c r="AEF48" s="116"/>
      <c r="AEG48" s="116"/>
      <c r="AEH48" s="116"/>
      <c r="AEI48" s="116"/>
      <c r="AEJ48" s="116"/>
      <c r="AEK48" s="116"/>
      <c r="AEL48" s="116"/>
      <c r="AEM48" s="116"/>
      <c r="AEN48" s="116"/>
      <c r="AEO48" s="116"/>
      <c r="AEP48" s="116"/>
      <c r="AEQ48" s="116"/>
      <c r="AER48" s="116"/>
      <c r="AES48" s="116"/>
      <c r="AET48" s="116"/>
      <c r="AEU48" s="116"/>
      <c r="AEV48" s="116"/>
      <c r="AEW48" s="116"/>
      <c r="AEX48" s="116"/>
      <c r="AEY48" s="116"/>
      <c r="AEZ48" s="116"/>
      <c r="AFA48" s="116"/>
      <c r="AFB48" s="116"/>
      <c r="AFC48" s="116"/>
      <c r="AFD48" s="116"/>
      <c r="AFE48" s="116"/>
      <c r="AFF48" s="116"/>
      <c r="AFG48" s="116"/>
      <c r="AFH48" s="116"/>
      <c r="AFI48" s="116"/>
      <c r="AFJ48" s="116"/>
      <c r="AFK48" s="116"/>
      <c r="AFL48" s="116"/>
      <c r="AFM48" s="116"/>
      <c r="AFN48" s="116"/>
      <c r="AFO48" s="116"/>
      <c r="AFP48" s="116"/>
      <c r="AFQ48" s="116"/>
      <c r="AFR48" s="116"/>
      <c r="AFS48" s="116"/>
      <c r="AFT48" s="116"/>
      <c r="AFU48" s="116"/>
      <c r="AFV48" s="116"/>
      <c r="AFW48" s="116"/>
      <c r="AFX48" s="116"/>
      <c r="AFY48" s="116"/>
      <c r="AFZ48" s="116"/>
      <c r="AGA48" s="116"/>
      <c r="AGB48" s="116"/>
      <c r="AGC48" s="116"/>
      <c r="AGD48" s="116"/>
      <c r="AGE48" s="116"/>
      <c r="AGF48" s="116"/>
      <c r="AGG48" s="116"/>
      <c r="AGH48" s="116"/>
      <c r="AGI48" s="116"/>
      <c r="AGJ48" s="116"/>
      <c r="AGK48" s="116"/>
      <c r="AGL48" s="116"/>
      <c r="AGM48" s="116"/>
      <c r="AGN48" s="116"/>
      <c r="AGO48" s="116"/>
      <c r="AGP48" s="116"/>
      <c r="AGQ48" s="116"/>
      <c r="AGR48" s="116"/>
      <c r="AGS48" s="116"/>
      <c r="AGT48" s="116"/>
      <c r="AGU48" s="116"/>
      <c r="AGV48" s="116"/>
      <c r="AGW48" s="116"/>
      <c r="AGX48" s="116"/>
      <c r="AGY48" s="116"/>
      <c r="AGZ48" s="116"/>
      <c r="AHA48" s="116"/>
      <c r="AHB48" s="116"/>
      <c r="AHC48" s="116"/>
      <c r="AHD48" s="116"/>
      <c r="AHE48" s="116"/>
      <c r="AHF48" s="116"/>
      <c r="AHG48" s="116"/>
      <c r="AHH48" s="116"/>
      <c r="AHI48" s="116"/>
      <c r="AHJ48" s="116"/>
      <c r="AHK48" s="116"/>
      <c r="AHL48" s="116"/>
      <c r="AHM48" s="116"/>
      <c r="AHN48" s="116"/>
      <c r="AHO48" s="116"/>
      <c r="AHP48" s="116"/>
      <c r="AHQ48" s="116"/>
      <c r="AHR48" s="116"/>
      <c r="AHS48" s="116"/>
      <c r="AHT48" s="116"/>
      <c r="AHU48" s="116"/>
      <c r="AHV48" s="116"/>
      <c r="AHW48" s="116"/>
      <c r="AHX48" s="116"/>
      <c r="AHY48" s="116"/>
      <c r="AHZ48" s="116"/>
      <c r="AIA48" s="116"/>
      <c r="AIB48" s="116"/>
      <c r="AIC48" s="116"/>
      <c r="AID48" s="116"/>
      <c r="AIE48" s="116"/>
      <c r="AIF48" s="116"/>
      <c r="AIG48" s="116"/>
      <c r="AIH48" s="116"/>
      <c r="AII48" s="116"/>
      <c r="AIJ48" s="116"/>
      <c r="AIK48" s="116"/>
      <c r="AIL48" s="116"/>
      <c r="AIM48" s="116"/>
      <c r="AIN48" s="116"/>
      <c r="AIO48" s="116"/>
      <c r="AIP48" s="116"/>
      <c r="AIQ48" s="116"/>
      <c r="AIR48" s="116"/>
      <c r="AIS48" s="116"/>
      <c r="AIT48" s="116"/>
      <c r="AIU48" s="116"/>
      <c r="AIV48" s="116"/>
      <c r="AIW48" s="116"/>
      <c r="AIX48" s="116"/>
      <c r="AIY48" s="116"/>
      <c r="AIZ48" s="116"/>
      <c r="AJA48" s="116"/>
      <c r="AJB48" s="116"/>
      <c r="AJC48" s="116"/>
      <c r="AJD48" s="116"/>
      <c r="AJE48" s="116"/>
      <c r="AJF48" s="116"/>
      <c r="AJG48" s="116"/>
      <c r="AJH48" s="116"/>
      <c r="AJI48" s="116"/>
      <c r="AJJ48" s="116"/>
      <c r="AJK48" s="116"/>
      <c r="AJL48" s="116"/>
      <c r="AJM48" s="116"/>
      <c r="AJN48" s="116"/>
      <c r="AJO48" s="116"/>
      <c r="AJP48" s="116"/>
      <c r="AJQ48" s="116"/>
      <c r="AJR48" s="116"/>
      <c r="AJS48" s="116"/>
      <c r="AJT48" s="116"/>
      <c r="AJU48" s="116"/>
      <c r="AJV48" s="116"/>
      <c r="AJW48" s="116"/>
      <c r="AJX48" s="116"/>
      <c r="AJY48" s="116"/>
      <c r="AJZ48" s="116"/>
      <c r="AKA48" s="116"/>
      <c r="AKB48" s="116"/>
      <c r="AKC48" s="116"/>
      <c r="AKD48" s="116"/>
      <c r="AKE48" s="116"/>
      <c r="AKF48" s="116"/>
      <c r="AKG48" s="116"/>
      <c r="AKH48" s="116"/>
      <c r="AKI48" s="116"/>
      <c r="AKJ48" s="116"/>
      <c r="AKK48" s="116"/>
      <c r="AKL48" s="116"/>
      <c r="AKM48" s="116"/>
      <c r="AKN48" s="116"/>
      <c r="AKO48" s="116"/>
      <c r="AKP48" s="116"/>
      <c r="AKQ48" s="116"/>
      <c r="AKR48" s="116"/>
      <c r="AKS48" s="116"/>
      <c r="AKT48" s="116"/>
      <c r="AKU48" s="116"/>
      <c r="AKV48" s="116"/>
      <c r="AKW48" s="116"/>
      <c r="AKX48" s="116"/>
      <c r="AKY48" s="116"/>
      <c r="AKZ48" s="116"/>
      <c r="ALA48" s="116"/>
      <c r="ALB48" s="116"/>
      <c r="ALC48" s="116"/>
      <c r="ALD48" s="116"/>
      <c r="ALE48" s="116"/>
      <c r="ALF48" s="116"/>
      <c r="ALG48" s="116"/>
      <c r="ALH48" s="116"/>
      <c r="ALI48" s="116"/>
      <c r="ALJ48" s="116"/>
      <c r="ALK48" s="116"/>
      <c r="ALL48" s="116"/>
      <c r="ALM48" s="116"/>
      <c r="ALN48" s="116"/>
      <c r="ALO48" s="116"/>
      <c r="ALP48" s="116"/>
      <c r="ALQ48" s="116"/>
      <c r="ALR48" s="116"/>
      <c r="ALS48" s="116"/>
      <c r="ALT48" s="116"/>
      <c r="ALU48" s="116"/>
      <c r="ALV48" s="116"/>
      <c r="ALW48" s="116"/>
      <c r="ALX48" s="116"/>
      <c r="ALY48" s="116"/>
      <c r="ALZ48" s="116"/>
      <c r="AMA48" s="116"/>
      <c r="AMB48" s="116"/>
      <c r="AMC48" s="116"/>
      <c r="AMD48" s="116"/>
      <c r="AME48" s="116"/>
      <c r="AMF48" s="116"/>
      <c r="AMG48" s="116"/>
      <c r="AMH48" s="116"/>
      <c r="AMI48" s="116"/>
      <c r="AMJ48" s="116"/>
      <c r="AMK48" s="116"/>
      <c r="AML48" s="116"/>
      <c r="AMM48" s="116"/>
      <c r="AMN48" s="116"/>
      <c r="AMO48" s="116"/>
      <c r="AMP48" s="116"/>
      <c r="AMQ48" s="116"/>
      <c r="AMR48" s="116"/>
      <c r="AMS48" s="116"/>
      <c r="AMT48" s="116"/>
      <c r="AMU48" s="116"/>
      <c r="AMV48" s="116"/>
      <c r="AMW48" s="116"/>
      <c r="AMX48" s="116"/>
      <c r="AMY48" s="116"/>
      <c r="AMZ48" s="116"/>
      <c r="ANA48" s="116"/>
      <c r="ANB48" s="116"/>
      <c r="ANC48" s="116"/>
      <c r="AND48" s="116"/>
      <c r="ANE48" s="116"/>
      <c r="ANF48" s="116"/>
      <c r="ANG48" s="116"/>
      <c r="ANH48" s="116"/>
      <c r="ANI48" s="116"/>
      <c r="ANJ48" s="116"/>
      <c r="ANK48" s="116"/>
      <c r="ANL48" s="116"/>
      <c r="ANM48" s="116"/>
      <c r="ANN48" s="116"/>
      <c r="ANO48" s="116"/>
      <c r="ANP48" s="116"/>
      <c r="ANQ48" s="116"/>
      <c r="ANR48" s="116"/>
      <c r="ANS48" s="116"/>
      <c r="ANT48" s="116"/>
      <c r="ANU48" s="116"/>
      <c r="ANV48" s="116"/>
      <c r="ANW48" s="116"/>
      <c r="ANX48" s="116"/>
      <c r="ANY48" s="116"/>
      <c r="ANZ48" s="116"/>
      <c r="AOA48" s="116"/>
      <c r="AOB48" s="116"/>
      <c r="AOC48" s="116"/>
      <c r="AOD48" s="116"/>
      <c r="AOE48" s="116"/>
      <c r="AOF48" s="116"/>
      <c r="AOG48" s="116"/>
      <c r="AOH48" s="116"/>
      <c r="AOI48" s="116"/>
      <c r="AOJ48" s="116"/>
      <c r="AOK48" s="116"/>
      <c r="AOL48" s="116"/>
      <c r="AOM48" s="116"/>
      <c r="AON48" s="116"/>
      <c r="AOO48" s="116"/>
      <c r="AOP48" s="116"/>
      <c r="AOQ48" s="116"/>
      <c r="AOR48" s="116"/>
      <c r="AOS48" s="116"/>
      <c r="AOT48" s="116"/>
      <c r="AOU48" s="116"/>
      <c r="AOV48" s="116"/>
      <c r="AOW48" s="116"/>
      <c r="AOX48" s="116"/>
      <c r="AOY48" s="116"/>
      <c r="AOZ48" s="116"/>
      <c r="APA48" s="116"/>
      <c r="APB48" s="116"/>
      <c r="APC48" s="116"/>
      <c r="APD48" s="116"/>
      <c r="APE48" s="116"/>
      <c r="APF48" s="116"/>
      <c r="APG48" s="116"/>
      <c r="APH48" s="116"/>
      <c r="API48" s="116"/>
      <c r="APJ48" s="116"/>
      <c r="APK48" s="116"/>
      <c r="APL48" s="116"/>
      <c r="APM48" s="116"/>
      <c r="APN48" s="116"/>
      <c r="APO48" s="116"/>
      <c r="APP48" s="116"/>
      <c r="APQ48" s="116"/>
      <c r="APR48" s="116"/>
      <c r="APS48" s="116"/>
      <c r="APT48" s="116"/>
      <c r="APU48" s="116"/>
      <c r="APV48" s="116"/>
      <c r="APW48" s="116"/>
      <c r="APX48" s="116"/>
      <c r="APY48" s="116"/>
      <c r="APZ48" s="116"/>
      <c r="AQA48" s="116"/>
      <c r="AQB48" s="116"/>
      <c r="AQC48" s="116"/>
      <c r="AQD48" s="116"/>
      <c r="AQE48" s="116"/>
      <c r="AQF48" s="116"/>
      <c r="AQG48" s="116"/>
      <c r="AQH48" s="116"/>
      <c r="AQI48" s="116"/>
      <c r="AQJ48" s="116"/>
      <c r="AQK48" s="116"/>
      <c r="AQL48" s="116"/>
      <c r="AQM48" s="116"/>
      <c r="AQN48" s="116"/>
      <c r="AQO48" s="116"/>
      <c r="AQP48" s="116"/>
      <c r="AQQ48" s="116"/>
      <c r="AQR48" s="116"/>
      <c r="AQS48" s="116"/>
      <c r="AQT48" s="116"/>
      <c r="AQU48" s="116"/>
      <c r="AQV48" s="116"/>
      <c r="AQW48" s="116"/>
      <c r="AQX48" s="116"/>
      <c r="AQY48" s="116"/>
      <c r="AQZ48" s="116"/>
      <c r="ARA48" s="116"/>
      <c r="ARB48" s="116"/>
      <c r="ARC48" s="116"/>
      <c r="ARD48" s="116"/>
      <c r="ARE48" s="116"/>
      <c r="ARF48" s="116"/>
      <c r="ARG48" s="116"/>
      <c r="ARH48" s="116"/>
      <c r="ARI48" s="116"/>
      <c r="ARJ48" s="116"/>
      <c r="ARK48" s="116"/>
      <c r="ARL48" s="116"/>
      <c r="ARM48" s="116"/>
      <c r="ARN48" s="116"/>
      <c r="ARO48" s="116"/>
      <c r="ARP48" s="116"/>
      <c r="ARQ48" s="116"/>
      <c r="ARR48" s="116"/>
      <c r="ARS48" s="116"/>
      <c r="ART48" s="116"/>
      <c r="ARU48" s="116"/>
      <c r="ARV48" s="116"/>
      <c r="ARW48" s="116"/>
      <c r="ARX48" s="116"/>
      <c r="ARY48" s="116"/>
      <c r="ARZ48" s="116"/>
      <c r="ASA48" s="116"/>
      <c r="ASB48" s="116"/>
      <c r="ASC48" s="116"/>
      <c r="ASD48" s="116"/>
      <c r="ASE48" s="116"/>
      <c r="ASF48" s="116"/>
      <c r="ASG48" s="116"/>
      <c r="ASH48" s="116"/>
      <c r="ASI48" s="116"/>
      <c r="ASJ48" s="116"/>
      <c r="ASK48" s="116"/>
      <c r="ASL48" s="116"/>
      <c r="ASM48" s="116"/>
      <c r="ASN48" s="116"/>
      <c r="ASO48" s="116"/>
      <c r="ASP48" s="116"/>
      <c r="ASQ48" s="116"/>
      <c r="ASR48" s="116"/>
      <c r="ASS48" s="116"/>
      <c r="AST48" s="116"/>
      <c r="ASU48" s="116"/>
      <c r="ASV48" s="116"/>
      <c r="ASW48" s="116"/>
      <c r="ASX48" s="116"/>
      <c r="ASY48" s="116"/>
      <c r="ASZ48" s="116"/>
      <c r="ATA48" s="116"/>
      <c r="ATB48" s="116"/>
      <c r="ATC48" s="116"/>
      <c r="ATD48" s="116"/>
      <c r="ATE48" s="116"/>
      <c r="ATF48" s="116"/>
      <c r="ATG48" s="116"/>
      <c r="ATH48" s="116"/>
      <c r="ATI48" s="116"/>
      <c r="ATJ48" s="116"/>
      <c r="ATK48" s="116"/>
      <c r="ATL48" s="116"/>
      <c r="ATM48" s="116"/>
      <c r="ATN48" s="116"/>
      <c r="ATO48" s="116"/>
      <c r="ATP48" s="116"/>
      <c r="ATQ48" s="116"/>
      <c r="ATR48" s="116"/>
      <c r="ATS48" s="116"/>
      <c r="ATT48" s="116"/>
      <c r="ATU48" s="116"/>
      <c r="ATV48" s="116"/>
      <c r="ATW48" s="116"/>
      <c r="ATX48" s="116"/>
      <c r="ATY48" s="116"/>
      <c r="ATZ48" s="116"/>
      <c r="AUA48" s="116"/>
      <c r="AUB48" s="116"/>
      <c r="AUC48" s="116"/>
      <c r="AUD48" s="116"/>
      <c r="AUE48" s="116"/>
      <c r="AUF48" s="116"/>
      <c r="AUG48" s="116"/>
      <c r="AUH48" s="116"/>
      <c r="AUI48" s="116"/>
      <c r="AUJ48" s="116"/>
      <c r="AUK48" s="116"/>
      <c r="AUL48" s="116"/>
      <c r="AUM48" s="116"/>
      <c r="AUN48" s="116"/>
      <c r="AUO48" s="116"/>
      <c r="AUP48" s="116"/>
      <c r="AUQ48" s="116"/>
      <c r="AUR48" s="116"/>
      <c r="AUS48" s="116"/>
      <c r="AUT48" s="116"/>
      <c r="AUU48" s="116"/>
      <c r="AUV48" s="116"/>
      <c r="AUW48" s="116"/>
      <c r="AUX48" s="116"/>
      <c r="AUY48" s="116"/>
      <c r="AUZ48" s="116"/>
      <c r="AVA48" s="116"/>
      <c r="AVB48" s="116"/>
      <c r="AVC48" s="116"/>
      <c r="AVD48" s="116"/>
      <c r="AVE48" s="116"/>
      <c r="AVF48" s="116"/>
      <c r="AVG48" s="116"/>
      <c r="AVH48" s="116"/>
      <c r="AVI48" s="116"/>
      <c r="AVJ48" s="116"/>
      <c r="AVK48" s="116"/>
      <c r="AVL48" s="116"/>
      <c r="AVM48" s="116"/>
      <c r="AVN48" s="116"/>
      <c r="AVO48" s="116"/>
      <c r="AVP48" s="116"/>
      <c r="AVQ48" s="116"/>
      <c r="AVR48" s="116"/>
      <c r="AVS48" s="116"/>
      <c r="AVT48" s="116"/>
      <c r="AVU48" s="116"/>
      <c r="AVV48" s="116"/>
      <c r="AVW48" s="116"/>
      <c r="AVX48" s="116"/>
      <c r="AVY48" s="116"/>
      <c r="AVZ48" s="116"/>
      <c r="AWA48" s="116"/>
      <c r="AWB48" s="116"/>
      <c r="AWC48" s="116"/>
      <c r="AWD48" s="116"/>
      <c r="AWE48" s="116"/>
      <c r="AWF48" s="116"/>
      <c r="AWG48" s="116"/>
      <c r="AWH48" s="116"/>
      <c r="AWI48" s="116"/>
      <c r="AWJ48" s="116"/>
      <c r="AWK48" s="116"/>
      <c r="AWL48" s="116"/>
      <c r="AWM48" s="116"/>
      <c r="AWN48" s="116"/>
      <c r="AWO48" s="116"/>
      <c r="AWP48" s="116"/>
      <c r="AWQ48" s="116"/>
      <c r="AWR48" s="116"/>
      <c r="AWS48" s="116"/>
      <c r="AWT48" s="116"/>
      <c r="AWU48" s="116"/>
      <c r="AWV48" s="116"/>
      <c r="AWW48" s="116"/>
      <c r="AWX48" s="116"/>
      <c r="AWY48" s="116"/>
      <c r="AWZ48" s="116"/>
      <c r="AXA48" s="116"/>
      <c r="AXB48" s="116"/>
      <c r="AXC48" s="116"/>
      <c r="AXD48" s="116"/>
      <c r="AXE48" s="116"/>
      <c r="AXF48" s="116"/>
      <c r="AXG48" s="116"/>
      <c r="AXH48" s="116"/>
      <c r="AXI48" s="116"/>
      <c r="AXJ48" s="116"/>
      <c r="AXK48" s="116"/>
      <c r="AXL48" s="116"/>
      <c r="AXM48" s="116"/>
      <c r="AXN48" s="116"/>
      <c r="AXO48" s="116"/>
      <c r="AXP48" s="116"/>
      <c r="AXQ48" s="116"/>
      <c r="AXR48" s="116"/>
      <c r="AXS48" s="116"/>
      <c r="AXT48" s="116"/>
      <c r="AXU48" s="116"/>
      <c r="AXV48" s="116"/>
      <c r="AXW48" s="116"/>
      <c r="AXX48" s="116"/>
      <c r="AXY48" s="116"/>
      <c r="AXZ48" s="116"/>
      <c r="AYA48" s="116"/>
      <c r="AYB48" s="116"/>
      <c r="AYC48" s="116"/>
      <c r="AYD48" s="116"/>
      <c r="AYE48" s="116"/>
      <c r="AYF48" s="116"/>
      <c r="AYG48" s="116"/>
      <c r="AYH48" s="116"/>
      <c r="AYI48" s="116"/>
      <c r="AYJ48" s="116"/>
      <c r="AYK48" s="116"/>
      <c r="AYL48" s="116"/>
      <c r="AYM48" s="116"/>
      <c r="AYN48" s="116"/>
      <c r="AYO48" s="116"/>
      <c r="AYP48" s="116"/>
      <c r="AYQ48" s="116"/>
      <c r="AYR48" s="116"/>
      <c r="AYS48" s="116"/>
      <c r="AYT48" s="116"/>
      <c r="AYU48" s="116"/>
      <c r="AYV48" s="116"/>
      <c r="AYW48" s="116"/>
      <c r="AYX48" s="116"/>
      <c r="AYY48" s="116"/>
      <c r="AYZ48" s="116"/>
      <c r="AZA48" s="116"/>
      <c r="AZB48" s="116"/>
      <c r="AZC48" s="116"/>
      <c r="AZD48" s="116"/>
      <c r="AZE48" s="116"/>
      <c r="AZF48" s="116"/>
      <c r="AZG48" s="116"/>
      <c r="AZH48" s="116"/>
      <c r="AZI48" s="116"/>
      <c r="AZJ48" s="116"/>
      <c r="AZK48" s="116"/>
      <c r="AZL48" s="116"/>
      <c r="AZM48" s="116"/>
      <c r="AZN48" s="116"/>
      <c r="AZO48" s="116"/>
      <c r="AZP48" s="116"/>
      <c r="AZQ48" s="116"/>
      <c r="AZR48" s="116"/>
      <c r="AZS48" s="116"/>
      <c r="AZT48" s="116"/>
      <c r="AZU48" s="116"/>
      <c r="AZV48" s="116"/>
      <c r="AZW48" s="116"/>
      <c r="AZX48" s="116"/>
      <c r="AZY48" s="116"/>
      <c r="AZZ48" s="116"/>
      <c r="BAA48" s="116"/>
      <c r="BAB48" s="116"/>
      <c r="BAC48" s="116"/>
      <c r="BAD48" s="116"/>
      <c r="BAE48" s="116"/>
      <c r="BAF48" s="116"/>
      <c r="BAG48" s="116"/>
      <c r="BAH48" s="116"/>
      <c r="BAI48" s="116"/>
      <c r="BAJ48" s="116"/>
      <c r="BAK48" s="116"/>
      <c r="BAL48" s="116"/>
      <c r="BAM48" s="116"/>
      <c r="BAN48" s="116"/>
      <c r="BAO48" s="116"/>
      <c r="BAP48" s="116"/>
      <c r="BAQ48" s="116"/>
      <c r="BAR48" s="116"/>
      <c r="BAS48" s="116"/>
      <c r="BAT48" s="116"/>
      <c r="BAU48" s="116"/>
      <c r="BAV48" s="116"/>
      <c r="BAW48" s="116"/>
      <c r="BAX48" s="116"/>
      <c r="BAY48" s="116"/>
      <c r="BAZ48" s="116"/>
      <c r="BBA48" s="116"/>
      <c r="BBB48" s="116"/>
      <c r="BBC48" s="116"/>
      <c r="BBD48" s="116"/>
      <c r="BBE48" s="116"/>
      <c r="BBF48" s="116"/>
      <c r="BBG48" s="116"/>
      <c r="BBH48" s="116"/>
      <c r="BBI48" s="116"/>
      <c r="BBJ48" s="116"/>
      <c r="BBK48" s="116"/>
      <c r="BBL48" s="116"/>
      <c r="BBM48" s="116"/>
      <c r="BBN48" s="116"/>
      <c r="BBO48" s="116"/>
      <c r="BBP48" s="116"/>
      <c r="BBQ48" s="116"/>
      <c r="BBR48" s="116"/>
      <c r="BBS48" s="116"/>
      <c r="BBT48" s="116"/>
      <c r="BBU48" s="116"/>
      <c r="BBV48" s="116"/>
      <c r="BBW48" s="116"/>
      <c r="BBX48" s="116"/>
      <c r="BBY48" s="116"/>
      <c r="BBZ48" s="116"/>
      <c r="BCA48" s="116"/>
      <c r="BCB48" s="116"/>
      <c r="BCC48" s="116"/>
      <c r="BCD48" s="116"/>
      <c r="BCE48" s="116"/>
      <c r="BCF48" s="116"/>
      <c r="BCG48" s="116"/>
      <c r="BCH48" s="116"/>
      <c r="BCI48" s="116"/>
      <c r="BCJ48" s="116"/>
      <c r="BCK48" s="116"/>
      <c r="BCL48" s="116"/>
      <c r="BCM48" s="116"/>
      <c r="BCN48" s="116"/>
      <c r="BCO48" s="116"/>
      <c r="BCP48" s="116"/>
      <c r="BCQ48" s="116"/>
      <c r="BCR48" s="116"/>
      <c r="BCS48" s="116"/>
      <c r="BCT48" s="116"/>
      <c r="BCU48" s="116"/>
      <c r="BCV48" s="116"/>
      <c r="BCW48" s="116"/>
      <c r="BCX48" s="116"/>
      <c r="BCY48" s="116"/>
      <c r="BCZ48" s="116"/>
      <c r="BDA48" s="116"/>
      <c r="BDB48" s="116"/>
      <c r="BDC48" s="116"/>
      <c r="BDD48" s="116"/>
      <c r="BDE48" s="116"/>
      <c r="BDF48" s="116"/>
      <c r="BDG48" s="116"/>
      <c r="BDH48" s="116"/>
      <c r="BDI48" s="116"/>
      <c r="BDJ48" s="116"/>
      <c r="BDK48" s="116"/>
      <c r="BDL48" s="116"/>
      <c r="BDM48" s="116"/>
      <c r="BDN48" s="116"/>
      <c r="BDO48" s="116"/>
      <c r="BDP48" s="116"/>
      <c r="BDQ48" s="116"/>
      <c r="BDR48" s="116"/>
      <c r="BDS48" s="116"/>
      <c r="BDT48" s="116"/>
      <c r="BDU48" s="116"/>
      <c r="BDV48" s="116"/>
      <c r="BDW48" s="116"/>
      <c r="BDX48" s="116"/>
      <c r="BDY48" s="116"/>
      <c r="BDZ48" s="116"/>
      <c r="BEA48" s="116"/>
      <c r="BEB48" s="116"/>
      <c r="BEC48" s="116"/>
      <c r="BED48" s="116"/>
      <c r="BEE48" s="116"/>
      <c r="BEF48" s="116"/>
      <c r="BEG48" s="116"/>
      <c r="BEH48" s="116"/>
      <c r="BEI48" s="116"/>
      <c r="BEJ48" s="116"/>
      <c r="BEK48" s="116"/>
      <c r="BEL48" s="116"/>
      <c r="BEM48" s="116"/>
      <c r="BEN48" s="116"/>
      <c r="BEO48" s="116"/>
      <c r="BEP48" s="116"/>
      <c r="BEQ48" s="116"/>
      <c r="BER48" s="116"/>
      <c r="BES48" s="116"/>
      <c r="BET48" s="116"/>
      <c r="BEU48" s="116"/>
      <c r="BEV48" s="116"/>
      <c r="BEW48" s="116"/>
      <c r="BEX48" s="116"/>
      <c r="BEY48" s="116"/>
      <c r="BEZ48" s="116"/>
      <c r="BFA48" s="116"/>
      <c r="BFB48" s="116"/>
      <c r="BFC48" s="116"/>
      <c r="BFD48" s="116"/>
      <c r="BFE48" s="116"/>
      <c r="BFF48" s="116"/>
      <c r="BFG48" s="116"/>
      <c r="BFH48" s="116"/>
      <c r="BFI48" s="116"/>
      <c r="BFJ48" s="116"/>
      <c r="BFK48" s="116"/>
      <c r="BFL48" s="116"/>
      <c r="BFM48" s="116"/>
      <c r="BFN48" s="116"/>
      <c r="BFO48" s="116"/>
      <c r="BFP48" s="116"/>
      <c r="BFQ48" s="116"/>
      <c r="BFR48" s="116"/>
      <c r="BFS48" s="116"/>
      <c r="BFT48" s="116"/>
      <c r="BFU48" s="116"/>
      <c r="BFV48" s="116"/>
      <c r="BFW48" s="116"/>
      <c r="BFX48" s="116"/>
      <c r="BFY48" s="116"/>
      <c r="BFZ48" s="116"/>
      <c r="BGA48" s="116"/>
      <c r="BGB48" s="116"/>
      <c r="BGC48" s="116"/>
      <c r="BGD48" s="116"/>
      <c r="BGE48" s="116"/>
      <c r="BGF48" s="116"/>
      <c r="BGG48" s="116"/>
      <c r="BGH48" s="116"/>
      <c r="BGI48" s="116"/>
      <c r="BGJ48" s="116"/>
      <c r="BGK48" s="116"/>
      <c r="BGL48" s="116"/>
      <c r="BGM48" s="116"/>
      <c r="BGN48" s="116"/>
      <c r="BGO48" s="116"/>
      <c r="BGP48" s="116"/>
      <c r="BGQ48" s="116"/>
      <c r="BGR48" s="116"/>
      <c r="BGS48" s="116"/>
      <c r="BGT48" s="116"/>
      <c r="BGU48" s="116"/>
      <c r="BGV48" s="116"/>
      <c r="BGW48" s="116"/>
      <c r="BGX48" s="116"/>
      <c r="BGY48" s="116"/>
      <c r="BGZ48" s="116"/>
      <c r="BHA48" s="116"/>
      <c r="BHB48" s="116"/>
      <c r="BHC48" s="116"/>
      <c r="BHD48" s="116"/>
      <c r="BHE48" s="116"/>
      <c r="BHF48" s="116"/>
      <c r="BHG48" s="116"/>
      <c r="BHH48" s="116"/>
      <c r="BHI48" s="116"/>
      <c r="BHJ48" s="116"/>
      <c r="BHK48" s="116"/>
      <c r="BHL48" s="116"/>
      <c r="BHM48" s="116"/>
      <c r="BHN48" s="116"/>
      <c r="BHO48" s="116"/>
      <c r="BHP48" s="116"/>
      <c r="BHQ48" s="116"/>
      <c r="BHR48" s="116"/>
      <c r="BHS48" s="116"/>
      <c r="BHT48" s="116"/>
      <c r="BHU48" s="116"/>
      <c r="BHV48" s="116"/>
      <c r="BHW48" s="116"/>
      <c r="BHX48" s="116"/>
      <c r="BHY48" s="116"/>
      <c r="BHZ48" s="116"/>
      <c r="BIA48" s="116"/>
      <c r="BIB48" s="116"/>
      <c r="BIC48" s="116"/>
      <c r="BID48" s="116"/>
      <c r="BIE48" s="116"/>
      <c r="BIF48" s="116"/>
      <c r="BIG48" s="116"/>
      <c r="BIH48" s="116"/>
      <c r="BII48" s="116"/>
      <c r="BIJ48" s="116"/>
      <c r="BIK48" s="116"/>
      <c r="BIL48" s="116"/>
      <c r="BIM48" s="116"/>
      <c r="BIN48" s="116"/>
      <c r="BIO48" s="116"/>
      <c r="BIP48" s="116"/>
      <c r="BIQ48" s="116"/>
      <c r="BIR48" s="116"/>
      <c r="BIS48" s="116"/>
      <c r="BIT48" s="116"/>
      <c r="BIU48" s="116"/>
      <c r="BIV48" s="116"/>
      <c r="BIW48" s="116"/>
      <c r="BIX48" s="116"/>
      <c r="BIY48" s="116"/>
      <c r="BIZ48" s="116"/>
      <c r="BJA48" s="116"/>
      <c r="BJB48" s="116"/>
      <c r="BJC48" s="116"/>
      <c r="BJD48" s="116"/>
      <c r="BJE48" s="116"/>
      <c r="BJF48" s="116"/>
      <c r="BJG48" s="116"/>
      <c r="BJH48" s="116"/>
      <c r="BJI48" s="116"/>
      <c r="BJJ48" s="116"/>
      <c r="BJK48" s="116"/>
      <c r="BJL48" s="116"/>
      <c r="BJM48" s="116"/>
      <c r="BJN48" s="116"/>
      <c r="BJO48" s="116"/>
      <c r="BJP48" s="116"/>
      <c r="BJQ48" s="116"/>
      <c r="BJR48" s="116"/>
      <c r="BJS48" s="116"/>
      <c r="BJT48" s="116"/>
      <c r="BJU48" s="116"/>
      <c r="BJV48" s="116"/>
      <c r="BJW48" s="116"/>
      <c r="BJX48" s="116"/>
      <c r="BJY48" s="116"/>
      <c r="BJZ48" s="116"/>
      <c r="BKA48" s="116"/>
      <c r="BKB48" s="116"/>
      <c r="BKC48" s="116"/>
      <c r="BKD48" s="116"/>
      <c r="BKE48" s="116"/>
      <c r="BKF48" s="116"/>
      <c r="BKG48" s="116"/>
      <c r="BKH48" s="116"/>
      <c r="BKI48" s="116"/>
      <c r="BKJ48" s="116"/>
      <c r="BKK48" s="116"/>
      <c r="BKL48" s="116"/>
      <c r="BKM48" s="116"/>
      <c r="BKN48" s="116"/>
      <c r="BKO48" s="116"/>
      <c r="BKP48" s="116"/>
      <c r="BKQ48" s="116"/>
      <c r="BKR48" s="116"/>
      <c r="BKS48" s="116"/>
      <c r="BKT48" s="116"/>
      <c r="BKU48" s="116"/>
      <c r="BKV48" s="116"/>
      <c r="BKW48" s="116"/>
      <c r="BKX48" s="116"/>
      <c r="BKY48" s="116"/>
      <c r="BKZ48" s="116"/>
      <c r="BLA48" s="116"/>
      <c r="BLB48" s="116"/>
      <c r="BLC48" s="116"/>
      <c r="BLD48" s="116"/>
      <c r="BLE48" s="116"/>
      <c r="BLF48" s="116"/>
      <c r="BLG48" s="116"/>
      <c r="BLH48" s="116"/>
      <c r="BLI48" s="116"/>
      <c r="BLJ48" s="116"/>
      <c r="BLK48" s="116"/>
      <c r="BLL48" s="116"/>
      <c r="BLM48" s="116"/>
      <c r="BLN48" s="116"/>
      <c r="BLO48" s="116"/>
      <c r="BLP48" s="116"/>
      <c r="BLQ48" s="116"/>
      <c r="BLR48" s="116"/>
      <c r="BLS48" s="116"/>
      <c r="BLT48" s="116"/>
      <c r="BLU48" s="116"/>
      <c r="BLV48" s="116"/>
      <c r="BLW48" s="116"/>
      <c r="BLX48" s="116"/>
      <c r="BLY48" s="116"/>
      <c r="BLZ48" s="116"/>
      <c r="BMA48" s="116"/>
      <c r="BMB48" s="116"/>
      <c r="BMC48" s="116"/>
      <c r="BMD48" s="116"/>
      <c r="BME48" s="116"/>
      <c r="BMF48" s="116"/>
      <c r="BMG48" s="116"/>
      <c r="BMH48" s="116"/>
      <c r="BMI48" s="116"/>
      <c r="BMJ48" s="116"/>
      <c r="BMK48" s="116"/>
      <c r="BML48" s="116"/>
      <c r="BMM48" s="116"/>
      <c r="BMN48" s="116"/>
      <c r="BMO48" s="116"/>
      <c r="BMP48" s="116"/>
      <c r="BMQ48" s="116"/>
      <c r="BMR48" s="116"/>
      <c r="BMS48" s="116"/>
      <c r="BMT48" s="116"/>
      <c r="BMU48" s="116"/>
      <c r="BMV48" s="116"/>
      <c r="BMW48" s="116"/>
      <c r="BMX48" s="116"/>
      <c r="BMY48" s="116"/>
      <c r="BMZ48" s="116"/>
      <c r="BNA48" s="116"/>
      <c r="BNB48" s="116"/>
      <c r="BNC48" s="116"/>
      <c r="BND48" s="116"/>
      <c r="BNE48" s="116"/>
      <c r="BNF48" s="116"/>
      <c r="BNG48" s="116"/>
      <c r="BNH48" s="116"/>
      <c r="BNI48" s="116"/>
      <c r="BNJ48" s="116"/>
      <c r="BNK48" s="116"/>
      <c r="BNL48" s="116"/>
      <c r="BNM48" s="116"/>
      <c r="BNN48" s="116"/>
      <c r="BNO48" s="116"/>
      <c r="BNP48" s="116"/>
      <c r="BNQ48" s="116"/>
      <c r="BNR48" s="116"/>
      <c r="BNS48" s="116"/>
      <c r="BNT48" s="116"/>
      <c r="BNU48" s="116"/>
      <c r="BNV48" s="116"/>
      <c r="BNW48" s="116"/>
      <c r="BNX48" s="116"/>
      <c r="BNY48" s="116"/>
      <c r="BNZ48" s="116"/>
      <c r="BOA48" s="116"/>
      <c r="BOB48" s="116"/>
      <c r="BOC48" s="116"/>
      <c r="BOD48" s="116"/>
      <c r="BOE48" s="116"/>
      <c r="BOF48" s="116"/>
      <c r="BOG48" s="116"/>
      <c r="BOH48" s="116"/>
      <c r="BOI48" s="116"/>
      <c r="BOJ48" s="116"/>
      <c r="BOK48" s="116"/>
      <c r="BOL48" s="116"/>
      <c r="BOM48" s="116"/>
      <c r="BON48" s="116"/>
      <c r="BOO48" s="116"/>
      <c r="BOP48" s="116"/>
      <c r="BOQ48" s="116"/>
      <c r="BOR48" s="116"/>
      <c r="BOS48" s="116"/>
      <c r="BOT48" s="116"/>
      <c r="BOU48" s="116"/>
      <c r="BOV48" s="116"/>
      <c r="BOW48" s="116"/>
      <c r="BOX48" s="116"/>
      <c r="BOY48" s="116"/>
      <c r="BOZ48" s="116"/>
      <c r="BPA48" s="116"/>
      <c r="BPB48" s="116"/>
      <c r="BPC48" s="116"/>
      <c r="BPD48" s="116"/>
      <c r="BPE48" s="116"/>
      <c r="BPF48" s="116"/>
      <c r="BPG48" s="116"/>
      <c r="BPH48" s="116"/>
      <c r="BPI48" s="116"/>
      <c r="BPJ48" s="116"/>
      <c r="BPK48" s="116"/>
      <c r="BPL48" s="116"/>
      <c r="BPM48" s="116"/>
      <c r="BPN48" s="116"/>
      <c r="BPO48" s="116"/>
      <c r="BPP48" s="116"/>
      <c r="BPQ48" s="116"/>
      <c r="BPR48" s="116"/>
      <c r="BPS48" s="116"/>
      <c r="BPT48" s="116"/>
      <c r="BPU48" s="116"/>
      <c r="BPV48" s="116"/>
      <c r="BPW48" s="116"/>
      <c r="BPX48" s="116"/>
      <c r="BPY48" s="116"/>
      <c r="BPZ48" s="116"/>
      <c r="BQA48" s="116"/>
      <c r="BQB48" s="116"/>
      <c r="BQC48" s="116"/>
      <c r="BQD48" s="116"/>
      <c r="BQE48" s="116"/>
      <c r="BQF48" s="116"/>
      <c r="BQG48" s="116"/>
      <c r="BQH48" s="116"/>
      <c r="BQI48" s="116"/>
      <c r="BQJ48" s="116"/>
      <c r="BQK48" s="116"/>
      <c r="BQL48" s="116"/>
      <c r="BQM48" s="116"/>
      <c r="BQN48" s="116"/>
      <c r="BQO48" s="116"/>
      <c r="BQP48" s="116"/>
      <c r="BQQ48" s="116"/>
      <c r="BQR48" s="116"/>
      <c r="BQS48" s="116"/>
      <c r="BQT48" s="116"/>
      <c r="BQU48" s="116"/>
      <c r="BQV48" s="116"/>
      <c r="BQW48" s="116"/>
      <c r="BQX48" s="116"/>
      <c r="BQY48" s="116"/>
      <c r="BQZ48" s="116"/>
      <c r="BRA48" s="116"/>
      <c r="BRB48" s="116"/>
      <c r="BRC48" s="116"/>
      <c r="BRD48" s="116"/>
      <c r="BRE48" s="116"/>
      <c r="BRF48" s="116"/>
      <c r="BRG48" s="116"/>
      <c r="BRH48" s="116"/>
      <c r="BRI48" s="116"/>
      <c r="BRJ48" s="116"/>
      <c r="BRK48" s="116"/>
      <c r="BRL48" s="116"/>
      <c r="BRM48" s="116"/>
      <c r="BRN48" s="116"/>
      <c r="BRO48" s="116"/>
      <c r="BRP48" s="116"/>
      <c r="BRQ48" s="116"/>
      <c r="BRR48" s="116"/>
      <c r="BRS48" s="116"/>
      <c r="BRT48" s="116"/>
      <c r="BRU48" s="116"/>
      <c r="BRV48" s="116"/>
      <c r="BRW48" s="116"/>
      <c r="BRX48" s="116"/>
      <c r="BRY48" s="116"/>
      <c r="BRZ48" s="116"/>
      <c r="BSA48" s="116"/>
      <c r="BSB48" s="116"/>
      <c r="BSC48" s="116"/>
      <c r="BSD48" s="116"/>
      <c r="BSE48" s="116"/>
      <c r="BSF48" s="116"/>
      <c r="BSG48" s="116"/>
      <c r="BSH48" s="116"/>
      <c r="BSI48" s="116"/>
      <c r="BSJ48" s="116"/>
      <c r="BSK48" s="116"/>
      <c r="BSL48" s="116"/>
      <c r="BSM48" s="116"/>
      <c r="BSN48" s="116"/>
      <c r="BSO48" s="116"/>
      <c r="BSP48" s="116"/>
      <c r="BSQ48" s="116"/>
      <c r="BSR48" s="116"/>
      <c r="BSS48" s="116"/>
      <c r="BST48" s="116"/>
      <c r="BSU48" s="116"/>
      <c r="BSV48" s="116"/>
      <c r="BSW48" s="116"/>
      <c r="BSX48" s="116"/>
      <c r="BSY48" s="116"/>
      <c r="BSZ48" s="116"/>
      <c r="BTA48" s="116"/>
      <c r="BTB48" s="116"/>
      <c r="BTC48" s="116"/>
      <c r="BTD48" s="116"/>
      <c r="BTE48" s="116"/>
      <c r="BTF48" s="116"/>
      <c r="BTG48" s="116"/>
      <c r="BTH48" s="116"/>
      <c r="BTI48" s="116"/>
      <c r="BTJ48" s="116"/>
      <c r="BTK48" s="116"/>
      <c r="BTL48" s="116"/>
      <c r="BTM48" s="116"/>
      <c r="BTN48" s="116"/>
      <c r="BTO48" s="116"/>
      <c r="BTP48" s="116"/>
      <c r="BTQ48" s="116"/>
      <c r="BTR48" s="116"/>
      <c r="BTS48" s="116"/>
      <c r="BTT48" s="116"/>
      <c r="BTU48" s="116"/>
      <c r="BTV48" s="116"/>
      <c r="BTW48" s="116"/>
      <c r="BTX48" s="116"/>
      <c r="BTY48" s="116"/>
      <c r="BTZ48" s="116"/>
      <c r="BUA48" s="116"/>
      <c r="BUB48" s="116"/>
      <c r="BUC48" s="116"/>
      <c r="BUD48" s="116"/>
      <c r="BUE48" s="116"/>
      <c r="BUF48" s="116"/>
      <c r="BUG48" s="116"/>
      <c r="BUH48" s="116"/>
      <c r="BUI48" s="116"/>
      <c r="BUJ48" s="116"/>
      <c r="BUK48" s="116"/>
      <c r="BUL48" s="116"/>
      <c r="BUM48" s="116"/>
      <c r="BUN48" s="116"/>
      <c r="BUO48" s="116"/>
      <c r="BUP48" s="116"/>
      <c r="BUQ48" s="116"/>
      <c r="BUR48" s="116"/>
      <c r="BUS48" s="116"/>
      <c r="BUT48" s="116"/>
      <c r="BUU48" s="116"/>
      <c r="BUV48" s="116"/>
      <c r="BUW48" s="116"/>
      <c r="BUX48" s="116"/>
      <c r="BUY48" s="116"/>
      <c r="BUZ48" s="116"/>
      <c r="BVA48" s="116"/>
      <c r="BVB48" s="116"/>
      <c r="BVC48" s="116"/>
      <c r="BVD48" s="116"/>
      <c r="BVE48" s="116"/>
      <c r="BVF48" s="116"/>
      <c r="BVG48" s="116"/>
      <c r="BVH48" s="116"/>
      <c r="BVI48" s="116"/>
      <c r="BVJ48" s="116"/>
      <c r="BVK48" s="116"/>
      <c r="BVL48" s="116"/>
      <c r="BVM48" s="116"/>
      <c r="BVN48" s="116"/>
      <c r="BVO48" s="116"/>
      <c r="BVP48" s="116"/>
      <c r="BVQ48" s="116"/>
      <c r="BVR48" s="116"/>
      <c r="BVS48" s="116"/>
      <c r="BVT48" s="116"/>
      <c r="BVU48" s="116"/>
      <c r="BVV48" s="116"/>
      <c r="BVW48" s="116"/>
      <c r="BVX48" s="116"/>
      <c r="BVY48" s="116"/>
      <c r="BVZ48" s="116"/>
      <c r="BWA48" s="116"/>
      <c r="BWB48" s="116"/>
      <c r="BWC48" s="116"/>
      <c r="BWD48" s="116"/>
      <c r="BWE48" s="116"/>
      <c r="BWF48" s="116"/>
      <c r="BWG48" s="116"/>
      <c r="BWH48" s="116"/>
      <c r="BWI48" s="116"/>
      <c r="BWJ48" s="116"/>
      <c r="BWK48" s="116"/>
      <c r="BWL48" s="116"/>
      <c r="BWM48" s="116"/>
      <c r="BWN48" s="116"/>
      <c r="BWO48" s="116"/>
      <c r="BWP48" s="116"/>
      <c r="BWQ48" s="116"/>
      <c r="BWR48" s="116"/>
      <c r="BWS48" s="116"/>
      <c r="BWT48" s="116"/>
      <c r="BWU48" s="116"/>
      <c r="BWV48" s="116"/>
      <c r="BWW48" s="116"/>
      <c r="BWX48" s="116"/>
      <c r="BWY48" s="116"/>
      <c r="BWZ48" s="116"/>
      <c r="BXA48" s="116"/>
      <c r="BXB48" s="116"/>
      <c r="BXC48" s="116"/>
      <c r="BXD48" s="116"/>
      <c r="BXE48" s="116"/>
      <c r="BXF48" s="116"/>
      <c r="BXG48" s="116"/>
      <c r="BXH48" s="116"/>
      <c r="BXI48" s="116"/>
      <c r="BXJ48" s="116"/>
      <c r="BXK48" s="116"/>
      <c r="BXL48" s="116"/>
      <c r="BXM48" s="116"/>
      <c r="BXN48" s="116"/>
      <c r="BXO48" s="116"/>
      <c r="BXP48" s="116"/>
      <c r="BXQ48" s="116"/>
      <c r="BXR48" s="116"/>
      <c r="BXS48" s="116"/>
      <c r="BXT48" s="116"/>
      <c r="BXU48" s="116"/>
      <c r="BXV48" s="116"/>
      <c r="BXW48" s="116"/>
      <c r="BXX48" s="116"/>
      <c r="BXY48" s="116"/>
      <c r="BXZ48" s="116"/>
      <c r="BYA48" s="116"/>
      <c r="BYB48" s="116"/>
      <c r="BYC48" s="116"/>
      <c r="BYD48" s="116"/>
      <c r="BYE48" s="116"/>
      <c r="BYF48" s="116"/>
      <c r="BYG48" s="116"/>
      <c r="BYH48" s="116"/>
      <c r="BYI48" s="116"/>
      <c r="BYJ48" s="116"/>
      <c r="BYK48" s="116"/>
      <c r="BYL48" s="116"/>
      <c r="BYM48" s="116"/>
      <c r="BYN48" s="116"/>
      <c r="BYO48" s="116"/>
      <c r="BYP48" s="116"/>
      <c r="BYQ48" s="116"/>
      <c r="BYR48" s="116"/>
      <c r="BYS48" s="116"/>
      <c r="BYT48" s="116"/>
      <c r="BYU48" s="116"/>
      <c r="BYV48" s="116"/>
      <c r="BYW48" s="116"/>
      <c r="BYX48" s="116"/>
      <c r="BYY48" s="116"/>
      <c r="BYZ48" s="116"/>
      <c r="BZA48" s="116"/>
      <c r="BZB48" s="116"/>
      <c r="BZC48" s="116"/>
      <c r="BZD48" s="116"/>
      <c r="BZE48" s="116"/>
      <c r="BZF48" s="116"/>
      <c r="BZG48" s="116"/>
      <c r="BZH48" s="116"/>
      <c r="BZI48" s="116"/>
      <c r="BZJ48" s="116"/>
      <c r="BZK48" s="116"/>
      <c r="BZL48" s="116"/>
      <c r="BZM48" s="116"/>
      <c r="BZN48" s="116"/>
      <c r="BZO48" s="116"/>
      <c r="BZP48" s="116"/>
      <c r="BZQ48" s="116"/>
      <c r="BZR48" s="116"/>
      <c r="BZS48" s="116"/>
      <c r="BZT48" s="116"/>
      <c r="BZU48" s="116"/>
      <c r="BZV48" s="116"/>
      <c r="BZW48" s="116"/>
      <c r="BZX48" s="116"/>
      <c r="BZY48" s="116"/>
      <c r="BZZ48" s="116"/>
      <c r="CAA48" s="116"/>
      <c r="CAB48" s="116"/>
      <c r="CAC48" s="116"/>
      <c r="CAD48" s="116"/>
      <c r="CAE48" s="116"/>
      <c r="CAF48" s="116"/>
      <c r="CAG48" s="116"/>
      <c r="CAH48" s="116"/>
      <c r="CAI48" s="116"/>
      <c r="CAJ48" s="116"/>
      <c r="CAK48" s="116"/>
      <c r="CAL48" s="116"/>
      <c r="CAM48" s="116"/>
      <c r="CAN48" s="116"/>
      <c r="CAO48" s="116"/>
      <c r="CAP48" s="116"/>
      <c r="CAQ48" s="116"/>
      <c r="CAR48" s="116"/>
      <c r="CAS48" s="116"/>
      <c r="CAT48" s="116"/>
      <c r="CAU48" s="116"/>
      <c r="CAV48" s="116"/>
      <c r="CAW48" s="116"/>
      <c r="CAX48" s="116"/>
      <c r="CAY48" s="116"/>
      <c r="CAZ48" s="116"/>
      <c r="CBA48" s="116"/>
      <c r="CBB48" s="116"/>
      <c r="CBC48" s="116"/>
      <c r="CBD48" s="116"/>
      <c r="CBE48" s="116"/>
      <c r="CBF48" s="116"/>
      <c r="CBG48" s="116"/>
      <c r="CBH48" s="116"/>
      <c r="CBI48" s="116"/>
      <c r="CBJ48" s="116"/>
      <c r="CBK48" s="116"/>
      <c r="CBL48" s="116"/>
      <c r="CBM48" s="116"/>
      <c r="CBN48" s="116"/>
      <c r="CBO48" s="116"/>
      <c r="CBP48" s="116"/>
      <c r="CBQ48" s="116"/>
      <c r="CBR48" s="116"/>
      <c r="CBS48" s="116"/>
      <c r="CBT48" s="116"/>
      <c r="CBU48" s="116"/>
      <c r="CBV48" s="116"/>
      <c r="CBW48" s="116"/>
      <c r="CBX48" s="116"/>
      <c r="CBY48" s="116"/>
      <c r="CBZ48" s="116"/>
      <c r="CCA48" s="116"/>
      <c r="CCB48" s="116"/>
      <c r="CCC48" s="116"/>
      <c r="CCD48" s="116"/>
      <c r="CCE48" s="116"/>
      <c r="CCF48" s="116"/>
      <c r="CCG48" s="116"/>
      <c r="CCH48" s="116"/>
      <c r="CCI48" s="116"/>
      <c r="CCJ48" s="116"/>
      <c r="CCK48" s="116"/>
      <c r="CCL48" s="116"/>
      <c r="CCM48" s="116"/>
      <c r="CCN48" s="116"/>
      <c r="CCO48" s="116"/>
      <c r="CCP48" s="116"/>
      <c r="CCQ48" s="116"/>
      <c r="CCR48" s="116"/>
      <c r="CCS48" s="116"/>
      <c r="CCT48" s="116"/>
      <c r="CCU48" s="116"/>
      <c r="CCV48" s="116"/>
      <c r="CCW48" s="116"/>
      <c r="CCX48" s="116"/>
      <c r="CCY48" s="116"/>
      <c r="CCZ48" s="116"/>
      <c r="CDA48" s="116"/>
      <c r="CDB48" s="116"/>
      <c r="CDC48" s="116"/>
      <c r="CDD48" s="116"/>
      <c r="CDE48" s="116"/>
      <c r="CDF48" s="116"/>
      <c r="CDG48" s="116"/>
      <c r="CDH48" s="116"/>
      <c r="CDI48" s="116"/>
      <c r="CDJ48" s="116"/>
      <c r="CDK48" s="116"/>
      <c r="CDL48" s="116"/>
      <c r="CDM48" s="116"/>
      <c r="CDN48" s="116"/>
      <c r="CDO48" s="116"/>
      <c r="CDP48" s="116"/>
      <c r="CDQ48" s="116"/>
      <c r="CDR48" s="116"/>
      <c r="CDS48" s="116"/>
      <c r="CDT48" s="116"/>
      <c r="CDU48" s="116"/>
      <c r="CDV48" s="116"/>
      <c r="CDW48" s="116"/>
      <c r="CDX48" s="116"/>
      <c r="CDY48" s="116"/>
      <c r="CDZ48" s="116"/>
      <c r="CEA48" s="116"/>
      <c r="CEB48" s="116"/>
      <c r="CEC48" s="116"/>
      <c r="CED48" s="116"/>
      <c r="CEE48" s="116"/>
      <c r="CEF48" s="116"/>
      <c r="CEG48" s="116"/>
      <c r="CEH48" s="116"/>
      <c r="CEI48" s="116"/>
      <c r="CEJ48" s="116"/>
      <c r="CEK48" s="116"/>
      <c r="CEL48" s="116"/>
      <c r="CEM48" s="116"/>
      <c r="CEN48" s="116"/>
      <c r="CEO48" s="116"/>
      <c r="CEP48" s="116"/>
      <c r="CEQ48" s="116"/>
      <c r="CER48" s="116"/>
      <c r="CES48" s="116"/>
      <c r="CET48" s="116"/>
      <c r="CEU48" s="116"/>
      <c r="CEV48" s="116"/>
      <c r="CEW48" s="116"/>
      <c r="CEX48" s="116"/>
      <c r="CEY48" s="116"/>
      <c r="CEZ48" s="116"/>
      <c r="CFA48" s="116"/>
      <c r="CFB48" s="116"/>
      <c r="CFC48" s="116"/>
      <c r="CFD48" s="116"/>
      <c r="CFE48" s="116"/>
      <c r="CFF48" s="116"/>
      <c r="CFG48" s="116"/>
      <c r="CFH48" s="116"/>
      <c r="CFI48" s="116"/>
      <c r="CFJ48" s="116"/>
      <c r="CFK48" s="116"/>
      <c r="CFL48" s="116"/>
      <c r="CFM48" s="116"/>
      <c r="CFN48" s="116"/>
      <c r="CFO48" s="116"/>
      <c r="CFP48" s="116"/>
      <c r="CFQ48" s="116"/>
      <c r="CFR48" s="116"/>
      <c r="CFS48" s="116"/>
      <c r="CFT48" s="116"/>
      <c r="CFU48" s="116"/>
      <c r="CFV48" s="116"/>
      <c r="CFW48" s="116"/>
      <c r="CFX48" s="116"/>
      <c r="CFY48" s="116"/>
      <c r="CFZ48" s="116"/>
      <c r="CGA48" s="116"/>
      <c r="CGB48" s="116"/>
      <c r="CGC48" s="116"/>
      <c r="CGD48" s="116"/>
      <c r="CGE48" s="116"/>
      <c r="CGF48" s="116"/>
      <c r="CGG48" s="116"/>
      <c r="CGH48" s="116"/>
      <c r="CGI48" s="116"/>
      <c r="CGJ48" s="116"/>
      <c r="CGK48" s="116"/>
      <c r="CGL48" s="116"/>
      <c r="CGM48" s="116"/>
      <c r="CGN48" s="116"/>
      <c r="CGO48" s="116"/>
      <c r="CGP48" s="116"/>
      <c r="CGQ48" s="116"/>
      <c r="CGR48" s="116"/>
      <c r="CGS48" s="116"/>
      <c r="CGT48" s="116"/>
      <c r="CGU48" s="116"/>
      <c r="CGV48" s="116"/>
      <c r="CGW48" s="116"/>
      <c r="CGX48" s="116"/>
      <c r="CGY48" s="116"/>
      <c r="CGZ48" s="116"/>
      <c r="CHA48" s="116"/>
      <c r="CHB48" s="116"/>
      <c r="CHC48" s="116"/>
      <c r="CHD48" s="116"/>
      <c r="CHE48" s="116"/>
      <c r="CHF48" s="116"/>
      <c r="CHG48" s="116"/>
      <c r="CHH48" s="116"/>
      <c r="CHI48" s="116"/>
      <c r="CHJ48" s="116"/>
      <c r="CHK48" s="116"/>
      <c r="CHL48" s="116"/>
      <c r="CHM48" s="116"/>
      <c r="CHN48" s="116"/>
      <c r="CHO48" s="116"/>
      <c r="CHP48" s="116"/>
      <c r="CHQ48" s="116"/>
      <c r="CHR48" s="116"/>
      <c r="CHS48" s="116"/>
      <c r="CHT48" s="116"/>
      <c r="CHU48" s="116"/>
      <c r="CHV48" s="116"/>
      <c r="CHW48" s="116"/>
      <c r="CHX48" s="116"/>
      <c r="CHY48" s="116"/>
      <c r="CHZ48" s="116"/>
      <c r="CIA48" s="116"/>
      <c r="CIB48" s="116"/>
      <c r="CIC48" s="116"/>
      <c r="CID48" s="116"/>
      <c r="CIE48" s="116"/>
      <c r="CIF48" s="116"/>
      <c r="CIG48" s="116"/>
      <c r="CIH48" s="116"/>
      <c r="CII48" s="116"/>
      <c r="CIJ48" s="116"/>
      <c r="CIK48" s="116"/>
      <c r="CIL48" s="116"/>
      <c r="CIM48" s="116"/>
      <c r="CIN48" s="116"/>
      <c r="CIO48" s="116"/>
      <c r="CIP48" s="116"/>
      <c r="CIQ48" s="116"/>
      <c r="CIR48" s="116"/>
      <c r="CIS48" s="116"/>
      <c r="CIT48" s="116"/>
      <c r="CIU48" s="116"/>
      <c r="CIV48" s="116"/>
      <c r="CIW48" s="116"/>
      <c r="CIX48" s="116"/>
      <c r="CIY48" s="116"/>
      <c r="CIZ48" s="116"/>
      <c r="CJA48" s="116"/>
      <c r="CJB48" s="116"/>
      <c r="CJC48" s="116"/>
      <c r="CJD48" s="116"/>
      <c r="CJE48" s="116"/>
      <c r="CJF48" s="116"/>
      <c r="CJG48" s="116"/>
      <c r="CJH48" s="116"/>
      <c r="CJI48" s="116"/>
      <c r="CJJ48" s="116"/>
      <c r="CJK48" s="116"/>
      <c r="CJL48" s="116"/>
      <c r="CJM48" s="116"/>
      <c r="CJN48" s="116"/>
      <c r="CJO48" s="116"/>
      <c r="CJP48" s="116"/>
      <c r="CJQ48" s="116"/>
      <c r="CJR48" s="116"/>
      <c r="CJS48" s="116"/>
      <c r="CJT48" s="116"/>
      <c r="CJU48" s="116"/>
      <c r="CJV48" s="116"/>
      <c r="CJW48" s="116"/>
      <c r="CJX48" s="116"/>
      <c r="CJY48" s="116"/>
      <c r="CJZ48" s="116"/>
      <c r="CKA48" s="116"/>
      <c r="CKB48" s="116"/>
      <c r="CKC48" s="116"/>
      <c r="CKD48" s="116"/>
      <c r="CKE48" s="116"/>
      <c r="CKF48" s="116"/>
      <c r="CKG48" s="116"/>
      <c r="CKH48" s="116"/>
      <c r="CKI48" s="116"/>
      <c r="CKJ48" s="116"/>
      <c r="CKK48" s="116"/>
      <c r="CKL48" s="116"/>
      <c r="CKM48" s="116"/>
      <c r="CKN48" s="116"/>
      <c r="CKO48" s="116"/>
      <c r="CKP48" s="116"/>
      <c r="CKQ48" s="116"/>
      <c r="CKR48" s="116"/>
      <c r="CKS48" s="116"/>
      <c r="CKT48" s="116"/>
      <c r="CKU48" s="116"/>
      <c r="CKV48" s="116"/>
      <c r="CKW48" s="116"/>
      <c r="CKX48" s="116"/>
      <c r="CKY48" s="116"/>
      <c r="CKZ48" s="116"/>
      <c r="CLA48" s="116"/>
      <c r="CLB48" s="116"/>
      <c r="CLC48" s="116"/>
      <c r="CLD48" s="116"/>
      <c r="CLE48" s="116"/>
      <c r="CLF48" s="116"/>
      <c r="CLG48" s="116"/>
      <c r="CLH48" s="116"/>
      <c r="CLI48" s="116"/>
      <c r="CLJ48" s="116"/>
      <c r="CLK48" s="116"/>
      <c r="CLL48" s="116"/>
      <c r="CLM48" s="116"/>
      <c r="CLN48" s="116"/>
      <c r="CLO48" s="116"/>
      <c r="CLP48" s="116"/>
      <c r="CLQ48" s="116"/>
      <c r="CLR48" s="116"/>
      <c r="CLS48" s="116"/>
      <c r="CLT48" s="116"/>
      <c r="CLU48" s="116"/>
      <c r="CLV48" s="116"/>
      <c r="CLW48" s="116"/>
      <c r="CLX48" s="116"/>
      <c r="CLY48" s="116"/>
      <c r="CLZ48" s="116"/>
      <c r="CMA48" s="116"/>
      <c r="CMB48" s="116"/>
      <c r="CMC48" s="116"/>
      <c r="CMD48" s="116"/>
      <c r="CME48" s="116"/>
      <c r="CMF48" s="116"/>
      <c r="CMG48" s="116"/>
      <c r="CMH48" s="116"/>
      <c r="CMI48" s="116"/>
      <c r="CMJ48" s="116"/>
      <c r="CMK48" s="116"/>
      <c r="CML48" s="116"/>
      <c r="CMM48" s="116"/>
      <c r="CMN48" s="116"/>
      <c r="CMO48" s="116"/>
      <c r="CMP48" s="116"/>
      <c r="CMQ48" s="116"/>
      <c r="CMR48" s="116"/>
      <c r="CMS48" s="116"/>
      <c r="CMT48" s="116"/>
      <c r="CMU48" s="116"/>
      <c r="CMV48" s="116"/>
      <c r="CMW48" s="116"/>
      <c r="CMX48" s="116"/>
      <c r="CMY48" s="116"/>
      <c r="CMZ48" s="116"/>
      <c r="CNA48" s="116"/>
      <c r="CNB48" s="116"/>
      <c r="CNC48" s="116"/>
      <c r="CND48" s="116"/>
      <c r="CNE48" s="116"/>
      <c r="CNF48" s="116"/>
      <c r="CNG48" s="116"/>
      <c r="CNH48" s="116"/>
      <c r="CNI48" s="116"/>
      <c r="CNJ48" s="116"/>
      <c r="CNK48" s="116"/>
      <c r="CNL48" s="116"/>
      <c r="CNM48" s="116"/>
      <c r="CNN48" s="116"/>
      <c r="CNO48" s="116"/>
      <c r="CNP48" s="116"/>
      <c r="CNQ48" s="116"/>
      <c r="CNR48" s="116"/>
      <c r="CNS48" s="116"/>
      <c r="CNT48" s="116"/>
      <c r="CNU48" s="116"/>
      <c r="CNV48" s="116"/>
      <c r="CNW48" s="116"/>
      <c r="CNX48" s="116"/>
      <c r="CNY48" s="116"/>
      <c r="CNZ48" s="116"/>
      <c r="COA48" s="116"/>
      <c r="COB48" s="116"/>
      <c r="COC48" s="116"/>
      <c r="COD48" s="116"/>
      <c r="COE48" s="116"/>
      <c r="COF48" s="116"/>
      <c r="COG48" s="116"/>
      <c r="COH48" s="116"/>
      <c r="COI48" s="116"/>
      <c r="COJ48" s="116"/>
      <c r="COK48" s="116"/>
      <c r="COL48" s="116"/>
      <c r="COM48" s="116"/>
      <c r="CON48" s="116"/>
      <c r="COO48" s="116"/>
      <c r="COP48" s="116"/>
      <c r="COQ48" s="116"/>
      <c r="COR48" s="116"/>
      <c r="COS48" s="116"/>
      <c r="COT48" s="116"/>
      <c r="COU48" s="116"/>
      <c r="COV48" s="116"/>
      <c r="COW48" s="116"/>
      <c r="COX48" s="116"/>
      <c r="COY48" s="116"/>
      <c r="COZ48" s="116"/>
      <c r="CPA48" s="116"/>
      <c r="CPB48" s="116"/>
      <c r="CPC48" s="116"/>
      <c r="CPD48" s="116"/>
      <c r="CPE48" s="116"/>
      <c r="CPF48" s="116"/>
      <c r="CPG48" s="116"/>
      <c r="CPH48" s="116"/>
      <c r="CPI48" s="116"/>
      <c r="CPJ48" s="116"/>
      <c r="CPK48" s="116"/>
      <c r="CPL48" s="116"/>
      <c r="CPM48" s="116"/>
      <c r="CPN48" s="116"/>
      <c r="CPO48" s="116"/>
      <c r="CPP48" s="116"/>
      <c r="CPQ48" s="116"/>
      <c r="CPR48" s="116"/>
      <c r="CPS48" s="116"/>
      <c r="CPT48" s="116"/>
      <c r="CPU48" s="116"/>
      <c r="CPV48" s="116"/>
      <c r="CPW48" s="116"/>
      <c r="CPX48" s="116"/>
      <c r="CPY48" s="116"/>
      <c r="CPZ48" s="116"/>
      <c r="CQA48" s="116"/>
      <c r="CQB48" s="116"/>
      <c r="CQC48" s="116"/>
      <c r="CQD48" s="116"/>
      <c r="CQE48" s="116"/>
      <c r="CQF48" s="116"/>
      <c r="CQG48" s="116"/>
      <c r="CQH48" s="116"/>
      <c r="CQI48" s="116"/>
      <c r="CQJ48" s="116"/>
      <c r="CQK48" s="116"/>
      <c r="CQL48" s="116"/>
      <c r="CQM48" s="116"/>
      <c r="CQN48" s="116"/>
      <c r="CQO48" s="116"/>
      <c r="CQP48" s="116"/>
      <c r="CQQ48" s="116"/>
      <c r="CQR48" s="116"/>
      <c r="CQS48" s="116"/>
      <c r="CQT48" s="116"/>
      <c r="CQU48" s="116"/>
      <c r="CQV48" s="116"/>
      <c r="CQW48" s="116"/>
      <c r="CQX48" s="116"/>
      <c r="CQY48" s="116"/>
      <c r="CQZ48" s="116"/>
      <c r="CRA48" s="116"/>
      <c r="CRB48" s="116"/>
      <c r="CRC48" s="116"/>
      <c r="CRD48" s="116"/>
      <c r="CRE48" s="116"/>
      <c r="CRF48" s="116"/>
      <c r="CRG48" s="116"/>
      <c r="CRH48" s="116"/>
      <c r="CRI48" s="116"/>
      <c r="CRJ48" s="116"/>
      <c r="CRK48" s="116"/>
      <c r="CRL48" s="116"/>
      <c r="CRM48" s="116"/>
      <c r="CRN48" s="116"/>
      <c r="CRO48" s="116"/>
      <c r="CRP48" s="116"/>
      <c r="CRQ48" s="116"/>
      <c r="CRR48" s="116"/>
      <c r="CRS48" s="116"/>
      <c r="CRT48" s="116"/>
      <c r="CRU48" s="116"/>
      <c r="CRV48" s="116"/>
      <c r="CRW48" s="116"/>
      <c r="CRX48" s="116"/>
      <c r="CRY48" s="116"/>
      <c r="CRZ48" s="116"/>
      <c r="CSA48" s="116"/>
      <c r="CSB48" s="116"/>
      <c r="CSC48" s="116"/>
      <c r="CSD48" s="116"/>
      <c r="CSE48" s="116"/>
      <c r="CSF48" s="116"/>
      <c r="CSG48" s="116"/>
      <c r="CSH48" s="116"/>
      <c r="CSI48" s="116"/>
      <c r="CSJ48" s="116"/>
      <c r="CSK48" s="116"/>
      <c r="CSL48" s="116"/>
      <c r="CSM48" s="116"/>
      <c r="CSN48" s="116"/>
      <c r="CSO48" s="116"/>
      <c r="CSP48" s="116"/>
      <c r="CSQ48" s="116"/>
      <c r="CSR48" s="116"/>
      <c r="CSS48" s="116"/>
      <c r="CST48" s="116"/>
      <c r="CSU48" s="116"/>
      <c r="CSV48" s="116"/>
      <c r="CSW48" s="116"/>
      <c r="CSX48" s="116"/>
      <c r="CSY48" s="116"/>
      <c r="CSZ48" s="116"/>
      <c r="CTA48" s="116"/>
      <c r="CTB48" s="116"/>
      <c r="CTC48" s="116"/>
      <c r="CTD48" s="116"/>
      <c r="CTE48" s="116"/>
      <c r="CTF48" s="116"/>
      <c r="CTG48" s="116"/>
      <c r="CTH48" s="116"/>
      <c r="CTI48" s="116"/>
      <c r="CTJ48" s="116"/>
      <c r="CTK48" s="116"/>
      <c r="CTL48" s="116"/>
      <c r="CTM48" s="116"/>
      <c r="CTN48" s="116"/>
      <c r="CTO48" s="116"/>
      <c r="CTP48" s="116"/>
      <c r="CTQ48" s="116"/>
      <c r="CTR48" s="116"/>
      <c r="CTS48" s="116"/>
      <c r="CTT48" s="116"/>
      <c r="CTU48" s="116"/>
      <c r="CTV48" s="116"/>
      <c r="CTW48" s="116"/>
      <c r="CTX48" s="116"/>
      <c r="CTY48" s="116"/>
      <c r="CTZ48" s="116"/>
      <c r="CUA48" s="116"/>
      <c r="CUB48" s="116"/>
      <c r="CUC48" s="116"/>
      <c r="CUD48" s="116"/>
      <c r="CUE48" s="116"/>
      <c r="CUF48" s="116"/>
      <c r="CUG48" s="116"/>
      <c r="CUH48" s="116"/>
      <c r="CUI48" s="116"/>
      <c r="CUJ48" s="116"/>
      <c r="CUK48" s="116"/>
      <c r="CUL48" s="116"/>
      <c r="CUM48" s="116"/>
      <c r="CUN48" s="116"/>
      <c r="CUO48" s="116"/>
      <c r="CUP48" s="116"/>
      <c r="CUQ48" s="116"/>
      <c r="CUR48" s="116"/>
      <c r="CUS48" s="116"/>
      <c r="CUT48" s="116"/>
      <c r="CUU48" s="116"/>
      <c r="CUV48" s="116"/>
      <c r="CUW48" s="116"/>
      <c r="CUX48" s="116"/>
      <c r="CUY48" s="116"/>
      <c r="CUZ48" s="116"/>
      <c r="CVA48" s="116"/>
      <c r="CVB48" s="116"/>
      <c r="CVC48" s="116"/>
      <c r="CVD48" s="116"/>
      <c r="CVE48" s="116"/>
      <c r="CVF48" s="116"/>
      <c r="CVG48" s="116"/>
      <c r="CVH48" s="116"/>
      <c r="CVI48" s="116"/>
      <c r="CVJ48" s="116"/>
      <c r="CVK48" s="116"/>
      <c r="CVL48" s="116"/>
      <c r="CVM48" s="116"/>
      <c r="CVN48" s="116"/>
      <c r="CVO48" s="116"/>
      <c r="CVP48" s="116"/>
      <c r="CVQ48" s="116"/>
      <c r="CVR48" s="116"/>
      <c r="CVS48" s="116"/>
      <c r="CVT48" s="116"/>
      <c r="CVU48" s="116"/>
      <c r="CVV48" s="116"/>
      <c r="CVW48" s="116"/>
      <c r="CVX48" s="116"/>
      <c r="CVY48" s="116"/>
      <c r="CVZ48" s="116"/>
      <c r="CWA48" s="116"/>
      <c r="CWB48" s="116"/>
      <c r="CWC48" s="116"/>
      <c r="CWD48" s="116"/>
      <c r="CWE48" s="116"/>
      <c r="CWF48" s="116"/>
      <c r="CWG48" s="116"/>
      <c r="CWH48" s="116"/>
      <c r="CWI48" s="116"/>
      <c r="CWJ48" s="116"/>
      <c r="CWK48" s="116"/>
      <c r="CWL48" s="116"/>
      <c r="CWM48" s="116"/>
      <c r="CWN48" s="116"/>
      <c r="CWO48" s="116"/>
      <c r="CWP48" s="116"/>
      <c r="CWQ48" s="116"/>
      <c r="CWR48" s="116"/>
      <c r="CWS48" s="116"/>
      <c r="CWT48" s="116"/>
      <c r="CWU48" s="116"/>
      <c r="CWV48" s="116"/>
      <c r="CWW48" s="116"/>
      <c r="CWX48" s="116"/>
      <c r="CWY48" s="116"/>
      <c r="CWZ48" s="116"/>
      <c r="CXA48" s="116"/>
      <c r="CXB48" s="116"/>
      <c r="CXC48" s="116"/>
      <c r="CXD48" s="116"/>
      <c r="CXE48" s="116"/>
      <c r="CXF48" s="116"/>
      <c r="CXG48" s="116"/>
      <c r="CXH48" s="116"/>
      <c r="CXI48" s="116"/>
      <c r="CXJ48" s="116"/>
      <c r="CXK48" s="116"/>
      <c r="CXL48" s="116"/>
      <c r="CXM48" s="116"/>
      <c r="CXN48" s="116"/>
      <c r="CXO48" s="116"/>
      <c r="CXP48" s="116"/>
      <c r="CXQ48" s="116"/>
      <c r="CXR48" s="116"/>
      <c r="CXS48" s="116"/>
      <c r="CXT48" s="116"/>
      <c r="CXU48" s="116"/>
      <c r="CXV48" s="116"/>
      <c r="CXW48" s="116"/>
      <c r="CXX48" s="116"/>
      <c r="CXY48" s="116"/>
      <c r="CXZ48" s="116"/>
      <c r="CYA48" s="116"/>
      <c r="CYB48" s="116"/>
      <c r="CYC48" s="116"/>
      <c r="CYD48" s="116"/>
      <c r="CYE48" s="116"/>
      <c r="CYF48" s="116"/>
      <c r="CYG48" s="116"/>
      <c r="CYH48" s="116"/>
      <c r="CYI48" s="116"/>
      <c r="CYJ48" s="116"/>
      <c r="CYK48" s="116"/>
      <c r="CYL48" s="116"/>
      <c r="CYM48" s="116"/>
      <c r="CYN48" s="116"/>
      <c r="CYO48" s="116"/>
      <c r="CYP48" s="116"/>
      <c r="CYQ48" s="116"/>
      <c r="CYR48" s="116"/>
      <c r="CYS48" s="116"/>
      <c r="CYT48" s="116"/>
      <c r="CYU48" s="116"/>
      <c r="CYV48" s="116"/>
      <c r="CYW48" s="116"/>
      <c r="CYX48" s="116"/>
      <c r="CYY48" s="116"/>
      <c r="CYZ48" s="116"/>
      <c r="CZA48" s="116"/>
      <c r="CZB48" s="116"/>
      <c r="CZC48" s="116"/>
      <c r="CZD48" s="116"/>
      <c r="CZE48" s="116"/>
      <c r="CZF48" s="116"/>
      <c r="CZG48" s="116"/>
      <c r="CZH48" s="116"/>
      <c r="CZI48" s="116"/>
      <c r="CZJ48" s="116"/>
      <c r="CZK48" s="116"/>
      <c r="CZL48" s="116"/>
      <c r="CZM48" s="116"/>
      <c r="CZN48" s="116"/>
      <c r="CZO48" s="116"/>
      <c r="CZP48" s="116"/>
      <c r="CZQ48" s="116"/>
      <c r="CZR48" s="116"/>
      <c r="CZS48" s="116"/>
      <c r="CZT48" s="116"/>
      <c r="CZU48" s="116"/>
      <c r="CZV48" s="116"/>
      <c r="CZW48" s="116"/>
      <c r="CZX48" s="116"/>
      <c r="CZY48" s="116"/>
      <c r="CZZ48" s="116"/>
      <c r="DAA48" s="116"/>
      <c r="DAB48" s="116"/>
      <c r="DAC48" s="116"/>
      <c r="DAD48" s="116"/>
      <c r="DAE48" s="116"/>
      <c r="DAF48" s="116"/>
      <c r="DAG48" s="116"/>
      <c r="DAH48" s="116"/>
      <c r="DAI48" s="116"/>
      <c r="DAJ48" s="116"/>
      <c r="DAK48" s="116"/>
      <c r="DAL48" s="116"/>
      <c r="DAM48" s="116"/>
      <c r="DAN48" s="116"/>
      <c r="DAO48" s="116"/>
      <c r="DAP48" s="116"/>
      <c r="DAQ48" s="116"/>
      <c r="DAR48" s="116"/>
      <c r="DAS48" s="116"/>
      <c r="DAT48" s="116"/>
      <c r="DAU48" s="116"/>
      <c r="DAV48" s="116"/>
      <c r="DAW48" s="116"/>
      <c r="DAX48" s="116"/>
      <c r="DAY48" s="116"/>
      <c r="DAZ48" s="116"/>
      <c r="DBA48" s="116"/>
      <c r="DBB48" s="116"/>
      <c r="DBC48" s="116"/>
      <c r="DBD48" s="116"/>
      <c r="DBE48" s="116"/>
      <c r="DBF48" s="116"/>
      <c r="DBG48" s="116"/>
      <c r="DBH48" s="116"/>
      <c r="DBI48" s="116"/>
      <c r="DBJ48" s="116"/>
      <c r="DBK48" s="116"/>
      <c r="DBL48" s="116"/>
      <c r="DBM48" s="116"/>
      <c r="DBN48" s="116"/>
      <c r="DBO48" s="116"/>
      <c r="DBP48" s="116"/>
      <c r="DBQ48" s="116"/>
      <c r="DBR48" s="116"/>
      <c r="DBS48" s="116"/>
      <c r="DBT48" s="116"/>
      <c r="DBU48" s="116"/>
      <c r="DBV48" s="116"/>
      <c r="DBW48" s="116"/>
      <c r="DBX48" s="116"/>
      <c r="DBY48" s="116"/>
      <c r="DBZ48" s="116"/>
      <c r="DCA48" s="116"/>
      <c r="DCB48" s="116"/>
      <c r="DCC48" s="116"/>
      <c r="DCD48" s="116"/>
      <c r="DCE48" s="116"/>
      <c r="DCF48" s="116"/>
      <c r="DCG48" s="116"/>
      <c r="DCH48" s="116"/>
      <c r="DCI48" s="116"/>
      <c r="DCJ48" s="116"/>
      <c r="DCK48" s="116"/>
      <c r="DCL48" s="116"/>
      <c r="DCM48" s="116"/>
      <c r="DCN48" s="116"/>
      <c r="DCO48" s="116"/>
      <c r="DCP48" s="116"/>
      <c r="DCQ48" s="116"/>
      <c r="DCR48" s="116"/>
      <c r="DCS48" s="116"/>
      <c r="DCT48" s="116"/>
      <c r="DCU48" s="116"/>
      <c r="DCV48" s="116"/>
      <c r="DCW48" s="116"/>
      <c r="DCX48" s="116"/>
      <c r="DCY48" s="116"/>
      <c r="DCZ48" s="116"/>
      <c r="DDA48" s="116"/>
      <c r="DDB48" s="116"/>
      <c r="DDC48" s="116"/>
      <c r="DDD48" s="116"/>
      <c r="DDE48" s="116"/>
      <c r="DDF48" s="116"/>
      <c r="DDG48" s="116"/>
      <c r="DDH48" s="116"/>
      <c r="DDI48" s="116"/>
      <c r="DDJ48" s="116"/>
      <c r="DDK48" s="116"/>
      <c r="DDL48" s="116"/>
      <c r="DDM48" s="116"/>
      <c r="DDN48" s="116"/>
      <c r="DDO48" s="116"/>
      <c r="DDP48" s="116"/>
      <c r="DDQ48" s="116"/>
      <c r="DDR48" s="116"/>
      <c r="DDS48" s="116"/>
      <c r="DDT48" s="116"/>
      <c r="DDU48" s="116"/>
      <c r="DDV48" s="116"/>
      <c r="DDW48" s="116"/>
      <c r="DDX48" s="116"/>
      <c r="DDY48" s="116"/>
      <c r="DDZ48" s="116"/>
      <c r="DEA48" s="116"/>
      <c r="DEB48" s="116"/>
      <c r="DEC48" s="116"/>
      <c r="DED48" s="116"/>
      <c r="DEE48" s="116"/>
      <c r="DEF48" s="116"/>
      <c r="DEG48" s="116"/>
      <c r="DEH48" s="116"/>
      <c r="DEI48" s="116"/>
      <c r="DEJ48" s="116"/>
      <c r="DEK48" s="116"/>
      <c r="DEL48" s="116"/>
      <c r="DEM48" s="116"/>
      <c r="DEN48" s="116"/>
      <c r="DEO48" s="116"/>
      <c r="DEP48" s="116"/>
      <c r="DEQ48" s="116"/>
      <c r="DER48" s="116"/>
      <c r="DES48" s="116"/>
      <c r="DET48" s="116"/>
      <c r="DEU48" s="116"/>
      <c r="DEV48" s="116"/>
      <c r="DEW48" s="116"/>
      <c r="DEX48" s="116"/>
      <c r="DEY48" s="116"/>
      <c r="DEZ48" s="116"/>
      <c r="DFA48" s="116"/>
      <c r="DFB48" s="116"/>
      <c r="DFC48" s="116"/>
      <c r="DFD48" s="116"/>
      <c r="DFE48" s="116"/>
      <c r="DFF48" s="116"/>
      <c r="DFG48" s="116"/>
      <c r="DFH48" s="116"/>
      <c r="DFI48" s="116"/>
      <c r="DFJ48" s="116"/>
      <c r="DFK48" s="116"/>
      <c r="DFL48" s="116"/>
      <c r="DFM48" s="116"/>
      <c r="DFN48" s="116"/>
      <c r="DFO48" s="116"/>
      <c r="DFP48" s="116"/>
      <c r="DFQ48" s="116"/>
      <c r="DFR48" s="116"/>
      <c r="DFS48" s="116"/>
      <c r="DFT48" s="116"/>
      <c r="DFU48" s="116"/>
      <c r="DFV48" s="116"/>
      <c r="DFW48" s="116"/>
      <c r="DFX48" s="116"/>
      <c r="DFY48" s="116"/>
      <c r="DFZ48" s="116"/>
      <c r="DGA48" s="116"/>
      <c r="DGB48" s="116"/>
      <c r="DGC48" s="116"/>
      <c r="DGD48" s="116"/>
      <c r="DGE48" s="116"/>
      <c r="DGF48" s="116"/>
      <c r="DGG48" s="116"/>
      <c r="DGH48" s="116"/>
      <c r="DGI48" s="116"/>
      <c r="DGJ48" s="116"/>
      <c r="DGK48" s="116"/>
      <c r="DGL48" s="116"/>
      <c r="DGM48" s="116"/>
      <c r="DGN48" s="116"/>
      <c r="DGO48" s="116"/>
      <c r="DGP48" s="116"/>
      <c r="DGQ48" s="116"/>
      <c r="DGR48" s="116"/>
      <c r="DGS48" s="116"/>
      <c r="DGT48" s="116"/>
      <c r="DGU48" s="116"/>
      <c r="DGV48" s="116"/>
      <c r="DGW48" s="116"/>
      <c r="DGX48" s="116"/>
      <c r="DGY48" s="116"/>
      <c r="DGZ48" s="116"/>
      <c r="DHA48" s="116"/>
      <c r="DHB48" s="116"/>
      <c r="DHC48" s="116"/>
      <c r="DHD48" s="116"/>
      <c r="DHE48" s="116"/>
      <c r="DHF48" s="116"/>
      <c r="DHG48" s="116"/>
      <c r="DHH48" s="116"/>
      <c r="DHI48" s="116"/>
      <c r="DHJ48" s="116"/>
      <c r="DHK48" s="116"/>
      <c r="DHL48" s="116"/>
      <c r="DHM48" s="116"/>
      <c r="DHN48" s="116"/>
      <c r="DHO48" s="116"/>
      <c r="DHP48" s="116"/>
      <c r="DHQ48" s="116"/>
      <c r="DHR48" s="116"/>
      <c r="DHS48" s="116"/>
      <c r="DHT48" s="116"/>
      <c r="DHU48" s="116"/>
      <c r="DHV48" s="116"/>
      <c r="DHW48" s="116"/>
      <c r="DHX48" s="116"/>
      <c r="DHY48" s="116"/>
      <c r="DHZ48" s="116"/>
      <c r="DIA48" s="116"/>
      <c r="DIB48" s="116"/>
      <c r="DIC48" s="116"/>
      <c r="DID48" s="116"/>
      <c r="DIE48" s="116"/>
      <c r="DIF48" s="116"/>
      <c r="DIG48" s="116"/>
      <c r="DIH48" s="116"/>
      <c r="DII48" s="116"/>
      <c r="DIJ48" s="116"/>
      <c r="DIK48" s="116"/>
      <c r="DIL48" s="116"/>
      <c r="DIM48" s="116"/>
      <c r="DIN48" s="116"/>
      <c r="DIO48" s="116"/>
      <c r="DIP48" s="116"/>
      <c r="DIQ48" s="116"/>
      <c r="DIR48" s="116"/>
      <c r="DIS48" s="116"/>
      <c r="DIT48" s="116"/>
      <c r="DIU48" s="116"/>
      <c r="DIV48" s="116"/>
      <c r="DIW48" s="116"/>
      <c r="DIX48" s="116"/>
      <c r="DIY48" s="116"/>
      <c r="DIZ48" s="116"/>
      <c r="DJA48" s="116"/>
      <c r="DJB48" s="116"/>
      <c r="DJC48" s="116"/>
      <c r="DJD48" s="116"/>
      <c r="DJE48" s="116"/>
      <c r="DJF48" s="116"/>
      <c r="DJG48" s="116"/>
      <c r="DJH48" s="116"/>
      <c r="DJI48" s="116"/>
      <c r="DJJ48" s="116"/>
      <c r="DJK48" s="116"/>
      <c r="DJL48" s="116"/>
      <c r="DJM48" s="116"/>
      <c r="DJN48" s="116"/>
      <c r="DJO48" s="116"/>
      <c r="DJP48" s="116"/>
      <c r="DJQ48" s="116"/>
      <c r="DJR48" s="116"/>
      <c r="DJS48" s="116"/>
      <c r="DJT48" s="116"/>
      <c r="DJU48" s="116"/>
      <c r="DJV48" s="116"/>
      <c r="DJW48" s="116"/>
      <c r="DJX48" s="116"/>
      <c r="DJY48" s="116"/>
      <c r="DJZ48" s="116"/>
      <c r="DKA48" s="116"/>
      <c r="DKB48" s="116"/>
      <c r="DKC48" s="116"/>
      <c r="DKD48" s="116"/>
      <c r="DKE48" s="116"/>
      <c r="DKF48" s="116"/>
      <c r="DKG48" s="116"/>
      <c r="DKH48" s="116"/>
      <c r="DKI48" s="116"/>
      <c r="DKJ48" s="116"/>
      <c r="DKK48" s="116"/>
      <c r="DKL48" s="116"/>
      <c r="DKM48" s="116"/>
      <c r="DKN48" s="116"/>
      <c r="DKO48" s="116"/>
      <c r="DKP48" s="116"/>
      <c r="DKQ48" s="116"/>
      <c r="DKR48" s="116"/>
      <c r="DKS48" s="116"/>
      <c r="DKT48" s="116"/>
      <c r="DKU48" s="116"/>
      <c r="DKV48" s="116"/>
      <c r="DKW48" s="116"/>
      <c r="DKX48" s="116"/>
      <c r="DKY48" s="116"/>
      <c r="DKZ48" s="116"/>
      <c r="DLA48" s="116"/>
      <c r="DLB48" s="116"/>
      <c r="DLC48" s="116"/>
      <c r="DLD48" s="116"/>
      <c r="DLE48" s="116"/>
      <c r="DLF48" s="116"/>
      <c r="DLG48" s="116"/>
      <c r="DLH48" s="116"/>
      <c r="DLI48" s="116"/>
      <c r="DLJ48" s="116"/>
      <c r="DLK48" s="116"/>
      <c r="DLL48" s="116"/>
      <c r="DLM48" s="116"/>
      <c r="DLN48" s="116"/>
      <c r="DLO48" s="116"/>
      <c r="DLP48" s="116"/>
      <c r="DLQ48" s="116"/>
      <c r="DLR48" s="116"/>
      <c r="DLS48" s="116"/>
      <c r="DLT48" s="116"/>
      <c r="DLU48" s="116"/>
      <c r="DLV48" s="116"/>
      <c r="DLW48" s="116"/>
      <c r="DLX48" s="116"/>
      <c r="DLY48" s="116"/>
      <c r="DLZ48" s="116"/>
      <c r="DMA48" s="116"/>
      <c r="DMB48" s="116"/>
      <c r="DMC48" s="116"/>
      <c r="DMD48" s="116"/>
      <c r="DME48" s="116"/>
      <c r="DMF48" s="116"/>
      <c r="DMG48" s="116"/>
      <c r="DMH48" s="116"/>
      <c r="DMI48" s="116"/>
      <c r="DMJ48" s="116"/>
      <c r="DMK48" s="116"/>
      <c r="DML48" s="116"/>
      <c r="DMM48" s="116"/>
      <c r="DMN48" s="116"/>
      <c r="DMO48" s="116"/>
      <c r="DMP48" s="116"/>
      <c r="DMQ48" s="116"/>
      <c r="DMR48" s="116"/>
      <c r="DMS48" s="116"/>
      <c r="DMT48" s="116"/>
      <c r="DMU48" s="116"/>
      <c r="DMV48" s="116"/>
      <c r="DMW48" s="116"/>
      <c r="DMX48" s="116"/>
      <c r="DMY48" s="116"/>
      <c r="DMZ48" s="116"/>
      <c r="DNA48" s="116"/>
      <c r="DNB48" s="116"/>
      <c r="DNC48" s="116"/>
      <c r="DND48" s="116"/>
      <c r="DNE48" s="116"/>
      <c r="DNF48" s="116"/>
      <c r="DNG48" s="116"/>
      <c r="DNH48" s="116"/>
      <c r="DNI48" s="116"/>
      <c r="DNJ48" s="116"/>
      <c r="DNK48" s="116"/>
      <c r="DNL48" s="116"/>
      <c r="DNM48" s="116"/>
      <c r="DNN48" s="116"/>
      <c r="DNO48" s="116"/>
      <c r="DNP48" s="116"/>
      <c r="DNQ48" s="116"/>
      <c r="DNR48" s="116"/>
      <c r="DNS48" s="116"/>
      <c r="DNT48" s="116"/>
      <c r="DNU48" s="116"/>
      <c r="DNV48" s="116"/>
      <c r="DNW48" s="116"/>
      <c r="DNX48" s="116"/>
      <c r="DNY48" s="116"/>
      <c r="DNZ48" s="116"/>
      <c r="DOA48" s="116"/>
      <c r="DOB48" s="116"/>
      <c r="DOC48" s="116"/>
      <c r="DOD48" s="116"/>
      <c r="DOE48" s="116"/>
      <c r="DOF48" s="116"/>
      <c r="DOG48" s="116"/>
      <c r="DOH48" s="116"/>
      <c r="DOI48" s="116"/>
      <c r="DOJ48" s="116"/>
      <c r="DOK48" s="116"/>
      <c r="DOL48" s="116"/>
      <c r="DOM48" s="116"/>
      <c r="DON48" s="116"/>
      <c r="DOO48" s="116"/>
      <c r="DOP48" s="116"/>
      <c r="DOQ48" s="116"/>
      <c r="DOR48" s="116"/>
      <c r="DOS48" s="116"/>
      <c r="DOT48" s="116"/>
      <c r="DOU48" s="116"/>
      <c r="DOV48" s="116"/>
      <c r="DOW48" s="116"/>
      <c r="DOX48" s="116"/>
      <c r="DOY48" s="116"/>
      <c r="DOZ48" s="116"/>
      <c r="DPA48" s="116"/>
      <c r="DPB48" s="116"/>
      <c r="DPC48" s="116"/>
      <c r="DPD48" s="116"/>
      <c r="DPE48" s="116"/>
      <c r="DPF48" s="116"/>
      <c r="DPG48" s="116"/>
      <c r="DPH48" s="116"/>
      <c r="DPI48" s="116"/>
      <c r="DPJ48" s="116"/>
      <c r="DPK48" s="116"/>
      <c r="DPL48" s="116"/>
      <c r="DPM48" s="116"/>
      <c r="DPN48" s="116"/>
      <c r="DPO48" s="116"/>
      <c r="DPP48" s="116"/>
      <c r="DPQ48" s="116"/>
      <c r="DPR48" s="116"/>
      <c r="DPS48" s="116"/>
      <c r="DPT48" s="116"/>
      <c r="DPU48" s="116"/>
      <c r="DPV48" s="116"/>
      <c r="DPW48" s="116"/>
      <c r="DPX48" s="116"/>
      <c r="DPY48" s="116"/>
      <c r="DPZ48" s="116"/>
      <c r="DQA48" s="116"/>
      <c r="DQB48" s="116"/>
      <c r="DQC48" s="116"/>
      <c r="DQD48" s="116"/>
      <c r="DQE48" s="116"/>
      <c r="DQF48" s="116"/>
      <c r="DQG48" s="116"/>
      <c r="DQH48" s="116"/>
      <c r="DQI48" s="116"/>
      <c r="DQJ48" s="116"/>
      <c r="DQK48" s="116"/>
      <c r="DQL48" s="116"/>
      <c r="DQM48" s="116"/>
      <c r="DQN48" s="116"/>
      <c r="DQO48" s="116"/>
      <c r="DQP48" s="116"/>
      <c r="DQQ48" s="116"/>
      <c r="DQR48" s="116"/>
      <c r="DQS48" s="116"/>
      <c r="DQT48" s="116"/>
      <c r="DQU48" s="116"/>
      <c r="DQV48" s="116"/>
      <c r="DQW48" s="116"/>
      <c r="DQX48" s="116"/>
      <c r="DQY48" s="116"/>
      <c r="DQZ48" s="116"/>
      <c r="DRA48" s="116"/>
      <c r="DRB48" s="116"/>
      <c r="DRC48" s="116"/>
      <c r="DRD48" s="116"/>
      <c r="DRE48" s="116"/>
      <c r="DRF48" s="116"/>
      <c r="DRG48" s="116"/>
      <c r="DRH48" s="116"/>
      <c r="DRI48" s="116"/>
      <c r="DRJ48" s="116"/>
      <c r="DRK48" s="116"/>
      <c r="DRL48" s="116"/>
      <c r="DRM48" s="116"/>
      <c r="DRN48" s="116"/>
      <c r="DRO48" s="116"/>
      <c r="DRP48" s="116"/>
      <c r="DRQ48" s="116"/>
      <c r="DRR48" s="116"/>
      <c r="DRS48" s="116"/>
      <c r="DRT48" s="116"/>
      <c r="DRU48" s="116"/>
      <c r="DRV48" s="116"/>
      <c r="DRW48" s="116"/>
      <c r="DRX48" s="116"/>
      <c r="DRY48" s="116"/>
      <c r="DRZ48" s="116"/>
      <c r="DSA48" s="116"/>
      <c r="DSB48" s="116"/>
      <c r="DSC48" s="116"/>
      <c r="DSD48" s="116"/>
      <c r="DSE48" s="116"/>
      <c r="DSF48" s="116"/>
      <c r="DSG48" s="116"/>
      <c r="DSH48" s="116"/>
      <c r="DSI48" s="116"/>
      <c r="DSJ48" s="116"/>
      <c r="DSK48" s="116"/>
      <c r="DSL48" s="116"/>
      <c r="DSM48" s="116"/>
      <c r="DSN48" s="116"/>
      <c r="DSO48" s="116"/>
      <c r="DSP48" s="116"/>
      <c r="DSQ48" s="116"/>
      <c r="DSR48" s="116"/>
      <c r="DSS48" s="116"/>
      <c r="DST48" s="116"/>
      <c r="DSU48" s="116"/>
      <c r="DSV48" s="116"/>
      <c r="DSW48" s="116"/>
      <c r="DSX48" s="116"/>
      <c r="DSY48" s="116"/>
      <c r="DSZ48" s="116"/>
      <c r="DTA48" s="116"/>
      <c r="DTB48" s="116"/>
      <c r="DTC48" s="116"/>
      <c r="DTD48" s="116"/>
      <c r="DTE48" s="116"/>
      <c r="DTF48" s="116"/>
      <c r="DTG48" s="116"/>
      <c r="DTH48" s="116"/>
      <c r="DTI48" s="116"/>
      <c r="DTJ48" s="116"/>
      <c r="DTK48" s="116"/>
      <c r="DTL48" s="116"/>
      <c r="DTM48" s="116"/>
      <c r="DTN48" s="116"/>
      <c r="DTO48" s="116"/>
      <c r="DTP48" s="116"/>
      <c r="DTQ48" s="116"/>
      <c r="DTR48" s="116"/>
      <c r="DTS48" s="116"/>
      <c r="DTT48" s="116"/>
      <c r="DTU48" s="116"/>
      <c r="DTV48" s="116"/>
      <c r="DTW48" s="116"/>
      <c r="DTX48" s="116"/>
      <c r="DTY48" s="116"/>
      <c r="DTZ48" s="116"/>
      <c r="DUA48" s="116"/>
      <c r="DUB48" s="116"/>
      <c r="DUC48" s="116"/>
      <c r="DUD48" s="116"/>
      <c r="DUE48" s="116"/>
      <c r="DUF48" s="116"/>
      <c r="DUG48" s="116"/>
      <c r="DUH48" s="116"/>
      <c r="DUI48" s="116"/>
      <c r="DUJ48" s="116"/>
      <c r="DUK48" s="116"/>
      <c r="DUL48" s="116"/>
      <c r="DUM48" s="116"/>
      <c r="DUN48" s="116"/>
      <c r="DUO48" s="116"/>
      <c r="DUP48" s="116"/>
      <c r="DUQ48" s="116"/>
      <c r="DUR48" s="116"/>
      <c r="DUS48" s="116"/>
      <c r="DUT48" s="116"/>
      <c r="DUU48" s="116"/>
      <c r="DUV48" s="116"/>
      <c r="DUW48" s="116"/>
      <c r="DUX48" s="116"/>
      <c r="DUY48" s="116"/>
      <c r="DUZ48" s="116"/>
      <c r="DVA48" s="116"/>
      <c r="DVB48" s="116"/>
      <c r="DVC48" s="116"/>
      <c r="DVD48" s="116"/>
      <c r="DVE48" s="116"/>
      <c r="DVF48" s="116"/>
      <c r="DVG48" s="116"/>
      <c r="DVH48" s="116"/>
      <c r="DVI48" s="116"/>
      <c r="DVJ48" s="116"/>
      <c r="DVK48" s="116"/>
      <c r="DVL48" s="116"/>
      <c r="DVM48" s="116"/>
      <c r="DVN48" s="116"/>
      <c r="DVO48" s="116"/>
      <c r="DVP48" s="116"/>
      <c r="DVQ48" s="116"/>
      <c r="DVR48" s="116"/>
      <c r="DVS48" s="116"/>
      <c r="DVT48" s="116"/>
      <c r="DVU48" s="116"/>
      <c r="DVV48" s="116"/>
      <c r="DVW48" s="116"/>
      <c r="DVX48" s="116"/>
      <c r="DVY48" s="116"/>
      <c r="DVZ48" s="116"/>
      <c r="DWA48" s="116"/>
      <c r="DWB48" s="116"/>
      <c r="DWC48" s="116"/>
      <c r="DWD48" s="116"/>
      <c r="DWE48" s="116"/>
      <c r="DWF48" s="116"/>
      <c r="DWG48" s="116"/>
      <c r="DWH48" s="116"/>
      <c r="DWI48" s="116"/>
      <c r="DWJ48" s="116"/>
      <c r="DWK48" s="116"/>
      <c r="DWL48" s="116"/>
      <c r="DWM48" s="116"/>
      <c r="DWN48" s="116"/>
      <c r="DWO48" s="116"/>
      <c r="DWP48" s="116"/>
      <c r="DWQ48" s="116"/>
      <c r="DWR48" s="116"/>
      <c r="DWS48" s="116"/>
      <c r="DWT48" s="116"/>
      <c r="DWU48" s="116"/>
      <c r="DWV48" s="116"/>
      <c r="DWW48" s="116"/>
      <c r="DWX48" s="116"/>
      <c r="DWY48" s="116"/>
      <c r="DWZ48" s="116"/>
      <c r="DXA48" s="116"/>
      <c r="DXB48" s="116"/>
      <c r="DXC48" s="116"/>
      <c r="DXD48" s="116"/>
      <c r="DXE48" s="116"/>
      <c r="DXF48" s="116"/>
      <c r="DXG48" s="116"/>
      <c r="DXH48" s="116"/>
      <c r="DXI48" s="116"/>
      <c r="DXJ48" s="116"/>
      <c r="DXK48" s="116"/>
      <c r="DXL48" s="116"/>
      <c r="DXM48" s="116"/>
      <c r="DXN48" s="116"/>
      <c r="DXO48" s="116"/>
      <c r="DXP48" s="116"/>
      <c r="DXQ48" s="116"/>
      <c r="DXR48" s="116"/>
      <c r="DXS48" s="116"/>
      <c r="DXT48" s="116"/>
      <c r="DXU48" s="116"/>
      <c r="DXV48" s="116"/>
      <c r="DXW48" s="116"/>
      <c r="DXX48" s="116"/>
      <c r="DXY48" s="116"/>
      <c r="DXZ48" s="116"/>
      <c r="DYA48" s="116"/>
      <c r="DYB48" s="116"/>
      <c r="DYC48" s="116"/>
      <c r="DYD48" s="116"/>
      <c r="DYE48" s="116"/>
      <c r="DYF48" s="116"/>
      <c r="DYG48" s="116"/>
      <c r="DYH48" s="116"/>
      <c r="DYI48" s="116"/>
      <c r="DYJ48" s="116"/>
      <c r="DYK48" s="116"/>
      <c r="DYL48" s="116"/>
      <c r="DYM48" s="116"/>
      <c r="DYN48" s="116"/>
      <c r="DYO48" s="116"/>
      <c r="DYP48" s="116"/>
      <c r="DYQ48" s="116"/>
      <c r="DYR48" s="116"/>
      <c r="DYS48" s="116"/>
      <c r="DYT48" s="116"/>
      <c r="DYU48" s="116"/>
      <c r="DYV48" s="116"/>
      <c r="DYW48" s="116"/>
      <c r="DYX48" s="116"/>
      <c r="DYY48" s="116"/>
      <c r="DYZ48" s="116"/>
      <c r="DZA48" s="116"/>
      <c r="DZB48" s="116"/>
      <c r="DZC48" s="116"/>
      <c r="DZD48" s="116"/>
      <c r="DZE48" s="116"/>
      <c r="DZF48" s="116"/>
      <c r="DZG48" s="116"/>
      <c r="DZH48" s="116"/>
      <c r="DZI48" s="116"/>
      <c r="DZJ48" s="116"/>
      <c r="DZK48" s="116"/>
      <c r="DZL48" s="116"/>
      <c r="DZM48" s="116"/>
      <c r="DZN48" s="116"/>
      <c r="DZO48" s="116"/>
      <c r="DZP48" s="116"/>
      <c r="DZQ48" s="116"/>
      <c r="DZR48" s="116"/>
      <c r="DZS48" s="116"/>
      <c r="DZT48" s="116"/>
      <c r="DZU48" s="116"/>
      <c r="DZV48" s="116"/>
      <c r="DZW48" s="116"/>
      <c r="DZX48" s="116"/>
      <c r="DZY48" s="116"/>
      <c r="DZZ48" s="116"/>
      <c r="EAA48" s="116"/>
      <c r="EAB48" s="116"/>
      <c r="EAC48" s="116"/>
      <c r="EAD48" s="116"/>
      <c r="EAE48" s="116"/>
      <c r="EAF48" s="116"/>
      <c r="EAG48" s="116"/>
      <c r="EAH48" s="116"/>
      <c r="EAI48" s="116"/>
      <c r="EAJ48" s="116"/>
      <c r="EAK48" s="116"/>
      <c r="EAL48" s="116"/>
      <c r="EAM48" s="116"/>
      <c r="EAN48" s="116"/>
      <c r="EAO48" s="116"/>
      <c r="EAP48" s="116"/>
      <c r="EAQ48" s="116"/>
      <c r="EAR48" s="116"/>
      <c r="EAS48" s="116"/>
      <c r="EAT48" s="116"/>
      <c r="EAU48" s="116"/>
      <c r="EAV48" s="116"/>
      <c r="EAW48" s="116"/>
      <c r="EAX48" s="116"/>
      <c r="EAY48" s="116"/>
      <c r="EAZ48" s="116"/>
      <c r="EBA48" s="116"/>
      <c r="EBB48" s="116"/>
      <c r="EBC48" s="116"/>
      <c r="EBD48" s="116"/>
      <c r="EBE48" s="116"/>
      <c r="EBF48" s="116"/>
      <c r="EBG48" s="116"/>
      <c r="EBH48" s="116"/>
      <c r="EBI48" s="116"/>
      <c r="EBJ48" s="116"/>
      <c r="EBK48" s="116"/>
      <c r="EBL48" s="116"/>
      <c r="EBM48" s="116"/>
      <c r="EBN48" s="116"/>
      <c r="EBO48" s="116"/>
      <c r="EBP48" s="116"/>
      <c r="EBQ48" s="116"/>
      <c r="EBR48" s="116"/>
      <c r="EBS48" s="116"/>
      <c r="EBT48" s="116"/>
      <c r="EBU48" s="116"/>
      <c r="EBV48" s="116"/>
      <c r="EBW48" s="116"/>
      <c r="EBX48" s="116"/>
      <c r="EBY48" s="116"/>
      <c r="EBZ48" s="116"/>
      <c r="ECA48" s="116"/>
      <c r="ECB48" s="116"/>
      <c r="ECC48" s="116"/>
      <c r="ECD48" s="116"/>
      <c r="ECE48" s="116"/>
      <c r="ECF48" s="116"/>
      <c r="ECG48" s="116"/>
      <c r="ECH48" s="116"/>
      <c r="ECI48" s="116"/>
      <c r="ECJ48" s="116"/>
      <c r="ECK48" s="116"/>
      <c r="ECL48" s="116"/>
      <c r="ECM48" s="116"/>
      <c r="ECN48" s="116"/>
      <c r="ECO48" s="116"/>
      <c r="ECP48" s="116"/>
      <c r="ECQ48" s="116"/>
      <c r="ECR48" s="116"/>
      <c r="ECS48" s="116"/>
      <c r="ECT48" s="116"/>
      <c r="ECU48" s="116"/>
      <c r="ECV48" s="116"/>
      <c r="ECW48" s="116"/>
      <c r="ECX48" s="116"/>
      <c r="ECY48" s="116"/>
      <c r="ECZ48" s="116"/>
      <c r="EDA48" s="116"/>
      <c r="EDB48" s="116"/>
      <c r="EDC48" s="116"/>
      <c r="EDD48" s="116"/>
      <c r="EDE48" s="116"/>
      <c r="EDF48" s="116"/>
      <c r="EDG48" s="116"/>
      <c r="EDH48" s="116"/>
      <c r="EDI48" s="116"/>
      <c r="EDJ48" s="116"/>
      <c r="EDK48" s="116"/>
      <c r="EDL48" s="116"/>
      <c r="EDM48" s="116"/>
      <c r="EDN48" s="116"/>
      <c r="EDO48" s="116"/>
      <c r="EDP48" s="116"/>
      <c r="EDQ48" s="116"/>
      <c r="EDR48" s="116"/>
      <c r="EDS48" s="116"/>
      <c r="EDT48" s="116"/>
      <c r="EDU48" s="116"/>
      <c r="EDV48" s="116"/>
      <c r="EDW48" s="116"/>
      <c r="EDX48" s="116"/>
      <c r="EDY48" s="116"/>
      <c r="EDZ48" s="116"/>
      <c r="EEA48" s="116"/>
      <c r="EEB48" s="116"/>
      <c r="EEC48" s="116"/>
      <c r="EED48" s="116"/>
      <c r="EEE48" s="116"/>
      <c r="EEF48" s="116"/>
      <c r="EEG48" s="116"/>
      <c r="EEH48" s="116"/>
      <c r="EEI48" s="116"/>
      <c r="EEJ48" s="116"/>
      <c r="EEK48" s="116"/>
      <c r="EEL48" s="116"/>
      <c r="EEM48" s="116"/>
      <c r="EEN48" s="116"/>
      <c r="EEO48" s="116"/>
      <c r="EEP48" s="116"/>
      <c r="EEQ48" s="116"/>
      <c r="EER48" s="116"/>
      <c r="EES48" s="116"/>
      <c r="EET48" s="116"/>
      <c r="EEU48" s="116"/>
      <c r="EEV48" s="116"/>
      <c r="EEW48" s="116"/>
      <c r="EEX48" s="116"/>
      <c r="EEY48" s="116"/>
      <c r="EEZ48" s="116"/>
      <c r="EFA48" s="116"/>
      <c r="EFB48" s="116"/>
      <c r="EFC48" s="116"/>
      <c r="EFD48" s="116"/>
      <c r="EFE48" s="116"/>
      <c r="EFF48" s="116"/>
      <c r="EFG48" s="116"/>
      <c r="EFH48" s="116"/>
      <c r="EFI48" s="116"/>
      <c r="EFJ48" s="116"/>
      <c r="EFK48" s="116"/>
      <c r="EFL48" s="116"/>
      <c r="EFM48" s="116"/>
      <c r="EFN48" s="116"/>
      <c r="EFO48" s="116"/>
      <c r="EFP48" s="116"/>
      <c r="EFQ48" s="116"/>
      <c r="EFR48" s="116"/>
      <c r="EFS48" s="116"/>
      <c r="EFT48" s="116"/>
      <c r="EFU48" s="116"/>
      <c r="EFV48" s="116"/>
      <c r="EFW48" s="116"/>
      <c r="EFX48" s="116"/>
      <c r="EFY48" s="116"/>
      <c r="EFZ48" s="116"/>
      <c r="EGA48" s="116"/>
      <c r="EGB48" s="116"/>
      <c r="EGC48" s="116"/>
      <c r="EGD48" s="116"/>
      <c r="EGE48" s="116"/>
      <c r="EGF48" s="116"/>
      <c r="EGG48" s="116"/>
      <c r="EGH48" s="116"/>
      <c r="EGI48" s="116"/>
      <c r="EGJ48" s="116"/>
      <c r="EGK48" s="116"/>
      <c r="EGL48" s="116"/>
      <c r="EGM48" s="116"/>
      <c r="EGN48" s="116"/>
      <c r="EGO48" s="116"/>
      <c r="EGP48" s="116"/>
      <c r="EGQ48" s="116"/>
      <c r="EGR48" s="116"/>
      <c r="EGS48" s="116"/>
      <c r="EGT48" s="116"/>
      <c r="EGU48" s="116"/>
      <c r="EGV48" s="116"/>
      <c r="EGW48" s="116"/>
      <c r="EGX48" s="116"/>
      <c r="EGY48" s="116"/>
      <c r="EGZ48" s="116"/>
      <c r="EHA48" s="116"/>
      <c r="EHB48" s="116"/>
      <c r="EHC48" s="116"/>
      <c r="EHD48" s="116"/>
      <c r="EHE48" s="116"/>
      <c r="EHF48" s="116"/>
      <c r="EHG48" s="116"/>
      <c r="EHH48" s="116"/>
      <c r="EHI48" s="116"/>
      <c r="EHJ48" s="116"/>
      <c r="EHK48" s="116"/>
      <c r="EHL48" s="116"/>
      <c r="EHM48" s="116"/>
      <c r="EHN48" s="116"/>
      <c r="EHO48" s="116"/>
      <c r="EHP48" s="116"/>
      <c r="EHQ48" s="116"/>
      <c r="EHR48" s="116"/>
      <c r="EHS48" s="116"/>
      <c r="EHT48" s="116"/>
      <c r="EHU48" s="116"/>
      <c r="EHV48" s="116"/>
      <c r="EHW48" s="116"/>
      <c r="EHX48" s="116"/>
      <c r="EHY48" s="116"/>
      <c r="EHZ48" s="116"/>
      <c r="EIA48" s="116"/>
      <c r="EIB48" s="116"/>
      <c r="EIC48" s="116"/>
      <c r="EID48" s="116"/>
      <c r="EIE48" s="116"/>
      <c r="EIF48" s="116"/>
      <c r="EIG48" s="116"/>
      <c r="EIH48" s="116"/>
      <c r="EII48" s="116"/>
      <c r="EIJ48" s="116"/>
      <c r="EIK48" s="116"/>
      <c r="EIL48" s="116"/>
      <c r="EIM48" s="116"/>
      <c r="EIN48" s="116"/>
      <c r="EIO48" s="116"/>
      <c r="EIP48" s="116"/>
      <c r="EIQ48" s="116"/>
      <c r="EIR48" s="116"/>
      <c r="EIS48" s="116"/>
      <c r="EIT48" s="116"/>
      <c r="EIU48" s="116"/>
      <c r="EIV48" s="116"/>
      <c r="EIW48" s="116"/>
      <c r="EIX48" s="116"/>
      <c r="EIY48" s="116"/>
      <c r="EIZ48" s="116"/>
      <c r="EJA48" s="116"/>
      <c r="EJB48" s="116"/>
      <c r="EJC48" s="116"/>
      <c r="EJD48" s="116"/>
      <c r="EJE48" s="116"/>
      <c r="EJF48" s="116"/>
      <c r="EJG48" s="116"/>
      <c r="EJH48" s="116"/>
      <c r="EJI48" s="116"/>
      <c r="EJJ48" s="116"/>
      <c r="EJK48" s="116"/>
      <c r="EJL48" s="116"/>
      <c r="EJM48" s="116"/>
      <c r="EJN48" s="116"/>
      <c r="EJO48" s="116"/>
      <c r="EJP48" s="116"/>
      <c r="EJQ48" s="116"/>
      <c r="EJR48" s="116"/>
      <c r="EJS48" s="116"/>
      <c r="EJT48" s="116"/>
      <c r="EJU48" s="116"/>
      <c r="EJV48" s="116"/>
      <c r="EJW48" s="116"/>
      <c r="EJX48" s="116"/>
      <c r="EJY48" s="116"/>
      <c r="EJZ48" s="116"/>
      <c r="EKA48" s="116"/>
      <c r="EKB48" s="116"/>
      <c r="EKC48" s="116"/>
      <c r="EKD48" s="116"/>
      <c r="EKE48" s="116"/>
      <c r="EKF48" s="116"/>
      <c r="EKG48" s="116"/>
      <c r="EKH48" s="116"/>
      <c r="EKI48" s="116"/>
      <c r="EKJ48" s="116"/>
      <c r="EKK48" s="116"/>
      <c r="EKL48" s="116"/>
      <c r="EKM48" s="116"/>
      <c r="EKN48" s="116"/>
      <c r="EKO48" s="116"/>
      <c r="EKP48" s="116"/>
      <c r="EKQ48" s="116"/>
      <c r="EKR48" s="116"/>
      <c r="EKS48" s="116"/>
      <c r="EKT48" s="116"/>
      <c r="EKU48" s="116"/>
      <c r="EKV48" s="116"/>
      <c r="EKW48" s="116"/>
      <c r="EKX48" s="116"/>
      <c r="EKY48" s="116"/>
      <c r="EKZ48" s="116"/>
      <c r="ELA48" s="116"/>
      <c r="ELB48" s="116"/>
      <c r="ELC48" s="116"/>
      <c r="ELD48" s="116"/>
      <c r="ELE48" s="116"/>
      <c r="ELF48" s="116"/>
      <c r="ELG48" s="116"/>
      <c r="ELH48" s="116"/>
      <c r="ELI48" s="116"/>
      <c r="ELJ48" s="116"/>
      <c r="ELK48" s="116"/>
      <c r="ELL48" s="116"/>
      <c r="ELM48" s="116"/>
      <c r="ELN48" s="116"/>
      <c r="ELO48" s="116"/>
      <c r="ELP48" s="116"/>
      <c r="ELQ48" s="116"/>
      <c r="ELR48" s="116"/>
      <c r="ELS48" s="116"/>
      <c r="ELT48" s="116"/>
      <c r="ELU48" s="116"/>
      <c r="ELV48" s="116"/>
      <c r="ELW48" s="116"/>
      <c r="ELX48" s="116"/>
      <c r="ELY48" s="116"/>
      <c r="ELZ48" s="116"/>
      <c r="EMA48" s="116"/>
      <c r="EMB48" s="116"/>
      <c r="EMC48" s="116"/>
      <c r="EMD48" s="116"/>
      <c r="EME48" s="116"/>
      <c r="EMF48" s="116"/>
      <c r="EMG48" s="116"/>
      <c r="EMH48" s="116"/>
      <c r="EMI48" s="116"/>
      <c r="EMJ48" s="116"/>
      <c r="EMK48" s="116"/>
      <c r="EML48" s="116"/>
      <c r="EMM48" s="116"/>
      <c r="EMN48" s="116"/>
      <c r="EMO48" s="116"/>
      <c r="EMP48" s="116"/>
      <c r="EMQ48" s="116"/>
      <c r="EMR48" s="116"/>
      <c r="EMS48" s="116"/>
      <c r="EMT48" s="116"/>
      <c r="EMU48" s="116"/>
      <c r="EMV48" s="116"/>
      <c r="EMW48" s="116"/>
      <c r="EMX48" s="116"/>
      <c r="EMY48" s="116"/>
      <c r="EMZ48" s="116"/>
      <c r="ENA48" s="116"/>
      <c r="ENB48" s="116"/>
      <c r="ENC48" s="116"/>
      <c r="END48" s="116"/>
      <c r="ENE48" s="116"/>
      <c r="ENF48" s="116"/>
      <c r="ENG48" s="116"/>
      <c r="ENH48" s="116"/>
      <c r="ENI48" s="116"/>
      <c r="ENJ48" s="116"/>
      <c r="ENK48" s="116"/>
      <c r="ENL48" s="116"/>
      <c r="ENM48" s="116"/>
      <c r="ENN48" s="116"/>
      <c r="ENO48" s="116"/>
      <c r="ENP48" s="116"/>
      <c r="ENQ48" s="116"/>
      <c r="ENR48" s="116"/>
      <c r="ENS48" s="116"/>
      <c r="ENT48" s="116"/>
      <c r="ENU48" s="116"/>
      <c r="ENV48" s="116"/>
      <c r="ENW48" s="116"/>
      <c r="ENX48" s="116"/>
      <c r="ENY48" s="116"/>
      <c r="ENZ48" s="116"/>
      <c r="EOA48" s="116"/>
      <c r="EOB48" s="116"/>
      <c r="EOC48" s="116"/>
      <c r="EOD48" s="116"/>
      <c r="EOE48" s="116"/>
      <c r="EOF48" s="116"/>
      <c r="EOG48" s="116"/>
      <c r="EOH48" s="116"/>
      <c r="EOI48" s="116"/>
      <c r="EOJ48" s="116"/>
      <c r="EOK48" s="116"/>
      <c r="EOL48" s="116"/>
      <c r="EOM48" s="116"/>
      <c r="EON48" s="116"/>
      <c r="EOO48" s="116"/>
      <c r="EOP48" s="116"/>
      <c r="EOQ48" s="116"/>
      <c r="EOR48" s="116"/>
      <c r="EOS48" s="116"/>
      <c r="EOT48" s="116"/>
      <c r="EOU48" s="116"/>
      <c r="EOV48" s="116"/>
      <c r="EOW48" s="116"/>
      <c r="EOX48" s="116"/>
      <c r="EOY48" s="116"/>
      <c r="EOZ48" s="116"/>
      <c r="EPA48" s="116"/>
      <c r="EPB48" s="116"/>
      <c r="EPC48" s="116"/>
      <c r="EPD48" s="116"/>
      <c r="EPE48" s="116"/>
      <c r="EPF48" s="116"/>
      <c r="EPG48" s="116"/>
      <c r="EPH48" s="116"/>
      <c r="EPI48" s="116"/>
      <c r="EPJ48" s="116"/>
      <c r="EPK48" s="116"/>
      <c r="EPL48" s="116"/>
      <c r="EPM48" s="116"/>
      <c r="EPN48" s="116"/>
      <c r="EPO48" s="116"/>
      <c r="EPP48" s="116"/>
      <c r="EPQ48" s="116"/>
      <c r="EPR48" s="116"/>
      <c r="EPS48" s="116"/>
      <c r="EPT48" s="116"/>
      <c r="EPU48" s="116"/>
      <c r="EPV48" s="116"/>
      <c r="EPW48" s="116"/>
      <c r="EPX48" s="116"/>
      <c r="EPY48" s="116"/>
      <c r="EPZ48" s="116"/>
      <c r="EQA48" s="116"/>
      <c r="EQB48" s="116"/>
      <c r="EQC48" s="116"/>
      <c r="EQD48" s="116"/>
      <c r="EQE48" s="116"/>
      <c r="EQF48" s="116"/>
      <c r="EQG48" s="116"/>
      <c r="EQH48" s="116"/>
      <c r="EQI48" s="116"/>
      <c r="EQJ48" s="116"/>
      <c r="EQK48" s="116"/>
      <c r="EQL48" s="116"/>
      <c r="EQM48" s="116"/>
      <c r="EQN48" s="116"/>
      <c r="EQO48" s="116"/>
      <c r="EQP48" s="116"/>
      <c r="EQQ48" s="116"/>
      <c r="EQR48" s="116"/>
      <c r="EQS48" s="116"/>
      <c r="EQT48" s="116"/>
      <c r="EQU48" s="116"/>
      <c r="EQV48" s="116"/>
      <c r="EQW48" s="116"/>
      <c r="EQX48" s="116"/>
      <c r="EQY48" s="116"/>
      <c r="EQZ48" s="116"/>
      <c r="ERA48" s="116"/>
      <c r="ERB48" s="116"/>
      <c r="ERC48" s="116"/>
      <c r="ERD48" s="116"/>
      <c r="ERE48" s="116"/>
      <c r="ERF48" s="116"/>
      <c r="ERG48" s="116"/>
      <c r="ERH48" s="116"/>
      <c r="ERI48" s="116"/>
      <c r="ERJ48" s="116"/>
      <c r="ERK48" s="116"/>
      <c r="ERL48" s="116"/>
      <c r="ERM48" s="116"/>
      <c r="ERN48" s="116"/>
      <c r="ERO48" s="116"/>
      <c r="ERP48" s="116"/>
      <c r="ERQ48" s="116"/>
      <c r="ERR48" s="116"/>
      <c r="ERS48" s="116"/>
      <c r="ERT48" s="116"/>
      <c r="ERU48" s="116"/>
      <c r="ERV48" s="116"/>
      <c r="ERW48" s="116"/>
      <c r="ERX48" s="116"/>
      <c r="ERY48" s="116"/>
      <c r="ERZ48" s="116"/>
      <c r="ESA48" s="116"/>
      <c r="ESB48" s="116"/>
      <c r="ESC48" s="116"/>
      <c r="ESD48" s="116"/>
      <c r="ESE48" s="116"/>
      <c r="ESF48" s="116"/>
      <c r="ESG48" s="116"/>
      <c r="ESH48" s="116"/>
      <c r="ESI48" s="116"/>
      <c r="ESJ48" s="116"/>
      <c r="ESK48" s="116"/>
      <c r="ESL48" s="116"/>
      <c r="ESM48" s="116"/>
      <c r="ESN48" s="116"/>
      <c r="ESO48" s="116"/>
      <c r="ESP48" s="116"/>
      <c r="ESQ48" s="116"/>
      <c r="ESR48" s="116"/>
      <c r="ESS48" s="116"/>
      <c r="EST48" s="116"/>
      <c r="ESU48" s="116"/>
      <c r="ESV48" s="116"/>
      <c r="ESW48" s="116"/>
      <c r="ESX48" s="116"/>
      <c r="ESY48" s="116"/>
      <c r="ESZ48" s="116"/>
      <c r="ETA48" s="116"/>
      <c r="ETB48" s="116"/>
      <c r="ETC48" s="116"/>
      <c r="ETD48" s="116"/>
      <c r="ETE48" s="116"/>
      <c r="ETF48" s="116"/>
      <c r="ETG48" s="116"/>
      <c r="ETH48" s="116"/>
      <c r="ETI48" s="116"/>
      <c r="ETJ48" s="116"/>
      <c r="ETK48" s="116"/>
      <c r="ETL48" s="116"/>
      <c r="ETM48" s="116"/>
      <c r="ETN48" s="116"/>
      <c r="ETO48" s="116"/>
      <c r="ETP48" s="116"/>
      <c r="ETQ48" s="116"/>
      <c r="ETR48" s="116"/>
      <c r="ETS48" s="116"/>
      <c r="ETT48" s="116"/>
      <c r="ETU48" s="116"/>
      <c r="ETV48" s="116"/>
      <c r="ETW48" s="116"/>
      <c r="ETX48" s="116"/>
      <c r="ETY48" s="116"/>
      <c r="ETZ48" s="116"/>
      <c r="EUA48" s="116"/>
      <c r="EUB48" s="116"/>
      <c r="EUC48" s="116"/>
      <c r="EUD48" s="116"/>
      <c r="EUE48" s="116"/>
      <c r="EUF48" s="116"/>
      <c r="EUG48" s="116"/>
      <c r="EUH48" s="116"/>
      <c r="EUI48" s="116"/>
      <c r="EUJ48" s="116"/>
      <c r="EUK48" s="116"/>
      <c r="EUL48" s="116"/>
      <c r="EUM48" s="116"/>
      <c r="EUN48" s="116"/>
      <c r="EUO48" s="116"/>
      <c r="EUP48" s="116"/>
      <c r="EUQ48" s="116"/>
      <c r="EUR48" s="116"/>
      <c r="EUS48" s="116"/>
      <c r="EUT48" s="116"/>
      <c r="EUU48" s="116"/>
      <c r="EUV48" s="116"/>
      <c r="EUW48" s="116"/>
      <c r="EUX48" s="116"/>
      <c r="EUY48" s="116"/>
      <c r="EUZ48" s="116"/>
      <c r="EVA48" s="116"/>
      <c r="EVB48" s="116"/>
      <c r="EVC48" s="116"/>
      <c r="EVD48" s="116"/>
      <c r="EVE48" s="116"/>
      <c r="EVF48" s="116"/>
      <c r="EVG48" s="116"/>
      <c r="EVH48" s="116"/>
      <c r="EVI48" s="116"/>
      <c r="EVJ48" s="116"/>
      <c r="EVK48" s="116"/>
      <c r="EVL48" s="116"/>
      <c r="EVM48" s="116"/>
      <c r="EVN48" s="116"/>
      <c r="EVO48" s="116"/>
      <c r="EVP48" s="116"/>
      <c r="EVQ48" s="116"/>
      <c r="EVR48" s="116"/>
      <c r="EVS48" s="116"/>
      <c r="EVT48" s="116"/>
      <c r="EVU48" s="116"/>
      <c r="EVV48" s="116"/>
      <c r="EVW48" s="116"/>
      <c r="EVX48" s="116"/>
      <c r="EVY48" s="116"/>
      <c r="EVZ48" s="116"/>
      <c r="EWA48" s="116"/>
      <c r="EWB48" s="116"/>
      <c r="EWC48" s="116"/>
      <c r="EWD48" s="116"/>
      <c r="EWE48" s="116"/>
      <c r="EWF48" s="116"/>
      <c r="EWG48" s="116"/>
      <c r="EWH48" s="116"/>
      <c r="EWI48" s="116"/>
      <c r="EWJ48" s="116"/>
      <c r="EWK48" s="116"/>
      <c r="EWL48" s="116"/>
      <c r="EWM48" s="116"/>
      <c r="EWN48" s="116"/>
      <c r="EWO48" s="116"/>
      <c r="EWP48" s="116"/>
      <c r="EWQ48" s="116"/>
      <c r="EWR48" s="116"/>
      <c r="EWS48" s="116"/>
      <c r="EWT48" s="116"/>
      <c r="EWU48" s="116"/>
      <c r="EWV48" s="116"/>
      <c r="EWW48" s="116"/>
      <c r="EWX48" s="116"/>
      <c r="EWY48" s="116"/>
      <c r="EWZ48" s="116"/>
      <c r="EXA48" s="116"/>
      <c r="EXB48" s="116"/>
      <c r="EXC48" s="116"/>
      <c r="EXD48" s="116"/>
      <c r="EXE48" s="116"/>
      <c r="EXF48" s="116"/>
      <c r="EXG48" s="116"/>
      <c r="EXH48" s="116"/>
      <c r="EXI48" s="116"/>
      <c r="EXJ48" s="116"/>
      <c r="EXK48" s="116"/>
      <c r="EXL48" s="116"/>
      <c r="EXM48" s="116"/>
      <c r="EXN48" s="116"/>
      <c r="EXO48" s="116"/>
      <c r="EXP48" s="116"/>
      <c r="EXQ48" s="116"/>
      <c r="EXR48" s="116"/>
      <c r="EXS48" s="116"/>
      <c r="EXT48" s="116"/>
      <c r="EXU48" s="116"/>
      <c r="EXV48" s="116"/>
      <c r="EXW48" s="116"/>
      <c r="EXX48" s="116"/>
      <c r="EXY48" s="116"/>
      <c r="EXZ48" s="116"/>
      <c r="EYA48" s="116"/>
      <c r="EYB48" s="116"/>
      <c r="EYC48" s="116"/>
      <c r="EYD48" s="116"/>
      <c r="EYE48" s="116"/>
      <c r="EYF48" s="116"/>
      <c r="EYG48" s="116"/>
      <c r="EYH48" s="116"/>
      <c r="EYI48" s="116"/>
      <c r="EYJ48" s="116"/>
      <c r="EYK48" s="116"/>
      <c r="EYL48" s="116"/>
      <c r="EYM48" s="116"/>
      <c r="EYN48" s="116"/>
      <c r="EYO48" s="116"/>
      <c r="EYP48" s="116"/>
      <c r="EYQ48" s="116"/>
      <c r="EYR48" s="116"/>
      <c r="EYS48" s="116"/>
      <c r="EYT48" s="116"/>
      <c r="EYU48" s="116"/>
      <c r="EYV48" s="116"/>
      <c r="EYW48" s="116"/>
      <c r="EYX48" s="116"/>
      <c r="EYY48" s="116"/>
      <c r="EYZ48" s="116"/>
      <c r="EZA48" s="116"/>
      <c r="EZB48" s="116"/>
      <c r="EZC48" s="116"/>
      <c r="EZD48" s="116"/>
      <c r="EZE48" s="116"/>
      <c r="EZF48" s="116"/>
      <c r="EZG48" s="116"/>
      <c r="EZH48" s="116"/>
      <c r="EZI48" s="116"/>
      <c r="EZJ48" s="116"/>
      <c r="EZK48" s="116"/>
      <c r="EZL48" s="116"/>
      <c r="EZM48" s="116"/>
      <c r="EZN48" s="116"/>
      <c r="EZO48" s="116"/>
      <c r="EZP48" s="116"/>
      <c r="EZQ48" s="116"/>
      <c r="EZR48" s="116"/>
      <c r="EZS48" s="116"/>
      <c r="EZT48" s="116"/>
      <c r="EZU48" s="116"/>
      <c r="EZV48" s="116"/>
      <c r="EZW48" s="116"/>
      <c r="EZX48" s="116"/>
      <c r="EZY48" s="116"/>
      <c r="EZZ48" s="116"/>
      <c r="FAA48" s="116"/>
      <c r="FAB48" s="116"/>
      <c r="FAC48" s="116"/>
      <c r="FAD48" s="116"/>
      <c r="FAE48" s="116"/>
      <c r="FAF48" s="116"/>
      <c r="FAG48" s="116"/>
      <c r="FAH48" s="116"/>
      <c r="FAI48" s="116"/>
      <c r="FAJ48" s="116"/>
      <c r="FAK48" s="116"/>
      <c r="FAL48" s="116"/>
      <c r="FAM48" s="116"/>
      <c r="FAN48" s="116"/>
      <c r="FAO48" s="116"/>
      <c r="FAP48" s="116"/>
      <c r="FAQ48" s="116"/>
      <c r="FAR48" s="116"/>
      <c r="FAS48" s="116"/>
      <c r="FAT48" s="116"/>
      <c r="FAU48" s="116"/>
      <c r="FAV48" s="116"/>
      <c r="FAW48" s="116"/>
      <c r="FAX48" s="116"/>
      <c r="FAY48" s="116"/>
      <c r="FAZ48" s="116"/>
      <c r="FBA48" s="116"/>
      <c r="FBB48" s="116"/>
      <c r="FBC48" s="116"/>
      <c r="FBD48" s="116"/>
      <c r="FBE48" s="116"/>
      <c r="FBF48" s="116"/>
      <c r="FBG48" s="116"/>
      <c r="FBH48" s="116"/>
      <c r="FBI48" s="116"/>
      <c r="FBJ48" s="116"/>
      <c r="FBK48" s="116"/>
      <c r="FBL48" s="116"/>
      <c r="FBM48" s="116"/>
      <c r="FBN48" s="116"/>
      <c r="FBO48" s="116"/>
      <c r="FBP48" s="116"/>
      <c r="FBQ48" s="116"/>
      <c r="FBR48" s="116"/>
      <c r="FBS48" s="116"/>
      <c r="FBT48" s="116"/>
      <c r="FBU48" s="116"/>
      <c r="FBV48" s="116"/>
      <c r="FBW48" s="116"/>
      <c r="FBX48" s="116"/>
      <c r="FBY48" s="116"/>
      <c r="FBZ48" s="116"/>
      <c r="FCA48" s="116"/>
      <c r="FCB48" s="116"/>
      <c r="FCC48" s="116"/>
      <c r="FCD48" s="116"/>
      <c r="FCE48" s="116"/>
      <c r="FCF48" s="116"/>
      <c r="FCG48" s="116"/>
      <c r="FCH48" s="116"/>
      <c r="FCI48" s="116"/>
      <c r="FCJ48" s="116"/>
      <c r="FCK48" s="116"/>
      <c r="FCL48" s="116"/>
      <c r="FCM48" s="116"/>
      <c r="FCN48" s="116"/>
      <c r="FCO48" s="116"/>
      <c r="FCP48" s="116"/>
      <c r="FCQ48" s="116"/>
      <c r="FCR48" s="116"/>
      <c r="FCS48" s="116"/>
      <c r="FCT48" s="116"/>
      <c r="FCU48" s="116"/>
      <c r="FCV48" s="116"/>
      <c r="FCW48" s="116"/>
      <c r="FCX48" s="116"/>
      <c r="FCY48" s="116"/>
      <c r="FCZ48" s="116"/>
      <c r="FDA48" s="116"/>
      <c r="FDB48" s="116"/>
      <c r="FDC48" s="116"/>
      <c r="FDD48" s="116"/>
      <c r="FDE48" s="116"/>
      <c r="FDF48" s="116"/>
      <c r="FDG48" s="116"/>
      <c r="FDH48" s="116"/>
      <c r="FDI48" s="116"/>
      <c r="FDJ48" s="116"/>
      <c r="FDK48" s="116"/>
      <c r="FDL48" s="116"/>
      <c r="FDM48" s="116"/>
      <c r="FDN48" s="116"/>
      <c r="FDO48" s="116"/>
      <c r="FDP48" s="116"/>
      <c r="FDQ48" s="116"/>
      <c r="FDR48" s="116"/>
      <c r="FDS48" s="116"/>
      <c r="FDT48" s="116"/>
      <c r="FDU48" s="116"/>
      <c r="FDV48" s="116"/>
      <c r="FDW48" s="116"/>
      <c r="FDX48" s="116"/>
      <c r="FDY48" s="116"/>
      <c r="FDZ48" s="116"/>
      <c r="FEA48" s="116"/>
      <c r="FEB48" s="116"/>
      <c r="FEC48" s="116"/>
      <c r="FED48" s="116"/>
      <c r="FEE48" s="116"/>
      <c r="FEF48" s="116"/>
      <c r="FEG48" s="116"/>
      <c r="FEH48" s="116"/>
      <c r="FEI48" s="116"/>
      <c r="FEJ48" s="116"/>
      <c r="FEK48" s="116"/>
      <c r="FEL48" s="116"/>
      <c r="FEM48" s="116"/>
      <c r="FEN48" s="116"/>
      <c r="FEO48" s="116"/>
      <c r="FEP48" s="116"/>
      <c r="FEQ48" s="116"/>
      <c r="FER48" s="116"/>
      <c r="FES48" s="116"/>
      <c r="FET48" s="116"/>
      <c r="FEU48" s="116"/>
      <c r="FEV48" s="116"/>
      <c r="FEW48" s="116"/>
      <c r="FEX48" s="116"/>
      <c r="FEY48" s="116"/>
      <c r="FEZ48" s="116"/>
      <c r="FFA48" s="116"/>
      <c r="FFB48" s="116"/>
      <c r="FFC48" s="116"/>
      <c r="FFD48" s="116"/>
      <c r="FFE48" s="116"/>
      <c r="FFF48" s="116"/>
      <c r="FFG48" s="116"/>
      <c r="FFH48" s="116"/>
      <c r="FFI48" s="116"/>
      <c r="FFJ48" s="116"/>
      <c r="FFK48" s="116"/>
      <c r="FFL48" s="116"/>
      <c r="FFM48" s="116"/>
      <c r="FFN48" s="116"/>
      <c r="FFO48" s="116"/>
      <c r="FFP48" s="116"/>
      <c r="FFQ48" s="116"/>
      <c r="FFR48" s="116"/>
      <c r="FFS48" s="116"/>
      <c r="FFT48" s="116"/>
      <c r="FFU48" s="116"/>
      <c r="FFV48" s="116"/>
      <c r="FFW48" s="116"/>
      <c r="FFX48" s="116"/>
      <c r="FFY48" s="116"/>
      <c r="FFZ48" s="116"/>
      <c r="FGA48" s="116"/>
      <c r="FGB48" s="116"/>
      <c r="FGC48" s="116"/>
      <c r="FGD48" s="116"/>
      <c r="FGE48" s="116"/>
      <c r="FGF48" s="116"/>
      <c r="FGG48" s="116"/>
      <c r="FGH48" s="116"/>
      <c r="FGI48" s="116"/>
      <c r="FGJ48" s="116"/>
      <c r="FGK48" s="116"/>
      <c r="FGL48" s="116"/>
      <c r="FGM48" s="116"/>
      <c r="FGN48" s="116"/>
      <c r="FGO48" s="116"/>
      <c r="FGP48" s="116"/>
      <c r="FGQ48" s="116"/>
      <c r="FGR48" s="116"/>
      <c r="FGS48" s="116"/>
      <c r="FGT48" s="116"/>
      <c r="FGU48" s="116"/>
      <c r="FGV48" s="116"/>
      <c r="FGW48" s="116"/>
      <c r="FGX48" s="116"/>
      <c r="FGY48" s="116"/>
      <c r="FGZ48" s="116"/>
      <c r="FHA48" s="116"/>
      <c r="FHB48" s="116"/>
      <c r="FHC48" s="116"/>
      <c r="FHD48" s="116"/>
      <c r="FHE48" s="116"/>
      <c r="FHF48" s="116"/>
      <c r="FHG48" s="116"/>
      <c r="FHH48" s="116"/>
      <c r="FHI48" s="116"/>
      <c r="FHJ48" s="116"/>
      <c r="FHK48" s="116"/>
      <c r="FHL48" s="116"/>
      <c r="FHM48" s="116"/>
      <c r="FHN48" s="116"/>
      <c r="FHO48" s="116"/>
      <c r="FHP48" s="116"/>
      <c r="FHQ48" s="116"/>
      <c r="FHR48" s="116"/>
      <c r="FHS48" s="116"/>
      <c r="FHT48" s="116"/>
      <c r="FHU48" s="116"/>
      <c r="FHV48" s="116"/>
      <c r="FHW48" s="116"/>
      <c r="FHX48" s="116"/>
      <c r="FHY48" s="116"/>
      <c r="FHZ48" s="116"/>
      <c r="FIA48" s="116"/>
      <c r="FIB48" s="116"/>
      <c r="FIC48" s="116"/>
      <c r="FID48" s="116"/>
      <c r="FIE48" s="116"/>
      <c r="FIF48" s="116"/>
      <c r="FIG48" s="116"/>
      <c r="FIH48" s="116"/>
      <c r="FII48" s="116"/>
      <c r="FIJ48" s="116"/>
      <c r="FIK48" s="116"/>
      <c r="FIL48" s="116"/>
      <c r="FIM48" s="116"/>
      <c r="FIN48" s="116"/>
      <c r="FIO48" s="116"/>
      <c r="FIP48" s="116"/>
      <c r="FIQ48" s="116"/>
      <c r="FIR48" s="116"/>
      <c r="FIS48" s="116"/>
      <c r="FIT48" s="116"/>
      <c r="FIU48" s="116"/>
      <c r="FIV48" s="116"/>
      <c r="FIW48" s="116"/>
      <c r="FIX48" s="116"/>
      <c r="FIY48" s="116"/>
      <c r="FIZ48" s="116"/>
      <c r="FJA48" s="116"/>
      <c r="FJB48" s="116"/>
      <c r="FJC48" s="116"/>
      <c r="FJD48" s="116"/>
      <c r="FJE48" s="116"/>
      <c r="FJF48" s="116"/>
      <c r="FJG48" s="116"/>
      <c r="FJH48" s="116"/>
      <c r="FJI48" s="116"/>
      <c r="FJJ48" s="116"/>
      <c r="FJK48" s="116"/>
      <c r="FJL48" s="116"/>
      <c r="FJM48" s="116"/>
      <c r="FJN48" s="116"/>
      <c r="FJO48" s="116"/>
      <c r="FJP48" s="116"/>
      <c r="FJQ48" s="116"/>
      <c r="FJR48" s="116"/>
      <c r="FJS48" s="116"/>
      <c r="FJT48" s="116"/>
      <c r="FJU48" s="116"/>
      <c r="FJV48" s="116"/>
      <c r="FJW48" s="116"/>
      <c r="FJX48" s="116"/>
      <c r="FJY48" s="116"/>
      <c r="FJZ48" s="116"/>
      <c r="FKA48" s="116"/>
      <c r="FKB48" s="116"/>
      <c r="FKC48" s="116"/>
      <c r="FKD48" s="116"/>
      <c r="FKE48" s="116"/>
      <c r="FKF48" s="116"/>
      <c r="FKG48" s="116"/>
      <c r="FKH48" s="116"/>
      <c r="FKI48" s="116"/>
      <c r="FKJ48" s="116"/>
      <c r="FKK48" s="116"/>
      <c r="FKL48" s="116"/>
      <c r="FKM48" s="116"/>
      <c r="FKN48" s="116"/>
      <c r="FKO48" s="116"/>
      <c r="FKP48" s="116"/>
      <c r="FKQ48" s="116"/>
      <c r="FKR48" s="116"/>
      <c r="FKS48" s="116"/>
      <c r="FKT48" s="116"/>
      <c r="FKU48" s="116"/>
      <c r="FKV48" s="116"/>
      <c r="FKW48" s="116"/>
      <c r="FKX48" s="116"/>
      <c r="FKY48" s="116"/>
      <c r="FKZ48" s="116"/>
      <c r="FLA48" s="116"/>
      <c r="FLB48" s="116"/>
      <c r="FLC48" s="116"/>
      <c r="FLD48" s="116"/>
      <c r="FLE48" s="116"/>
      <c r="FLF48" s="116"/>
      <c r="FLG48" s="116"/>
      <c r="FLH48" s="116"/>
      <c r="FLI48" s="116"/>
      <c r="FLJ48" s="116"/>
      <c r="FLK48" s="116"/>
      <c r="FLL48" s="116"/>
      <c r="FLM48" s="116"/>
      <c r="FLN48" s="116"/>
      <c r="FLO48" s="116"/>
      <c r="FLP48" s="116"/>
      <c r="FLQ48" s="116"/>
      <c r="FLR48" s="116"/>
      <c r="FLS48" s="116"/>
      <c r="FLT48" s="116"/>
      <c r="FLU48" s="116"/>
      <c r="FLV48" s="116"/>
      <c r="FLW48" s="116"/>
      <c r="FLX48" s="116"/>
      <c r="FLY48" s="116"/>
      <c r="FLZ48" s="116"/>
      <c r="FMA48" s="116"/>
      <c r="FMB48" s="116"/>
      <c r="FMC48" s="116"/>
      <c r="FMD48" s="116"/>
      <c r="FME48" s="116"/>
      <c r="FMF48" s="116"/>
      <c r="FMG48" s="116"/>
      <c r="FMH48" s="116"/>
      <c r="FMI48" s="116"/>
      <c r="FMJ48" s="116"/>
      <c r="FMK48" s="116"/>
      <c r="FML48" s="116"/>
      <c r="FMM48" s="116"/>
      <c r="FMN48" s="116"/>
      <c r="FMO48" s="116"/>
      <c r="FMP48" s="116"/>
      <c r="FMQ48" s="116"/>
      <c r="FMR48" s="116"/>
      <c r="FMS48" s="116"/>
      <c r="FMT48" s="116"/>
      <c r="FMU48" s="116"/>
      <c r="FMV48" s="116"/>
      <c r="FMW48" s="116"/>
      <c r="FMX48" s="116"/>
      <c r="FMY48" s="116"/>
      <c r="FMZ48" s="116"/>
      <c r="FNA48" s="116"/>
      <c r="FNB48" s="116"/>
      <c r="FNC48" s="116"/>
      <c r="FND48" s="116"/>
      <c r="FNE48" s="116"/>
      <c r="FNF48" s="116"/>
      <c r="FNG48" s="116"/>
      <c r="FNH48" s="116"/>
      <c r="FNI48" s="116"/>
      <c r="FNJ48" s="116"/>
      <c r="FNK48" s="116"/>
      <c r="FNL48" s="116"/>
      <c r="FNM48" s="116"/>
      <c r="FNN48" s="116"/>
      <c r="FNO48" s="116"/>
      <c r="FNP48" s="116"/>
      <c r="FNQ48" s="116"/>
      <c r="FNR48" s="116"/>
      <c r="FNS48" s="116"/>
      <c r="FNT48" s="116"/>
      <c r="FNU48" s="116"/>
      <c r="FNV48" s="116"/>
      <c r="FNW48" s="116"/>
      <c r="FNX48" s="116"/>
      <c r="FNY48" s="116"/>
      <c r="FNZ48" s="116"/>
      <c r="FOA48" s="116"/>
      <c r="FOB48" s="116"/>
      <c r="FOC48" s="116"/>
      <c r="FOD48" s="116"/>
      <c r="FOE48" s="116"/>
      <c r="FOF48" s="116"/>
      <c r="FOG48" s="116"/>
      <c r="FOH48" s="116"/>
      <c r="FOI48" s="116"/>
      <c r="FOJ48" s="116"/>
      <c r="FOK48" s="116"/>
      <c r="FOL48" s="116"/>
      <c r="FOM48" s="116"/>
      <c r="FON48" s="116"/>
      <c r="FOO48" s="116"/>
      <c r="FOP48" s="116"/>
      <c r="FOQ48" s="116"/>
      <c r="FOR48" s="116"/>
      <c r="FOS48" s="116"/>
      <c r="FOT48" s="116"/>
      <c r="FOU48" s="116"/>
      <c r="FOV48" s="116"/>
      <c r="FOW48" s="116"/>
      <c r="FOX48" s="116"/>
      <c r="FOY48" s="116"/>
      <c r="FOZ48" s="116"/>
      <c r="FPA48" s="116"/>
      <c r="FPB48" s="116"/>
      <c r="FPC48" s="116"/>
      <c r="FPD48" s="116"/>
      <c r="FPE48" s="116"/>
      <c r="FPF48" s="116"/>
      <c r="FPG48" s="116"/>
      <c r="FPH48" s="116"/>
      <c r="FPI48" s="116"/>
      <c r="FPJ48" s="116"/>
      <c r="FPK48" s="116"/>
      <c r="FPL48" s="116"/>
      <c r="FPM48" s="116"/>
      <c r="FPN48" s="116"/>
      <c r="FPO48" s="116"/>
      <c r="FPP48" s="116"/>
      <c r="FPQ48" s="116"/>
      <c r="FPR48" s="116"/>
      <c r="FPS48" s="116"/>
      <c r="FPT48" s="116"/>
      <c r="FPU48" s="116"/>
      <c r="FPV48" s="116"/>
      <c r="FPW48" s="116"/>
      <c r="FPX48" s="116"/>
      <c r="FPY48" s="116"/>
      <c r="FPZ48" s="116"/>
      <c r="FQA48" s="116"/>
      <c r="FQB48" s="116"/>
      <c r="FQC48" s="116"/>
      <c r="FQD48" s="116"/>
      <c r="FQE48" s="116"/>
      <c r="FQF48" s="116"/>
      <c r="FQG48" s="116"/>
      <c r="FQH48" s="116"/>
      <c r="FQI48" s="116"/>
      <c r="FQJ48" s="116"/>
      <c r="FQK48" s="116"/>
      <c r="FQL48" s="116"/>
      <c r="FQM48" s="116"/>
      <c r="FQN48" s="116"/>
      <c r="FQO48" s="116"/>
      <c r="FQP48" s="116"/>
      <c r="FQQ48" s="116"/>
      <c r="FQR48" s="116"/>
      <c r="FQS48" s="116"/>
      <c r="FQT48" s="116"/>
      <c r="FQU48" s="116"/>
      <c r="FQV48" s="116"/>
      <c r="FQW48" s="116"/>
      <c r="FQX48" s="116"/>
      <c r="FQY48" s="116"/>
      <c r="FQZ48" s="116"/>
      <c r="FRA48" s="116"/>
      <c r="FRB48" s="116"/>
      <c r="FRC48" s="116"/>
      <c r="FRD48" s="116"/>
      <c r="FRE48" s="116"/>
      <c r="FRF48" s="116"/>
      <c r="FRG48" s="116"/>
      <c r="FRH48" s="116"/>
      <c r="FRI48" s="116"/>
      <c r="FRJ48" s="116"/>
      <c r="FRK48" s="116"/>
      <c r="FRL48" s="116"/>
      <c r="FRM48" s="116"/>
      <c r="FRN48" s="116"/>
      <c r="FRO48" s="116"/>
      <c r="FRP48" s="116"/>
      <c r="FRQ48" s="116"/>
      <c r="FRR48" s="116"/>
      <c r="FRS48" s="116"/>
      <c r="FRT48" s="116"/>
      <c r="FRU48" s="116"/>
      <c r="FRV48" s="116"/>
      <c r="FRW48" s="116"/>
      <c r="FRX48" s="116"/>
      <c r="FRY48" s="116"/>
      <c r="FRZ48" s="116"/>
      <c r="FSA48" s="116"/>
      <c r="FSB48" s="116"/>
      <c r="FSC48" s="116"/>
      <c r="FSD48" s="116"/>
      <c r="FSE48" s="116"/>
      <c r="FSF48" s="116"/>
      <c r="FSG48" s="116"/>
      <c r="FSH48" s="116"/>
      <c r="FSI48" s="116"/>
      <c r="FSJ48" s="116"/>
      <c r="FSK48" s="116"/>
      <c r="FSL48" s="116"/>
      <c r="FSM48" s="116"/>
      <c r="FSN48" s="116"/>
      <c r="FSO48" s="116"/>
      <c r="FSP48" s="116"/>
      <c r="FSQ48" s="116"/>
      <c r="FSR48" s="116"/>
      <c r="FSS48" s="116"/>
      <c r="FST48" s="116"/>
      <c r="FSU48" s="116"/>
      <c r="FSV48" s="116"/>
      <c r="FSW48" s="116"/>
      <c r="FSX48" s="116"/>
      <c r="FSY48" s="116"/>
      <c r="FSZ48" s="116"/>
      <c r="FTA48" s="116"/>
      <c r="FTB48" s="116"/>
      <c r="FTC48" s="116"/>
      <c r="FTD48" s="116"/>
      <c r="FTE48" s="116"/>
      <c r="FTF48" s="116"/>
      <c r="FTG48" s="116"/>
      <c r="FTH48" s="116"/>
      <c r="FTI48" s="116"/>
      <c r="FTJ48" s="116"/>
      <c r="FTK48" s="116"/>
      <c r="FTL48" s="116"/>
      <c r="FTM48" s="116"/>
      <c r="FTN48" s="116"/>
      <c r="FTO48" s="116"/>
      <c r="FTP48" s="116"/>
      <c r="FTQ48" s="116"/>
      <c r="FTR48" s="116"/>
      <c r="FTS48" s="116"/>
      <c r="FTT48" s="116"/>
      <c r="FTU48" s="116"/>
      <c r="FTV48" s="116"/>
      <c r="FTW48" s="116"/>
      <c r="FTX48" s="116"/>
      <c r="FTY48" s="116"/>
      <c r="FTZ48" s="116"/>
      <c r="FUA48" s="116"/>
      <c r="FUB48" s="116"/>
      <c r="FUC48" s="116"/>
      <c r="FUD48" s="116"/>
      <c r="FUE48" s="116"/>
      <c r="FUF48" s="116"/>
      <c r="FUG48" s="116"/>
      <c r="FUH48" s="116"/>
      <c r="FUI48" s="116"/>
      <c r="FUJ48" s="116"/>
      <c r="FUK48" s="116"/>
      <c r="FUL48" s="116"/>
      <c r="FUM48" s="116"/>
      <c r="FUN48" s="116"/>
      <c r="FUO48" s="116"/>
      <c r="FUP48" s="116"/>
      <c r="FUQ48" s="116"/>
      <c r="FUR48" s="116"/>
      <c r="FUS48" s="116"/>
      <c r="FUT48" s="116"/>
      <c r="FUU48" s="116"/>
      <c r="FUV48" s="116"/>
      <c r="FUW48" s="116"/>
      <c r="FUX48" s="116"/>
      <c r="FUY48" s="116"/>
      <c r="FUZ48" s="116"/>
      <c r="FVA48" s="116"/>
      <c r="FVB48" s="116"/>
      <c r="FVC48" s="116"/>
      <c r="FVD48" s="116"/>
      <c r="FVE48" s="116"/>
      <c r="FVF48" s="116"/>
      <c r="FVG48" s="116"/>
      <c r="FVH48" s="116"/>
      <c r="FVI48" s="116"/>
      <c r="FVJ48" s="116"/>
      <c r="FVK48" s="116"/>
      <c r="FVL48" s="116"/>
      <c r="FVM48" s="116"/>
      <c r="FVN48" s="116"/>
      <c r="FVO48" s="116"/>
      <c r="FVP48" s="116"/>
      <c r="FVQ48" s="116"/>
      <c r="FVR48" s="116"/>
      <c r="FVS48" s="116"/>
      <c r="FVT48" s="116"/>
      <c r="FVU48" s="116"/>
      <c r="FVV48" s="116"/>
      <c r="FVW48" s="116"/>
      <c r="FVX48" s="116"/>
      <c r="FVY48" s="116"/>
      <c r="FVZ48" s="116"/>
      <c r="FWA48" s="116"/>
      <c r="FWB48" s="116"/>
      <c r="FWC48" s="116"/>
      <c r="FWD48" s="116"/>
      <c r="FWE48" s="116"/>
      <c r="FWF48" s="116"/>
      <c r="FWG48" s="116"/>
      <c r="FWH48" s="116"/>
      <c r="FWI48" s="116"/>
      <c r="FWJ48" s="116"/>
      <c r="FWK48" s="116"/>
      <c r="FWL48" s="116"/>
      <c r="FWM48" s="116"/>
      <c r="FWN48" s="116"/>
      <c r="FWO48" s="116"/>
      <c r="FWP48" s="116"/>
      <c r="FWQ48" s="116"/>
      <c r="FWR48" s="116"/>
      <c r="FWS48" s="116"/>
      <c r="FWT48" s="116"/>
      <c r="FWU48" s="116"/>
      <c r="FWV48" s="116"/>
      <c r="FWW48" s="116"/>
      <c r="FWX48" s="116"/>
      <c r="FWY48" s="116"/>
      <c r="FWZ48" s="116"/>
      <c r="FXA48" s="116"/>
      <c r="FXB48" s="116"/>
      <c r="FXC48" s="116"/>
      <c r="FXD48" s="116"/>
      <c r="FXE48" s="116"/>
      <c r="FXF48" s="116"/>
      <c r="FXG48" s="116"/>
      <c r="FXH48" s="116"/>
      <c r="FXI48" s="116"/>
      <c r="FXJ48" s="116"/>
      <c r="FXK48" s="116"/>
      <c r="FXL48" s="116"/>
      <c r="FXM48" s="116"/>
      <c r="FXN48" s="116"/>
      <c r="FXO48" s="116"/>
      <c r="FXP48" s="116"/>
      <c r="FXQ48" s="116"/>
      <c r="FXR48" s="116"/>
      <c r="FXS48" s="116"/>
      <c r="FXT48" s="116"/>
      <c r="FXU48" s="116"/>
      <c r="FXV48" s="116"/>
      <c r="FXW48" s="116"/>
      <c r="FXX48" s="116"/>
      <c r="FXY48" s="116"/>
      <c r="FXZ48" s="116"/>
      <c r="FYA48" s="116"/>
      <c r="FYB48" s="116"/>
      <c r="FYC48" s="116"/>
      <c r="FYD48" s="116"/>
      <c r="FYE48" s="116"/>
      <c r="FYF48" s="116"/>
      <c r="FYG48" s="116"/>
      <c r="FYH48" s="116"/>
      <c r="FYI48" s="116"/>
      <c r="FYJ48" s="116"/>
      <c r="FYK48" s="116"/>
      <c r="FYL48" s="116"/>
      <c r="FYM48" s="116"/>
      <c r="FYN48" s="116"/>
      <c r="FYO48" s="116"/>
      <c r="FYP48" s="116"/>
      <c r="FYQ48" s="116"/>
      <c r="FYR48" s="116"/>
      <c r="FYS48" s="116"/>
      <c r="FYT48" s="116"/>
      <c r="FYU48" s="116"/>
      <c r="FYV48" s="116"/>
      <c r="FYW48" s="116"/>
      <c r="FYX48" s="116"/>
      <c r="FYY48" s="116"/>
      <c r="FYZ48" s="116"/>
      <c r="FZA48" s="116"/>
      <c r="FZB48" s="116"/>
      <c r="FZC48" s="116"/>
      <c r="FZD48" s="116"/>
      <c r="FZE48" s="116"/>
      <c r="FZF48" s="116"/>
      <c r="FZG48" s="116"/>
      <c r="FZH48" s="116"/>
      <c r="FZI48" s="116"/>
      <c r="FZJ48" s="116"/>
      <c r="FZK48" s="116"/>
      <c r="FZL48" s="116"/>
      <c r="FZM48" s="116"/>
      <c r="FZN48" s="116"/>
      <c r="FZO48" s="116"/>
      <c r="FZP48" s="116"/>
      <c r="FZQ48" s="116"/>
      <c r="FZR48" s="116"/>
      <c r="FZS48" s="116"/>
      <c r="FZT48" s="116"/>
      <c r="FZU48" s="116"/>
      <c r="FZV48" s="116"/>
      <c r="FZW48" s="116"/>
      <c r="FZX48" s="116"/>
      <c r="FZY48" s="116"/>
      <c r="FZZ48" s="116"/>
      <c r="GAA48" s="116"/>
      <c r="GAB48" s="116"/>
      <c r="GAC48" s="116"/>
      <c r="GAD48" s="116"/>
      <c r="GAE48" s="116"/>
      <c r="GAF48" s="116"/>
      <c r="GAG48" s="116"/>
      <c r="GAH48" s="116"/>
      <c r="GAI48" s="116"/>
      <c r="GAJ48" s="116"/>
      <c r="GAK48" s="116"/>
      <c r="GAL48" s="116"/>
      <c r="GAM48" s="116"/>
      <c r="GAN48" s="116"/>
      <c r="GAO48" s="116"/>
      <c r="GAP48" s="116"/>
      <c r="GAQ48" s="116"/>
      <c r="GAR48" s="116"/>
      <c r="GAS48" s="116"/>
      <c r="GAT48" s="116"/>
      <c r="GAU48" s="116"/>
      <c r="GAV48" s="116"/>
      <c r="GAW48" s="116"/>
      <c r="GAX48" s="116"/>
      <c r="GAY48" s="116"/>
      <c r="GAZ48" s="116"/>
      <c r="GBA48" s="116"/>
      <c r="GBB48" s="116"/>
      <c r="GBC48" s="116"/>
      <c r="GBD48" s="116"/>
      <c r="GBE48" s="116"/>
      <c r="GBF48" s="116"/>
      <c r="GBG48" s="116"/>
      <c r="GBH48" s="116"/>
      <c r="GBI48" s="116"/>
      <c r="GBJ48" s="116"/>
      <c r="GBK48" s="116"/>
      <c r="GBL48" s="116"/>
      <c r="GBM48" s="116"/>
      <c r="GBN48" s="116"/>
      <c r="GBO48" s="116"/>
      <c r="GBP48" s="116"/>
      <c r="GBQ48" s="116"/>
      <c r="GBR48" s="116"/>
      <c r="GBS48" s="116"/>
      <c r="GBT48" s="116"/>
      <c r="GBU48" s="116"/>
      <c r="GBV48" s="116"/>
      <c r="GBW48" s="116"/>
      <c r="GBX48" s="116"/>
      <c r="GBY48" s="116"/>
      <c r="GBZ48" s="116"/>
      <c r="GCA48" s="116"/>
      <c r="GCB48" s="116"/>
      <c r="GCC48" s="116"/>
      <c r="GCD48" s="116"/>
      <c r="GCE48" s="116"/>
      <c r="GCF48" s="116"/>
      <c r="GCG48" s="116"/>
      <c r="GCH48" s="116"/>
      <c r="GCI48" s="116"/>
      <c r="GCJ48" s="116"/>
      <c r="GCK48" s="116"/>
      <c r="GCL48" s="116"/>
      <c r="GCM48" s="116"/>
      <c r="GCN48" s="116"/>
      <c r="GCO48" s="116"/>
      <c r="GCP48" s="116"/>
      <c r="GCQ48" s="116"/>
      <c r="GCR48" s="116"/>
      <c r="GCS48" s="116"/>
      <c r="GCT48" s="116"/>
      <c r="GCU48" s="116"/>
      <c r="GCV48" s="116"/>
      <c r="GCW48" s="116"/>
      <c r="GCX48" s="116"/>
      <c r="GCY48" s="116"/>
      <c r="GCZ48" s="116"/>
      <c r="GDA48" s="116"/>
      <c r="GDB48" s="116"/>
      <c r="GDC48" s="116"/>
      <c r="GDD48" s="116"/>
      <c r="GDE48" s="116"/>
      <c r="GDF48" s="116"/>
      <c r="GDG48" s="116"/>
      <c r="GDH48" s="116"/>
      <c r="GDI48" s="116"/>
      <c r="GDJ48" s="116"/>
      <c r="GDK48" s="116"/>
      <c r="GDL48" s="116"/>
      <c r="GDM48" s="116"/>
      <c r="GDN48" s="116"/>
      <c r="GDO48" s="116"/>
      <c r="GDP48" s="116"/>
      <c r="GDQ48" s="116"/>
      <c r="GDR48" s="116"/>
      <c r="GDS48" s="116"/>
      <c r="GDT48" s="116"/>
      <c r="GDU48" s="116"/>
      <c r="GDV48" s="116"/>
      <c r="GDW48" s="116"/>
      <c r="GDX48" s="116"/>
      <c r="GDY48" s="116"/>
      <c r="GDZ48" s="116"/>
      <c r="GEA48" s="116"/>
      <c r="GEB48" s="116"/>
      <c r="GEC48" s="116"/>
      <c r="GED48" s="116"/>
      <c r="GEE48" s="116"/>
      <c r="GEF48" s="116"/>
      <c r="GEG48" s="116"/>
      <c r="GEH48" s="116"/>
      <c r="GEI48" s="116"/>
      <c r="GEJ48" s="116"/>
      <c r="GEK48" s="116"/>
      <c r="GEL48" s="116"/>
      <c r="GEM48" s="116"/>
      <c r="GEN48" s="116"/>
      <c r="GEO48" s="116"/>
      <c r="GEP48" s="116"/>
      <c r="GEQ48" s="116"/>
      <c r="GER48" s="116"/>
      <c r="GES48" s="116"/>
      <c r="GET48" s="116"/>
      <c r="GEU48" s="116"/>
      <c r="GEV48" s="116"/>
      <c r="GEW48" s="116"/>
      <c r="GEX48" s="116"/>
      <c r="GEY48" s="116"/>
      <c r="GEZ48" s="116"/>
      <c r="GFA48" s="116"/>
      <c r="GFB48" s="116"/>
      <c r="GFC48" s="116"/>
      <c r="GFD48" s="116"/>
      <c r="GFE48" s="116"/>
      <c r="GFF48" s="116"/>
      <c r="GFG48" s="116"/>
      <c r="GFH48" s="116"/>
      <c r="GFI48" s="116"/>
      <c r="GFJ48" s="116"/>
      <c r="GFK48" s="116"/>
      <c r="GFL48" s="116"/>
      <c r="GFM48" s="116"/>
      <c r="GFN48" s="116"/>
      <c r="GFO48" s="116"/>
      <c r="GFP48" s="116"/>
      <c r="GFQ48" s="116"/>
      <c r="GFR48" s="116"/>
      <c r="GFS48" s="116"/>
      <c r="GFT48" s="116"/>
      <c r="GFU48" s="116"/>
      <c r="GFV48" s="116"/>
      <c r="GFW48" s="116"/>
      <c r="GFX48" s="116"/>
      <c r="GFY48" s="116"/>
      <c r="GFZ48" s="116"/>
      <c r="GGA48" s="116"/>
      <c r="GGB48" s="116"/>
      <c r="GGC48" s="116"/>
      <c r="GGD48" s="116"/>
      <c r="GGE48" s="116"/>
      <c r="GGF48" s="116"/>
      <c r="GGG48" s="116"/>
      <c r="GGH48" s="116"/>
      <c r="GGI48" s="116"/>
      <c r="GGJ48" s="116"/>
      <c r="GGK48" s="116"/>
      <c r="GGL48" s="116"/>
      <c r="GGM48" s="116"/>
      <c r="GGN48" s="116"/>
      <c r="GGO48" s="116"/>
      <c r="GGP48" s="116"/>
      <c r="GGQ48" s="116"/>
      <c r="GGR48" s="116"/>
      <c r="GGS48" s="116"/>
      <c r="GGT48" s="116"/>
      <c r="GGU48" s="116"/>
      <c r="GGV48" s="116"/>
      <c r="GGW48" s="116"/>
      <c r="GGX48" s="116"/>
      <c r="GGY48" s="116"/>
      <c r="GGZ48" s="116"/>
      <c r="GHA48" s="116"/>
      <c r="GHB48" s="116"/>
      <c r="GHC48" s="116"/>
      <c r="GHD48" s="116"/>
      <c r="GHE48" s="116"/>
      <c r="GHF48" s="116"/>
      <c r="GHG48" s="116"/>
      <c r="GHH48" s="116"/>
      <c r="GHI48" s="116"/>
      <c r="GHJ48" s="116"/>
      <c r="GHK48" s="116"/>
      <c r="GHL48" s="116"/>
      <c r="GHM48" s="116"/>
      <c r="GHN48" s="116"/>
      <c r="GHO48" s="116"/>
      <c r="GHP48" s="116"/>
      <c r="GHQ48" s="116"/>
      <c r="GHR48" s="116"/>
      <c r="GHS48" s="116"/>
      <c r="GHT48" s="116"/>
      <c r="GHU48" s="116"/>
      <c r="GHV48" s="116"/>
      <c r="GHW48" s="116"/>
      <c r="GHX48" s="116"/>
      <c r="GHY48" s="116"/>
      <c r="GHZ48" s="116"/>
      <c r="GIA48" s="116"/>
      <c r="GIB48" s="116"/>
      <c r="GIC48" s="116"/>
      <c r="GID48" s="116"/>
      <c r="GIE48" s="116"/>
      <c r="GIF48" s="116"/>
      <c r="GIG48" s="116"/>
      <c r="GIH48" s="116"/>
      <c r="GII48" s="116"/>
      <c r="GIJ48" s="116"/>
      <c r="GIK48" s="116"/>
      <c r="GIL48" s="116"/>
      <c r="GIM48" s="116"/>
      <c r="GIN48" s="116"/>
      <c r="GIO48" s="116"/>
      <c r="GIP48" s="116"/>
      <c r="GIQ48" s="116"/>
      <c r="GIR48" s="116"/>
      <c r="GIS48" s="116"/>
      <c r="GIT48" s="116"/>
      <c r="GIU48" s="116"/>
      <c r="GIV48" s="116"/>
      <c r="GIW48" s="116"/>
      <c r="GIX48" s="116"/>
      <c r="GIY48" s="116"/>
      <c r="GIZ48" s="116"/>
      <c r="GJA48" s="116"/>
      <c r="GJB48" s="116"/>
      <c r="GJC48" s="116"/>
      <c r="GJD48" s="116"/>
      <c r="GJE48" s="116"/>
      <c r="GJF48" s="116"/>
      <c r="GJG48" s="116"/>
      <c r="GJH48" s="116"/>
      <c r="GJI48" s="116"/>
      <c r="GJJ48" s="116"/>
      <c r="GJK48" s="116"/>
      <c r="GJL48" s="116"/>
      <c r="GJM48" s="116"/>
      <c r="GJN48" s="116"/>
      <c r="GJO48" s="116"/>
      <c r="GJP48" s="116"/>
      <c r="GJQ48" s="116"/>
      <c r="GJR48" s="116"/>
      <c r="GJS48" s="116"/>
      <c r="GJT48" s="116"/>
      <c r="GJU48" s="116"/>
      <c r="GJV48" s="116"/>
      <c r="GJW48" s="116"/>
      <c r="GJX48" s="116"/>
      <c r="GJY48" s="116"/>
      <c r="GJZ48" s="116"/>
      <c r="GKA48" s="116"/>
      <c r="GKB48" s="116"/>
      <c r="GKC48" s="116"/>
      <c r="GKD48" s="116"/>
      <c r="GKE48" s="116"/>
      <c r="GKF48" s="116"/>
      <c r="GKG48" s="116"/>
      <c r="GKH48" s="116"/>
      <c r="GKI48" s="116"/>
      <c r="GKJ48" s="116"/>
      <c r="GKK48" s="116"/>
      <c r="GKL48" s="116"/>
      <c r="GKM48" s="116"/>
      <c r="GKN48" s="116"/>
      <c r="GKO48" s="116"/>
      <c r="GKP48" s="116"/>
      <c r="GKQ48" s="116"/>
      <c r="GKR48" s="116"/>
      <c r="GKS48" s="116"/>
      <c r="GKT48" s="116"/>
      <c r="GKU48" s="116"/>
      <c r="GKV48" s="116"/>
      <c r="GKW48" s="116"/>
      <c r="GKX48" s="116"/>
      <c r="GKY48" s="116"/>
      <c r="GKZ48" s="116"/>
      <c r="GLA48" s="116"/>
      <c r="GLB48" s="116"/>
      <c r="GLC48" s="116"/>
      <c r="GLD48" s="116"/>
      <c r="GLE48" s="116"/>
      <c r="GLF48" s="116"/>
      <c r="GLG48" s="116"/>
      <c r="GLH48" s="116"/>
      <c r="GLI48" s="116"/>
      <c r="GLJ48" s="116"/>
      <c r="GLK48" s="116"/>
      <c r="GLL48" s="116"/>
      <c r="GLM48" s="116"/>
      <c r="GLN48" s="116"/>
      <c r="GLO48" s="116"/>
      <c r="GLP48" s="116"/>
      <c r="GLQ48" s="116"/>
      <c r="GLR48" s="116"/>
      <c r="GLS48" s="116"/>
      <c r="GLT48" s="116"/>
      <c r="GLU48" s="116"/>
      <c r="GLV48" s="116"/>
      <c r="GLW48" s="116"/>
      <c r="GLX48" s="116"/>
      <c r="GLY48" s="116"/>
      <c r="GLZ48" s="116"/>
      <c r="GMA48" s="116"/>
      <c r="GMB48" s="116"/>
      <c r="GMC48" s="116"/>
      <c r="GMD48" s="116"/>
      <c r="GME48" s="116"/>
      <c r="GMF48" s="116"/>
      <c r="GMG48" s="116"/>
      <c r="GMH48" s="116"/>
      <c r="GMI48" s="116"/>
      <c r="GMJ48" s="116"/>
      <c r="GMK48" s="116"/>
      <c r="GML48" s="116"/>
      <c r="GMM48" s="116"/>
      <c r="GMN48" s="116"/>
      <c r="GMO48" s="116"/>
      <c r="GMP48" s="116"/>
      <c r="GMQ48" s="116"/>
      <c r="GMR48" s="116"/>
      <c r="GMS48" s="116"/>
      <c r="GMT48" s="116"/>
      <c r="GMU48" s="116"/>
      <c r="GMV48" s="116"/>
      <c r="GMW48" s="116"/>
      <c r="GMX48" s="116"/>
      <c r="GMY48" s="116"/>
      <c r="GMZ48" s="116"/>
      <c r="GNA48" s="116"/>
      <c r="GNB48" s="116"/>
      <c r="GNC48" s="116"/>
      <c r="GND48" s="116"/>
      <c r="GNE48" s="116"/>
      <c r="GNF48" s="116"/>
      <c r="GNG48" s="116"/>
      <c r="GNH48" s="116"/>
      <c r="GNI48" s="116"/>
      <c r="GNJ48" s="116"/>
      <c r="GNK48" s="116"/>
      <c r="GNL48" s="116"/>
      <c r="GNM48" s="116"/>
      <c r="GNN48" s="116"/>
      <c r="GNO48" s="116"/>
      <c r="GNP48" s="116"/>
      <c r="GNQ48" s="116"/>
      <c r="GNR48" s="116"/>
      <c r="GNS48" s="116"/>
      <c r="GNT48" s="116"/>
      <c r="GNU48" s="116"/>
      <c r="GNV48" s="116"/>
      <c r="GNW48" s="116"/>
      <c r="GNX48" s="116"/>
      <c r="GNY48" s="116"/>
      <c r="GNZ48" s="116"/>
      <c r="GOA48" s="116"/>
      <c r="GOB48" s="116"/>
      <c r="GOC48" s="116"/>
      <c r="GOD48" s="116"/>
      <c r="GOE48" s="116"/>
      <c r="GOF48" s="116"/>
      <c r="GOG48" s="116"/>
      <c r="GOH48" s="116"/>
      <c r="GOI48" s="116"/>
      <c r="GOJ48" s="116"/>
      <c r="GOK48" s="116"/>
      <c r="GOL48" s="116"/>
      <c r="GOM48" s="116"/>
      <c r="GON48" s="116"/>
      <c r="GOO48" s="116"/>
      <c r="GOP48" s="116"/>
      <c r="GOQ48" s="116"/>
      <c r="GOR48" s="116"/>
      <c r="GOS48" s="116"/>
      <c r="GOT48" s="116"/>
      <c r="GOU48" s="116"/>
      <c r="GOV48" s="116"/>
      <c r="GOW48" s="116"/>
      <c r="GOX48" s="116"/>
      <c r="GOY48" s="116"/>
      <c r="GOZ48" s="116"/>
      <c r="GPA48" s="116"/>
      <c r="GPB48" s="116"/>
      <c r="GPC48" s="116"/>
      <c r="GPD48" s="116"/>
      <c r="GPE48" s="116"/>
      <c r="GPF48" s="116"/>
      <c r="GPG48" s="116"/>
      <c r="GPH48" s="116"/>
      <c r="GPI48" s="116"/>
      <c r="GPJ48" s="116"/>
      <c r="GPK48" s="116"/>
      <c r="GPL48" s="116"/>
      <c r="GPM48" s="116"/>
      <c r="GPN48" s="116"/>
      <c r="GPO48" s="116"/>
      <c r="GPP48" s="116"/>
      <c r="GPQ48" s="116"/>
      <c r="GPR48" s="116"/>
      <c r="GPS48" s="116"/>
      <c r="GPT48" s="116"/>
      <c r="GPU48" s="116"/>
      <c r="GPV48" s="116"/>
      <c r="GPW48" s="116"/>
      <c r="GPX48" s="116"/>
      <c r="GPY48" s="116"/>
      <c r="GPZ48" s="116"/>
      <c r="GQA48" s="116"/>
      <c r="GQB48" s="116"/>
      <c r="GQC48" s="116"/>
      <c r="GQD48" s="116"/>
      <c r="GQE48" s="116"/>
      <c r="GQF48" s="116"/>
      <c r="GQG48" s="116"/>
      <c r="GQH48" s="116"/>
      <c r="GQI48" s="116"/>
      <c r="GQJ48" s="116"/>
      <c r="GQK48" s="116"/>
      <c r="GQL48" s="116"/>
      <c r="GQM48" s="116"/>
      <c r="GQN48" s="116"/>
      <c r="GQO48" s="116"/>
      <c r="GQP48" s="116"/>
      <c r="GQQ48" s="116"/>
      <c r="GQR48" s="116"/>
      <c r="GQS48" s="116"/>
      <c r="GQT48" s="116"/>
      <c r="GQU48" s="116"/>
      <c r="GQV48" s="116"/>
      <c r="GQW48" s="116"/>
      <c r="GQX48" s="116"/>
      <c r="GQY48" s="116"/>
      <c r="GQZ48" s="116"/>
      <c r="GRA48" s="116"/>
      <c r="GRB48" s="116"/>
      <c r="GRC48" s="116"/>
      <c r="GRD48" s="116"/>
      <c r="GRE48" s="116"/>
      <c r="GRF48" s="116"/>
      <c r="GRG48" s="116"/>
      <c r="GRH48" s="116"/>
      <c r="GRI48" s="116"/>
      <c r="GRJ48" s="116"/>
      <c r="GRK48" s="116"/>
      <c r="GRL48" s="116"/>
      <c r="GRM48" s="116"/>
      <c r="GRN48" s="116"/>
      <c r="GRO48" s="116"/>
      <c r="GRP48" s="116"/>
      <c r="GRQ48" s="116"/>
      <c r="GRR48" s="116"/>
      <c r="GRS48" s="116"/>
      <c r="GRT48" s="116"/>
      <c r="GRU48" s="116"/>
      <c r="GRV48" s="116"/>
      <c r="GRW48" s="116"/>
      <c r="GRX48" s="116"/>
      <c r="GRY48" s="116"/>
      <c r="GRZ48" s="116"/>
      <c r="GSA48" s="116"/>
      <c r="GSB48" s="116"/>
      <c r="GSC48" s="116"/>
      <c r="GSD48" s="116"/>
      <c r="GSE48" s="116"/>
      <c r="GSF48" s="116"/>
      <c r="GSG48" s="116"/>
      <c r="GSH48" s="116"/>
      <c r="GSI48" s="116"/>
      <c r="GSJ48" s="116"/>
      <c r="GSK48" s="116"/>
      <c r="GSL48" s="116"/>
      <c r="GSM48" s="116"/>
      <c r="GSN48" s="116"/>
      <c r="GSO48" s="116"/>
      <c r="GSP48" s="116"/>
      <c r="GSQ48" s="116"/>
      <c r="GSR48" s="116"/>
      <c r="GSS48" s="116"/>
      <c r="GST48" s="116"/>
      <c r="GSU48" s="116"/>
      <c r="GSV48" s="116"/>
      <c r="GSW48" s="116"/>
      <c r="GSX48" s="116"/>
      <c r="GSY48" s="116"/>
      <c r="GSZ48" s="116"/>
      <c r="GTA48" s="116"/>
      <c r="GTB48" s="116"/>
      <c r="GTC48" s="116"/>
      <c r="GTD48" s="116"/>
      <c r="GTE48" s="116"/>
      <c r="GTF48" s="116"/>
      <c r="GTG48" s="116"/>
      <c r="GTH48" s="116"/>
      <c r="GTI48" s="116"/>
      <c r="GTJ48" s="116"/>
      <c r="GTK48" s="116"/>
      <c r="GTL48" s="116"/>
      <c r="GTM48" s="116"/>
      <c r="GTN48" s="116"/>
      <c r="GTO48" s="116"/>
      <c r="GTP48" s="116"/>
      <c r="GTQ48" s="116"/>
      <c r="GTR48" s="116"/>
      <c r="GTS48" s="116"/>
      <c r="GTT48" s="116"/>
      <c r="GTU48" s="116"/>
      <c r="GTV48" s="116"/>
      <c r="GTW48" s="116"/>
      <c r="GTX48" s="116"/>
      <c r="GTY48" s="116"/>
      <c r="GTZ48" s="116"/>
      <c r="GUA48" s="116"/>
      <c r="GUB48" s="116"/>
      <c r="GUC48" s="116"/>
      <c r="GUD48" s="116"/>
      <c r="GUE48" s="116"/>
      <c r="GUF48" s="116"/>
      <c r="GUG48" s="116"/>
      <c r="GUH48" s="116"/>
      <c r="GUI48" s="116"/>
      <c r="GUJ48" s="116"/>
      <c r="GUK48" s="116"/>
      <c r="GUL48" s="116"/>
      <c r="GUM48" s="116"/>
      <c r="GUN48" s="116"/>
      <c r="GUO48" s="116"/>
      <c r="GUP48" s="116"/>
      <c r="GUQ48" s="116"/>
      <c r="GUR48" s="116"/>
      <c r="GUS48" s="116"/>
      <c r="GUT48" s="116"/>
      <c r="GUU48" s="116"/>
      <c r="GUV48" s="116"/>
      <c r="GUW48" s="116"/>
      <c r="GUX48" s="116"/>
      <c r="GUY48" s="116"/>
      <c r="GUZ48" s="116"/>
      <c r="GVA48" s="116"/>
      <c r="GVB48" s="116"/>
      <c r="GVC48" s="116"/>
      <c r="GVD48" s="116"/>
      <c r="GVE48" s="116"/>
      <c r="GVF48" s="116"/>
      <c r="GVG48" s="116"/>
      <c r="GVH48" s="116"/>
      <c r="GVI48" s="116"/>
      <c r="GVJ48" s="116"/>
      <c r="GVK48" s="116"/>
      <c r="GVL48" s="116"/>
      <c r="GVM48" s="116"/>
      <c r="GVN48" s="116"/>
      <c r="GVO48" s="116"/>
      <c r="GVP48" s="116"/>
      <c r="GVQ48" s="116"/>
      <c r="GVR48" s="116"/>
      <c r="GVS48" s="116"/>
      <c r="GVT48" s="116"/>
      <c r="GVU48" s="116"/>
      <c r="GVV48" s="116"/>
      <c r="GVW48" s="116"/>
      <c r="GVX48" s="116"/>
      <c r="GVY48" s="116"/>
      <c r="GVZ48" s="116"/>
      <c r="GWA48" s="116"/>
      <c r="GWB48" s="116"/>
      <c r="GWC48" s="116"/>
      <c r="GWD48" s="116"/>
      <c r="GWE48" s="116"/>
      <c r="GWF48" s="116"/>
      <c r="GWG48" s="116"/>
      <c r="GWH48" s="116"/>
      <c r="GWI48" s="116"/>
      <c r="GWJ48" s="116"/>
      <c r="GWK48" s="116"/>
      <c r="GWL48" s="116"/>
      <c r="GWM48" s="116"/>
      <c r="GWN48" s="116"/>
      <c r="GWO48" s="116"/>
      <c r="GWP48" s="116"/>
      <c r="GWQ48" s="116"/>
      <c r="GWR48" s="116"/>
      <c r="GWS48" s="116"/>
      <c r="GWT48" s="116"/>
      <c r="GWU48" s="116"/>
      <c r="GWV48" s="116"/>
      <c r="GWW48" s="116"/>
      <c r="GWX48" s="116"/>
      <c r="GWY48" s="116"/>
      <c r="GWZ48" s="116"/>
      <c r="GXA48" s="116"/>
      <c r="GXB48" s="116"/>
      <c r="GXC48" s="116"/>
      <c r="GXD48" s="116"/>
      <c r="GXE48" s="116"/>
      <c r="GXF48" s="116"/>
      <c r="GXG48" s="116"/>
      <c r="GXH48" s="116"/>
      <c r="GXI48" s="116"/>
      <c r="GXJ48" s="116"/>
      <c r="GXK48" s="116"/>
      <c r="GXL48" s="116"/>
      <c r="GXM48" s="116"/>
      <c r="GXN48" s="116"/>
      <c r="GXO48" s="116"/>
      <c r="GXP48" s="116"/>
      <c r="GXQ48" s="116"/>
      <c r="GXR48" s="116"/>
      <c r="GXS48" s="116"/>
      <c r="GXT48" s="116"/>
      <c r="GXU48" s="116"/>
      <c r="GXV48" s="116"/>
      <c r="GXW48" s="116"/>
      <c r="GXX48" s="116"/>
      <c r="GXY48" s="116"/>
      <c r="GXZ48" s="116"/>
      <c r="GYA48" s="116"/>
      <c r="GYB48" s="116"/>
      <c r="GYC48" s="116"/>
      <c r="GYD48" s="116"/>
      <c r="GYE48" s="116"/>
      <c r="GYF48" s="116"/>
      <c r="GYG48" s="116"/>
      <c r="GYH48" s="116"/>
      <c r="GYI48" s="116"/>
      <c r="GYJ48" s="116"/>
      <c r="GYK48" s="116"/>
      <c r="GYL48" s="116"/>
      <c r="GYM48" s="116"/>
      <c r="GYN48" s="116"/>
      <c r="GYO48" s="116"/>
      <c r="GYP48" s="116"/>
      <c r="GYQ48" s="116"/>
      <c r="GYR48" s="116"/>
      <c r="GYS48" s="116"/>
      <c r="GYT48" s="116"/>
      <c r="GYU48" s="116"/>
      <c r="GYV48" s="116"/>
      <c r="GYW48" s="116"/>
      <c r="GYX48" s="116"/>
      <c r="GYY48" s="116"/>
      <c r="GYZ48" s="116"/>
      <c r="GZA48" s="116"/>
      <c r="GZB48" s="116"/>
      <c r="GZC48" s="116"/>
      <c r="GZD48" s="116"/>
      <c r="GZE48" s="116"/>
      <c r="GZF48" s="116"/>
      <c r="GZG48" s="116"/>
      <c r="GZH48" s="116"/>
      <c r="GZI48" s="116"/>
      <c r="GZJ48" s="116"/>
      <c r="GZK48" s="116"/>
      <c r="GZL48" s="116"/>
      <c r="GZM48" s="116"/>
      <c r="GZN48" s="116"/>
      <c r="GZO48" s="116"/>
      <c r="GZP48" s="116"/>
      <c r="GZQ48" s="116"/>
      <c r="GZR48" s="116"/>
      <c r="GZS48" s="116"/>
      <c r="GZT48" s="116"/>
      <c r="GZU48" s="116"/>
      <c r="GZV48" s="116"/>
      <c r="GZW48" s="116"/>
      <c r="GZX48" s="116"/>
      <c r="GZY48" s="116"/>
      <c r="GZZ48" s="116"/>
      <c r="HAA48" s="116"/>
      <c r="HAB48" s="116"/>
      <c r="HAC48" s="116"/>
      <c r="HAD48" s="116"/>
      <c r="HAE48" s="116"/>
      <c r="HAF48" s="116"/>
      <c r="HAG48" s="116"/>
      <c r="HAH48" s="116"/>
      <c r="HAI48" s="116"/>
      <c r="HAJ48" s="116"/>
      <c r="HAK48" s="116"/>
      <c r="HAL48" s="116"/>
      <c r="HAM48" s="116"/>
      <c r="HAN48" s="116"/>
      <c r="HAO48" s="116"/>
      <c r="HAP48" s="116"/>
      <c r="HAQ48" s="116"/>
      <c r="HAR48" s="116"/>
      <c r="HAS48" s="116"/>
      <c r="HAT48" s="116"/>
      <c r="HAU48" s="116"/>
      <c r="HAV48" s="116"/>
      <c r="HAW48" s="116"/>
      <c r="HAX48" s="116"/>
      <c r="HAY48" s="116"/>
      <c r="HAZ48" s="116"/>
      <c r="HBA48" s="116"/>
      <c r="HBB48" s="116"/>
      <c r="HBC48" s="116"/>
      <c r="HBD48" s="116"/>
      <c r="HBE48" s="116"/>
      <c r="HBF48" s="116"/>
      <c r="HBG48" s="116"/>
      <c r="HBH48" s="116"/>
      <c r="HBI48" s="116"/>
      <c r="HBJ48" s="116"/>
      <c r="HBK48" s="116"/>
      <c r="HBL48" s="116"/>
      <c r="HBM48" s="116"/>
      <c r="HBN48" s="116"/>
      <c r="HBO48" s="116"/>
      <c r="HBP48" s="116"/>
      <c r="HBQ48" s="116"/>
      <c r="HBR48" s="116"/>
      <c r="HBS48" s="116"/>
      <c r="HBT48" s="116"/>
      <c r="HBU48" s="116"/>
      <c r="HBV48" s="116"/>
      <c r="HBW48" s="116"/>
      <c r="HBX48" s="116"/>
      <c r="HBY48" s="116"/>
      <c r="HBZ48" s="116"/>
      <c r="HCA48" s="116"/>
      <c r="HCB48" s="116"/>
      <c r="HCC48" s="116"/>
      <c r="HCD48" s="116"/>
      <c r="HCE48" s="116"/>
      <c r="HCF48" s="116"/>
      <c r="HCG48" s="116"/>
      <c r="HCH48" s="116"/>
      <c r="HCI48" s="116"/>
      <c r="HCJ48" s="116"/>
      <c r="HCK48" s="116"/>
      <c r="HCL48" s="116"/>
      <c r="HCM48" s="116"/>
      <c r="HCN48" s="116"/>
      <c r="HCO48" s="116"/>
      <c r="HCP48" s="116"/>
      <c r="HCQ48" s="116"/>
      <c r="HCR48" s="116"/>
      <c r="HCS48" s="116"/>
      <c r="HCT48" s="116"/>
      <c r="HCU48" s="116"/>
      <c r="HCV48" s="116"/>
      <c r="HCW48" s="116"/>
      <c r="HCX48" s="116"/>
      <c r="HCY48" s="116"/>
      <c r="HCZ48" s="116"/>
      <c r="HDA48" s="116"/>
      <c r="HDB48" s="116"/>
      <c r="HDC48" s="116"/>
      <c r="HDD48" s="116"/>
      <c r="HDE48" s="116"/>
      <c r="HDF48" s="116"/>
      <c r="HDG48" s="116"/>
      <c r="HDH48" s="116"/>
      <c r="HDI48" s="116"/>
      <c r="HDJ48" s="116"/>
      <c r="HDK48" s="116"/>
      <c r="HDL48" s="116"/>
      <c r="HDM48" s="116"/>
      <c r="HDN48" s="116"/>
      <c r="HDO48" s="116"/>
      <c r="HDP48" s="116"/>
      <c r="HDQ48" s="116"/>
      <c r="HDR48" s="116"/>
      <c r="HDS48" s="116"/>
      <c r="HDT48" s="116"/>
      <c r="HDU48" s="116"/>
      <c r="HDV48" s="116"/>
      <c r="HDW48" s="116"/>
      <c r="HDX48" s="116"/>
      <c r="HDY48" s="116"/>
      <c r="HDZ48" s="116"/>
      <c r="HEA48" s="116"/>
      <c r="HEB48" s="116"/>
      <c r="HEC48" s="116"/>
      <c r="HED48" s="116"/>
      <c r="HEE48" s="116"/>
      <c r="HEF48" s="116"/>
      <c r="HEG48" s="116"/>
      <c r="HEH48" s="116"/>
      <c r="HEI48" s="116"/>
      <c r="HEJ48" s="116"/>
      <c r="HEK48" s="116"/>
      <c r="HEL48" s="116"/>
      <c r="HEM48" s="116"/>
      <c r="HEN48" s="116"/>
      <c r="HEO48" s="116"/>
      <c r="HEP48" s="116"/>
      <c r="HEQ48" s="116"/>
      <c r="HER48" s="116"/>
      <c r="HES48" s="116"/>
      <c r="HET48" s="116"/>
      <c r="HEU48" s="116"/>
      <c r="HEV48" s="116"/>
      <c r="HEW48" s="116"/>
      <c r="HEX48" s="116"/>
      <c r="HEY48" s="116"/>
      <c r="HEZ48" s="116"/>
      <c r="HFA48" s="116"/>
      <c r="HFB48" s="116"/>
      <c r="HFC48" s="116"/>
      <c r="HFD48" s="116"/>
      <c r="HFE48" s="116"/>
      <c r="HFF48" s="116"/>
      <c r="HFG48" s="116"/>
      <c r="HFH48" s="116"/>
      <c r="HFI48" s="116"/>
      <c r="HFJ48" s="116"/>
      <c r="HFK48" s="116"/>
      <c r="HFL48" s="116"/>
      <c r="HFM48" s="116"/>
      <c r="HFN48" s="116"/>
      <c r="HFO48" s="116"/>
      <c r="HFP48" s="116"/>
      <c r="HFQ48" s="116"/>
      <c r="HFR48" s="116"/>
      <c r="HFS48" s="116"/>
      <c r="HFT48" s="116"/>
      <c r="HFU48" s="116"/>
      <c r="HFV48" s="116"/>
      <c r="HFW48" s="116"/>
      <c r="HFX48" s="116"/>
      <c r="HFY48" s="116"/>
      <c r="HFZ48" s="116"/>
      <c r="HGA48" s="116"/>
      <c r="HGB48" s="116"/>
      <c r="HGC48" s="116"/>
      <c r="HGD48" s="116"/>
      <c r="HGE48" s="116"/>
      <c r="HGF48" s="116"/>
      <c r="HGG48" s="116"/>
      <c r="HGH48" s="116"/>
      <c r="HGI48" s="116"/>
      <c r="HGJ48" s="116"/>
      <c r="HGK48" s="116"/>
      <c r="HGL48" s="116"/>
      <c r="HGM48" s="116"/>
      <c r="HGN48" s="116"/>
      <c r="HGO48" s="116"/>
      <c r="HGP48" s="116"/>
      <c r="HGQ48" s="116"/>
      <c r="HGR48" s="116"/>
      <c r="HGS48" s="116"/>
      <c r="HGT48" s="116"/>
      <c r="HGU48" s="116"/>
      <c r="HGV48" s="116"/>
      <c r="HGW48" s="116"/>
      <c r="HGX48" s="116"/>
      <c r="HGY48" s="116"/>
      <c r="HGZ48" s="116"/>
      <c r="HHA48" s="116"/>
      <c r="HHB48" s="116"/>
      <c r="HHC48" s="116"/>
      <c r="HHD48" s="116"/>
      <c r="HHE48" s="116"/>
      <c r="HHF48" s="116"/>
      <c r="HHG48" s="116"/>
      <c r="HHH48" s="116"/>
      <c r="HHI48" s="116"/>
      <c r="HHJ48" s="116"/>
      <c r="HHK48" s="116"/>
      <c r="HHL48" s="116"/>
      <c r="HHM48" s="116"/>
      <c r="HHN48" s="116"/>
      <c r="HHO48" s="116"/>
      <c r="HHP48" s="116"/>
      <c r="HHQ48" s="116"/>
      <c r="HHR48" s="116"/>
      <c r="HHS48" s="116"/>
      <c r="HHT48" s="116"/>
      <c r="HHU48" s="116"/>
      <c r="HHV48" s="116"/>
      <c r="HHW48" s="116"/>
      <c r="HHX48" s="116"/>
      <c r="HHY48" s="116"/>
      <c r="HHZ48" s="116"/>
      <c r="HIA48" s="116"/>
      <c r="HIB48" s="116"/>
      <c r="HIC48" s="116"/>
      <c r="HID48" s="116"/>
      <c r="HIE48" s="116"/>
      <c r="HIF48" s="116"/>
      <c r="HIG48" s="116"/>
      <c r="HIH48" s="116"/>
      <c r="HII48" s="116"/>
      <c r="HIJ48" s="116"/>
      <c r="HIK48" s="116"/>
      <c r="HIL48" s="116"/>
      <c r="HIM48" s="116"/>
      <c r="HIN48" s="116"/>
      <c r="HIO48" s="116"/>
      <c r="HIP48" s="116"/>
      <c r="HIQ48" s="116"/>
      <c r="HIR48" s="116"/>
      <c r="HIS48" s="116"/>
      <c r="HIT48" s="116"/>
      <c r="HIU48" s="116"/>
      <c r="HIV48" s="116"/>
      <c r="HIW48" s="116"/>
      <c r="HIX48" s="116"/>
      <c r="HIY48" s="116"/>
      <c r="HIZ48" s="116"/>
      <c r="HJA48" s="116"/>
      <c r="HJB48" s="116"/>
      <c r="HJC48" s="116"/>
      <c r="HJD48" s="116"/>
      <c r="HJE48" s="116"/>
      <c r="HJF48" s="116"/>
      <c r="HJG48" s="116"/>
      <c r="HJH48" s="116"/>
      <c r="HJI48" s="116"/>
      <c r="HJJ48" s="116"/>
      <c r="HJK48" s="116"/>
      <c r="HJL48" s="116"/>
      <c r="HJM48" s="116"/>
      <c r="HJN48" s="116"/>
      <c r="HJO48" s="116"/>
      <c r="HJP48" s="116"/>
      <c r="HJQ48" s="116"/>
      <c r="HJR48" s="116"/>
      <c r="HJS48" s="116"/>
      <c r="HJT48" s="116"/>
      <c r="HJU48" s="116"/>
      <c r="HJV48" s="116"/>
      <c r="HJW48" s="116"/>
      <c r="HJX48" s="116"/>
      <c r="HJY48" s="116"/>
      <c r="HJZ48" s="116"/>
      <c r="HKA48" s="116"/>
      <c r="HKB48" s="116"/>
      <c r="HKC48" s="116"/>
      <c r="HKD48" s="116"/>
      <c r="HKE48" s="116"/>
      <c r="HKF48" s="116"/>
      <c r="HKG48" s="116"/>
      <c r="HKH48" s="116"/>
      <c r="HKI48" s="116"/>
      <c r="HKJ48" s="116"/>
      <c r="HKK48" s="116"/>
      <c r="HKL48" s="116"/>
      <c r="HKM48" s="116"/>
      <c r="HKN48" s="116"/>
      <c r="HKO48" s="116"/>
      <c r="HKP48" s="116"/>
      <c r="HKQ48" s="116"/>
      <c r="HKR48" s="116"/>
      <c r="HKS48" s="116"/>
      <c r="HKT48" s="116"/>
      <c r="HKU48" s="116"/>
      <c r="HKV48" s="116"/>
      <c r="HKW48" s="116"/>
      <c r="HKX48" s="116"/>
      <c r="HKY48" s="116"/>
      <c r="HKZ48" s="116"/>
      <c r="HLA48" s="116"/>
      <c r="HLB48" s="116"/>
      <c r="HLC48" s="116"/>
      <c r="HLD48" s="116"/>
      <c r="HLE48" s="116"/>
      <c r="HLF48" s="116"/>
      <c r="HLG48" s="116"/>
      <c r="HLH48" s="116"/>
      <c r="HLI48" s="116"/>
      <c r="HLJ48" s="116"/>
      <c r="HLK48" s="116"/>
      <c r="HLL48" s="116"/>
      <c r="HLM48" s="116"/>
      <c r="HLN48" s="116"/>
      <c r="HLO48" s="116"/>
      <c r="HLP48" s="116"/>
      <c r="HLQ48" s="116"/>
      <c r="HLR48" s="116"/>
      <c r="HLS48" s="116"/>
      <c r="HLT48" s="116"/>
      <c r="HLU48" s="116"/>
      <c r="HLV48" s="116"/>
      <c r="HLW48" s="116"/>
      <c r="HLX48" s="116"/>
      <c r="HLY48" s="116"/>
      <c r="HLZ48" s="116"/>
      <c r="HMA48" s="116"/>
      <c r="HMB48" s="116"/>
      <c r="HMC48" s="116"/>
      <c r="HMD48" s="116"/>
      <c r="HME48" s="116"/>
      <c r="HMF48" s="116"/>
      <c r="HMG48" s="116"/>
      <c r="HMH48" s="116"/>
      <c r="HMI48" s="116"/>
      <c r="HMJ48" s="116"/>
      <c r="HMK48" s="116"/>
      <c r="HML48" s="116"/>
      <c r="HMM48" s="116"/>
      <c r="HMN48" s="116"/>
      <c r="HMO48" s="116"/>
      <c r="HMP48" s="116"/>
      <c r="HMQ48" s="116"/>
      <c r="HMR48" s="116"/>
      <c r="HMS48" s="116"/>
      <c r="HMT48" s="116"/>
      <c r="HMU48" s="116"/>
      <c r="HMV48" s="116"/>
      <c r="HMW48" s="116"/>
      <c r="HMX48" s="116"/>
      <c r="HMY48" s="116"/>
      <c r="HMZ48" s="116"/>
      <c r="HNA48" s="116"/>
      <c r="HNB48" s="116"/>
      <c r="HNC48" s="116"/>
      <c r="HND48" s="116"/>
      <c r="HNE48" s="116"/>
      <c r="HNF48" s="116"/>
      <c r="HNG48" s="116"/>
      <c r="HNH48" s="116"/>
      <c r="HNI48" s="116"/>
      <c r="HNJ48" s="116"/>
      <c r="HNK48" s="116"/>
      <c r="HNL48" s="116"/>
      <c r="HNM48" s="116"/>
      <c r="HNN48" s="116"/>
      <c r="HNO48" s="116"/>
      <c r="HNP48" s="116"/>
      <c r="HNQ48" s="116"/>
      <c r="HNR48" s="116"/>
      <c r="HNS48" s="116"/>
      <c r="HNT48" s="116"/>
      <c r="HNU48" s="116"/>
      <c r="HNV48" s="116"/>
      <c r="HNW48" s="116"/>
      <c r="HNX48" s="116"/>
      <c r="HNY48" s="116"/>
      <c r="HNZ48" s="116"/>
      <c r="HOA48" s="116"/>
      <c r="HOB48" s="116"/>
      <c r="HOC48" s="116"/>
      <c r="HOD48" s="116"/>
      <c r="HOE48" s="116"/>
      <c r="HOF48" s="116"/>
      <c r="HOG48" s="116"/>
      <c r="HOH48" s="116"/>
      <c r="HOI48" s="116"/>
      <c r="HOJ48" s="116"/>
      <c r="HOK48" s="116"/>
      <c r="HOL48" s="116"/>
      <c r="HOM48" s="116"/>
      <c r="HON48" s="116"/>
      <c r="HOO48" s="116"/>
      <c r="HOP48" s="116"/>
      <c r="HOQ48" s="116"/>
      <c r="HOR48" s="116"/>
      <c r="HOS48" s="116"/>
      <c r="HOT48" s="116"/>
      <c r="HOU48" s="116"/>
      <c r="HOV48" s="116"/>
      <c r="HOW48" s="116"/>
      <c r="HOX48" s="116"/>
      <c r="HOY48" s="116"/>
      <c r="HOZ48" s="116"/>
      <c r="HPA48" s="116"/>
      <c r="HPB48" s="116"/>
      <c r="HPC48" s="116"/>
      <c r="HPD48" s="116"/>
      <c r="HPE48" s="116"/>
      <c r="HPF48" s="116"/>
      <c r="HPG48" s="116"/>
      <c r="HPH48" s="116"/>
      <c r="HPI48" s="116"/>
      <c r="HPJ48" s="116"/>
      <c r="HPK48" s="116"/>
      <c r="HPL48" s="116"/>
      <c r="HPM48" s="116"/>
      <c r="HPN48" s="116"/>
      <c r="HPO48" s="116"/>
      <c r="HPP48" s="116"/>
      <c r="HPQ48" s="116"/>
      <c r="HPR48" s="116"/>
      <c r="HPS48" s="116"/>
      <c r="HPT48" s="116"/>
      <c r="HPU48" s="116"/>
      <c r="HPV48" s="116"/>
      <c r="HPW48" s="116"/>
      <c r="HPX48" s="116"/>
      <c r="HPY48" s="116"/>
      <c r="HPZ48" s="116"/>
      <c r="HQA48" s="116"/>
      <c r="HQB48" s="116"/>
      <c r="HQC48" s="116"/>
      <c r="HQD48" s="116"/>
      <c r="HQE48" s="116"/>
      <c r="HQF48" s="116"/>
      <c r="HQG48" s="116"/>
      <c r="HQH48" s="116"/>
      <c r="HQI48" s="116"/>
      <c r="HQJ48" s="116"/>
      <c r="HQK48" s="116"/>
      <c r="HQL48" s="116"/>
      <c r="HQM48" s="116"/>
      <c r="HQN48" s="116"/>
      <c r="HQO48" s="116"/>
      <c r="HQP48" s="116"/>
      <c r="HQQ48" s="116"/>
      <c r="HQR48" s="116"/>
      <c r="HQS48" s="116"/>
      <c r="HQT48" s="116"/>
      <c r="HQU48" s="116"/>
      <c r="HQV48" s="116"/>
      <c r="HQW48" s="116"/>
      <c r="HQX48" s="116"/>
      <c r="HQY48" s="116"/>
      <c r="HQZ48" s="116"/>
      <c r="HRA48" s="116"/>
      <c r="HRB48" s="116"/>
      <c r="HRC48" s="116"/>
      <c r="HRD48" s="116"/>
      <c r="HRE48" s="116"/>
      <c r="HRF48" s="116"/>
      <c r="HRG48" s="116"/>
      <c r="HRH48" s="116"/>
      <c r="HRI48" s="116"/>
      <c r="HRJ48" s="116"/>
      <c r="HRK48" s="116"/>
      <c r="HRL48" s="116"/>
      <c r="HRM48" s="116"/>
      <c r="HRN48" s="116"/>
      <c r="HRO48" s="116"/>
      <c r="HRP48" s="116"/>
      <c r="HRQ48" s="116"/>
      <c r="HRR48" s="116"/>
      <c r="HRS48" s="116"/>
      <c r="HRT48" s="116"/>
      <c r="HRU48" s="116"/>
      <c r="HRV48" s="116"/>
      <c r="HRW48" s="116"/>
      <c r="HRX48" s="116"/>
      <c r="HRY48" s="116"/>
      <c r="HRZ48" s="116"/>
      <c r="HSA48" s="116"/>
      <c r="HSB48" s="116"/>
      <c r="HSC48" s="116"/>
      <c r="HSD48" s="116"/>
      <c r="HSE48" s="116"/>
      <c r="HSF48" s="116"/>
      <c r="HSG48" s="116"/>
      <c r="HSH48" s="116"/>
      <c r="HSI48" s="116"/>
      <c r="HSJ48" s="116"/>
      <c r="HSK48" s="116"/>
      <c r="HSL48" s="116"/>
      <c r="HSM48" s="116"/>
      <c r="HSN48" s="116"/>
      <c r="HSO48" s="116"/>
      <c r="HSP48" s="116"/>
      <c r="HSQ48" s="116"/>
      <c r="HSR48" s="116"/>
      <c r="HSS48" s="116"/>
      <c r="HST48" s="116"/>
      <c r="HSU48" s="116"/>
      <c r="HSV48" s="116"/>
      <c r="HSW48" s="116"/>
      <c r="HSX48" s="116"/>
      <c r="HSY48" s="116"/>
      <c r="HSZ48" s="116"/>
      <c r="HTA48" s="116"/>
      <c r="HTB48" s="116"/>
      <c r="HTC48" s="116"/>
      <c r="HTD48" s="116"/>
      <c r="HTE48" s="116"/>
      <c r="HTF48" s="116"/>
      <c r="HTG48" s="116"/>
      <c r="HTH48" s="116"/>
      <c r="HTI48" s="116"/>
      <c r="HTJ48" s="116"/>
      <c r="HTK48" s="116"/>
      <c r="HTL48" s="116"/>
      <c r="HTM48" s="116"/>
      <c r="HTN48" s="116"/>
      <c r="HTO48" s="116"/>
      <c r="HTP48" s="116"/>
      <c r="HTQ48" s="116"/>
      <c r="HTR48" s="116"/>
      <c r="HTS48" s="116"/>
      <c r="HTT48" s="116"/>
      <c r="HTU48" s="116"/>
      <c r="HTV48" s="116"/>
      <c r="HTW48" s="116"/>
      <c r="HTX48" s="116"/>
      <c r="HTY48" s="116"/>
      <c r="HTZ48" s="116"/>
      <c r="HUA48" s="116"/>
      <c r="HUB48" s="116"/>
      <c r="HUC48" s="116"/>
      <c r="HUD48" s="116"/>
      <c r="HUE48" s="116"/>
      <c r="HUF48" s="116"/>
      <c r="HUG48" s="116"/>
      <c r="HUH48" s="116"/>
      <c r="HUI48" s="116"/>
      <c r="HUJ48" s="116"/>
      <c r="HUK48" s="116"/>
      <c r="HUL48" s="116"/>
      <c r="HUM48" s="116"/>
      <c r="HUN48" s="116"/>
      <c r="HUO48" s="116"/>
      <c r="HUP48" s="116"/>
      <c r="HUQ48" s="116"/>
      <c r="HUR48" s="116"/>
      <c r="HUS48" s="116"/>
      <c r="HUT48" s="116"/>
      <c r="HUU48" s="116"/>
      <c r="HUV48" s="116"/>
      <c r="HUW48" s="116"/>
      <c r="HUX48" s="116"/>
      <c r="HUY48" s="116"/>
      <c r="HUZ48" s="116"/>
      <c r="HVA48" s="116"/>
      <c r="HVB48" s="116"/>
      <c r="HVC48" s="116"/>
      <c r="HVD48" s="116"/>
      <c r="HVE48" s="116"/>
      <c r="HVF48" s="116"/>
      <c r="HVG48" s="116"/>
      <c r="HVH48" s="116"/>
      <c r="HVI48" s="116"/>
      <c r="HVJ48" s="116"/>
      <c r="HVK48" s="116"/>
      <c r="HVL48" s="116"/>
      <c r="HVM48" s="116"/>
      <c r="HVN48" s="116"/>
      <c r="HVO48" s="116"/>
      <c r="HVP48" s="116"/>
      <c r="HVQ48" s="116"/>
      <c r="HVR48" s="116"/>
      <c r="HVS48" s="116"/>
      <c r="HVT48" s="116"/>
      <c r="HVU48" s="116"/>
      <c r="HVV48" s="116"/>
      <c r="HVW48" s="116"/>
      <c r="HVX48" s="116"/>
      <c r="HVY48" s="116"/>
      <c r="HVZ48" s="116"/>
      <c r="HWA48" s="116"/>
      <c r="HWB48" s="116"/>
      <c r="HWC48" s="116"/>
      <c r="HWD48" s="116"/>
      <c r="HWE48" s="116"/>
      <c r="HWF48" s="116"/>
      <c r="HWG48" s="116"/>
      <c r="HWH48" s="116"/>
      <c r="HWI48" s="116"/>
      <c r="HWJ48" s="116"/>
      <c r="HWK48" s="116"/>
      <c r="HWL48" s="116"/>
      <c r="HWM48" s="116"/>
      <c r="HWN48" s="116"/>
      <c r="HWO48" s="116"/>
      <c r="HWP48" s="116"/>
      <c r="HWQ48" s="116"/>
      <c r="HWR48" s="116"/>
      <c r="HWS48" s="116"/>
      <c r="HWT48" s="116"/>
      <c r="HWU48" s="116"/>
      <c r="HWV48" s="116"/>
      <c r="HWW48" s="116"/>
      <c r="HWX48" s="116"/>
      <c r="HWY48" s="116"/>
      <c r="HWZ48" s="116"/>
      <c r="HXA48" s="116"/>
      <c r="HXB48" s="116"/>
      <c r="HXC48" s="116"/>
      <c r="HXD48" s="116"/>
      <c r="HXE48" s="116"/>
      <c r="HXF48" s="116"/>
      <c r="HXG48" s="116"/>
      <c r="HXH48" s="116"/>
      <c r="HXI48" s="116"/>
      <c r="HXJ48" s="116"/>
      <c r="HXK48" s="116"/>
      <c r="HXL48" s="116"/>
      <c r="HXM48" s="116"/>
      <c r="HXN48" s="116"/>
      <c r="HXO48" s="116"/>
      <c r="HXP48" s="116"/>
      <c r="HXQ48" s="116"/>
      <c r="HXR48" s="116"/>
      <c r="HXS48" s="116"/>
      <c r="HXT48" s="116"/>
      <c r="HXU48" s="116"/>
      <c r="HXV48" s="116"/>
      <c r="HXW48" s="116"/>
      <c r="HXX48" s="116"/>
      <c r="HXY48" s="116"/>
      <c r="HXZ48" s="116"/>
      <c r="HYA48" s="116"/>
      <c r="HYB48" s="116"/>
      <c r="HYC48" s="116"/>
      <c r="HYD48" s="116"/>
      <c r="HYE48" s="116"/>
      <c r="HYF48" s="116"/>
      <c r="HYG48" s="116"/>
      <c r="HYH48" s="116"/>
      <c r="HYI48" s="116"/>
      <c r="HYJ48" s="116"/>
      <c r="HYK48" s="116"/>
      <c r="HYL48" s="116"/>
      <c r="HYM48" s="116"/>
      <c r="HYN48" s="116"/>
      <c r="HYO48" s="116"/>
      <c r="HYP48" s="116"/>
      <c r="HYQ48" s="116"/>
      <c r="HYR48" s="116"/>
      <c r="HYS48" s="116"/>
      <c r="HYT48" s="116"/>
      <c r="HYU48" s="116"/>
      <c r="HYV48" s="116"/>
      <c r="HYW48" s="116"/>
      <c r="HYX48" s="116"/>
      <c r="HYY48" s="116"/>
      <c r="HYZ48" s="116"/>
      <c r="HZA48" s="116"/>
      <c r="HZB48" s="116"/>
      <c r="HZC48" s="116"/>
      <c r="HZD48" s="116"/>
      <c r="HZE48" s="116"/>
      <c r="HZF48" s="116"/>
      <c r="HZG48" s="116"/>
      <c r="HZH48" s="116"/>
      <c r="HZI48" s="116"/>
      <c r="HZJ48" s="116"/>
      <c r="HZK48" s="116"/>
      <c r="HZL48" s="116"/>
      <c r="HZM48" s="116"/>
      <c r="HZN48" s="116"/>
      <c r="HZO48" s="116"/>
      <c r="HZP48" s="116"/>
      <c r="HZQ48" s="116"/>
      <c r="HZR48" s="116"/>
      <c r="HZS48" s="116"/>
      <c r="HZT48" s="116"/>
      <c r="HZU48" s="116"/>
      <c r="HZV48" s="116"/>
      <c r="HZW48" s="116"/>
      <c r="HZX48" s="116"/>
      <c r="HZY48" s="116"/>
      <c r="HZZ48" s="116"/>
      <c r="IAA48" s="116"/>
      <c r="IAB48" s="116"/>
      <c r="IAC48" s="116"/>
      <c r="IAD48" s="116"/>
      <c r="IAE48" s="116"/>
      <c r="IAF48" s="116"/>
      <c r="IAG48" s="116"/>
      <c r="IAH48" s="116"/>
      <c r="IAI48" s="116"/>
      <c r="IAJ48" s="116"/>
      <c r="IAK48" s="116"/>
      <c r="IAL48" s="116"/>
      <c r="IAM48" s="116"/>
      <c r="IAN48" s="116"/>
      <c r="IAO48" s="116"/>
      <c r="IAP48" s="116"/>
      <c r="IAQ48" s="116"/>
      <c r="IAR48" s="116"/>
      <c r="IAS48" s="116"/>
      <c r="IAT48" s="116"/>
      <c r="IAU48" s="116"/>
      <c r="IAV48" s="116"/>
      <c r="IAW48" s="116"/>
      <c r="IAX48" s="116"/>
      <c r="IAY48" s="116"/>
      <c r="IAZ48" s="116"/>
      <c r="IBA48" s="116"/>
      <c r="IBB48" s="116"/>
      <c r="IBC48" s="116"/>
      <c r="IBD48" s="116"/>
      <c r="IBE48" s="116"/>
      <c r="IBF48" s="116"/>
      <c r="IBG48" s="116"/>
      <c r="IBH48" s="116"/>
      <c r="IBI48" s="116"/>
      <c r="IBJ48" s="116"/>
      <c r="IBK48" s="116"/>
      <c r="IBL48" s="116"/>
      <c r="IBM48" s="116"/>
      <c r="IBN48" s="116"/>
      <c r="IBO48" s="116"/>
      <c r="IBP48" s="116"/>
      <c r="IBQ48" s="116"/>
      <c r="IBR48" s="116"/>
      <c r="IBS48" s="116"/>
      <c r="IBT48" s="116"/>
      <c r="IBU48" s="116"/>
      <c r="IBV48" s="116"/>
      <c r="IBW48" s="116"/>
      <c r="IBX48" s="116"/>
      <c r="IBY48" s="116"/>
      <c r="IBZ48" s="116"/>
      <c r="ICA48" s="116"/>
      <c r="ICB48" s="116"/>
      <c r="ICC48" s="116"/>
      <c r="ICD48" s="116"/>
      <c r="ICE48" s="116"/>
      <c r="ICF48" s="116"/>
      <c r="ICG48" s="116"/>
      <c r="ICH48" s="116"/>
      <c r="ICI48" s="116"/>
      <c r="ICJ48" s="116"/>
      <c r="ICK48" s="116"/>
      <c r="ICL48" s="116"/>
      <c r="ICM48" s="116"/>
      <c r="ICN48" s="116"/>
      <c r="ICO48" s="116"/>
      <c r="ICP48" s="116"/>
      <c r="ICQ48" s="116"/>
      <c r="ICR48" s="116"/>
      <c r="ICS48" s="116"/>
      <c r="ICT48" s="116"/>
      <c r="ICU48" s="116"/>
      <c r="ICV48" s="116"/>
      <c r="ICW48" s="116"/>
      <c r="ICX48" s="116"/>
      <c r="ICY48" s="116"/>
      <c r="ICZ48" s="116"/>
      <c r="IDA48" s="116"/>
      <c r="IDB48" s="116"/>
      <c r="IDC48" s="116"/>
      <c r="IDD48" s="116"/>
      <c r="IDE48" s="116"/>
      <c r="IDF48" s="116"/>
      <c r="IDG48" s="116"/>
      <c r="IDH48" s="116"/>
      <c r="IDI48" s="116"/>
      <c r="IDJ48" s="116"/>
      <c r="IDK48" s="116"/>
      <c r="IDL48" s="116"/>
      <c r="IDM48" s="116"/>
      <c r="IDN48" s="116"/>
      <c r="IDO48" s="116"/>
      <c r="IDP48" s="116"/>
      <c r="IDQ48" s="116"/>
      <c r="IDR48" s="116"/>
      <c r="IDS48" s="116"/>
      <c r="IDT48" s="116"/>
      <c r="IDU48" s="116"/>
      <c r="IDV48" s="116"/>
      <c r="IDW48" s="116"/>
      <c r="IDX48" s="116"/>
      <c r="IDY48" s="116"/>
      <c r="IDZ48" s="116"/>
      <c r="IEA48" s="116"/>
      <c r="IEB48" s="116"/>
      <c r="IEC48" s="116"/>
      <c r="IED48" s="116"/>
      <c r="IEE48" s="116"/>
      <c r="IEF48" s="116"/>
      <c r="IEG48" s="116"/>
      <c r="IEH48" s="116"/>
      <c r="IEI48" s="116"/>
      <c r="IEJ48" s="116"/>
      <c r="IEK48" s="116"/>
      <c r="IEL48" s="116"/>
      <c r="IEM48" s="116"/>
      <c r="IEN48" s="116"/>
      <c r="IEO48" s="116"/>
      <c r="IEP48" s="116"/>
      <c r="IEQ48" s="116"/>
      <c r="IER48" s="116"/>
      <c r="IES48" s="116"/>
      <c r="IET48" s="116"/>
      <c r="IEU48" s="116"/>
      <c r="IEV48" s="116"/>
      <c r="IEW48" s="116"/>
      <c r="IEX48" s="116"/>
      <c r="IEY48" s="116"/>
      <c r="IEZ48" s="116"/>
      <c r="IFA48" s="116"/>
      <c r="IFB48" s="116"/>
      <c r="IFC48" s="116"/>
      <c r="IFD48" s="116"/>
      <c r="IFE48" s="116"/>
      <c r="IFF48" s="116"/>
      <c r="IFG48" s="116"/>
      <c r="IFH48" s="116"/>
      <c r="IFI48" s="116"/>
      <c r="IFJ48" s="116"/>
      <c r="IFK48" s="116"/>
      <c r="IFL48" s="116"/>
      <c r="IFM48" s="116"/>
      <c r="IFN48" s="116"/>
      <c r="IFO48" s="116"/>
      <c r="IFP48" s="116"/>
      <c r="IFQ48" s="116"/>
      <c r="IFR48" s="116"/>
      <c r="IFS48" s="116"/>
      <c r="IFT48" s="116"/>
      <c r="IFU48" s="116"/>
      <c r="IFV48" s="116"/>
      <c r="IFW48" s="116"/>
      <c r="IFX48" s="116"/>
      <c r="IFY48" s="116"/>
      <c r="IFZ48" s="116"/>
      <c r="IGA48" s="116"/>
      <c r="IGB48" s="116"/>
      <c r="IGC48" s="116"/>
      <c r="IGD48" s="116"/>
      <c r="IGE48" s="116"/>
      <c r="IGF48" s="116"/>
      <c r="IGG48" s="116"/>
      <c r="IGH48" s="116"/>
      <c r="IGI48" s="116"/>
      <c r="IGJ48" s="116"/>
      <c r="IGK48" s="116"/>
      <c r="IGL48" s="116"/>
      <c r="IGM48" s="116"/>
      <c r="IGN48" s="116"/>
      <c r="IGO48" s="116"/>
      <c r="IGP48" s="116"/>
      <c r="IGQ48" s="116"/>
      <c r="IGR48" s="116"/>
      <c r="IGS48" s="116"/>
      <c r="IGT48" s="116"/>
      <c r="IGU48" s="116"/>
      <c r="IGV48" s="116"/>
      <c r="IGW48" s="116"/>
      <c r="IGX48" s="116"/>
      <c r="IGY48" s="116"/>
      <c r="IGZ48" s="116"/>
      <c r="IHA48" s="116"/>
      <c r="IHB48" s="116"/>
      <c r="IHC48" s="116"/>
      <c r="IHD48" s="116"/>
      <c r="IHE48" s="116"/>
      <c r="IHF48" s="116"/>
      <c r="IHG48" s="116"/>
      <c r="IHH48" s="116"/>
      <c r="IHI48" s="116"/>
      <c r="IHJ48" s="116"/>
      <c r="IHK48" s="116"/>
      <c r="IHL48" s="116"/>
      <c r="IHM48" s="116"/>
      <c r="IHN48" s="116"/>
      <c r="IHO48" s="116"/>
      <c r="IHP48" s="116"/>
      <c r="IHQ48" s="116"/>
      <c r="IHR48" s="116"/>
      <c r="IHS48" s="116"/>
      <c r="IHT48" s="116"/>
      <c r="IHU48" s="116"/>
      <c r="IHV48" s="116"/>
      <c r="IHW48" s="116"/>
      <c r="IHX48" s="116"/>
      <c r="IHY48" s="116"/>
      <c r="IHZ48" s="116"/>
      <c r="IIA48" s="116"/>
      <c r="IIB48" s="116"/>
      <c r="IIC48" s="116"/>
      <c r="IID48" s="116"/>
      <c r="IIE48" s="116"/>
      <c r="IIF48" s="116"/>
      <c r="IIG48" s="116"/>
      <c r="IIH48" s="116"/>
      <c r="III48" s="116"/>
      <c r="IIJ48" s="116"/>
      <c r="IIK48" s="116"/>
      <c r="IIL48" s="116"/>
      <c r="IIM48" s="116"/>
      <c r="IIN48" s="116"/>
      <c r="IIO48" s="116"/>
      <c r="IIP48" s="116"/>
      <c r="IIQ48" s="116"/>
      <c r="IIR48" s="116"/>
      <c r="IIS48" s="116"/>
      <c r="IIT48" s="116"/>
      <c r="IIU48" s="116"/>
      <c r="IIV48" s="116"/>
      <c r="IIW48" s="116"/>
      <c r="IIX48" s="116"/>
      <c r="IIY48" s="116"/>
      <c r="IIZ48" s="116"/>
      <c r="IJA48" s="116"/>
      <c r="IJB48" s="116"/>
      <c r="IJC48" s="116"/>
      <c r="IJD48" s="116"/>
      <c r="IJE48" s="116"/>
      <c r="IJF48" s="116"/>
      <c r="IJG48" s="116"/>
      <c r="IJH48" s="116"/>
      <c r="IJI48" s="116"/>
      <c r="IJJ48" s="116"/>
      <c r="IJK48" s="116"/>
      <c r="IJL48" s="116"/>
      <c r="IJM48" s="116"/>
      <c r="IJN48" s="116"/>
      <c r="IJO48" s="116"/>
      <c r="IJP48" s="116"/>
      <c r="IJQ48" s="116"/>
      <c r="IJR48" s="116"/>
      <c r="IJS48" s="116"/>
      <c r="IJT48" s="116"/>
      <c r="IJU48" s="116"/>
      <c r="IJV48" s="116"/>
      <c r="IJW48" s="116"/>
      <c r="IJX48" s="116"/>
      <c r="IJY48" s="116"/>
      <c r="IJZ48" s="116"/>
      <c r="IKA48" s="116"/>
      <c r="IKB48" s="116"/>
      <c r="IKC48" s="116"/>
      <c r="IKD48" s="116"/>
      <c r="IKE48" s="116"/>
      <c r="IKF48" s="116"/>
      <c r="IKG48" s="116"/>
      <c r="IKH48" s="116"/>
      <c r="IKI48" s="116"/>
      <c r="IKJ48" s="116"/>
      <c r="IKK48" s="116"/>
      <c r="IKL48" s="116"/>
      <c r="IKM48" s="116"/>
      <c r="IKN48" s="116"/>
      <c r="IKO48" s="116"/>
      <c r="IKP48" s="116"/>
      <c r="IKQ48" s="116"/>
      <c r="IKR48" s="116"/>
      <c r="IKS48" s="116"/>
      <c r="IKT48" s="116"/>
      <c r="IKU48" s="116"/>
      <c r="IKV48" s="116"/>
      <c r="IKW48" s="116"/>
      <c r="IKX48" s="116"/>
      <c r="IKY48" s="116"/>
      <c r="IKZ48" s="116"/>
      <c r="ILA48" s="116"/>
      <c r="ILB48" s="116"/>
      <c r="ILC48" s="116"/>
      <c r="ILD48" s="116"/>
      <c r="ILE48" s="116"/>
      <c r="ILF48" s="116"/>
      <c r="ILG48" s="116"/>
      <c r="ILH48" s="116"/>
      <c r="ILI48" s="116"/>
      <c r="ILJ48" s="116"/>
      <c r="ILK48" s="116"/>
      <c r="ILL48" s="116"/>
      <c r="ILM48" s="116"/>
      <c r="ILN48" s="116"/>
      <c r="ILO48" s="116"/>
      <c r="ILP48" s="116"/>
      <c r="ILQ48" s="116"/>
      <c r="ILR48" s="116"/>
      <c r="ILS48" s="116"/>
      <c r="ILT48" s="116"/>
      <c r="ILU48" s="116"/>
      <c r="ILV48" s="116"/>
      <c r="ILW48" s="116"/>
      <c r="ILX48" s="116"/>
      <c r="ILY48" s="116"/>
      <c r="ILZ48" s="116"/>
      <c r="IMA48" s="116"/>
      <c r="IMB48" s="116"/>
      <c r="IMC48" s="116"/>
      <c r="IMD48" s="116"/>
      <c r="IME48" s="116"/>
      <c r="IMF48" s="116"/>
      <c r="IMG48" s="116"/>
      <c r="IMH48" s="116"/>
      <c r="IMI48" s="116"/>
      <c r="IMJ48" s="116"/>
      <c r="IMK48" s="116"/>
      <c r="IML48" s="116"/>
      <c r="IMM48" s="116"/>
      <c r="IMN48" s="116"/>
      <c r="IMO48" s="116"/>
      <c r="IMP48" s="116"/>
      <c r="IMQ48" s="116"/>
      <c r="IMR48" s="116"/>
      <c r="IMS48" s="116"/>
      <c r="IMT48" s="116"/>
      <c r="IMU48" s="116"/>
      <c r="IMV48" s="116"/>
      <c r="IMW48" s="116"/>
      <c r="IMX48" s="116"/>
      <c r="IMY48" s="116"/>
      <c r="IMZ48" s="116"/>
      <c r="INA48" s="116"/>
      <c r="INB48" s="116"/>
      <c r="INC48" s="116"/>
      <c r="IND48" s="116"/>
      <c r="INE48" s="116"/>
      <c r="INF48" s="116"/>
      <c r="ING48" s="116"/>
      <c r="INH48" s="116"/>
      <c r="INI48" s="116"/>
      <c r="INJ48" s="116"/>
      <c r="INK48" s="116"/>
      <c r="INL48" s="116"/>
      <c r="INM48" s="116"/>
      <c r="INN48" s="116"/>
      <c r="INO48" s="116"/>
      <c r="INP48" s="116"/>
      <c r="INQ48" s="116"/>
      <c r="INR48" s="116"/>
      <c r="INS48" s="116"/>
      <c r="INT48" s="116"/>
      <c r="INU48" s="116"/>
      <c r="INV48" s="116"/>
      <c r="INW48" s="116"/>
      <c r="INX48" s="116"/>
      <c r="INY48" s="116"/>
      <c r="INZ48" s="116"/>
      <c r="IOA48" s="116"/>
      <c r="IOB48" s="116"/>
      <c r="IOC48" s="116"/>
      <c r="IOD48" s="116"/>
      <c r="IOE48" s="116"/>
      <c r="IOF48" s="116"/>
      <c r="IOG48" s="116"/>
      <c r="IOH48" s="116"/>
      <c r="IOI48" s="116"/>
      <c r="IOJ48" s="116"/>
      <c r="IOK48" s="116"/>
      <c r="IOL48" s="116"/>
      <c r="IOM48" s="116"/>
      <c r="ION48" s="116"/>
      <c r="IOO48" s="116"/>
      <c r="IOP48" s="116"/>
      <c r="IOQ48" s="116"/>
      <c r="IOR48" s="116"/>
      <c r="IOS48" s="116"/>
      <c r="IOT48" s="116"/>
      <c r="IOU48" s="116"/>
      <c r="IOV48" s="116"/>
      <c r="IOW48" s="116"/>
      <c r="IOX48" s="116"/>
      <c r="IOY48" s="116"/>
      <c r="IOZ48" s="116"/>
      <c r="IPA48" s="116"/>
      <c r="IPB48" s="116"/>
      <c r="IPC48" s="116"/>
      <c r="IPD48" s="116"/>
      <c r="IPE48" s="116"/>
      <c r="IPF48" s="116"/>
      <c r="IPG48" s="116"/>
      <c r="IPH48" s="116"/>
      <c r="IPI48" s="116"/>
      <c r="IPJ48" s="116"/>
      <c r="IPK48" s="116"/>
      <c r="IPL48" s="116"/>
      <c r="IPM48" s="116"/>
      <c r="IPN48" s="116"/>
      <c r="IPO48" s="116"/>
      <c r="IPP48" s="116"/>
      <c r="IPQ48" s="116"/>
      <c r="IPR48" s="116"/>
      <c r="IPS48" s="116"/>
      <c r="IPT48" s="116"/>
      <c r="IPU48" s="116"/>
      <c r="IPV48" s="116"/>
      <c r="IPW48" s="116"/>
      <c r="IPX48" s="116"/>
      <c r="IPY48" s="116"/>
      <c r="IPZ48" s="116"/>
      <c r="IQA48" s="116"/>
      <c r="IQB48" s="116"/>
      <c r="IQC48" s="116"/>
      <c r="IQD48" s="116"/>
      <c r="IQE48" s="116"/>
      <c r="IQF48" s="116"/>
      <c r="IQG48" s="116"/>
      <c r="IQH48" s="116"/>
      <c r="IQI48" s="116"/>
      <c r="IQJ48" s="116"/>
      <c r="IQK48" s="116"/>
      <c r="IQL48" s="116"/>
      <c r="IQM48" s="116"/>
      <c r="IQN48" s="116"/>
      <c r="IQO48" s="116"/>
      <c r="IQP48" s="116"/>
      <c r="IQQ48" s="116"/>
      <c r="IQR48" s="116"/>
      <c r="IQS48" s="116"/>
      <c r="IQT48" s="116"/>
      <c r="IQU48" s="116"/>
      <c r="IQV48" s="116"/>
      <c r="IQW48" s="116"/>
      <c r="IQX48" s="116"/>
      <c r="IQY48" s="116"/>
      <c r="IQZ48" s="116"/>
      <c r="IRA48" s="116"/>
      <c r="IRB48" s="116"/>
      <c r="IRC48" s="116"/>
      <c r="IRD48" s="116"/>
      <c r="IRE48" s="116"/>
      <c r="IRF48" s="116"/>
      <c r="IRG48" s="116"/>
      <c r="IRH48" s="116"/>
      <c r="IRI48" s="116"/>
      <c r="IRJ48" s="116"/>
      <c r="IRK48" s="116"/>
      <c r="IRL48" s="116"/>
      <c r="IRM48" s="116"/>
      <c r="IRN48" s="116"/>
      <c r="IRO48" s="116"/>
      <c r="IRP48" s="116"/>
      <c r="IRQ48" s="116"/>
      <c r="IRR48" s="116"/>
      <c r="IRS48" s="116"/>
      <c r="IRT48" s="116"/>
      <c r="IRU48" s="116"/>
      <c r="IRV48" s="116"/>
      <c r="IRW48" s="116"/>
      <c r="IRX48" s="116"/>
      <c r="IRY48" s="116"/>
      <c r="IRZ48" s="116"/>
      <c r="ISA48" s="116"/>
      <c r="ISB48" s="116"/>
      <c r="ISC48" s="116"/>
      <c r="ISD48" s="116"/>
      <c r="ISE48" s="116"/>
      <c r="ISF48" s="116"/>
      <c r="ISG48" s="116"/>
      <c r="ISH48" s="116"/>
      <c r="ISI48" s="116"/>
      <c r="ISJ48" s="116"/>
      <c r="ISK48" s="116"/>
      <c r="ISL48" s="116"/>
      <c r="ISM48" s="116"/>
      <c r="ISN48" s="116"/>
      <c r="ISO48" s="116"/>
      <c r="ISP48" s="116"/>
      <c r="ISQ48" s="116"/>
      <c r="ISR48" s="116"/>
      <c r="ISS48" s="116"/>
      <c r="IST48" s="116"/>
      <c r="ISU48" s="116"/>
      <c r="ISV48" s="116"/>
      <c r="ISW48" s="116"/>
      <c r="ISX48" s="116"/>
      <c r="ISY48" s="116"/>
      <c r="ISZ48" s="116"/>
      <c r="ITA48" s="116"/>
      <c r="ITB48" s="116"/>
      <c r="ITC48" s="116"/>
      <c r="ITD48" s="116"/>
      <c r="ITE48" s="116"/>
      <c r="ITF48" s="116"/>
      <c r="ITG48" s="116"/>
      <c r="ITH48" s="116"/>
      <c r="ITI48" s="116"/>
      <c r="ITJ48" s="116"/>
      <c r="ITK48" s="116"/>
      <c r="ITL48" s="116"/>
      <c r="ITM48" s="116"/>
      <c r="ITN48" s="116"/>
      <c r="ITO48" s="116"/>
      <c r="ITP48" s="116"/>
      <c r="ITQ48" s="116"/>
      <c r="ITR48" s="116"/>
      <c r="ITS48" s="116"/>
      <c r="ITT48" s="116"/>
      <c r="ITU48" s="116"/>
      <c r="ITV48" s="116"/>
      <c r="ITW48" s="116"/>
      <c r="ITX48" s="116"/>
      <c r="ITY48" s="116"/>
      <c r="ITZ48" s="116"/>
      <c r="IUA48" s="116"/>
      <c r="IUB48" s="116"/>
      <c r="IUC48" s="116"/>
      <c r="IUD48" s="116"/>
      <c r="IUE48" s="116"/>
      <c r="IUF48" s="116"/>
      <c r="IUG48" s="116"/>
      <c r="IUH48" s="116"/>
      <c r="IUI48" s="116"/>
      <c r="IUJ48" s="116"/>
      <c r="IUK48" s="116"/>
      <c r="IUL48" s="116"/>
      <c r="IUM48" s="116"/>
      <c r="IUN48" s="116"/>
      <c r="IUO48" s="116"/>
      <c r="IUP48" s="116"/>
      <c r="IUQ48" s="116"/>
      <c r="IUR48" s="116"/>
      <c r="IUS48" s="116"/>
      <c r="IUT48" s="116"/>
      <c r="IUU48" s="116"/>
      <c r="IUV48" s="116"/>
      <c r="IUW48" s="116"/>
      <c r="IUX48" s="116"/>
      <c r="IUY48" s="116"/>
      <c r="IUZ48" s="116"/>
      <c r="IVA48" s="116"/>
      <c r="IVB48" s="116"/>
      <c r="IVC48" s="116"/>
      <c r="IVD48" s="116"/>
      <c r="IVE48" s="116"/>
      <c r="IVF48" s="116"/>
      <c r="IVG48" s="116"/>
      <c r="IVH48" s="116"/>
      <c r="IVI48" s="116"/>
      <c r="IVJ48" s="116"/>
      <c r="IVK48" s="116"/>
      <c r="IVL48" s="116"/>
      <c r="IVM48" s="116"/>
      <c r="IVN48" s="116"/>
      <c r="IVO48" s="116"/>
      <c r="IVP48" s="116"/>
      <c r="IVQ48" s="116"/>
      <c r="IVR48" s="116"/>
      <c r="IVS48" s="116"/>
      <c r="IVT48" s="116"/>
      <c r="IVU48" s="116"/>
      <c r="IVV48" s="116"/>
      <c r="IVW48" s="116"/>
      <c r="IVX48" s="116"/>
      <c r="IVY48" s="116"/>
      <c r="IVZ48" s="116"/>
      <c r="IWA48" s="116"/>
      <c r="IWB48" s="116"/>
      <c r="IWC48" s="116"/>
      <c r="IWD48" s="116"/>
      <c r="IWE48" s="116"/>
      <c r="IWF48" s="116"/>
      <c r="IWG48" s="116"/>
      <c r="IWH48" s="116"/>
      <c r="IWI48" s="116"/>
      <c r="IWJ48" s="116"/>
      <c r="IWK48" s="116"/>
      <c r="IWL48" s="116"/>
      <c r="IWM48" s="116"/>
      <c r="IWN48" s="116"/>
      <c r="IWO48" s="116"/>
      <c r="IWP48" s="116"/>
      <c r="IWQ48" s="116"/>
      <c r="IWR48" s="116"/>
      <c r="IWS48" s="116"/>
      <c r="IWT48" s="116"/>
      <c r="IWU48" s="116"/>
      <c r="IWV48" s="116"/>
      <c r="IWW48" s="116"/>
      <c r="IWX48" s="116"/>
      <c r="IWY48" s="116"/>
      <c r="IWZ48" s="116"/>
      <c r="IXA48" s="116"/>
      <c r="IXB48" s="116"/>
      <c r="IXC48" s="116"/>
      <c r="IXD48" s="116"/>
      <c r="IXE48" s="116"/>
      <c r="IXF48" s="116"/>
      <c r="IXG48" s="116"/>
      <c r="IXH48" s="116"/>
      <c r="IXI48" s="116"/>
      <c r="IXJ48" s="116"/>
      <c r="IXK48" s="116"/>
      <c r="IXL48" s="116"/>
      <c r="IXM48" s="116"/>
      <c r="IXN48" s="116"/>
      <c r="IXO48" s="116"/>
      <c r="IXP48" s="116"/>
      <c r="IXQ48" s="116"/>
      <c r="IXR48" s="116"/>
      <c r="IXS48" s="116"/>
      <c r="IXT48" s="116"/>
      <c r="IXU48" s="116"/>
      <c r="IXV48" s="116"/>
      <c r="IXW48" s="116"/>
      <c r="IXX48" s="116"/>
      <c r="IXY48" s="116"/>
      <c r="IXZ48" s="116"/>
      <c r="IYA48" s="116"/>
      <c r="IYB48" s="116"/>
      <c r="IYC48" s="116"/>
      <c r="IYD48" s="116"/>
      <c r="IYE48" s="116"/>
      <c r="IYF48" s="116"/>
      <c r="IYG48" s="116"/>
      <c r="IYH48" s="116"/>
      <c r="IYI48" s="116"/>
      <c r="IYJ48" s="116"/>
      <c r="IYK48" s="116"/>
      <c r="IYL48" s="116"/>
      <c r="IYM48" s="116"/>
      <c r="IYN48" s="116"/>
      <c r="IYO48" s="116"/>
      <c r="IYP48" s="116"/>
      <c r="IYQ48" s="116"/>
      <c r="IYR48" s="116"/>
      <c r="IYS48" s="116"/>
      <c r="IYT48" s="116"/>
      <c r="IYU48" s="116"/>
      <c r="IYV48" s="116"/>
      <c r="IYW48" s="116"/>
      <c r="IYX48" s="116"/>
      <c r="IYY48" s="116"/>
      <c r="IYZ48" s="116"/>
      <c r="IZA48" s="116"/>
      <c r="IZB48" s="116"/>
      <c r="IZC48" s="116"/>
      <c r="IZD48" s="116"/>
      <c r="IZE48" s="116"/>
      <c r="IZF48" s="116"/>
      <c r="IZG48" s="116"/>
      <c r="IZH48" s="116"/>
      <c r="IZI48" s="116"/>
      <c r="IZJ48" s="116"/>
      <c r="IZK48" s="116"/>
      <c r="IZL48" s="116"/>
      <c r="IZM48" s="116"/>
      <c r="IZN48" s="116"/>
      <c r="IZO48" s="116"/>
      <c r="IZP48" s="116"/>
      <c r="IZQ48" s="116"/>
      <c r="IZR48" s="116"/>
      <c r="IZS48" s="116"/>
      <c r="IZT48" s="116"/>
      <c r="IZU48" s="116"/>
      <c r="IZV48" s="116"/>
      <c r="IZW48" s="116"/>
      <c r="IZX48" s="116"/>
      <c r="IZY48" s="116"/>
      <c r="IZZ48" s="116"/>
      <c r="JAA48" s="116"/>
      <c r="JAB48" s="116"/>
      <c r="JAC48" s="116"/>
      <c r="JAD48" s="116"/>
      <c r="JAE48" s="116"/>
      <c r="JAF48" s="116"/>
      <c r="JAG48" s="116"/>
      <c r="JAH48" s="116"/>
      <c r="JAI48" s="116"/>
      <c r="JAJ48" s="116"/>
      <c r="JAK48" s="116"/>
      <c r="JAL48" s="116"/>
      <c r="JAM48" s="116"/>
      <c r="JAN48" s="116"/>
      <c r="JAO48" s="116"/>
      <c r="JAP48" s="116"/>
      <c r="JAQ48" s="116"/>
      <c r="JAR48" s="116"/>
      <c r="JAS48" s="116"/>
      <c r="JAT48" s="116"/>
      <c r="JAU48" s="116"/>
      <c r="JAV48" s="116"/>
      <c r="JAW48" s="116"/>
      <c r="JAX48" s="116"/>
      <c r="JAY48" s="116"/>
      <c r="JAZ48" s="116"/>
      <c r="JBA48" s="116"/>
      <c r="JBB48" s="116"/>
      <c r="JBC48" s="116"/>
      <c r="JBD48" s="116"/>
      <c r="JBE48" s="116"/>
      <c r="JBF48" s="116"/>
      <c r="JBG48" s="116"/>
      <c r="JBH48" s="116"/>
      <c r="JBI48" s="116"/>
      <c r="JBJ48" s="116"/>
      <c r="JBK48" s="116"/>
      <c r="JBL48" s="116"/>
      <c r="JBM48" s="116"/>
      <c r="JBN48" s="116"/>
      <c r="JBO48" s="116"/>
      <c r="JBP48" s="116"/>
      <c r="JBQ48" s="116"/>
      <c r="JBR48" s="116"/>
      <c r="JBS48" s="116"/>
      <c r="JBT48" s="116"/>
      <c r="JBU48" s="116"/>
      <c r="JBV48" s="116"/>
      <c r="JBW48" s="116"/>
      <c r="JBX48" s="116"/>
      <c r="JBY48" s="116"/>
      <c r="JBZ48" s="116"/>
      <c r="JCA48" s="116"/>
      <c r="JCB48" s="116"/>
      <c r="JCC48" s="116"/>
      <c r="JCD48" s="116"/>
      <c r="JCE48" s="116"/>
      <c r="JCF48" s="116"/>
      <c r="JCG48" s="116"/>
      <c r="JCH48" s="116"/>
      <c r="JCI48" s="116"/>
      <c r="JCJ48" s="116"/>
      <c r="JCK48" s="116"/>
      <c r="JCL48" s="116"/>
      <c r="JCM48" s="116"/>
      <c r="JCN48" s="116"/>
      <c r="JCO48" s="116"/>
      <c r="JCP48" s="116"/>
      <c r="JCQ48" s="116"/>
      <c r="JCR48" s="116"/>
      <c r="JCS48" s="116"/>
      <c r="JCT48" s="116"/>
      <c r="JCU48" s="116"/>
      <c r="JCV48" s="116"/>
      <c r="JCW48" s="116"/>
      <c r="JCX48" s="116"/>
      <c r="JCY48" s="116"/>
      <c r="JCZ48" s="116"/>
      <c r="JDA48" s="116"/>
      <c r="JDB48" s="116"/>
      <c r="JDC48" s="116"/>
      <c r="JDD48" s="116"/>
      <c r="JDE48" s="116"/>
      <c r="JDF48" s="116"/>
      <c r="JDG48" s="116"/>
      <c r="JDH48" s="116"/>
      <c r="JDI48" s="116"/>
      <c r="JDJ48" s="116"/>
      <c r="JDK48" s="116"/>
      <c r="JDL48" s="116"/>
      <c r="JDM48" s="116"/>
      <c r="JDN48" s="116"/>
      <c r="JDO48" s="116"/>
      <c r="JDP48" s="116"/>
      <c r="JDQ48" s="116"/>
      <c r="JDR48" s="116"/>
      <c r="JDS48" s="116"/>
      <c r="JDT48" s="116"/>
      <c r="JDU48" s="116"/>
      <c r="JDV48" s="116"/>
      <c r="JDW48" s="116"/>
      <c r="JDX48" s="116"/>
      <c r="JDY48" s="116"/>
      <c r="JDZ48" s="116"/>
      <c r="JEA48" s="116"/>
      <c r="JEB48" s="116"/>
      <c r="JEC48" s="116"/>
      <c r="JED48" s="116"/>
      <c r="JEE48" s="116"/>
      <c r="JEF48" s="116"/>
      <c r="JEG48" s="116"/>
      <c r="JEH48" s="116"/>
      <c r="JEI48" s="116"/>
      <c r="JEJ48" s="116"/>
      <c r="JEK48" s="116"/>
      <c r="JEL48" s="116"/>
      <c r="JEM48" s="116"/>
      <c r="JEN48" s="116"/>
      <c r="JEO48" s="116"/>
      <c r="JEP48" s="116"/>
      <c r="JEQ48" s="116"/>
      <c r="JER48" s="116"/>
      <c r="JES48" s="116"/>
      <c r="JET48" s="116"/>
      <c r="JEU48" s="116"/>
      <c r="JEV48" s="116"/>
      <c r="JEW48" s="116"/>
      <c r="JEX48" s="116"/>
      <c r="JEY48" s="116"/>
      <c r="JEZ48" s="116"/>
      <c r="JFA48" s="116"/>
      <c r="JFB48" s="116"/>
      <c r="JFC48" s="116"/>
      <c r="JFD48" s="116"/>
      <c r="JFE48" s="116"/>
      <c r="JFF48" s="116"/>
      <c r="JFG48" s="116"/>
      <c r="JFH48" s="116"/>
      <c r="JFI48" s="116"/>
      <c r="JFJ48" s="116"/>
      <c r="JFK48" s="116"/>
      <c r="JFL48" s="116"/>
      <c r="JFM48" s="116"/>
      <c r="JFN48" s="116"/>
      <c r="JFO48" s="116"/>
      <c r="JFP48" s="116"/>
      <c r="JFQ48" s="116"/>
      <c r="JFR48" s="116"/>
      <c r="JFS48" s="116"/>
      <c r="JFT48" s="116"/>
      <c r="JFU48" s="116"/>
      <c r="JFV48" s="116"/>
      <c r="JFW48" s="116"/>
      <c r="JFX48" s="116"/>
      <c r="JFY48" s="116"/>
      <c r="JFZ48" s="116"/>
      <c r="JGA48" s="116"/>
      <c r="JGB48" s="116"/>
      <c r="JGC48" s="116"/>
      <c r="JGD48" s="116"/>
      <c r="JGE48" s="116"/>
      <c r="JGF48" s="116"/>
      <c r="JGG48" s="116"/>
      <c r="JGH48" s="116"/>
      <c r="JGI48" s="116"/>
      <c r="JGJ48" s="116"/>
      <c r="JGK48" s="116"/>
      <c r="JGL48" s="116"/>
      <c r="JGM48" s="116"/>
      <c r="JGN48" s="116"/>
      <c r="JGO48" s="116"/>
      <c r="JGP48" s="116"/>
      <c r="JGQ48" s="116"/>
      <c r="JGR48" s="116"/>
      <c r="JGS48" s="116"/>
      <c r="JGT48" s="116"/>
      <c r="JGU48" s="116"/>
      <c r="JGV48" s="116"/>
      <c r="JGW48" s="116"/>
      <c r="JGX48" s="116"/>
      <c r="JGY48" s="116"/>
      <c r="JGZ48" s="116"/>
      <c r="JHA48" s="116"/>
      <c r="JHB48" s="116"/>
      <c r="JHC48" s="116"/>
      <c r="JHD48" s="116"/>
      <c r="JHE48" s="116"/>
      <c r="JHF48" s="116"/>
      <c r="JHG48" s="116"/>
      <c r="JHH48" s="116"/>
      <c r="JHI48" s="116"/>
      <c r="JHJ48" s="116"/>
      <c r="JHK48" s="116"/>
      <c r="JHL48" s="116"/>
      <c r="JHM48" s="116"/>
      <c r="JHN48" s="116"/>
      <c r="JHO48" s="116"/>
      <c r="JHP48" s="116"/>
      <c r="JHQ48" s="116"/>
      <c r="JHR48" s="116"/>
      <c r="JHS48" s="116"/>
      <c r="JHT48" s="116"/>
      <c r="JHU48" s="116"/>
      <c r="JHV48" s="116"/>
      <c r="JHW48" s="116"/>
      <c r="JHX48" s="116"/>
      <c r="JHY48" s="116"/>
      <c r="JHZ48" s="116"/>
      <c r="JIA48" s="116"/>
      <c r="JIB48" s="116"/>
      <c r="JIC48" s="116"/>
      <c r="JID48" s="116"/>
      <c r="JIE48" s="116"/>
      <c r="JIF48" s="116"/>
      <c r="JIG48" s="116"/>
      <c r="JIH48" s="116"/>
      <c r="JII48" s="116"/>
      <c r="JIJ48" s="116"/>
      <c r="JIK48" s="116"/>
      <c r="JIL48" s="116"/>
      <c r="JIM48" s="116"/>
      <c r="JIN48" s="116"/>
      <c r="JIO48" s="116"/>
      <c r="JIP48" s="116"/>
      <c r="JIQ48" s="116"/>
      <c r="JIR48" s="116"/>
      <c r="JIS48" s="116"/>
      <c r="JIT48" s="116"/>
      <c r="JIU48" s="116"/>
      <c r="JIV48" s="116"/>
      <c r="JIW48" s="116"/>
      <c r="JIX48" s="116"/>
      <c r="JIY48" s="116"/>
      <c r="JIZ48" s="116"/>
      <c r="JJA48" s="116"/>
      <c r="JJB48" s="116"/>
      <c r="JJC48" s="116"/>
      <c r="JJD48" s="116"/>
      <c r="JJE48" s="116"/>
      <c r="JJF48" s="116"/>
      <c r="JJG48" s="116"/>
      <c r="JJH48" s="116"/>
      <c r="JJI48" s="116"/>
      <c r="JJJ48" s="116"/>
      <c r="JJK48" s="116"/>
      <c r="JJL48" s="116"/>
      <c r="JJM48" s="116"/>
      <c r="JJN48" s="116"/>
      <c r="JJO48" s="116"/>
      <c r="JJP48" s="116"/>
      <c r="JJQ48" s="116"/>
      <c r="JJR48" s="116"/>
      <c r="JJS48" s="116"/>
      <c r="JJT48" s="116"/>
      <c r="JJU48" s="116"/>
      <c r="JJV48" s="116"/>
      <c r="JJW48" s="116"/>
      <c r="JJX48" s="116"/>
      <c r="JJY48" s="116"/>
      <c r="JJZ48" s="116"/>
      <c r="JKA48" s="116"/>
      <c r="JKB48" s="116"/>
      <c r="JKC48" s="116"/>
      <c r="JKD48" s="116"/>
      <c r="JKE48" s="116"/>
      <c r="JKF48" s="116"/>
      <c r="JKG48" s="116"/>
      <c r="JKH48" s="116"/>
      <c r="JKI48" s="116"/>
      <c r="JKJ48" s="116"/>
      <c r="JKK48" s="116"/>
      <c r="JKL48" s="116"/>
      <c r="JKM48" s="116"/>
      <c r="JKN48" s="116"/>
      <c r="JKO48" s="116"/>
      <c r="JKP48" s="116"/>
      <c r="JKQ48" s="116"/>
      <c r="JKR48" s="116"/>
      <c r="JKS48" s="116"/>
      <c r="JKT48" s="116"/>
      <c r="JKU48" s="116"/>
      <c r="JKV48" s="116"/>
      <c r="JKW48" s="116"/>
      <c r="JKX48" s="116"/>
      <c r="JKY48" s="116"/>
      <c r="JKZ48" s="116"/>
      <c r="JLA48" s="116"/>
      <c r="JLB48" s="116"/>
      <c r="JLC48" s="116"/>
      <c r="JLD48" s="116"/>
      <c r="JLE48" s="116"/>
      <c r="JLF48" s="116"/>
      <c r="JLG48" s="116"/>
      <c r="JLH48" s="116"/>
      <c r="JLI48" s="116"/>
      <c r="JLJ48" s="116"/>
      <c r="JLK48" s="116"/>
      <c r="JLL48" s="116"/>
      <c r="JLM48" s="116"/>
      <c r="JLN48" s="116"/>
      <c r="JLO48" s="116"/>
      <c r="JLP48" s="116"/>
      <c r="JLQ48" s="116"/>
      <c r="JLR48" s="116"/>
      <c r="JLS48" s="116"/>
      <c r="JLT48" s="116"/>
      <c r="JLU48" s="116"/>
      <c r="JLV48" s="116"/>
      <c r="JLW48" s="116"/>
      <c r="JLX48" s="116"/>
      <c r="JLY48" s="116"/>
      <c r="JLZ48" s="116"/>
      <c r="JMA48" s="116"/>
      <c r="JMB48" s="116"/>
      <c r="JMC48" s="116"/>
      <c r="JMD48" s="116"/>
      <c r="JME48" s="116"/>
      <c r="JMF48" s="116"/>
      <c r="JMG48" s="116"/>
      <c r="JMH48" s="116"/>
      <c r="JMI48" s="116"/>
      <c r="JMJ48" s="116"/>
      <c r="JMK48" s="116"/>
      <c r="JML48" s="116"/>
      <c r="JMM48" s="116"/>
      <c r="JMN48" s="116"/>
      <c r="JMO48" s="116"/>
      <c r="JMP48" s="116"/>
      <c r="JMQ48" s="116"/>
      <c r="JMR48" s="116"/>
      <c r="JMS48" s="116"/>
      <c r="JMT48" s="116"/>
      <c r="JMU48" s="116"/>
      <c r="JMV48" s="116"/>
      <c r="JMW48" s="116"/>
      <c r="JMX48" s="116"/>
      <c r="JMY48" s="116"/>
      <c r="JMZ48" s="116"/>
      <c r="JNA48" s="116"/>
      <c r="JNB48" s="116"/>
      <c r="JNC48" s="116"/>
      <c r="JND48" s="116"/>
      <c r="JNE48" s="116"/>
      <c r="JNF48" s="116"/>
      <c r="JNG48" s="116"/>
      <c r="JNH48" s="116"/>
      <c r="JNI48" s="116"/>
      <c r="JNJ48" s="116"/>
      <c r="JNK48" s="116"/>
      <c r="JNL48" s="116"/>
      <c r="JNM48" s="116"/>
      <c r="JNN48" s="116"/>
      <c r="JNO48" s="116"/>
      <c r="JNP48" s="116"/>
      <c r="JNQ48" s="116"/>
      <c r="JNR48" s="116"/>
      <c r="JNS48" s="116"/>
      <c r="JNT48" s="116"/>
      <c r="JNU48" s="116"/>
      <c r="JNV48" s="116"/>
      <c r="JNW48" s="116"/>
      <c r="JNX48" s="116"/>
      <c r="JNY48" s="116"/>
      <c r="JNZ48" s="116"/>
      <c r="JOA48" s="116"/>
      <c r="JOB48" s="116"/>
      <c r="JOC48" s="116"/>
      <c r="JOD48" s="116"/>
      <c r="JOE48" s="116"/>
      <c r="JOF48" s="116"/>
      <c r="JOG48" s="116"/>
      <c r="JOH48" s="116"/>
      <c r="JOI48" s="116"/>
      <c r="JOJ48" s="116"/>
      <c r="JOK48" s="116"/>
      <c r="JOL48" s="116"/>
      <c r="JOM48" s="116"/>
      <c r="JON48" s="116"/>
      <c r="JOO48" s="116"/>
      <c r="JOP48" s="116"/>
      <c r="JOQ48" s="116"/>
      <c r="JOR48" s="116"/>
      <c r="JOS48" s="116"/>
      <c r="JOT48" s="116"/>
      <c r="JOU48" s="116"/>
      <c r="JOV48" s="116"/>
      <c r="JOW48" s="116"/>
      <c r="JOX48" s="116"/>
      <c r="JOY48" s="116"/>
      <c r="JOZ48" s="116"/>
      <c r="JPA48" s="116"/>
      <c r="JPB48" s="116"/>
      <c r="JPC48" s="116"/>
      <c r="JPD48" s="116"/>
      <c r="JPE48" s="116"/>
      <c r="JPF48" s="116"/>
      <c r="JPG48" s="116"/>
      <c r="JPH48" s="116"/>
      <c r="JPI48" s="116"/>
      <c r="JPJ48" s="116"/>
      <c r="JPK48" s="116"/>
      <c r="JPL48" s="116"/>
      <c r="JPM48" s="116"/>
      <c r="JPN48" s="116"/>
      <c r="JPO48" s="116"/>
      <c r="JPP48" s="116"/>
      <c r="JPQ48" s="116"/>
      <c r="JPR48" s="116"/>
      <c r="JPS48" s="116"/>
      <c r="JPT48" s="116"/>
      <c r="JPU48" s="116"/>
      <c r="JPV48" s="116"/>
      <c r="JPW48" s="116"/>
      <c r="JPX48" s="116"/>
      <c r="JPY48" s="116"/>
      <c r="JPZ48" s="116"/>
      <c r="JQA48" s="116"/>
      <c r="JQB48" s="116"/>
      <c r="JQC48" s="116"/>
      <c r="JQD48" s="116"/>
      <c r="JQE48" s="116"/>
      <c r="JQF48" s="116"/>
      <c r="JQG48" s="116"/>
      <c r="JQH48" s="116"/>
      <c r="JQI48" s="116"/>
      <c r="JQJ48" s="116"/>
      <c r="JQK48" s="116"/>
      <c r="JQL48" s="116"/>
      <c r="JQM48" s="116"/>
      <c r="JQN48" s="116"/>
      <c r="JQO48" s="116"/>
      <c r="JQP48" s="116"/>
      <c r="JQQ48" s="116"/>
      <c r="JQR48" s="116"/>
      <c r="JQS48" s="116"/>
      <c r="JQT48" s="116"/>
      <c r="JQU48" s="116"/>
      <c r="JQV48" s="116"/>
      <c r="JQW48" s="116"/>
      <c r="JQX48" s="116"/>
      <c r="JQY48" s="116"/>
      <c r="JQZ48" s="116"/>
      <c r="JRA48" s="116"/>
      <c r="JRB48" s="116"/>
      <c r="JRC48" s="116"/>
      <c r="JRD48" s="116"/>
      <c r="JRE48" s="116"/>
      <c r="JRF48" s="116"/>
      <c r="JRG48" s="116"/>
      <c r="JRH48" s="116"/>
      <c r="JRI48" s="116"/>
      <c r="JRJ48" s="116"/>
      <c r="JRK48" s="116"/>
      <c r="JRL48" s="116"/>
      <c r="JRM48" s="116"/>
      <c r="JRN48" s="116"/>
      <c r="JRO48" s="116"/>
      <c r="JRP48" s="116"/>
      <c r="JRQ48" s="116"/>
      <c r="JRR48" s="116"/>
      <c r="JRS48" s="116"/>
      <c r="JRT48" s="116"/>
      <c r="JRU48" s="116"/>
      <c r="JRV48" s="116"/>
      <c r="JRW48" s="116"/>
      <c r="JRX48" s="116"/>
      <c r="JRY48" s="116"/>
      <c r="JRZ48" s="116"/>
      <c r="JSA48" s="116"/>
      <c r="JSB48" s="116"/>
      <c r="JSC48" s="116"/>
      <c r="JSD48" s="116"/>
      <c r="JSE48" s="116"/>
      <c r="JSF48" s="116"/>
      <c r="JSG48" s="116"/>
      <c r="JSH48" s="116"/>
      <c r="JSI48" s="116"/>
      <c r="JSJ48" s="116"/>
      <c r="JSK48" s="116"/>
      <c r="JSL48" s="116"/>
      <c r="JSM48" s="116"/>
      <c r="JSN48" s="116"/>
      <c r="JSO48" s="116"/>
      <c r="JSP48" s="116"/>
      <c r="JSQ48" s="116"/>
      <c r="JSR48" s="116"/>
      <c r="JSS48" s="116"/>
      <c r="JST48" s="116"/>
      <c r="JSU48" s="116"/>
      <c r="JSV48" s="116"/>
      <c r="JSW48" s="116"/>
      <c r="JSX48" s="116"/>
      <c r="JSY48" s="116"/>
      <c r="JSZ48" s="116"/>
      <c r="JTA48" s="116"/>
      <c r="JTB48" s="116"/>
      <c r="JTC48" s="116"/>
      <c r="JTD48" s="116"/>
      <c r="JTE48" s="116"/>
      <c r="JTF48" s="116"/>
      <c r="JTG48" s="116"/>
      <c r="JTH48" s="116"/>
      <c r="JTI48" s="116"/>
      <c r="JTJ48" s="116"/>
      <c r="JTK48" s="116"/>
      <c r="JTL48" s="116"/>
      <c r="JTM48" s="116"/>
      <c r="JTN48" s="116"/>
      <c r="JTO48" s="116"/>
      <c r="JTP48" s="116"/>
      <c r="JTQ48" s="116"/>
      <c r="JTR48" s="116"/>
      <c r="JTS48" s="116"/>
      <c r="JTT48" s="116"/>
      <c r="JTU48" s="116"/>
      <c r="JTV48" s="116"/>
      <c r="JTW48" s="116"/>
      <c r="JTX48" s="116"/>
      <c r="JTY48" s="116"/>
      <c r="JTZ48" s="116"/>
      <c r="JUA48" s="116"/>
      <c r="JUB48" s="116"/>
      <c r="JUC48" s="116"/>
      <c r="JUD48" s="116"/>
      <c r="JUE48" s="116"/>
      <c r="JUF48" s="116"/>
      <c r="JUG48" s="116"/>
      <c r="JUH48" s="116"/>
      <c r="JUI48" s="116"/>
      <c r="JUJ48" s="116"/>
      <c r="JUK48" s="116"/>
      <c r="JUL48" s="116"/>
      <c r="JUM48" s="116"/>
      <c r="JUN48" s="116"/>
      <c r="JUO48" s="116"/>
      <c r="JUP48" s="116"/>
      <c r="JUQ48" s="116"/>
      <c r="JUR48" s="116"/>
      <c r="JUS48" s="116"/>
      <c r="JUT48" s="116"/>
      <c r="JUU48" s="116"/>
      <c r="JUV48" s="116"/>
      <c r="JUW48" s="116"/>
      <c r="JUX48" s="116"/>
      <c r="JUY48" s="116"/>
      <c r="JUZ48" s="116"/>
      <c r="JVA48" s="116"/>
      <c r="JVB48" s="116"/>
      <c r="JVC48" s="116"/>
      <c r="JVD48" s="116"/>
      <c r="JVE48" s="116"/>
      <c r="JVF48" s="116"/>
      <c r="JVG48" s="116"/>
      <c r="JVH48" s="116"/>
      <c r="JVI48" s="116"/>
      <c r="JVJ48" s="116"/>
      <c r="JVK48" s="116"/>
      <c r="JVL48" s="116"/>
      <c r="JVM48" s="116"/>
      <c r="JVN48" s="116"/>
      <c r="JVO48" s="116"/>
      <c r="JVP48" s="116"/>
      <c r="JVQ48" s="116"/>
      <c r="JVR48" s="116"/>
      <c r="JVS48" s="116"/>
      <c r="JVT48" s="116"/>
      <c r="JVU48" s="116"/>
      <c r="JVV48" s="116"/>
      <c r="JVW48" s="116"/>
      <c r="JVX48" s="116"/>
      <c r="JVY48" s="116"/>
      <c r="JVZ48" s="116"/>
      <c r="JWA48" s="116"/>
      <c r="JWB48" s="116"/>
      <c r="JWC48" s="116"/>
      <c r="JWD48" s="116"/>
      <c r="JWE48" s="116"/>
      <c r="JWF48" s="116"/>
      <c r="JWG48" s="116"/>
      <c r="JWH48" s="116"/>
      <c r="JWI48" s="116"/>
      <c r="JWJ48" s="116"/>
      <c r="JWK48" s="116"/>
      <c r="JWL48" s="116"/>
      <c r="JWM48" s="116"/>
      <c r="JWN48" s="116"/>
      <c r="JWO48" s="116"/>
      <c r="JWP48" s="116"/>
      <c r="JWQ48" s="116"/>
      <c r="JWR48" s="116"/>
      <c r="JWS48" s="116"/>
      <c r="JWT48" s="116"/>
      <c r="JWU48" s="116"/>
      <c r="JWV48" s="116"/>
      <c r="JWW48" s="116"/>
      <c r="JWX48" s="116"/>
      <c r="JWY48" s="116"/>
      <c r="JWZ48" s="116"/>
      <c r="JXA48" s="116"/>
      <c r="JXB48" s="116"/>
      <c r="JXC48" s="116"/>
      <c r="JXD48" s="116"/>
      <c r="JXE48" s="116"/>
      <c r="JXF48" s="116"/>
      <c r="JXG48" s="116"/>
      <c r="JXH48" s="116"/>
      <c r="JXI48" s="116"/>
      <c r="JXJ48" s="116"/>
      <c r="JXK48" s="116"/>
      <c r="JXL48" s="116"/>
      <c r="JXM48" s="116"/>
      <c r="JXN48" s="116"/>
      <c r="JXO48" s="116"/>
      <c r="JXP48" s="116"/>
      <c r="JXQ48" s="116"/>
      <c r="JXR48" s="116"/>
      <c r="JXS48" s="116"/>
      <c r="JXT48" s="116"/>
      <c r="JXU48" s="116"/>
      <c r="JXV48" s="116"/>
      <c r="JXW48" s="116"/>
      <c r="JXX48" s="116"/>
      <c r="JXY48" s="116"/>
      <c r="JXZ48" s="116"/>
      <c r="JYA48" s="116"/>
      <c r="JYB48" s="116"/>
      <c r="JYC48" s="116"/>
      <c r="JYD48" s="116"/>
      <c r="JYE48" s="116"/>
      <c r="JYF48" s="116"/>
      <c r="JYG48" s="116"/>
      <c r="JYH48" s="116"/>
      <c r="JYI48" s="116"/>
      <c r="JYJ48" s="116"/>
      <c r="JYK48" s="116"/>
      <c r="JYL48" s="116"/>
      <c r="JYM48" s="116"/>
      <c r="JYN48" s="116"/>
      <c r="JYO48" s="116"/>
      <c r="JYP48" s="116"/>
      <c r="JYQ48" s="116"/>
      <c r="JYR48" s="116"/>
      <c r="JYS48" s="116"/>
      <c r="JYT48" s="116"/>
      <c r="JYU48" s="116"/>
      <c r="JYV48" s="116"/>
      <c r="JYW48" s="116"/>
      <c r="JYX48" s="116"/>
      <c r="JYY48" s="116"/>
      <c r="JYZ48" s="116"/>
      <c r="JZA48" s="116"/>
      <c r="JZB48" s="116"/>
      <c r="JZC48" s="116"/>
      <c r="JZD48" s="116"/>
      <c r="JZE48" s="116"/>
      <c r="JZF48" s="116"/>
      <c r="JZG48" s="116"/>
      <c r="JZH48" s="116"/>
      <c r="JZI48" s="116"/>
      <c r="JZJ48" s="116"/>
      <c r="JZK48" s="116"/>
      <c r="JZL48" s="116"/>
      <c r="JZM48" s="116"/>
      <c r="JZN48" s="116"/>
      <c r="JZO48" s="116"/>
      <c r="JZP48" s="116"/>
      <c r="JZQ48" s="116"/>
      <c r="JZR48" s="116"/>
      <c r="JZS48" s="116"/>
      <c r="JZT48" s="116"/>
      <c r="JZU48" s="116"/>
      <c r="JZV48" s="116"/>
      <c r="JZW48" s="116"/>
      <c r="JZX48" s="116"/>
      <c r="JZY48" s="116"/>
      <c r="JZZ48" s="116"/>
      <c r="KAA48" s="116"/>
      <c r="KAB48" s="116"/>
      <c r="KAC48" s="116"/>
      <c r="KAD48" s="116"/>
      <c r="KAE48" s="116"/>
      <c r="KAF48" s="116"/>
      <c r="KAG48" s="116"/>
      <c r="KAH48" s="116"/>
      <c r="KAI48" s="116"/>
      <c r="KAJ48" s="116"/>
      <c r="KAK48" s="116"/>
      <c r="KAL48" s="116"/>
      <c r="KAM48" s="116"/>
      <c r="KAN48" s="116"/>
      <c r="KAO48" s="116"/>
      <c r="KAP48" s="116"/>
      <c r="KAQ48" s="116"/>
      <c r="KAR48" s="116"/>
      <c r="KAS48" s="116"/>
      <c r="KAT48" s="116"/>
      <c r="KAU48" s="116"/>
      <c r="KAV48" s="116"/>
      <c r="KAW48" s="116"/>
      <c r="KAX48" s="116"/>
      <c r="KAY48" s="116"/>
      <c r="KAZ48" s="116"/>
      <c r="KBA48" s="116"/>
      <c r="KBB48" s="116"/>
      <c r="KBC48" s="116"/>
      <c r="KBD48" s="116"/>
      <c r="KBE48" s="116"/>
      <c r="KBF48" s="116"/>
      <c r="KBG48" s="116"/>
      <c r="KBH48" s="116"/>
      <c r="KBI48" s="116"/>
      <c r="KBJ48" s="116"/>
      <c r="KBK48" s="116"/>
      <c r="KBL48" s="116"/>
      <c r="KBM48" s="116"/>
      <c r="KBN48" s="116"/>
      <c r="KBO48" s="116"/>
      <c r="KBP48" s="116"/>
      <c r="KBQ48" s="116"/>
      <c r="KBR48" s="116"/>
      <c r="KBS48" s="116"/>
      <c r="KBT48" s="116"/>
      <c r="KBU48" s="116"/>
      <c r="KBV48" s="116"/>
      <c r="KBW48" s="116"/>
      <c r="KBX48" s="116"/>
      <c r="KBY48" s="116"/>
      <c r="KBZ48" s="116"/>
      <c r="KCA48" s="116"/>
      <c r="KCB48" s="116"/>
      <c r="KCC48" s="116"/>
      <c r="KCD48" s="116"/>
      <c r="KCE48" s="116"/>
      <c r="KCF48" s="116"/>
      <c r="KCG48" s="116"/>
      <c r="KCH48" s="116"/>
      <c r="KCI48" s="116"/>
      <c r="KCJ48" s="116"/>
      <c r="KCK48" s="116"/>
      <c r="KCL48" s="116"/>
      <c r="KCM48" s="116"/>
      <c r="KCN48" s="116"/>
      <c r="KCO48" s="116"/>
      <c r="KCP48" s="116"/>
      <c r="KCQ48" s="116"/>
      <c r="KCR48" s="116"/>
      <c r="KCS48" s="116"/>
      <c r="KCT48" s="116"/>
      <c r="KCU48" s="116"/>
      <c r="KCV48" s="116"/>
      <c r="KCW48" s="116"/>
      <c r="KCX48" s="116"/>
      <c r="KCY48" s="116"/>
      <c r="KCZ48" s="116"/>
      <c r="KDA48" s="116"/>
      <c r="KDB48" s="116"/>
      <c r="KDC48" s="116"/>
      <c r="KDD48" s="116"/>
      <c r="KDE48" s="116"/>
      <c r="KDF48" s="116"/>
      <c r="KDG48" s="116"/>
      <c r="KDH48" s="116"/>
      <c r="KDI48" s="116"/>
      <c r="KDJ48" s="116"/>
      <c r="KDK48" s="116"/>
      <c r="KDL48" s="116"/>
      <c r="KDM48" s="116"/>
      <c r="KDN48" s="116"/>
      <c r="KDO48" s="116"/>
      <c r="KDP48" s="116"/>
      <c r="KDQ48" s="116"/>
      <c r="KDR48" s="116"/>
      <c r="KDS48" s="116"/>
      <c r="KDT48" s="116"/>
      <c r="KDU48" s="116"/>
      <c r="KDV48" s="116"/>
      <c r="KDW48" s="116"/>
      <c r="KDX48" s="116"/>
      <c r="KDY48" s="116"/>
      <c r="KDZ48" s="116"/>
      <c r="KEA48" s="116"/>
      <c r="KEB48" s="116"/>
      <c r="KEC48" s="116"/>
      <c r="KED48" s="116"/>
      <c r="KEE48" s="116"/>
      <c r="KEF48" s="116"/>
      <c r="KEG48" s="116"/>
      <c r="KEH48" s="116"/>
      <c r="KEI48" s="116"/>
      <c r="KEJ48" s="116"/>
      <c r="KEK48" s="116"/>
      <c r="KEL48" s="116"/>
      <c r="KEM48" s="116"/>
      <c r="KEN48" s="116"/>
      <c r="KEO48" s="116"/>
      <c r="KEP48" s="116"/>
      <c r="KEQ48" s="116"/>
      <c r="KER48" s="116"/>
      <c r="KES48" s="116"/>
      <c r="KET48" s="116"/>
      <c r="KEU48" s="116"/>
      <c r="KEV48" s="116"/>
      <c r="KEW48" s="116"/>
      <c r="KEX48" s="116"/>
      <c r="KEY48" s="116"/>
      <c r="KEZ48" s="116"/>
      <c r="KFA48" s="116"/>
      <c r="KFB48" s="116"/>
      <c r="KFC48" s="116"/>
      <c r="KFD48" s="116"/>
      <c r="KFE48" s="116"/>
      <c r="KFF48" s="116"/>
      <c r="KFG48" s="116"/>
      <c r="KFH48" s="116"/>
      <c r="KFI48" s="116"/>
      <c r="KFJ48" s="116"/>
      <c r="KFK48" s="116"/>
      <c r="KFL48" s="116"/>
      <c r="KFM48" s="116"/>
      <c r="KFN48" s="116"/>
      <c r="KFO48" s="116"/>
      <c r="KFP48" s="116"/>
      <c r="KFQ48" s="116"/>
      <c r="KFR48" s="116"/>
      <c r="KFS48" s="116"/>
      <c r="KFT48" s="116"/>
      <c r="KFU48" s="116"/>
      <c r="KFV48" s="116"/>
      <c r="KFW48" s="116"/>
      <c r="KFX48" s="116"/>
      <c r="KFY48" s="116"/>
      <c r="KFZ48" s="116"/>
      <c r="KGA48" s="116"/>
      <c r="KGB48" s="116"/>
      <c r="KGC48" s="116"/>
      <c r="KGD48" s="116"/>
      <c r="KGE48" s="116"/>
      <c r="KGF48" s="116"/>
      <c r="KGG48" s="116"/>
      <c r="KGH48" s="116"/>
      <c r="KGI48" s="116"/>
      <c r="KGJ48" s="116"/>
      <c r="KGK48" s="116"/>
      <c r="KGL48" s="116"/>
      <c r="KGM48" s="116"/>
      <c r="KGN48" s="116"/>
      <c r="KGO48" s="116"/>
      <c r="KGP48" s="116"/>
      <c r="KGQ48" s="116"/>
      <c r="KGR48" s="116"/>
      <c r="KGS48" s="116"/>
      <c r="KGT48" s="116"/>
      <c r="KGU48" s="116"/>
      <c r="KGV48" s="116"/>
      <c r="KGW48" s="116"/>
      <c r="KGX48" s="116"/>
      <c r="KGY48" s="116"/>
      <c r="KGZ48" s="116"/>
      <c r="KHA48" s="116"/>
      <c r="KHB48" s="116"/>
      <c r="KHC48" s="116"/>
      <c r="KHD48" s="116"/>
      <c r="KHE48" s="116"/>
      <c r="KHF48" s="116"/>
      <c r="KHG48" s="116"/>
      <c r="KHH48" s="116"/>
      <c r="KHI48" s="116"/>
      <c r="KHJ48" s="116"/>
      <c r="KHK48" s="116"/>
      <c r="KHL48" s="116"/>
      <c r="KHM48" s="116"/>
      <c r="KHN48" s="116"/>
      <c r="KHO48" s="116"/>
      <c r="KHP48" s="116"/>
      <c r="KHQ48" s="116"/>
      <c r="KHR48" s="116"/>
      <c r="KHS48" s="116"/>
      <c r="KHT48" s="116"/>
      <c r="KHU48" s="116"/>
      <c r="KHV48" s="116"/>
      <c r="KHW48" s="116"/>
      <c r="KHX48" s="116"/>
      <c r="KHY48" s="116"/>
      <c r="KHZ48" s="116"/>
      <c r="KIA48" s="116"/>
      <c r="KIB48" s="116"/>
      <c r="KIC48" s="116"/>
      <c r="KID48" s="116"/>
      <c r="KIE48" s="116"/>
      <c r="KIF48" s="116"/>
      <c r="KIG48" s="116"/>
      <c r="KIH48" s="116"/>
      <c r="KII48" s="116"/>
      <c r="KIJ48" s="116"/>
      <c r="KIK48" s="116"/>
      <c r="KIL48" s="116"/>
      <c r="KIM48" s="116"/>
      <c r="KIN48" s="116"/>
      <c r="KIO48" s="116"/>
      <c r="KIP48" s="116"/>
      <c r="KIQ48" s="116"/>
      <c r="KIR48" s="116"/>
      <c r="KIS48" s="116"/>
      <c r="KIT48" s="116"/>
      <c r="KIU48" s="116"/>
      <c r="KIV48" s="116"/>
      <c r="KIW48" s="116"/>
      <c r="KIX48" s="116"/>
      <c r="KIY48" s="116"/>
      <c r="KIZ48" s="116"/>
      <c r="KJA48" s="116"/>
      <c r="KJB48" s="116"/>
      <c r="KJC48" s="116"/>
      <c r="KJD48" s="116"/>
      <c r="KJE48" s="116"/>
      <c r="KJF48" s="116"/>
      <c r="KJG48" s="116"/>
      <c r="KJH48" s="116"/>
      <c r="KJI48" s="116"/>
      <c r="KJJ48" s="116"/>
      <c r="KJK48" s="116"/>
      <c r="KJL48" s="116"/>
      <c r="KJM48" s="116"/>
      <c r="KJN48" s="116"/>
      <c r="KJO48" s="116"/>
      <c r="KJP48" s="116"/>
      <c r="KJQ48" s="116"/>
      <c r="KJR48" s="116"/>
      <c r="KJS48" s="116"/>
      <c r="KJT48" s="116"/>
      <c r="KJU48" s="116"/>
      <c r="KJV48" s="116"/>
      <c r="KJW48" s="116"/>
      <c r="KJX48" s="116"/>
      <c r="KJY48" s="116"/>
      <c r="KJZ48" s="116"/>
      <c r="KKA48" s="116"/>
      <c r="KKB48" s="116"/>
      <c r="KKC48" s="116"/>
      <c r="KKD48" s="116"/>
      <c r="KKE48" s="116"/>
      <c r="KKF48" s="116"/>
      <c r="KKG48" s="116"/>
      <c r="KKH48" s="116"/>
      <c r="KKI48" s="116"/>
      <c r="KKJ48" s="116"/>
      <c r="KKK48" s="116"/>
      <c r="KKL48" s="116"/>
      <c r="KKM48" s="116"/>
      <c r="KKN48" s="116"/>
      <c r="KKO48" s="116"/>
      <c r="KKP48" s="116"/>
      <c r="KKQ48" s="116"/>
      <c r="KKR48" s="116"/>
      <c r="KKS48" s="116"/>
      <c r="KKT48" s="116"/>
      <c r="KKU48" s="116"/>
      <c r="KKV48" s="116"/>
      <c r="KKW48" s="116"/>
      <c r="KKX48" s="116"/>
      <c r="KKY48" s="116"/>
      <c r="KKZ48" s="116"/>
      <c r="KLA48" s="116"/>
      <c r="KLB48" s="116"/>
      <c r="KLC48" s="116"/>
      <c r="KLD48" s="116"/>
      <c r="KLE48" s="116"/>
      <c r="KLF48" s="116"/>
      <c r="KLG48" s="116"/>
      <c r="KLH48" s="116"/>
      <c r="KLI48" s="116"/>
      <c r="KLJ48" s="116"/>
      <c r="KLK48" s="116"/>
      <c r="KLL48" s="116"/>
      <c r="KLM48" s="116"/>
      <c r="KLN48" s="116"/>
      <c r="KLO48" s="116"/>
      <c r="KLP48" s="116"/>
      <c r="KLQ48" s="116"/>
      <c r="KLR48" s="116"/>
      <c r="KLS48" s="116"/>
      <c r="KLT48" s="116"/>
      <c r="KLU48" s="116"/>
      <c r="KLV48" s="116"/>
      <c r="KLW48" s="116"/>
      <c r="KLX48" s="116"/>
      <c r="KLY48" s="116"/>
      <c r="KLZ48" s="116"/>
      <c r="KMA48" s="116"/>
      <c r="KMB48" s="116"/>
      <c r="KMC48" s="116"/>
      <c r="KMD48" s="116"/>
      <c r="KME48" s="116"/>
      <c r="KMF48" s="116"/>
      <c r="KMG48" s="116"/>
      <c r="KMH48" s="116"/>
      <c r="KMI48" s="116"/>
      <c r="KMJ48" s="116"/>
      <c r="KMK48" s="116"/>
      <c r="KML48" s="116"/>
      <c r="KMM48" s="116"/>
      <c r="KMN48" s="116"/>
      <c r="KMO48" s="116"/>
      <c r="KMP48" s="116"/>
      <c r="KMQ48" s="116"/>
      <c r="KMR48" s="116"/>
      <c r="KMS48" s="116"/>
      <c r="KMT48" s="116"/>
      <c r="KMU48" s="116"/>
      <c r="KMV48" s="116"/>
      <c r="KMW48" s="116"/>
      <c r="KMX48" s="116"/>
      <c r="KMY48" s="116"/>
      <c r="KMZ48" s="116"/>
      <c r="KNA48" s="116"/>
      <c r="KNB48" s="116"/>
      <c r="KNC48" s="116"/>
      <c r="KND48" s="116"/>
      <c r="KNE48" s="116"/>
      <c r="KNF48" s="116"/>
      <c r="KNG48" s="116"/>
      <c r="KNH48" s="116"/>
      <c r="KNI48" s="116"/>
      <c r="KNJ48" s="116"/>
      <c r="KNK48" s="116"/>
      <c r="KNL48" s="116"/>
      <c r="KNM48" s="116"/>
      <c r="KNN48" s="116"/>
      <c r="KNO48" s="116"/>
      <c r="KNP48" s="116"/>
      <c r="KNQ48" s="116"/>
      <c r="KNR48" s="116"/>
      <c r="KNS48" s="116"/>
      <c r="KNT48" s="116"/>
      <c r="KNU48" s="116"/>
      <c r="KNV48" s="116"/>
      <c r="KNW48" s="116"/>
      <c r="KNX48" s="116"/>
      <c r="KNY48" s="116"/>
      <c r="KNZ48" s="116"/>
      <c r="KOA48" s="116"/>
      <c r="KOB48" s="116"/>
      <c r="KOC48" s="116"/>
      <c r="KOD48" s="116"/>
      <c r="KOE48" s="116"/>
      <c r="KOF48" s="116"/>
      <c r="KOG48" s="116"/>
      <c r="KOH48" s="116"/>
      <c r="KOI48" s="116"/>
      <c r="KOJ48" s="116"/>
      <c r="KOK48" s="116"/>
      <c r="KOL48" s="116"/>
      <c r="KOM48" s="116"/>
      <c r="KON48" s="116"/>
      <c r="KOO48" s="116"/>
      <c r="KOP48" s="116"/>
      <c r="KOQ48" s="116"/>
      <c r="KOR48" s="116"/>
      <c r="KOS48" s="116"/>
      <c r="KOT48" s="116"/>
      <c r="KOU48" s="116"/>
      <c r="KOV48" s="116"/>
      <c r="KOW48" s="116"/>
      <c r="KOX48" s="116"/>
      <c r="KOY48" s="116"/>
      <c r="KOZ48" s="116"/>
      <c r="KPA48" s="116"/>
      <c r="KPB48" s="116"/>
      <c r="KPC48" s="116"/>
      <c r="KPD48" s="116"/>
      <c r="KPE48" s="116"/>
      <c r="KPF48" s="116"/>
      <c r="KPG48" s="116"/>
      <c r="KPH48" s="116"/>
      <c r="KPI48" s="116"/>
      <c r="KPJ48" s="116"/>
      <c r="KPK48" s="116"/>
      <c r="KPL48" s="116"/>
      <c r="KPM48" s="116"/>
      <c r="KPN48" s="116"/>
      <c r="KPO48" s="116"/>
      <c r="KPP48" s="116"/>
      <c r="KPQ48" s="116"/>
      <c r="KPR48" s="116"/>
      <c r="KPS48" s="116"/>
      <c r="KPT48" s="116"/>
      <c r="KPU48" s="116"/>
      <c r="KPV48" s="116"/>
      <c r="KPW48" s="116"/>
      <c r="KPX48" s="116"/>
      <c r="KPY48" s="116"/>
      <c r="KPZ48" s="116"/>
      <c r="KQA48" s="116"/>
      <c r="KQB48" s="116"/>
      <c r="KQC48" s="116"/>
      <c r="KQD48" s="116"/>
      <c r="KQE48" s="116"/>
      <c r="KQF48" s="116"/>
      <c r="KQG48" s="116"/>
      <c r="KQH48" s="116"/>
      <c r="KQI48" s="116"/>
      <c r="KQJ48" s="116"/>
      <c r="KQK48" s="116"/>
      <c r="KQL48" s="116"/>
      <c r="KQM48" s="116"/>
      <c r="KQN48" s="116"/>
      <c r="KQO48" s="116"/>
      <c r="KQP48" s="116"/>
      <c r="KQQ48" s="116"/>
      <c r="KQR48" s="116"/>
      <c r="KQS48" s="116"/>
      <c r="KQT48" s="116"/>
      <c r="KQU48" s="116"/>
      <c r="KQV48" s="116"/>
      <c r="KQW48" s="116"/>
      <c r="KQX48" s="116"/>
      <c r="KQY48" s="116"/>
      <c r="KQZ48" s="116"/>
      <c r="KRA48" s="116"/>
      <c r="KRB48" s="116"/>
      <c r="KRC48" s="116"/>
      <c r="KRD48" s="116"/>
      <c r="KRE48" s="116"/>
      <c r="KRF48" s="116"/>
      <c r="KRG48" s="116"/>
      <c r="KRH48" s="116"/>
      <c r="KRI48" s="116"/>
      <c r="KRJ48" s="116"/>
      <c r="KRK48" s="116"/>
      <c r="KRL48" s="116"/>
      <c r="KRM48" s="116"/>
      <c r="KRN48" s="116"/>
      <c r="KRO48" s="116"/>
      <c r="KRP48" s="116"/>
      <c r="KRQ48" s="116"/>
      <c r="KRR48" s="116"/>
      <c r="KRS48" s="116"/>
      <c r="KRT48" s="116"/>
      <c r="KRU48" s="116"/>
      <c r="KRV48" s="116"/>
      <c r="KRW48" s="116"/>
      <c r="KRX48" s="116"/>
      <c r="KRY48" s="116"/>
      <c r="KRZ48" s="116"/>
      <c r="KSA48" s="116"/>
      <c r="KSB48" s="116"/>
      <c r="KSC48" s="116"/>
      <c r="KSD48" s="116"/>
      <c r="KSE48" s="116"/>
      <c r="KSF48" s="116"/>
      <c r="KSG48" s="116"/>
      <c r="KSH48" s="116"/>
      <c r="KSI48" s="116"/>
      <c r="KSJ48" s="116"/>
      <c r="KSK48" s="116"/>
      <c r="KSL48" s="116"/>
      <c r="KSM48" s="116"/>
      <c r="KSN48" s="116"/>
      <c r="KSO48" s="116"/>
      <c r="KSP48" s="116"/>
      <c r="KSQ48" s="116"/>
      <c r="KSR48" s="116"/>
      <c r="KSS48" s="116"/>
      <c r="KST48" s="116"/>
      <c r="KSU48" s="116"/>
      <c r="KSV48" s="116"/>
      <c r="KSW48" s="116"/>
      <c r="KSX48" s="116"/>
      <c r="KSY48" s="116"/>
      <c r="KSZ48" s="116"/>
      <c r="KTA48" s="116"/>
      <c r="KTB48" s="116"/>
      <c r="KTC48" s="116"/>
      <c r="KTD48" s="116"/>
      <c r="KTE48" s="116"/>
      <c r="KTF48" s="116"/>
      <c r="KTG48" s="116"/>
      <c r="KTH48" s="116"/>
      <c r="KTI48" s="116"/>
      <c r="KTJ48" s="116"/>
      <c r="KTK48" s="116"/>
      <c r="KTL48" s="116"/>
      <c r="KTM48" s="116"/>
      <c r="KTN48" s="116"/>
      <c r="KTO48" s="116"/>
      <c r="KTP48" s="116"/>
      <c r="KTQ48" s="116"/>
      <c r="KTR48" s="116"/>
      <c r="KTS48" s="116"/>
      <c r="KTT48" s="116"/>
      <c r="KTU48" s="116"/>
      <c r="KTV48" s="116"/>
      <c r="KTW48" s="116"/>
      <c r="KTX48" s="116"/>
      <c r="KTY48" s="116"/>
      <c r="KTZ48" s="116"/>
      <c r="KUA48" s="116"/>
      <c r="KUB48" s="116"/>
      <c r="KUC48" s="116"/>
      <c r="KUD48" s="116"/>
      <c r="KUE48" s="116"/>
      <c r="KUF48" s="116"/>
      <c r="KUG48" s="116"/>
      <c r="KUH48" s="116"/>
      <c r="KUI48" s="116"/>
      <c r="KUJ48" s="116"/>
      <c r="KUK48" s="116"/>
      <c r="KUL48" s="116"/>
      <c r="KUM48" s="116"/>
      <c r="KUN48" s="116"/>
      <c r="KUO48" s="116"/>
      <c r="KUP48" s="116"/>
      <c r="KUQ48" s="116"/>
      <c r="KUR48" s="116"/>
      <c r="KUS48" s="116"/>
      <c r="KUT48" s="116"/>
      <c r="KUU48" s="116"/>
      <c r="KUV48" s="116"/>
      <c r="KUW48" s="116"/>
      <c r="KUX48" s="116"/>
      <c r="KUY48" s="116"/>
      <c r="KUZ48" s="116"/>
      <c r="KVA48" s="116"/>
      <c r="KVB48" s="116"/>
      <c r="KVC48" s="116"/>
      <c r="KVD48" s="116"/>
      <c r="KVE48" s="116"/>
      <c r="KVF48" s="116"/>
      <c r="KVG48" s="116"/>
      <c r="KVH48" s="116"/>
      <c r="KVI48" s="116"/>
      <c r="KVJ48" s="116"/>
      <c r="KVK48" s="116"/>
      <c r="KVL48" s="116"/>
      <c r="KVM48" s="116"/>
      <c r="KVN48" s="116"/>
      <c r="KVO48" s="116"/>
      <c r="KVP48" s="116"/>
      <c r="KVQ48" s="116"/>
      <c r="KVR48" s="116"/>
      <c r="KVS48" s="116"/>
      <c r="KVT48" s="116"/>
      <c r="KVU48" s="116"/>
      <c r="KVV48" s="116"/>
      <c r="KVW48" s="116"/>
      <c r="KVX48" s="116"/>
      <c r="KVY48" s="116"/>
      <c r="KVZ48" s="116"/>
      <c r="KWA48" s="116"/>
      <c r="KWB48" s="116"/>
      <c r="KWC48" s="116"/>
      <c r="KWD48" s="116"/>
      <c r="KWE48" s="116"/>
      <c r="KWF48" s="116"/>
      <c r="KWG48" s="116"/>
      <c r="KWH48" s="116"/>
      <c r="KWI48" s="116"/>
      <c r="KWJ48" s="116"/>
      <c r="KWK48" s="116"/>
      <c r="KWL48" s="116"/>
      <c r="KWM48" s="116"/>
      <c r="KWN48" s="116"/>
      <c r="KWO48" s="116"/>
      <c r="KWP48" s="116"/>
      <c r="KWQ48" s="116"/>
      <c r="KWR48" s="116"/>
      <c r="KWS48" s="116"/>
      <c r="KWT48" s="116"/>
      <c r="KWU48" s="116"/>
      <c r="KWV48" s="116"/>
      <c r="KWW48" s="116"/>
      <c r="KWX48" s="116"/>
      <c r="KWY48" s="116"/>
      <c r="KWZ48" s="116"/>
      <c r="KXA48" s="116"/>
      <c r="KXB48" s="116"/>
      <c r="KXC48" s="116"/>
      <c r="KXD48" s="116"/>
      <c r="KXE48" s="116"/>
      <c r="KXF48" s="116"/>
      <c r="KXG48" s="116"/>
      <c r="KXH48" s="116"/>
      <c r="KXI48" s="116"/>
      <c r="KXJ48" s="116"/>
      <c r="KXK48" s="116"/>
      <c r="KXL48" s="116"/>
      <c r="KXM48" s="116"/>
      <c r="KXN48" s="116"/>
      <c r="KXO48" s="116"/>
      <c r="KXP48" s="116"/>
      <c r="KXQ48" s="116"/>
      <c r="KXR48" s="116"/>
      <c r="KXS48" s="116"/>
      <c r="KXT48" s="116"/>
      <c r="KXU48" s="116"/>
      <c r="KXV48" s="116"/>
      <c r="KXW48" s="116"/>
      <c r="KXX48" s="116"/>
      <c r="KXY48" s="116"/>
      <c r="KXZ48" s="116"/>
      <c r="KYA48" s="116"/>
      <c r="KYB48" s="116"/>
      <c r="KYC48" s="116"/>
      <c r="KYD48" s="116"/>
      <c r="KYE48" s="116"/>
      <c r="KYF48" s="116"/>
      <c r="KYG48" s="116"/>
      <c r="KYH48" s="116"/>
      <c r="KYI48" s="116"/>
      <c r="KYJ48" s="116"/>
      <c r="KYK48" s="116"/>
      <c r="KYL48" s="116"/>
      <c r="KYM48" s="116"/>
      <c r="KYN48" s="116"/>
      <c r="KYO48" s="116"/>
      <c r="KYP48" s="116"/>
      <c r="KYQ48" s="116"/>
      <c r="KYR48" s="116"/>
      <c r="KYS48" s="116"/>
      <c r="KYT48" s="116"/>
      <c r="KYU48" s="116"/>
      <c r="KYV48" s="116"/>
      <c r="KYW48" s="116"/>
      <c r="KYX48" s="116"/>
      <c r="KYY48" s="116"/>
      <c r="KYZ48" s="116"/>
      <c r="KZA48" s="116"/>
      <c r="KZB48" s="116"/>
      <c r="KZC48" s="116"/>
      <c r="KZD48" s="116"/>
      <c r="KZE48" s="116"/>
      <c r="KZF48" s="116"/>
      <c r="KZG48" s="116"/>
      <c r="KZH48" s="116"/>
      <c r="KZI48" s="116"/>
      <c r="KZJ48" s="116"/>
      <c r="KZK48" s="116"/>
      <c r="KZL48" s="116"/>
      <c r="KZM48" s="116"/>
      <c r="KZN48" s="116"/>
      <c r="KZO48" s="116"/>
      <c r="KZP48" s="116"/>
      <c r="KZQ48" s="116"/>
      <c r="KZR48" s="116"/>
      <c r="KZS48" s="116"/>
      <c r="KZT48" s="116"/>
      <c r="KZU48" s="116"/>
      <c r="KZV48" s="116"/>
      <c r="KZW48" s="116"/>
      <c r="KZX48" s="116"/>
      <c r="KZY48" s="116"/>
      <c r="KZZ48" s="116"/>
      <c r="LAA48" s="116"/>
      <c r="LAB48" s="116"/>
      <c r="LAC48" s="116"/>
      <c r="LAD48" s="116"/>
      <c r="LAE48" s="116"/>
      <c r="LAF48" s="116"/>
      <c r="LAG48" s="116"/>
      <c r="LAH48" s="116"/>
      <c r="LAI48" s="116"/>
      <c r="LAJ48" s="116"/>
      <c r="LAK48" s="116"/>
      <c r="LAL48" s="116"/>
      <c r="LAM48" s="116"/>
      <c r="LAN48" s="116"/>
      <c r="LAO48" s="116"/>
      <c r="LAP48" s="116"/>
      <c r="LAQ48" s="116"/>
      <c r="LAR48" s="116"/>
      <c r="LAS48" s="116"/>
      <c r="LAT48" s="116"/>
      <c r="LAU48" s="116"/>
      <c r="LAV48" s="116"/>
      <c r="LAW48" s="116"/>
      <c r="LAX48" s="116"/>
      <c r="LAY48" s="116"/>
      <c r="LAZ48" s="116"/>
      <c r="LBA48" s="116"/>
      <c r="LBB48" s="116"/>
      <c r="LBC48" s="116"/>
      <c r="LBD48" s="116"/>
      <c r="LBE48" s="116"/>
      <c r="LBF48" s="116"/>
      <c r="LBG48" s="116"/>
      <c r="LBH48" s="116"/>
      <c r="LBI48" s="116"/>
      <c r="LBJ48" s="116"/>
      <c r="LBK48" s="116"/>
      <c r="LBL48" s="116"/>
      <c r="LBM48" s="116"/>
      <c r="LBN48" s="116"/>
      <c r="LBO48" s="116"/>
      <c r="LBP48" s="116"/>
      <c r="LBQ48" s="116"/>
      <c r="LBR48" s="116"/>
      <c r="LBS48" s="116"/>
      <c r="LBT48" s="116"/>
      <c r="LBU48" s="116"/>
      <c r="LBV48" s="116"/>
      <c r="LBW48" s="116"/>
      <c r="LBX48" s="116"/>
      <c r="LBY48" s="116"/>
      <c r="LBZ48" s="116"/>
      <c r="LCA48" s="116"/>
      <c r="LCB48" s="116"/>
      <c r="LCC48" s="116"/>
      <c r="LCD48" s="116"/>
      <c r="LCE48" s="116"/>
      <c r="LCF48" s="116"/>
      <c r="LCG48" s="116"/>
      <c r="LCH48" s="116"/>
      <c r="LCI48" s="116"/>
      <c r="LCJ48" s="116"/>
      <c r="LCK48" s="116"/>
      <c r="LCL48" s="116"/>
      <c r="LCM48" s="116"/>
      <c r="LCN48" s="116"/>
      <c r="LCO48" s="116"/>
      <c r="LCP48" s="116"/>
      <c r="LCQ48" s="116"/>
      <c r="LCR48" s="116"/>
      <c r="LCS48" s="116"/>
      <c r="LCT48" s="116"/>
      <c r="LCU48" s="116"/>
      <c r="LCV48" s="116"/>
      <c r="LCW48" s="116"/>
      <c r="LCX48" s="116"/>
      <c r="LCY48" s="116"/>
      <c r="LCZ48" s="116"/>
      <c r="LDA48" s="116"/>
      <c r="LDB48" s="116"/>
      <c r="LDC48" s="116"/>
      <c r="LDD48" s="116"/>
      <c r="LDE48" s="116"/>
      <c r="LDF48" s="116"/>
      <c r="LDG48" s="116"/>
      <c r="LDH48" s="116"/>
      <c r="LDI48" s="116"/>
      <c r="LDJ48" s="116"/>
      <c r="LDK48" s="116"/>
      <c r="LDL48" s="116"/>
      <c r="LDM48" s="116"/>
      <c r="LDN48" s="116"/>
      <c r="LDO48" s="116"/>
      <c r="LDP48" s="116"/>
      <c r="LDQ48" s="116"/>
      <c r="LDR48" s="116"/>
      <c r="LDS48" s="116"/>
      <c r="LDT48" s="116"/>
      <c r="LDU48" s="116"/>
      <c r="LDV48" s="116"/>
      <c r="LDW48" s="116"/>
      <c r="LDX48" s="116"/>
      <c r="LDY48" s="116"/>
      <c r="LDZ48" s="116"/>
      <c r="LEA48" s="116"/>
      <c r="LEB48" s="116"/>
      <c r="LEC48" s="116"/>
      <c r="LED48" s="116"/>
      <c r="LEE48" s="116"/>
      <c r="LEF48" s="116"/>
      <c r="LEG48" s="116"/>
      <c r="LEH48" s="116"/>
      <c r="LEI48" s="116"/>
      <c r="LEJ48" s="116"/>
      <c r="LEK48" s="116"/>
      <c r="LEL48" s="116"/>
      <c r="LEM48" s="116"/>
      <c r="LEN48" s="116"/>
      <c r="LEO48" s="116"/>
      <c r="LEP48" s="116"/>
      <c r="LEQ48" s="116"/>
      <c r="LER48" s="116"/>
      <c r="LES48" s="116"/>
      <c r="LET48" s="116"/>
      <c r="LEU48" s="116"/>
      <c r="LEV48" s="116"/>
      <c r="LEW48" s="116"/>
      <c r="LEX48" s="116"/>
      <c r="LEY48" s="116"/>
      <c r="LEZ48" s="116"/>
      <c r="LFA48" s="116"/>
      <c r="LFB48" s="116"/>
      <c r="LFC48" s="116"/>
      <c r="LFD48" s="116"/>
      <c r="LFE48" s="116"/>
      <c r="LFF48" s="116"/>
      <c r="LFG48" s="116"/>
      <c r="LFH48" s="116"/>
      <c r="LFI48" s="116"/>
      <c r="LFJ48" s="116"/>
      <c r="LFK48" s="116"/>
      <c r="LFL48" s="116"/>
      <c r="LFM48" s="116"/>
      <c r="LFN48" s="116"/>
      <c r="LFO48" s="116"/>
      <c r="LFP48" s="116"/>
      <c r="LFQ48" s="116"/>
      <c r="LFR48" s="116"/>
      <c r="LFS48" s="116"/>
      <c r="LFT48" s="116"/>
      <c r="LFU48" s="116"/>
      <c r="LFV48" s="116"/>
      <c r="LFW48" s="116"/>
      <c r="LFX48" s="116"/>
      <c r="LFY48" s="116"/>
      <c r="LFZ48" s="116"/>
      <c r="LGA48" s="116"/>
      <c r="LGB48" s="116"/>
      <c r="LGC48" s="116"/>
      <c r="LGD48" s="116"/>
      <c r="LGE48" s="116"/>
      <c r="LGF48" s="116"/>
      <c r="LGG48" s="116"/>
      <c r="LGH48" s="116"/>
      <c r="LGI48" s="116"/>
      <c r="LGJ48" s="116"/>
      <c r="LGK48" s="116"/>
      <c r="LGL48" s="116"/>
      <c r="LGM48" s="116"/>
      <c r="LGN48" s="116"/>
      <c r="LGO48" s="116"/>
      <c r="LGP48" s="116"/>
      <c r="LGQ48" s="116"/>
      <c r="LGR48" s="116"/>
      <c r="LGS48" s="116"/>
      <c r="LGT48" s="116"/>
      <c r="LGU48" s="116"/>
      <c r="LGV48" s="116"/>
      <c r="LGW48" s="116"/>
      <c r="LGX48" s="116"/>
      <c r="LGY48" s="116"/>
      <c r="LGZ48" s="116"/>
      <c r="LHA48" s="116"/>
      <c r="LHB48" s="116"/>
      <c r="LHC48" s="116"/>
      <c r="LHD48" s="116"/>
      <c r="LHE48" s="116"/>
      <c r="LHF48" s="116"/>
      <c r="LHG48" s="116"/>
      <c r="LHH48" s="116"/>
      <c r="LHI48" s="116"/>
      <c r="LHJ48" s="116"/>
      <c r="LHK48" s="116"/>
      <c r="LHL48" s="116"/>
      <c r="LHM48" s="116"/>
      <c r="LHN48" s="116"/>
      <c r="LHO48" s="116"/>
      <c r="LHP48" s="116"/>
      <c r="LHQ48" s="116"/>
      <c r="LHR48" s="116"/>
      <c r="LHS48" s="116"/>
      <c r="LHT48" s="116"/>
      <c r="LHU48" s="116"/>
      <c r="LHV48" s="116"/>
      <c r="LHW48" s="116"/>
      <c r="LHX48" s="116"/>
      <c r="LHY48" s="116"/>
      <c r="LHZ48" s="116"/>
      <c r="LIA48" s="116"/>
      <c r="LIB48" s="116"/>
      <c r="LIC48" s="116"/>
      <c r="LID48" s="116"/>
      <c r="LIE48" s="116"/>
      <c r="LIF48" s="116"/>
      <c r="LIG48" s="116"/>
      <c r="LIH48" s="116"/>
      <c r="LII48" s="116"/>
      <c r="LIJ48" s="116"/>
      <c r="LIK48" s="116"/>
      <c r="LIL48" s="116"/>
      <c r="LIM48" s="116"/>
      <c r="LIN48" s="116"/>
      <c r="LIO48" s="116"/>
      <c r="LIP48" s="116"/>
      <c r="LIQ48" s="116"/>
      <c r="LIR48" s="116"/>
      <c r="LIS48" s="116"/>
      <c r="LIT48" s="116"/>
      <c r="LIU48" s="116"/>
      <c r="LIV48" s="116"/>
      <c r="LIW48" s="116"/>
      <c r="LIX48" s="116"/>
      <c r="LIY48" s="116"/>
      <c r="LIZ48" s="116"/>
      <c r="LJA48" s="116"/>
      <c r="LJB48" s="116"/>
      <c r="LJC48" s="116"/>
      <c r="LJD48" s="116"/>
      <c r="LJE48" s="116"/>
      <c r="LJF48" s="116"/>
      <c r="LJG48" s="116"/>
      <c r="LJH48" s="116"/>
      <c r="LJI48" s="116"/>
      <c r="LJJ48" s="116"/>
      <c r="LJK48" s="116"/>
      <c r="LJL48" s="116"/>
      <c r="LJM48" s="116"/>
      <c r="LJN48" s="116"/>
      <c r="LJO48" s="116"/>
      <c r="LJP48" s="116"/>
      <c r="LJQ48" s="116"/>
      <c r="LJR48" s="116"/>
      <c r="LJS48" s="116"/>
      <c r="LJT48" s="116"/>
      <c r="LJU48" s="116"/>
      <c r="LJV48" s="116"/>
      <c r="LJW48" s="116"/>
      <c r="LJX48" s="116"/>
      <c r="LJY48" s="116"/>
      <c r="LJZ48" s="116"/>
      <c r="LKA48" s="116"/>
      <c r="LKB48" s="116"/>
      <c r="LKC48" s="116"/>
      <c r="LKD48" s="116"/>
      <c r="LKE48" s="116"/>
      <c r="LKF48" s="116"/>
      <c r="LKG48" s="116"/>
      <c r="LKH48" s="116"/>
      <c r="LKI48" s="116"/>
      <c r="LKJ48" s="116"/>
      <c r="LKK48" s="116"/>
      <c r="LKL48" s="116"/>
      <c r="LKM48" s="116"/>
      <c r="LKN48" s="116"/>
      <c r="LKO48" s="116"/>
      <c r="LKP48" s="116"/>
      <c r="LKQ48" s="116"/>
      <c r="LKR48" s="116"/>
      <c r="LKS48" s="116"/>
      <c r="LKT48" s="116"/>
      <c r="LKU48" s="116"/>
      <c r="LKV48" s="116"/>
      <c r="LKW48" s="116"/>
      <c r="LKX48" s="116"/>
      <c r="LKY48" s="116"/>
      <c r="LKZ48" s="116"/>
      <c r="LLA48" s="116"/>
      <c r="LLB48" s="116"/>
      <c r="LLC48" s="116"/>
      <c r="LLD48" s="116"/>
      <c r="LLE48" s="116"/>
      <c r="LLF48" s="116"/>
      <c r="LLG48" s="116"/>
      <c r="LLH48" s="116"/>
      <c r="LLI48" s="116"/>
      <c r="LLJ48" s="116"/>
      <c r="LLK48" s="116"/>
      <c r="LLL48" s="116"/>
      <c r="LLM48" s="116"/>
      <c r="LLN48" s="116"/>
      <c r="LLO48" s="116"/>
      <c r="LLP48" s="116"/>
      <c r="LLQ48" s="116"/>
      <c r="LLR48" s="116"/>
      <c r="LLS48" s="116"/>
      <c r="LLT48" s="116"/>
      <c r="LLU48" s="116"/>
      <c r="LLV48" s="116"/>
      <c r="LLW48" s="116"/>
      <c r="LLX48" s="116"/>
      <c r="LLY48" s="116"/>
      <c r="LLZ48" s="116"/>
      <c r="LMA48" s="116"/>
      <c r="LMB48" s="116"/>
      <c r="LMC48" s="116"/>
      <c r="LMD48" s="116"/>
      <c r="LME48" s="116"/>
      <c r="LMF48" s="116"/>
      <c r="LMG48" s="116"/>
      <c r="LMH48" s="116"/>
      <c r="LMI48" s="116"/>
      <c r="LMJ48" s="116"/>
      <c r="LMK48" s="116"/>
      <c r="LML48" s="116"/>
      <c r="LMM48" s="116"/>
      <c r="LMN48" s="116"/>
      <c r="LMO48" s="116"/>
      <c r="LMP48" s="116"/>
      <c r="LMQ48" s="116"/>
      <c r="LMR48" s="116"/>
      <c r="LMS48" s="116"/>
      <c r="LMT48" s="116"/>
      <c r="LMU48" s="116"/>
      <c r="LMV48" s="116"/>
      <c r="LMW48" s="116"/>
      <c r="LMX48" s="116"/>
      <c r="LMY48" s="116"/>
      <c r="LMZ48" s="116"/>
      <c r="LNA48" s="116"/>
      <c r="LNB48" s="116"/>
      <c r="LNC48" s="116"/>
      <c r="LND48" s="116"/>
      <c r="LNE48" s="116"/>
      <c r="LNF48" s="116"/>
      <c r="LNG48" s="116"/>
      <c r="LNH48" s="116"/>
      <c r="LNI48" s="116"/>
      <c r="LNJ48" s="116"/>
      <c r="LNK48" s="116"/>
      <c r="LNL48" s="116"/>
      <c r="LNM48" s="116"/>
      <c r="LNN48" s="116"/>
      <c r="LNO48" s="116"/>
      <c r="LNP48" s="116"/>
      <c r="LNQ48" s="116"/>
      <c r="LNR48" s="116"/>
      <c r="LNS48" s="116"/>
      <c r="LNT48" s="116"/>
      <c r="LNU48" s="116"/>
      <c r="LNV48" s="116"/>
      <c r="LNW48" s="116"/>
      <c r="LNX48" s="116"/>
      <c r="LNY48" s="116"/>
      <c r="LNZ48" s="116"/>
      <c r="LOA48" s="116"/>
      <c r="LOB48" s="116"/>
      <c r="LOC48" s="116"/>
      <c r="LOD48" s="116"/>
      <c r="LOE48" s="116"/>
      <c r="LOF48" s="116"/>
      <c r="LOG48" s="116"/>
      <c r="LOH48" s="116"/>
      <c r="LOI48" s="116"/>
      <c r="LOJ48" s="116"/>
      <c r="LOK48" s="116"/>
      <c r="LOL48" s="116"/>
      <c r="LOM48" s="116"/>
      <c r="LON48" s="116"/>
      <c r="LOO48" s="116"/>
      <c r="LOP48" s="116"/>
      <c r="LOQ48" s="116"/>
      <c r="LOR48" s="116"/>
      <c r="LOS48" s="116"/>
      <c r="LOT48" s="116"/>
      <c r="LOU48" s="116"/>
      <c r="LOV48" s="116"/>
      <c r="LOW48" s="116"/>
      <c r="LOX48" s="116"/>
      <c r="LOY48" s="116"/>
      <c r="LOZ48" s="116"/>
      <c r="LPA48" s="116"/>
      <c r="LPB48" s="116"/>
      <c r="LPC48" s="116"/>
      <c r="LPD48" s="116"/>
      <c r="LPE48" s="116"/>
      <c r="LPF48" s="116"/>
      <c r="LPG48" s="116"/>
      <c r="LPH48" s="116"/>
      <c r="LPI48" s="116"/>
      <c r="LPJ48" s="116"/>
      <c r="LPK48" s="116"/>
      <c r="LPL48" s="116"/>
      <c r="LPM48" s="116"/>
      <c r="LPN48" s="116"/>
      <c r="LPO48" s="116"/>
      <c r="LPP48" s="116"/>
      <c r="LPQ48" s="116"/>
      <c r="LPR48" s="116"/>
      <c r="LPS48" s="116"/>
      <c r="LPT48" s="116"/>
      <c r="LPU48" s="116"/>
      <c r="LPV48" s="116"/>
      <c r="LPW48" s="116"/>
      <c r="LPX48" s="116"/>
      <c r="LPY48" s="116"/>
      <c r="LPZ48" s="116"/>
      <c r="LQA48" s="116"/>
      <c r="LQB48" s="116"/>
      <c r="LQC48" s="116"/>
      <c r="LQD48" s="116"/>
      <c r="LQE48" s="116"/>
      <c r="LQF48" s="116"/>
      <c r="LQG48" s="116"/>
      <c r="LQH48" s="116"/>
      <c r="LQI48" s="116"/>
      <c r="LQJ48" s="116"/>
      <c r="LQK48" s="116"/>
      <c r="LQL48" s="116"/>
      <c r="LQM48" s="116"/>
      <c r="LQN48" s="116"/>
      <c r="LQO48" s="116"/>
      <c r="LQP48" s="116"/>
      <c r="LQQ48" s="116"/>
      <c r="LQR48" s="116"/>
      <c r="LQS48" s="116"/>
      <c r="LQT48" s="116"/>
      <c r="LQU48" s="116"/>
      <c r="LQV48" s="116"/>
      <c r="LQW48" s="116"/>
      <c r="LQX48" s="116"/>
      <c r="LQY48" s="116"/>
      <c r="LQZ48" s="116"/>
      <c r="LRA48" s="116"/>
      <c r="LRB48" s="116"/>
      <c r="LRC48" s="116"/>
      <c r="LRD48" s="116"/>
      <c r="LRE48" s="116"/>
      <c r="LRF48" s="116"/>
      <c r="LRG48" s="116"/>
      <c r="LRH48" s="116"/>
      <c r="LRI48" s="116"/>
      <c r="LRJ48" s="116"/>
      <c r="LRK48" s="116"/>
      <c r="LRL48" s="116"/>
      <c r="LRM48" s="116"/>
      <c r="LRN48" s="116"/>
      <c r="LRO48" s="116"/>
      <c r="LRP48" s="116"/>
      <c r="LRQ48" s="116"/>
      <c r="LRR48" s="116"/>
      <c r="LRS48" s="116"/>
      <c r="LRT48" s="116"/>
      <c r="LRU48" s="116"/>
      <c r="LRV48" s="116"/>
      <c r="LRW48" s="116"/>
      <c r="LRX48" s="116"/>
      <c r="LRY48" s="116"/>
      <c r="LRZ48" s="116"/>
      <c r="LSA48" s="116"/>
      <c r="LSB48" s="116"/>
      <c r="LSC48" s="116"/>
      <c r="LSD48" s="116"/>
      <c r="LSE48" s="116"/>
      <c r="LSF48" s="116"/>
      <c r="LSG48" s="116"/>
      <c r="LSH48" s="116"/>
      <c r="LSI48" s="116"/>
      <c r="LSJ48" s="116"/>
      <c r="LSK48" s="116"/>
      <c r="LSL48" s="116"/>
      <c r="LSM48" s="116"/>
      <c r="LSN48" s="116"/>
      <c r="LSO48" s="116"/>
      <c r="LSP48" s="116"/>
      <c r="LSQ48" s="116"/>
      <c r="LSR48" s="116"/>
      <c r="LSS48" s="116"/>
      <c r="LST48" s="116"/>
      <c r="LSU48" s="116"/>
      <c r="LSV48" s="116"/>
      <c r="LSW48" s="116"/>
      <c r="LSX48" s="116"/>
      <c r="LSY48" s="116"/>
      <c r="LSZ48" s="116"/>
      <c r="LTA48" s="116"/>
      <c r="LTB48" s="116"/>
      <c r="LTC48" s="116"/>
      <c r="LTD48" s="116"/>
      <c r="LTE48" s="116"/>
      <c r="LTF48" s="116"/>
      <c r="LTG48" s="116"/>
      <c r="LTH48" s="116"/>
      <c r="LTI48" s="116"/>
      <c r="LTJ48" s="116"/>
      <c r="LTK48" s="116"/>
      <c r="LTL48" s="116"/>
      <c r="LTM48" s="116"/>
      <c r="LTN48" s="116"/>
      <c r="LTO48" s="116"/>
      <c r="LTP48" s="116"/>
      <c r="LTQ48" s="116"/>
      <c r="LTR48" s="116"/>
      <c r="LTS48" s="116"/>
      <c r="LTT48" s="116"/>
      <c r="LTU48" s="116"/>
      <c r="LTV48" s="116"/>
      <c r="LTW48" s="116"/>
      <c r="LTX48" s="116"/>
      <c r="LTY48" s="116"/>
      <c r="LTZ48" s="116"/>
      <c r="LUA48" s="116"/>
      <c r="LUB48" s="116"/>
      <c r="LUC48" s="116"/>
      <c r="LUD48" s="116"/>
      <c r="LUE48" s="116"/>
      <c r="LUF48" s="116"/>
      <c r="LUG48" s="116"/>
      <c r="LUH48" s="116"/>
      <c r="LUI48" s="116"/>
      <c r="LUJ48" s="116"/>
      <c r="LUK48" s="116"/>
      <c r="LUL48" s="116"/>
      <c r="LUM48" s="116"/>
      <c r="LUN48" s="116"/>
      <c r="LUO48" s="116"/>
      <c r="LUP48" s="116"/>
      <c r="LUQ48" s="116"/>
      <c r="LUR48" s="116"/>
      <c r="LUS48" s="116"/>
      <c r="LUT48" s="116"/>
      <c r="LUU48" s="116"/>
      <c r="LUV48" s="116"/>
      <c r="LUW48" s="116"/>
      <c r="LUX48" s="116"/>
      <c r="LUY48" s="116"/>
      <c r="LUZ48" s="116"/>
      <c r="LVA48" s="116"/>
      <c r="LVB48" s="116"/>
      <c r="LVC48" s="116"/>
      <c r="LVD48" s="116"/>
      <c r="LVE48" s="116"/>
      <c r="LVF48" s="116"/>
      <c r="LVG48" s="116"/>
      <c r="LVH48" s="116"/>
      <c r="LVI48" s="116"/>
      <c r="LVJ48" s="116"/>
      <c r="LVK48" s="116"/>
      <c r="LVL48" s="116"/>
      <c r="LVM48" s="116"/>
      <c r="LVN48" s="116"/>
      <c r="LVO48" s="116"/>
      <c r="LVP48" s="116"/>
      <c r="LVQ48" s="116"/>
      <c r="LVR48" s="116"/>
      <c r="LVS48" s="116"/>
      <c r="LVT48" s="116"/>
      <c r="LVU48" s="116"/>
      <c r="LVV48" s="116"/>
      <c r="LVW48" s="116"/>
      <c r="LVX48" s="116"/>
      <c r="LVY48" s="116"/>
      <c r="LVZ48" s="116"/>
      <c r="LWA48" s="116"/>
      <c r="LWB48" s="116"/>
      <c r="LWC48" s="116"/>
      <c r="LWD48" s="116"/>
      <c r="LWE48" s="116"/>
      <c r="LWF48" s="116"/>
      <c r="LWG48" s="116"/>
      <c r="LWH48" s="116"/>
      <c r="LWI48" s="116"/>
      <c r="LWJ48" s="116"/>
      <c r="LWK48" s="116"/>
      <c r="LWL48" s="116"/>
      <c r="LWM48" s="116"/>
      <c r="LWN48" s="116"/>
      <c r="LWO48" s="116"/>
      <c r="LWP48" s="116"/>
      <c r="LWQ48" s="116"/>
      <c r="LWR48" s="116"/>
      <c r="LWS48" s="116"/>
      <c r="LWT48" s="116"/>
      <c r="LWU48" s="116"/>
      <c r="LWV48" s="116"/>
      <c r="LWW48" s="116"/>
      <c r="LWX48" s="116"/>
      <c r="LWY48" s="116"/>
      <c r="LWZ48" s="116"/>
      <c r="LXA48" s="116"/>
      <c r="LXB48" s="116"/>
      <c r="LXC48" s="116"/>
      <c r="LXD48" s="116"/>
      <c r="LXE48" s="116"/>
      <c r="LXF48" s="116"/>
      <c r="LXG48" s="116"/>
      <c r="LXH48" s="116"/>
      <c r="LXI48" s="116"/>
      <c r="LXJ48" s="116"/>
      <c r="LXK48" s="116"/>
      <c r="LXL48" s="116"/>
      <c r="LXM48" s="116"/>
      <c r="LXN48" s="116"/>
      <c r="LXO48" s="116"/>
      <c r="LXP48" s="116"/>
      <c r="LXQ48" s="116"/>
      <c r="LXR48" s="116"/>
      <c r="LXS48" s="116"/>
      <c r="LXT48" s="116"/>
      <c r="LXU48" s="116"/>
      <c r="LXV48" s="116"/>
      <c r="LXW48" s="116"/>
      <c r="LXX48" s="116"/>
      <c r="LXY48" s="116"/>
      <c r="LXZ48" s="116"/>
      <c r="LYA48" s="116"/>
      <c r="LYB48" s="116"/>
      <c r="LYC48" s="116"/>
      <c r="LYD48" s="116"/>
      <c r="LYE48" s="116"/>
      <c r="LYF48" s="116"/>
      <c r="LYG48" s="116"/>
      <c r="LYH48" s="116"/>
      <c r="LYI48" s="116"/>
      <c r="LYJ48" s="116"/>
      <c r="LYK48" s="116"/>
      <c r="LYL48" s="116"/>
      <c r="LYM48" s="116"/>
      <c r="LYN48" s="116"/>
      <c r="LYO48" s="116"/>
      <c r="LYP48" s="116"/>
      <c r="LYQ48" s="116"/>
      <c r="LYR48" s="116"/>
      <c r="LYS48" s="116"/>
      <c r="LYT48" s="116"/>
      <c r="LYU48" s="116"/>
      <c r="LYV48" s="116"/>
      <c r="LYW48" s="116"/>
      <c r="LYX48" s="116"/>
      <c r="LYY48" s="116"/>
      <c r="LYZ48" s="116"/>
      <c r="LZA48" s="116"/>
      <c r="LZB48" s="116"/>
      <c r="LZC48" s="116"/>
      <c r="LZD48" s="116"/>
      <c r="LZE48" s="116"/>
      <c r="LZF48" s="116"/>
      <c r="LZG48" s="116"/>
      <c r="LZH48" s="116"/>
      <c r="LZI48" s="116"/>
      <c r="LZJ48" s="116"/>
      <c r="LZK48" s="116"/>
      <c r="LZL48" s="116"/>
      <c r="LZM48" s="116"/>
      <c r="LZN48" s="116"/>
      <c r="LZO48" s="116"/>
      <c r="LZP48" s="116"/>
      <c r="LZQ48" s="116"/>
      <c r="LZR48" s="116"/>
      <c r="LZS48" s="116"/>
      <c r="LZT48" s="116"/>
      <c r="LZU48" s="116"/>
      <c r="LZV48" s="116"/>
      <c r="LZW48" s="116"/>
      <c r="LZX48" s="116"/>
      <c r="LZY48" s="116"/>
      <c r="LZZ48" s="116"/>
      <c r="MAA48" s="116"/>
      <c r="MAB48" s="116"/>
      <c r="MAC48" s="116"/>
      <c r="MAD48" s="116"/>
      <c r="MAE48" s="116"/>
      <c r="MAF48" s="116"/>
      <c r="MAG48" s="116"/>
      <c r="MAH48" s="116"/>
      <c r="MAI48" s="116"/>
      <c r="MAJ48" s="116"/>
      <c r="MAK48" s="116"/>
      <c r="MAL48" s="116"/>
      <c r="MAM48" s="116"/>
      <c r="MAN48" s="116"/>
      <c r="MAO48" s="116"/>
      <c r="MAP48" s="116"/>
      <c r="MAQ48" s="116"/>
      <c r="MAR48" s="116"/>
      <c r="MAS48" s="116"/>
      <c r="MAT48" s="116"/>
      <c r="MAU48" s="116"/>
      <c r="MAV48" s="116"/>
      <c r="MAW48" s="116"/>
      <c r="MAX48" s="116"/>
      <c r="MAY48" s="116"/>
      <c r="MAZ48" s="116"/>
      <c r="MBA48" s="116"/>
      <c r="MBB48" s="116"/>
      <c r="MBC48" s="116"/>
      <c r="MBD48" s="116"/>
      <c r="MBE48" s="116"/>
      <c r="MBF48" s="116"/>
      <c r="MBG48" s="116"/>
      <c r="MBH48" s="116"/>
      <c r="MBI48" s="116"/>
      <c r="MBJ48" s="116"/>
      <c r="MBK48" s="116"/>
      <c r="MBL48" s="116"/>
      <c r="MBM48" s="116"/>
      <c r="MBN48" s="116"/>
      <c r="MBO48" s="116"/>
      <c r="MBP48" s="116"/>
      <c r="MBQ48" s="116"/>
      <c r="MBR48" s="116"/>
      <c r="MBS48" s="116"/>
      <c r="MBT48" s="116"/>
      <c r="MBU48" s="116"/>
      <c r="MBV48" s="116"/>
      <c r="MBW48" s="116"/>
      <c r="MBX48" s="116"/>
      <c r="MBY48" s="116"/>
      <c r="MBZ48" s="116"/>
      <c r="MCA48" s="116"/>
      <c r="MCB48" s="116"/>
      <c r="MCC48" s="116"/>
      <c r="MCD48" s="116"/>
      <c r="MCE48" s="116"/>
      <c r="MCF48" s="116"/>
      <c r="MCG48" s="116"/>
      <c r="MCH48" s="116"/>
      <c r="MCI48" s="116"/>
      <c r="MCJ48" s="116"/>
      <c r="MCK48" s="116"/>
      <c r="MCL48" s="116"/>
      <c r="MCM48" s="116"/>
      <c r="MCN48" s="116"/>
      <c r="MCO48" s="116"/>
      <c r="MCP48" s="116"/>
      <c r="MCQ48" s="116"/>
      <c r="MCR48" s="116"/>
      <c r="MCS48" s="116"/>
      <c r="MCT48" s="116"/>
      <c r="MCU48" s="116"/>
      <c r="MCV48" s="116"/>
      <c r="MCW48" s="116"/>
      <c r="MCX48" s="116"/>
      <c r="MCY48" s="116"/>
      <c r="MCZ48" s="116"/>
      <c r="MDA48" s="116"/>
      <c r="MDB48" s="116"/>
      <c r="MDC48" s="116"/>
      <c r="MDD48" s="116"/>
      <c r="MDE48" s="116"/>
      <c r="MDF48" s="116"/>
      <c r="MDG48" s="116"/>
      <c r="MDH48" s="116"/>
      <c r="MDI48" s="116"/>
      <c r="MDJ48" s="116"/>
      <c r="MDK48" s="116"/>
      <c r="MDL48" s="116"/>
      <c r="MDM48" s="116"/>
      <c r="MDN48" s="116"/>
      <c r="MDO48" s="116"/>
      <c r="MDP48" s="116"/>
      <c r="MDQ48" s="116"/>
      <c r="MDR48" s="116"/>
      <c r="MDS48" s="116"/>
      <c r="MDT48" s="116"/>
      <c r="MDU48" s="116"/>
      <c r="MDV48" s="116"/>
      <c r="MDW48" s="116"/>
      <c r="MDX48" s="116"/>
      <c r="MDY48" s="116"/>
      <c r="MDZ48" s="116"/>
      <c r="MEA48" s="116"/>
      <c r="MEB48" s="116"/>
      <c r="MEC48" s="116"/>
      <c r="MED48" s="116"/>
      <c r="MEE48" s="116"/>
      <c r="MEF48" s="116"/>
      <c r="MEG48" s="116"/>
      <c r="MEH48" s="116"/>
      <c r="MEI48" s="116"/>
      <c r="MEJ48" s="116"/>
      <c r="MEK48" s="116"/>
      <c r="MEL48" s="116"/>
      <c r="MEM48" s="116"/>
      <c r="MEN48" s="116"/>
      <c r="MEO48" s="116"/>
      <c r="MEP48" s="116"/>
      <c r="MEQ48" s="116"/>
      <c r="MER48" s="116"/>
      <c r="MES48" s="116"/>
      <c r="MET48" s="116"/>
      <c r="MEU48" s="116"/>
      <c r="MEV48" s="116"/>
      <c r="MEW48" s="116"/>
      <c r="MEX48" s="116"/>
      <c r="MEY48" s="116"/>
      <c r="MEZ48" s="116"/>
      <c r="MFA48" s="116"/>
      <c r="MFB48" s="116"/>
      <c r="MFC48" s="116"/>
      <c r="MFD48" s="116"/>
      <c r="MFE48" s="116"/>
      <c r="MFF48" s="116"/>
      <c r="MFG48" s="116"/>
      <c r="MFH48" s="116"/>
      <c r="MFI48" s="116"/>
      <c r="MFJ48" s="116"/>
      <c r="MFK48" s="116"/>
      <c r="MFL48" s="116"/>
      <c r="MFM48" s="116"/>
      <c r="MFN48" s="116"/>
      <c r="MFO48" s="116"/>
      <c r="MFP48" s="116"/>
      <c r="MFQ48" s="116"/>
      <c r="MFR48" s="116"/>
      <c r="MFS48" s="116"/>
      <c r="MFT48" s="116"/>
      <c r="MFU48" s="116"/>
      <c r="MFV48" s="116"/>
      <c r="MFW48" s="116"/>
      <c r="MFX48" s="116"/>
      <c r="MFY48" s="116"/>
      <c r="MFZ48" s="116"/>
      <c r="MGA48" s="116"/>
      <c r="MGB48" s="116"/>
      <c r="MGC48" s="116"/>
      <c r="MGD48" s="116"/>
      <c r="MGE48" s="116"/>
      <c r="MGF48" s="116"/>
      <c r="MGG48" s="116"/>
      <c r="MGH48" s="116"/>
      <c r="MGI48" s="116"/>
      <c r="MGJ48" s="116"/>
      <c r="MGK48" s="116"/>
      <c r="MGL48" s="116"/>
      <c r="MGM48" s="116"/>
      <c r="MGN48" s="116"/>
      <c r="MGO48" s="116"/>
      <c r="MGP48" s="116"/>
      <c r="MGQ48" s="116"/>
      <c r="MGR48" s="116"/>
      <c r="MGS48" s="116"/>
      <c r="MGT48" s="116"/>
      <c r="MGU48" s="116"/>
      <c r="MGV48" s="116"/>
      <c r="MGW48" s="116"/>
      <c r="MGX48" s="116"/>
      <c r="MGY48" s="116"/>
      <c r="MGZ48" s="116"/>
      <c r="MHA48" s="116"/>
      <c r="MHB48" s="116"/>
      <c r="MHC48" s="116"/>
      <c r="MHD48" s="116"/>
      <c r="MHE48" s="116"/>
      <c r="MHF48" s="116"/>
      <c r="MHG48" s="116"/>
      <c r="MHH48" s="116"/>
      <c r="MHI48" s="116"/>
      <c r="MHJ48" s="116"/>
      <c r="MHK48" s="116"/>
      <c r="MHL48" s="116"/>
      <c r="MHM48" s="116"/>
      <c r="MHN48" s="116"/>
      <c r="MHO48" s="116"/>
      <c r="MHP48" s="116"/>
      <c r="MHQ48" s="116"/>
      <c r="MHR48" s="116"/>
      <c r="MHS48" s="116"/>
      <c r="MHT48" s="116"/>
      <c r="MHU48" s="116"/>
      <c r="MHV48" s="116"/>
      <c r="MHW48" s="116"/>
      <c r="MHX48" s="116"/>
      <c r="MHY48" s="116"/>
      <c r="MHZ48" s="116"/>
      <c r="MIA48" s="116"/>
      <c r="MIB48" s="116"/>
      <c r="MIC48" s="116"/>
      <c r="MID48" s="116"/>
      <c r="MIE48" s="116"/>
      <c r="MIF48" s="116"/>
      <c r="MIG48" s="116"/>
      <c r="MIH48" s="116"/>
      <c r="MII48" s="116"/>
      <c r="MIJ48" s="116"/>
      <c r="MIK48" s="116"/>
      <c r="MIL48" s="116"/>
      <c r="MIM48" s="116"/>
      <c r="MIN48" s="116"/>
      <c r="MIO48" s="116"/>
      <c r="MIP48" s="116"/>
      <c r="MIQ48" s="116"/>
      <c r="MIR48" s="116"/>
      <c r="MIS48" s="116"/>
      <c r="MIT48" s="116"/>
      <c r="MIU48" s="116"/>
      <c r="MIV48" s="116"/>
      <c r="MIW48" s="116"/>
      <c r="MIX48" s="116"/>
      <c r="MIY48" s="116"/>
      <c r="MIZ48" s="116"/>
      <c r="MJA48" s="116"/>
      <c r="MJB48" s="116"/>
      <c r="MJC48" s="116"/>
      <c r="MJD48" s="116"/>
      <c r="MJE48" s="116"/>
      <c r="MJF48" s="116"/>
      <c r="MJG48" s="116"/>
      <c r="MJH48" s="116"/>
      <c r="MJI48" s="116"/>
      <c r="MJJ48" s="116"/>
      <c r="MJK48" s="116"/>
      <c r="MJL48" s="116"/>
      <c r="MJM48" s="116"/>
      <c r="MJN48" s="116"/>
      <c r="MJO48" s="116"/>
      <c r="MJP48" s="116"/>
      <c r="MJQ48" s="116"/>
      <c r="MJR48" s="116"/>
      <c r="MJS48" s="116"/>
      <c r="MJT48" s="116"/>
      <c r="MJU48" s="116"/>
      <c r="MJV48" s="116"/>
      <c r="MJW48" s="116"/>
      <c r="MJX48" s="116"/>
      <c r="MJY48" s="116"/>
      <c r="MJZ48" s="116"/>
      <c r="MKA48" s="116"/>
      <c r="MKB48" s="116"/>
      <c r="MKC48" s="116"/>
      <c r="MKD48" s="116"/>
      <c r="MKE48" s="116"/>
      <c r="MKF48" s="116"/>
      <c r="MKG48" s="116"/>
      <c r="MKH48" s="116"/>
      <c r="MKI48" s="116"/>
      <c r="MKJ48" s="116"/>
      <c r="MKK48" s="116"/>
      <c r="MKL48" s="116"/>
      <c r="MKM48" s="116"/>
      <c r="MKN48" s="116"/>
      <c r="MKO48" s="116"/>
      <c r="MKP48" s="116"/>
      <c r="MKQ48" s="116"/>
      <c r="MKR48" s="116"/>
      <c r="MKS48" s="116"/>
      <c r="MKT48" s="116"/>
      <c r="MKU48" s="116"/>
      <c r="MKV48" s="116"/>
      <c r="MKW48" s="116"/>
      <c r="MKX48" s="116"/>
      <c r="MKY48" s="116"/>
      <c r="MKZ48" s="116"/>
      <c r="MLA48" s="116"/>
      <c r="MLB48" s="116"/>
      <c r="MLC48" s="116"/>
      <c r="MLD48" s="116"/>
      <c r="MLE48" s="116"/>
      <c r="MLF48" s="116"/>
      <c r="MLG48" s="116"/>
      <c r="MLH48" s="116"/>
      <c r="MLI48" s="116"/>
      <c r="MLJ48" s="116"/>
      <c r="MLK48" s="116"/>
      <c r="MLL48" s="116"/>
      <c r="MLM48" s="116"/>
      <c r="MLN48" s="116"/>
      <c r="MLO48" s="116"/>
      <c r="MLP48" s="116"/>
      <c r="MLQ48" s="116"/>
      <c r="MLR48" s="116"/>
      <c r="MLS48" s="116"/>
      <c r="MLT48" s="116"/>
      <c r="MLU48" s="116"/>
      <c r="MLV48" s="116"/>
      <c r="MLW48" s="116"/>
      <c r="MLX48" s="116"/>
      <c r="MLY48" s="116"/>
      <c r="MLZ48" s="116"/>
      <c r="MMA48" s="116"/>
      <c r="MMB48" s="116"/>
      <c r="MMC48" s="116"/>
      <c r="MMD48" s="116"/>
      <c r="MME48" s="116"/>
      <c r="MMF48" s="116"/>
      <c r="MMG48" s="116"/>
      <c r="MMH48" s="116"/>
      <c r="MMI48" s="116"/>
      <c r="MMJ48" s="116"/>
      <c r="MMK48" s="116"/>
      <c r="MML48" s="116"/>
      <c r="MMM48" s="116"/>
      <c r="MMN48" s="116"/>
      <c r="MMO48" s="116"/>
      <c r="MMP48" s="116"/>
      <c r="MMQ48" s="116"/>
      <c r="MMR48" s="116"/>
      <c r="MMS48" s="116"/>
      <c r="MMT48" s="116"/>
      <c r="MMU48" s="116"/>
      <c r="MMV48" s="116"/>
      <c r="MMW48" s="116"/>
      <c r="MMX48" s="116"/>
      <c r="MMY48" s="116"/>
      <c r="MMZ48" s="116"/>
      <c r="MNA48" s="116"/>
      <c r="MNB48" s="116"/>
      <c r="MNC48" s="116"/>
      <c r="MND48" s="116"/>
      <c r="MNE48" s="116"/>
      <c r="MNF48" s="116"/>
      <c r="MNG48" s="116"/>
      <c r="MNH48" s="116"/>
      <c r="MNI48" s="116"/>
      <c r="MNJ48" s="116"/>
      <c r="MNK48" s="116"/>
      <c r="MNL48" s="116"/>
      <c r="MNM48" s="116"/>
      <c r="MNN48" s="116"/>
      <c r="MNO48" s="116"/>
      <c r="MNP48" s="116"/>
      <c r="MNQ48" s="116"/>
      <c r="MNR48" s="116"/>
      <c r="MNS48" s="116"/>
      <c r="MNT48" s="116"/>
      <c r="MNU48" s="116"/>
      <c r="MNV48" s="116"/>
      <c r="MNW48" s="116"/>
      <c r="MNX48" s="116"/>
      <c r="MNY48" s="116"/>
      <c r="MNZ48" s="116"/>
      <c r="MOA48" s="116"/>
      <c r="MOB48" s="116"/>
      <c r="MOC48" s="116"/>
      <c r="MOD48" s="116"/>
      <c r="MOE48" s="116"/>
      <c r="MOF48" s="116"/>
      <c r="MOG48" s="116"/>
      <c r="MOH48" s="116"/>
      <c r="MOI48" s="116"/>
      <c r="MOJ48" s="116"/>
      <c r="MOK48" s="116"/>
      <c r="MOL48" s="116"/>
      <c r="MOM48" s="116"/>
      <c r="MON48" s="116"/>
      <c r="MOO48" s="116"/>
      <c r="MOP48" s="116"/>
      <c r="MOQ48" s="116"/>
      <c r="MOR48" s="116"/>
      <c r="MOS48" s="116"/>
      <c r="MOT48" s="116"/>
      <c r="MOU48" s="116"/>
      <c r="MOV48" s="116"/>
      <c r="MOW48" s="116"/>
      <c r="MOX48" s="116"/>
      <c r="MOY48" s="116"/>
      <c r="MOZ48" s="116"/>
      <c r="MPA48" s="116"/>
      <c r="MPB48" s="116"/>
      <c r="MPC48" s="116"/>
      <c r="MPD48" s="116"/>
      <c r="MPE48" s="116"/>
      <c r="MPF48" s="116"/>
      <c r="MPG48" s="116"/>
      <c r="MPH48" s="116"/>
      <c r="MPI48" s="116"/>
      <c r="MPJ48" s="116"/>
      <c r="MPK48" s="116"/>
      <c r="MPL48" s="116"/>
      <c r="MPM48" s="116"/>
      <c r="MPN48" s="116"/>
      <c r="MPO48" s="116"/>
      <c r="MPP48" s="116"/>
      <c r="MPQ48" s="116"/>
      <c r="MPR48" s="116"/>
      <c r="MPS48" s="116"/>
      <c r="MPT48" s="116"/>
      <c r="MPU48" s="116"/>
      <c r="MPV48" s="116"/>
      <c r="MPW48" s="116"/>
      <c r="MPX48" s="116"/>
      <c r="MPY48" s="116"/>
      <c r="MPZ48" s="116"/>
      <c r="MQA48" s="116"/>
      <c r="MQB48" s="116"/>
      <c r="MQC48" s="116"/>
      <c r="MQD48" s="116"/>
      <c r="MQE48" s="116"/>
      <c r="MQF48" s="116"/>
      <c r="MQG48" s="116"/>
      <c r="MQH48" s="116"/>
      <c r="MQI48" s="116"/>
      <c r="MQJ48" s="116"/>
      <c r="MQK48" s="116"/>
      <c r="MQL48" s="116"/>
      <c r="MQM48" s="116"/>
      <c r="MQN48" s="116"/>
      <c r="MQO48" s="116"/>
      <c r="MQP48" s="116"/>
      <c r="MQQ48" s="116"/>
      <c r="MQR48" s="116"/>
      <c r="MQS48" s="116"/>
      <c r="MQT48" s="116"/>
      <c r="MQU48" s="116"/>
      <c r="MQV48" s="116"/>
      <c r="MQW48" s="116"/>
      <c r="MQX48" s="116"/>
      <c r="MQY48" s="116"/>
      <c r="MQZ48" s="116"/>
      <c r="MRA48" s="116"/>
      <c r="MRB48" s="116"/>
      <c r="MRC48" s="116"/>
      <c r="MRD48" s="116"/>
      <c r="MRE48" s="116"/>
      <c r="MRF48" s="116"/>
      <c r="MRG48" s="116"/>
      <c r="MRH48" s="116"/>
      <c r="MRI48" s="116"/>
      <c r="MRJ48" s="116"/>
      <c r="MRK48" s="116"/>
      <c r="MRL48" s="116"/>
      <c r="MRM48" s="116"/>
      <c r="MRN48" s="116"/>
      <c r="MRO48" s="116"/>
      <c r="MRP48" s="116"/>
      <c r="MRQ48" s="116"/>
      <c r="MRR48" s="116"/>
      <c r="MRS48" s="116"/>
      <c r="MRT48" s="116"/>
      <c r="MRU48" s="116"/>
      <c r="MRV48" s="116"/>
      <c r="MRW48" s="116"/>
      <c r="MRX48" s="116"/>
      <c r="MRY48" s="116"/>
      <c r="MRZ48" s="116"/>
      <c r="MSA48" s="116"/>
      <c r="MSB48" s="116"/>
      <c r="MSC48" s="116"/>
      <c r="MSD48" s="116"/>
      <c r="MSE48" s="116"/>
      <c r="MSF48" s="116"/>
      <c r="MSG48" s="116"/>
      <c r="MSH48" s="116"/>
      <c r="MSI48" s="116"/>
      <c r="MSJ48" s="116"/>
      <c r="MSK48" s="116"/>
      <c r="MSL48" s="116"/>
      <c r="MSM48" s="116"/>
      <c r="MSN48" s="116"/>
      <c r="MSO48" s="116"/>
      <c r="MSP48" s="116"/>
      <c r="MSQ48" s="116"/>
      <c r="MSR48" s="116"/>
      <c r="MSS48" s="116"/>
      <c r="MST48" s="116"/>
      <c r="MSU48" s="116"/>
      <c r="MSV48" s="116"/>
      <c r="MSW48" s="116"/>
      <c r="MSX48" s="116"/>
      <c r="MSY48" s="116"/>
      <c r="MSZ48" s="116"/>
      <c r="MTA48" s="116"/>
      <c r="MTB48" s="116"/>
      <c r="MTC48" s="116"/>
      <c r="MTD48" s="116"/>
      <c r="MTE48" s="116"/>
      <c r="MTF48" s="116"/>
      <c r="MTG48" s="116"/>
      <c r="MTH48" s="116"/>
      <c r="MTI48" s="116"/>
      <c r="MTJ48" s="116"/>
      <c r="MTK48" s="116"/>
      <c r="MTL48" s="116"/>
      <c r="MTM48" s="116"/>
      <c r="MTN48" s="116"/>
      <c r="MTO48" s="116"/>
      <c r="MTP48" s="116"/>
      <c r="MTQ48" s="116"/>
      <c r="MTR48" s="116"/>
      <c r="MTS48" s="116"/>
      <c r="MTT48" s="116"/>
      <c r="MTU48" s="116"/>
      <c r="MTV48" s="116"/>
      <c r="MTW48" s="116"/>
      <c r="MTX48" s="116"/>
      <c r="MTY48" s="116"/>
      <c r="MTZ48" s="116"/>
      <c r="MUA48" s="116"/>
      <c r="MUB48" s="116"/>
      <c r="MUC48" s="116"/>
      <c r="MUD48" s="116"/>
      <c r="MUE48" s="116"/>
      <c r="MUF48" s="116"/>
      <c r="MUG48" s="116"/>
      <c r="MUH48" s="116"/>
      <c r="MUI48" s="116"/>
      <c r="MUJ48" s="116"/>
      <c r="MUK48" s="116"/>
      <c r="MUL48" s="116"/>
      <c r="MUM48" s="116"/>
      <c r="MUN48" s="116"/>
      <c r="MUO48" s="116"/>
      <c r="MUP48" s="116"/>
      <c r="MUQ48" s="116"/>
      <c r="MUR48" s="116"/>
      <c r="MUS48" s="116"/>
      <c r="MUT48" s="116"/>
      <c r="MUU48" s="116"/>
      <c r="MUV48" s="116"/>
      <c r="MUW48" s="116"/>
      <c r="MUX48" s="116"/>
      <c r="MUY48" s="116"/>
      <c r="MUZ48" s="116"/>
      <c r="MVA48" s="116"/>
      <c r="MVB48" s="116"/>
      <c r="MVC48" s="116"/>
      <c r="MVD48" s="116"/>
      <c r="MVE48" s="116"/>
      <c r="MVF48" s="116"/>
      <c r="MVG48" s="116"/>
      <c r="MVH48" s="116"/>
      <c r="MVI48" s="116"/>
      <c r="MVJ48" s="116"/>
      <c r="MVK48" s="116"/>
      <c r="MVL48" s="116"/>
      <c r="MVM48" s="116"/>
      <c r="MVN48" s="116"/>
      <c r="MVO48" s="116"/>
      <c r="MVP48" s="116"/>
      <c r="MVQ48" s="116"/>
      <c r="MVR48" s="116"/>
      <c r="MVS48" s="116"/>
      <c r="MVT48" s="116"/>
      <c r="MVU48" s="116"/>
      <c r="MVV48" s="116"/>
      <c r="MVW48" s="116"/>
      <c r="MVX48" s="116"/>
      <c r="MVY48" s="116"/>
      <c r="MVZ48" s="116"/>
      <c r="MWA48" s="116"/>
      <c r="MWB48" s="116"/>
      <c r="MWC48" s="116"/>
      <c r="MWD48" s="116"/>
      <c r="MWE48" s="116"/>
      <c r="MWF48" s="116"/>
      <c r="MWG48" s="116"/>
      <c r="MWH48" s="116"/>
      <c r="MWI48" s="116"/>
      <c r="MWJ48" s="116"/>
      <c r="MWK48" s="116"/>
      <c r="MWL48" s="116"/>
      <c r="MWM48" s="116"/>
      <c r="MWN48" s="116"/>
      <c r="MWO48" s="116"/>
      <c r="MWP48" s="116"/>
      <c r="MWQ48" s="116"/>
      <c r="MWR48" s="116"/>
      <c r="MWS48" s="116"/>
      <c r="MWT48" s="116"/>
      <c r="MWU48" s="116"/>
      <c r="MWV48" s="116"/>
      <c r="MWW48" s="116"/>
      <c r="MWX48" s="116"/>
      <c r="MWY48" s="116"/>
      <c r="MWZ48" s="116"/>
      <c r="MXA48" s="116"/>
      <c r="MXB48" s="116"/>
      <c r="MXC48" s="116"/>
      <c r="MXD48" s="116"/>
      <c r="MXE48" s="116"/>
      <c r="MXF48" s="116"/>
      <c r="MXG48" s="116"/>
      <c r="MXH48" s="116"/>
      <c r="MXI48" s="116"/>
      <c r="MXJ48" s="116"/>
      <c r="MXK48" s="116"/>
      <c r="MXL48" s="116"/>
      <c r="MXM48" s="116"/>
      <c r="MXN48" s="116"/>
      <c r="MXO48" s="116"/>
      <c r="MXP48" s="116"/>
      <c r="MXQ48" s="116"/>
      <c r="MXR48" s="116"/>
      <c r="MXS48" s="116"/>
      <c r="MXT48" s="116"/>
      <c r="MXU48" s="116"/>
      <c r="MXV48" s="116"/>
      <c r="MXW48" s="116"/>
      <c r="MXX48" s="116"/>
      <c r="MXY48" s="116"/>
      <c r="MXZ48" s="116"/>
      <c r="MYA48" s="116"/>
      <c r="MYB48" s="116"/>
      <c r="MYC48" s="116"/>
      <c r="MYD48" s="116"/>
      <c r="MYE48" s="116"/>
      <c r="MYF48" s="116"/>
      <c r="MYG48" s="116"/>
      <c r="MYH48" s="116"/>
      <c r="MYI48" s="116"/>
      <c r="MYJ48" s="116"/>
      <c r="MYK48" s="116"/>
      <c r="MYL48" s="116"/>
      <c r="MYM48" s="116"/>
      <c r="MYN48" s="116"/>
      <c r="MYO48" s="116"/>
      <c r="MYP48" s="116"/>
      <c r="MYQ48" s="116"/>
      <c r="MYR48" s="116"/>
      <c r="MYS48" s="116"/>
      <c r="MYT48" s="116"/>
      <c r="MYU48" s="116"/>
      <c r="MYV48" s="116"/>
      <c r="MYW48" s="116"/>
      <c r="MYX48" s="116"/>
      <c r="MYY48" s="116"/>
      <c r="MYZ48" s="116"/>
      <c r="MZA48" s="116"/>
      <c r="MZB48" s="116"/>
      <c r="MZC48" s="116"/>
      <c r="MZD48" s="116"/>
      <c r="MZE48" s="116"/>
      <c r="MZF48" s="116"/>
      <c r="MZG48" s="116"/>
      <c r="MZH48" s="116"/>
      <c r="MZI48" s="116"/>
      <c r="MZJ48" s="116"/>
      <c r="MZK48" s="116"/>
      <c r="MZL48" s="116"/>
      <c r="MZM48" s="116"/>
      <c r="MZN48" s="116"/>
      <c r="MZO48" s="116"/>
      <c r="MZP48" s="116"/>
      <c r="MZQ48" s="116"/>
      <c r="MZR48" s="116"/>
      <c r="MZS48" s="116"/>
      <c r="MZT48" s="116"/>
      <c r="MZU48" s="116"/>
      <c r="MZV48" s="116"/>
      <c r="MZW48" s="116"/>
      <c r="MZX48" s="116"/>
      <c r="MZY48" s="116"/>
      <c r="MZZ48" s="116"/>
      <c r="NAA48" s="116"/>
      <c r="NAB48" s="116"/>
      <c r="NAC48" s="116"/>
      <c r="NAD48" s="116"/>
      <c r="NAE48" s="116"/>
      <c r="NAF48" s="116"/>
      <c r="NAG48" s="116"/>
      <c r="NAH48" s="116"/>
      <c r="NAI48" s="116"/>
      <c r="NAJ48" s="116"/>
      <c r="NAK48" s="116"/>
      <c r="NAL48" s="116"/>
      <c r="NAM48" s="116"/>
      <c r="NAN48" s="116"/>
      <c r="NAO48" s="116"/>
      <c r="NAP48" s="116"/>
      <c r="NAQ48" s="116"/>
      <c r="NAR48" s="116"/>
      <c r="NAS48" s="116"/>
      <c r="NAT48" s="116"/>
      <c r="NAU48" s="116"/>
      <c r="NAV48" s="116"/>
      <c r="NAW48" s="116"/>
      <c r="NAX48" s="116"/>
      <c r="NAY48" s="116"/>
      <c r="NAZ48" s="116"/>
      <c r="NBA48" s="116"/>
      <c r="NBB48" s="116"/>
      <c r="NBC48" s="116"/>
      <c r="NBD48" s="116"/>
      <c r="NBE48" s="116"/>
      <c r="NBF48" s="116"/>
      <c r="NBG48" s="116"/>
      <c r="NBH48" s="116"/>
      <c r="NBI48" s="116"/>
      <c r="NBJ48" s="116"/>
      <c r="NBK48" s="116"/>
      <c r="NBL48" s="116"/>
      <c r="NBM48" s="116"/>
      <c r="NBN48" s="116"/>
      <c r="NBO48" s="116"/>
      <c r="NBP48" s="116"/>
      <c r="NBQ48" s="116"/>
      <c r="NBR48" s="116"/>
      <c r="NBS48" s="116"/>
      <c r="NBT48" s="116"/>
      <c r="NBU48" s="116"/>
      <c r="NBV48" s="116"/>
      <c r="NBW48" s="116"/>
      <c r="NBX48" s="116"/>
      <c r="NBY48" s="116"/>
      <c r="NBZ48" s="116"/>
      <c r="NCA48" s="116"/>
      <c r="NCB48" s="116"/>
      <c r="NCC48" s="116"/>
      <c r="NCD48" s="116"/>
      <c r="NCE48" s="116"/>
      <c r="NCF48" s="116"/>
      <c r="NCG48" s="116"/>
      <c r="NCH48" s="116"/>
      <c r="NCI48" s="116"/>
      <c r="NCJ48" s="116"/>
      <c r="NCK48" s="116"/>
      <c r="NCL48" s="116"/>
      <c r="NCM48" s="116"/>
      <c r="NCN48" s="116"/>
      <c r="NCO48" s="116"/>
      <c r="NCP48" s="116"/>
      <c r="NCQ48" s="116"/>
      <c r="NCR48" s="116"/>
      <c r="NCS48" s="116"/>
      <c r="NCT48" s="116"/>
      <c r="NCU48" s="116"/>
      <c r="NCV48" s="116"/>
      <c r="NCW48" s="116"/>
      <c r="NCX48" s="116"/>
      <c r="NCY48" s="116"/>
      <c r="NCZ48" s="116"/>
      <c r="NDA48" s="116"/>
      <c r="NDB48" s="116"/>
      <c r="NDC48" s="116"/>
      <c r="NDD48" s="116"/>
      <c r="NDE48" s="116"/>
      <c r="NDF48" s="116"/>
      <c r="NDG48" s="116"/>
      <c r="NDH48" s="116"/>
      <c r="NDI48" s="116"/>
      <c r="NDJ48" s="116"/>
      <c r="NDK48" s="116"/>
      <c r="NDL48" s="116"/>
      <c r="NDM48" s="116"/>
      <c r="NDN48" s="116"/>
      <c r="NDO48" s="116"/>
      <c r="NDP48" s="116"/>
      <c r="NDQ48" s="116"/>
      <c r="NDR48" s="116"/>
      <c r="NDS48" s="116"/>
      <c r="NDT48" s="116"/>
      <c r="NDU48" s="116"/>
      <c r="NDV48" s="116"/>
      <c r="NDW48" s="116"/>
      <c r="NDX48" s="116"/>
      <c r="NDY48" s="116"/>
      <c r="NDZ48" s="116"/>
      <c r="NEA48" s="116"/>
      <c r="NEB48" s="116"/>
      <c r="NEC48" s="116"/>
      <c r="NED48" s="116"/>
      <c r="NEE48" s="116"/>
      <c r="NEF48" s="116"/>
      <c r="NEG48" s="116"/>
      <c r="NEH48" s="116"/>
      <c r="NEI48" s="116"/>
      <c r="NEJ48" s="116"/>
      <c r="NEK48" s="116"/>
      <c r="NEL48" s="116"/>
      <c r="NEM48" s="116"/>
      <c r="NEN48" s="116"/>
      <c r="NEO48" s="116"/>
      <c r="NEP48" s="116"/>
      <c r="NEQ48" s="116"/>
      <c r="NER48" s="116"/>
      <c r="NES48" s="116"/>
      <c r="NET48" s="116"/>
      <c r="NEU48" s="116"/>
      <c r="NEV48" s="116"/>
      <c r="NEW48" s="116"/>
      <c r="NEX48" s="116"/>
      <c r="NEY48" s="116"/>
      <c r="NEZ48" s="116"/>
      <c r="NFA48" s="116"/>
      <c r="NFB48" s="116"/>
      <c r="NFC48" s="116"/>
      <c r="NFD48" s="116"/>
      <c r="NFE48" s="116"/>
      <c r="NFF48" s="116"/>
      <c r="NFG48" s="116"/>
      <c r="NFH48" s="116"/>
      <c r="NFI48" s="116"/>
      <c r="NFJ48" s="116"/>
      <c r="NFK48" s="116"/>
      <c r="NFL48" s="116"/>
      <c r="NFM48" s="116"/>
      <c r="NFN48" s="116"/>
      <c r="NFO48" s="116"/>
      <c r="NFP48" s="116"/>
      <c r="NFQ48" s="116"/>
      <c r="NFR48" s="116"/>
      <c r="NFS48" s="116"/>
      <c r="NFT48" s="116"/>
      <c r="NFU48" s="116"/>
      <c r="NFV48" s="116"/>
      <c r="NFW48" s="116"/>
      <c r="NFX48" s="116"/>
      <c r="NFY48" s="116"/>
      <c r="NFZ48" s="116"/>
      <c r="NGA48" s="116"/>
      <c r="NGB48" s="116"/>
      <c r="NGC48" s="116"/>
      <c r="NGD48" s="116"/>
      <c r="NGE48" s="116"/>
      <c r="NGF48" s="116"/>
      <c r="NGG48" s="116"/>
      <c r="NGH48" s="116"/>
      <c r="NGI48" s="116"/>
      <c r="NGJ48" s="116"/>
      <c r="NGK48" s="116"/>
      <c r="NGL48" s="116"/>
      <c r="NGM48" s="116"/>
      <c r="NGN48" s="116"/>
      <c r="NGO48" s="116"/>
      <c r="NGP48" s="116"/>
      <c r="NGQ48" s="116"/>
      <c r="NGR48" s="116"/>
      <c r="NGS48" s="116"/>
      <c r="NGT48" s="116"/>
      <c r="NGU48" s="116"/>
      <c r="NGV48" s="116"/>
      <c r="NGW48" s="116"/>
      <c r="NGX48" s="116"/>
      <c r="NGY48" s="116"/>
      <c r="NGZ48" s="116"/>
      <c r="NHA48" s="116"/>
      <c r="NHB48" s="116"/>
      <c r="NHC48" s="116"/>
      <c r="NHD48" s="116"/>
      <c r="NHE48" s="116"/>
      <c r="NHF48" s="116"/>
      <c r="NHG48" s="116"/>
      <c r="NHH48" s="116"/>
      <c r="NHI48" s="116"/>
      <c r="NHJ48" s="116"/>
      <c r="NHK48" s="116"/>
      <c r="NHL48" s="116"/>
      <c r="NHM48" s="116"/>
      <c r="NHN48" s="116"/>
      <c r="NHO48" s="116"/>
      <c r="NHP48" s="116"/>
      <c r="NHQ48" s="116"/>
      <c r="NHR48" s="116"/>
      <c r="NHS48" s="116"/>
      <c r="NHT48" s="116"/>
      <c r="NHU48" s="116"/>
      <c r="NHV48" s="116"/>
      <c r="NHW48" s="116"/>
      <c r="NHX48" s="116"/>
      <c r="NHY48" s="116"/>
      <c r="NHZ48" s="116"/>
      <c r="NIA48" s="116"/>
      <c r="NIB48" s="116"/>
      <c r="NIC48" s="116"/>
      <c r="NID48" s="116"/>
      <c r="NIE48" s="116"/>
      <c r="NIF48" s="116"/>
      <c r="NIG48" s="116"/>
      <c r="NIH48" s="116"/>
      <c r="NII48" s="116"/>
      <c r="NIJ48" s="116"/>
      <c r="NIK48" s="116"/>
      <c r="NIL48" s="116"/>
      <c r="NIM48" s="116"/>
      <c r="NIN48" s="116"/>
      <c r="NIO48" s="116"/>
      <c r="NIP48" s="116"/>
      <c r="NIQ48" s="116"/>
      <c r="NIR48" s="116"/>
      <c r="NIS48" s="116"/>
      <c r="NIT48" s="116"/>
      <c r="NIU48" s="116"/>
      <c r="NIV48" s="116"/>
      <c r="NIW48" s="116"/>
      <c r="NIX48" s="116"/>
      <c r="NIY48" s="116"/>
      <c r="NIZ48" s="116"/>
      <c r="NJA48" s="116"/>
      <c r="NJB48" s="116"/>
      <c r="NJC48" s="116"/>
      <c r="NJD48" s="116"/>
      <c r="NJE48" s="116"/>
      <c r="NJF48" s="116"/>
      <c r="NJG48" s="116"/>
      <c r="NJH48" s="116"/>
      <c r="NJI48" s="116"/>
      <c r="NJJ48" s="116"/>
      <c r="NJK48" s="116"/>
      <c r="NJL48" s="116"/>
      <c r="NJM48" s="116"/>
      <c r="NJN48" s="116"/>
      <c r="NJO48" s="116"/>
      <c r="NJP48" s="116"/>
      <c r="NJQ48" s="116"/>
      <c r="NJR48" s="116"/>
      <c r="NJS48" s="116"/>
      <c r="NJT48" s="116"/>
      <c r="NJU48" s="116"/>
      <c r="NJV48" s="116"/>
      <c r="NJW48" s="116"/>
      <c r="NJX48" s="116"/>
      <c r="NJY48" s="116"/>
      <c r="NJZ48" s="116"/>
      <c r="NKA48" s="116"/>
      <c r="NKB48" s="116"/>
      <c r="NKC48" s="116"/>
      <c r="NKD48" s="116"/>
      <c r="NKE48" s="116"/>
      <c r="NKF48" s="116"/>
      <c r="NKG48" s="116"/>
      <c r="NKH48" s="116"/>
      <c r="NKI48" s="116"/>
      <c r="NKJ48" s="116"/>
      <c r="NKK48" s="116"/>
      <c r="NKL48" s="116"/>
      <c r="NKM48" s="116"/>
      <c r="NKN48" s="116"/>
      <c r="NKO48" s="116"/>
      <c r="NKP48" s="116"/>
      <c r="NKQ48" s="116"/>
      <c r="NKR48" s="116"/>
      <c r="NKS48" s="116"/>
      <c r="NKT48" s="116"/>
      <c r="NKU48" s="116"/>
      <c r="NKV48" s="116"/>
      <c r="NKW48" s="116"/>
      <c r="NKX48" s="116"/>
      <c r="NKY48" s="116"/>
      <c r="NKZ48" s="116"/>
      <c r="NLA48" s="116"/>
      <c r="NLB48" s="116"/>
      <c r="NLC48" s="116"/>
      <c r="NLD48" s="116"/>
      <c r="NLE48" s="116"/>
      <c r="NLF48" s="116"/>
      <c r="NLG48" s="116"/>
      <c r="NLH48" s="116"/>
      <c r="NLI48" s="116"/>
      <c r="NLJ48" s="116"/>
      <c r="NLK48" s="116"/>
      <c r="NLL48" s="116"/>
      <c r="NLM48" s="116"/>
      <c r="NLN48" s="116"/>
      <c r="NLO48" s="116"/>
      <c r="NLP48" s="116"/>
      <c r="NLQ48" s="116"/>
      <c r="NLR48" s="116"/>
      <c r="NLS48" s="116"/>
      <c r="NLT48" s="116"/>
      <c r="NLU48" s="116"/>
      <c r="NLV48" s="116"/>
      <c r="NLW48" s="116"/>
      <c r="NLX48" s="116"/>
      <c r="NLY48" s="116"/>
      <c r="NLZ48" s="116"/>
      <c r="NMA48" s="116"/>
      <c r="NMB48" s="116"/>
      <c r="NMC48" s="116"/>
      <c r="NMD48" s="116"/>
      <c r="NME48" s="116"/>
      <c r="NMF48" s="116"/>
      <c r="NMG48" s="116"/>
      <c r="NMH48" s="116"/>
      <c r="NMI48" s="116"/>
      <c r="NMJ48" s="116"/>
      <c r="NMK48" s="116"/>
      <c r="NML48" s="116"/>
      <c r="NMM48" s="116"/>
      <c r="NMN48" s="116"/>
      <c r="NMO48" s="116"/>
      <c r="NMP48" s="116"/>
      <c r="NMQ48" s="116"/>
      <c r="NMR48" s="116"/>
      <c r="NMS48" s="116"/>
      <c r="NMT48" s="116"/>
      <c r="NMU48" s="116"/>
      <c r="NMV48" s="116"/>
      <c r="NMW48" s="116"/>
      <c r="NMX48" s="116"/>
      <c r="NMY48" s="116"/>
      <c r="NMZ48" s="116"/>
      <c r="NNA48" s="116"/>
      <c r="NNB48" s="116"/>
      <c r="NNC48" s="116"/>
      <c r="NND48" s="116"/>
      <c r="NNE48" s="116"/>
      <c r="NNF48" s="116"/>
      <c r="NNG48" s="116"/>
      <c r="NNH48" s="116"/>
      <c r="NNI48" s="116"/>
      <c r="NNJ48" s="116"/>
      <c r="NNK48" s="116"/>
      <c r="NNL48" s="116"/>
      <c r="NNM48" s="116"/>
      <c r="NNN48" s="116"/>
      <c r="NNO48" s="116"/>
      <c r="NNP48" s="116"/>
      <c r="NNQ48" s="116"/>
      <c r="NNR48" s="116"/>
      <c r="NNS48" s="116"/>
      <c r="NNT48" s="116"/>
      <c r="NNU48" s="116"/>
      <c r="NNV48" s="116"/>
      <c r="NNW48" s="116"/>
      <c r="NNX48" s="116"/>
      <c r="NNY48" s="116"/>
      <c r="NNZ48" s="116"/>
      <c r="NOA48" s="116"/>
      <c r="NOB48" s="116"/>
      <c r="NOC48" s="116"/>
      <c r="NOD48" s="116"/>
      <c r="NOE48" s="116"/>
      <c r="NOF48" s="116"/>
      <c r="NOG48" s="116"/>
      <c r="NOH48" s="116"/>
      <c r="NOI48" s="116"/>
      <c r="NOJ48" s="116"/>
      <c r="NOK48" s="116"/>
      <c r="NOL48" s="116"/>
      <c r="NOM48" s="116"/>
      <c r="NON48" s="116"/>
      <c r="NOO48" s="116"/>
      <c r="NOP48" s="116"/>
      <c r="NOQ48" s="116"/>
      <c r="NOR48" s="116"/>
      <c r="NOS48" s="116"/>
      <c r="NOT48" s="116"/>
      <c r="NOU48" s="116"/>
      <c r="NOV48" s="116"/>
      <c r="NOW48" s="116"/>
      <c r="NOX48" s="116"/>
      <c r="NOY48" s="116"/>
      <c r="NOZ48" s="116"/>
      <c r="NPA48" s="116"/>
      <c r="NPB48" s="116"/>
      <c r="NPC48" s="116"/>
      <c r="NPD48" s="116"/>
      <c r="NPE48" s="116"/>
      <c r="NPF48" s="116"/>
      <c r="NPG48" s="116"/>
      <c r="NPH48" s="116"/>
      <c r="NPI48" s="116"/>
      <c r="NPJ48" s="116"/>
      <c r="NPK48" s="116"/>
      <c r="NPL48" s="116"/>
      <c r="NPM48" s="116"/>
      <c r="NPN48" s="116"/>
      <c r="NPO48" s="116"/>
      <c r="NPP48" s="116"/>
      <c r="NPQ48" s="116"/>
      <c r="NPR48" s="116"/>
      <c r="NPS48" s="116"/>
      <c r="NPT48" s="116"/>
      <c r="NPU48" s="116"/>
      <c r="NPV48" s="116"/>
      <c r="NPW48" s="116"/>
      <c r="NPX48" s="116"/>
      <c r="NPY48" s="116"/>
      <c r="NPZ48" s="116"/>
      <c r="NQA48" s="116"/>
      <c r="NQB48" s="116"/>
      <c r="NQC48" s="116"/>
      <c r="NQD48" s="116"/>
      <c r="NQE48" s="116"/>
      <c r="NQF48" s="116"/>
      <c r="NQG48" s="116"/>
      <c r="NQH48" s="116"/>
      <c r="NQI48" s="116"/>
      <c r="NQJ48" s="116"/>
      <c r="NQK48" s="116"/>
      <c r="NQL48" s="116"/>
      <c r="NQM48" s="116"/>
      <c r="NQN48" s="116"/>
      <c r="NQO48" s="116"/>
      <c r="NQP48" s="116"/>
      <c r="NQQ48" s="116"/>
      <c r="NQR48" s="116"/>
      <c r="NQS48" s="116"/>
      <c r="NQT48" s="116"/>
      <c r="NQU48" s="116"/>
      <c r="NQV48" s="116"/>
      <c r="NQW48" s="116"/>
      <c r="NQX48" s="116"/>
      <c r="NQY48" s="116"/>
      <c r="NQZ48" s="116"/>
      <c r="NRA48" s="116"/>
      <c r="NRB48" s="116"/>
      <c r="NRC48" s="116"/>
      <c r="NRD48" s="116"/>
      <c r="NRE48" s="116"/>
      <c r="NRF48" s="116"/>
      <c r="NRG48" s="116"/>
      <c r="NRH48" s="116"/>
      <c r="NRI48" s="116"/>
      <c r="NRJ48" s="116"/>
      <c r="NRK48" s="116"/>
      <c r="NRL48" s="116"/>
      <c r="NRM48" s="116"/>
      <c r="NRN48" s="116"/>
      <c r="NRO48" s="116"/>
      <c r="NRP48" s="116"/>
      <c r="NRQ48" s="116"/>
      <c r="NRR48" s="116"/>
      <c r="NRS48" s="116"/>
      <c r="NRT48" s="116"/>
      <c r="NRU48" s="116"/>
      <c r="NRV48" s="116"/>
      <c r="NRW48" s="116"/>
      <c r="NRX48" s="116"/>
      <c r="NRY48" s="116"/>
      <c r="NRZ48" s="116"/>
      <c r="NSA48" s="116"/>
      <c r="NSB48" s="116"/>
      <c r="NSC48" s="116"/>
      <c r="NSD48" s="116"/>
      <c r="NSE48" s="116"/>
      <c r="NSF48" s="116"/>
      <c r="NSG48" s="116"/>
      <c r="NSH48" s="116"/>
      <c r="NSI48" s="116"/>
      <c r="NSJ48" s="116"/>
      <c r="NSK48" s="116"/>
      <c r="NSL48" s="116"/>
      <c r="NSM48" s="116"/>
      <c r="NSN48" s="116"/>
      <c r="NSO48" s="116"/>
      <c r="NSP48" s="116"/>
      <c r="NSQ48" s="116"/>
      <c r="NSR48" s="116"/>
      <c r="NSS48" s="116"/>
      <c r="NST48" s="116"/>
      <c r="NSU48" s="116"/>
      <c r="NSV48" s="116"/>
      <c r="NSW48" s="116"/>
      <c r="NSX48" s="116"/>
      <c r="NSY48" s="116"/>
      <c r="NSZ48" s="116"/>
      <c r="NTA48" s="116"/>
      <c r="NTB48" s="116"/>
      <c r="NTC48" s="116"/>
      <c r="NTD48" s="116"/>
      <c r="NTE48" s="116"/>
      <c r="NTF48" s="116"/>
      <c r="NTG48" s="116"/>
      <c r="NTH48" s="116"/>
      <c r="NTI48" s="116"/>
      <c r="NTJ48" s="116"/>
      <c r="NTK48" s="116"/>
      <c r="NTL48" s="116"/>
      <c r="NTM48" s="116"/>
      <c r="NTN48" s="116"/>
      <c r="NTO48" s="116"/>
      <c r="NTP48" s="116"/>
      <c r="NTQ48" s="116"/>
      <c r="NTR48" s="116"/>
      <c r="NTS48" s="116"/>
      <c r="NTT48" s="116"/>
      <c r="NTU48" s="116"/>
      <c r="NTV48" s="116"/>
      <c r="NTW48" s="116"/>
      <c r="NTX48" s="116"/>
      <c r="NTY48" s="116"/>
      <c r="NTZ48" s="116"/>
      <c r="NUA48" s="116"/>
      <c r="NUB48" s="116"/>
      <c r="NUC48" s="116"/>
      <c r="NUD48" s="116"/>
      <c r="NUE48" s="116"/>
      <c r="NUF48" s="116"/>
      <c r="NUG48" s="116"/>
      <c r="NUH48" s="116"/>
      <c r="NUI48" s="116"/>
      <c r="NUJ48" s="116"/>
      <c r="NUK48" s="116"/>
      <c r="NUL48" s="116"/>
      <c r="NUM48" s="116"/>
      <c r="NUN48" s="116"/>
      <c r="NUO48" s="116"/>
      <c r="NUP48" s="116"/>
      <c r="NUQ48" s="116"/>
      <c r="NUR48" s="116"/>
      <c r="NUS48" s="116"/>
      <c r="NUT48" s="116"/>
      <c r="NUU48" s="116"/>
      <c r="NUV48" s="116"/>
      <c r="NUW48" s="116"/>
      <c r="NUX48" s="116"/>
      <c r="NUY48" s="116"/>
      <c r="NUZ48" s="116"/>
      <c r="NVA48" s="116"/>
      <c r="NVB48" s="116"/>
      <c r="NVC48" s="116"/>
      <c r="NVD48" s="116"/>
      <c r="NVE48" s="116"/>
      <c r="NVF48" s="116"/>
      <c r="NVG48" s="116"/>
      <c r="NVH48" s="116"/>
      <c r="NVI48" s="116"/>
      <c r="NVJ48" s="116"/>
      <c r="NVK48" s="116"/>
      <c r="NVL48" s="116"/>
      <c r="NVM48" s="116"/>
      <c r="NVN48" s="116"/>
      <c r="NVO48" s="116"/>
      <c r="NVP48" s="116"/>
      <c r="NVQ48" s="116"/>
      <c r="NVR48" s="116"/>
      <c r="NVS48" s="116"/>
      <c r="NVT48" s="116"/>
      <c r="NVU48" s="116"/>
      <c r="NVV48" s="116"/>
      <c r="NVW48" s="116"/>
      <c r="NVX48" s="116"/>
      <c r="NVY48" s="116"/>
      <c r="NVZ48" s="116"/>
      <c r="NWA48" s="116"/>
      <c r="NWB48" s="116"/>
      <c r="NWC48" s="116"/>
      <c r="NWD48" s="116"/>
      <c r="NWE48" s="116"/>
      <c r="NWF48" s="116"/>
      <c r="NWG48" s="116"/>
      <c r="NWH48" s="116"/>
      <c r="NWI48" s="116"/>
      <c r="NWJ48" s="116"/>
      <c r="NWK48" s="116"/>
      <c r="NWL48" s="116"/>
      <c r="NWM48" s="116"/>
      <c r="NWN48" s="116"/>
      <c r="NWO48" s="116"/>
      <c r="NWP48" s="116"/>
      <c r="NWQ48" s="116"/>
      <c r="NWR48" s="116"/>
      <c r="NWS48" s="116"/>
      <c r="NWT48" s="116"/>
      <c r="NWU48" s="116"/>
      <c r="NWV48" s="116"/>
      <c r="NWW48" s="116"/>
      <c r="NWX48" s="116"/>
      <c r="NWY48" s="116"/>
      <c r="NWZ48" s="116"/>
      <c r="NXA48" s="116"/>
      <c r="NXB48" s="116"/>
      <c r="NXC48" s="116"/>
      <c r="NXD48" s="116"/>
      <c r="NXE48" s="116"/>
      <c r="NXF48" s="116"/>
      <c r="NXG48" s="116"/>
      <c r="NXH48" s="116"/>
      <c r="NXI48" s="116"/>
      <c r="NXJ48" s="116"/>
      <c r="NXK48" s="116"/>
      <c r="NXL48" s="116"/>
      <c r="NXM48" s="116"/>
      <c r="NXN48" s="116"/>
      <c r="NXO48" s="116"/>
      <c r="NXP48" s="116"/>
      <c r="NXQ48" s="116"/>
      <c r="NXR48" s="116"/>
      <c r="NXS48" s="116"/>
      <c r="NXT48" s="116"/>
      <c r="NXU48" s="116"/>
      <c r="NXV48" s="116"/>
      <c r="NXW48" s="116"/>
      <c r="NXX48" s="116"/>
      <c r="NXY48" s="116"/>
      <c r="NXZ48" s="116"/>
      <c r="NYA48" s="116"/>
      <c r="NYB48" s="116"/>
      <c r="NYC48" s="116"/>
      <c r="NYD48" s="116"/>
      <c r="NYE48" s="116"/>
      <c r="NYF48" s="116"/>
      <c r="NYG48" s="116"/>
      <c r="NYH48" s="116"/>
      <c r="NYI48" s="116"/>
      <c r="NYJ48" s="116"/>
      <c r="NYK48" s="116"/>
      <c r="NYL48" s="116"/>
      <c r="NYM48" s="116"/>
      <c r="NYN48" s="116"/>
      <c r="NYO48" s="116"/>
      <c r="NYP48" s="116"/>
      <c r="NYQ48" s="116"/>
      <c r="NYR48" s="116"/>
      <c r="NYS48" s="116"/>
      <c r="NYT48" s="116"/>
      <c r="NYU48" s="116"/>
      <c r="NYV48" s="116"/>
      <c r="NYW48" s="116"/>
      <c r="NYX48" s="116"/>
      <c r="NYY48" s="116"/>
      <c r="NYZ48" s="116"/>
      <c r="NZA48" s="116"/>
      <c r="NZB48" s="116"/>
      <c r="NZC48" s="116"/>
      <c r="NZD48" s="116"/>
      <c r="NZE48" s="116"/>
      <c r="NZF48" s="116"/>
      <c r="NZG48" s="116"/>
      <c r="NZH48" s="116"/>
      <c r="NZI48" s="116"/>
      <c r="NZJ48" s="116"/>
      <c r="NZK48" s="116"/>
      <c r="NZL48" s="116"/>
      <c r="NZM48" s="116"/>
      <c r="NZN48" s="116"/>
      <c r="NZO48" s="116"/>
      <c r="NZP48" s="116"/>
      <c r="NZQ48" s="116"/>
      <c r="NZR48" s="116"/>
      <c r="NZS48" s="116"/>
      <c r="NZT48" s="116"/>
      <c r="NZU48" s="116"/>
      <c r="NZV48" s="116"/>
      <c r="NZW48" s="116"/>
      <c r="NZX48" s="116"/>
      <c r="NZY48" s="116"/>
      <c r="NZZ48" s="116"/>
      <c r="OAA48" s="116"/>
      <c r="OAB48" s="116"/>
      <c r="OAC48" s="116"/>
      <c r="OAD48" s="116"/>
      <c r="OAE48" s="116"/>
      <c r="OAF48" s="116"/>
      <c r="OAG48" s="116"/>
      <c r="OAH48" s="116"/>
      <c r="OAI48" s="116"/>
      <c r="OAJ48" s="116"/>
      <c r="OAK48" s="116"/>
      <c r="OAL48" s="116"/>
      <c r="OAM48" s="116"/>
      <c r="OAN48" s="116"/>
      <c r="OAO48" s="116"/>
      <c r="OAP48" s="116"/>
      <c r="OAQ48" s="116"/>
      <c r="OAR48" s="116"/>
      <c r="OAS48" s="116"/>
      <c r="OAT48" s="116"/>
      <c r="OAU48" s="116"/>
      <c r="OAV48" s="116"/>
      <c r="OAW48" s="116"/>
      <c r="OAX48" s="116"/>
      <c r="OAY48" s="116"/>
      <c r="OAZ48" s="116"/>
      <c r="OBA48" s="116"/>
      <c r="OBB48" s="116"/>
      <c r="OBC48" s="116"/>
      <c r="OBD48" s="116"/>
      <c r="OBE48" s="116"/>
      <c r="OBF48" s="116"/>
      <c r="OBG48" s="116"/>
      <c r="OBH48" s="116"/>
      <c r="OBI48" s="116"/>
      <c r="OBJ48" s="116"/>
      <c r="OBK48" s="116"/>
      <c r="OBL48" s="116"/>
      <c r="OBM48" s="116"/>
      <c r="OBN48" s="116"/>
      <c r="OBO48" s="116"/>
      <c r="OBP48" s="116"/>
      <c r="OBQ48" s="116"/>
      <c r="OBR48" s="116"/>
      <c r="OBS48" s="116"/>
      <c r="OBT48" s="116"/>
      <c r="OBU48" s="116"/>
      <c r="OBV48" s="116"/>
      <c r="OBW48" s="116"/>
      <c r="OBX48" s="116"/>
      <c r="OBY48" s="116"/>
      <c r="OBZ48" s="116"/>
      <c r="OCA48" s="116"/>
      <c r="OCB48" s="116"/>
      <c r="OCC48" s="116"/>
      <c r="OCD48" s="116"/>
      <c r="OCE48" s="116"/>
      <c r="OCF48" s="116"/>
      <c r="OCG48" s="116"/>
      <c r="OCH48" s="116"/>
      <c r="OCI48" s="116"/>
      <c r="OCJ48" s="116"/>
      <c r="OCK48" s="116"/>
      <c r="OCL48" s="116"/>
      <c r="OCM48" s="116"/>
      <c r="OCN48" s="116"/>
      <c r="OCO48" s="116"/>
      <c r="OCP48" s="116"/>
      <c r="OCQ48" s="116"/>
      <c r="OCR48" s="116"/>
      <c r="OCS48" s="116"/>
      <c r="OCT48" s="116"/>
      <c r="OCU48" s="116"/>
      <c r="OCV48" s="116"/>
      <c r="OCW48" s="116"/>
      <c r="OCX48" s="116"/>
      <c r="OCY48" s="116"/>
      <c r="OCZ48" s="116"/>
      <c r="ODA48" s="116"/>
      <c r="ODB48" s="116"/>
      <c r="ODC48" s="116"/>
      <c r="ODD48" s="116"/>
      <c r="ODE48" s="116"/>
      <c r="ODF48" s="116"/>
      <c r="ODG48" s="116"/>
      <c r="ODH48" s="116"/>
      <c r="ODI48" s="116"/>
      <c r="ODJ48" s="116"/>
      <c r="ODK48" s="116"/>
      <c r="ODL48" s="116"/>
      <c r="ODM48" s="116"/>
      <c r="ODN48" s="116"/>
      <c r="ODO48" s="116"/>
      <c r="ODP48" s="116"/>
      <c r="ODQ48" s="116"/>
      <c r="ODR48" s="116"/>
      <c r="ODS48" s="116"/>
      <c r="ODT48" s="116"/>
      <c r="ODU48" s="116"/>
      <c r="ODV48" s="116"/>
      <c r="ODW48" s="116"/>
      <c r="ODX48" s="116"/>
      <c r="ODY48" s="116"/>
      <c r="ODZ48" s="116"/>
      <c r="OEA48" s="116"/>
      <c r="OEB48" s="116"/>
      <c r="OEC48" s="116"/>
      <c r="OED48" s="116"/>
      <c r="OEE48" s="116"/>
      <c r="OEF48" s="116"/>
      <c r="OEG48" s="116"/>
      <c r="OEH48" s="116"/>
      <c r="OEI48" s="116"/>
      <c r="OEJ48" s="116"/>
      <c r="OEK48" s="116"/>
      <c r="OEL48" s="116"/>
      <c r="OEM48" s="116"/>
      <c r="OEN48" s="116"/>
      <c r="OEO48" s="116"/>
      <c r="OEP48" s="116"/>
      <c r="OEQ48" s="116"/>
      <c r="OER48" s="116"/>
      <c r="OES48" s="116"/>
      <c r="OET48" s="116"/>
      <c r="OEU48" s="116"/>
      <c r="OEV48" s="116"/>
      <c r="OEW48" s="116"/>
      <c r="OEX48" s="116"/>
      <c r="OEY48" s="116"/>
      <c r="OEZ48" s="116"/>
      <c r="OFA48" s="116"/>
      <c r="OFB48" s="116"/>
      <c r="OFC48" s="116"/>
      <c r="OFD48" s="116"/>
      <c r="OFE48" s="116"/>
      <c r="OFF48" s="116"/>
      <c r="OFG48" s="116"/>
      <c r="OFH48" s="116"/>
      <c r="OFI48" s="116"/>
      <c r="OFJ48" s="116"/>
      <c r="OFK48" s="116"/>
      <c r="OFL48" s="116"/>
      <c r="OFM48" s="116"/>
      <c r="OFN48" s="116"/>
      <c r="OFO48" s="116"/>
      <c r="OFP48" s="116"/>
      <c r="OFQ48" s="116"/>
      <c r="OFR48" s="116"/>
      <c r="OFS48" s="116"/>
      <c r="OFT48" s="116"/>
      <c r="OFU48" s="116"/>
      <c r="OFV48" s="116"/>
      <c r="OFW48" s="116"/>
      <c r="OFX48" s="116"/>
      <c r="OFY48" s="116"/>
      <c r="OFZ48" s="116"/>
      <c r="OGA48" s="116"/>
      <c r="OGB48" s="116"/>
      <c r="OGC48" s="116"/>
      <c r="OGD48" s="116"/>
      <c r="OGE48" s="116"/>
      <c r="OGF48" s="116"/>
      <c r="OGG48" s="116"/>
      <c r="OGH48" s="116"/>
      <c r="OGI48" s="116"/>
      <c r="OGJ48" s="116"/>
      <c r="OGK48" s="116"/>
      <c r="OGL48" s="116"/>
      <c r="OGM48" s="116"/>
      <c r="OGN48" s="116"/>
      <c r="OGO48" s="116"/>
      <c r="OGP48" s="116"/>
      <c r="OGQ48" s="116"/>
      <c r="OGR48" s="116"/>
      <c r="OGS48" s="116"/>
      <c r="OGT48" s="116"/>
      <c r="OGU48" s="116"/>
      <c r="OGV48" s="116"/>
      <c r="OGW48" s="116"/>
      <c r="OGX48" s="116"/>
      <c r="OGY48" s="116"/>
      <c r="OGZ48" s="116"/>
      <c r="OHA48" s="116"/>
      <c r="OHB48" s="116"/>
      <c r="OHC48" s="116"/>
      <c r="OHD48" s="116"/>
      <c r="OHE48" s="116"/>
      <c r="OHF48" s="116"/>
      <c r="OHG48" s="116"/>
      <c r="OHH48" s="116"/>
      <c r="OHI48" s="116"/>
      <c r="OHJ48" s="116"/>
      <c r="OHK48" s="116"/>
      <c r="OHL48" s="116"/>
      <c r="OHM48" s="116"/>
      <c r="OHN48" s="116"/>
      <c r="OHO48" s="116"/>
      <c r="OHP48" s="116"/>
      <c r="OHQ48" s="116"/>
      <c r="OHR48" s="116"/>
      <c r="OHS48" s="116"/>
      <c r="OHT48" s="116"/>
      <c r="OHU48" s="116"/>
      <c r="OHV48" s="116"/>
      <c r="OHW48" s="116"/>
      <c r="OHX48" s="116"/>
      <c r="OHY48" s="116"/>
      <c r="OHZ48" s="116"/>
      <c r="OIA48" s="116"/>
      <c r="OIB48" s="116"/>
      <c r="OIC48" s="116"/>
      <c r="OID48" s="116"/>
      <c r="OIE48" s="116"/>
      <c r="OIF48" s="116"/>
      <c r="OIG48" s="116"/>
      <c r="OIH48" s="116"/>
      <c r="OII48" s="116"/>
      <c r="OIJ48" s="116"/>
      <c r="OIK48" s="116"/>
      <c r="OIL48" s="116"/>
      <c r="OIM48" s="116"/>
      <c r="OIN48" s="116"/>
      <c r="OIO48" s="116"/>
      <c r="OIP48" s="116"/>
      <c r="OIQ48" s="116"/>
      <c r="OIR48" s="116"/>
      <c r="OIS48" s="116"/>
      <c r="OIT48" s="116"/>
      <c r="OIU48" s="116"/>
      <c r="OIV48" s="116"/>
      <c r="OIW48" s="116"/>
      <c r="OIX48" s="116"/>
      <c r="OIY48" s="116"/>
      <c r="OIZ48" s="116"/>
      <c r="OJA48" s="116"/>
      <c r="OJB48" s="116"/>
      <c r="OJC48" s="116"/>
      <c r="OJD48" s="116"/>
      <c r="OJE48" s="116"/>
      <c r="OJF48" s="116"/>
      <c r="OJG48" s="116"/>
      <c r="OJH48" s="116"/>
      <c r="OJI48" s="116"/>
      <c r="OJJ48" s="116"/>
      <c r="OJK48" s="116"/>
      <c r="OJL48" s="116"/>
      <c r="OJM48" s="116"/>
      <c r="OJN48" s="116"/>
      <c r="OJO48" s="116"/>
      <c r="OJP48" s="116"/>
      <c r="OJQ48" s="116"/>
      <c r="OJR48" s="116"/>
      <c r="OJS48" s="116"/>
      <c r="OJT48" s="116"/>
      <c r="OJU48" s="116"/>
      <c r="OJV48" s="116"/>
      <c r="OJW48" s="116"/>
      <c r="OJX48" s="116"/>
      <c r="OJY48" s="116"/>
      <c r="OJZ48" s="116"/>
      <c r="OKA48" s="116"/>
      <c r="OKB48" s="116"/>
      <c r="OKC48" s="116"/>
      <c r="OKD48" s="116"/>
      <c r="OKE48" s="116"/>
      <c r="OKF48" s="116"/>
      <c r="OKG48" s="116"/>
      <c r="OKH48" s="116"/>
      <c r="OKI48" s="116"/>
      <c r="OKJ48" s="116"/>
      <c r="OKK48" s="116"/>
      <c r="OKL48" s="116"/>
      <c r="OKM48" s="116"/>
      <c r="OKN48" s="116"/>
      <c r="OKO48" s="116"/>
      <c r="OKP48" s="116"/>
      <c r="OKQ48" s="116"/>
      <c r="OKR48" s="116"/>
      <c r="OKS48" s="116"/>
      <c r="OKT48" s="116"/>
      <c r="OKU48" s="116"/>
      <c r="OKV48" s="116"/>
      <c r="OKW48" s="116"/>
      <c r="OKX48" s="116"/>
      <c r="OKY48" s="116"/>
      <c r="OKZ48" s="116"/>
      <c r="OLA48" s="116"/>
      <c r="OLB48" s="116"/>
      <c r="OLC48" s="116"/>
      <c r="OLD48" s="116"/>
      <c r="OLE48" s="116"/>
      <c r="OLF48" s="116"/>
      <c r="OLG48" s="116"/>
      <c r="OLH48" s="116"/>
      <c r="OLI48" s="116"/>
      <c r="OLJ48" s="116"/>
      <c r="OLK48" s="116"/>
      <c r="OLL48" s="116"/>
      <c r="OLM48" s="116"/>
      <c r="OLN48" s="116"/>
      <c r="OLO48" s="116"/>
      <c r="OLP48" s="116"/>
      <c r="OLQ48" s="116"/>
      <c r="OLR48" s="116"/>
      <c r="OLS48" s="116"/>
      <c r="OLT48" s="116"/>
      <c r="OLU48" s="116"/>
      <c r="OLV48" s="116"/>
      <c r="OLW48" s="116"/>
      <c r="OLX48" s="116"/>
      <c r="OLY48" s="116"/>
      <c r="OLZ48" s="116"/>
      <c r="OMA48" s="116"/>
      <c r="OMB48" s="116"/>
      <c r="OMC48" s="116"/>
      <c r="OMD48" s="116"/>
      <c r="OME48" s="116"/>
      <c r="OMF48" s="116"/>
      <c r="OMG48" s="116"/>
      <c r="OMH48" s="116"/>
      <c r="OMI48" s="116"/>
      <c r="OMJ48" s="116"/>
      <c r="OMK48" s="116"/>
      <c r="OML48" s="116"/>
      <c r="OMM48" s="116"/>
      <c r="OMN48" s="116"/>
      <c r="OMO48" s="116"/>
      <c r="OMP48" s="116"/>
      <c r="OMQ48" s="116"/>
      <c r="OMR48" s="116"/>
      <c r="OMS48" s="116"/>
      <c r="OMT48" s="116"/>
      <c r="OMU48" s="116"/>
      <c r="OMV48" s="116"/>
      <c r="OMW48" s="116"/>
      <c r="OMX48" s="116"/>
      <c r="OMY48" s="116"/>
      <c r="OMZ48" s="116"/>
      <c r="ONA48" s="116"/>
      <c r="ONB48" s="116"/>
      <c r="ONC48" s="116"/>
      <c r="OND48" s="116"/>
      <c r="ONE48" s="116"/>
      <c r="ONF48" s="116"/>
      <c r="ONG48" s="116"/>
      <c r="ONH48" s="116"/>
      <c r="ONI48" s="116"/>
      <c r="ONJ48" s="116"/>
      <c r="ONK48" s="116"/>
      <c r="ONL48" s="116"/>
      <c r="ONM48" s="116"/>
      <c r="ONN48" s="116"/>
      <c r="ONO48" s="116"/>
      <c r="ONP48" s="116"/>
      <c r="ONQ48" s="116"/>
      <c r="ONR48" s="116"/>
      <c r="ONS48" s="116"/>
      <c r="ONT48" s="116"/>
      <c r="ONU48" s="116"/>
      <c r="ONV48" s="116"/>
      <c r="ONW48" s="116"/>
      <c r="ONX48" s="116"/>
      <c r="ONY48" s="116"/>
      <c r="ONZ48" s="116"/>
      <c r="OOA48" s="116"/>
      <c r="OOB48" s="116"/>
      <c r="OOC48" s="116"/>
      <c r="OOD48" s="116"/>
      <c r="OOE48" s="116"/>
      <c r="OOF48" s="116"/>
      <c r="OOG48" s="116"/>
      <c r="OOH48" s="116"/>
      <c r="OOI48" s="116"/>
      <c r="OOJ48" s="116"/>
      <c r="OOK48" s="116"/>
      <c r="OOL48" s="116"/>
      <c r="OOM48" s="116"/>
      <c r="OON48" s="116"/>
      <c r="OOO48" s="116"/>
      <c r="OOP48" s="116"/>
      <c r="OOQ48" s="116"/>
      <c r="OOR48" s="116"/>
      <c r="OOS48" s="116"/>
      <c r="OOT48" s="116"/>
      <c r="OOU48" s="116"/>
      <c r="OOV48" s="116"/>
      <c r="OOW48" s="116"/>
      <c r="OOX48" s="116"/>
      <c r="OOY48" s="116"/>
      <c r="OOZ48" s="116"/>
      <c r="OPA48" s="116"/>
      <c r="OPB48" s="116"/>
      <c r="OPC48" s="116"/>
      <c r="OPD48" s="116"/>
      <c r="OPE48" s="116"/>
      <c r="OPF48" s="116"/>
      <c r="OPG48" s="116"/>
      <c r="OPH48" s="116"/>
      <c r="OPI48" s="116"/>
      <c r="OPJ48" s="116"/>
      <c r="OPK48" s="116"/>
      <c r="OPL48" s="116"/>
      <c r="OPM48" s="116"/>
      <c r="OPN48" s="116"/>
      <c r="OPO48" s="116"/>
      <c r="OPP48" s="116"/>
      <c r="OPQ48" s="116"/>
      <c r="OPR48" s="116"/>
      <c r="OPS48" s="116"/>
      <c r="OPT48" s="116"/>
      <c r="OPU48" s="116"/>
      <c r="OPV48" s="116"/>
      <c r="OPW48" s="116"/>
      <c r="OPX48" s="116"/>
      <c r="OPY48" s="116"/>
      <c r="OPZ48" s="116"/>
      <c r="OQA48" s="116"/>
      <c r="OQB48" s="116"/>
      <c r="OQC48" s="116"/>
      <c r="OQD48" s="116"/>
      <c r="OQE48" s="116"/>
      <c r="OQF48" s="116"/>
      <c r="OQG48" s="116"/>
      <c r="OQH48" s="116"/>
      <c r="OQI48" s="116"/>
      <c r="OQJ48" s="116"/>
      <c r="OQK48" s="116"/>
      <c r="OQL48" s="116"/>
      <c r="OQM48" s="116"/>
      <c r="OQN48" s="116"/>
      <c r="OQO48" s="116"/>
      <c r="OQP48" s="116"/>
      <c r="OQQ48" s="116"/>
      <c r="OQR48" s="116"/>
      <c r="OQS48" s="116"/>
      <c r="OQT48" s="116"/>
      <c r="OQU48" s="116"/>
      <c r="OQV48" s="116"/>
      <c r="OQW48" s="116"/>
      <c r="OQX48" s="116"/>
      <c r="OQY48" s="116"/>
      <c r="OQZ48" s="116"/>
      <c r="ORA48" s="116"/>
      <c r="ORB48" s="116"/>
      <c r="ORC48" s="116"/>
      <c r="ORD48" s="116"/>
      <c r="ORE48" s="116"/>
      <c r="ORF48" s="116"/>
      <c r="ORG48" s="116"/>
      <c r="ORH48" s="116"/>
      <c r="ORI48" s="116"/>
      <c r="ORJ48" s="116"/>
      <c r="ORK48" s="116"/>
      <c r="ORL48" s="116"/>
      <c r="ORM48" s="116"/>
      <c r="ORN48" s="116"/>
      <c r="ORO48" s="116"/>
      <c r="ORP48" s="116"/>
      <c r="ORQ48" s="116"/>
      <c r="ORR48" s="116"/>
      <c r="ORS48" s="116"/>
      <c r="ORT48" s="116"/>
      <c r="ORU48" s="116"/>
      <c r="ORV48" s="116"/>
      <c r="ORW48" s="116"/>
      <c r="ORX48" s="116"/>
      <c r="ORY48" s="116"/>
      <c r="ORZ48" s="116"/>
      <c r="OSA48" s="116"/>
      <c r="OSB48" s="116"/>
      <c r="OSC48" s="116"/>
      <c r="OSD48" s="116"/>
      <c r="OSE48" s="116"/>
      <c r="OSF48" s="116"/>
      <c r="OSG48" s="116"/>
      <c r="OSH48" s="116"/>
      <c r="OSI48" s="116"/>
      <c r="OSJ48" s="116"/>
      <c r="OSK48" s="116"/>
      <c r="OSL48" s="116"/>
      <c r="OSM48" s="116"/>
      <c r="OSN48" s="116"/>
      <c r="OSO48" s="116"/>
      <c r="OSP48" s="116"/>
      <c r="OSQ48" s="116"/>
      <c r="OSR48" s="116"/>
      <c r="OSS48" s="116"/>
      <c r="OST48" s="116"/>
      <c r="OSU48" s="116"/>
      <c r="OSV48" s="116"/>
      <c r="OSW48" s="116"/>
      <c r="OSX48" s="116"/>
      <c r="OSY48" s="116"/>
      <c r="OSZ48" s="116"/>
      <c r="OTA48" s="116"/>
      <c r="OTB48" s="116"/>
      <c r="OTC48" s="116"/>
      <c r="OTD48" s="116"/>
      <c r="OTE48" s="116"/>
      <c r="OTF48" s="116"/>
      <c r="OTG48" s="116"/>
      <c r="OTH48" s="116"/>
      <c r="OTI48" s="116"/>
      <c r="OTJ48" s="116"/>
      <c r="OTK48" s="116"/>
      <c r="OTL48" s="116"/>
      <c r="OTM48" s="116"/>
      <c r="OTN48" s="116"/>
      <c r="OTO48" s="116"/>
      <c r="OTP48" s="116"/>
      <c r="OTQ48" s="116"/>
      <c r="OTR48" s="116"/>
      <c r="OTS48" s="116"/>
      <c r="OTT48" s="116"/>
      <c r="OTU48" s="116"/>
      <c r="OTV48" s="116"/>
      <c r="OTW48" s="116"/>
      <c r="OTX48" s="116"/>
      <c r="OTY48" s="116"/>
      <c r="OTZ48" s="116"/>
      <c r="OUA48" s="116"/>
      <c r="OUB48" s="116"/>
      <c r="OUC48" s="116"/>
      <c r="OUD48" s="116"/>
      <c r="OUE48" s="116"/>
      <c r="OUF48" s="116"/>
      <c r="OUG48" s="116"/>
      <c r="OUH48" s="116"/>
      <c r="OUI48" s="116"/>
      <c r="OUJ48" s="116"/>
      <c r="OUK48" s="116"/>
      <c r="OUL48" s="116"/>
      <c r="OUM48" s="116"/>
      <c r="OUN48" s="116"/>
      <c r="OUO48" s="116"/>
      <c r="OUP48" s="116"/>
      <c r="OUQ48" s="116"/>
      <c r="OUR48" s="116"/>
      <c r="OUS48" s="116"/>
      <c r="OUT48" s="116"/>
      <c r="OUU48" s="116"/>
      <c r="OUV48" s="116"/>
      <c r="OUW48" s="116"/>
      <c r="OUX48" s="116"/>
      <c r="OUY48" s="116"/>
      <c r="OUZ48" s="116"/>
      <c r="OVA48" s="116"/>
      <c r="OVB48" s="116"/>
      <c r="OVC48" s="116"/>
      <c r="OVD48" s="116"/>
      <c r="OVE48" s="116"/>
      <c r="OVF48" s="116"/>
      <c r="OVG48" s="116"/>
      <c r="OVH48" s="116"/>
      <c r="OVI48" s="116"/>
      <c r="OVJ48" s="116"/>
      <c r="OVK48" s="116"/>
      <c r="OVL48" s="116"/>
      <c r="OVM48" s="116"/>
      <c r="OVN48" s="116"/>
      <c r="OVO48" s="116"/>
      <c r="OVP48" s="116"/>
      <c r="OVQ48" s="116"/>
      <c r="OVR48" s="116"/>
      <c r="OVS48" s="116"/>
      <c r="OVT48" s="116"/>
      <c r="OVU48" s="116"/>
      <c r="OVV48" s="116"/>
      <c r="OVW48" s="116"/>
      <c r="OVX48" s="116"/>
      <c r="OVY48" s="116"/>
      <c r="OVZ48" s="116"/>
      <c r="OWA48" s="116"/>
      <c r="OWB48" s="116"/>
      <c r="OWC48" s="116"/>
      <c r="OWD48" s="116"/>
      <c r="OWE48" s="116"/>
      <c r="OWF48" s="116"/>
      <c r="OWG48" s="116"/>
      <c r="OWH48" s="116"/>
      <c r="OWI48" s="116"/>
      <c r="OWJ48" s="116"/>
      <c r="OWK48" s="116"/>
      <c r="OWL48" s="116"/>
      <c r="OWM48" s="116"/>
      <c r="OWN48" s="116"/>
      <c r="OWO48" s="116"/>
      <c r="OWP48" s="116"/>
      <c r="OWQ48" s="116"/>
      <c r="OWR48" s="116"/>
      <c r="OWS48" s="116"/>
      <c r="OWT48" s="116"/>
      <c r="OWU48" s="116"/>
      <c r="OWV48" s="116"/>
      <c r="OWW48" s="116"/>
      <c r="OWX48" s="116"/>
      <c r="OWY48" s="116"/>
      <c r="OWZ48" s="116"/>
      <c r="OXA48" s="116"/>
      <c r="OXB48" s="116"/>
      <c r="OXC48" s="116"/>
      <c r="OXD48" s="116"/>
      <c r="OXE48" s="116"/>
      <c r="OXF48" s="116"/>
      <c r="OXG48" s="116"/>
      <c r="OXH48" s="116"/>
      <c r="OXI48" s="116"/>
      <c r="OXJ48" s="116"/>
      <c r="OXK48" s="116"/>
      <c r="OXL48" s="116"/>
      <c r="OXM48" s="116"/>
      <c r="OXN48" s="116"/>
      <c r="OXO48" s="116"/>
      <c r="OXP48" s="116"/>
      <c r="OXQ48" s="116"/>
      <c r="OXR48" s="116"/>
      <c r="OXS48" s="116"/>
      <c r="OXT48" s="116"/>
      <c r="OXU48" s="116"/>
      <c r="OXV48" s="116"/>
      <c r="OXW48" s="116"/>
      <c r="OXX48" s="116"/>
      <c r="OXY48" s="116"/>
      <c r="OXZ48" s="116"/>
      <c r="OYA48" s="116"/>
      <c r="OYB48" s="116"/>
      <c r="OYC48" s="116"/>
      <c r="OYD48" s="116"/>
      <c r="OYE48" s="116"/>
      <c r="OYF48" s="116"/>
      <c r="OYG48" s="116"/>
      <c r="OYH48" s="116"/>
      <c r="OYI48" s="116"/>
      <c r="OYJ48" s="116"/>
      <c r="OYK48" s="116"/>
      <c r="OYL48" s="116"/>
      <c r="OYM48" s="116"/>
      <c r="OYN48" s="116"/>
      <c r="OYO48" s="116"/>
      <c r="OYP48" s="116"/>
      <c r="OYQ48" s="116"/>
      <c r="OYR48" s="116"/>
      <c r="OYS48" s="116"/>
      <c r="OYT48" s="116"/>
      <c r="OYU48" s="116"/>
      <c r="OYV48" s="116"/>
      <c r="OYW48" s="116"/>
      <c r="OYX48" s="116"/>
      <c r="OYY48" s="116"/>
      <c r="OYZ48" s="116"/>
      <c r="OZA48" s="116"/>
      <c r="OZB48" s="116"/>
      <c r="OZC48" s="116"/>
      <c r="OZD48" s="116"/>
      <c r="OZE48" s="116"/>
      <c r="OZF48" s="116"/>
      <c r="OZG48" s="116"/>
      <c r="OZH48" s="116"/>
      <c r="OZI48" s="116"/>
      <c r="OZJ48" s="116"/>
      <c r="OZK48" s="116"/>
      <c r="OZL48" s="116"/>
      <c r="OZM48" s="116"/>
      <c r="OZN48" s="116"/>
      <c r="OZO48" s="116"/>
      <c r="OZP48" s="116"/>
      <c r="OZQ48" s="116"/>
      <c r="OZR48" s="116"/>
      <c r="OZS48" s="116"/>
      <c r="OZT48" s="116"/>
      <c r="OZU48" s="116"/>
      <c r="OZV48" s="116"/>
      <c r="OZW48" s="116"/>
      <c r="OZX48" s="116"/>
      <c r="OZY48" s="116"/>
      <c r="OZZ48" s="116"/>
      <c r="PAA48" s="116"/>
      <c r="PAB48" s="116"/>
      <c r="PAC48" s="116"/>
      <c r="PAD48" s="116"/>
      <c r="PAE48" s="116"/>
      <c r="PAF48" s="116"/>
      <c r="PAG48" s="116"/>
      <c r="PAH48" s="116"/>
      <c r="PAI48" s="116"/>
      <c r="PAJ48" s="116"/>
      <c r="PAK48" s="116"/>
      <c r="PAL48" s="116"/>
      <c r="PAM48" s="116"/>
      <c r="PAN48" s="116"/>
      <c r="PAO48" s="116"/>
      <c r="PAP48" s="116"/>
      <c r="PAQ48" s="116"/>
      <c r="PAR48" s="116"/>
      <c r="PAS48" s="116"/>
      <c r="PAT48" s="116"/>
      <c r="PAU48" s="116"/>
      <c r="PAV48" s="116"/>
      <c r="PAW48" s="116"/>
      <c r="PAX48" s="116"/>
      <c r="PAY48" s="116"/>
      <c r="PAZ48" s="116"/>
      <c r="PBA48" s="116"/>
      <c r="PBB48" s="116"/>
      <c r="PBC48" s="116"/>
      <c r="PBD48" s="116"/>
      <c r="PBE48" s="116"/>
      <c r="PBF48" s="116"/>
      <c r="PBG48" s="116"/>
      <c r="PBH48" s="116"/>
      <c r="PBI48" s="116"/>
      <c r="PBJ48" s="116"/>
      <c r="PBK48" s="116"/>
      <c r="PBL48" s="116"/>
      <c r="PBM48" s="116"/>
      <c r="PBN48" s="116"/>
      <c r="PBO48" s="116"/>
      <c r="PBP48" s="116"/>
      <c r="PBQ48" s="116"/>
      <c r="PBR48" s="116"/>
      <c r="PBS48" s="116"/>
      <c r="PBT48" s="116"/>
      <c r="PBU48" s="116"/>
      <c r="PBV48" s="116"/>
      <c r="PBW48" s="116"/>
      <c r="PBX48" s="116"/>
      <c r="PBY48" s="116"/>
      <c r="PBZ48" s="116"/>
      <c r="PCA48" s="116"/>
      <c r="PCB48" s="116"/>
      <c r="PCC48" s="116"/>
      <c r="PCD48" s="116"/>
      <c r="PCE48" s="116"/>
      <c r="PCF48" s="116"/>
      <c r="PCG48" s="116"/>
      <c r="PCH48" s="116"/>
      <c r="PCI48" s="116"/>
      <c r="PCJ48" s="116"/>
      <c r="PCK48" s="116"/>
      <c r="PCL48" s="116"/>
      <c r="PCM48" s="116"/>
      <c r="PCN48" s="116"/>
      <c r="PCO48" s="116"/>
      <c r="PCP48" s="116"/>
      <c r="PCQ48" s="116"/>
      <c r="PCR48" s="116"/>
      <c r="PCS48" s="116"/>
      <c r="PCT48" s="116"/>
      <c r="PCU48" s="116"/>
      <c r="PCV48" s="116"/>
      <c r="PCW48" s="116"/>
      <c r="PCX48" s="116"/>
      <c r="PCY48" s="116"/>
      <c r="PCZ48" s="116"/>
      <c r="PDA48" s="116"/>
      <c r="PDB48" s="116"/>
      <c r="PDC48" s="116"/>
      <c r="PDD48" s="116"/>
      <c r="PDE48" s="116"/>
      <c r="PDF48" s="116"/>
      <c r="PDG48" s="116"/>
      <c r="PDH48" s="116"/>
      <c r="PDI48" s="116"/>
      <c r="PDJ48" s="116"/>
      <c r="PDK48" s="116"/>
      <c r="PDL48" s="116"/>
      <c r="PDM48" s="116"/>
      <c r="PDN48" s="116"/>
      <c r="PDO48" s="116"/>
      <c r="PDP48" s="116"/>
      <c r="PDQ48" s="116"/>
      <c r="PDR48" s="116"/>
      <c r="PDS48" s="116"/>
      <c r="PDT48" s="116"/>
      <c r="PDU48" s="116"/>
      <c r="PDV48" s="116"/>
      <c r="PDW48" s="116"/>
      <c r="PDX48" s="116"/>
      <c r="PDY48" s="116"/>
      <c r="PDZ48" s="116"/>
      <c r="PEA48" s="116"/>
      <c r="PEB48" s="116"/>
      <c r="PEC48" s="116"/>
      <c r="PED48" s="116"/>
      <c r="PEE48" s="116"/>
      <c r="PEF48" s="116"/>
      <c r="PEG48" s="116"/>
      <c r="PEH48" s="116"/>
      <c r="PEI48" s="116"/>
      <c r="PEJ48" s="116"/>
      <c r="PEK48" s="116"/>
      <c r="PEL48" s="116"/>
      <c r="PEM48" s="116"/>
      <c r="PEN48" s="116"/>
      <c r="PEO48" s="116"/>
      <c r="PEP48" s="116"/>
      <c r="PEQ48" s="116"/>
      <c r="PER48" s="116"/>
      <c r="PES48" s="116"/>
      <c r="PET48" s="116"/>
      <c r="PEU48" s="116"/>
      <c r="PEV48" s="116"/>
      <c r="PEW48" s="116"/>
      <c r="PEX48" s="116"/>
      <c r="PEY48" s="116"/>
      <c r="PEZ48" s="116"/>
      <c r="PFA48" s="116"/>
      <c r="PFB48" s="116"/>
      <c r="PFC48" s="116"/>
      <c r="PFD48" s="116"/>
      <c r="PFE48" s="116"/>
      <c r="PFF48" s="116"/>
      <c r="PFG48" s="116"/>
      <c r="PFH48" s="116"/>
      <c r="PFI48" s="116"/>
      <c r="PFJ48" s="116"/>
      <c r="PFK48" s="116"/>
      <c r="PFL48" s="116"/>
      <c r="PFM48" s="116"/>
      <c r="PFN48" s="116"/>
      <c r="PFO48" s="116"/>
      <c r="PFP48" s="116"/>
      <c r="PFQ48" s="116"/>
      <c r="PFR48" s="116"/>
      <c r="PFS48" s="116"/>
      <c r="PFT48" s="116"/>
      <c r="PFU48" s="116"/>
      <c r="PFV48" s="116"/>
      <c r="PFW48" s="116"/>
      <c r="PFX48" s="116"/>
      <c r="PFY48" s="116"/>
      <c r="PFZ48" s="116"/>
      <c r="PGA48" s="116"/>
      <c r="PGB48" s="116"/>
      <c r="PGC48" s="116"/>
      <c r="PGD48" s="116"/>
      <c r="PGE48" s="116"/>
      <c r="PGF48" s="116"/>
      <c r="PGG48" s="116"/>
      <c r="PGH48" s="116"/>
      <c r="PGI48" s="116"/>
      <c r="PGJ48" s="116"/>
      <c r="PGK48" s="116"/>
      <c r="PGL48" s="116"/>
      <c r="PGM48" s="116"/>
      <c r="PGN48" s="116"/>
      <c r="PGO48" s="116"/>
      <c r="PGP48" s="116"/>
      <c r="PGQ48" s="116"/>
      <c r="PGR48" s="116"/>
      <c r="PGS48" s="116"/>
      <c r="PGT48" s="116"/>
      <c r="PGU48" s="116"/>
      <c r="PGV48" s="116"/>
      <c r="PGW48" s="116"/>
      <c r="PGX48" s="116"/>
      <c r="PGY48" s="116"/>
      <c r="PGZ48" s="116"/>
      <c r="PHA48" s="116"/>
      <c r="PHB48" s="116"/>
      <c r="PHC48" s="116"/>
      <c r="PHD48" s="116"/>
      <c r="PHE48" s="116"/>
      <c r="PHF48" s="116"/>
      <c r="PHG48" s="116"/>
      <c r="PHH48" s="116"/>
      <c r="PHI48" s="116"/>
      <c r="PHJ48" s="116"/>
      <c r="PHK48" s="116"/>
      <c r="PHL48" s="116"/>
      <c r="PHM48" s="116"/>
      <c r="PHN48" s="116"/>
      <c r="PHO48" s="116"/>
      <c r="PHP48" s="116"/>
      <c r="PHQ48" s="116"/>
      <c r="PHR48" s="116"/>
      <c r="PHS48" s="116"/>
      <c r="PHT48" s="116"/>
      <c r="PHU48" s="116"/>
      <c r="PHV48" s="116"/>
      <c r="PHW48" s="116"/>
      <c r="PHX48" s="116"/>
      <c r="PHY48" s="116"/>
      <c r="PHZ48" s="116"/>
      <c r="PIA48" s="116"/>
      <c r="PIB48" s="116"/>
      <c r="PIC48" s="116"/>
      <c r="PID48" s="116"/>
      <c r="PIE48" s="116"/>
      <c r="PIF48" s="116"/>
      <c r="PIG48" s="116"/>
      <c r="PIH48" s="116"/>
      <c r="PII48" s="116"/>
      <c r="PIJ48" s="116"/>
      <c r="PIK48" s="116"/>
      <c r="PIL48" s="116"/>
      <c r="PIM48" s="116"/>
      <c r="PIN48" s="116"/>
      <c r="PIO48" s="116"/>
      <c r="PIP48" s="116"/>
      <c r="PIQ48" s="116"/>
      <c r="PIR48" s="116"/>
      <c r="PIS48" s="116"/>
      <c r="PIT48" s="116"/>
      <c r="PIU48" s="116"/>
      <c r="PIV48" s="116"/>
      <c r="PIW48" s="116"/>
      <c r="PIX48" s="116"/>
      <c r="PIY48" s="116"/>
      <c r="PIZ48" s="116"/>
      <c r="PJA48" s="116"/>
      <c r="PJB48" s="116"/>
      <c r="PJC48" s="116"/>
      <c r="PJD48" s="116"/>
      <c r="PJE48" s="116"/>
      <c r="PJF48" s="116"/>
      <c r="PJG48" s="116"/>
      <c r="PJH48" s="116"/>
      <c r="PJI48" s="116"/>
      <c r="PJJ48" s="116"/>
      <c r="PJK48" s="116"/>
      <c r="PJL48" s="116"/>
      <c r="PJM48" s="116"/>
      <c r="PJN48" s="116"/>
      <c r="PJO48" s="116"/>
      <c r="PJP48" s="116"/>
      <c r="PJQ48" s="116"/>
      <c r="PJR48" s="116"/>
      <c r="PJS48" s="116"/>
      <c r="PJT48" s="116"/>
      <c r="PJU48" s="116"/>
      <c r="PJV48" s="116"/>
      <c r="PJW48" s="116"/>
      <c r="PJX48" s="116"/>
      <c r="PJY48" s="116"/>
      <c r="PJZ48" s="116"/>
      <c r="PKA48" s="116"/>
      <c r="PKB48" s="116"/>
      <c r="PKC48" s="116"/>
      <c r="PKD48" s="116"/>
      <c r="PKE48" s="116"/>
      <c r="PKF48" s="116"/>
      <c r="PKG48" s="116"/>
      <c r="PKH48" s="116"/>
      <c r="PKI48" s="116"/>
      <c r="PKJ48" s="116"/>
      <c r="PKK48" s="116"/>
      <c r="PKL48" s="116"/>
      <c r="PKM48" s="116"/>
      <c r="PKN48" s="116"/>
      <c r="PKO48" s="116"/>
      <c r="PKP48" s="116"/>
      <c r="PKQ48" s="116"/>
      <c r="PKR48" s="116"/>
      <c r="PKS48" s="116"/>
      <c r="PKT48" s="116"/>
      <c r="PKU48" s="116"/>
      <c r="PKV48" s="116"/>
      <c r="PKW48" s="116"/>
      <c r="PKX48" s="116"/>
      <c r="PKY48" s="116"/>
      <c r="PKZ48" s="116"/>
      <c r="PLA48" s="116"/>
      <c r="PLB48" s="116"/>
      <c r="PLC48" s="116"/>
      <c r="PLD48" s="116"/>
      <c r="PLE48" s="116"/>
      <c r="PLF48" s="116"/>
      <c r="PLG48" s="116"/>
      <c r="PLH48" s="116"/>
      <c r="PLI48" s="116"/>
      <c r="PLJ48" s="116"/>
      <c r="PLK48" s="116"/>
      <c r="PLL48" s="116"/>
      <c r="PLM48" s="116"/>
      <c r="PLN48" s="116"/>
      <c r="PLO48" s="116"/>
      <c r="PLP48" s="116"/>
      <c r="PLQ48" s="116"/>
      <c r="PLR48" s="116"/>
      <c r="PLS48" s="116"/>
      <c r="PLT48" s="116"/>
      <c r="PLU48" s="116"/>
      <c r="PLV48" s="116"/>
      <c r="PLW48" s="116"/>
      <c r="PLX48" s="116"/>
      <c r="PLY48" s="116"/>
      <c r="PLZ48" s="116"/>
      <c r="PMA48" s="116"/>
      <c r="PMB48" s="116"/>
      <c r="PMC48" s="116"/>
      <c r="PMD48" s="116"/>
      <c r="PME48" s="116"/>
      <c r="PMF48" s="116"/>
      <c r="PMG48" s="116"/>
      <c r="PMH48" s="116"/>
      <c r="PMI48" s="116"/>
      <c r="PMJ48" s="116"/>
      <c r="PMK48" s="116"/>
      <c r="PML48" s="116"/>
      <c r="PMM48" s="116"/>
      <c r="PMN48" s="116"/>
      <c r="PMO48" s="116"/>
      <c r="PMP48" s="116"/>
      <c r="PMQ48" s="116"/>
      <c r="PMR48" s="116"/>
      <c r="PMS48" s="116"/>
      <c r="PMT48" s="116"/>
      <c r="PMU48" s="116"/>
      <c r="PMV48" s="116"/>
      <c r="PMW48" s="116"/>
      <c r="PMX48" s="116"/>
      <c r="PMY48" s="116"/>
      <c r="PMZ48" s="116"/>
      <c r="PNA48" s="116"/>
      <c r="PNB48" s="116"/>
      <c r="PNC48" s="116"/>
      <c r="PND48" s="116"/>
      <c r="PNE48" s="116"/>
      <c r="PNF48" s="116"/>
      <c r="PNG48" s="116"/>
      <c r="PNH48" s="116"/>
      <c r="PNI48" s="116"/>
      <c r="PNJ48" s="116"/>
      <c r="PNK48" s="116"/>
      <c r="PNL48" s="116"/>
      <c r="PNM48" s="116"/>
      <c r="PNN48" s="116"/>
      <c r="PNO48" s="116"/>
      <c r="PNP48" s="116"/>
      <c r="PNQ48" s="116"/>
      <c r="PNR48" s="116"/>
      <c r="PNS48" s="116"/>
      <c r="PNT48" s="116"/>
      <c r="PNU48" s="116"/>
      <c r="PNV48" s="116"/>
      <c r="PNW48" s="116"/>
      <c r="PNX48" s="116"/>
      <c r="PNY48" s="116"/>
      <c r="PNZ48" s="116"/>
      <c r="POA48" s="116"/>
      <c r="POB48" s="116"/>
      <c r="POC48" s="116"/>
      <c r="POD48" s="116"/>
      <c r="POE48" s="116"/>
      <c r="POF48" s="116"/>
      <c r="POG48" s="116"/>
      <c r="POH48" s="116"/>
      <c r="POI48" s="116"/>
      <c r="POJ48" s="116"/>
      <c r="POK48" s="116"/>
      <c r="POL48" s="116"/>
      <c r="POM48" s="116"/>
      <c r="PON48" s="116"/>
      <c r="POO48" s="116"/>
      <c r="POP48" s="116"/>
      <c r="POQ48" s="116"/>
      <c r="POR48" s="116"/>
      <c r="POS48" s="116"/>
      <c r="POT48" s="116"/>
      <c r="POU48" s="116"/>
      <c r="POV48" s="116"/>
      <c r="POW48" s="116"/>
      <c r="POX48" s="116"/>
      <c r="POY48" s="116"/>
      <c r="POZ48" s="116"/>
      <c r="PPA48" s="116"/>
      <c r="PPB48" s="116"/>
      <c r="PPC48" s="116"/>
      <c r="PPD48" s="116"/>
      <c r="PPE48" s="116"/>
      <c r="PPF48" s="116"/>
      <c r="PPG48" s="116"/>
      <c r="PPH48" s="116"/>
      <c r="PPI48" s="116"/>
      <c r="PPJ48" s="116"/>
      <c r="PPK48" s="116"/>
      <c r="PPL48" s="116"/>
      <c r="PPM48" s="116"/>
      <c r="PPN48" s="116"/>
      <c r="PPO48" s="116"/>
      <c r="PPP48" s="116"/>
      <c r="PPQ48" s="116"/>
      <c r="PPR48" s="116"/>
      <c r="PPS48" s="116"/>
      <c r="PPT48" s="116"/>
      <c r="PPU48" s="116"/>
      <c r="PPV48" s="116"/>
      <c r="PPW48" s="116"/>
      <c r="PPX48" s="116"/>
      <c r="PPY48" s="116"/>
      <c r="PPZ48" s="116"/>
      <c r="PQA48" s="116"/>
      <c r="PQB48" s="116"/>
      <c r="PQC48" s="116"/>
      <c r="PQD48" s="116"/>
      <c r="PQE48" s="116"/>
      <c r="PQF48" s="116"/>
      <c r="PQG48" s="116"/>
      <c r="PQH48" s="116"/>
      <c r="PQI48" s="116"/>
      <c r="PQJ48" s="116"/>
      <c r="PQK48" s="116"/>
      <c r="PQL48" s="116"/>
      <c r="PQM48" s="116"/>
      <c r="PQN48" s="116"/>
      <c r="PQO48" s="116"/>
      <c r="PQP48" s="116"/>
      <c r="PQQ48" s="116"/>
      <c r="PQR48" s="116"/>
      <c r="PQS48" s="116"/>
      <c r="PQT48" s="116"/>
      <c r="PQU48" s="116"/>
      <c r="PQV48" s="116"/>
      <c r="PQW48" s="116"/>
      <c r="PQX48" s="116"/>
      <c r="PQY48" s="116"/>
      <c r="PQZ48" s="116"/>
      <c r="PRA48" s="116"/>
      <c r="PRB48" s="116"/>
      <c r="PRC48" s="116"/>
      <c r="PRD48" s="116"/>
      <c r="PRE48" s="116"/>
      <c r="PRF48" s="116"/>
      <c r="PRG48" s="116"/>
      <c r="PRH48" s="116"/>
      <c r="PRI48" s="116"/>
      <c r="PRJ48" s="116"/>
      <c r="PRK48" s="116"/>
      <c r="PRL48" s="116"/>
      <c r="PRM48" s="116"/>
      <c r="PRN48" s="116"/>
      <c r="PRO48" s="116"/>
      <c r="PRP48" s="116"/>
      <c r="PRQ48" s="116"/>
      <c r="PRR48" s="116"/>
      <c r="PRS48" s="116"/>
      <c r="PRT48" s="116"/>
      <c r="PRU48" s="116"/>
      <c r="PRV48" s="116"/>
      <c r="PRW48" s="116"/>
      <c r="PRX48" s="116"/>
      <c r="PRY48" s="116"/>
      <c r="PRZ48" s="116"/>
      <c r="PSA48" s="116"/>
      <c r="PSB48" s="116"/>
      <c r="PSC48" s="116"/>
      <c r="PSD48" s="116"/>
      <c r="PSE48" s="116"/>
      <c r="PSF48" s="116"/>
      <c r="PSG48" s="116"/>
      <c r="PSH48" s="116"/>
      <c r="PSI48" s="116"/>
      <c r="PSJ48" s="116"/>
      <c r="PSK48" s="116"/>
      <c r="PSL48" s="116"/>
      <c r="PSM48" s="116"/>
      <c r="PSN48" s="116"/>
      <c r="PSO48" s="116"/>
      <c r="PSP48" s="116"/>
      <c r="PSQ48" s="116"/>
      <c r="PSR48" s="116"/>
      <c r="PSS48" s="116"/>
      <c r="PST48" s="116"/>
      <c r="PSU48" s="116"/>
      <c r="PSV48" s="116"/>
      <c r="PSW48" s="116"/>
      <c r="PSX48" s="116"/>
      <c r="PSY48" s="116"/>
      <c r="PSZ48" s="116"/>
      <c r="PTA48" s="116"/>
      <c r="PTB48" s="116"/>
      <c r="PTC48" s="116"/>
      <c r="PTD48" s="116"/>
      <c r="PTE48" s="116"/>
      <c r="PTF48" s="116"/>
      <c r="PTG48" s="116"/>
      <c r="PTH48" s="116"/>
      <c r="PTI48" s="116"/>
      <c r="PTJ48" s="116"/>
      <c r="PTK48" s="116"/>
      <c r="PTL48" s="116"/>
      <c r="PTM48" s="116"/>
      <c r="PTN48" s="116"/>
      <c r="PTO48" s="116"/>
      <c r="PTP48" s="116"/>
      <c r="PTQ48" s="116"/>
      <c r="PTR48" s="116"/>
      <c r="PTS48" s="116"/>
      <c r="PTT48" s="116"/>
      <c r="PTU48" s="116"/>
      <c r="PTV48" s="116"/>
      <c r="PTW48" s="116"/>
      <c r="PTX48" s="116"/>
      <c r="PTY48" s="116"/>
      <c r="PTZ48" s="116"/>
      <c r="PUA48" s="116"/>
      <c r="PUB48" s="116"/>
      <c r="PUC48" s="116"/>
      <c r="PUD48" s="116"/>
      <c r="PUE48" s="116"/>
      <c r="PUF48" s="116"/>
      <c r="PUG48" s="116"/>
      <c r="PUH48" s="116"/>
      <c r="PUI48" s="116"/>
      <c r="PUJ48" s="116"/>
      <c r="PUK48" s="116"/>
      <c r="PUL48" s="116"/>
      <c r="PUM48" s="116"/>
      <c r="PUN48" s="116"/>
      <c r="PUO48" s="116"/>
      <c r="PUP48" s="116"/>
      <c r="PUQ48" s="116"/>
      <c r="PUR48" s="116"/>
      <c r="PUS48" s="116"/>
      <c r="PUT48" s="116"/>
      <c r="PUU48" s="116"/>
      <c r="PUV48" s="116"/>
      <c r="PUW48" s="116"/>
      <c r="PUX48" s="116"/>
      <c r="PUY48" s="116"/>
      <c r="PUZ48" s="116"/>
      <c r="PVA48" s="116"/>
      <c r="PVB48" s="116"/>
      <c r="PVC48" s="116"/>
      <c r="PVD48" s="116"/>
      <c r="PVE48" s="116"/>
      <c r="PVF48" s="116"/>
      <c r="PVG48" s="116"/>
      <c r="PVH48" s="116"/>
      <c r="PVI48" s="116"/>
      <c r="PVJ48" s="116"/>
      <c r="PVK48" s="116"/>
      <c r="PVL48" s="116"/>
      <c r="PVM48" s="116"/>
      <c r="PVN48" s="116"/>
      <c r="PVO48" s="116"/>
      <c r="PVP48" s="116"/>
      <c r="PVQ48" s="116"/>
      <c r="PVR48" s="116"/>
      <c r="PVS48" s="116"/>
      <c r="PVT48" s="116"/>
      <c r="PVU48" s="116"/>
      <c r="PVV48" s="116"/>
      <c r="PVW48" s="116"/>
      <c r="PVX48" s="116"/>
      <c r="PVY48" s="116"/>
      <c r="PVZ48" s="116"/>
      <c r="PWA48" s="116"/>
      <c r="PWB48" s="116"/>
      <c r="PWC48" s="116"/>
      <c r="PWD48" s="116"/>
      <c r="PWE48" s="116"/>
      <c r="PWF48" s="116"/>
      <c r="PWG48" s="116"/>
      <c r="PWH48" s="116"/>
      <c r="PWI48" s="116"/>
      <c r="PWJ48" s="116"/>
      <c r="PWK48" s="116"/>
      <c r="PWL48" s="116"/>
      <c r="PWM48" s="116"/>
      <c r="PWN48" s="116"/>
      <c r="PWO48" s="116"/>
      <c r="PWP48" s="116"/>
      <c r="PWQ48" s="116"/>
      <c r="PWR48" s="116"/>
      <c r="PWS48" s="116"/>
      <c r="PWT48" s="116"/>
      <c r="PWU48" s="116"/>
      <c r="PWV48" s="116"/>
      <c r="PWW48" s="116"/>
      <c r="PWX48" s="116"/>
      <c r="PWY48" s="116"/>
      <c r="PWZ48" s="116"/>
      <c r="PXA48" s="116"/>
      <c r="PXB48" s="116"/>
      <c r="PXC48" s="116"/>
      <c r="PXD48" s="116"/>
      <c r="PXE48" s="116"/>
      <c r="PXF48" s="116"/>
      <c r="PXG48" s="116"/>
      <c r="PXH48" s="116"/>
      <c r="PXI48" s="116"/>
      <c r="PXJ48" s="116"/>
      <c r="PXK48" s="116"/>
      <c r="PXL48" s="116"/>
      <c r="PXM48" s="116"/>
      <c r="PXN48" s="116"/>
      <c r="PXO48" s="116"/>
      <c r="PXP48" s="116"/>
      <c r="PXQ48" s="116"/>
      <c r="PXR48" s="116"/>
      <c r="PXS48" s="116"/>
      <c r="PXT48" s="116"/>
      <c r="PXU48" s="116"/>
      <c r="PXV48" s="116"/>
      <c r="PXW48" s="116"/>
      <c r="PXX48" s="116"/>
      <c r="PXY48" s="116"/>
      <c r="PXZ48" s="116"/>
      <c r="PYA48" s="116"/>
      <c r="PYB48" s="116"/>
      <c r="PYC48" s="116"/>
      <c r="PYD48" s="116"/>
      <c r="PYE48" s="116"/>
      <c r="PYF48" s="116"/>
      <c r="PYG48" s="116"/>
      <c r="PYH48" s="116"/>
      <c r="PYI48" s="116"/>
      <c r="PYJ48" s="116"/>
      <c r="PYK48" s="116"/>
      <c r="PYL48" s="116"/>
      <c r="PYM48" s="116"/>
      <c r="PYN48" s="116"/>
      <c r="PYO48" s="116"/>
      <c r="PYP48" s="116"/>
      <c r="PYQ48" s="116"/>
      <c r="PYR48" s="116"/>
      <c r="PYS48" s="116"/>
      <c r="PYT48" s="116"/>
      <c r="PYU48" s="116"/>
      <c r="PYV48" s="116"/>
      <c r="PYW48" s="116"/>
      <c r="PYX48" s="116"/>
      <c r="PYY48" s="116"/>
      <c r="PYZ48" s="116"/>
      <c r="PZA48" s="116"/>
      <c r="PZB48" s="116"/>
      <c r="PZC48" s="116"/>
      <c r="PZD48" s="116"/>
      <c r="PZE48" s="116"/>
      <c r="PZF48" s="116"/>
      <c r="PZG48" s="116"/>
      <c r="PZH48" s="116"/>
      <c r="PZI48" s="116"/>
      <c r="PZJ48" s="116"/>
      <c r="PZK48" s="116"/>
      <c r="PZL48" s="116"/>
      <c r="PZM48" s="116"/>
      <c r="PZN48" s="116"/>
      <c r="PZO48" s="116"/>
      <c r="PZP48" s="116"/>
      <c r="PZQ48" s="116"/>
      <c r="PZR48" s="116"/>
      <c r="PZS48" s="116"/>
      <c r="PZT48" s="116"/>
      <c r="PZU48" s="116"/>
      <c r="PZV48" s="116"/>
      <c r="PZW48" s="116"/>
      <c r="PZX48" s="116"/>
      <c r="PZY48" s="116"/>
      <c r="PZZ48" s="116"/>
      <c r="QAA48" s="116"/>
      <c r="QAB48" s="116"/>
      <c r="QAC48" s="116"/>
      <c r="QAD48" s="116"/>
      <c r="QAE48" s="116"/>
      <c r="QAF48" s="116"/>
      <c r="QAG48" s="116"/>
      <c r="QAH48" s="116"/>
      <c r="QAI48" s="116"/>
      <c r="QAJ48" s="116"/>
      <c r="QAK48" s="116"/>
      <c r="QAL48" s="116"/>
      <c r="QAM48" s="116"/>
      <c r="QAN48" s="116"/>
      <c r="QAO48" s="116"/>
      <c r="QAP48" s="116"/>
      <c r="QAQ48" s="116"/>
      <c r="QAR48" s="116"/>
      <c r="QAS48" s="116"/>
      <c r="QAT48" s="116"/>
      <c r="QAU48" s="116"/>
      <c r="QAV48" s="116"/>
      <c r="QAW48" s="116"/>
      <c r="QAX48" s="116"/>
      <c r="QAY48" s="116"/>
      <c r="QAZ48" s="116"/>
      <c r="QBA48" s="116"/>
      <c r="QBB48" s="116"/>
      <c r="QBC48" s="116"/>
      <c r="QBD48" s="116"/>
      <c r="QBE48" s="116"/>
      <c r="QBF48" s="116"/>
      <c r="QBG48" s="116"/>
      <c r="QBH48" s="116"/>
      <c r="QBI48" s="116"/>
      <c r="QBJ48" s="116"/>
      <c r="QBK48" s="116"/>
      <c r="QBL48" s="116"/>
      <c r="QBM48" s="116"/>
      <c r="QBN48" s="116"/>
      <c r="QBO48" s="116"/>
      <c r="QBP48" s="116"/>
      <c r="QBQ48" s="116"/>
      <c r="QBR48" s="116"/>
      <c r="QBS48" s="116"/>
      <c r="QBT48" s="116"/>
      <c r="QBU48" s="116"/>
      <c r="QBV48" s="116"/>
      <c r="QBW48" s="116"/>
      <c r="QBX48" s="116"/>
      <c r="QBY48" s="116"/>
      <c r="QBZ48" s="116"/>
      <c r="QCA48" s="116"/>
      <c r="QCB48" s="116"/>
      <c r="QCC48" s="116"/>
      <c r="QCD48" s="116"/>
      <c r="QCE48" s="116"/>
      <c r="QCF48" s="116"/>
      <c r="QCG48" s="116"/>
      <c r="QCH48" s="116"/>
      <c r="QCI48" s="116"/>
      <c r="QCJ48" s="116"/>
      <c r="QCK48" s="116"/>
      <c r="QCL48" s="116"/>
      <c r="QCM48" s="116"/>
      <c r="QCN48" s="116"/>
      <c r="QCO48" s="116"/>
      <c r="QCP48" s="116"/>
      <c r="QCQ48" s="116"/>
      <c r="QCR48" s="116"/>
      <c r="QCS48" s="116"/>
      <c r="QCT48" s="116"/>
      <c r="QCU48" s="116"/>
      <c r="QCV48" s="116"/>
      <c r="QCW48" s="116"/>
      <c r="QCX48" s="116"/>
      <c r="QCY48" s="116"/>
      <c r="QCZ48" s="116"/>
      <c r="QDA48" s="116"/>
      <c r="QDB48" s="116"/>
      <c r="QDC48" s="116"/>
      <c r="QDD48" s="116"/>
      <c r="QDE48" s="116"/>
      <c r="QDF48" s="116"/>
      <c r="QDG48" s="116"/>
      <c r="QDH48" s="116"/>
      <c r="QDI48" s="116"/>
      <c r="QDJ48" s="116"/>
      <c r="QDK48" s="116"/>
      <c r="QDL48" s="116"/>
      <c r="QDM48" s="116"/>
      <c r="QDN48" s="116"/>
      <c r="QDO48" s="116"/>
      <c r="QDP48" s="116"/>
      <c r="QDQ48" s="116"/>
      <c r="QDR48" s="116"/>
      <c r="QDS48" s="116"/>
      <c r="QDT48" s="116"/>
      <c r="QDU48" s="116"/>
      <c r="QDV48" s="116"/>
      <c r="QDW48" s="116"/>
      <c r="QDX48" s="116"/>
      <c r="QDY48" s="116"/>
      <c r="QDZ48" s="116"/>
      <c r="QEA48" s="116"/>
      <c r="QEB48" s="116"/>
      <c r="QEC48" s="116"/>
      <c r="QED48" s="116"/>
      <c r="QEE48" s="116"/>
      <c r="QEF48" s="116"/>
      <c r="QEG48" s="116"/>
      <c r="QEH48" s="116"/>
      <c r="QEI48" s="116"/>
      <c r="QEJ48" s="116"/>
      <c r="QEK48" s="116"/>
      <c r="QEL48" s="116"/>
      <c r="QEM48" s="116"/>
      <c r="QEN48" s="116"/>
      <c r="QEO48" s="116"/>
      <c r="QEP48" s="116"/>
      <c r="QEQ48" s="116"/>
      <c r="QER48" s="116"/>
      <c r="QES48" s="116"/>
      <c r="QET48" s="116"/>
      <c r="QEU48" s="116"/>
      <c r="QEV48" s="116"/>
      <c r="QEW48" s="116"/>
      <c r="QEX48" s="116"/>
      <c r="QEY48" s="116"/>
      <c r="QEZ48" s="116"/>
      <c r="QFA48" s="116"/>
      <c r="QFB48" s="116"/>
      <c r="QFC48" s="116"/>
      <c r="QFD48" s="116"/>
      <c r="QFE48" s="116"/>
      <c r="QFF48" s="116"/>
      <c r="QFG48" s="116"/>
      <c r="QFH48" s="116"/>
      <c r="QFI48" s="116"/>
      <c r="QFJ48" s="116"/>
      <c r="QFK48" s="116"/>
      <c r="QFL48" s="116"/>
      <c r="QFM48" s="116"/>
      <c r="QFN48" s="116"/>
      <c r="QFO48" s="116"/>
      <c r="QFP48" s="116"/>
      <c r="QFQ48" s="116"/>
      <c r="QFR48" s="116"/>
      <c r="QFS48" s="116"/>
      <c r="QFT48" s="116"/>
      <c r="QFU48" s="116"/>
      <c r="QFV48" s="116"/>
      <c r="QFW48" s="116"/>
      <c r="QFX48" s="116"/>
      <c r="QFY48" s="116"/>
      <c r="QFZ48" s="116"/>
      <c r="QGA48" s="116"/>
      <c r="QGB48" s="116"/>
      <c r="QGC48" s="116"/>
      <c r="QGD48" s="116"/>
      <c r="QGE48" s="116"/>
      <c r="QGF48" s="116"/>
      <c r="QGG48" s="116"/>
      <c r="QGH48" s="116"/>
      <c r="QGI48" s="116"/>
      <c r="QGJ48" s="116"/>
      <c r="QGK48" s="116"/>
      <c r="QGL48" s="116"/>
      <c r="QGM48" s="116"/>
      <c r="QGN48" s="116"/>
      <c r="QGO48" s="116"/>
      <c r="QGP48" s="116"/>
      <c r="QGQ48" s="116"/>
      <c r="QGR48" s="116"/>
      <c r="QGS48" s="116"/>
      <c r="QGT48" s="116"/>
      <c r="QGU48" s="116"/>
      <c r="QGV48" s="116"/>
      <c r="QGW48" s="116"/>
      <c r="QGX48" s="116"/>
      <c r="QGY48" s="116"/>
      <c r="QGZ48" s="116"/>
      <c r="QHA48" s="116"/>
      <c r="QHB48" s="116"/>
      <c r="QHC48" s="116"/>
      <c r="QHD48" s="116"/>
      <c r="QHE48" s="116"/>
      <c r="QHF48" s="116"/>
      <c r="QHG48" s="116"/>
      <c r="QHH48" s="116"/>
      <c r="QHI48" s="116"/>
      <c r="QHJ48" s="116"/>
      <c r="QHK48" s="116"/>
      <c r="QHL48" s="116"/>
      <c r="QHM48" s="116"/>
      <c r="QHN48" s="116"/>
      <c r="QHO48" s="116"/>
      <c r="QHP48" s="116"/>
      <c r="QHQ48" s="116"/>
      <c r="QHR48" s="116"/>
      <c r="QHS48" s="116"/>
      <c r="QHT48" s="116"/>
      <c r="QHU48" s="116"/>
      <c r="QHV48" s="116"/>
      <c r="QHW48" s="116"/>
      <c r="QHX48" s="116"/>
      <c r="QHY48" s="116"/>
      <c r="QHZ48" s="116"/>
      <c r="QIA48" s="116"/>
      <c r="QIB48" s="116"/>
      <c r="QIC48" s="116"/>
      <c r="QID48" s="116"/>
      <c r="QIE48" s="116"/>
      <c r="QIF48" s="116"/>
      <c r="QIG48" s="116"/>
      <c r="QIH48" s="116"/>
      <c r="QII48" s="116"/>
      <c r="QIJ48" s="116"/>
      <c r="QIK48" s="116"/>
      <c r="QIL48" s="116"/>
      <c r="QIM48" s="116"/>
      <c r="QIN48" s="116"/>
      <c r="QIO48" s="116"/>
      <c r="QIP48" s="116"/>
      <c r="QIQ48" s="116"/>
      <c r="QIR48" s="116"/>
      <c r="QIS48" s="116"/>
      <c r="QIT48" s="116"/>
      <c r="QIU48" s="116"/>
      <c r="QIV48" s="116"/>
      <c r="QIW48" s="116"/>
      <c r="QIX48" s="116"/>
      <c r="QIY48" s="116"/>
      <c r="QIZ48" s="116"/>
      <c r="QJA48" s="116"/>
      <c r="QJB48" s="116"/>
      <c r="QJC48" s="116"/>
      <c r="QJD48" s="116"/>
      <c r="QJE48" s="116"/>
      <c r="QJF48" s="116"/>
      <c r="QJG48" s="116"/>
      <c r="QJH48" s="116"/>
      <c r="QJI48" s="116"/>
      <c r="QJJ48" s="116"/>
      <c r="QJK48" s="116"/>
      <c r="QJL48" s="116"/>
      <c r="QJM48" s="116"/>
      <c r="QJN48" s="116"/>
      <c r="QJO48" s="116"/>
      <c r="QJP48" s="116"/>
      <c r="QJQ48" s="116"/>
      <c r="QJR48" s="116"/>
      <c r="QJS48" s="116"/>
      <c r="QJT48" s="116"/>
      <c r="QJU48" s="116"/>
      <c r="QJV48" s="116"/>
      <c r="QJW48" s="116"/>
      <c r="QJX48" s="116"/>
      <c r="QJY48" s="116"/>
      <c r="QJZ48" s="116"/>
      <c r="QKA48" s="116"/>
      <c r="QKB48" s="116"/>
      <c r="QKC48" s="116"/>
      <c r="QKD48" s="116"/>
      <c r="QKE48" s="116"/>
      <c r="QKF48" s="116"/>
      <c r="QKG48" s="116"/>
      <c r="QKH48" s="116"/>
      <c r="QKI48" s="116"/>
      <c r="QKJ48" s="116"/>
      <c r="QKK48" s="116"/>
      <c r="QKL48" s="116"/>
      <c r="QKM48" s="116"/>
      <c r="QKN48" s="116"/>
      <c r="QKO48" s="116"/>
      <c r="QKP48" s="116"/>
      <c r="QKQ48" s="116"/>
      <c r="QKR48" s="116"/>
      <c r="QKS48" s="116"/>
      <c r="QKT48" s="116"/>
      <c r="QKU48" s="116"/>
      <c r="QKV48" s="116"/>
      <c r="QKW48" s="116"/>
      <c r="QKX48" s="116"/>
      <c r="QKY48" s="116"/>
      <c r="QKZ48" s="116"/>
      <c r="QLA48" s="116"/>
      <c r="QLB48" s="116"/>
      <c r="QLC48" s="116"/>
      <c r="QLD48" s="116"/>
      <c r="QLE48" s="116"/>
      <c r="QLF48" s="116"/>
      <c r="QLG48" s="116"/>
      <c r="QLH48" s="116"/>
      <c r="QLI48" s="116"/>
      <c r="QLJ48" s="116"/>
      <c r="QLK48" s="116"/>
      <c r="QLL48" s="116"/>
      <c r="QLM48" s="116"/>
      <c r="QLN48" s="116"/>
      <c r="QLO48" s="116"/>
      <c r="QLP48" s="116"/>
      <c r="QLQ48" s="116"/>
      <c r="QLR48" s="116"/>
      <c r="QLS48" s="116"/>
      <c r="QLT48" s="116"/>
      <c r="QLU48" s="116"/>
      <c r="QLV48" s="116"/>
      <c r="QLW48" s="116"/>
      <c r="QLX48" s="116"/>
      <c r="QLY48" s="116"/>
      <c r="QLZ48" s="116"/>
      <c r="QMA48" s="116"/>
      <c r="QMB48" s="116"/>
      <c r="QMC48" s="116"/>
      <c r="QMD48" s="116"/>
      <c r="QME48" s="116"/>
      <c r="QMF48" s="116"/>
      <c r="QMG48" s="116"/>
      <c r="QMH48" s="116"/>
      <c r="QMI48" s="116"/>
      <c r="QMJ48" s="116"/>
      <c r="QMK48" s="116"/>
      <c r="QML48" s="116"/>
      <c r="QMM48" s="116"/>
      <c r="QMN48" s="116"/>
      <c r="QMO48" s="116"/>
      <c r="QMP48" s="116"/>
      <c r="QMQ48" s="116"/>
      <c r="QMR48" s="116"/>
      <c r="QMS48" s="116"/>
      <c r="QMT48" s="116"/>
      <c r="QMU48" s="116"/>
      <c r="QMV48" s="116"/>
      <c r="QMW48" s="116"/>
      <c r="QMX48" s="116"/>
      <c r="QMY48" s="116"/>
      <c r="QMZ48" s="116"/>
      <c r="QNA48" s="116"/>
      <c r="QNB48" s="116"/>
      <c r="QNC48" s="116"/>
      <c r="QND48" s="116"/>
      <c r="QNE48" s="116"/>
      <c r="QNF48" s="116"/>
      <c r="QNG48" s="116"/>
      <c r="QNH48" s="116"/>
      <c r="QNI48" s="116"/>
      <c r="QNJ48" s="116"/>
      <c r="QNK48" s="116"/>
      <c r="QNL48" s="116"/>
      <c r="QNM48" s="116"/>
      <c r="QNN48" s="116"/>
      <c r="QNO48" s="116"/>
      <c r="QNP48" s="116"/>
      <c r="QNQ48" s="116"/>
      <c r="QNR48" s="116"/>
      <c r="QNS48" s="116"/>
      <c r="QNT48" s="116"/>
      <c r="QNU48" s="116"/>
      <c r="QNV48" s="116"/>
      <c r="QNW48" s="116"/>
      <c r="QNX48" s="116"/>
      <c r="QNY48" s="116"/>
      <c r="QNZ48" s="116"/>
      <c r="QOA48" s="116"/>
      <c r="QOB48" s="116"/>
      <c r="QOC48" s="116"/>
      <c r="QOD48" s="116"/>
      <c r="QOE48" s="116"/>
      <c r="QOF48" s="116"/>
      <c r="QOG48" s="116"/>
      <c r="QOH48" s="116"/>
      <c r="QOI48" s="116"/>
      <c r="QOJ48" s="116"/>
      <c r="QOK48" s="116"/>
      <c r="QOL48" s="116"/>
      <c r="QOM48" s="116"/>
      <c r="QON48" s="116"/>
      <c r="QOO48" s="116"/>
      <c r="QOP48" s="116"/>
      <c r="QOQ48" s="116"/>
      <c r="QOR48" s="116"/>
      <c r="QOS48" s="116"/>
      <c r="QOT48" s="116"/>
      <c r="QOU48" s="116"/>
      <c r="QOV48" s="116"/>
      <c r="QOW48" s="116"/>
      <c r="QOX48" s="116"/>
      <c r="QOY48" s="116"/>
      <c r="QOZ48" s="116"/>
      <c r="QPA48" s="116"/>
      <c r="QPB48" s="116"/>
      <c r="QPC48" s="116"/>
      <c r="QPD48" s="116"/>
      <c r="QPE48" s="116"/>
      <c r="QPF48" s="116"/>
      <c r="QPG48" s="116"/>
      <c r="QPH48" s="116"/>
      <c r="QPI48" s="116"/>
      <c r="QPJ48" s="116"/>
      <c r="QPK48" s="116"/>
      <c r="QPL48" s="116"/>
      <c r="QPM48" s="116"/>
      <c r="QPN48" s="116"/>
      <c r="QPO48" s="116"/>
      <c r="QPP48" s="116"/>
      <c r="QPQ48" s="116"/>
      <c r="QPR48" s="116"/>
      <c r="QPS48" s="116"/>
      <c r="QPT48" s="116"/>
      <c r="QPU48" s="116"/>
      <c r="QPV48" s="116"/>
      <c r="QPW48" s="116"/>
      <c r="QPX48" s="116"/>
      <c r="QPY48" s="116"/>
      <c r="QPZ48" s="116"/>
      <c r="QQA48" s="116"/>
      <c r="QQB48" s="116"/>
      <c r="QQC48" s="116"/>
      <c r="QQD48" s="116"/>
      <c r="QQE48" s="116"/>
      <c r="QQF48" s="116"/>
      <c r="QQG48" s="116"/>
      <c r="QQH48" s="116"/>
      <c r="QQI48" s="116"/>
      <c r="QQJ48" s="116"/>
      <c r="QQK48" s="116"/>
      <c r="QQL48" s="116"/>
      <c r="QQM48" s="116"/>
      <c r="QQN48" s="116"/>
      <c r="QQO48" s="116"/>
      <c r="QQP48" s="116"/>
      <c r="QQQ48" s="116"/>
      <c r="QQR48" s="116"/>
      <c r="QQS48" s="116"/>
      <c r="QQT48" s="116"/>
      <c r="QQU48" s="116"/>
      <c r="QQV48" s="116"/>
      <c r="QQW48" s="116"/>
      <c r="QQX48" s="116"/>
      <c r="QQY48" s="116"/>
      <c r="QQZ48" s="116"/>
      <c r="QRA48" s="116"/>
      <c r="QRB48" s="116"/>
      <c r="QRC48" s="116"/>
      <c r="QRD48" s="116"/>
      <c r="QRE48" s="116"/>
      <c r="QRF48" s="116"/>
      <c r="QRG48" s="116"/>
      <c r="QRH48" s="116"/>
      <c r="QRI48" s="116"/>
      <c r="QRJ48" s="116"/>
      <c r="QRK48" s="116"/>
      <c r="QRL48" s="116"/>
      <c r="QRM48" s="116"/>
      <c r="QRN48" s="116"/>
      <c r="QRO48" s="116"/>
      <c r="QRP48" s="116"/>
      <c r="QRQ48" s="116"/>
      <c r="QRR48" s="116"/>
      <c r="QRS48" s="116"/>
      <c r="QRT48" s="116"/>
      <c r="QRU48" s="116"/>
      <c r="QRV48" s="116"/>
      <c r="QRW48" s="116"/>
      <c r="QRX48" s="116"/>
      <c r="QRY48" s="116"/>
      <c r="QRZ48" s="116"/>
      <c r="QSA48" s="116"/>
      <c r="QSB48" s="116"/>
      <c r="QSC48" s="116"/>
      <c r="QSD48" s="116"/>
      <c r="QSE48" s="116"/>
      <c r="QSF48" s="116"/>
      <c r="QSG48" s="116"/>
      <c r="QSH48" s="116"/>
      <c r="QSI48" s="116"/>
      <c r="QSJ48" s="116"/>
      <c r="QSK48" s="116"/>
      <c r="QSL48" s="116"/>
      <c r="QSM48" s="116"/>
      <c r="QSN48" s="116"/>
      <c r="QSO48" s="116"/>
      <c r="QSP48" s="116"/>
      <c r="QSQ48" s="116"/>
      <c r="QSR48" s="116"/>
      <c r="QSS48" s="116"/>
      <c r="QST48" s="116"/>
      <c r="QSU48" s="116"/>
      <c r="QSV48" s="116"/>
      <c r="QSW48" s="116"/>
      <c r="QSX48" s="116"/>
      <c r="QSY48" s="116"/>
      <c r="QSZ48" s="116"/>
      <c r="QTA48" s="116"/>
      <c r="QTB48" s="116"/>
      <c r="QTC48" s="116"/>
      <c r="QTD48" s="116"/>
      <c r="QTE48" s="116"/>
      <c r="QTF48" s="116"/>
      <c r="QTG48" s="116"/>
      <c r="QTH48" s="116"/>
      <c r="QTI48" s="116"/>
      <c r="QTJ48" s="116"/>
      <c r="QTK48" s="116"/>
      <c r="QTL48" s="116"/>
      <c r="QTM48" s="116"/>
      <c r="QTN48" s="116"/>
      <c r="QTO48" s="116"/>
      <c r="QTP48" s="116"/>
      <c r="QTQ48" s="116"/>
      <c r="QTR48" s="116"/>
      <c r="QTS48" s="116"/>
      <c r="QTT48" s="116"/>
      <c r="QTU48" s="116"/>
      <c r="QTV48" s="116"/>
      <c r="QTW48" s="116"/>
      <c r="QTX48" s="116"/>
      <c r="QTY48" s="116"/>
      <c r="QTZ48" s="116"/>
      <c r="QUA48" s="116"/>
      <c r="QUB48" s="116"/>
      <c r="QUC48" s="116"/>
      <c r="QUD48" s="116"/>
      <c r="QUE48" s="116"/>
      <c r="QUF48" s="116"/>
      <c r="QUG48" s="116"/>
      <c r="QUH48" s="116"/>
      <c r="QUI48" s="116"/>
      <c r="QUJ48" s="116"/>
      <c r="QUK48" s="116"/>
      <c r="QUL48" s="116"/>
      <c r="QUM48" s="116"/>
      <c r="QUN48" s="116"/>
      <c r="QUO48" s="116"/>
      <c r="QUP48" s="116"/>
      <c r="QUQ48" s="116"/>
      <c r="QUR48" s="116"/>
      <c r="QUS48" s="116"/>
      <c r="QUT48" s="116"/>
      <c r="QUU48" s="116"/>
      <c r="QUV48" s="116"/>
      <c r="QUW48" s="116"/>
      <c r="QUX48" s="116"/>
      <c r="QUY48" s="116"/>
      <c r="QUZ48" s="116"/>
      <c r="QVA48" s="116"/>
      <c r="QVB48" s="116"/>
      <c r="QVC48" s="116"/>
      <c r="QVD48" s="116"/>
      <c r="QVE48" s="116"/>
      <c r="QVF48" s="116"/>
      <c r="QVG48" s="116"/>
      <c r="QVH48" s="116"/>
      <c r="QVI48" s="116"/>
      <c r="QVJ48" s="116"/>
      <c r="QVK48" s="116"/>
      <c r="QVL48" s="116"/>
      <c r="QVM48" s="116"/>
      <c r="QVN48" s="116"/>
      <c r="QVO48" s="116"/>
      <c r="QVP48" s="116"/>
      <c r="QVQ48" s="116"/>
      <c r="QVR48" s="116"/>
      <c r="QVS48" s="116"/>
      <c r="QVT48" s="116"/>
      <c r="QVU48" s="116"/>
      <c r="QVV48" s="116"/>
      <c r="QVW48" s="116"/>
      <c r="QVX48" s="116"/>
      <c r="QVY48" s="116"/>
      <c r="QVZ48" s="116"/>
      <c r="QWA48" s="116"/>
      <c r="QWB48" s="116"/>
      <c r="QWC48" s="116"/>
      <c r="QWD48" s="116"/>
      <c r="QWE48" s="116"/>
      <c r="QWF48" s="116"/>
      <c r="QWG48" s="116"/>
      <c r="QWH48" s="116"/>
      <c r="QWI48" s="116"/>
      <c r="QWJ48" s="116"/>
      <c r="QWK48" s="116"/>
      <c r="QWL48" s="116"/>
      <c r="QWM48" s="116"/>
      <c r="QWN48" s="116"/>
      <c r="QWO48" s="116"/>
      <c r="QWP48" s="116"/>
      <c r="QWQ48" s="116"/>
      <c r="QWR48" s="116"/>
      <c r="QWS48" s="116"/>
      <c r="QWT48" s="116"/>
      <c r="QWU48" s="116"/>
      <c r="QWV48" s="116"/>
      <c r="QWW48" s="116"/>
      <c r="QWX48" s="116"/>
      <c r="QWY48" s="116"/>
      <c r="QWZ48" s="116"/>
      <c r="QXA48" s="116"/>
      <c r="QXB48" s="116"/>
      <c r="QXC48" s="116"/>
      <c r="QXD48" s="116"/>
      <c r="QXE48" s="116"/>
      <c r="QXF48" s="116"/>
      <c r="QXG48" s="116"/>
      <c r="QXH48" s="116"/>
      <c r="QXI48" s="116"/>
      <c r="QXJ48" s="116"/>
      <c r="QXK48" s="116"/>
      <c r="QXL48" s="116"/>
      <c r="QXM48" s="116"/>
      <c r="QXN48" s="116"/>
      <c r="QXO48" s="116"/>
      <c r="QXP48" s="116"/>
      <c r="QXQ48" s="116"/>
      <c r="QXR48" s="116"/>
      <c r="QXS48" s="116"/>
      <c r="QXT48" s="116"/>
      <c r="QXU48" s="116"/>
      <c r="QXV48" s="116"/>
      <c r="QXW48" s="116"/>
      <c r="QXX48" s="116"/>
      <c r="QXY48" s="116"/>
      <c r="QXZ48" s="116"/>
      <c r="QYA48" s="116"/>
      <c r="QYB48" s="116"/>
      <c r="QYC48" s="116"/>
      <c r="QYD48" s="116"/>
      <c r="QYE48" s="116"/>
      <c r="QYF48" s="116"/>
      <c r="QYG48" s="116"/>
      <c r="QYH48" s="116"/>
      <c r="QYI48" s="116"/>
      <c r="QYJ48" s="116"/>
      <c r="QYK48" s="116"/>
      <c r="QYL48" s="116"/>
      <c r="QYM48" s="116"/>
      <c r="QYN48" s="116"/>
      <c r="QYO48" s="116"/>
      <c r="QYP48" s="116"/>
      <c r="QYQ48" s="116"/>
      <c r="QYR48" s="116"/>
      <c r="QYS48" s="116"/>
      <c r="QYT48" s="116"/>
      <c r="QYU48" s="116"/>
      <c r="QYV48" s="116"/>
      <c r="QYW48" s="116"/>
      <c r="QYX48" s="116"/>
      <c r="QYY48" s="116"/>
      <c r="QYZ48" s="116"/>
      <c r="QZA48" s="116"/>
      <c r="QZB48" s="116"/>
      <c r="QZC48" s="116"/>
      <c r="QZD48" s="116"/>
      <c r="QZE48" s="116"/>
      <c r="QZF48" s="116"/>
      <c r="QZG48" s="116"/>
      <c r="QZH48" s="116"/>
      <c r="QZI48" s="116"/>
      <c r="QZJ48" s="116"/>
      <c r="QZK48" s="116"/>
      <c r="QZL48" s="116"/>
      <c r="QZM48" s="116"/>
      <c r="QZN48" s="116"/>
      <c r="QZO48" s="116"/>
      <c r="QZP48" s="116"/>
      <c r="QZQ48" s="116"/>
      <c r="QZR48" s="116"/>
      <c r="QZS48" s="116"/>
      <c r="QZT48" s="116"/>
      <c r="QZU48" s="116"/>
      <c r="QZV48" s="116"/>
      <c r="QZW48" s="116"/>
      <c r="QZX48" s="116"/>
      <c r="QZY48" s="116"/>
      <c r="QZZ48" s="116"/>
      <c r="RAA48" s="116"/>
      <c r="RAB48" s="116"/>
      <c r="RAC48" s="116"/>
      <c r="RAD48" s="116"/>
      <c r="RAE48" s="116"/>
      <c r="RAF48" s="116"/>
      <c r="RAG48" s="116"/>
      <c r="RAH48" s="116"/>
      <c r="RAI48" s="116"/>
      <c r="RAJ48" s="116"/>
      <c r="RAK48" s="116"/>
      <c r="RAL48" s="116"/>
      <c r="RAM48" s="116"/>
      <c r="RAN48" s="116"/>
      <c r="RAO48" s="116"/>
      <c r="RAP48" s="116"/>
      <c r="RAQ48" s="116"/>
      <c r="RAR48" s="116"/>
      <c r="RAS48" s="116"/>
      <c r="RAT48" s="116"/>
      <c r="RAU48" s="116"/>
      <c r="RAV48" s="116"/>
      <c r="RAW48" s="116"/>
      <c r="RAX48" s="116"/>
      <c r="RAY48" s="116"/>
      <c r="RAZ48" s="116"/>
      <c r="RBA48" s="116"/>
      <c r="RBB48" s="116"/>
      <c r="RBC48" s="116"/>
      <c r="RBD48" s="116"/>
      <c r="RBE48" s="116"/>
      <c r="RBF48" s="116"/>
      <c r="RBG48" s="116"/>
      <c r="RBH48" s="116"/>
      <c r="RBI48" s="116"/>
      <c r="RBJ48" s="116"/>
      <c r="RBK48" s="116"/>
      <c r="RBL48" s="116"/>
      <c r="RBM48" s="116"/>
      <c r="RBN48" s="116"/>
      <c r="RBO48" s="116"/>
      <c r="RBP48" s="116"/>
      <c r="RBQ48" s="116"/>
      <c r="RBR48" s="116"/>
      <c r="RBS48" s="116"/>
      <c r="RBT48" s="116"/>
      <c r="RBU48" s="116"/>
      <c r="RBV48" s="116"/>
      <c r="RBW48" s="116"/>
      <c r="RBX48" s="116"/>
      <c r="RBY48" s="116"/>
      <c r="RBZ48" s="116"/>
      <c r="RCA48" s="116"/>
      <c r="RCB48" s="116"/>
      <c r="RCC48" s="116"/>
      <c r="RCD48" s="116"/>
      <c r="RCE48" s="116"/>
      <c r="RCF48" s="116"/>
      <c r="RCG48" s="116"/>
      <c r="RCH48" s="116"/>
      <c r="RCI48" s="116"/>
      <c r="RCJ48" s="116"/>
      <c r="RCK48" s="116"/>
      <c r="RCL48" s="116"/>
      <c r="RCM48" s="116"/>
      <c r="RCN48" s="116"/>
      <c r="RCO48" s="116"/>
      <c r="RCP48" s="116"/>
      <c r="RCQ48" s="116"/>
      <c r="RCR48" s="116"/>
      <c r="RCS48" s="116"/>
      <c r="RCT48" s="116"/>
      <c r="RCU48" s="116"/>
      <c r="RCV48" s="116"/>
      <c r="RCW48" s="116"/>
      <c r="RCX48" s="116"/>
      <c r="RCY48" s="116"/>
      <c r="RCZ48" s="116"/>
      <c r="RDA48" s="116"/>
      <c r="RDB48" s="116"/>
      <c r="RDC48" s="116"/>
      <c r="RDD48" s="116"/>
      <c r="RDE48" s="116"/>
      <c r="RDF48" s="116"/>
      <c r="RDG48" s="116"/>
      <c r="RDH48" s="116"/>
      <c r="RDI48" s="116"/>
      <c r="RDJ48" s="116"/>
      <c r="RDK48" s="116"/>
      <c r="RDL48" s="116"/>
      <c r="RDM48" s="116"/>
      <c r="RDN48" s="116"/>
      <c r="RDO48" s="116"/>
      <c r="RDP48" s="116"/>
      <c r="RDQ48" s="116"/>
      <c r="RDR48" s="116"/>
      <c r="RDS48" s="116"/>
      <c r="RDT48" s="116"/>
      <c r="RDU48" s="116"/>
      <c r="RDV48" s="116"/>
      <c r="RDW48" s="116"/>
      <c r="RDX48" s="116"/>
      <c r="RDY48" s="116"/>
      <c r="RDZ48" s="116"/>
      <c r="REA48" s="116"/>
      <c r="REB48" s="116"/>
      <c r="REC48" s="116"/>
      <c r="RED48" s="116"/>
      <c r="REE48" s="116"/>
      <c r="REF48" s="116"/>
      <c r="REG48" s="116"/>
      <c r="REH48" s="116"/>
      <c r="REI48" s="116"/>
      <c r="REJ48" s="116"/>
      <c r="REK48" s="116"/>
      <c r="REL48" s="116"/>
      <c r="REM48" s="116"/>
      <c r="REN48" s="116"/>
      <c r="REO48" s="116"/>
      <c r="REP48" s="116"/>
      <c r="REQ48" s="116"/>
      <c r="RER48" s="116"/>
      <c r="RES48" s="116"/>
      <c r="RET48" s="116"/>
      <c r="REU48" s="116"/>
      <c r="REV48" s="116"/>
      <c r="REW48" s="116"/>
      <c r="REX48" s="116"/>
      <c r="REY48" s="116"/>
      <c r="REZ48" s="116"/>
      <c r="RFA48" s="116"/>
      <c r="RFB48" s="116"/>
      <c r="RFC48" s="116"/>
      <c r="RFD48" s="116"/>
      <c r="RFE48" s="116"/>
      <c r="RFF48" s="116"/>
      <c r="RFG48" s="116"/>
      <c r="RFH48" s="116"/>
      <c r="RFI48" s="116"/>
      <c r="RFJ48" s="116"/>
      <c r="RFK48" s="116"/>
      <c r="RFL48" s="116"/>
      <c r="RFM48" s="116"/>
      <c r="RFN48" s="116"/>
      <c r="RFO48" s="116"/>
      <c r="RFP48" s="116"/>
      <c r="RFQ48" s="116"/>
      <c r="RFR48" s="116"/>
      <c r="RFS48" s="116"/>
      <c r="RFT48" s="116"/>
      <c r="RFU48" s="116"/>
      <c r="RFV48" s="116"/>
      <c r="RFW48" s="116"/>
      <c r="RFX48" s="116"/>
      <c r="RFY48" s="116"/>
      <c r="RFZ48" s="116"/>
      <c r="RGA48" s="116"/>
      <c r="RGB48" s="116"/>
      <c r="RGC48" s="116"/>
      <c r="RGD48" s="116"/>
      <c r="RGE48" s="116"/>
      <c r="RGF48" s="116"/>
      <c r="RGG48" s="116"/>
      <c r="RGH48" s="116"/>
      <c r="RGI48" s="116"/>
      <c r="RGJ48" s="116"/>
      <c r="RGK48" s="116"/>
      <c r="RGL48" s="116"/>
      <c r="RGM48" s="116"/>
      <c r="RGN48" s="116"/>
      <c r="RGO48" s="116"/>
      <c r="RGP48" s="116"/>
      <c r="RGQ48" s="116"/>
      <c r="RGR48" s="116"/>
      <c r="RGS48" s="116"/>
      <c r="RGT48" s="116"/>
      <c r="RGU48" s="116"/>
      <c r="RGV48" s="116"/>
      <c r="RGW48" s="116"/>
      <c r="RGX48" s="116"/>
      <c r="RGY48" s="116"/>
      <c r="RGZ48" s="116"/>
      <c r="RHA48" s="116"/>
      <c r="RHB48" s="116"/>
      <c r="RHC48" s="116"/>
      <c r="RHD48" s="116"/>
      <c r="RHE48" s="116"/>
      <c r="RHF48" s="116"/>
      <c r="RHG48" s="116"/>
      <c r="RHH48" s="116"/>
      <c r="RHI48" s="116"/>
      <c r="RHJ48" s="116"/>
      <c r="RHK48" s="116"/>
      <c r="RHL48" s="116"/>
      <c r="RHM48" s="116"/>
      <c r="RHN48" s="116"/>
      <c r="RHO48" s="116"/>
      <c r="RHP48" s="116"/>
      <c r="RHQ48" s="116"/>
      <c r="RHR48" s="116"/>
      <c r="RHS48" s="116"/>
      <c r="RHT48" s="116"/>
      <c r="RHU48" s="116"/>
      <c r="RHV48" s="116"/>
      <c r="RHW48" s="116"/>
      <c r="RHX48" s="116"/>
      <c r="RHY48" s="116"/>
      <c r="RHZ48" s="116"/>
      <c r="RIA48" s="116"/>
      <c r="RIB48" s="116"/>
      <c r="RIC48" s="116"/>
      <c r="RID48" s="116"/>
      <c r="RIE48" s="116"/>
      <c r="RIF48" s="116"/>
      <c r="RIG48" s="116"/>
      <c r="RIH48" s="116"/>
      <c r="RII48" s="116"/>
      <c r="RIJ48" s="116"/>
      <c r="RIK48" s="116"/>
      <c r="RIL48" s="116"/>
      <c r="RIM48" s="116"/>
      <c r="RIN48" s="116"/>
      <c r="RIO48" s="116"/>
      <c r="RIP48" s="116"/>
      <c r="RIQ48" s="116"/>
      <c r="RIR48" s="116"/>
      <c r="RIS48" s="116"/>
      <c r="RIT48" s="116"/>
      <c r="RIU48" s="116"/>
      <c r="RIV48" s="116"/>
      <c r="RIW48" s="116"/>
      <c r="RIX48" s="116"/>
      <c r="RIY48" s="116"/>
      <c r="RIZ48" s="116"/>
      <c r="RJA48" s="116"/>
      <c r="RJB48" s="116"/>
      <c r="RJC48" s="116"/>
      <c r="RJD48" s="116"/>
      <c r="RJE48" s="116"/>
      <c r="RJF48" s="116"/>
      <c r="RJG48" s="116"/>
      <c r="RJH48" s="116"/>
      <c r="RJI48" s="116"/>
      <c r="RJJ48" s="116"/>
      <c r="RJK48" s="116"/>
      <c r="RJL48" s="116"/>
      <c r="RJM48" s="116"/>
      <c r="RJN48" s="116"/>
      <c r="RJO48" s="116"/>
      <c r="RJP48" s="116"/>
      <c r="RJQ48" s="116"/>
      <c r="RJR48" s="116"/>
      <c r="RJS48" s="116"/>
      <c r="RJT48" s="116"/>
      <c r="RJU48" s="116"/>
      <c r="RJV48" s="116"/>
      <c r="RJW48" s="116"/>
      <c r="RJX48" s="116"/>
      <c r="RJY48" s="116"/>
      <c r="RJZ48" s="116"/>
      <c r="RKA48" s="116"/>
      <c r="RKB48" s="116"/>
      <c r="RKC48" s="116"/>
      <c r="RKD48" s="116"/>
      <c r="RKE48" s="116"/>
      <c r="RKF48" s="116"/>
      <c r="RKG48" s="116"/>
      <c r="RKH48" s="116"/>
      <c r="RKI48" s="116"/>
      <c r="RKJ48" s="116"/>
      <c r="RKK48" s="116"/>
      <c r="RKL48" s="116"/>
      <c r="RKM48" s="116"/>
      <c r="RKN48" s="116"/>
      <c r="RKO48" s="116"/>
      <c r="RKP48" s="116"/>
      <c r="RKQ48" s="116"/>
      <c r="RKR48" s="116"/>
      <c r="RKS48" s="116"/>
      <c r="RKT48" s="116"/>
      <c r="RKU48" s="116"/>
      <c r="RKV48" s="116"/>
      <c r="RKW48" s="116"/>
      <c r="RKX48" s="116"/>
      <c r="RKY48" s="116"/>
      <c r="RKZ48" s="116"/>
      <c r="RLA48" s="116"/>
      <c r="RLB48" s="116"/>
      <c r="RLC48" s="116"/>
      <c r="RLD48" s="116"/>
      <c r="RLE48" s="116"/>
      <c r="RLF48" s="116"/>
      <c r="RLG48" s="116"/>
      <c r="RLH48" s="116"/>
      <c r="RLI48" s="116"/>
      <c r="RLJ48" s="116"/>
      <c r="RLK48" s="116"/>
      <c r="RLL48" s="116"/>
      <c r="RLM48" s="116"/>
      <c r="RLN48" s="116"/>
      <c r="RLO48" s="116"/>
      <c r="RLP48" s="116"/>
      <c r="RLQ48" s="116"/>
      <c r="RLR48" s="116"/>
      <c r="RLS48" s="116"/>
      <c r="RLT48" s="116"/>
      <c r="RLU48" s="116"/>
      <c r="RLV48" s="116"/>
      <c r="RLW48" s="116"/>
      <c r="RLX48" s="116"/>
      <c r="RLY48" s="116"/>
      <c r="RLZ48" s="116"/>
      <c r="RMA48" s="116"/>
      <c r="RMB48" s="116"/>
      <c r="RMC48" s="116"/>
      <c r="RMD48" s="116"/>
      <c r="RME48" s="116"/>
      <c r="RMF48" s="116"/>
      <c r="RMG48" s="116"/>
      <c r="RMH48" s="116"/>
      <c r="RMI48" s="116"/>
      <c r="RMJ48" s="116"/>
      <c r="RMK48" s="116"/>
      <c r="RML48" s="116"/>
      <c r="RMM48" s="116"/>
      <c r="RMN48" s="116"/>
      <c r="RMO48" s="116"/>
      <c r="RMP48" s="116"/>
      <c r="RMQ48" s="116"/>
      <c r="RMR48" s="116"/>
      <c r="RMS48" s="116"/>
      <c r="RMT48" s="116"/>
      <c r="RMU48" s="116"/>
      <c r="RMV48" s="116"/>
      <c r="RMW48" s="116"/>
      <c r="RMX48" s="116"/>
      <c r="RMY48" s="116"/>
      <c r="RMZ48" s="116"/>
      <c r="RNA48" s="116"/>
      <c r="RNB48" s="116"/>
      <c r="RNC48" s="116"/>
      <c r="RND48" s="116"/>
      <c r="RNE48" s="116"/>
      <c r="RNF48" s="116"/>
      <c r="RNG48" s="116"/>
      <c r="RNH48" s="116"/>
      <c r="RNI48" s="116"/>
      <c r="RNJ48" s="116"/>
      <c r="RNK48" s="116"/>
      <c r="RNL48" s="116"/>
      <c r="RNM48" s="116"/>
      <c r="RNN48" s="116"/>
      <c r="RNO48" s="116"/>
      <c r="RNP48" s="116"/>
      <c r="RNQ48" s="116"/>
      <c r="RNR48" s="116"/>
      <c r="RNS48" s="116"/>
      <c r="RNT48" s="116"/>
      <c r="RNU48" s="116"/>
      <c r="RNV48" s="116"/>
      <c r="RNW48" s="116"/>
      <c r="RNX48" s="116"/>
      <c r="RNY48" s="116"/>
      <c r="RNZ48" s="116"/>
      <c r="ROA48" s="116"/>
      <c r="ROB48" s="116"/>
      <c r="ROC48" s="116"/>
      <c r="ROD48" s="116"/>
      <c r="ROE48" s="116"/>
      <c r="ROF48" s="116"/>
      <c r="ROG48" s="116"/>
      <c r="ROH48" s="116"/>
      <c r="ROI48" s="116"/>
      <c r="ROJ48" s="116"/>
      <c r="ROK48" s="116"/>
      <c r="ROL48" s="116"/>
      <c r="ROM48" s="116"/>
      <c r="RON48" s="116"/>
      <c r="ROO48" s="116"/>
      <c r="ROP48" s="116"/>
      <c r="ROQ48" s="116"/>
      <c r="ROR48" s="116"/>
      <c r="ROS48" s="116"/>
      <c r="ROT48" s="116"/>
      <c r="ROU48" s="116"/>
      <c r="ROV48" s="116"/>
      <c r="ROW48" s="116"/>
      <c r="ROX48" s="116"/>
      <c r="ROY48" s="116"/>
      <c r="ROZ48" s="116"/>
      <c r="RPA48" s="116"/>
      <c r="RPB48" s="116"/>
      <c r="RPC48" s="116"/>
      <c r="RPD48" s="116"/>
      <c r="RPE48" s="116"/>
      <c r="RPF48" s="116"/>
      <c r="RPG48" s="116"/>
      <c r="RPH48" s="116"/>
      <c r="RPI48" s="116"/>
      <c r="RPJ48" s="116"/>
      <c r="RPK48" s="116"/>
      <c r="RPL48" s="116"/>
      <c r="RPM48" s="116"/>
      <c r="RPN48" s="116"/>
      <c r="RPO48" s="116"/>
      <c r="RPP48" s="116"/>
      <c r="RPQ48" s="116"/>
      <c r="RPR48" s="116"/>
      <c r="RPS48" s="116"/>
      <c r="RPT48" s="116"/>
      <c r="RPU48" s="116"/>
      <c r="RPV48" s="116"/>
      <c r="RPW48" s="116"/>
      <c r="RPX48" s="116"/>
      <c r="RPY48" s="116"/>
      <c r="RPZ48" s="116"/>
      <c r="RQA48" s="116"/>
      <c r="RQB48" s="116"/>
      <c r="RQC48" s="116"/>
      <c r="RQD48" s="116"/>
      <c r="RQE48" s="116"/>
      <c r="RQF48" s="116"/>
      <c r="RQG48" s="116"/>
      <c r="RQH48" s="116"/>
      <c r="RQI48" s="116"/>
      <c r="RQJ48" s="116"/>
      <c r="RQK48" s="116"/>
      <c r="RQL48" s="116"/>
      <c r="RQM48" s="116"/>
      <c r="RQN48" s="116"/>
      <c r="RQO48" s="116"/>
      <c r="RQP48" s="116"/>
      <c r="RQQ48" s="116"/>
      <c r="RQR48" s="116"/>
      <c r="RQS48" s="116"/>
      <c r="RQT48" s="116"/>
      <c r="RQU48" s="116"/>
      <c r="RQV48" s="116"/>
      <c r="RQW48" s="116"/>
      <c r="RQX48" s="116"/>
      <c r="RQY48" s="116"/>
      <c r="RQZ48" s="116"/>
      <c r="RRA48" s="116"/>
      <c r="RRB48" s="116"/>
      <c r="RRC48" s="116"/>
      <c r="RRD48" s="116"/>
      <c r="RRE48" s="116"/>
      <c r="RRF48" s="116"/>
      <c r="RRG48" s="116"/>
      <c r="RRH48" s="116"/>
      <c r="RRI48" s="116"/>
      <c r="RRJ48" s="116"/>
      <c r="RRK48" s="116"/>
      <c r="RRL48" s="116"/>
      <c r="RRM48" s="116"/>
      <c r="RRN48" s="116"/>
      <c r="RRO48" s="116"/>
      <c r="RRP48" s="116"/>
      <c r="RRQ48" s="116"/>
      <c r="RRR48" s="116"/>
      <c r="RRS48" s="116"/>
      <c r="RRT48" s="116"/>
      <c r="RRU48" s="116"/>
      <c r="RRV48" s="116"/>
      <c r="RRW48" s="116"/>
      <c r="RRX48" s="116"/>
      <c r="RRY48" s="116"/>
      <c r="RRZ48" s="116"/>
      <c r="RSA48" s="116"/>
      <c r="RSB48" s="116"/>
      <c r="RSC48" s="116"/>
      <c r="RSD48" s="116"/>
      <c r="RSE48" s="116"/>
      <c r="RSF48" s="116"/>
      <c r="RSG48" s="116"/>
      <c r="RSH48" s="116"/>
      <c r="RSI48" s="116"/>
      <c r="RSJ48" s="116"/>
      <c r="RSK48" s="116"/>
      <c r="RSL48" s="116"/>
      <c r="RSM48" s="116"/>
      <c r="RSN48" s="116"/>
      <c r="RSO48" s="116"/>
      <c r="RSP48" s="116"/>
      <c r="RSQ48" s="116"/>
      <c r="RSR48" s="116"/>
      <c r="RSS48" s="116"/>
      <c r="RST48" s="116"/>
      <c r="RSU48" s="116"/>
      <c r="RSV48" s="116"/>
      <c r="RSW48" s="116"/>
      <c r="RSX48" s="116"/>
      <c r="RSY48" s="116"/>
      <c r="RSZ48" s="116"/>
      <c r="RTA48" s="116"/>
      <c r="RTB48" s="116"/>
      <c r="RTC48" s="116"/>
      <c r="RTD48" s="116"/>
      <c r="RTE48" s="116"/>
      <c r="RTF48" s="116"/>
      <c r="RTG48" s="116"/>
      <c r="RTH48" s="116"/>
      <c r="RTI48" s="116"/>
      <c r="RTJ48" s="116"/>
      <c r="RTK48" s="116"/>
      <c r="RTL48" s="116"/>
      <c r="RTM48" s="116"/>
      <c r="RTN48" s="116"/>
      <c r="RTO48" s="116"/>
      <c r="RTP48" s="116"/>
      <c r="RTQ48" s="116"/>
      <c r="RTR48" s="116"/>
      <c r="RTS48" s="116"/>
      <c r="RTT48" s="116"/>
      <c r="RTU48" s="116"/>
      <c r="RTV48" s="116"/>
      <c r="RTW48" s="116"/>
      <c r="RTX48" s="116"/>
      <c r="RTY48" s="116"/>
      <c r="RTZ48" s="116"/>
      <c r="RUA48" s="116"/>
      <c r="RUB48" s="116"/>
      <c r="RUC48" s="116"/>
      <c r="RUD48" s="116"/>
      <c r="RUE48" s="116"/>
      <c r="RUF48" s="116"/>
      <c r="RUG48" s="116"/>
      <c r="RUH48" s="116"/>
      <c r="RUI48" s="116"/>
      <c r="RUJ48" s="116"/>
      <c r="RUK48" s="116"/>
      <c r="RUL48" s="116"/>
      <c r="RUM48" s="116"/>
      <c r="RUN48" s="116"/>
      <c r="RUO48" s="116"/>
      <c r="RUP48" s="116"/>
      <c r="RUQ48" s="116"/>
      <c r="RUR48" s="116"/>
      <c r="RUS48" s="116"/>
      <c r="RUT48" s="116"/>
      <c r="RUU48" s="116"/>
      <c r="RUV48" s="116"/>
      <c r="RUW48" s="116"/>
      <c r="RUX48" s="116"/>
      <c r="RUY48" s="116"/>
      <c r="RUZ48" s="116"/>
      <c r="RVA48" s="116"/>
      <c r="RVB48" s="116"/>
      <c r="RVC48" s="116"/>
      <c r="RVD48" s="116"/>
      <c r="RVE48" s="116"/>
      <c r="RVF48" s="116"/>
      <c r="RVG48" s="116"/>
      <c r="RVH48" s="116"/>
      <c r="RVI48" s="116"/>
      <c r="RVJ48" s="116"/>
      <c r="RVK48" s="116"/>
      <c r="RVL48" s="116"/>
      <c r="RVM48" s="116"/>
      <c r="RVN48" s="116"/>
      <c r="RVO48" s="116"/>
      <c r="RVP48" s="116"/>
      <c r="RVQ48" s="116"/>
      <c r="RVR48" s="116"/>
      <c r="RVS48" s="116"/>
      <c r="RVT48" s="116"/>
      <c r="RVU48" s="116"/>
      <c r="RVV48" s="116"/>
      <c r="RVW48" s="116"/>
      <c r="RVX48" s="116"/>
      <c r="RVY48" s="116"/>
      <c r="RVZ48" s="116"/>
      <c r="RWA48" s="116"/>
      <c r="RWB48" s="116"/>
      <c r="RWC48" s="116"/>
      <c r="RWD48" s="116"/>
      <c r="RWE48" s="116"/>
      <c r="RWF48" s="116"/>
      <c r="RWG48" s="116"/>
      <c r="RWH48" s="116"/>
      <c r="RWI48" s="116"/>
      <c r="RWJ48" s="116"/>
      <c r="RWK48" s="116"/>
      <c r="RWL48" s="116"/>
      <c r="RWM48" s="116"/>
      <c r="RWN48" s="116"/>
      <c r="RWO48" s="116"/>
      <c r="RWP48" s="116"/>
      <c r="RWQ48" s="116"/>
      <c r="RWR48" s="116"/>
      <c r="RWS48" s="116"/>
      <c r="RWT48" s="116"/>
      <c r="RWU48" s="116"/>
      <c r="RWV48" s="116"/>
      <c r="RWW48" s="116"/>
      <c r="RWX48" s="116"/>
      <c r="RWY48" s="116"/>
      <c r="RWZ48" s="116"/>
      <c r="RXA48" s="116"/>
      <c r="RXB48" s="116"/>
      <c r="RXC48" s="116"/>
      <c r="RXD48" s="116"/>
      <c r="RXE48" s="116"/>
      <c r="RXF48" s="116"/>
      <c r="RXG48" s="116"/>
      <c r="RXH48" s="116"/>
      <c r="RXI48" s="116"/>
      <c r="RXJ48" s="116"/>
      <c r="RXK48" s="116"/>
      <c r="RXL48" s="116"/>
      <c r="RXM48" s="116"/>
      <c r="RXN48" s="116"/>
      <c r="RXO48" s="116"/>
      <c r="RXP48" s="116"/>
      <c r="RXQ48" s="116"/>
      <c r="RXR48" s="116"/>
      <c r="RXS48" s="116"/>
      <c r="RXT48" s="116"/>
      <c r="RXU48" s="116"/>
      <c r="RXV48" s="116"/>
      <c r="RXW48" s="116"/>
      <c r="RXX48" s="116"/>
      <c r="RXY48" s="116"/>
      <c r="RXZ48" s="116"/>
      <c r="RYA48" s="116"/>
      <c r="RYB48" s="116"/>
      <c r="RYC48" s="116"/>
      <c r="RYD48" s="116"/>
      <c r="RYE48" s="116"/>
      <c r="RYF48" s="116"/>
      <c r="RYG48" s="116"/>
      <c r="RYH48" s="116"/>
      <c r="RYI48" s="116"/>
      <c r="RYJ48" s="116"/>
      <c r="RYK48" s="116"/>
      <c r="RYL48" s="116"/>
      <c r="RYM48" s="116"/>
      <c r="RYN48" s="116"/>
      <c r="RYO48" s="116"/>
      <c r="RYP48" s="116"/>
      <c r="RYQ48" s="116"/>
      <c r="RYR48" s="116"/>
      <c r="RYS48" s="116"/>
      <c r="RYT48" s="116"/>
      <c r="RYU48" s="116"/>
      <c r="RYV48" s="116"/>
      <c r="RYW48" s="116"/>
      <c r="RYX48" s="116"/>
      <c r="RYY48" s="116"/>
      <c r="RYZ48" s="116"/>
      <c r="RZA48" s="116"/>
      <c r="RZB48" s="116"/>
      <c r="RZC48" s="116"/>
      <c r="RZD48" s="116"/>
      <c r="RZE48" s="116"/>
      <c r="RZF48" s="116"/>
      <c r="RZG48" s="116"/>
      <c r="RZH48" s="116"/>
      <c r="RZI48" s="116"/>
      <c r="RZJ48" s="116"/>
      <c r="RZK48" s="116"/>
      <c r="RZL48" s="116"/>
      <c r="RZM48" s="116"/>
      <c r="RZN48" s="116"/>
      <c r="RZO48" s="116"/>
      <c r="RZP48" s="116"/>
      <c r="RZQ48" s="116"/>
      <c r="RZR48" s="116"/>
      <c r="RZS48" s="116"/>
      <c r="RZT48" s="116"/>
      <c r="RZU48" s="116"/>
      <c r="RZV48" s="116"/>
      <c r="RZW48" s="116"/>
      <c r="RZX48" s="116"/>
      <c r="RZY48" s="116"/>
      <c r="RZZ48" s="116"/>
      <c r="SAA48" s="116"/>
      <c r="SAB48" s="116"/>
      <c r="SAC48" s="116"/>
      <c r="SAD48" s="116"/>
      <c r="SAE48" s="116"/>
      <c r="SAF48" s="116"/>
      <c r="SAG48" s="116"/>
      <c r="SAH48" s="116"/>
      <c r="SAI48" s="116"/>
      <c r="SAJ48" s="116"/>
      <c r="SAK48" s="116"/>
      <c r="SAL48" s="116"/>
      <c r="SAM48" s="116"/>
      <c r="SAN48" s="116"/>
      <c r="SAO48" s="116"/>
      <c r="SAP48" s="116"/>
      <c r="SAQ48" s="116"/>
      <c r="SAR48" s="116"/>
      <c r="SAS48" s="116"/>
      <c r="SAT48" s="116"/>
      <c r="SAU48" s="116"/>
      <c r="SAV48" s="116"/>
      <c r="SAW48" s="116"/>
      <c r="SAX48" s="116"/>
      <c r="SAY48" s="116"/>
      <c r="SAZ48" s="116"/>
      <c r="SBA48" s="116"/>
      <c r="SBB48" s="116"/>
      <c r="SBC48" s="116"/>
      <c r="SBD48" s="116"/>
      <c r="SBE48" s="116"/>
      <c r="SBF48" s="116"/>
      <c r="SBG48" s="116"/>
      <c r="SBH48" s="116"/>
      <c r="SBI48" s="116"/>
      <c r="SBJ48" s="116"/>
      <c r="SBK48" s="116"/>
      <c r="SBL48" s="116"/>
      <c r="SBM48" s="116"/>
      <c r="SBN48" s="116"/>
      <c r="SBO48" s="116"/>
      <c r="SBP48" s="116"/>
      <c r="SBQ48" s="116"/>
      <c r="SBR48" s="116"/>
      <c r="SBS48" s="116"/>
      <c r="SBT48" s="116"/>
      <c r="SBU48" s="116"/>
      <c r="SBV48" s="116"/>
      <c r="SBW48" s="116"/>
      <c r="SBX48" s="116"/>
      <c r="SBY48" s="116"/>
      <c r="SBZ48" s="116"/>
      <c r="SCA48" s="116"/>
      <c r="SCB48" s="116"/>
      <c r="SCC48" s="116"/>
      <c r="SCD48" s="116"/>
      <c r="SCE48" s="116"/>
      <c r="SCF48" s="116"/>
      <c r="SCG48" s="116"/>
      <c r="SCH48" s="116"/>
      <c r="SCI48" s="116"/>
      <c r="SCJ48" s="116"/>
      <c r="SCK48" s="116"/>
      <c r="SCL48" s="116"/>
      <c r="SCM48" s="116"/>
      <c r="SCN48" s="116"/>
      <c r="SCO48" s="116"/>
      <c r="SCP48" s="116"/>
      <c r="SCQ48" s="116"/>
      <c r="SCR48" s="116"/>
      <c r="SCS48" s="116"/>
      <c r="SCT48" s="116"/>
      <c r="SCU48" s="116"/>
      <c r="SCV48" s="116"/>
      <c r="SCW48" s="116"/>
      <c r="SCX48" s="116"/>
      <c r="SCY48" s="116"/>
      <c r="SCZ48" s="116"/>
      <c r="SDA48" s="116"/>
      <c r="SDB48" s="116"/>
      <c r="SDC48" s="116"/>
      <c r="SDD48" s="116"/>
      <c r="SDE48" s="116"/>
      <c r="SDF48" s="116"/>
      <c r="SDG48" s="116"/>
      <c r="SDH48" s="116"/>
      <c r="SDI48" s="116"/>
      <c r="SDJ48" s="116"/>
      <c r="SDK48" s="116"/>
      <c r="SDL48" s="116"/>
      <c r="SDM48" s="116"/>
      <c r="SDN48" s="116"/>
      <c r="SDO48" s="116"/>
      <c r="SDP48" s="116"/>
      <c r="SDQ48" s="116"/>
      <c r="SDR48" s="116"/>
      <c r="SDS48" s="116"/>
      <c r="SDT48" s="116"/>
      <c r="SDU48" s="116"/>
      <c r="SDV48" s="116"/>
      <c r="SDW48" s="116"/>
      <c r="SDX48" s="116"/>
      <c r="SDY48" s="116"/>
      <c r="SDZ48" s="116"/>
      <c r="SEA48" s="116"/>
      <c r="SEB48" s="116"/>
      <c r="SEC48" s="116"/>
      <c r="SED48" s="116"/>
      <c r="SEE48" s="116"/>
      <c r="SEF48" s="116"/>
      <c r="SEG48" s="116"/>
      <c r="SEH48" s="116"/>
      <c r="SEI48" s="116"/>
      <c r="SEJ48" s="116"/>
      <c r="SEK48" s="116"/>
      <c r="SEL48" s="116"/>
      <c r="SEM48" s="116"/>
      <c r="SEN48" s="116"/>
      <c r="SEO48" s="116"/>
      <c r="SEP48" s="116"/>
      <c r="SEQ48" s="116"/>
      <c r="SER48" s="116"/>
      <c r="SES48" s="116"/>
      <c r="SET48" s="116"/>
      <c r="SEU48" s="116"/>
      <c r="SEV48" s="116"/>
      <c r="SEW48" s="116"/>
      <c r="SEX48" s="116"/>
      <c r="SEY48" s="116"/>
      <c r="SEZ48" s="116"/>
      <c r="SFA48" s="116"/>
      <c r="SFB48" s="116"/>
      <c r="SFC48" s="116"/>
      <c r="SFD48" s="116"/>
      <c r="SFE48" s="116"/>
      <c r="SFF48" s="116"/>
      <c r="SFG48" s="116"/>
      <c r="SFH48" s="116"/>
      <c r="SFI48" s="116"/>
      <c r="SFJ48" s="116"/>
      <c r="SFK48" s="116"/>
      <c r="SFL48" s="116"/>
      <c r="SFM48" s="116"/>
      <c r="SFN48" s="116"/>
      <c r="SFO48" s="116"/>
      <c r="SFP48" s="116"/>
      <c r="SFQ48" s="116"/>
      <c r="SFR48" s="116"/>
      <c r="SFS48" s="116"/>
      <c r="SFT48" s="116"/>
      <c r="SFU48" s="116"/>
      <c r="SFV48" s="116"/>
      <c r="SFW48" s="116"/>
      <c r="SFX48" s="116"/>
      <c r="SFY48" s="116"/>
      <c r="SFZ48" s="116"/>
      <c r="SGA48" s="116"/>
      <c r="SGB48" s="116"/>
      <c r="SGC48" s="116"/>
      <c r="SGD48" s="116"/>
      <c r="SGE48" s="116"/>
      <c r="SGF48" s="116"/>
      <c r="SGG48" s="116"/>
      <c r="SGH48" s="116"/>
      <c r="SGI48" s="116"/>
      <c r="SGJ48" s="116"/>
      <c r="SGK48" s="116"/>
      <c r="SGL48" s="116"/>
      <c r="SGM48" s="116"/>
      <c r="SGN48" s="116"/>
      <c r="SGO48" s="116"/>
      <c r="SGP48" s="116"/>
      <c r="SGQ48" s="116"/>
      <c r="SGR48" s="116"/>
      <c r="SGS48" s="116"/>
      <c r="SGT48" s="116"/>
      <c r="SGU48" s="116"/>
      <c r="SGV48" s="116"/>
      <c r="SGW48" s="116"/>
      <c r="SGX48" s="116"/>
      <c r="SGY48" s="116"/>
      <c r="SGZ48" s="116"/>
      <c r="SHA48" s="116"/>
      <c r="SHB48" s="116"/>
      <c r="SHC48" s="116"/>
      <c r="SHD48" s="116"/>
      <c r="SHE48" s="116"/>
      <c r="SHF48" s="116"/>
      <c r="SHG48" s="116"/>
      <c r="SHH48" s="116"/>
      <c r="SHI48" s="116"/>
      <c r="SHJ48" s="116"/>
      <c r="SHK48" s="116"/>
      <c r="SHL48" s="116"/>
      <c r="SHM48" s="116"/>
      <c r="SHN48" s="116"/>
      <c r="SHO48" s="116"/>
      <c r="SHP48" s="116"/>
      <c r="SHQ48" s="116"/>
      <c r="SHR48" s="116"/>
      <c r="SHS48" s="116"/>
      <c r="SHT48" s="116"/>
      <c r="SHU48" s="116"/>
      <c r="SHV48" s="116"/>
      <c r="SHW48" s="116"/>
      <c r="SHX48" s="116"/>
      <c r="SHY48" s="116"/>
      <c r="SHZ48" s="116"/>
      <c r="SIA48" s="116"/>
      <c r="SIB48" s="116"/>
      <c r="SIC48" s="116"/>
      <c r="SID48" s="116"/>
      <c r="SIE48" s="116"/>
      <c r="SIF48" s="116"/>
      <c r="SIG48" s="116"/>
      <c r="SIH48" s="116"/>
      <c r="SII48" s="116"/>
      <c r="SIJ48" s="116"/>
      <c r="SIK48" s="116"/>
      <c r="SIL48" s="116"/>
      <c r="SIM48" s="116"/>
      <c r="SIN48" s="116"/>
      <c r="SIO48" s="116"/>
      <c r="SIP48" s="116"/>
      <c r="SIQ48" s="116"/>
      <c r="SIR48" s="116"/>
      <c r="SIS48" s="116"/>
      <c r="SIT48" s="116"/>
      <c r="SIU48" s="116"/>
      <c r="SIV48" s="116"/>
      <c r="SIW48" s="116"/>
      <c r="SIX48" s="116"/>
      <c r="SIY48" s="116"/>
      <c r="SIZ48" s="116"/>
      <c r="SJA48" s="116"/>
      <c r="SJB48" s="116"/>
      <c r="SJC48" s="116"/>
      <c r="SJD48" s="116"/>
      <c r="SJE48" s="116"/>
      <c r="SJF48" s="116"/>
      <c r="SJG48" s="116"/>
      <c r="SJH48" s="116"/>
      <c r="SJI48" s="116"/>
      <c r="SJJ48" s="116"/>
      <c r="SJK48" s="116"/>
      <c r="SJL48" s="116"/>
      <c r="SJM48" s="116"/>
      <c r="SJN48" s="116"/>
      <c r="SJO48" s="116"/>
      <c r="SJP48" s="116"/>
      <c r="SJQ48" s="116"/>
      <c r="SJR48" s="116"/>
      <c r="SJS48" s="116"/>
      <c r="SJT48" s="116"/>
      <c r="SJU48" s="116"/>
      <c r="SJV48" s="116"/>
      <c r="SJW48" s="116"/>
      <c r="SJX48" s="116"/>
      <c r="SJY48" s="116"/>
      <c r="SJZ48" s="116"/>
      <c r="SKA48" s="116"/>
      <c r="SKB48" s="116"/>
      <c r="SKC48" s="116"/>
      <c r="SKD48" s="116"/>
      <c r="SKE48" s="116"/>
      <c r="SKF48" s="116"/>
      <c r="SKG48" s="116"/>
      <c r="SKH48" s="116"/>
      <c r="SKI48" s="116"/>
      <c r="SKJ48" s="116"/>
      <c r="SKK48" s="116"/>
      <c r="SKL48" s="116"/>
      <c r="SKM48" s="116"/>
      <c r="SKN48" s="116"/>
      <c r="SKO48" s="116"/>
      <c r="SKP48" s="116"/>
      <c r="SKQ48" s="116"/>
      <c r="SKR48" s="116"/>
      <c r="SKS48" s="116"/>
      <c r="SKT48" s="116"/>
      <c r="SKU48" s="116"/>
      <c r="SKV48" s="116"/>
      <c r="SKW48" s="116"/>
      <c r="SKX48" s="116"/>
      <c r="SKY48" s="116"/>
      <c r="SKZ48" s="116"/>
      <c r="SLA48" s="116"/>
      <c r="SLB48" s="116"/>
      <c r="SLC48" s="116"/>
      <c r="SLD48" s="116"/>
      <c r="SLE48" s="116"/>
      <c r="SLF48" s="116"/>
      <c r="SLG48" s="116"/>
      <c r="SLH48" s="116"/>
      <c r="SLI48" s="116"/>
      <c r="SLJ48" s="116"/>
      <c r="SLK48" s="116"/>
      <c r="SLL48" s="116"/>
      <c r="SLM48" s="116"/>
      <c r="SLN48" s="116"/>
      <c r="SLO48" s="116"/>
      <c r="SLP48" s="116"/>
      <c r="SLQ48" s="116"/>
      <c r="SLR48" s="116"/>
      <c r="SLS48" s="116"/>
      <c r="SLT48" s="116"/>
      <c r="SLU48" s="116"/>
      <c r="SLV48" s="116"/>
      <c r="SLW48" s="116"/>
      <c r="SLX48" s="116"/>
      <c r="SLY48" s="116"/>
      <c r="SLZ48" s="116"/>
      <c r="SMA48" s="116"/>
      <c r="SMB48" s="116"/>
      <c r="SMC48" s="116"/>
      <c r="SMD48" s="116"/>
      <c r="SME48" s="116"/>
      <c r="SMF48" s="116"/>
      <c r="SMG48" s="116"/>
      <c r="SMH48" s="116"/>
      <c r="SMI48" s="116"/>
      <c r="SMJ48" s="116"/>
      <c r="SMK48" s="116"/>
      <c r="SML48" s="116"/>
      <c r="SMM48" s="116"/>
      <c r="SMN48" s="116"/>
      <c r="SMO48" s="116"/>
      <c r="SMP48" s="116"/>
      <c r="SMQ48" s="116"/>
      <c r="SMR48" s="116"/>
      <c r="SMS48" s="116"/>
      <c r="SMT48" s="116"/>
      <c r="SMU48" s="116"/>
      <c r="SMV48" s="116"/>
      <c r="SMW48" s="116"/>
      <c r="SMX48" s="116"/>
      <c r="SMY48" s="116"/>
      <c r="SMZ48" s="116"/>
      <c r="SNA48" s="116"/>
      <c r="SNB48" s="116"/>
      <c r="SNC48" s="116"/>
      <c r="SND48" s="116"/>
      <c r="SNE48" s="116"/>
      <c r="SNF48" s="116"/>
      <c r="SNG48" s="116"/>
      <c r="SNH48" s="116"/>
      <c r="SNI48" s="116"/>
      <c r="SNJ48" s="116"/>
      <c r="SNK48" s="116"/>
      <c r="SNL48" s="116"/>
      <c r="SNM48" s="116"/>
      <c r="SNN48" s="116"/>
      <c r="SNO48" s="116"/>
      <c r="SNP48" s="116"/>
      <c r="SNQ48" s="116"/>
      <c r="SNR48" s="116"/>
      <c r="SNS48" s="116"/>
      <c r="SNT48" s="116"/>
      <c r="SNU48" s="116"/>
      <c r="SNV48" s="116"/>
      <c r="SNW48" s="116"/>
      <c r="SNX48" s="116"/>
      <c r="SNY48" s="116"/>
      <c r="SNZ48" s="116"/>
      <c r="SOA48" s="116"/>
      <c r="SOB48" s="116"/>
      <c r="SOC48" s="116"/>
      <c r="SOD48" s="116"/>
      <c r="SOE48" s="116"/>
      <c r="SOF48" s="116"/>
      <c r="SOG48" s="116"/>
      <c r="SOH48" s="116"/>
      <c r="SOI48" s="116"/>
      <c r="SOJ48" s="116"/>
      <c r="SOK48" s="116"/>
      <c r="SOL48" s="116"/>
      <c r="SOM48" s="116"/>
      <c r="SON48" s="116"/>
      <c r="SOO48" s="116"/>
      <c r="SOP48" s="116"/>
      <c r="SOQ48" s="116"/>
      <c r="SOR48" s="116"/>
      <c r="SOS48" s="116"/>
      <c r="SOT48" s="116"/>
      <c r="SOU48" s="116"/>
      <c r="SOV48" s="116"/>
      <c r="SOW48" s="116"/>
      <c r="SOX48" s="116"/>
      <c r="SOY48" s="116"/>
      <c r="SOZ48" s="116"/>
      <c r="SPA48" s="116"/>
      <c r="SPB48" s="116"/>
      <c r="SPC48" s="116"/>
      <c r="SPD48" s="116"/>
      <c r="SPE48" s="116"/>
      <c r="SPF48" s="116"/>
      <c r="SPG48" s="116"/>
      <c r="SPH48" s="116"/>
      <c r="SPI48" s="116"/>
      <c r="SPJ48" s="116"/>
      <c r="SPK48" s="116"/>
      <c r="SPL48" s="116"/>
      <c r="SPM48" s="116"/>
      <c r="SPN48" s="116"/>
      <c r="SPO48" s="116"/>
      <c r="SPP48" s="116"/>
      <c r="SPQ48" s="116"/>
      <c r="SPR48" s="116"/>
      <c r="SPS48" s="116"/>
      <c r="SPT48" s="116"/>
      <c r="SPU48" s="116"/>
      <c r="SPV48" s="116"/>
      <c r="SPW48" s="116"/>
      <c r="SPX48" s="116"/>
      <c r="SPY48" s="116"/>
      <c r="SPZ48" s="116"/>
      <c r="SQA48" s="116"/>
      <c r="SQB48" s="116"/>
      <c r="SQC48" s="116"/>
      <c r="SQD48" s="116"/>
      <c r="SQE48" s="116"/>
      <c r="SQF48" s="116"/>
      <c r="SQG48" s="116"/>
      <c r="SQH48" s="116"/>
      <c r="SQI48" s="116"/>
      <c r="SQJ48" s="116"/>
      <c r="SQK48" s="116"/>
      <c r="SQL48" s="116"/>
      <c r="SQM48" s="116"/>
      <c r="SQN48" s="116"/>
      <c r="SQO48" s="116"/>
      <c r="SQP48" s="116"/>
      <c r="SQQ48" s="116"/>
      <c r="SQR48" s="116"/>
      <c r="SQS48" s="116"/>
      <c r="SQT48" s="116"/>
      <c r="SQU48" s="116"/>
      <c r="SQV48" s="116"/>
      <c r="SQW48" s="116"/>
      <c r="SQX48" s="116"/>
      <c r="SQY48" s="116"/>
      <c r="SQZ48" s="116"/>
      <c r="SRA48" s="116"/>
      <c r="SRB48" s="116"/>
      <c r="SRC48" s="116"/>
      <c r="SRD48" s="116"/>
      <c r="SRE48" s="116"/>
      <c r="SRF48" s="116"/>
      <c r="SRG48" s="116"/>
      <c r="SRH48" s="116"/>
      <c r="SRI48" s="116"/>
      <c r="SRJ48" s="116"/>
      <c r="SRK48" s="116"/>
      <c r="SRL48" s="116"/>
      <c r="SRM48" s="116"/>
      <c r="SRN48" s="116"/>
      <c r="SRO48" s="116"/>
      <c r="SRP48" s="116"/>
      <c r="SRQ48" s="116"/>
      <c r="SRR48" s="116"/>
      <c r="SRS48" s="116"/>
      <c r="SRT48" s="116"/>
      <c r="SRU48" s="116"/>
      <c r="SRV48" s="116"/>
      <c r="SRW48" s="116"/>
      <c r="SRX48" s="116"/>
      <c r="SRY48" s="116"/>
      <c r="SRZ48" s="116"/>
      <c r="SSA48" s="116"/>
      <c r="SSB48" s="116"/>
      <c r="SSC48" s="116"/>
      <c r="SSD48" s="116"/>
      <c r="SSE48" s="116"/>
      <c r="SSF48" s="116"/>
      <c r="SSG48" s="116"/>
      <c r="SSH48" s="116"/>
      <c r="SSI48" s="116"/>
      <c r="SSJ48" s="116"/>
      <c r="SSK48" s="116"/>
      <c r="SSL48" s="116"/>
      <c r="SSM48" s="116"/>
      <c r="SSN48" s="116"/>
      <c r="SSO48" s="116"/>
      <c r="SSP48" s="116"/>
      <c r="SSQ48" s="116"/>
      <c r="SSR48" s="116"/>
      <c r="SSS48" s="116"/>
      <c r="SST48" s="116"/>
      <c r="SSU48" s="116"/>
      <c r="SSV48" s="116"/>
      <c r="SSW48" s="116"/>
      <c r="SSX48" s="116"/>
      <c r="SSY48" s="116"/>
      <c r="SSZ48" s="116"/>
      <c r="STA48" s="116"/>
      <c r="STB48" s="116"/>
      <c r="STC48" s="116"/>
      <c r="STD48" s="116"/>
      <c r="STE48" s="116"/>
      <c r="STF48" s="116"/>
      <c r="STG48" s="116"/>
      <c r="STH48" s="116"/>
      <c r="STI48" s="116"/>
      <c r="STJ48" s="116"/>
      <c r="STK48" s="116"/>
      <c r="STL48" s="116"/>
      <c r="STM48" s="116"/>
      <c r="STN48" s="116"/>
      <c r="STO48" s="116"/>
      <c r="STP48" s="116"/>
      <c r="STQ48" s="116"/>
      <c r="STR48" s="116"/>
      <c r="STS48" s="116"/>
      <c r="STT48" s="116"/>
      <c r="STU48" s="116"/>
      <c r="STV48" s="116"/>
      <c r="STW48" s="116"/>
      <c r="STX48" s="116"/>
      <c r="STY48" s="116"/>
      <c r="STZ48" s="116"/>
      <c r="SUA48" s="116"/>
      <c r="SUB48" s="116"/>
      <c r="SUC48" s="116"/>
      <c r="SUD48" s="116"/>
      <c r="SUE48" s="116"/>
      <c r="SUF48" s="116"/>
      <c r="SUG48" s="116"/>
      <c r="SUH48" s="116"/>
      <c r="SUI48" s="116"/>
      <c r="SUJ48" s="116"/>
      <c r="SUK48" s="116"/>
      <c r="SUL48" s="116"/>
      <c r="SUM48" s="116"/>
      <c r="SUN48" s="116"/>
      <c r="SUO48" s="116"/>
      <c r="SUP48" s="116"/>
      <c r="SUQ48" s="116"/>
      <c r="SUR48" s="116"/>
      <c r="SUS48" s="116"/>
      <c r="SUT48" s="116"/>
      <c r="SUU48" s="116"/>
      <c r="SUV48" s="116"/>
      <c r="SUW48" s="116"/>
      <c r="SUX48" s="116"/>
      <c r="SUY48" s="116"/>
      <c r="SUZ48" s="116"/>
      <c r="SVA48" s="116"/>
      <c r="SVB48" s="116"/>
      <c r="SVC48" s="116"/>
      <c r="SVD48" s="116"/>
      <c r="SVE48" s="116"/>
      <c r="SVF48" s="116"/>
      <c r="SVG48" s="116"/>
      <c r="SVH48" s="116"/>
      <c r="SVI48" s="116"/>
      <c r="SVJ48" s="116"/>
      <c r="SVK48" s="116"/>
      <c r="SVL48" s="116"/>
      <c r="SVM48" s="116"/>
      <c r="SVN48" s="116"/>
      <c r="SVO48" s="116"/>
      <c r="SVP48" s="116"/>
      <c r="SVQ48" s="116"/>
      <c r="SVR48" s="116"/>
      <c r="SVS48" s="116"/>
      <c r="SVT48" s="116"/>
      <c r="SVU48" s="116"/>
      <c r="SVV48" s="116"/>
      <c r="SVW48" s="116"/>
      <c r="SVX48" s="116"/>
      <c r="SVY48" s="116"/>
      <c r="SVZ48" s="116"/>
      <c r="SWA48" s="116"/>
      <c r="SWB48" s="116"/>
      <c r="SWC48" s="116"/>
      <c r="SWD48" s="116"/>
      <c r="SWE48" s="116"/>
      <c r="SWF48" s="116"/>
      <c r="SWG48" s="116"/>
      <c r="SWH48" s="116"/>
      <c r="SWI48" s="116"/>
      <c r="SWJ48" s="116"/>
      <c r="SWK48" s="116"/>
      <c r="SWL48" s="116"/>
      <c r="SWM48" s="116"/>
      <c r="SWN48" s="116"/>
      <c r="SWO48" s="116"/>
      <c r="SWP48" s="116"/>
      <c r="SWQ48" s="116"/>
      <c r="SWR48" s="116"/>
      <c r="SWS48" s="116"/>
      <c r="SWT48" s="116"/>
      <c r="SWU48" s="116"/>
      <c r="SWV48" s="116"/>
      <c r="SWW48" s="116"/>
      <c r="SWX48" s="116"/>
      <c r="SWY48" s="116"/>
      <c r="SWZ48" s="116"/>
      <c r="SXA48" s="116"/>
      <c r="SXB48" s="116"/>
      <c r="SXC48" s="116"/>
      <c r="SXD48" s="116"/>
      <c r="SXE48" s="116"/>
      <c r="SXF48" s="116"/>
      <c r="SXG48" s="116"/>
      <c r="SXH48" s="116"/>
      <c r="SXI48" s="116"/>
      <c r="SXJ48" s="116"/>
      <c r="SXK48" s="116"/>
      <c r="SXL48" s="116"/>
      <c r="SXM48" s="116"/>
      <c r="SXN48" s="116"/>
      <c r="SXO48" s="116"/>
      <c r="SXP48" s="116"/>
      <c r="SXQ48" s="116"/>
      <c r="SXR48" s="116"/>
      <c r="SXS48" s="116"/>
      <c r="SXT48" s="116"/>
      <c r="SXU48" s="116"/>
      <c r="SXV48" s="116"/>
      <c r="SXW48" s="116"/>
      <c r="SXX48" s="116"/>
      <c r="SXY48" s="116"/>
      <c r="SXZ48" s="116"/>
      <c r="SYA48" s="116"/>
      <c r="SYB48" s="116"/>
      <c r="SYC48" s="116"/>
      <c r="SYD48" s="116"/>
      <c r="SYE48" s="116"/>
      <c r="SYF48" s="116"/>
      <c r="SYG48" s="116"/>
      <c r="SYH48" s="116"/>
      <c r="SYI48" s="116"/>
      <c r="SYJ48" s="116"/>
      <c r="SYK48" s="116"/>
      <c r="SYL48" s="116"/>
      <c r="SYM48" s="116"/>
      <c r="SYN48" s="116"/>
      <c r="SYO48" s="116"/>
      <c r="SYP48" s="116"/>
      <c r="SYQ48" s="116"/>
      <c r="SYR48" s="116"/>
      <c r="SYS48" s="116"/>
      <c r="SYT48" s="116"/>
      <c r="SYU48" s="116"/>
      <c r="SYV48" s="116"/>
      <c r="SYW48" s="116"/>
      <c r="SYX48" s="116"/>
      <c r="SYY48" s="116"/>
      <c r="SYZ48" s="116"/>
      <c r="SZA48" s="116"/>
      <c r="SZB48" s="116"/>
      <c r="SZC48" s="116"/>
      <c r="SZD48" s="116"/>
      <c r="SZE48" s="116"/>
      <c r="SZF48" s="116"/>
      <c r="SZG48" s="116"/>
      <c r="SZH48" s="116"/>
      <c r="SZI48" s="116"/>
      <c r="SZJ48" s="116"/>
      <c r="SZK48" s="116"/>
      <c r="SZL48" s="116"/>
      <c r="SZM48" s="116"/>
      <c r="SZN48" s="116"/>
      <c r="SZO48" s="116"/>
      <c r="SZP48" s="116"/>
      <c r="SZQ48" s="116"/>
      <c r="SZR48" s="116"/>
      <c r="SZS48" s="116"/>
      <c r="SZT48" s="116"/>
      <c r="SZU48" s="116"/>
      <c r="SZV48" s="116"/>
      <c r="SZW48" s="116"/>
      <c r="SZX48" s="116"/>
      <c r="SZY48" s="116"/>
      <c r="SZZ48" s="116"/>
      <c r="TAA48" s="116"/>
      <c r="TAB48" s="116"/>
      <c r="TAC48" s="116"/>
      <c r="TAD48" s="116"/>
      <c r="TAE48" s="116"/>
      <c r="TAF48" s="116"/>
      <c r="TAG48" s="116"/>
      <c r="TAH48" s="116"/>
      <c r="TAI48" s="116"/>
      <c r="TAJ48" s="116"/>
      <c r="TAK48" s="116"/>
      <c r="TAL48" s="116"/>
      <c r="TAM48" s="116"/>
      <c r="TAN48" s="116"/>
      <c r="TAO48" s="116"/>
      <c r="TAP48" s="116"/>
      <c r="TAQ48" s="116"/>
      <c r="TAR48" s="116"/>
      <c r="TAS48" s="116"/>
      <c r="TAT48" s="116"/>
      <c r="TAU48" s="116"/>
      <c r="TAV48" s="116"/>
      <c r="TAW48" s="116"/>
      <c r="TAX48" s="116"/>
      <c r="TAY48" s="116"/>
      <c r="TAZ48" s="116"/>
      <c r="TBA48" s="116"/>
      <c r="TBB48" s="116"/>
      <c r="TBC48" s="116"/>
      <c r="TBD48" s="116"/>
      <c r="TBE48" s="116"/>
      <c r="TBF48" s="116"/>
      <c r="TBG48" s="116"/>
      <c r="TBH48" s="116"/>
      <c r="TBI48" s="116"/>
      <c r="TBJ48" s="116"/>
      <c r="TBK48" s="116"/>
      <c r="TBL48" s="116"/>
      <c r="TBM48" s="116"/>
      <c r="TBN48" s="116"/>
      <c r="TBO48" s="116"/>
      <c r="TBP48" s="116"/>
      <c r="TBQ48" s="116"/>
      <c r="TBR48" s="116"/>
      <c r="TBS48" s="116"/>
      <c r="TBT48" s="116"/>
      <c r="TBU48" s="116"/>
      <c r="TBV48" s="116"/>
      <c r="TBW48" s="116"/>
      <c r="TBX48" s="116"/>
      <c r="TBY48" s="116"/>
      <c r="TBZ48" s="116"/>
      <c r="TCA48" s="116"/>
      <c r="TCB48" s="116"/>
      <c r="TCC48" s="116"/>
      <c r="TCD48" s="116"/>
      <c r="TCE48" s="116"/>
      <c r="TCF48" s="116"/>
      <c r="TCG48" s="116"/>
      <c r="TCH48" s="116"/>
      <c r="TCI48" s="116"/>
      <c r="TCJ48" s="116"/>
      <c r="TCK48" s="116"/>
      <c r="TCL48" s="116"/>
      <c r="TCM48" s="116"/>
      <c r="TCN48" s="116"/>
      <c r="TCO48" s="116"/>
      <c r="TCP48" s="116"/>
      <c r="TCQ48" s="116"/>
      <c r="TCR48" s="116"/>
      <c r="TCS48" s="116"/>
      <c r="TCT48" s="116"/>
      <c r="TCU48" s="116"/>
      <c r="TCV48" s="116"/>
      <c r="TCW48" s="116"/>
      <c r="TCX48" s="116"/>
      <c r="TCY48" s="116"/>
      <c r="TCZ48" s="116"/>
      <c r="TDA48" s="116"/>
      <c r="TDB48" s="116"/>
      <c r="TDC48" s="116"/>
      <c r="TDD48" s="116"/>
      <c r="TDE48" s="116"/>
      <c r="TDF48" s="116"/>
      <c r="TDG48" s="116"/>
      <c r="TDH48" s="116"/>
      <c r="TDI48" s="116"/>
      <c r="TDJ48" s="116"/>
      <c r="TDK48" s="116"/>
      <c r="TDL48" s="116"/>
      <c r="TDM48" s="116"/>
      <c r="TDN48" s="116"/>
      <c r="TDO48" s="116"/>
      <c r="TDP48" s="116"/>
      <c r="TDQ48" s="116"/>
      <c r="TDR48" s="116"/>
      <c r="TDS48" s="116"/>
      <c r="TDT48" s="116"/>
      <c r="TDU48" s="116"/>
      <c r="TDV48" s="116"/>
      <c r="TDW48" s="116"/>
      <c r="TDX48" s="116"/>
      <c r="TDY48" s="116"/>
      <c r="TDZ48" s="116"/>
      <c r="TEA48" s="116"/>
      <c r="TEB48" s="116"/>
      <c r="TEC48" s="116"/>
      <c r="TED48" s="116"/>
      <c r="TEE48" s="116"/>
      <c r="TEF48" s="116"/>
      <c r="TEG48" s="116"/>
      <c r="TEH48" s="116"/>
      <c r="TEI48" s="116"/>
      <c r="TEJ48" s="116"/>
      <c r="TEK48" s="116"/>
      <c r="TEL48" s="116"/>
      <c r="TEM48" s="116"/>
      <c r="TEN48" s="116"/>
      <c r="TEO48" s="116"/>
      <c r="TEP48" s="116"/>
      <c r="TEQ48" s="116"/>
      <c r="TER48" s="116"/>
      <c r="TES48" s="116"/>
      <c r="TET48" s="116"/>
      <c r="TEU48" s="116"/>
      <c r="TEV48" s="116"/>
      <c r="TEW48" s="116"/>
      <c r="TEX48" s="116"/>
      <c r="TEY48" s="116"/>
      <c r="TEZ48" s="116"/>
      <c r="TFA48" s="116"/>
      <c r="TFB48" s="116"/>
      <c r="TFC48" s="116"/>
      <c r="TFD48" s="116"/>
      <c r="TFE48" s="116"/>
      <c r="TFF48" s="116"/>
      <c r="TFG48" s="116"/>
      <c r="TFH48" s="116"/>
      <c r="TFI48" s="116"/>
      <c r="TFJ48" s="116"/>
      <c r="TFK48" s="116"/>
      <c r="TFL48" s="116"/>
      <c r="TFM48" s="116"/>
      <c r="TFN48" s="116"/>
      <c r="TFO48" s="116"/>
      <c r="TFP48" s="116"/>
      <c r="TFQ48" s="116"/>
      <c r="TFR48" s="116"/>
      <c r="TFS48" s="116"/>
      <c r="TFT48" s="116"/>
      <c r="TFU48" s="116"/>
      <c r="TFV48" s="116"/>
      <c r="TFW48" s="116"/>
      <c r="TFX48" s="116"/>
      <c r="TFY48" s="116"/>
      <c r="TFZ48" s="116"/>
      <c r="TGA48" s="116"/>
      <c r="TGB48" s="116"/>
      <c r="TGC48" s="116"/>
      <c r="TGD48" s="116"/>
      <c r="TGE48" s="116"/>
      <c r="TGF48" s="116"/>
      <c r="TGG48" s="116"/>
      <c r="TGH48" s="116"/>
      <c r="TGI48" s="116"/>
      <c r="TGJ48" s="116"/>
      <c r="TGK48" s="116"/>
      <c r="TGL48" s="116"/>
      <c r="TGM48" s="116"/>
      <c r="TGN48" s="116"/>
      <c r="TGO48" s="116"/>
      <c r="TGP48" s="116"/>
      <c r="TGQ48" s="116"/>
      <c r="TGR48" s="116"/>
      <c r="TGS48" s="116"/>
      <c r="TGT48" s="116"/>
      <c r="TGU48" s="116"/>
      <c r="TGV48" s="116"/>
      <c r="TGW48" s="116"/>
      <c r="TGX48" s="116"/>
      <c r="TGY48" s="116"/>
      <c r="TGZ48" s="116"/>
      <c r="THA48" s="116"/>
      <c r="THB48" s="116"/>
      <c r="THC48" s="116"/>
      <c r="THD48" s="116"/>
      <c r="THE48" s="116"/>
      <c r="THF48" s="116"/>
      <c r="THG48" s="116"/>
      <c r="THH48" s="116"/>
      <c r="THI48" s="116"/>
      <c r="THJ48" s="116"/>
      <c r="THK48" s="116"/>
      <c r="THL48" s="116"/>
      <c r="THM48" s="116"/>
      <c r="THN48" s="116"/>
      <c r="THO48" s="116"/>
      <c r="THP48" s="116"/>
      <c r="THQ48" s="116"/>
      <c r="THR48" s="116"/>
      <c r="THS48" s="116"/>
      <c r="THT48" s="116"/>
      <c r="THU48" s="116"/>
      <c r="THV48" s="116"/>
      <c r="THW48" s="116"/>
      <c r="THX48" s="116"/>
      <c r="THY48" s="116"/>
      <c r="THZ48" s="116"/>
      <c r="TIA48" s="116"/>
      <c r="TIB48" s="116"/>
      <c r="TIC48" s="116"/>
      <c r="TID48" s="116"/>
      <c r="TIE48" s="116"/>
      <c r="TIF48" s="116"/>
      <c r="TIG48" s="116"/>
      <c r="TIH48" s="116"/>
      <c r="TII48" s="116"/>
      <c r="TIJ48" s="116"/>
      <c r="TIK48" s="116"/>
      <c r="TIL48" s="116"/>
      <c r="TIM48" s="116"/>
      <c r="TIN48" s="116"/>
      <c r="TIO48" s="116"/>
      <c r="TIP48" s="116"/>
      <c r="TIQ48" s="116"/>
      <c r="TIR48" s="116"/>
      <c r="TIS48" s="116"/>
      <c r="TIT48" s="116"/>
      <c r="TIU48" s="116"/>
      <c r="TIV48" s="116"/>
      <c r="TIW48" s="116"/>
      <c r="TIX48" s="116"/>
      <c r="TIY48" s="116"/>
      <c r="TIZ48" s="116"/>
      <c r="TJA48" s="116"/>
      <c r="TJB48" s="116"/>
      <c r="TJC48" s="116"/>
      <c r="TJD48" s="116"/>
      <c r="TJE48" s="116"/>
      <c r="TJF48" s="116"/>
      <c r="TJG48" s="116"/>
      <c r="TJH48" s="116"/>
      <c r="TJI48" s="116"/>
      <c r="TJJ48" s="116"/>
      <c r="TJK48" s="116"/>
      <c r="TJL48" s="116"/>
      <c r="TJM48" s="116"/>
      <c r="TJN48" s="116"/>
      <c r="TJO48" s="116"/>
      <c r="TJP48" s="116"/>
      <c r="TJQ48" s="116"/>
      <c r="TJR48" s="116"/>
      <c r="TJS48" s="116"/>
      <c r="TJT48" s="116"/>
      <c r="TJU48" s="116"/>
      <c r="TJV48" s="116"/>
      <c r="TJW48" s="116"/>
      <c r="TJX48" s="116"/>
      <c r="TJY48" s="116"/>
      <c r="TJZ48" s="116"/>
      <c r="TKA48" s="116"/>
      <c r="TKB48" s="116"/>
      <c r="TKC48" s="116"/>
      <c r="TKD48" s="116"/>
      <c r="TKE48" s="116"/>
      <c r="TKF48" s="116"/>
      <c r="TKG48" s="116"/>
      <c r="TKH48" s="116"/>
      <c r="TKI48" s="116"/>
      <c r="TKJ48" s="116"/>
      <c r="TKK48" s="116"/>
      <c r="TKL48" s="116"/>
      <c r="TKM48" s="116"/>
      <c r="TKN48" s="116"/>
      <c r="TKO48" s="116"/>
      <c r="TKP48" s="116"/>
      <c r="TKQ48" s="116"/>
      <c r="TKR48" s="116"/>
      <c r="TKS48" s="116"/>
      <c r="TKT48" s="116"/>
      <c r="TKU48" s="116"/>
      <c r="TKV48" s="116"/>
      <c r="TKW48" s="116"/>
      <c r="TKX48" s="116"/>
      <c r="TKY48" s="116"/>
      <c r="TKZ48" s="116"/>
      <c r="TLA48" s="116"/>
      <c r="TLB48" s="116"/>
      <c r="TLC48" s="116"/>
      <c r="TLD48" s="116"/>
      <c r="TLE48" s="116"/>
      <c r="TLF48" s="116"/>
      <c r="TLG48" s="116"/>
      <c r="TLH48" s="116"/>
      <c r="TLI48" s="116"/>
      <c r="TLJ48" s="116"/>
      <c r="TLK48" s="116"/>
      <c r="TLL48" s="116"/>
      <c r="TLM48" s="116"/>
      <c r="TLN48" s="116"/>
      <c r="TLO48" s="116"/>
      <c r="TLP48" s="116"/>
      <c r="TLQ48" s="116"/>
      <c r="TLR48" s="116"/>
      <c r="TLS48" s="116"/>
      <c r="TLT48" s="116"/>
      <c r="TLU48" s="116"/>
      <c r="TLV48" s="116"/>
      <c r="TLW48" s="116"/>
      <c r="TLX48" s="116"/>
      <c r="TLY48" s="116"/>
      <c r="TLZ48" s="116"/>
      <c r="TMA48" s="116"/>
      <c r="TMB48" s="116"/>
      <c r="TMC48" s="116"/>
      <c r="TMD48" s="116"/>
      <c r="TME48" s="116"/>
      <c r="TMF48" s="116"/>
      <c r="TMG48" s="116"/>
      <c r="TMH48" s="116"/>
      <c r="TMI48" s="116"/>
      <c r="TMJ48" s="116"/>
      <c r="TMK48" s="116"/>
      <c r="TML48" s="116"/>
      <c r="TMM48" s="116"/>
      <c r="TMN48" s="116"/>
      <c r="TMO48" s="116"/>
      <c r="TMP48" s="116"/>
      <c r="TMQ48" s="116"/>
      <c r="TMR48" s="116"/>
      <c r="TMS48" s="116"/>
      <c r="TMT48" s="116"/>
      <c r="TMU48" s="116"/>
      <c r="TMV48" s="116"/>
      <c r="TMW48" s="116"/>
      <c r="TMX48" s="116"/>
      <c r="TMY48" s="116"/>
      <c r="TMZ48" s="116"/>
      <c r="TNA48" s="116"/>
      <c r="TNB48" s="116"/>
      <c r="TNC48" s="116"/>
      <c r="TND48" s="116"/>
      <c r="TNE48" s="116"/>
      <c r="TNF48" s="116"/>
      <c r="TNG48" s="116"/>
      <c r="TNH48" s="116"/>
      <c r="TNI48" s="116"/>
      <c r="TNJ48" s="116"/>
      <c r="TNK48" s="116"/>
      <c r="TNL48" s="116"/>
      <c r="TNM48" s="116"/>
      <c r="TNN48" s="116"/>
      <c r="TNO48" s="116"/>
      <c r="TNP48" s="116"/>
      <c r="TNQ48" s="116"/>
      <c r="TNR48" s="116"/>
      <c r="TNS48" s="116"/>
      <c r="TNT48" s="116"/>
      <c r="TNU48" s="116"/>
      <c r="TNV48" s="116"/>
      <c r="TNW48" s="116"/>
      <c r="TNX48" s="116"/>
      <c r="TNY48" s="116"/>
      <c r="TNZ48" s="116"/>
      <c r="TOA48" s="116"/>
      <c r="TOB48" s="116"/>
      <c r="TOC48" s="116"/>
      <c r="TOD48" s="116"/>
      <c r="TOE48" s="116"/>
      <c r="TOF48" s="116"/>
      <c r="TOG48" s="116"/>
      <c r="TOH48" s="116"/>
      <c r="TOI48" s="116"/>
      <c r="TOJ48" s="116"/>
      <c r="TOK48" s="116"/>
      <c r="TOL48" s="116"/>
      <c r="TOM48" s="116"/>
      <c r="TON48" s="116"/>
      <c r="TOO48" s="116"/>
      <c r="TOP48" s="116"/>
      <c r="TOQ48" s="116"/>
      <c r="TOR48" s="116"/>
      <c r="TOS48" s="116"/>
      <c r="TOT48" s="116"/>
      <c r="TOU48" s="116"/>
      <c r="TOV48" s="116"/>
      <c r="TOW48" s="116"/>
      <c r="TOX48" s="116"/>
      <c r="TOY48" s="116"/>
      <c r="TOZ48" s="116"/>
      <c r="TPA48" s="116"/>
      <c r="TPB48" s="116"/>
      <c r="TPC48" s="116"/>
      <c r="TPD48" s="116"/>
      <c r="TPE48" s="116"/>
      <c r="TPF48" s="116"/>
      <c r="TPG48" s="116"/>
      <c r="TPH48" s="116"/>
      <c r="TPI48" s="116"/>
      <c r="TPJ48" s="116"/>
      <c r="TPK48" s="116"/>
      <c r="TPL48" s="116"/>
      <c r="TPM48" s="116"/>
      <c r="TPN48" s="116"/>
      <c r="TPO48" s="116"/>
      <c r="TPP48" s="116"/>
      <c r="TPQ48" s="116"/>
      <c r="TPR48" s="116"/>
      <c r="TPS48" s="116"/>
      <c r="TPT48" s="116"/>
      <c r="TPU48" s="116"/>
      <c r="TPV48" s="116"/>
      <c r="TPW48" s="116"/>
      <c r="TPX48" s="116"/>
      <c r="TPY48" s="116"/>
      <c r="TPZ48" s="116"/>
      <c r="TQA48" s="116"/>
      <c r="TQB48" s="116"/>
      <c r="TQC48" s="116"/>
      <c r="TQD48" s="116"/>
      <c r="TQE48" s="116"/>
      <c r="TQF48" s="116"/>
      <c r="TQG48" s="116"/>
      <c r="TQH48" s="116"/>
      <c r="TQI48" s="116"/>
      <c r="TQJ48" s="116"/>
      <c r="TQK48" s="116"/>
      <c r="TQL48" s="116"/>
      <c r="TQM48" s="116"/>
      <c r="TQN48" s="116"/>
      <c r="TQO48" s="116"/>
      <c r="TQP48" s="116"/>
      <c r="TQQ48" s="116"/>
      <c r="TQR48" s="116"/>
      <c r="TQS48" s="116"/>
      <c r="TQT48" s="116"/>
      <c r="TQU48" s="116"/>
      <c r="TQV48" s="116"/>
      <c r="TQW48" s="116"/>
      <c r="TQX48" s="116"/>
      <c r="TQY48" s="116"/>
      <c r="TQZ48" s="116"/>
      <c r="TRA48" s="116"/>
      <c r="TRB48" s="116"/>
      <c r="TRC48" s="116"/>
      <c r="TRD48" s="116"/>
      <c r="TRE48" s="116"/>
      <c r="TRF48" s="116"/>
      <c r="TRG48" s="116"/>
      <c r="TRH48" s="116"/>
      <c r="TRI48" s="116"/>
      <c r="TRJ48" s="116"/>
      <c r="TRK48" s="116"/>
      <c r="TRL48" s="116"/>
      <c r="TRM48" s="116"/>
      <c r="TRN48" s="116"/>
      <c r="TRO48" s="116"/>
      <c r="TRP48" s="116"/>
      <c r="TRQ48" s="116"/>
      <c r="TRR48" s="116"/>
      <c r="TRS48" s="116"/>
      <c r="TRT48" s="116"/>
      <c r="TRU48" s="116"/>
      <c r="TRV48" s="116"/>
      <c r="TRW48" s="116"/>
      <c r="TRX48" s="116"/>
      <c r="TRY48" s="116"/>
      <c r="TRZ48" s="116"/>
      <c r="TSA48" s="116"/>
      <c r="TSB48" s="116"/>
      <c r="TSC48" s="116"/>
      <c r="TSD48" s="116"/>
      <c r="TSE48" s="116"/>
      <c r="TSF48" s="116"/>
      <c r="TSG48" s="116"/>
      <c r="TSH48" s="116"/>
      <c r="TSI48" s="116"/>
      <c r="TSJ48" s="116"/>
      <c r="TSK48" s="116"/>
      <c r="TSL48" s="116"/>
      <c r="TSM48" s="116"/>
      <c r="TSN48" s="116"/>
      <c r="TSO48" s="116"/>
      <c r="TSP48" s="116"/>
      <c r="TSQ48" s="116"/>
      <c r="TSR48" s="116"/>
      <c r="TSS48" s="116"/>
      <c r="TST48" s="116"/>
      <c r="TSU48" s="116"/>
      <c r="TSV48" s="116"/>
      <c r="TSW48" s="116"/>
      <c r="TSX48" s="116"/>
      <c r="TSY48" s="116"/>
      <c r="TSZ48" s="116"/>
      <c r="TTA48" s="116"/>
      <c r="TTB48" s="116"/>
      <c r="TTC48" s="116"/>
      <c r="TTD48" s="116"/>
      <c r="TTE48" s="116"/>
      <c r="TTF48" s="116"/>
      <c r="TTG48" s="116"/>
      <c r="TTH48" s="116"/>
      <c r="TTI48" s="116"/>
      <c r="TTJ48" s="116"/>
      <c r="TTK48" s="116"/>
      <c r="TTL48" s="116"/>
      <c r="TTM48" s="116"/>
      <c r="TTN48" s="116"/>
      <c r="TTO48" s="116"/>
      <c r="TTP48" s="116"/>
      <c r="TTQ48" s="116"/>
      <c r="TTR48" s="116"/>
      <c r="TTS48" s="116"/>
      <c r="TTT48" s="116"/>
      <c r="TTU48" s="116"/>
      <c r="TTV48" s="116"/>
      <c r="TTW48" s="116"/>
      <c r="TTX48" s="116"/>
      <c r="TTY48" s="116"/>
      <c r="TTZ48" s="116"/>
      <c r="TUA48" s="116"/>
      <c r="TUB48" s="116"/>
      <c r="TUC48" s="116"/>
      <c r="TUD48" s="116"/>
      <c r="TUE48" s="116"/>
      <c r="TUF48" s="116"/>
      <c r="TUG48" s="116"/>
      <c r="TUH48" s="116"/>
      <c r="TUI48" s="116"/>
      <c r="TUJ48" s="116"/>
      <c r="TUK48" s="116"/>
      <c r="TUL48" s="116"/>
      <c r="TUM48" s="116"/>
      <c r="TUN48" s="116"/>
      <c r="TUO48" s="116"/>
      <c r="TUP48" s="116"/>
      <c r="TUQ48" s="116"/>
      <c r="TUR48" s="116"/>
      <c r="TUS48" s="116"/>
      <c r="TUT48" s="116"/>
      <c r="TUU48" s="116"/>
      <c r="TUV48" s="116"/>
      <c r="TUW48" s="116"/>
      <c r="TUX48" s="116"/>
      <c r="TUY48" s="116"/>
      <c r="TUZ48" s="116"/>
      <c r="TVA48" s="116"/>
      <c r="TVB48" s="116"/>
      <c r="TVC48" s="116"/>
      <c r="TVD48" s="116"/>
      <c r="TVE48" s="116"/>
      <c r="TVF48" s="116"/>
      <c r="TVG48" s="116"/>
      <c r="TVH48" s="116"/>
      <c r="TVI48" s="116"/>
      <c r="TVJ48" s="116"/>
      <c r="TVK48" s="116"/>
      <c r="TVL48" s="116"/>
      <c r="TVM48" s="116"/>
      <c r="TVN48" s="116"/>
      <c r="TVO48" s="116"/>
      <c r="TVP48" s="116"/>
      <c r="TVQ48" s="116"/>
      <c r="TVR48" s="116"/>
      <c r="TVS48" s="116"/>
      <c r="TVT48" s="116"/>
      <c r="TVU48" s="116"/>
      <c r="TVV48" s="116"/>
      <c r="TVW48" s="116"/>
      <c r="TVX48" s="116"/>
      <c r="TVY48" s="116"/>
      <c r="TVZ48" s="116"/>
      <c r="TWA48" s="116"/>
      <c r="TWB48" s="116"/>
      <c r="TWC48" s="116"/>
      <c r="TWD48" s="116"/>
      <c r="TWE48" s="116"/>
      <c r="TWF48" s="116"/>
      <c r="TWG48" s="116"/>
      <c r="TWH48" s="116"/>
      <c r="TWI48" s="116"/>
      <c r="TWJ48" s="116"/>
      <c r="TWK48" s="116"/>
      <c r="TWL48" s="116"/>
      <c r="TWM48" s="116"/>
      <c r="TWN48" s="116"/>
      <c r="TWO48" s="116"/>
      <c r="TWP48" s="116"/>
      <c r="TWQ48" s="116"/>
      <c r="TWR48" s="116"/>
      <c r="TWS48" s="116"/>
      <c r="TWT48" s="116"/>
      <c r="TWU48" s="116"/>
      <c r="TWV48" s="116"/>
      <c r="TWW48" s="116"/>
      <c r="TWX48" s="116"/>
      <c r="TWY48" s="116"/>
      <c r="TWZ48" s="116"/>
      <c r="TXA48" s="116"/>
      <c r="TXB48" s="116"/>
      <c r="TXC48" s="116"/>
      <c r="TXD48" s="116"/>
      <c r="TXE48" s="116"/>
      <c r="TXF48" s="116"/>
      <c r="TXG48" s="116"/>
      <c r="TXH48" s="116"/>
      <c r="TXI48" s="116"/>
      <c r="TXJ48" s="116"/>
      <c r="TXK48" s="116"/>
      <c r="TXL48" s="116"/>
      <c r="TXM48" s="116"/>
      <c r="TXN48" s="116"/>
      <c r="TXO48" s="116"/>
      <c r="TXP48" s="116"/>
      <c r="TXQ48" s="116"/>
      <c r="TXR48" s="116"/>
      <c r="TXS48" s="116"/>
      <c r="TXT48" s="116"/>
      <c r="TXU48" s="116"/>
      <c r="TXV48" s="116"/>
      <c r="TXW48" s="116"/>
      <c r="TXX48" s="116"/>
      <c r="TXY48" s="116"/>
      <c r="TXZ48" s="116"/>
      <c r="TYA48" s="116"/>
      <c r="TYB48" s="116"/>
      <c r="TYC48" s="116"/>
      <c r="TYD48" s="116"/>
      <c r="TYE48" s="116"/>
      <c r="TYF48" s="116"/>
      <c r="TYG48" s="116"/>
      <c r="TYH48" s="116"/>
      <c r="TYI48" s="116"/>
      <c r="TYJ48" s="116"/>
      <c r="TYK48" s="116"/>
      <c r="TYL48" s="116"/>
      <c r="TYM48" s="116"/>
      <c r="TYN48" s="116"/>
      <c r="TYO48" s="116"/>
      <c r="TYP48" s="116"/>
      <c r="TYQ48" s="116"/>
      <c r="TYR48" s="116"/>
      <c r="TYS48" s="116"/>
      <c r="TYT48" s="116"/>
      <c r="TYU48" s="116"/>
      <c r="TYV48" s="116"/>
      <c r="TYW48" s="116"/>
      <c r="TYX48" s="116"/>
      <c r="TYY48" s="116"/>
      <c r="TYZ48" s="116"/>
      <c r="TZA48" s="116"/>
      <c r="TZB48" s="116"/>
      <c r="TZC48" s="116"/>
      <c r="TZD48" s="116"/>
      <c r="TZE48" s="116"/>
      <c r="TZF48" s="116"/>
      <c r="TZG48" s="116"/>
      <c r="TZH48" s="116"/>
      <c r="TZI48" s="116"/>
      <c r="TZJ48" s="116"/>
      <c r="TZK48" s="116"/>
      <c r="TZL48" s="116"/>
      <c r="TZM48" s="116"/>
      <c r="TZN48" s="116"/>
      <c r="TZO48" s="116"/>
      <c r="TZP48" s="116"/>
      <c r="TZQ48" s="116"/>
      <c r="TZR48" s="116"/>
      <c r="TZS48" s="116"/>
      <c r="TZT48" s="116"/>
      <c r="TZU48" s="116"/>
      <c r="TZV48" s="116"/>
      <c r="TZW48" s="116"/>
      <c r="TZX48" s="116"/>
      <c r="TZY48" s="116"/>
      <c r="TZZ48" s="116"/>
      <c r="UAA48" s="116"/>
      <c r="UAB48" s="116"/>
      <c r="UAC48" s="116"/>
      <c r="UAD48" s="116"/>
      <c r="UAE48" s="116"/>
      <c r="UAF48" s="116"/>
      <c r="UAG48" s="116"/>
      <c r="UAH48" s="116"/>
      <c r="UAI48" s="116"/>
      <c r="UAJ48" s="116"/>
      <c r="UAK48" s="116"/>
      <c r="UAL48" s="116"/>
      <c r="UAM48" s="116"/>
      <c r="UAN48" s="116"/>
      <c r="UAO48" s="116"/>
      <c r="UAP48" s="116"/>
      <c r="UAQ48" s="116"/>
      <c r="UAR48" s="116"/>
      <c r="UAS48" s="116"/>
      <c r="UAT48" s="116"/>
      <c r="UAU48" s="116"/>
      <c r="UAV48" s="116"/>
      <c r="UAW48" s="116"/>
      <c r="UAX48" s="116"/>
      <c r="UAY48" s="116"/>
      <c r="UAZ48" s="116"/>
      <c r="UBA48" s="116"/>
      <c r="UBB48" s="116"/>
      <c r="UBC48" s="116"/>
      <c r="UBD48" s="116"/>
      <c r="UBE48" s="116"/>
      <c r="UBF48" s="116"/>
      <c r="UBG48" s="116"/>
      <c r="UBH48" s="116"/>
      <c r="UBI48" s="116"/>
      <c r="UBJ48" s="116"/>
      <c r="UBK48" s="116"/>
      <c r="UBL48" s="116"/>
      <c r="UBM48" s="116"/>
      <c r="UBN48" s="116"/>
      <c r="UBO48" s="116"/>
      <c r="UBP48" s="116"/>
      <c r="UBQ48" s="116"/>
      <c r="UBR48" s="116"/>
      <c r="UBS48" s="116"/>
      <c r="UBT48" s="116"/>
      <c r="UBU48" s="116"/>
      <c r="UBV48" s="116"/>
      <c r="UBW48" s="116"/>
      <c r="UBX48" s="116"/>
      <c r="UBY48" s="116"/>
      <c r="UBZ48" s="116"/>
      <c r="UCA48" s="116"/>
      <c r="UCB48" s="116"/>
      <c r="UCC48" s="116"/>
      <c r="UCD48" s="116"/>
      <c r="UCE48" s="116"/>
      <c r="UCF48" s="116"/>
      <c r="UCG48" s="116"/>
      <c r="UCH48" s="116"/>
      <c r="UCI48" s="116"/>
      <c r="UCJ48" s="116"/>
      <c r="UCK48" s="116"/>
      <c r="UCL48" s="116"/>
      <c r="UCM48" s="116"/>
      <c r="UCN48" s="116"/>
      <c r="UCO48" s="116"/>
      <c r="UCP48" s="116"/>
      <c r="UCQ48" s="116"/>
      <c r="UCR48" s="116"/>
      <c r="UCS48" s="116"/>
      <c r="UCT48" s="116"/>
      <c r="UCU48" s="116"/>
      <c r="UCV48" s="116"/>
      <c r="UCW48" s="116"/>
      <c r="UCX48" s="116"/>
      <c r="UCY48" s="116"/>
      <c r="UCZ48" s="116"/>
      <c r="UDA48" s="116"/>
      <c r="UDB48" s="116"/>
      <c r="UDC48" s="116"/>
      <c r="UDD48" s="116"/>
      <c r="UDE48" s="116"/>
      <c r="UDF48" s="116"/>
      <c r="UDG48" s="116"/>
      <c r="UDH48" s="116"/>
      <c r="UDI48" s="116"/>
      <c r="UDJ48" s="116"/>
      <c r="UDK48" s="116"/>
      <c r="UDL48" s="116"/>
      <c r="UDM48" s="116"/>
      <c r="UDN48" s="116"/>
      <c r="UDO48" s="116"/>
      <c r="UDP48" s="116"/>
      <c r="UDQ48" s="116"/>
      <c r="UDR48" s="116"/>
      <c r="UDS48" s="116"/>
      <c r="UDT48" s="116"/>
      <c r="UDU48" s="116"/>
      <c r="UDV48" s="116"/>
      <c r="UDW48" s="116"/>
      <c r="UDX48" s="116"/>
      <c r="UDY48" s="116"/>
      <c r="UDZ48" s="116"/>
      <c r="UEA48" s="116"/>
      <c r="UEB48" s="116"/>
      <c r="UEC48" s="116"/>
      <c r="UED48" s="116"/>
      <c r="UEE48" s="116"/>
      <c r="UEF48" s="116"/>
      <c r="UEG48" s="116"/>
      <c r="UEH48" s="116"/>
      <c r="UEI48" s="116"/>
      <c r="UEJ48" s="116"/>
      <c r="UEK48" s="116"/>
      <c r="UEL48" s="116"/>
      <c r="UEM48" s="116"/>
      <c r="UEN48" s="116"/>
      <c r="UEO48" s="116"/>
      <c r="UEP48" s="116"/>
      <c r="UEQ48" s="116"/>
      <c r="UER48" s="116"/>
      <c r="UES48" s="116"/>
      <c r="UET48" s="116"/>
      <c r="UEU48" s="116"/>
      <c r="UEV48" s="116"/>
      <c r="UEW48" s="116"/>
      <c r="UEX48" s="116"/>
      <c r="UEY48" s="116"/>
      <c r="UEZ48" s="116"/>
      <c r="UFA48" s="116"/>
      <c r="UFB48" s="116"/>
      <c r="UFC48" s="116"/>
      <c r="UFD48" s="116"/>
      <c r="UFE48" s="116"/>
      <c r="UFF48" s="116"/>
      <c r="UFG48" s="116"/>
      <c r="UFH48" s="116"/>
      <c r="UFI48" s="116"/>
      <c r="UFJ48" s="116"/>
      <c r="UFK48" s="116"/>
      <c r="UFL48" s="116"/>
      <c r="UFM48" s="116"/>
      <c r="UFN48" s="116"/>
      <c r="UFO48" s="116"/>
      <c r="UFP48" s="116"/>
      <c r="UFQ48" s="116"/>
      <c r="UFR48" s="116"/>
      <c r="UFS48" s="116"/>
      <c r="UFT48" s="116"/>
      <c r="UFU48" s="116"/>
      <c r="UFV48" s="116"/>
      <c r="UFW48" s="116"/>
      <c r="UFX48" s="116"/>
      <c r="UFY48" s="116"/>
      <c r="UFZ48" s="116"/>
      <c r="UGA48" s="116"/>
      <c r="UGB48" s="116"/>
      <c r="UGC48" s="116"/>
      <c r="UGD48" s="116"/>
      <c r="UGE48" s="116"/>
      <c r="UGF48" s="116"/>
      <c r="UGG48" s="116"/>
      <c r="UGH48" s="116"/>
      <c r="UGI48" s="116"/>
      <c r="UGJ48" s="116"/>
      <c r="UGK48" s="116"/>
      <c r="UGL48" s="116"/>
      <c r="UGM48" s="116"/>
      <c r="UGN48" s="116"/>
      <c r="UGO48" s="116"/>
      <c r="UGP48" s="116"/>
      <c r="UGQ48" s="116"/>
      <c r="UGR48" s="116"/>
      <c r="UGS48" s="116"/>
      <c r="UGT48" s="116"/>
      <c r="UGU48" s="116"/>
      <c r="UGV48" s="116"/>
      <c r="UGW48" s="116"/>
      <c r="UGX48" s="116"/>
      <c r="UGY48" s="116"/>
      <c r="UGZ48" s="116"/>
      <c r="UHA48" s="116"/>
      <c r="UHB48" s="116"/>
      <c r="UHC48" s="116"/>
      <c r="UHD48" s="116"/>
      <c r="UHE48" s="116"/>
      <c r="UHF48" s="116"/>
      <c r="UHG48" s="116"/>
      <c r="UHH48" s="116"/>
      <c r="UHI48" s="116"/>
      <c r="UHJ48" s="116"/>
      <c r="UHK48" s="116"/>
      <c r="UHL48" s="116"/>
      <c r="UHM48" s="116"/>
      <c r="UHN48" s="116"/>
      <c r="UHO48" s="116"/>
      <c r="UHP48" s="116"/>
      <c r="UHQ48" s="116"/>
      <c r="UHR48" s="116"/>
      <c r="UHS48" s="116"/>
      <c r="UHT48" s="116"/>
      <c r="UHU48" s="116"/>
      <c r="UHV48" s="116"/>
      <c r="UHW48" s="116"/>
      <c r="UHX48" s="116"/>
      <c r="UHY48" s="116"/>
      <c r="UHZ48" s="116"/>
      <c r="UIA48" s="116"/>
      <c r="UIB48" s="116"/>
      <c r="UIC48" s="116"/>
      <c r="UID48" s="116"/>
      <c r="UIE48" s="116"/>
      <c r="UIF48" s="116"/>
      <c r="UIG48" s="116"/>
      <c r="UIH48" s="116"/>
      <c r="UII48" s="116"/>
      <c r="UIJ48" s="116"/>
      <c r="UIK48" s="116"/>
      <c r="UIL48" s="116"/>
      <c r="UIM48" s="116"/>
      <c r="UIN48" s="116"/>
      <c r="UIO48" s="116"/>
      <c r="UIP48" s="116"/>
      <c r="UIQ48" s="116"/>
      <c r="UIR48" s="116"/>
      <c r="UIS48" s="116"/>
      <c r="UIT48" s="116"/>
      <c r="UIU48" s="116"/>
      <c r="UIV48" s="116"/>
      <c r="UIW48" s="116"/>
      <c r="UIX48" s="116"/>
      <c r="UIY48" s="116"/>
      <c r="UIZ48" s="116"/>
      <c r="UJA48" s="116"/>
      <c r="UJB48" s="116"/>
      <c r="UJC48" s="116"/>
      <c r="UJD48" s="116"/>
      <c r="UJE48" s="116"/>
      <c r="UJF48" s="116"/>
      <c r="UJG48" s="116"/>
      <c r="UJH48" s="116"/>
      <c r="UJI48" s="116"/>
      <c r="UJJ48" s="116"/>
      <c r="UJK48" s="116"/>
      <c r="UJL48" s="116"/>
      <c r="UJM48" s="116"/>
      <c r="UJN48" s="116"/>
      <c r="UJO48" s="116"/>
      <c r="UJP48" s="116"/>
      <c r="UJQ48" s="116"/>
      <c r="UJR48" s="116"/>
      <c r="UJS48" s="116"/>
      <c r="UJT48" s="116"/>
      <c r="UJU48" s="116"/>
      <c r="UJV48" s="116"/>
      <c r="UJW48" s="116"/>
      <c r="UJX48" s="116"/>
      <c r="UJY48" s="116"/>
      <c r="UJZ48" s="116"/>
      <c r="UKA48" s="116"/>
      <c r="UKB48" s="116"/>
      <c r="UKC48" s="116"/>
      <c r="UKD48" s="116"/>
      <c r="UKE48" s="116"/>
      <c r="UKF48" s="116"/>
      <c r="UKG48" s="116"/>
      <c r="UKH48" s="116"/>
      <c r="UKI48" s="116"/>
      <c r="UKJ48" s="116"/>
      <c r="UKK48" s="116"/>
      <c r="UKL48" s="116"/>
      <c r="UKM48" s="116"/>
      <c r="UKN48" s="116"/>
      <c r="UKO48" s="116"/>
      <c r="UKP48" s="116"/>
      <c r="UKQ48" s="116"/>
      <c r="UKR48" s="116"/>
      <c r="UKS48" s="116"/>
      <c r="UKT48" s="116"/>
      <c r="UKU48" s="116"/>
      <c r="UKV48" s="116"/>
      <c r="UKW48" s="116"/>
      <c r="UKX48" s="116"/>
      <c r="UKY48" s="116"/>
      <c r="UKZ48" s="116"/>
      <c r="ULA48" s="116"/>
      <c r="ULB48" s="116"/>
      <c r="ULC48" s="116"/>
      <c r="ULD48" s="116"/>
      <c r="ULE48" s="116"/>
      <c r="ULF48" s="116"/>
      <c r="ULG48" s="116"/>
      <c r="ULH48" s="116"/>
      <c r="ULI48" s="116"/>
      <c r="ULJ48" s="116"/>
      <c r="ULK48" s="116"/>
      <c r="ULL48" s="116"/>
      <c r="ULM48" s="116"/>
      <c r="ULN48" s="116"/>
      <c r="ULO48" s="116"/>
      <c r="ULP48" s="116"/>
      <c r="ULQ48" s="116"/>
      <c r="ULR48" s="116"/>
      <c r="ULS48" s="116"/>
      <c r="ULT48" s="116"/>
      <c r="ULU48" s="116"/>
      <c r="ULV48" s="116"/>
      <c r="ULW48" s="116"/>
      <c r="ULX48" s="116"/>
      <c r="ULY48" s="116"/>
      <c r="ULZ48" s="116"/>
      <c r="UMA48" s="116"/>
      <c r="UMB48" s="116"/>
      <c r="UMC48" s="116"/>
      <c r="UMD48" s="116"/>
      <c r="UME48" s="116"/>
      <c r="UMF48" s="116"/>
      <c r="UMG48" s="116"/>
      <c r="UMH48" s="116"/>
      <c r="UMI48" s="116"/>
      <c r="UMJ48" s="116"/>
      <c r="UMK48" s="116"/>
      <c r="UML48" s="116"/>
      <c r="UMM48" s="116"/>
      <c r="UMN48" s="116"/>
      <c r="UMO48" s="116"/>
      <c r="UMP48" s="116"/>
      <c r="UMQ48" s="116"/>
      <c r="UMR48" s="116"/>
      <c r="UMS48" s="116"/>
      <c r="UMT48" s="116"/>
      <c r="UMU48" s="116"/>
      <c r="UMV48" s="116"/>
      <c r="UMW48" s="116"/>
      <c r="UMX48" s="116"/>
      <c r="UMY48" s="116"/>
      <c r="UMZ48" s="116"/>
      <c r="UNA48" s="116"/>
      <c r="UNB48" s="116"/>
      <c r="UNC48" s="116"/>
      <c r="UND48" s="116"/>
      <c r="UNE48" s="116"/>
      <c r="UNF48" s="116"/>
      <c r="UNG48" s="116"/>
      <c r="UNH48" s="116"/>
      <c r="UNI48" s="116"/>
      <c r="UNJ48" s="116"/>
      <c r="UNK48" s="116"/>
      <c r="UNL48" s="116"/>
      <c r="UNM48" s="116"/>
      <c r="UNN48" s="116"/>
      <c r="UNO48" s="116"/>
      <c r="UNP48" s="116"/>
      <c r="UNQ48" s="116"/>
      <c r="UNR48" s="116"/>
      <c r="UNS48" s="116"/>
      <c r="UNT48" s="116"/>
      <c r="UNU48" s="116"/>
      <c r="UNV48" s="116"/>
      <c r="UNW48" s="116"/>
      <c r="UNX48" s="116"/>
      <c r="UNY48" s="116"/>
      <c r="UNZ48" s="116"/>
      <c r="UOA48" s="116"/>
      <c r="UOB48" s="116"/>
      <c r="UOC48" s="116"/>
      <c r="UOD48" s="116"/>
      <c r="UOE48" s="116"/>
      <c r="UOF48" s="116"/>
      <c r="UOG48" s="116"/>
      <c r="UOH48" s="116"/>
      <c r="UOI48" s="116"/>
      <c r="UOJ48" s="116"/>
      <c r="UOK48" s="116"/>
      <c r="UOL48" s="116"/>
      <c r="UOM48" s="116"/>
      <c r="UON48" s="116"/>
      <c r="UOO48" s="116"/>
      <c r="UOP48" s="116"/>
      <c r="UOQ48" s="116"/>
      <c r="UOR48" s="116"/>
      <c r="UOS48" s="116"/>
      <c r="UOT48" s="116"/>
      <c r="UOU48" s="116"/>
      <c r="UOV48" s="116"/>
      <c r="UOW48" s="116"/>
      <c r="UOX48" s="116"/>
      <c r="UOY48" s="116"/>
      <c r="UOZ48" s="116"/>
      <c r="UPA48" s="116"/>
      <c r="UPB48" s="116"/>
      <c r="UPC48" s="116"/>
      <c r="UPD48" s="116"/>
      <c r="UPE48" s="116"/>
      <c r="UPF48" s="116"/>
      <c r="UPG48" s="116"/>
      <c r="UPH48" s="116"/>
      <c r="UPI48" s="116"/>
      <c r="UPJ48" s="116"/>
      <c r="UPK48" s="116"/>
      <c r="UPL48" s="116"/>
      <c r="UPM48" s="116"/>
      <c r="UPN48" s="116"/>
      <c r="UPO48" s="116"/>
      <c r="UPP48" s="116"/>
      <c r="UPQ48" s="116"/>
      <c r="UPR48" s="116"/>
      <c r="UPS48" s="116"/>
      <c r="UPT48" s="116"/>
      <c r="UPU48" s="116"/>
      <c r="UPV48" s="116"/>
      <c r="UPW48" s="116"/>
      <c r="UPX48" s="116"/>
      <c r="UPY48" s="116"/>
      <c r="UPZ48" s="116"/>
      <c r="UQA48" s="116"/>
      <c r="UQB48" s="116"/>
      <c r="UQC48" s="116"/>
      <c r="UQD48" s="116"/>
      <c r="UQE48" s="116"/>
      <c r="UQF48" s="116"/>
      <c r="UQG48" s="116"/>
      <c r="UQH48" s="116"/>
      <c r="UQI48" s="116"/>
      <c r="UQJ48" s="116"/>
      <c r="UQK48" s="116"/>
      <c r="UQL48" s="116"/>
      <c r="UQM48" s="116"/>
      <c r="UQN48" s="116"/>
      <c r="UQO48" s="116"/>
      <c r="UQP48" s="116"/>
      <c r="UQQ48" s="116"/>
      <c r="UQR48" s="116"/>
      <c r="UQS48" s="116"/>
      <c r="UQT48" s="116"/>
      <c r="UQU48" s="116"/>
      <c r="UQV48" s="116"/>
      <c r="UQW48" s="116"/>
      <c r="UQX48" s="116"/>
      <c r="UQY48" s="116"/>
      <c r="UQZ48" s="116"/>
      <c r="URA48" s="116"/>
      <c r="URB48" s="116"/>
      <c r="URC48" s="116"/>
      <c r="URD48" s="116"/>
      <c r="URE48" s="116"/>
      <c r="URF48" s="116"/>
      <c r="URG48" s="116"/>
      <c r="URH48" s="116"/>
      <c r="URI48" s="116"/>
      <c r="URJ48" s="116"/>
      <c r="URK48" s="116"/>
      <c r="URL48" s="116"/>
      <c r="URM48" s="116"/>
      <c r="URN48" s="116"/>
      <c r="URO48" s="116"/>
      <c r="URP48" s="116"/>
      <c r="URQ48" s="116"/>
      <c r="URR48" s="116"/>
      <c r="URS48" s="116"/>
      <c r="URT48" s="116"/>
      <c r="URU48" s="116"/>
      <c r="URV48" s="116"/>
      <c r="URW48" s="116"/>
      <c r="URX48" s="116"/>
      <c r="URY48" s="116"/>
      <c r="URZ48" s="116"/>
      <c r="USA48" s="116"/>
      <c r="USB48" s="116"/>
      <c r="USC48" s="116"/>
      <c r="USD48" s="116"/>
      <c r="USE48" s="116"/>
      <c r="USF48" s="116"/>
      <c r="USG48" s="116"/>
      <c r="USH48" s="116"/>
      <c r="USI48" s="116"/>
      <c r="USJ48" s="116"/>
      <c r="USK48" s="116"/>
      <c r="USL48" s="116"/>
      <c r="USM48" s="116"/>
      <c r="USN48" s="116"/>
      <c r="USO48" s="116"/>
      <c r="USP48" s="116"/>
      <c r="USQ48" s="116"/>
      <c r="USR48" s="116"/>
      <c r="USS48" s="116"/>
      <c r="UST48" s="116"/>
      <c r="USU48" s="116"/>
      <c r="USV48" s="116"/>
      <c r="USW48" s="116"/>
      <c r="USX48" s="116"/>
      <c r="USY48" s="116"/>
      <c r="USZ48" s="116"/>
      <c r="UTA48" s="116"/>
      <c r="UTB48" s="116"/>
      <c r="UTC48" s="116"/>
      <c r="UTD48" s="116"/>
      <c r="UTE48" s="116"/>
      <c r="UTF48" s="116"/>
      <c r="UTG48" s="116"/>
      <c r="UTH48" s="116"/>
      <c r="UTI48" s="116"/>
      <c r="UTJ48" s="116"/>
      <c r="UTK48" s="116"/>
      <c r="UTL48" s="116"/>
      <c r="UTM48" s="116"/>
      <c r="UTN48" s="116"/>
      <c r="UTO48" s="116"/>
      <c r="UTP48" s="116"/>
      <c r="UTQ48" s="116"/>
      <c r="UTR48" s="116"/>
      <c r="UTS48" s="116"/>
      <c r="UTT48" s="116"/>
      <c r="UTU48" s="116"/>
      <c r="UTV48" s="116"/>
      <c r="UTW48" s="116"/>
      <c r="UTX48" s="116"/>
      <c r="UTY48" s="116"/>
      <c r="UTZ48" s="116"/>
      <c r="UUA48" s="116"/>
      <c r="UUB48" s="116"/>
      <c r="UUC48" s="116"/>
      <c r="UUD48" s="116"/>
      <c r="UUE48" s="116"/>
      <c r="UUF48" s="116"/>
      <c r="UUG48" s="116"/>
      <c r="UUH48" s="116"/>
      <c r="UUI48" s="116"/>
      <c r="UUJ48" s="116"/>
      <c r="UUK48" s="116"/>
      <c r="UUL48" s="116"/>
      <c r="UUM48" s="116"/>
      <c r="UUN48" s="116"/>
      <c r="UUO48" s="116"/>
      <c r="UUP48" s="116"/>
      <c r="UUQ48" s="116"/>
      <c r="UUR48" s="116"/>
      <c r="UUS48" s="116"/>
      <c r="UUT48" s="116"/>
      <c r="UUU48" s="116"/>
      <c r="UUV48" s="116"/>
      <c r="UUW48" s="116"/>
      <c r="UUX48" s="116"/>
      <c r="UUY48" s="116"/>
      <c r="UUZ48" s="116"/>
      <c r="UVA48" s="116"/>
      <c r="UVB48" s="116"/>
      <c r="UVC48" s="116"/>
      <c r="UVD48" s="116"/>
      <c r="UVE48" s="116"/>
      <c r="UVF48" s="116"/>
      <c r="UVG48" s="116"/>
      <c r="UVH48" s="116"/>
      <c r="UVI48" s="116"/>
      <c r="UVJ48" s="116"/>
      <c r="UVK48" s="116"/>
      <c r="UVL48" s="116"/>
      <c r="UVM48" s="116"/>
      <c r="UVN48" s="116"/>
      <c r="UVO48" s="116"/>
      <c r="UVP48" s="116"/>
      <c r="UVQ48" s="116"/>
      <c r="UVR48" s="116"/>
      <c r="UVS48" s="116"/>
      <c r="UVT48" s="116"/>
      <c r="UVU48" s="116"/>
      <c r="UVV48" s="116"/>
      <c r="UVW48" s="116"/>
      <c r="UVX48" s="116"/>
      <c r="UVY48" s="116"/>
      <c r="UVZ48" s="116"/>
      <c r="UWA48" s="116"/>
      <c r="UWB48" s="116"/>
      <c r="UWC48" s="116"/>
      <c r="UWD48" s="116"/>
      <c r="UWE48" s="116"/>
      <c r="UWF48" s="116"/>
      <c r="UWG48" s="116"/>
      <c r="UWH48" s="116"/>
      <c r="UWI48" s="116"/>
      <c r="UWJ48" s="116"/>
      <c r="UWK48" s="116"/>
      <c r="UWL48" s="116"/>
      <c r="UWM48" s="116"/>
      <c r="UWN48" s="116"/>
      <c r="UWO48" s="116"/>
      <c r="UWP48" s="116"/>
      <c r="UWQ48" s="116"/>
      <c r="UWR48" s="116"/>
      <c r="UWS48" s="116"/>
      <c r="UWT48" s="116"/>
      <c r="UWU48" s="116"/>
      <c r="UWV48" s="116"/>
      <c r="UWW48" s="116"/>
      <c r="UWX48" s="116"/>
      <c r="UWY48" s="116"/>
      <c r="UWZ48" s="116"/>
      <c r="UXA48" s="116"/>
      <c r="UXB48" s="116"/>
      <c r="UXC48" s="116"/>
      <c r="UXD48" s="116"/>
      <c r="UXE48" s="116"/>
      <c r="UXF48" s="116"/>
      <c r="UXG48" s="116"/>
      <c r="UXH48" s="116"/>
      <c r="UXI48" s="116"/>
      <c r="UXJ48" s="116"/>
      <c r="UXK48" s="116"/>
      <c r="UXL48" s="116"/>
      <c r="UXM48" s="116"/>
      <c r="UXN48" s="116"/>
      <c r="UXO48" s="116"/>
      <c r="UXP48" s="116"/>
      <c r="UXQ48" s="116"/>
      <c r="UXR48" s="116"/>
      <c r="UXS48" s="116"/>
      <c r="UXT48" s="116"/>
      <c r="UXU48" s="116"/>
      <c r="UXV48" s="116"/>
      <c r="UXW48" s="116"/>
      <c r="UXX48" s="116"/>
      <c r="UXY48" s="116"/>
      <c r="UXZ48" s="116"/>
      <c r="UYA48" s="116"/>
      <c r="UYB48" s="116"/>
      <c r="UYC48" s="116"/>
      <c r="UYD48" s="116"/>
      <c r="UYE48" s="116"/>
      <c r="UYF48" s="116"/>
      <c r="UYG48" s="116"/>
      <c r="UYH48" s="116"/>
      <c r="UYI48" s="116"/>
      <c r="UYJ48" s="116"/>
      <c r="UYK48" s="116"/>
      <c r="UYL48" s="116"/>
      <c r="UYM48" s="116"/>
      <c r="UYN48" s="116"/>
      <c r="UYO48" s="116"/>
      <c r="UYP48" s="116"/>
      <c r="UYQ48" s="116"/>
      <c r="UYR48" s="116"/>
      <c r="UYS48" s="116"/>
      <c r="UYT48" s="116"/>
      <c r="UYU48" s="116"/>
      <c r="UYV48" s="116"/>
      <c r="UYW48" s="116"/>
      <c r="UYX48" s="116"/>
      <c r="UYY48" s="116"/>
      <c r="UYZ48" s="116"/>
      <c r="UZA48" s="116"/>
      <c r="UZB48" s="116"/>
      <c r="UZC48" s="116"/>
      <c r="UZD48" s="116"/>
      <c r="UZE48" s="116"/>
      <c r="UZF48" s="116"/>
      <c r="UZG48" s="116"/>
      <c r="UZH48" s="116"/>
      <c r="UZI48" s="116"/>
      <c r="UZJ48" s="116"/>
      <c r="UZK48" s="116"/>
      <c r="UZL48" s="116"/>
      <c r="UZM48" s="116"/>
      <c r="UZN48" s="116"/>
      <c r="UZO48" s="116"/>
      <c r="UZP48" s="116"/>
      <c r="UZQ48" s="116"/>
      <c r="UZR48" s="116"/>
      <c r="UZS48" s="116"/>
      <c r="UZT48" s="116"/>
      <c r="UZU48" s="116"/>
      <c r="UZV48" s="116"/>
      <c r="UZW48" s="116"/>
      <c r="UZX48" s="116"/>
      <c r="UZY48" s="116"/>
      <c r="UZZ48" s="116"/>
      <c r="VAA48" s="116"/>
      <c r="VAB48" s="116"/>
      <c r="VAC48" s="116"/>
      <c r="VAD48" s="116"/>
      <c r="VAE48" s="116"/>
      <c r="VAF48" s="116"/>
      <c r="VAG48" s="116"/>
      <c r="VAH48" s="116"/>
      <c r="VAI48" s="116"/>
      <c r="VAJ48" s="116"/>
      <c r="VAK48" s="116"/>
      <c r="VAL48" s="116"/>
      <c r="VAM48" s="116"/>
      <c r="VAN48" s="116"/>
      <c r="VAO48" s="116"/>
      <c r="VAP48" s="116"/>
      <c r="VAQ48" s="116"/>
      <c r="VAR48" s="116"/>
      <c r="VAS48" s="116"/>
      <c r="VAT48" s="116"/>
      <c r="VAU48" s="116"/>
      <c r="VAV48" s="116"/>
      <c r="VAW48" s="116"/>
      <c r="VAX48" s="116"/>
      <c r="VAY48" s="116"/>
      <c r="VAZ48" s="116"/>
      <c r="VBA48" s="116"/>
      <c r="VBB48" s="116"/>
      <c r="VBC48" s="116"/>
      <c r="VBD48" s="116"/>
      <c r="VBE48" s="116"/>
      <c r="VBF48" s="116"/>
      <c r="VBG48" s="116"/>
      <c r="VBH48" s="116"/>
      <c r="VBI48" s="116"/>
      <c r="VBJ48" s="116"/>
      <c r="VBK48" s="116"/>
      <c r="VBL48" s="116"/>
      <c r="VBM48" s="116"/>
      <c r="VBN48" s="116"/>
      <c r="VBO48" s="116"/>
      <c r="VBP48" s="116"/>
      <c r="VBQ48" s="116"/>
      <c r="VBR48" s="116"/>
      <c r="VBS48" s="116"/>
      <c r="VBT48" s="116"/>
      <c r="VBU48" s="116"/>
      <c r="VBV48" s="116"/>
      <c r="VBW48" s="116"/>
      <c r="VBX48" s="116"/>
      <c r="VBY48" s="116"/>
      <c r="VBZ48" s="116"/>
      <c r="VCA48" s="116"/>
      <c r="VCB48" s="116"/>
      <c r="VCC48" s="116"/>
      <c r="VCD48" s="116"/>
      <c r="VCE48" s="116"/>
      <c r="VCF48" s="116"/>
      <c r="VCG48" s="116"/>
      <c r="VCH48" s="116"/>
      <c r="VCI48" s="116"/>
      <c r="VCJ48" s="116"/>
      <c r="VCK48" s="116"/>
      <c r="VCL48" s="116"/>
      <c r="VCM48" s="116"/>
      <c r="VCN48" s="116"/>
      <c r="VCO48" s="116"/>
      <c r="VCP48" s="116"/>
      <c r="VCQ48" s="116"/>
      <c r="VCR48" s="116"/>
      <c r="VCS48" s="116"/>
      <c r="VCT48" s="116"/>
      <c r="VCU48" s="116"/>
      <c r="VCV48" s="116"/>
      <c r="VCW48" s="116"/>
      <c r="VCX48" s="116"/>
      <c r="VCY48" s="116"/>
      <c r="VCZ48" s="116"/>
      <c r="VDA48" s="116"/>
      <c r="VDB48" s="116"/>
      <c r="VDC48" s="116"/>
      <c r="VDD48" s="116"/>
      <c r="VDE48" s="116"/>
      <c r="VDF48" s="116"/>
      <c r="VDG48" s="116"/>
      <c r="VDH48" s="116"/>
      <c r="VDI48" s="116"/>
      <c r="VDJ48" s="116"/>
      <c r="VDK48" s="116"/>
      <c r="VDL48" s="116"/>
      <c r="VDM48" s="116"/>
      <c r="VDN48" s="116"/>
      <c r="VDO48" s="116"/>
      <c r="VDP48" s="116"/>
      <c r="VDQ48" s="116"/>
      <c r="VDR48" s="116"/>
      <c r="VDS48" s="116"/>
      <c r="VDT48" s="116"/>
      <c r="VDU48" s="116"/>
      <c r="VDV48" s="116"/>
      <c r="VDW48" s="116"/>
      <c r="VDX48" s="116"/>
      <c r="VDY48" s="116"/>
      <c r="VDZ48" s="116"/>
      <c r="VEA48" s="116"/>
      <c r="VEB48" s="116"/>
      <c r="VEC48" s="116"/>
      <c r="VED48" s="116"/>
      <c r="VEE48" s="116"/>
      <c r="VEF48" s="116"/>
      <c r="VEG48" s="116"/>
      <c r="VEH48" s="116"/>
      <c r="VEI48" s="116"/>
      <c r="VEJ48" s="116"/>
      <c r="VEK48" s="116"/>
      <c r="VEL48" s="116"/>
      <c r="VEM48" s="116"/>
      <c r="VEN48" s="116"/>
      <c r="VEO48" s="116"/>
      <c r="VEP48" s="116"/>
      <c r="VEQ48" s="116"/>
      <c r="VER48" s="116"/>
      <c r="VES48" s="116"/>
      <c r="VET48" s="116"/>
      <c r="VEU48" s="116"/>
      <c r="VEV48" s="116"/>
      <c r="VEW48" s="116"/>
      <c r="VEX48" s="116"/>
      <c r="VEY48" s="116"/>
      <c r="VEZ48" s="116"/>
      <c r="VFA48" s="116"/>
      <c r="VFB48" s="116"/>
      <c r="VFC48" s="116"/>
      <c r="VFD48" s="116"/>
      <c r="VFE48" s="116"/>
      <c r="VFF48" s="116"/>
      <c r="VFG48" s="116"/>
      <c r="VFH48" s="116"/>
      <c r="VFI48" s="116"/>
      <c r="VFJ48" s="116"/>
      <c r="VFK48" s="116"/>
      <c r="VFL48" s="116"/>
      <c r="VFM48" s="116"/>
      <c r="VFN48" s="116"/>
      <c r="VFO48" s="116"/>
      <c r="VFP48" s="116"/>
      <c r="VFQ48" s="116"/>
      <c r="VFR48" s="116"/>
      <c r="VFS48" s="116"/>
      <c r="VFT48" s="116"/>
      <c r="VFU48" s="116"/>
      <c r="VFV48" s="116"/>
      <c r="VFW48" s="116"/>
      <c r="VFX48" s="116"/>
      <c r="VFY48" s="116"/>
      <c r="VFZ48" s="116"/>
      <c r="VGA48" s="116"/>
      <c r="VGB48" s="116"/>
      <c r="VGC48" s="116"/>
      <c r="VGD48" s="116"/>
      <c r="VGE48" s="116"/>
      <c r="VGF48" s="116"/>
      <c r="VGG48" s="116"/>
      <c r="VGH48" s="116"/>
      <c r="VGI48" s="116"/>
      <c r="VGJ48" s="116"/>
      <c r="VGK48" s="116"/>
      <c r="VGL48" s="116"/>
      <c r="VGM48" s="116"/>
      <c r="VGN48" s="116"/>
      <c r="VGO48" s="116"/>
      <c r="VGP48" s="116"/>
      <c r="VGQ48" s="116"/>
      <c r="VGR48" s="116"/>
      <c r="VGS48" s="116"/>
      <c r="VGT48" s="116"/>
      <c r="VGU48" s="116"/>
      <c r="VGV48" s="116"/>
      <c r="VGW48" s="116"/>
      <c r="VGX48" s="116"/>
      <c r="VGY48" s="116"/>
      <c r="VGZ48" s="116"/>
      <c r="VHA48" s="116"/>
      <c r="VHB48" s="116"/>
      <c r="VHC48" s="116"/>
      <c r="VHD48" s="116"/>
      <c r="VHE48" s="116"/>
      <c r="VHF48" s="116"/>
      <c r="VHG48" s="116"/>
      <c r="VHH48" s="116"/>
      <c r="VHI48" s="116"/>
      <c r="VHJ48" s="116"/>
      <c r="VHK48" s="116"/>
      <c r="VHL48" s="116"/>
      <c r="VHM48" s="116"/>
      <c r="VHN48" s="116"/>
      <c r="VHO48" s="116"/>
      <c r="VHP48" s="116"/>
      <c r="VHQ48" s="116"/>
      <c r="VHR48" s="116"/>
      <c r="VHS48" s="116"/>
      <c r="VHT48" s="116"/>
      <c r="VHU48" s="116"/>
      <c r="VHV48" s="116"/>
      <c r="VHW48" s="116"/>
      <c r="VHX48" s="116"/>
      <c r="VHY48" s="116"/>
      <c r="VHZ48" s="116"/>
      <c r="VIA48" s="116"/>
      <c r="VIB48" s="116"/>
      <c r="VIC48" s="116"/>
      <c r="VID48" s="116"/>
      <c r="VIE48" s="116"/>
      <c r="VIF48" s="116"/>
      <c r="VIG48" s="116"/>
      <c r="VIH48" s="116"/>
      <c r="VII48" s="116"/>
      <c r="VIJ48" s="116"/>
      <c r="VIK48" s="116"/>
      <c r="VIL48" s="116"/>
      <c r="VIM48" s="116"/>
      <c r="VIN48" s="116"/>
      <c r="VIO48" s="116"/>
      <c r="VIP48" s="116"/>
      <c r="VIQ48" s="116"/>
      <c r="VIR48" s="116"/>
      <c r="VIS48" s="116"/>
      <c r="VIT48" s="116"/>
      <c r="VIU48" s="116"/>
      <c r="VIV48" s="116"/>
      <c r="VIW48" s="116"/>
      <c r="VIX48" s="116"/>
      <c r="VIY48" s="116"/>
      <c r="VIZ48" s="116"/>
      <c r="VJA48" s="116"/>
      <c r="VJB48" s="116"/>
      <c r="VJC48" s="116"/>
      <c r="VJD48" s="116"/>
      <c r="VJE48" s="116"/>
      <c r="VJF48" s="116"/>
      <c r="VJG48" s="116"/>
      <c r="VJH48" s="116"/>
      <c r="VJI48" s="116"/>
      <c r="VJJ48" s="116"/>
      <c r="VJK48" s="116"/>
      <c r="VJL48" s="116"/>
      <c r="VJM48" s="116"/>
      <c r="VJN48" s="116"/>
      <c r="VJO48" s="116"/>
      <c r="VJP48" s="116"/>
      <c r="VJQ48" s="116"/>
      <c r="VJR48" s="116"/>
      <c r="VJS48" s="116"/>
      <c r="VJT48" s="116"/>
      <c r="VJU48" s="116"/>
      <c r="VJV48" s="116"/>
      <c r="VJW48" s="116"/>
      <c r="VJX48" s="116"/>
      <c r="VJY48" s="116"/>
      <c r="VJZ48" s="116"/>
      <c r="VKA48" s="116"/>
      <c r="VKB48" s="116"/>
      <c r="VKC48" s="116"/>
      <c r="VKD48" s="116"/>
      <c r="VKE48" s="116"/>
      <c r="VKF48" s="116"/>
      <c r="VKG48" s="116"/>
      <c r="VKH48" s="116"/>
      <c r="VKI48" s="116"/>
      <c r="VKJ48" s="116"/>
      <c r="VKK48" s="116"/>
      <c r="VKL48" s="116"/>
      <c r="VKM48" s="116"/>
      <c r="VKN48" s="116"/>
      <c r="VKO48" s="116"/>
      <c r="VKP48" s="116"/>
      <c r="VKQ48" s="116"/>
      <c r="VKR48" s="116"/>
      <c r="VKS48" s="116"/>
      <c r="VKT48" s="116"/>
      <c r="VKU48" s="116"/>
      <c r="VKV48" s="116"/>
      <c r="VKW48" s="116"/>
      <c r="VKX48" s="116"/>
      <c r="VKY48" s="116"/>
      <c r="VKZ48" s="116"/>
      <c r="VLA48" s="116"/>
      <c r="VLB48" s="116"/>
      <c r="VLC48" s="116"/>
      <c r="VLD48" s="116"/>
      <c r="VLE48" s="116"/>
      <c r="VLF48" s="116"/>
      <c r="VLG48" s="116"/>
      <c r="VLH48" s="116"/>
      <c r="VLI48" s="116"/>
      <c r="VLJ48" s="116"/>
      <c r="VLK48" s="116"/>
      <c r="VLL48" s="116"/>
      <c r="VLM48" s="116"/>
      <c r="VLN48" s="116"/>
      <c r="VLO48" s="116"/>
      <c r="VLP48" s="116"/>
      <c r="VLQ48" s="116"/>
      <c r="VLR48" s="116"/>
      <c r="VLS48" s="116"/>
      <c r="VLT48" s="116"/>
      <c r="VLU48" s="116"/>
      <c r="VLV48" s="116"/>
      <c r="VLW48" s="116"/>
      <c r="VLX48" s="116"/>
      <c r="VLY48" s="116"/>
      <c r="VLZ48" s="116"/>
      <c r="VMA48" s="116"/>
      <c r="VMB48" s="116"/>
      <c r="VMC48" s="116"/>
      <c r="VMD48" s="116"/>
      <c r="VME48" s="116"/>
      <c r="VMF48" s="116"/>
      <c r="VMG48" s="116"/>
      <c r="VMH48" s="116"/>
      <c r="VMI48" s="116"/>
      <c r="VMJ48" s="116"/>
      <c r="VMK48" s="116"/>
      <c r="VML48" s="116"/>
      <c r="VMM48" s="116"/>
      <c r="VMN48" s="116"/>
      <c r="VMO48" s="116"/>
      <c r="VMP48" s="116"/>
      <c r="VMQ48" s="116"/>
      <c r="VMR48" s="116"/>
      <c r="VMS48" s="116"/>
      <c r="VMT48" s="116"/>
      <c r="VMU48" s="116"/>
      <c r="VMV48" s="116"/>
      <c r="VMW48" s="116"/>
      <c r="VMX48" s="116"/>
      <c r="VMY48" s="116"/>
      <c r="VMZ48" s="116"/>
      <c r="VNA48" s="116"/>
      <c r="VNB48" s="116"/>
      <c r="VNC48" s="116"/>
      <c r="VND48" s="116"/>
      <c r="VNE48" s="116"/>
      <c r="VNF48" s="116"/>
      <c r="VNG48" s="116"/>
      <c r="VNH48" s="116"/>
      <c r="VNI48" s="116"/>
      <c r="VNJ48" s="116"/>
      <c r="VNK48" s="116"/>
      <c r="VNL48" s="116"/>
      <c r="VNM48" s="116"/>
      <c r="VNN48" s="116"/>
      <c r="VNO48" s="116"/>
      <c r="VNP48" s="116"/>
      <c r="VNQ48" s="116"/>
      <c r="VNR48" s="116"/>
      <c r="VNS48" s="116"/>
      <c r="VNT48" s="116"/>
      <c r="VNU48" s="116"/>
      <c r="VNV48" s="116"/>
      <c r="VNW48" s="116"/>
      <c r="VNX48" s="116"/>
      <c r="VNY48" s="116"/>
      <c r="VNZ48" s="116"/>
      <c r="VOA48" s="116"/>
      <c r="VOB48" s="116"/>
      <c r="VOC48" s="116"/>
      <c r="VOD48" s="116"/>
      <c r="VOE48" s="116"/>
      <c r="VOF48" s="116"/>
      <c r="VOG48" s="116"/>
      <c r="VOH48" s="116"/>
      <c r="VOI48" s="116"/>
      <c r="VOJ48" s="116"/>
      <c r="VOK48" s="116"/>
      <c r="VOL48" s="116"/>
      <c r="VOM48" s="116"/>
      <c r="VON48" s="116"/>
      <c r="VOO48" s="116"/>
      <c r="VOP48" s="116"/>
      <c r="VOQ48" s="116"/>
      <c r="VOR48" s="116"/>
      <c r="VOS48" s="116"/>
      <c r="VOT48" s="116"/>
      <c r="VOU48" s="116"/>
      <c r="VOV48" s="116"/>
      <c r="VOW48" s="116"/>
      <c r="VOX48" s="116"/>
      <c r="VOY48" s="116"/>
      <c r="VOZ48" s="116"/>
      <c r="VPA48" s="116"/>
      <c r="VPB48" s="116"/>
      <c r="VPC48" s="116"/>
      <c r="VPD48" s="116"/>
      <c r="VPE48" s="116"/>
      <c r="VPF48" s="116"/>
      <c r="VPG48" s="116"/>
      <c r="VPH48" s="116"/>
      <c r="VPI48" s="116"/>
      <c r="VPJ48" s="116"/>
      <c r="VPK48" s="116"/>
      <c r="VPL48" s="116"/>
      <c r="VPM48" s="116"/>
      <c r="VPN48" s="116"/>
      <c r="VPO48" s="116"/>
      <c r="VPP48" s="116"/>
      <c r="VPQ48" s="116"/>
      <c r="VPR48" s="116"/>
      <c r="VPS48" s="116"/>
      <c r="VPT48" s="116"/>
      <c r="VPU48" s="116"/>
      <c r="VPV48" s="116"/>
      <c r="VPW48" s="116"/>
      <c r="VPX48" s="116"/>
      <c r="VPY48" s="116"/>
      <c r="VPZ48" s="116"/>
      <c r="VQA48" s="116"/>
      <c r="VQB48" s="116"/>
      <c r="VQC48" s="116"/>
      <c r="VQD48" s="116"/>
      <c r="VQE48" s="116"/>
      <c r="VQF48" s="116"/>
      <c r="VQG48" s="116"/>
      <c r="VQH48" s="116"/>
      <c r="VQI48" s="116"/>
      <c r="VQJ48" s="116"/>
      <c r="VQK48" s="116"/>
      <c r="VQL48" s="116"/>
      <c r="VQM48" s="116"/>
      <c r="VQN48" s="116"/>
      <c r="VQO48" s="116"/>
      <c r="VQP48" s="116"/>
      <c r="VQQ48" s="116"/>
      <c r="VQR48" s="116"/>
      <c r="VQS48" s="116"/>
      <c r="VQT48" s="116"/>
      <c r="VQU48" s="116"/>
      <c r="VQV48" s="116"/>
      <c r="VQW48" s="116"/>
      <c r="VQX48" s="116"/>
      <c r="VQY48" s="116"/>
      <c r="VQZ48" s="116"/>
      <c r="VRA48" s="116"/>
      <c r="VRB48" s="116"/>
      <c r="VRC48" s="116"/>
      <c r="VRD48" s="116"/>
      <c r="VRE48" s="116"/>
      <c r="VRF48" s="116"/>
      <c r="VRG48" s="116"/>
      <c r="VRH48" s="116"/>
      <c r="VRI48" s="116"/>
      <c r="VRJ48" s="116"/>
      <c r="VRK48" s="116"/>
      <c r="VRL48" s="116"/>
      <c r="VRM48" s="116"/>
      <c r="VRN48" s="116"/>
      <c r="VRO48" s="116"/>
      <c r="VRP48" s="116"/>
      <c r="VRQ48" s="116"/>
      <c r="VRR48" s="116"/>
      <c r="VRS48" s="116"/>
      <c r="VRT48" s="116"/>
      <c r="VRU48" s="116"/>
      <c r="VRV48" s="116"/>
      <c r="VRW48" s="116"/>
      <c r="VRX48" s="116"/>
      <c r="VRY48" s="116"/>
      <c r="VRZ48" s="116"/>
      <c r="VSA48" s="116"/>
      <c r="VSB48" s="116"/>
      <c r="VSC48" s="116"/>
      <c r="VSD48" s="116"/>
      <c r="VSE48" s="116"/>
      <c r="VSF48" s="116"/>
      <c r="VSG48" s="116"/>
      <c r="VSH48" s="116"/>
      <c r="VSI48" s="116"/>
      <c r="VSJ48" s="116"/>
      <c r="VSK48" s="116"/>
      <c r="VSL48" s="116"/>
      <c r="VSM48" s="116"/>
      <c r="VSN48" s="116"/>
      <c r="VSO48" s="116"/>
      <c r="VSP48" s="116"/>
      <c r="VSQ48" s="116"/>
      <c r="VSR48" s="116"/>
      <c r="VSS48" s="116"/>
      <c r="VST48" s="116"/>
      <c r="VSU48" s="116"/>
      <c r="VSV48" s="116"/>
      <c r="VSW48" s="116"/>
      <c r="VSX48" s="116"/>
      <c r="VSY48" s="116"/>
      <c r="VSZ48" s="116"/>
      <c r="VTA48" s="116"/>
      <c r="VTB48" s="116"/>
      <c r="VTC48" s="116"/>
      <c r="VTD48" s="116"/>
      <c r="VTE48" s="116"/>
      <c r="VTF48" s="116"/>
      <c r="VTG48" s="116"/>
      <c r="VTH48" s="116"/>
      <c r="VTI48" s="116"/>
      <c r="VTJ48" s="116"/>
      <c r="VTK48" s="116"/>
      <c r="VTL48" s="116"/>
      <c r="VTM48" s="116"/>
      <c r="VTN48" s="116"/>
      <c r="VTO48" s="116"/>
      <c r="VTP48" s="116"/>
      <c r="VTQ48" s="116"/>
      <c r="VTR48" s="116"/>
      <c r="VTS48" s="116"/>
      <c r="VTT48" s="116"/>
      <c r="VTU48" s="116"/>
      <c r="VTV48" s="116"/>
      <c r="VTW48" s="116"/>
      <c r="VTX48" s="116"/>
      <c r="VTY48" s="116"/>
      <c r="VTZ48" s="116"/>
      <c r="VUA48" s="116"/>
      <c r="VUB48" s="116"/>
      <c r="VUC48" s="116"/>
      <c r="VUD48" s="116"/>
      <c r="VUE48" s="116"/>
      <c r="VUF48" s="116"/>
      <c r="VUG48" s="116"/>
      <c r="VUH48" s="116"/>
      <c r="VUI48" s="116"/>
      <c r="VUJ48" s="116"/>
      <c r="VUK48" s="116"/>
      <c r="VUL48" s="116"/>
      <c r="VUM48" s="116"/>
      <c r="VUN48" s="116"/>
      <c r="VUO48" s="116"/>
      <c r="VUP48" s="116"/>
      <c r="VUQ48" s="116"/>
      <c r="VUR48" s="116"/>
      <c r="VUS48" s="116"/>
      <c r="VUT48" s="116"/>
      <c r="VUU48" s="116"/>
      <c r="VUV48" s="116"/>
      <c r="VUW48" s="116"/>
      <c r="VUX48" s="116"/>
      <c r="VUY48" s="116"/>
      <c r="VUZ48" s="116"/>
      <c r="VVA48" s="116"/>
      <c r="VVB48" s="116"/>
      <c r="VVC48" s="116"/>
      <c r="VVD48" s="116"/>
      <c r="VVE48" s="116"/>
      <c r="VVF48" s="116"/>
      <c r="VVG48" s="116"/>
      <c r="VVH48" s="116"/>
      <c r="VVI48" s="116"/>
      <c r="VVJ48" s="116"/>
      <c r="VVK48" s="116"/>
      <c r="VVL48" s="116"/>
      <c r="VVM48" s="116"/>
      <c r="VVN48" s="116"/>
      <c r="VVO48" s="116"/>
      <c r="VVP48" s="116"/>
      <c r="VVQ48" s="116"/>
      <c r="VVR48" s="116"/>
      <c r="VVS48" s="116"/>
      <c r="VVT48" s="116"/>
      <c r="VVU48" s="116"/>
      <c r="VVV48" s="116"/>
      <c r="VVW48" s="116"/>
      <c r="VVX48" s="116"/>
      <c r="VVY48" s="116"/>
      <c r="VVZ48" s="116"/>
      <c r="VWA48" s="116"/>
      <c r="VWB48" s="116"/>
      <c r="VWC48" s="116"/>
      <c r="VWD48" s="116"/>
      <c r="VWE48" s="116"/>
      <c r="VWF48" s="116"/>
      <c r="VWG48" s="116"/>
      <c r="VWH48" s="116"/>
      <c r="VWI48" s="116"/>
      <c r="VWJ48" s="116"/>
      <c r="VWK48" s="116"/>
      <c r="VWL48" s="116"/>
      <c r="VWM48" s="116"/>
      <c r="VWN48" s="116"/>
      <c r="VWO48" s="116"/>
      <c r="VWP48" s="116"/>
      <c r="VWQ48" s="116"/>
      <c r="VWR48" s="116"/>
      <c r="VWS48" s="116"/>
      <c r="VWT48" s="116"/>
      <c r="VWU48" s="116"/>
      <c r="VWV48" s="116"/>
      <c r="VWW48" s="116"/>
      <c r="VWX48" s="116"/>
      <c r="VWY48" s="116"/>
      <c r="VWZ48" s="116"/>
      <c r="VXA48" s="116"/>
      <c r="VXB48" s="116"/>
      <c r="VXC48" s="116"/>
      <c r="VXD48" s="116"/>
      <c r="VXE48" s="116"/>
      <c r="VXF48" s="116"/>
      <c r="VXG48" s="116"/>
      <c r="VXH48" s="116"/>
      <c r="VXI48" s="116"/>
      <c r="VXJ48" s="116"/>
      <c r="VXK48" s="116"/>
      <c r="VXL48" s="116"/>
      <c r="VXM48" s="116"/>
      <c r="VXN48" s="116"/>
      <c r="VXO48" s="116"/>
      <c r="VXP48" s="116"/>
      <c r="VXQ48" s="116"/>
      <c r="VXR48" s="116"/>
      <c r="VXS48" s="116"/>
      <c r="VXT48" s="116"/>
      <c r="VXU48" s="116"/>
      <c r="VXV48" s="116"/>
      <c r="VXW48" s="116"/>
      <c r="VXX48" s="116"/>
      <c r="VXY48" s="116"/>
      <c r="VXZ48" s="116"/>
      <c r="VYA48" s="116"/>
      <c r="VYB48" s="116"/>
      <c r="VYC48" s="116"/>
      <c r="VYD48" s="116"/>
      <c r="VYE48" s="116"/>
      <c r="VYF48" s="116"/>
      <c r="VYG48" s="116"/>
      <c r="VYH48" s="116"/>
      <c r="VYI48" s="116"/>
      <c r="VYJ48" s="116"/>
      <c r="VYK48" s="116"/>
      <c r="VYL48" s="116"/>
      <c r="VYM48" s="116"/>
      <c r="VYN48" s="116"/>
      <c r="VYO48" s="116"/>
      <c r="VYP48" s="116"/>
      <c r="VYQ48" s="116"/>
      <c r="VYR48" s="116"/>
      <c r="VYS48" s="116"/>
      <c r="VYT48" s="116"/>
      <c r="VYU48" s="116"/>
      <c r="VYV48" s="116"/>
      <c r="VYW48" s="116"/>
      <c r="VYX48" s="116"/>
      <c r="VYY48" s="116"/>
      <c r="VYZ48" s="116"/>
      <c r="VZA48" s="116"/>
      <c r="VZB48" s="116"/>
      <c r="VZC48" s="116"/>
      <c r="VZD48" s="116"/>
      <c r="VZE48" s="116"/>
      <c r="VZF48" s="116"/>
      <c r="VZG48" s="116"/>
      <c r="VZH48" s="116"/>
      <c r="VZI48" s="116"/>
      <c r="VZJ48" s="116"/>
      <c r="VZK48" s="116"/>
      <c r="VZL48" s="116"/>
      <c r="VZM48" s="116"/>
      <c r="VZN48" s="116"/>
      <c r="VZO48" s="116"/>
      <c r="VZP48" s="116"/>
      <c r="VZQ48" s="116"/>
      <c r="VZR48" s="116"/>
      <c r="VZS48" s="116"/>
      <c r="VZT48" s="116"/>
      <c r="VZU48" s="116"/>
      <c r="VZV48" s="116"/>
      <c r="VZW48" s="116"/>
      <c r="VZX48" s="116"/>
      <c r="VZY48" s="116"/>
      <c r="VZZ48" s="116"/>
      <c r="WAA48" s="116"/>
      <c r="WAB48" s="116"/>
      <c r="WAC48" s="116"/>
      <c r="WAD48" s="116"/>
      <c r="WAE48" s="116"/>
      <c r="WAF48" s="116"/>
      <c r="WAG48" s="116"/>
      <c r="WAH48" s="116"/>
      <c r="WAI48" s="116"/>
      <c r="WAJ48" s="116"/>
      <c r="WAK48" s="116"/>
      <c r="WAL48" s="116"/>
      <c r="WAM48" s="116"/>
      <c r="WAN48" s="116"/>
      <c r="WAO48" s="116"/>
      <c r="WAP48" s="116"/>
      <c r="WAQ48" s="116"/>
      <c r="WAR48" s="116"/>
      <c r="WAS48" s="116"/>
      <c r="WAT48" s="116"/>
      <c r="WAU48" s="116"/>
      <c r="WAV48" s="116"/>
      <c r="WAW48" s="116"/>
      <c r="WAX48" s="116"/>
      <c r="WAY48" s="116"/>
      <c r="WAZ48" s="116"/>
      <c r="WBA48" s="116"/>
      <c r="WBB48" s="116"/>
      <c r="WBC48" s="116"/>
      <c r="WBD48" s="116"/>
      <c r="WBE48" s="116"/>
      <c r="WBF48" s="116"/>
      <c r="WBG48" s="116"/>
      <c r="WBH48" s="116"/>
      <c r="WBI48" s="116"/>
      <c r="WBJ48" s="116"/>
      <c r="WBK48" s="116"/>
      <c r="WBL48" s="116"/>
      <c r="WBM48" s="116"/>
      <c r="WBN48" s="116"/>
      <c r="WBO48" s="116"/>
      <c r="WBP48" s="116"/>
      <c r="WBQ48" s="116"/>
      <c r="WBR48" s="116"/>
      <c r="WBS48" s="116"/>
      <c r="WBT48" s="116"/>
      <c r="WBU48" s="116"/>
      <c r="WBV48" s="116"/>
      <c r="WBW48" s="116"/>
      <c r="WBX48" s="116"/>
      <c r="WBY48" s="116"/>
      <c r="WBZ48" s="116"/>
      <c r="WCA48" s="116"/>
      <c r="WCB48" s="116"/>
      <c r="WCC48" s="116"/>
      <c r="WCD48" s="116"/>
      <c r="WCE48" s="116"/>
      <c r="WCF48" s="116"/>
      <c r="WCG48" s="116"/>
      <c r="WCH48" s="116"/>
      <c r="WCI48" s="116"/>
      <c r="WCJ48" s="116"/>
      <c r="WCK48" s="116"/>
      <c r="WCL48" s="116"/>
      <c r="WCM48" s="116"/>
      <c r="WCN48" s="116"/>
      <c r="WCO48" s="116"/>
      <c r="WCP48" s="116"/>
      <c r="WCQ48" s="116"/>
      <c r="WCR48" s="116"/>
      <c r="WCS48" s="116"/>
      <c r="WCT48" s="116"/>
      <c r="WCU48" s="116"/>
      <c r="WCV48" s="116"/>
      <c r="WCW48" s="116"/>
      <c r="WCX48" s="116"/>
      <c r="WCY48" s="116"/>
      <c r="WCZ48" s="116"/>
      <c r="WDA48" s="116"/>
      <c r="WDB48" s="116"/>
      <c r="WDC48" s="116"/>
      <c r="WDD48" s="116"/>
      <c r="WDE48" s="116"/>
      <c r="WDF48" s="116"/>
      <c r="WDG48" s="116"/>
      <c r="WDH48" s="116"/>
      <c r="WDI48" s="116"/>
      <c r="WDJ48" s="116"/>
      <c r="WDK48" s="116"/>
      <c r="WDL48" s="116"/>
      <c r="WDM48" s="116"/>
      <c r="WDN48" s="116"/>
      <c r="WDO48" s="116"/>
      <c r="WDP48" s="116"/>
      <c r="WDQ48" s="116"/>
      <c r="WDR48" s="116"/>
      <c r="WDS48" s="116"/>
      <c r="WDT48" s="116"/>
      <c r="WDU48" s="116"/>
      <c r="WDV48" s="116"/>
      <c r="WDW48" s="116"/>
      <c r="WDX48" s="116"/>
      <c r="WDY48" s="116"/>
      <c r="WDZ48" s="116"/>
      <c r="WEA48" s="116"/>
      <c r="WEB48" s="116"/>
      <c r="WEC48" s="116"/>
      <c r="WED48" s="116"/>
      <c r="WEE48" s="116"/>
      <c r="WEF48" s="116"/>
      <c r="WEG48" s="116"/>
      <c r="WEH48" s="116"/>
      <c r="WEI48" s="116"/>
      <c r="WEJ48" s="116"/>
      <c r="WEK48" s="116"/>
      <c r="WEL48" s="116"/>
      <c r="WEM48" s="116"/>
      <c r="WEN48" s="116"/>
      <c r="WEO48" s="116"/>
      <c r="WEP48" s="116"/>
      <c r="WEQ48" s="116"/>
      <c r="WER48" s="116"/>
      <c r="WES48" s="116"/>
      <c r="WET48" s="116"/>
      <c r="WEU48" s="116"/>
      <c r="WEV48" s="116"/>
      <c r="WEW48" s="116"/>
      <c r="WEX48" s="116"/>
      <c r="WEY48" s="116"/>
      <c r="WEZ48" s="116"/>
      <c r="WFA48" s="116"/>
      <c r="WFB48" s="116"/>
      <c r="WFC48" s="116"/>
      <c r="WFD48" s="116"/>
      <c r="WFE48" s="116"/>
      <c r="WFF48" s="116"/>
      <c r="WFG48" s="116"/>
      <c r="WFH48" s="116"/>
      <c r="WFI48" s="116"/>
      <c r="WFJ48" s="116"/>
      <c r="WFK48" s="116"/>
      <c r="WFL48" s="116"/>
      <c r="WFM48" s="116"/>
      <c r="WFN48" s="116"/>
      <c r="WFO48" s="116"/>
      <c r="WFP48" s="116"/>
      <c r="WFQ48" s="116"/>
      <c r="WFR48" s="116"/>
      <c r="WFS48" s="116"/>
      <c r="WFT48" s="116"/>
      <c r="WFU48" s="116"/>
      <c r="WFV48" s="116"/>
      <c r="WFW48" s="116"/>
      <c r="WFX48" s="116"/>
      <c r="WFY48" s="116"/>
      <c r="WFZ48" s="116"/>
      <c r="WGA48" s="116"/>
      <c r="WGB48" s="116"/>
      <c r="WGC48" s="116"/>
      <c r="WGD48" s="116"/>
      <c r="WGE48" s="116"/>
      <c r="WGF48" s="116"/>
      <c r="WGG48" s="116"/>
      <c r="WGH48" s="116"/>
      <c r="WGI48" s="116"/>
      <c r="WGJ48" s="116"/>
      <c r="WGK48" s="116"/>
      <c r="WGL48" s="116"/>
      <c r="WGM48" s="116"/>
      <c r="WGN48" s="116"/>
      <c r="WGO48" s="116"/>
      <c r="WGP48" s="116"/>
      <c r="WGQ48" s="116"/>
      <c r="WGR48" s="116"/>
      <c r="WGS48" s="116"/>
      <c r="WGT48" s="116"/>
      <c r="WGU48" s="116"/>
      <c r="WGV48" s="116"/>
      <c r="WGW48" s="116"/>
      <c r="WGX48" s="116"/>
      <c r="WGY48" s="116"/>
      <c r="WGZ48" s="116"/>
      <c r="WHA48" s="116"/>
      <c r="WHB48" s="116"/>
      <c r="WHC48" s="116"/>
      <c r="WHD48" s="116"/>
      <c r="WHE48" s="116"/>
      <c r="WHF48" s="116"/>
      <c r="WHG48" s="116"/>
      <c r="WHH48" s="116"/>
      <c r="WHI48" s="116"/>
      <c r="WHJ48" s="116"/>
      <c r="WHK48" s="116"/>
      <c r="WHL48" s="116"/>
      <c r="WHM48" s="116"/>
      <c r="WHN48" s="116"/>
      <c r="WHO48" s="116"/>
      <c r="WHP48" s="116"/>
      <c r="WHQ48" s="116"/>
      <c r="WHR48" s="116"/>
      <c r="WHS48" s="116"/>
      <c r="WHT48" s="116"/>
      <c r="WHU48" s="116"/>
      <c r="WHV48" s="116"/>
      <c r="WHW48" s="116"/>
      <c r="WHX48" s="116"/>
      <c r="WHY48" s="116"/>
      <c r="WHZ48" s="116"/>
      <c r="WIA48" s="116"/>
      <c r="WIB48" s="116"/>
      <c r="WIC48" s="116"/>
      <c r="WID48" s="116"/>
      <c r="WIE48" s="116"/>
      <c r="WIF48" s="116"/>
      <c r="WIG48" s="116"/>
      <c r="WIH48" s="116"/>
      <c r="WII48" s="116"/>
      <c r="WIJ48" s="116"/>
      <c r="WIK48" s="116"/>
      <c r="WIL48" s="116"/>
      <c r="WIM48" s="116"/>
      <c r="WIN48" s="116"/>
      <c r="WIO48" s="116"/>
      <c r="WIP48" s="116"/>
      <c r="WIQ48" s="116"/>
      <c r="WIR48" s="116"/>
      <c r="WIS48" s="116"/>
      <c r="WIT48" s="116"/>
      <c r="WIU48" s="116"/>
      <c r="WIV48" s="116"/>
      <c r="WIW48" s="116"/>
      <c r="WIX48" s="116"/>
      <c r="WIY48" s="116"/>
      <c r="WIZ48" s="116"/>
      <c r="WJA48" s="116"/>
      <c r="WJB48" s="116"/>
      <c r="WJC48" s="116"/>
      <c r="WJD48" s="116"/>
      <c r="WJE48" s="116"/>
      <c r="WJF48" s="116"/>
      <c r="WJG48" s="116"/>
      <c r="WJH48" s="116"/>
      <c r="WJI48" s="116"/>
      <c r="WJJ48" s="116"/>
      <c r="WJK48" s="116"/>
      <c r="WJL48" s="116"/>
      <c r="WJM48" s="116"/>
      <c r="WJN48" s="116"/>
      <c r="WJO48" s="116"/>
      <c r="WJP48" s="116"/>
      <c r="WJQ48" s="116"/>
      <c r="WJR48" s="116"/>
      <c r="WJS48" s="116"/>
      <c r="WJT48" s="116"/>
      <c r="WJU48" s="116"/>
      <c r="WJV48" s="116"/>
      <c r="WJW48" s="116"/>
      <c r="WJX48" s="116"/>
      <c r="WJY48" s="116"/>
      <c r="WJZ48" s="116"/>
      <c r="WKA48" s="116"/>
      <c r="WKB48" s="116"/>
      <c r="WKC48" s="116"/>
      <c r="WKD48" s="116"/>
      <c r="WKE48" s="116"/>
      <c r="WKF48" s="116"/>
      <c r="WKG48" s="116"/>
      <c r="WKH48" s="116"/>
      <c r="WKI48" s="116"/>
      <c r="WKJ48" s="116"/>
      <c r="WKK48" s="116"/>
      <c r="WKL48" s="116"/>
      <c r="WKM48" s="116"/>
      <c r="WKN48" s="116"/>
      <c r="WKO48" s="116"/>
      <c r="WKP48" s="116"/>
      <c r="WKQ48" s="116"/>
      <c r="WKR48" s="116"/>
      <c r="WKS48" s="116"/>
      <c r="WKT48" s="116"/>
      <c r="WKU48" s="116"/>
      <c r="WKV48" s="116"/>
      <c r="WKW48" s="116"/>
      <c r="WKX48" s="116"/>
      <c r="WKY48" s="116"/>
      <c r="WKZ48" s="116"/>
      <c r="WLA48" s="116"/>
      <c r="WLB48" s="116"/>
      <c r="WLC48" s="116"/>
      <c r="WLD48" s="116"/>
      <c r="WLE48" s="116"/>
      <c r="WLF48" s="116"/>
      <c r="WLG48" s="116"/>
      <c r="WLH48" s="116"/>
      <c r="WLI48" s="116"/>
      <c r="WLJ48" s="116"/>
      <c r="WLK48" s="116"/>
      <c r="WLL48" s="116"/>
      <c r="WLM48" s="116"/>
      <c r="WLN48" s="116"/>
      <c r="WLO48" s="116"/>
      <c r="WLP48" s="116"/>
      <c r="WLQ48" s="116"/>
      <c r="WLR48" s="116"/>
      <c r="WLS48" s="116"/>
      <c r="WLT48" s="116"/>
      <c r="WLU48" s="116"/>
      <c r="WLV48" s="116"/>
      <c r="WLW48" s="116"/>
      <c r="WLX48" s="116"/>
      <c r="WLY48" s="116"/>
      <c r="WLZ48" s="116"/>
      <c r="WMA48" s="116"/>
      <c r="WMB48" s="116"/>
      <c r="WMC48" s="116"/>
      <c r="WMD48" s="116"/>
      <c r="WME48" s="116"/>
      <c r="WMF48" s="116"/>
      <c r="WMG48" s="116"/>
      <c r="WMH48" s="116"/>
      <c r="WMI48" s="116"/>
      <c r="WMJ48" s="116"/>
      <c r="WMK48" s="116"/>
      <c r="WML48" s="116"/>
      <c r="WMM48" s="116"/>
      <c r="WMN48" s="116"/>
      <c r="WMO48" s="116"/>
      <c r="WMP48" s="116"/>
      <c r="WMQ48" s="116"/>
      <c r="WMR48" s="116"/>
      <c r="WMS48" s="116"/>
      <c r="WMT48" s="116"/>
      <c r="WMU48" s="116"/>
      <c r="WMV48" s="116"/>
      <c r="WMW48" s="116"/>
      <c r="WMX48" s="116"/>
      <c r="WMY48" s="116"/>
      <c r="WMZ48" s="116"/>
      <c r="WNA48" s="116"/>
      <c r="WNB48" s="116"/>
      <c r="WNC48" s="116"/>
      <c r="WND48" s="116"/>
      <c r="WNE48" s="116"/>
      <c r="WNF48" s="116"/>
      <c r="WNG48" s="116"/>
      <c r="WNH48" s="116"/>
      <c r="WNI48" s="116"/>
      <c r="WNJ48" s="116"/>
      <c r="WNK48" s="116"/>
      <c r="WNL48" s="116"/>
      <c r="WNM48" s="116"/>
      <c r="WNN48" s="116"/>
      <c r="WNO48" s="116"/>
      <c r="WNP48" s="116"/>
      <c r="WNQ48" s="116"/>
      <c r="WNR48" s="116"/>
      <c r="WNS48" s="116"/>
      <c r="WNT48" s="116"/>
      <c r="WNU48" s="116"/>
      <c r="WNV48" s="116"/>
      <c r="WNW48" s="116"/>
      <c r="WNX48" s="116"/>
      <c r="WNY48" s="116"/>
      <c r="WNZ48" s="116"/>
      <c r="WOA48" s="116"/>
      <c r="WOB48" s="116"/>
      <c r="WOC48" s="116"/>
      <c r="WOD48" s="116"/>
      <c r="WOE48" s="116"/>
      <c r="WOF48" s="116"/>
      <c r="WOG48" s="116"/>
      <c r="WOH48" s="116"/>
      <c r="WOI48" s="116"/>
      <c r="WOJ48" s="116"/>
      <c r="WOK48" s="116"/>
      <c r="WOL48" s="116"/>
      <c r="WOM48" s="116"/>
      <c r="WON48" s="116"/>
      <c r="WOO48" s="116"/>
      <c r="WOP48" s="116"/>
      <c r="WOQ48" s="116"/>
      <c r="WOR48" s="116"/>
      <c r="WOS48" s="116"/>
      <c r="WOT48" s="116"/>
      <c r="WOU48" s="116"/>
      <c r="WOV48" s="116"/>
      <c r="WOW48" s="116"/>
      <c r="WOX48" s="116"/>
      <c r="WOY48" s="116"/>
      <c r="WOZ48" s="116"/>
      <c r="WPA48" s="116"/>
      <c r="WPB48" s="116"/>
      <c r="WPC48" s="116"/>
      <c r="WPD48" s="116"/>
      <c r="WPE48" s="116"/>
      <c r="WPF48" s="116"/>
      <c r="WPG48" s="116"/>
      <c r="WPH48" s="116"/>
      <c r="WPI48" s="116"/>
      <c r="WPJ48" s="116"/>
      <c r="WPK48" s="116"/>
      <c r="WPL48" s="116"/>
      <c r="WPM48" s="116"/>
      <c r="WPN48" s="116"/>
      <c r="WPO48" s="116"/>
      <c r="WPP48" s="116"/>
      <c r="WPQ48" s="116"/>
      <c r="WPR48" s="116"/>
      <c r="WPS48" s="116"/>
      <c r="WPT48" s="116"/>
      <c r="WPU48" s="116"/>
      <c r="WPV48" s="116"/>
      <c r="WPW48" s="116"/>
      <c r="WPX48" s="116"/>
      <c r="WPY48" s="116"/>
      <c r="WPZ48" s="116"/>
      <c r="WQA48" s="116"/>
      <c r="WQB48" s="116"/>
      <c r="WQC48" s="116"/>
      <c r="WQD48" s="116"/>
      <c r="WQE48" s="116"/>
      <c r="WQF48" s="116"/>
      <c r="WQG48" s="116"/>
      <c r="WQH48" s="116"/>
      <c r="WQI48" s="116"/>
      <c r="WQJ48" s="116"/>
      <c r="WQK48" s="116"/>
      <c r="WQL48" s="116"/>
      <c r="WQM48" s="116"/>
      <c r="WQN48" s="116"/>
      <c r="WQO48" s="116"/>
      <c r="WQP48" s="116"/>
      <c r="WQQ48" s="116"/>
      <c r="WQR48" s="116"/>
      <c r="WQS48" s="116"/>
      <c r="WQT48" s="116"/>
      <c r="WQU48" s="116"/>
      <c r="WQV48" s="116"/>
      <c r="WQW48" s="116"/>
      <c r="WQX48" s="116"/>
      <c r="WQY48" s="116"/>
      <c r="WQZ48" s="116"/>
      <c r="WRA48" s="116"/>
      <c r="WRB48" s="116"/>
      <c r="WRC48" s="116"/>
      <c r="WRD48" s="116"/>
      <c r="WRE48" s="116"/>
      <c r="WRF48" s="116"/>
      <c r="WRG48" s="116"/>
      <c r="WRH48" s="116"/>
      <c r="WRI48" s="116"/>
      <c r="WRJ48" s="116"/>
      <c r="WRK48" s="116"/>
      <c r="WRL48" s="116"/>
      <c r="WRM48" s="116"/>
      <c r="WRN48" s="116"/>
      <c r="WRO48" s="116"/>
      <c r="WRP48" s="116"/>
      <c r="WRQ48" s="116"/>
      <c r="WRR48" s="116"/>
      <c r="WRS48" s="116"/>
      <c r="WRT48" s="116"/>
      <c r="WRU48" s="116"/>
      <c r="WRV48" s="116"/>
      <c r="WRW48" s="116"/>
      <c r="WRX48" s="116"/>
      <c r="WRY48" s="116"/>
      <c r="WRZ48" s="116"/>
      <c r="WSA48" s="116"/>
      <c r="WSB48" s="116"/>
      <c r="WSC48" s="116"/>
      <c r="WSD48" s="116"/>
      <c r="WSE48" s="116"/>
      <c r="WSF48" s="116"/>
      <c r="WSG48" s="116"/>
      <c r="WSH48" s="116"/>
      <c r="WSI48" s="116"/>
      <c r="WSJ48" s="116"/>
      <c r="WSK48" s="116"/>
      <c r="WSL48" s="116"/>
      <c r="WSM48" s="116"/>
      <c r="WSN48" s="116"/>
      <c r="WSO48" s="116"/>
      <c r="WSP48" s="116"/>
      <c r="WSQ48" s="116"/>
      <c r="WSR48" s="116"/>
      <c r="WSS48" s="116"/>
      <c r="WST48" s="116"/>
      <c r="WSU48" s="116"/>
      <c r="WSV48" s="116"/>
      <c r="WSW48" s="116"/>
      <c r="WSX48" s="116"/>
      <c r="WSY48" s="116"/>
      <c r="WSZ48" s="116"/>
      <c r="WTA48" s="116"/>
      <c r="WTB48" s="116"/>
      <c r="WTC48" s="116"/>
      <c r="WTD48" s="116"/>
      <c r="WTE48" s="116"/>
      <c r="WTF48" s="116"/>
      <c r="WTG48" s="116"/>
      <c r="WTH48" s="116"/>
      <c r="WTI48" s="116"/>
      <c r="WTJ48" s="116"/>
      <c r="WTK48" s="116"/>
      <c r="WTL48" s="116"/>
      <c r="WTM48" s="116"/>
      <c r="WTN48" s="116"/>
      <c r="WTO48" s="116"/>
      <c r="WTP48" s="116"/>
      <c r="WTQ48" s="116"/>
      <c r="WTR48" s="116"/>
      <c r="WTS48" s="116"/>
      <c r="WTT48" s="116"/>
      <c r="WTU48" s="116"/>
      <c r="WTV48" s="116"/>
      <c r="WTW48" s="116"/>
      <c r="WTX48" s="116"/>
      <c r="WTY48" s="116"/>
      <c r="WTZ48" s="116"/>
      <c r="WUA48" s="116"/>
      <c r="WUB48" s="116"/>
      <c r="WUC48" s="116"/>
      <c r="WUD48" s="116"/>
      <c r="WUE48" s="116"/>
      <c r="WUF48" s="116"/>
      <c r="WUG48" s="116"/>
      <c r="WUH48" s="116"/>
      <c r="WUI48" s="116"/>
      <c r="WUJ48" s="116"/>
      <c r="WUK48" s="116"/>
      <c r="WUL48" s="116"/>
      <c r="WUM48" s="116"/>
      <c r="WUN48" s="116"/>
      <c r="WUO48" s="116"/>
      <c r="WUP48" s="116"/>
      <c r="WUQ48" s="116"/>
      <c r="WUR48" s="116"/>
      <c r="WUS48" s="116"/>
      <c r="WUT48" s="116"/>
      <c r="WUU48" s="116"/>
      <c r="WUV48" s="116"/>
      <c r="WUW48" s="116"/>
      <c r="WUX48" s="116"/>
      <c r="WUY48" s="116"/>
      <c r="WUZ48" s="116"/>
      <c r="WVA48" s="116"/>
      <c r="WVB48" s="116"/>
      <c r="WVC48" s="116"/>
      <c r="WVD48" s="116"/>
      <c r="WVE48" s="116"/>
      <c r="WVF48" s="116"/>
      <c r="WVG48" s="116"/>
      <c r="WVH48" s="116"/>
      <c r="WVI48" s="116"/>
      <c r="WVJ48" s="116"/>
      <c r="WVK48" s="116"/>
      <c r="WVL48" s="116"/>
      <c r="WVM48" s="116"/>
      <c r="WVN48" s="116"/>
      <c r="WVO48" s="116"/>
      <c r="WVP48" s="116"/>
      <c r="WVQ48" s="116"/>
      <c r="WVR48" s="116"/>
      <c r="WVS48" s="116"/>
      <c r="WVT48" s="116"/>
      <c r="WVU48" s="116"/>
      <c r="WVV48" s="116"/>
      <c r="WVW48" s="116"/>
      <c r="WVX48" s="116"/>
      <c r="WVY48" s="116"/>
      <c r="WVZ48" s="116"/>
      <c r="WWA48" s="116"/>
      <c r="WWB48" s="116"/>
      <c r="WWC48" s="116"/>
      <c r="WWD48" s="116"/>
      <c r="WWE48" s="116"/>
      <c r="WWF48" s="116"/>
      <c r="WWG48" s="116"/>
      <c r="WWH48" s="116"/>
      <c r="WWI48" s="116"/>
      <c r="WWJ48" s="116"/>
      <c r="WWK48" s="116"/>
      <c r="WWL48" s="116"/>
      <c r="WWM48" s="116"/>
      <c r="WWN48" s="116"/>
      <c r="WWO48" s="116"/>
      <c r="WWP48" s="116"/>
      <c r="WWQ48" s="116"/>
      <c r="WWR48" s="116"/>
      <c r="WWS48" s="116"/>
      <c r="WWT48" s="116"/>
      <c r="WWU48" s="116"/>
      <c r="WWV48" s="116"/>
      <c r="WWW48" s="116"/>
      <c r="WWX48" s="116"/>
      <c r="WWY48" s="116"/>
      <c r="WWZ48" s="116"/>
      <c r="WXA48" s="116"/>
      <c r="WXB48" s="116"/>
      <c r="WXC48" s="116"/>
      <c r="WXD48" s="116"/>
      <c r="WXE48" s="116"/>
      <c r="WXF48" s="116"/>
      <c r="WXG48" s="116"/>
      <c r="WXH48" s="116"/>
      <c r="WXI48" s="116"/>
      <c r="WXJ48" s="116"/>
      <c r="WXK48" s="116"/>
      <c r="WXL48" s="116"/>
      <c r="WXM48" s="116"/>
      <c r="WXN48" s="116"/>
      <c r="WXO48" s="116"/>
      <c r="WXP48" s="116"/>
      <c r="WXQ48" s="116"/>
      <c r="WXR48" s="116"/>
      <c r="WXS48" s="116"/>
      <c r="WXT48" s="116"/>
      <c r="WXU48" s="116"/>
      <c r="WXV48" s="116"/>
      <c r="WXW48" s="116"/>
      <c r="WXX48" s="116"/>
      <c r="WXY48" s="116"/>
      <c r="WXZ48" s="116"/>
      <c r="WYA48" s="116"/>
      <c r="WYB48" s="116"/>
      <c r="WYC48" s="116"/>
      <c r="WYD48" s="116"/>
      <c r="WYE48" s="116"/>
      <c r="WYF48" s="116"/>
      <c r="WYG48" s="116"/>
      <c r="WYH48" s="116"/>
      <c r="WYI48" s="116"/>
      <c r="WYJ48" s="116"/>
      <c r="WYK48" s="116"/>
      <c r="WYL48" s="116"/>
      <c r="WYM48" s="116"/>
      <c r="WYN48" s="116"/>
      <c r="WYO48" s="116"/>
      <c r="WYP48" s="116"/>
      <c r="WYQ48" s="116"/>
      <c r="WYR48" s="116"/>
      <c r="WYS48" s="116"/>
      <c r="WYT48" s="116"/>
      <c r="WYU48" s="116"/>
      <c r="WYV48" s="116"/>
      <c r="WYW48" s="116"/>
      <c r="WYX48" s="116"/>
      <c r="WYY48" s="116"/>
      <c r="WYZ48" s="116"/>
      <c r="WZA48" s="116"/>
      <c r="WZB48" s="116"/>
      <c r="WZC48" s="116"/>
      <c r="WZD48" s="116"/>
      <c r="WZE48" s="116"/>
      <c r="WZF48" s="116"/>
      <c r="WZG48" s="116"/>
      <c r="WZH48" s="116"/>
      <c r="WZI48" s="116"/>
      <c r="WZJ48" s="116"/>
      <c r="WZK48" s="116"/>
      <c r="WZL48" s="116"/>
      <c r="WZM48" s="116"/>
      <c r="WZN48" s="116"/>
      <c r="WZO48" s="116"/>
      <c r="WZP48" s="116"/>
      <c r="WZQ48" s="116"/>
      <c r="WZR48" s="116"/>
      <c r="WZS48" s="116"/>
      <c r="WZT48" s="116"/>
      <c r="WZU48" s="116"/>
      <c r="WZV48" s="116"/>
      <c r="WZW48" s="116"/>
      <c r="WZX48" s="116"/>
      <c r="WZY48" s="116"/>
      <c r="WZZ48" s="116"/>
      <c r="XAA48" s="116"/>
      <c r="XAB48" s="116"/>
      <c r="XAC48" s="116"/>
      <c r="XAD48" s="116"/>
      <c r="XAE48" s="116"/>
      <c r="XAF48" s="116"/>
      <c r="XAG48" s="116"/>
      <c r="XAH48" s="116"/>
      <c r="XAI48" s="116"/>
      <c r="XAJ48" s="116"/>
      <c r="XAK48" s="116"/>
      <c r="XAL48" s="116"/>
      <c r="XAM48" s="116"/>
      <c r="XAN48" s="116"/>
      <c r="XAO48" s="116"/>
      <c r="XAP48" s="116"/>
      <c r="XAQ48" s="116"/>
      <c r="XAR48" s="116"/>
      <c r="XAS48" s="116"/>
      <c r="XAT48" s="116"/>
      <c r="XAU48" s="116"/>
      <c r="XAV48" s="116"/>
      <c r="XAW48" s="116"/>
      <c r="XAX48" s="116"/>
      <c r="XAY48" s="116"/>
      <c r="XAZ48" s="116"/>
      <c r="XBA48" s="116"/>
      <c r="XBB48" s="116"/>
      <c r="XBC48" s="116"/>
      <c r="XBD48" s="116"/>
      <c r="XBE48" s="116"/>
      <c r="XBF48" s="116"/>
      <c r="XBG48" s="116"/>
      <c r="XBH48" s="116"/>
      <c r="XBI48" s="116"/>
      <c r="XBJ48" s="116"/>
      <c r="XBK48" s="116"/>
      <c r="XBL48" s="116"/>
      <c r="XBM48" s="116"/>
      <c r="XBN48" s="116"/>
      <c r="XBO48" s="116"/>
      <c r="XBP48" s="116"/>
      <c r="XBQ48" s="116"/>
      <c r="XBR48" s="116"/>
      <c r="XBS48" s="116"/>
      <c r="XBT48" s="116"/>
      <c r="XBU48" s="116"/>
      <c r="XBV48" s="116"/>
      <c r="XBW48" s="116"/>
      <c r="XBX48" s="116"/>
      <c r="XBY48" s="116"/>
      <c r="XBZ48" s="116"/>
      <c r="XCA48" s="116"/>
      <c r="XCB48" s="116"/>
      <c r="XCC48" s="116"/>
      <c r="XCD48" s="116"/>
      <c r="XCE48" s="116"/>
      <c r="XCF48" s="116"/>
      <c r="XCG48" s="116"/>
      <c r="XCH48" s="116"/>
      <c r="XCI48" s="116"/>
      <c r="XCJ48" s="116"/>
      <c r="XCK48" s="116"/>
      <c r="XCL48" s="116"/>
      <c r="XCM48" s="116"/>
      <c r="XCN48" s="116"/>
      <c r="XCO48" s="116"/>
      <c r="XCP48" s="116"/>
      <c r="XCQ48" s="116"/>
      <c r="XCR48" s="116"/>
      <c r="XCS48" s="116"/>
      <c r="XCT48" s="116"/>
      <c r="XCU48" s="116"/>
      <c r="XCV48" s="116"/>
      <c r="XCW48" s="116"/>
      <c r="XCX48" s="116"/>
      <c r="XCY48" s="116"/>
      <c r="XCZ48" s="116"/>
      <c r="XDA48" s="116"/>
      <c r="XDB48" s="116"/>
      <c r="XDC48" s="116"/>
      <c r="XDD48" s="116"/>
      <c r="XDE48" s="116"/>
      <c r="XDF48" s="116"/>
    </row>
    <row r="50" spans="2:45" x14ac:dyDescent="0.15">
      <c r="B50" s="2" t="s">
        <v>112</v>
      </c>
      <c r="C50" s="2">
        <f t="shared" ref="C50:AF50" si="27">BowlSplit(C5:C48,RunsConceded)</f>
        <v>145</v>
      </c>
      <c r="D50" s="2">
        <f t="shared" si="27"/>
        <v>198</v>
      </c>
      <c r="E50" s="2">
        <f t="shared" si="27"/>
        <v>170</v>
      </c>
      <c r="F50" s="2">
        <f t="shared" si="27"/>
        <v>190</v>
      </c>
      <c r="G50" s="2">
        <f t="shared" si="27"/>
        <v>70</v>
      </c>
      <c r="H50" s="2">
        <f t="shared" si="27"/>
        <v>0</v>
      </c>
      <c r="I50" s="2">
        <f>BowlSplit(I5:I48,RunsConceded)</f>
        <v>155</v>
      </c>
      <c r="J50" s="2">
        <f t="shared" si="27"/>
        <v>148</v>
      </c>
      <c r="K50" s="2">
        <f t="shared" si="27"/>
        <v>123</v>
      </c>
      <c r="L50" s="2">
        <f t="shared" si="27"/>
        <v>182</v>
      </c>
      <c r="M50" s="2">
        <f t="shared" si="27"/>
        <v>92</v>
      </c>
      <c r="N50" s="2">
        <f t="shared" si="27"/>
        <v>102</v>
      </c>
      <c r="O50" s="2">
        <f t="shared" si="27"/>
        <v>189</v>
      </c>
      <c r="P50" s="2">
        <f t="shared" si="27"/>
        <v>189</v>
      </c>
      <c r="Q50" s="2">
        <f t="shared" si="27"/>
        <v>99</v>
      </c>
      <c r="R50" s="2">
        <f t="shared" si="27"/>
        <v>159</v>
      </c>
      <c r="S50" s="2">
        <f t="shared" si="27"/>
        <v>239</v>
      </c>
      <c r="T50" s="2">
        <f t="shared" si="27"/>
        <v>161</v>
      </c>
      <c r="U50" s="2">
        <f t="shared" si="27"/>
        <v>0</v>
      </c>
      <c r="V50" s="2">
        <f t="shared" si="27"/>
        <v>135</v>
      </c>
      <c r="W50" s="2">
        <f t="shared" si="27"/>
        <v>171</v>
      </c>
      <c r="X50" s="2">
        <f t="shared" si="27"/>
        <v>0</v>
      </c>
      <c r="Y50" s="2">
        <f t="shared" si="27"/>
        <v>0</v>
      </c>
      <c r="Z50" s="2">
        <f t="shared" si="27"/>
        <v>0</v>
      </c>
      <c r="AA50" s="2">
        <f t="shared" si="27"/>
        <v>0</v>
      </c>
      <c r="AB50" s="2">
        <f t="shared" si="27"/>
        <v>0</v>
      </c>
      <c r="AC50" s="2">
        <f t="shared" si="27"/>
        <v>0</v>
      </c>
      <c r="AD50" s="2">
        <f t="shared" si="27"/>
        <v>0</v>
      </c>
      <c r="AE50" s="2">
        <f t="shared" si="27"/>
        <v>0</v>
      </c>
      <c r="AF50" s="2">
        <f t="shared" si="27"/>
        <v>0</v>
      </c>
      <c r="AJ50" s="51">
        <f>SUM(C50:AH50)</f>
        <v>2917</v>
      </c>
      <c r="AK50" s="51">
        <f>SUM(AK5:AK48)</f>
        <v>4004</v>
      </c>
      <c r="AO50" s="177">
        <f>SUM(AO5:AO48)</f>
        <v>130</v>
      </c>
    </row>
    <row r="51" spans="2:45" x14ac:dyDescent="0.15">
      <c r="B51" s="2" t="s">
        <v>113</v>
      </c>
      <c r="C51" s="2">
        <f t="array" ref="C51:AF52">TRANSPOSE(Matches!S5:T32)</f>
        <v>1</v>
      </c>
      <c r="D51" s="2">
        <v>2</v>
      </c>
      <c r="E51" s="2">
        <v>2</v>
      </c>
      <c r="F51" s="2">
        <v>2</v>
      </c>
      <c r="G51" s="2">
        <v>2</v>
      </c>
      <c r="H51" s="2">
        <v>0</v>
      </c>
      <c r="I51" s="2">
        <v>1</v>
      </c>
      <c r="J51" s="2">
        <v>3</v>
      </c>
      <c r="K51" s="2">
        <v>5</v>
      </c>
      <c r="L51" s="2">
        <v>7</v>
      </c>
      <c r="M51" s="2">
        <v>10</v>
      </c>
      <c r="N51" s="2">
        <v>4</v>
      </c>
      <c r="O51" s="2">
        <v>14</v>
      </c>
      <c r="P51" s="2">
        <v>6</v>
      </c>
      <c r="Q51" s="2">
        <v>5</v>
      </c>
      <c r="R51" s="2">
        <v>15</v>
      </c>
      <c r="S51" s="2">
        <v>15</v>
      </c>
      <c r="T51" s="2">
        <v>12</v>
      </c>
      <c r="U51" s="2">
        <v>0</v>
      </c>
      <c r="V51" s="2">
        <v>0</v>
      </c>
      <c r="W51" s="2">
        <v>4</v>
      </c>
      <c r="X51" s="2">
        <v>0</v>
      </c>
      <c r="Y51" s="2">
        <v>0</v>
      </c>
      <c r="Z51" s="2">
        <v>0</v>
      </c>
      <c r="AA51" s="2">
        <v>0</v>
      </c>
      <c r="AB51" s="2">
        <v>0</v>
      </c>
      <c r="AC51" s="2">
        <v>0</v>
      </c>
      <c r="AD51" s="2">
        <v>0</v>
      </c>
      <c r="AE51" s="2" t="e">
        <v>#N/A</v>
      </c>
      <c r="AF51" s="2" t="e">
        <v>#N/A</v>
      </c>
      <c r="AJ51" s="51">
        <f t="array" ref="AJ51">SUM(_xlfn.IFNA(C51:AH51,0))</f>
        <v>110</v>
      </c>
    </row>
    <row r="52" spans="2:45" x14ac:dyDescent="0.15">
      <c r="B52" s="2" t="s">
        <v>114</v>
      </c>
      <c r="C52" s="2">
        <v>1</v>
      </c>
      <c r="D52" s="2">
        <v>3</v>
      </c>
      <c r="E52" s="2">
        <v>3</v>
      </c>
      <c r="F52" s="2">
        <v>0</v>
      </c>
      <c r="G52" s="2">
        <v>0</v>
      </c>
      <c r="H52" s="2">
        <v>0</v>
      </c>
      <c r="I52" s="2">
        <v>2</v>
      </c>
      <c r="J52" s="2">
        <v>0</v>
      </c>
      <c r="K52" s="2">
        <v>1</v>
      </c>
      <c r="L52" s="2">
        <v>1</v>
      </c>
      <c r="M52" s="2">
        <v>0</v>
      </c>
      <c r="N52" s="2">
        <v>0</v>
      </c>
      <c r="O52" s="2">
        <v>7</v>
      </c>
      <c r="P52" s="2">
        <v>2</v>
      </c>
      <c r="Q52" s="2">
        <v>1</v>
      </c>
      <c r="R52" s="2">
        <v>6</v>
      </c>
      <c r="S52" s="2">
        <v>3</v>
      </c>
      <c r="T52" s="2">
        <v>1</v>
      </c>
      <c r="U52" s="2">
        <v>0</v>
      </c>
      <c r="V52" s="2">
        <v>2</v>
      </c>
      <c r="W52" s="2">
        <v>1</v>
      </c>
      <c r="X52" s="2">
        <v>0</v>
      </c>
      <c r="Y52" s="2">
        <v>0</v>
      </c>
      <c r="Z52" s="2">
        <v>0</v>
      </c>
      <c r="AA52" s="2">
        <v>0</v>
      </c>
      <c r="AB52" s="2">
        <v>0</v>
      </c>
      <c r="AC52" s="2">
        <v>0</v>
      </c>
      <c r="AD52" s="2">
        <v>0</v>
      </c>
      <c r="AE52" s="2" t="e">
        <v>#N/A</v>
      </c>
      <c r="AF52" s="2" t="e">
        <v>#N/A</v>
      </c>
      <c r="AJ52" s="51">
        <f t="array" ref="AJ52">SUM(_xlfn.IFNA(C52:AH52,0))</f>
        <v>34</v>
      </c>
      <c r="AL52" s="177" t="s">
        <v>145</v>
      </c>
      <c r="AM52" s="177" t="s">
        <v>146</v>
      </c>
    </row>
    <row r="53" spans="2:45" s="52" customFormat="1" x14ac:dyDescent="0.15">
      <c r="B53" s="52" t="s">
        <v>111</v>
      </c>
      <c r="C53" s="52">
        <f>SUM(C50:C52)</f>
        <v>147</v>
      </c>
      <c r="D53" s="52">
        <f t="shared" ref="D53:AF53" si="28">SUM(D50:D52)</f>
        <v>203</v>
      </c>
      <c r="E53" s="52">
        <f t="shared" si="28"/>
        <v>175</v>
      </c>
      <c r="F53" s="52">
        <f t="shared" si="28"/>
        <v>192</v>
      </c>
      <c r="G53" s="52">
        <f t="shared" si="28"/>
        <v>72</v>
      </c>
      <c r="H53" s="52">
        <f t="shared" si="28"/>
        <v>0</v>
      </c>
      <c r="I53" s="52">
        <f t="shared" si="28"/>
        <v>158</v>
      </c>
      <c r="J53" s="52">
        <f t="shared" si="28"/>
        <v>151</v>
      </c>
      <c r="K53" s="52">
        <f t="shared" si="28"/>
        <v>129</v>
      </c>
      <c r="L53" s="52">
        <f t="shared" si="28"/>
        <v>190</v>
      </c>
      <c r="M53" s="52">
        <f t="shared" si="28"/>
        <v>102</v>
      </c>
      <c r="N53" s="52">
        <f t="shared" si="28"/>
        <v>106</v>
      </c>
      <c r="O53" s="52">
        <f t="shared" si="28"/>
        <v>210</v>
      </c>
      <c r="P53" s="52">
        <f t="shared" si="28"/>
        <v>197</v>
      </c>
      <c r="Q53" s="52">
        <f t="shared" si="28"/>
        <v>105</v>
      </c>
      <c r="R53" s="52">
        <f t="shared" si="28"/>
        <v>180</v>
      </c>
      <c r="S53" s="52">
        <f t="shared" si="28"/>
        <v>257</v>
      </c>
      <c r="T53" s="52">
        <f t="shared" si="28"/>
        <v>174</v>
      </c>
      <c r="U53" s="52">
        <f t="shared" si="28"/>
        <v>0</v>
      </c>
      <c r="V53" s="52">
        <f t="shared" si="28"/>
        <v>137</v>
      </c>
      <c r="W53" s="52">
        <f t="shared" si="28"/>
        <v>176</v>
      </c>
      <c r="X53" s="52">
        <f t="shared" si="28"/>
        <v>0</v>
      </c>
      <c r="Y53" s="52">
        <f t="shared" si="28"/>
        <v>0</v>
      </c>
      <c r="Z53" s="52">
        <f t="shared" si="28"/>
        <v>0</v>
      </c>
      <c r="AA53" s="52">
        <f t="shared" si="28"/>
        <v>0</v>
      </c>
      <c r="AB53" s="52">
        <f t="shared" si="28"/>
        <v>0</v>
      </c>
      <c r="AC53" s="52">
        <f t="shared" si="28"/>
        <v>0</v>
      </c>
      <c r="AD53" s="52">
        <f t="shared" si="28"/>
        <v>0</v>
      </c>
      <c r="AE53" s="52" t="e">
        <f t="shared" si="28"/>
        <v>#N/A</v>
      </c>
      <c r="AF53" s="52" t="e">
        <f t="shared" si="28"/>
        <v>#N/A</v>
      </c>
      <c r="AJ53" s="52">
        <f t="array" ref="AJ53">SUM(_xlfn.IFNA(C53:AH53,0))</f>
        <v>3061</v>
      </c>
      <c r="AL53" s="180">
        <f t="array" ref="AL53">MAX(_xlfn.IFNA(C53:AH53,0))</f>
        <v>257</v>
      </c>
      <c r="AM53" s="180">
        <f t="array" ref="AM53">MIN(IF(_xlfn.IFNA(C53:AH53,0)&gt;0,_xlfn.IFNA(C53:AH53,0),9999))</f>
        <v>72</v>
      </c>
      <c r="AN53" s="180"/>
      <c r="AO53" s="180"/>
      <c r="AS53" s="56"/>
    </row>
    <row r="54" spans="2:45" x14ac:dyDescent="0.15">
      <c r="B54" s="2" t="s">
        <v>30</v>
      </c>
      <c r="C54" s="2">
        <f t="shared" ref="C54:AF54" si="29">BowlSplit(C5:C48,OversBowled)</f>
        <v>40</v>
      </c>
      <c r="D54" s="2">
        <f t="shared" si="29"/>
        <v>35</v>
      </c>
      <c r="E54" s="2">
        <f t="shared" si="29"/>
        <v>40</v>
      </c>
      <c r="F54" s="2">
        <f t="shared" si="29"/>
        <v>34.4</v>
      </c>
      <c r="G54" s="2">
        <f t="shared" si="29"/>
        <v>40</v>
      </c>
      <c r="H54" s="2">
        <f t="shared" si="29"/>
        <v>0</v>
      </c>
      <c r="I54" s="2">
        <f>BowlSplit(I5:I48,OversBowled)</f>
        <v>35</v>
      </c>
      <c r="J54" s="2">
        <f t="shared" si="29"/>
        <v>33.5</v>
      </c>
      <c r="K54" s="2">
        <f t="shared" si="29"/>
        <v>35</v>
      </c>
      <c r="L54" s="2">
        <f t="shared" si="29"/>
        <v>39.5</v>
      </c>
      <c r="M54" s="2">
        <f t="shared" si="29"/>
        <v>32.299999999999997</v>
      </c>
      <c r="N54" s="2">
        <f t="shared" si="29"/>
        <v>18.399999999999999</v>
      </c>
      <c r="O54" s="2">
        <f t="shared" si="29"/>
        <v>40</v>
      </c>
      <c r="P54" s="2">
        <f t="shared" si="29"/>
        <v>35</v>
      </c>
      <c r="Q54" s="2">
        <f t="shared" si="29"/>
        <v>28.2</v>
      </c>
      <c r="R54" s="2">
        <f t="shared" si="29"/>
        <v>40</v>
      </c>
      <c r="S54" s="2">
        <f t="shared" si="29"/>
        <v>35</v>
      </c>
      <c r="T54" s="2">
        <f t="shared" si="29"/>
        <v>35</v>
      </c>
      <c r="U54" s="2">
        <f t="shared" si="29"/>
        <v>0</v>
      </c>
      <c r="V54" s="2">
        <f t="shared" si="29"/>
        <v>29.3</v>
      </c>
      <c r="W54" s="2">
        <f t="shared" si="29"/>
        <v>40</v>
      </c>
      <c r="X54" s="2">
        <f t="shared" si="29"/>
        <v>0</v>
      </c>
      <c r="Y54" s="2">
        <f t="shared" si="29"/>
        <v>0</v>
      </c>
      <c r="Z54" s="2">
        <f t="shared" si="29"/>
        <v>0</v>
      </c>
      <c r="AA54" s="2">
        <f t="shared" si="29"/>
        <v>0</v>
      </c>
      <c r="AB54" s="2">
        <f t="shared" si="29"/>
        <v>0</v>
      </c>
      <c r="AC54" s="2">
        <f t="shared" si="29"/>
        <v>0</v>
      </c>
      <c r="AD54" s="2">
        <f t="shared" si="29"/>
        <v>0</v>
      </c>
      <c r="AE54" s="2">
        <f t="shared" si="29"/>
        <v>0</v>
      </c>
      <c r="AF54" s="2">
        <f t="shared" si="29"/>
        <v>0</v>
      </c>
      <c r="AJ54" s="51">
        <f>MAX(C54:AH54)</f>
        <v>40</v>
      </c>
    </row>
    <row r="55" spans="2:45" x14ac:dyDescent="0.15">
      <c r="B55" s="2" t="s">
        <v>29</v>
      </c>
      <c r="C55" s="2">
        <f t="shared" ref="C55:N55" si="30">BowlSplit(C5:C48,BallsBowled)</f>
        <v>240</v>
      </c>
      <c r="D55" s="2">
        <f t="shared" si="30"/>
        <v>210</v>
      </c>
      <c r="E55" s="2">
        <f t="shared" si="30"/>
        <v>240</v>
      </c>
      <c r="F55" s="2">
        <f t="shared" si="30"/>
        <v>208</v>
      </c>
      <c r="G55" s="2">
        <f t="shared" si="30"/>
        <v>240</v>
      </c>
      <c r="H55" s="2">
        <f t="shared" si="30"/>
        <v>0</v>
      </c>
      <c r="I55" s="2">
        <f>BowlSplit(I5:I48,BallsBowled)</f>
        <v>210</v>
      </c>
      <c r="J55" s="2">
        <f t="shared" si="30"/>
        <v>203</v>
      </c>
      <c r="K55" s="2">
        <f t="shared" si="30"/>
        <v>210</v>
      </c>
      <c r="L55" s="2">
        <f t="shared" si="30"/>
        <v>239</v>
      </c>
      <c r="M55" s="2">
        <f t="shared" si="30"/>
        <v>195</v>
      </c>
      <c r="N55" s="2">
        <f t="shared" si="30"/>
        <v>112</v>
      </c>
      <c r="O55" s="2">
        <f>BowlSplit(T5:T48,BallsBowled)</f>
        <v>210</v>
      </c>
      <c r="P55" s="2">
        <f t="shared" ref="P55:AF55" si="31">BowlSplit(P5:P48,BallsBowled)</f>
        <v>210</v>
      </c>
      <c r="Q55" s="2">
        <f t="shared" si="31"/>
        <v>170</v>
      </c>
      <c r="R55" s="2">
        <f t="shared" si="31"/>
        <v>240</v>
      </c>
      <c r="S55" s="2">
        <f t="shared" si="31"/>
        <v>210</v>
      </c>
      <c r="T55" s="2">
        <f t="shared" si="31"/>
        <v>210</v>
      </c>
      <c r="U55" s="2">
        <f t="shared" si="31"/>
        <v>0</v>
      </c>
      <c r="V55" s="2">
        <f t="shared" si="31"/>
        <v>177</v>
      </c>
      <c r="W55" s="2">
        <f t="shared" si="31"/>
        <v>240</v>
      </c>
      <c r="X55" s="2">
        <f t="shared" si="31"/>
        <v>0</v>
      </c>
      <c r="Y55" s="2">
        <f t="shared" si="31"/>
        <v>0</v>
      </c>
      <c r="Z55" s="2">
        <f t="shared" si="31"/>
        <v>0</v>
      </c>
      <c r="AA55" s="2">
        <f t="shared" si="31"/>
        <v>0</v>
      </c>
      <c r="AB55" s="2">
        <f t="shared" si="31"/>
        <v>0</v>
      </c>
      <c r="AC55" s="2">
        <f t="shared" si="31"/>
        <v>0</v>
      </c>
      <c r="AD55" s="2">
        <f t="shared" si="31"/>
        <v>0</v>
      </c>
      <c r="AE55" s="2">
        <f t="shared" si="31"/>
        <v>0</v>
      </c>
      <c r="AF55" s="2">
        <f t="shared" si="31"/>
        <v>0</v>
      </c>
      <c r="AJ55" s="51">
        <f>SUM(C55:AH55)</f>
        <v>3974</v>
      </c>
      <c r="AK55" s="51">
        <f>INT(AJ55/6)</f>
        <v>662</v>
      </c>
      <c r="AL55" s="177">
        <f>AJ55-AK55*6</f>
        <v>2</v>
      </c>
      <c r="AM55" s="177">
        <f>AK55+AL55/10</f>
        <v>662.2</v>
      </c>
    </row>
    <row r="56" spans="2:45" x14ac:dyDescent="0.15">
      <c r="B56" s="2" t="s">
        <v>153</v>
      </c>
      <c r="C56" s="2">
        <f t="array" ref="C56:AF56">TRANSPOSE(Matches!P5:P32)</f>
        <v>40</v>
      </c>
      <c r="D56" s="2">
        <v>35</v>
      </c>
      <c r="E56" s="2">
        <v>40</v>
      </c>
      <c r="F56" s="2">
        <v>34.4</v>
      </c>
      <c r="G56" s="2">
        <v>40</v>
      </c>
      <c r="H56" s="2">
        <v>0</v>
      </c>
      <c r="I56" s="2">
        <v>35</v>
      </c>
      <c r="J56" s="2">
        <v>33.5</v>
      </c>
      <c r="K56" s="2">
        <v>35</v>
      </c>
      <c r="L56" s="2">
        <v>39.5</v>
      </c>
      <c r="M56" s="2">
        <v>32.299999999999997</v>
      </c>
      <c r="N56" s="2">
        <v>18.399999999999999</v>
      </c>
      <c r="O56" s="2">
        <v>40</v>
      </c>
      <c r="P56" s="2">
        <v>35</v>
      </c>
      <c r="Q56" s="2">
        <v>28.2</v>
      </c>
      <c r="R56" s="2">
        <v>40</v>
      </c>
      <c r="S56" s="2">
        <v>35</v>
      </c>
      <c r="T56" s="2">
        <v>35</v>
      </c>
      <c r="U56" s="2">
        <v>35</v>
      </c>
      <c r="V56" s="2">
        <v>29.3</v>
      </c>
      <c r="W56" s="2">
        <v>40</v>
      </c>
      <c r="X56" s="2">
        <v>0</v>
      </c>
      <c r="Y56" s="2">
        <v>0</v>
      </c>
      <c r="Z56" s="2">
        <v>0</v>
      </c>
      <c r="AA56" s="2">
        <v>0</v>
      </c>
      <c r="AB56" s="2">
        <v>0</v>
      </c>
      <c r="AC56" s="2">
        <v>0</v>
      </c>
      <c r="AD56" s="2">
        <v>0</v>
      </c>
      <c r="AE56" s="2" t="e">
        <v>#N/A</v>
      </c>
      <c r="AF56" s="2" t="e">
        <v>#N/A</v>
      </c>
    </row>
    <row r="58" spans="2:45" x14ac:dyDescent="0.15">
      <c r="B58" s="2">
        <f>MAX(C58:Z93)</f>
        <v>4</v>
      </c>
      <c r="C58" s="216">
        <f t="shared" ref="C58:Z58" si="32">BowlSplit(C5,$B$59)</f>
        <v>3</v>
      </c>
      <c r="D58" s="216">
        <f t="shared" si="32"/>
        <v>0</v>
      </c>
      <c r="E58" s="216">
        <f t="shared" si="32"/>
        <v>0</v>
      </c>
      <c r="F58" s="216">
        <f t="shared" si="32"/>
        <v>0</v>
      </c>
      <c r="G58" s="216">
        <f t="shared" si="32"/>
        <v>0</v>
      </c>
      <c r="H58" s="216">
        <f t="shared" ref="H58:I67" si="33">BowlSplit(I5,$B$59)</f>
        <v>0</v>
      </c>
      <c r="I58" s="216">
        <f t="shared" si="33"/>
        <v>0</v>
      </c>
      <c r="J58" s="216">
        <f t="shared" si="32"/>
        <v>0</v>
      </c>
      <c r="K58" s="216">
        <f t="shared" si="32"/>
        <v>0</v>
      </c>
      <c r="L58" s="216">
        <f t="shared" si="32"/>
        <v>0</v>
      </c>
      <c r="M58" s="216">
        <f t="shared" si="32"/>
        <v>0</v>
      </c>
      <c r="N58" s="216">
        <f t="shared" si="32"/>
        <v>0</v>
      </c>
      <c r="O58" s="216">
        <f t="shared" si="32"/>
        <v>0</v>
      </c>
      <c r="P58" s="216">
        <f t="shared" si="32"/>
        <v>2</v>
      </c>
      <c r="Q58" s="216">
        <f t="shared" si="32"/>
        <v>0</v>
      </c>
      <c r="R58" s="216">
        <f t="shared" si="32"/>
        <v>1</v>
      </c>
      <c r="S58" s="216">
        <f t="shared" si="32"/>
        <v>0</v>
      </c>
      <c r="T58" s="216">
        <f t="shared" si="32"/>
        <v>0</v>
      </c>
      <c r="U58" s="216">
        <f t="shared" si="32"/>
        <v>0</v>
      </c>
      <c r="V58" s="216">
        <f t="shared" si="32"/>
        <v>0</v>
      </c>
      <c r="W58" s="216">
        <f t="shared" si="32"/>
        <v>0</v>
      </c>
      <c r="X58" s="216">
        <f t="shared" si="32"/>
        <v>0</v>
      </c>
      <c r="Y58" s="216">
        <f t="shared" si="32"/>
        <v>0</v>
      </c>
      <c r="Z58" s="216">
        <f t="shared" si="32"/>
        <v>0</v>
      </c>
    </row>
    <row r="59" spans="2:45" x14ac:dyDescent="0.15">
      <c r="B59" s="2">
        <f>WicketsTaken</f>
        <v>4</v>
      </c>
      <c r="C59" s="216">
        <f t="shared" ref="C59:Z59" si="34">BowlSplit(C6,$B$59)</f>
        <v>0</v>
      </c>
      <c r="D59" s="216">
        <f t="shared" si="34"/>
        <v>3</v>
      </c>
      <c r="E59" s="216">
        <f t="shared" si="34"/>
        <v>1</v>
      </c>
      <c r="F59" s="216">
        <f t="shared" si="34"/>
        <v>0</v>
      </c>
      <c r="G59" s="216">
        <f t="shared" si="34"/>
        <v>1</v>
      </c>
      <c r="H59" s="216">
        <f t="shared" si="33"/>
        <v>1</v>
      </c>
      <c r="I59" s="216">
        <f t="shared" si="33"/>
        <v>0</v>
      </c>
      <c r="J59" s="216">
        <f t="shared" si="34"/>
        <v>0</v>
      </c>
      <c r="K59" s="216">
        <f t="shared" si="34"/>
        <v>0</v>
      </c>
      <c r="L59" s="216">
        <f t="shared" si="34"/>
        <v>1</v>
      </c>
      <c r="M59" s="216">
        <f t="shared" si="34"/>
        <v>1</v>
      </c>
      <c r="N59" s="216">
        <f t="shared" si="34"/>
        <v>4</v>
      </c>
      <c r="O59" s="216">
        <f t="shared" si="34"/>
        <v>2</v>
      </c>
      <c r="P59" s="216">
        <f t="shared" si="34"/>
        <v>0</v>
      </c>
      <c r="Q59" s="216">
        <f t="shared" si="34"/>
        <v>2</v>
      </c>
      <c r="R59" s="216">
        <f t="shared" si="34"/>
        <v>0</v>
      </c>
      <c r="S59" s="216">
        <f t="shared" si="34"/>
        <v>0</v>
      </c>
      <c r="T59" s="216">
        <f t="shared" si="34"/>
        <v>0</v>
      </c>
      <c r="U59" s="216">
        <f t="shared" si="34"/>
        <v>0</v>
      </c>
      <c r="V59" s="216">
        <f t="shared" si="34"/>
        <v>0</v>
      </c>
      <c r="W59" s="216">
        <f t="shared" si="34"/>
        <v>0</v>
      </c>
      <c r="X59" s="216">
        <f t="shared" si="34"/>
        <v>0</v>
      </c>
      <c r="Y59" s="216">
        <f t="shared" si="34"/>
        <v>0</v>
      </c>
      <c r="Z59" s="216">
        <f t="shared" si="34"/>
        <v>0</v>
      </c>
    </row>
    <row r="60" spans="2:45" x14ac:dyDescent="0.15">
      <c r="C60" s="216">
        <f t="shared" ref="C60:Z60" si="35">BowlSplit(C7,$B$59)</f>
        <v>0</v>
      </c>
      <c r="D60" s="216">
        <f t="shared" si="35"/>
        <v>0</v>
      </c>
      <c r="E60" s="216">
        <f t="shared" si="35"/>
        <v>0</v>
      </c>
      <c r="F60" s="216">
        <f t="shared" si="35"/>
        <v>0</v>
      </c>
      <c r="G60" s="216">
        <f t="shared" si="35"/>
        <v>0</v>
      </c>
      <c r="H60" s="216">
        <f t="shared" si="33"/>
        <v>0</v>
      </c>
      <c r="I60" s="216">
        <f t="shared" si="33"/>
        <v>0</v>
      </c>
      <c r="J60" s="216">
        <f t="shared" si="35"/>
        <v>0</v>
      </c>
      <c r="K60" s="216">
        <f t="shared" si="35"/>
        <v>0</v>
      </c>
      <c r="L60" s="216">
        <f t="shared" si="35"/>
        <v>0</v>
      </c>
      <c r="M60" s="216">
        <f t="shared" si="35"/>
        <v>0</v>
      </c>
      <c r="N60" s="216">
        <f t="shared" si="35"/>
        <v>0</v>
      </c>
      <c r="O60" s="216">
        <f t="shared" si="35"/>
        <v>0</v>
      </c>
      <c r="P60" s="216">
        <f t="shared" si="35"/>
        <v>0</v>
      </c>
      <c r="Q60" s="216">
        <f t="shared" si="35"/>
        <v>0</v>
      </c>
      <c r="R60" s="216">
        <f t="shared" si="35"/>
        <v>0</v>
      </c>
      <c r="S60" s="216">
        <f t="shared" si="35"/>
        <v>0</v>
      </c>
      <c r="T60" s="216">
        <f t="shared" si="35"/>
        <v>0</v>
      </c>
      <c r="U60" s="216">
        <f t="shared" si="35"/>
        <v>0</v>
      </c>
      <c r="V60" s="216">
        <f t="shared" si="35"/>
        <v>0</v>
      </c>
      <c r="W60" s="216">
        <f t="shared" si="35"/>
        <v>0</v>
      </c>
      <c r="X60" s="216">
        <f t="shared" si="35"/>
        <v>0</v>
      </c>
      <c r="Y60" s="216">
        <f t="shared" si="35"/>
        <v>0</v>
      </c>
      <c r="Z60" s="216">
        <f t="shared" si="35"/>
        <v>0</v>
      </c>
    </row>
    <row r="61" spans="2:45" x14ac:dyDescent="0.15">
      <c r="C61" s="216">
        <f t="shared" ref="C61:Z61" si="36">BowlSplit(C8,$B$59)</f>
        <v>0</v>
      </c>
      <c r="D61" s="216">
        <f t="shared" si="36"/>
        <v>0</v>
      </c>
      <c r="E61" s="216">
        <f t="shared" si="36"/>
        <v>0</v>
      </c>
      <c r="F61" s="216">
        <f t="shared" si="36"/>
        <v>0</v>
      </c>
      <c r="G61" s="216">
        <f t="shared" si="36"/>
        <v>0</v>
      </c>
      <c r="H61" s="216">
        <f t="shared" si="33"/>
        <v>0</v>
      </c>
      <c r="I61" s="216">
        <f t="shared" si="33"/>
        <v>0</v>
      </c>
      <c r="J61" s="216">
        <f t="shared" si="36"/>
        <v>0</v>
      </c>
      <c r="K61" s="216">
        <f t="shared" si="36"/>
        <v>0</v>
      </c>
      <c r="L61" s="216">
        <f t="shared" si="36"/>
        <v>0</v>
      </c>
      <c r="M61" s="216">
        <f t="shared" si="36"/>
        <v>0</v>
      </c>
      <c r="N61" s="216">
        <f t="shared" si="36"/>
        <v>0</v>
      </c>
      <c r="O61" s="216">
        <f t="shared" si="36"/>
        <v>0</v>
      </c>
      <c r="P61" s="216">
        <f t="shared" si="36"/>
        <v>0</v>
      </c>
      <c r="Q61" s="216">
        <f t="shared" si="36"/>
        <v>0</v>
      </c>
      <c r="R61" s="216">
        <f t="shared" si="36"/>
        <v>0</v>
      </c>
      <c r="S61" s="216">
        <f t="shared" si="36"/>
        <v>0</v>
      </c>
      <c r="T61" s="216">
        <f t="shared" si="36"/>
        <v>0</v>
      </c>
      <c r="U61" s="216">
        <f t="shared" si="36"/>
        <v>0</v>
      </c>
      <c r="V61" s="216">
        <f t="shared" si="36"/>
        <v>0</v>
      </c>
      <c r="W61" s="216">
        <f t="shared" si="36"/>
        <v>0</v>
      </c>
      <c r="X61" s="216">
        <f t="shared" si="36"/>
        <v>0</v>
      </c>
      <c r="Y61" s="216">
        <f t="shared" si="36"/>
        <v>0</v>
      </c>
      <c r="Z61" s="216">
        <f t="shared" si="36"/>
        <v>0</v>
      </c>
    </row>
    <row r="62" spans="2:45" x14ac:dyDescent="0.15">
      <c r="C62" s="216">
        <f t="shared" ref="C62:Z62" si="37">BowlSplit(C9,$B$59)</f>
        <v>0</v>
      </c>
      <c r="D62" s="216">
        <f t="shared" si="37"/>
        <v>0</v>
      </c>
      <c r="E62" s="216">
        <f t="shared" si="37"/>
        <v>0</v>
      </c>
      <c r="F62" s="216">
        <f t="shared" si="37"/>
        <v>0</v>
      </c>
      <c r="G62" s="216">
        <f t="shared" si="37"/>
        <v>0</v>
      </c>
      <c r="H62" s="216">
        <f t="shared" si="33"/>
        <v>0</v>
      </c>
      <c r="I62" s="216">
        <f t="shared" si="33"/>
        <v>0</v>
      </c>
      <c r="J62" s="216">
        <f t="shared" si="37"/>
        <v>0</v>
      </c>
      <c r="K62" s="216">
        <f t="shared" si="37"/>
        <v>0</v>
      </c>
      <c r="L62" s="216">
        <f t="shared" si="37"/>
        <v>0</v>
      </c>
      <c r="M62" s="216">
        <f t="shared" si="37"/>
        <v>0</v>
      </c>
      <c r="N62" s="216">
        <f t="shared" si="37"/>
        <v>0</v>
      </c>
      <c r="O62" s="216">
        <f t="shared" si="37"/>
        <v>0</v>
      </c>
      <c r="P62" s="216">
        <f t="shared" si="37"/>
        <v>0</v>
      </c>
      <c r="Q62" s="216">
        <f t="shared" si="37"/>
        <v>0</v>
      </c>
      <c r="R62" s="216">
        <f t="shared" si="37"/>
        <v>0</v>
      </c>
      <c r="S62" s="216">
        <f t="shared" si="37"/>
        <v>0</v>
      </c>
      <c r="T62" s="216">
        <f t="shared" si="37"/>
        <v>0</v>
      </c>
      <c r="U62" s="216">
        <f t="shared" si="37"/>
        <v>0</v>
      </c>
      <c r="V62" s="216">
        <f t="shared" si="37"/>
        <v>0</v>
      </c>
      <c r="W62" s="216">
        <f t="shared" si="37"/>
        <v>0</v>
      </c>
      <c r="X62" s="216">
        <f t="shared" si="37"/>
        <v>0</v>
      </c>
      <c r="Y62" s="216">
        <f t="shared" si="37"/>
        <v>0</v>
      </c>
      <c r="Z62" s="216">
        <f t="shared" si="37"/>
        <v>0</v>
      </c>
    </row>
    <row r="63" spans="2:45" x14ac:dyDescent="0.15">
      <c r="C63" s="216">
        <f t="shared" ref="C63:Z63" si="38">BowlSplit(C10,$B$59)</f>
        <v>0</v>
      </c>
      <c r="D63" s="216">
        <f t="shared" si="38"/>
        <v>0</v>
      </c>
      <c r="E63" s="216">
        <f t="shared" si="38"/>
        <v>0</v>
      </c>
      <c r="F63" s="216">
        <f t="shared" si="38"/>
        <v>0</v>
      </c>
      <c r="G63" s="216">
        <f t="shared" si="38"/>
        <v>0</v>
      </c>
      <c r="H63" s="216">
        <f t="shared" si="33"/>
        <v>0</v>
      </c>
      <c r="I63" s="216">
        <f t="shared" si="33"/>
        <v>0</v>
      </c>
      <c r="J63" s="216">
        <f t="shared" si="38"/>
        <v>0</v>
      </c>
      <c r="K63" s="216">
        <f t="shared" si="38"/>
        <v>0</v>
      </c>
      <c r="L63" s="216">
        <f t="shared" si="38"/>
        <v>0</v>
      </c>
      <c r="M63" s="216">
        <f t="shared" si="38"/>
        <v>0</v>
      </c>
      <c r="N63" s="216">
        <f t="shared" si="38"/>
        <v>0</v>
      </c>
      <c r="O63" s="216">
        <f t="shared" si="38"/>
        <v>0</v>
      </c>
      <c r="P63" s="216">
        <f t="shared" si="38"/>
        <v>0</v>
      </c>
      <c r="Q63" s="216">
        <f t="shared" si="38"/>
        <v>0</v>
      </c>
      <c r="R63" s="216">
        <f t="shared" si="38"/>
        <v>0</v>
      </c>
      <c r="S63" s="216">
        <f t="shared" si="38"/>
        <v>0</v>
      </c>
      <c r="T63" s="216">
        <f t="shared" si="38"/>
        <v>0</v>
      </c>
      <c r="U63" s="216">
        <f t="shared" si="38"/>
        <v>0</v>
      </c>
      <c r="V63" s="216">
        <f t="shared" si="38"/>
        <v>0</v>
      </c>
      <c r="W63" s="216">
        <f t="shared" si="38"/>
        <v>0</v>
      </c>
      <c r="X63" s="216">
        <f t="shared" si="38"/>
        <v>0</v>
      </c>
      <c r="Y63" s="216">
        <f t="shared" si="38"/>
        <v>0</v>
      </c>
      <c r="Z63" s="216">
        <f t="shared" si="38"/>
        <v>0</v>
      </c>
    </row>
    <row r="64" spans="2:45" x14ac:dyDescent="0.15">
      <c r="C64" s="216">
        <f t="shared" ref="C64:Z64" si="39">BowlSplit(C11,$B$59)</f>
        <v>0</v>
      </c>
      <c r="D64" s="216">
        <f t="shared" si="39"/>
        <v>2</v>
      </c>
      <c r="E64" s="216">
        <f t="shared" si="39"/>
        <v>0</v>
      </c>
      <c r="F64" s="216">
        <f t="shared" si="39"/>
        <v>0</v>
      </c>
      <c r="G64" s="216">
        <f t="shared" si="39"/>
        <v>0</v>
      </c>
      <c r="H64" s="216">
        <f t="shared" si="33"/>
        <v>3</v>
      </c>
      <c r="I64" s="216">
        <f t="shared" si="33"/>
        <v>0</v>
      </c>
      <c r="J64" s="216">
        <f t="shared" si="39"/>
        <v>0</v>
      </c>
      <c r="K64" s="216">
        <f t="shared" si="39"/>
        <v>0</v>
      </c>
      <c r="L64" s="216">
        <f t="shared" si="39"/>
        <v>0</v>
      </c>
      <c r="M64" s="216">
        <f t="shared" si="39"/>
        <v>1</v>
      </c>
      <c r="N64" s="216">
        <f t="shared" si="39"/>
        <v>0</v>
      </c>
      <c r="O64" s="216">
        <f t="shared" si="39"/>
        <v>1</v>
      </c>
      <c r="P64" s="216">
        <f t="shared" si="39"/>
        <v>0</v>
      </c>
      <c r="Q64" s="216">
        <f t="shared" si="39"/>
        <v>0</v>
      </c>
      <c r="R64" s="216">
        <f t="shared" si="39"/>
        <v>0</v>
      </c>
      <c r="S64" s="216">
        <f t="shared" si="39"/>
        <v>0</v>
      </c>
      <c r="T64" s="216">
        <f t="shared" si="39"/>
        <v>0</v>
      </c>
      <c r="U64" s="216">
        <f t="shared" si="39"/>
        <v>0</v>
      </c>
      <c r="V64" s="216">
        <f t="shared" si="39"/>
        <v>0</v>
      </c>
      <c r="W64" s="216">
        <f t="shared" si="39"/>
        <v>2</v>
      </c>
      <c r="X64" s="216">
        <f t="shared" si="39"/>
        <v>0</v>
      </c>
      <c r="Y64" s="216">
        <f t="shared" si="39"/>
        <v>0</v>
      </c>
      <c r="Z64" s="216">
        <f t="shared" si="39"/>
        <v>0</v>
      </c>
      <c r="AQ64" s="51">
        <f>6/29</f>
        <v>0.20689655172413793</v>
      </c>
    </row>
    <row r="65" spans="3:43" x14ac:dyDescent="0.15">
      <c r="C65" s="216">
        <f t="shared" ref="C65:Z65" si="40">BowlSplit(C12,$B$59)</f>
        <v>0</v>
      </c>
      <c r="D65" s="216">
        <f t="shared" si="40"/>
        <v>0</v>
      </c>
      <c r="E65" s="216">
        <f t="shared" si="40"/>
        <v>0</v>
      </c>
      <c r="F65" s="216">
        <f t="shared" si="40"/>
        <v>0</v>
      </c>
      <c r="G65" s="216">
        <f t="shared" si="40"/>
        <v>0</v>
      </c>
      <c r="H65" s="216">
        <f t="shared" si="33"/>
        <v>0</v>
      </c>
      <c r="I65" s="216">
        <f t="shared" si="33"/>
        <v>0</v>
      </c>
      <c r="J65" s="216">
        <f t="shared" si="40"/>
        <v>0</v>
      </c>
      <c r="K65" s="216">
        <f t="shared" si="40"/>
        <v>0</v>
      </c>
      <c r="L65" s="216">
        <f t="shared" si="40"/>
        <v>0</v>
      </c>
      <c r="M65" s="216">
        <f t="shared" si="40"/>
        <v>0</v>
      </c>
      <c r="N65" s="216">
        <f t="shared" si="40"/>
        <v>0</v>
      </c>
      <c r="O65" s="216">
        <f t="shared" si="40"/>
        <v>0</v>
      </c>
      <c r="P65" s="216">
        <f t="shared" si="40"/>
        <v>0</v>
      </c>
      <c r="Q65" s="216">
        <f t="shared" si="40"/>
        <v>0</v>
      </c>
      <c r="R65" s="216">
        <f t="shared" si="40"/>
        <v>0</v>
      </c>
      <c r="S65" s="216">
        <f t="shared" si="40"/>
        <v>0</v>
      </c>
      <c r="T65" s="216">
        <f t="shared" si="40"/>
        <v>0</v>
      </c>
      <c r="U65" s="216">
        <f t="shared" si="40"/>
        <v>0</v>
      </c>
      <c r="V65" s="216">
        <f t="shared" si="40"/>
        <v>0</v>
      </c>
      <c r="W65" s="216">
        <f t="shared" si="40"/>
        <v>0</v>
      </c>
      <c r="X65" s="216">
        <f t="shared" si="40"/>
        <v>0</v>
      </c>
      <c r="Y65" s="216">
        <f t="shared" si="40"/>
        <v>0</v>
      </c>
      <c r="Z65" s="216">
        <f t="shared" si="40"/>
        <v>0</v>
      </c>
      <c r="AQ65" s="51">
        <f>9/44</f>
        <v>0.20454545454545456</v>
      </c>
    </row>
    <row r="66" spans="3:43" x14ac:dyDescent="0.15">
      <c r="C66" s="216">
        <f t="shared" ref="C66:Z66" si="41">BowlSplit(C13,$B$59)</f>
        <v>0</v>
      </c>
      <c r="D66" s="216">
        <f t="shared" si="41"/>
        <v>0</v>
      </c>
      <c r="E66" s="216">
        <f t="shared" si="41"/>
        <v>0</v>
      </c>
      <c r="F66" s="216">
        <f t="shared" si="41"/>
        <v>0</v>
      </c>
      <c r="G66" s="216">
        <f t="shared" si="41"/>
        <v>0</v>
      </c>
      <c r="H66" s="216">
        <f t="shared" si="33"/>
        <v>0</v>
      </c>
      <c r="I66" s="216">
        <f t="shared" si="33"/>
        <v>0</v>
      </c>
      <c r="J66" s="216">
        <f t="shared" si="41"/>
        <v>0</v>
      </c>
      <c r="K66" s="216">
        <f t="shared" si="41"/>
        <v>0</v>
      </c>
      <c r="L66" s="216">
        <f t="shared" si="41"/>
        <v>0</v>
      </c>
      <c r="M66" s="216">
        <f t="shared" si="41"/>
        <v>0</v>
      </c>
      <c r="N66" s="216">
        <f t="shared" si="41"/>
        <v>0</v>
      </c>
      <c r="O66" s="216">
        <f t="shared" si="41"/>
        <v>0</v>
      </c>
      <c r="P66" s="216">
        <f t="shared" si="41"/>
        <v>0</v>
      </c>
      <c r="Q66" s="216">
        <f t="shared" si="41"/>
        <v>0</v>
      </c>
      <c r="R66" s="216">
        <f t="shared" si="41"/>
        <v>0</v>
      </c>
      <c r="S66" s="216">
        <f t="shared" si="41"/>
        <v>0</v>
      </c>
      <c r="T66" s="216">
        <f t="shared" si="41"/>
        <v>0</v>
      </c>
      <c r="U66" s="216">
        <f t="shared" si="41"/>
        <v>0</v>
      </c>
      <c r="V66" s="216">
        <f t="shared" si="41"/>
        <v>0</v>
      </c>
      <c r="W66" s="216">
        <f t="shared" si="41"/>
        <v>0</v>
      </c>
      <c r="X66" s="216">
        <f t="shared" si="41"/>
        <v>0</v>
      </c>
      <c r="Y66" s="216">
        <f t="shared" si="41"/>
        <v>0</v>
      </c>
      <c r="Z66" s="216">
        <f t="shared" si="41"/>
        <v>0</v>
      </c>
    </row>
    <row r="67" spans="3:43" x14ac:dyDescent="0.15">
      <c r="C67" s="216">
        <f t="shared" ref="C67:Z67" si="42">BowlSplit(C14,$B$59)</f>
        <v>0</v>
      </c>
      <c r="D67" s="216">
        <f t="shared" si="42"/>
        <v>0</v>
      </c>
      <c r="E67" s="216">
        <f t="shared" si="42"/>
        <v>0</v>
      </c>
      <c r="F67" s="216">
        <f t="shared" si="42"/>
        <v>0</v>
      </c>
      <c r="G67" s="216">
        <f t="shared" si="42"/>
        <v>0</v>
      </c>
      <c r="H67" s="216">
        <f t="shared" si="33"/>
        <v>0</v>
      </c>
      <c r="I67" s="216">
        <f t="shared" si="33"/>
        <v>0</v>
      </c>
      <c r="J67" s="216">
        <f t="shared" si="42"/>
        <v>0</v>
      </c>
      <c r="K67" s="216">
        <f t="shared" si="42"/>
        <v>0</v>
      </c>
      <c r="L67" s="216">
        <f t="shared" si="42"/>
        <v>0</v>
      </c>
      <c r="M67" s="216">
        <f t="shared" si="42"/>
        <v>0</v>
      </c>
      <c r="N67" s="216">
        <f t="shared" si="42"/>
        <v>0</v>
      </c>
      <c r="O67" s="216">
        <f t="shared" si="42"/>
        <v>0</v>
      </c>
      <c r="P67" s="216">
        <f t="shared" si="42"/>
        <v>0</v>
      </c>
      <c r="Q67" s="216">
        <f t="shared" si="42"/>
        <v>0</v>
      </c>
      <c r="R67" s="216">
        <f t="shared" si="42"/>
        <v>0</v>
      </c>
      <c r="S67" s="216">
        <f t="shared" si="42"/>
        <v>0</v>
      </c>
      <c r="T67" s="216">
        <f t="shared" si="42"/>
        <v>0</v>
      </c>
      <c r="U67" s="216">
        <f t="shared" si="42"/>
        <v>0</v>
      </c>
      <c r="V67" s="216">
        <f t="shared" si="42"/>
        <v>0</v>
      </c>
      <c r="W67" s="216">
        <f t="shared" si="42"/>
        <v>0</v>
      </c>
      <c r="X67" s="216">
        <f t="shared" si="42"/>
        <v>0</v>
      </c>
      <c r="Y67" s="216">
        <f t="shared" si="42"/>
        <v>0</v>
      </c>
      <c r="Z67" s="216">
        <f t="shared" si="42"/>
        <v>0</v>
      </c>
    </row>
    <row r="68" spans="3:43" x14ac:dyDescent="0.15">
      <c r="C68" s="216">
        <f t="shared" ref="C68:Z68" si="43">BowlSplit(C16,$B$59)</f>
        <v>0</v>
      </c>
      <c r="D68" s="216">
        <f t="shared" si="43"/>
        <v>0</v>
      </c>
      <c r="E68" s="216">
        <f t="shared" si="43"/>
        <v>0</v>
      </c>
      <c r="F68" s="216">
        <f t="shared" si="43"/>
        <v>0</v>
      </c>
      <c r="G68" s="216">
        <f t="shared" si="43"/>
        <v>0</v>
      </c>
      <c r="H68" s="216">
        <f>BowlSplit(I16,$B$59)</f>
        <v>0</v>
      </c>
      <c r="I68" s="216">
        <f>BowlSplit(J16,$B$59)</f>
        <v>0</v>
      </c>
      <c r="J68" s="216">
        <f t="shared" si="43"/>
        <v>0</v>
      </c>
      <c r="K68" s="216">
        <f t="shared" si="43"/>
        <v>0</v>
      </c>
      <c r="L68" s="216">
        <f t="shared" si="43"/>
        <v>0</v>
      </c>
      <c r="M68" s="216">
        <f t="shared" si="43"/>
        <v>0</v>
      </c>
      <c r="N68" s="216">
        <f t="shared" si="43"/>
        <v>0</v>
      </c>
      <c r="O68" s="216">
        <f t="shared" si="43"/>
        <v>0</v>
      </c>
      <c r="P68" s="216">
        <f t="shared" si="43"/>
        <v>0</v>
      </c>
      <c r="Q68" s="216">
        <f t="shared" si="43"/>
        <v>0</v>
      </c>
      <c r="R68" s="216">
        <f t="shared" si="43"/>
        <v>0</v>
      </c>
      <c r="S68" s="216">
        <f t="shared" si="43"/>
        <v>0</v>
      </c>
      <c r="T68" s="216">
        <f t="shared" si="43"/>
        <v>0</v>
      </c>
      <c r="U68" s="216">
        <f t="shared" si="43"/>
        <v>0</v>
      </c>
      <c r="V68" s="216">
        <f t="shared" si="43"/>
        <v>0</v>
      </c>
      <c r="W68" s="216">
        <f t="shared" si="43"/>
        <v>0</v>
      </c>
      <c r="X68" s="216">
        <f t="shared" si="43"/>
        <v>0</v>
      </c>
      <c r="Y68" s="216">
        <f t="shared" si="43"/>
        <v>0</v>
      </c>
      <c r="Z68" s="216">
        <f t="shared" si="43"/>
        <v>0</v>
      </c>
    </row>
    <row r="69" spans="3:43" x14ac:dyDescent="0.15">
      <c r="C69" s="216">
        <f t="shared" ref="C69:Z69" si="44">BowlSplit(C18,$B$59)</f>
        <v>0</v>
      </c>
      <c r="D69" s="216">
        <f t="shared" si="44"/>
        <v>0</v>
      </c>
      <c r="E69" s="216">
        <f t="shared" si="44"/>
        <v>0</v>
      </c>
      <c r="F69" s="216">
        <f t="shared" si="44"/>
        <v>0</v>
      </c>
      <c r="G69" s="216">
        <f t="shared" si="44"/>
        <v>0</v>
      </c>
      <c r="H69" s="216">
        <f t="shared" ref="H69:I71" si="45">BowlSplit(I18,$B$59)</f>
        <v>0</v>
      </c>
      <c r="I69" s="216">
        <f t="shared" si="45"/>
        <v>0</v>
      </c>
      <c r="J69" s="216">
        <f t="shared" si="44"/>
        <v>0</v>
      </c>
      <c r="K69" s="216">
        <f t="shared" si="44"/>
        <v>0</v>
      </c>
      <c r="L69" s="216">
        <f t="shared" si="44"/>
        <v>0</v>
      </c>
      <c r="M69" s="216">
        <f t="shared" si="44"/>
        <v>0</v>
      </c>
      <c r="N69" s="216">
        <f t="shared" si="44"/>
        <v>0</v>
      </c>
      <c r="O69" s="216">
        <f t="shared" si="44"/>
        <v>0</v>
      </c>
      <c r="P69" s="216">
        <f t="shared" si="44"/>
        <v>0</v>
      </c>
      <c r="Q69" s="216">
        <f t="shared" si="44"/>
        <v>0</v>
      </c>
      <c r="R69" s="216">
        <f t="shared" si="44"/>
        <v>0</v>
      </c>
      <c r="S69" s="216">
        <f t="shared" si="44"/>
        <v>0</v>
      </c>
      <c r="T69" s="216">
        <f t="shared" si="44"/>
        <v>0</v>
      </c>
      <c r="U69" s="216">
        <f t="shared" si="44"/>
        <v>0</v>
      </c>
      <c r="V69" s="216">
        <f t="shared" si="44"/>
        <v>0</v>
      </c>
      <c r="W69" s="216">
        <f t="shared" si="44"/>
        <v>0</v>
      </c>
      <c r="X69" s="216">
        <f t="shared" si="44"/>
        <v>0</v>
      </c>
      <c r="Y69" s="216">
        <f t="shared" si="44"/>
        <v>0</v>
      </c>
      <c r="Z69" s="216">
        <f t="shared" si="44"/>
        <v>0</v>
      </c>
    </row>
    <row r="70" spans="3:43" x14ac:dyDescent="0.15">
      <c r="C70" s="216">
        <f t="shared" ref="C70:Z70" si="46">BowlSplit(C19,$B$59)</f>
        <v>0</v>
      </c>
      <c r="D70" s="216">
        <f t="shared" si="46"/>
        <v>0</v>
      </c>
      <c r="E70" s="216">
        <f t="shared" si="46"/>
        <v>0</v>
      </c>
      <c r="F70" s="216">
        <f t="shared" si="46"/>
        <v>0</v>
      </c>
      <c r="G70" s="216">
        <f t="shared" si="46"/>
        <v>0</v>
      </c>
      <c r="H70" s="216">
        <f t="shared" si="45"/>
        <v>0</v>
      </c>
      <c r="I70" s="216">
        <f t="shared" si="45"/>
        <v>0</v>
      </c>
      <c r="J70" s="216">
        <f t="shared" si="46"/>
        <v>0</v>
      </c>
      <c r="K70" s="216">
        <f t="shared" si="46"/>
        <v>0</v>
      </c>
      <c r="L70" s="216">
        <f t="shared" si="46"/>
        <v>0</v>
      </c>
      <c r="M70" s="216">
        <f t="shared" si="46"/>
        <v>0</v>
      </c>
      <c r="N70" s="216">
        <f t="shared" si="46"/>
        <v>0</v>
      </c>
      <c r="O70" s="216">
        <f t="shared" si="46"/>
        <v>0</v>
      </c>
      <c r="P70" s="216">
        <f t="shared" si="46"/>
        <v>0</v>
      </c>
      <c r="Q70" s="216">
        <f t="shared" si="46"/>
        <v>0</v>
      </c>
      <c r="R70" s="216">
        <f t="shared" si="46"/>
        <v>0</v>
      </c>
      <c r="S70" s="216">
        <f t="shared" si="46"/>
        <v>0</v>
      </c>
      <c r="T70" s="216">
        <f t="shared" si="46"/>
        <v>0</v>
      </c>
      <c r="U70" s="216">
        <f t="shared" si="46"/>
        <v>0</v>
      </c>
      <c r="V70" s="216">
        <f t="shared" si="46"/>
        <v>0</v>
      </c>
      <c r="W70" s="216">
        <f t="shared" si="46"/>
        <v>0</v>
      </c>
      <c r="X70" s="216">
        <f t="shared" si="46"/>
        <v>0</v>
      </c>
      <c r="Y70" s="216">
        <f t="shared" si="46"/>
        <v>0</v>
      </c>
      <c r="Z70" s="216">
        <f t="shared" si="46"/>
        <v>0</v>
      </c>
    </row>
    <row r="71" spans="3:43" x14ac:dyDescent="0.15">
      <c r="C71" s="216">
        <f t="shared" ref="C71:Z71" si="47">BowlSplit(C20,$B$59)</f>
        <v>0</v>
      </c>
      <c r="D71" s="216">
        <f t="shared" si="47"/>
        <v>0</v>
      </c>
      <c r="E71" s="216">
        <f t="shared" si="47"/>
        <v>0</v>
      </c>
      <c r="F71" s="216">
        <f t="shared" si="47"/>
        <v>0</v>
      </c>
      <c r="G71" s="216">
        <f t="shared" si="47"/>
        <v>0</v>
      </c>
      <c r="H71" s="216">
        <f t="shared" si="45"/>
        <v>0</v>
      </c>
      <c r="I71" s="216">
        <f t="shared" si="45"/>
        <v>0</v>
      </c>
      <c r="J71" s="216">
        <f t="shared" si="47"/>
        <v>0</v>
      </c>
      <c r="K71" s="216">
        <f t="shared" si="47"/>
        <v>0</v>
      </c>
      <c r="L71" s="216">
        <f t="shared" si="47"/>
        <v>0</v>
      </c>
      <c r="M71" s="216">
        <f t="shared" si="47"/>
        <v>0</v>
      </c>
      <c r="N71" s="216">
        <f t="shared" si="47"/>
        <v>0</v>
      </c>
      <c r="O71" s="216">
        <f t="shared" si="47"/>
        <v>0</v>
      </c>
      <c r="P71" s="216">
        <f t="shared" si="47"/>
        <v>0</v>
      </c>
      <c r="Q71" s="216">
        <f t="shared" si="47"/>
        <v>0</v>
      </c>
      <c r="R71" s="216">
        <f t="shared" si="47"/>
        <v>0</v>
      </c>
      <c r="S71" s="216">
        <f t="shared" si="47"/>
        <v>0</v>
      </c>
      <c r="T71" s="216">
        <f t="shared" si="47"/>
        <v>0</v>
      </c>
      <c r="U71" s="216">
        <f t="shared" si="47"/>
        <v>0</v>
      </c>
      <c r="V71" s="216">
        <f t="shared" si="47"/>
        <v>0</v>
      </c>
      <c r="W71" s="216">
        <f t="shared" si="47"/>
        <v>0</v>
      </c>
      <c r="X71" s="216">
        <f t="shared" si="47"/>
        <v>0</v>
      </c>
      <c r="Y71" s="216">
        <f t="shared" si="47"/>
        <v>0</v>
      </c>
      <c r="Z71" s="216">
        <f t="shared" si="47"/>
        <v>0</v>
      </c>
    </row>
    <row r="72" spans="3:43" x14ac:dyDescent="0.15">
      <c r="C72" s="216">
        <f t="shared" ref="C72:Z72" si="48">BowlSplit(C22,$B$59)</f>
        <v>2</v>
      </c>
      <c r="D72" s="216">
        <f t="shared" si="48"/>
        <v>0</v>
      </c>
      <c r="E72" s="216">
        <f t="shared" si="48"/>
        <v>0</v>
      </c>
      <c r="F72" s="216">
        <f t="shared" si="48"/>
        <v>0</v>
      </c>
      <c r="G72" s="216">
        <f t="shared" si="48"/>
        <v>0</v>
      </c>
      <c r="H72" s="216">
        <f t="shared" ref="H72:I77" si="49">BowlSplit(I22,$B$59)</f>
        <v>0</v>
      </c>
      <c r="I72" s="216">
        <f t="shared" si="49"/>
        <v>0</v>
      </c>
      <c r="J72" s="216">
        <f t="shared" si="48"/>
        <v>0</v>
      </c>
      <c r="K72" s="216">
        <f t="shared" si="48"/>
        <v>2</v>
      </c>
      <c r="L72" s="216">
        <f t="shared" si="48"/>
        <v>3</v>
      </c>
      <c r="M72" s="216">
        <f t="shared" si="48"/>
        <v>1</v>
      </c>
      <c r="N72" s="216">
        <f t="shared" si="48"/>
        <v>0</v>
      </c>
      <c r="O72" s="216">
        <f t="shared" si="48"/>
        <v>0</v>
      </c>
      <c r="P72" s="216">
        <f t="shared" si="48"/>
        <v>0</v>
      </c>
      <c r="Q72" s="216">
        <f t="shared" si="48"/>
        <v>0</v>
      </c>
      <c r="R72" s="216">
        <f t="shared" si="48"/>
        <v>1</v>
      </c>
      <c r="S72" s="216">
        <f t="shared" si="48"/>
        <v>0</v>
      </c>
      <c r="T72" s="216">
        <f t="shared" si="48"/>
        <v>2</v>
      </c>
      <c r="U72" s="216">
        <f t="shared" si="48"/>
        <v>0</v>
      </c>
      <c r="V72" s="216">
        <f t="shared" si="48"/>
        <v>0</v>
      </c>
      <c r="W72" s="216">
        <f t="shared" si="48"/>
        <v>0</v>
      </c>
      <c r="X72" s="216">
        <f t="shared" si="48"/>
        <v>0</v>
      </c>
      <c r="Y72" s="216">
        <f t="shared" si="48"/>
        <v>0</v>
      </c>
      <c r="Z72" s="216">
        <f t="shared" si="48"/>
        <v>0</v>
      </c>
    </row>
    <row r="73" spans="3:43" x14ac:dyDescent="0.15">
      <c r="C73" s="216">
        <f t="shared" ref="C73:Z73" si="50">BowlSplit(C23,$B$59)</f>
        <v>0</v>
      </c>
      <c r="D73" s="216">
        <f t="shared" si="50"/>
        <v>0</v>
      </c>
      <c r="E73" s="216">
        <f t="shared" si="50"/>
        <v>0</v>
      </c>
      <c r="F73" s="216">
        <f t="shared" si="50"/>
        <v>2</v>
      </c>
      <c r="G73" s="216">
        <f t="shared" si="50"/>
        <v>1</v>
      </c>
      <c r="H73" s="216">
        <f t="shared" si="49"/>
        <v>1</v>
      </c>
      <c r="I73" s="216">
        <f t="shared" si="49"/>
        <v>0</v>
      </c>
      <c r="J73" s="216">
        <f t="shared" si="50"/>
        <v>0</v>
      </c>
      <c r="K73" s="216">
        <f t="shared" si="50"/>
        <v>1</v>
      </c>
      <c r="L73" s="216">
        <f t="shared" si="50"/>
        <v>0</v>
      </c>
      <c r="M73" s="216">
        <f t="shared" si="50"/>
        <v>0</v>
      </c>
      <c r="N73" s="216">
        <f t="shared" si="50"/>
        <v>0</v>
      </c>
      <c r="O73" s="216">
        <f t="shared" si="50"/>
        <v>1</v>
      </c>
      <c r="P73" s="216">
        <f t="shared" si="50"/>
        <v>0</v>
      </c>
      <c r="Q73" s="216">
        <f t="shared" si="50"/>
        <v>0</v>
      </c>
      <c r="R73" s="216">
        <f t="shared" si="50"/>
        <v>2</v>
      </c>
      <c r="S73" s="216">
        <f t="shared" si="50"/>
        <v>0</v>
      </c>
      <c r="T73" s="216">
        <f t="shared" si="50"/>
        <v>0</v>
      </c>
      <c r="U73" s="216">
        <f t="shared" si="50"/>
        <v>0</v>
      </c>
      <c r="V73" s="216">
        <f t="shared" si="50"/>
        <v>0</v>
      </c>
      <c r="W73" s="216">
        <f t="shared" si="50"/>
        <v>0</v>
      </c>
      <c r="X73" s="216">
        <f t="shared" si="50"/>
        <v>0</v>
      </c>
      <c r="Y73" s="216">
        <f t="shared" si="50"/>
        <v>0</v>
      </c>
      <c r="Z73" s="216">
        <f t="shared" si="50"/>
        <v>0</v>
      </c>
    </row>
    <row r="74" spans="3:43" x14ac:dyDescent="0.15">
      <c r="C74" s="216">
        <f t="shared" ref="C74:Z74" si="51">BowlSplit(C24,$B$59)</f>
        <v>0</v>
      </c>
      <c r="D74" s="216">
        <f t="shared" si="51"/>
        <v>0</v>
      </c>
      <c r="E74" s="216">
        <f t="shared" si="51"/>
        <v>0</v>
      </c>
      <c r="F74" s="216">
        <f t="shared" si="51"/>
        <v>0</v>
      </c>
      <c r="G74" s="216">
        <f t="shared" si="51"/>
        <v>0</v>
      </c>
      <c r="H74" s="216">
        <f t="shared" si="49"/>
        <v>0</v>
      </c>
      <c r="I74" s="216">
        <f t="shared" si="49"/>
        <v>0</v>
      </c>
      <c r="J74" s="216">
        <f t="shared" si="51"/>
        <v>0</v>
      </c>
      <c r="K74" s="216">
        <f t="shared" si="51"/>
        <v>0</v>
      </c>
      <c r="L74" s="216">
        <f t="shared" si="51"/>
        <v>0</v>
      </c>
      <c r="M74" s="216">
        <f t="shared" si="51"/>
        <v>0</v>
      </c>
      <c r="N74" s="216">
        <f t="shared" si="51"/>
        <v>0</v>
      </c>
      <c r="O74" s="216">
        <f t="shared" si="51"/>
        <v>2</v>
      </c>
      <c r="P74" s="216">
        <f t="shared" si="51"/>
        <v>0</v>
      </c>
      <c r="Q74" s="216">
        <f t="shared" si="51"/>
        <v>0</v>
      </c>
      <c r="R74" s="216">
        <f t="shared" si="51"/>
        <v>0</v>
      </c>
      <c r="S74" s="216">
        <f t="shared" si="51"/>
        <v>0</v>
      </c>
      <c r="T74" s="216">
        <f t="shared" si="51"/>
        <v>0</v>
      </c>
      <c r="U74" s="216">
        <f t="shared" si="51"/>
        <v>0</v>
      </c>
      <c r="V74" s="216">
        <f t="shared" si="51"/>
        <v>0</v>
      </c>
      <c r="W74" s="216">
        <f t="shared" si="51"/>
        <v>0</v>
      </c>
      <c r="X74" s="216">
        <f t="shared" si="51"/>
        <v>0</v>
      </c>
      <c r="Y74" s="216">
        <f t="shared" si="51"/>
        <v>0</v>
      </c>
      <c r="Z74" s="216">
        <f t="shared" si="51"/>
        <v>0</v>
      </c>
    </row>
    <row r="75" spans="3:43" x14ac:dyDescent="0.15">
      <c r="C75" s="216">
        <f t="shared" ref="C75:Z75" si="52">BowlSplit(C25,$B$59)</f>
        <v>2</v>
      </c>
      <c r="D75" s="216">
        <f t="shared" si="52"/>
        <v>0</v>
      </c>
      <c r="E75" s="216">
        <f t="shared" si="52"/>
        <v>2</v>
      </c>
      <c r="F75" s="216">
        <f t="shared" si="52"/>
        <v>2</v>
      </c>
      <c r="G75" s="216">
        <f t="shared" si="52"/>
        <v>3</v>
      </c>
      <c r="H75" s="216">
        <f t="shared" si="49"/>
        <v>1</v>
      </c>
      <c r="I75" s="216">
        <f t="shared" si="49"/>
        <v>0</v>
      </c>
      <c r="J75" s="216">
        <f t="shared" si="52"/>
        <v>0</v>
      </c>
      <c r="K75" s="216">
        <f t="shared" si="52"/>
        <v>0</v>
      </c>
      <c r="L75" s="216">
        <f t="shared" si="52"/>
        <v>4</v>
      </c>
      <c r="M75" s="216">
        <f t="shared" si="52"/>
        <v>2</v>
      </c>
      <c r="N75" s="216">
        <f t="shared" si="52"/>
        <v>3</v>
      </c>
      <c r="O75" s="216">
        <f t="shared" si="52"/>
        <v>0</v>
      </c>
      <c r="P75" s="216">
        <f t="shared" si="52"/>
        <v>1</v>
      </c>
      <c r="Q75" s="216">
        <f t="shared" si="52"/>
        <v>1</v>
      </c>
      <c r="R75" s="216">
        <f t="shared" si="52"/>
        <v>0</v>
      </c>
      <c r="S75" s="216">
        <f t="shared" si="52"/>
        <v>0</v>
      </c>
      <c r="T75" s="216">
        <f t="shared" si="52"/>
        <v>0</v>
      </c>
      <c r="U75" s="216">
        <f t="shared" si="52"/>
        <v>0</v>
      </c>
      <c r="V75" s="216">
        <f t="shared" si="52"/>
        <v>1</v>
      </c>
      <c r="W75" s="216">
        <f t="shared" si="52"/>
        <v>0</v>
      </c>
      <c r="X75" s="216">
        <f t="shared" si="52"/>
        <v>0</v>
      </c>
      <c r="Y75" s="216">
        <f t="shared" si="52"/>
        <v>0</v>
      </c>
      <c r="Z75" s="216">
        <f t="shared" si="52"/>
        <v>0</v>
      </c>
    </row>
    <row r="76" spans="3:43" x14ac:dyDescent="0.15">
      <c r="C76" s="216">
        <f t="shared" ref="C76:Z76" si="53">BowlSplit(C26,$B$59)</f>
        <v>0</v>
      </c>
      <c r="D76" s="216">
        <f t="shared" si="53"/>
        <v>0</v>
      </c>
      <c r="E76" s="216">
        <f t="shared" si="53"/>
        <v>0</v>
      </c>
      <c r="F76" s="216">
        <f t="shared" si="53"/>
        <v>0</v>
      </c>
      <c r="G76" s="216">
        <f t="shared" si="53"/>
        <v>0</v>
      </c>
      <c r="H76" s="216">
        <f t="shared" si="49"/>
        <v>0</v>
      </c>
      <c r="I76" s="216">
        <f t="shared" si="49"/>
        <v>0</v>
      </c>
      <c r="J76" s="216">
        <f t="shared" si="53"/>
        <v>0</v>
      </c>
      <c r="K76" s="216">
        <f t="shared" si="53"/>
        <v>0</v>
      </c>
      <c r="L76" s="216">
        <f t="shared" si="53"/>
        <v>0</v>
      </c>
      <c r="M76" s="216">
        <f t="shared" si="53"/>
        <v>0</v>
      </c>
      <c r="N76" s="216">
        <f t="shared" si="53"/>
        <v>0</v>
      </c>
      <c r="O76" s="216">
        <f t="shared" si="53"/>
        <v>0</v>
      </c>
      <c r="P76" s="216">
        <f t="shared" si="53"/>
        <v>0</v>
      </c>
      <c r="Q76" s="216">
        <f t="shared" si="53"/>
        <v>0</v>
      </c>
      <c r="R76" s="216">
        <f t="shared" si="53"/>
        <v>0</v>
      </c>
      <c r="S76" s="216">
        <f t="shared" si="53"/>
        <v>0</v>
      </c>
      <c r="T76" s="216">
        <f t="shared" si="53"/>
        <v>0</v>
      </c>
      <c r="U76" s="216">
        <f t="shared" si="53"/>
        <v>0</v>
      </c>
      <c r="V76" s="216">
        <f t="shared" si="53"/>
        <v>0</v>
      </c>
      <c r="W76" s="216">
        <f t="shared" si="53"/>
        <v>0</v>
      </c>
      <c r="X76" s="216">
        <f t="shared" si="53"/>
        <v>0</v>
      </c>
      <c r="Y76" s="216">
        <f t="shared" si="53"/>
        <v>0</v>
      </c>
      <c r="Z76" s="216">
        <f t="shared" si="53"/>
        <v>0</v>
      </c>
    </row>
    <row r="77" spans="3:43" x14ac:dyDescent="0.15">
      <c r="C77" s="216">
        <f t="shared" ref="C77:Z77" si="54">BowlSplit(C27,$B$59)</f>
        <v>0</v>
      </c>
      <c r="D77" s="216">
        <f t="shared" si="54"/>
        <v>0</v>
      </c>
      <c r="E77" s="216">
        <f t="shared" si="54"/>
        <v>0</v>
      </c>
      <c r="F77" s="216">
        <f t="shared" si="54"/>
        <v>0</v>
      </c>
      <c r="G77" s="216">
        <f t="shared" si="54"/>
        <v>0</v>
      </c>
      <c r="H77" s="216">
        <f t="shared" si="49"/>
        <v>0</v>
      </c>
      <c r="I77" s="216">
        <f t="shared" si="49"/>
        <v>0</v>
      </c>
      <c r="J77" s="216">
        <f t="shared" si="54"/>
        <v>0</v>
      </c>
      <c r="K77" s="216">
        <f t="shared" si="54"/>
        <v>0</v>
      </c>
      <c r="L77" s="216">
        <f t="shared" si="54"/>
        <v>0</v>
      </c>
      <c r="M77" s="216">
        <f t="shared" si="54"/>
        <v>0</v>
      </c>
      <c r="N77" s="216">
        <f t="shared" si="54"/>
        <v>0</v>
      </c>
      <c r="O77" s="216">
        <f t="shared" si="54"/>
        <v>0</v>
      </c>
      <c r="P77" s="216">
        <f t="shared" si="54"/>
        <v>0</v>
      </c>
      <c r="Q77" s="216">
        <f t="shared" si="54"/>
        <v>0</v>
      </c>
      <c r="R77" s="216">
        <f t="shared" si="54"/>
        <v>0</v>
      </c>
      <c r="S77" s="216">
        <f t="shared" si="54"/>
        <v>0</v>
      </c>
      <c r="T77" s="216">
        <f t="shared" si="54"/>
        <v>0</v>
      </c>
      <c r="U77" s="216">
        <f t="shared" si="54"/>
        <v>0</v>
      </c>
      <c r="V77" s="216">
        <f t="shared" si="54"/>
        <v>2</v>
      </c>
      <c r="W77" s="216">
        <f t="shared" si="54"/>
        <v>0</v>
      </c>
      <c r="X77" s="216">
        <f t="shared" si="54"/>
        <v>0</v>
      </c>
      <c r="Y77" s="216">
        <f t="shared" si="54"/>
        <v>0</v>
      </c>
      <c r="Z77" s="216">
        <f t="shared" si="54"/>
        <v>0</v>
      </c>
    </row>
    <row r="78" spans="3:43" x14ac:dyDescent="0.15">
      <c r="C78" s="216">
        <f t="shared" ref="C78:Z78" si="55">BowlSplit(C32,$B$59)</f>
        <v>0</v>
      </c>
      <c r="D78" s="216">
        <f t="shared" si="55"/>
        <v>0</v>
      </c>
      <c r="E78" s="216">
        <f t="shared" si="55"/>
        <v>0</v>
      </c>
      <c r="F78" s="216">
        <f t="shared" si="55"/>
        <v>0</v>
      </c>
      <c r="G78" s="216">
        <f t="shared" si="55"/>
        <v>0</v>
      </c>
      <c r="H78" s="216">
        <f t="shared" ref="H78:I82" si="56">BowlSplit(I32,$B$59)</f>
        <v>0</v>
      </c>
      <c r="I78" s="216">
        <f t="shared" si="56"/>
        <v>0</v>
      </c>
      <c r="J78" s="216">
        <f t="shared" si="55"/>
        <v>0</v>
      </c>
      <c r="K78" s="216">
        <f t="shared" si="55"/>
        <v>1</v>
      </c>
      <c r="L78" s="216">
        <f t="shared" si="55"/>
        <v>0</v>
      </c>
      <c r="M78" s="216">
        <f t="shared" si="55"/>
        <v>0</v>
      </c>
      <c r="N78" s="216">
        <f t="shared" si="55"/>
        <v>3</v>
      </c>
      <c r="O78" s="216">
        <f t="shared" si="55"/>
        <v>0</v>
      </c>
      <c r="P78" s="216">
        <f t="shared" si="55"/>
        <v>0</v>
      </c>
      <c r="Q78" s="216">
        <f t="shared" si="55"/>
        <v>1</v>
      </c>
      <c r="R78" s="216">
        <f t="shared" si="55"/>
        <v>0</v>
      </c>
      <c r="S78" s="216">
        <f t="shared" si="55"/>
        <v>3</v>
      </c>
      <c r="T78" s="216">
        <f t="shared" si="55"/>
        <v>0</v>
      </c>
      <c r="U78" s="216">
        <f t="shared" si="55"/>
        <v>0</v>
      </c>
      <c r="V78" s="216">
        <f t="shared" si="55"/>
        <v>0</v>
      </c>
      <c r="W78" s="216">
        <f t="shared" si="55"/>
        <v>0</v>
      </c>
      <c r="X78" s="216">
        <f t="shared" si="55"/>
        <v>0</v>
      </c>
      <c r="Y78" s="216">
        <f t="shared" si="55"/>
        <v>0</v>
      </c>
      <c r="Z78" s="216">
        <f t="shared" si="55"/>
        <v>0</v>
      </c>
    </row>
    <row r="79" spans="3:43" x14ac:dyDescent="0.15">
      <c r="C79" s="216">
        <f t="shared" ref="C79:Z79" si="57">BowlSplit(C33,$B$59)</f>
        <v>0</v>
      </c>
      <c r="D79" s="216">
        <f t="shared" si="57"/>
        <v>0</v>
      </c>
      <c r="E79" s="216">
        <f t="shared" si="57"/>
        <v>0</v>
      </c>
      <c r="F79" s="216">
        <f t="shared" si="57"/>
        <v>0</v>
      </c>
      <c r="G79" s="216">
        <f t="shared" si="57"/>
        <v>0</v>
      </c>
      <c r="H79" s="216">
        <f t="shared" si="56"/>
        <v>0</v>
      </c>
      <c r="I79" s="216">
        <f t="shared" si="56"/>
        <v>0</v>
      </c>
      <c r="J79" s="216">
        <f t="shared" si="57"/>
        <v>0</v>
      </c>
      <c r="K79" s="216">
        <f t="shared" si="57"/>
        <v>0</v>
      </c>
      <c r="L79" s="216">
        <f t="shared" si="57"/>
        <v>0</v>
      </c>
      <c r="M79" s="216">
        <f t="shared" si="57"/>
        <v>0</v>
      </c>
      <c r="N79" s="216">
        <f t="shared" si="57"/>
        <v>0</v>
      </c>
      <c r="O79" s="216">
        <f t="shared" si="57"/>
        <v>0</v>
      </c>
      <c r="P79" s="216">
        <f t="shared" si="57"/>
        <v>0</v>
      </c>
      <c r="Q79" s="216">
        <f t="shared" si="57"/>
        <v>0</v>
      </c>
      <c r="R79" s="216">
        <f t="shared" si="57"/>
        <v>0</v>
      </c>
      <c r="S79" s="216">
        <f t="shared" si="57"/>
        <v>0</v>
      </c>
      <c r="T79" s="216">
        <f t="shared" si="57"/>
        <v>0</v>
      </c>
      <c r="U79" s="216">
        <f t="shared" si="57"/>
        <v>0</v>
      </c>
      <c r="V79" s="216">
        <f t="shared" si="57"/>
        <v>0</v>
      </c>
      <c r="W79" s="216">
        <f t="shared" si="57"/>
        <v>0</v>
      </c>
      <c r="X79" s="216">
        <f t="shared" si="57"/>
        <v>0</v>
      </c>
      <c r="Y79" s="216">
        <f t="shared" si="57"/>
        <v>0</v>
      </c>
      <c r="Z79" s="216">
        <f t="shared" si="57"/>
        <v>0</v>
      </c>
    </row>
    <row r="80" spans="3:43" x14ac:dyDescent="0.15">
      <c r="C80" s="216">
        <f t="shared" ref="C80:Z80" si="58">BowlSplit(C34,$B$59)</f>
        <v>0</v>
      </c>
      <c r="D80" s="216">
        <f t="shared" si="58"/>
        <v>0</v>
      </c>
      <c r="E80" s="216">
        <f t="shared" si="58"/>
        <v>1</v>
      </c>
      <c r="F80" s="216">
        <f t="shared" si="58"/>
        <v>0</v>
      </c>
      <c r="G80" s="216">
        <f t="shared" si="58"/>
        <v>2</v>
      </c>
      <c r="H80" s="216">
        <f t="shared" si="56"/>
        <v>0</v>
      </c>
      <c r="I80" s="216">
        <f t="shared" si="56"/>
        <v>4</v>
      </c>
      <c r="J80" s="216">
        <f t="shared" si="58"/>
        <v>4</v>
      </c>
      <c r="K80" s="216">
        <f t="shared" si="58"/>
        <v>0</v>
      </c>
      <c r="L80" s="216">
        <f t="shared" si="58"/>
        <v>0</v>
      </c>
      <c r="M80" s="216">
        <f t="shared" si="58"/>
        <v>0</v>
      </c>
      <c r="N80" s="216">
        <f t="shared" si="58"/>
        <v>0</v>
      </c>
      <c r="O80" s="216">
        <f t="shared" si="58"/>
        <v>0</v>
      </c>
      <c r="P80" s="216">
        <f t="shared" si="58"/>
        <v>0</v>
      </c>
      <c r="Q80" s="216">
        <f t="shared" si="58"/>
        <v>0</v>
      </c>
      <c r="R80" s="216">
        <f t="shared" si="58"/>
        <v>2</v>
      </c>
      <c r="S80" s="216">
        <f t="shared" si="58"/>
        <v>0</v>
      </c>
      <c r="T80" s="216">
        <f t="shared" si="58"/>
        <v>0</v>
      </c>
      <c r="U80" s="216">
        <f t="shared" si="58"/>
        <v>0</v>
      </c>
      <c r="V80" s="216">
        <f t="shared" si="58"/>
        <v>0</v>
      </c>
      <c r="W80" s="216">
        <f t="shared" si="58"/>
        <v>0</v>
      </c>
      <c r="X80" s="216">
        <f t="shared" si="58"/>
        <v>0</v>
      </c>
      <c r="Y80" s="216">
        <f t="shared" si="58"/>
        <v>0</v>
      </c>
      <c r="Z80" s="216">
        <f t="shared" si="58"/>
        <v>0</v>
      </c>
    </row>
    <row r="81" spans="3:26" x14ac:dyDescent="0.15">
      <c r="C81" s="216">
        <f t="shared" ref="C81:Z81" si="59">BowlSplit(C35,$B$59)</f>
        <v>0</v>
      </c>
      <c r="D81" s="216">
        <f t="shared" si="59"/>
        <v>0</v>
      </c>
      <c r="E81" s="216">
        <f t="shared" si="59"/>
        <v>0</v>
      </c>
      <c r="F81" s="216">
        <f t="shared" si="59"/>
        <v>0</v>
      </c>
      <c r="G81" s="216">
        <f t="shared" si="59"/>
        <v>0</v>
      </c>
      <c r="H81" s="216">
        <f t="shared" si="56"/>
        <v>0</v>
      </c>
      <c r="I81" s="216">
        <f t="shared" si="56"/>
        <v>0</v>
      </c>
      <c r="J81" s="216">
        <f t="shared" si="59"/>
        <v>0</v>
      </c>
      <c r="K81" s="216">
        <f t="shared" si="59"/>
        <v>0</v>
      </c>
      <c r="L81" s="216">
        <f t="shared" si="59"/>
        <v>0</v>
      </c>
      <c r="M81" s="216">
        <f t="shared" si="59"/>
        <v>0</v>
      </c>
      <c r="N81" s="216">
        <f t="shared" si="59"/>
        <v>0</v>
      </c>
      <c r="O81" s="216">
        <f t="shared" si="59"/>
        <v>0</v>
      </c>
      <c r="P81" s="216">
        <f t="shared" si="59"/>
        <v>0</v>
      </c>
      <c r="Q81" s="216">
        <f t="shared" si="59"/>
        <v>0</v>
      </c>
      <c r="R81" s="216">
        <f t="shared" si="59"/>
        <v>0</v>
      </c>
      <c r="S81" s="216">
        <f t="shared" si="59"/>
        <v>0</v>
      </c>
      <c r="T81" s="216">
        <f t="shared" si="59"/>
        <v>0</v>
      </c>
      <c r="U81" s="216">
        <f t="shared" si="59"/>
        <v>0</v>
      </c>
      <c r="V81" s="216">
        <f t="shared" si="59"/>
        <v>0</v>
      </c>
      <c r="W81" s="216">
        <f t="shared" si="59"/>
        <v>0</v>
      </c>
      <c r="X81" s="216">
        <f t="shared" si="59"/>
        <v>0</v>
      </c>
      <c r="Y81" s="216">
        <f t="shared" si="59"/>
        <v>0</v>
      </c>
      <c r="Z81" s="216">
        <f t="shared" si="59"/>
        <v>0</v>
      </c>
    </row>
    <row r="82" spans="3:26" x14ac:dyDescent="0.15">
      <c r="C82" s="216">
        <f t="shared" ref="C82:Z82" si="60">BowlSplit(C36,$B$59)</f>
        <v>0</v>
      </c>
      <c r="D82" s="216">
        <f t="shared" si="60"/>
        <v>1</v>
      </c>
      <c r="E82" s="216">
        <f t="shared" si="60"/>
        <v>0</v>
      </c>
      <c r="F82" s="216">
        <f t="shared" si="60"/>
        <v>0</v>
      </c>
      <c r="G82" s="216">
        <f t="shared" si="60"/>
        <v>1</v>
      </c>
      <c r="H82" s="216">
        <f t="shared" si="56"/>
        <v>0</v>
      </c>
      <c r="I82" s="216">
        <f t="shared" si="56"/>
        <v>2</v>
      </c>
      <c r="J82" s="216">
        <f t="shared" si="60"/>
        <v>2</v>
      </c>
      <c r="K82" s="216">
        <f t="shared" si="60"/>
        <v>0</v>
      </c>
      <c r="L82" s="216">
        <f t="shared" si="60"/>
        <v>0</v>
      </c>
      <c r="M82" s="216">
        <f t="shared" si="60"/>
        <v>0</v>
      </c>
      <c r="N82" s="216">
        <f t="shared" si="60"/>
        <v>0</v>
      </c>
      <c r="O82" s="216">
        <f t="shared" si="60"/>
        <v>1</v>
      </c>
      <c r="P82" s="216">
        <f t="shared" si="60"/>
        <v>1</v>
      </c>
      <c r="Q82" s="216">
        <f t="shared" si="60"/>
        <v>2</v>
      </c>
      <c r="R82" s="216">
        <f t="shared" si="60"/>
        <v>0</v>
      </c>
      <c r="S82" s="216">
        <f t="shared" si="60"/>
        <v>2</v>
      </c>
      <c r="T82" s="216">
        <f t="shared" si="60"/>
        <v>2</v>
      </c>
      <c r="U82" s="216">
        <f t="shared" si="60"/>
        <v>0</v>
      </c>
      <c r="V82" s="216">
        <f t="shared" si="60"/>
        <v>0</v>
      </c>
      <c r="W82" s="216">
        <f t="shared" si="60"/>
        <v>0</v>
      </c>
      <c r="X82" s="216">
        <f t="shared" si="60"/>
        <v>0</v>
      </c>
      <c r="Y82" s="216">
        <f t="shared" si="60"/>
        <v>0</v>
      </c>
      <c r="Z82" s="216">
        <f t="shared" si="60"/>
        <v>0</v>
      </c>
    </row>
    <row r="83" spans="3:26" x14ac:dyDescent="0.15">
      <c r="C83" s="216">
        <f t="shared" ref="C83:Z83" si="61">BowlSplit(C38,$B$59)</f>
        <v>0</v>
      </c>
      <c r="D83" s="216">
        <f t="shared" si="61"/>
        <v>0</v>
      </c>
      <c r="E83" s="216">
        <f t="shared" si="61"/>
        <v>0</v>
      </c>
      <c r="F83" s="216">
        <f t="shared" si="61"/>
        <v>0</v>
      </c>
      <c r="G83" s="216">
        <f t="shared" si="61"/>
        <v>0</v>
      </c>
      <c r="H83" s="216">
        <f t="shared" ref="H83:I89" si="62">BowlSplit(I38,$B$59)</f>
        <v>0</v>
      </c>
      <c r="I83" s="216">
        <f t="shared" si="62"/>
        <v>0</v>
      </c>
      <c r="J83" s="216">
        <f t="shared" si="61"/>
        <v>0</v>
      </c>
      <c r="K83" s="216">
        <f t="shared" si="61"/>
        <v>0</v>
      </c>
      <c r="L83" s="216">
        <f t="shared" si="61"/>
        <v>0</v>
      </c>
      <c r="M83" s="216">
        <f t="shared" si="61"/>
        <v>0</v>
      </c>
      <c r="N83" s="216">
        <f t="shared" si="61"/>
        <v>0</v>
      </c>
      <c r="O83" s="216">
        <f t="shared" si="61"/>
        <v>0</v>
      </c>
      <c r="P83" s="216">
        <f t="shared" si="61"/>
        <v>0</v>
      </c>
      <c r="Q83" s="216">
        <f t="shared" si="61"/>
        <v>0</v>
      </c>
      <c r="R83" s="216">
        <f t="shared" si="61"/>
        <v>0</v>
      </c>
      <c r="S83" s="216">
        <f t="shared" si="61"/>
        <v>0</v>
      </c>
      <c r="T83" s="216">
        <f t="shared" si="61"/>
        <v>0</v>
      </c>
      <c r="U83" s="216">
        <f t="shared" si="61"/>
        <v>0</v>
      </c>
      <c r="V83" s="216">
        <f t="shared" si="61"/>
        <v>0</v>
      </c>
      <c r="W83" s="216">
        <f t="shared" si="61"/>
        <v>0</v>
      </c>
      <c r="X83" s="216">
        <f t="shared" si="61"/>
        <v>0</v>
      </c>
      <c r="Y83" s="216">
        <f t="shared" si="61"/>
        <v>0</v>
      </c>
      <c r="Z83" s="216">
        <f t="shared" si="61"/>
        <v>0</v>
      </c>
    </row>
    <row r="84" spans="3:26" x14ac:dyDescent="0.15">
      <c r="C84" s="216">
        <f t="shared" ref="C84:Z84" si="63">BowlSplit(C39,$B$59)</f>
        <v>0</v>
      </c>
      <c r="D84" s="216">
        <f t="shared" si="63"/>
        <v>0</v>
      </c>
      <c r="E84" s="216">
        <f t="shared" si="63"/>
        <v>0</v>
      </c>
      <c r="F84" s="216">
        <f t="shared" si="63"/>
        <v>0</v>
      </c>
      <c r="G84" s="216">
        <f t="shared" si="63"/>
        <v>0</v>
      </c>
      <c r="H84" s="216">
        <f t="shared" si="62"/>
        <v>0</v>
      </c>
      <c r="I84" s="216">
        <f t="shared" si="62"/>
        <v>0</v>
      </c>
      <c r="J84" s="216">
        <f t="shared" si="63"/>
        <v>0</v>
      </c>
      <c r="K84" s="216">
        <f t="shared" si="63"/>
        <v>0</v>
      </c>
      <c r="L84" s="216">
        <f t="shared" si="63"/>
        <v>0</v>
      </c>
      <c r="M84" s="216">
        <f t="shared" si="63"/>
        <v>0</v>
      </c>
      <c r="N84" s="216">
        <f t="shared" si="63"/>
        <v>0</v>
      </c>
      <c r="O84" s="216">
        <f t="shared" si="63"/>
        <v>0</v>
      </c>
      <c r="P84" s="216">
        <f t="shared" si="63"/>
        <v>0</v>
      </c>
      <c r="Q84" s="216">
        <f t="shared" si="63"/>
        <v>0</v>
      </c>
      <c r="R84" s="216">
        <f t="shared" si="63"/>
        <v>0</v>
      </c>
      <c r="S84" s="216">
        <f t="shared" si="63"/>
        <v>0</v>
      </c>
      <c r="T84" s="216">
        <f t="shared" si="63"/>
        <v>0</v>
      </c>
      <c r="U84" s="216">
        <f t="shared" si="63"/>
        <v>0</v>
      </c>
      <c r="V84" s="216">
        <f t="shared" si="63"/>
        <v>0</v>
      </c>
      <c r="W84" s="216">
        <f t="shared" si="63"/>
        <v>0</v>
      </c>
      <c r="X84" s="216">
        <f t="shared" si="63"/>
        <v>0</v>
      </c>
      <c r="Y84" s="216">
        <f t="shared" si="63"/>
        <v>0</v>
      </c>
      <c r="Z84" s="216">
        <f t="shared" si="63"/>
        <v>0</v>
      </c>
    </row>
    <row r="85" spans="3:26" x14ac:dyDescent="0.15">
      <c r="C85" s="216">
        <f t="shared" ref="C85:Z85" si="64">BowlSplit(C40,$B$59)</f>
        <v>0</v>
      </c>
      <c r="D85" s="216">
        <f t="shared" si="64"/>
        <v>0</v>
      </c>
      <c r="E85" s="216">
        <f t="shared" si="64"/>
        <v>0</v>
      </c>
      <c r="F85" s="216">
        <f t="shared" si="64"/>
        <v>0</v>
      </c>
      <c r="G85" s="216">
        <f t="shared" si="64"/>
        <v>0</v>
      </c>
      <c r="H85" s="216">
        <f t="shared" si="62"/>
        <v>0</v>
      </c>
      <c r="I85" s="216">
        <f t="shared" si="62"/>
        <v>0</v>
      </c>
      <c r="J85" s="216">
        <f t="shared" si="64"/>
        <v>0</v>
      </c>
      <c r="K85" s="216">
        <f t="shared" si="64"/>
        <v>0</v>
      </c>
      <c r="L85" s="216">
        <f t="shared" si="64"/>
        <v>0</v>
      </c>
      <c r="M85" s="216">
        <f t="shared" si="64"/>
        <v>0</v>
      </c>
      <c r="N85" s="216">
        <f t="shared" si="64"/>
        <v>0</v>
      </c>
      <c r="O85" s="216">
        <f t="shared" si="64"/>
        <v>0</v>
      </c>
      <c r="P85" s="216">
        <f t="shared" si="64"/>
        <v>0</v>
      </c>
      <c r="Q85" s="216">
        <f t="shared" si="64"/>
        <v>0</v>
      </c>
      <c r="R85" s="216">
        <f t="shared" si="64"/>
        <v>0</v>
      </c>
      <c r="S85" s="216">
        <f t="shared" si="64"/>
        <v>0</v>
      </c>
      <c r="T85" s="216">
        <f t="shared" si="64"/>
        <v>0</v>
      </c>
      <c r="U85" s="216">
        <f t="shared" si="64"/>
        <v>0</v>
      </c>
      <c r="V85" s="216">
        <f t="shared" si="64"/>
        <v>0</v>
      </c>
      <c r="W85" s="216">
        <f t="shared" si="64"/>
        <v>0</v>
      </c>
      <c r="X85" s="216">
        <f t="shared" si="64"/>
        <v>0</v>
      </c>
      <c r="Y85" s="216">
        <f t="shared" si="64"/>
        <v>0</v>
      </c>
      <c r="Z85" s="216">
        <f t="shared" si="64"/>
        <v>0</v>
      </c>
    </row>
    <row r="86" spans="3:26" x14ac:dyDescent="0.15">
      <c r="C86" s="216">
        <f t="shared" ref="C86:Z86" si="65">BowlSplit(C41,$B$59)</f>
        <v>0</v>
      </c>
      <c r="D86" s="216">
        <f t="shared" si="65"/>
        <v>0</v>
      </c>
      <c r="E86" s="216">
        <f t="shared" si="65"/>
        <v>0</v>
      </c>
      <c r="F86" s="216">
        <f t="shared" si="65"/>
        <v>0</v>
      </c>
      <c r="G86" s="216">
        <f t="shared" si="65"/>
        <v>0</v>
      </c>
      <c r="H86" s="216">
        <f t="shared" si="62"/>
        <v>0</v>
      </c>
      <c r="I86" s="216">
        <f t="shared" si="62"/>
        <v>0</v>
      </c>
      <c r="J86" s="216">
        <f t="shared" si="65"/>
        <v>0</v>
      </c>
      <c r="K86" s="216">
        <f t="shared" si="65"/>
        <v>0</v>
      </c>
      <c r="L86" s="216">
        <f t="shared" si="65"/>
        <v>0</v>
      </c>
      <c r="M86" s="216">
        <f t="shared" si="65"/>
        <v>0</v>
      </c>
      <c r="N86" s="216">
        <f t="shared" si="65"/>
        <v>0</v>
      </c>
      <c r="O86" s="216">
        <f t="shared" si="65"/>
        <v>0</v>
      </c>
      <c r="P86" s="216">
        <f t="shared" si="65"/>
        <v>0</v>
      </c>
      <c r="Q86" s="216">
        <f t="shared" si="65"/>
        <v>0</v>
      </c>
      <c r="R86" s="216">
        <f t="shared" si="65"/>
        <v>0</v>
      </c>
      <c r="S86" s="216">
        <f t="shared" si="65"/>
        <v>0</v>
      </c>
      <c r="T86" s="216">
        <f t="shared" si="65"/>
        <v>0</v>
      </c>
      <c r="U86" s="216">
        <f t="shared" si="65"/>
        <v>0</v>
      </c>
      <c r="V86" s="216">
        <f t="shared" si="65"/>
        <v>0</v>
      </c>
      <c r="W86" s="216">
        <f t="shared" si="65"/>
        <v>0</v>
      </c>
      <c r="X86" s="216">
        <f t="shared" si="65"/>
        <v>0</v>
      </c>
      <c r="Y86" s="216">
        <f t="shared" si="65"/>
        <v>0</v>
      </c>
      <c r="Z86" s="216">
        <f t="shared" si="65"/>
        <v>0</v>
      </c>
    </row>
    <row r="87" spans="3:26" x14ac:dyDescent="0.15">
      <c r="C87" s="216">
        <f t="shared" ref="C87:Z87" si="66">BowlSplit(C42,$B$59)</f>
        <v>0</v>
      </c>
      <c r="D87" s="216">
        <f t="shared" si="66"/>
        <v>1</v>
      </c>
      <c r="E87" s="216">
        <f t="shared" si="66"/>
        <v>0</v>
      </c>
      <c r="F87" s="216">
        <f t="shared" si="66"/>
        <v>1</v>
      </c>
      <c r="G87" s="216">
        <f t="shared" si="66"/>
        <v>1</v>
      </c>
      <c r="H87" s="216">
        <f t="shared" si="62"/>
        <v>0</v>
      </c>
      <c r="I87" s="216">
        <f t="shared" si="62"/>
        <v>0</v>
      </c>
      <c r="J87" s="216">
        <f t="shared" si="66"/>
        <v>0</v>
      </c>
      <c r="K87" s="216">
        <f t="shared" si="66"/>
        <v>1</v>
      </c>
      <c r="L87" s="216">
        <f t="shared" si="66"/>
        <v>0</v>
      </c>
      <c r="M87" s="216">
        <f t="shared" si="66"/>
        <v>0</v>
      </c>
      <c r="N87" s="216">
        <f t="shared" si="66"/>
        <v>0</v>
      </c>
      <c r="O87" s="216">
        <f t="shared" si="66"/>
        <v>0</v>
      </c>
      <c r="P87" s="216">
        <f t="shared" si="66"/>
        <v>1</v>
      </c>
      <c r="Q87" s="216">
        <f t="shared" si="66"/>
        <v>0</v>
      </c>
      <c r="R87" s="216">
        <f t="shared" si="66"/>
        <v>0</v>
      </c>
      <c r="S87" s="216">
        <f t="shared" si="66"/>
        <v>0</v>
      </c>
      <c r="T87" s="216">
        <f t="shared" si="66"/>
        <v>2</v>
      </c>
      <c r="U87" s="216">
        <f t="shared" si="66"/>
        <v>0</v>
      </c>
      <c r="V87" s="216">
        <f t="shared" si="66"/>
        <v>0</v>
      </c>
      <c r="W87" s="216">
        <f t="shared" si="66"/>
        <v>4</v>
      </c>
      <c r="X87" s="216">
        <f t="shared" si="66"/>
        <v>0</v>
      </c>
      <c r="Y87" s="216">
        <f t="shared" si="66"/>
        <v>0</v>
      </c>
      <c r="Z87" s="216">
        <f t="shared" si="66"/>
        <v>0</v>
      </c>
    </row>
    <row r="88" spans="3:26" x14ac:dyDescent="0.15">
      <c r="C88" s="216">
        <f t="shared" ref="C88:Z88" si="67">BowlSplit(C43,$B$59)</f>
        <v>0</v>
      </c>
      <c r="D88" s="216">
        <f t="shared" si="67"/>
        <v>0</v>
      </c>
      <c r="E88" s="216">
        <f t="shared" si="67"/>
        <v>0</v>
      </c>
      <c r="F88" s="216">
        <f t="shared" si="67"/>
        <v>0</v>
      </c>
      <c r="G88" s="216">
        <f t="shared" si="67"/>
        <v>0</v>
      </c>
      <c r="H88" s="216">
        <f t="shared" si="62"/>
        <v>0</v>
      </c>
      <c r="I88" s="216">
        <f t="shared" si="62"/>
        <v>0</v>
      </c>
      <c r="J88" s="216">
        <f t="shared" si="67"/>
        <v>0</v>
      </c>
      <c r="K88" s="216">
        <f t="shared" si="67"/>
        <v>0</v>
      </c>
      <c r="L88" s="216">
        <f t="shared" si="67"/>
        <v>0</v>
      </c>
      <c r="M88" s="216">
        <f t="shared" si="67"/>
        <v>0</v>
      </c>
      <c r="N88" s="216">
        <f t="shared" si="67"/>
        <v>0</v>
      </c>
      <c r="O88" s="216">
        <f t="shared" si="67"/>
        <v>0</v>
      </c>
      <c r="P88" s="216">
        <f t="shared" si="67"/>
        <v>0</v>
      </c>
      <c r="Q88" s="216">
        <f t="shared" si="67"/>
        <v>0</v>
      </c>
      <c r="R88" s="216">
        <f t="shared" si="67"/>
        <v>0</v>
      </c>
      <c r="S88" s="216">
        <f t="shared" si="67"/>
        <v>0</v>
      </c>
      <c r="T88" s="216">
        <f t="shared" si="67"/>
        <v>0</v>
      </c>
      <c r="U88" s="216">
        <f t="shared" si="67"/>
        <v>0</v>
      </c>
      <c r="V88" s="216">
        <f t="shared" si="67"/>
        <v>0</v>
      </c>
      <c r="W88" s="216">
        <f t="shared" si="67"/>
        <v>0</v>
      </c>
      <c r="X88" s="216">
        <f t="shared" si="67"/>
        <v>0</v>
      </c>
      <c r="Y88" s="216">
        <f t="shared" si="67"/>
        <v>0</v>
      </c>
      <c r="Z88" s="216">
        <f t="shared" si="67"/>
        <v>0</v>
      </c>
    </row>
    <row r="89" spans="3:26" x14ac:dyDescent="0.15">
      <c r="C89" s="216">
        <f t="shared" ref="C89:Z89" si="68">BowlSplit(C44,$B$59)</f>
        <v>0</v>
      </c>
      <c r="D89" s="216">
        <f t="shared" si="68"/>
        <v>0</v>
      </c>
      <c r="E89" s="216">
        <f t="shared" si="68"/>
        <v>0</v>
      </c>
      <c r="F89" s="216">
        <f t="shared" si="68"/>
        <v>0</v>
      </c>
      <c r="G89" s="216">
        <f t="shared" si="68"/>
        <v>0</v>
      </c>
      <c r="H89" s="216">
        <f t="shared" si="62"/>
        <v>0</v>
      </c>
      <c r="I89" s="216">
        <f t="shared" si="62"/>
        <v>0</v>
      </c>
      <c r="J89" s="216">
        <f t="shared" si="68"/>
        <v>0</v>
      </c>
      <c r="K89" s="216">
        <f t="shared" si="68"/>
        <v>0</v>
      </c>
      <c r="L89" s="216">
        <f t="shared" si="68"/>
        <v>0</v>
      </c>
      <c r="M89" s="216">
        <f t="shared" si="68"/>
        <v>0</v>
      </c>
      <c r="N89" s="216">
        <f t="shared" si="68"/>
        <v>0</v>
      </c>
      <c r="O89" s="216">
        <f t="shared" si="68"/>
        <v>0</v>
      </c>
      <c r="P89" s="216">
        <f t="shared" si="68"/>
        <v>0</v>
      </c>
      <c r="Q89" s="216">
        <f t="shared" si="68"/>
        <v>0</v>
      </c>
      <c r="R89" s="216">
        <f t="shared" si="68"/>
        <v>0</v>
      </c>
      <c r="S89" s="216">
        <f t="shared" si="68"/>
        <v>0</v>
      </c>
      <c r="T89" s="216">
        <f t="shared" si="68"/>
        <v>0</v>
      </c>
      <c r="U89" s="216">
        <f t="shared" si="68"/>
        <v>0</v>
      </c>
      <c r="V89" s="216">
        <f t="shared" si="68"/>
        <v>0</v>
      </c>
      <c r="W89" s="216">
        <f t="shared" si="68"/>
        <v>0</v>
      </c>
      <c r="X89" s="216">
        <f t="shared" si="68"/>
        <v>0</v>
      </c>
      <c r="Y89" s="216">
        <f t="shared" si="68"/>
        <v>0</v>
      </c>
      <c r="Z89" s="216">
        <f t="shared" si="68"/>
        <v>0</v>
      </c>
    </row>
    <row r="90" spans="3:26" x14ac:dyDescent="0.15">
      <c r="C90" s="216">
        <f t="shared" ref="C90:Z90" si="69">BowlSplit(C46,$B$59)</f>
        <v>0</v>
      </c>
      <c r="D90" s="216">
        <f t="shared" si="69"/>
        <v>0</v>
      </c>
      <c r="E90" s="216">
        <f t="shared" si="69"/>
        <v>0</v>
      </c>
      <c r="F90" s="216">
        <f t="shared" si="69"/>
        <v>0</v>
      </c>
      <c r="G90" s="216">
        <f t="shared" si="69"/>
        <v>0</v>
      </c>
      <c r="H90" s="216">
        <f>BowlSplit(I46,$B$59)</f>
        <v>1</v>
      </c>
      <c r="I90" s="216">
        <f>BowlSplit(J46,$B$59)</f>
        <v>0</v>
      </c>
      <c r="J90" s="216">
        <f t="shared" si="69"/>
        <v>0</v>
      </c>
      <c r="K90" s="216">
        <f t="shared" si="69"/>
        <v>0</v>
      </c>
      <c r="L90" s="216">
        <f t="shared" si="69"/>
        <v>0</v>
      </c>
      <c r="M90" s="216">
        <f t="shared" si="69"/>
        <v>0</v>
      </c>
      <c r="N90" s="216">
        <f t="shared" si="69"/>
        <v>0</v>
      </c>
      <c r="O90" s="216">
        <f t="shared" si="69"/>
        <v>0</v>
      </c>
      <c r="P90" s="216">
        <f t="shared" si="69"/>
        <v>0</v>
      </c>
      <c r="Q90" s="216">
        <f t="shared" si="69"/>
        <v>0</v>
      </c>
      <c r="R90" s="216">
        <f t="shared" si="69"/>
        <v>0</v>
      </c>
      <c r="S90" s="216">
        <f t="shared" si="69"/>
        <v>0</v>
      </c>
      <c r="T90" s="216">
        <f t="shared" si="69"/>
        <v>0</v>
      </c>
      <c r="U90" s="216">
        <f t="shared" si="69"/>
        <v>0</v>
      </c>
      <c r="V90" s="216">
        <f t="shared" si="69"/>
        <v>0</v>
      </c>
      <c r="W90" s="216">
        <f t="shared" si="69"/>
        <v>0</v>
      </c>
      <c r="X90" s="216">
        <f t="shared" si="69"/>
        <v>0</v>
      </c>
      <c r="Y90" s="216">
        <f t="shared" si="69"/>
        <v>0</v>
      </c>
      <c r="Z90" s="216">
        <f t="shared" si="69"/>
        <v>0</v>
      </c>
    </row>
    <row r="95" spans="3:26" x14ac:dyDescent="0.15">
      <c r="C95" s="2">
        <f>MAX(C58:C93)</f>
        <v>3</v>
      </c>
      <c r="D95" s="2">
        <f t="shared" ref="D95:X95" si="70">MAX(D58:D93)</f>
        <v>3</v>
      </c>
      <c r="E95" s="2">
        <f t="shared" si="70"/>
        <v>2</v>
      </c>
      <c r="F95" s="2">
        <f t="shared" si="70"/>
        <v>2</v>
      </c>
      <c r="G95" s="2">
        <f t="shared" si="70"/>
        <v>3</v>
      </c>
      <c r="H95" s="2">
        <f t="shared" si="70"/>
        <v>3</v>
      </c>
      <c r="I95" s="2">
        <f t="shared" si="70"/>
        <v>4</v>
      </c>
      <c r="J95" s="2">
        <f t="shared" si="70"/>
        <v>4</v>
      </c>
      <c r="K95" s="2">
        <f t="shared" si="70"/>
        <v>2</v>
      </c>
      <c r="L95" s="2">
        <f t="shared" si="70"/>
        <v>4</v>
      </c>
      <c r="M95" s="2">
        <f t="shared" si="70"/>
        <v>2</v>
      </c>
      <c r="N95" s="2">
        <f t="shared" si="70"/>
        <v>4</v>
      </c>
      <c r="O95" s="2">
        <f t="shared" si="70"/>
        <v>2</v>
      </c>
      <c r="P95" s="2">
        <f t="shared" si="70"/>
        <v>2</v>
      </c>
      <c r="Q95" s="2">
        <f t="shared" si="70"/>
        <v>2</v>
      </c>
      <c r="R95" s="2">
        <f t="shared" si="70"/>
        <v>2</v>
      </c>
      <c r="S95" s="2">
        <f t="shared" si="70"/>
        <v>3</v>
      </c>
      <c r="T95" s="2">
        <f t="shared" si="70"/>
        <v>2</v>
      </c>
      <c r="U95" s="2">
        <f t="shared" si="70"/>
        <v>0</v>
      </c>
      <c r="V95" s="2">
        <f t="shared" si="70"/>
        <v>2</v>
      </c>
      <c r="W95" s="2">
        <f t="shared" si="70"/>
        <v>4</v>
      </c>
      <c r="X95" s="2">
        <f t="shared" si="70"/>
        <v>0</v>
      </c>
    </row>
  </sheetData>
  <sortState ref="B5:J40">
    <sortCondition ref="B5:B40"/>
  </sortState>
  <phoneticPr fontId="0" type="noConversion"/>
  <conditionalFormatting sqref="AG89:AG98">
    <cfRule type="cellIs" dxfId="11" priority="34" operator="greaterThan">
      <formula>5</formula>
    </cfRule>
  </conditionalFormatting>
  <conditionalFormatting sqref="C56:AH56">
    <cfRule type="cellIs" dxfId="10" priority="35" stopIfTrue="1" operator="notEqual">
      <formula>C54</formula>
    </cfRule>
  </conditionalFormatting>
  <conditionalFormatting sqref="C58:X93 C58:Z90">
    <cfRule type="cellIs" dxfId="9" priority="21" operator="greaterThan">
      <formula>50</formula>
    </cfRule>
  </conditionalFormatting>
  <conditionalFormatting sqref="B48 A47:AI47 U35:AI35 AX6:XFD47 J43:AI46 A5:G46 I5:I46 J5:O23 Q36:AI42 Q35:S35 Q5:XFD5 Q6:AI34 J37:O41 J36:N36 J31:O35 J30:N30 J42:N42 J25:O29 J24:N24 AJ6:AW48">
    <cfRule type="expression" dxfId="8" priority="11">
      <formula>MOD(ROW(),2)=0</formula>
    </cfRule>
  </conditionalFormatting>
  <conditionalFormatting sqref="Y58:Z90">
    <cfRule type="cellIs" dxfId="7" priority="10" operator="greaterThan">
      <formula>50</formula>
    </cfRule>
  </conditionalFormatting>
  <conditionalFormatting sqref="AW5:AW48">
    <cfRule type="dataBar" priority="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{0F99F990-BA3F-420A-BF97-256AB6A8393D}</x14:id>
        </ext>
      </extLst>
    </cfRule>
  </conditionalFormatting>
  <conditionalFormatting sqref="H5:H46">
    <cfRule type="expression" dxfId="6" priority="7">
      <formula>MOD(ROW(),2)=0</formula>
    </cfRule>
  </conditionalFormatting>
  <conditionalFormatting sqref="P5:P41">
    <cfRule type="expression" dxfId="5" priority="6">
      <formula>MOD(ROW(),2)=0</formula>
    </cfRule>
  </conditionalFormatting>
  <conditionalFormatting sqref="O36">
    <cfRule type="expression" dxfId="4" priority="5">
      <formula>MOD(ROW(),2)=0</formula>
    </cfRule>
  </conditionalFormatting>
  <conditionalFormatting sqref="O30">
    <cfRule type="expression" dxfId="3" priority="4">
      <formula>MOD(ROW(),2)=0</formula>
    </cfRule>
  </conditionalFormatting>
  <conditionalFormatting sqref="O42">
    <cfRule type="expression" dxfId="2" priority="3">
      <formula>MOD(ROW(),2)=0</formula>
    </cfRule>
  </conditionalFormatting>
  <conditionalFormatting sqref="O24">
    <cfRule type="expression" dxfId="1" priority="2">
      <formula>MOD(ROW(),2)=0</formula>
    </cfRule>
  </conditionalFormatting>
  <conditionalFormatting sqref="P42">
    <cfRule type="expression" dxfId="0" priority="1">
      <formula>MOD(ROW(),2)=0</formula>
    </cfRule>
  </conditionalFormatting>
  <printOptions gridLines="1" gridLinesSet="0"/>
  <pageMargins left="0.39370078740157483" right="0.39370078740157483" top="0.59055118110236227" bottom="0.59055118110236227" header="0" footer="0"/>
  <pageSetup paperSize="9" orientation="landscape" horizontalDpi="300" verticalDpi="300" r:id="rId1"/>
  <headerFooter alignWithMargin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F99F990-BA3F-420A-BF97-256AB6A8393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AW5:AW48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N57"/>
  <sheetViews>
    <sheetView workbookViewId="0">
      <selection activeCell="R1" sqref="R1:AB17"/>
    </sheetView>
  </sheetViews>
  <sheetFormatPr defaultRowHeight="12.75" x14ac:dyDescent="0.15"/>
  <cols>
    <col min="1" max="1" width="7.7109375" style="98" customWidth="1"/>
    <col min="2" max="2" width="4.140625" style="98" bestFit="1" customWidth="1"/>
    <col min="3" max="3" width="5" style="98" bestFit="1" customWidth="1"/>
    <col min="4" max="4" width="5.7109375" style="98" bestFit="1" customWidth="1"/>
    <col min="5" max="5" width="12.7109375" style="98" bestFit="1" customWidth="1"/>
    <col min="6" max="6" width="4" style="98" bestFit="1" customWidth="1"/>
    <col min="7" max="7" width="3.42578125" style="98" bestFit="1" customWidth="1"/>
    <col min="8" max="8" width="13.5703125" style="98" bestFit="1" customWidth="1"/>
    <col min="9" max="9" width="3.7109375" style="98" bestFit="1" customWidth="1"/>
    <col min="10" max="10" width="3.42578125" style="98" bestFit="1" customWidth="1"/>
    <col min="11" max="11" width="17.28515625" style="163" bestFit="1" customWidth="1"/>
    <col min="12" max="12" width="10.42578125" style="164" bestFit="1" customWidth="1"/>
    <col min="13" max="13" width="3.85546875" customWidth="1"/>
    <col min="14" max="16" width="7.85546875" style="203" customWidth="1"/>
    <col min="17" max="17" width="6.28515625" style="98" customWidth="1"/>
    <col min="18" max="18" width="4.28515625" style="98" bestFit="1" customWidth="1"/>
    <col min="19" max="19" width="5" style="98" bestFit="1" customWidth="1"/>
    <col min="20" max="20" width="5.85546875" style="98" bestFit="1" customWidth="1"/>
    <col min="21" max="21" width="10.5703125" style="98" bestFit="1" customWidth="1"/>
    <col min="22" max="22" width="3.7109375" style="98" bestFit="1" customWidth="1"/>
    <col min="23" max="23" width="3.5703125" style="183" bestFit="1" customWidth="1"/>
    <col min="24" max="24" width="14.5703125" style="98" bestFit="1" customWidth="1"/>
    <col min="25" max="25" width="3.7109375" style="98" bestFit="1" customWidth="1"/>
    <col min="26" max="26" width="3.5703125" style="183" bestFit="1" customWidth="1"/>
    <col min="27" max="27" width="13.5703125" style="98" customWidth="1"/>
    <col min="28" max="28" width="13.140625" style="170" bestFit="1" customWidth="1"/>
    <col min="29" max="16384" width="9.140625" style="98"/>
  </cols>
  <sheetData>
    <row r="1" spans="1:40" x14ac:dyDescent="0.15">
      <c r="A1" s="98" t="s">
        <v>226</v>
      </c>
      <c r="B1" s="98" t="s">
        <v>13</v>
      </c>
      <c r="C1" s="98" t="s">
        <v>77</v>
      </c>
      <c r="D1" s="98" t="s">
        <v>209</v>
      </c>
      <c r="E1" s="98" t="s">
        <v>210</v>
      </c>
      <c r="F1" s="98" t="s">
        <v>211</v>
      </c>
      <c r="G1" s="98" t="s">
        <v>212</v>
      </c>
      <c r="H1" s="98" t="s">
        <v>213</v>
      </c>
      <c r="I1" s="98" t="s">
        <v>214</v>
      </c>
      <c r="J1" s="98" t="s">
        <v>212</v>
      </c>
      <c r="K1" s="163" t="s">
        <v>1</v>
      </c>
      <c r="L1" s="164" t="s">
        <v>0</v>
      </c>
      <c r="N1" s="203" t="s">
        <v>274</v>
      </c>
      <c r="R1" s="98" t="s">
        <v>13</v>
      </c>
      <c r="S1" s="98" t="s">
        <v>77</v>
      </c>
      <c r="T1" s="98" t="s">
        <v>209</v>
      </c>
      <c r="U1" s="98" t="s">
        <v>210</v>
      </c>
      <c r="V1" s="98" t="s">
        <v>211</v>
      </c>
      <c r="W1" s="183" t="s">
        <v>212</v>
      </c>
      <c r="X1" s="98" t="s">
        <v>213</v>
      </c>
      <c r="Y1" s="98" t="s">
        <v>214</v>
      </c>
      <c r="Z1" s="183" t="s">
        <v>212</v>
      </c>
      <c r="AA1" s="98" t="s">
        <v>239</v>
      </c>
      <c r="AB1" s="170" t="s">
        <v>0</v>
      </c>
      <c r="AN1" s="170"/>
    </row>
    <row r="2" spans="1:40" x14ac:dyDescent="0.15">
      <c r="K2" s="163" t="str">
        <f ca="1">OFFSET(Matches!$C$4,Partnerships!A2,0)</f>
        <v>Opp</v>
      </c>
      <c r="L2" s="164" t="str">
        <f ca="1">OFFSET(Matches!$B$4,Partnerships!A2,0)</f>
        <v>Date</v>
      </c>
      <c r="N2" s="203">
        <f>IF(B2=0,999999,B2)*10000+5000-C2*10+ROW()</f>
        <v>9999995002</v>
      </c>
      <c r="O2" s="203">
        <f t="array" ref="O2:O40">RANK(N2:N40,N2:N40,1)</f>
        <v>17</v>
      </c>
      <c r="P2" s="203">
        <f>MATCH(ROW()-1,$O$2:$O$40,0)</f>
        <v>20</v>
      </c>
      <c r="Q2"/>
      <c r="R2" s="98">
        <f t="array" ref="R2:AB2">INDEX($B$2:$L$40,P2,)</f>
        <v>1</v>
      </c>
      <c r="S2" s="98">
        <v>54</v>
      </c>
      <c r="T2" s="98">
        <v>0</v>
      </c>
      <c r="U2" s="98" t="str">
        <v>Patel J</v>
      </c>
      <c r="V2" s="98">
        <v>52</v>
      </c>
      <c r="W2" s="183">
        <v>0</v>
      </c>
      <c r="X2" s="98" t="str">
        <v>Seymour C</v>
      </c>
      <c r="Y2" s="98">
        <v>7</v>
      </c>
      <c r="Z2" s="183">
        <v>0</v>
      </c>
      <c r="AA2" s="98" t="str">
        <f ca="1"/>
        <v>Ploughman's Sunday XI</v>
      </c>
      <c r="AB2" s="170">
        <f ca="1"/>
        <v>44822</v>
      </c>
      <c r="AD2" s="98" t="s">
        <v>346</v>
      </c>
      <c r="AE2" s="98">
        <f>COUNT(A:A)</f>
        <v>16</v>
      </c>
      <c r="AN2" s="170"/>
    </row>
    <row r="3" spans="1:40" x14ac:dyDescent="0.15">
      <c r="A3" s="98">
        <v>1</v>
      </c>
      <c r="B3" s="98">
        <v>9</v>
      </c>
      <c r="C3" s="98">
        <v>43</v>
      </c>
      <c r="D3" s="98" t="s">
        <v>223</v>
      </c>
      <c r="E3" s="98" t="s">
        <v>324</v>
      </c>
      <c r="F3" s="98">
        <v>50</v>
      </c>
      <c r="G3" s="98" t="s">
        <v>223</v>
      </c>
      <c r="H3" s="98" t="s">
        <v>369</v>
      </c>
      <c r="I3" s="98">
        <v>9</v>
      </c>
      <c r="J3" s="98" t="s">
        <v>223</v>
      </c>
      <c r="K3" s="163" t="str">
        <f ca="1">OFFSET(Matches!$C$4,Partnerships!A3,0)</f>
        <v>Worcester Park</v>
      </c>
      <c r="L3" s="164">
        <f ca="1">OFFSET(Matches!$B$4,Partnerships!A3,0)</f>
        <v>44675</v>
      </c>
      <c r="N3" s="203">
        <f t="shared" ref="N3:N40" si="0">IF(B3=0,999999,B3)*10000+5000-C3*10+ROW()</f>
        <v>94573</v>
      </c>
      <c r="O3" s="203">
        <v>16</v>
      </c>
      <c r="P3" s="203">
        <f t="shared" ref="P3:P40" si="1">MATCH(ROW()-1,$O$2:$O$40,0)</f>
        <v>19</v>
      </c>
      <c r="Q3"/>
      <c r="R3" s="98">
        <f t="array" ref="R3:AB3">INDEX($B$2:$L$40,P3,)</f>
        <v>1</v>
      </c>
      <c r="S3" s="98">
        <v>53</v>
      </c>
      <c r="T3" s="98">
        <v>0</v>
      </c>
      <c r="U3" s="98" t="str">
        <v>Patel J</v>
      </c>
      <c r="V3" s="98">
        <v>36</v>
      </c>
      <c r="W3" s="183">
        <v>0</v>
      </c>
      <c r="X3" s="98" t="str">
        <v>Seymour C</v>
      </c>
      <c r="Y3" s="98">
        <v>9</v>
      </c>
      <c r="Z3" s="183">
        <v>0</v>
      </c>
      <c r="AA3" s="98" t="str">
        <f ca="1"/>
        <v>Battersea Ironsides</v>
      </c>
      <c r="AB3" s="170">
        <f ca="1"/>
        <v>44815</v>
      </c>
      <c r="AN3" s="170"/>
    </row>
    <row r="4" spans="1:40" x14ac:dyDescent="0.15">
      <c r="K4" s="163" t="str">
        <f ca="1">OFFSET(Matches!$C$4,Partnerships!A4,0)</f>
        <v>Opp</v>
      </c>
      <c r="L4" s="164" t="str">
        <f ca="1">OFFSET(Matches!$B$4,Partnerships!A4,0)</f>
        <v>Date</v>
      </c>
      <c r="N4" s="203">
        <f t="shared" si="0"/>
        <v>9999995004</v>
      </c>
      <c r="O4" s="203">
        <v>18</v>
      </c>
      <c r="P4" s="203">
        <f t="shared" si="1"/>
        <v>18</v>
      </c>
      <c r="Q4"/>
      <c r="R4" s="98">
        <f t="array" ref="R4:AB4">INDEX($B$2:$L$40,P4,)</f>
        <v>1</v>
      </c>
      <c r="S4" s="98">
        <v>50</v>
      </c>
      <c r="T4" s="98">
        <v>0</v>
      </c>
      <c r="U4" s="98" t="str">
        <v>Seymour C</v>
      </c>
      <c r="V4" s="98">
        <v>35</v>
      </c>
      <c r="W4" s="183">
        <v>0</v>
      </c>
      <c r="X4" s="98" t="str">
        <v>Patel J</v>
      </c>
      <c r="Y4" s="98">
        <v>19</v>
      </c>
      <c r="Z4" s="183">
        <v>0</v>
      </c>
      <c r="AA4" s="98" t="str">
        <f ca="1"/>
        <v>Beddington</v>
      </c>
      <c r="AB4" s="170">
        <f ca="1"/>
        <v>44808</v>
      </c>
      <c r="AN4" s="170"/>
    </row>
    <row r="5" spans="1:40" x14ac:dyDescent="0.15">
      <c r="A5" s="98">
        <v>4</v>
      </c>
      <c r="B5" s="98">
        <v>3</v>
      </c>
      <c r="C5" s="98">
        <v>54</v>
      </c>
      <c r="E5" s="98" t="s">
        <v>259</v>
      </c>
      <c r="F5" s="98">
        <v>29</v>
      </c>
      <c r="H5" s="98" t="s">
        <v>196</v>
      </c>
      <c r="I5" s="98">
        <v>70</v>
      </c>
      <c r="K5" s="163" t="str">
        <f ca="1">OFFSET(Matches!$C$4,Partnerships!A5,0)</f>
        <v>YRG Eagles</v>
      </c>
      <c r="L5" s="164">
        <f ca="1">OFFSET(Matches!$B$4,Partnerships!A5,0)</f>
        <v>44696</v>
      </c>
      <c r="N5" s="203">
        <f t="shared" si="0"/>
        <v>34465</v>
      </c>
      <c r="O5" s="203">
        <v>8</v>
      </c>
      <c r="P5" s="203">
        <f t="shared" si="1"/>
        <v>8</v>
      </c>
      <c r="Q5"/>
      <c r="R5" s="98">
        <f t="array" ref="R5:AB5">INDEX($B$2:$L$40,P5,)</f>
        <v>2</v>
      </c>
      <c r="S5" s="98">
        <v>103</v>
      </c>
      <c r="T5" s="98">
        <v>0</v>
      </c>
      <c r="U5" s="98" t="str">
        <v>Seymour C</v>
      </c>
      <c r="V5" s="98">
        <v>41</v>
      </c>
      <c r="W5" s="183">
        <v>0</v>
      </c>
      <c r="X5" s="98" t="str">
        <v>Springer T</v>
      </c>
      <c r="Y5" s="98">
        <v>64</v>
      </c>
      <c r="Z5" s="183">
        <v>0</v>
      </c>
      <c r="AA5" s="98" t="str">
        <f ca="1"/>
        <v>Warlingham</v>
      </c>
      <c r="AB5" s="170">
        <f ca="1"/>
        <v>44689</v>
      </c>
      <c r="AN5" s="170"/>
    </row>
    <row r="6" spans="1:40" x14ac:dyDescent="0.15">
      <c r="A6" s="98">
        <v>4</v>
      </c>
      <c r="B6" s="98">
        <v>4</v>
      </c>
      <c r="C6" s="98">
        <v>85</v>
      </c>
      <c r="E6" s="98" t="s">
        <v>196</v>
      </c>
      <c r="F6" s="98">
        <v>70</v>
      </c>
      <c r="H6" s="98" t="s">
        <v>235</v>
      </c>
      <c r="I6" s="98">
        <v>43</v>
      </c>
      <c r="J6" s="98" t="s">
        <v>223</v>
      </c>
      <c r="K6" s="163" t="str">
        <f ca="1">OFFSET(Matches!$C$4,Partnerships!A6,0)</f>
        <v>YRG Eagles</v>
      </c>
      <c r="L6" s="164">
        <f ca="1">OFFSET(Matches!$B$4,Partnerships!A6,0)</f>
        <v>44696</v>
      </c>
      <c r="N6" s="203">
        <f t="shared" si="0"/>
        <v>44156</v>
      </c>
      <c r="O6" s="203">
        <v>9</v>
      </c>
      <c r="P6" s="203">
        <f t="shared" si="1"/>
        <v>14</v>
      </c>
      <c r="Q6"/>
      <c r="R6" s="98">
        <f t="array" ref="R6:AB6">INDEX($B$2:$L$40,P6,)</f>
        <v>2</v>
      </c>
      <c r="S6" s="98">
        <v>88</v>
      </c>
      <c r="T6" s="98">
        <v>0</v>
      </c>
      <c r="U6" s="98" t="str">
        <v>Crone W</v>
      </c>
      <c r="V6" s="98">
        <v>56</v>
      </c>
      <c r="W6" s="183">
        <v>0</v>
      </c>
      <c r="X6" s="98" t="str">
        <v>Niran S</v>
      </c>
      <c r="Y6" s="98">
        <v>49</v>
      </c>
      <c r="Z6" s="183">
        <v>0</v>
      </c>
      <c r="AA6" s="98" t="str">
        <f ca="1"/>
        <v>Sanderstead</v>
      </c>
      <c r="AB6" s="170">
        <f ca="1"/>
        <v>44759</v>
      </c>
      <c r="AN6" s="170"/>
    </row>
    <row r="7" spans="1:40" x14ac:dyDescent="0.15">
      <c r="A7" s="98">
        <v>2</v>
      </c>
      <c r="B7" s="98">
        <v>6</v>
      </c>
      <c r="C7" s="98">
        <v>50</v>
      </c>
      <c r="E7" s="98" t="s">
        <v>259</v>
      </c>
      <c r="F7" s="98">
        <v>114</v>
      </c>
      <c r="G7" s="98" t="s">
        <v>223</v>
      </c>
      <c r="H7" s="98" t="s">
        <v>136</v>
      </c>
      <c r="I7" s="98">
        <v>26</v>
      </c>
      <c r="K7" s="163" t="str">
        <f ca="1">OFFSET(Matches!$C$4,Partnerships!A7,0)</f>
        <v>Riverside</v>
      </c>
      <c r="L7" s="164">
        <f ca="1">OFFSET(Matches!$B$4,Partnerships!A7,0)</f>
        <v>44682</v>
      </c>
      <c r="N7" s="203">
        <f t="shared" si="0"/>
        <v>64507</v>
      </c>
      <c r="O7" s="203">
        <v>12</v>
      </c>
      <c r="P7" s="203">
        <f t="shared" si="1"/>
        <v>9</v>
      </c>
      <c r="Q7"/>
      <c r="R7" s="98">
        <f t="array" ref="R7:AB7">INDEX($B$2:$L$40,P7,)</f>
        <v>3</v>
      </c>
      <c r="S7" s="98">
        <v>138</v>
      </c>
      <c r="T7" s="98">
        <v>0</v>
      </c>
      <c r="U7" s="98" t="str">
        <v>Patel J</v>
      </c>
      <c r="V7" s="98">
        <v>66</v>
      </c>
      <c r="W7" s="183">
        <v>0</v>
      </c>
      <c r="X7" s="98" t="str">
        <v>Ahmed R</v>
      </c>
      <c r="Y7" s="98">
        <v>90</v>
      </c>
      <c r="Z7" s="183">
        <v>0</v>
      </c>
      <c r="AA7" s="98" t="str">
        <f ca="1"/>
        <v>Merton Bears</v>
      </c>
      <c r="AB7" s="170">
        <f ca="1"/>
        <v>44703</v>
      </c>
      <c r="AN7" s="170"/>
    </row>
    <row r="8" spans="1:40" x14ac:dyDescent="0.15">
      <c r="A8" s="98">
        <v>2</v>
      </c>
      <c r="B8" s="98">
        <v>9</v>
      </c>
      <c r="C8" s="98">
        <v>58</v>
      </c>
      <c r="E8" s="98" t="s">
        <v>259</v>
      </c>
      <c r="F8" s="98">
        <v>114</v>
      </c>
      <c r="G8" s="98" t="s">
        <v>223</v>
      </c>
      <c r="H8" s="98" t="s">
        <v>235</v>
      </c>
      <c r="I8" s="98">
        <v>11</v>
      </c>
      <c r="K8" s="163" t="str">
        <f ca="1">OFFSET(Matches!$C$4,Partnerships!A8,0)</f>
        <v>Riverside</v>
      </c>
      <c r="L8" s="164">
        <f ca="1">OFFSET(Matches!$B$4,Partnerships!A8,0)</f>
        <v>44682</v>
      </c>
      <c r="N8" s="203">
        <f t="shared" si="0"/>
        <v>94428</v>
      </c>
      <c r="O8" s="203">
        <v>15</v>
      </c>
      <c r="P8" s="203">
        <f t="shared" si="1"/>
        <v>16</v>
      </c>
      <c r="Q8"/>
      <c r="R8" s="98">
        <f t="array" ref="R8:AB8">INDEX($B$2:$L$40,P8,)</f>
        <v>3</v>
      </c>
      <c r="S8" s="98">
        <v>110</v>
      </c>
      <c r="T8" s="98">
        <v>0</v>
      </c>
      <c r="U8" s="98" t="str">
        <v>De S</v>
      </c>
      <c r="V8" s="98">
        <v>84</v>
      </c>
      <c r="W8" s="183">
        <v>0</v>
      </c>
      <c r="X8" s="98" t="str">
        <v>Bhatt P</v>
      </c>
      <c r="Y8" s="98">
        <v>32</v>
      </c>
      <c r="Z8" s="183">
        <v>0</v>
      </c>
      <c r="AA8" s="98" t="str">
        <f ca="1"/>
        <v>Norwood Exiles</v>
      </c>
      <c r="AB8" s="170">
        <f ca="1"/>
        <v>44787</v>
      </c>
      <c r="AN8" s="170"/>
    </row>
    <row r="9" spans="1:40" x14ac:dyDescent="0.15">
      <c r="A9" s="98">
        <v>3</v>
      </c>
      <c r="B9" s="98">
        <v>2</v>
      </c>
      <c r="C9" s="98">
        <v>103</v>
      </c>
      <c r="E9" s="98" t="s">
        <v>196</v>
      </c>
      <c r="F9" s="98">
        <v>41</v>
      </c>
      <c r="H9" s="98" t="s">
        <v>222</v>
      </c>
      <c r="I9" s="98">
        <v>64</v>
      </c>
      <c r="K9" s="163" t="str">
        <f ca="1">OFFSET(Matches!$C$4,Partnerships!A9,0)</f>
        <v>Warlingham</v>
      </c>
      <c r="L9" s="164">
        <f ca="1">OFFSET(Matches!$B$4,Partnerships!A9,0)</f>
        <v>44689</v>
      </c>
      <c r="N9" s="203">
        <f t="shared" si="0"/>
        <v>23979</v>
      </c>
      <c r="O9" s="203">
        <v>4</v>
      </c>
      <c r="P9" s="203">
        <f t="shared" si="1"/>
        <v>4</v>
      </c>
      <c r="Q9"/>
      <c r="R9" s="98">
        <f t="array" ref="R9:AB9">INDEX($B$2:$L$40,P9,)</f>
        <v>3</v>
      </c>
      <c r="S9" s="98">
        <v>54</v>
      </c>
      <c r="T9" s="98">
        <v>0</v>
      </c>
      <c r="U9" s="98" t="str">
        <v>Seymour D</v>
      </c>
      <c r="V9" s="98">
        <v>29</v>
      </c>
      <c r="W9" s="183">
        <v>0</v>
      </c>
      <c r="X9" s="98" t="str">
        <v>Seymour C</v>
      </c>
      <c r="Y9" s="98">
        <v>70</v>
      </c>
      <c r="Z9" s="183">
        <v>0</v>
      </c>
      <c r="AA9" s="98" t="str">
        <f ca="1"/>
        <v>YRG Eagles</v>
      </c>
      <c r="AB9" s="170">
        <f ca="1"/>
        <v>44696</v>
      </c>
      <c r="AN9" s="170"/>
    </row>
    <row r="10" spans="1:40" x14ac:dyDescent="0.15">
      <c r="A10" s="98">
        <v>5</v>
      </c>
      <c r="B10" s="98">
        <v>3</v>
      </c>
      <c r="C10" s="98">
        <v>138</v>
      </c>
      <c r="E10" s="98" t="s">
        <v>387</v>
      </c>
      <c r="F10" s="98">
        <v>66</v>
      </c>
      <c r="H10" s="98" t="s">
        <v>432</v>
      </c>
      <c r="I10" s="98">
        <v>90</v>
      </c>
      <c r="K10" s="163" t="str">
        <f ca="1">OFFSET(Matches!$C$4,Partnerships!A10,0)</f>
        <v>Merton Bears</v>
      </c>
      <c r="L10" s="164">
        <f ca="1">OFFSET(Matches!$B$4,Partnerships!A10,0)</f>
        <v>44703</v>
      </c>
      <c r="N10" s="203">
        <f t="shared" si="0"/>
        <v>33630</v>
      </c>
      <c r="O10" s="203">
        <v>6</v>
      </c>
      <c r="P10" s="203">
        <f t="shared" si="1"/>
        <v>5</v>
      </c>
      <c r="Q10"/>
      <c r="R10" s="98">
        <f t="array" ref="R10:AB10">INDEX($B$2:$L$40,P10,)</f>
        <v>4</v>
      </c>
      <c r="S10" s="98">
        <v>85</v>
      </c>
      <c r="T10" s="98">
        <v>0</v>
      </c>
      <c r="U10" s="98" t="str">
        <v>Seymour C</v>
      </c>
      <c r="V10" s="98">
        <v>70</v>
      </c>
      <c r="W10" s="183">
        <v>0</v>
      </c>
      <c r="X10" s="98" t="str">
        <v>Bhatt P</v>
      </c>
      <c r="Y10" s="98">
        <v>43</v>
      </c>
      <c r="Z10" s="183" t="str">
        <v>*</v>
      </c>
      <c r="AA10" s="98" t="str">
        <f ca="1"/>
        <v>YRG Eagles</v>
      </c>
      <c r="AB10" s="170">
        <f ca="1"/>
        <v>44696</v>
      </c>
      <c r="AN10" s="170"/>
    </row>
    <row r="11" spans="1:40" x14ac:dyDescent="0.15">
      <c r="A11" s="98">
        <v>10</v>
      </c>
      <c r="B11" s="98">
        <v>9</v>
      </c>
      <c r="C11" s="98">
        <v>64</v>
      </c>
      <c r="E11" s="98" t="s">
        <v>136</v>
      </c>
      <c r="F11" s="98">
        <v>86</v>
      </c>
      <c r="H11" s="98" t="s">
        <v>534</v>
      </c>
      <c r="I11" s="98">
        <v>16</v>
      </c>
      <c r="J11" s="98" t="s">
        <v>223</v>
      </c>
      <c r="K11" s="163" t="str">
        <f ca="1">OFFSET(Matches!$C$4,Partnerships!A11,0)</f>
        <v>Richmond Legbreakers</v>
      </c>
      <c r="L11" s="164">
        <f ca="1">OFFSET(Matches!$B$4,Partnerships!A11,0)</f>
        <v>44731</v>
      </c>
      <c r="N11" s="203">
        <f t="shared" si="0"/>
        <v>94371</v>
      </c>
      <c r="O11" s="203">
        <v>14</v>
      </c>
      <c r="P11" s="203">
        <f t="shared" si="1"/>
        <v>15</v>
      </c>
      <c r="Q11"/>
      <c r="R11" s="98">
        <f t="array" ref="R11:AB11">INDEX($B$2:$L$40,P11,)</f>
        <v>5</v>
      </c>
      <c r="S11" s="98">
        <v>48</v>
      </c>
      <c r="T11" s="98">
        <v>0</v>
      </c>
      <c r="U11" s="98" t="str">
        <v>Springer T</v>
      </c>
      <c r="V11" s="98">
        <v>29</v>
      </c>
      <c r="W11" s="183">
        <v>0</v>
      </c>
      <c r="X11" s="98" t="str">
        <v>Seymour C</v>
      </c>
      <c r="Y11" s="98">
        <v>36</v>
      </c>
      <c r="Z11" s="183" t="str">
        <v>*</v>
      </c>
      <c r="AA11" s="98" t="str">
        <f ca="1"/>
        <v>Worcester Park</v>
      </c>
      <c r="AB11" s="170">
        <f ca="1"/>
        <v>44780</v>
      </c>
      <c r="AN11" s="170"/>
    </row>
    <row r="12" spans="1:40" x14ac:dyDescent="0.15">
      <c r="K12" s="163" t="str">
        <f ca="1">OFFSET(Matches!$C$4,Partnerships!A12,0)</f>
        <v>Opp</v>
      </c>
      <c r="L12" s="164" t="str">
        <f ca="1">OFFSET(Matches!$B$4,Partnerships!A12,0)</f>
        <v>Date</v>
      </c>
      <c r="N12" s="203">
        <f t="shared" si="0"/>
        <v>9999995012</v>
      </c>
      <c r="O12" s="203">
        <v>19</v>
      </c>
      <c r="P12" s="203">
        <f t="shared" si="1"/>
        <v>12</v>
      </c>
      <c r="Q12"/>
      <c r="R12" s="98">
        <f t="array" ref="R12:AB12">INDEX($B$2:$L$40,P12,)</f>
        <v>6</v>
      </c>
      <c r="S12" s="98">
        <v>102</v>
      </c>
      <c r="T12" s="98">
        <v>0</v>
      </c>
      <c r="U12" s="98" t="str">
        <v>De S</v>
      </c>
      <c r="V12" s="98">
        <v>37</v>
      </c>
      <c r="W12" s="183">
        <v>0</v>
      </c>
      <c r="X12" s="98" t="str">
        <v>Mahmood S</v>
      </c>
      <c r="Y12" s="98">
        <v>47</v>
      </c>
      <c r="Z12" s="183">
        <v>0</v>
      </c>
      <c r="AA12" s="98" t="str">
        <f ca="1"/>
        <v>Morden</v>
      </c>
      <c r="AB12" s="170">
        <f ca="1"/>
        <v>44752</v>
      </c>
      <c r="AN12" s="170"/>
    </row>
    <row r="13" spans="1:40" x14ac:dyDescent="0.15">
      <c r="A13" s="98">
        <v>13</v>
      </c>
      <c r="B13" s="98">
        <v>6</v>
      </c>
      <c r="C13" s="98">
        <v>102</v>
      </c>
      <c r="E13" s="98" t="s">
        <v>324</v>
      </c>
      <c r="F13" s="98">
        <v>37</v>
      </c>
      <c r="H13" s="98" t="s">
        <v>575</v>
      </c>
      <c r="I13" s="98">
        <v>47</v>
      </c>
      <c r="K13" s="163" t="str">
        <f ca="1">OFFSET(Matches!$C$4,Partnerships!A13,0)</f>
        <v>Morden</v>
      </c>
      <c r="L13" s="164">
        <f ca="1">OFFSET(Matches!$B$4,Partnerships!A13,0)</f>
        <v>44752</v>
      </c>
      <c r="N13" s="203">
        <f t="shared" si="0"/>
        <v>63993</v>
      </c>
      <c r="O13" s="203">
        <v>11</v>
      </c>
      <c r="P13" s="203">
        <f t="shared" si="1"/>
        <v>6</v>
      </c>
      <c r="Q13"/>
      <c r="R13" s="98">
        <f t="array" ref="R13:AB13">INDEX($B$2:$L$40,P13,)</f>
        <v>6</v>
      </c>
      <c r="S13" s="98">
        <v>50</v>
      </c>
      <c r="T13" s="98">
        <v>0</v>
      </c>
      <c r="U13" s="98" t="str">
        <v>Seymour D</v>
      </c>
      <c r="V13" s="98">
        <v>114</v>
      </c>
      <c r="W13" s="183" t="str">
        <v>*</v>
      </c>
      <c r="X13" s="98" t="str">
        <v>Sharpe D</v>
      </c>
      <c r="Y13" s="98">
        <v>26</v>
      </c>
      <c r="Z13" s="183">
        <v>0</v>
      </c>
      <c r="AA13" s="98" t="str">
        <f ca="1"/>
        <v>Riverside</v>
      </c>
      <c r="AB13" s="170">
        <f ca="1"/>
        <v>44682</v>
      </c>
      <c r="AN13" s="170"/>
    </row>
    <row r="14" spans="1:40" x14ac:dyDescent="0.15">
      <c r="A14" s="98">
        <v>13</v>
      </c>
      <c r="B14" s="98">
        <v>9</v>
      </c>
      <c r="C14" s="98">
        <v>75</v>
      </c>
      <c r="D14" s="98" t="s">
        <v>223</v>
      </c>
      <c r="E14" s="98" t="s">
        <v>235</v>
      </c>
      <c r="F14" s="98">
        <v>35</v>
      </c>
      <c r="G14" s="98" t="s">
        <v>223</v>
      </c>
      <c r="H14" s="98" t="s">
        <v>201</v>
      </c>
      <c r="I14" s="98">
        <v>36</v>
      </c>
      <c r="J14" s="98" t="s">
        <v>223</v>
      </c>
      <c r="K14" s="163" t="str">
        <f ca="1">OFFSET(Matches!$C$4,Partnerships!A14,0)</f>
        <v>Morden</v>
      </c>
      <c r="L14" s="164">
        <f ca="1">OFFSET(Matches!$B$4,Partnerships!A14,0)</f>
        <v>44752</v>
      </c>
      <c r="N14" s="203">
        <f t="shared" si="0"/>
        <v>94264</v>
      </c>
      <c r="O14" s="203">
        <v>13</v>
      </c>
      <c r="P14" s="203">
        <f t="shared" si="1"/>
        <v>13</v>
      </c>
      <c r="Q14"/>
      <c r="R14" s="98">
        <f t="array" ref="R14:AB14">INDEX($B$2:$L$40,P14,)</f>
        <v>9</v>
      </c>
      <c r="S14" s="98">
        <v>75</v>
      </c>
      <c r="T14" s="98" t="str">
        <v>*</v>
      </c>
      <c r="U14" s="98" t="str">
        <v>Bhatt P</v>
      </c>
      <c r="V14" s="98">
        <v>35</v>
      </c>
      <c r="W14" s="183" t="str">
        <v>*</v>
      </c>
      <c r="X14" s="98" t="str">
        <v>Middleton J</v>
      </c>
      <c r="Y14" s="98">
        <v>36</v>
      </c>
      <c r="Z14" s="183" t="str">
        <v>*</v>
      </c>
      <c r="AA14" s="98" t="str">
        <f ca="1"/>
        <v>Morden</v>
      </c>
      <c r="AB14" s="170">
        <f ca="1"/>
        <v>44752</v>
      </c>
      <c r="AN14" s="170"/>
    </row>
    <row r="15" spans="1:40" x14ac:dyDescent="0.15">
      <c r="A15" s="98">
        <v>14</v>
      </c>
      <c r="B15" s="98">
        <v>2</v>
      </c>
      <c r="C15" s="98">
        <v>88</v>
      </c>
      <c r="E15" s="98" t="s">
        <v>587</v>
      </c>
      <c r="F15" s="98">
        <v>56</v>
      </c>
      <c r="H15" s="98" t="s">
        <v>245</v>
      </c>
      <c r="I15" s="98">
        <v>49</v>
      </c>
      <c r="K15" s="163" t="str">
        <f ca="1">OFFSET(Matches!$C$4,Partnerships!A15,0)</f>
        <v>Sanderstead</v>
      </c>
      <c r="L15" s="164">
        <f ca="1">OFFSET(Matches!$B$4,Partnerships!A15,0)</f>
        <v>44759</v>
      </c>
      <c r="N15" s="203">
        <f t="shared" si="0"/>
        <v>24135</v>
      </c>
      <c r="O15" s="203">
        <v>5</v>
      </c>
      <c r="P15" s="203">
        <f t="shared" si="1"/>
        <v>10</v>
      </c>
      <c r="Q15"/>
      <c r="R15" s="98">
        <f t="array" ref="R15:AB15">INDEX($B$2:$L$40,P15,)</f>
        <v>9</v>
      </c>
      <c r="S15" s="98">
        <v>64</v>
      </c>
      <c r="T15" s="98">
        <v>0</v>
      </c>
      <c r="U15" s="98" t="str">
        <v>Sharpe D</v>
      </c>
      <c r="V15" s="98">
        <v>86</v>
      </c>
      <c r="W15" s="183">
        <v>0</v>
      </c>
      <c r="X15" s="98" t="str">
        <v>Turner R</v>
      </c>
      <c r="Y15" s="98">
        <v>16</v>
      </c>
      <c r="Z15" s="183" t="str">
        <v>*</v>
      </c>
      <c r="AA15" s="98" t="str">
        <f ca="1"/>
        <v>Richmond Legbreakers</v>
      </c>
      <c r="AB15" s="170">
        <f ca="1"/>
        <v>44731</v>
      </c>
      <c r="AN15" s="170"/>
    </row>
    <row r="16" spans="1:40" x14ac:dyDescent="0.15">
      <c r="A16" s="98">
        <v>15</v>
      </c>
      <c r="B16" s="98">
        <v>5</v>
      </c>
      <c r="C16" s="98">
        <v>48</v>
      </c>
      <c r="E16" s="98" t="s">
        <v>222</v>
      </c>
      <c r="F16" s="98">
        <v>29</v>
      </c>
      <c r="H16" s="98" t="s">
        <v>196</v>
      </c>
      <c r="I16" s="98">
        <v>36</v>
      </c>
      <c r="J16" s="98" t="s">
        <v>223</v>
      </c>
      <c r="K16" s="163" t="str">
        <f ca="1">OFFSET(Matches!$C$4,Partnerships!A16,0)</f>
        <v>Worcester Park</v>
      </c>
      <c r="L16" s="164">
        <f ca="1">OFFSET(Matches!$B$4,Partnerships!A16,0)</f>
        <v>44780</v>
      </c>
      <c r="N16" s="203">
        <f t="shared" si="0"/>
        <v>54536</v>
      </c>
      <c r="O16" s="203">
        <v>10</v>
      </c>
      <c r="P16" s="203">
        <f t="shared" si="1"/>
        <v>7</v>
      </c>
      <c r="Q16"/>
      <c r="R16" s="98">
        <f t="array" ref="R16:AB16">INDEX($B$2:$L$40,P16,)</f>
        <v>9</v>
      </c>
      <c r="S16" s="98">
        <v>58</v>
      </c>
      <c r="T16" s="98">
        <v>0</v>
      </c>
      <c r="U16" s="98" t="str">
        <v>Seymour D</v>
      </c>
      <c r="V16" s="98">
        <v>114</v>
      </c>
      <c r="W16" s="183" t="str">
        <v>*</v>
      </c>
      <c r="X16" s="98" t="str">
        <v>Bhatt P</v>
      </c>
      <c r="Y16" s="98">
        <v>11</v>
      </c>
      <c r="Z16" s="183">
        <v>0</v>
      </c>
      <c r="AA16" s="98" t="str">
        <f ca="1"/>
        <v>Riverside</v>
      </c>
      <c r="AB16" s="170">
        <f ca="1"/>
        <v>44682</v>
      </c>
      <c r="AN16" s="170"/>
    </row>
    <row r="17" spans="1:40" x14ac:dyDescent="0.15">
      <c r="A17" s="98">
        <v>16</v>
      </c>
      <c r="B17" s="98">
        <v>3</v>
      </c>
      <c r="C17" s="98">
        <v>110</v>
      </c>
      <c r="E17" s="98" t="s">
        <v>324</v>
      </c>
      <c r="F17" s="98">
        <v>84</v>
      </c>
      <c r="H17" s="98" t="s">
        <v>235</v>
      </c>
      <c r="I17" s="98">
        <v>32</v>
      </c>
      <c r="K17" s="163" t="str">
        <f ca="1">OFFSET(Matches!$C$4,Partnerships!A17,0)</f>
        <v>Norwood Exiles</v>
      </c>
      <c r="L17" s="164">
        <f ca="1">OFFSET(Matches!$B$4,Partnerships!A17,0)</f>
        <v>44787</v>
      </c>
      <c r="N17" s="203">
        <f t="shared" si="0"/>
        <v>33917</v>
      </c>
      <c r="O17" s="203">
        <v>7</v>
      </c>
      <c r="P17" s="203">
        <f t="shared" si="1"/>
        <v>2</v>
      </c>
      <c r="Q17"/>
      <c r="R17" s="98">
        <f t="array" ref="R17:AB17">INDEX($B$2:$L$40,P17,)</f>
        <v>9</v>
      </c>
      <c r="S17" s="98">
        <v>43</v>
      </c>
      <c r="T17" s="98" t="str">
        <v>*</v>
      </c>
      <c r="U17" s="98" t="str">
        <v>De S</v>
      </c>
      <c r="V17" s="98">
        <v>50</v>
      </c>
      <c r="W17" s="183" t="str">
        <v>*</v>
      </c>
      <c r="X17" s="98" t="str">
        <v>Jain A</v>
      </c>
      <c r="Y17" s="98">
        <v>9</v>
      </c>
      <c r="Z17" s="183" t="str">
        <v>*</v>
      </c>
      <c r="AA17" s="98" t="str">
        <f ca="1"/>
        <v>Worcester Park</v>
      </c>
      <c r="AB17" s="170">
        <f ca="1"/>
        <v>44675</v>
      </c>
      <c r="AN17" s="170"/>
    </row>
    <row r="18" spans="1:40" x14ac:dyDescent="0.15">
      <c r="K18" s="163" t="str">
        <f ca="1">OFFSET(Matches!$C$4,Partnerships!A18,0)</f>
        <v>Opp</v>
      </c>
      <c r="L18" s="164" t="str">
        <f ca="1">OFFSET(Matches!$B$4,Partnerships!A18,0)</f>
        <v>Date</v>
      </c>
      <c r="N18" s="203">
        <f>IF(B18=0,999999,B18)*10000+5000-C18*10+ROW()</f>
        <v>9999995018</v>
      </c>
      <c r="O18" s="203">
        <v>20</v>
      </c>
      <c r="P18" s="203">
        <f t="shared" si="1"/>
        <v>1</v>
      </c>
      <c r="Q18"/>
      <c r="R18" s="98">
        <f t="array" ref="R18:AB18">INDEX($B$2:$L$40,P18,)</f>
        <v>0</v>
      </c>
      <c r="S18" s="98">
        <v>0</v>
      </c>
      <c r="T18" s="98">
        <v>0</v>
      </c>
      <c r="U18" s="98">
        <v>0</v>
      </c>
      <c r="V18" s="98">
        <v>0</v>
      </c>
      <c r="W18" s="183">
        <v>0</v>
      </c>
      <c r="X18" s="98">
        <v>0</v>
      </c>
      <c r="Y18" s="98">
        <v>0</v>
      </c>
      <c r="Z18" s="183">
        <v>0</v>
      </c>
      <c r="AA18" s="98" t="str">
        <f ca="1"/>
        <v>Opp</v>
      </c>
      <c r="AB18" s="170" t="str">
        <f ca="1"/>
        <v>Date</v>
      </c>
      <c r="AN18" s="170"/>
    </row>
    <row r="19" spans="1:40" x14ac:dyDescent="0.15">
      <c r="A19" s="98">
        <v>18</v>
      </c>
      <c r="B19" s="98">
        <v>1</v>
      </c>
      <c r="C19" s="98">
        <v>50</v>
      </c>
      <c r="E19" s="98" t="s">
        <v>196</v>
      </c>
      <c r="F19" s="98">
        <v>35</v>
      </c>
      <c r="H19" s="98" t="s">
        <v>387</v>
      </c>
      <c r="I19" s="98">
        <v>19</v>
      </c>
      <c r="K19" s="163" t="str">
        <f ca="1">OFFSET(Matches!$C$4,Partnerships!A19,0)</f>
        <v>Beddington</v>
      </c>
      <c r="L19" s="164">
        <f ca="1">OFFSET(Matches!$B$4,Partnerships!A19,0)</f>
        <v>44808</v>
      </c>
      <c r="N19" s="203">
        <f>IF(B19=0,999999,B19)*10000+5000-C19*10+ROW()</f>
        <v>14519</v>
      </c>
      <c r="O19" s="203">
        <v>3</v>
      </c>
      <c r="P19" s="203">
        <f t="shared" si="1"/>
        <v>3</v>
      </c>
      <c r="R19" s="98">
        <f t="array" ref="R19:AB19">INDEX($B$2:$L$40,P19,)</f>
        <v>0</v>
      </c>
      <c r="S19" s="98">
        <v>0</v>
      </c>
      <c r="T19" s="98">
        <v>0</v>
      </c>
      <c r="U19" s="98">
        <v>0</v>
      </c>
      <c r="V19" s="98">
        <v>0</v>
      </c>
      <c r="W19" s="183">
        <v>0</v>
      </c>
      <c r="X19" s="98">
        <v>0</v>
      </c>
      <c r="Y19" s="98">
        <v>0</v>
      </c>
      <c r="Z19" s="183">
        <v>0</v>
      </c>
      <c r="AA19" s="98" t="str">
        <f ca="1"/>
        <v>Opp</v>
      </c>
      <c r="AB19" s="170" t="str">
        <f ca="1"/>
        <v>Date</v>
      </c>
      <c r="AN19" s="170"/>
    </row>
    <row r="20" spans="1:40" x14ac:dyDescent="0.15">
      <c r="A20" s="98">
        <v>19</v>
      </c>
      <c r="B20" s="98">
        <v>1</v>
      </c>
      <c r="C20" s="98">
        <v>53</v>
      </c>
      <c r="E20" s="98" t="s">
        <v>387</v>
      </c>
      <c r="F20" s="98">
        <v>36</v>
      </c>
      <c r="H20" s="98" t="s">
        <v>196</v>
      </c>
      <c r="I20" s="98">
        <v>9</v>
      </c>
      <c r="K20" s="163" t="str">
        <f ca="1">OFFSET(Matches!$C$4,Partnerships!A20,0)</f>
        <v>Battersea Ironsides</v>
      </c>
      <c r="L20" s="164">
        <f ca="1">OFFSET(Matches!$B$4,Partnerships!A20,0)</f>
        <v>44815</v>
      </c>
      <c r="N20" s="203">
        <f>IF(B20=0,999999,B20)*10000+5000-C20*10+ROW()</f>
        <v>14490</v>
      </c>
      <c r="O20" s="203">
        <v>2</v>
      </c>
      <c r="P20" s="203">
        <f t="shared" si="1"/>
        <v>11</v>
      </c>
      <c r="R20" s="98">
        <f t="array" ref="R20:AB20">INDEX($B$2:$L$40,P20,)</f>
        <v>0</v>
      </c>
      <c r="S20" s="98">
        <v>0</v>
      </c>
      <c r="T20" s="98">
        <v>0</v>
      </c>
      <c r="U20" s="98">
        <v>0</v>
      </c>
      <c r="V20" s="98">
        <v>0</v>
      </c>
      <c r="W20" s="183">
        <v>0</v>
      </c>
      <c r="X20" s="98">
        <v>0</v>
      </c>
      <c r="Y20" s="98">
        <v>0</v>
      </c>
      <c r="Z20" s="183">
        <v>0</v>
      </c>
      <c r="AA20" s="98" t="str">
        <f ca="1"/>
        <v>Opp</v>
      </c>
      <c r="AB20" s="170" t="str">
        <f ca="1"/>
        <v>Date</v>
      </c>
      <c r="AN20" s="170"/>
    </row>
    <row r="21" spans="1:40" x14ac:dyDescent="0.15">
      <c r="A21" s="98">
        <v>20</v>
      </c>
      <c r="B21" s="98">
        <v>1</v>
      </c>
      <c r="C21" s="98">
        <v>54</v>
      </c>
      <c r="E21" s="98" t="s">
        <v>387</v>
      </c>
      <c r="F21" s="98">
        <v>52</v>
      </c>
      <c r="H21" s="98" t="s">
        <v>196</v>
      </c>
      <c r="I21" s="98">
        <v>7</v>
      </c>
      <c r="K21" s="163" t="str">
        <f ca="1">OFFSET(Matches!$C$4,Partnerships!A21,0)</f>
        <v>Ploughman's Sunday XI</v>
      </c>
      <c r="L21" s="164">
        <f ca="1">OFFSET(Matches!$B$4,Partnerships!A21,0)</f>
        <v>44822</v>
      </c>
      <c r="N21" s="203">
        <f>IF(B21=0,999999,B21)*10000+5000-C21*10+ROW()</f>
        <v>14481</v>
      </c>
      <c r="O21" s="203">
        <v>1</v>
      </c>
      <c r="P21" s="203">
        <f t="shared" si="1"/>
        <v>17</v>
      </c>
      <c r="R21" s="98">
        <f t="array" ref="R21:AB21">INDEX($B$2:$L$40,P21,)</f>
        <v>0</v>
      </c>
      <c r="S21" s="98">
        <v>0</v>
      </c>
      <c r="T21" s="98">
        <v>0</v>
      </c>
      <c r="U21" s="98">
        <v>0</v>
      </c>
      <c r="V21" s="98">
        <v>0</v>
      </c>
      <c r="W21" s="183">
        <v>0</v>
      </c>
      <c r="X21" s="98">
        <v>0</v>
      </c>
      <c r="Y21" s="98">
        <v>0</v>
      </c>
      <c r="Z21" s="183">
        <v>0</v>
      </c>
      <c r="AA21" s="98" t="str">
        <f ca="1"/>
        <v>Opp</v>
      </c>
      <c r="AB21" s="170" t="str">
        <f ca="1"/>
        <v>Date</v>
      </c>
    </row>
    <row r="22" spans="1:40" x14ac:dyDescent="0.15">
      <c r="K22" s="163" t="str">
        <f ca="1">OFFSET(Matches!$C$4,Partnerships!A22,0)</f>
        <v>Opp</v>
      </c>
      <c r="L22" s="164" t="str">
        <f ca="1">OFFSET(Matches!$B$4,Partnerships!A22,0)</f>
        <v>Date</v>
      </c>
      <c r="N22" s="203">
        <f t="shared" si="0"/>
        <v>9999995022</v>
      </c>
      <c r="O22" s="203">
        <v>21</v>
      </c>
      <c r="P22" s="203">
        <f t="shared" si="1"/>
        <v>21</v>
      </c>
      <c r="R22" s="98">
        <f t="array" ref="R22:AB22">INDEX($B$2:$L$40,P22,)</f>
        <v>0</v>
      </c>
      <c r="S22" s="98">
        <v>0</v>
      </c>
      <c r="T22" s="98">
        <v>0</v>
      </c>
      <c r="U22" s="98">
        <v>0</v>
      </c>
      <c r="V22" s="98">
        <v>0</v>
      </c>
      <c r="W22" s="183">
        <v>0</v>
      </c>
      <c r="X22" s="98">
        <v>0</v>
      </c>
      <c r="Y22" s="98">
        <v>0</v>
      </c>
      <c r="Z22" s="183">
        <v>0</v>
      </c>
      <c r="AA22" s="98" t="str">
        <f ca="1"/>
        <v>Opp</v>
      </c>
      <c r="AB22" s="170" t="str">
        <f ca="1"/>
        <v>Date</v>
      </c>
    </row>
    <row r="23" spans="1:40" x14ac:dyDescent="0.15">
      <c r="K23" s="163" t="str">
        <f ca="1">OFFSET(Matches!$C$4,Partnerships!A23,0)</f>
        <v>Opp</v>
      </c>
      <c r="L23" s="164" t="str">
        <f ca="1">OFFSET(Matches!$B$4,Partnerships!A23,0)</f>
        <v>Date</v>
      </c>
      <c r="N23" s="203">
        <f t="shared" si="0"/>
        <v>9999995023</v>
      </c>
      <c r="O23" s="203">
        <v>22</v>
      </c>
      <c r="P23" s="203">
        <f t="shared" si="1"/>
        <v>22</v>
      </c>
      <c r="R23" s="98">
        <f t="array" ref="R23:AB23">INDEX($B$2:$L$40,P23,)</f>
        <v>0</v>
      </c>
      <c r="S23" s="98">
        <v>0</v>
      </c>
      <c r="T23" s="98">
        <v>0</v>
      </c>
      <c r="U23" s="98">
        <v>0</v>
      </c>
      <c r="V23" s="98">
        <v>0</v>
      </c>
      <c r="W23" s="183">
        <v>0</v>
      </c>
      <c r="X23" s="98">
        <v>0</v>
      </c>
      <c r="Y23" s="98">
        <v>0</v>
      </c>
      <c r="Z23" s="183">
        <v>0</v>
      </c>
      <c r="AA23" s="98" t="str">
        <f ca="1"/>
        <v>Opp</v>
      </c>
      <c r="AB23" s="170" t="str">
        <f ca="1"/>
        <v>Date</v>
      </c>
    </row>
    <row r="24" spans="1:40" x14ac:dyDescent="0.15">
      <c r="G24"/>
      <c r="J24"/>
      <c r="K24" s="163" t="str">
        <f ca="1">OFFSET(Matches!$C$4,Partnerships!A24,0)</f>
        <v>Opp</v>
      </c>
      <c r="L24" s="164" t="str">
        <f ca="1">OFFSET(Matches!$B$4,Partnerships!A24,0)</f>
        <v>Date</v>
      </c>
      <c r="N24" s="203">
        <f t="shared" si="0"/>
        <v>9999995024</v>
      </c>
      <c r="O24" s="203">
        <v>23</v>
      </c>
      <c r="P24" s="203">
        <f t="shared" si="1"/>
        <v>23</v>
      </c>
      <c r="R24" s="98">
        <f t="array" ref="R24:AB24">INDEX($B$2:$L$40,P24,)</f>
        <v>0</v>
      </c>
      <c r="S24" s="98">
        <v>0</v>
      </c>
      <c r="T24" s="98">
        <v>0</v>
      </c>
      <c r="U24" s="98">
        <v>0</v>
      </c>
      <c r="V24" s="98">
        <v>0</v>
      </c>
      <c r="W24" s="183">
        <v>0</v>
      </c>
      <c r="X24" s="98">
        <v>0</v>
      </c>
      <c r="Y24" s="98">
        <v>0</v>
      </c>
      <c r="Z24" s="183">
        <v>0</v>
      </c>
      <c r="AA24" s="98" t="str">
        <f ca="1"/>
        <v>Opp</v>
      </c>
      <c r="AB24" s="170" t="str">
        <f ca="1"/>
        <v>Date</v>
      </c>
    </row>
    <row r="25" spans="1:40" x14ac:dyDescent="0.15">
      <c r="G25"/>
      <c r="J25"/>
      <c r="K25" s="163" t="str">
        <f ca="1">OFFSET(Matches!$C$4,Partnerships!A25,0)</f>
        <v>Opp</v>
      </c>
      <c r="L25" s="164" t="str">
        <f ca="1">OFFSET(Matches!$B$4,Partnerships!A25,0)</f>
        <v>Date</v>
      </c>
      <c r="N25" s="203">
        <f t="shared" si="0"/>
        <v>9999995025</v>
      </c>
      <c r="O25" s="203">
        <v>24</v>
      </c>
      <c r="P25" s="203">
        <f t="shared" si="1"/>
        <v>24</v>
      </c>
      <c r="R25" s="98">
        <f t="array" ref="R25:AB25">INDEX($B$2:$L$40,P25,)</f>
        <v>0</v>
      </c>
      <c r="S25" s="98">
        <v>0</v>
      </c>
      <c r="T25" s="98">
        <v>0</v>
      </c>
      <c r="U25" s="98">
        <v>0</v>
      </c>
      <c r="V25" s="98">
        <v>0</v>
      </c>
      <c r="W25" s="183">
        <v>0</v>
      </c>
      <c r="X25" s="98">
        <v>0</v>
      </c>
      <c r="Y25" s="98">
        <v>0</v>
      </c>
      <c r="Z25" s="183">
        <v>0</v>
      </c>
      <c r="AA25" s="98" t="str">
        <f ca="1"/>
        <v>Opp</v>
      </c>
      <c r="AB25" s="170" t="str">
        <f ca="1"/>
        <v>Date</v>
      </c>
    </row>
    <row r="26" spans="1:40" x14ac:dyDescent="0.15">
      <c r="G26"/>
      <c r="H26"/>
      <c r="I26"/>
      <c r="J26"/>
      <c r="K26" s="163" t="str">
        <f ca="1">OFFSET(Matches!$C$4,Partnerships!A26,0)</f>
        <v>Opp</v>
      </c>
      <c r="L26" s="164" t="str">
        <f ca="1">OFFSET(Matches!$B$4,Partnerships!A26,0)</f>
        <v>Date</v>
      </c>
      <c r="N26" s="203">
        <f t="shared" si="0"/>
        <v>9999995026</v>
      </c>
      <c r="O26" s="203">
        <v>25</v>
      </c>
      <c r="P26" s="203">
        <f t="shared" si="1"/>
        <v>25</v>
      </c>
      <c r="R26" s="98">
        <f t="array" ref="R26:AB26">INDEX($B$2:$L$40,P26,)</f>
        <v>0</v>
      </c>
      <c r="S26" s="98">
        <v>0</v>
      </c>
      <c r="T26" s="98">
        <v>0</v>
      </c>
      <c r="U26" s="98">
        <v>0</v>
      </c>
      <c r="V26" s="98">
        <v>0</v>
      </c>
      <c r="W26" s="183">
        <v>0</v>
      </c>
      <c r="X26" s="98">
        <v>0</v>
      </c>
      <c r="Y26" s="98">
        <v>0</v>
      </c>
      <c r="Z26" s="183">
        <v>0</v>
      </c>
      <c r="AA26" s="98" t="str">
        <f ca="1"/>
        <v>Opp</v>
      </c>
      <c r="AB26" s="170" t="str">
        <f ca="1"/>
        <v>Date</v>
      </c>
    </row>
    <row r="27" spans="1:40" x14ac:dyDescent="0.15">
      <c r="G27"/>
      <c r="H27"/>
      <c r="I27"/>
      <c r="J27"/>
      <c r="K27" s="163" t="str">
        <f ca="1">OFFSET(Matches!$C$4,Partnerships!A27,0)</f>
        <v>Opp</v>
      </c>
      <c r="L27" s="164" t="str">
        <f ca="1">OFFSET(Matches!$B$4,Partnerships!A27,0)</f>
        <v>Date</v>
      </c>
      <c r="N27" s="203">
        <f t="shared" si="0"/>
        <v>9999995027</v>
      </c>
      <c r="O27" s="203">
        <v>26</v>
      </c>
      <c r="P27" s="203">
        <f t="shared" si="1"/>
        <v>26</v>
      </c>
      <c r="R27" s="98">
        <f t="array" ref="R27:AB27">INDEX($B$2:$L$40,P27,)</f>
        <v>0</v>
      </c>
      <c r="S27" s="98">
        <v>0</v>
      </c>
      <c r="T27" s="98">
        <v>0</v>
      </c>
      <c r="U27" s="98">
        <v>0</v>
      </c>
      <c r="V27" s="98">
        <v>0</v>
      </c>
      <c r="W27" s="183">
        <v>0</v>
      </c>
      <c r="X27" s="98">
        <v>0</v>
      </c>
      <c r="Y27" s="98">
        <v>0</v>
      </c>
      <c r="Z27" s="183">
        <v>0</v>
      </c>
      <c r="AA27" s="98" t="str">
        <f ca="1"/>
        <v>Opp</v>
      </c>
      <c r="AB27" s="170" t="str">
        <f ca="1"/>
        <v>Date</v>
      </c>
    </row>
    <row r="28" spans="1:40" x14ac:dyDescent="0.15">
      <c r="G28"/>
      <c r="H28"/>
      <c r="I28"/>
      <c r="J28"/>
      <c r="K28" s="163" t="str">
        <f ca="1">OFFSET(Matches!$C$4,Partnerships!A28,0)</f>
        <v>Opp</v>
      </c>
      <c r="L28" s="164" t="str">
        <f ca="1">OFFSET(Matches!$B$4,Partnerships!A28,0)</f>
        <v>Date</v>
      </c>
      <c r="N28" s="203">
        <f t="shared" si="0"/>
        <v>9999995028</v>
      </c>
      <c r="O28" s="203">
        <v>27</v>
      </c>
      <c r="P28" s="203">
        <f t="shared" si="1"/>
        <v>27</v>
      </c>
      <c r="R28" s="98">
        <f t="array" ref="R28:AB28">INDEX($B$2:$L$40,P28,)</f>
        <v>0</v>
      </c>
      <c r="S28" s="98">
        <v>0</v>
      </c>
      <c r="T28" s="98">
        <v>0</v>
      </c>
      <c r="U28" s="98">
        <v>0</v>
      </c>
      <c r="V28" s="98">
        <v>0</v>
      </c>
      <c r="W28" s="183">
        <v>0</v>
      </c>
      <c r="X28" s="98">
        <v>0</v>
      </c>
      <c r="Y28" s="98">
        <v>0</v>
      </c>
      <c r="Z28" s="183">
        <v>0</v>
      </c>
      <c r="AA28" s="98" t="str">
        <f ca="1"/>
        <v>Opp</v>
      </c>
      <c r="AB28" s="170" t="str">
        <f ca="1"/>
        <v>Date</v>
      </c>
      <c r="AC28"/>
    </row>
    <row r="29" spans="1:40" x14ac:dyDescent="0.15">
      <c r="G29"/>
      <c r="H29"/>
      <c r="I29"/>
      <c r="J29"/>
      <c r="K29" s="163" t="str">
        <f ca="1">OFFSET(Matches!$C$4,Partnerships!A29,0)</f>
        <v>Opp</v>
      </c>
      <c r="L29" s="164" t="str">
        <f ca="1">OFFSET(Matches!$B$4,Partnerships!A29,0)</f>
        <v>Date</v>
      </c>
      <c r="N29" s="203">
        <f t="shared" si="0"/>
        <v>9999995029</v>
      </c>
      <c r="O29" s="203">
        <v>28</v>
      </c>
      <c r="P29" s="203">
        <f t="shared" si="1"/>
        <v>28</v>
      </c>
      <c r="R29" s="98">
        <f t="array" ref="R29:AB29">INDEX($B$2:$L$40,P29,)</f>
        <v>0</v>
      </c>
      <c r="S29" s="98">
        <v>0</v>
      </c>
      <c r="T29" s="98">
        <v>0</v>
      </c>
      <c r="U29" s="98">
        <v>0</v>
      </c>
      <c r="V29" s="98">
        <v>0</v>
      </c>
      <c r="W29" s="183">
        <v>0</v>
      </c>
      <c r="X29" s="98">
        <v>0</v>
      </c>
      <c r="Y29" s="98">
        <v>0</v>
      </c>
      <c r="Z29" s="183">
        <v>0</v>
      </c>
      <c r="AA29" s="98" t="str">
        <f ca="1"/>
        <v>Opp</v>
      </c>
      <c r="AB29" s="170" t="str">
        <f ca="1"/>
        <v>Date</v>
      </c>
      <c r="AC29"/>
    </row>
    <row r="30" spans="1:40" x14ac:dyDescent="0.15">
      <c r="G30"/>
      <c r="H30"/>
      <c r="I30"/>
      <c r="J30"/>
      <c r="K30" s="163" t="str">
        <f ca="1">OFFSET(Matches!$C$4,Partnerships!A30,0)</f>
        <v>Opp</v>
      </c>
      <c r="L30" s="164" t="str">
        <f ca="1">OFFSET(Matches!$B$4,Partnerships!A30,0)</f>
        <v>Date</v>
      </c>
      <c r="N30" s="203">
        <f t="shared" si="0"/>
        <v>9999995030</v>
      </c>
      <c r="O30" s="203">
        <v>29</v>
      </c>
      <c r="P30" s="203">
        <f t="shared" si="1"/>
        <v>29</v>
      </c>
      <c r="R30" s="98">
        <f t="array" ref="R30:AB30">INDEX($B$2:$L$40,P30,)</f>
        <v>0</v>
      </c>
      <c r="S30" s="98">
        <v>0</v>
      </c>
      <c r="T30" s="98">
        <v>0</v>
      </c>
      <c r="U30" s="98">
        <v>0</v>
      </c>
      <c r="V30" s="98">
        <v>0</v>
      </c>
      <c r="W30" s="183">
        <v>0</v>
      </c>
      <c r="X30" s="98">
        <v>0</v>
      </c>
      <c r="Y30" s="98">
        <v>0</v>
      </c>
      <c r="Z30" s="183">
        <v>0</v>
      </c>
      <c r="AA30" s="98" t="str">
        <f ca="1"/>
        <v>Opp</v>
      </c>
      <c r="AB30" s="170" t="str">
        <f ca="1"/>
        <v>Date</v>
      </c>
      <c r="AC30"/>
    </row>
    <row r="31" spans="1:40" x14ac:dyDescent="0.15">
      <c r="G31"/>
      <c r="H31"/>
      <c r="I31"/>
      <c r="J31"/>
      <c r="K31" s="163" t="str">
        <f ca="1">OFFSET(Matches!$C$4,Partnerships!A31,0)</f>
        <v>Opp</v>
      </c>
      <c r="L31" s="164" t="str">
        <f ca="1">OFFSET(Matches!$B$4,Partnerships!A31,0)</f>
        <v>Date</v>
      </c>
      <c r="N31" s="203">
        <f t="shared" si="0"/>
        <v>9999995031</v>
      </c>
      <c r="O31" s="203">
        <v>30</v>
      </c>
      <c r="P31" s="203">
        <f t="shared" si="1"/>
        <v>30</v>
      </c>
      <c r="R31" s="98">
        <f t="array" ref="R31:AB31">INDEX($B$2:$L$40,P31,)</f>
        <v>0</v>
      </c>
      <c r="S31" s="98">
        <v>0</v>
      </c>
      <c r="T31" s="98">
        <v>0</v>
      </c>
      <c r="U31" s="98">
        <v>0</v>
      </c>
      <c r="V31" s="98">
        <v>0</v>
      </c>
      <c r="W31" s="183">
        <v>0</v>
      </c>
      <c r="X31" s="98">
        <v>0</v>
      </c>
      <c r="Y31" s="98">
        <v>0</v>
      </c>
      <c r="Z31" s="183">
        <v>0</v>
      </c>
      <c r="AA31" s="98" t="str">
        <f ca="1"/>
        <v>Opp</v>
      </c>
      <c r="AB31" s="170" t="str">
        <f ca="1"/>
        <v>Date</v>
      </c>
      <c r="AC31"/>
    </row>
    <row r="32" spans="1:40" x14ac:dyDescent="0.15">
      <c r="G32"/>
      <c r="H32"/>
      <c r="I32"/>
      <c r="J32"/>
      <c r="K32" s="163" t="str">
        <f ca="1">OFFSET(Matches!$C$4,Partnerships!A32,0)</f>
        <v>Opp</v>
      </c>
      <c r="L32" s="164" t="str">
        <f ca="1">OFFSET(Matches!$B$4,Partnerships!A32,0)</f>
        <v>Date</v>
      </c>
      <c r="N32" s="203">
        <f t="shared" si="0"/>
        <v>9999995032</v>
      </c>
      <c r="O32" s="203">
        <v>31</v>
      </c>
      <c r="P32" s="203">
        <f t="shared" si="1"/>
        <v>31</v>
      </c>
      <c r="R32" s="98">
        <f t="array" ref="R32:AB32">INDEX($B$2:$L$40,P32,)</f>
        <v>0</v>
      </c>
      <c r="S32" s="98">
        <v>0</v>
      </c>
      <c r="T32" s="98">
        <v>0</v>
      </c>
      <c r="U32" s="98">
        <v>0</v>
      </c>
      <c r="V32" s="98">
        <v>0</v>
      </c>
      <c r="W32" s="183">
        <v>0</v>
      </c>
      <c r="X32" s="98">
        <v>0</v>
      </c>
      <c r="Y32" s="98">
        <v>0</v>
      </c>
      <c r="Z32" s="183">
        <v>0</v>
      </c>
      <c r="AA32" s="98" t="str">
        <f ca="1"/>
        <v>Opp</v>
      </c>
      <c r="AB32" s="170" t="str">
        <f ca="1"/>
        <v>Date</v>
      </c>
      <c r="AC32"/>
    </row>
    <row r="33" spans="7:29" x14ac:dyDescent="0.15">
      <c r="G33"/>
      <c r="H33"/>
      <c r="I33"/>
      <c r="J33"/>
      <c r="K33" s="163" t="str">
        <f ca="1">OFFSET(Matches!$C$4,Partnerships!A33,0)</f>
        <v>Opp</v>
      </c>
      <c r="L33" s="164" t="str">
        <f ca="1">OFFSET(Matches!$B$4,Partnerships!A33,0)</f>
        <v>Date</v>
      </c>
      <c r="N33" s="203">
        <f t="shared" si="0"/>
        <v>9999995033</v>
      </c>
      <c r="O33" s="203">
        <v>32</v>
      </c>
      <c r="P33" s="203">
        <f t="shared" si="1"/>
        <v>32</v>
      </c>
      <c r="R33" s="98">
        <f t="array" ref="R33:AB33">INDEX($B$2:$L$40,P33,)</f>
        <v>0</v>
      </c>
      <c r="S33" s="98">
        <v>0</v>
      </c>
      <c r="T33" s="98">
        <v>0</v>
      </c>
      <c r="U33" s="98">
        <v>0</v>
      </c>
      <c r="V33" s="98">
        <v>0</v>
      </c>
      <c r="W33" s="183">
        <v>0</v>
      </c>
      <c r="X33" s="98">
        <v>0</v>
      </c>
      <c r="Y33" s="98">
        <v>0</v>
      </c>
      <c r="Z33" s="183">
        <v>0</v>
      </c>
      <c r="AA33" s="98" t="str">
        <f ca="1"/>
        <v>Opp</v>
      </c>
      <c r="AB33" s="170" t="str">
        <f ca="1"/>
        <v>Date</v>
      </c>
      <c r="AC33"/>
    </row>
    <row r="34" spans="7:29" x14ac:dyDescent="0.15">
      <c r="G34"/>
      <c r="H34"/>
      <c r="I34"/>
      <c r="J34"/>
      <c r="K34" s="163" t="str">
        <f ca="1">OFFSET(Matches!$C$4,Partnerships!A34,0)</f>
        <v>Opp</v>
      </c>
      <c r="L34" s="164" t="str">
        <f ca="1">OFFSET(Matches!$B$4,Partnerships!A34,0)</f>
        <v>Date</v>
      </c>
      <c r="N34" s="203">
        <f t="shared" si="0"/>
        <v>9999995034</v>
      </c>
      <c r="O34" s="203">
        <v>33</v>
      </c>
      <c r="P34" s="203">
        <f t="shared" si="1"/>
        <v>33</v>
      </c>
      <c r="R34" s="98">
        <f t="array" ref="R34:AB34">INDEX($B$2:$L$40,P34,)</f>
        <v>0</v>
      </c>
      <c r="S34" s="98">
        <v>0</v>
      </c>
      <c r="T34" s="98">
        <v>0</v>
      </c>
      <c r="U34" s="98">
        <v>0</v>
      </c>
      <c r="V34" s="98">
        <v>0</v>
      </c>
      <c r="W34" s="183">
        <v>0</v>
      </c>
      <c r="X34" s="98">
        <v>0</v>
      </c>
      <c r="Y34" s="98">
        <v>0</v>
      </c>
      <c r="Z34" s="183">
        <v>0</v>
      </c>
      <c r="AA34" s="98" t="str">
        <f ca="1"/>
        <v>Opp</v>
      </c>
      <c r="AB34" s="170" t="str">
        <f ca="1"/>
        <v>Date</v>
      </c>
      <c r="AC34"/>
    </row>
    <row r="35" spans="7:29" x14ac:dyDescent="0.15">
      <c r="G35"/>
      <c r="H35"/>
      <c r="I35"/>
      <c r="J35"/>
      <c r="K35" s="163" t="str">
        <f ca="1">OFFSET(Matches!$C$4,Partnerships!A35,0)</f>
        <v>Opp</v>
      </c>
      <c r="L35" s="164" t="str">
        <f ca="1">OFFSET(Matches!$B$4,Partnerships!A35,0)</f>
        <v>Date</v>
      </c>
      <c r="N35" s="203">
        <f t="shared" si="0"/>
        <v>9999995035</v>
      </c>
      <c r="O35" s="203">
        <v>34</v>
      </c>
      <c r="P35" s="203">
        <f t="shared" si="1"/>
        <v>34</v>
      </c>
      <c r="R35" s="98">
        <f t="array" ref="R35:AB35">INDEX($B$2:$L$40,P35,)</f>
        <v>0</v>
      </c>
      <c r="S35" s="98">
        <v>0</v>
      </c>
      <c r="T35" s="98">
        <v>0</v>
      </c>
      <c r="U35" s="98">
        <v>0</v>
      </c>
      <c r="V35" s="98">
        <v>0</v>
      </c>
      <c r="W35" s="183">
        <v>0</v>
      </c>
      <c r="X35" s="98">
        <v>0</v>
      </c>
      <c r="Y35" s="98">
        <v>0</v>
      </c>
      <c r="Z35" s="183">
        <v>0</v>
      </c>
      <c r="AA35" s="98" t="str">
        <f ca="1"/>
        <v>Opp</v>
      </c>
      <c r="AB35" s="170" t="str">
        <f ca="1"/>
        <v>Date</v>
      </c>
      <c r="AC35"/>
    </row>
    <row r="36" spans="7:29" x14ac:dyDescent="0.15">
      <c r="G36"/>
      <c r="H36"/>
      <c r="I36"/>
      <c r="J36"/>
      <c r="K36" s="163" t="str">
        <f ca="1">OFFSET(Matches!$C$4,Partnerships!A36,0)</f>
        <v>Opp</v>
      </c>
      <c r="L36" s="164" t="str">
        <f ca="1">OFFSET(Matches!$B$4,Partnerships!A36,0)</f>
        <v>Date</v>
      </c>
      <c r="N36" s="203">
        <f t="shared" si="0"/>
        <v>9999995036</v>
      </c>
      <c r="O36" s="203">
        <v>35</v>
      </c>
      <c r="P36" s="203">
        <f t="shared" si="1"/>
        <v>35</v>
      </c>
      <c r="R36" s="98">
        <f t="array" ref="R36:AB36">INDEX($B$2:$L$40,P36,)</f>
        <v>0</v>
      </c>
      <c r="S36" s="98">
        <v>0</v>
      </c>
      <c r="T36" s="98">
        <v>0</v>
      </c>
      <c r="U36" s="98">
        <v>0</v>
      </c>
      <c r="V36" s="98">
        <v>0</v>
      </c>
      <c r="W36" s="183">
        <v>0</v>
      </c>
      <c r="X36" s="98">
        <v>0</v>
      </c>
      <c r="Y36" s="98">
        <v>0</v>
      </c>
      <c r="Z36" s="183">
        <v>0</v>
      </c>
      <c r="AA36" s="98" t="str">
        <f ca="1"/>
        <v>Opp</v>
      </c>
      <c r="AB36" s="170" t="str">
        <f ca="1"/>
        <v>Date</v>
      </c>
      <c r="AC36"/>
    </row>
    <row r="37" spans="7:29" x14ac:dyDescent="0.15">
      <c r="G37"/>
      <c r="H37"/>
      <c r="I37"/>
      <c r="J37"/>
      <c r="K37" s="163" t="str">
        <f ca="1">OFFSET(Matches!$C$4,Partnerships!A37,0)</f>
        <v>Opp</v>
      </c>
      <c r="L37" s="164" t="str">
        <f ca="1">OFFSET(Matches!$B$4,Partnerships!A37,0)</f>
        <v>Date</v>
      </c>
      <c r="N37" s="203">
        <f t="shared" si="0"/>
        <v>9999995037</v>
      </c>
      <c r="O37" s="203">
        <v>36</v>
      </c>
      <c r="P37" s="203">
        <f t="shared" si="1"/>
        <v>36</v>
      </c>
      <c r="R37" s="98">
        <f t="array" ref="R37:AB37">INDEX($B$2:$L$40,P37,)</f>
        <v>0</v>
      </c>
      <c r="S37" s="98">
        <v>0</v>
      </c>
      <c r="T37" s="98">
        <v>0</v>
      </c>
      <c r="U37" s="98">
        <v>0</v>
      </c>
      <c r="V37" s="98">
        <v>0</v>
      </c>
      <c r="W37" s="183">
        <v>0</v>
      </c>
      <c r="X37" s="98">
        <v>0</v>
      </c>
      <c r="Y37" s="98">
        <v>0</v>
      </c>
      <c r="Z37" s="183">
        <v>0</v>
      </c>
      <c r="AA37" s="98" t="str">
        <f ca="1"/>
        <v>Opp</v>
      </c>
      <c r="AB37" s="170" t="str">
        <f ca="1"/>
        <v>Date</v>
      </c>
      <c r="AC37"/>
    </row>
    <row r="38" spans="7:29" x14ac:dyDescent="0.15">
      <c r="G38"/>
      <c r="H38"/>
      <c r="I38"/>
      <c r="J38"/>
      <c r="K38" s="163" t="str">
        <f ca="1">OFFSET(Matches!$C$4,Partnerships!A38,0)</f>
        <v>Opp</v>
      </c>
      <c r="L38" s="164" t="str">
        <f ca="1">OFFSET(Matches!$B$4,Partnerships!A38,0)</f>
        <v>Date</v>
      </c>
      <c r="N38" s="203">
        <f t="shared" si="0"/>
        <v>9999995038</v>
      </c>
      <c r="O38" s="203">
        <v>37</v>
      </c>
      <c r="P38" s="203">
        <f t="shared" si="1"/>
        <v>37</v>
      </c>
      <c r="R38" s="98">
        <f t="array" ref="R38:AB38">INDEX($B$2:$L$40,P38,)</f>
        <v>0</v>
      </c>
      <c r="S38" s="98">
        <v>0</v>
      </c>
      <c r="T38" s="98">
        <v>0</v>
      </c>
      <c r="U38" s="98">
        <v>0</v>
      </c>
      <c r="V38" s="98">
        <v>0</v>
      </c>
      <c r="W38" s="183">
        <v>0</v>
      </c>
      <c r="X38" s="98">
        <v>0</v>
      </c>
      <c r="Y38" s="98">
        <v>0</v>
      </c>
      <c r="Z38" s="183">
        <v>0</v>
      </c>
      <c r="AA38" s="98" t="str">
        <f ca="1"/>
        <v>Opp</v>
      </c>
      <c r="AB38" s="170" t="str">
        <f ca="1"/>
        <v>Date</v>
      </c>
      <c r="AC38"/>
    </row>
    <row r="39" spans="7:29" x14ac:dyDescent="0.15">
      <c r="G39"/>
      <c r="H39"/>
      <c r="I39"/>
      <c r="J39"/>
      <c r="K39" s="163" t="str">
        <f ca="1">OFFSET(Matches!$C$4,Partnerships!A39,0)</f>
        <v>Opp</v>
      </c>
      <c r="L39" s="164" t="str">
        <f ca="1">OFFSET(Matches!$B$4,Partnerships!A39,0)</f>
        <v>Date</v>
      </c>
      <c r="N39" s="203">
        <f t="shared" si="0"/>
        <v>9999995039</v>
      </c>
      <c r="O39" s="203">
        <v>38</v>
      </c>
      <c r="P39" s="203">
        <f t="shared" si="1"/>
        <v>38</v>
      </c>
      <c r="R39" s="98">
        <f t="array" ref="R39:AB39">INDEX($B$2:$L$40,P39,)</f>
        <v>0</v>
      </c>
      <c r="S39" s="98">
        <v>0</v>
      </c>
      <c r="T39" s="98">
        <v>0</v>
      </c>
      <c r="U39" s="98">
        <v>0</v>
      </c>
      <c r="V39" s="98">
        <v>0</v>
      </c>
      <c r="W39" s="183">
        <v>0</v>
      </c>
      <c r="X39" s="98">
        <v>0</v>
      </c>
      <c r="Y39" s="98">
        <v>0</v>
      </c>
      <c r="Z39" s="183">
        <v>0</v>
      </c>
      <c r="AA39" s="98" t="str">
        <f ca="1"/>
        <v>Opp</v>
      </c>
      <c r="AB39" s="170" t="str">
        <f ca="1"/>
        <v>Date</v>
      </c>
      <c r="AC39"/>
    </row>
    <row r="40" spans="7:29" x14ac:dyDescent="0.15">
      <c r="H40"/>
      <c r="I40"/>
      <c r="J40"/>
      <c r="K40" s="163" t="str">
        <f ca="1">OFFSET(Matches!$C$4,Partnerships!A40,0)</f>
        <v>Opp</v>
      </c>
      <c r="L40" s="164" t="str">
        <f ca="1">OFFSET(Matches!$B$4,Partnerships!A40,0)</f>
        <v>Date</v>
      </c>
      <c r="N40" s="203">
        <f t="shared" si="0"/>
        <v>9999995040</v>
      </c>
      <c r="O40" s="203">
        <v>39</v>
      </c>
      <c r="P40" s="203">
        <f t="shared" si="1"/>
        <v>39</v>
      </c>
      <c r="R40" s="98">
        <f t="array" ref="R40:AB40">INDEX($B$2:$L$40,P40,)</f>
        <v>0</v>
      </c>
      <c r="S40" s="98">
        <v>0</v>
      </c>
      <c r="T40" s="98">
        <v>0</v>
      </c>
      <c r="U40" s="98">
        <v>0</v>
      </c>
      <c r="V40" s="98">
        <v>0</v>
      </c>
      <c r="W40" s="183">
        <v>0</v>
      </c>
      <c r="X40" s="98">
        <v>0</v>
      </c>
      <c r="Y40" s="98">
        <v>0</v>
      </c>
      <c r="Z40" s="183">
        <v>0</v>
      </c>
      <c r="AA40" s="98" t="str">
        <f ca="1"/>
        <v>Opp</v>
      </c>
      <c r="AB40" s="170" t="str">
        <f ca="1"/>
        <v>Date</v>
      </c>
      <c r="AC40"/>
    </row>
    <row r="41" spans="7:29" x14ac:dyDescent="0.15">
      <c r="H41"/>
      <c r="I41"/>
      <c r="J41"/>
      <c r="X41"/>
      <c r="Y41"/>
      <c r="Z41" s="184"/>
      <c r="AA41" s="173"/>
      <c r="AB41" s="174"/>
      <c r="AC41"/>
    </row>
    <row r="42" spans="7:29" x14ac:dyDescent="0.15">
      <c r="H42"/>
      <c r="I42"/>
      <c r="J42"/>
      <c r="W42" s="184"/>
      <c r="X42"/>
      <c r="Y42"/>
      <c r="Z42" s="184"/>
      <c r="AA42"/>
      <c r="AB42"/>
      <c r="AC42"/>
    </row>
    <row r="43" spans="7:29" x14ac:dyDescent="0.15">
      <c r="H43"/>
      <c r="I43"/>
      <c r="J43"/>
      <c r="W43" s="184"/>
      <c r="X43"/>
      <c r="Y43"/>
      <c r="Z43" s="184"/>
      <c r="AA43"/>
      <c r="AB43"/>
      <c r="AC43"/>
    </row>
    <row r="44" spans="7:29" x14ac:dyDescent="0.15">
      <c r="H44"/>
      <c r="I44"/>
      <c r="J44"/>
      <c r="W44" s="184"/>
      <c r="X44"/>
      <c r="Y44"/>
      <c r="Z44" s="184"/>
      <c r="AA44"/>
      <c r="AB44"/>
      <c r="AC44"/>
    </row>
    <row r="45" spans="7:29" x14ac:dyDescent="0.15">
      <c r="W45" s="184"/>
      <c r="X45"/>
      <c r="Y45"/>
      <c r="Z45" s="184"/>
      <c r="AA45"/>
      <c r="AB45"/>
      <c r="AC45"/>
    </row>
    <row r="46" spans="7:29" x14ac:dyDescent="0.15">
      <c r="W46" s="184"/>
      <c r="X46"/>
      <c r="Y46"/>
      <c r="Z46" s="184"/>
    </row>
    <row r="47" spans="7:29" x14ac:dyDescent="0.15">
      <c r="W47" s="184"/>
    </row>
    <row r="48" spans="7:29" x14ac:dyDescent="0.15">
      <c r="W48" s="184"/>
    </row>
    <row r="49" spans="23:23" x14ac:dyDescent="0.15">
      <c r="W49" s="184"/>
    </row>
    <row r="50" spans="23:23" x14ac:dyDescent="0.15">
      <c r="W50" s="184"/>
    </row>
    <row r="51" spans="23:23" x14ac:dyDescent="0.15">
      <c r="W51" s="184"/>
    </row>
    <row r="52" spans="23:23" x14ac:dyDescent="0.15">
      <c r="W52" s="184"/>
    </row>
    <row r="53" spans="23:23" x14ac:dyDescent="0.15">
      <c r="W53" s="184"/>
    </row>
    <row r="54" spans="23:23" x14ac:dyDescent="0.15">
      <c r="W54" s="184"/>
    </row>
    <row r="55" spans="23:23" x14ac:dyDescent="0.15">
      <c r="W55" s="184"/>
    </row>
    <row r="56" spans="23:23" x14ac:dyDescent="0.15">
      <c r="W56" s="184"/>
    </row>
    <row r="57" spans="23:23" x14ac:dyDescent="0.15">
      <c r="W57" s="184"/>
    </row>
  </sheetData>
  <pageMargins left="0.7" right="0.7" top="0.75" bottom="0.75" header="0.3" footer="0.3"/>
  <pageSetup paperSize="9" orientation="portrait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W82"/>
  <sheetViews>
    <sheetView workbookViewId="0">
      <selection activeCell="L2" sqref="L2:L37"/>
    </sheetView>
  </sheetViews>
  <sheetFormatPr defaultRowHeight="10.5" x14ac:dyDescent="0.15"/>
  <cols>
    <col min="1" max="1" width="17.28515625" style="64" bestFit="1" customWidth="1"/>
    <col min="2" max="2" width="15.5703125" style="64" customWidth="1"/>
    <col min="3" max="3" width="7.5703125" style="68" bestFit="1" customWidth="1"/>
    <col min="4" max="4" width="5.28515625" style="68" bestFit="1" customWidth="1"/>
    <col min="5" max="5" width="7.140625" style="68" bestFit="1" customWidth="1"/>
    <col min="6" max="7" width="5.28515625" style="68" bestFit="1" customWidth="1"/>
    <col min="8" max="8" width="8.85546875" style="73" bestFit="1" customWidth="1"/>
    <col min="9" max="9" width="5.28515625" style="64" bestFit="1" customWidth="1"/>
    <col min="10" max="11" width="9.140625" style="64"/>
    <col min="12" max="12" width="21.5703125" style="64" bestFit="1" customWidth="1"/>
    <col min="13" max="13" width="9.140625" style="64"/>
    <col min="14" max="14" width="12.7109375" style="118" bestFit="1" customWidth="1"/>
    <col min="15" max="15" width="13.140625" style="120" bestFit="1" customWidth="1"/>
    <col min="16" max="16" width="4.5703125" style="118" bestFit="1" customWidth="1"/>
    <col min="17" max="17" width="7.140625" style="118" bestFit="1" customWidth="1"/>
    <col min="18" max="18" width="5" style="121" bestFit="1" customWidth="1"/>
    <col min="19" max="19" width="5" style="118" bestFit="1" customWidth="1"/>
    <col min="20" max="20" width="8.85546875" style="119" bestFit="1" customWidth="1"/>
    <col min="21" max="21" width="9.140625" style="64"/>
    <col min="22" max="22" width="19.5703125" style="64" bestFit="1" customWidth="1"/>
    <col min="23" max="16384" width="9.140625" style="64"/>
  </cols>
  <sheetData>
    <row r="1" spans="1:23" ht="12.75" x14ac:dyDescent="0.15">
      <c r="A1" s="57" t="s">
        <v>130</v>
      </c>
      <c r="C1" s="68" t="s">
        <v>5</v>
      </c>
      <c r="D1" s="68" t="s">
        <v>7</v>
      </c>
      <c r="E1" s="68" t="s">
        <v>8</v>
      </c>
      <c r="F1" s="68" t="s">
        <v>131</v>
      </c>
      <c r="G1" s="68" t="s">
        <v>9</v>
      </c>
      <c r="H1" s="73" t="s">
        <v>10</v>
      </c>
      <c r="J1" s="68"/>
      <c r="L1" s="116" t="s">
        <v>237</v>
      </c>
      <c r="M1" s="64">
        <f t="array" aca="1" ref="M1" ca="1">SUM(IF(NOT(ISNA(B2:B60)),1,0))</f>
        <v>58</v>
      </c>
      <c r="N1" s="122"/>
      <c r="O1" s="125" t="s">
        <v>76</v>
      </c>
      <c r="P1" s="123" t="s">
        <v>7</v>
      </c>
      <c r="Q1" s="123" t="s">
        <v>202</v>
      </c>
      <c r="R1" s="123" t="s">
        <v>131</v>
      </c>
      <c r="S1" s="123" t="s">
        <v>9</v>
      </c>
      <c r="T1" s="123" t="s">
        <v>33</v>
      </c>
      <c r="V1" t="s">
        <v>333</v>
      </c>
      <c r="W1" s="64">
        <f ca="1">COUNT(C:C)</f>
        <v>58</v>
      </c>
    </row>
    <row r="2" spans="1:23" ht="12.75" x14ac:dyDescent="0.15">
      <c r="A2" s="64">
        <v>1</v>
      </c>
      <c r="B2" s="64" t="str">
        <f ca="1">OFFSET(Batting!$C$4,BatAves!$I2,0)</f>
        <v>Ahmed R</v>
      </c>
      <c r="C2" s="68">
        <f ca="1">OFFSET(Batting!$AK$4,BatAves!$I2,0)</f>
        <v>2</v>
      </c>
      <c r="D2" s="68">
        <f ca="1">OFFSET(Batting!$AM$4,BatAves!$I2,0)</f>
        <v>2</v>
      </c>
      <c r="E2" s="68">
        <f ca="1">OFFSET(Batting!$AN$4,BatAves!$I2,0)</f>
        <v>0</v>
      </c>
      <c r="F2" s="68">
        <f ca="1">OFFSET(Batting!$AP$4,BatAves!$I2,0)</f>
        <v>90</v>
      </c>
      <c r="G2" s="68">
        <f ca="1">OFFSET(Batting!$AQ$4,BatAves!$I2,0)</f>
        <v>176</v>
      </c>
      <c r="H2" s="72">
        <f ca="1">OFFSET(Batting!$AR$4,BatAves!$I2,0)</f>
        <v>88</v>
      </c>
      <c r="I2" s="64">
        <f>MATCH(A2,Batting!$BM$5:$BM$62,0)</f>
        <v>2</v>
      </c>
      <c r="J2" s="64">
        <f t="shared" ref="J2:J33" ca="1" si="0">IF(D2&gt;=5,A2,1000+A2)</f>
        <v>1001</v>
      </c>
      <c r="K2" s="64">
        <f ca="1">RANK(J2,OFFSET($J$2,0,0,$M$1,1),-1)</f>
        <v>16</v>
      </c>
      <c r="L2" s="64" t="str">
        <f t="shared" ref="L2:L33" ca="1" si="1">IF(D2&lt;5,B2&amp;" "&amp;D2&amp;"-"&amp;E2&amp;"-"&amp;F2&amp;"-"&amp;G2,"")</f>
        <v>Ahmed R 2-0-90-176</v>
      </c>
      <c r="M2" s="64">
        <f ca="1">MATCH(N2,OFFSET($K$2,0,0,$M$1,1),0)</f>
        <v>4</v>
      </c>
      <c r="N2" s="167">
        <v>1</v>
      </c>
      <c r="O2" s="167" t="str">
        <f t="shared" ref="O2:O43" ca="1" si="2">OFFSET(B$1,$M2,0)</f>
        <v>Seymour D</v>
      </c>
      <c r="P2" s="167">
        <f t="shared" ref="P2:P43" ca="1" si="3">OFFSET(D$1,$M2,0)</f>
        <v>7</v>
      </c>
      <c r="Q2" s="167">
        <f t="shared" ref="Q2:Q43" ca="1" si="4">OFFSET(E$1,$M2,0)</f>
        <v>2</v>
      </c>
      <c r="R2" s="167" t="str">
        <f t="shared" ref="R2:R43" ca="1" si="5">OFFSET(F$1,$M2,0)</f>
        <v>114*</v>
      </c>
      <c r="S2" s="167">
        <f t="shared" ref="S2:S43" ca="1" si="6">OFFSET(G$1,$M2,0)</f>
        <v>213</v>
      </c>
      <c r="T2" s="168">
        <f t="shared" ref="T2:T43" ca="1" si="7">OFFSET(H$1,$M2,0)</f>
        <v>42.6</v>
      </c>
      <c r="U2" s="68"/>
      <c r="V2" s="116" t="s">
        <v>334</v>
      </c>
      <c r="W2" s="64">
        <f ca="1">SUMPRODUCT(--(OFFSET(C2,0,0,W1,1)&gt;0))</f>
        <v>40</v>
      </c>
    </row>
    <row r="3" spans="1:23" ht="12.75" x14ac:dyDescent="0.15">
      <c r="A3" s="64">
        <v>2</v>
      </c>
      <c r="B3" s="64" t="str">
        <f ca="1">OFFSET(Batting!$C$4,BatAves!$I3,0)</f>
        <v>Stevenson R</v>
      </c>
      <c r="C3" s="68">
        <f ca="1">OFFSET(Batting!$AK$4,BatAves!$I3,0)</f>
        <v>1</v>
      </c>
      <c r="D3" s="68">
        <f ca="1">OFFSET(Batting!$AM$4,BatAves!$I3,0)</f>
        <v>1</v>
      </c>
      <c r="E3" s="68">
        <f ca="1">OFFSET(Batting!$AN$4,BatAves!$I3,0)</f>
        <v>0</v>
      </c>
      <c r="F3" s="68">
        <f ca="1">OFFSET(Batting!$AP$4,BatAves!$I3,0)</f>
        <v>67</v>
      </c>
      <c r="G3" s="68">
        <f ca="1">OFFSET(Batting!$AQ$4,BatAves!$I3,0)</f>
        <v>67</v>
      </c>
      <c r="H3" s="72">
        <f ca="1">OFFSET(Batting!$AR$4,BatAves!$I3,0)</f>
        <v>67</v>
      </c>
      <c r="I3" s="64">
        <f>MATCH(A3,Batting!$BM$5:$BM$62,0)</f>
        <v>51</v>
      </c>
      <c r="J3" s="64">
        <f t="shared" ca="1" si="0"/>
        <v>1002</v>
      </c>
      <c r="K3" s="64">
        <f t="shared" ref="K3:K60" ca="1" si="8">RANK(J3,OFFSET($J$2,0,0,$M$1,1),-1)</f>
        <v>17</v>
      </c>
      <c r="L3" s="64" t="str">
        <f t="shared" ca="1" si="1"/>
        <v>Stevenson R 1-0-67-67</v>
      </c>
      <c r="M3" s="64">
        <f ca="1">MATCH(N3,OFFSET($K$2,0,0,$M$1,1),0)</f>
        <v>6</v>
      </c>
      <c r="N3" s="167">
        <v>2</v>
      </c>
      <c r="O3" s="167" t="str">
        <f t="shared" ca="1" si="2"/>
        <v>Sharpe D</v>
      </c>
      <c r="P3" s="167">
        <f t="shared" ca="1" si="3"/>
        <v>10</v>
      </c>
      <c r="Q3" s="167">
        <f t="shared" ca="1" si="4"/>
        <v>1</v>
      </c>
      <c r="R3" s="167">
        <f t="shared" ca="1" si="5"/>
        <v>86</v>
      </c>
      <c r="S3" s="167">
        <f t="shared" ca="1" si="6"/>
        <v>309</v>
      </c>
      <c r="T3" s="168">
        <f t="shared" ca="1" si="7"/>
        <v>34.333333333333336</v>
      </c>
      <c r="V3" s="116" t="s">
        <v>332</v>
      </c>
      <c r="W3" s="64">
        <f ca="1">SUMPRODUCT(--(OFFSET(D2,0,0,W2,1)&gt;=5))</f>
        <v>15</v>
      </c>
    </row>
    <row r="4" spans="1:23" ht="12.75" x14ac:dyDescent="0.15">
      <c r="A4" s="64">
        <v>3</v>
      </c>
      <c r="B4" s="64" t="str">
        <f ca="1">OFFSET(Batting!$C$4,BatAves!$I4,0)</f>
        <v>Mahmood S</v>
      </c>
      <c r="C4" s="68">
        <f ca="1">OFFSET(Batting!$AK$4,BatAves!$I4,0)</f>
        <v>1</v>
      </c>
      <c r="D4" s="68">
        <f ca="1">OFFSET(Batting!$AM$4,BatAves!$I4,0)</f>
        <v>1</v>
      </c>
      <c r="E4" s="68">
        <f ca="1">OFFSET(Batting!$AN$4,BatAves!$I4,0)</f>
        <v>0</v>
      </c>
      <c r="F4" s="68">
        <f ca="1">OFFSET(Batting!$AP$4,BatAves!$I4,0)</f>
        <v>47</v>
      </c>
      <c r="G4" s="68">
        <f ca="1">OFFSET(Batting!$AQ$4,BatAves!$I4,0)</f>
        <v>47</v>
      </c>
      <c r="H4" s="72">
        <f ca="1">OFFSET(Batting!$AR$4,BatAves!$I4,0)</f>
        <v>47</v>
      </c>
      <c r="I4" s="64">
        <f>MATCH(A4,Batting!$BM$5:$BM$62,0)</f>
        <v>24</v>
      </c>
      <c r="J4" s="64">
        <f t="shared" ca="1" si="0"/>
        <v>1003</v>
      </c>
      <c r="K4" s="64">
        <f t="shared" ca="1" si="8"/>
        <v>18</v>
      </c>
      <c r="L4" s="64" t="str">
        <f t="shared" ca="1" si="1"/>
        <v>Mahmood S 1-0-47-47</v>
      </c>
      <c r="M4" s="64">
        <f t="shared" ref="M4:M43" ca="1" si="9">MATCH(N4,OFFSET($K$2,0,0,$M$1,1),0)</f>
        <v>7</v>
      </c>
      <c r="N4" s="167">
        <v>3</v>
      </c>
      <c r="O4" s="167" t="str">
        <f t="shared" ca="1" si="2"/>
        <v>Patel J</v>
      </c>
      <c r="P4" s="167">
        <f t="shared" ca="1" si="3"/>
        <v>7</v>
      </c>
      <c r="Q4" s="167">
        <f t="shared" ca="1" si="4"/>
        <v>0</v>
      </c>
      <c r="R4" s="167">
        <f t="shared" ca="1" si="5"/>
        <v>66</v>
      </c>
      <c r="S4" s="167">
        <f t="shared" ca="1" si="6"/>
        <v>237</v>
      </c>
      <c r="T4" s="168">
        <f t="shared" ca="1" si="7"/>
        <v>33.857142857142854</v>
      </c>
      <c r="V4" s="64" t="s">
        <v>194</v>
      </c>
      <c r="W4" s="64" t="s">
        <v>194</v>
      </c>
    </row>
    <row r="5" spans="1:23" ht="12.75" x14ac:dyDescent="0.15">
      <c r="A5" s="64">
        <v>4</v>
      </c>
      <c r="B5" s="64" t="str">
        <f ca="1">OFFSET(Batting!$C$4,BatAves!$I5,0)</f>
        <v>Seymour D</v>
      </c>
      <c r="C5" s="68">
        <f ca="1">OFFSET(Batting!$AK$4,BatAves!$I5,0)</f>
        <v>7</v>
      </c>
      <c r="D5" s="68">
        <f ca="1">OFFSET(Batting!$AM$4,BatAves!$I5,0)</f>
        <v>7</v>
      </c>
      <c r="E5" s="68">
        <f ca="1">OFFSET(Batting!$AN$4,BatAves!$I5,0)</f>
        <v>2</v>
      </c>
      <c r="F5" s="68" t="str">
        <f ca="1">OFFSET(Batting!$AP$4,BatAves!$I5,0)</f>
        <v>114*</v>
      </c>
      <c r="G5" s="68">
        <f ca="1">OFFSET(Batting!$AQ$4,BatAves!$I5,0)</f>
        <v>213</v>
      </c>
      <c r="H5" s="72">
        <f ca="1">OFFSET(Batting!$AR$4,BatAves!$I5,0)</f>
        <v>42.6</v>
      </c>
      <c r="I5" s="64">
        <f>MATCH(A5,Batting!$BM$5:$BM$62,0)</f>
        <v>45</v>
      </c>
      <c r="J5" s="64">
        <f t="shared" ca="1" si="0"/>
        <v>4</v>
      </c>
      <c r="K5" s="64">
        <f t="shared" ca="1" si="8"/>
        <v>1</v>
      </c>
      <c r="L5" s="64" t="str">
        <f t="shared" ca="1" si="1"/>
        <v/>
      </c>
      <c r="M5" s="64">
        <f t="shared" ca="1" si="9"/>
        <v>9</v>
      </c>
      <c r="N5" s="167">
        <v>4</v>
      </c>
      <c r="O5" s="167" t="str">
        <f t="shared" ca="1" si="2"/>
        <v>De S</v>
      </c>
      <c r="P5" s="167">
        <f t="shared" ca="1" si="3"/>
        <v>10</v>
      </c>
      <c r="Q5" s="167">
        <f t="shared" ca="1" si="4"/>
        <v>2</v>
      </c>
      <c r="R5" s="167">
        <f t="shared" ca="1" si="5"/>
        <v>84</v>
      </c>
      <c r="S5" s="167">
        <f t="shared" ca="1" si="6"/>
        <v>237</v>
      </c>
      <c r="T5" s="168">
        <f t="shared" ca="1" si="7"/>
        <v>29.625</v>
      </c>
      <c r="V5" s="64" t="s">
        <v>194</v>
      </c>
      <c r="W5" s="64" t="s">
        <v>194</v>
      </c>
    </row>
    <row r="6" spans="1:23" ht="12.75" x14ac:dyDescent="0.15">
      <c r="A6" s="64">
        <v>5</v>
      </c>
      <c r="B6" s="64" t="str">
        <f ca="1">OFFSET(Batting!$C$4,BatAves!$I6,0)</f>
        <v>Niran S</v>
      </c>
      <c r="C6" s="68">
        <f ca="1">OFFSET(Batting!$AK$4,BatAves!$I6,0)</f>
        <v>4</v>
      </c>
      <c r="D6" s="68">
        <f ca="1">OFFSET(Batting!$AM$4,BatAves!$I6,0)</f>
        <v>4</v>
      </c>
      <c r="E6" s="68">
        <f ca="1">OFFSET(Batting!$AN$4,BatAves!$I6,0)</f>
        <v>0</v>
      </c>
      <c r="F6" s="68">
        <f ca="1">OFFSET(Batting!$AP$4,BatAves!$I6,0)</f>
        <v>49</v>
      </c>
      <c r="G6" s="68">
        <f ca="1">OFFSET(Batting!$AQ$4,BatAves!$I6,0)</f>
        <v>142</v>
      </c>
      <c r="H6" s="72">
        <f ca="1">OFFSET(Batting!$AR$4,BatAves!$I6,0)</f>
        <v>35.5</v>
      </c>
      <c r="I6" s="64">
        <f>MATCH(A6,Batting!$BM$5:$BM$62,0)</f>
        <v>31</v>
      </c>
      <c r="J6" s="64">
        <f t="shared" ca="1" si="0"/>
        <v>1005</v>
      </c>
      <c r="K6" s="64">
        <f t="shared" ca="1" si="8"/>
        <v>19</v>
      </c>
      <c r="L6" s="64" t="str">
        <f t="shared" ca="1" si="1"/>
        <v>Niran S 4-0-49-142</v>
      </c>
      <c r="M6" s="64">
        <f t="shared" ca="1" si="9"/>
        <v>10</v>
      </c>
      <c r="N6" s="167">
        <v>5</v>
      </c>
      <c r="O6" s="167" t="str">
        <f t="shared" ca="1" si="2"/>
        <v>Mander A</v>
      </c>
      <c r="P6" s="167">
        <f t="shared" ca="1" si="3"/>
        <v>6</v>
      </c>
      <c r="Q6" s="167">
        <f t="shared" ca="1" si="4"/>
        <v>5</v>
      </c>
      <c r="R6" s="167">
        <f t="shared" ca="1" si="5"/>
        <v>14</v>
      </c>
      <c r="S6" s="167">
        <f t="shared" ca="1" si="6"/>
        <v>26</v>
      </c>
      <c r="T6" s="168">
        <f t="shared" ca="1" si="7"/>
        <v>26</v>
      </c>
      <c r="V6" s="64" t="s">
        <v>194</v>
      </c>
      <c r="W6" s="64" t="s">
        <v>194</v>
      </c>
    </row>
    <row r="7" spans="1:23" ht="12.75" x14ac:dyDescent="0.15">
      <c r="A7" s="64">
        <v>6</v>
      </c>
      <c r="B7" s="64" t="str">
        <f ca="1">OFFSET(Batting!$C$4,BatAves!$I7,0)</f>
        <v>Sharpe D</v>
      </c>
      <c r="C7" s="68">
        <f ca="1">OFFSET(Batting!$AK$4,BatAves!$I7,0)</f>
        <v>10</v>
      </c>
      <c r="D7" s="68">
        <f ca="1">OFFSET(Batting!$AM$4,BatAves!$I7,0)</f>
        <v>10</v>
      </c>
      <c r="E7" s="68">
        <f ca="1">OFFSET(Batting!$AN$4,BatAves!$I7,0)</f>
        <v>1</v>
      </c>
      <c r="F7" s="68">
        <f ca="1">OFFSET(Batting!$AP$4,BatAves!$I7,0)</f>
        <v>86</v>
      </c>
      <c r="G7" s="68">
        <f ca="1">OFFSET(Batting!$AQ$4,BatAves!$I7,0)</f>
        <v>309</v>
      </c>
      <c r="H7" s="72">
        <f ca="1">OFFSET(Batting!$AR$4,BatAves!$I7,0)</f>
        <v>34.333333333333336</v>
      </c>
      <c r="I7" s="64">
        <f>MATCH(A7,Batting!$BM$5:$BM$62,0)</f>
        <v>46</v>
      </c>
      <c r="J7" s="64">
        <f t="shared" ca="1" si="0"/>
        <v>6</v>
      </c>
      <c r="K7" s="64">
        <f t="shared" ca="1" si="8"/>
        <v>2</v>
      </c>
      <c r="L7" s="64" t="str">
        <f t="shared" ca="1" si="1"/>
        <v/>
      </c>
      <c r="M7" s="64">
        <f t="shared" ca="1" si="9"/>
        <v>12</v>
      </c>
      <c r="N7" s="167">
        <v>6</v>
      </c>
      <c r="O7" s="167" t="str">
        <f t="shared" ca="1" si="2"/>
        <v>Seymour C</v>
      </c>
      <c r="P7" s="167">
        <f t="shared" ca="1" si="3"/>
        <v>20</v>
      </c>
      <c r="Q7" s="167">
        <f t="shared" ca="1" si="4"/>
        <v>1</v>
      </c>
      <c r="R7" s="167">
        <f t="shared" ca="1" si="5"/>
        <v>70</v>
      </c>
      <c r="S7" s="167">
        <f t="shared" ca="1" si="6"/>
        <v>397</v>
      </c>
      <c r="T7" s="168">
        <f t="shared" ca="1" si="7"/>
        <v>20.894736842105264</v>
      </c>
      <c r="V7" s="64" t="s">
        <v>194</v>
      </c>
      <c r="W7" s="64" t="s">
        <v>194</v>
      </c>
    </row>
    <row r="8" spans="1:23" ht="12.75" x14ac:dyDescent="0.15">
      <c r="A8" s="64">
        <v>7</v>
      </c>
      <c r="B8" s="64" t="str">
        <f ca="1">OFFSET(Batting!$C$4,BatAves!$I8,0)</f>
        <v>Patel J</v>
      </c>
      <c r="C8" s="68">
        <f ca="1">OFFSET(Batting!$AK$4,BatAves!$I8,0)</f>
        <v>8</v>
      </c>
      <c r="D8" s="68">
        <f ca="1">OFFSET(Batting!$AM$4,BatAves!$I8,0)</f>
        <v>7</v>
      </c>
      <c r="E8" s="68">
        <f ca="1">OFFSET(Batting!$AN$4,BatAves!$I8,0)</f>
        <v>0</v>
      </c>
      <c r="F8" s="68">
        <f ca="1">OFFSET(Batting!$AP$4,BatAves!$I8,0)</f>
        <v>66</v>
      </c>
      <c r="G8" s="68">
        <f ca="1">OFFSET(Batting!$AQ$4,BatAves!$I8,0)</f>
        <v>237</v>
      </c>
      <c r="H8" s="72">
        <f ca="1">OFFSET(Batting!$AR$4,BatAves!$I8,0)</f>
        <v>33.857142857142854</v>
      </c>
      <c r="I8" s="64">
        <f>MATCH(A8,Batting!$BM$5:$BM$62,0)</f>
        <v>34</v>
      </c>
      <c r="J8" s="64">
        <f t="shared" ca="1" si="0"/>
        <v>7</v>
      </c>
      <c r="K8" s="64">
        <f t="shared" ca="1" si="8"/>
        <v>3</v>
      </c>
      <c r="L8" s="64" t="str">
        <f t="shared" ca="1" si="1"/>
        <v/>
      </c>
      <c r="M8" s="64">
        <f t="shared" ca="1" si="9"/>
        <v>13</v>
      </c>
      <c r="N8" s="167">
        <v>7</v>
      </c>
      <c r="O8" s="167" t="str">
        <f t="shared" ca="1" si="2"/>
        <v>Springer T</v>
      </c>
      <c r="P8" s="167">
        <f t="shared" ca="1" si="3"/>
        <v>17</v>
      </c>
      <c r="Q8" s="167">
        <f t="shared" ca="1" si="4"/>
        <v>2</v>
      </c>
      <c r="R8" s="167">
        <f t="shared" ca="1" si="5"/>
        <v>64</v>
      </c>
      <c r="S8" s="167">
        <f t="shared" ca="1" si="6"/>
        <v>304</v>
      </c>
      <c r="T8" s="168">
        <f t="shared" ca="1" si="7"/>
        <v>20.266666666666666</v>
      </c>
      <c r="V8" s="98" t="s">
        <v>194</v>
      </c>
      <c r="W8" s="64" t="s">
        <v>194</v>
      </c>
    </row>
    <row r="9" spans="1:23" ht="12.75" x14ac:dyDescent="0.15">
      <c r="A9" s="64">
        <v>8</v>
      </c>
      <c r="B9" s="64" t="str">
        <f ca="1">OFFSET(Batting!$C$4,BatAves!$I9,0)</f>
        <v>Crone W</v>
      </c>
      <c r="C9" s="68">
        <f ca="1">OFFSET(Batting!$AK$4,BatAves!$I9,0)</f>
        <v>2</v>
      </c>
      <c r="D9" s="68">
        <f ca="1">OFFSET(Batting!$AM$4,BatAves!$I9,0)</f>
        <v>2</v>
      </c>
      <c r="E9" s="68">
        <f ca="1">OFFSET(Batting!$AN$4,BatAves!$I9,0)</f>
        <v>0</v>
      </c>
      <c r="F9" s="68">
        <f ca="1">OFFSET(Batting!$AP$4,BatAves!$I9,0)</f>
        <v>45</v>
      </c>
      <c r="G9" s="68">
        <f ca="1">OFFSET(Batting!$AQ$4,BatAves!$I9,0)</f>
        <v>62</v>
      </c>
      <c r="H9" s="72">
        <f ca="1">OFFSET(Batting!$AR$4,BatAves!$I9,0)</f>
        <v>31</v>
      </c>
      <c r="I9" s="64">
        <f>MATCH(A9,Batting!$BM$5:$BM$62,0)</f>
        <v>7</v>
      </c>
      <c r="J9" s="64">
        <f t="shared" ca="1" si="0"/>
        <v>1008</v>
      </c>
      <c r="K9" s="64">
        <f t="shared" ca="1" si="8"/>
        <v>20</v>
      </c>
      <c r="L9" s="64" t="str">
        <f t="shared" ca="1" si="1"/>
        <v>Crone W 2-0-45-62</v>
      </c>
      <c r="M9" s="64">
        <f t="shared" ca="1" si="9"/>
        <v>15</v>
      </c>
      <c r="N9" s="167">
        <v>8</v>
      </c>
      <c r="O9" s="167" t="str">
        <f t="shared" ca="1" si="2"/>
        <v>Bhatt P</v>
      </c>
      <c r="P9" s="167">
        <f t="shared" ca="1" si="3"/>
        <v>12</v>
      </c>
      <c r="Q9" s="167">
        <f t="shared" ca="1" si="4"/>
        <v>2</v>
      </c>
      <c r="R9" s="167" t="str">
        <f t="shared" ca="1" si="5"/>
        <v>43*</v>
      </c>
      <c r="S9" s="167">
        <f t="shared" ca="1" si="6"/>
        <v>189</v>
      </c>
      <c r="T9" s="168">
        <f t="shared" ca="1" si="7"/>
        <v>18.899999999999999</v>
      </c>
      <c r="V9" s="98" t="s">
        <v>194</v>
      </c>
      <c r="W9" s="64" t="s">
        <v>194</v>
      </c>
    </row>
    <row r="10" spans="1:23" ht="12.75" x14ac:dyDescent="0.15">
      <c r="A10" s="64">
        <v>9</v>
      </c>
      <c r="B10" s="64" t="str">
        <f ca="1">OFFSET(Batting!$C$4,BatAves!$I10,0)</f>
        <v>De S</v>
      </c>
      <c r="C10" s="68">
        <f ca="1">OFFSET(Batting!$AK$4,BatAves!$I10,0)</f>
        <v>12</v>
      </c>
      <c r="D10" s="68">
        <f ca="1">OFFSET(Batting!$AM$4,BatAves!$I10,0)</f>
        <v>10</v>
      </c>
      <c r="E10" s="68">
        <f ca="1">OFFSET(Batting!$AN$4,BatAves!$I10,0)</f>
        <v>2</v>
      </c>
      <c r="F10" s="68">
        <f ca="1">OFFSET(Batting!$AP$4,BatAves!$I10,0)</f>
        <v>84</v>
      </c>
      <c r="G10" s="68">
        <f ca="1">OFFSET(Batting!$AQ$4,BatAves!$I10,0)</f>
        <v>237</v>
      </c>
      <c r="H10" s="72">
        <f ca="1">OFFSET(Batting!$AR$4,BatAves!$I10,0)</f>
        <v>29.625</v>
      </c>
      <c r="I10" s="64">
        <f>MATCH(A10,Batting!$BM$5:$BM$62,0)</f>
        <v>9</v>
      </c>
      <c r="J10" s="64">
        <f t="shared" ca="1" si="0"/>
        <v>9</v>
      </c>
      <c r="K10" s="64">
        <f t="shared" ca="1" si="8"/>
        <v>4</v>
      </c>
      <c r="L10" s="64" t="str">
        <f t="shared" ca="1" si="1"/>
        <v/>
      </c>
      <c r="M10" s="64">
        <f t="shared" ca="1" si="9"/>
        <v>17</v>
      </c>
      <c r="N10" s="167">
        <v>9</v>
      </c>
      <c r="O10" s="167" t="str">
        <f t="shared" ca="1" si="2"/>
        <v>Kogulathasan D</v>
      </c>
      <c r="P10" s="167">
        <f t="shared" ca="1" si="3"/>
        <v>13</v>
      </c>
      <c r="Q10" s="167">
        <f t="shared" ca="1" si="4"/>
        <v>4</v>
      </c>
      <c r="R10" s="167" t="str">
        <f t="shared" ca="1" si="5"/>
        <v>29*</v>
      </c>
      <c r="S10" s="167">
        <f t="shared" ca="1" si="6"/>
        <v>138</v>
      </c>
      <c r="T10" s="168">
        <f t="shared" ca="1" si="7"/>
        <v>15.333333333333334</v>
      </c>
      <c r="V10" s="98" t="s">
        <v>194</v>
      </c>
    </row>
    <row r="11" spans="1:23" ht="12.75" x14ac:dyDescent="0.15">
      <c r="A11" s="64">
        <v>10</v>
      </c>
      <c r="B11" s="64" t="str">
        <f ca="1">OFFSET(Batting!$C$4,BatAves!$I11,0)</f>
        <v>Mander A</v>
      </c>
      <c r="C11" s="68">
        <f ca="1">OFFSET(Batting!$AK$4,BatAves!$I11,0)</f>
        <v>12</v>
      </c>
      <c r="D11" s="68">
        <f ca="1">OFFSET(Batting!$AM$4,BatAves!$I11,0)</f>
        <v>6</v>
      </c>
      <c r="E11" s="68">
        <f ca="1">OFFSET(Batting!$AN$4,BatAves!$I11,0)</f>
        <v>5</v>
      </c>
      <c r="F11" s="68">
        <f ca="1">OFFSET(Batting!$AP$4,BatAves!$I11,0)</f>
        <v>14</v>
      </c>
      <c r="G11" s="68">
        <f ca="1">OFFSET(Batting!$AQ$4,BatAves!$I11,0)</f>
        <v>26</v>
      </c>
      <c r="H11" s="72">
        <f ca="1">OFFSET(Batting!$AR$4,BatAves!$I11,0)</f>
        <v>26</v>
      </c>
      <c r="I11" s="64">
        <f>MATCH(A11,Batting!$BM$5:$BM$62,0)</f>
        <v>25</v>
      </c>
      <c r="J11" s="64">
        <f t="shared" ca="1" si="0"/>
        <v>10</v>
      </c>
      <c r="K11" s="64">
        <f t="shared" ca="1" si="8"/>
        <v>5</v>
      </c>
      <c r="L11" s="64" t="str">
        <f t="shared" ca="1" si="1"/>
        <v/>
      </c>
      <c r="M11" s="64">
        <f t="shared" ca="1" si="9"/>
        <v>19</v>
      </c>
      <c r="N11" s="167">
        <v>10</v>
      </c>
      <c r="O11" s="167" t="str">
        <f t="shared" ca="1" si="2"/>
        <v>Jenkins D</v>
      </c>
      <c r="P11" s="167">
        <f t="shared" ca="1" si="3"/>
        <v>13</v>
      </c>
      <c r="Q11" s="167">
        <f t="shared" ca="1" si="4"/>
        <v>2</v>
      </c>
      <c r="R11" s="167">
        <f t="shared" ca="1" si="5"/>
        <v>37</v>
      </c>
      <c r="S11" s="167">
        <f t="shared" ca="1" si="6"/>
        <v>131</v>
      </c>
      <c r="T11" s="168">
        <f t="shared" ca="1" si="7"/>
        <v>11.909090909090908</v>
      </c>
      <c r="V11" s="98" t="s">
        <v>194</v>
      </c>
    </row>
    <row r="12" spans="1:23" ht="12.75" x14ac:dyDescent="0.15">
      <c r="A12" s="64">
        <v>11</v>
      </c>
      <c r="B12" s="64" t="str">
        <f ca="1">OFFSET(Batting!$C$4,BatAves!$I12,0)</f>
        <v>Viveganandan M</v>
      </c>
      <c r="C12" s="68">
        <f ca="1">OFFSET(Batting!$AK$4,BatAves!$I12,0)</f>
        <v>3</v>
      </c>
      <c r="D12" s="68">
        <f ca="1">OFFSET(Batting!$AM$4,BatAves!$I12,0)</f>
        <v>3</v>
      </c>
      <c r="E12" s="68">
        <f ca="1">OFFSET(Batting!$AN$4,BatAves!$I12,0)</f>
        <v>1</v>
      </c>
      <c r="F12" s="68">
        <f ca="1">OFFSET(Batting!$AP$4,BatAves!$I12,0)</f>
        <v>43</v>
      </c>
      <c r="G12" s="68">
        <f ca="1">OFFSET(Batting!$AQ$4,BatAves!$I12,0)</f>
        <v>50</v>
      </c>
      <c r="H12" s="72">
        <f ca="1">OFFSET(Batting!$AR$4,BatAves!$I12,0)</f>
        <v>25</v>
      </c>
      <c r="I12" s="64">
        <f>MATCH(A12,Batting!$BM$5:$BM$62,0)</f>
        <v>56</v>
      </c>
      <c r="J12" s="64">
        <f t="shared" ca="1" si="0"/>
        <v>1011</v>
      </c>
      <c r="K12" s="64">
        <f t="shared" ca="1" si="8"/>
        <v>21</v>
      </c>
      <c r="L12" s="64" t="str">
        <f t="shared" ca="1" si="1"/>
        <v>Viveganandan M 3-1-43-50</v>
      </c>
      <c r="M12" s="64">
        <f t="shared" ca="1" si="9"/>
        <v>21</v>
      </c>
      <c r="N12" s="167">
        <v>11</v>
      </c>
      <c r="O12" s="167" t="str">
        <f t="shared" ca="1" si="2"/>
        <v>Ahmed M</v>
      </c>
      <c r="P12" s="167">
        <f t="shared" ca="1" si="3"/>
        <v>7</v>
      </c>
      <c r="Q12" s="167">
        <f t="shared" ca="1" si="4"/>
        <v>2</v>
      </c>
      <c r="R12" s="167" t="str">
        <f t="shared" ca="1" si="5"/>
        <v>22*</v>
      </c>
      <c r="S12" s="167">
        <f t="shared" ca="1" si="6"/>
        <v>50</v>
      </c>
      <c r="T12" s="168">
        <f t="shared" ca="1" si="7"/>
        <v>10</v>
      </c>
      <c r="V12" s="98" t="s">
        <v>194</v>
      </c>
    </row>
    <row r="13" spans="1:23" ht="12.75" x14ac:dyDescent="0.15">
      <c r="A13" s="64">
        <v>12</v>
      </c>
      <c r="B13" s="64" t="str">
        <f ca="1">OFFSET(Batting!$C$4,BatAves!$I13,0)</f>
        <v>Seymour C</v>
      </c>
      <c r="C13" s="68">
        <f ca="1">OFFSET(Batting!$AK$4,BatAves!$I13,0)</f>
        <v>21</v>
      </c>
      <c r="D13" s="68">
        <f ca="1">OFFSET(Batting!$AM$4,BatAves!$I13,0)</f>
        <v>20</v>
      </c>
      <c r="E13" s="68">
        <f ca="1">OFFSET(Batting!$AN$4,BatAves!$I13,0)</f>
        <v>1</v>
      </c>
      <c r="F13" s="68">
        <f ca="1">OFFSET(Batting!$AP$4,BatAves!$I13,0)</f>
        <v>70</v>
      </c>
      <c r="G13" s="68">
        <f ca="1">OFFSET(Batting!$AQ$4,BatAves!$I13,0)</f>
        <v>397</v>
      </c>
      <c r="H13" s="72">
        <f ca="1">OFFSET(Batting!$AR$4,BatAves!$I13,0)</f>
        <v>20.894736842105264</v>
      </c>
      <c r="I13" s="64">
        <f>MATCH(A13,Batting!$BM$5:$BM$62,0)</f>
        <v>44</v>
      </c>
      <c r="J13" s="64">
        <f t="shared" ca="1" si="0"/>
        <v>12</v>
      </c>
      <c r="K13" s="64">
        <f t="shared" ca="1" si="8"/>
        <v>6</v>
      </c>
      <c r="L13" s="64" t="str">
        <f t="shared" ca="1" si="1"/>
        <v/>
      </c>
      <c r="M13" s="64">
        <f t="shared" ca="1" si="9"/>
        <v>24</v>
      </c>
      <c r="N13" s="122">
        <v>12</v>
      </c>
      <c r="O13" s="122" t="str">
        <f t="shared" ca="1" si="2"/>
        <v>Patel M</v>
      </c>
      <c r="P13" s="122">
        <f t="shared" ca="1" si="3"/>
        <v>12</v>
      </c>
      <c r="Q13" s="122">
        <f t="shared" ca="1" si="4"/>
        <v>0</v>
      </c>
      <c r="R13" s="122">
        <f t="shared" ca="1" si="5"/>
        <v>19</v>
      </c>
      <c r="S13" s="122">
        <f t="shared" ca="1" si="6"/>
        <v>82</v>
      </c>
      <c r="T13" s="124">
        <f t="shared" ca="1" si="7"/>
        <v>6.833333333333333</v>
      </c>
      <c r="V13" s="98" t="s">
        <v>194</v>
      </c>
    </row>
    <row r="14" spans="1:23" ht="12.75" x14ac:dyDescent="0.15">
      <c r="A14" s="64">
        <v>13</v>
      </c>
      <c r="B14" s="64" t="str">
        <f ca="1">OFFSET(Batting!$C$4,BatAves!$I14,0)</f>
        <v>Springer T</v>
      </c>
      <c r="C14" s="68">
        <f ca="1">OFFSET(Batting!$AK$4,BatAves!$I14,0)</f>
        <v>17</v>
      </c>
      <c r="D14" s="68">
        <f ca="1">OFFSET(Batting!$AM$4,BatAves!$I14,0)</f>
        <v>17</v>
      </c>
      <c r="E14" s="68">
        <f ca="1">OFFSET(Batting!$AN$4,BatAves!$I14,0)</f>
        <v>2</v>
      </c>
      <c r="F14" s="68">
        <f ca="1">OFFSET(Batting!$AP$4,BatAves!$I14,0)</f>
        <v>64</v>
      </c>
      <c r="G14" s="68">
        <f ca="1">OFFSET(Batting!$AQ$4,BatAves!$I14,0)</f>
        <v>304</v>
      </c>
      <c r="H14" s="72">
        <f ca="1">OFFSET(Batting!$AR$4,BatAves!$I14,0)</f>
        <v>20.266666666666666</v>
      </c>
      <c r="I14" s="64">
        <f>MATCH(A14,Batting!$BM$5:$BM$62,0)</f>
        <v>50</v>
      </c>
      <c r="J14" s="64">
        <f t="shared" ca="1" si="0"/>
        <v>13</v>
      </c>
      <c r="K14" s="64">
        <f t="shared" ca="1" si="8"/>
        <v>7</v>
      </c>
      <c r="L14" s="64" t="str">
        <f t="shared" ca="1" si="1"/>
        <v/>
      </c>
      <c r="M14" s="64">
        <f t="shared" ca="1" si="9"/>
        <v>25</v>
      </c>
      <c r="N14" s="122">
        <v>13</v>
      </c>
      <c r="O14" s="122" t="str">
        <f t="shared" ca="1" si="2"/>
        <v>Nair S</v>
      </c>
      <c r="P14" s="122">
        <f t="shared" ca="1" si="3"/>
        <v>7</v>
      </c>
      <c r="Q14" s="122">
        <f t="shared" ca="1" si="4"/>
        <v>2</v>
      </c>
      <c r="R14" s="122" t="str">
        <f t="shared" ca="1" si="5"/>
        <v>20*</v>
      </c>
      <c r="S14" s="122">
        <f t="shared" ca="1" si="6"/>
        <v>31</v>
      </c>
      <c r="T14" s="124">
        <f t="shared" ca="1" si="7"/>
        <v>6.2</v>
      </c>
      <c r="V14" s="98" t="s">
        <v>194</v>
      </c>
    </row>
    <row r="15" spans="1:23" ht="12.75" x14ac:dyDescent="0.15">
      <c r="A15" s="64">
        <v>14</v>
      </c>
      <c r="B15" s="64" t="str">
        <f ca="1">OFFSET(Batting!$C$4,BatAves!$I15,0)</f>
        <v>Curling L</v>
      </c>
      <c r="C15" s="68">
        <f ca="1">OFFSET(Batting!$AK$4,BatAves!$I15,0)</f>
        <v>2</v>
      </c>
      <c r="D15" s="68">
        <f ca="1">OFFSET(Batting!$AM$4,BatAves!$I15,0)</f>
        <v>2</v>
      </c>
      <c r="E15" s="68">
        <f ca="1">OFFSET(Batting!$AN$4,BatAves!$I15,0)</f>
        <v>0</v>
      </c>
      <c r="F15" s="68">
        <f ca="1">OFFSET(Batting!$AP$4,BatAves!$I15,0)</f>
        <v>33</v>
      </c>
      <c r="G15" s="68">
        <f ca="1">OFFSET(Batting!$AQ$4,BatAves!$I15,0)</f>
        <v>40</v>
      </c>
      <c r="H15" s="72">
        <f ca="1">OFFSET(Batting!$AR$4,BatAves!$I15,0)</f>
        <v>20</v>
      </c>
      <c r="I15" s="64">
        <f>MATCH(A15,Batting!$BM$5:$BM$62,0)</f>
        <v>8</v>
      </c>
      <c r="J15" s="64">
        <f t="shared" ca="1" si="0"/>
        <v>1014</v>
      </c>
      <c r="K15" s="64">
        <f t="shared" ca="1" si="8"/>
        <v>22</v>
      </c>
      <c r="L15" s="64" t="str">
        <f t="shared" ca="1" si="1"/>
        <v>Curling L 2-0-33-40</v>
      </c>
      <c r="M15" s="64">
        <f t="shared" ca="1" si="9"/>
        <v>27</v>
      </c>
      <c r="N15" s="122">
        <v>14</v>
      </c>
      <c r="O15" s="122" t="str">
        <f t="shared" ca="1" si="2"/>
        <v>Sajjid K</v>
      </c>
      <c r="P15" s="122">
        <f t="shared" ca="1" si="3"/>
        <v>9</v>
      </c>
      <c r="Q15" s="122">
        <f t="shared" ca="1" si="4"/>
        <v>6</v>
      </c>
      <c r="R15" s="122" t="str">
        <f t="shared" ca="1" si="5"/>
        <v>6*</v>
      </c>
      <c r="S15" s="122">
        <f t="shared" ca="1" si="6"/>
        <v>16</v>
      </c>
      <c r="T15" s="124">
        <f t="shared" ca="1" si="7"/>
        <v>5.333333333333333</v>
      </c>
      <c r="V15" s="98" t="s">
        <v>194</v>
      </c>
      <c r="W15" s="126"/>
    </row>
    <row r="16" spans="1:23" ht="12.75" x14ac:dyDescent="0.15">
      <c r="A16" s="64">
        <v>15</v>
      </c>
      <c r="B16" s="64" t="str">
        <f ca="1">OFFSET(Batting!$C$4,BatAves!$I16,0)</f>
        <v>Bhatt P</v>
      </c>
      <c r="C16" s="68">
        <f ca="1">OFFSET(Batting!$AK$4,BatAves!$I16,0)</f>
        <v>16</v>
      </c>
      <c r="D16" s="68">
        <f ca="1">OFFSET(Batting!$AM$4,BatAves!$I16,0)</f>
        <v>12</v>
      </c>
      <c r="E16" s="68">
        <f ca="1">OFFSET(Batting!$AN$4,BatAves!$I16,0)</f>
        <v>2</v>
      </c>
      <c r="F16" s="68" t="str">
        <f ca="1">OFFSET(Batting!$AP$4,BatAves!$I16,0)</f>
        <v>43*</v>
      </c>
      <c r="G16" s="68">
        <f ca="1">OFFSET(Batting!$AQ$4,BatAves!$I16,0)</f>
        <v>189</v>
      </c>
      <c r="H16" s="72">
        <f ca="1">OFFSET(Batting!$AR$4,BatAves!$I16,0)</f>
        <v>18.899999999999999</v>
      </c>
      <c r="I16" s="64">
        <f>MATCH(A16,Batting!$BM$5:$BM$62,0)</f>
        <v>3</v>
      </c>
      <c r="J16" s="64">
        <f t="shared" ca="1" si="0"/>
        <v>15</v>
      </c>
      <c r="K16" s="64">
        <f t="shared" ca="1" si="8"/>
        <v>8</v>
      </c>
      <c r="L16" s="64" t="str">
        <f t="shared" ca="1" si="1"/>
        <v/>
      </c>
      <c r="M16" s="64">
        <f t="shared" ca="1" si="9"/>
        <v>29</v>
      </c>
      <c r="N16" s="122">
        <v>15</v>
      </c>
      <c r="O16" s="122" t="str">
        <f t="shared" ca="1" si="2"/>
        <v>Jain A</v>
      </c>
      <c r="P16" s="122">
        <f t="shared" ca="1" si="3"/>
        <v>6</v>
      </c>
      <c r="Q16" s="122">
        <f t="shared" ca="1" si="4"/>
        <v>1</v>
      </c>
      <c r="R16" s="122" t="str">
        <f t="shared" ca="1" si="5"/>
        <v>9*</v>
      </c>
      <c r="S16" s="122">
        <f t="shared" ca="1" si="6"/>
        <v>22</v>
      </c>
      <c r="T16" s="124">
        <f t="shared" ca="1" si="7"/>
        <v>4.4000000000000004</v>
      </c>
      <c r="V16" s="64" t="s">
        <v>194</v>
      </c>
      <c r="W16" s="126"/>
    </row>
    <row r="17" spans="1:23" ht="12.75" x14ac:dyDescent="0.15">
      <c r="A17" s="64">
        <v>16</v>
      </c>
      <c r="B17" s="64" t="str">
        <f ca="1">OFFSET(Batting!$C$4,BatAves!$I17,0)</f>
        <v>Middleton J</v>
      </c>
      <c r="C17" s="68">
        <f ca="1">OFFSET(Batting!$AK$4,BatAves!$I17,0)</f>
        <v>4</v>
      </c>
      <c r="D17" s="68">
        <f ca="1">OFFSET(Batting!$AM$4,BatAves!$I17,0)</f>
        <v>4</v>
      </c>
      <c r="E17" s="68">
        <f ca="1">OFFSET(Batting!$AN$4,BatAves!$I17,0)</f>
        <v>1</v>
      </c>
      <c r="F17" s="68" t="str">
        <f ca="1">OFFSET(Batting!$AP$4,BatAves!$I17,0)</f>
        <v>36*</v>
      </c>
      <c r="G17" s="68">
        <f ca="1">OFFSET(Batting!$AQ$4,BatAves!$I17,0)</f>
        <v>53</v>
      </c>
      <c r="H17" s="72">
        <f ca="1">OFFSET(Batting!$AR$4,BatAves!$I17,0)</f>
        <v>17.666666666666668</v>
      </c>
      <c r="I17" s="64">
        <f>MATCH(A17,Batting!$BM$5:$BM$62,0)</f>
        <v>27</v>
      </c>
      <c r="J17" s="64">
        <f t="shared" ca="1" si="0"/>
        <v>1016</v>
      </c>
      <c r="K17" s="64">
        <f t="shared" ca="1" si="8"/>
        <v>23</v>
      </c>
      <c r="L17" s="64" t="str">
        <f t="shared" ca="1" si="1"/>
        <v>Middleton J 4-1-36*-53</v>
      </c>
      <c r="M17" s="64">
        <f t="shared" ca="1" si="9"/>
        <v>1</v>
      </c>
      <c r="N17" s="122">
        <v>16</v>
      </c>
      <c r="O17" s="122" t="str">
        <f t="shared" ca="1" si="2"/>
        <v>Ahmed R</v>
      </c>
      <c r="P17" s="122">
        <f t="shared" ca="1" si="3"/>
        <v>2</v>
      </c>
      <c r="Q17" s="122">
        <f t="shared" ca="1" si="4"/>
        <v>0</v>
      </c>
      <c r="R17" s="122">
        <f t="shared" ca="1" si="5"/>
        <v>90</v>
      </c>
      <c r="S17" s="122">
        <f t="shared" ca="1" si="6"/>
        <v>176</v>
      </c>
      <c r="T17" s="124">
        <f t="shared" ca="1" si="7"/>
        <v>88</v>
      </c>
      <c r="V17" s="64" t="s">
        <v>194</v>
      </c>
      <c r="W17" s="126"/>
    </row>
    <row r="18" spans="1:23" ht="12.75" x14ac:dyDescent="0.15">
      <c r="A18" s="64">
        <v>17</v>
      </c>
      <c r="B18" s="64" t="str">
        <f ca="1">OFFSET(Batting!$C$4,BatAves!$I18,0)</f>
        <v>Kogulathasan D</v>
      </c>
      <c r="C18" s="68">
        <f ca="1">OFFSET(Batting!$AK$4,BatAves!$I18,0)</f>
        <v>14</v>
      </c>
      <c r="D18" s="68">
        <f ca="1">OFFSET(Batting!$AM$4,BatAves!$I18,0)</f>
        <v>13</v>
      </c>
      <c r="E18" s="68">
        <f ca="1">OFFSET(Batting!$AN$4,BatAves!$I18,0)</f>
        <v>4</v>
      </c>
      <c r="F18" s="68" t="str">
        <f ca="1">OFFSET(Batting!$AP$4,BatAves!$I18,0)</f>
        <v>29*</v>
      </c>
      <c r="G18" s="68">
        <f ca="1">OFFSET(Batting!$AQ$4,BatAves!$I18,0)</f>
        <v>138</v>
      </c>
      <c r="H18" s="72">
        <f ca="1">OFFSET(Batting!$AR$4,BatAves!$I18,0)</f>
        <v>15.333333333333334</v>
      </c>
      <c r="I18" s="64">
        <f>MATCH(A18,Batting!$BM$5:$BM$62,0)</f>
        <v>19</v>
      </c>
      <c r="J18" s="64">
        <f t="shared" ca="1" si="0"/>
        <v>17</v>
      </c>
      <c r="K18" s="64">
        <f t="shared" ca="1" si="8"/>
        <v>9</v>
      </c>
      <c r="L18" s="64" t="str">
        <f t="shared" ca="1" si="1"/>
        <v/>
      </c>
      <c r="M18" s="64">
        <f t="shared" ca="1" si="9"/>
        <v>2</v>
      </c>
      <c r="N18" s="122">
        <v>17</v>
      </c>
      <c r="O18" s="122" t="str">
        <f t="shared" ca="1" si="2"/>
        <v>Stevenson R</v>
      </c>
      <c r="P18" s="122">
        <f t="shared" ca="1" si="3"/>
        <v>1</v>
      </c>
      <c r="Q18" s="122">
        <f t="shared" ca="1" si="4"/>
        <v>0</v>
      </c>
      <c r="R18" s="122">
        <f t="shared" ca="1" si="5"/>
        <v>67</v>
      </c>
      <c r="S18" s="122">
        <f t="shared" ca="1" si="6"/>
        <v>67</v>
      </c>
      <c r="T18" s="124">
        <f t="shared" ca="1" si="7"/>
        <v>67</v>
      </c>
      <c r="V18" s="152"/>
      <c r="W18" s="126"/>
    </row>
    <row r="19" spans="1:23" ht="12.75" x14ac:dyDescent="0.15">
      <c r="A19" s="64">
        <v>18</v>
      </c>
      <c r="B19" s="64" t="str">
        <f ca="1">OFFSET(Batting!$C$4,BatAves!$I19,0)</f>
        <v>Umar S</v>
      </c>
      <c r="C19" s="68">
        <f ca="1">OFFSET(Batting!$AK$4,BatAves!$I19,0)</f>
        <v>1</v>
      </c>
      <c r="D19" s="68">
        <f ca="1">OFFSET(Batting!$AM$4,BatAves!$I19,0)</f>
        <v>1</v>
      </c>
      <c r="E19" s="68">
        <f ca="1">OFFSET(Batting!$AN$4,BatAves!$I19,0)</f>
        <v>0</v>
      </c>
      <c r="F19" s="68">
        <f ca="1">OFFSET(Batting!$AP$4,BatAves!$I19,0)</f>
        <v>13</v>
      </c>
      <c r="G19" s="68">
        <f ca="1">OFFSET(Batting!$AQ$4,BatAves!$I19,0)</f>
        <v>13</v>
      </c>
      <c r="H19" s="72">
        <f ca="1">OFFSET(Batting!$AR$4,BatAves!$I19,0)</f>
        <v>13</v>
      </c>
      <c r="I19" s="64">
        <f>MATCH(A19,Batting!$BM$5:$BM$62,0)</f>
        <v>55</v>
      </c>
      <c r="J19" s="64">
        <f t="shared" ca="1" si="0"/>
        <v>1018</v>
      </c>
      <c r="K19" s="64">
        <f t="shared" ca="1" si="8"/>
        <v>24</v>
      </c>
      <c r="L19" s="64" t="str">
        <f t="shared" ca="1" si="1"/>
        <v>Umar S 1-0-13-13</v>
      </c>
      <c r="M19" s="64">
        <f t="shared" ca="1" si="9"/>
        <v>3</v>
      </c>
      <c r="N19" s="122">
        <v>18</v>
      </c>
      <c r="O19" s="122" t="str">
        <f t="shared" ca="1" si="2"/>
        <v>Mahmood S</v>
      </c>
      <c r="P19" s="122">
        <f t="shared" ca="1" si="3"/>
        <v>1</v>
      </c>
      <c r="Q19" s="122">
        <f t="shared" ca="1" si="4"/>
        <v>0</v>
      </c>
      <c r="R19" s="122">
        <f t="shared" ca="1" si="5"/>
        <v>47</v>
      </c>
      <c r="S19" s="122">
        <f t="shared" ca="1" si="6"/>
        <v>47</v>
      </c>
      <c r="T19" s="124">
        <f t="shared" ca="1" si="7"/>
        <v>47</v>
      </c>
      <c r="V19" s="152"/>
      <c r="W19" s="126" t="s">
        <v>194</v>
      </c>
    </row>
    <row r="20" spans="1:23" ht="12.75" x14ac:dyDescent="0.15">
      <c r="A20" s="64">
        <v>19</v>
      </c>
      <c r="B20" s="64" t="str">
        <f ca="1">OFFSET(Batting!$C$4,BatAves!$I20,0)</f>
        <v>Jenkins D</v>
      </c>
      <c r="C20" s="68">
        <f ca="1">OFFSET(Batting!$AK$4,BatAves!$I20,0)</f>
        <v>14</v>
      </c>
      <c r="D20" s="68">
        <f ca="1">OFFSET(Batting!$AM$4,BatAves!$I20,0)</f>
        <v>13</v>
      </c>
      <c r="E20" s="68">
        <f ca="1">OFFSET(Batting!$AN$4,BatAves!$I20,0)</f>
        <v>2</v>
      </c>
      <c r="F20" s="68">
        <f ca="1">OFFSET(Batting!$AP$4,BatAves!$I20,0)</f>
        <v>37</v>
      </c>
      <c r="G20" s="68">
        <f ca="1">OFFSET(Batting!$AQ$4,BatAves!$I20,0)</f>
        <v>131</v>
      </c>
      <c r="H20" s="72">
        <f ca="1">OFFSET(Batting!$AR$4,BatAves!$I20,0)</f>
        <v>11.909090909090908</v>
      </c>
      <c r="I20" s="64">
        <f>MATCH(A20,Batting!$BM$5:$BM$62,0)</f>
        <v>16</v>
      </c>
      <c r="J20" s="64">
        <f t="shared" ca="1" si="0"/>
        <v>19</v>
      </c>
      <c r="K20" s="64">
        <f t="shared" ca="1" si="8"/>
        <v>10</v>
      </c>
      <c r="L20" s="64" t="str">
        <f t="shared" ca="1" si="1"/>
        <v/>
      </c>
      <c r="M20" s="64">
        <f t="shared" ca="1" si="9"/>
        <v>5</v>
      </c>
      <c r="N20" s="122">
        <v>19</v>
      </c>
      <c r="O20" s="122" t="str">
        <f t="shared" ca="1" si="2"/>
        <v>Niran S</v>
      </c>
      <c r="P20" s="122">
        <f t="shared" ca="1" si="3"/>
        <v>4</v>
      </c>
      <c r="Q20" s="122">
        <f t="shared" ca="1" si="4"/>
        <v>0</v>
      </c>
      <c r="R20" s="122">
        <f t="shared" ca="1" si="5"/>
        <v>49</v>
      </c>
      <c r="S20" s="122">
        <f t="shared" ca="1" si="6"/>
        <v>142</v>
      </c>
      <c r="T20" s="124">
        <f t="shared" ca="1" si="7"/>
        <v>35.5</v>
      </c>
      <c r="V20" s="152"/>
      <c r="W20" s="64" t="s">
        <v>194</v>
      </c>
    </row>
    <row r="21" spans="1:23" ht="12.75" x14ac:dyDescent="0.15">
      <c r="A21" s="64">
        <v>20</v>
      </c>
      <c r="B21" s="64" t="str">
        <f ca="1">OFFSET(Batting!$C$4,BatAves!$I21,0)</f>
        <v>Lindsay B</v>
      </c>
      <c r="C21" s="68">
        <f ca="1">OFFSET(Batting!$AK$4,BatAves!$I21,0)</f>
        <v>1</v>
      </c>
      <c r="D21" s="68">
        <f ca="1">OFFSET(Batting!$AM$4,BatAves!$I21,0)</f>
        <v>1</v>
      </c>
      <c r="E21" s="68">
        <f ca="1">OFFSET(Batting!$AN$4,BatAves!$I21,0)</f>
        <v>0</v>
      </c>
      <c r="F21" s="68">
        <f ca="1">OFFSET(Batting!$AP$4,BatAves!$I21,0)</f>
        <v>11</v>
      </c>
      <c r="G21" s="68">
        <f ca="1">OFFSET(Batting!$AQ$4,BatAves!$I21,0)</f>
        <v>11</v>
      </c>
      <c r="H21" s="72">
        <f ca="1">OFFSET(Batting!$AR$4,BatAves!$I21,0)</f>
        <v>11</v>
      </c>
      <c r="I21" s="64">
        <f>MATCH(A21,Batting!$BM$5:$BM$62,0)</f>
        <v>21</v>
      </c>
      <c r="J21" s="64">
        <f t="shared" ca="1" si="0"/>
        <v>1020</v>
      </c>
      <c r="K21" s="64">
        <f t="shared" ca="1" si="8"/>
        <v>25</v>
      </c>
      <c r="L21" s="64" t="str">
        <f t="shared" ca="1" si="1"/>
        <v>Lindsay B 1-0-11-11</v>
      </c>
      <c r="M21" s="64">
        <f t="shared" ca="1" si="9"/>
        <v>8</v>
      </c>
      <c r="N21" s="122">
        <v>20</v>
      </c>
      <c r="O21" s="122" t="str">
        <f t="shared" ca="1" si="2"/>
        <v>Crone W</v>
      </c>
      <c r="P21" s="122">
        <f t="shared" ca="1" si="3"/>
        <v>2</v>
      </c>
      <c r="Q21" s="122">
        <f t="shared" ca="1" si="4"/>
        <v>0</v>
      </c>
      <c r="R21" s="122">
        <f t="shared" ca="1" si="5"/>
        <v>45</v>
      </c>
      <c r="S21" s="122">
        <f t="shared" ca="1" si="6"/>
        <v>62</v>
      </c>
      <c r="T21" s="124">
        <f t="shared" ca="1" si="7"/>
        <v>31</v>
      </c>
      <c r="V21" s="152"/>
      <c r="W21" s="64" t="s">
        <v>194</v>
      </c>
    </row>
    <row r="22" spans="1:23" ht="12.75" x14ac:dyDescent="0.15">
      <c r="A22" s="64">
        <v>21</v>
      </c>
      <c r="B22" s="64" t="str">
        <f ca="1">OFFSET(Batting!$C$4,BatAves!$I22,0)</f>
        <v>Ahmed M</v>
      </c>
      <c r="C22" s="68">
        <f ca="1">OFFSET(Batting!$AK$4,BatAves!$I22,0)</f>
        <v>7</v>
      </c>
      <c r="D22" s="68">
        <f ca="1">OFFSET(Batting!$AM$4,BatAves!$I22,0)</f>
        <v>7</v>
      </c>
      <c r="E22" s="68">
        <f ca="1">OFFSET(Batting!$AN$4,BatAves!$I22,0)</f>
        <v>2</v>
      </c>
      <c r="F22" s="68" t="str">
        <f ca="1">OFFSET(Batting!$AP$4,BatAves!$I22,0)</f>
        <v>22*</v>
      </c>
      <c r="G22" s="68">
        <f ca="1">OFFSET(Batting!$AQ$4,BatAves!$I22,0)</f>
        <v>50</v>
      </c>
      <c r="H22" s="72">
        <f ca="1">OFFSET(Batting!$AR$4,BatAves!$I22,0)</f>
        <v>10</v>
      </c>
      <c r="I22" s="64">
        <f>MATCH(A22,Batting!$BM$5:$BM$62,0)</f>
        <v>1</v>
      </c>
      <c r="J22" s="64">
        <f t="shared" ca="1" si="0"/>
        <v>21</v>
      </c>
      <c r="K22" s="64">
        <f t="shared" ca="1" si="8"/>
        <v>11</v>
      </c>
      <c r="L22" s="64" t="str">
        <f t="shared" ca="1" si="1"/>
        <v/>
      </c>
      <c r="M22" s="64">
        <f t="shared" ca="1" si="9"/>
        <v>11</v>
      </c>
      <c r="N22" s="122">
        <v>21</v>
      </c>
      <c r="O22" s="122" t="str">
        <f t="shared" ca="1" si="2"/>
        <v>Viveganandan M</v>
      </c>
      <c r="P22" s="122">
        <f t="shared" ca="1" si="3"/>
        <v>3</v>
      </c>
      <c r="Q22" s="122">
        <f t="shared" ca="1" si="4"/>
        <v>1</v>
      </c>
      <c r="R22" s="122">
        <f t="shared" ca="1" si="5"/>
        <v>43</v>
      </c>
      <c r="S22" s="122">
        <f t="shared" ca="1" si="6"/>
        <v>50</v>
      </c>
      <c r="T22" s="124">
        <f t="shared" ca="1" si="7"/>
        <v>25</v>
      </c>
      <c r="V22" s="152"/>
      <c r="W22" s="64" t="s">
        <v>194</v>
      </c>
    </row>
    <row r="23" spans="1:23" ht="12.75" x14ac:dyDescent="0.15">
      <c r="A23" s="64">
        <v>22</v>
      </c>
      <c r="B23" s="64" t="str">
        <f ca="1">OFFSET(Batting!$C$4,BatAves!$I23,0)</f>
        <v>Patel S</v>
      </c>
      <c r="C23" s="68">
        <f ca="1">OFFSET(Batting!$AK$4,BatAves!$I23,0)</f>
        <v>1</v>
      </c>
      <c r="D23" s="68">
        <f ca="1">OFFSET(Batting!$AM$4,BatAves!$I23,0)</f>
        <v>1</v>
      </c>
      <c r="E23" s="68">
        <f ca="1">OFFSET(Batting!$AN$4,BatAves!$I23,0)</f>
        <v>0</v>
      </c>
      <c r="F23" s="68">
        <f ca="1">OFFSET(Batting!$AP$4,BatAves!$I23,0)</f>
        <v>9</v>
      </c>
      <c r="G23" s="68">
        <f ca="1">OFFSET(Batting!$AQ$4,BatAves!$I23,0)</f>
        <v>9</v>
      </c>
      <c r="H23" s="72">
        <f ca="1">OFFSET(Batting!$AR$4,BatAves!$I23,0)</f>
        <v>9</v>
      </c>
      <c r="I23" s="64">
        <f>MATCH(A23,Batting!$BM$5:$BM$62,0)</f>
        <v>36</v>
      </c>
      <c r="J23" s="64">
        <f t="shared" ca="1" si="0"/>
        <v>1022</v>
      </c>
      <c r="K23" s="64">
        <f t="shared" ca="1" si="8"/>
        <v>26</v>
      </c>
      <c r="L23" s="64" t="str">
        <f t="shared" ca="1" si="1"/>
        <v>Patel S 1-0-9-9</v>
      </c>
      <c r="M23" s="64">
        <f t="shared" ca="1" si="9"/>
        <v>14</v>
      </c>
      <c r="N23" s="122">
        <v>22</v>
      </c>
      <c r="O23" s="122" t="str">
        <f t="shared" ca="1" si="2"/>
        <v>Curling L</v>
      </c>
      <c r="P23" s="122">
        <f t="shared" ca="1" si="3"/>
        <v>2</v>
      </c>
      <c r="Q23" s="122">
        <f t="shared" ca="1" si="4"/>
        <v>0</v>
      </c>
      <c r="R23" s="122">
        <f t="shared" ca="1" si="5"/>
        <v>33</v>
      </c>
      <c r="S23" s="122">
        <f t="shared" ca="1" si="6"/>
        <v>40</v>
      </c>
      <c r="T23" s="124">
        <f t="shared" ca="1" si="7"/>
        <v>20</v>
      </c>
      <c r="V23" s="152"/>
      <c r="W23" s="126"/>
    </row>
    <row r="24" spans="1:23" ht="12.75" x14ac:dyDescent="0.15">
      <c r="A24" s="64">
        <v>23</v>
      </c>
      <c r="B24" s="64" t="str">
        <f ca="1">OFFSET(Batting!$C$4,BatAves!$I24,0)</f>
        <v>Brocks D</v>
      </c>
      <c r="C24" s="68">
        <f ca="1">OFFSET(Batting!$AK$4,BatAves!$I24,0)</f>
        <v>3</v>
      </c>
      <c r="D24" s="68">
        <f ca="1">OFFSET(Batting!$AM$4,BatAves!$I24,0)</f>
        <v>3</v>
      </c>
      <c r="E24" s="68">
        <f ca="1">OFFSET(Batting!$AN$4,BatAves!$I24,0)</f>
        <v>0</v>
      </c>
      <c r="F24" s="68">
        <f ca="1">OFFSET(Batting!$AP$4,BatAves!$I24,0)</f>
        <v>18</v>
      </c>
      <c r="G24" s="68">
        <f ca="1">OFFSET(Batting!$AQ$4,BatAves!$I24,0)</f>
        <v>22</v>
      </c>
      <c r="H24" s="72">
        <f ca="1">OFFSET(Batting!$AR$4,BatAves!$I24,0)</f>
        <v>7.333333333333333</v>
      </c>
      <c r="I24" s="64">
        <f>MATCH(A24,Batting!$BM$5:$BM$62,0)</f>
        <v>5</v>
      </c>
      <c r="J24" s="64">
        <f t="shared" ca="1" si="0"/>
        <v>1023</v>
      </c>
      <c r="K24" s="64">
        <f t="shared" ca="1" si="8"/>
        <v>27</v>
      </c>
      <c r="L24" s="64" t="str">
        <f t="shared" ca="1" si="1"/>
        <v>Brocks D 3-0-18-22</v>
      </c>
      <c r="M24" s="64">
        <f t="shared" ca="1" si="9"/>
        <v>16</v>
      </c>
      <c r="N24" s="122">
        <v>23</v>
      </c>
      <c r="O24" s="122" t="str">
        <f t="shared" ca="1" si="2"/>
        <v>Middleton J</v>
      </c>
      <c r="P24" s="122">
        <f t="shared" ca="1" si="3"/>
        <v>4</v>
      </c>
      <c r="Q24" s="122">
        <f t="shared" ca="1" si="4"/>
        <v>1</v>
      </c>
      <c r="R24" s="122" t="str">
        <f t="shared" ca="1" si="5"/>
        <v>36*</v>
      </c>
      <c r="S24" s="122">
        <f t="shared" ca="1" si="6"/>
        <v>53</v>
      </c>
      <c r="T24" s="124">
        <f t="shared" ca="1" si="7"/>
        <v>17.666666666666668</v>
      </c>
      <c r="V24" s="152"/>
      <c r="W24" s="126"/>
    </row>
    <row r="25" spans="1:23" ht="12.75" x14ac:dyDescent="0.15">
      <c r="A25" s="64">
        <v>24</v>
      </c>
      <c r="B25" s="64" t="str">
        <f ca="1">OFFSET(Batting!$C$4,BatAves!$I25,0)</f>
        <v>Patel M</v>
      </c>
      <c r="C25" s="68">
        <f ca="1">OFFSET(Batting!$AK$4,BatAves!$I25,0)</f>
        <v>14</v>
      </c>
      <c r="D25" s="68">
        <f ca="1">OFFSET(Batting!$AM$4,BatAves!$I25,0)</f>
        <v>12</v>
      </c>
      <c r="E25" s="68">
        <f ca="1">OFFSET(Batting!$AN$4,BatAves!$I25,0)</f>
        <v>0</v>
      </c>
      <c r="F25" s="68">
        <f ca="1">OFFSET(Batting!$AP$4,BatAves!$I25,0)</f>
        <v>19</v>
      </c>
      <c r="G25" s="68">
        <f ca="1">OFFSET(Batting!$AQ$4,BatAves!$I25,0)</f>
        <v>82</v>
      </c>
      <c r="H25" s="72">
        <f ca="1">OFFSET(Batting!$AR$4,BatAves!$I25,0)</f>
        <v>6.833333333333333</v>
      </c>
      <c r="I25" s="64">
        <f>MATCH(A25,Batting!$BM$5:$BM$62,0)</f>
        <v>35</v>
      </c>
      <c r="J25" s="64">
        <f t="shared" ca="1" si="0"/>
        <v>24</v>
      </c>
      <c r="K25" s="64">
        <f t="shared" ca="1" si="8"/>
        <v>12</v>
      </c>
      <c r="L25" s="64" t="str">
        <f t="shared" ca="1" si="1"/>
        <v/>
      </c>
      <c r="M25" s="64">
        <f t="shared" ca="1" si="9"/>
        <v>18</v>
      </c>
      <c r="N25" s="122">
        <v>24</v>
      </c>
      <c r="O25" s="122" t="str">
        <f t="shared" ca="1" si="2"/>
        <v>Umar S</v>
      </c>
      <c r="P25" s="122">
        <f t="shared" ca="1" si="3"/>
        <v>1</v>
      </c>
      <c r="Q25" s="122">
        <f t="shared" ca="1" si="4"/>
        <v>0</v>
      </c>
      <c r="R25" s="122">
        <f t="shared" ca="1" si="5"/>
        <v>13</v>
      </c>
      <c r="S25" s="122">
        <f t="shared" ca="1" si="6"/>
        <v>13</v>
      </c>
      <c r="T25" s="124">
        <f t="shared" ca="1" si="7"/>
        <v>13</v>
      </c>
      <c r="V25" s="152"/>
      <c r="W25" s="64" t="s">
        <v>194</v>
      </c>
    </row>
    <row r="26" spans="1:23" ht="12.75" x14ac:dyDescent="0.15">
      <c r="A26" s="64">
        <v>25</v>
      </c>
      <c r="B26" s="64" t="str">
        <f ca="1">OFFSET(Batting!$C$4,BatAves!$I26,0)</f>
        <v>Nair S</v>
      </c>
      <c r="C26" s="68">
        <f ca="1">OFFSET(Batting!$AK$4,BatAves!$I26,0)</f>
        <v>11</v>
      </c>
      <c r="D26" s="68">
        <f ca="1">OFFSET(Batting!$AM$4,BatAves!$I26,0)</f>
        <v>7</v>
      </c>
      <c r="E26" s="68">
        <f ca="1">OFFSET(Batting!$AN$4,BatAves!$I26,0)</f>
        <v>2</v>
      </c>
      <c r="F26" s="68" t="str">
        <f ca="1">OFFSET(Batting!$AP$4,BatAves!$I26,0)</f>
        <v>20*</v>
      </c>
      <c r="G26" s="68">
        <f ca="1">OFFSET(Batting!$AQ$4,BatAves!$I26,0)</f>
        <v>31</v>
      </c>
      <c r="H26" s="72">
        <f ca="1">OFFSET(Batting!$AR$4,BatAves!$I26,0)</f>
        <v>6.2</v>
      </c>
      <c r="I26" s="64">
        <f>MATCH(A26,Batting!$BM$5:$BM$62,0)</f>
        <v>28</v>
      </c>
      <c r="J26" s="64">
        <f t="shared" ca="1" si="0"/>
        <v>25</v>
      </c>
      <c r="K26" s="64">
        <f t="shared" ca="1" si="8"/>
        <v>13</v>
      </c>
      <c r="L26" s="64" t="str">
        <f t="shared" ca="1" si="1"/>
        <v/>
      </c>
      <c r="M26" s="64">
        <f t="shared" ca="1" si="9"/>
        <v>20</v>
      </c>
      <c r="N26" s="122">
        <v>25</v>
      </c>
      <c r="O26" s="122" t="str">
        <f t="shared" ca="1" si="2"/>
        <v>Lindsay B</v>
      </c>
      <c r="P26" s="122">
        <f t="shared" ca="1" si="3"/>
        <v>1</v>
      </c>
      <c r="Q26" s="122">
        <f t="shared" ca="1" si="4"/>
        <v>0</v>
      </c>
      <c r="R26" s="122">
        <f t="shared" ca="1" si="5"/>
        <v>11</v>
      </c>
      <c r="S26" s="122">
        <f t="shared" ca="1" si="6"/>
        <v>11</v>
      </c>
      <c r="T26" s="124">
        <f t="shared" ca="1" si="7"/>
        <v>11</v>
      </c>
      <c r="V26" s="152"/>
      <c r="W26" s="126"/>
    </row>
    <row r="27" spans="1:23" ht="12.75" x14ac:dyDescent="0.15">
      <c r="A27" s="64">
        <v>26</v>
      </c>
      <c r="B27" s="64" t="str">
        <f ca="1">OFFSET(Batting!$C$4,BatAves!$I27,0)</f>
        <v>Mander C</v>
      </c>
      <c r="C27" s="68">
        <f ca="1">OFFSET(Batting!$AK$4,BatAves!$I27,0)</f>
        <v>1</v>
      </c>
      <c r="D27" s="68">
        <f ca="1">OFFSET(Batting!$AM$4,BatAves!$I27,0)</f>
        <v>1</v>
      </c>
      <c r="E27" s="68">
        <f ca="1">OFFSET(Batting!$AN$4,BatAves!$I27,0)</f>
        <v>0</v>
      </c>
      <c r="F27" s="68">
        <f ca="1">OFFSET(Batting!$AP$4,BatAves!$I27,0)</f>
        <v>6</v>
      </c>
      <c r="G27" s="68">
        <f ca="1">OFFSET(Batting!$AQ$4,BatAves!$I27,0)</f>
        <v>6</v>
      </c>
      <c r="H27" s="72">
        <f ca="1">OFFSET(Batting!$AR$4,BatAves!$I27,0)</f>
        <v>6</v>
      </c>
      <c r="I27" s="64">
        <f>MATCH(A27,Batting!$BM$5:$BM$62,0)</f>
        <v>26</v>
      </c>
      <c r="J27" s="64">
        <f t="shared" ca="1" si="0"/>
        <v>1026</v>
      </c>
      <c r="K27" s="64">
        <f t="shared" ca="1" si="8"/>
        <v>28</v>
      </c>
      <c r="L27" s="64" t="str">
        <f t="shared" ca="1" si="1"/>
        <v>Mander C 1-0-6-6</v>
      </c>
      <c r="M27" s="64">
        <f t="shared" ca="1" si="9"/>
        <v>22</v>
      </c>
      <c r="N27" s="122">
        <v>26</v>
      </c>
      <c r="O27" s="122" t="str">
        <f t="shared" ca="1" si="2"/>
        <v>Patel S</v>
      </c>
      <c r="P27" s="122">
        <f t="shared" ca="1" si="3"/>
        <v>1</v>
      </c>
      <c r="Q27" s="122">
        <f t="shared" ca="1" si="4"/>
        <v>0</v>
      </c>
      <c r="R27" s="122">
        <f t="shared" ca="1" si="5"/>
        <v>9</v>
      </c>
      <c r="S27" s="122">
        <f t="shared" ca="1" si="6"/>
        <v>9</v>
      </c>
      <c r="T27" s="124">
        <f t="shared" ca="1" si="7"/>
        <v>9</v>
      </c>
      <c r="V27" s="152"/>
      <c r="W27" s="64" t="s">
        <v>194</v>
      </c>
    </row>
    <row r="28" spans="1:23" ht="12.75" x14ac:dyDescent="0.15">
      <c r="A28" s="64">
        <v>27</v>
      </c>
      <c r="B28" s="64" t="str">
        <f ca="1">OFFSET(Batting!$C$4,BatAves!$I28,0)</f>
        <v>Sajjid K</v>
      </c>
      <c r="C28" s="68">
        <f ca="1">OFFSET(Batting!$AK$4,BatAves!$I28,0)</f>
        <v>10</v>
      </c>
      <c r="D28" s="68">
        <f ca="1">OFFSET(Batting!$AM$4,BatAves!$I28,0)</f>
        <v>9</v>
      </c>
      <c r="E28" s="68">
        <f ca="1">OFFSET(Batting!$AN$4,BatAves!$I28,0)</f>
        <v>6</v>
      </c>
      <c r="F28" s="68" t="str">
        <f ca="1">OFFSET(Batting!$AP$4,BatAves!$I28,0)</f>
        <v>6*</v>
      </c>
      <c r="G28" s="68">
        <f ca="1">OFFSET(Batting!$AQ$4,BatAves!$I28,0)</f>
        <v>16</v>
      </c>
      <c r="H28" s="72">
        <f ca="1">OFFSET(Batting!$AR$4,BatAves!$I28,0)</f>
        <v>5.333333333333333</v>
      </c>
      <c r="I28" s="64">
        <f>MATCH(A28,Batting!$BM$5:$BM$62,0)</f>
        <v>43</v>
      </c>
      <c r="J28" s="64">
        <f t="shared" ca="1" si="0"/>
        <v>27</v>
      </c>
      <c r="K28" s="64">
        <f t="shared" ca="1" si="8"/>
        <v>14</v>
      </c>
      <c r="L28" s="64" t="str">
        <f t="shared" ca="1" si="1"/>
        <v/>
      </c>
      <c r="M28" s="64">
        <f t="shared" ca="1" si="9"/>
        <v>23</v>
      </c>
      <c r="N28" s="122">
        <v>27</v>
      </c>
      <c r="O28" s="122" t="str">
        <f t="shared" ca="1" si="2"/>
        <v>Brocks D</v>
      </c>
      <c r="P28" s="122">
        <f t="shared" ca="1" si="3"/>
        <v>3</v>
      </c>
      <c r="Q28" s="122">
        <f t="shared" ca="1" si="4"/>
        <v>0</v>
      </c>
      <c r="R28" s="122">
        <f t="shared" ca="1" si="5"/>
        <v>18</v>
      </c>
      <c r="S28" s="122">
        <f t="shared" ca="1" si="6"/>
        <v>22</v>
      </c>
      <c r="T28" s="124">
        <f t="shared" ca="1" si="7"/>
        <v>7.333333333333333</v>
      </c>
      <c r="V28" s="152"/>
    </row>
    <row r="29" spans="1:23" ht="12.75" x14ac:dyDescent="0.15">
      <c r="A29" s="64">
        <v>28</v>
      </c>
      <c r="B29" s="64" t="str">
        <f ca="1">OFFSET(Batting!$C$4,BatAves!$I29,0)</f>
        <v>Deol R</v>
      </c>
      <c r="C29" s="68">
        <f ca="1">OFFSET(Batting!$AK$4,BatAves!$I29,0)</f>
        <v>1</v>
      </c>
      <c r="D29" s="68">
        <f ca="1">OFFSET(Batting!$AM$4,BatAves!$I29,0)</f>
        <v>1</v>
      </c>
      <c r="E29" s="68">
        <f ca="1">OFFSET(Batting!$AN$4,BatAves!$I29,0)</f>
        <v>0</v>
      </c>
      <c r="F29" s="68">
        <f ca="1">OFFSET(Batting!$AP$4,BatAves!$I29,0)</f>
        <v>5</v>
      </c>
      <c r="G29" s="68">
        <f ca="1">OFFSET(Batting!$AQ$4,BatAves!$I29,0)</f>
        <v>5</v>
      </c>
      <c r="H29" s="72">
        <f ca="1">OFFSET(Batting!$AR$4,BatAves!$I29,0)</f>
        <v>5</v>
      </c>
      <c r="I29" s="64">
        <f>MATCH(A29,Batting!$BM$5:$BM$62,0)</f>
        <v>10</v>
      </c>
      <c r="J29" s="64">
        <f t="shared" ca="1" si="0"/>
        <v>1028</v>
      </c>
      <c r="K29" s="64">
        <f t="shared" ca="1" si="8"/>
        <v>29</v>
      </c>
      <c r="L29" s="64" t="str">
        <f t="shared" ca="1" si="1"/>
        <v>Deol R 1-0-5-5</v>
      </c>
      <c r="M29" s="64">
        <f t="shared" ca="1" si="9"/>
        <v>26</v>
      </c>
      <c r="N29" s="122">
        <v>28</v>
      </c>
      <c r="O29" s="122" t="str">
        <f t="shared" ca="1" si="2"/>
        <v>Mander C</v>
      </c>
      <c r="P29" s="122">
        <f t="shared" ca="1" si="3"/>
        <v>1</v>
      </c>
      <c r="Q29" s="122">
        <f t="shared" ca="1" si="4"/>
        <v>0</v>
      </c>
      <c r="R29" s="122">
        <f t="shared" ca="1" si="5"/>
        <v>6</v>
      </c>
      <c r="S29" s="122">
        <f t="shared" ca="1" si="6"/>
        <v>6</v>
      </c>
      <c r="T29" s="124">
        <f t="shared" ca="1" si="7"/>
        <v>6</v>
      </c>
      <c r="V29" s="152"/>
    </row>
    <row r="30" spans="1:23" ht="12.75" x14ac:dyDescent="0.15">
      <c r="A30" s="64">
        <v>29</v>
      </c>
      <c r="B30" s="64" t="str">
        <f ca="1">OFFSET(Batting!$C$4,BatAves!$I30,0)</f>
        <v>Jain A</v>
      </c>
      <c r="C30" s="68">
        <f ca="1">OFFSET(Batting!$AK$4,BatAves!$I30,0)</f>
        <v>7</v>
      </c>
      <c r="D30" s="68">
        <f ca="1">OFFSET(Batting!$AM$4,BatAves!$I30,0)</f>
        <v>6</v>
      </c>
      <c r="E30" s="68">
        <f ca="1">OFFSET(Batting!$AN$4,BatAves!$I30,0)</f>
        <v>1</v>
      </c>
      <c r="F30" s="68" t="str">
        <f ca="1">OFFSET(Batting!$AP$4,BatAves!$I30,0)</f>
        <v>9*</v>
      </c>
      <c r="G30" s="68">
        <f ca="1">OFFSET(Batting!$AQ$4,BatAves!$I30,0)</f>
        <v>22</v>
      </c>
      <c r="H30" s="72">
        <f ca="1">OFFSET(Batting!$AR$4,BatAves!$I30,0)</f>
        <v>4.4000000000000004</v>
      </c>
      <c r="I30" s="64">
        <f>MATCH(A30,Batting!$BM$5:$BM$62,0)</f>
        <v>15</v>
      </c>
      <c r="J30" s="64">
        <f t="shared" ca="1" si="0"/>
        <v>29</v>
      </c>
      <c r="K30" s="64">
        <f t="shared" ca="1" si="8"/>
        <v>15</v>
      </c>
      <c r="L30" s="64" t="str">
        <f t="shared" ca="1" si="1"/>
        <v/>
      </c>
      <c r="M30" s="64">
        <f t="shared" ca="1" si="9"/>
        <v>28</v>
      </c>
      <c r="N30" s="122">
        <v>29</v>
      </c>
      <c r="O30" s="122" t="str">
        <f t="shared" ca="1" si="2"/>
        <v>Deol R</v>
      </c>
      <c r="P30" s="122">
        <f t="shared" ca="1" si="3"/>
        <v>1</v>
      </c>
      <c r="Q30" s="122">
        <f t="shared" ca="1" si="4"/>
        <v>0</v>
      </c>
      <c r="R30" s="122">
        <f t="shared" ca="1" si="5"/>
        <v>5</v>
      </c>
      <c r="S30" s="122">
        <f t="shared" ca="1" si="6"/>
        <v>5</v>
      </c>
      <c r="T30" s="124">
        <f t="shared" ca="1" si="7"/>
        <v>5</v>
      </c>
      <c r="V30" s="152"/>
      <c r="W30" s="64" t="s">
        <v>194</v>
      </c>
    </row>
    <row r="31" spans="1:23" ht="12.75" x14ac:dyDescent="0.15">
      <c r="A31" s="64">
        <v>30</v>
      </c>
      <c r="B31" s="64" t="str">
        <f ca="1">OFFSET(Batting!$C$4,BatAves!$I31,0)</f>
        <v>Biswas A</v>
      </c>
      <c r="C31" s="68">
        <f ca="1">OFFSET(Batting!$AK$4,BatAves!$I31,0)</f>
        <v>1</v>
      </c>
      <c r="D31" s="68">
        <f ca="1">OFFSET(Batting!$AM$4,BatAves!$I31,0)</f>
        <v>1</v>
      </c>
      <c r="E31" s="68">
        <f ca="1">OFFSET(Batting!$AN$4,BatAves!$I31,0)</f>
        <v>0</v>
      </c>
      <c r="F31" s="68">
        <f ca="1">OFFSET(Batting!$AP$4,BatAves!$I31,0)</f>
        <v>4</v>
      </c>
      <c r="G31" s="68">
        <f ca="1">OFFSET(Batting!$AQ$4,BatAves!$I31,0)</f>
        <v>4</v>
      </c>
      <c r="H31" s="72">
        <f ca="1">OFFSET(Batting!$AR$4,BatAves!$I31,0)</f>
        <v>4</v>
      </c>
      <c r="I31" s="64">
        <f>MATCH(A31,Batting!$BM$5:$BM$62,0)</f>
        <v>4</v>
      </c>
      <c r="J31" s="64">
        <f t="shared" ca="1" si="0"/>
        <v>1030</v>
      </c>
      <c r="K31" s="64">
        <f t="shared" ca="1" si="8"/>
        <v>30</v>
      </c>
      <c r="L31" s="64" t="str">
        <f t="shared" ca="1" si="1"/>
        <v>Biswas A 1-0-4-4</v>
      </c>
      <c r="M31" s="64">
        <f t="shared" ca="1" si="9"/>
        <v>30</v>
      </c>
      <c r="N31" s="122">
        <v>30</v>
      </c>
      <c r="O31" s="122" t="str">
        <f t="shared" ca="1" si="2"/>
        <v>Biswas A</v>
      </c>
      <c r="P31" s="122">
        <f t="shared" ca="1" si="3"/>
        <v>1</v>
      </c>
      <c r="Q31" s="122">
        <f t="shared" ca="1" si="4"/>
        <v>0</v>
      </c>
      <c r="R31" s="122">
        <f t="shared" ca="1" si="5"/>
        <v>4</v>
      </c>
      <c r="S31" s="122">
        <f t="shared" ca="1" si="6"/>
        <v>4</v>
      </c>
      <c r="T31" s="124">
        <f t="shared" ca="1" si="7"/>
        <v>4</v>
      </c>
      <c r="V31" s="152"/>
      <c r="W31" s="64" t="s">
        <v>194</v>
      </c>
    </row>
    <row r="32" spans="1:23" ht="12.75" x14ac:dyDescent="0.15">
      <c r="A32" s="64">
        <v>31</v>
      </c>
      <c r="B32" s="64" t="str">
        <f ca="1">OFFSET(Batting!$C$4,BatAves!$I32,0)</f>
        <v>Rugg D</v>
      </c>
      <c r="C32" s="68">
        <f ca="1">OFFSET(Batting!$AK$4,BatAves!$I32,0)</f>
        <v>8</v>
      </c>
      <c r="D32" s="68">
        <f ca="1">OFFSET(Batting!$AM$4,BatAves!$I32,0)</f>
        <v>4</v>
      </c>
      <c r="E32" s="68">
        <f ca="1">OFFSET(Batting!$AN$4,BatAves!$I32,0)</f>
        <v>1</v>
      </c>
      <c r="F32" s="68">
        <f ca="1">OFFSET(Batting!$AP$4,BatAves!$I32,0)</f>
        <v>8</v>
      </c>
      <c r="G32" s="68">
        <f ca="1">OFFSET(Batting!$AQ$4,BatAves!$I32,0)</f>
        <v>9</v>
      </c>
      <c r="H32" s="72">
        <f ca="1">OFFSET(Batting!$AR$4,BatAves!$I32,0)</f>
        <v>3</v>
      </c>
      <c r="I32" s="64">
        <f>MATCH(A32,Batting!$BM$5:$BM$62,0)</f>
        <v>40</v>
      </c>
      <c r="J32" s="64">
        <f t="shared" ca="1" si="0"/>
        <v>1031</v>
      </c>
      <c r="K32" s="64">
        <f t="shared" ca="1" si="8"/>
        <v>31</v>
      </c>
      <c r="L32" s="64" t="str">
        <f t="shared" ca="1" si="1"/>
        <v>Rugg D 4-1-8-9</v>
      </c>
      <c r="M32" s="64">
        <f t="shared" ca="1" si="9"/>
        <v>31</v>
      </c>
      <c r="N32" s="122">
        <v>31</v>
      </c>
      <c r="O32" s="122" t="str">
        <f t="shared" ca="1" si="2"/>
        <v>Rugg D</v>
      </c>
      <c r="P32" s="122">
        <f t="shared" ca="1" si="3"/>
        <v>4</v>
      </c>
      <c r="Q32" s="122">
        <f t="shared" ca="1" si="4"/>
        <v>1</v>
      </c>
      <c r="R32" s="122">
        <f t="shared" ca="1" si="5"/>
        <v>8</v>
      </c>
      <c r="S32" s="122">
        <f t="shared" ca="1" si="6"/>
        <v>9</v>
      </c>
      <c r="T32" s="124">
        <f t="shared" ca="1" si="7"/>
        <v>3</v>
      </c>
      <c r="V32" s="152"/>
    </row>
    <row r="33" spans="1:23" ht="12.75" x14ac:dyDescent="0.15">
      <c r="A33" s="64">
        <v>32</v>
      </c>
      <c r="B33" s="64" t="str">
        <f ca="1">OFFSET(Batting!$C$4,BatAves!$I33,0)</f>
        <v>Khan A</v>
      </c>
      <c r="C33" s="68">
        <f ca="1">OFFSET(Batting!$AK$4,BatAves!$I33,0)</f>
        <v>2</v>
      </c>
      <c r="D33" s="68">
        <f ca="1">OFFSET(Batting!$AM$4,BatAves!$I33,0)</f>
        <v>1</v>
      </c>
      <c r="E33" s="68">
        <f ca="1">OFFSET(Batting!$AN$4,BatAves!$I33,0)</f>
        <v>0</v>
      </c>
      <c r="F33" s="68">
        <f ca="1">OFFSET(Batting!$AP$4,BatAves!$I33,0)</f>
        <v>0</v>
      </c>
      <c r="G33" s="68">
        <f ca="1">OFFSET(Batting!$AQ$4,BatAves!$I33,0)</f>
        <v>0</v>
      </c>
      <c r="H33" s="72">
        <f ca="1">OFFSET(Batting!$AR$4,BatAves!$I33,0)</f>
        <v>0</v>
      </c>
      <c r="I33" s="64">
        <f>MATCH(A33,Batting!$BM$5:$BM$62,0)</f>
        <v>17</v>
      </c>
      <c r="J33" s="64">
        <f t="shared" ca="1" si="0"/>
        <v>1032</v>
      </c>
      <c r="K33" s="64">
        <f t="shared" ca="1" si="8"/>
        <v>32</v>
      </c>
      <c r="L33" s="64" t="str">
        <f t="shared" ca="1" si="1"/>
        <v>Khan A 1-0-0-0</v>
      </c>
      <c r="M33" s="64">
        <f t="shared" ca="1" si="9"/>
        <v>32</v>
      </c>
      <c r="N33" s="122">
        <v>32</v>
      </c>
      <c r="O33" s="122" t="str">
        <f t="shared" ca="1" si="2"/>
        <v>Khan A</v>
      </c>
      <c r="P33" s="122">
        <f t="shared" ca="1" si="3"/>
        <v>1</v>
      </c>
      <c r="Q33" s="122">
        <f t="shared" ca="1" si="4"/>
        <v>0</v>
      </c>
      <c r="R33" s="122">
        <f t="shared" ca="1" si="5"/>
        <v>0</v>
      </c>
      <c r="S33" s="122">
        <f t="shared" ca="1" si="6"/>
        <v>0</v>
      </c>
      <c r="T33" s="124">
        <f t="shared" ca="1" si="7"/>
        <v>0</v>
      </c>
      <c r="V33" s="152"/>
    </row>
    <row r="34" spans="1:23" ht="12.75" x14ac:dyDescent="0.15">
      <c r="A34" s="64">
        <v>33</v>
      </c>
      <c r="B34" s="64" t="str">
        <f ca="1">OFFSET(Batting!$C$4,BatAves!$I34,0)</f>
        <v>Gardezi S</v>
      </c>
      <c r="C34" s="68">
        <f ca="1">OFFSET(Batting!$AK$4,BatAves!$I34,0)</f>
        <v>2</v>
      </c>
      <c r="D34" s="68">
        <f ca="1">OFFSET(Batting!$AM$4,BatAves!$I34,0)</f>
        <v>1</v>
      </c>
      <c r="E34" s="68">
        <f ca="1">OFFSET(Batting!$AN$4,BatAves!$I34,0)</f>
        <v>0</v>
      </c>
      <c r="F34" s="68">
        <f ca="1">OFFSET(Batting!$AP$4,BatAves!$I34,0)</f>
        <v>0</v>
      </c>
      <c r="G34" s="68">
        <f ca="1">OFFSET(Batting!$AQ$4,BatAves!$I34,0)</f>
        <v>0</v>
      </c>
      <c r="H34" s="72">
        <f ca="1">OFFSET(Batting!$AR$4,BatAves!$I34,0)</f>
        <v>0</v>
      </c>
      <c r="I34" s="64">
        <f>MATCH(A34,Batting!$BM$5:$BM$62,0)</f>
        <v>13</v>
      </c>
      <c r="J34" s="64">
        <f t="shared" ref="J34:J60" ca="1" si="10">IF(D34&gt;=5,A34,1000+A34)</f>
        <v>1033</v>
      </c>
      <c r="K34" s="64">
        <f t="shared" ca="1" si="8"/>
        <v>33</v>
      </c>
      <c r="L34" s="64" t="str">
        <f t="shared" ref="L34:L60" ca="1" si="11">IF(D34&lt;5,B34&amp;" "&amp;D34&amp;"-"&amp;E34&amp;"-"&amp;F34&amp;"-"&amp;G34,"")</f>
        <v>Gardezi S 1-0-0-0</v>
      </c>
      <c r="M34" s="64">
        <f t="shared" ca="1" si="9"/>
        <v>33</v>
      </c>
      <c r="N34" s="122">
        <v>33</v>
      </c>
      <c r="O34" s="122" t="str">
        <f t="shared" ca="1" si="2"/>
        <v>Gardezi S</v>
      </c>
      <c r="P34" s="122">
        <f t="shared" ca="1" si="3"/>
        <v>1</v>
      </c>
      <c r="Q34" s="122">
        <f t="shared" ca="1" si="4"/>
        <v>0</v>
      </c>
      <c r="R34" s="122">
        <f t="shared" ca="1" si="5"/>
        <v>0</v>
      </c>
      <c r="S34" s="122">
        <f t="shared" ca="1" si="6"/>
        <v>0</v>
      </c>
      <c r="T34" s="124">
        <f t="shared" ca="1" si="7"/>
        <v>0</v>
      </c>
      <c r="V34" s="152"/>
    </row>
    <row r="35" spans="1:23" ht="12.75" x14ac:dyDescent="0.15">
      <c r="A35" s="64">
        <v>34</v>
      </c>
      <c r="B35" s="64" t="str">
        <f ca="1">OFFSET(Batting!$C$4,BatAves!$I35,0)</f>
        <v>Turner</v>
      </c>
      <c r="C35" s="68">
        <f ca="1">OFFSET(Batting!$AK$4,BatAves!$I35,0)</f>
        <v>1</v>
      </c>
      <c r="D35" s="68">
        <f ca="1">OFFSET(Batting!$AM$4,BatAves!$I35,0)</f>
        <v>1</v>
      </c>
      <c r="E35" s="68">
        <f ca="1">OFFSET(Batting!$AN$4,BatAves!$I35,0)</f>
        <v>1</v>
      </c>
      <c r="F35" s="68" t="str">
        <f ca="1">OFFSET(Batting!$AP$4,BatAves!$I35,0)</f>
        <v>16*</v>
      </c>
      <c r="G35" s="68">
        <f ca="1">OFFSET(Batting!$AQ$4,BatAves!$I35,0)</f>
        <v>16</v>
      </c>
      <c r="H35" s="72">
        <f ca="1">OFFSET(Batting!$AR$4,BatAves!$I35,0)</f>
        <v>0</v>
      </c>
      <c r="I35" s="64">
        <f>MATCH(A35,Batting!$BM$5:$BM$62,0)</f>
        <v>54</v>
      </c>
      <c r="J35" s="64">
        <f t="shared" ca="1" si="10"/>
        <v>1034</v>
      </c>
      <c r="K35" s="64">
        <f t="shared" ca="1" si="8"/>
        <v>34</v>
      </c>
      <c r="L35" s="64" t="str">
        <f t="shared" ca="1" si="11"/>
        <v>Turner 1-1-16*-16</v>
      </c>
      <c r="M35" s="64">
        <f t="shared" ca="1" si="9"/>
        <v>34</v>
      </c>
      <c r="N35" s="122">
        <v>34</v>
      </c>
      <c r="O35" s="122" t="str">
        <f t="shared" ca="1" si="2"/>
        <v>Turner</v>
      </c>
      <c r="P35" s="122">
        <f t="shared" ca="1" si="3"/>
        <v>1</v>
      </c>
      <c r="Q35" s="122">
        <f t="shared" ca="1" si="4"/>
        <v>1</v>
      </c>
      <c r="R35" s="122" t="str">
        <f t="shared" ca="1" si="5"/>
        <v>16*</v>
      </c>
      <c r="S35" s="122">
        <f t="shared" ca="1" si="6"/>
        <v>16</v>
      </c>
      <c r="T35" s="124">
        <f t="shared" ca="1" si="7"/>
        <v>0</v>
      </c>
      <c r="V35" s="152"/>
    </row>
    <row r="36" spans="1:23" ht="12.75" x14ac:dyDescent="0.15">
      <c r="A36" s="64">
        <v>35</v>
      </c>
      <c r="B36" s="64" t="str">
        <f ca="1">OFFSET(Batting!$C$4,BatAves!$I36,0)</f>
        <v>Parboo R</v>
      </c>
      <c r="C36" s="68">
        <f ca="1">OFFSET(Batting!$AK$4,BatAves!$I36,0)</f>
        <v>1</v>
      </c>
      <c r="D36" s="68">
        <f ca="1">OFFSET(Batting!$AM$4,BatAves!$I36,0)</f>
        <v>1</v>
      </c>
      <c r="E36" s="68">
        <f ca="1">OFFSET(Batting!$AN$4,BatAves!$I36,0)</f>
        <v>0</v>
      </c>
      <c r="F36" s="68">
        <f ca="1">OFFSET(Batting!$AP$4,BatAves!$I36,0)</f>
        <v>0</v>
      </c>
      <c r="G36" s="68">
        <f ca="1">OFFSET(Batting!$AQ$4,BatAves!$I36,0)</f>
        <v>0</v>
      </c>
      <c r="H36" s="72">
        <f ca="1">OFFSET(Batting!$AR$4,BatAves!$I36,0)</f>
        <v>0</v>
      </c>
      <c r="I36" s="64">
        <f>MATCH(A36,Batting!$BM$5:$BM$62,0)</f>
        <v>33</v>
      </c>
      <c r="J36" s="64">
        <f t="shared" ca="1" si="10"/>
        <v>1035</v>
      </c>
      <c r="K36" s="64">
        <f t="shared" ca="1" si="8"/>
        <v>35</v>
      </c>
      <c r="L36" s="64" t="str">
        <f t="shared" ca="1" si="11"/>
        <v>Parboo R 1-0-0-0</v>
      </c>
      <c r="M36" s="64">
        <f t="shared" ca="1" si="9"/>
        <v>35</v>
      </c>
      <c r="N36" s="122">
        <v>35</v>
      </c>
      <c r="O36" s="122" t="str">
        <f t="shared" ca="1" si="2"/>
        <v>Parboo R</v>
      </c>
      <c r="P36" s="122">
        <f t="shared" ca="1" si="3"/>
        <v>1</v>
      </c>
      <c r="Q36" s="122">
        <f t="shared" ca="1" si="4"/>
        <v>0</v>
      </c>
      <c r="R36" s="122">
        <f t="shared" ca="1" si="5"/>
        <v>0</v>
      </c>
      <c r="S36" s="122">
        <f t="shared" ca="1" si="6"/>
        <v>0</v>
      </c>
      <c r="T36" s="124">
        <f t="shared" ca="1" si="7"/>
        <v>0</v>
      </c>
      <c r="V36" s="152"/>
      <c r="W36" s="126"/>
    </row>
    <row r="37" spans="1:23" ht="12.75" x14ac:dyDescent="0.15">
      <c r="A37" s="64">
        <v>36</v>
      </c>
      <c r="B37" s="64" t="str">
        <f ca="1">OFFSET(Batting!$C$4,BatAves!$I37,0)</f>
        <v>Kiernan M</v>
      </c>
      <c r="C37" s="68">
        <f ca="1">OFFSET(Batting!$AK$4,BatAves!$I37,0)</f>
        <v>1</v>
      </c>
      <c r="D37" s="68">
        <f ca="1">OFFSET(Batting!$AM$4,BatAves!$I37,0)</f>
        <v>1</v>
      </c>
      <c r="E37" s="68">
        <f ca="1">OFFSET(Batting!$AN$4,BatAves!$I37,0)</f>
        <v>0</v>
      </c>
      <c r="F37" s="68">
        <f ca="1">OFFSET(Batting!$AP$4,BatAves!$I37,0)</f>
        <v>0</v>
      </c>
      <c r="G37" s="68">
        <f ca="1">OFFSET(Batting!$AQ$4,BatAves!$I37,0)</f>
        <v>0</v>
      </c>
      <c r="H37" s="72">
        <f ca="1">OFFSET(Batting!$AR$4,BatAves!$I37,0)</f>
        <v>0</v>
      </c>
      <c r="I37" s="64">
        <f>MATCH(A37,Batting!$BM$5:$BM$62,0)</f>
        <v>18</v>
      </c>
      <c r="J37" s="64">
        <f t="shared" ca="1" si="10"/>
        <v>1036</v>
      </c>
      <c r="K37" s="64">
        <f t="shared" ca="1" si="8"/>
        <v>36</v>
      </c>
      <c r="L37" s="64" t="str">
        <f t="shared" ca="1" si="11"/>
        <v>Kiernan M 1-0-0-0</v>
      </c>
      <c r="M37" s="64">
        <f t="shared" ca="1" si="9"/>
        <v>36</v>
      </c>
      <c r="N37" s="122">
        <v>36</v>
      </c>
      <c r="O37" s="122" t="str">
        <f t="shared" ca="1" si="2"/>
        <v>Kiernan M</v>
      </c>
      <c r="P37" s="122">
        <f t="shared" ca="1" si="3"/>
        <v>1</v>
      </c>
      <c r="Q37" s="122">
        <f t="shared" ca="1" si="4"/>
        <v>0</v>
      </c>
      <c r="R37" s="122">
        <f t="shared" ca="1" si="5"/>
        <v>0</v>
      </c>
      <c r="S37" s="122">
        <f t="shared" ca="1" si="6"/>
        <v>0</v>
      </c>
      <c r="T37" s="124">
        <f t="shared" ca="1" si="7"/>
        <v>0</v>
      </c>
      <c r="V37" s="152"/>
      <c r="W37" s="126"/>
    </row>
    <row r="38" spans="1:23" ht="12.75" x14ac:dyDescent="0.15">
      <c r="A38" s="64">
        <v>37</v>
      </c>
      <c r="B38" s="64" t="str">
        <f ca="1">OFFSET(Batting!$C$4,BatAves!$I38,0)</f>
        <v>Smith C</v>
      </c>
      <c r="C38" s="68">
        <f ca="1">OFFSET(Batting!$AK$4,BatAves!$I38,0)</f>
        <v>2</v>
      </c>
      <c r="D38" s="68">
        <f ca="1">OFFSET(Batting!$AM$4,BatAves!$I38,0)</f>
        <v>0</v>
      </c>
      <c r="E38" s="68">
        <f ca="1">OFFSET(Batting!$AN$4,BatAves!$I38,0)</f>
        <v>0</v>
      </c>
      <c r="F38" s="68">
        <f ca="1">OFFSET(Batting!$AP$4,BatAves!$I38,0)</f>
        <v>0</v>
      </c>
      <c r="G38" s="68">
        <f ca="1">OFFSET(Batting!$AQ$4,BatAves!$I38,0)</f>
        <v>0</v>
      </c>
      <c r="H38" s="72">
        <f ca="1">OFFSET(Batting!$AR$4,BatAves!$I38,0)</f>
        <v>0</v>
      </c>
      <c r="I38" s="64">
        <f>MATCH(A38,Batting!$BM$5:$BM$62,0)</f>
        <v>49</v>
      </c>
      <c r="J38" s="64">
        <f t="shared" ca="1" si="10"/>
        <v>1037</v>
      </c>
      <c r="K38" s="64">
        <f t="shared" ca="1" si="8"/>
        <v>37</v>
      </c>
      <c r="L38" s="64" t="str">
        <f t="shared" ca="1" si="11"/>
        <v>Smith C 0-0-0-0</v>
      </c>
      <c r="M38" s="64">
        <f t="shared" ca="1" si="9"/>
        <v>37</v>
      </c>
      <c r="N38" s="122">
        <v>37</v>
      </c>
      <c r="O38" s="122" t="str">
        <f t="shared" ca="1" si="2"/>
        <v>Smith C</v>
      </c>
      <c r="P38" s="122">
        <f t="shared" ca="1" si="3"/>
        <v>0</v>
      </c>
      <c r="Q38" s="122">
        <f t="shared" ca="1" si="4"/>
        <v>0</v>
      </c>
      <c r="R38" s="122">
        <f t="shared" ca="1" si="5"/>
        <v>0</v>
      </c>
      <c r="S38" s="122">
        <f t="shared" ca="1" si="6"/>
        <v>0</v>
      </c>
      <c r="T38" s="124">
        <f t="shared" ca="1" si="7"/>
        <v>0</v>
      </c>
    </row>
    <row r="39" spans="1:23" ht="12.75" x14ac:dyDescent="0.15">
      <c r="A39" s="64">
        <v>38</v>
      </c>
      <c r="B39" s="64" t="str">
        <f ca="1">OFFSET(Batting!$C$4,BatAves!$I39,0)</f>
        <v>Roy A</v>
      </c>
      <c r="C39" s="68">
        <f ca="1">OFFSET(Batting!$AK$4,BatAves!$I39,0)</f>
        <v>1</v>
      </c>
      <c r="D39" s="68">
        <f ca="1">OFFSET(Batting!$AM$4,BatAves!$I39,0)</f>
        <v>0</v>
      </c>
      <c r="E39" s="68">
        <f ca="1">OFFSET(Batting!$AN$4,BatAves!$I39,0)</f>
        <v>0</v>
      </c>
      <c r="F39" s="68">
        <f ca="1">OFFSET(Batting!$AP$4,BatAves!$I39,0)</f>
        <v>0</v>
      </c>
      <c r="G39" s="68">
        <f ca="1">OFFSET(Batting!$AQ$4,BatAves!$I39,0)</f>
        <v>0</v>
      </c>
      <c r="H39" s="72">
        <f ca="1">OFFSET(Batting!$AR$4,BatAves!$I39,0)</f>
        <v>0</v>
      </c>
      <c r="I39" s="64">
        <f>MATCH(A39,Batting!$BM$5:$BM$62,0)</f>
        <v>39</v>
      </c>
      <c r="J39" s="64">
        <f t="shared" ca="1" si="10"/>
        <v>1038</v>
      </c>
      <c r="K39" s="64">
        <f t="shared" ca="1" si="8"/>
        <v>38</v>
      </c>
      <c r="L39" s="64" t="str">
        <f t="shared" ca="1" si="11"/>
        <v>Roy A 0-0-0-0</v>
      </c>
      <c r="M39" s="64">
        <f t="shared" ca="1" si="9"/>
        <v>38</v>
      </c>
      <c r="N39" s="122">
        <v>38</v>
      </c>
      <c r="O39" s="122" t="str">
        <f t="shared" ca="1" si="2"/>
        <v>Roy A</v>
      </c>
      <c r="P39" s="122">
        <f t="shared" ca="1" si="3"/>
        <v>0</v>
      </c>
      <c r="Q39" s="122">
        <f t="shared" ca="1" si="4"/>
        <v>0</v>
      </c>
      <c r="R39" s="122">
        <f t="shared" ca="1" si="5"/>
        <v>0</v>
      </c>
      <c r="S39" s="122">
        <f t="shared" ca="1" si="6"/>
        <v>0</v>
      </c>
      <c r="T39" s="124">
        <f t="shared" ca="1" si="7"/>
        <v>0</v>
      </c>
    </row>
    <row r="40" spans="1:23" ht="12.75" x14ac:dyDescent="0.15">
      <c r="A40" s="64">
        <v>39</v>
      </c>
      <c r="B40" s="64" t="str">
        <f ca="1">OFFSET(Batting!$C$4,BatAves!$I40,0)</f>
        <v>"Naveed"</v>
      </c>
      <c r="C40" s="68">
        <f ca="1">OFFSET(Batting!$AK$4,BatAves!$I40,0)</f>
        <v>1</v>
      </c>
      <c r="D40" s="68">
        <f ca="1">OFFSET(Batting!$AM$4,BatAves!$I40,0)</f>
        <v>0</v>
      </c>
      <c r="E40" s="68">
        <f ca="1">OFFSET(Batting!$AN$4,BatAves!$I40,0)</f>
        <v>0</v>
      </c>
      <c r="F40" s="68">
        <f ca="1">OFFSET(Batting!$AP$4,BatAves!$I40,0)</f>
        <v>0</v>
      </c>
      <c r="G40" s="68">
        <f ca="1">OFFSET(Batting!$AQ$4,BatAves!$I40,0)</f>
        <v>0</v>
      </c>
      <c r="H40" s="72">
        <f ca="1">OFFSET(Batting!$AR$4,BatAves!$I40,0)</f>
        <v>0</v>
      </c>
      <c r="I40" s="64">
        <f>MATCH(A40,Batting!$BM$5:$BM$62,0)</f>
        <v>30</v>
      </c>
      <c r="J40" s="64">
        <f t="shared" ca="1" si="10"/>
        <v>1039</v>
      </c>
      <c r="K40" s="64">
        <f t="shared" ca="1" si="8"/>
        <v>39</v>
      </c>
      <c r="L40" s="64" t="str">
        <f t="shared" ca="1" si="11"/>
        <v>"Naveed" 0-0-0-0</v>
      </c>
      <c r="M40" s="64">
        <f t="shared" ca="1" si="9"/>
        <v>39</v>
      </c>
      <c r="N40" s="122">
        <v>39</v>
      </c>
      <c r="O40" s="122" t="str">
        <f t="shared" ca="1" si="2"/>
        <v>"Naveed"</v>
      </c>
      <c r="P40" s="122">
        <f t="shared" ca="1" si="3"/>
        <v>0</v>
      </c>
      <c r="Q40" s="122">
        <f t="shared" ca="1" si="4"/>
        <v>0</v>
      </c>
      <c r="R40" s="122">
        <f t="shared" ca="1" si="5"/>
        <v>0</v>
      </c>
      <c r="S40" s="122">
        <f t="shared" ca="1" si="6"/>
        <v>0</v>
      </c>
      <c r="T40" s="124">
        <f t="shared" ca="1" si="7"/>
        <v>0</v>
      </c>
    </row>
    <row r="41" spans="1:23" ht="12.75" x14ac:dyDescent="0.15">
      <c r="A41" s="64">
        <v>40</v>
      </c>
      <c r="B41" s="64" t="str">
        <f ca="1">OFFSET(Batting!$C$4,BatAves!$I41,0)</f>
        <v>Lestrelle A</v>
      </c>
      <c r="C41" s="68">
        <f ca="1">OFFSET(Batting!$AK$4,BatAves!$I41,0)</f>
        <v>1</v>
      </c>
      <c r="D41" s="68">
        <f ca="1">OFFSET(Batting!$AM$4,BatAves!$I41,0)</f>
        <v>0</v>
      </c>
      <c r="E41" s="68">
        <f ca="1">OFFSET(Batting!$AN$4,BatAves!$I41,0)</f>
        <v>0</v>
      </c>
      <c r="F41" s="68">
        <f ca="1">OFFSET(Batting!$AP$4,BatAves!$I41,0)</f>
        <v>0</v>
      </c>
      <c r="G41" s="68">
        <f ca="1">OFFSET(Batting!$AQ$4,BatAves!$I41,0)</f>
        <v>0</v>
      </c>
      <c r="H41" s="72">
        <f ca="1">OFFSET(Batting!$AR$4,BatAves!$I41,0)</f>
        <v>0</v>
      </c>
      <c r="I41" s="64">
        <f>MATCH(A41,Batting!$BM$5:$BM$62,0)</f>
        <v>20</v>
      </c>
      <c r="J41" s="64">
        <f t="shared" ca="1" si="10"/>
        <v>1040</v>
      </c>
      <c r="K41" s="64">
        <f t="shared" ca="1" si="8"/>
        <v>40</v>
      </c>
      <c r="L41" s="64" t="str">
        <f t="shared" ca="1" si="11"/>
        <v>Lestrelle A 0-0-0-0</v>
      </c>
      <c r="M41" s="64">
        <f t="shared" ca="1" si="9"/>
        <v>40</v>
      </c>
      <c r="N41" s="122">
        <v>40</v>
      </c>
      <c r="O41" s="122" t="str">
        <f t="shared" ca="1" si="2"/>
        <v>Lestrelle A</v>
      </c>
      <c r="P41" s="122">
        <f t="shared" ca="1" si="3"/>
        <v>0</v>
      </c>
      <c r="Q41" s="122">
        <f t="shared" ca="1" si="4"/>
        <v>0</v>
      </c>
      <c r="R41" s="122">
        <f t="shared" ca="1" si="5"/>
        <v>0</v>
      </c>
      <c r="S41" s="122">
        <f t="shared" ca="1" si="6"/>
        <v>0</v>
      </c>
      <c r="T41" s="124">
        <f t="shared" ca="1" si="7"/>
        <v>0</v>
      </c>
      <c r="V41" s="64" t="s">
        <v>194</v>
      </c>
    </row>
    <row r="42" spans="1:23" x14ac:dyDescent="0.15">
      <c r="A42" s="64">
        <v>41</v>
      </c>
      <c r="B42" s="64" t="str">
        <f ca="1">OFFSET(Batting!$C$4,BatAves!$I42,0)</f>
        <v>Woodhouse M</v>
      </c>
      <c r="C42" s="68">
        <f ca="1">OFFSET(Batting!$AK$4,BatAves!$I42,0)</f>
        <v>0</v>
      </c>
      <c r="D42" s="68">
        <f ca="1">OFFSET(Batting!$AM$4,BatAves!$I42,0)</f>
        <v>0</v>
      </c>
      <c r="E42" s="68">
        <f ca="1">OFFSET(Batting!$AN$4,BatAves!$I42,0)</f>
        <v>0</v>
      </c>
      <c r="F42" s="68">
        <f ca="1">OFFSET(Batting!$AP$4,BatAves!$I42,0)</f>
        <v>0</v>
      </c>
      <c r="G42" s="68">
        <f ca="1">OFFSET(Batting!$AQ$4,BatAves!$I42,0)</f>
        <v>0</v>
      </c>
      <c r="H42" s="72">
        <f ca="1">OFFSET(Batting!$AR$4,BatAves!$I42,0)</f>
        <v>0</v>
      </c>
      <c r="I42" s="64">
        <f>MATCH(A42,Batting!$BM$5:$BM$62,0)</f>
        <v>58</v>
      </c>
      <c r="J42" s="64">
        <f t="shared" ca="1" si="10"/>
        <v>1041</v>
      </c>
      <c r="K42" s="64">
        <f t="shared" ca="1" si="8"/>
        <v>41</v>
      </c>
      <c r="L42" s="64" t="str">
        <f t="shared" ca="1" si="11"/>
        <v>Woodhouse M 0-0-0-0</v>
      </c>
      <c r="M42" s="64">
        <f t="shared" ca="1" si="9"/>
        <v>41</v>
      </c>
      <c r="N42" s="118">
        <v>41</v>
      </c>
      <c r="O42" s="118" t="str">
        <f t="shared" ca="1" si="2"/>
        <v>Woodhouse M</v>
      </c>
      <c r="P42" s="118">
        <f t="shared" ca="1" si="3"/>
        <v>0</v>
      </c>
      <c r="Q42" s="118">
        <f t="shared" ca="1" si="4"/>
        <v>0</v>
      </c>
      <c r="R42" s="118">
        <f t="shared" ca="1" si="5"/>
        <v>0</v>
      </c>
      <c r="S42" s="118">
        <f t="shared" ca="1" si="6"/>
        <v>0</v>
      </c>
      <c r="T42" s="119">
        <f t="shared" ca="1" si="7"/>
        <v>0</v>
      </c>
      <c r="V42" s="64" t="s">
        <v>194</v>
      </c>
    </row>
    <row r="43" spans="1:23" x14ac:dyDescent="0.15">
      <c r="A43" s="64">
        <v>42</v>
      </c>
      <c r="B43" s="64" t="str">
        <f ca="1">OFFSET(Batting!$C$4,BatAves!$I43,0)</f>
        <v>Wilson A</v>
      </c>
      <c r="C43" s="68">
        <f ca="1">OFFSET(Batting!$AK$4,BatAves!$I43,0)</f>
        <v>0</v>
      </c>
      <c r="D43" s="68">
        <f ca="1">OFFSET(Batting!$AM$4,BatAves!$I43,0)</f>
        <v>0</v>
      </c>
      <c r="E43" s="68">
        <f ca="1">OFFSET(Batting!$AN$4,BatAves!$I43,0)</f>
        <v>0</v>
      </c>
      <c r="F43" s="68">
        <f ca="1">OFFSET(Batting!$AP$4,BatAves!$I43,0)</f>
        <v>0</v>
      </c>
      <c r="G43" s="68">
        <f ca="1">OFFSET(Batting!$AQ$4,BatAves!$I43,0)</f>
        <v>0</v>
      </c>
      <c r="H43" s="72">
        <f ca="1">OFFSET(Batting!$AR$4,BatAves!$I43,0)</f>
        <v>0</v>
      </c>
      <c r="I43" s="64">
        <f>MATCH(A43,Batting!$BM$5:$BM$62,0)</f>
        <v>57</v>
      </c>
      <c r="J43" s="64">
        <f t="shared" ca="1" si="10"/>
        <v>1042</v>
      </c>
      <c r="K43" s="64">
        <f t="shared" ca="1" si="8"/>
        <v>42</v>
      </c>
      <c r="L43" s="64" t="str">
        <f t="shared" ca="1" si="11"/>
        <v>Wilson A 0-0-0-0</v>
      </c>
      <c r="M43" s="64">
        <f t="shared" ca="1" si="9"/>
        <v>42</v>
      </c>
      <c r="N43" s="118">
        <v>42</v>
      </c>
      <c r="O43" s="118" t="str">
        <f t="shared" ca="1" si="2"/>
        <v>Wilson A</v>
      </c>
      <c r="P43" s="118">
        <f t="shared" ca="1" si="3"/>
        <v>0</v>
      </c>
      <c r="Q43" s="118">
        <f t="shared" ca="1" si="4"/>
        <v>0</v>
      </c>
      <c r="R43" s="118">
        <f t="shared" ca="1" si="5"/>
        <v>0</v>
      </c>
      <c r="S43" s="118">
        <f t="shared" ca="1" si="6"/>
        <v>0</v>
      </c>
      <c r="T43" s="119">
        <f t="shared" ca="1" si="7"/>
        <v>0</v>
      </c>
      <c r="V43" s="64" t="s">
        <v>194</v>
      </c>
    </row>
    <row r="44" spans="1:23" x14ac:dyDescent="0.15">
      <c r="A44" s="64">
        <v>43</v>
      </c>
      <c r="B44" s="64" t="str">
        <f ca="1">OFFSET(Batting!$C$4,BatAves!$I44,0)</f>
        <v>Taylor C</v>
      </c>
      <c r="C44" s="68">
        <f ca="1">OFFSET(Batting!$AK$4,BatAves!$I44,0)</f>
        <v>0</v>
      </c>
      <c r="D44" s="68">
        <f ca="1">OFFSET(Batting!$AM$4,BatAves!$I44,0)</f>
        <v>0</v>
      </c>
      <c r="E44" s="68">
        <f ca="1">OFFSET(Batting!$AN$4,BatAves!$I44,0)</f>
        <v>0</v>
      </c>
      <c r="F44" s="68">
        <f ca="1">OFFSET(Batting!$AP$4,BatAves!$I44,0)</f>
        <v>0</v>
      </c>
      <c r="G44" s="68">
        <f ca="1">OFFSET(Batting!$AQ$4,BatAves!$I44,0)</f>
        <v>0</v>
      </c>
      <c r="H44" s="72">
        <f ca="1">OFFSET(Batting!$AR$4,BatAves!$I44,0)</f>
        <v>0</v>
      </c>
      <c r="I44" s="64">
        <f>MATCH(A44,Batting!$BM$5:$BM$62,0)</f>
        <v>53</v>
      </c>
      <c r="J44" s="64">
        <f t="shared" ca="1" si="10"/>
        <v>1043</v>
      </c>
      <c r="K44" s="64">
        <f t="shared" ca="1" si="8"/>
        <v>43</v>
      </c>
      <c r="L44" s="64" t="str">
        <f t="shared" ca="1" si="11"/>
        <v>Taylor C 0-0-0-0</v>
      </c>
      <c r="V44" s="64" t="s">
        <v>194</v>
      </c>
    </row>
    <row r="45" spans="1:23" x14ac:dyDescent="0.15">
      <c r="A45" s="64">
        <v>44</v>
      </c>
      <c r="B45" s="64" t="str">
        <f ca="1">OFFSET(Batting!$C$4,BatAves!$I45,0)</f>
        <v>Sunkara C</v>
      </c>
      <c r="C45" s="68">
        <f ca="1">OFFSET(Batting!$AK$4,BatAves!$I45,0)</f>
        <v>0</v>
      </c>
      <c r="D45" s="68">
        <f ca="1">OFFSET(Batting!$AM$4,BatAves!$I45,0)</f>
        <v>0</v>
      </c>
      <c r="E45" s="68">
        <f ca="1">OFFSET(Batting!$AN$4,BatAves!$I45,0)</f>
        <v>0</v>
      </c>
      <c r="F45" s="68">
        <f ca="1">OFFSET(Batting!$AP$4,BatAves!$I45,0)</f>
        <v>0</v>
      </c>
      <c r="G45" s="68">
        <f ca="1">OFFSET(Batting!$AQ$4,BatAves!$I45,0)</f>
        <v>0</v>
      </c>
      <c r="H45" s="72">
        <f ca="1">OFFSET(Batting!$AR$4,BatAves!$I45,0)</f>
        <v>0</v>
      </c>
      <c r="I45" s="64">
        <f>MATCH(A45,Batting!$BM$5:$BM$62,0)</f>
        <v>52</v>
      </c>
      <c r="J45" s="64">
        <f t="shared" ca="1" si="10"/>
        <v>1044</v>
      </c>
      <c r="K45" s="64">
        <f t="shared" ca="1" si="8"/>
        <v>44</v>
      </c>
      <c r="L45" s="64" t="str">
        <f t="shared" ca="1" si="11"/>
        <v>Sunkara C 0-0-0-0</v>
      </c>
      <c r="V45" s="64" t="s">
        <v>194</v>
      </c>
    </row>
    <row r="46" spans="1:23" x14ac:dyDescent="0.15">
      <c r="A46" s="64">
        <v>45</v>
      </c>
      <c r="B46" s="64" t="str">
        <f ca="1">OFFSET(Batting!$C$4,BatAves!$I46,0)</f>
        <v>Shome G</v>
      </c>
      <c r="C46" s="68">
        <f ca="1">OFFSET(Batting!$AK$4,BatAves!$I46,0)</f>
        <v>0</v>
      </c>
      <c r="D46" s="68">
        <f ca="1">OFFSET(Batting!$AM$4,BatAves!$I46,0)</f>
        <v>0</v>
      </c>
      <c r="E46" s="68">
        <f ca="1">OFFSET(Batting!$AN$4,BatAves!$I46,0)</f>
        <v>0</v>
      </c>
      <c r="F46" s="68">
        <f ca="1">OFFSET(Batting!$AP$4,BatAves!$I46,0)</f>
        <v>0</v>
      </c>
      <c r="G46" s="68">
        <f ca="1">OFFSET(Batting!$AQ$4,BatAves!$I46,0)</f>
        <v>0</v>
      </c>
      <c r="H46" s="72">
        <f ca="1">OFFSET(Batting!$AR$4,BatAves!$I46,0)</f>
        <v>0</v>
      </c>
      <c r="I46" s="64">
        <f>MATCH(A46,Batting!$BM$5:$BM$62,0)</f>
        <v>48</v>
      </c>
      <c r="J46" s="64">
        <f t="shared" ca="1" si="10"/>
        <v>1045</v>
      </c>
      <c r="K46" s="64">
        <f t="shared" ca="1" si="8"/>
        <v>45</v>
      </c>
      <c r="L46" s="64" t="str">
        <f t="shared" ca="1" si="11"/>
        <v>Shome G 0-0-0-0</v>
      </c>
      <c r="N46" s="118" t="s">
        <v>194</v>
      </c>
      <c r="V46" s="64" t="s">
        <v>194</v>
      </c>
    </row>
    <row r="47" spans="1:23" x14ac:dyDescent="0.15">
      <c r="A47" s="64">
        <v>46</v>
      </c>
      <c r="B47" s="64" t="str">
        <f ca="1">OFFSET(Batting!$C$4,BatAves!$I47,0)</f>
        <v>Sharpe H</v>
      </c>
      <c r="C47" s="68">
        <f ca="1">OFFSET(Batting!$AK$4,BatAves!$I47,0)</f>
        <v>0</v>
      </c>
      <c r="D47" s="68">
        <f ca="1">OFFSET(Batting!$AM$4,BatAves!$I47,0)</f>
        <v>0</v>
      </c>
      <c r="E47" s="68">
        <f ca="1">OFFSET(Batting!$AN$4,BatAves!$I47,0)</f>
        <v>0</v>
      </c>
      <c r="F47" s="68">
        <f ca="1">OFFSET(Batting!$AP$4,BatAves!$I47,0)</f>
        <v>0</v>
      </c>
      <c r="G47" s="68">
        <f ca="1">OFFSET(Batting!$AQ$4,BatAves!$I47,0)</f>
        <v>0</v>
      </c>
      <c r="H47" s="72">
        <f ca="1">OFFSET(Batting!$AR$4,BatAves!$I47,0)</f>
        <v>0</v>
      </c>
      <c r="I47" s="64">
        <f>MATCH(A47,Batting!$BM$5:$BM$62,0)</f>
        <v>47</v>
      </c>
      <c r="J47" s="64">
        <f t="shared" ca="1" si="10"/>
        <v>1046</v>
      </c>
      <c r="K47" s="64">
        <f t="shared" ca="1" si="8"/>
        <v>46</v>
      </c>
      <c r="L47" s="64" t="str">
        <f t="shared" ca="1" si="11"/>
        <v>Sharpe H 0-0-0-0</v>
      </c>
      <c r="N47" s="118" t="s">
        <v>194</v>
      </c>
      <c r="V47" s="64" t="s">
        <v>194</v>
      </c>
    </row>
    <row r="48" spans="1:23" x14ac:dyDescent="0.15">
      <c r="A48" s="64">
        <v>47</v>
      </c>
      <c r="B48" s="64" t="str">
        <f ca="1">OFFSET(Batting!$C$4,BatAves!$I48,0)</f>
        <v>Sajjid A</v>
      </c>
      <c r="C48" s="68">
        <f ca="1">OFFSET(Batting!$AK$4,BatAves!$I48,0)</f>
        <v>0</v>
      </c>
      <c r="D48" s="68">
        <f ca="1">OFFSET(Batting!$AM$4,BatAves!$I48,0)</f>
        <v>0</v>
      </c>
      <c r="E48" s="68">
        <f ca="1">OFFSET(Batting!$AN$4,BatAves!$I48,0)</f>
        <v>0</v>
      </c>
      <c r="F48" s="68">
        <f ca="1">OFFSET(Batting!$AP$4,BatAves!$I48,0)</f>
        <v>0</v>
      </c>
      <c r="G48" s="68">
        <f ca="1">OFFSET(Batting!$AQ$4,BatAves!$I48,0)</f>
        <v>0</v>
      </c>
      <c r="H48" s="72">
        <f ca="1">OFFSET(Batting!$AR$4,BatAves!$I48,0)</f>
        <v>0</v>
      </c>
      <c r="I48" s="64">
        <f>MATCH(A48,Batting!$BM$5:$BM$62,0)</f>
        <v>42</v>
      </c>
      <c r="J48" s="64">
        <f t="shared" ca="1" si="10"/>
        <v>1047</v>
      </c>
      <c r="K48" s="64">
        <f t="shared" ca="1" si="8"/>
        <v>47</v>
      </c>
      <c r="L48" s="64" t="str">
        <f t="shared" ca="1" si="11"/>
        <v>Sajjid A 0-0-0-0</v>
      </c>
      <c r="N48" s="118" t="s">
        <v>194</v>
      </c>
    </row>
    <row r="49" spans="1:15" x14ac:dyDescent="0.15">
      <c r="A49" s="64">
        <v>48</v>
      </c>
      <c r="B49" s="64" t="str">
        <f ca="1">OFFSET(Batting!$C$4,BatAves!$I49,0)</f>
        <v>Seev J</v>
      </c>
      <c r="C49" s="68">
        <f ca="1">OFFSET(Batting!$AK$4,BatAves!$I49,0)</f>
        <v>0</v>
      </c>
      <c r="D49" s="68">
        <f ca="1">OFFSET(Batting!$AM$4,BatAves!$I49,0)</f>
        <v>0</v>
      </c>
      <c r="E49" s="68">
        <f ca="1">OFFSET(Batting!$AN$4,BatAves!$I49,0)</f>
        <v>0</v>
      </c>
      <c r="F49" s="68">
        <f ca="1">OFFSET(Batting!$AP$4,BatAves!$I49,0)</f>
        <v>0</v>
      </c>
      <c r="G49" s="68">
        <f ca="1">OFFSET(Batting!$AQ$4,BatAves!$I49,0)</f>
        <v>0</v>
      </c>
      <c r="H49" s="72">
        <f ca="1">OFFSET(Batting!$AR$4,BatAves!$I49,0)</f>
        <v>0</v>
      </c>
      <c r="I49" s="64">
        <f>MATCH(A49,Batting!$BM$5:$BM$62,0)</f>
        <v>41</v>
      </c>
      <c r="J49" s="64">
        <f t="shared" ca="1" si="10"/>
        <v>1048</v>
      </c>
      <c r="K49" s="64">
        <f t="shared" ca="1" si="8"/>
        <v>48</v>
      </c>
      <c r="L49" s="64" t="str">
        <f t="shared" ca="1" si="11"/>
        <v>Seev J 0-0-0-0</v>
      </c>
      <c r="N49" s="118" t="s">
        <v>194</v>
      </c>
      <c r="O49" s="120" t="s">
        <v>194</v>
      </c>
    </row>
    <row r="50" spans="1:15" x14ac:dyDescent="0.15">
      <c r="A50" s="64">
        <v>49</v>
      </c>
      <c r="B50" s="64" t="str">
        <f ca="1">OFFSET(Batting!$C$4,BatAves!$I50,0)</f>
        <v>Roland ???</v>
      </c>
      <c r="C50" s="68">
        <f ca="1">OFFSET(Batting!$AK$4,BatAves!$I50,0)</f>
        <v>0</v>
      </c>
      <c r="D50" s="68">
        <f ca="1">OFFSET(Batting!$AM$4,BatAves!$I50,0)</f>
        <v>0</v>
      </c>
      <c r="E50" s="68">
        <f ca="1">OFFSET(Batting!$AN$4,BatAves!$I50,0)</f>
        <v>0</v>
      </c>
      <c r="F50" s="68">
        <f ca="1">OFFSET(Batting!$AP$4,BatAves!$I50,0)</f>
        <v>0</v>
      </c>
      <c r="G50" s="68">
        <f ca="1">OFFSET(Batting!$AQ$4,BatAves!$I50,0)</f>
        <v>0</v>
      </c>
      <c r="H50" s="72">
        <f ca="1">OFFSET(Batting!$AR$4,BatAves!$I50,0)</f>
        <v>0</v>
      </c>
      <c r="I50" s="64">
        <f>MATCH(A50,Batting!$BM$5:$BM$62,0)</f>
        <v>38</v>
      </c>
      <c r="J50" s="64">
        <f t="shared" ca="1" si="10"/>
        <v>1049</v>
      </c>
      <c r="K50" s="64">
        <f t="shared" ca="1" si="8"/>
        <v>49</v>
      </c>
      <c r="L50" s="64" t="str">
        <f t="shared" ca="1" si="11"/>
        <v>Roland ??? 0-0-0-0</v>
      </c>
      <c r="N50" s="118" t="s">
        <v>194</v>
      </c>
      <c r="O50" s="120" t="s">
        <v>194</v>
      </c>
    </row>
    <row r="51" spans="1:15" x14ac:dyDescent="0.15">
      <c r="A51" s="64">
        <v>50</v>
      </c>
      <c r="B51" s="64" t="str">
        <f ca="1">OFFSET(Batting!$C$4,BatAves!$I51,0)</f>
        <v>Rathi N</v>
      </c>
      <c r="C51" s="68">
        <f ca="1">OFFSET(Batting!$AK$4,BatAves!$I51,0)</f>
        <v>0</v>
      </c>
      <c r="D51" s="68">
        <f ca="1">OFFSET(Batting!$AM$4,BatAves!$I51,0)</f>
        <v>0</v>
      </c>
      <c r="E51" s="68">
        <f ca="1">OFFSET(Batting!$AN$4,BatAves!$I51,0)</f>
        <v>0</v>
      </c>
      <c r="F51" s="68">
        <f ca="1">OFFSET(Batting!$AP$4,BatAves!$I51,0)</f>
        <v>0</v>
      </c>
      <c r="G51" s="68">
        <f ca="1">OFFSET(Batting!$AQ$4,BatAves!$I51,0)</f>
        <v>0</v>
      </c>
      <c r="H51" s="72">
        <f ca="1">OFFSET(Batting!$AR$4,BatAves!$I51,0)</f>
        <v>0</v>
      </c>
      <c r="I51" s="64">
        <f>MATCH(A51,Batting!$BM$5:$BM$62,0)</f>
        <v>37</v>
      </c>
      <c r="J51" s="64">
        <f t="shared" ca="1" si="10"/>
        <v>1050</v>
      </c>
      <c r="K51" s="64">
        <f t="shared" ca="1" si="8"/>
        <v>50</v>
      </c>
      <c r="L51" s="64" t="str">
        <f t="shared" ca="1" si="11"/>
        <v>Rathi N 0-0-0-0</v>
      </c>
      <c r="N51" s="118" t="s">
        <v>194</v>
      </c>
      <c r="O51" s="120" t="s">
        <v>194</v>
      </c>
    </row>
    <row r="52" spans="1:15" x14ac:dyDescent="0.15">
      <c r="A52" s="64">
        <v>51</v>
      </c>
      <c r="B52" s="64" t="str">
        <f ca="1">OFFSET(Batting!$C$4,BatAves!$I52,0)</f>
        <v>O'Rourke</v>
      </c>
      <c r="C52" s="68">
        <f ca="1">OFFSET(Batting!$AK$4,BatAves!$I52,0)</f>
        <v>0</v>
      </c>
      <c r="D52" s="68">
        <f ca="1">OFFSET(Batting!$AM$4,BatAves!$I52,0)</f>
        <v>0</v>
      </c>
      <c r="E52" s="68">
        <f ca="1">OFFSET(Batting!$AN$4,BatAves!$I52,0)</f>
        <v>0</v>
      </c>
      <c r="F52" s="68">
        <f ca="1">OFFSET(Batting!$AP$4,BatAves!$I52,0)</f>
        <v>0</v>
      </c>
      <c r="G52" s="68">
        <f ca="1">OFFSET(Batting!$AQ$4,BatAves!$I52,0)</f>
        <v>0</v>
      </c>
      <c r="H52" s="72">
        <f ca="1">OFFSET(Batting!$AR$4,BatAves!$I52,0)</f>
        <v>0</v>
      </c>
      <c r="I52" s="64">
        <f>MATCH(A52,Batting!$BM$5:$BM$62,0)</f>
        <v>32</v>
      </c>
      <c r="J52" s="64">
        <f t="shared" ca="1" si="10"/>
        <v>1051</v>
      </c>
      <c r="K52" s="64">
        <f t="shared" ca="1" si="8"/>
        <v>51</v>
      </c>
      <c r="L52" s="64" t="str">
        <f t="shared" ca="1" si="11"/>
        <v>O'Rourke 0-0-0-0</v>
      </c>
      <c r="N52" s="118" t="s">
        <v>194</v>
      </c>
      <c r="O52" s="120" t="s">
        <v>194</v>
      </c>
    </row>
    <row r="53" spans="1:15" x14ac:dyDescent="0.15">
      <c r="A53" s="64">
        <v>52</v>
      </c>
      <c r="B53" s="64" t="str">
        <f ca="1">OFFSET(Batting!$C$4,BatAves!$I53,0)</f>
        <v>Naish J</v>
      </c>
      <c r="C53" s="68">
        <f ca="1">OFFSET(Batting!$AK$4,BatAves!$I53,0)</f>
        <v>0</v>
      </c>
      <c r="D53" s="68">
        <f ca="1">OFFSET(Batting!$AM$4,BatAves!$I53,0)</f>
        <v>0</v>
      </c>
      <c r="E53" s="68">
        <f ca="1">OFFSET(Batting!$AN$4,BatAves!$I53,0)</f>
        <v>0</v>
      </c>
      <c r="F53" s="68">
        <f ca="1">OFFSET(Batting!$AP$4,BatAves!$I53,0)</f>
        <v>0</v>
      </c>
      <c r="G53" s="68">
        <f ca="1">OFFSET(Batting!$AQ$4,BatAves!$I53,0)</f>
        <v>0</v>
      </c>
      <c r="H53" s="72">
        <f ca="1">OFFSET(Batting!$AR$4,BatAves!$I53,0)</f>
        <v>0</v>
      </c>
      <c r="I53" s="64">
        <f>MATCH(A53,Batting!$BM$5:$BM$62,0)</f>
        <v>29</v>
      </c>
      <c r="J53" s="64">
        <f t="shared" ca="1" si="10"/>
        <v>1052</v>
      </c>
      <c r="K53" s="64">
        <f t="shared" ca="1" si="8"/>
        <v>52</v>
      </c>
      <c r="L53" s="64" t="str">
        <f t="shared" ca="1" si="11"/>
        <v>Naish J 0-0-0-0</v>
      </c>
      <c r="N53" s="118" t="s">
        <v>194</v>
      </c>
      <c r="O53" s="120" t="s">
        <v>194</v>
      </c>
    </row>
    <row r="54" spans="1:15" x14ac:dyDescent="0.15">
      <c r="A54" s="64">
        <v>53</v>
      </c>
      <c r="B54" s="64" t="str">
        <f ca="1">OFFSET(Batting!$C$4,BatAves!$I54,0)</f>
        <v>"Luca"</v>
      </c>
      <c r="C54" s="68">
        <f ca="1">OFFSET(Batting!$AK$4,BatAves!$I54,0)</f>
        <v>0</v>
      </c>
      <c r="D54" s="68">
        <f ca="1">OFFSET(Batting!$AM$4,BatAves!$I54,0)</f>
        <v>0</v>
      </c>
      <c r="E54" s="68">
        <f ca="1">OFFSET(Batting!$AN$4,BatAves!$I54,0)</f>
        <v>0</v>
      </c>
      <c r="F54" s="68">
        <f ca="1">OFFSET(Batting!$AP$4,BatAves!$I54,0)</f>
        <v>0</v>
      </c>
      <c r="G54" s="68">
        <f ca="1">OFFSET(Batting!$AQ$4,BatAves!$I54,0)</f>
        <v>0</v>
      </c>
      <c r="H54" s="72">
        <f ca="1">OFFSET(Batting!$AR$4,BatAves!$I54,0)</f>
        <v>0</v>
      </c>
      <c r="I54" s="64">
        <f>MATCH(A54,Batting!$BM$5:$BM$62,0)</f>
        <v>23</v>
      </c>
      <c r="J54" s="64">
        <f t="shared" ca="1" si="10"/>
        <v>1053</v>
      </c>
      <c r="K54" s="64">
        <f t="shared" ca="1" si="8"/>
        <v>53</v>
      </c>
      <c r="L54" s="64" t="str">
        <f t="shared" ca="1" si="11"/>
        <v>"Luca" 0-0-0-0</v>
      </c>
      <c r="N54" s="118" t="s">
        <v>194</v>
      </c>
      <c r="O54" s="120" t="s">
        <v>194</v>
      </c>
    </row>
    <row r="55" spans="1:15" x14ac:dyDescent="0.15">
      <c r="A55" s="64">
        <v>54</v>
      </c>
      <c r="B55" s="64" t="str">
        <f ca="1">OFFSET(Batting!$C$4,BatAves!$I55,0)</f>
        <v>Low-Hughes A</v>
      </c>
      <c r="C55" s="68">
        <f ca="1">OFFSET(Batting!$AK$4,BatAves!$I55,0)</f>
        <v>0</v>
      </c>
      <c r="D55" s="68">
        <f ca="1">OFFSET(Batting!$AM$4,BatAves!$I55,0)</f>
        <v>0</v>
      </c>
      <c r="E55" s="68">
        <f ca="1">OFFSET(Batting!$AN$4,BatAves!$I55,0)</f>
        <v>0</v>
      </c>
      <c r="F55" s="68">
        <f ca="1">OFFSET(Batting!$AP$4,BatAves!$I55,0)</f>
        <v>0</v>
      </c>
      <c r="G55" s="68">
        <f ca="1">OFFSET(Batting!$AQ$4,BatAves!$I55,0)</f>
        <v>0</v>
      </c>
      <c r="H55" s="72">
        <f ca="1">OFFSET(Batting!$AR$4,BatAves!$I55,0)</f>
        <v>0</v>
      </c>
      <c r="I55" s="64">
        <f>MATCH(A55,Batting!$BM$5:$BM$62,0)</f>
        <v>22</v>
      </c>
      <c r="J55" s="64">
        <f t="shared" ca="1" si="10"/>
        <v>1054</v>
      </c>
      <c r="K55" s="64">
        <f t="shared" ca="1" si="8"/>
        <v>54</v>
      </c>
      <c r="L55" s="64" t="str">
        <f t="shared" ca="1" si="11"/>
        <v>Low-Hughes A 0-0-0-0</v>
      </c>
      <c r="N55" s="118" t="s">
        <v>194</v>
      </c>
      <c r="O55" s="120" t="s">
        <v>194</v>
      </c>
    </row>
    <row r="56" spans="1:15" x14ac:dyDescent="0.15">
      <c r="A56" s="64">
        <v>55</v>
      </c>
      <c r="B56" s="64" t="str">
        <f ca="1">OFFSET(Batting!$C$4,BatAves!$I56,0)</f>
        <v>Hemasinghe M</v>
      </c>
      <c r="C56" s="68">
        <f ca="1">OFFSET(Batting!$AK$4,BatAves!$I56,0)</f>
        <v>0</v>
      </c>
      <c r="D56" s="68">
        <f ca="1">OFFSET(Batting!$AM$4,BatAves!$I56,0)</f>
        <v>0</v>
      </c>
      <c r="E56" s="68">
        <f ca="1">OFFSET(Batting!$AN$4,BatAves!$I56,0)</f>
        <v>0</v>
      </c>
      <c r="F56" s="68">
        <f ca="1">OFFSET(Batting!$AP$4,BatAves!$I56,0)</f>
        <v>0</v>
      </c>
      <c r="G56" s="68">
        <f ca="1">OFFSET(Batting!$AQ$4,BatAves!$I56,0)</f>
        <v>0</v>
      </c>
      <c r="H56" s="72">
        <f ca="1">OFFSET(Batting!$AR$4,BatAves!$I56,0)</f>
        <v>0</v>
      </c>
      <c r="I56" s="64">
        <f>MATCH(A56,Batting!$BM$5:$BM$62,0)</f>
        <v>14</v>
      </c>
      <c r="J56" s="64">
        <f t="shared" ca="1" si="10"/>
        <v>1055</v>
      </c>
      <c r="K56" s="64">
        <f t="shared" ca="1" si="8"/>
        <v>55</v>
      </c>
      <c r="L56" s="64" t="str">
        <f t="shared" ca="1" si="11"/>
        <v>Hemasinghe M 0-0-0-0</v>
      </c>
      <c r="N56" s="118" t="s">
        <v>194</v>
      </c>
      <c r="O56" s="120" t="s">
        <v>194</v>
      </c>
    </row>
    <row r="57" spans="1:15" x14ac:dyDescent="0.15">
      <c r="A57" s="64">
        <v>56</v>
      </c>
      <c r="B57" s="64" t="str">
        <f ca="1">OFFSET(Batting!$C$4,BatAves!$I57,0)</f>
        <v>Ffrench R</v>
      </c>
      <c r="C57" s="68">
        <f ca="1">OFFSET(Batting!$AK$4,BatAves!$I57,0)</f>
        <v>0</v>
      </c>
      <c r="D57" s="68">
        <f ca="1">OFFSET(Batting!$AM$4,BatAves!$I57,0)</f>
        <v>0</v>
      </c>
      <c r="E57" s="68">
        <f ca="1">OFFSET(Batting!$AN$4,BatAves!$I57,0)</f>
        <v>0</v>
      </c>
      <c r="F57" s="68">
        <f ca="1">OFFSET(Batting!$AP$4,BatAves!$I57,0)</f>
        <v>0</v>
      </c>
      <c r="G57" s="68">
        <f ca="1">OFFSET(Batting!$AQ$4,BatAves!$I57,0)</f>
        <v>0</v>
      </c>
      <c r="H57" s="72">
        <f ca="1">OFFSET(Batting!$AR$4,BatAves!$I57,0)</f>
        <v>0</v>
      </c>
      <c r="I57" s="64">
        <f>MATCH(A57,Batting!$BM$5:$BM$62,0)</f>
        <v>12</v>
      </c>
      <c r="J57" s="64">
        <f t="shared" ca="1" si="10"/>
        <v>1056</v>
      </c>
      <c r="K57" s="64">
        <f t="shared" ca="1" si="8"/>
        <v>56</v>
      </c>
      <c r="L57" s="64" t="str">
        <f t="shared" ca="1" si="11"/>
        <v>Ffrench R 0-0-0-0</v>
      </c>
      <c r="O57" s="120" t="s">
        <v>194</v>
      </c>
    </row>
    <row r="58" spans="1:15" x14ac:dyDescent="0.15">
      <c r="A58" s="64">
        <v>57</v>
      </c>
      <c r="B58" s="64" t="str">
        <f ca="1">OFFSET(Batting!$C$4,BatAves!$I58,0)</f>
        <v>Fleming N</v>
      </c>
      <c r="C58" s="68">
        <f ca="1">OFFSET(Batting!$AK$4,BatAves!$I58,0)</f>
        <v>0</v>
      </c>
      <c r="D58" s="68">
        <f ca="1">OFFSET(Batting!$AM$4,BatAves!$I58,0)</f>
        <v>0</v>
      </c>
      <c r="E58" s="68">
        <f ca="1">OFFSET(Batting!$AN$4,BatAves!$I58,0)</f>
        <v>0</v>
      </c>
      <c r="F58" s="68">
        <f ca="1">OFFSET(Batting!$AP$4,BatAves!$I58,0)</f>
        <v>0</v>
      </c>
      <c r="G58" s="68">
        <f ca="1">OFFSET(Batting!$AQ$4,BatAves!$I58,0)</f>
        <v>0</v>
      </c>
      <c r="H58" s="72">
        <f ca="1">OFFSET(Batting!$AR$4,BatAves!$I58,0)</f>
        <v>0</v>
      </c>
      <c r="I58" s="64">
        <f>MATCH(A58,Batting!$BM$5:$BM$62,0)</f>
        <v>11</v>
      </c>
      <c r="J58" s="64">
        <f t="shared" ca="1" si="10"/>
        <v>1057</v>
      </c>
      <c r="K58" s="64">
        <f t="shared" ca="1" si="8"/>
        <v>57</v>
      </c>
      <c r="L58" s="64" t="str">
        <f t="shared" ca="1" si="11"/>
        <v>Fleming N 0-0-0-0</v>
      </c>
      <c r="O58" s="120" t="s">
        <v>194</v>
      </c>
    </row>
    <row r="59" spans="1:15" x14ac:dyDescent="0.15">
      <c r="A59" s="64">
        <v>58</v>
      </c>
      <c r="B59" s="64" t="str">
        <f ca="1">OFFSET(Batting!$C$4,BatAves!$I59,0)</f>
        <v>Clarkson M</v>
      </c>
      <c r="C59" s="68">
        <f ca="1">OFFSET(Batting!$AK$4,BatAves!$I59,0)</f>
        <v>0</v>
      </c>
      <c r="D59" s="68">
        <f ca="1">OFFSET(Batting!$AM$4,BatAves!$I59,0)</f>
        <v>0</v>
      </c>
      <c r="E59" s="68">
        <f ca="1">OFFSET(Batting!$AN$4,BatAves!$I59,0)</f>
        <v>0</v>
      </c>
      <c r="F59" s="68">
        <f ca="1">OFFSET(Batting!$AP$4,BatAves!$I59,0)</f>
        <v>0</v>
      </c>
      <c r="G59" s="68">
        <f ca="1">OFFSET(Batting!$AQ$4,BatAves!$I59,0)</f>
        <v>0</v>
      </c>
      <c r="H59" s="72">
        <f ca="1">OFFSET(Batting!$AR$4,BatAves!$I59,0)</f>
        <v>0</v>
      </c>
      <c r="I59" s="64">
        <f>MATCH(A59,Batting!$BM$5:$BM$62,0)</f>
        <v>6</v>
      </c>
      <c r="J59" s="64">
        <f t="shared" ca="1" si="10"/>
        <v>1058</v>
      </c>
      <c r="K59" s="64">
        <f t="shared" ca="1" si="8"/>
        <v>58</v>
      </c>
      <c r="L59" s="64" t="str">
        <f t="shared" ca="1" si="11"/>
        <v>Clarkson M 0-0-0-0</v>
      </c>
      <c r="O59" s="120" t="s">
        <v>194</v>
      </c>
    </row>
    <row r="60" spans="1:15" x14ac:dyDescent="0.15">
      <c r="A60" s="64">
        <v>59</v>
      </c>
      <c r="B60" s="64" t="e">
        <f ca="1">OFFSET(Batting!$C$4,BatAves!$I60,0)</f>
        <v>#N/A</v>
      </c>
      <c r="C60" s="68" t="e">
        <f ca="1">OFFSET(Batting!$AK$4,BatAves!$I60,0)</f>
        <v>#N/A</v>
      </c>
      <c r="D60" s="68" t="e">
        <f ca="1">OFFSET(Batting!$AM$4,BatAves!$I60,0)</f>
        <v>#N/A</v>
      </c>
      <c r="E60" s="68" t="e">
        <f ca="1">OFFSET(Batting!$AN$4,BatAves!$I60,0)</f>
        <v>#N/A</v>
      </c>
      <c r="F60" s="68" t="e">
        <f ca="1">OFFSET(Batting!$AP$4,BatAves!$I60,0)</f>
        <v>#N/A</v>
      </c>
      <c r="G60" s="68" t="e">
        <f ca="1">OFFSET(Batting!$AQ$4,BatAves!$I60,0)</f>
        <v>#N/A</v>
      </c>
      <c r="H60" s="72" t="e">
        <f ca="1">OFFSET(Batting!$AR$4,BatAves!$I60,0)</f>
        <v>#N/A</v>
      </c>
      <c r="I60" s="64" t="e">
        <f>MATCH(A60,Batting!$BM$5:$BM$62,0)</f>
        <v>#N/A</v>
      </c>
      <c r="J60" s="64" t="e">
        <f t="shared" ca="1" si="10"/>
        <v>#N/A</v>
      </c>
      <c r="K60" s="64" t="e">
        <f t="shared" ca="1" si="8"/>
        <v>#N/A</v>
      </c>
      <c r="L60" s="64" t="e">
        <f t="shared" ca="1" si="11"/>
        <v>#N/A</v>
      </c>
      <c r="O60" s="120" t="s">
        <v>194</v>
      </c>
    </row>
    <row r="61" spans="1:15" x14ac:dyDescent="0.15">
      <c r="O61" s="120" t="s">
        <v>194</v>
      </c>
    </row>
    <row r="66" spans="12:12" x14ac:dyDescent="0.15">
      <c r="L66" s="64" t="s">
        <v>194</v>
      </c>
    </row>
    <row r="67" spans="12:12" x14ac:dyDescent="0.15">
      <c r="L67" s="64" t="s">
        <v>194</v>
      </c>
    </row>
    <row r="68" spans="12:12" x14ac:dyDescent="0.15">
      <c r="L68" s="64" t="s">
        <v>194</v>
      </c>
    </row>
    <row r="69" spans="12:12" x14ac:dyDescent="0.15">
      <c r="L69" s="64" t="s">
        <v>194</v>
      </c>
    </row>
    <row r="70" spans="12:12" x14ac:dyDescent="0.15">
      <c r="L70" s="64" t="s">
        <v>194</v>
      </c>
    </row>
    <row r="71" spans="12:12" x14ac:dyDescent="0.15">
      <c r="L71" s="64" t="s">
        <v>194</v>
      </c>
    </row>
    <row r="72" spans="12:12" x14ac:dyDescent="0.15">
      <c r="L72" s="64" t="s">
        <v>194</v>
      </c>
    </row>
    <row r="73" spans="12:12" x14ac:dyDescent="0.15">
      <c r="L73" s="64" t="s">
        <v>194</v>
      </c>
    </row>
    <row r="74" spans="12:12" x14ac:dyDescent="0.15">
      <c r="L74" s="64" t="s">
        <v>194</v>
      </c>
    </row>
    <row r="75" spans="12:12" x14ac:dyDescent="0.15">
      <c r="L75" s="64" t="s">
        <v>194</v>
      </c>
    </row>
    <row r="76" spans="12:12" x14ac:dyDescent="0.15">
      <c r="L76" s="64" t="s">
        <v>194</v>
      </c>
    </row>
    <row r="77" spans="12:12" x14ac:dyDescent="0.15">
      <c r="L77" s="64" t="s">
        <v>194</v>
      </c>
    </row>
    <row r="78" spans="12:12" x14ac:dyDescent="0.15">
      <c r="L78" s="64" t="s">
        <v>194</v>
      </c>
    </row>
    <row r="79" spans="12:12" x14ac:dyDescent="0.15">
      <c r="L79" s="64" t="s">
        <v>194</v>
      </c>
    </row>
    <row r="80" spans="12:12" x14ac:dyDescent="0.15">
      <c r="L80" s="64" t="s">
        <v>194</v>
      </c>
    </row>
    <row r="81" spans="12:12" x14ac:dyDescent="0.15">
      <c r="L81" s="64" t="s">
        <v>194</v>
      </c>
    </row>
    <row r="82" spans="12:12" x14ac:dyDescent="0.15">
      <c r="L82" s="64" t="s">
        <v>194</v>
      </c>
    </row>
  </sheetData>
  <sortState ref="O51:O82">
    <sortCondition ref="O51:O82"/>
  </sortState>
  <phoneticPr fontId="0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D90"/>
  <sheetViews>
    <sheetView workbookViewId="0">
      <selection activeCell="P2" sqref="P2:Y5"/>
    </sheetView>
  </sheetViews>
  <sheetFormatPr defaultRowHeight="10.5" x14ac:dyDescent="0.15"/>
  <cols>
    <col min="1" max="1" width="4.42578125" style="116" customWidth="1"/>
    <col min="2" max="2" width="3" style="116" hidden="1" customWidth="1"/>
    <col min="3" max="3" width="12.5703125" style="116" bestFit="1" customWidth="1"/>
    <col min="4" max="4" width="5.85546875" style="142" bestFit="1" customWidth="1"/>
    <col min="5" max="5" width="5.140625" style="143" bestFit="1" customWidth="1"/>
    <col min="6" max="6" width="5" style="143" bestFit="1" customWidth="1"/>
    <col min="7" max="7" width="7.28515625" style="143" bestFit="1" customWidth="1"/>
    <col min="8" max="8" width="7.28515625" style="72" bestFit="1" customWidth="1"/>
    <col min="9" max="9" width="6.5703125" style="147" bestFit="1" customWidth="1"/>
    <col min="10" max="10" width="5.5703125" style="147" bestFit="1" customWidth="1"/>
    <col min="11" max="11" width="4.7109375" style="143" bestFit="1" customWidth="1"/>
    <col min="12" max="12" width="5.28515625" style="143" bestFit="1" customWidth="1"/>
    <col min="13" max="13" width="5.85546875" style="143" bestFit="1" customWidth="1"/>
    <col min="14" max="14" width="23.5703125" style="116" bestFit="1" customWidth="1"/>
    <col min="15" max="15" width="9.85546875" style="116" bestFit="1" customWidth="1"/>
    <col min="16" max="16" width="9.140625" style="116"/>
    <col min="17" max="17" width="10.85546875" style="116" bestFit="1" customWidth="1"/>
    <col min="18" max="18" width="13.140625" style="116" bestFit="1" customWidth="1"/>
    <col min="19" max="19" width="9.140625" style="146"/>
    <col min="20" max="21" width="9.140625" style="116"/>
    <col min="22" max="22" width="9.140625" style="57"/>
    <col min="23" max="27" width="9.140625" style="116"/>
    <col min="28" max="28" width="19.7109375" style="116" customWidth="1"/>
    <col min="29" max="16384" width="9.140625" style="116"/>
  </cols>
  <sheetData>
    <row r="1" spans="1:30" x14ac:dyDescent="0.15">
      <c r="A1" s="57" t="s">
        <v>132</v>
      </c>
      <c r="D1" s="142" t="s">
        <v>30</v>
      </c>
      <c r="E1" s="143" t="s">
        <v>31</v>
      </c>
      <c r="F1" s="143" t="s">
        <v>9</v>
      </c>
      <c r="G1" s="143" t="s">
        <v>134</v>
      </c>
      <c r="H1" s="71" t="s">
        <v>33</v>
      </c>
      <c r="I1" s="144" t="s">
        <v>34</v>
      </c>
      <c r="J1" s="144" t="s">
        <v>35</v>
      </c>
      <c r="K1" s="145" t="s">
        <v>90</v>
      </c>
      <c r="L1" s="145"/>
      <c r="M1" s="145"/>
      <c r="O1" s="116" t="s">
        <v>192</v>
      </c>
      <c r="P1" s="116">
        <f t="array" aca="1" ref="P1" ca="1">SUM(IF(NOT(ISNA(C2:C51)),1,0))</f>
        <v>44</v>
      </c>
      <c r="Q1" s="116" t="s">
        <v>193</v>
      </c>
      <c r="R1" s="116">
        <f t="array" aca="1" ref="R1" ca="1">SUM(IF(OFFSET(G2,0,0,P1,1)&gt;=10,1,0))</f>
        <v>5</v>
      </c>
    </row>
    <row r="2" spans="1:30" x14ac:dyDescent="0.15">
      <c r="A2" s="116">
        <v>1</v>
      </c>
      <c r="B2" s="116">
        <f>MATCH(A2,Bowling!$AU$5:$AU$48,0)</f>
        <v>27</v>
      </c>
      <c r="C2" s="116" t="str">
        <f ca="1">OFFSET(Bowling!$B$4,BowlAves!B2,0)</f>
        <v>Roy A</v>
      </c>
      <c r="D2" s="142">
        <f t="array" aca="1" ref="D2:K2" ca="1">OFFSET(Bowling!$AL$4,BowlAves!B2,0,1,8)</f>
        <v>3</v>
      </c>
      <c r="E2" s="143">
        <f ca="1"/>
        <v>0</v>
      </c>
      <c r="F2" s="143">
        <f ca="1"/>
        <v>12</v>
      </c>
      <c r="G2" s="143">
        <f ca="1"/>
        <v>2</v>
      </c>
      <c r="H2" s="72">
        <f ca="1"/>
        <v>6</v>
      </c>
      <c r="I2" s="147">
        <f ca="1"/>
        <v>9</v>
      </c>
      <c r="J2" s="147">
        <f ca="1"/>
        <v>4</v>
      </c>
      <c r="K2" s="148" t="str">
        <f ca="1"/>
        <v>2-12</v>
      </c>
      <c r="L2" s="148">
        <f ca="1">IF(G2&gt;=10,A2,1000+A2)</f>
        <v>1001</v>
      </c>
      <c r="M2" s="148">
        <f ca="1">RANK(L2,OFFSET($L$2,0,0,$P$1,1),-1)</f>
        <v>6</v>
      </c>
      <c r="N2" s="116" t="str">
        <f ca="1">IF(G2&gt;=10,"",C2&amp;" "&amp;D2&amp;"-"&amp;E2&amp;"-"&amp;F2&amp;"-"&amp;G2&amp;", ")</f>
        <v xml:space="preserve">Roy A 3-0-12-2, </v>
      </c>
      <c r="Q2" s="149" t="s">
        <v>76</v>
      </c>
      <c r="R2" s="150" t="s">
        <v>30</v>
      </c>
      <c r="S2" s="151" t="s">
        <v>31</v>
      </c>
      <c r="T2" s="150" t="s">
        <v>9</v>
      </c>
      <c r="U2" s="150" t="s">
        <v>134</v>
      </c>
      <c r="V2" s="150" t="s">
        <v>33</v>
      </c>
      <c r="W2" s="150" t="s">
        <v>34</v>
      </c>
      <c r="X2" s="150" t="s">
        <v>35</v>
      </c>
      <c r="Y2" s="150" t="s">
        <v>90</v>
      </c>
      <c r="Z2" s="150" t="s">
        <v>217</v>
      </c>
      <c r="AC2" t="s">
        <v>333</v>
      </c>
      <c r="AD2" s="116">
        <f ca="1">COUNT(D:D)</f>
        <v>44</v>
      </c>
    </row>
    <row r="3" spans="1:30" ht="11.25" x14ac:dyDescent="0.2">
      <c r="A3" s="116">
        <v>2</v>
      </c>
      <c r="B3" s="116">
        <f>MATCH(A3,Bowling!$AU$5:$AU$48,0)</f>
        <v>21</v>
      </c>
      <c r="C3" s="116" t="str">
        <f ca="1">OFFSET(Bowling!$B$4,BowlAves!B3,0)</f>
        <v>Nair S</v>
      </c>
      <c r="D3" s="142">
        <f t="array" aca="1" ref="D3:K3" ca="1">OFFSET(Bowling!$AL$4,BowlAves!B3,0,1,8)</f>
        <v>65.2</v>
      </c>
      <c r="E3" s="143">
        <f ca="1"/>
        <v>10</v>
      </c>
      <c r="F3" s="143">
        <f ca="1"/>
        <v>210</v>
      </c>
      <c r="G3" s="143">
        <f ca="1"/>
        <v>22</v>
      </c>
      <c r="H3" s="72">
        <f ca="1"/>
        <v>9.5500000000000007</v>
      </c>
      <c r="I3" s="147">
        <f ca="1"/>
        <v>17.818181818181817</v>
      </c>
      <c r="J3" s="147">
        <f ca="1"/>
        <v>3.2142857142857144</v>
      </c>
      <c r="K3" s="148" t="str">
        <f ca="1"/>
        <v>4-23</v>
      </c>
      <c r="L3" s="148">
        <f t="shared" ref="L3:L51" ca="1" si="0">IF(G3&gt;=10,A3,1000+A3)</f>
        <v>2</v>
      </c>
      <c r="M3" s="148">
        <f t="shared" ref="M3:M51" ca="1" si="1">RANK(L3,OFFSET($L$2,0,0,$P$1,1),-1)</f>
        <v>1</v>
      </c>
      <c r="N3" s="116" t="str">
        <f t="shared" ref="N3:N51" ca="1" si="2">IF(G3&gt;=10,"",C3&amp;" "&amp;D3&amp;"-"&amp;E3&amp;"-"&amp;F3&amp;"-"&amp;G3&amp;", ")</f>
        <v/>
      </c>
      <c r="P3" s="152">
        <v>1</v>
      </c>
      <c r="Q3" s="153" t="str">
        <f t="array" aca="1" ref="Q3:Y3" ca="1">OFFSET($C$2,MATCH(P3,$M$2:$M$51,0)-1,0,1,9)</f>
        <v>Nair S</v>
      </c>
      <c r="R3" s="154">
        <f ca="1"/>
        <v>65.2</v>
      </c>
      <c r="S3" s="155">
        <f ca="1"/>
        <v>10</v>
      </c>
      <c r="T3" s="154">
        <f ca="1"/>
        <v>210</v>
      </c>
      <c r="U3" s="154">
        <f ca="1"/>
        <v>22</v>
      </c>
      <c r="V3" s="156">
        <f ca="1"/>
        <v>9.5500000000000007</v>
      </c>
      <c r="W3" s="157">
        <f ca="1"/>
        <v>17.818181818181817</v>
      </c>
      <c r="X3" s="157">
        <f ca="1"/>
        <v>3.2142857142857144</v>
      </c>
      <c r="Y3" s="157" t="str">
        <f ca="1"/>
        <v>4-23</v>
      </c>
      <c r="Z3" s="169">
        <f ca="1">S3/R3</f>
        <v>0.15337423312883436</v>
      </c>
      <c r="AA3" s="169">
        <f ca="1">IF(R3&gt;=20,Z3,"")</f>
        <v>0.15337423312883436</v>
      </c>
      <c r="AC3" s="116" t="s">
        <v>336</v>
      </c>
      <c r="AD3" s="116">
        <f ca="1">SUMPRODUCT(--(OFFSET(D2,0,0,AD2,1)&gt;0))</f>
        <v>27</v>
      </c>
    </row>
    <row r="4" spans="1:30" ht="11.25" x14ac:dyDescent="0.2">
      <c r="A4" s="116">
        <v>3</v>
      </c>
      <c r="B4" s="116">
        <f>MATCH(A4,Bowling!$AU$5:$AU$48,0)</f>
        <v>17</v>
      </c>
      <c r="C4" s="116" t="str">
        <f ca="1">OFFSET(Bowling!$B$4,BowlAves!B4,0)</f>
        <v>Khan A</v>
      </c>
      <c r="D4" s="142">
        <f t="array" aca="1" ref="D4:K4" ca="1">OFFSET(Bowling!$AL$4,BowlAves!B4,0,1,8)</f>
        <v>13.2</v>
      </c>
      <c r="E4" s="143">
        <f ca="1"/>
        <v>4</v>
      </c>
      <c r="F4" s="143">
        <f ca="1"/>
        <v>41</v>
      </c>
      <c r="G4" s="143">
        <f ca="1"/>
        <v>4</v>
      </c>
      <c r="H4" s="72">
        <f ca="1"/>
        <v>10.25</v>
      </c>
      <c r="I4" s="147">
        <f ca="1"/>
        <v>20</v>
      </c>
      <c r="J4" s="147">
        <f ca="1"/>
        <v>3.0750000000000002</v>
      </c>
      <c r="K4" s="148" t="str">
        <f ca="1"/>
        <v>3-17</v>
      </c>
      <c r="L4" s="148">
        <f t="shared" ca="1" si="0"/>
        <v>1003</v>
      </c>
      <c r="M4" s="148">
        <f t="shared" ca="1" si="1"/>
        <v>7</v>
      </c>
      <c r="N4" s="116" t="str">
        <f t="shared" ca="1" si="2"/>
        <v xml:space="preserve">Khan A 13.2-4-41-4, </v>
      </c>
      <c r="P4" s="152">
        <v>2</v>
      </c>
      <c r="Q4" s="153" t="str">
        <f t="array" aca="1" ref="Q4:Y4" ca="1">OFFSET($C$2,MATCH(P4,$M$2:$M$51,0)-1,0,1,9)</f>
        <v>Kogulathasan D</v>
      </c>
      <c r="R4" s="154">
        <f ca="1"/>
        <v>50.3</v>
      </c>
      <c r="S4" s="155">
        <f ca="1"/>
        <v>4</v>
      </c>
      <c r="T4" s="154">
        <f ca="1"/>
        <v>189</v>
      </c>
      <c r="U4" s="154">
        <f ca="1"/>
        <v>11</v>
      </c>
      <c r="V4" s="156">
        <f ca="1"/>
        <v>17.18</v>
      </c>
      <c r="W4" s="157">
        <f ca="1"/>
        <v>27.545454545454547</v>
      </c>
      <c r="X4" s="157">
        <f ca="1"/>
        <v>3.7425742574257428</v>
      </c>
      <c r="Y4" s="157" t="str">
        <f ca="1"/>
        <v>3-21</v>
      </c>
      <c r="Z4" s="169">
        <f t="shared" ref="Z4:Z25" ca="1" si="3">S4/R4</f>
        <v>7.9522862823061632E-2</v>
      </c>
      <c r="AA4" s="169">
        <f t="shared" ref="AA4:AA25" ca="1" si="4">IF(R4&gt;=20,Z4,"")</f>
        <v>7.9522862823061632E-2</v>
      </c>
      <c r="AC4" s="116" t="s">
        <v>332</v>
      </c>
      <c r="AD4" s="116">
        <f ca="1">SUMPRODUCT(--(OFFSET(U3,0,0,AD3,1)&gt;=10))</f>
        <v>5</v>
      </c>
    </row>
    <row r="5" spans="1:30" ht="11.25" x14ac:dyDescent="0.2">
      <c r="A5" s="116">
        <v>4</v>
      </c>
      <c r="B5" s="116">
        <f>MATCH(A5,Bowling!$AU$5:$AU$48,0)</f>
        <v>23</v>
      </c>
      <c r="C5" s="116" t="str">
        <f ca="1">OFFSET(Bowling!$B$4,BowlAves!B5,0)</f>
        <v>Parboo R</v>
      </c>
      <c r="D5" s="142">
        <f t="array" aca="1" ref="D5:K5" ca="1">OFFSET(Bowling!$AL$4,BowlAves!B5,0,1,8)</f>
        <v>8</v>
      </c>
      <c r="E5" s="143">
        <f ca="1"/>
        <v>1</v>
      </c>
      <c r="F5" s="143">
        <f ca="1"/>
        <v>25</v>
      </c>
      <c r="G5" s="143">
        <f ca="1"/>
        <v>2</v>
      </c>
      <c r="H5" s="72">
        <f ca="1"/>
        <v>12.5</v>
      </c>
      <c r="I5" s="147">
        <f ca="1"/>
        <v>24</v>
      </c>
      <c r="J5" s="147">
        <f ca="1"/>
        <v>3.125</v>
      </c>
      <c r="K5" s="148" t="str">
        <f ca="1"/>
        <v>2-25</v>
      </c>
      <c r="L5" s="148">
        <f t="shared" ca="1" si="0"/>
        <v>1004</v>
      </c>
      <c r="M5" s="148">
        <f t="shared" ca="1" si="1"/>
        <v>8</v>
      </c>
      <c r="N5" s="116" t="str">
        <f t="shared" ca="1" si="2"/>
        <v xml:space="preserve">Parboo R 8-1-25-2, </v>
      </c>
      <c r="P5" s="152">
        <v>3</v>
      </c>
      <c r="Q5" s="153" t="str">
        <f t="array" aca="1" ref="Q5:Y5" ca="1">OFFSET($C$2,MATCH(P5,$M$2:$M$51,0)-1,0,1,9)</f>
        <v>Springer T</v>
      </c>
      <c r="R5" s="154">
        <f ca="1"/>
        <v>43.5</v>
      </c>
      <c r="S5" s="155">
        <f ca="1"/>
        <v>6</v>
      </c>
      <c r="T5" s="154">
        <f ca="1"/>
        <v>209</v>
      </c>
      <c r="U5" s="154">
        <f ca="1"/>
        <v>11</v>
      </c>
      <c r="V5" s="156">
        <f ca="1"/>
        <v>19</v>
      </c>
      <c r="W5" s="157">
        <f ca="1"/>
        <v>23.90909090909091</v>
      </c>
      <c r="X5" s="157">
        <f ca="1"/>
        <v>4.7680608365019008</v>
      </c>
      <c r="Y5" s="157" t="str">
        <f ca="1"/>
        <v>4-27</v>
      </c>
      <c r="Z5" s="169">
        <f t="shared" ca="1" si="3"/>
        <v>0.13793103448275862</v>
      </c>
      <c r="AA5" s="169">
        <f t="shared" ca="1" si="4"/>
        <v>0.13793103448275862</v>
      </c>
    </row>
    <row r="6" spans="1:30" ht="11.25" x14ac:dyDescent="0.2">
      <c r="A6" s="116">
        <v>5</v>
      </c>
      <c r="B6" s="116">
        <f>MATCH(A6,Bowling!$AU$5:$AU$48,0)</f>
        <v>33</v>
      </c>
      <c r="C6" s="116" t="str">
        <f ca="1">OFFSET(Bowling!$B$4,BowlAves!B6,0)</f>
        <v>Seymour D</v>
      </c>
      <c r="D6" s="142">
        <f t="array" aca="1" ref="D6:K6" ca="1">OFFSET(Bowling!$AL$4,BowlAves!B6,0,1,8)</f>
        <v>2</v>
      </c>
      <c r="E6" s="143">
        <f ca="1"/>
        <v>0</v>
      </c>
      <c r="F6" s="143">
        <f ca="1"/>
        <v>13</v>
      </c>
      <c r="G6" s="143">
        <f ca="1"/>
        <v>1</v>
      </c>
      <c r="H6" s="72">
        <f ca="1"/>
        <v>13</v>
      </c>
      <c r="I6" s="147">
        <f ca="1"/>
        <v>12</v>
      </c>
      <c r="J6" s="147">
        <f ca="1"/>
        <v>6.5</v>
      </c>
      <c r="K6" s="148" t="str">
        <f ca="1"/>
        <v>1-13</v>
      </c>
      <c r="L6" s="148">
        <f t="shared" ca="1" si="0"/>
        <v>1005</v>
      </c>
      <c r="M6" s="148">
        <f t="shared" ca="1" si="1"/>
        <v>9</v>
      </c>
      <c r="N6" s="116" t="str">
        <f t="shared" ca="1" si="2"/>
        <v xml:space="preserve">Seymour D 2-0-13-1, </v>
      </c>
      <c r="P6" s="152">
        <v>4</v>
      </c>
      <c r="Q6" s="153" t="str">
        <f t="array" aca="1" ref="Q6:Y6" ca="1">OFFSET($C$2,MATCH(P6,$M$2:$M$51,0)-1,0,1,9)</f>
        <v>Bhatt P</v>
      </c>
      <c r="R6" s="154">
        <f ca="1"/>
        <v>77.3</v>
      </c>
      <c r="S6" s="155">
        <f ca="1"/>
        <v>11</v>
      </c>
      <c r="T6" s="154">
        <f ca="1"/>
        <v>341</v>
      </c>
      <c r="U6" s="154">
        <f ca="1"/>
        <v>16</v>
      </c>
      <c r="V6" s="156">
        <f ca="1"/>
        <v>21.31</v>
      </c>
      <c r="W6" s="157">
        <f ca="1"/>
        <v>29.0625</v>
      </c>
      <c r="X6" s="157">
        <f ca="1"/>
        <v>4.4000000000000004</v>
      </c>
      <c r="Y6" s="157" t="str">
        <f ca="1"/>
        <v>4-20</v>
      </c>
      <c r="Z6" s="169">
        <f t="shared" ca="1" si="3"/>
        <v>0.14230271668822769</v>
      </c>
      <c r="AA6" s="169">
        <f t="shared" ca="1" si="4"/>
        <v>0.14230271668822769</v>
      </c>
    </row>
    <row r="7" spans="1:30" ht="11.25" x14ac:dyDescent="0.2">
      <c r="A7" s="116">
        <v>6</v>
      </c>
      <c r="B7" s="116">
        <f>MATCH(A7,Bowling!$AU$5:$AU$48,0)</f>
        <v>18</v>
      </c>
      <c r="C7" s="116" t="str">
        <f ca="1">OFFSET(Bowling!$B$4,BowlAves!B7,0)</f>
        <v>Kogulathasan D</v>
      </c>
      <c r="D7" s="142">
        <f t="array" aca="1" ref="D7:K7" ca="1">OFFSET(Bowling!$AL$4,BowlAves!B7,0,1,8)</f>
        <v>50.3</v>
      </c>
      <c r="E7" s="143">
        <f ca="1"/>
        <v>4</v>
      </c>
      <c r="F7" s="143">
        <f ca="1"/>
        <v>189</v>
      </c>
      <c r="G7" s="143">
        <f ca="1"/>
        <v>11</v>
      </c>
      <c r="H7" s="72">
        <f ca="1"/>
        <v>17.18</v>
      </c>
      <c r="I7" s="147">
        <f ca="1"/>
        <v>27.545454545454547</v>
      </c>
      <c r="J7" s="147">
        <f ca="1"/>
        <v>3.7425742574257428</v>
      </c>
      <c r="K7" s="148" t="str">
        <f ca="1"/>
        <v>3-21</v>
      </c>
      <c r="L7" s="148">
        <f t="shared" ca="1" si="0"/>
        <v>6</v>
      </c>
      <c r="M7" s="148">
        <f t="shared" ca="1" si="1"/>
        <v>2</v>
      </c>
      <c r="N7" s="116" t="str">
        <f t="shared" ca="1" si="2"/>
        <v/>
      </c>
      <c r="P7" s="152">
        <v>5</v>
      </c>
      <c r="Q7" s="153" t="str">
        <f t="array" aca="1" ref="Q7:Y7" ca="1">OFFSET($C$2,MATCH(P7,$M$2:$M$51,0)-1,0,1,9)</f>
        <v>Seymour C</v>
      </c>
      <c r="R7" s="154">
        <f ca="1"/>
        <v>62</v>
      </c>
      <c r="S7" s="155">
        <f ca="1"/>
        <v>4</v>
      </c>
      <c r="T7" s="154">
        <f ca="1"/>
        <v>282</v>
      </c>
      <c r="U7" s="154">
        <f ca="1"/>
        <v>12</v>
      </c>
      <c r="V7" s="156">
        <f ca="1"/>
        <v>23.5</v>
      </c>
      <c r="W7" s="157">
        <f ca="1"/>
        <v>31</v>
      </c>
      <c r="X7" s="157">
        <f ca="1"/>
        <v>4.5483870967741939</v>
      </c>
      <c r="Y7" s="157" t="str">
        <f ca="1"/>
        <v>2-22</v>
      </c>
      <c r="Z7" s="169">
        <f t="shared" ca="1" si="3"/>
        <v>6.4516129032258063E-2</v>
      </c>
      <c r="AA7" s="169">
        <f t="shared" ca="1" si="4"/>
        <v>6.4516129032258063E-2</v>
      </c>
    </row>
    <row r="8" spans="1:30" ht="11.25" x14ac:dyDescent="0.2">
      <c r="A8" s="116">
        <v>7</v>
      </c>
      <c r="B8" s="116">
        <f>MATCH(A8,Bowling!$AU$5:$AU$48,0)</f>
        <v>28</v>
      </c>
      <c r="C8" s="116" t="str">
        <f ca="1">OFFSET(Bowling!$B$4,BowlAves!B8,0)</f>
        <v>Rugg D</v>
      </c>
      <c r="D8" s="142">
        <f t="array" aca="1" ref="D8:K8" ca="1">OFFSET(Bowling!$AL$4,BowlAves!B8,0,1,8)</f>
        <v>34</v>
      </c>
      <c r="E8" s="143">
        <f ca="1"/>
        <v>3</v>
      </c>
      <c r="F8" s="143">
        <f ca="1"/>
        <v>150</v>
      </c>
      <c r="G8" s="143">
        <f ca="1"/>
        <v>8</v>
      </c>
      <c r="H8" s="72">
        <f ca="1"/>
        <v>18.75</v>
      </c>
      <c r="I8" s="147">
        <f ca="1"/>
        <v>25.5</v>
      </c>
      <c r="J8" s="147">
        <f ca="1"/>
        <v>4.4117647058823533</v>
      </c>
      <c r="K8" s="148" t="str">
        <f ca="1"/>
        <v>3-23</v>
      </c>
      <c r="L8" s="148">
        <f t="shared" ca="1" si="0"/>
        <v>1007</v>
      </c>
      <c r="M8" s="148">
        <f t="shared" ca="1" si="1"/>
        <v>10</v>
      </c>
      <c r="N8" s="116" t="str">
        <f t="shared" ca="1" si="2"/>
        <v xml:space="preserve">Rugg D 34-3-150-8, </v>
      </c>
      <c r="P8" s="152">
        <v>6</v>
      </c>
      <c r="Q8" s="153" t="str">
        <f t="array" aca="1" ref="Q8:Y8" ca="1">OFFSET($C$2,MATCH(P8,$M$2:$M$51,0)-1,0,1,9)</f>
        <v>Roy A</v>
      </c>
      <c r="R8" s="154">
        <f ca="1"/>
        <v>3</v>
      </c>
      <c r="S8" s="155">
        <f ca="1"/>
        <v>0</v>
      </c>
      <c r="T8" s="154">
        <f ca="1"/>
        <v>12</v>
      </c>
      <c r="U8" s="154">
        <f ca="1"/>
        <v>2</v>
      </c>
      <c r="V8" s="156">
        <f ca="1"/>
        <v>6</v>
      </c>
      <c r="W8" s="157">
        <f ca="1"/>
        <v>9</v>
      </c>
      <c r="X8" s="157">
        <f ca="1"/>
        <v>4</v>
      </c>
      <c r="Y8" s="157" t="str">
        <f ca="1"/>
        <v>2-12</v>
      </c>
      <c r="Z8" s="169">
        <f t="shared" ca="1" si="3"/>
        <v>0</v>
      </c>
      <c r="AA8" s="169" t="str">
        <f t="shared" ca="1" si="4"/>
        <v/>
      </c>
    </row>
    <row r="9" spans="1:30" ht="11.25" x14ac:dyDescent="0.2">
      <c r="A9" s="116">
        <v>8</v>
      </c>
      <c r="B9" s="116">
        <f>MATCH(A9,Bowling!$AU$5:$AU$48,0)</f>
        <v>38</v>
      </c>
      <c r="C9" s="116" t="str">
        <f ca="1">OFFSET(Bowling!$B$4,BowlAves!B9,0)</f>
        <v>Springer T</v>
      </c>
      <c r="D9" s="142">
        <f t="array" aca="1" ref="D9:K9" ca="1">OFFSET(Bowling!$AL$4,BowlAves!B9,0,1,8)</f>
        <v>43.5</v>
      </c>
      <c r="E9" s="143">
        <f ca="1"/>
        <v>6</v>
      </c>
      <c r="F9" s="143">
        <f ca="1"/>
        <v>209</v>
      </c>
      <c r="G9" s="143">
        <f ca="1"/>
        <v>11</v>
      </c>
      <c r="H9" s="72">
        <f ca="1"/>
        <v>19</v>
      </c>
      <c r="I9" s="147">
        <f ca="1"/>
        <v>23.90909090909091</v>
      </c>
      <c r="J9" s="147">
        <f ca="1"/>
        <v>4.7680608365019008</v>
      </c>
      <c r="K9" s="148" t="str">
        <f ca="1"/>
        <v>4-27</v>
      </c>
      <c r="L9" s="148">
        <f t="shared" ca="1" si="0"/>
        <v>8</v>
      </c>
      <c r="M9" s="148">
        <f t="shared" ca="1" si="1"/>
        <v>3</v>
      </c>
      <c r="N9" s="116" t="str">
        <f t="shared" ca="1" si="2"/>
        <v/>
      </c>
      <c r="P9" s="152">
        <v>7</v>
      </c>
      <c r="Q9" s="153" t="str">
        <f t="array" aca="1" ref="Q9:Y9" ca="1">OFFSET($C$2,MATCH(P9,$M$2:$M$51,0)-1,0,1,9)</f>
        <v>Khan A</v>
      </c>
      <c r="R9" s="154">
        <f ca="1"/>
        <v>13.2</v>
      </c>
      <c r="S9" s="155">
        <f ca="1"/>
        <v>4</v>
      </c>
      <c r="T9" s="154">
        <f ca="1"/>
        <v>41</v>
      </c>
      <c r="U9" s="154">
        <f ca="1"/>
        <v>4</v>
      </c>
      <c r="V9" s="156">
        <f ca="1"/>
        <v>10.25</v>
      </c>
      <c r="W9" s="157">
        <f ca="1"/>
        <v>20</v>
      </c>
      <c r="X9" s="157">
        <f ca="1"/>
        <v>3.0750000000000002</v>
      </c>
      <c r="Y9" s="157" t="str">
        <f ca="1"/>
        <v>3-17</v>
      </c>
      <c r="Z9" s="169">
        <f t="shared" ca="1" si="3"/>
        <v>0.30303030303030304</v>
      </c>
      <c r="AA9" s="169" t="str">
        <f t="shared" ca="1" si="4"/>
        <v/>
      </c>
    </row>
    <row r="10" spans="1:30" ht="11.25" x14ac:dyDescent="0.2">
      <c r="A10" s="116">
        <v>9</v>
      </c>
      <c r="B10" s="116">
        <f>MATCH(A10,Bowling!$AU$5:$AU$48,0)</f>
        <v>20</v>
      </c>
      <c r="C10" s="116" t="str">
        <f ca="1">OFFSET(Bowling!$B$4,BowlAves!B10,0)</f>
        <v>Middleton J</v>
      </c>
      <c r="D10" s="142">
        <f t="array" aca="1" ref="D10:K10" ca="1">OFFSET(Bowling!$AL$4,BowlAves!B10,0,1,8)</f>
        <v>8</v>
      </c>
      <c r="E10" s="143">
        <f ca="1"/>
        <v>0</v>
      </c>
      <c r="F10" s="143">
        <f ca="1"/>
        <v>41</v>
      </c>
      <c r="G10" s="143">
        <f ca="1"/>
        <v>2</v>
      </c>
      <c r="H10" s="72">
        <f ca="1"/>
        <v>20.5</v>
      </c>
      <c r="I10" s="147">
        <f ca="1"/>
        <v>24</v>
      </c>
      <c r="J10" s="147">
        <f ca="1"/>
        <v>5.125</v>
      </c>
      <c r="K10" s="148" t="str">
        <f ca="1"/>
        <v>2-26</v>
      </c>
      <c r="L10" s="148">
        <f t="shared" ca="1" si="0"/>
        <v>1009</v>
      </c>
      <c r="M10" s="148">
        <f t="shared" ca="1" si="1"/>
        <v>11</v>
      </c>
      <c r="N10" s="116" t="str">
        <f t="shared" ca="1" si="2"/>
        <v xml:space="preserve">Middleton J 8-0-41-2, </v>
      </c>
      <c r="P10" s="152">
        <v>8</v>
      </c>
      <c r="Q10" s="153" t="str">
        <f t="array" aca="1" ref="Q10:Y10" ca="1">OFFSET($C$2,MATCH(P10,$M$2:$M$51,0)-1,0,1,9)</f>
        <v>Parboo R</v>
      </c>
      <c r="R10" s="154">
        <f ca="1"/>
        <v>8</v>
      </c>
      <c r="S10" s="155">
        <f ca="1"/>
        <v>1</v>
      </c>
      <c r="T10" s="154">
        <f ca="1"/>
        <v>25</v>
      </c>
      <c r="U10" s="154">
        <f ca="1"/>
        <v>2</v>
      </c>
      <c r="V10" s="156">
        <f ca="1"/>
        <v>12.5</v>
      </c>
      <c r="W10" s="157">
        <f ca="1"/>
        <v>24</v>
      </c>
      <c r="X10" s="157">
        <f ca="1"/>
        <v>3.125</v>
      </c>
      <c r="Y10" s="157" t="str">
        <f ca="1"/>
        <v>2-25</v>
      </c>
      <c r="Z10" s="169">
        <f t="shared" ca="1" si="3"/>
        <v>0.125</v>
      </c>
      <c r="AA10" s="169" t="str">
        <f t="shared" ca="1" si="4"/>
        <v/>
      </c>
    </row>
    <row r="11" spans="1:30" ht="11.25" x14ac:dyDescent="0.2">
      <c r="A11" s="116">
        <v>10</v>
      </c>
      <c r="B11" s="116">
        <f>MATCH(A11,Bowling!$AU$5:$AU$48,0)</f>
        <v>2</v>
      </c>
      <c r="C11" s="116" t="str">
        <f ca="1">OFFSET(Bowling!$B$4,BowlAves!B11,0)</f>
        <v>Bhatt P</v>
      </c>
      <c r="D11" s="142">
        <f t="array" aca="1" ref="D11:K11" ca="1">OFFSET(Bowling!$AL$4,BowlAves!B11,0,1,8)</f>
        <v>77.3</v>
      </c>
      <c r="E11" s="143">
        <f ca="1"/>
        <v>11</v>
      </c>
      <c r="F11" s="143">
        <f ca="1"/>
        <v>341</v>
      </c>
      <c r="G11" s="143">
        <f ca="1"/>
        <v>16</v>
      </c>
      <c r="H11" s="72">
        <f ca="1"/>
        <v>21.31</v>
      </c>
      <c r="I11" s="147">
        <f ca="1"/>
        <v>29.0625</v>
      </c>
      <c r="J11" s="147">
        <f ca="1"/>
        <v>4.4000000000000004</v>
      </c>
      <c r="K11" s="148" t="str">
        <f ca="1"/>
        <v>4-20</v>
      </c>
      <c r="L11" s="148">
        <f t="shared" ca="1" si="0"/>
        <v>10</v>
      </c>
      <c r="M11" s="148">
        <f t="shared" ca="1" si="1"/>
        <v>4</v>
      </c>
      <c r="N11" s="116" t="str">
        <f t="shared" ca="1" si="2"/>
        <v/>
      </c>
      <c r="P11" s="152">
        <v>9</v>
      </c>
      <c r="Q11" s="153" t="str">
        <f t="array" aca="1" ref="Q11:Y11" ca="1">OFFSET($C$2,MATCH(P11,$M$2:$M$51,0)-1,0,1,9)</f>
        <v>Seymour D</v>
      </c>
      <c r="R11" s="154">
        <f ca="1"/>
        <v>2</v>
      </c>
      <c r="S11" s="155">
        <f ca="1"/>
        <v>0</v>
      </c>
      <c r="T11" s="154">
        <f ca="1"/>
        <v>13</v>
      </c>
      <c r="U11" s="154">
        <f ca="1"/>
        <v>1</v>
      </c>
      <c r="V11" s="156">
        <f ca="1"/>
        <v>13</v>
      </c>
      <c r="W11" s="157">
        <f ca="1"/>
        <v>12</v>
      </c>
      <c r="X11" s="157">
        <f ca="1"/>
        <v>6.5</v>
      </c>
      <c r="Y11" s="157" t="str">
        <f ca="1"/>
        <v>1-13</v>
      </c>
      <c r="Z11" s="169">
        <f t="shared" ca="1" si="3"/>
        <v>0</v>
      </c>
      <c r="AA11" s="169" t="str">
        <f t="shared" ca="1" si="4"/>
        <v/>
      </c>
    </row>
    <row r="12" spans="1:30" ht="11.25" x14ac:dyDescent="0.2">
      <c r="A12" s="116">
        <v>11</v>
      </c>
      <c r="B12" s="116">
        <f>MATCH(A12,Bowling!$AU$5:$AU$48,0)</f>
        <v>30</v>
      </c>
      <c r="C12" s="116" t="str">
        <f ca="1">OFFSET(Bowling!$B$4,BowlAves!B12,0)</f>
        <v>Sajjid K</v>
      </c>
      <c r="D12" s="142">
        <f t="array" aca="1" ref="D12:K12" ca="1">OFFSET(Bowling!$AL$4,BowlAves!B12,0,1,8)</f>
        <v>53</v>
      </c>
      <c r="E12" s="143">
        <f ca="1"/>
        <v>11</v>
      </c>
      <c r="F12" s="143">
        <f ca="1"/>
        <v>210</v>
      </c>
      <c r="G12" s="143">
        <f ca="1"/>
        <v>9</v>
      </c>
      <c r="H12" s="72">
        <f ca="1"/>
        <v>23.33</v>
      </c>
      <c r="I12" s="147">
        <f ca="1"/>
        <v>35.333333333333336</v>
      </c>
      <c r="J12" s="147">
        <f ca="1"/>
        <v>3.9622641509433962</v>
      </c>
      <c r="K12" s="148" t="str">
        <f ca="1"/>
        <v>4-26</v>
      </c>
      <c r="L12" s="148">
        <f t="shared" ca="1" si="0"/>
        <v>1011</v>
      </c>
      <c r="M12" s="148">
        <f t="shared" ca="1" si="1"/>
        <v>12</v>
      </c>
      <c r="N12" s="116" t="str">
        <f t="shared" ca="1" si="2"/>
        <v xml:space="preserve">Sajjid K 53-11-210-9, </v>
      </c>
      <c r="P12" s="152">
        <v>10</v>
      </c>
      <c r="Q12" s="153" t="str">
        <f t="array" aca="1" ref="Q12:Y12" ca="1">OFFSET($C$2,MATCH(P12,$M$2:$M$51,0)-1,0,1,9)</f>
        <v>Rugg D</v>
      </c>
      <c r="R12" s="154">
        <f ca="1"/>
        <v>34</v>
      </c>
      <c r="S12" s="155">
        <f ca="1"/>
        <v>3</v>
      </c>
      <c r="T12" s="154">
        <f ca="1"/>
        <v>150</v>
      </c>
      <c r="U12" s="154">
        <f ca="1"/>
        <v>8</v>
      </c>
      <c r="V12" s="156">
        <f ca="1"/>
        <v>18.75</v>
      </c>
      <c r="W12" s="157">
        <f ca="1"/>
        <v>25.5</v>
      </c>
      <c r="X12" s="157">
        <f ca="1"/>
        <v>4.4117647058823533</v>
      </c>
      <c r="Y12" s="157" t="str">
        <f ca="1"/>
        <v>3-23</v>
      </c>
      <c r="Z12" s="169">
        <f t="shared" ca="1" si="3"/>
        <v>8.8235294117647065E-2</v>
      </c>
      <c r="AA12" s="169">
        <f t="shared" ca="1" si="4"/>
        <v>8.8235294117647065E-2</v>
      </c>
    </row>
    <row r="13" spans="1:30" ht="11.25" x14ac:dyDescent="0.2">
      <c r="A13" s="116">
        <v>12</v>
      </c>
      <c r="B13" s="116">
        <f>MATCH(A13,Bowling!$AU$5:$AU$48,0)</f>
        <v>32</v>
      </c>
      <c r="C13" s="116" t="str">
        <f ca="1">OFFSET(Bowling!$B$4,BowlAves!B13,0)</f>
        <v>Seymour C</v>
      </c>
      <c r="D13" s="142">
        <f t="array" aca="1" ref="D13:K13" ca="1">OFFSET(Bowling!$AL$4,BowlAves!B13,0,1,8)</f>
        <v>62</v>
      </c>
      <c r="E13" s="143">
        <f ca="1"/>
        <v>4</v>
      </c>
      <c r="F13" s="143">
        <f ca="1"/>
        <v>282</v>
      </c>
      <c r="G13" s="143">
        <f ca="1"/>
        <v>12</v>
      </c>
      <c r="H13" s="72">
        <f ca="1"/>
        <v>23.5</v>
      </c>
      <c r="I13" s="147">
        <f ca="1"/>
        <v>31</v>
      </c>
      <c r="J13" s="147">
        <f ca="1"/>
        <v>4.5483870967741939</v>
      </c>
      <c r="K13" s="148" t="str">
        <f ca="1"/>
        <v>2-22</v>
      </c>
      <c r="L13" s="148">
        <f t="shared" ca="1" si="0"/>
        <v>12</v>
      </c>
      <c r="M13" s="148">
        <f t="shared" ca="1" si="1"/>
        <v>5</v>
      </c>
      <c r="N13" s="116" t="str">
        <f t="shared" ca="1" si="2"/>
        <v/>
      </c>
      <c r="P13" s="152">
        <v>11</v>
      </c>
      <c r="Q13" s="153" t="str">
        <f t="array" aca="1" ref="Q13:Y13" ca="1">OFFSET($C$2,MATCH(P13,$M$2:$M$51,0)-1,0,1,9)</f>
        <v>Middleton J</v>
      </c>
      <c r="R13" s="154">
        <f ca="1"/>
        <v>8</v>
      </c>
      <c r="S13" s="155">
        <f ca="1"/>
        <v>0</v>
      </c>
      <c r="T13" s="154">
        <f ca="1"/>
        <v>41</v>
      </c>
      <c r="U13" s="154">
        <f ca="1"/>
        <v>2</v>
      </c>
      <c r="V13" s="156">
        <f ca="1"/>
        <v>20.5</v>
      </c>
      <c r="W13" s="157">
        <f ca="1"/>
        <v>24</v>
      </c>
      <c r="X13" s="157">
        <f ca="1"/>
        <v>5.125</v>
      </c>
      <c r="Y13" s="157" t="str">
        <f ca="1"/>
        <v>2-26</v>
      </c>
      <c r="Z13" s="169">
        <f t="shared" ca="1" si="3"/>
        <v>0</v>
      </c>
      <c r="AA13" s="169" t="str">
        <f t="shared" ca="1" si="4"/>
        <v/>
      </c>
    </row>
    <row r="14" spans="1:30" ht="11.25" x14ac:dyDescent="0.2">
      <c r="A14" s="116">
        <v>13</v>
      </c>
      <c r="B14" s="116">
        <f>MATCH(A14,Bowling!$AU$5:$AU$48,0)</f>
        <v>1</v>
      </c>
      <c r="C14" s="116" t="str">
        <f ca="1">OFFSET(Bowling!$B$4,BowlAves!B14,0)</f>
        <v>Ahmed M</v>
      </c>
      <c r="D14" s="142">
        <f t="array" aca="1" ref="D14:K14" ca="1">OFFSET(Bowling!$AL$4,BowlAves!B14,0,1,8)</f>
        <v>35</v>
      </c>
      <c r="E14" s="143">
        <f ca="1"/>
        <v>1</v>
      </c>
      <c r="F14" s="143">
        <f ca="1"/>
        <v>151</v>
      </c>
      <c r="G14" s="143">
        <f ca="1"/>
        <v>6</v>
      </c>
      <c r="H14" s="72">
        <f ca="1"/>
        <v>25.17</v>
      </c>
      <c r="I14" s="147">
        <f ca="1"/>
        <v>35</v>
      </c>
      <c r="J14" s="147">
        <f ca="1"/>
        <v>4.3142857142857141</v>
      </c>
      <c r="K14" s="148" t="str">
        <f ca="1"/>
        <v>3-23</v>
      </c>
      <c r="L14" s="148">
        <f t="shared" ca="1" si="0"/>
        <v>1013</v>
      </c>
      <c r="M14" s="148">
        <f t="shared" ca="1" si="1"/>
        <v>13</v>
      </c>
      <c r="N14" s="116" t="str">
        <f t="shared" ca="1" si="2"/>
        <v xml:space="preserve">Ahmed M 35-1-151-6, </v>
      </c>
      <c r="P14" s="152">
        <v>12</v>
      </c>
      <c r="Q14" s="153" t="str">
        <f t="array" aca="1" ref="Q14:Y14" ca="1">OFFSET($C$2,MATCH(P14,$M$2:$M$51,0)-1,0,1,9)</f>
        <v>Sajjid K</v>
      </c>
      <c r="R14" s="154">
        <f ca="1"/>
        <v>53</v>
      </c>
      <c r="S14" s="155">
        <f ca="1"/>
        <v>11</v>
      </c>
      <c r="T14" s="154">
        <f ca="1"/>
        <v>210</v>
      </c>
      <c r="U14" s="154">
        <f ca="1"/>
        <v>9</v>
      </c>
      <c r="V14" s="156">
        <f ca="1"/>
        <v>23.33</v>
      </c>
      <c r="W14" s="157">
        <f ca="1"/>
        <v>35.333333333333336</v>
      </c>
      <c r="X14" s="157">
        <f ca="1"/>
        <v>3.9622641509433962</v>
      </c>
      <c r="Y14" s="157" t="str">
        <f ca="1"/>
        <v>4-26</v>
      </c>
      <c r="Z14" s="169">
        <f t="shared" ca="1" si="3"/>
        <v>0.20754716981132076</v>
      </c>
      <c r="AA14" s="169">
        <f t="shared" ca="1" si="4"/>
        <v>0.20754716981132076</v>
      </c>
    </row>
    <row r="15" spans="1:30" ht="11.25" x14ac:dyDescent="0.2">
      <c r="A15" s="116">
        <v>14</v>
      </c>
      <c r="B15" s="116">
        <f>MATCH(A15,Bowling!$AU$5:$AU$48,0)</f>
        <v>7</v>
      </c>
      <c r="C15" s="116" t="str">
        <f ca="1">OFFSET(Bowling!$B$4,BowlAves!B15,0)</f>
        <v>De S</v>
      </c>
      <c r="D15" s="142">
        <f t="array" aca="1" ref="D15:K15" ca="1">OFFSET(Bowling!$AL$4,BowlAves!B15,0,1,8)</f>
        <v>63</v>
      </c>
      <c r="E15" s="143">
        <f ca="1"/>
        <v>7</v>
      </c>
      <c r="F15" s="143">
        <f ca="1"/>
        <v>252</v>
      </c>
      <c r="G15" s="143">
        <f ca="1"/>
        <v>9</v>
      </c>
      <c r="H15" s="72">
        <f ca="1"/>
        <v>28</v>
      </c>
      <c r="I15" s="147">
        <f ca="1"/>
        <v>42</v>
      </c>
      <c r="J15" s="147">
        <f ca="1"/>
        <v>4</v>
      </c>
      <c r="K15" s="148" t="str">
        <f ca="1"/>
        <v>3-18</v>
      </c>
      <c r="L15" s="148">
        <f t="shared" ca="1" si="0"/>
        <v>1014</v>
      </c>
      <c r="M15" s="148">
        <f t="shared" ca="1" si="1"/>
        <v>14</v>
      </c>
      <c r="N15" s="116" t="str">
        <f t="shared" ca="1" si="2"/>
        <v xml:space="preserve">De S 63-7-252-9, </v>
      </c>
      <c r="P15" s="152">
        <v>13</v>
      </c>
      <c r="Q15" s="153" t="str">
        <f t="array" aca="1" ref="Q15:Y15" ca="1">OFFSET($C$2,MATCH(P15,$M$2:$M$51,0)-1,0,1,9)</f>
        <v>Ahmed M</v>
      </c>
      <c r="R15" s="154">
        <f ca="1"/>
        <v>35</v>
      </c>
      <c r="S15" s="155">
        <f ca="1"/>
        <v>1</v>
      </c>
      <c r="T15" s="154">
        <f ca="1"/>
        <v>151</v>
      </c>
      <c r="U15" s="154">
        <f ca="1"/>
        <v>6</v>
      </c>
      <c r="V15" s="156">
        <f ca="1"/>
        <v>25.17</v>
      </c>
      <c r="W15" s="157">
        <f ca="1"/>
        <v>35</v>
      </c>
      <c r="X15" s="157">
        <f ca="1"/>
        <v>4.3142857142857141</v>
      </c>
      <c r="Y15" s="157" t="str">
        <f ca="1"/>
        <v>3-23</v>
      </c>
      <c r="Z15" s="169">
        <f t="shared" ca="1" si="3"/>
        <v>2.8571428571428571E-2</v>
      </c>
      <c r="AA15" s="169">
        <f t="shared" ca="1" si="4"/>
        <v>2.8571428571428571E-2</v>
      </c>
    </row>
    <row r="16" spans="1:30" ht="11.25" x14ac:dyDescent="0.2">
      <c r="A16" s="116">
        <v>15</v>
      </c>
      <c r="B16" s="116">
        <f>MATCH(A16,Bowling!$AU$5:$AU$48,0)</f>
        <v>11</v>
      </c>
      <c r="C16" s="116" t="str">
        <f ca="1">OFFSET(Bowling!$B$4,BowlAves!B16,0)</f>
        <v>Gardezi S</v>
      </c>
      <c r="D16" s="142">
        <f t="array" aca="1" ref="D16:K16" ca="1">OFFSET(Bowling!$AL$4,BowlAves!B16,0,1,8)</f>
        <v>4.4000000000000004</v>
      </c>
      <c r="E16" s="143">
        <f ca="1"/>
        <v>0</v>
      </c>
      <c r="F16" s="143">
        <f ca="1"/>
        <v>29</v>
      </c>
      <c r="G16" s="143">
        <f ca="1"/>
        <v>1</v>
      </c>
      <c r="H16" s="72">
        <f ca="1"/>
        <v>29</v>
      </c>
      <c r="I16" s="147">
        <f ca="1"/>
        <v>28</v>
      </c>
      <c r="J16" s="147">
        <f ca="1"/>
        <v>6.2142857142857144</v>
      </c>
      <c r="K16" s="148" t="str">
        <f ca="1"/>
        <v>1-23</v>
      </c>
      <c r="L16" s="148">
        <f t="shared" ca="1" si="0"/>
        <v>1015</v>
      </c>
      <c r="M16" s="148">
        <f t="shared" ca="1" si="1"/>
        <v>15</v>
      </c>
      <c r="N16" s="116" t="str">
        <f t="shared" ca="1" si="2"/>
        <v xml:space="preserve">Gardezi S 4.4-0-29-1, </v>
      </c>
      <c r="P16" s="152">
        <v>14</v>
      </c>
      <c r="Q16" s="153" t="str">
        <f t="array" aca="1" ref="Q16:Y16" ca="1">OFFSET($C$2,MATCH(P16,$M$2:$M$51,0)-1,0,1,9)</f>
        <v>De S</v>
      </c>
      <c r="R16" s="154">
        <f ca="1"/>
        <v>63</v>
      </c>
      <c r="S16" s="155">
        <f ca="1"/>
        <v>7</v>
      </c>
      <c r="T16" s="154">
        <f ca="1"/>
        <v>252</v>
      </c>
      <c r="U16" s="154">
        <f ca="1"/>
        <v>9</v>
      </c>
      <c r="V16" s="156">
        <f ca="1"/>
        <v>28</v>
      </c>
      <c r="W16" s="157">
        <f ca="1"/>
        <v>42</v>
      </c>
      <c r="X16" s="157">
        <f ca="1"/>
        <v>4</v>
      </c>
      <c r="Y16" s="157" t="str">
        <f ca="1"/>
        <v>3-18</v>
      </c>
      <c r="Z16" s="169">
        <f t="shared" ca="1" si="3"/>
        <v>0.1111111111111111</v>
      </c>
      <c r="AA16" s="169">
        <f t="shared" ca="1" si="4"/>
        <v>0.1111111111111111</v>
      </c>
    </row>
    <row r="17" spans="1:27" ht="11.25" x14ac:dyDescent="0.2">
      <c r="A17" s="116">
        <v>16</v>
      </c>
      <c r="B17" s="116">
        <f>MATCH(A17,Bowling!$AU$5:$AU$48,0)</f>
        <v>42</v>
      </c>
      <c r="C17" s="116" t="str">
        <f ca="1">OFFSET(Bowling!$B$4,BowlAves!B17,0)</f>
        <v>Viveganandan M</v>
      </c>
      <c r="D17" s="142">
        <f t="array" aca="1" ref="D17:K17" ca="1">OFFSET(Bowling!$AL$4,BowlAves!B17,0,1,8)</f>
        <v>5</v>
      </c>
      <c r="E17" s="143">
        <f ca="1"/>
        <v>0</v>
      </c>
      <c r="F17" s="143">
        <f ca="1"/>
        <v>30</v>
      </c>
      <c r="G17" s="143">
        <f ca="1"/>
        <v>1</v>
      </c>
      <c r="H17" s="72">
        <f ca="1"/>
        <v>30</v>
      </c>
      <c r="I17" s="147">
        <f ca="1"/>
        <v>30</v>
      </c>
      <c r="J17" s="147">
        <f ca="1"/>
        <v>6</v>
      </c>
      <c r="K17" s="148" t="str">
        <f ca="1"/>
        <v>1-18</v>
      </c>
      <c r="L17" s="148">
        <f t="shared" ca="1" si="0"/>
        <v>1016</v>
      </c>
      <c r="M17" s="148">
        <f t="shared" ca="1" si="1"/>
        <v>16</v>
      </c>
      <c r="N17" s="116" t="str">
        <f t="shared" ca="1" si="2"/>
        <v xml:space="preserve">Viveganandan M 5-0-30-1, </v>
      </c>
      <c r="P17" s="152">
        <v>15</v>
      </c>
      <c r="Q17" s="153" t="str">
        <f t="array" aca="1" ref="Q17:Y17" ca="1">OFFSET($C$2,MATCH(P17,$M$2:$M$51,0)-1,0,1,9)</f>
        <v>Gardezi S</v>
      </c>
      <c r="R17" s="154">
        <f ca="1"/>
        <v>4.4000000000000004</v>
      </c>
      <c r="S17" s="155">
        <f ca="1"/>
        <v>0</v>
      </c>
      <c r="T17" s="154">
        <f ca="1"/>
        <v>29</v>
      </c>
      <c r="U17" s="154">
        <f ca="1"/>
        <v>1</v>
      </c>
      <c r="V17" s="156">
        <f ca="1"/>
        <v>29</v>
      </c>
      <c r="W17" s="157">
        <f ca="1"/>
        <v>28</v>
      </c>
      <c r="X17" s="157">
        <f ca="1"/>
        <v>6.2142857142857144</v>
      </c>
      <c r="Y17" s="157" t="str">
        <f ca="1"/>
        <v>1-23</v>
      </c>
      <c r="Z17" s="169">
        <f t="shared" ca="1" si="3"/>
        <v>0</v>
      </c>
      <c r="AA17" s="169" t="str">
        <f t="shared" ca="1" si="4"/>
        <v/>
      </c>
    </row>
    <row r="18" spans="1:27" ht="11.25" x14ac:dyDescent="0.2">
      <c r="A18" s="116">
        <v>17</v>
      </c>
      <c r="B18" s="116">
        <f>MATCH(A18,Bowling!$AU$5:$AU$48,0)</f>
        <v>19</v>
      </c>
      <c r="C18" s="116" t="str">
        <f ca="1">OFFSET(Bowling!$B$4,BowlAves!B18,0)</f>
        <v>Mander A</v>
      </c>
      <c r="D18" s="142">
        <f t="array" aca="1" ref="D18:K18" ca="1">OFFSET(Bowling!$AL$4,BowlAves!B18,0,1,8)</f>
        <v>78</v>
      </c>
      <c r="E18" s="143">
        <f ca="1"/>
        <v>5</v>
      </c>
      <c r="F18" s="143">
        <f ca="1"/>
        <v>270</v>
      </c>
      <c r="G18" s="143">
        <f ca="1"/>
        <v>8</v>
      </c>
      <c r="H18" s="72">
        <f ca="1"/>
        <v>33.75</v>
      </c>
      <c r="I18" s="147">
        <f ca="1"/>
        <v>58.5</v>
      </c>
      <c r="J18" s="147">
        <f ca="1"/>
        <v>3.4615384615384617</v>
      </c>
      <c r="K18" s="148" t="str">
        <f ca="1"/>
        <v>2-15</v>
      </c>
      <c r="L18" s="148">
        <f t="shared" ca="1" si="0"/>
        <v>1017</v>
      </c>
      <c r="M18" s="148">
        <f t="shared" ca="1" si="1"/>
        <v>17</v>
      </c>
      <c r="N18" s="116" t="str">
        <f t="shared" ca="1" si="2"/>
        <v xml:space="preserve">Mander A 78-5-270-8, </v>
      </c>
      <c r="P18" s="152">
        <v>16</v>
      </c>
      <c r="Q18" s="153" t="str">
        <f t="array" aca="1" ref="Q18:Y18" ca="1">OFFSET($C$2,MATCH(P18,$M$2:$M$51,0)-1,0,1,9)</f>
        <v>Viveganandan M</v>
      </c>
      <c r="R18" s="154">
        <f ca="1"/>
        <v>5</v>
      </c>
      <c r="S18" s="155">
        <f ca="1"/>
        <v>0</v>
      </c>
      <c r="T18" s="154">
        <f ca="1"/>
        <v>30</v>
      </c>
      <c r="U18" s="154">
        <f ca="1"/>
        <v>1</v>
      </c>
      <c r="V18" s="156">
        <f ca="1"/>
        <v>30</v>
      </c>
      <c r="W18" s="157">
        <f ca="1"/>
        <v>30</v>
      </c>
      <c r="X18" s="157">
        <f ca="1"/>
        <v>6</v>
      </c>
      <c r="Y18" s="157" t="str">
        <f ca="1"/>
        <v>1-18</v>
      </c>
      <c r="Z18" s="169">
        <f t="shared" ca="1" si="3"/>
        <v>0</v>
      </c>
      <c r="AA18" s="169" t="str">
        <f t="shared" ca="1" si="4"/>
        <v/>
      </c>
    </row>
    <row r="19" spans="1:27" ht="11.25" x14ac:dyDescent="0.2">
      <c r="A19" s="116">
        <v>18</v>
      </c>
      <c r="B19" s="116">
        <f>MATCH(A19,Bowling!$AU$5:$AU$48,0)</f>
        <v>24</v>
      </c>
      <c r="C19" s="116" t="str">
        <f ca="1">OFFSET(Bowling!$B$4,BowlAves!B19,0)</f>
        <v>Patel J</v>
      </c>
      <c r="D19" s="142">
        <f t="array" aca="1" ref="D19:K19" ca="1">OFFSET(Bowling!$AL$4,BowlAves!B19,0,1,8)</f>
        <v>14.4</v>
      </c>
      <c r="E19" s="143">
        <f ca="1"/>
        <v>1</v>
      </c>
      <c r="F19" s="143">
        <f ca="1"/>
        <v>70</v>
      </c>
      <c r="G19" s="143">
        <f ca="1"/>
        <v>2</v>
      </c>
      <c r="H19" s="72">
        <f ca="1"/>
        <v>35</v>
      </c>
      <c r="I19" s="147">
        <f ca="1"/>
        <v>44</v>
      </c>
      <c r="J19" s="147">
        <f ca="1"/>
        <v>4.7727272727272725</v>
      </c>
      <c r="K19" s="148" t="str">
        <f ca="1"/>
        <v>2-6</v>
      </c>
      <c r="L19" s="148">
        <f t="shared" ca="1" si="0"/>
        <v>1018</v>
      </c>
      <c r="M19" s="148">
        <f t="shared" ca="1" si="1"/>
        <v>18</v>
      </c>
      <c r="N19" s="116" t="str">
        <f t="shared" ca="1" si="2"/>
        <v xml:space="preserve">Patel J 14.4-1-70-2, </v>
      </c>
      <c r="P19" s="152">
        <v>17</v>
      </c>
      <c r="Q19" s="153" t="str">
        <f t="array" aca="1" ref="Q19:Y19" ca="1">OFFSET($C$2,MATCH(P19,$M$2:$M$51,0)-1,0,1,9)</f>
        <v>Mander A</v>
      </c>
      <c r="R19" s="154">
        <f ca="1"/>
        <v>78</v>
      </c>
      <c r="S19" s="155">
        <f ca="1"/>
        <v>5</v>
      </c>
      <c r="T19" s="154">
        <f ca="1"/>
        <v>270</v>
      </c>
      <c r="U19" s="154">
        <f ca="1"/>
        <v>8</v>
      </c>
      <c r="V19" s="156">
        <f ca="1"/>
        <v>33.75</v>
      </c>
      <c r="W19" s="157">
        <f ca="1"/>
        <v>58.5</v>
      </c>
      <c r="X19" s="157">
        <f ca="1"/>
        <v>3.4615384615384617</v>
      </c>
      <c r="Y19" s="157" t="str">
        <f ca="1"/>
        <v>2-15</v>
      </c>
      <c r="Z19" s="169">
        <f t="shared" ca="1" si="3"/>
        <v>6.4102564102564097E-2</v>
      </c>
      <c r="AA19" s="169">
        <f t="shared" ca="1" si="4"/>
        <v>6.4102564102564097E-2</v>
      </c>
    </row>
    <row r="20" spans="1:27" ht="11.25" x14ac:dyDescent="0.2">
      <c r="A20" s="116">
        <v>19</v>
      </c>
      <c r="B20" s="116">
        <f>MATCH(A20,Bowling!$AU$5:$AU$48,0)</f>
        <v>25</v>
      </c>
      <c r="C20" s="116" t="str">
        <f ca="1">OFFSET(Bowling!$B$4,BowlAves!B20,0)</f>
        <v>Patel M</v>
      </c>
      <c r="D20" s="142">
        <f t="array" aca="1" ref="D20:K20" ca="1">OFFSET(Bowling!$AL$4,BowlAves!B20,0,1,8)</f>
        <v>15</v>
      </c>
      <c r="E20" s="143">
        <f ca="1"/>
        <v>0</v>
      </c>
      <c r="F20" s="143">
        <f ca="1"/>
        <v>122</v>
      </c>
      <c r="G20" s="143">
        <f ca="1"/>
        <v>3</v>
      </c>
      <c r="H20" s="72">
        <f ca="1"/>
        <v>40.67</v>
      </c>
      <c r="I20" s="147">
        <f ca="1"/>
        <v>30</v>
      </c>
      <c r="J20" s="147">
        <f ca="1"/>
        <v>8.1333333333333329</v>
      </c>
      <c r="K20" s="148" t="str">
        <f ca="1"/>
        <v>2-29</v>
      </c>
      <c r="L20" s="148">
        <f t="shared" ca="1" si="0"/>
        <v>1019</v>
      </c>
      <c r="M20" s="148">
        <f t="shared" ca="1" si="1"/>
        <v>19</v>
      </c>
      <c r="N20" s="116" t="str">
        <f t="shared" ca="1" si="2"/>
        <v xml:space="preserve">Patel M 15-0-122-3, </v>
      </c>
      <c r="P20" s="152">
        <v>18</v>
      </c>
      <c r="Q20" s="153" t="str">
        <f t="array" aca="1" ref="Q20:Y20" ca="1">OFFSET($C$2,MATCH(P20,$M$2:$M$51,0)-1,0,1,9)</f>
        <v>Patel J</v>
      </c>
      <c r="R20" s="154">
        <f ca="1"/>
        <v>14.4</v>
      </c>
      <c r="S20" s="155">
        <f ca="1"/>
        <v>1</v>
      </c>
      <c r="T20" s="154">
        <f ca="1"/>
        <v>70</v>
      </c>
      <c r="U20" s="154">
        <f ca="1"/>
        <v>2</v>
      </c>
      <c r="V20" s="156">
        <f ca="1"/>
        <v>35</v>
      </c>
      <c r="W20" s="157">
        <f ca="1"/>
        <v>44</v>
      </c>
      <c r="X20" s="157">
        <f ca="1"/>
        <v>4.7727272727272725</v>
      </c>
      <c r="Y20" s="157" t="str">
        <f ca="1"/>
        <v>2-6</v>
      </c>
      <c r="Z20" s="169">
        <f t="shared" ca="1" si="3"/>
        <v>6.9444444444444448E-2</v>
      </c>
      <c r="AA20" s="169" t="str">
        <f t="shared" ca="1" si="4"/>
        <v/>
      </c>
    </row>
    <row r="21" spans="1:27" ht="11.25" x14ac:dyDescent="0.2">
      <c r="A21" s="116">
        <v>20</v>
      </c>
      <c r="B21" s="116">
        <f>MATCH(A21,Bowling!$AU$5:$AU$48,0)</f>
        <v>34</v>
      </c>
      <c r="C21" s="116" t="str">
        <f ca="1">OFFSET(Bowling!$B$4,BowlAves!B21,0)</f>
        <v>Sharpe D</v>
      </c>
      <c r="D21" s="142">
        <f t="array" aca="1" ref="D21:K21" ca="1">OFFSET(Bowling!$AL$4,BowlAves!B21,0,1,8)</f>
        <v>2</v>
      </c>
      <c r="E21" s="143">
        <f ca="1"/>
        <v>0</v>
      </c>
      <c r="F21" s="143">
        <f ca="1"/>
        <v>28</v>
      </c>
      <c r="G21" s="143">
        <f ca="1"/>
        <v>0</v>
      </c>
      <c r="H21" s="72" t="str">
        <f ca="1"/>
        <v/>
      </c>
      <c r="I21" s="147" t="str">
        <f ca="1"/>
        <v/>
      </c>
      <c r="J21" s="147">
        <f ca="1"/>
        <v>14</v>
      </c>
      <c r="K21" s="148" t="str">
        <f ca="1"/>
        <v>0-28</v>
      </c>
      <c r="L21" s="148">
        <f t="shared" ca="1" si="0"/>
        <v>1020</v>
      </c>
      <c r="M21" s="148">
        <f t="shared" ca="1" si="1"/>
        <v>20</v>
      </c>
      <c r="N21" s="116" t="str">
        <f t="shared" ca="1" si="2"/>
        <v xml:space="preserve">Sharpe D 2-0-28-0, </v>
      </c>
      <c r="P21" s="152">
        <v>19</v>
      </c>
      <c r="Q21" s="153" t="str">
        <f t="array" aca="1" ref="Q21:Y21" ca="1">OFFSET($C$2,MATCH(P21,$M$2:$M$51,0)-1,0,1,9)</f>
        <v>Patel M</v>
      </c>
      <c r="R21" s="154">
        <f ca="1"/>
        <v>15</v>
      </c>
      <c r="S21" s="155">
        <f ca="1"/>
        <v>0</v>
      </c>
      <c r="T21" s="154">
        <f ca="1"/>
        <v>122</v>
      </c>
      <c r="U21" s="154">
        <f ca="1"/>
        <v>3</v>
      </c>
      <c r="V21" s="156">
        <f ca="1"/>
        <v>40.67</v>
      </c>
      <c r="W21" s="157">
        <f ca="1"/>
        <v>30</v>
      </c>
      <c r="X21" s="157">
        <f ca="1"/>
        <v>8.1333333333333329</v>
      </c>
      <c r="Y21" s="157" t="str">
        <f ca="1"/>
        <v>2-29</v>
      </c>
      <c r="Z21" s="169">
        <f t="shared" ca="1" si="3"/>
        <v>0</v>
      </c>
      <c r="AA21" s="169" t="str">
        <f t="shared" ca="1" si="4"/>
        <v/>
      </c>
    </row>
    <row r="22" spans="1:27" ht="11.25" x14ac:dyDescent="0.2">
      <c r="A22" s="116">
        <v>21</v>
      </c>
      <c r="B22" s="116">
        <f>MATCH(A22,Bowling!$AU$5:$AU$48,0)</f>
        <v>36</v>
      </c>
      <c r="C22" s="116" t="str">
        <f ca="1">OFFSET(Bowling!$B$4,BowlAves!B22,0)</f>
        <v>Smith C</v>
      </c>
      <c r="D22" s="142">
        <f t="array" aca="1" ref="D22:K22" ca="1">OFFSET(Bowling!$AL$4,BowlAves!B22,0,1,8)</f>
        <v>2</v>
      </c>
      <c r="E22" s="143">
        <f ca="1"/>
        <v>0</v>
      </c>
      <c r="F22" s="143">
        <f ca="1"/>
        <v>36</v>
      </c>
      <c r="G22" s="143">
        <f ca="1"/>
        <v>0</v>
      </c>
      <c r="H22" s="72" t="str">
        <f ca="1"/>
        <v/>
      </c>
      <c r="I22" s="147" t="str">
        <f ca="1"/>
        <v/>
      </c>
      <c r="J22" s="147">
        <f ca="1"/>
        <v>18</v>
      </c>
      <c r="K22" s="148" t="str">
        <f ca="1"/>
        <v>0-36</v>
      </c>
      <c r="L22" s="148">
        <f t="shared" ca="1" si="0"/>
        <v>1021</v>
      </c>
      <c r="M22" s="148">
        <f t="shared" ca="1" si="1"/>
        <v>21</v>
      </c>
      <c r="N22" s="116" t="str">
        <f t="shared" ca="1" si="2"/>
        <v xml:space="preserve">Smith C 2-0-36-0, </v>
      </c>
      <c r="P22" s="152">
        <v>20</v>
      </c>
      <c r="Q22" s="153" t="str">
        <f t="array" aca="1" ref="Q22:Y22" ca="1">OFFSET($C$2,MATCH(P22,$M$2:$M$51,0)-1,0,1,9)</f>
        <v>Sharpe D</v>
      </c>
      <c r="R22" s="154">
        <f ca="1"/>
        <v>2</v>
      </c>
      <c r="S22" s="155">
        <f ca="1"/>
        <v>0</v>
      </c>
      <c r="T22" s="154">
        <f ca="1"/>
        <v>28</v>
      </c>
      <c r="U22" s="154">
        <f ca="1"/>
        <v>0</v>
      </c>
      <c r="V22" s="156" t="str">
        <f ca="1"/>
        <v/>
      </c>
      <c r="W22" s="157" t="str">
        <f ca="1"/>
        <v/>
      </c>
      <c r="X22" s="157">
        <f ca="1"/>
        <v>14</v>
      </c>
      <c r="Y22" s="157" t="str">
        <f ca="1"/>
        <v>0-28</v>
      </c>
      <c r="Z22" s="169">
        <f t="shared" ca="1" si="3"/>
        <v>0</v>
      </c>
      <c r="AA22" s="169" t="str">
        <f t="shared" ca="1" si="4"/>
        <v/>
      </c>
    </row>
    <row r="23" spans="1:27" ht="11.25" x14ac:dyDescent="0.2">
      <c r="A23" s="116">
        <v>22</v>
      </c>
      <c r="B23" s="116">
        <f>MATCH(A23,Bowling!$AU$5:$AU$48,0)</f>
        <v>41</v>
      </c>
      <c r="C23" s="116" t="str">
        <f ca="1">OFFSET(Bowling!$B$4,BowlAves!B23,0)</f>
        <v>Umar S</v>
      </c>
      <c r="D23" s="142">
        <f t="array" aca="1" ref="D23:K23" ca="1">OFFSET(Bowling!$AL$4,BowlAves!B23,0,1,8)</f>
        <v>2</v>
      </c>
      <c r="E23" s="143">
        <f ca="1"/>
        <v>0</v>
      </c>
      <c r="F23" s="143">
        <f ca="1"/>
        <v>16</v>
      </c>
      <c r="G23" s="143">
        <f ca="1"/>
        <v>0</v>
      </c>
      <c r="H23" s="72" t="str">
        <f ca="1"/>
        <v/>
      </c>
      <c r="I23" s="147" t="str">
        <f ca="1"/>
        <v/>
      </c>
      <c r="J23" s="147">
        <f ca="1"/>
        <v>8</v>
      </c>
      <c r="K23" s="148" t="str">
        <f ca="1"/>
        <v>0-16</v>
      </c>
      <c r="L23" s="148">
        <f t="shared" ca="1" si="0"/>
        <v>1022</v>
      </c>
      <c r="M23" s="148">
        <f t="shared" ca="1" si="1"/>
        <v>22</v>
      </c>
      <c r="N23" s="116" t="str">
        <f t="shared" ca="1" si="2"/>
        <v xml:space="preserve">Umar S 2-0-16-0, </v>
      </c>
      <c r="P23" s="152">
        <v>21</v>
      </c>
      <c r="Q23" s="153" t="str">
        <f t="array" aca="1" ref="Q23:Y23" ca="1">OFFSET($C$2,MATCH(P23,$M$2:$M$51,0)-1,0,1,9)</f>
        <v>Smith C</v>
      </c>
      <c r="R23" s="154">
        <f ca="1"/>
        <v>2</v>
      </c>
      <c r="S23" s="155">
        <f ca="1"/>
        <v>0</v>
      </c>
      <c r="T23" s="154">
        <f ca="1"/>
        <v>36</v>
      </c>
      <c r="U23" s="154">
        <f ca="1"/>
        <v>0</v>
      </c>
      <c r="V23" s="156" t="str">
        <f ca="1"/>
        <v/>
      </c>
      <c r="W23" s="157" t="str">
        <f ca="1"/>
        <v/>
      </c>
      <c r="X23" s="157">
        <f ca="1"/>
        <v>18</v>
      </c>
      <c r="Y23" s="157" t="str">
        <f ca="1"/>
        <v>0-36</v>
      </c>
      <c r="Z23" s="169">
        <f t="shared" ca="1" si="3"/>
        <v>0</v>
      </c>
      <c r="AA23" s="169" t="str">
        <f t="shared" ca="1" si="4"/>
        <v/>
      </c>
    </row>
    <row r="24" spans="1:27" ht="11.25" x14ac:dyDescent="0.2">
      <c r="A24" s="116">
        <v>23</v>
      </c>
      <c r="B24" s="116">
        <f>MATCH(A24,Bowling!$AU$5:$AU$48,0)</f>
        <v>15</v>
      </c>
      <c r="C24" s="116" t="str">
        <f ca="1">OFFSET(Bowling!$B$4,BowlAves!B24,0)</f>
        <v>Lestrelle A</v>
      </c>
      <c r="D24" s="142">
        <f t="array" aca="1" ref="D24:K24" ca="1">OFFSET(Bowling!$AL$4,BowlAves!B24,0,1,8)</f>
        <v>3</v>
      </c>
      <c r="E24" s="143">
        <f ca="1"/>
        <v>0</v>
      </c>
      <c r="F24" s="143">
        <f ca="1"/>
        <v>36</v>
      </c>
      <c r="G24" s="143">
        <f ca="1"/>
        <v>0</v>
      </c>
      <c r="H24" s="72" t="str">
        <f ca="1"/>
        <v/>
      </c>
      <c r="I24" s="147" t="str">
        <f ca="1"/>
        <v/>
      </c>
      <c r="J24" s="147">
        <f ca="1"/>
        <v>12</v>
      </c>
      <c r="K24" s="148" t="str">
        <f ca="1"/>
        <v>0-36</v>
      </c>
      <c r="L24" s="148">
        <f t="shared" ca="1" si="0"/>
        <v>1023</v>
      </c>
      <c r="M24" s="148">
        <f t="shared" ca="1" si="1"/>
        <v>23</v>
      </c>
      <c r="N24" s="116" t="str">
        <f t="shared" ca="1" si="2"/>
        <v xml:space="preserve">Lestrelle A 3-0-36-0, </v>
      </c>
      <c r="P24" s="152">
        <v>22</v>
      </c>
      <c r="Q24" s="153" t="str">
        <f t="array" aca="1" ref="Q24:Y24" ca="1">OFFSET($C$2,MATCH(P24,$M$2:$M$51,0)-1,0,1,9)</f>
        <v>Umar S</v>
      </c>
      <c r="R24" s="154">
        <f ca="1"/>
        <v>2</v>
      </c>
      <c r="S24" s="155">
        <f ca="1"/>
        <v>0</v>
      </c>
      <c r="T24" s="154">
        <f ca="1"/>
        <v>16</v>
      </c>
      <c r="U24" s="154">
        <f ca="1"/>
        <v>0</v>
      </c>
      <c r="V24" s="156" t="str">
        <f ca="1"/>
        <v/>
      </c>
      <c r="W24" s="157" t="str">
        <f ca="1"/>
        <v/>
      </c>
      <c r="X24" s="157">
        <f ca="1"/>
        <v>8</v>
      </c>
      <c r="Y24" s="157" t="str">
        <f ca="1"/>
        <v>0-16</v>
      </c>
      <c r="Z24" s="169">
        <f t="shared" ca="1" si="3"/>
        <v>0</v>
      </c>
      <c r="AA24" s="169" t="str">
        <f t="shared" ca="1" si="4"/>
        <v/>
      </c>
    </row>
    <row r="25" spans="1:27" ht="11.25" x14ac:dyDescent="0.2">
      <c r="A25" s="116">
        <v>24</v>
      </c>
      <c r="B25" s="116">
        <f>MATCH(A25,Bowling!$AU$5:$AU$48,0)</f>
        <v>3</v>
      </c>
      <c r="C25" s="116" t="str">
        <f ca="1">OFFSET(Bowling!$B$4,BowlAves!B25,0)</f>
        <v>Brocks D</v>
      </c>
      <c r="D25" s="142">
        <f t="array" aca="1" ref="D25:K25" ca="1">OFFSET(Bowling!$AL$4,BowlAves!B25,0,1,8)</f>
        <v>4</v>
      </c>
      <c r="E25" s="143">
        <f ca="1"/>
        <v>0</v>
      </c>
      <c r="F25" s="143">
        <f ca="1"/>
        <v>30</v>
      </c>
      <c r="G25" s="143">
        <f ca="1"/>
        <v>0</v>
      </c>
      <c r="H25" s="72" t="str">
        <f ca="1"/>
        <v/>
      </c>
      <c r="I25" s="147" t="str">
        <f ca="1"/>
        <v/>
      </c>
      <c r="J25" s="147">
        <f ca="1"/>
        <v>7.5</v>
      </c>
      <c r="K25" s="148" t="str">
        <f ca="1"/>
        <v>0-30</v>
      </c>
      <c r="L25" s="148">
        <f t="shared" ca="1" si="0"/>
        <v>1024</v>
      </c>
      <c r="M25" s="148">
        <f t="shared" ca="1" si="1"/>
        <v>24</v>
      </c>
      <c r="N25" s="116" t="str">
        <f t="shared" ca="1" si="2"/>
        <v xml:space="preserve">Brocks D 4-0-30-0, </v>
      </c>
      <c r="P25" s="152">
        <v>23</v>
      </c>
      <c r="Q25" s="153" t="str">
        <f t="array" aca="1" ref="Q25:Y25" ca="1">OFFSET($C$2,MATCH(P25,$M$2:$M$51,0)-1,0,1,9)</f>
        <v>Lestrelle A</v>
      </c>
      <c r="R25" s="154">
        <f ca="1"/>
        <v>3</v>
      </c>
      <c r="S25" s="155">
        <f ca="1"/>
        <v>0</v>
      </c>
      <c r="T25" s="154">
        <f ca="1"/>
        <v>36</v>
      </c>
      <c r="U25" s="154">
        <f ca="1"/>
        <v>0</v>
      </c>
      <c r="V25" s="156" t="str">
        <f ca="1"/>
        <v/>
      </c>
      <c r="W25" s="157" t="str">
        <f ca="1"/>
        <v/>
      </c>
      <c r="X25" s="157">
        <f ca="1"/>
        <v>12</v>
      </c>
      <c r="Y25" s="157" t="str">
        <f ca="1"/>
        <v>0-36</v>
      </c>
      <c r="Z25" s="169">
        <f t="shared" ca="1" si="3"/>
        <v>0</v>
      </c>
      <c r="AA25" s="169" t="str">
        <f t="shared" ca="1" si="4"/>
        <v/>
      </c>
    </row>
    <row r="26" spans="1:27" ht="11.25" x14ac:dyDescent="0.2">
      <c r="A26" s="116">
        <v>25</v>
      </c>
      <c r="B26" s="116">
        <f>MATCH(A26,Bowling!$AU$5:$AU$48,0)</f>
        <v>13</v>
      </c>
      <c r="C26" s="116" t="str">
        <f ca="1">OFFSET(Bowling!$B$4,BowlAves!B26,0)</f>
        <v>Jain A</v>
      </c>
      <c r="D26" s="142">
        <f t="array" aca="1" ref="D26:K26" ca="1">OFFSET(Bowling!$AL$4,BowlAves!B26,0,1,8)</f>
        <v>4.3</v>
      </c>
      <c r="E26" s="143">
        <f ca="1"/>
        <v>0</v>
      </c>
      <c r="F26" s="143">
        <f ca="1"/>
        <v>36</v>
      </c>
      <c r="G26" s="143">
        <f ca="1"/>
        <v>0</v>
      </c>
      <c r="H26" s="72" t="str">
        <f ca="1"/>
        <v/>
      </c>
      <c r="I26" s="147" t="str">
        <f ca="1"/>
        <v/>
      </c>
      <c r="J26" s="147">
        <f ca="1"/>
        <v>8</v>
      </c>
      <c r="K26" s="148" t="str">
        <f ca="1"/>
        <v>0-5</v>
      </c>
      <c r="L26" s="148">
        <f t="shared" ca="1" si="0"/>
        <v>1025</v>
      </c>
      <c r="M26" s="148">
        <f t="shared" ca="1" si="1"/>
        <v>25</v>
      </c>
      <c r="N26" s="116" t="str">
        <f t="shared" ca="1" si="2"/>
        <v xml:space="preserve">Jain A 4.3-0-36-0, </v>
      </c>
      <c r="P26" s="152">
        <v>24</v>
      </c>
      <c r="Q26" s="153" t="str">
        <f t="array" aca="1" ref="Q26:Y26" ca="1">OFFSET($C$2,MATCH(P26,$M$2:$M$51,0)-1,0,1,9)</f>
        <v>Brocks D</v>
      </c>
      <c r="R26" s="154">
        <f ca="1"/>
        <v>4</v>
      </c>
      <c r="S26" s="155">
        <f ca="1"/>
        <v>0</v>
      </c>
      <c r="T26" s="154">
        <f ca="1"/>
        <v>30</v>
      </c>
      <c r="U26" s="154">
        <f ca="1"/>
        <v>0</v>
      </c>
      <c r="V26" s="156" t="str">
        <f ca="1"/>
        <v/>
      </c>
      <c r="W26" s="157" t="str">
        <f ca="1"/>
        <v/>
      </c>
      <c r="X26" s="157">
        <f ca="1"/>
        <v>7.5</v>
      </c>
      <c r="Y26" s="157" t="str">
        <f ca="1"/>
        <v>0-30</v>
      </c>
      <c r="Z26" s="169">
        <f t="shared" ref="Z26:Z31" ca="1" si="5">S26/R26</f>
        <v>0</v>
      </c>
      <c r="AA26" s="169" t="str">
        <f t="shared" ref="AA26:AA31" ca="1" si="6">IF(R26&gt;=20,Z26,"")</f>
        <v/>
      </c>
    </row>
    <row r="27" spans="1:27" ht="11.25" x14ac:dyDescent="0.2">
      <c r="A27" s="116">
        <v>26</v>
      </c>
      <c r="B27" s="116">
        <f>MATCH(A27,Bowling!$AU$5:$AU$48,0)</f>
        <v>8</v>
      </c>
      <c r="C27" s="116" t="str">
        <f ca="1">OFFSET(Bowling!$B$4,BowlAves!B27,0)</f>
        <v>Deol R</v>
      </c>
      <c r="D27" s="142">
        <f t="array" aca="1" ref="D27:K27" ca="1">OFFSET(Bowling!$AL$4,BowlAves!B27,0,1,8)</f>
        <v>6</v>
      </c>
      <c r="E27" s="143">
        <f ca="1"/>
        <v>0</v>
      </c>
      <c r="F27" s="143">
        <f ca="1"/>
        <v>36</v>
      </c>
      <c r="G27" s="143">
        <f ca="1"/>
        <v>0</v>
      </c>
      <c r="H27" s="72" t="str">
        <f ca="1"/>
        <v/>
      </c>
      <c r="I27" s="147" t="str">
        <f ca="1"/>
        <v/>
      </c>
      <c r="J27" s="147">
        <f ca="1"/>
        <v>6</v>
      </c>
      <c r="K27" s="148" t="str">
        <f ca="1"/>
        <v>0-36</v>
      </c>
      <c r="L27" s="148">
        <f t="shared" ca="1" si="0"/>
        <v>1026</v>
      </c>
      <c r="M27" s="148">
        <f t="shared" ca="1" si="1"/>
        <v>26</v>
      </c>
      <c r="N27" s="116" t="str">
        <f t="shared" ca="1" si="2"/>
        <v xml:space="preserve">Deol R 6-0-36-0, </v>
      </c>
      <c r="P27" s="152">
        <v>25</v>
      </c>
      <c r="Q27" s="153" t="str">
        <f t="array" aca="1" ref="Q27:Y27" ca="1">OFFSET($C$2,MATCH(P27,$M$2:$M$51,0)-1,0,1,9)</f>
        <v>Jain A</v>
      </c>
      <c r="R27" s="154">
        <f ca="1"/>
        <v>4.3</v>
      </c>
      <c r="S27" s="155">
        <f ca="1"/>
        <v>0</v>
      </c>
      <c r="T27" s="154">
        <f ca="1"/>
        <v>36</v>
      </c>
      <c r="U27" s="154">
        <f ca="1"/>
        <v>0</v>
      </c>
      <c r="V27" s="156" t="str">
        <f ca="1"/>
        <v/>
      </c>
      <c r="W27" s="157" t="str">
        <f ca="1"/>
        <v/>
      </c>
      <c r="X27" s="157">
        <f ca="1"/>
        <v>8</v>
      </c>
      <c r="Y27" s="157" t="str">
        <f ca="1"/>
        <v>0-5</v>
      </c>
      <c r="Z27" s="169">
        <f t="shared" ca="1" si="5"/>
        <v>0</v>
      </c>
      <c r="AA27" s="169" t="str">
        <f t="shared" ca="1" si="6"/>
        <v/>
      </c>
    </row>
    <row r="28" spans="1:27" ht="11.25" x14ac:dyDescent="0.2">
      <c r="A28" s="116">
        <v>27</v>
      </c>
      <c r="B28" s="116">
        <f>MATCH(A28,Bowling!$AU$5:$AU$48,0)</f>
        <v>26</v>
      </c>
      <c r="C28" s="116" t="str">
        <f ca="1">OFFSET(Bowling!$B$4,BowlAves!B28,0)</f>
        <v>Patel S</v>
      </c>
      <c r="D28" s="142">
        <f t="array" aca="1" ref="D28:K28" ca="1">OFFSET(Bowling!$AL$4,BowlAves!B28,0,1,8)</f>
        <v>8</v>
      </c>
      <c r="E28" s="143">
        <f ca="1"/>
        <v>0</v>
      </c>
      <c r="F28" s="143">
        <f ca="1"/>
        <v>52</v>
      </c>
      <c r="G28" s="143">
        <f ca="1"/>
        <v>0</v>
      </c>
      <c r="H28" s="72" t="str">
        <f ca="1"/>
        <v/>
      </c>
      <c r="I28" s="147" t="str">
        <f ca="1"/>
        <v/>
      </c>
      <c r="J28" s="147">
        <f ca="1"/>
        <v>6.5</v>
      </c>
      <c r="K28" s="148" t="str">
        <f ca="1"/>
        <v>0-52</v>
      </c>
      <c r="L28" s="148">
        <f t="shared" ca="1" si="0"/>
        <v>1027</v>
      </c>
      <c r="M28" s="148">
        <f t="shared" ca="1" si="1"/>
        <v>27</v>
      </c>
      <c r="N28" s="116" t="str">
        <f t="shared" ca="1" si="2"/>
        <v xml:space="preserve">Patel S 8-0-52-0, </v>
      </c>
      <c r="P28" s="152">
        <v>26</v>
      </c>
      <c r="Q28" s="153" t="str">
        <f t="array" aca="1" ref="Q28:Y28" ca="1">OFFSET($C$2,MATCH(P28,$M$2:$M$51,0)-1,0,1,9)</f>
        <v>Deol R</v>
      </c>
      <c r="R28" s="154">
        <f ca="1"/>
        <v>6</v>
      </c>
      <c r="S28" s="155">
        <f ca="1"/>
        <v>0</v>
      </c>
      <c r="T28" s="154">
        <f ca="1"/>
        <v>36</v>
      </c>
      <c r="U28" s="154">
        <f ca="1"/>
        <v>0</v>
      </c>
      <c r="V28" s="156" t="str">
        <f ca="1"/>
        <v/>
      </c>
      <c r="W28" s="157" t="str">
        <f ca="1"/>
        <v/>
      </c>
      <c r="X28" s="157">
        <f ca="1"/>
        <v>6</v>
      </c>
      <c r="Y28" s="157" t="str">
        <f ca="1"/>
        <v>0-36</v>
      </c>
      <c r="Z28" s="169">
        <f t="shared" ca="1" si="5"/>
        <v>0</v>
      </c>
      <c r="AA28" s="169" t="str">
        <f t="shared" ca="1" si="6"/>
        <v/>
      </c>
    </row>
    <row r="29" spans="1:27" ht="11.25" x14ac:dyDescent="0.2">
      <c r="A29" s="116">
        <v>28</v>
      </c>
      <c r="B29" s="116">
        <f>MATCH(A29,Bowling!$AU$5:$AU$48,0)</f>
        <v>4</v>
      </c>
      <c r="C29" s="116" t="str">
        <f ca="1">OFFSET(Bowling!$B$4,BowlAves!B29,0)</f>
        <v>Chima R</v>
      </c>
      <c r="D29" s="142">
        <f t="array" aca="1" ref="D29:K29" ca="1">OFFSET(Bowling!$AL$4,BowlAves!B29,0,1,8)</f>
        <v>0</v>
      </c>
      <c r="E29" s="143">
        <f ca="1"/>
        <v>0</v>
      </c>
      <c r="F29" s="143">
        <f ca="1"/>
        <v>0</v>
      </c>
      <c r="G29" s="143">
        <f ca="1"/>
        <v>0</v>
      </c>
      <c r="H29" s="72" t="str">
        <f ca="1"/>
        <v/>
      </c>
      <c r="I29" s="147" t="str">
        <f ca="1"/>
        <v/>
      </c>
      <c r="J29" s="147" t="str">
        <f ca="1"/>
        <v/>
      </c>
      <c r="K29" s="148" t="str">
        <f ca="1"/>
        <v/>
      </c>
      <c r="L29" s="148">
        <f t="shared" ca="1" si="0"/>
        <v>1028</v>
      </c>
      <c r="M29" s="148">
        <f t="shared" ca="1" si="1"/>
        <v>28</v>
      </c>
      <c r="N29" s="116" t="str">
        <f t="shared" ca="1" si="2"/>
        <v xml:space="preserve">Chima R 0-0-0-0, </v>
      </c>
      <c r="P29" s="152">
        <v>27</v>
      </c>
      <c r="Q29" s="153" t="str">
        <f t="array" aca="1" ref="Q29:Y29" ca="1">OFFSET($C$2,MATCH(P29,$M$2:$M$51,0)-1,0,1,9)</f>
        <v>Patel S</v>
      </c>
      <c r="R29" s="154">
        <f ca="1"/>
        <v>8</v>
      </c>
      <c r="S29" s="155">
        <f ca="1"/>
        <v>0</v>
      </c>
      <c r="T29" s="154">
        <f ca="1"/>
        <v>52</v>
      </c>
      <c r="U29" s="154">
        <f ca="1"/>
        <v>0</v>
      </c>
      <c r="V29" s="156" t="str">
        <f ca="1"/>
        <v/>
      </c>
      <c r="W29" s="157" t="str">
        <f ca="1"/>
        <v/>
      </c>
      <c r="X29" s="157">
        <f ca="1"/>
        <v>6.5</v>
      </c>
      <c r="Y29" s="157" t="str">
        <f ca="1"/>
        <v>0-52</v>
      </c>
      <c r="Z29" s="169">
        <f t="shared" ca="1" si="5"/>
        <v>0</v>
      </c>
      <c r="AA29" s="169" t="str">
        <f t="shared" ca="1" si="6"/>
        <v/>
      </c>
    </row>
    <row r="30" spans="1:27" ht="11.25" x14ac:dyDescent="0.2">
      <c r="A30" s="116">
        <v>29</v>
      </c>
      <c r="B30" s="116">
        <f>MATCH(A30,Bowling!$AU$5:$AU$48,0)</f>
        <v>5</v>
      </c>
      <c r="C30" s="116" t="str">
        <f ca="1">OFFSET(Bowling!$B$4,BowlAves!B30,0)</f>
        <v>Clarkson M</v>
      </c>
      <c r="D30" s="142">
        <f t="array" aca="1" ref="D30:K30" ca="1">OFFSET(Bowling!$AL$4,BowlAves!B30,0,1,8)</f>
        <v>0</v>
      </c>
      <c r="E30" s="143">
        <f ca="1"/>
        <v>0</v>
      </c>
      <c r="F30" s="143">
        <f ca="1"/>
        <v>0</v>
      </c>
      <c r="G30" s="143">
        <f ca="1"/>
        <v>0</v>
      </c>
      <c r="H30" s="72" t="str">
        <f ca="1"/>
        <v/>
      </c>
      <c r="I30" s="147" t="str">
        <f ca="1"/>
        <v/>
      </c>
      <c r="J30" s="147" t="str">
        <f ca="1"/>
        <v/>
      </c>
      <c r="K30" s="148" t="str">
        <f ca="1"/>
        <v/>
      </c>
      <c r="L30" s="148">
        <f t="shared" ca="1" si="0"/>
        <v>1029</v>
      </c>
      <c r="M30" s="148">
        <f t="shared" ca="1" si="1"/>
        <v>29</v>
      </c>
      <c r="N30" s="116" t="str">
        <f t="shared" ca="1" si="2"/>
        <v xml:space="preserve">Clarkson M 0-0-0-0, </v>
      </c>
      <c r="P30" s="152">
        <v>28</v>
      </c>
      <c r="Q30" s="153" t="str">
        <f t="array" aca="1" ref="Q30:Y30" ca="1">OFFSET($C$2,MATCH(P30,$M$2:$M$51,0)-1,0,1,9)</f>
        <v>Chima R</v>
      </c>
      <c r="R30" s="154">
        <f ca="1"/>
        <v>0</v>
      </c>
      <c r="S30" s="155">
        <f ca="1"/>
        <v>0</v>
      </c>
      <c r="T30" s="154">
        <f ca="1"/>
        <v>0</v>
      </c>
      <c r="U30" s="154">
        <f ca="1"/>
        <v>0</v>
      </c>
      <c r="V30" s="156" t="str">
        <f ca="1"/>
        <v/>
      </c>
      <c r="W30" s="157" t="str">
        <f ca="1"/>
        <v/>
      </c>
      <c r="X30" s="157" t="str">
        <f ca="1"/>
        <v/>
      </c>
      <c r="Y30" s="157" t="str">
        <f ca="1"/>
        <v/>
      </c>
      <c r="Z30" s="169" t="e">
        <f t="shared" ca="1" si="5"/>
        <v>#DIV/0!</v>
      </c>
      <c r="AA30" s="169" t="str">
        <f t="shared" ca="1" si="6"/>
        <v/>
      </c>
    </row>
    <row r="31" spans="1:27" ht="11.25" x14ac:dyDescent="0.2">
      <c r="A31" s="116">
        <v>30</v>
      </c>
      <c r="B31" s="116">
        <f>MATCH(A31,Bowling!$AU$5:$AU$48,0)</f>
        <v>6</v>
      </c>
      <c r="C31" s="116" t="str">
        <f ca="1">OFFSET(Bowling!$B$4,BowlAves!B31,0)</f>
        <v>Curling L</v>
      </c>
      <c r="D31" s="142">
        <f t="array" aca="1" ref="D31:K31" ca="1">OFFSET(Bowling!$AL$4,BowlAves!B31,0,1,8)</f>
        <v>0</v>
      </c>
      <c r="E31" s="143">
        <f ca="1"/>
        <v>0</v>
      </c>
      <c r="F31" s="143">
        <f ca="1"/>
        <v>0</v>
      </c>
      <c r="G31" s="143">
        <f ca="1"/>
        <v>0</v>
      </c>
      <c r="H31" s="72" t="str">
        <f ca="1"/>
        <v/>
      </c>
      <c r="I31" s="147" t="str">
        <f ca="1"/>
        <v/>
      </c>
      <c r="J31" s="147" t="str">
        <f ca="1"/>
        <v/>
      </c>
      <c r="K31" s="148" t="str">
        <f ca="1"/>
        <v/>
      </c>
      <c r="L31" s="148">
        <f t="shared" ca="1" si="0"/>
        <v>1030</v>
      </c>
      <c r="M31" s="148">
        <f t="shared" ca="1" si="1"/>
        <v>30</v>
      </c>
      <c r="N31" s="116" t="str">
        <f t="shared" ca="1" si="2"/>
        <v xml:space="preserve">Curling L 0-0-0-0, </v>
      </c>
      <c r="P31" s="152">
        <v>29</v>
      </c>
      <c r="Q31" s="153" t="str">
        <f t="array" aca="1" ref="Q31:Y31" ca="1">OFFSET($C$2,MATCH(P31,$M$2:$M$51,0)-1,0,1,9)</f>
        <v>Clarkson M</v>
      </c>
      <c r="R31" s="154">
        <f ca="1"/>
        <v>0</v>
      </c>
      <c r="S31" s="155">
        <f ca="1"/>
        <v>0</v>
      </c>
      <c r="T31" s="154">
        <f ca="1"/>
        <v>0</v>
      </c>
      <c r="U31" s="154">
        <f ca="1"/>
        <v>0</v>
      </c>
      <c r="V31" s="156" t="str">
        <f ca="1"/>
        <v/>
      </c>
      <c r="W31" s="157" t="str">
        <f ca="1"/>
        <v/>
      </c>
      <c r="X31" s="157" t="str">
        <f ca="1"/>
        <v/>
      </c>
      <c r="Y31" s="157" t="str">
        <f ca="1"/>
        <v/>
      </c>
      <c r="Z31" s="169" t="e">
        <f t="shared" ca="1" si="5"/>
        <v>#DIV/0!</v>
      </c>
      <c r="AA31" s="169" t="str">
        <f t="shared" ca="1" si="6"/>
        <v/>
      </c>
    </row>
    <row r="32" spans="1:27" ht="11.25" x14ac:dyDescent="0.2">
      <c r="A32" s="116">
        <v>31</v>
      </c>
      <c r="B32" s="116">
        <f>MATCH(A32,Bowling!$AU$5:$AU$48,0)</f>
        <v>9</v>
      </c>
      <c r="C32" s="116" t="str">
        <f ca="1">OFFSET(Bowling!$B$4,BowlAves!B32,0)</f>
        <v>Foxworthy P</v>
      </c>
      <c r="D32" s="142">
        <f t="array" aca="1" ref="D32:K32" ca="1">OFFSET(Bowling!$AL$4,BowlAves!B32,0,1,8)</f>
        <v>0</v>
      </c>
      <c r="E32" s="143">
        <f ca="1"/>
        <v>0</v>
      </c>
      <c r="F32" s="143">
        <f ca="1"/>
        <v>0</v>
      </c>
      <c r="G32" s="143">
        <f ca="1"/>
        <v>0</v>
      </c>
      <c r="H32" s="72" t="str">
        <f ca="1"/>
        <v/>
      </c>
      <c r="I32" s="147" t="str">
        <f ca="1"/>
        <v/>
      </c>
      <c r="J32" s="147" t="str">
        <f ca="1"/>
        <v/>
      </c>
      <c r="K32" s="148" t="str">
        <f ca="1"/>
        <v/>
      </c>
      <c r="L32" s="148">
        <f t="shared" ca="1" si="0"/>
        <v>1031</v>
      </c>
      <c r="M32" s="148">
        <f t="shared" ca="1" si="1"/>
        <v>31</v>
      </c>
      <c r="N32" s="116" t="str">
        <f t="shared" ca="1" si="2"/>
        <v xml:space="preserve">Foxworthy P 0-0-0-0, </v>
      </c>
      <c r="P32" s="152">
        <v>30</v>
      </c>
      <c r="Q32" s="153" t="str">
        <f t="array" aca="1" ref="Q32:Y32" ca="1">OFFSET($C$2,MATCH(P32,$M$2:$M$51,0)-1,0,1,9)</f>
        <v>Curling L</v>
      </c>
      <c r="R32" s="154">
        <f ca="1"/>
        <v>0</v>
      </c>
      <c r="S32" s="155">
        <f ca="1"/>
        <v>0</v>
      </c>
      <c r="T32" s="154">
        <f ca="1"/>
        <v>0</v>
      </c>
      <c r="U32" s="154">
        <f ca="1"/>
        <v>0</v>
      </c>
      <c r="V32" s="156" t="str">
        <f ca="1"/>
        <v/>
      </c>
      <c r="W32" s="157" t="str">
        <f ca="1"/>
        <v/>
      </c>
      <c r="X32" s="157" t="str">
        <f ca="1"/>
        <v/>
      </c>
      <c r="Y32" s="157" t="str">
        <f ca="1"/>
        <v/>
      </c>
      <c r="Z32" s="169" t="e">
        <f t="shared" ref="Z32:Z36" ca="1" si="7">S32/R32</f>
        <v>#DIV/0!</v>
      </c>
      <c r="AA32" s="169" t="str">
        <f t="shared" ref="AA32:AA36" ca="1" si="8">IF(R32&gt;=20,Z32,"")</f>
        <v/>
      </c>
    </row>
    <row r="33" spans="1:27" ht="11.25" x14ac:dyDescent="0.2">
      <c r="A33" s="116">
        <v>32</v>
      </c>
      <c r="B33" s="116">
        <f>MATCH(A33,Bowling!$AU$5:$AU$48,0)</f>
        <v>10</v>
      </c>
      <c r="C33" s="116" t="str">
        <f ca="1">OFFSET(Bowling!$B$4,BowlAves!B33,0)</f>
        <v>Ffrench R</v>
      </c>
      <c r="D33" s="142">
        <f t="array" aca="1" ref="D33:K33" ca="1">OFFSET(Bowling!$AL$4,BowlAves!B33,0,1,8)</f>
        <v>0</v>
      </c>
      <c r="E33" s="143">
        <f ca="1"/>
        <v>0</v>
      </c>
      <c r="F33" s="143">
        <f ca="1"/>
        <v>0</v>
      </c>
      <c r="G33" s="143">
        <f ca="1"/>
        <v>0</v>
      </c>
      <c r="H33" s="72" t="str">
        <f ca="1"/>
        <v/>
      </c>
      <c r="I33" s="147" t="str">
        <f ca="1"/>
        <v/>
      </c>
      <c r="J33" s="147" t="str">
        <f ca="1"/>
        <v/>
      </c>
      <c r="K33" s="148" t="str">
        <f ca="1"/>
        <v/>
      </c>
      <c r="L33" s="148">
        <f t="shared" ca="1" si="0"/>
        <v>1032</v>
      </c>
      <c r="M33" s="148">
        <f t="shared" ca="1" si="1"/>
        <v>32</v>
      </c>
      <c r="N33" s="116" t="str">
        <f t="shared" ca="1" si="2"/>
        <v xml:space="preserve">Ffrench R 0-0-0-0, </v>
      </c>
      <c r="P33" s="152">
        <v>31</v>
      </c>
      <c r="Q33" s="153" t="str">
        <f t="array" aca="1" ref="Q33:Y33" ca="1">OFFSET($C$2,MATCH(P33,$M$2:$M$51,0)-1,0,1,9)</f>
        <v>Foxworthy P</v>
      </c>
      <c r="R33" s="154">
        <f ca="1"/>
        <v>0</v>
      </c>
      <c r="S33" s="155">
        <f ca="1"/>
        <v>0</v>
      </c>
      <c r="T33" s="154">
        <f ca="1"/>
        <v>0</v>
      </c>
      <c r="U33" s="154">
        <f ca="1"/>
        <v>0</v>
      </c>
      <c r="V33" s="156" t="str">
        <f ca="1"/>
        <v/>
      </c>
      <c r="W33" s="157" t="str">
        <f ca="1"/>
        <v/>
      </c>
      <c r="X33" s="157" t="str">
        <f ca="1"/>
        <v/>
      </c>
      <c r="Y33" s="157" t="str">
        <f ca="1"/>
        <v/>
      </c>
      <c r="Z33" s="169" t="e">
        <f t="shared" ca="1" si="7"/>
        <v>#DIV/0!</v>
      </c>
      <c r="AA33" s="169" t="str">
        <f t="shared" ca="1" si="8"/>
        <v/>
      </c>
    </row>
    <row r="34" spans="1:27" ht="11.25" x14ac:dyDescent="0.2">
      <c r="A34" s="116">
        <v>33</v>
      </c>
      <c r="B34" s="116">
        <f>MATCH(A34,Bowling!$AU$5:$AU$48,0)</f>
        <v>12</v>
      </c>
      <c r="C34" s="116" t="str">
        <f ca="1">OFFSET(Bowling!$B$4,BowlAves!B34,0)</f>
        <v>Hemasinghe M</v>
      </c>
      <c r="D34" s="142">
        <f t="array" aca="1" ref="D34:K34" ca="1">OFFSET(Bowling!$AL$4,BowlAves!B34,0,1,8)</f>
        <v>0</v>
      </c>
      <c r="E34" s="143">
        <f ca="1"/>
        <v>0</v>
      </c>
      <c r="F34" s="143">
        <f ca="1"/>
        <v>0</v>
      </c>
      <c r="G34" s="143">
        <f ca="1"/>
        <v>0</v>
      </c>
      <c r="H34" s="72" t="str">
        <f ca="1"/>
        <v/>
      </c>
      <c r="I34" s="147" t="str">
        <f ca="1"/>
        <v/>
      </c>
      <c r="J34" s="147" t="str">
        <f ca="1"/>
        <v/>
      </c>
      <c r="K34" s="148" t="str">
        <f ca="1"/>
        <v/>
      </c>
      <c r="L34" s="148">
        <f t="shared" ca="1" si="0"/>
        <v>1033</v>
      </c>
      <c r="M34" s="148">
        <f t="shared" ca="1" si="1"/>
        <v>33</v>
      </c>
      <c r="N34" s="116" t="str">
        <f t="shared" ca="1" si="2"/>
        <v xml:space="preserve">Hemasinghe M 0-0-0-0, </v>
      </c>
      <c r="P34" s="152">
        <v>32</v>
      </c>
      <c r="Q34" s="153" t="str">
        <f t="array" aca="1" ref="Q34:Y34" ca="1">OFFSET($C$2,MATCH(P34,$M$2:$M$51,0)-1,0,1,9)</f>
        <v>Ffrench R</v>
      </c>
      <c r="R34" s="154">
        <f ca="1"/>
        <v>0</v>
      </c>
      <c r="S34" s="155">
        <f ca="1"/>
        <v>0</v>
      </c>
      <c r="T34" s="154">
        <f ca="1"/>
        <v>0</v>
      </c>
      <c r="U34" s="154">
        <f ca="1"/>
        <v>0</v>
      </c>
      <c r="V34" s="156" t="str">
        <f ca="1"/>
        <v/>
      </c>
      <c r="W34" s="157" t="str">
        <f ca="1"/>
        <v/>
      </c>
      <c r="X34" s="157" t="str">
        <f ca="1"/>
        <v/>
      </c>
      <c r="Y34" s="157" t="str">
        <f ca="1"/>
        <v/>
      </c>
      <c r="Z34" s="169" t="e">
        <f t="shared" ca="1" si="7"/>
        <v>#DIV/0!</v>
      </c>
      <c r="AA34" s="169" t="str">
        <f t="shared" ca="1" si="8"/>
        <v/>
      </c>
    </row>
    <row r="35" spans="1:27" ht="11.25" x14ac:dyDescent="0.2">
      <c r="A35" s="116">
        <v>34</v>
      </c>
      <c r="B35" s="116">
        <f>MATCH(A35,Bowling!$AU$5:$AU$48,0)</f>
        <v>14</v>
      </c>
      <c r="C35" s="116" t="str">
        <f ca="1">OFFSET(Bowling!$B$4,BowlAves!B35,0)</f>
        <v>Jenkins D</v>
      </c>
      <c r="D35" s="142">
        <f t="array" aca="1" ref="D35:K35" ca="1">OFFSET(Bowling!$AL$4,BowlAves!B35,0,1,8)</f>
        <v>0</v>
      </c>
      <c r="E35" s="143">
        <f ca="1"/>
        <v>0</v>
      </c>
      <c r="F35" s="143">
        <f ca="1"/>
        <v>0</v>
      </c>
      <c r="G35" s="143">
        <f ca="1"/>
        <v>0</v>
      </c>
      <c r="H35" s="72" t="str">
        <f ca="1"/>
        <v/>
      </c>
      <c r="I35" s="147" t="str">
        <f ca="1"/>
        <v/>
      </c>
      <c r="J35" s="147" t="str">
        <f ca="1"/>
        <v/>
      </c>
      <c r="K35" s="148" t="str">
        <f ca="1"/>
        <v/>
      </c>
      <c r="L35" s="148">
        <f t="shared" ca="1" si="0"/>
        <v>1034</v>
      </c>
      <c r="M35" s="148">
        <f t="shared" ca="1" si="1"/>
        <v>34</v>
      </c>
      <c r="N35" s="116" t="str">
        <f t="shared" ca="1" si="2"/>
        <v xml:space="preserve">Jenkins D 0-0-0-0, </v>
      </c>
      <c r="P35" s="152">
        <v>33</v>
      </c>
      <c r="Q35" s="153" t="str">
        <f t="array" aca="1" ref="Q35:Y35" ca="1">OFFSET($C$2,MATCH(P35,$M$2:$M$51,0)-1,0,1,9)</f>
        <v>Hemasinghe M</v>
      </c>
      <c r="R35" s="154">
        <f ca="1"/>
        <v>0</v>
      </c>
      <c r="S35" s="155">
        <f ca="1"/>
        <v>0</v>
      </c>
      <c r="T35" s="154">
        <f ca="1"/>
        <v>0</v>
      </c>
      <c r="U35" s="154">
        <f ca="1"/>
        <v>0</v>
      </c>
      <c r="V35" s="156" t="str">
        <f ca="1"/>
        <v/>
      </c>
      <c r="W35" s="157" t="str">
        <f ca="1"/>
        <v/>
      </c>
      <c r="X35" s="157" t="str">
        <f ca="1"/>
        <v/>
      </c>
      <c r="Y35" s="157" t="str">
        <f ca="1"/>
        <v/>
      </c>
      <c r="Z35" s="169" t="e">
        <f t="shared" ca="1" si="7"/>
        <v>#DIV/0!</v>
      </c>
      <c r="AA35" s="169" t="str">
        <f t="shared" ca="1" si="8"/>
        <v/>
      </c>
    </row>
    <row r="36" spans="1:27" ht="11.25" x14ac:dyDescent="0.2">
      <c r="A36" s="116">
        <v>35</v>
      </c>
      <c r="B36" s="116">
        <f>MATCH(A36,Bowling!$AU$5:$AU$48,0)</f>
        <v>16</v>
      </c>
      <c r="C36" s="116" t="str">
        <f ca="1">OFFSET(Bowling!$B$4,BowlAves!B36,0)</f>
        <v>"Luca"</v>
      </c>
      <c r="D36" s="142">
        <f t="array" aca="1" ref="D36:K36" ca="1">OFFSET(Bowling!$AL$4,BowlAves!B36,0,1,8)</f>
        <v>0</v>
      </c>
      <c r="E36" s="143">
        <f ca="1"/>
        <v>0</v>
      </c>
      <c r="F36" s="143">
        <f ca="1"/>
        <v>0</v>
      </c>
      <c r="G36" s="143">
        <f ca="1"/>
        <v>0</v>
      </c>
      <c r="H36" s="72" t="str">
        <f ca="1"/>
        <v/>
      </c>
      <c r="I36" s="147" t="str">
        <f ca="1"/>
        <v/>
      </c>
      <c r="J36" s="147" t="str">
        <f ca="1"/>
        <v/>
      </c>
      <c r="K36" s="148" t="str">
        <f ca="1"/>
        <v/>
      </c>
      <c r="L36" s="148">
        <f t="shared" ca="1" si="0"/>
        <v>1035</v>
      </c>
      <c r="M36" s="148">
        <f t="shared" ca="1" si="1"/>
        <v>35</v>
      </c>
      <c r="N36" s="116" t="str">
        <f t="shared" ca="1" si="2"/>
        <v xml:space="preserve">"Luca" 0-0-0-0, </v>
      </c>
      <c r="P36" s="152">
        <v>34</v>
      </c>
      <c r="Q36" s="153" t="str">
        <f t="array" aca="1" ref="Q36:Y36" ca="1">OFFSET($C$2,MATCH(P36,$M$2:$M$51,0)-1,0,1,9)</f>
        <v>Jenkins D</v>
      </c>
      <c r="R36" s="154">
        <f ca="1"/>
        <v>0</v>
      </c>
      <c r="S36" s="155">
        <f ca="1"/>
        <v>0</v>
      </c>
      <c r="T36" s="154">
        <f ca="1"/>
        <v>0</v>
      </c>
      <c r="U36" s="154">
        <f ca="1"/>
        <v>0</v>
      </c>
      <c r="V36" s="156" t="str">
        <f ca="1"/>
        <v/>
      </c>
      <c r="W36" s="157" t="str">
        <f ca="1"/>
        <v/>
      </c>
      <c r="X36" s="157" t="str">
        <f ca="1"/>
        <v/>
      </c>
      <c r="Y36" s="157" t="str">
        <f ca="1"/>
        <v/>
      </c>
      <c r="Z36" s="169" t="e">
        <f t="shared" ca="1" si="7"/>
        <v>#DIV/0!</v>
      </c>
      <c r="AA36" s="169" t="str">
        <f t="shared" ca="1" si="8"/>
        <v/>
      </c>
    </row>
    <row r="37" spans="1:27" ht="11.25" x14ac:dyDescent="0.2">
      <c r="A37" s="116">
        <v>36</v>
      </c>
      <c r="B37" s="116">
        <f>MATCH(A37,Bowling!$AU$5:$AU$48,0)</f>
        <v>22</v>
      </c>
      <c r="C37" s="116" t="str">
        <f ca="1">OFFSET(Bowling!$B$4,BowlAves!B37,0)</f>
        <v>Niran S</v>
      </c>
      <c r="D37" s="142">
        <f t="array" aca="1" ref="D37:K37" ca="1">OFFSET(Bowling!$AL$4,BowlAves!B37,0,1,8)</f>
        <v>0</v>
      </c>
      <c r="E37" s="143">
        <f ca="1"/>
        <v>0</v>
      </c>
      <c r="F37" s="143">
        <f ca="1"/>
        <v>0</v>
      </c>
      <c r="G37" s="143">
        <f ca="1"/>
        <v>0</v>
      </c>
      <c r="H37" s="72" t="str">
        <f ca="1"/>
        <v/>
      </c>
      <c r="I37" s="147" t="str">
        <f ca="1"/>
        <v/>
      </c>
      <c r="J37" s="147" t="str">
        <f ca="1"/>
        <v/>
      </c>
      <c r="K37" s="148" t="str">
        <f ca="1"/>
        <v/>
      </c>
      <c r="L37" s="148">
        <f t="shared" ca="1" si="0"/>
        <v>1036</v>
      </c>
      <c r="M37" s="148">
        <f t="shared" ca="1" si="1"/>
        <v>36</v>
      </c>
      <c r="N37" s="116" t="str">
        <f t="shared" ca="1" si="2"/>
        <v xml:space="preserve">Niran S 0-0-0-0, </v>
      </c>
      <c r="P37" s="152">
        <v>35</v>
      </c>
      <c r="Q37" s="153" t="str">
        <f t="array" aca="1" ref="Q37:Y37" ca="1">OFFSET($C$2,MATCH(P37,$M$2:$M$51,0)-1,0,1,9)</f>
        <v>"Luca"</v>
      </c>
      <c r="R37" s="154">
        <f ca="1"/>
        <v>0</v>
      </c>
      <c r="S37" s="155">
        <f ca="1"/>
        <v>0</v>
      </c>
      <c r="T37" s="154">
        <f ca="1"/>
        <v>0</v>
      </c>
      <c r="U37" s="154">
        <f ca="1"/>
        <v>0</v>
      </c>
      <c r="V37" s="156" t="str">
        <f ca="1"/>
        <v/>
      </c>
      <c r="W37" s="157" t="str">
        <f ca="1"/>
        <v/>
      </c>
      <c r="X37" s="157" t="str">
        <f ca="1"/>
        <v/>
      </c>
      <c r="Y37" s="157" t="str">
        <f ca="1"/>
        <v/>
      </c>
      <c r="Z37" s="169" t="e">
        <f t="shared" ref="Z37:Z38" ca="1" si="9">S37/R37</f>
        <v>#DIV/0!</v>
      </c>
      <c r="AA37" s="169" t="str">
        <f t="shared" ref="AA37:AA38" ca="1" si="10">IF(R37&gt;=20,Z37,"")</f>
        <v/>
      </c>
    </row>
    <row r="38" spans="1:27" ht="11.25" x14ac:dyDescent="0.2">
      <c r="A38" s="116">
        <v>37</v>
      </c>
      <c r="B38" s="116">
        <f>MATCH(A38,Bowling!$AU$5:$AU$48,0)</f>
        <v>29</v>
      </c>
      <c r="C38" s="116" t="str">
        <f ca="1">OFFSET(Bowling!$B$4,BowlAves!B38,0)</f>
        <v>Sajjid A</v>
      </c>
      <c r="D38" s="142">
        <f t="array" aca="1" ref="D38:K38" ca="1">OFFSET(Bowling!$AL$4,BowlAves!B38,0,1,8)</f>
        <v>0</v>
      </c>
      <c r="E38" s="143">
        <f ca="1"/>
        <v>0</v>
      </c>
      <c r="F38" s="143">
        <f ca="1"/>
        <v>0</v>
      </c>
      <c r="G38" s="143">
        <f ca="1"/>
        <v>0</v>
      </c>
      <c r="H38" s="72" t="str">
        <f ca="1"/>
        <v/>
      </c>
      <c r="I38" s="147" t="str">
        <f ca="1"/>
        <v/>
      </c>
      <c r="J38" s="147" t="str">
        <f ca="1"/>
        <v/>
      </c>
      <c r="K38" s="148" t="str">
        <f ca="1"/>
        <v/>
      </c>
      <c r="L38" s="148">
        <f t="shared" ca="1" si="0"/>
        <v>1037</v>
      </c>
      <c r="M38" s="148">
        <f t="shared" ca="1" si="1"/>
        <v>37</v>
      </c>
      <c r="N38" s="116" t="str">
        <f t="shared" ca="1" si="2"/>
        <v xml:space="preserve">Sajjid A 0-0-0-0, </v>
      </c>
      <c r="P38" s="152">
        <v>36</v>
      </c>
      <c r="Q38" s="153" t="str">
        <f t="array" aca="1" ref="Q38:Y38" ca="1">OFFSET($C$2,MATCH(P38,$M$2:$M$51,0)-1,0,1,9)</f>
        <v>Niran S</v>
      </c>
      <c r="R38" s="154">
        <f ca="1"/>
        <v>0</v>
      </c>
      <c r="S38" s="155">
        <f ca="1"/>
        <v>0</v>
      </c>
      <c r="T38" s="154">
        <f ca="1"/>
        <v>0</v>
      </c>
      <c r="U38" s="154">
        <f ca="1"/>
        <v>0</v>
      </c>
      <c r="V38" s="156" t="str">
        <f ca="1"/>
        <v/>
      </c>
      <c r="W38" s="157" t="str">
        <f ca="1"/>
        <v/>
      </c>
      <c r="X38" s="157" t="str">
        <f ca="1"/>
        <v/>
      </c>
      <c r="Y38" s="157" t="str">
        <f ca="1"/>
        <v/>
      </c>
      <c r="Z38" s="169" t="e">
        <f t="shared" ca="1" si="9"/>
        <v>#DIV/0!</v>
      </c>
      <c r="AA38" s="169" t="str">
        <f t="shared" ca="1" si="10"/>
        <v/>
      </c>
    </row>
    <row r="39" spans="1:27" ht="11.25" x14ac:dyDescent="0.15">
      <c r="A39" s="116">
        <v>38</v>
      </c>
      <c r="B39" s="116">
        <f>MATCH(A39,Bowling!$AU$5:$AU$48,0)</f>
        <v>31</v>
      </c>
      <c r="C39" s="116" t="str">
        <f ca="1">OFFSET(Bowling!$B$4,BowlAves!B39,0)</f>
        <v>Seev J</v>
      </c>
      <c r="D39" s="142">
        <f t="array" aca="1" ref="D39:K39" ca="1">OFFSET(Bowling!$AL$4,BowlAves!B39,0,1,8)</f>
        <v>0</v>
      </c>
      <c r="E39" s="143">
        <f ca="1"/>
        <v>0</v>
      </c>
      <c r="F39" s="143">
        <f ca="1"/>
        <v>0</v>
      </c>
      <c r="G39" s="143">
        <f ca="1"/>
        <v>0</v>
      </c>
      <c r="H39" s="72" t="str">
        <f ca="1"/>
        <v/>
      </c>
      <c r="I39" s="147" t="str">
        <f ca="1"/>
        <v/>
      </c>
      <c r="J39" s="147" t="str">
        <f ca="1"/>
        <v/>
      </c>
      <c r="K39" s="148" t="str">
        <f ca="1"/>
        <v/>
      </c>
      <c r="L39" s="148">
        <f t="shared" ca="1" si="0"/>
        <v>1038</v>
      </c>
      <c r="M39" s="148">
        <f t="shared" ca="1" si="1"/>
        <v>38</v>
      </c>
      <c r="N39" s="116" t="str">
        <f t="shared" ca="1" si="2"/>
        <v xml:space="preserve">Seev J 0-0-0-0, </v>
      </c>
      <c r="Q39" s="116" t="s">
        <v>194</v>
      </c>
      <c r="W39" s="152"/>
    </row>
    <row r="40" spans="1:27" ht="11.25" x14ac:dyDescent="0.15">
      <c r="A40" s="116">
        <v>39</v>
      </c>
      <c r="B40" s="116">
        <f>MATCH(A40,Bowling!$AU$5:$AU$48,0)</f>
        <v>35</v>
      </c>
      <c r="C40" s="116" t="str">
        <f ca="1">OFFSET(Bowling!$B$4,BowlAves!B40,0)</f>
        <v>Sharpe H</v>
      </c>
      <c r="D40" s="142">
        <f t="array" aca="1" ref="D40:K40" ca="1">OFFSET(Bowling!$AL$4,BowlAves!B40,0,1,8)</f>
        <v>0</v>
      </c>
      <c r="E40" s="143">
        <f ca="1"/>
        <v>0</v>
      </c>
      <c r="F40" s="143">
        <f ca="1"/>
        <v>0</v>
      </c>
      <c r="G40" s="143">
        <f ca="1"/>
        <v>0</v>
      </c>
      <c r="H40" s="72" t="str">
        <f ca="1"/>
        <v/>
      </c>
      <c r="I40" s="147" t="str">
        <f ca="1"/>
        <v/>
      </c>
      <c r="J40" s="147" t="str">
        <f ca="1"/>
        <v/>
      </c>
      <c r="K40" s="148" t="str">
        <f ca="1"/>
        <v/>
      </c>
      <c r="L40" s="148">
        <f t="shared" ca="1" si="0"/>
        <v>1039</v>
      </c>
      <c r="M40" s="148">
        <f t="shared" ca="1" si="1"/>
        <v>39</v>
      </c>
      <c r="N40" s="116" t="str">
        <f t="shared" ca="1" si="2"/>
        <v xml:space="preserve">Sharpe H 0-0-0-0, </v>
      </c>
      <c r="Q40" s="116" t="s">
        <v>194</v>
      </c>
      <c r="W40" s="152"/>
    </row>
    <row r="41" spans="1:27" ht="11.25" x14ac:dyDescent="0.15">
      <c r="A41" s="116">
        <v>40</v>
      </c>
      <c r="B41" s="116">
        <f>MATCH(A41,Bowling!$AU$5:$AU$48,0)</f>
        <v>37</v>
      </c>
      <c r="C41" s="116" t="str">
        <f ca="1">OFFSET(Bowling!$B$4,BowlAves!B41,0)</f>
        <v>Sunkara C</v>
      </c>
      <c r="D41" s="142">
        <f t="array" aca="1" ref="D41:K41" ca="1">OFFSET(Bowling!$AL$4,BowlAves!B41,0,1,8)</f>
        <v>0</v>
      </c>
      <c r="E41" s="143">
        <f ca="1"/>
        <v>0</v>
      </c>
      <c r="F41" s="143">
        <f ca="1"/>
        <v>0</v>
      </c>
      <c r="G41" s="143">
        <f ca="1"/>
        <v>0</v>
      </c>
      <c r="H41" s="72" t="str">
        <f ca="1"/>
        <v/>
      </c>
      <c r="I41" s="147" t="str">
        <f ca="1"/>
        <v/>
      </c>
      <c r="J41" s="147" t="str">
        <f ca="1"/>
        <v/>
      </c>
      <c r="K41" s="148" t="str">
        <f ca="1"/>
        <v/>
      </c>
      <c r="L41" s="148">
        <f t="shared" ca="1" si="0"/>
        <v>1040</v>
      </c>
      <c r="M41" s="148">
        <f t="shared" ca="1" si="1"/>
        <v>40</v>
      </c>
      <c r="N41" s="116" t="str">
        <f t="shared" ca="1" si="2"/>
        <v xml:space="preserve">Sunkara C 0-0-0-0, </v>
      </c>
      <c r="Q41" s="116" t="s">
        <v>194</v>
      </c>
      <c r="W41" s="152"/>
    </row>
    <row r="42" spans="1:27" ht="11.25" x14ac:dyDescent="0.15">
      <c r="A42" s="116">
        <v>41</v>
      </c>
      <c r="B42" s="116">
        <f>MATCH(A42,Bowling!$AU$5:$AU$48,0)</f>
        <v>39</v>
      </c>
      <c r="C42" s="116" t="str">
        <f ca="1">OFFSET(Bowling!$B$4,BowlAves!B42,0)</f>
        <v>Stevenson R</v>
      </c>
      <c r="D42" s="142">
        <f t="array" aca="1" ref="D42:K42" ca="1">OFFSET(Bowling!$AL$4,BowlAves!B42,0,1,8)</f>
        <v>0</v>
      </c>
      <c r="E42" s="143">
        <f ca="1"/>
        <v>0</v>
      </c>
      <c r="F42" s="143">
        <f ca="1"/>
        <v>0</v>
      </c>
      <c r="G42" s="143">
        <f ca="1"/>
        <v>0</v>
      </c>
      <c r="H42" s="72" t="str">
        <f ca="1"/>
        <v/>
      </c>
      <c r="I42" s="147" t="str">
        <f ca="1"/>
        <v/>
      </c>
      <c r="J42" s="147" t="str">
        <f ca="1"/>
        <v/>
      </c>
      <c r="K42" s="148" t="str">
        <f ca="1"/>
        <v/>
      </c>
      <c r="L42" s="148">
        <f t="shared" ca="1" si="0"/>
        <v>1041</v>
      </c>
      <c r="M42" s="148">
        <f t="shared" ca="1" si="1"/>
        <v>41</v>
      </c>
      <c r="N42" s="116" t="str">
        <f t="shared" ca="1" si="2"/>
        <v xml:space="preserve">Stevenson R 0-0-0-0, </v>
      </c>
      <c r="Q42" s="116" t="s">
        <v>194</v>
      </c>
      <c r="W42" s="152"/>
      <c r="X42" s="116" t="s">
        <v>194</v>
      </c>
    </row>
    <row r="43" spans="1:27" ht="11.25" x14ac:dyDescent="0.15">
      <c r="A43" s="116">
        <v>42</v>
      </c>
      <c r="B43" s="116">
        <f>MATCH(A43,Bowling!$AU$5:$AU$48,0)</f>
        <v>40</v>
      </c>
      <c r="C43" s="116" t="str">
        <f ca="1">OFFSET(Bowling!$B$4,BowlAves!B43,0)</f>
        <v>Taylor C</v>
      </c>
      <c r="D43" s="142">
        <f t="array" aca="1" ref="D43:K43" ca="1">OFFSET(Bowling!$AL$4,BowlAves!B43,0,1,8)</f>
        <v>0</v>
      </c>
      <c r="E43" s="143">
        <f ca="1"/>
        <v>0</v>
      </c>
      <c r="F43" s="143">
        <f ca="1"/>
        <v>0</v>
      </c>
      <c r="G43" s="143">
        <f ca="1"/>
        <v>0</v>
      </c>
      <c r="H43" s="72" t="str">
        <f ca="1"/>
        <v/>
      </c>
      <c r="I43" s="147" t="str">
        <f ca="1"/>
        <v/>
      </c>
      <c r="J43" s="147" t="str">
        <f ca="1"/>
        <v/>
      </c>
      <c r="K43" s="148" t="str">
        <f ca="1"/>
        <v/>
      </c>
      <c r="L43" s="148">
        <f t="shared" ca="1" si="0"/>
        <v>1042</v>
      </c>
      <c r="M43" s="148">
        <f t="shared" ca="1" si="1"/>
        <v>42</v>
      </c>
      <c r="N43" s="116" t="str">
        <f t="shared" ca="1" si="2"/>
        <v xml:space="preserve">Taylor C 0-0-0-0, </v>
      </c>
      <c r="Q43" s="116" t="s">
        <v>194</v>
      </c>
      <c r="W43" s="152"/>
      <c r="X43" s="116" t="s">
        <v>194</v>
      </c>
    </row>
    <row r="44" spans="1:27" ht="11.25" x14ac:dyDescent="0.15">
      <c r="A44" s="116">
        <v>43</v>
      </c>
      <c r="B44" s="116">
        <f>MATCH(A44,Bowling!$AU$5:$AU$48,0)</f>
        <v>43</v>
      </c>
      <c r="C44" s="116" t="str">
        <f ca="1">OFFSET(Bowling!$B$4,BowlAves!B44,0)</f>
        <v>Wilson A</v>
      </c>
      <c r="D44" s="142">
        <f t="array" aca="1" ref="D44:K44" ca="1">OFFSET(Bowling!$AL$4,BowlAves!B44,0,1,8)</f>
        <v>0</v>
      </c>
      <c r="E44" s="143">
        <f ca="1"/>
        <v>0</v>
      </c>
      <c r="F44" s="143">
        <f ca="1"/>
        <v>0</v>
      </c>
      <c r="G44" s="143">
        <f ca="1"/>
        <v>0</v>
      </c>
      <c r="H44" s="72" t="str">
        <f ca="1"/>
        <v/>
      </c>
      <c r="I44" s="147" t="str">
        <f ca="1"/>
        <v/>
      </c>
      <c r="J44" s="147" t="str">
        <f ca="1"/>
        <v/>
      </c>
      <c r="K44" s="148" t="str">
        <f ca="1"/>
        <v/>
      </c>
      <c r="L44" s="148">
        <f t="shared" ca="1" si="0"/>
        <v>1043</v>
      </c>
      <c r="M44" s="148">
        <f t="shared" ca="1" si="1"/>
        <v>43</v>
      </c>
      <c r="N44" s="116" t="str">
        <f t="shared" ca="1" si="2"/>
        <v xml:space="preserve">Wilson A 0-0-0-0, </v>
      </c>
      <c r="Q44" s="116" t="s">
        <v>194</v>
      </c>
      <c r="W44" s="152"/>
      <c r="X44" s="116" t="s">
        <v>194</v>
      </c>
    </row>
    <row r="45" spans="1:27" ht="11.25" x14ac:dyDescent="0.15">
      <c r="A45" s="116">
        <v>44</v>
      </c>
      <c r="B45" s="116">
        <f>MATCH(A45,Bowling!$AU$5:$AU$48,0)</f>
        <v>44</v>
      </c>
      <c r="C45" s="116" t="str">
        <f ca="1">OFFSET(Bowling!$B$4,BowlAves!B45,0)</f>
        <v>xxx</v>
      </c>
      <c r="D45" s="142">
        <f t="array" aca="1" ref="D45:K45" ca="1">OFFSET(Bowling!$AL$4,BowlAves!B45,0,1,8)</f>
        <v>0</v>
      </c>
      <c r="E45" s="143">
        <f ca="1"/>
        <v>0</v>
      </c>
      <c r="F45" s="143">
        <f ca="1"/>
        <v>0</v>
      </c>
      <c r="G45" s="143">
        <f ca="1"/>
        <v>0</v>
      </c>
      <c r="H45" s="72" t="str">
        <f ca="1"/>
        <v/>
      </c>
      <c r="I45" s="147" t="str">
        <f ca="1"/>
        <v/>
      </c>
      <c r="J45" s="147" t="str">
        <f ca="1"/>
        <v/>
      </c>
      <c r="K45" s="148" t="str">
        <f ca="1"/>
        <v/>
      </c>
      <c r="L45" s="148">
        <f t="shared" ca="1" si="0"/>
        <v>1044</v>
      </c>
      <c r="M45" s="148">
        <f t="shared" ca="1" si="1"/>
        <v>44</v>
      </c>
      <c r="N45" s="116" t="str">
        <f t="shared" ca="1" si="2"/>
        <v xml:space="preserve">xxx 0-0-0-0, </v>
      </c>
      <c r="Q45" s="116" t="s">
        <v>194</v>
      </c>
      <c r="W45" s="152"/>
    </row>
    <row r="46" spans="1:27" ht="11.25" x14ac:dyDescent="0.15">
      <c r="A46" s="116">
        <v>45</v>
      </c>
      <c r="B46" s="116" t="e">
        <f>MATCH(A46,Bowling!$AU$5:$AU$48,0)</f>
        <v>#N/A</v>
      </c>
      <c r="C46" s="116" t="e">
        <f ca="1">OFFSET(Bowling!$B$4,BowlAves!B46,0)</f>
        <v>#N/A</v>
      </c>
      <c r="D46" s="142" t="e">
        <f t="array" aca="1" ref="D46:K46" ca="1">OFFSET(Bowling!$AL$4,BowlAves!B46,0,1,8)</f>
        <v>#N/A</v>
      </c>
      <c r="E46" s="143" t="e">
        <f ca="1"/>
        <v>#N/A</v>
      </c>
      <c r="F46" s="143" t="e">
        <f ca="1"/>
        <v>#N/A</v>
      </c>
      <c r="G46" s="143" t="e">
        <f ca="1"/>
        <v>#N/A</v>
      </c>
      <c r="H46" s="72" t="e">
        <f ca="1"/>
        <v>#N/A</v>
      </c>
      <c r="I46" s="147" t="e">
        <f ca="1"/>
        <v>#N/A</v>
      </c>
      <c r="J46" s="147" t="e">
        <f ca="1"/>
        <v>#N/A</v>
      </c>
      <c r="K46" s="148" t="e">
        <f ca="1"/>
        <v>#N/A</v>
      </c>
      <c r="L46" s="148" t="e">
        <f t="shared" ca="1" si="0"/>
        <v>#N/A</v>
      </c>
      <c r="M46" s="148" t="e">
        <f t="shared" ca="1" si="1"/>
        <v>#N/A</v>
      </c>
      <c r="N46" s="116" t="e">
        <f t="shared" ca="1" si="2"/>
        <v>#N/A</v>
      </c>
      <c r="W46" s="152"/>
    </row>
    <row r="47" spans="1:27" ht="11.25" x14ac:dyDescent="0.15">
      <c r="A47" s="116">
        <v>46</v>
      </c>
      <c r="B47" s="116" t="e">
        <f>MATCH(A47,Bowling!$AU$5:$AU$48,0)</f>
        <v>#N/A</v>
      </c>
      <c r="C47" s="116" t="e">
        <f ca="1">OFFSET(Bowling!$B$4,BowlAves!B47,0)</f>
        <v>#N/A</v>
      </c>
      <c r="D47" s="142" t="e">
        <f t="array" aca="1" ref="D47:K47" ca="1">OFFSET(Bowling!$AL$4,BowlAves!B47,0,1,8)</f>
        <v>#N/A</v>
      </c>
      <c r="E47" s="143" t="e">
        <f ca="1"/>
        <v>#N/A</v>
      </c>
      <c r="F47" s="143" t="e">
        <f ca="1"/>
        <v>#N/A</v>
      </c>
      <c r="G47" s="143" t="e">
        <f ca="1"/>
        <v>#N/A</v>
      </c>
      <c r="H47" s="72" t="e">
        <f ca="1"/>
        <v>#N/A</v>
      </c>
      <c r="I47" s="147" t="e">
        <f ca="1"/>
        <v>#N/A</v>
      </c>
      <c r="J47" s="147" t="e">
        <f ca="1"/>
        <v>#N/A</v>
      </c>
      <c r="K47" s="148" t="e">
        <f ca="1"/>
        <v>#N/A</v>
      </c>
      <c r="L47" s="148" t="e">
        <f t="shared" ca="1" si="0"/>
        <v>#N/A</v>
      </c>
      <c r="M47" s="148" t="e">
        <f t="shared" ca="1" si="1"/>
        <v>#N/A</v>
      </c>
      <c r="N47" s="116" t="e">
        <f t="shared" ca="1" si="2"/>
        <v>#N/A</v>
      </c>
      <c r="W47" s="152"/>
    </row>
    <row r="48" spans="1:27" ht="11.25" x14ac:dyDescent="0.15">
      <c r="A48" s="116">
        <v>47</v>
      </c>
      <c r="B48" s="116" t="e">
        <f>MATCH(A48,Bowling!$AU$5:$AU$48,0)</f>
        <v>#N/A</v>
      </c>
      <c r="C48" s="116" t="e">
        <f ca="1">OFFSET(Bowling!$B$4,BowlAves!B48,0)</f>
        <v>#N/A</v>
      </c>
      <c r="D48" s="142" t="e">
        <f t="array" aca="1" ref="D48:K48" ca="1">OFFSET(Bowling!$AL$4,BowlAves!B48,0,1,8)</f>
        <v>#N/A</v>
      </c>
      <c r="E48" s="143" t="e">
        <f ca="1"/>
        <v>#N/A</v>
      </c>
      <c r="F48" s="143" t="e">
        <f ca="1"/>
        <v>#N/A</v>
      </c>
      <c r="G48" s="143" t="e">
        <f ca="1"/>
        <v>#N/A</v>
      </c>
      <c r="H48" s="72" t="e">
        <f ca="1"/>
        <v>#N/A</v>
      </c>
      <c r="I48" s="147" t="e">
        <f ca="1"/>
        <v>#N/A</v>
      </c>
      <c r="J48" s="147" t="e">
        <f ca="1"/>
        <v>#N/A</v>
      </c>
      <c r="K48" s="148" t="e">
        <f ca="1"/>
        <v>#N/A</v>
      </c>
      <c r="L48" s="148" t="e">
        <f t="shared" ca="1" si="0"/>
        <v>#N/A</v>
      </c>
      <c r="M48" s="148" t="e">
        <f t="shared" ca="1" si="1"/>
        <v>#N/A</v>
      </c>
      <c r="N48" s="116" t="e">
        <f t="shared" ca="1" si="2"/>
        <v>#N/A</v>
      </c>
      <c r="W48" s="152"/>
    </row>
    <row r="49" spans="1:23" ht="11.25" x14ac:dyDescent="0.15">
      <c r="A49" s="116">
        <v>48</v>
      </c>
      <c r="B49" s="116" t="e">
        <f>MATCH(A49,Bowling!$AU$5:$AU$48,0)</f>
        <v>#N/A</v>
      </c>
      <c r="C49" s="116" t="e">
        <f ca="1">OFFSET(Bowling!$B$4,BowlAves!B49,0)</f>
        <v>#N/A</v>
      </c>
      <c r="D49" s="142" t="e">
        <f t="array" aca="1" ref="D49:K49" ca="1">OFFSET(Bowling!$AL$4,BowlAves!B49,0,1,8)</f>
        <v>#N/A</v>
      </c>
      <c r="E49" s="143" t="e">
        <f ca="1"/>
        <v>#N/A</v>
      </c>
      <c r="F49" s="143" t="e">
        <f ca="1"/>
        <v>#N/A</v>
      </c>
      <c r="G49" s="143" t="e">
        <f ca="1"/>
        <v>#N/A</v>
      </c>
      <c r="H49" s="72" t="e">
        <f ca="1"/>
        <v>#N/A</v>
      </c>
      <c r="I49" s="147" t="e">
        <f ca="1"/>
        <v>#N/A</v>
      </c>
      <c r="J49" s="147" t="e">
        <f ca="1"/>
        <v>#N/A</v>
      </c>
      <c r="K49" s="148" t="e">
        <f ca="1"/>
        <v>#N/A</v>
      </c>
      <c r="L49" s="148" t="e">
        <f t="shared" ca="1" si="0"/>
        <v>#N/A</v>
      </c>
      <c r="M49" s="148" t="e">
        <f t="shared" ca="1" si="1"/>
        <v>#N/A</v>
      </c>
      <c r="N49" s="116" t="e">
        <f t="shared" ca="1" si="2"/>
        <v>#N/A</v>
      </c>
      <c r="W49" s="152"/>
    </row>
    <row r="50" spans="1:23" ht="11.25" x14ac:dyDescent="0.15">
      <c r="A50" s="116">
        <v>49</v>
      </c>
      <c r="B50" s="116" t="e">
        <f>MATCH(A50,Bowling!$AU$5:$AU$48,0)</f>
        <v>#N/A</v>
      </c>
      <c r="C50" s="116" t="e">
        <f ca="1">OFFSET(Bowling!$B$4,BowlAves!B50,0)</f>
        <v>#N/A</v>
      </c>
      <c r="D50" s="142" t="e">
        <f t="array" aca="1" ref="D50:K50" ca="1">OFFSET(Bowling!$AL$4,BowlAves!B50,0,1,8)</f>
        <v>#N/A</v>
      </c>
      <c r="E50" s="143" t="e">
        <f ca="1"/>
        <v>#N/A</v>
      </c>
      <c r="F50" s="143" t="e">
        <f ca="1"/>
        <v>#N/A</v>
      </c>
      <c r="G50" s="143" t="e">
        <f ca="1"/>
        <v>#N/A</v>
      </c>
      <c r="H50" s="72" t="e">
        <f ca="1"/>
        <v>#N/A</v>
      </c>
      <c r="I50" s="147" t="e">
        <f ca="1"/>
        <v>#N/A</v>
      </c>
      <c r="J50" s="147" t="e">
        <f ca="1"/>
        <v>#N/A</v>
      </c>
      <c r="K50" s="148" t="e">
        <f ca="1"/>
        <v>#N/A</v>
      </c>
      <c r="L50" s="148" t="e">
        <f t="shared" ca="1" si="0"/>
        <v>#N/A</v>
      </c>
      <c r="M50" s="148" t="e">
        <f t="shared" ca="1" si="1"/>
        <v>#N/A</v>
      </c>
      <c r="N50" s="116" t="e">
        <f t="shared" ca="1" si="2"/>
        <v>#N/A</v>
      </c>
      <c r="W50" s="152"/>
    </row>
    <row r="51" spans="1:23" ht="11.25" x14ac:dyDescent="0.15">
      <c r="A51" s="116">
        <v>50</v>
      </c>
      <c r="B51" s="116" t="e">
        <f>MATCH(A51,Bowling!$AU$5:$AU$48,0)</f>
        <v>#N/A</v>
      </c>
      <c r="C51" s="116" t="e">
        <f ca="1">OFFSET(Bowling!$B$4,BowlAves!B51,0)</f>
        <v>#N/A</v>
      </c>
      <c r="D51" s="142" t="e">
        <f t="array" aca="1" ref="D51:K51" ca="1">OFFSET(Bowling!$AL$4,BowlAves!B51,0,1,8)</f>
        <v>#N/A</v>
      </c>
      <c r="E51" s="143" t="e">
        <f ca="1"/>
        <v>#N/A</v>
      </c>
      <c r="F51" s="143" t="e">
        <f ca="1"/>
        <v>#N/A</v>
      </c>
      <c r="G51" s="143" t="e">
        <f ca="1"/>
        <v>#N/A</v>
      </c>
      <c r="H51" s="72" t="e">
        <f ca="1"/>
        <v>#N/A</v>
      </c>
      <c r="I51" s="147" t="e">
        <f ca="1"/>
        <v>#N/A</v>
      </c>
      <c r="J51" s="147" t="e">
        <f ca="1"/>
        <v>#N/A</v>
      </c>
      <c r="K51" s="148" t="e">
        <f ca="1"/>
        <v>#N/A</v>
      </c>
      <c r="L51" s="148" t="e">
        <f t="shared" ca="1" si="0"/>
        <v>#N/A</v>
      </c>
      <c r="M51" s="148" t="e">
        <f t="shared" ca="1" si="1"/>
        <v>#N/A</v>
      </c>
      <c r="N51" s="116" t="e">
        <f t="shared" ca="1" si="2"/>
        <v>#N/A</v>
      </c>
      <c r="W51" s="152"/>
    </row>
    <row r="52" spans="1:23" ht="11.25" x14ac:dyDescent="0.15">
      <c r="W52" s="152"/>
    </row>
    <row r="60" spans="1:23" x14ac:dyDescent="0.15">
      <c r="N60" s="116" t="s">
        <v>194</v>
      </c>
    </row>
    <row r="61" spans="1:23" x14ac:dyDescent="0.15">
      <c r="N61" s="116" t="s">
        <v>194</v>
      </c>
    </row>
    <row r="62" spans="1:23" x14ac:dyDescent="0.15">
      <c r="N62" s="116" t="s">
        <v>194</v>
      </c>
    </row>
    <row r="63" spans="1:23" x14ac:dyDescent="0.15">
      <c r="N63" s="116" t="s">
        <v>194</v>
      </c>
    </row>
    <row r="67" spans="14:15" ht="12.75" x14ac:dyDescent="0.15">
      <c r="O67" s="98"/>
    </row>
    <row r="68" spans="14:15" ht="12.75" x14ac:dyDescent="0.15">
      <c r="N68" s="98"/>
      <c r="O68" s="98"/>
    </row>
    <row r="69" spans="14:15" ht="12.75" x14ac:dyDescent="0.15">
      <c r="N69" s="98"/>
      <c r="O69" s="98"/>
    </row>
    <row r="70" spans="14:15" ht="12.75" x14ac:dyDescent="0.15">
      <c r="N70" s="98"/>
      <c r="O70" s="98"/>
    </row>
    <row r="71" spans="14:15" ht="12.75" x14ac:dyDescent="0.15">
      <c r="N71" s="98"/>
      <c r="O71" s="98"/>
    </row>
    <row r="72" spans="14:15" ht="12.75" x14ac:dyDescent="0.15">
      <c r="O72" s="98"/>
    </row>
    <row r="73" spans="14:15" ht="12.75" x14ac:dyDescent="0.15">
      <c r="O73" s="98"/>
    </row>
    <row r="74" spans="14:15" ht="12.75" x14ac:dyDescent="0.15">
      <c r="O74" s="98"/>
    </row>
    <row r="75" spans="14:15" ht="12.75" x14ac:dyDescent="0.15">
      <c r="N75" s="98"/>
      <c r="O75" s="98"/>
    </row>
    <row r="76" spans="14:15" ht="12.75" x14ac:dyDescent="0.15">
      <c r="N76" s="98"/>
      <c r="O76" s="98"/>
    </row>
    <row r="77" spans="14:15" ht="12.75" x14ac:dyDescent="0.15">
      <c r="O77" s="98"/>
    </row>
    <row r="78" spans="14:15" ht="12.75" x14ac:dyDescent="0.15">
      <c r="N78" s="98"/>
      <c r="O78" s="98"/>
    </row>
    <row r="79" spans="14:15" ht="12.75" x14ac:dyDescent="0.15">
      <c r="N79" s="98"/>
      <c r="O79" s="98"/>
    </row>
    <row r="80" spans="14:15" ht="12.75" x14ac:dyDescent="0.15">
      <c r="O80" s="98"/>
    </row>
    <row r="81" spans="14:15" ht="12.75" x14ac:dyDescent="0.15">
      <c r="N81" s="98"/>
      <c r="O81" s="98"/>
    </row>
    <row r="82" spans="14:15" ht="12.75" x14ac:dyDescent="0.15">
      <c r="N82" s="98"/>
      <c r="O82" s="98"/>
    </row>
    <row r="83" spans="14:15" ht="12.75" x14ac:dyDescent="0.15">
      <c r="O83" s="98"/>
    </row>
    <row r="84" spans="14:15" ht="12.75" x14ac:dyDescent="0.15">
      <c r="N84" s="98"/>
      <c r="O84" s="98"/>
    </row>
    <row r="85" spans="14:15" ht="12.75" x14ac:dyDescent="0.15">
      <c r="O85" s="98"/>
    </row>
    <row r="86" spans="14:15" ht="12.75" x14ac:dyDescent="0.15">
      <c r="O86" s="98"/>
    </row>
    <row r="87" spans="14:15" ht="12.75" x14ac:dyDescent="0.15">
      <c r="O87" s="98"/>
    </row>
    <row r="88" spans="14:15" ht="12.75" x14ac:dyDescent="0.15">
      <c r="O88" s="98"/>
    </row>
    <row r="89" spans="14:15" ht="12.75" x14ac:dyDescent="0.15">
      <c r="O89" s="98"/>
    </row>
    <row r="90" spans="14:15" ht="12.75" x14ac:dyDescent="0.15">
      <c r="O90" s="98"/>
    </row>
  </sheetData>
  <sortState ref="N60:O90">
    <sortCondition ref="N60:N90"/>
  </sortState>
  <phoneticPr fontId="0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O93"/>
  <sheetViews>
    <sheetView workbookViewId="0"/>
  </sheetViews>
  <sheetFormatPr defaultColWidth="11.5703125" defaultRowHeight="10.5" x14ac:dyDescent="0.15"/>
  <cols>
    <col min="1" max="4" width="15" customWidth="1"/>
    <col min="5" max="9" width="14.7109375" customWidth="1"/>
    <col min="10" max="15" width="13.42578125" customWidth="1"/>
    <col min="16" max="16" width="18" bestFit="1" customWidth="1"/>
    <col min="17" max="17" width="13.140625" bestFit="1" customWidth="1"/>
    <col min="18" max="18" width="15.5703125" bestFit="1" customWidth="1"/>
    <col min="19" max="19" width="11" bestFit="1" customWidth="1"/>
    <col min="20" max="20" width="15.140625" bestFit="1" customWidth="1"/>
    <col min="21" max="21" width="14" bestFit="1" customWidth="1"/>
    <col min="22" max="22" width="14.7109375" customWidth="1"/>
    <col min="23" max="36" width="10" customWidth="1"/>
    <col min="37" max="41" width="6" bestFit="1" customWidth="1"/>
  </cols>
  <sheetData>
    <row r="1" spans="1:41" s="78" customFormat="1" x14ac:dyDescent="0.15"/>
    <row r="2" spans="1:41" s="79" customFormat="1" x14ac:dyDescent="0.15"/>
    <row r="13" spans="1:41" s="6" customFormat="1" x14ac:dyDescent="0.15"/>
    <row r="14" spans="1:41" s="94" customFormat="1" x14ac:dyDescent="0.15">
      <c r="K14" s="97"/>
    </row>
    <row r="15" spans="1:41" x14ac:dyDescent="0.15">
      <c r="A15" s="77">
        <f t="array" ref="A15">SUM(IF(ISNA(A16:A26),0,A16:A26))</f>
        <v>0</v>
      </c>
      <c r="B15" s="77" t="e">
        <f t="shared" ref="B15:O15" si="0">SUM(B16:B26)</f>
        <v>#N/A</v>
      </c>
      <c r="C15" s="77" t="e">
        <f t="shared" si="0"/>
        <v>#N/A</v>
      </c>
      <c r="D15" s="77" t="e">
        <f t="shared" si="0"/>
        <v>#N/A</v>
      </c>
      <c r="E15" s="77" t="e">
        <f t="shared" si="0"/>
        <v>#N/A</v>
      </c>
      <c r="F15" s="77" t="e">
        <f t="shared" si="0"/>
        <v>#N/A</v>
      </c>
      <c r="G15" s="77" t="e">
        <f t="shared" si="0"/>
        <v>#N/A</v>
      </c>
      <c r="H15" s="77" t="e">
        <f t="shared" si="0"/>
        <v>#N/A</v>
      </c>
      <c r="I15" s="77" t="e">
        <f t="shared" si="0"/>
        <v>#N/A</v>
      </c>
      <c r="J15" s="77" t="e">
        <f t="shared" si="0"/>
        <v>#N/A</v>
      </c>
      <c r="K15" s="77" t="e">
        <f t="shared" si="0"/>
        <v>#N/A</v>
      </c>
      <c r="L15" s="77" t="e">
        <f t="shared" si="0"/>
        <v>#N/A</v>
      </c>
      <c r="M15" s="77" t="e">
        <f t="shared" si="0"/>
        <v>#N/A</v>
      </c>
      <c r="N15" s="77" t="e">
        <f t="shared" si="0"/>
        <v>#N/A</v>
      </c>
      <c r="O15" s="77" t="e">
        <f t="shared" si="0"/>
        <v>#N/A</v>
      </c>
      <c r="P15" s="77"/>
      <c r="Q15" s="77"/>
      <c r="R15" s="77"/>
      <c r="S15" s="77"/>
      <c r="T15" s="77"/>
      <c r="U15" s="77"/>
      <c r="V15" s="77"/>
      <c r="W15" s="77"/>
      <c r="X15" s="77"/>
      <c r="Y15" s="77"/>
      <c r="Z15" s="77" t="e">
        <f t="shared" ref="Z15:AG15" si="1">SUM(Z16:Z26)</f>
        <v>#N/A</v>
      </c>
      <c r="AA15" s="77" t="e">
        <f t="shared" si="1"/>
        <v>#N/A</v>
      </c>
      <c r="AB15" s="77" t="e">
        <f t="shared" si="1"/>
        <v>#N/A</v>
      </c>
      <c r="AC15" s="77" t="e">
        <f t="shared" si="1"/>
        <v>#N/A</v>
      </c>
      <c r="AD15" s="77" t="e">
        <f t="shared" si="1"/>
        <v>#N/A</v>
      </c>
      <c r="AE15" s="77" t="e">
        <f t="shared" si="1"/>
        <v>#N/A</v>
      </c>
      <c r="AF15" s="77" t="e">
        <f t="shared" si="1"/>
        <v>#N/A</v>
      </c>
      <c r="AG15" s="77" t="e">
        <f t="shared" si="1"/>
        <v>#N/A</v>
      </c>
      <c r="AH15" s="77" t="e">
        <f t="shared" ref="AH15:AO15" si="2">SUM(AH16:AH26)</f>
        <v>#N/A</v>
      </c>
      <c r="AI15" s="77" t="e">
        <f t="shared" si="2"/>
        <v>#N/A</v>
      </c>
      <c r="AJ15" s="77" t="e">
        <f t="shared" si="2"/>
        <v>#N/A</v>
      </c>
      <c r="AK15" s="77" t="e">
        <f t="shared" si="2"/>
        <v>#N/A</v>
      </c>
      <c r="AL15" s="77" t="e">
        <f t="shared" si="2"/>
        <v>#N/A</v>
      </c>
      <c r="AM15" s="77" t="e">
        <f t="shared" si="2"/>
        <v>#N/A</v>
      </c>
      <c r="AN15" s="77" t="e">
        <f t="shared" si="2"/>
        <v>#N/A</v>
      </c>
      <c r="AO15" s="77" t="e">
        <f t="shared" si="2"/>
        <v>#N/A</v>
      </c>
    </row>
    <row r="16" spans="1:41" x14ac:dyDescent="0.15">
      <c r="A16" t="e">
        <f>VLOOKUP(A3,$A$45:$C$97,3,FALSE)</f>
        <v>#N/A</v>
      </c>
      <c r="B16" t="e">
        <f t="shared" ref="B16:AO16" si="3">VLOOKUP(B3,$A$45:$C$97,3,FALSE)</f>
        <v>#N/A</v>
      </c>
      <c r="C16" t="e">
        <f t="shared" si="3"/>
        <v>#N/A</v>
      </c>
      <c r="D16" t="e">
        <f t="shared" si="3"/>
        <v>#N/A</v>
      </c>
      <c r="E16" t="e">
        <f t="shared" si="3"/>
        <v>#N/A</v>
      </c>
      <c r="F16" t="e">
        <f t="shared" si="3"/>
        <v>#N/A</v>
      </c>
      <c r="G16" t="e">
        <f t="shared" si="3"/>
        <v>#N/A</v>
      </c>
      <c r="H16" t="e">
        <f t="shared" si="3"/>
        <v>#N/A</v>
      </c>
      <c r="I16" t="e">
        <f t="shared" si="3"/>
        <v>#N/A</v>
      </c>
      <c r="J16" t="e">
        <f t="shared" si="3"/>
        <v>#N/A</v>
      </c>
      <c r="K16" t="e">
        <f t="shared" si="3"/>
        <v>#N/A</v>
      </c>
      <c r="L16" t="e">
        <f t="shared" si="3"/>
        <v>#N/A</v>
      </c>
      <c r="M16" t="e">
        <f t="shared" si="3"/>
        <v>#N/A</v>
      </c>
      <c r="N16" t="e">
        <f t="shared" si="3"/>
        <v>#N/A</v>
      </c>
      <c r="O16" t="e">
        <f t="shared" si="3"/>
        <v>#N/A</v>
      </c>
      <c r="Z16" t="e">
        <f t="shared" si="3"/>
        <v>#N/A</v>
      </c>
      <c r="AA16" t="e">
        <f t="shared" si="3"/>
        <v>#N/A</v>
      </c>
      <c r="AB16" t="e">
        <f t="shared" si="3"/>
        <v>#N/A</v>
      </c>
      <c r="AC16" t="e">
        <f t="shared" si="3"/>
        <v>#N/A</v>
      </c>
      <c r="AD16" t="e">
        <f t="shared" si="3"/>
        <v>#N/A</v>
      </c>
      <c r="AE16" t="e">
        <f t="shared" si="3"/>
        <v>#N/A</v>
      </c>
      <c r="AF16" t="e">
        <f t="shared" si="3"/>
        <v>#N/A</v>
      </c>
      <c r="AG16" t="e">
        <f t="shared" si="3"/>
        <v>#N/A</v>
      </c>
      <c r="AH16" t="e">
        <f t="shared" si="3"/>
        <v>#N/A</v>
      </c>
      <c r="AI16" t="e">
        <f t="shared" si="3"/>
        <v>#N/A</v>
      </c>
      <c r="AJ16" t="e">
        <f t="shared" si="3"/>
        <v>#N/A</v>
      </c>
      <c r="AK16" t="e">
        <f t="shared" si="3"/>
        <v>#N/A</v>
      </c>
      <c r="AL16" t="e">
        <f t="shared" si="3"/>
        <v>#N/A</v>
      </c>
      <c r="AM16" t="e">
        <f t="shared" si="3"/>
        <v>#N/A</v>
      </c>
      <c r="AN16" t="e">
        <f t="shared" si="3"/>
        <v>#N/A</v>
      </c>
      <c r="AO16" t="e">
        <f t="shared" si="3"/>
        <v>#N/A</v>
      </c>
    </row>
    <row r="17" spans="1:41" x14ac:dyDescent="0.15">
      <c r="A17" t="e">
        <f t="shared" ref="A17:AO17" si="4">VLOOKUP(A4,$A$45:$C$97,3,FALSE)</f>
        <v>#N/A</v>
      </c>
      <c r="B17" t="e">
        <f t="shared" si="4"/>
        <v>#N/A</v>
      </c>
      <c r="C17" t="e">
        <f t="shared" si="4"/>
        <v>#N/A</v>
      </c>
      <c r="D17" t="e">
        <f t="shared" si="4"/>
        <v>#N/A</v>
      </c>
      <c r="E17" t="e">
        <f t="shared" si="4"/>
        <v>#N/A</v>
      </c>
      <c r="F17" t="e">
        <f t="shared" si="4"/>
        <v>#N/A</v>
      </c>
      <c r="G17" t="e">
        <f t="shared" si="4"/>
        <v>#N/A</v>
      </c>
      <c r="H17" t="e">
        <f t="shared" si="4"/>
        <v>#N/A</v>
      </c>
      <c r="I17" t="e">
        <f t="shared" si="4"/>
        <v>#N/A</v>
      </c>
      <c r="J17" t="e">
        <f t="shared" si="4"/>
        <v>#N/A</v>
      </c>
      <c r="K17" t="e">
        <f t="shared" si="4"/>
        <v>#N/A</v>
      </c>
      <c r="L17" t="e">
        <f t="shared" si="4"/>
        <v>#N/A</v>
      </c>
      <c r="M17" t="e">
        <f t="shared" si="4"/>
        <v>#N/A</v>
      </c>
      <c r="N17" t="e">
        <f t="shared" si="4"/>
        <v>#N/A</v>
      </c>
      <c r="O17" t="e">
        <f t="shared" si="4"/>
        <v>#N/A</v>
      </c>
      <c r="Z17" t="e">
        <f t="shared" si="4"/>
        <v>#N/A</v>
      </c>
      <c r="AA17" t="e">
        <f t="shared" si="4"/>
        <v>#N/A</v>
      </c>
      <c r="AB17" t="e">
        <f t="shared" si="4"/>
        <v>#N/A</v>
      </c>
      <c r="AC17" t="e">
        <f t="shared" si="4"/>
        <v>#N/A</v>
      </c>
      <c r="AD17" t="e">
        <f t="shared" si="4"/>
        <v>#N/A</v>
      </c>
      <c r="AE17" t="e">
        <f t="shared" si="4"/>
        <v>#N/A</v>
      </c>
      <c r="AF17" t="e">
        <f t="shared" si="4"/>
        <v>#N/A</v>
      </c>
      <c r="AG17" t="e">
        <f t="shared" si="4"/>
        <v>#N/A</v>
      </c>
      <c r="AH17" t="e">
        <f t="shared" si="4"/>
        <v>#N/A</v>
      </c>
      <c r="AI17" t="e">
        <f t="shared" si="4"/>
        <v>#N/A</v>
      </c>
      <c r="AJ17" t="e">
        <f t="shared" si="4"/>
        <v>#N/A</v>
      </c>
      <c r="AK17" t="e">
        <f t="shared" si="4"/>
        <v>#N/A</v>
      </c>
      <c r="AL17" t="e">
        <f t="shared" si="4"/>
        <v>#N/A</v>
      </c>
      <c r="AM17" t="e">
        <f t="shared" si="4"/>
        <v>#N/A</v>
      </c>
      <c r="AN17" t="e">
        <f t="shared" si="4"/>
        <v>#N/A</v>
      </c>
      <c r="AO17" t="e">
        <f t="shared" si="4"/>
        <v>#N/A</v>
      </c>
    </row>
    <row r="18" spans="1:41" x14ac:dyDescent="0.15">
      <c r="A18" t="e">
        <f t="shared" ref="A18:AO18" si="5">VLOOKUP(A5,$A$45:$C$97,3,FALSE)</f>
        <v>#N/A</v>
      </c>
      <c r="B18" t="e">
        <f t="shared" si="5"/>
        <v>#N/A</v>
      </c>
      <c r="C18" t="e">
        <f t="shared" si="5"/>
        <v>#N/A</v>
      </c>
      <c r="D18" t="e">
        <f t="shared" si="5"/>
        <v>#N/A</v>
      </c>
      <c r="E18" t="e">
        <f t="shared" si="5"/>
        <v>#N/A</v>
      </c>
      <c r="F18" t="e">
        <f t="shared" si="5"/>
        <v>#N/A</v>
      </c>
      <c r="G18" t="e">
        <f t="shared" si="5"/>
        <v>#N/A</v>
      </c>
      <c r="H18" t="e">
        <f t="shared" si="5"/>
        <v>#N/A</v>
      </c>
      <c r="I18" t="e">
        <f t="shared" si="5"/>
        <v>#N/A</v>
      </c>
      <c r="J18" t="e">
        <f t="shared" si="5"/>
        <v>#N/A</v>
      </c>
      <c r="K18" t="e">
        <f t="shared" si="5"/>
        <v>#N/A</v>
      </c>
      <c r="L18" t="e">
        <f t="shared" si="5"/>
        <v>#N/A</v>
      </c>
      <c r="M18" t="e">
        <f t="shared" si="5"/>
        <v>#N/A</v>
      </c>
      <c r="N18" t="e">
        <f t="shared" si="5"/>
        <v>#N/A</v>
      </c>
      <c r="O18" t="e">
        <f t="shared" si="5"/>
        <v>#N/A</v>
      </c>
      <c r="Z18" t="e">
        <f t="shared" si="5"/>
        <v>#N/A</v>
      </c>
      <c r="AA18" t="e">
        <f t="shared" si="5"/>
        <v>#N/A</v>
      </c>
      <c r="AB18" t="e">
        <f t="shared" si="5"/>
        <v>#N/A</v>
      </c>
      <c r="AC18" t="e">
        <f t="shared" si="5"/>
        <v>#N/A</v>
      </c>
      <c r="AD18" t="e">
        <f t="shared" si="5"/>
        <v>#N/A</v>
      </c>
      <c r="AE18" t="e">
        <f t="shared" si="5"/>
        <v>#N/A</v>
      </c>
      <c r="AF18" t="e">
        <f t="shared" si="5"/>
        <v>#N/A</v>
      </c>
      <c r="AG18" t="e">
        <f t="shared" si="5"/>
        <v>#N/A</v>
      </c>
      <c r="AH18" t="e">
        <f t="shared" si="5"/>
        <v>#N/A</v>
      </c>
      <c r="AI18" t="e">
        <f t="shared" si="5"/>
        <v>#N/A</v>
      </c>
      <c r="AJ18" t="e">
        <f t="shared" si="5"/>
        <v>#N/A</v>
      </c>
      <c r="AK18" t="e">
        <f t="shared" si="5"/>
        <v>#N/A</v>
      </c>
      <c r="AL18" t="e">
        <f t="shared" si="5"/>
        <v>#N/A</v>
      </c>
      <c r="AM18" t="e">
        <f t="shared" si="5"/>
        <v>#N/A</v>
      </c>
      <c r="AN18" t="e">
        <f t="shared" si="5"/>
        <v>#N/A</v>
      </c>
      <c r="AO18" t="e">
        <f t="shared" si="5"/>
        <v>#N/A</v>
      </c>
    </row>
    <row r="19" spans="1:41" x14ac:dyDescent="0.15">
      <c r="A19" t="e">
        <f t="shared" ref="A19:AO19" si="6">VLOOKUP(A6,$A$45:$C$97,3,FALSE)</f>
        <v>#N/A</v>
      </c>
      <c r="B19" t="e">
        <f t="shared" si="6"/>
        <v>#N/A</v>
      </c>
      <c r="C19" t="e">
        <f t="shared" si="6"/>
        <v>#N/A</v>
      </c>
      <c r="D19" t="e">
        <f t="shared" si="6"/>
        <v>#N/A</v>
      </c>
      <c r="E19" t="e">
        <f t="shared" si="6"/>
        <v>#N/A</v>
      </c>
      <c r="F19" t="e">
        <f t="shared" si="6"/>
        <v>#N/A</v>
      </c>
      <c r="G19" t="e">
        <f t="shared" si="6"/>
        <v>#N/A</v>
      </c>
      <c r="H19" t="e">
        <f t="shared" si="6"/>
        <v>#N/A</v>
      </c>
      <c r="I19" t="e">
        <f t="shared" si="6"/>
        <v>#N/A</v>
      </c>
      <c r="J19" t="e">
        <f t="shared" si="6"/>
        <v>#N/A</v>
      </c>
      <c r="K19" t="e">
        <f t="shared" si="6"/>
        <v>#N/A</v>
      </c>
      <c r="L19" t="e">
        <f t="shared" si="6"/>
        <v>#N/A</v>
      </c>
      <c r="M19" t="e">
        <f t="shared" si="6"/>
        <v>#N/A</v>
      </c>
      <c r="N19" t="e">
        <f t="shared" si="6"/>
        <v>#N/A</v>
      </c>
      <c r="O19" t="e">
        <f t="shared" si="6"/>
        <v>#N/A</v>
      </c>
      <c r="Z19" t="e">
        <f t="shared" si="6"/>
        <v>#N/A</v>
      </c>
      <c r="AA19" t="e">
        <f t="shared" si="6"/>
        <v>#N/A</v>
      </c>
      <c r="AB19" t="e">
        <f t="shared" si="6"/>
        <v>#N/A</v>
      </c>
      <c r="AC19" t="e">
        <f t="shared" si="6"/>
        <v>#N/A</v>
      </c>
      <c r="AD19" t="e">
        <f t="shared" si="6"/>
        <v>#N/A</v>
      </c>
      <c r="AE19" t="e">
        <f t="shared" si="6"/>
        <v>#N/A</v>
      </c>
      <c r="AF19" t="e">
        <f t="shared" si="6"/>
        <v>#N/A</v>
      </c>
      <c r="AG19" t="e">
        <f t="shared" si="6"/>
        <v>#N/A</v>
      </c>
      <c r="AH19" t="e">
        <f t="shared" si="6"/>
        <v>#N/A</v>
      </c>
      <c r="AI19" t="e">
        <f t="shared" si="6"/>
        <v>#N/A</v>
      </c>
      <c r="AJ19" t="e">
        <f t="shared" si="6"/>
        <v>#N/A</v>
      </c>
      <c r="AK19" t="e">
        <f t="shared" si="6"/>
        <v>#N/A</v>
      </c>
      <c r="AL19" t="e">
        <f t="shared" si="6"/>
        <v>#N/A</v>
      </c>
      <c r="AM19" t="e">
        <f t="shared" si="6"/>
        <v>#N/A</v>
      </c>
      <c r="AN19" t="e">
        <f t="shared" si="6"/>
        <v>#N/A</v>
      </c>
      <c r="AO19" t="e">
        <f t="shared" si="6"/>
        <v>#N/A</v>
      </c>
    </row>
    <row r="20" spans="1:41" x14ac:dyDescent="0.15">
      <c r="A20" t="e">
        <f t="shared" ref="A20:AO20" si="7">VLOOKUP(A7,$A$45:$C$97,3,FALSE)</f>
        <v>#N/A</v>
      </c>
      <c r="B20" t="e">
        <f t="shared" si="7"/>
        <v>#N/A</v>
      </c>
      <c r="C20" t="e">
        <f t="shared" si="7"/>
        <v>#N/A</v>
      </c>
      <c r="D20" t="e">
        <f t="shared" si="7"/>
        <v>#N/A</v>
      </c>
      <c r="E20" t="e">
        <f t="shared" si="7"/>
        <v>#N/A</v>
      </c>
      <c r="F20" t="e">
        <f t="shared" si="7"/>
        <v>#N/A</v>
      </c>
      <c r="G20" t="e">
        <f t="shared" si="7"/>
        <v>#N/A</v>
      </c>
      <c r="H20" t="e">
        <f t="shared" si="7"/>
        <v>#N/A</v>
      </c>
      <c r="I20" t="e">
        <f t="shared" si="7"/>
        <v>#N/A</v>
      </c>
      <c r="J20" t="e">
        <f t="shared" si="7"/>
        <v>#N/A</v>
      </c>
      <c r="K20" t="e">
        <f t="shared" si="7"/>
        <v>#N/A</v>
      </c>
      <c r="L20" t="e">
        <f t="shared" si="7"/>
        <v>#N/A</v>
      </c>
      <c r="M20" t="e">
        <f t="shared" si="7"/>
        <v>#N/A</v>
      </c>
      <c r="N20" t="e">
        <f t="shared" si="7"/>
        <v>#N/A</v>
      </c>
      <c r="O20" t="e">
        <f t="shared" si="7"/>
        <v>#N/A</v>
      </c>
      <c r="Z20" t="e">
        <f t="shared" si="7"/>
        <v>#N/A</v>
      </c>
      <c r="AA20" t="e">
        <f t="shared" si="7"/>
        <v>#N/A</v>
      </c>
      <c r="AB20" t="e">
        <f t="shared" si="7"/>
        <v>#N/A</v>
      </c>
      <c r="AC20" t="e">
        <f t="shared" si="7"/>
        <v>#N/A</v>
      </c>
      <c r="AD20" t="e">
        <f t="shared" si="7"/>
        <v>#N/A</v>
      </c>
      <c r="AE20" t="e">
        <f t="shared" si="7"/>
        <v>#N/A</v>
      </c>
      <c r="AF20" t="e">
        <f t="shared" si="7"/>
        <v>#N/A</v>
      </c>
      <c r="AG20" t="e">
        <f t="shared" si="7"/>
        <v>#N/A</v>
      </c>
      <c r="AH20" t="e">
        <f t="shared" si="7"/>
        <v>#N/A</v>
      </c>
      <c r="AI20" t="e">
        <f t="shared" si="7"/>
        <v>#N/A</v>
      </c>
      <c r="AJ20" t="e">
        <f t="shared" si="7"/>
        <v>#N/A</v>
      </c>
      <c r="AK20" t="e">
        <f t="shared" si="7"/>
        <v>#N/A</v>
      </c>
      <c r="AL20" t="e">
        <f t="shared" si="7"/>
        <v>#N/A</v>
      </c>
      <c r="AM20" t="e">
        <f t="shared" si="7"/>
        <v>#N/A</v>
      </c>
      <c r="AN20" t="e">
        <f t="shared" si="7"/>
        <v>#N/A</v>
      </c>
      <c r="AO20" t="e">
        <f t="shared" si="7"/>
        <v>#N/A</v>
      </c>
    </row>
    <row r="21" spans="1:41" x14ac:dyDescent="0.15">
      <c r="A21" t="e">
        <f t="shared" ref="A21:AO21" si="8">VLOOKUP(A8,$A$45:$C$97,3,FALSE)</f>
        <v>#N/A</v>
      </c>
      <c r="B21" t="e">
        <f t="shared" si="8"/>
        <v>#N/A</v>
      </c>
      <c r="C21" t="e">
        <f t="shared" si="8"/>
        <v>#N/A</v>
      </c>
      <c r="D21" t="e">
        <f t="shared" si="8"/>
        <v>#N/A</v>
      </c>
      <c r="E21" t="e">
        <f t="shared" si="8"/>
        <v>#N/A</v>
      </c>
      <c r="F21" t="e">
        <f t="shared" si="8"/>
        <v>#N/A</v>
      </c>
      <c r="G21" t="e">
        <f t="shared" si="8"/>
        <v>#N/A</v>
      </c>
      <c r="H21" t="e">
        <f t="shared" si="8"/>
        <v>#N/A</v>
      </c>
      <c r="I21" t="e">
        <f t="shared" si="8"/>
        <v>#N/A</v>
      </c>
      <c r="J21" t="e">
        <f t="shared" si="8"/>
        <v>#N/A</v>
      </c>
      <c r="K21" t="e">
        <f t="shared" si="8"/>
        <v>#N/A</v>
      </c>
      <c r="L21" t="e">
        <f t="shared" si="8"/>
        <v>#N/A</v>
      </c>
      <c r="M21" t="e">
        <f t="shared" si="8"/>
        <v>#N/A</v>
      </c>
      <c r="N21" t="e">
        <f t="shared" si="8"/>
        <v>#N/A</v>
      </c>
      <c r="O21" t="e">
        <f t="shared" si="8"/>
        <v>#N/A</v>
      </c>
      <c r="Z21" t="e">
        <f t="shared" si="8"/>
        <v>#N/A</v>
      </c>
      <c r="AA21" t="e">
        <f t="shared" si="8"/>
        <v>#N/A</v>
      </c>
      <c r="AB21" t="e">
        <f t="shared" si="8"/>
        <v>#N/A</v>
      </c>
      <c r="AC21" t="e">
        <f t="shared" si="8"/>
        <v>#N/A</v>
      </c>
      <c r="AD21" t="e">
        <f t="shared" si="8"/>
        <v>#N/A</v>
      </c>
      <c r="AE21" t="e">
        <f t="shared" si="8"/>
        <v>#N/A</v>
      </c>
      <c r="AF21" t="e">
        <f t="shared" si="8"/>
        <v>#N/A</v>
      </c>
      <c r="AG21" t="e">
        <f t="shared" si="8"/>
        <v>#N/A</v>
      </c>
      <c r="AH21" t="e">
        <f t="shared" si="8"/>
        <v>#N/A</v>
      </c>
      <c r="AI21" t="e">
        <f t="shared" si="8"/>
        <v>#N/A</v>
      </c>
      <c r="AJ21" t="e">
        <f t="shared" si="8"/>
        <v>#N/A</v>
      </c>
      <c r="AK21" t="e">
        <f t="shared" si="8"/>
        <v>#N/A</v>
      </c>
      <c r="AL21" t="e">
        <f t="shared" si="8"/>
        <v>#N/A</v>
      </c>
      <c r="AM21" t="e">
        <f t="shared" si="8"/>
        <v>#N/A</v>
      </c>
      <c r="AN21" t="e">
        <f t="shared" si="8"/>
        <v>#N/A</v>
      </c>
      <c r="AO21" t="e">
        <f t="shared" si="8"/>
        <v>#N/A</v>
      </c>
    </row>
    <row r="22" spans="1:41" x14ac:dyDescent="0.15">
      <c r="A22" t="e">
        <f t="shared" ref="A22:AO22" si="9">VLOOKUP(A9,$A$45:$C$97,3,FALSE)</f>
        <v>#N/A</v>
      </c>
      <c r="B22" t="e">
        <f t="shared" si="9"/>
        <v>#N/A</v>
      </c>
      <c r="C22" t="e">
        <f t="shared" si="9"/>
        <v>#N/A</v>
      </c>
      <c r="D22" t="e">
        <f t="shared" si="9"/>
        <v>#N/A</v>
      </c>
      <c r="E22" t="e">
        <f t="shared" si="9"/>
        <v>#N/A</v>
      </c>
      <c r="F22" t="e">
        <f t="shared" si="9"/>
        <v>#N/A</v>
      </c>
      <c r="G22" t="e">
        <f t="shared" si="9"/>
        <v>#N/A</v>
      </c>
      <c r="H22" t="e">
        <f t="shared" si="9"/>
        <v>#N/A</v>
      </c>
      <c r="I22" t="e">
        <f t="shared" si="9"/>
        <v>#N/A</v>
      </c>
      <c r="J22" t="e">
        <f t="shared" si="9"/>
        <v>#N/A</v>
      </c>
      <c r="K22" t="e">
        <f t="shared" si="9"/>
        <v>#N/A</v>
      </c>
      <c r="L22" t="e">
        <f t="shared" si="9"/>
        <v>#N/A</v>
      </c>
      <c r="M22" t="e">
        <f t="shared" si="9"/>
        <v>#N/A</v>
      </c>
      <c r="N22" t="e">
        <f t="shared" si="9"/>
        <v>#N/A</v>
      </c>
      <c r="O22" t="e">
        <f t="shared" si="9"/>
        <v>#N/A</v>
      </c>
      <c r="Z22" t="e">
        <f t="shared" si="9"/>
        <v>#N/A</v>
      </c>
      <c r="AA22" t="e">
        <f t="shared" si="9"/>
        <v>#N/A</v>
      </c>
      <c r="AB22" t="e">
        <f t="shared" si="9"/>
        <v>#N/A</v>
      </c>
      <c r="AC22" t="e">
        <f t="shared" si="9"/>
        <v>#N/A</v>
      </c>
      <c r="AD22" t="e">
        <f t="shared" si="9"/>
        <v>#N/A</v>
      </c>
      <c r="AE22" t="e">
        <f t="shared" si="9"/>
        <v>#N/A</v>
      </c>
      <c r="AF22" t="e">
        <f t="shared" si="9"/>
        <v>#N/A</v>
      </c>
      <c r="AG22" t="e">
        <f t="shared" si="9"/>
        <v>#N/A</v>
      </c>
      <c r="AH22" t="e">
        <f t="shared" si="9"/>
        <v>#N/A</v>
      </c>
      <c r="AI22" t="e">
        <f t="shared" si="9"/>
        <v>#N/A</v>
      </c>
      <c r="AJ22" t="e">
        <f t="shared" si="9"/>
        <v>#N/A</v>
      </c>
      <c r="AK22" t="e">
        <f t="shared" si="9"/>
        <v>#N/A</v>
      </c>
      <c r="AL22" t="e">
        <f t="shared" si="9"/>
        <v>#N/A</v>
      </c>
      <c r="AM22" t="e">
        <f t="shared" si="9"/>
        <v>#N/A</v>
      </c>
      <c r="AN22" t="e">
        <f t="shared" si="9"/>
        <v>#N/A</v>
      </c>
      <c r="AO22" t="e">
        <f t="shared" si="9"/>
        <v>#N/A</v>
      </c>
    </row>
    <row r="23" spans="1:41" x14ac:dyDescent="0.15">
      <c r="A23" t="e">
        <f t="shared" ref="A23:AO23" si="10">VLOOKUP(A10,$A$45:$C$97,3,FALSE)</f>
        <v>#N/A</v>
      </c>
      <c r="B23" t="e">
        <f t="shared" si="10"/>
        <v>#N/A</v>
      </c>
      <c r="C23" t="e">
        <f t="shared" si="10"/>
        <v>#N/A</v>
      </c>
      <c r="D23" t="e">
        <f t="shared" si="10"/>
        <v>#N/A</v>
      </c>
      <c r="E23" t="e">
        <f t="shared" si="10"/>
        <v>#N/A</v>
      </c>
      <c r="F23" t="e">
        <f t="shared" si="10"/>
        <v>#N/A</v>
      </c>
      <c r="G23" t="e">
        <f t="shared" si="10"/>
        <v>#N/A</v>
      </c>
      <c r="H23" t="e">
        <f t="shared" si="10"/>
        <v>#N/A</v>
      </c>
      <c r="I23" t="e">
        <f t="shared" si="10"/>
        <v>#N/A</v>
      </c>
      <c r="J23" t="e">
        <f t="shared" si="10"/>
        <v>#N/A</v>
      </c>
      <c r="K23" t="e">
        <f t="shared" si="10"/>
        <v>#N/A</v>
      </c>
      <c r="L23" t="e">
        <f t="shared" si="10"/>
        <v>#N/A</v>
      </c>
      <c r="M23" t="e">
        <f t="shared" si="10"/>
        <v>#N/A</v>
      </c>
      <c r="N23" t="e">
        <f t="shared" si="10"/>
        <v>#N/A</v>
      </c>
      <c r="O23" t="e">
        <f t="shared" si="10"/>
        <v>#N/A</v>
      </c>
      <c r="Z23" t="e">
        <f t="shared" si="10"/>
        <v>#N/A</v>
      </c>
      <c r="AA23" t="e">
        <f t="shared" si="10"/>
        <v>#N/A</v>
      </c>
      <c r="AB23" t="e">
        <f t="shared" si="10"/>
        <v>#N/A</v>
      </c>
      <c r="AC23" t="e">
        <f t="shared" si="10"/>
        <v>#N/A</v>
      </c>
      <c r="AD23" t="e">
        <f t="shared" si="10"/>
        <v>#N/A</v>
      </c>
      <c r="AE23" t="e">
        <f t="shared" si="10"/>
        <v>#N/A</v>
      </c>
      <c r="AF23" t="e">
        <f t="shared" si="10"/>
        <v>#N/A</v>
      </c>
      <c r="AG23" t="e">
        <f t="shared" si="10"/>
        <v>#N/A</v>
      </c>
      <c r="AH23" t="e">
        <f t="shared" si="10"/>
        <v>#N/A</v>
      </c>
      <c r="AI23" t="e">
        <f t="shared" si="10"/>
        <v>#N/A</v>
      </c>
      <c r="AJ23" t="e">
        <f t="shared" si="10"/>
        <v>#N/A</v>
      </c>
      <c r="AK23" t="e">
        <f t="shared" si="10"/>
        <v>#N/A</v>
      </c>
      <c r="AL23" t="e">
        <f t="shared" si="10"/>
        <v>#N/A</v>
      </c>
      <c r="AM23" t="e">
        <f t="shared" si="10"/>
        <v>#N/A</v>
      </c>
      <c r="AN23" t="e">
        <f t="shared" si="10"/>
        <v>#N/A</v>
      </c>
      <c r="AO23" t="e">
        <f t="shared" si="10"/>
        <v>#N/A</v>
      </c>
    </row>
    <row r="24" spans="1:41" x14ac:dyDescent="0.15">
      <c r="A24" t="e">
        <f t="shared" ref="A24:AO24" si="11">VLOOKUP(A11,$A$45:$C$97,3,FALSE)</f>
        <v>#N/A</v>
      </c>
      <c r="B24" t="e">
        <f t="shared" si="11"/>
        <v>#N/A</v>
      </c>
      <c r="C24" t="e">
        <f t="shared" si="11"/>
        <v>#N/A</v>
      </c>
      <c r="D24" t="e">
        <f t="shared" si="11"/>
        <v>#N/A</v>
      </c>
      <c r="E24" t="e">
        <f t="shared" si="11"/>
        <v>#N/A</v>
      </c>
      <c r="F24" t="e">
        <f t="shared" si="11"/>
        <v>#N/A</v>
      </c>
      <c r="G24" t="e">
        <f t="shared" si="11"/>
        <v>#N/A</v>
      </c>
      <c r="H24" t="e">
        <f t="shared" si="11"/>
        <v>#N/A</v>
      </c>
      <c r="I24" t="e">
        <f t="shared" si="11"/>
        <v>#N/A</v>
      </c>
      <c r="J24" t="e">
        <f t="shared" si="11"/>
        <v>#N/A</v>
      </c>
      <c r="K24" t="e">
        <f t="shared" si="11"/>
        <v>#N/A</v>
      </c>
      <c r="L24" t="e">
        <f t="shared" si="11"/>
        <v>#N/A</v>
      </c>
      <c r="M24" t="e">
        <f t="shared" si="11"/>
        <v>#N/A</v>
      </c>
      <c r="N24" t="e">
        <f t="shared" si="11"/>
        <v>#N/A</v>
      </c>
      <c r="O24" t="e">
        <f t="shared" si="11"/>
        <v>#N/A</v>
      </c>
      <c r="Z24" t="e">
        <f t="shared" si="11"/>
        <v>#N/A</v>
      </c>
      <c r="AA24" t="e">
        <f t="shared" si="11"/>
        <v>#N/A</v>
      </c>
      <c r="AB24" t="e">
        <f t="shared" si="11"/>
        <v>#N/A</v>
      </c>
      <c r="AC24" t="e">
        <f t="shared" si="11"/>
        <v>#N/A</v>
      </c>
      <c r="AD24" t="e">
        <f t="shared" si="11"/>
        <v>#N/A</v>
      </c>
      <c r="AE24" t="e">
        <f t="shared" si="11"/>
        <v>#N/A</v>
      </c>
      <c r="AF24" t="e">
        <f t="shared" si="11"/>
        <v>#N/A</v>
      </c>
      <c r="AG24" t="e">
        <f t="shared" si="11"/>
        <v>#N/A</v>
      </c>
      <c r="AH24" t="e">
        <f t="shared" si="11"/>
        <v>#N/A</v>
      </c>
      <c r="AI24" t="e">
        <f t="shared" si="11"/>
        <v>#N/A</v>
      </c>
      <c r="AJ24" t="e">
        <f t="shared" si="11"/>
        <v>#N/A</v>
      </c>
      <c r="AK24" t="e">
        <f t="shared" si="11"/>
        <v>#N/A</v>
      </c>
      <c r="AL24" t="e">
        <f t="shared" si="11"/>
        <v>#N/A</v>
      </c>
      <c r="AM24" t="e">
        <f t="shared" si="11"/>
        <v>#N/A</v>
      </c>
      <c r="AN24" t="e">
        <f t="shared" si="11"/>
        <v>#N/A</v>
      </c>
      <c r="AO24" t="e">
        <f t="shared" si="11"/>
        <v>#N/A</v>
      </c>
    </row>
    <row r="25" spans="1:41" x14ac:dyDescent="0.15">
      <c r="A25" t="e">
        <f t="shared" ref="A25:AO25" si="12">VLOOKUP(A12,$A$45:$C$97,3,FALSE)</f>
        <v>#N/A</v>
      </c>
      <c r="B25" t="e">
        <f t="shared" si="12"/>
        <v>#N/A</v>
      </c>
      <c r="C25" t="e">
        <f t="shared" si="12"/>
        <v>#N/A</v>
      </c>
      <c r="D25" t="e">
        <f t="shared" si="12"/>
        <v>#N/A</v>
      </c>
      <c r="E25" t="e">
        <f t="shared" si="12"/>
        <v>#N/A</v>
      </c>
      <c r="F25" t="e">
        <f t="shared" si="12"/>
        <v>#N/A</v>
      </c>
      <c r="G25" t="e">
        <f t="shared" si="12"/>
        <v>#N/A</v>
      </c>
      <c r="H25" t="e">
        <f t="shared" si="12"/>
        <v>#N/A</v>
      </c>
      <c r="I25" t="e">
        <f t="shared" si="12"/>
        <v>#N/A</v>
      </c>
      <c r="J25" t="e">
        <f t="shared" si="12"/>
        <v>#N/A</v>
      </c>
      <c r="K25" t="e">
        <f t="shared" si="12"/>
        <v>#N/A</v>
      </c>
      <c r="L25" t="e">
        <f t="shared" si="12"/>
        <v>#N/A</v>
      </c>
      <c r="M25" t="e">
        <f t="shared" si="12"/>
        <v>#N/A</v>
      </c>
      <c r="N25" t="e">
        <f t="shared" si="12"/>
        <v>#N/A</v>
      </c>
      <c r="O25" t="e">
        <f t="shared" si="12"/>
        <v>#N/A</v>
      </c>
      <c r="Z25" t="e">
        <f t="shared" si="12"/>
        <v>#N/A</v>
      </c>
      <c r="AA25" t="e">
        <f t="shared" si="12"/>
        <v>#N/A</v>
      </c>
      <c r="AB25" t="e">
        <f t="shared" si="12"/>
        <v>#N/A</v>
      </c>
      <c r="AC25" t="e">
        <f t="shared" si="12"/>
        <v>#N/A</v>
      </c>
      <c r="AD25" t="e">
        <f t="shared" si="12"/>
        <v>#N/A</v>
      </c>
      <c r="AE25" t="e">
        <f t="shared" si="12"/>
        <v>#N/A</v>
      </c>
      <c r="AF25" t="e">
        <f t="shared" si="12"/>
        <v>#N/A</v>
      </c>
      <c r="AG25" t="e">
        <f t="shared" si="12"/>
        <v>#N/A</v>
      </c>
      <c r="AH25" t="e">
        <f t="shared" si="12"/>
        <v>#N/A</v>
      </c>
      <c r="AI25" t="e">
        <f t="shared" si="12"/>
        <v>#N/A</v>
      </c>
      <c r="AJ25" t="e">
        <f t="shared" si="12"/>
        <v>#N/A</v>
      </c>
      <c r="AK25" t="e">
        <f t="shared" si="12"/>
        <v>#N/A</v>
      </c>
      <c r="AL25" t="e">
        <f t="shared" si="12"/>
        <v>#N/A</v>
      </c>
      <c r="AM25" t="e">
        <f t="shared" si="12"/>
        <v>#N/A</v>
      </c>
      <c r="AN25" t="e">
        <f t="shared" si="12"/>
        <v>#N/A</v>
      </c>
      <c r="AO25" t="e">
        <f t="shared" si="12"/>
        <v>#N/A</v>
      </c>
    </row>
    <row r="26" spans="1:41" x14ac:dyDescent="0.15">
      <c r="A26" t="e">
        <f t="shared" ref="A26:AO26" si="13">VLOOKUP(A13,$A$45:$C$97,3,FALSE)</f>
        <v>#N/A</v>
      </c>
      <c r="B26" t="e">
        <f t="shared" si="13"/>
        <v>#N/A</v>
      </c>
      <c r="C26" t="e">
        <f t="shared" si="13"/>
        <v>#N/A</v>
      </c>
      <c r="D26" t="e">
        <f t="shared" si="13"/>
        <v>#N/A</v>
      </c>
      <c r="E26" t="e">
        <f t="shared" si="13"/>
        <v>#N/A</v>
      </c>
      <c r="F26" t="e">
        <f t="shared" si="13"/>
        <v>#N/A</v>
      </c>
      <c r="G26" t="e">
        <f t="shared" si="13"/>
        <v>#N/A</v>
      </c>
      <c r="H26" t="e">
        <f t="shared" si="13"/>
        <v>#N/A</v>
      </c>
      <c r="I26" t="e">
        <f t="shared" si="13"/>
        <v>#N/A</v>
      </c>
      <c r="J26" t="e">
        <f t="shared" si="13"/>
        <v>#N/A</v>
      </c>
      <c r="K26" t="e">
        <f t="shared" si="13"/>
        <v>#N/A</v>
      </c>
      <c r="L26" t="e">
        <f t="shared" si="13"/>
        <v>#N/A</v>
      </c>
      <c r="M26" t="e">
        <f t="shared" si="13"/>
        <v>#N/A</v>
      </c>
      <c r="N26" t="e">
        <f t="shared" si="13"/>
        <v>#N/A</v>
      </c>
      <c r="O26" t="e">
        <f t="shared" si="13"/>
        <v>#N/A</v>
      </c>
      <c r="Z26" t="e">
        <f t="shared" si="13"/>
        <v>#N/A</v>
      </c>
      <c r="AA26" t="e">
        <f t="shared" si="13"/>
        <v>#N/A</v>
      </c>
      <c r="AB26" t="e">
        <f t="shared" si="13"/>
        <v>#N/A</v>
      </c>
      <c r="AC26" t="e">
        <f t="shared" si="13"/>
        <v>#N/A</v>
      </c>
      <c r="AD26" t="e">
        <f t="shared" si="13"/>
        <v>#N/A</v>
      </c>
      <c r="AE26" t="e">
        <f t="shared" si="13"/>
        <v>#N/A</v>
      </c>
      <c r="AF26" t="e">
        <f t="shared" si="13"/>
        <v>#N/A</v>
      </c>
      <c r="AG26" t="e">
        <f t="shared" si="13"/>
        <v>#N/A</v>
      </c>
      <c r="AH26" t="e">
        <f t="shared" si="13"/>
        <v>#N/A</v>
      </c>
      <c r="AI26" t="e">
        <f t="shared" si="13"/>
        <v>#N/A</v>
      </c>
      <c r="AJ26" t="e">
        <f t="shared" si="13"/>
        <v>#N/A</v>
      </c>
      <c r="AK26" t="e">
        <f t="shared" si="13"/>
        <v>#N/A</v>
      </c>
      <c r="AL26" t="e">
        <f t="shared" si="13"/>
        <v>#N/A</v>
      </c>
      <c r="AM26" t="e">
        <f t="shared" si="13"/>
        <v>#N/A</v>
      </c>
      <c r="AN26" t="e">
        <f t="shared" si="13"/>
        <v>#N/A</v>
      </c>
      <c r="AO26" t="e">
        <f t="shared" si="13"/>
        <v>#N/A</v>
      </c>
    </row>
    <row r="28" spans="1:41" s="80" customFormat="1" x14ac:dyDescent="0.15">
      <c r="A28" s="81">
        <f>83-166</f>
        <v>-83</v>
      </c>
      <c r="B28" s="81"/>
      <c r="C28" s="81"/>
      <c r="D28" s="81"/>
      <c r="E28" s="81"/>
      <c r="F28" s="81"/>
      <c r="G28" s="81"/>
      <c r="H28" s="81"/>
      <c r="I28" s="81"/>
      <c r="J28" s="81"/>
      <c r="K28" s="81"/>
      <c r="L28" s="81"/>
      <c r="M28" s="81"/>
      <c r="N28" s="81"/>
      <c r="O28" s="81"/>
      <c r="P28" s="81"/>
      <c r="Q28" s="81"/>
      <c r="R28" s="81"/>
      <c r="S28" s="81"/>
      <c r="T28" s="81"/>
      <c r="U28" s="81"/>
      <c r="V28" s="81"/>
      <c r="W28" s="81"/>
      <c r="X28" s="81"/>
      <c r="Y28" s="81"/>
      <c r="Z28" s="81"/>
      <c r="AA28" s="81"/>
      <c r="AB28" s="81"/>
      <c r="AC28" s="81"/>
      <c r="AD28" s="81"/>
      <c r="AE28" s="81"/>
      <c r="AF28" s="81">
        <v>-51</v>
      </c>
      <c r="AG28" s="81"/>
      <c r="AH28" s="81"/>
      <c r="AI28" s="81"/>
      <c r="AJ28" s="81"/>
      <c r="AK28" s="81"/>
      <c r="AL28" s="81"/>
      <c r="AM28" s="81"/>
      <c r="AN28" s="81"/>
      <c r="AO28" s="81"/>
    </row>
    <row r="29" spans="1:41" x14ac:dyDescent="0.15">
      <c r="A29" t="e">
        <f>VLOOKUP(A3,$A$45:$F$87,6,FALSE)</f>
        <v>#N/A</v>
      </c>
      <c r="B29" t="e">
        <f t="shared" ref="B29:AO29" si="14">VLOOKUP(B3,$A$45:$F$87,6,FALSE)</f>
        <v>#N/A</v>
      </c>
      <c r="C29" t="e">
        <f t="shared" si="14"/>
        <v>#N/A</v>
      </c>
      <c r="D29" t="e">
        <f t="shared" si="14"/>
        <v>#N/A</v>
      </c>
      <c r="E29" t="e">
        <f t="shared" si="14"/>
        <v>#N/A</v>
      </c>
      <c r="F29" t="e">
        <f t="shared" si="14"/>
        <v>#N/A</v>
      </c>
      <c r="G29" t="e">
        <f t="shared" si="14"/>
        <v>#N/A</v>
      </c>
      <c r="H29" t="e">
        <f t="shared" si="14"/>
        <v>#N/A</v>
      </c>
      <c r="I29" t="e">
        <f t="shared" si="14"/>
        <v>#N/A</v>
      </c>
      <c r="J29" t="e">
        <f t="shared" si="14"/>
        <v>#N/A</v>
      </c>
      <c r="K29" t="e">
        <f t="shared" si="14"/>
        <v>#N/A</v>
      </c>
      <c r="L29" t="e">
        <f t="shared" si="14"/>
        <v>#N/A</v>
      </c>
      <c r="M29" t="e">
        <f t="shared" si="14"/>
        <v>#N/A</v>
      </c>
      <c r="N29" t="e">
        <f t="shared" si="14"/>
        <v>#N/A</v>
      </c>
      <c r="O29" t="e">
        <f t="shared" si="14"/>
        <v>#N/A</v>
      </c>
      <c r="Z29" t="e">
        <f t="shared" si="14"/>
        <v>#N/A</v>
      </c>
      <c r="AA29" t="e">
        <f t="shared" si="14"/>
        <v>#N/A</v>
      </c>
      <c r="AB29" t="e">
        <f t="shared" si="14"/>
        <v>#N/A</v>
      </c>
      <c r="AC29" t="e">
        <f t="shared" si="14"/>
        <v>#N/A</v>
      </c>
      <c r="AD29" t="e">
        <f t="shared" si="14"/>
        <v>#N/A</v>
      </c>
      <c r="AE29" t="e">
        <f t="shared" si="14"/>
        <v>#N/A</v>
      </c>
      <c r="AF29" t="e">
        <f t="shared" si="14"/>
        <v>#N/A</v>
      </c>
      <c r="AG29" t="e">
        <f t="shared" si="14"/>
        <v>#N/A</v>
      </c>
      <c r="AH29" t="e">
        <f t="shared" si="14"/>
        <v>#N/A</v>
      </c>
      <c r="AI29" t="e">
        <f t="shared" si="14"/>
        <v>#N/A</v>
      </c>
      <c r="AJ29" t="e">
        <f t="shared" si="14"/>
        <v>#N/A</v>
      </c>
      <c r="AK29" t="e">
        <f t="shared" si="14"/>
        <v>#N/A</v>
      </c>
      <c r="AL29" t="e">
        <f t="shared" si="14"/>
        <v>#N/A</v>
      </c>
      <c r="AM29" t="e">
        <f t="shared" si="14"/>
        <v>#N/A</v>
      </c>
      <c r="AN29" t="e">
        <f t="shared" si="14"/>
        <v>#N/A</v>
      </c>
      <c r="AO29" t="e">
        <f t="shared" si="14"/>
        <v>#N/A</v>
      </c>
    </row>
    <row r="30" spans="1:41" x14ac:dyDescent="0.15">
      <c r="A30" t="e">
        <f t="shared" ref="A30:AO30" si="15">VLOOKUP(A4,$A$45:$F$87,6,FALSE)</f>
        <v>#N/A</v>
      </c>
      <c r="B30" t="e">
        <f t="shared" si="15"/>
        <v>#N/A</v>
      </c>
      <c r="C30" t="e">
        <f t="shared" si="15"/>
        <v>#N/A</v>
      </c>
      <c r="D30" t="e">
        <f t="shared" si="15"/>
        <v>#N/A</v>
      </c>
      <c r="E30" t="e">
        <f t="shared" si="15"/>
        <v>#N/A</v>
      </c>
      <c r="F30" t="e">
        <f t="shared" si="15"/>
        <v>#N/A</v>
      </c>
      <c r="G30" t="e">
        <f t="shared" si="15"/>
        <v>#N/A</v>
      </c>
      <c r="H30" t="e">
        <f t="shared" si="15"/>
        <v>#N/A</v>
      </c>
      <c r="I30" t="e">
        <f t="shared" si="15"/>
        <v>#N/A</v>
      </c>
      <c r="J30" t="e">
        <f t="shared" si="15"/>
        <v>#N/A</v>
      </c>
      <c r="K30" t="e">
        <f t="shared" si="15"/>
        <v>#N/A</v>
      </c>
      <c r="L30" t="e">
        <f t="shared" si="15"/>
        <v>#N/A</v>
      </c>
      <c r="M30" t="e">
        <f t="shared" si="15"/>
        <v>#N/A</v>
      </c>
      <c r="N30" t="e">
        <f t="shared" si="15"/>
        <v>#N/A</v>
      </c>
      <c r="O30" t="e">
        <f t="shared" si="15"/>
        <v>#N/A</v>
      </c>
      <c r="Z30" t="e">
        <f t="shared" si="15"/>
        <v>#N/A</v>
      </c>
      <c r="AA30" t="e">
        <f t="shared" si="15"/>
        <v>#N/A</v>
      </c>
      <c r="AB30" t="e">
        <f t="shared" si="15"/>
        <v>#N/A</v>
      </c>
      <c r="AC30" t="e">
        <f t="shared" si="15"/>
        <v>#N/A</v>
      </c>
      <c r="AD30" t="e">
        <f t="shared" si="15"/>
        <v>#N/A</v>
      </c>
      <c r="AE30" t="e">
        <f t="shared" si="15"/>
        <v>#N/A</v>
      </c>
      <c r="AF30" t="e">
        <f t="shared" si="15"/>
        <v>#N/A</v>
      </c>
      <c r="AG30" t="e">
        <f t="shared" si="15"/>
        <v>#N/A</v>
      </c>
      <c r="AH30" t="e">
        <f t="shared" si="15"/>
        <v>#N/A</v>
      </c>
      <c r="AI30" t="e">
        <f t="shared" si="15"/>
        <v>#N/A</v>
      </c>
      <c r="AJ30" t="e">
        <f t="shared" si="15"/>
        <v>#N/A</v>
      </c>
      <c r="AK30" t="e">
        <f t="shared" si="15"/>
        <v>#N/A</v>
      </c>
      <c r="AL30" t="e">
        <f t="shared" si="15"/>
        <v>#N/A</v>
      </c>
      <c r="AM30" t="e">
        <f t="shared" si="15"/>
        <v>#N/A</v>
      </c>
      <c r="AN30" t="e">
        <f t="shared" si="15"/>
        <v>#N/A</v>
      </c>
      <c r="AO30" t="e">
        <f t="shared" si="15"/>
        <v>#N/A</v>
      </c>
    </row>
    <row r="31" spans="1:41" x14ac:dyDescent="0.15">
      <c r="A31" t="e">
        <f t="shared" ref="A31:AO31" si="16">VLOOKUP(A5,$A$45:$F$87,6,FALSE)</f>
        <v>#N/A</v>
      </c>
      <c r="B31" t="e">
        <f t="shared" si="16"/>
        <v>#N/A</v>
      </c>
      <c r="C31" t="e">
        <f t="shared" si="16"/>
        <v>#N/A</v>
      </c>
      <c r="D31" t="e">
        <f t="shared" si="16"/>
        <v>#N/A</v>
      </c>
      <c r="E31" t="e">
        <f t="shared" si="16"/>
        <v>#N/A</v>
      </c>
      <c r="F31" t="e">
        <f t="shared" si="16"/>
        <v>#N/A</v>
      </c>
      <c r="G31" t="e">
        <f t="shared" si="16"/>
        <v>#N/A</v>
      </c>
      <c r="H31" t="e">
        <f t="shared" si="16"/>
        <v>#N/A</v>
      </c>
      <c r="I31" t="e">
        <f t="shared" si="16"/>
        <v>#N/A</v>
      </c>
      <c r="J31" t="e">
        <f t="shared" si="16"/>
        <v>#N/A</v>
      </c>
      <c r="K31" t="e">
        <f t="shared" si="16"/>
        <v>#N/A</v>
      </c>
      <c r="L31" t="e">
        <f t="shared" si="16"/>
        <v>#N/A</v>
      </c>
      <c r="M31" t="e">
        <f t="shared" si="16"/>
        <v>#N/A</v>
      </c>
      <c r="N31" t="e">
        <f t="shared" si="16"/>
        <v>#N/A</v>
      </c>
      <c r="O31" t="e">
        <f t="shared" si="16"/>
        <v>#N/A</v>
      </c>
      <c r="Z31" t="e">
        <f t="shared" si="16"/>
        <v>#N/A</v>
      </c>
      <c r="AA31" t="e">
        <f t="shared" si="16"/>
        <v>#N/A</v>
      </c>
      <c r="AB31" t="e">
        <f t="shared" si="16"/>
        <v>#N/A</v>
      </c>
      <c r="AC31" t="e">
        <f t="shared" si="16"/>
        <v>#N/A</v>
      </c>
      <c r="AD31" t="e">
        <f t="shared" si="16"/>
        <v>#N/A</v>
      </c>
      <c r="AE31" t="e">
        <f t="shared" si="16"/>
        <v>#N/A</v>
      </c>
      <c r="AF31" t="e">
        <f t="shared" si="16"/>
        <v>#N/A</v>
      </c>
      <c r="AG31" t="e">
        <f t="shared" si="16"/>
        <v>#N/A</v>
      </c>
      <c r="AH31" t="e">
        <f t="shared" si="16"/>
        <v>#N/A</v>
      </c>
      <c r="AI31" t="e">
        <f t="shared" si="16"/>
        <v>#N/A</v>
      </c>
      <c r="AJ31" t="e">
        <f t="shared" si="16"/>
        <v>#N/A</v>
      </c>
      <c r="AK31" t="e">
        <f t="shared" si="16"/>
        <v>#N/A</v>
      </c>
      <c r="AL31" t="e">
        <f t="shared" si="16"/>
        <v>#N/A</v>
      </c>
      <c r="AM31" t="e">
        <f t="shared" si="16"/>
        <v>#N/A</v>
      </c>
      <c r="AN31" t="e">
        <f t="shared" si="16"/>
        <v>#N/A</v>
      </c>
      <c r="AO31" t="e">
        <f t="shared" si="16"/>
        <v>#N/A</v>
      </c>
    </row>
    <row r="32" spans="1:41" x14ac:dyDescent="0.15">
      <c r="A32" t="e">
        <f t="shared" ref="A32:AO32" si="17">VLOOKUP(A6,$A$45:$F$87,6,FALSE)</f>
        <v>#N/A</v>
      </c>
      <c r="B32" t="e">
        <f t="shared" si="17"/>
        <v>#N/A</v>
      </c>
      <c r="C32" t="e">
        <f t="shared" si="17"/>
        <v>#N/A</v>
      </c>
      <c r="D32" t="e">
        <f t="shared" si="17"/>
        <v>#N/A</v>
      </c>
      <c r="E32" t="e">
        <f t="shared" si="17"/>
        <v>#N/A</v>
      </c>
      <c r="F32" t="e">
        <f t="shared" si="17"/>
        <v>#N/A</v>
      </c>
      <c r="G32" t="e">
        <f t="shared" si="17"/>
        <v>#N/A</v>
      </c>
      <c r="H32" t="e">
        <f t="shared" si="17"/>
        <v>#N/A</v>
      </c>
      <c r="I32" t="e">
        <f t="shared" si="17"/>
        <v>#N/A</v>
      </c>
      <c r="J32" t="e">
        <f t="shared" si="17"/>
        <v>#N/A</v>
      </c>
      <c r="K32" t="e">
        <f t="shared" si="17"/>
        <v>#N/A</v>
      </c>
      <c r="L32" t="e">
        <f t="shared" si="17"/>
        <v>#N/A</v>
      </c>
      <c r="M32" t="e">
        <f t="shared" si="17"/>
        <v>#N/A</v>
      </c>
      <c r="N32" t="e">
        <f t="shared" si="17"/>
        <v>#N/A</v>
      </c>
      <c r="O32" t="e">
        <f t="shared" si="17"/>
        <v>#N/A</v>
      </c>
      <c r="Z32" t="e">
        <f t="shared" si="17"/>
        <v>#N/A</v>
      </c>
      <c r="AA32" t="e">
        <f t="shared" si="17"/>
        <v>#N/A</v>
      </c>
      <c r="AB32" t="e">
        <f t="shared" si="17"/>
        <v>#N/A</v>
      </c>
      <c r="AC32" t="e">
        <f t="shared" si="17"/>
        <v>#N/A</v>
      </c>
      <c r="AD32" t="e">
        <f t="shared" si="17"/>
        <v>#N/A</v>
      </c>
      <c r="AE32" t="e">
        <f t="shared" si="17"/>
        <v>#N/A</v>
      </c>
      <c r="AF32" t="e">
        <f t="shared" si="17"/>
        <v>#N/A</v>
      </c>
      <c r="AG32" t="e">
        <f t="shared" si="17"/>
        <v>#N/A</v>
      </c>
      <c r="AH32" t="e">
        <f t="shared" si="17"/>
        <v>#N/A</v>
      </c>
      <c r="AI32" t="e">
        <f t="shared" si="17"/>
        <v>#N/A</v>
      </c>
      <c r="AJ32" t="e">
        <f t="shared" si="17"/>
        <v>#N/A</v>
      </c>
      <c r="AK32" t="e">
        <f t="shared" si="17"/>
        <v>#N/A</v>
      </c>
      <c r="AL32" t="e">
        <f t="shared" si="17"/>
        <v>#N/A</v>
      </c>
      <c r="AM32" t="e">
        <f t="shared" si="17"/>
        <v>#N/A</v>
      </c>
      <c r="AN32" t="e">
        <f t="shared" si="17"/>
        <v>#N/A</v>
      </c>
      <c r="AO32" t="e">
        <f t="shared" si="17"/>
        <v>#N/A</v>
      </c>
    </row>
    <row r="33" spans="1:41" x14ac:dyDescent="0.15">
      <c r="A33" t="e">
        <f t="shared" ref="A33:AO33" si="18">VLOOKUP(A7,$A$45:$F$87,6,FALSE)</f>
        <v>#N/A</v>
      </c>
      <c r="B33" t="e">
        <f t="shared" si="18"/>
        <v>#N/A</v>
      </c>
      <c r="C33" t="e">
        <f t="shared" si="18"/>
        <v>#N/A</v>
      </c>
      <c r="D33" t="e">
        <f t="shared" si="18"/>
        <v>#N/A</v>
      </c>
      <c r="E33" t="e">
        <f t="shared" si="18"/>
        <v>#N/A</v>
      </c>
      <c r="F33" t="e">
        <f t="shared" si="18"/>
        <v>#N/A</v>
      </c>
      <c r="G33" t="e">
        <f t="shared" si="18"/>
        <v>#N/A</v>
      </c>
      <c r="H33" t="e">
        <f t="shared" si="18"/>
        <v>#N/A</v>
      </c>
      <c r="I33" t="e">
        <f t="shared" si="18"/>
        <v>#N/A</v>
      </c>
      <c r="J33" t="e">
        <f t="shared" si="18"/>
        <v>#N/A</v>
      </c>
      <c r="K33" t="e">
        <f t="shared" si="18"/>
        <v>#N/A</v>
      </c>
      <c r="L33" t="e">
        <f t="shared" si="18"/>
        <v>#N/A</v>
      </c>
      <c r="M33" t="e">
        <f t="shared" si="18"/>
        <v>#N/A</v>
      </c>
      <c r="N33" t="e">
        <f t="shared" si="18"/>
        <v>#N/A</v>
      </c>
      <c r="O33" t="e">
        <f t="shared" si="18"/>
        <v>#N/A</v>
      </c>
      <c r="Z33" t="e">
        <f t="shared" si="18"/>
        <v>#N/A</v>
      </c>
      <c r="AA33" t="e">
        <f t="shared" si="18"/>
        <v>#N/A</v>
      </c>
      <c r="AB33" t="e">
        <f t="shared" si="18"/>
        <v>#N/A</v>
      </c>
      <c r="AC33" t="e">
        <f t="shared" si="18"/>
        <v>#N/A</v>
      </c>
      <c r="AD33" t="e">
        <f t="shared" si="18"/>
        <v>#N/A</v>
      </c>
      <c r="AE33" t="e">
        <f t="shared" si="18"/>
        <v>#N/A</v>
      </c>
      <c r="AF33" t="e">
        <f t="shared" si="18"/>
        <v>#N/A</v>
      </c>
      <c r="AG33" t="e">
        <f t="shared" si="18"/>
        <v>#N/A</v>
      </c>
      <c r="AH33" t="e">
        <f t="shared" si="18"/>
        <v>#N/A</v>
      </c>
      <c r="AI33" t="e">
        <f t="shared" si="18"/>
        <v>#N/A</v>
      </c>
      <c r="AJ33" t="e">
        <f t="shared" si="18"/>
        <v>#N/A</v>
      </c>
      <c r="AK33" t="e">
        <f t="shared" si="18"/>
        <v>#N/A</v>
      </c>
      <c r="AL33" t="e">
        <f t="shared" si="18"/>
        <v>#N/A</v>
      </c>
      <c r="AM33" t="e">
        <f t="shared" si="18"/>
        <v>#N/A</v>
      </c>
      <c r="AN33" t="e">
        <f t="shared" si="18"/>
        <v>#N/A</v>
      </c>
      <c r="AO33" t="e">
        <f t="shared" si="18"/>
        <v>#N/A</v>
      </c>
    </row>
    <row r="34" spans="1:41" x14ac:dyDescent="0.15">
      <c r="A34" t="e">
        <f t="shared" ref="A34:AO34" si="19">VLOOKUP(A8,$A$45:$F$87,6,FALSE)</f>
        <v>#N/A</v>
      </c>
      <c r="B34" t="e">
        <f t="shared" si="19"/>
        <v>#N/A</v>
      </c>
      <c r="C34" t="e">
        <f t="shared" si="19"/>
        <v>#N/A</v>
      </c>
      <c r="D34" t="e">
        <f t="shared" si="19"/>
        <v>#N/A</v>
      </c>
      <c r="E34" t="e">
        <f t="shared" si="19"/>
        <v>#N/A</v>
      </c>
      <c r="F34" t="e">
        <f t="shared" si="19"/>
        <v>#N/A</v>
      </c>
      <c r="G34" t="e">
        <f t="shared" si="19"/>
        <v>#N/A</v>
      </c>
      <c r="H34" t="e">
        <f t="shared" si="19"/>
        <v>#N/A</v>
      </c>
      <c r="I34" t="e">
        <f t="shared" si="19"/>
        <v>#N/A</v>
      </c>
      <c r="J34" t="e">
        <f t="shared" si="19"/>
        <v>#N/A</v>
      </c>
      <c r="K34" t="e">
        <f t="shared" si="19"/>
        <v>#N/A</v>
      </c>
      <c r="L34" t="e">
        <f t="shared" si="19"/>
        <v>#N/A</v>
      </c>
      <c r="M34" t="e">
        <f t="shared" si="19"/>
        <v>#N/A</v>
      </c>
      <c r="N34" t="e">
        <f t="shared" si="19"/>
        <v>#N/A</v>
      </c>
      <c r="O34" t="e">
        <f t="shared" si="19"/>
        <v>#N/A</v>
      </c>
      <c r="Z34" t="e">
        <f t="shared" si="19"/>
        <v>#N/A</v>
      </c>
      <c r="AA34" t="e">
        <f t="shared" si="19"/>
        <v>#N/A</v>
      </c>
      <c r="AB34" t="e">
        <f t="shared" si="19"/>
        <v>#N/A</v>
      </c>
      <c r="AC34" t="e">
        <f t="shared" si="19"/>
        <v>#N/A</v>
      </c>
      <c r="AD34" t="e">
        <f t="shared" si="19"/>
        <v>#N/A</v>
      </c>
      <c r="AE34" t="e">
        <f t="shared" si="19"/>
        <v>#N/A</v>
      </c>
      <c r="AF34" t="e">
        <f t="shared" si="19"/>
        <v>#N/A</v>
      </c>
      <c r="AG34" t="e">
        <f t="shared" si="19"/>
        <v>#N/A</v>
      </c>
      <c r="AH34" t="e">
        <f t="shared" si="19"/>
        <v>#N/A</v>
      </c>
      <c r="AI34" t="e">
        <f t="shared" si="19"/>
        <v>#N/A</v>
      </c>
      <c r="AJ34" t="e">
        <f t="shared" si="19"/>
        <v>#N/A</v>
      </c>
      <c r="AK34" t="e">
        <f t="shared" si="19"/>
        <v>#N/A</v>
      </c>
      <c r="AL34" t="e">
        <f t="shared" si="19"/>
        <v>#N/A</v>
      </c>
      <c r="AM34" t="e">
        <f t="shared" si="19"/>
        <v>#N/A</v>
      </c>
      <c r="AN34" t="e">
        <f t="shared" si="19"/>
        <v>#N/A</v>
      </c>
      <c r="AO34" t="e">
        <f t="shared" si="19"/>
        <v>#N/A</v>
      </c>
    </row>
    <row r="35" spans="1:41" x14ac:dyDescent="0.15">
      <c r="A35" t="e">
        <f t="shared" ref="A35:AO35" si="20">VLOOKUP(A9,$A$45:$F$87,6,FALSE)</f>
        <v>#N/A</v>
      </c>
      <c r="B35" t="e">
        <f t="shared" si="20"/>
        <v>#N/A</v>
      </c>
      <c r="C35" t="e">
        <f t="shared" si="20"/>
        <v>#N/A</v>
      </c>
      <c r="D35" t="e">
        <f t="shared" si="20"/>
        <v>#N/A</v>
      </c>
      <c r="E35" t="e">
        <f t="shared" si="20"/>
        <v>#N/A</v>
      </c>
      <c r="F35" t="e">
        <f t="shared" si="20"/>
        <v>#N/A</v>
      </c>
      <c r="G35" t="e">
        <f t="shared" si="20"/>
        <v>#N/A</v>
      </c>
      <c r="H35" t="e">
        <f t="shared" si="20"/>
        <v>#N/A</v>
      </c>
      <c r="I35" t="e">
        <f t="shared" si="20"/>
        <v>#N/A</v>
      </c>
      <c r="J35" t="e">
        <f t="shared" si="20"/>
        <v>#N/A</v>
      </c>
      <c r="K35" t="e">
        <f t="shared" si="20"/>
        <v>#N/A</v>
      </c>
      <c r="L35" t="e">
        <f t="shared" si="20"/>
        <v>#N/A</v>
      </c>
      <c r="M35" t="e">
        <f t="shared" si="20"/>
        <v>#N/A</v>
      </c>
      <c r="N35" t="e">
        <f t="shared" si="20"/>
        <v>#N/A</v>
      </c>
      <c r="O35" t="e">
        <f t="shared" si="20"/>
        <v>#N/A</v>
      </c>
      <c r="Z35" t="e">
        <f t="shared" si="20"/>
        <v>#N/A</v>
      </c>
      <c r="AA35" t="e">
        <f t="shared" si="20"/>
        <v>#N/A</v>
      </c>
      <c r="AB35" t="e">
        <f t="shared" si="20"/>
        <v>#N/A</v>
      </c>
      <c r="AC35" t="e">
        <f t="shared" si="20"/>
        <v>#N/A</v>
      </c>
      <c r="AD35" t="e">
        <f t="shared" si="20"/>
        <v>#N/A</v>
      </c>
      <c r="AE35" t="e">
        <f t="shared" si="20"/>
        <v>#N/A</v>
      </c>
      <c r="AF35" t="e">
        <f t="shared" si="20"/>
        <v>#N/A</v>
      </c>
      <c r="AG35" t="e">
        <f t="shared" si="20"/>
        <v>#N/A</v>
      </c>
      <c r="AH35" t="e">
        <f t="shared" si="20"/>
        <v>#N/A</v>
      </c>
      <c r="AI35" t="e">
        <f t="shared" si="20"/>
        <v>#N/A</v>
      </c>
      <c r="AJ35" t="e">
        <f t="shared" si="20"/>
        <v>#N/A</v>
      </c>
      <c r="AK35" t="e">
        <f t="shared" si="20"/>
        <v>#N/A</v>
      </c>
      <c r="AL35" t="e">
        <f t="shared" si="20"/>
        <v>#N/A</v>
      </c>
      <c r="AM35" t="e">
        <f t="shared" si="20"/>
        <v>#N/A</v>
      </c>
      <c r="AN35" t="e">
        <f t="shared" si="20"/>
        <v>#N/A</v>
      </c>
      <c r="AO35" t="e">
        <f t="shared" si="20"/>
        <v>#N/A</v>
      </c>
    </row>
    <row r="36" spans="1:41" x14ac:dyDescent="0.15">
      <c r="A36" t="e">
        <f t="shared" ref="A36:AO36" si="21">VLOOKUP(A10,$A$45:$F$87,6,FALSE)</f>
        <v>#N/A</v>
      </c>
      <c r="B36" t="e">
        <f t="shared" si="21"/>
        <v>#N/A</v>
      </c>
      <c r="C36" t="e">
        <f t="shared" si="21"/>
        <v>#N/A</v>
      </c>
      <c r="D36" t="e">
        <f t="shared" si="21"/>
        <v>#N/A</v>
      </c>
      <c r="E36" t="e">
        <f t="shared" si="21"/>
        <v>#N/A</v>
      </c>
      <c r="F36" t="e">
        <f t="shared" si="21"/>
        <v>#N/A</v>
      </c>
      <c r="G36" t="e">
        <f t="shared" si="21"/>
        <v>#N/A</v>
      </c>
      <c r="H36" t="e">
        <f t="shared" si="21"/>
        <v>#N/A</v>
      </c>
      <c r="I36" t="e">
        <f t="shared" si="21"/>
        <v>#N/A</v>
      </c>
      <c r="J36" t="e">
        <f t="shared" si="21"/>
        <v>#N/A</v>
      </c>
      <c r="K36" t="e">
        <f t="shared" si="21"/>
        <v>#N/A</v>
      </c>
      <c r="L36" t="e">
        <f t="shared" si="21"/>
        <v>#N/A</v>
      </c>
      <c r="M36" t="e">
        <f t="shared" si="21"/>
        <v>#N/A</v>
      </c>
      <c r="N36" t="e">
        <f t="shared" si="21"/>
        <v>#N/A</v>
      </c>
      <c r="O36" t="e">
        <f t="shared" si="21"/>
        <v>#N/A</v>
      </c>
      <c r="Z36" t="e">
        <f t="shared" si="21"/>
        <v>#N/A</v>
      </c>
      <c r="AA36" t="e">
        <f t="shared" si="21"/>
        <v>#N/A</v>
      </c>
      <c r="AB36" t="e">
        <f t="shared" si="21"/>
        <v>#N/A</v>
      </c>
      <c r="AC36" t="e">
        <f t="shared" si="21"/>
        <v>#N/A</v>
      </c>
      <c r="AD36" t="e">
        <f t="shared" si="21"/>
        <v>#N/A</v>
      </c>
      <c r="AE36" t="e">
        <f t="shared" si="21"/>
        <v>#N/A</v>
      </c>
      <c r="AF36" t="e">
        <f t="shared" si="21"/>
        <v>#N/A</v>
      </c>
      <c r="AG36" t="e">
        <f t="shared" si="21"/>
        <v>#N/A</v>
      </c>
      <c r="AH36" t="e">
        <f t="shared" si="21"/>
        <v>#N/A</v>
      </c>
      <c r="AI36" t="e">
        <f t="shared" si="21"/>
        <v>#N/A</v>
      </c>
      <c r="AJ36" t="e">
        <f t="shared" si="21"/>
        <v>#N/A</v>
      </c>
      <c r="AK36" t="e">
        <f t="shared" si="21"/>
        <v>#N/A</v>
      </c>
      <c r="AL36" t="e">
        <f t="shared" si="21"/>
        <v>#N/A</v>
      </c>
      <c r="AM36" t="e">
        <f t="shared" si="21"/>
        <v>#N/A</v>
      </c>
      <c r="AN36" t="e">
        <f t="shared" si="21"/>
        <v>#N/A</v>
      </c>
      <c r="AO36" t="e">
        <f t="shared" si="21"/>
        <v>#N/A</v>
      </c>
    </row>
    <row r="37" spans="1:41" x14ac:dyDescent="0.15">
      <c r="A37" t="e">
        <f t="shared" ref="A37:AO37" si="22">VLOOKUP(A11,$A$45:$F$87,6,FALSE)</f>
        <v>#N/A</v>
      </c>
      <c r="B37" t="e">
        <f t="shared" si="22"/>
        <v>#N/A</v>
      </c>
      <c r="C37" t="e">
        <f t="shared" si="22"/>
        <v>#N/A</v>
      </c>
      <c r="D37" t="e">
        <f t="shared" si="22"/>
        <v>#N/A</v>
      </c>
      <c r="E37" t="e">
        <f t="shared" si="22"/>
        <v>#N/A</v>
      </c>
      <c r="F37" t="e">
        <f t="shared" si="22"/>
        <v>#N/A</v>
      </c>
      <c r="G37" t="e">
        <f t="shared" si="22"/>
        <v>#N/A</v>
      </c>
      <c r="H37" t="e">
        <f t="shared" si="22"/>
        <v>#N/A</v>
      </c>
      <c r="I37" t="e">
        <f t="shared" si="22"/>
        <v>#N/A</v>
      </c>
      <c r="J37" t="e">
        <f t="shared" si="22"/>
        <v>#N/A</v>
      </c>
      <c r="K37" t="e">
        <f t="shared" si="22"/>
        <v>#N/A</v>
      </c>
      <c r="L37" t="e">
        <f t="shared" si="22"/>
        <v>#N/A</v>
      </c>
      <c r="M37" t="e">
        <f t="shared" si="22"/>
        <v>#N/A</v>
      </c>
      <c r="N37" t="e">
        <f t="shared" si="22"/>
        <v>#N/A</v>
      </c>
      <c r="O37" t="e">
        <f t="shared" si="22"/>
        <v>#N/A</v>
      </c>
      <c r="Z37" t="e">
        <f t="shared" si="22"/>
        <v>#N/A</v>
      </c>
      <c r="AA37" t="e">
        <f t="shared" si="22"/>
        <v>#N/A</v>
      </c>
      <c r="AB37" t="e">
        <f t="shared" si="22"/>
        <v>#N/A</v>
      </c>
      <c r="AC37" t="e">
        <f t="shared" si="22"/>
        <v>#N/A</v>
      </c>
      <c r="AD37" t="e">
        <f t="shared" si="22"/>
        <v>#N/A</v>
      </c>
      <c r="AE37" t="e">
        <f t="shared" si="22"/>
        <v>#N/A</v>
      </c>
      <c r="AF37" t="e">
        <f t="shared" si="22"/>
        <v>#N/A</v>
      </c>
      <c r="AG37" t="e">
        <f t="shared" si="22"/>
        <v>#N/A</v>
      </c>
      <c r="AH37" t="e">
        <f t="shared" si="22"/>
        <v>#N/A</v>
      </c>
      <c r="AI37" t="e">
        <f t="shared" si="22"/>
        <v>#N/A</v>
      </c>
      <c r="AJ37" t="e">
        <f t="shared" si="22"/>
        <v>#N/A</v>
      </c>
      <c r="AK37" t="e">
        <f t="shared" si="22"/>
        <v>#N/A</v>
      </c>
      <c r="AL37" t="e">
        <f t="shared" si="22"/>
        <v>#N/A</v>
      </c>
      <c r="AM37" t="e">
        <f t="shared" si="22"/>
        <v>#N/A</v>
      </c>
      <c r="AN37" t="e">
        <f t="shared" si="22"/>
        <v>#N/A</v>
      </c>
      <c r="AO37" t="e">
        <f t="shared" si="22"/>
        <v>#N/A</v>
      </c>
    </row>
    <row r="38" spans="1:41" x14ac:dyDescent="0.15">
      <c r="A38" t="e">
        <f t="shared" ref="A38:AO38" si="23">VLOOKUP(A12,$A$45:$F$87,6,FALSE)</f>
        <v>#N/A</v>
      </c>
      <c r="B38" t="e">
        <f t="shared" si="23"/>
        <v>#N/A</v>
      </c>
      <c r="C38" t="e">
        <f t="shared" si="23"/>
        <v>#N/A</v>
      </c>
      <c r="D38" t="e">
        <f t="shared" si="23"/>
        <v>#N/A</v>
      </c>
      <c r="E38" t="e">
        <f t="shared" si="23"/>
        <v>#N/A</v>
      </c>
      <c r="F38" t="e">
        <f t="shared" si="23"/>
        <v>#N/A</v>
      </c>
      <c r="G38" t="e">
        <f t="shared" si="23"/>
        <v>#N/A</v>
      </c>
      <c r="H38" t="e">
        <f t="shared" si="23"/>
        <v>#N/A</v>
      </c>
      <c r="I38" t="e">
        <f t="shared" si="23"/>
        <v>#N/A</v>
      </c>
      <c r="J38" t="e">
        <f t="shared" si="23"/>
        <v>#N/A</v>
      </c>
      <c r="K38" t="e">
        <f t="shared" si="23"/>
        <v>#N/A</v>
      </c>
      <c r="L38" t="e">
        <f t="shared" si="23"/>
        <v>#N/A</v>
      </c>
      <c r="M38" t="e">
        <f t="shared" si="23"/>
        <v>#N/A</v>
      </c>
      <c r="N38" t="e">
        <f t="shared" si="23"/>
        <v>#N/A</v>
      </c>
      <c r="O38" t="e">
        <f t="shared" si="23"/>
        <v>#N/A</v>
      </c>
      <c r="Z38" t="e">
        <f t="shared" si="23"/>
        <v>#N/A</v>
      </c>
      <c r="AA38" t="e">
        <f t="shared" si="23"/>
        <v>#N/A</v>
      </c>
      <c r="AB38" t="e">
        <f t="shared" si="23"/>
        <v>#N/A</v>
      </c>
      <c r="AC38" t="e">
        <f t="shared" si="23"/>
        <v>#N/A</v>
      </c>
      <c r="AD38" t="e">
        <f t="shared" si="23"/>
        <v>#N/A</v>
      </c>
      <c r="AE38" t="e">
        <f t="shared" si="23"/>
        <v>#N/A</v>
      </c>
      <c r="AF38" t="e">
        <f t="shared" si="23"/>
        <v>#N/A</v>
      </c>
      <c r="AG38" t="e">
        <f t="shared" si="23"/>
        <v>#N/A</v>
      </c>
      <c r="AH38" t="e">
        <f t="shared" si="23"/>
        <v>#N/A</v>
      </c>
      <c r="AI38" t="e">
        <f t="shared" si="23"/>
        <v>#N/A</v>
      </c>
      <c r="AJ38" t="e">
        <f t="shared" si="23"/>
        <v>#N/A</v>
      </c>
      <c r="AK38" t="e">
        <f t="shared" si="23"/>
        <v>#N/A</v>
      </c>
      <c r="AL38" t="e">
        <f t="shared" si="23"/>
        <v>#N/A</v>
      </c>
      <c r="AM38" t="e">
        <f t="shared" si="23"/>
        <v>#N/A</v>
      </c>
      <c r="AN38" t="e">
        <f t="shared" si="23"/>
        <v>#N/A</v>
      </c>
      <c r="AO38" t="e">
        <f t="shared" si="23"/>
        <v>#N/A</v>
      </c>
    </row>
    <row r="39" spans="1:41" x14ac:dyDescent="0.15">
      <c r="A39" t="e">
        <f t="shared" ref="A39:AO39" si="24">VLOOKUP(A13,$A$45:$F$87,6,FALSE)</f>
        <v>#N/A</v>
      </c>
      <c r="B39" t="e">
        <f t="shared" si="24"/>
        <v>#N/A</v>
      </c>
      <c r="C39" t="e">
        <f t="shared" si="24"/>
        <v>#N/A</v>
      </c>
      <c r="D39" t="e">
        <f t="shared" si="24"/>
        <v>#N/A</v>
      </c>
      <c r="E39" t="e">
        <f t="shared" si="24"/>
        <v>#N/A</v>
      </c>
      <c r="F39" t="e">
        <f t="shared" si="24"/>
        <v>#N/A</v>
      </c>
      <c r="G39" t="e">
        <f t="shared" si="24"/>
        <v>#N/A</v>
      </c>
      <c r="H39" t="e">
        <f t="shared" si="24"/>
        <v>#N/A</v>
      </c>
      <c r="I39" t="e">
        <f t="shared" si="24"/>
        <v>#N/A</v>
      </c>
      <c r="J39" t="e">
        <f t="shared" si="24"/>
        <v>#N/A</v>
      </c>
      <c r="K39" t="e">
        <f t="shared" si="24"/>
        <v>#N/A</v>
      </c>
      <c r="L39" t="e">
        <f t="shared" si="24"/>
        <v>#N/A</v>
      </c>
      <c r="M39" t="e">
        <f t="shared" si="24"/>
        <v>#N/A</v>
      </c>
      <c r="N39" t="e">
        <f t="shared" si="24"/>
        <v>#N/A</v>
      </c>
      <c r="O39" t="e">
        <f t="shared" si="24"/>
        <v>#N/A</v>
      </c>
      <c r="Z39" t="e">
        <f t="shared" si="24"/>
        <v>#N/A</v>
      </c>
      <c r="AA39" t="e">
        <f t="shared" si="24"/>
        <v>#N/A</v>
      </c>
      <c r="AB39" t="e">
        <f t="shared" si="24"/>
        <v>#N/A</v>
      </c>
      <c r="AC39" t="e">
        <f t="shared" si="24"/>
        <v>#N/A</v>
      </c>
      <c r="AD39" t="e">
        <f t="shared" si="24"/>
        <v>#N/A</v>
      </c>
      <c r="AE39" t="e">
        <f t="shared" si="24"/>
        <v>#N/A</v>
      </c>
      <c r="AF39" t="e">
        <f t="shared" si="24"/>
        <v>#N/A</v>
      </c>
      <c r="AG39" t="e">
        <f t="shared" si="24"/>
        <v>#N/A</v>
      </c>
      <c r="AH39" t="e">
        <f t="shared" si="24"/>
        <v>#N/A</v>
      </c>
      <c r="AI39" t="e">
        <f t="shared" si="24"/>
        <v>#N/A</v>
      </c>
      <c r="AJ39" t="e">
        <f t="shared" si="24"/>
        <v>#N/A</v>
      </c>
      <c r="AK39" t="e">
        <f t="shared" si="24"/>
        <v>#N/A</v>
      </c>
      <c r="AL39" t="e">
        <f t="shared" si="24"/>
        <v>#N/A</v>
      </c>
      <c r="AM39" t="e">
        <f t="shared" si="24"/>
        <v>#N/A</v>
      </c>
      <c r="AN39" t="e">
        <f t="shared" si="24"/>
        <v>#N/A</v>
      </c>
      <c r="AO39" t="e">
        <f t="shared" si="24"/>
        <v>#N/A</v>
      </c>
    </row>
    <row r="41" spans="1:41" x14ac:dyDescent="0.15">
      <c r="A41" t="e">
        <f>SUM(A28:A39)</f>
        <v>#N/A</v>
      </c>
      <c r="B41" t="e">
        <f t="shared" ref="B41:AO41" si="25">SUM(B28:B39)</f>
        <v>#N/A</v>
      </c>
      <c r="C41" t="e">
        <f t="shared" si="25"/>
        <v>#N/A</v>
      </c>
      <c r="D41" t="e">
        <f t="shared" si="25"/>
        <v>#N/A</v>
      </c>
      <c r="E41" t="e">
        <f t="shared" si="25"/>
        <v>#N/A</v>
      </c>
      <c r="F41" t="e">
        <f t="shared" si="25"/>
        <v>#N/A</v>
      </c>
      <c r="G41" t="e">
        <f t="shared" si="25"/>
        <v>#N/A</v>
      </c>
      <c r="H41" t="e">
        <f t="shared" si="25"/>
        <v>#N/A</v>
      </c>
      <c r="I41" t="e">
        <f t="shared" si="25"/>
        <v>#N/A</v>
      </c>
      <c r="J41" t="e">
        <f t="shared" si="25"/>
        <v>#N/A</v>
      </c>
      <c r="K41" t="e">
        <f t="shared" si="25"/>
        <v>#N/A</v>
      </c>
      <c r="L41" t="e">
        <f t="shared" si="25"/>
        <v>#N/A</v>
      </c>
      <c r="M41" t="e">
        <f t="shared" si="25"/>
        <v>#N/A</v>
      </c>
      <c r="N41" t="e">
        <f t="shared" si="25"/>
        <v>#N/A</v>
      </c>
      <c r="O41" t="e">
        <f t="shared" si="25"/>
        <v>#N/A</v>
      </c>
      <c r="Z41" t="e">
        <f t="shared" si="25"/>
        <v>#N/A</v>
      </c>
      <c r="AA41" t="e">
        <f t="shared" si="25"/>
        <v>#N/A</v>
      </c>
      <c r="AB41" t="e">
        <f t="shared" si="25"/>
        <v>#N/A</v>
      </c>
      <c r="AC41" t="e">
        <f t="shared" si="25"/>
        <v>#N/A</v>
      </c>
      <c r="AD41" t="e">
        <f t="shared" si="25"/>
        <v>#N/A</v>
      </c>
      <c r="AE41" t="e">
        <f t="shared" si="25"/>
        <v>#N/A</v>
      </c>
      <c r="AF41" t="e">
        <f t="shared" si="25"/>
        <v>#N/A</v>
      </c>
      <c r="AG41" t="e">
        <f t="shared" si="25"/>
        <v>#N/A</v>
      </c>
      <c r="AH41" t="e">
        <f t="shared" si="25"/>
        <v>#N/A</v>
      </c>
      <c r="AI41" t="e">
        <f t="shared" si="25"/>
        <v>#N/A</v>
      </c>
      <c r="AJ41" t="e">
        <f t="shared" si="25"/>
        <v>#N/A</v>
      </c>
      <c r="AK41" t="e">
        <f t="shared" si="25"/>
        <v>#N/A</v>
      </c>
      <c r="AL41" t="e">
        <f t="shared" si="25"/>
        <v>#N/A</v>
      </c>
      <c r="AM41" t="e">
        <f t="shared" si="25"/>
        <v>#N/A</v>
      </c>
      <c r="AN41" t="e">
        <f t="shared" si="25"/>
        <v>#N/A</v>
      </c>
      <c r="AO41" t="e">
        <f t="shared" si="25"/>
        <v>#N/A</v>
      </c>
    </row>
    <row r="42" spans="1:41" x14ac:dyDescent="0.15">
      <c r="A42" t="e">
        <f>A41+COLUMN()/1000</f>
        <v>#N/A</v>
      </c>
      <c r="B42" t="e">
        <f t="shared" ref="B42:AO42" si="26">B41+COLUMN()/1000</f>
        <v>#N/A</v>
      </c>
      <c r="C42" t="e">
        <f t="shared" si="26"/>
        <v>#N/A</v>
      </c>
      <c r="D42" t="e">
        <f t="shared" si="26"/>
        <v>#N/A</v>
      </c>
      <c r="E42" t="e">
        <f t="shared" si="26"/>
        <v>#N/A</v>
      </c>
      <c r="F42" t="e">
        <f t="shared" si="26"/>
        <v>#N/A</v>
      </c>
      <c r="G42" t="e">
        <f t="shared" si="26"/>
        <v>#N/A</v>
      </c>
      <c r="H42" t="e">
        <f t="shared" si="26"/>
        <v>#N/A</v>
      </c>
      <c r="I42" t="e">
        <f t="shared" si="26"/>
        <v>#N/A</v>
      </c>
      <c r="J42" t="e">
        <f t="shared" si="26"/>
        <v>#N/A</v>
      </c>
      <c r="K42" t="e">
        <f t="shared" si="26"/>
        <v>#N/A</v>
      </c>
      <c r="L42" t="e">
        <f t="shared" si="26"/>
        <v>#N/A</v>
      </c>
      <c r="M42" t="e">
        <f t="shared" si="26"/>
        <v>#N/A</v>
      </c>
      <c r="N42" t="e">
        <f t="shared" si="26"/>
        <v>#N/A</v>
      </c>
      <c r="O42" t="e">
        <f t="shared" si="26"/>
        <v>#N/A</v>
      </c>
      <c r="Z42" t="e">
        <f t="shared" si="26"/>
        <v>#N/A</v>
      </c>
      <c r="AA42" t="e">
        <f t="shared" si="26"/>
        <v>#N/A</v>
      </c>
      <c r="AB42" t="e">
        <f t="shared" si="26"/>
        <v>#N/A</v>
      </c>
      <c r="AC42" t="e">
        <f t="shared" si="26"/>
        <v>#N/A</v>
      </c>
      <c r="AD42" t="e">
        <f t="shared" si="26"/>
        <v>#N/A</v>
      </c>
      <c r="AE42" t="e">
        <f t="shared" si="26"/>
        <v>#N/A</v>
      </c>
      <c r="AF42" t="e">
        <f t="shared" si="26"/>
        <v>#N/A</v>
      </c>
      <c r="AG42" t="e">
        <f t="shared" si="26"/>
        <v>#N/A</v>
      </c>
      <c r="AH42" t="e">
        <f t="shared" si="26"/>
        <v>#N/A</v>
      </c>
      <c r="AI42" t="e">
        <f t="shared" si="26"/>
        <v>#N/A</v>
      </c>
      <c r="AJ42" t="e">
        <f t="shared" si="26"/>
        <v>#N/A</v>
      </c>
      <c r="AK42" t="e">
        <f t="shared" si="26"/>
        <v>#N/A</v>
      </c>
      <c r="AL42" t="e">
        <f t="shared" si="26"/>
        <v>#N/A</v>
      </c>
      <c r="AM42" t="e">
        <f t="shared" si="26"/>
        <v>#N/A</v>
      </c>
      <c r="AN42" t="e">
        <f t="shared" si="26"/>
        <v>#N/A</v>
      </c>
      <c r="AO42" t="e">
        <f t="shared" si="26"/>
        <v>#N/A</v>
      </c>
    </row>
    <row r="43" spans="1:41" x14ac:dyDescent="0.15">
      <c r="A43" t="e">
        <f ca="1">RANK(A42,OFFSET($A$42,0,0,1,NumFantTeams))</f>
        <v>#N/A</v>
      </c>
      <c r="B43" t="e">
        <f t="shared" ref="B43:AO43" ca="1" si="27">RANK(B42,OFFSET($A$42,0,0,1,NumFantTeams))</f>
        <v>#N/A</v>
      </c>
      <c r="C43" t="e">
        <f t="shared" ca="1" si="27"/>
        <v>#N/A</v>
      </c>
      <c r="D43" t="e">
        <f t="shared" ca="1" si="27"/>
        <v>#N/A</v>
      </c>
      <c r="E43" t="e">
        <f t="shared" ca="1" si="27"/>
        <v>#N/A</v>
      </c>
      <c r="F43" t="e">
        <f t="shared" ca="1" si="27"/>
        <v>#N/A</v>
      </c>
      <c r="G43" t="e">
        <f t="shared" ca="1" si="27"/>
        <v>#N/A</v>
      </c>
      <c r="H43" t="e">
        <f t="shared" ca="1" si="27"/>
        <v>#N/A</v>
      </c>
      <c r="I43" t="e">
        <f t="shared" ca="1" si="27"/>
        <v>#N/A</v>
      </c>
      <c r="J43" t="e">
        <f t="shared" ca="1" si="27"/>
        <v>#N/A</v>
      </c>
      <c r="K43" t="e">
        <f t="shared" ca="1" si="27"/>
        <v>#N/A</v>
      </c>
      <c r="L43" t="e">
        <f t="shared" ca="1" si="27"/>
        <v>#N/A</v>
      </c>
      <c r="M43" t="e">
        <f t="shared" ca="1" si="27"/>
        <v>#N/A</v>
      </c>
      <c r="N43" t="e">
        <f t="shared" ca="1" si="27"/>
        <v>#N/A</v>
      </c>
      <c r="O43" t="e">
        <f t="shared" ca="1" si="27"/>
        <v>#N/A</v>
      </c>
      <c r="Z43" t="e">
        <f t="shared" ca="1" si="27"/>
        <v>#N/A</v>
      </c>
      <c r="AA43" t="e">
        <f t="shared" ca="1" si="27"/>
        <v>#N/A</v>
      </c>
      <c r="AB43" t="e">
        <f t="shared" ca="1" si="27"/>
        <v>#N/A</v>
      </c>
      <c r="AC43" t="e">
        <f t="shared" ca="1" si="27"/>
        <v>#N/A</v>
      </c>
      <c r="AD43" t="e">
        <f t="shared" ca="1" si="27"/>
        <v>#N/A</v>
      </c>
      <c r="AE43" t="e">
        <f t="shared" ca="1" si="27"/>
        <v>#N/A</v>
      </c>
      <c r="AF43" t="e">
        <f t="shared" ca="1" si="27"/>
        <v>#N/A</v>
      </c>
      <c r="AG43" t="e">
        <f t="shared" ca="1" si="27"/>
        <v>#N/A</v>
      </c>
      <c r="AH43" t="e">
        <f t="shared" ca="1" si="27"/>
        <v>#N/A</v>
      </c>
      <c r="AI43" t="e">
        <f t="shared" ca="1" si="27"/>
        <v>#N/A</v>
      </c>
      <c r="AJ43" t="e">
        <f t="shared" ca="1" si="27"/>
        <v>#N/A</v>
      </c>
      <c r="AK43" t="e">
        <f t="shared" ca="1" si="27"/>
        <v>#N/A</v>
      </c>
      <c r="AL43" t="e">
        <f t="shared" ca="1" si="27"/>
        <v>#N/A</v>
      </c>
      <c r="AM43" t="e">
        <f t="shared" ca="1" si="27"/>
        <v>#N/A</v>
      </c>
      <c r="AN43" t="e">
        <f t="shared" ca="1" si="27"/>
        <v>#N/A</v>
      </c>
      <c r="AO43" t="e">
        <f t="shared" ca="1" si="27"/>
        <v>#N/A</v>
      </c>
    </row>
    <row r="44" spans="1:41" x14ac:dyDescent="0.15">
      <c r="C44" s="84" t="s">
        <v>70</v>
      </c>
      <c r="D44" s="84" t="s">
        <v>140</v>
      </c>
      <c r="E44" s="84" t="s">
        <v>71</v>
      </c>
      <c r="F44" s="84" t="s">
        <v>72</v>
      </c>
      <c r="G44" s="82" t="s">
        <v>73</v>
      </c>
      <c r="H44" s="83">
        <f>COUNTA(1:1)</f>
        <v>0</v>
      </c>
    </row>
    <row r="45" spans="1:41" x14ac:dyDescent="0.15">
      <c r="A45" s="64" t="s">
        <v>165</v>
      </c>
      <c r="B45" t="s">
        <v>168</v>
      </c>
      <c r="C45">
        <v>3</v>
      </c>
      <c r="D45">
        <f t="array" ref="D45">SUM(IF($3:$13=A45,1,0))</f>
        <v>0</v>
      </c>
      <c r="E45">
        <f ca="1">MATCH(A45,FantasyPts!$A$5:$A$57,0)</f>
        <v>1</v>
      </c>
      <c r="F45">
        <f ca="1">OFFSET(FantasyPts!$C$4,E45,0)</f>
        <v>0</v>
      </c>
      <c r="G45" t="s">
        <v>123</v>
      </c>
      <c r="H45" t="e">
        <f ca="1">MATCH(L45,OFFSET($A$43,0,0,1,$H$44),0)</f>
        <v>#REF!</v>
      </c>
      <c r="K45" t="e">
        <f ca="1">OFFSET($A$2,0,H45-1)</f>
        <v>#REF!</v>
      </c>
      <c r="L45">
        <v>1</v>
      </c>
      <c r="M45" t="e">
        <f ca="1">OFFSET($A$1,0,H45-1)</f>
        <v>#REF!</v>
      </c>
      <c r="N45" t="e">
        <f ca="1">IF(K45=0,"",K45)</f>
        <v>#REF!</v>
      </c>
      <c r="O45" t="e">
        <f ca="1">OFFSET($A$41,0,H45-1)</f>
        <v>#REF!</v>
      </c>
    </row>
    <row r="46" spans="1:41" x14ac:dyDescent="0.15">
      <c r="A46" s="64" t="s">
        <v>166</v>
      </c>
      <c r="B46" t="s">
        <v>174</v>
      </c>
      <c r="C46">
        <v>2</v>
      </c>
      <c r="D46">
        <f t="array" ref="D46">SUM(IF($3:$13=A46,1,0))</f>
        <v>0</v>
      </c>
      <c r="E46">
        <f ca="1">MATCH(A46,FantasyPts!$A$5:$A$57,0)</f>
        <v>2</v>
      </c>
      <c r="F46">
        <f ca="1">OFFSET(FantasyPts!$C$4,E46,0)</f>
        <v>0</v>
      </c>
      <c r="G46" t="s">
        <v>124</v>
      </c>
      <c r="H46" t="e">
        <f t="shared" ref="H46:H85" ca="1" si="28">MATCH(L46,OFFSET($A$43,0,0,1,$H$44),0)</f>
        <v>#REF!</v>
      </c>
      <c r="K46" t="e">
        <f t="shared" ref="K46:K87" ca="1" si="29">OFFSET($A$2,0,H46-1)</f>
        <v>#REF!</v>
      </c>
      <c r="L46">
        <f>L45+1</f>
        <v>2</v>
      </c>
      <c r="M46" t="e">
        <f t="shared" ref="M46:M87" ca="1" si="30">OFFSET($A$1,0,H46-1)</f>
        <v>#REF!</v>
      </c>
      <c r="N46" t="e">
        <f t="shared" ref="N46:N62" ca="1" si="31">IF(K46=0,"",K46)</f>
        <v>#REF!</v>
      </c>
      <c r="O46" t="e">
        <f t="shared" ref="O46:O87" ca="1" si="32">OFFSET($A$41,0,H46-1)</f>
        <v>#REF!</v>
      </c>
    </row>
    <row r="47" spans="1:41" x14ac:dyDescent="0.15">
      <c r="A47" s="64" t="s">
        <v>120</v>
      </c>
      <c r="B47" t="s">
        <v>160</v>
      </c>
      <c r="C47">
        <v>3</v>
      </c>
      <c r="D47">
        <f t="array" ref="D47">SUM(IF($3:$13=A47,1,0))</f>
        <v>0</v>
      </c>
      <c r="E47">
        <f ca="1">MATCH(A47,FantasyPts!$A$5:$A$57,0)</f>
        <v>3</v>
      </c>
      <c r="F47">
        <f ca="1">OFFSET(FantasyPts!$C$4,E47,0)</f>
        <v>0</v>
      </c>
      <c r="G47" t="s">
        <v>123</v>
      </c>
      <c r="H47" t="e">
        <f t="shared" ca="1" si="28"/>
        <v>#REF!</v>
      </c>
      <c r="K47" t="e">
        <f t="shared" ca="1" si="29"/>
        <v>#REF!</v>
      </c>
      <c r="L47">
        <f>L46+1</f>
        <v>3</v>
      </c>
      <c r="M47" t="e">
        <f t="shared" ca="1" si="30"/>
        <v>#REF!</v>
      </c>
      <c r="N47" t="e">
        <f t="shared" ca="1" si="31"/>
        <v>#REF!</v>
      </c>
      <c r="O47" t="e">
        <f t="shared" ca="1" si="32"/>
        <v>#REF!</v>
      </c>
    </row>
    <row r="48" spans="1:41" x14ac:dyDescent="0.15">
      <c r="A48" s="64" t="s">
        <v>41</v>
      </c>
      <c r="B48" t="s">
        <v>64</v>
      </c>
      <c r="C48">
        <v>6</v>
      </c>
      <c r="D48">
        <f t="array" ref="D48">SUM(IF($3:$13=A48,1,0))</f>
        <v>0</v>
      </c>
      <c r="E48">
        <f ca="1">MATCH(A48,FantasyPts!$A$5:$A$57,0)</f>
        <v>4</v>
      </c>
      <c r="F48">
        <f ca="1">OFFSET(FantasyPts!$C$4,E48,0)</f>
        <v>0</v>
      </c>
      <c r="G48" t="s">
        <v>124</v>
      </c>
      <c r="H48" t="e">
        <f t="shared" ca="1" si="28"/>
        <v>#REF!</v>
      </c>
      <c r="K48" t="e">
        <f ca="1">OFFSET($A$2,0,H48-1)</f>
        <v>#REF!</v>
      </c>
      <c r="L48">
        <f t="shared" ref="L48:L87" si="33">L47+1</f>
        <v>4</v>
      </c>
      <c r="M48" t="e">
        <f ca="1">OFFSET($A$1,0,H48-1)</f>
        <v>#REF!</v>
      </c>
      <c r="N48" t="e">
        <f ca="1">IF(K48=0,"",K48)</f>
        <v>#REF!</v>
      </c>
      <c r="O48" t="e">
        <f ca="1">OFFSET($A$41,0,H48-1)</f>
        <v>#REF!</v>
      </c>
    </row>
    <row r="49" spans="1:15" x14ac:dyDescent="0.15">
      <c r="A49" s="64" t="s">
        <v>51</v>
      </c>
      <c r="B49" t="s">
        <v>63</v>
      </c>
      <c r="C49">
        <v>4</v>
      </c>
      <c r="D49">
        <f t="array" ref="D49">SUM(IF($3:$13=A49,1,0))</f>
        <v>0</v>
      </c>
      <c r="E49">
        <f ca="1">MATCH(A49,FantasyPts!$A$5:$A$57,0)</f>
        <v>5</v>
      </c>
      <c r="F49">
        <f ca="1">OFFSET(FantasyPts!$C$4,E49,0)</f>
        <v>0</v>
      </c>
      <c r="G49" t="s">
        <v>124</v>
      </c>
      <c r="H49" t="e">
        <f t="shared" ca="1" si="28"/>
        <v>#REF!</v>
      </c>
      <c r="K49" t="e">
        <f t="shared" ca="1" si="29"/>
        <v>#REF!</v>
      </c>
      <c r="L49">
        <f t="shared" si="33"/>
        <v>5</v>
      </c>
      <c r="M49" t="e">
        <f t="shared" ca="1" si="30"/>
        <v>#REF!</v>
      </c>
      <c r="N49" t="e">
        <f t="shared" ca="1" si="31"/>
        <v>#REF!</v>
      </c>
      <c r="O49" t="e">
        <f t="shared" ca="1" si="32"/>
        <v>#REF!</v>
      </c>
    </row>
    <row r="50" spans="1:15" x14ac:dyDescent="0.15">
      <c r="A50" s="64" t="s">
        <v>91</v>
      </c>
      <c r="B50" t="s">
        <v>143</v>
      </c>
      <c r="C50">
        <v>6</v>
      </c>
      <c r="D50">
        <f t="array" ref="D50">SUM(IF($3:$13=A50,1,0))</f>
        <v>0</v>
      </c>
      <c r="E50">
        <f ca="1">MATCH(A50,FantasyPts!$A$5:$A$57,0)</f>
        <v>6</v>
      </c>
      <c r="F50">
        <f ca="1">OFFSET(FantasyPts!$C$4,E50,0)</f>
        <v>0</v>
      </c>
      <c r="G50" t="s">
        <v>124</v>
      </c>
      <c r="H50" t="e">
        <f t="shared" ca="1" si="28"/>
        <v>#REF!</v>
      </c>
      <c r="K50" t="e">
        <f t="shared" ca="1" si="29"/>
        <v>#REF!</v>
      </c>
      <c r="L50">
        <f t="shared" si="33"/>
        <v>6</v>
      </c>
      <c r="M50" t="e">
        <f t="shared" ca="1" si="30"/>
        <v>#REF!</v>
      </c>
      <c r="N50" t="e">
        <f t="shared" ca="1" si="31"/>
        <v>#REF!</v>
      </c>
      <c r="O50" t="e">
        <f t="shared" ca="1" si="32"/>
        <v>#REF!</v>
      </c>
    </row>
    <row r="51" spans="1:15" x14ac:dyDescent="0.15">
      <c r="A51" s="64" t="s">
        <v>164</v>
      </c>
      <c r="B51" t="s">
        <v>169</v>
      </c>
      <c r="C51">
        <v>2</v>
      </c>
      <c r="D51">
        <f t="array" ref="D51">SUM(IF($3:$13=A51,1,0))</f>
        <v>0</v>
      </c>
      <c r="E51">
        <f ca="1">MATCH(A51,FantasyPts!$A$5:$A$57,0)</f>
        <v>7</v>
      </c>
      <c r="F51">
        <f ca="1">OFFSET(FantasyPts!$C$4,E51,0)</f>
        <v>0</v>
      </c>
      <c r="G51" t="s">
        <v>123</v>
      </c>
      <c r="H51" t="e">
        <f t="shared" ca="1" si="28"/>
        <v>#REF!</v>
      </c>
      <c r="K51" t="e">
        <f t="shared" ca="1" si="29"/>
        <v>#REF!</v>
      </c>
      <c r="L51">
        <f t="shared" si="33"/>
        <v>7</v>
      </c>
      <c r="M51" t="e">
        <f t="shared" ca="1" si="30"/>
        <v>#REF!</v>
      </c>
      <c r="N51" t="e">
        <f t="shared" ca="1" si="31"/>
        <v>#REF!</v>
      </c>
      <c r="O51" t="e">
        <f t="shared" ca="1" si="32"/>
        <v>#REF!</v>
      </c>
    </row>
    <row r="52" spans="1:15" x14ac:dyDescent="0.15">
      <c r="A52" s="64" t="s">
        <v>42</v>
      </c>
      <c r="B52" t="s">
        <v>92</v>
      </c>
      <c r="C52">
        <v>9</v>
      </c>
      <c r="D52">
        <f t="array" ref="D52">SUM(IF($3:$13=A52,1,0))</f>
        <v>0</v>
      </c>
      <c r="E52">
        <f ca="1">MATCH(A52,FantasyPts!$A$5:$A$57,0)</f>
        <v>8</v>
      </c>
      <c r="F52">
        <f ca="1">OFFSET(FantasyPts!$C$4,E52,0)</f>
        <v>0</v>
      </c>
      <c r="G52" t="s">
        <v>125</v>
      </c>
      <c r="H52" t="e">
        <f t="shared" ca="1" si="28"/>
        <v>#REF!</v>
      </c>
      <c r="K52" t="e">
        <f t="shared" ca="1" si="29"/>
        <v>#REF!</v>
      </c>
      <c r="L52">
        <f t="shared" si="33"/>
        <v>8</v>
      </c>
      <c r="M52" t="e">
        <f t="shared" ca="1" si="30"/>
        <v>#REF!</v>
      </c>
      <c r="N52" t="e">
        <f t="shared" ca="1" si="31"/>
        <v>#REF!</v>
      </c>
      <c r="O52" t="e">
        <f t="shared" ca="1" si="32"/>
        <v>#REF!</v>
      </c>
    </row>
    <row r="53" spans="1:15" x14ac:dyDescent="0.15">
      <c r="A53" s="64" t="s">
        <v>138</v>
      </c>
      <c r="B53" t="s">
        <v>155</v>
      </c>
      <c r="C53">
        <v>2</v>
      </c>
      <c r="D53">
        <f t="array" ref="D53">SUM(IF($3:$13=A53,1,0))</f>
        <v>0</v>
      </c>
      <c r="E53">
        <f ca="1">MATCH(A53,FantasyPts!$A$5:$A$57,0)</f>
        <v>9</v>
      </c>
      <c r="F53">
        <f ca="1">OFFSET(FantasyPts!$C$4,E53,0)</f>
        <v>0</v>
      </c>
      <c r="G53" t="s">
        <v>124</v>
      </c>
      <c r="H53" t="e">
        <f t="shared" ca="1" si="28"/>
        <v>#REF!</v>
      </c>
      <c r="K53" t="e">
        <f t="shared" ca="1" si="29"/>
        <v>#REF!</v>
      </c>
      <c r="L53">
        <f t="shared" si="33"/>
        <v>9</v>
      </c>
      <c r="M53" t="e">
        <f t="shared" ca="1" si="30"/>
        <v>#REF!</v>
      </c>
      <c r="N53" t="e">
        <f t="shared" ca="1" si="31"/>
        <v>#REF!</v>
      </c>
      <c r="O53" t="e">
        <f t="shared" ca="1" si="32"/>
        <v>#REF!</v>
      </c>
    </row>
    <row r="54" spans="1:15" x14ac:dyDescent="0.15">
      <c r="A54" s="64" t="s">
        <v>43</v>
      </c>
      <c r="B54" t="s">
        <v>62</v>
      </c>
      <c r="C54">
        <v>5</v>
      </c>
      <c r="D54">
        <f t="array" ref="D54">SUM(IF($3:$13=A54,1,0))</f>
        <v>0</v>
      </c>
      <c r="E54">
        <f ca="1">MATCH(A54,FantasyPts!$A$5:$A$57,0)</f>
        <v>10</v>
      </c>
      <c r="F54">
        <f ca="1">OFFSET(FantasyPts!$C$4,E54,0)</f>
        <v>0</v>
      </c>
      <c r="G54" t="s">
        <v>124</v>
      </c>
      <c r="H54" t="e">
        <f t="shared" ca="1" si="28"/>
        <v>#REF!</v>
      </c>
      <c r="K54" t="e">
        <f t="shared" ca="1" si="29"/>
        <v>#REF!</v>
      </c>
      <c r="L54">
        <f t="shared" si="33"/>
        <v>10</v>
      </c>
      <c r="M54" t="e">
        <f t="shared" ca="1" si="30"/>
        <v>#REF!</v>
      </c>
      <c r="N54" t="e">
        <f t="shared" ca="1" si="31"/>
        <v>#REF!</v>
      </c>
      <c r="O54" t="e">
        <f t="shared" ca="1" si="32"/>
        <v>#REF!</v>
      </c>
    </row>
    <row r="55" spans="1:15" x14ac:dyDescent="0.15">
      <c r="A55" s="64" t="s">
        <v>36</v>
      </c>
      <c r="B55" t="s">
        <v>93</v>
      </c>
      <c r="C55">
        <v>4</v>
      </c>
      <c r="D55">
        <f t="array" ref="D55">SUM(IF($3:$13=A55,1,0))</f>
        <v>0</v>
      </c>
      <c r="E55">
        <f ca="1">MATCH(A55,FantasyPts!$A$5:$A$57,0)</f>
        <v>11</v>
      </c>
      <c r="F55">
        <f ca="1">OFFSET(FantasyPts!$C$4,E55,0)</f>
        <v>0</v>
      </c>
      <c r="G55" t="s">
        <v>125</v>
      </c>
      <c r="H55" t="e">
        <f t="shared" ca="1" si="28"/>
        <v>#REF!</v>
      </c>
      <c r="K55" t="e">
        <f t="shared" ca="1" si="29"/>
        <v>#REF!</v>
      </c>
      <c r="L55">
        <f t="shared" si="33"/>
        <v>11</v>
      </c>
      <c r="M55" t="e">
        <f t="shared" ca="1" si="30"/>
        <v>#REF!</v>
      </c>
      <c r="N55" t="e">
        <f t="shared" ca="1" si="31"/>
        <v>#REF!</v>
      </c>
      <c r="O55" t="e">
        <f t="shared" ca="1" si="32"/>
        <v>#REF!</v>
      </c>
    </row>
    <row r="56" spans="1:15" x14ac:dyDescent="0.15">
      <c r="A56" s="64" t="s">
        <v>45</v>
      </c>
      <c r="B56" t="s">
        <v>65</v>
      </c>
      <c r="C56">
        <v>3</v>
      </c>
      <c r="D56">
        <f t="array" ref="D56">SUM(IF($3:$13=A56,1,0))</f>
        <v>0</v>
      </c>
      <c r="E56">
        <f ca="1">MATCH(A56,FantasyPts!$A$5:$A$57,0)</f>
        <v>12</v>
      </c>
      <c r="F56">
        <f ca="1">OFFSET(FantasyPts!$C$4,E56,0)</f>
        <v>0</v>
      </c>
      <c r="G56" t="s">
        <v>125</v>
      </c>
      <c r="H56" t="e">
        <f t="shared" ca="1" si="28"/>
        <v>#REF!</v>
      </c>
      <c r="K56" t="e">
        <f t="shared" ca="1" si="29"/>
        <v>#REF!</v>
      </c>
      <c r="L56">
        <f t="shared" si="33"/>
        <v>12</v>
      </c>
      <c r="M56" t="e">
        <f t="shared" ca="1" si="30"/>
        <v>#REF!</v>
      </c>
      <c r="N56" t="e">
        <f t="shared" ca="1" si="31"/>
        <v>#REF!</v>
      </c>
      <c r="O56" t="e">
        <f t="shared" ca="1" si="32"/>
        <v>#REF!</v>
      </c>
    </row>
    <row r="57" spans="1:15" x14ac:dyDescent="0.15">
      <c r="A57" s="64" t="s">
        <v>47</v>
      </c>
      <c r="B57" t="s">
        <v>58</v>
      </c>
      <c r="C57">
        <v>3</v>
      </c>
      <c r="D57">
        <f t="array" ref="D57">SUM(IF($3:$13=A57,1,0))</f>
        <v>0</v>
      </c>
      <c r="E57">
        <f ca="1">MATCH(A57,FantasyPts!$A$5:$A$57,0)</f>
        <v>13</v>
      </c>
      <c r="F57">
        <f ca="1">OFFSET(FantasyPts!$C$4,E57,0)</f>
        <v>0</v>
      </c>
      <c r="G57" t="s">
        <v>123</v>
      </c>
      <c r="H57" t="e">
        <f t="shared" ca="1" si="28"/>
        <v>#REF!</v>
      </c>
      <c r="K57" t="e">
        <f t="shared" ca="1" si="29"/>
        <v>#REF!</v>
      </c>
      <c r="L57">
        <f t="shared" si="33"/>
        <v>13</v>
      </c>
      <c r="M57" t="e">
        <f t="shared" ca="1" si="30"/>
        <v>#REF!</v>
      </c>
      <c r="N57" t="e">
        <f t="shared" ca="1" si="31"/>
        <v>#REF!</v>
      </c>
      <c r="O57" t="e">
        <f t="shared" ca="1" si="32"/>
        <v>#REF!</v>
      </c>
    </row>
    <row r="58" spans="1:15" x14ac:dyDescent="0.15">
      <c r="A58" s="64" t="s">
        <v>46</v>
      </c>
      <c r="B58" t="s">
        <v>60</v>
      </c>
      <c r="C58">
        <v>3</v>
      </c>
      <c r="D58">
        <f t="array" ref="D58">SUM(IF($3:$13=A58,1,0))</f>
        <v>0</v>
      </c>
      <c r="E58">
        <f ca="1">MATCH(A58,FantasyPts!$A$5:$A$57,0)</f>
        <v>14</v>
      </c>
      <c r="F58">
        <f ca="1">OFFSET(FantasyPts!$C$4,E58,0)</f>
        <v>0</v>
      </c>
      <c r="G58" t="s">
        <v>125</v>
      </c>
      <c r="H58" t="e">
        <f t="shared" ca="1" si="28"/>
        <v>#REF!</v>
      </c>
      <c r="K58" t="e">
        <f t="shared" ca="1" si="29"/>
        <v>#REF!</v>
      </c>
      <c r="L58">
        <f t="shared" si="33"/>
        <v>14</v>
      </c>
      <c r="M58" t="e">
        <f t="shared" ca="1" si="30"/>
        <v>#REF!</v>
      </c>
      <c r="N58" t="e">
        <f t="shared" ca="1" si="31"/>
        <v>#REF!</v>
      </c>
      <c r="O58" t="e">
        <f t="shared" ca="1" si="32"/>
        <v>#REF!</v>
      </c>
    </row>
    <row r="59" spans="1:15" x14ac:dyDescent="0.15">
      <c r="A59" s="64" t="s">
        <v>37</v>
      </c>
      <c r="B59" t="s">
        <v>59</v>
      </c>
      <c r="C59">
        <v>6</v>
      </c>
      <c r="D59">
        <f t="array" ref="D59">SUM(IF($3:$13=A59,1,0))</f>
        <v>0</v>
      </c>
      <c r="E59">
        <f ca="1">MATCH(A59,FantasyPts!$A$5:$A$57,0)</f>
        <v>15</v>
      </c>
      <c r="F59">
        <f ca="1">OFFSET(FantasyPts!$C$4,E59,0)</f>
        <v>0</v>
      </c>
      <c r="G59" t="s">
        <v>125</v>
      </c>
      <c r="H59" t="e">
        <f t="shared" ca="1" si="28"/>
        <v>#REF!</v>
      </c>
      <c r="K59" t="e">
        <f t="shared" ca="1" si="29"/>
        <v>#REF!</v>
      </c>
      <c r="L59">
        <f t="shared" si="33"/>
        <v>15</v>
      </c>
      <c r="M59" t="e">
        <f t="shared" ca="1" si="30"/>
        <v>#REF!</v>
      </c>
      <c r="N59" t="e">
        <f t="shared" ca="1" si="31"/>
        <v>#REF!</v>
      </c>
      <c r="O59" t="e">
        <f t="shared" ca="1" si="32"/>
        <v>#REF!</v>
      </c>
    </row>
    <row r="60" spans="1:15" x14ac:dyDescent="0.15">
      <c r="A60" s="64" t="s">
        <v>154</v>
      </c>
      <c r="B60" t="s">
        <v>170</v>
      </c>
      <c r="C60">
        <v>2</v>
      </c>
      <c r="D60">
        <f t="array" ref="D60">SUM(IF($3:$13=A60,1,0))</f>
        <v>0</v>
      </c>
      <c r="E60">
        <f ca="1">MATCH(A60,FantasyPts!$A$5:$A$57,0)</f>
        <v>16</v>
      </c>
      <c r="F60">
        <f ca="1">OFFSET(FantasyPts!$C$4,E60,0)</f>
        <v>0</v>
      </c>
      <c r="G60" t="s">
        <v>123</v>
      </c>
      <c r="H60" t="e">
        <f t="shared" ca="1" si="28"/>
        <v>#REF!</v>
      </c>
      <c r="K60" t="e">
        <f t="shared" ca="1" si="29"/>
        <v>#REF!</v>
      </c>
      <c r="L60">
        <f t="shared" si="33"/>
        <v>16</v>
      </c>
      <c r="M60" t="e">
        <f t="shared" ca="1" si="30"/>
        <v>#REF!</v>
      </c>
      <c r="N60" t="e">
        <f t="shared" ca="1" si="31"/>
        <v>#REF!</v>
      </c>
      <c r="O60" t="e">
        <f t="shared" ca="1" si="32"/>
        <v>#REF!</v>
      </c>
    </row>
    <row r="61" spans="1:15" x14ac:dyDescent="0.15">
      <c r="A61" s="64" t="s">
        <v>67</v>
      </c>
      <c r="B61" t="s">
        <v>94</v>
      </c>
      <c r="C61">
        <v>1</v>
      </c>
      <c r="D61">
        <f t="array" ref="D61">SUM(IF($3:$13=A61,1,0))</f>
        <v>0</v>
      </c>
      <c r="E61">
        <f ca="1">MATCH(A61,FantasyPts!$A$5:$A$57,0)</f>
        <v>17</v>
      </c>
      <c r="F61">
        <f ca="1">OFFSET(FantasyPts!$C$4,E61,0)</f>
        <v>0</v>
      </c>
      <c r="G61" t="s">
        <v>123</v>
      </c>
      <c r="H61" t="e">
        <f t="shared" ca="1" si="28"/>
        <v>#REF!</v>
      </c>
      <c r="K61" t="e">
        <f t="shared" ca="1" si="29"/>
        <v>#REF!</v>
      </c>
      <c r="L61">
        <f t="shared" si="33"/>
        <v>17</v>
      </c>
      <c r="M61" t="e">
        <f t="shared" ca="1" si="30"/>
        <v>#REF!</v>
      </c>
      <c r="N61" t="e">
        <f t="shared" ca="1" si="31"/>
        <v>#REF!</v>
      </c>
      <c r="O61" t="e">
        <f t="shared" ca="1" si="32"/>
        <v>#REF!</v>
      </c>
    </row>
    <row r="62" spans="1:15" x14ac:dyDescent="0.15">
      <c r="A62" s="64" t="s">
        <v>151</v>
      </c>
      <c r="B62" t="s">
        <v>150</v>
      </c>
      <c r="C62">
        <v>2</v>
      </c>
      <c r="D62">
        <f t="array" ref="D62">SUM(IF($3:$13=A62,1,0))</f>
        <v>0</v>
      </c>
      <c r="E62">
        <f ca="1">MATCH(A62,FantasyPts!$A$5:$A$57,0)</f>
        <v>18</v>
      </c>
      <c r="F62">
        <f ca="1">OFFSET(FantasyPts!$C$4,E62,0)</f>
        <v>0</v>
      </c>
      <c r="G62" t="s">
        <v>123</v>
      </c>
      <c r="H62" t="e">
        <f t="shared" ca="1" si="28"/>
        <v>#REF!</v>
      </c>
      <c r="K62" t="e">
        <f t="shared" ca="1" si="29"/>
        <v>#REF!</v>
      </c>
      <c r="L62">
        <f t="shared" si="33"/>
        <v>18</v>
      </c>
      <c r="M62" t="e">
        <f t="shared" ca="1" si="30"/>
        <v>#REF!</v>
      </c>
      <c r="N62" t="e">
        <f t="shared" ca="1" si="31"/>
        <v>#REF!</v>
      </c>
      <c r="O62" t="e">
        <f t="shared" ca="1" si="32"/>
        <v>#REF!</v>
      </c>
    </row>
    <row r="63" spans="1:15" x14ac:dyDescent="0.15">
      <c r="A63" s="64" t="s">
        <v>126</v>
      </c>
      <c r="B63" t="s">
        <v>127</v>
      </c>
      <c r="C63">
        <v>4</v>
      </c>
      <c r="D63">
        <f t="array" ref="D63">SUM(IF($3:$13=A63,1,0))</f>
        <v>0</v>
      </c>
      <c r="E63">
        <f ca="1">MATCH(A63,FantasyPts!$A$5:$A$57,0)</f>
        <v>19</v>
      </c>
      <c r="F63">
        <f ca="1">OFFSET(FantasyPts!$C$4,E63,0)</f>
        <v>0</v>
      </c>
      <c r="G63" t="s">
        <v>123</v>
      </c>
      <c r="H63" t="e">
        <f t="shared" ca="1" si="28"/>
        <v>#REF!</v>
      </c>
      <c r="K63" t="e">
        <f t="shared" ca="1" si="29"/>
        <v>#REF!</v>
      </c>
      <c r="L63">
        <f t="shared" si="33"/>
        <v>19</v>
      </c>
      <c r="M63" t="e">
        <f t="shared" ca="1" si="30"/>
        <v>#REF!</v>
      </c>
      <c r="N63" t="e">
        <f t="shared" ref="N63:N78" ca="1" si="34">IF(K63=0,"",K63)</f>
        <v>#REF!</v>
      </c>
      <c r="O63" t="e">
        <f t="shared" ca="1" si="32"/>
        <v>#REF!</v>
      </c>
    </row>
    <row r="64" spans="1:15" x14ac:dyDescent="0.15">
      <c r="A64" s="64" t="s">
        <v>39</v>
      </c>
      <c r="B64" t="s">
        <v>95</v>
      </c>
      <c r="C64">
        <v>5</v>
      </c>
      <c r="D64">
        <f t="array" ref="D64">SUM(IF($3:$13=A64,1,0))</f>
        <v>0</v>
      </c>
      <c r="E64">
        <f ca="1">MATCH(A64,FantasyPts!$A$5:$A$57,0)</f>
        <v>20</v>
      </c>
      <c r="F64">
        <f ca="1">OFFSET(FantasyPts!$C$4,E64,0)</f>
        <v>0</v>
      </c>
      <c r="G64" t="s">
        <v>124</v>
      </c>
      <c r="H64" t="e">
        <f t="shared" ca="1" si="28"/>
        <v>#REF!</v>
      </c>
      <c r="K64" t="e">
        <f t="shared" ca="1" si="29"/>
        <v>#REF!</v>
      </c>
      <c r="L64">
        <f t="shared" si="33"/>
        <v>20</v>
      </c>
      <c r="M64" t="e">
        <f t="shared" ca="1" si="30"/>
        <v>#REF!</v>
      </c>
      <c r="N64" t="e">
        <f t="shared" ca="1" si="34"/>
        <v>#REF!</v>
      </c>
      <c r="O64" t="e">
        <f t="shared" ca="1" si="32"/>
        <v>#REF!</v>
      </c>
    </row>
    <row r="65" spans="1:15" x14ac:dyDescent="0.15">
      <c r="A65" s="64" t="s">
        <v>40</v>
      </c>
      <c r="B65" t="s">
        <v>57</v>
      </c>
      <c r="C65">
        <v>11</v>
      </c>
      <c r="D65">
        <f t="array" ref="D65">SUM(IF($3:$13=A65,1,0))</f>
        <v>0</v>
      </c>
      <c r="E65">
        <f ca="1">MATCH(A65,FantasyPts!$A$5:$A$57,0)</f>
        <v>21</v>
      </c>
      <c r="F65">
        <f ca="1">OFFSET(FantasyPts!$C$4,E65,0)</f>
        <v>0</v>
      </c>
      <c r="G65" t="s">
        <v>13</v>
      </c>
      <c r="H65" t="e">
        <f t="shared" ca="1" si="28"/>
        <v>#REF!</v>
      </c>
      <c r="K65" t="e">
        <f t="shared" ca="1" si="29"/>
        <v>#REF!</v>
      </c>
      <c r="L65">
        <f t="shared" si="33"/>
        <v>21</v>
      </c>
      <c r="M65" t="e">
        <f t="shared" ca="1" si="30"/>
        <v>#REF!</v>
      </c>
      <c r="N65" t="e">
        <f t="shared" ca="1" si="34"/>
        <v>#REF!</v>
      </c>
      <c r="O65" t="e">
        <f t="shared" ca="1" si="32"/>
        <v>#REF!</v>
      </c>
    </row>
    <row r="66" spans="1:15" x14ac:dyDescent="0.15">
      <c r="A66" s="64" t="s">
        <v>50</v>
      </c>
      <c r="B66" t="s">
        <v>96</v>
      </c>
      <c r="C66">
        <v>5</v>
      </c>
      <c r="D66">
        <f t="array" ref="D66">SUM(IF($3:$13=A66,1,0))</f>
        <v>0</v>
      </c>
      <c r="E66">
        <f ca="1">MATCH(A66,FantasyPts!$A$5:$A$57,0)</f>
        <v>22</v>
      </c>
      <c r="F66">
        <f ca="1">OFFSET(FantasyPts!$C$4,E66,0)</f>
        <v>0</v>
      </c>
      <c r="G66" t="s">
        <v>124</v>
      </c>
      <c r="H66" t="e">
        <f t="shared" ca="1" si="28"/>
        <v>#REF!</v>
      </c>
      <c r="K66" t="e">
        <f t="shared" ca="1" si="29"/>
        <v>#REF!</v>
      </c>
      <c r="L66">
        <f t="shared" si="33"/>
        <v>22</v>
      </c>
      <c r="M66" t="e">
        <f t="shared" ca="1" si="30"/>
        <v>#REF!</v>
      </c>
      <c r="N66" t="e">
        <f t="shared" ca="1" si="34"/>
        <v>#REF!</v>
      </c>
      <c r="O66" t="e">
        <f t="shared" ca="1" si="32"/>
        <v>#REF!</v>
      </c>
    </row>
    <row r="67" spans="1:15" x14ac:dyDescent="0.15">
      <c r="A67" s="64" t="s">
        <v>167</v>
      </c>
      <c r="B67" t="s">
        <v>171</v>
      </c>
      <c r="C67">
        <v>2</v>
      </c>
      <c r="D67">
        <f t="array" ref="D67">SUM(IF($3:$13=A67,1,0))</f>
        <v>0</v>
      </c>
      <c r="E67">
        <f ca="1">MATCH(A67,FantasyPts!$A$5:$A$57,0)</f>
        <v>23</v>
      </c>
      <c r="F67">
        <f ca="1">OFFSET(FantasyPts!$C$4,E67,0)</f>
        <v>0</v>
      </c>
      <c r="G67" t="s">
        <v>13</v>
      </c>
      <c r="H67" t="e">
        <f t="shared" ca="1" si="28"/>
        <v>#REF!</v>
      </c>
      <c r="K67" t="e">
        <f t="shared" ca="1" si="29"/>
        <v>#REF!</v>
      </c>
      <c r="L67">
        <f t="shared" si="33"/>
        <v>23</v>
      </c>
      <c r="M67" t="e">
        <f t="shared" ca="1" si="30"/>
        <v>#REF!</v>
      </c>
      <c r="N67" t="e">
        <f t="shared" ca="1" si="34"/>
        <v>#REF!</v>
      </c>
      <c r="O67" t="e">
        <f t="shared" ca="1" si="32"/>
        <v>#REF!</v>
      </c>
    </row>
    <row r="68" spans="1:15" x14ac:dyDescent="0.15">
      <c r="A68" s="64" t="s">
        <v>148</v>
      </c>
      <c r="B68" t="s">
        <v>149</v>
      </c>
      <c r="C68">
        <v>2</v>
      </c>
      <c r="D68">
        <f t="array" ref="D68">SUM(IF($3:$13=A68,1,0))</f>
        <v>0</v>
      </c>
      <c r="E68">
        <f ca="1">MATCH(A68,FantasyPts!$A$5:$A$57,0)</f>
        <v>24</v>
      </c>
      <c r="F68">
        <f ca="1">OFFSET(FantasyPts!$C$4,E68,0)</f>
        <v>0</v>
      </c>
      <c r="G68" t="s">
        <v>124</v>
      </c>
      <c r="H68" t="e">
        <f t="shared" ca="1" si="28"/>
        <v>#REF!</v>
      </c>
      <c r="K68" t="e">
        <f t="shared" ca="1" si="29"/>
        <v>#REF!</v>
      </c>
      <c r="L68">
        <f t="shared" si="33"/>
        <v>24</v>
      </c>
      <c r="M68" t="e">
        <f t="shared" ca="1" si="30"/>
        <v>#REF!</v>
      </c>
      <c r="N68" t="e">
        <f t="shared" ca="1" si="34"/>
        <v>#REF!</v>
      </c>
      <c r="O68" t="e">
        <f t="shared" ca="1" si="32"/>
        <v>#REF!</v>
      </c>
    </row>
    <row r="69" spans="1:15" x14ac:dyDescent="0.15">
      <c r="A69" s="64" t="s">
        <v>53</v>
      </c>
      <c r="B69" t="s">
        <v>56</v>
      </c>
      <c r="C69">
        <v>3</v>
      </c>
      <c r="D69">
        <f t="array" ref="D69">SUM(IF($3:$13=A69,1,0))</f>
        <v>0</v>
      </c>
      <c r="E69">
        <f ca="1">MATCH(A69,FantasyPts!$A$5:$A$57,0)</f>
        <v>25</v>
      </c>
      <c r="F69">
        <f ca="1">OFFSET(FantasyPts!$C$4,E69,0)</f>
        <v>0</v>
      </c>
      <c r="G69" t="s">
        <v>124</v>
      </c>
      <c r="H69" t="e">
        <f t="shared" ca="1" si="28"/>
        <v>#REF!</v>
      </c>
      <c r="K69" t="e">
        <f t="shared" ca="1" si="29"/>
        <v>#REF!</v>
      </c>
      <c r="L69">
        <f t="shared" si="33"/>
        <v>25</v>
      </c>
      <c r="M69" t="e">
        <f t="shared" ca="1" si="30"/>
        <v>#REF!</v>
      </c>
      <c r="N69" t="e">
        <f t="shared" ca="1" si="34"/>
        <v>#REF!</v>
      </c>
      <c r="O69" t="e">
        <f t="shared" ca="1" si="32"/>
        <v>#REF!</v>
      </c>
    </row>
    <row r="70" spans="1:15" x14ac:dyDescent="0.15">
      <c r="A70" s="64" t="s">
        <v>69</v>
      </c>
      <c r="B70" t="s">
        <v>66</v>
      </c>
      <c r="C70">
        <v>3</v>
      </c>
      <c r="D70">
        <f t="array" ref="D70">SUM(IF($3:$13=A70,1,0))</f>
        <v>0</v>
      </c>
      <c r="E70">
        <f ca="1">MATCH(A70,FantasyPts!$A$5:$A$57,0)</f>
        <v>26</v>
      </c>
      <c r="F70">
        <f ca="1">OFFSET(FantasyPts!$C$4,E70,0)</f>
        <v>0</v>
      </c>
      <c r="G70" t="s">
        <v>13</v>
      </c>
      <c r="H70" t="e">
        <f t="shared" ca="1" si="28"/>
        <v>#REF!</v>
      </c>
      <c r="K70" t="e">
        <f t="shared" ca="1" si="29"/>
        <v>#REF!</v>
      </c>
      <c r="L70">
        <f t="shared" si="33"/>
        <v>26</v>
      </c>
      <c r="M70" t="e">
        <f t="shared" ca="1" si="30"/>
        <v>#REF!</v>
      </c>
      <c r="N70" t="e">
        <f t="shared" ca="1" si="34"/>
        <v>#REF!</v>
      </c>
      <c r="O70" t="e">
        <f t="shared" ca="1" si="32"/>
        <v>#REF!</v>
      </c>
    </row>
    <row r="71" spans="1:15" x14ac:dyDescent="0.15">
      <c r="A71" s="64" t="s">
        <v>52</v>
      </c>
      <c r="B71" t="s">
        <v>61</v>
      </c>
      <c r="C71">
        <v>5</v>
      </c>
      <c r="D71">
        <f t="array" ref="D71">SUM(IF($3:$13=A71,1,0))</f>
        <v>0</v>
      </c>
      <c r="E71">
        <f ca="1">MATCH(A71,FantasyPts!$A$5:$A$57,0)</f>
        <v>27</v>
      </c>
      <c r="F71">
        <f ca="1">OFFSET(FantasyPts!$C$4,E71,0)</f>
        <v>0</v>
      </c>
      <c r="G71" t="s">
        <v>123</v>
      </c>
      <c r="H71" t="e">
        <f t="shared" ca="1" si="28"/>
        <v>#REF!</v>
      </c>
      <c r="K71" t="e">
        <f t="shared" ca="1" si="29"/>
        <v>#REF!</v>
      </c>
      <c r="L71">
        <f t="shared" si="33"/>
        <v>27</v>
      </c>
      <c r="M71" t="e">
        <f t="shared" ca="1" si="30"/>
        <v>#REF!</v>
      </c>
      <c r="N71" t="e">
        <f t="shared" ca="1" si="34"/>
        <v>#REF!</v>
      </c>
      <c r="O71" t="e">
        <f t="shared" ca="1" si="32"/>
        <v>#REF!</v>
      </c>
    </row>
    <row r="72" spans="1:15" x14ac:dyDescent="0.15">
      <c r="A72" s="64" t="s">
        <v>68</v>
      </c>
      <c r="B72" t="s">
        <v>156</v>
      </c>
      <c r="C72">
        <v>3</v>
      </c>
      <c r="D72">
        <f t="array" ref="D72">SUM(IF($3:$13=A72,1,0))</f>
        <v>0</v>
      </c>
      <c r="E72">
        <f ca="1">MATCH(A72,FantasyPts!$A$5:$A$57,0)</f>
        <v>28</v>
      </c>
      <c r="F72">
        <f ca="1">OFFSET(FantasyPts!$C$4,E72,0)</f>
        <v>0</v>
      </c>
      <c r="G72" t="s">
        <v>123</v>
      </c>
      <c r="H72" t="e">
        <f t="shared" ca="1" si="28"/>
        <v>#REF!</v>
      </c>
      <c r="K72" t="e">
        <f t="shared" ca="1" si="29"/>
        <v>#REF!</v>
      </c>
      <c r="L72">
        <f t="shared" si="33"/>
        <v>28</v>
      </c>
      <c r="M72" t="e">
        <f t="shared" ca="1" si="30"/>
        <v>#REF!</v>
      </c>
      <c r="N72" t="e">
        <f t="shared" ca="1" si="34"/>
        <v>#REF!</v>
      </c>
      <c r="O72" t="e">
        <f t="shared" ca="1" si="32"/>
        <v>#REF!</v>
      </c>
    </row>
    <row r="73" spans="1:15" x14ac:dyDescent="0.15">
      <c r="A73" s="64" t="s">
        <v>121</v>
      </c>
      <c r="B73" t="s">
        <v>122</v>
      </c>
      <c r="C73">
        <v>9</v>
      </c>
      <c r="D73">
        <f t="array" ref="D73">SUM(IF($3:$13=A73,1,0))</f>
        <v>0</v>
      </c>
      <c r="E73">
        <f ca="1">MATCH(A73,FantasyPts!$A$5:$A$57,0)</f>
        <v>29</v>
      </c>
      <c r="F73">
        <f ca="1">OFFSET(FantasyPts!$C$4,E73,0)</f>
        <v>0</v>
      </c>
      <c r="G73" t="s">
        <v>13</v>
      </c>
      <c r="H73" t="e">
        <f t="shared" ca="1" si="28"/>
        <v>#REF!</v>
      </c>
      <c r="K73" t="e">
        <f t="shared" ca="1" si="29"/>
        <v>#REF!</v>
      </c>
      <c r="L73">
        <f t="shared" si="33"/>
        <v>29</v>
      </c>
      <c r="M73" t="e">
        <f t="shared" ca="1" si="30"/>
        <v>#REF!</v>
      </c>
      <c r="N73" t="e">
        <f t="shared" ca="1" si="34"/>
        <v>#REF!</v>
      </c>
      <c r="O73" t="e">
        <f t="shared" ca="1" si="32"/>
        <v>#REF!</v>
      </c>
    </row>
    <row r="74" spans="1:15" x14ac:dyDescent="0.15">
      <c r="A74" s="64" t="s">
        <v>49</v>
      </c>
      <c r="B74" t="s">
        <v>97</v>
      </c>
      <c r="C74">
        <v>4</v>
      </c>
      <c r="D74">
        <f t="array" ref="D74">SUM(IF($3:$13=A74,1,0))</f>
        <v>0</v>
      </c>
      <c r="E74">
        <f ca="1">MATCH(A74,FantasyPts!$A$5:$A$57,0)</f>
        <v>30</v>
      </c>
      <c r="F74">
        <f ca="1">OFFSET(FantasyPts!$C$4,E74,0)</f>
        <v>0</v>
      </c>
      <c r="G74" t="s">
        <v>123</v>
      </c>
      <c r="H74" t="e">
        <f t="shared" ca="1" si="28"/>
        <v>#REF!</v>
      </c>
      <c r="K74" t="e">
        <f t="shared" ca="1" si="29"/>
        <v>#REF!</v>
      </c>
      <c r="L74">
        <f t="shared" si="33"/>
        <v>30</v>
      </c>
      <c r="M74" t="e">
        <f t="shared" ca="1" si="30"/>
        <v>#REF!</v>
      </c>
      <c r="N74" t="e">
        <f t="shared" ca="1" si="34"/>
        <v>#REF!</v>
      </c>
      <c r="O74" t="e">
        <f t="shared" ca="1" si="32"/>
        <v>#REF!</v>
      </c>
    </row>
    <row r="75" spans="1:15" x14ac:dyDescent="0.15">
      <c r="A75" s="64" t="s">
        <v>159</v>
      </c>
      <c r="B75" t="s">
        <v>172</v>
      </c>
      <c r="C75">
        <v>2</v>
      </c>
      <c r="D75">
        <f t="array" ref="D75">SUM(IF($3:$13=A75,1,0))</f>
        <v>0</v>
      </c>
      <c r="E75">
        <f ca="1">MATCH(A75,FantasyPts!$A$5:$A$57,0)</f>
        <v>31</v>
      </c>
      <c r="F75">
        <f ca="1">OFFSET(FantasyPts!$C$4,E75,0)</f>
        <v>0</v>
      </c>
      <c r="G75" t="s">
        <v>124</v>
      </c>
      <c r="H75" t="e">
        <f t="shared" ca="1" si="28"/>
        <v>#REF!</v>
      </c>
      <c r="K75" t="e">
        <f t="shared" ca="1" si="29"/>
        <v>#REF!</v>
      </c>
      <c r="L75">
        <f t="shared" si="33"/>
        <v>31</v>
      </c>
      <c r="M75" t="e">
        <f t="shared" ca="1" si="30"/>
        <v>#REF!</v>
      </c>
      <c r="N75" t="e">
        <f t="shared" ca="1" si="34"/>
        <v>#REF!</v>
      </c>
      <c r="O75" t="e">
        <f t="shared" ca="1" si="32"/>
        <v>#REF!</v>
      </c>
    </row>
    <row r="76" spans="1:15" x14ac:dyDescent="0.15">
      <c r="A76" s="64" t="s">
        <v>147</v>
      </c>
      <c r="B76" t="s">
        <v>157</v>
      </c>
      <c r="C76">
        <v>2</v>
      </c>
      <c r="D76">
        <f t="array" ref="D76">SUM(IF($3:$13=A76,1,0))</f>
        <v>0</v>
      </c>
      <c r="E76">
        <f ca="1">MATCH(A76,FantasyPts!$A$5:$A$57,0)</f>
        <v>32</v>
      </c>
      <c r="F76">
        <f ca="1">OFFSET(FantasyPts!$C$4,E76,0)</f>
        <v>0</v>
      </c>
      <c r="G76" t="s">
        <v>123</v>
      </c>
      <c r="H76" t="e">
        <f t="shared" ca="1" si="28"/>
        <v>#REF!</v>
      </c>
      <c r="K76" t="e">
        <f t="shared" ca="1" si="29"/>
        <v>#REF!</v>
      </c>
      <c r="L76">
        <f t="shared" si="33"/>
        <v>32</v>
      </c>
      <c r="M76" t="e">
        <f t="shared" ca="1" si="30"/>
        <v>#REF!</v>
      </c>
      <c r="N76" t="e">
        <f t="shared" ca="1" si="34"/>
        <v>#REF!</v>
      </c>
      <c r="O76" t="e">
        <f t="shared" ca="1" si="32"/>
        <v>#REF!</v>
      </c>
    </row>
    <row r="77" spans="1:15" x14ac:dyDescent="0.15">
      <c r="A77" s="64" t="s">
        <v>158</v>
      </c>
      <c r="B77" t="s">
        <v>173</v>
      </c>
      <c r="C77">
        <v>2</v>
      </c>
      <c r="D77">
        <f t="array" ref="D77">SUM(IF($3:$13=A77,1,0))</f>
        <v>0</v>
      </c>
      <c r="E77">
        <f ca="1">MATCH(A77,FantasyPts!$A$5:$A$57,0)</f>
        <v>33</v>
      </c>
      <c r="F77">
        <f ca="1">OFFSET(FantasyPts!$C$4,E77,0)</f>
        <v>0</v>
      </c>
      <c r="G77" t="s">
        <v>123</v>
      </c>
      <c r="H77" t="e">
        <f t="shared" ca="1" si="28"/>
        <v>#REF!</v>
      </c>
      <c r="K77" t="e">
        <f t="shared" ca="1" si="29"/>
        <v>#REF!</v>
      </c>
      <c r="L77">
        <f t="shared" si="33"/>
        <v>33</v>
      </c>
      <c r="M77" t="e">
        <f t="shared" ca="1" si="30"/>
        <v>#REF!</v>
      </c>
      <c r="N77" t="e">
        <f t="shared" ca="1" si="34"/>
        <v>#REF!</v>
      </c>
      <c r="O77" t="e">
        <f t="shared" ca="1" si="32"/>
        <v>#REF!</v>
      </c>
    </row>
    <row r="78" spans="1:15" x14ac:dyDescent="0.15">
      <c r="A78" s="64" t="s">
        <v>38</v>
      </c>
      <c r="B78" t="s">
        <v>54</v>
      </c>
      <c r="C78">
        <v>3</v>
      </c>
      <c r="D78">
        <f t="array" ref="D78">SUM(IF($3:$13=A78,1,0))</f>
        <v>0</v>
      </c>
      <c r="E78">
        <f ca="1">MATCH(A78,FantasyPts!$A$5:$A$57,0)</f>
        <v>34</v>
      </c>
      <c r="F78">
        <f ca="1">OFFSET(FantasyPts!$C$4,E78,0)</f>
        <v>0</v>
      </c>
      <c r="G78" t="s">
        <v>13</v>
      </c>
      <c r="H78" t="e">
        <f t="shared" ca="1" si="28"/>
        <v>#REF!</v>
      </c>
      <c r="K78" t="e">
        <f t="shared" ca="1" si="29"/>
        <v>#REF!</v>
      </c>
      <c r="L78">
        <f t="shared" si="33"/>
        <v>34</v>
      </c>
      <c r="M78" t="e">
        <f t="shared" ca="1" si="30"/>
        <v>#REF!</v>
      </c>
      <c r="N78" t="e">
        <f t="shared" ca="1" si="34"/>
        <v>#REF!</v>
      </c>
      <c r="O78" t="e">
        <f t="shared" ca="1" si="32"/>
        <v>#REF!</v>
      </c>
    </row>
    <row r="79" spans="1:15" x14ac:dyDescent="0.15">
      <c r="A79" s="64" t="s">
        <v>48</v>
      </c>
      <c r="B79" t="s">
        <v>98</v>
      </c>
      <c r="C79">
        <v>13</v>
      </c>
      <c r="D79">
        <f t="array" ref="D79">SUM(IF($3:$13=A79,1,0))</f>
        <v>0</v>
      </c>
      <c r="E79">
        <f ca="1">MATCH(A79,FantasyPts!$A$5:$A$57,0)</f>
        <v>35</v>
      </c>
      <c r="F79">
        <f ca="1">OFFSET(FantasyPts!$C$4,E79,0)</f>
        <v>0</v>
      </c>
      <c r="G79" t="s">
        <v>125</v>
      </c>
      <c r="H79" t="e">
        <f t="shared" ca="1" si="28"/>
        <v>#REF!</v>
      </c>
      <c r="K79" t="e">
        <f t="shared" ca="1" si="29"/>
        <v>#REF!</v>
      </c>
      <c r="L79">
        <f t="shared" si="33"/>
        <v>35</v>
      </c>
      <c r="M79" t="e">
        <f t="shared" ca="1" si="30"/>
        <v>#REF!</v>
      </c>
      <c r="N79" t="e">
        <f t="shared" ref="N79:N87" ca="1" si="35">IF(K79=0,"",K79)</f>
        <v>#REF!</v>
      </c>
      <c r="O79" t="e">
        <f t="shared" ca="1" si="32"/>
        <v>#REF!</v>
      </c>
    </row>
    <row r="80" spans="1:15" x14ac:dyDescent="0.15">
      <c r="A80" s="64" t="s">
        <v>44</v>
      </c>
      <c r="B80" t="s">
        <v>55</v>
      </c>
      <c r="C80">
        <v>4</v>
      </c>
      <c r="D80">
        <f t="array" ref="D80">SUM(IF($3:$13=A80,1,0))</f>
        <v>0</v>
      </c>
      <c r="E80">
        <f ca="1">MATCH(A80,FantasyPts!$A$5:$A$57,0)</f>
        <v>36</v>
      </c>
      <c r="F80">
        <f ca="1">OFFSET(FantasyPts!$C$4,E80,0)</f>
        <v>0</v>
      </c>
      <c r="G80" t="s">
        <v>123</v>
      </c>
      <c r="H80" t="e">
        <f t="shared" ca="1" si="28"/>
        <v>#REF!</v>
      </c>
      <c r="K80" t="e">
        <f t="shared" ca="1" si="29"/>
        <v>#REF!</v>
      </c>
      <c r="L80">
        <f t="shared" si="33"/>
        <v>36</v>
      </c>
      <c r="M80" t="e">
        <f t="shared" ca="1" si="30"/>
        <v>#REF!</v>
      </c>
      <c r="N80" t="e">
        <f t="shared" ca="1" si="35"/>
        <v>#REF!</v>
      </c>
      <c r="O80" t="e">
        <f t="shared" ca="1" si="32"/>
        <v>#REF!</v>
      </c>
    </row>
    <row r="81" spans="1:15" x14ac:dyDescent="0.15">
      <c r="A81" s="64"/>
      <c r="H81" t="e">
        <f t="shared" ca="1" si="28"/>
        <v>#REF!</v>
      </c>
      <c r="K81" t="e">
        <f t="shared" ca="1" si="29"/>
        <v>#REF!</v>
      </c>
      <c r="L81">
        <f t="shared" si="33"/>
        <v>37</v>
      </c>
      <c r="M81" t="e">
        <f t="shared" ca="1" si="30"/>
        <v>#REF!</v>
      </c>
      <c r="N81" t="e">
        <f t="shared" ca="1" si="35"/>
        <v>#REF!</v>
      </c>
      <c r="O81" t="e">
        <f t="shared" ca="1" si="32"/>
        <v>#REF!</v>
      </c>
    </row>
    <row r="82" spans="1:15" x14ac:dyDescent="0.15">
      <c r="A82" s="64"/>
      <c r="H82" t="e">
        <f t="shared" ca="1" si="28"/>
        <v>#REF!</v>
      </c>
      <c r="K82" t="e">
        <f t="shared" ca="1" si="29"/>
        <v>#REF!</v>
      </c>
      <c r="L82">
        <f t="shared" si="33"/>
        <v>38</v>
      </c>
      <c r="M82" t="e">
        <f t="shared" ca="1" si="30"/>
        <v>#REF!</v>
      </c>
      <c r="N82" t="e">
        <f t="shared" ca="1" si="35"/>
        <v>#REF!</v>
      </c>
      <c r="O82" t="e">
        <f t="shared" ca="1" si="32"/>
        <v>#REF!</v>
      </c>
    </row>
    <row r="83" spans="1:15" x14ac:dyDescent="0.15">
      <c r="A83" s="64"/>
      <c r="H83" t="e">
        <f t="shared" ca="1" si="28"/>
        <v>#REF!</v>
      </c>
      <c r="K83" t="e">
        <f t="shared" ca="1" si="29"/>
        <v>#REF!</v>
      </c>
      <c r="L83">
        <f t="shared" si="33"/>
        <v>39</v>
      </c>
      <c r="M83" t="e">
        <f t="shared" ca="1" si="30"/>
        <v>#REF!</v>
      </c>
      <c r="N83" t="e">
        <f t="shared" ca="1" si="35"/>
        <v>#REF!</v>
      </c>
      <c r="O83" t="e">
        <f t="shared" ca="1" si="32"/>
        <v>#REF!</v>
      </c>
    </row>
    <row r="84" spans="1:15" x14ac:dyDescent="0.15">
      <c r="A84" s="64"/>
      <c r="H84" t="e">
        <f t="shared" ca="1" si="28"/>
        <v>#REF!</v>
      </c>
      <c r="K84" t="e">
        <f t="shared" ca="1" si="29"/>
        <v>#REF!</v>
      </c>
      <c r="L84">
        <f t="shared" si="33"/>
        <v>40</v>
      </c>
      <c r="M84" t="e">
        <f t="shared" ca="1" si="30"/>
        <v>#REF!</v>
      </c>
      <c r="N84" t="e">
        <f t="shared" ca="1" si="35"/>
        <v>#REF!</v>
      </c>
      <c r="O84" t="e">
        <f t="shared" ca="1" si="32"/>
        <v>#REF!</v>
      </c>
    </row>
    <row r="85" spans="1:15" x14ac:dyDescent="0.15">
      <c r="A85" s="64"/>
      <c r="H85" t="e">
        <f t="shared" ca="1" si="28"/>
        <v>#REF!</v>
      </c>
      <c r="K85" t="e">
        <f t="shared" ca="1" si="29"/>
        <v>#REF!</v>
      </c>
      <c r="L85">
        <f t="shared" si="33"/>
        <v>41</v>
      </c>
      <c r="M85" t="e">
        <f t="shared" ca="1" si="30"/>
        <v>#REF!</v>
      </c>
      <c r="N85" t="e">
        <f t="shared" ca="1" si="35"/>
        <v>#REF!</v>
      </c>
      <c r="O85" t="e">
        <f t="shared" ca="1" si="32"/>
        <v>#REF!</v>
      </c>
    </row>
    <row r="86" spans="1:15" x14ac:dyDescent="0.15">
      <c r="A86" s="64"/>
      <c r="K86" t="e">
        <f t="shared" ca="1" si="29"/>
        <v>#REF!</v>
      </c>
      <c r="L86">
        <f t="shared" si="33"/>
        <v>42</v>
      </c>
      <c r="M86" t="e">
        <f t="shared" ca="1" si="30"/>
        <v>#REF!</v>
      </c>
      <c r="N86" t="e">
        <f t="shared" ca="1" si="35"/>
        <v>#REF!</v>
      </c>
      <c r="O86" t="e">
        <f t="shared" ca="1" si="32"/>
        <v>#REF!</v>
      </c>
    </row>
    <row r="87" spans="1:15" x14ac:dyDescent="0.15">
      <c r="A87" s="64"/>
      <c r="K87" t="e">
        <f t="shared" ca="1" si="29"/>
        <v>#REF!</v>
      </c>
      <c r="L87">
        <f t="shared" si="33"/>
        <v>43</v>
      </c>
      <c r="M87" t="e">
        <f t="shared" ca="1" si="30"/>
        <v>#REF!</v>
      </c>
      <c r="N87" t="e">
        <f t="shared" ca="1" si="35"/>
        <v>#REF!</v>
      </c>
      <c r="O87" t="e">
        <f t="shared" ca="1" si="32"/>
        <v>#REF!</v>
      </c>
    </row>
    <row r="89" spans="1:15" x14ac:dyDescent="0.15">
      <c r="G89" t="s">
        <v>125</v>
      </c>
      <c r="H89">
        <f t="array" ref="H89">SUM(IF($G$45:$G$87=G89,1,0))</f>
        <v>6</v>
      </c>
    </row>
    <row r="90" spans="1:15" x14ac:dyDescent="0.15">
      <c r="G90" t="s">
        <v>123</v>
      </c>
      <c r="H90">
        <f t="array" ref="H90">SUM(IF($G$45:$G$87=G90,1,0))</f>
        <v>14</v>
      </c>
    </row>
    <row r="91" spans="1:15" x14ac:dyDescent="0.15">
      <c r="G91" t="s">
        <v>124</v>
      </c>
      <c r="H91">
        <f t="array" ref="H91">SUM(IF($G$45:$G$87=G91,1,0))</f>
        <v>11</v>
      </c>
    </row>
    <row r="92" spans="1:15" x14ac:dyDescent="0.15">
      <c r="G92" t="s">
        <v>13</v>
      </c>
      <c r="H92">
        <f t="array" ref="H92">SUM(IF($G$45:$G$87=G92,1,0))</f>
        <v>5</v>
      </c>
    </row>
    <row r="93" spans="1:15" x14ac:dyDescent="0.15">
      <c r="G93" t="s">
        <v>139</v>
      </c>
      <c r="H93">
        <f>SUM(H89:H92)</f>
        <v>36</v>
      </c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52"/>
  <sheetViews>
    <sheetView workbookViewId="0"/>
  </sheetViews>
  <sheetFormatPr defaultRowHeight="11.25" x14ac:dyDescent="0.2"/>
  <cols>
    <col min="1" max="1" width="9.28515625" style="5" bestFit="1" customWidth="1"/>
    <col min="2" max="2" width="16.7109375" style="5" bestFit="1" customWidth="1"/>
    <col min="3" max="3" width="4.28515625" style="9" bestFit="1" customWidth="1"/>
    <col min="4" max="4" width="5.85546875" style="5" customWidth="1"/>
    <col min="5" max="5" width="5.85546875" style="5" hidden="1" customWidth="1"/>
    <col min="6" max="6" width="5.7109375" style="5" bestFit="1" customWidth="1"/>
    <col min="7" max="7" width="4.42578125" style="5" hidden="1" customWidth="1"/>
    <col min="8" max="8" width="6.5703125" style="5" bestFit="1" customWidth="1"/>
    <col min="9" max="9" width="6.140625" style="5" bestFit="1" customWidth="1"/>
    <col min="10" max="10" width="4.42578125" style="5" bestFit="1" customWidth="1"/>
    <col min="11" max="11" width="5.85546875" style="5" bestFit="1" customWidth="1"/>
    <col min="12" max="12" width="7.85546875" style="5" hidden="1" customWidth="1"/>
    <col min="13" max="13" width="6.42578125" style="5" hidden="1" customWidth="1"/>
    <col min="14" max="14" width="4.42578125" style="5" hidden="1" customWidth="1"/>
    <col min="15" max="15" width="2.7109375" style="5" bestFit="1" customWidth="1"/>
    <col min="16" max="16" width="12.7109375" style="5" bestFit="1" customWidth="1"/>
    <col min="17" max="17" width="5.7109375" style="7" bestFit="1" customWidth="1"/>
    <col min="18" max="18" width="4.42578125" style="5" bestFit="1" customWidth="1"/>
    <col min="19" max="16384" width="9.140625" style="5"/>
  </cols>
  <sheetData>
    <row r="1" spans="1:20" x14ac:dyDescent="0.2">
      <c r="A1" s="5" t="s">
        <v>74</v>
      </c>
      <c r="C1" s="9">
        <v>89</v>
      </c>
    </row>
    <row r="2" spans="1:20" x14ac:dyDescent="0.2">
      <c r="A2" s="5" t="s">
        <v>75</v>
      </c>
      <c r="C2" s="9">
        <v>91</v>
      </c>
    </row>
    <row r="4" spans="1:20" ht="22.5" x14ac:dyDescent="0.2">
      <c r="A4" s="8"/>
      <c r="B4" s="8" t="s">
        <v>76</v>
      </c>
      <c r="C4" s="8" t="s">
        <v>77</v>
      </c>
      <c r="D4" s="8" t="s">
        <v>152</v>
      </c>
      <c r="E4" s="8" t="s">
        <v>78</v>
      </c>
      <c r="F4" s="8" t="s">
        <v>79</v>
      </c>
      <c r="G4" s="8" t="s">
        <v>80</v>
      </c>
      <c r="H4" s="8" t="s">
        <v>81</v>
      </c>
      <c r="I4" s="8" t="s">
        <v>82</v>
      </c>
      <c r="J4" s="8" t="s">
        <v>70</v>
      </c>
      <c r="K4" s="8" t="s">
        <v>184</v>
      </c>
      <c r="M4" s="8" t="s">
        <v>83</v>
      </c>
    </row>
    <row r="5" spans="1:20" x14ac:dyDescent="0.2">
      <c r="A5" s="64" t="str">
        <f t="array" aca="1" ref="A5:B46" ca="1">OFFSET('Fantasy Teams'!A45,0,0,FantasyPlayerCount,2)</f>
        <v>ADHA</v>
      </c>
      <c r="B5" t="str">
        <f ca="1"/>
        <v>Adrian Hawksworth</v>
      </c>
      <c r="C5" s="9">
        <f t="shared" ref="C5:C17" ca="1" si="0">F5+H5+I5+D5</f>
        <v>0</v>
      </c>
      <c r="D5" s="9">
        <f ca="1">IF(NOT(ISNA(E5)),5*OFFSET(Batting!$AK$4,E5,0,1,1),0)</f>
        <v>0</v>
      </c>
      <c r="E5" s="9" t="e">
        <f ca="1">MATCH(A5,Batting!$A$5:$A$74,0)</f>
        <v>#N/A</v>
      </c>
      <c r="F5" s="9">
        <f ca="1">IF(NOT(ISNA(E5)),OFFSET(Batting!$B$4,E5,$C$1,1,1),0)</f>
        <v>0</v>
      </c>
      <c r="G5" s="9" t="e">
        <f ca="1">MATCH(A5,Bowling!$A$5:$A$52,0)</f>
        <v>#N/A</v>
      </c>
      <c r="H5" s="9">
        <f ca="1">IF(NOT(ISNA(G5)),OFFSET(Bowling!#REF!,G5,0,1,1),0)</f>
        <v>0</v>
      </c>
      <c r="I5" s="9">
        <f ca="1">IF(NOT(ISNA(E5)),OFFSET(Batting!$B$4,E5,$C$1+1,1,1),0)</f>
        <v>0</v>
      </c>
      <c r="J5" s="9">
        <f ca="1">VLOOKUP(A5,'Fantasy Teams'!$A$45:$C$87,3,FALSE)</f>
        <v>3</v>
      </c>
      <c r="K5" s="10">
        <f ca="1">INT(C5*1000/J5)/1000</f>
        <v>0</v>
      </c>
      <c r="L5" s="5">
        <f ca="1">K5+ROW(K5)/100000</f>
        <v>5.0000000000000002E-5</v>
      </c>
      <c r="M5" s="5">
        <f ca="1">RANK(L5,$L$5:$L$40)</f>
        <v>36</v>
      </c>
      <c r="N5" s="5">
        <f ca="1">MATCH(O5,$M$5:$M$55,0)</f>
        <v>36</v>
      </c>
      <c r="O5" s="5">
        <v>1</v>
      </c>
      <c r="P5" s="5" t="str">
        <f t="shared" ref="P5:P31" ca="1" si="1">OFFSET($B$4,N5,0)</f>
        <v>Vince Reid</v>
      </c>
      <c r="Q5" s="7">
        <f t="shared" ref="Q5:Q31" ca="1" si="2">OFFSET($K$4,N5,0)</f>
        <v>0</v>
      </c>
      <c r="R5" s="5">
        <f t="shared" ref="R5:R46" ca="1" si="3">OFFSET($J$4,N5,0)</f>
        <v>4</v>
      </c>
    </row>
    <row r="6" spans="1:20" x14ac:dyDescent="0.2">
      <c r="A6" s="64" t="str">
        <f ca="1"/>
        <v>ADLE</v>
      </c>
      <c r="B6" t="str">
        <f ca="1"/>
        <v>Adam Lestrelle</v>
      </c>
      <c r="C6" s="9">
        <f t="shared" ca="1" si="0"/>
        <v>0</v>
      </c>
      <c r="D6" s="9">
        <f ca="1">IF(NOT(ISNA(E6)),5*OFFSET(Batting!$AK$4,E6,0,1,1),0)</f>
        <v>0</v>
      </c>
      <c r="E6" s="9" t="e">
        <f ca="1">MATCH(A6,Batting!$A$5:$A$74,0)</f>
        <v>#N/A</v>
      </c>
      <c r="F6" s="9">
        <f ca="1">IF(NOT(ISNA(E6)),OFFSET(Batting!$B$4,E6,$C$1,1,1),0)</f>
        <v>0</v>
      </c>
      <c r="G6" s="9" t="e">
        <f ca="1">MATCH(A6,Bowling!$A$5:$A$52,0)</f>
        <v>#N/A</v>
      </c>
      <c r="H6" s="9">
        <f ca="1">IF(NOT(ISNA(G6)),OFFSET(Bowling!#REF!,G6,0,1,1),0)</f>
        <v>0</v>
      </c>
      <c r="I6" s="9">
        <f ca="1">IF(NOT(ISNA(E6)),OFFSET(Batting!$B$4,E6,$C$1+1,1,1),0)</f>
        <v>0</v>
      </c>
      <c r="J6" s="9">
        <f ca="1">VLOOKUP(A6,'Fantasy Teams'!$A$45:$C$87,3,FALSE)</f>
        <v>2</v>
      </c>
      <c r="K6" s="10">
        <f t="shared" ref="K6:K46" ca="1" si="4">INT(C6*1000/J6)/1000</f>
        <v>0</v>
      </c>
      <c r="L6" s="5">
        <f t="shared" ref="L6:L46" ca="1" si="5">K6+ROW(K6)/100000</f>
        <v>6.0000000000000002E-5</v>
      </c>
      <c r="M6" s="5">
        <f t="shared" ref="M6:M46" ca="1" si="6">RANK(L6,$L$5:$L$40)</f>
        <v>35</v>
      </c>
      <c r="N6" s="5">
        <f t="shared" ref="N6:N46" ca="1" si="7">MATCH(O6,$M$5:$M$55,0)</f>
        <v>35</v>
      </c>
      <c r="O6" s="5">
        <f>O5+1</f>
        <v>2</v>
      </c>
      <c r="P6" s="5" t="str">
        <f t="shared" ca="1" si="1"/>
        <v>Tony Springer</v>
      </c>
      <c r="Q6" s="7">
        <f t="shared" ca="1" si="2"/>
        <v>0</v>
      </c>
      <c r="R6" s="5">
        <f t="shared" ca="1" si="3"/>
        <v>13</v>
      </c>
    </row>
    <row r="7" spans="1:20" x14ac:dyDescent="0.2">
      <c r="A7" s="64" t="str">
        <f ca="1"/>
        <v>AICO</v>
      </c>
      <c r="B7" t="str">
        <f ca="1"/>
        <v>Aiden Coloe</v>
      </c>
      <c r="C7" s="9">
        <f t="shared" ca="1" si="0"/>
        <v>0</v>
      </c>
      <c r="D7" s="9">
        <f ca="1">IF(NOT(ISNA(E7)),5*OFFSET(Batting!$AK$4,E7,0,1,1),0)</f>
        <v>0</v>
      </c>
      <c r="E7" s="9" t="e">
        <f ca="1">MATCH(A7,Batting!$A$5:$A$74,0)</f>
        <v>#N/A</v>
      </c>
      <c r="F7" s="9">
        <f ca="1">IF(NOT(ISNA(E7)),OFFSET(Batting!$B$4,E7,$C$1,1,1),0)</f>
        <v>0</v>
      </c>
      <c r="G7" s="9" t="e">
        <f ca="1">MATCH(A7,Bowling!$A$5:$A$52,0)</f>
        <v>#N/A</v>
      </c>
      <c r="H7" s="9">
        <f ca="1">IF(NOT(ISNA(G7)),OFFSET(Bowling!#REF!,G7,0,1,1),0)</f>
        <v>0</v>
      </c>
      <c r="I7" s="9">
        <f ca="1">IF(NOT(ISNA(E7)),OFFSET(Batting!$B$4,E7,$C$1+1,1,1),0)</f>
        <v>0</v>
      </c>
      <c r="J7" s="9">
        <f ca="1">VLOOKUP(A7,'Fantasy Teams'!$A$45:$C$87,3,FALSE)</f>
        <v>3</v>
      </c>
      <c r="K7" s="10">
        <f t="shared" ca="1" si="4"/>
        <v>0</v>
      </c>
      <c r="L7" s="5">
        <f t="shared" ca="1" si="5"/>
        <v>6.9999999999999994E-5</v>
      </c>
      <c r="M7" s="5">
        <f t="shared" ca="1" si="6"/>
        <v>34</v>
      </c>
      <c r="N7" s="5">
        <f t="shared" ca="1" si="7"/>
        <v>34</v>
      </c>
      <c r="O7" s="5">
        <f t="shared" ref="O7:O46" si="8">O6+1</f>
        <v>3</v>
      </c>
      <c r="P7" s="5" t="str">
        <f t="shared" ca="1" si="1"/>
        <v>Ted Dugdale</v>
      </c>
      <c r="Q7" s="7">
        <f t="shared" ca="1" si="2"/>
        <v>0</v>
      </c>
      <c r="R7" s="5">
        <f t="shared" ca="1" si="3"/>
        <v>3</v>
      </c>
    </row>
    <row r="8" spans="1:20" x14ac:dyDescent="0.2">
      <c r="A8" s="64" t="str">
        <f ca="1"/>
        <v>ANMA</v>
      </c>
      <c r="B8" t="str">
        <f ca="1"/>
        <v>Andy Mander</v>
      </c>
      <c r="C8" s="9">
        <f t="shared" ca="1" si="0"/>
        <v>0</v>
      </c>
      <c r="D8" s="9">
        <f ca="1">IF(NOT(ISNA(E8)),5*OFFSET(Batting!$AK$4,E8,0,1,1),0)</f>
        <v>0</v>
      </c>
      <c r="E8" s="9" t="e">
        <f ca="1">MATCH(A8,Batting!$A$5:$A$74,0)</f>
        <v>#N/A</v>
      </c>
      <c r="F8" s="9">
        <f ca="1">IF(NOT(ISNA(E8)),OFFSET(Batting!$B$4,E8,$C$1,1,1),0)</f>
        <v>0</v>
      </c>
      <c r="G8" s="9" t="e">
        <f ca="1">MATCH(A8,Bowling!$A$5:$A$52,0)</f>
        <v>#N/A</v>
      </c>
      <c r="H8" s="9">
        <f ca="1">IF(NOT(ISNA(G8)),OFFSET(Bowling!#REF!,G8,0,1,1),0)</f>
        <v>0</v>
      </c>
      <c r="I8" s="9">
        <f ca="1">IF(NOT(ISNA(E8)),OFFSET(Batting!$B$4,E8,$C$1+1,1,1),0)</f>
        <v>0</v>
      </c>
      <c r="J8" s="9">
        <f ca="1">VLOOKUP(A8,'Fantasy Teams'!$A$45:$C$87,3,FALSE)</f>
        <v>6</v>
      </c>
      <c r="K8" s="10">
        <f t="shared" ca="1" si="4"/>
        <v>0</v>
      </c>
      <c r="L8" s="5">
        <f t="shared" ca="1" si="5"/>
        <v>8.0000000000000007E-5</v>
      </c>
      <c r="M8" s="5">
        <f t="shared" ca="1" si="6"/>
        <v>33</v>
      </c>
      <c r="N8" s="5">
        <f t="shared" ca="1" si="7"/>
        <v>33</v>
      </c>
      <c r="O8" s="5">
        <f t="shared" si="8"/>
        <v>4</v>
      </c>
      <c r="P8" s="5" t="str">
        <f t="shared" ca="1" si="1"/>
        <v>Steve Barry</v>
      </c>
      <c r="Q8" s="7">
        <f t="shared" ca="1" si="2"/>
        <v>0</v>
      </c>
      <c r="R8" s="5">
        <f t="shared" ca="1" si="3"/>
        <v>2</v>
      </c>
    </row>
    <row r="9" spans="1:20" x14ac:dyDescent="0.2">
      <c r="A9" s="64" t="str">
        <f ca="1"/>
        <v>BOYO</v>
      </c>
      <c r="B9" t="str">
        <f ca="1"/>
        <v>Bob Young</v>
      </c>
      <c r="C9" s="9">
        <f t="shared" ca="1" si="0"/>
        <v>0</v>
      </c>
      <c r="D9" s="9">
        <f ca="1">IF(NOT(ISNA(E9)),5*OFFSET(Batting!$AK$4,E9,0,1,1),0)</f>
        <v>0</v>
      </c>
      <c r="E9" s="9" t="e">
        <f ca="1">MATCH(A9,Batting!$A$5:$A$74,0)</f>
        <v>#N/A</v>
      </c>
      <c r="F9" s="9">
        <f ca="1">IF(NOT(ISNA(E9)),OFFSET(Batting!$B$4,E9,$C$1,1,1),0)</f>
        <v>0</v>
      </c>
      <c r="G9" s="9" t="e">
        <f ca="1">MATCH(A9,Bowling!$A$5:$A$52,0)</f>
        <v>#N/A</v>
      </c>
      <c r="H9" s="9">
        <f ca="1">IF(NOT(ISNA(G9)),OFFSET(Bowling!#REF!,G9,0,1,1),0)</f>
        <v>0</v>
      </c>
      <c r="I9" s="9">
        <f ca="1">IF(NOT(ISNA(E9)),OFFSET(Batting!$B$4,E9,$C$1+1,1,1),0)</f>
        <v>0</v>
      </c>
      <c r="J9" s="9">
        <f ca="1">VLOOKUP(A9,'Fantasy Teams'!$A$45:$C$87,3,FALSE)</f>
        <v>4</v>
      </c>
      <c r="K9" s="10">
        <f t="shared" ca="1" si="4"/>
        <v>0</v>
      </c>
      <c r="L9" s="5">
        <f t="shared" ca="1" si="5"/>
        <v>9.0000000000000006E-5</v>
      </c>
      <c r="M9" s="5">
        <f t="shared" ca="1" si="6"/>
        <v>32</v>
      </c>
      <c r="N9" s="5">
        <f t="shared" ca="1" si="7"/>
        <v>32</v>
      </c>
      <c r="O9" s="5">
        <f t="shared" si="8"/>
        <v>5</v>
      </c>
      <c r="P9" s="5" t="str">
        <f t="shared" ca="1" si="1"/>
        <v>Roy Odeneal</v>
      </c>
      <c r="Q9" s="7">
        <f t="shared" ca="1" si="2"/>
        <v>0</v>
      </c>
      <c r="R9" s="5">
        <f t="shared" ca="1" si="3"/>
        <v>2</v>
      </c>
    </row>
    <row r="10" spans="1:20" x14ac:dyDescent="0.2">
      <c r="A10" s="64" t="str">
        <f ca="1"/>
        <v>CHCL</v>
      </c>
      <c r="B10" t="str">
        <f ca="1"/>
        <v>Chris Clark</v>
      </c>
      <c r="C10" s="9">
        <f t="shared" ca="1" si="0"/>
        <v>0</v>
      </c>
      <c r="D10" s="9">
        <f ca="1">IF(NOT(ISNA(E10)),5*OFFSET(Batting!$AK$4,E10,0,1,1),0)</f>
        <v>0</v>
      </c>
      <c r="E10" s="9" t="e">
        <f ca="1">MATCH(A10,Batting!$A$5:$A$74,0)</f>
        <v>#N/A</v>
      </c>
      <c r="F10" s="9">
        <f ca="1">IF(NOT(ISNA(E10)),OFFSET(Batting!$B$4,E10,$C$1,1,1),0)</f>
        <v>0</v>
      </c>
      <c r="G10" s="9" t="e">
        <f ca="1">MATCH(A10,Bowling!$A$5:$A$52,0)</f>
        <v>#N/A</v>
      </c>
      <c r="H10" s="9">
        <f ca="1">IF(NOT(ISNA(G10)),OFFSET(Bowling!#REF!,G10,0,1,1),0)</f>
        <v>0</v>
      </c>
      <c r="I10" s="9">
        <f ca="1">IF(NOT(ISNA(E10)),OFFSET(Batting!$B$4,E10,$C$1+1,1,1),0)</f>
        <v>0</v>
      </c>
      <c r="J10" s="9">
        <f ca="1">VLOOKUP(A10,'Fantasy Teams'!$A$45:$C$87,3,FALSE)</f>
        <v>6</v>
      </c>
      <c r="K10" s="10">
        <f t="shared" ca="1" si="4"/>
        <v>0</v>
      </c>
      <c r="L10" s="5">
        <f t="shared" ca="1" si="5"/>
        <v>1E-4</v>
      </c>
      <c r="M10" s="5">
        <f t="shared" ca="1" si="6"/>
        <v>31</v>
      </c>
      <c r="N10" s="5">
        <f t="shared" ca="1" si="7"/>
        <v>31</v>
      </c>
      <c r="O10" s="5">
        <f t="shared" si="8"/>
        <v>6</v>
      </c>
      <c r="P10" s="5" t="str">
        <f t="shared" ca="1" si="1"/>
        <v>Ron Morris</v>
      </c>
      <c r="Q10" s="7">
        <f t="shared" ca="1" si="2"/>
        <v>0</v>
      </c>
      <c r="R10" s="5">
        <f t="shared" ca="1" si="3"/>
        <v>2</v>
      </c>
    </row>
    <row r="11" spans="1:20" x14ac:dyDescent="0.2">
      <c r="A11" s="64" t="str">
        <f ca="1"/>
        <v>CLED</v>
      </c>
      <c r="B11" t="str">
        <f ca="1"/>
        <v>Clive Edghill</v>
      </c>
      <c r="C11" s="9">
        <f t="shared" ca="1" si="0"/>
        <v>0</v>
      </c>
      <c r="D11" s="9">
        <f ca="1">IF(NOT(ISNA(E11)),5*OFFSET(Batting!$AK$4,E11,0,1,1),0)</f>
        <v>0</v>
      </c>
      <c r="E11" s="9" t="e">
        <f ca="1">MATCH(A11,Batting!$A$5:$A$74,0)</f>
        <v>#N/A</v>
      </c>
      <c r="F11" s="9">
        <f ca="1">IF(NOT(ISNA(E11)),OFFSET(Batting!$B$4,E11,$C$1,1,1),0)</f>
        <v>0</v>
      </c>
      <c r="G11" s="9" t="e">
        <f ca="1">MATCH(A11,Bowling!$A$5:$A$52,0)</f>
        <v>#N/A</v>
      </c>
      <c r="H11" s="9">
        <f ca="1">IF(NOT(ISNA(G11)),OFFSET(Bowling!#REF!,G11,0,1,1),0)</f>
        <v>0</v>
      </c>
      <c r="I11" s="9">
        <f ca="1">IF(NOT(ISNA(E11)),OFFSET(Batting!$B$4,E11,$C$1+1,1,1),0)</f>
        <v>0</v>
      </c>
      <c r="J11" s="9">
        <f ca="1">VLOOKUP(A11,'Fantasy Teams'!$A$45:$C$87,3,FALSE)</f>
        <v>2</v>
      </c>
      <c r="K11" s="10">
        <f t="shared" ca="1" si="4"/>
        <v>0</v>
      </c>
      <c r="L11" s="5">
        <f t="shared" ca="1" si="5"/>
        <v>1.1E-4</v>
      </c>
      <c r="M11" s="5">
        <f t="shared" ca="1" si="6"/>
        <v>30</v>
      </c>
      <c r="N11" s="5">
        <f t="shared" ca="1" si="7"/>
        <v>30</v>
      </c>
      <c r="O11" s="5">
        <f t="shared" si="8"/>
        <v>7</v>
      </c>
      <c r="P11" s="5" t="str">
        <f t="shared" ca="1" si="1"/>
        <v>Rick Worthington</v>
      </c>
      <c r="Q11" s="7">
        <f t="shared" ca="1" si="2"/>
        <v>0</v>
      </c>
      <c r="R11" s="5">
        <f t="shared" ca="1" si="3"/>
        <v>4</v>
      </c>
    </row>
    <row r="12" spans="1:20" x14ac:dyDescent="0.2">
      <c r="A12" s="64" t="str">
        <f ca="1"/>
        <v>COMA</v>
      </c>
      <c r="B12" t="str">
        <f ca="1"/>
        <v>Colin Mander</v>
      </c>
      <c r="C12" s="9">
        <f t="shared" ca="1" si="0"/>
        <v>0</v>
      </c>
      <c r="D12" s="9">
        <f ca="1">IF(NOT(ISNA(E12)),5*OFFSET(Batting!$AK$4,E12,0,1,1),0)</f>
        <v>0</v>
      </c>
      <c r="E12" s="9" t="e">
        <f ca="1">MATCH(A12,Batting!$A$5:$A$74,0)</f>
        <v>#N/A</v>
      </c>
      <c r="F12" s="9">
        <f ca="1">IF(NOT(ISNA(E12)),OFFSET(Batting!$B$4,E12,$C$1,1,1),0)</f>
        <v>0</v>
      </c>
      <c r="G12" s="9" t="e">
        <f ca="1">MATCH(A12,Bowling!$A$5:$A$52,0)</f>
        <v>#N/A</v>
      </c>
      <c r="H12" s="9">
        <f ca="1">IF(NOT(ISNA(G12)),OFFSET(Bowling!#REF!,G12,0,1,1),0)</f>
        <v>0</v>
      </c>
      <c r="I12" s="9">
        <f ca="1">IF(NOT(ISNA(E12)),OFFSET(Batting!$B$4,E12,$C$1+1,1,1),0)</f>
        <v>0</v>
      </c>
      <c r="J12" s="9">
        <f ca="1">VLOOKUP(A12,'Fantasy Teams'!$A$45:$C$87,3,FALSE)</f>
        <v>9</v>
      </c>
      <c r="K12" s="10">
        <f t="shared" ca="1" si="4"/>
        <v>0</v>
      </c>
      <c r="L12" s="5">
        <f t="shared" ca="1" si="5"/>
        <v>1.2E-4</v>
      </c>
      <c r="M12" s="5">
        <f t="shared" ca="1" si="6"/>
        <v>29</v>
      </c>
      <c r="N12" s="5">
        <f t="shared" ca="1" si="7"/>
        <v>29</v>
      </c>
      <c r="O12" s="5">
        <f t="shared" si="8"/>
        <v>8</v>
      </c>
      <c r="P12" s="5" t="str">
        <f t="shared" ca="1" si="1"/>
        <v>Neil Mander</v>
      </c>
      <c r="Q12" s="7">
        <f t="shared" ca="1" si="2"/>
        <v>0</v>
      </c>
      <c r="R12" s="5">
        <f t="shared" ca="1" si="3"/>
        <v>9</v>
      </c>
    </row>
    <row r="13" spans="1:20" x14ac:dyDescent="0.2">
      <c r="A13" s="64" t="str">
        <f ca="1"/>
        <v>DACO</v>
      </c>
      <c r="B13" t="str">
        <f ca="1"/>
        <v>Daragh Corrigan</v>
      </c>
      <c r="C13" s="9">
        <f t="shared" ca="1" si="0"/>
        <v>0</v>
      </c>
      <c r="D13" s="9">
        <f ca="1">IF(NOT(ISNA(E13)),5*OFFSET(Batting!$AK$4,E13,0,1,1),0)</f>
        <v>0</v>
      </c>
      <c r="E13" s="9" t="e">
        <f ca="1">MATCH(A13,Batting!$A$5:$A$74,0)</f>
        <v>#N/A</v>
      </c>
      <c r="F13" s="9">
        <f ca="1">IF(NOT(ISNA(E13)),OFFSET(Batting!$B$4,E13,$C$1,1,1),0)</f>
        <v>0</v>
      </c>
      <c r="G13" s="9" t="e">
        <f ca="1">MATCH(A13,Bowling!$A$5:$A$52,0)</f>
        <v>#N/A</v>
      </c>
      <c r="H13" s="9">
        <f ca="1">IF(NOT(ISNA(G13)),OFFSET(Bowling!#REF!,G13,0,1,1),0)</f>
        <v>0</v>
      </c>
      <c r="I13" s="9">
        <f ca="1">IF(NOT(ISNA(E13)),OFFSET(Batting!$B$4,E13,$C$1+1,1,1),0)</f>
        <v>0</v>
      </c>
      <c r="J13" s="9">
        <f ca="1">VLOOKUP(A13,'Fantasy Teams'!$A$45:$C$87,3,FALSE)</f>
        <v>2</v>
      </c>
      <c r="K13" s="10">
        <f t="shared" ca="1" si="4"/>
        <v>0</v>
      </c>
      <c r="L13" s="5">
        <f t="shared" ca="1" si="5"/>
        <v>1.2999999999999999E-4</v>
      </c>
      <c r="M13" s="5">
        <f t="shared" ca="1" si="6"/>
        <v>28</v>
      </c>
      <c r="N13" s="5">
        <f t="shared" ca="1" si="7"/>
        <v>28</v>
      </c>
      <c r="O13" s="5">
        <f t="shared" si="8"/>
        <v>9</v>
      </c>
      <c r="P13" s="5" t="str">
        <f t="shared" ca="1" si="1"/>
        <v>Naimish Patel</v>
      </c>
      <c r="Q13" s="7">
        <f t="shared" ca="1" si="2"/>
        <v>0</v>
      </c>
      <c r="R13" s="5">
        <f t="shared" ca="1" si="3"/>
        <v>3</v>
      </c>
    </row>
    <row r="14" spans="1:20" x14ac:dyDescent="0.2">
      <c r="A14" s="64" t="str">
        <f ca="1"/>
        <v>DAMO</v>
      </c>
      <c r="B14" t="str">
        <f ca="1"/>
        <v>Dave Morris</v>
      </c>
      <c r="C14" s="9">
        <f t="shared" ca="1" si="0"/>
        <v>0</v>
      </c>
      <c r="D14" s="9">
        <f ca="1">IF(NOT(ISNA(E14)),5*OFFSET(Batting!$AK$4,E14,0,1,1),0)</f>
        <v>0</v>
      </c>
      <c r="E14" s="9" t="e">
        <f ca="1">MATCH(A14,Batting!$A$5:$A$74,0)</f>
        <v>#N/A</v>
      </c>
      <c r="F14" s="9">
        <f ca="1">IF(NOT(ISNA(E14)),OFFSET(Batting!$B$4,E14,$C$1,1,1),0)</f>
        <v>0</v>
      </c>
      <c r="G14" s="9" t="e">
        <f ca="1">MATCH(A14,Bowling!$A$5:$A$52,0)</f>
        <v>#N/A</v>
      </c>
      <c r="H14" s="9">
        <f ca="1">IF(NOT(ISNA(G14)),OFFSET(Bowling!#REF!,G14,0,1,1),0)</f>
        <v>0</v>
      </c>
      <c r="I14" s="9">
        <f ca="1">IF(NOT(ISNA(E14)),OFFSET(Batting!$B$4,E14,$C$1+1,1,1),0)</f>
        <v>0</v>
      </c>
      <c r="J14" s="9">
        <f ca="1">VLOOKUP(A14,'Fantasy Teams'!$A$45:$C$87,3,FALSE)</f>
        <v>5</v>
      </c>
      <c r="K14" s="10">
        <f t="shared" ca="1" si="4"/>
        <v>0</v>
      </c>
      <c r="L14" s="5">
        <f t="shared" ca="1" si="5"/>
        <v>1.3999999999999999E-4</v>
      </c>
      <c r="M14" s="5">
        <f t="shared" ca="1" si="6"/>
        <v>27</v>
      </c>
      <c r="N14" s="5">
        <f t="shared" ca="1" si="7"/>
        <v>27</v>
      </c>
      <c r="O14" s="5">
        <f t="shared" si="8"/>
        <v>10</v>
      </c>
      <c r="P14" s="5" t="str">
        <f t="shared" ca="1" si="1"/>
        <v>Mike Woodhouse</v>
      </c>
      <c r="Q14" s="7">
        <f t="shared" ca="1" si="2"/>
        <v>0</v>
      </c>
      <c r="R14" s="5">
        <f t="shared" ca="1" si="3"/>
        <v>5</v>
      </c>
    </row>
    <row r="15" spans="1:20" x14ac:dyDescent="0.2">
      <c r="A15" s="64" t="str">
        <f ca="1"/>
        <v>DABR</v>
      </c>
      <c r="B15" t="str">
        <f ca="1"/>
        <v>David Brocks</v>
      </c>
      <c r="C15" s="9">
        <f t="shared" ca="1" si="0"/>
        <v>0</v>
      </c>
      <c r="D15" s="9">
        <f ca="1">IF(NOT(ISNA(E15)),5*OFFSET(Batting!$AK$4,E15,0,1,1),0)</f>
        <v>0</v>
      </c>
      <c r="E15" s="9" t="e">
        <f ca="1">MATCH(A15,Batting!$A$5:$A$74,0)</f>
        <v>#N/A</v>
      </c>
      <c r="F15" s="9">
        <f ca="1">IF(NOT(ISNA(E15)),OFFSET(Batting!$B$4,E15,$C$1,1,1),0)</f>
        <v>0</v>
      </c>
      <c r="G15" s="9" t="e">
        <f ca="1">MATCH(A15,Bowling!$A$5:$A$52,0)</f>
        <v>#N/A</v>
      </c>
      <c r="H15" s="9">
        <f ca="1">IF(NOT(ISNA(G15)),OFFSET(Bowling!#REF!,G15,0,1,1),0)</f>
        <v>0</v>
      </c>
      <c r="I15" s="9">
        <f ca="1">IF(NOT(ISNA(E15)),OFFSET(Batting!$B$4,E15,$C$1+1,1,1),0)</f>
        <v>0</v>
      </c>
      <c r="J15" s="9">
        <f ca="1">VLOOKUP(A15,'Fantasy Teams'!$A$45:$C$87,3,FALSE)</f>
        <v>4</v>
      </c>
      <c r="K15" s="10">
        <f t="shared" ca="1" si="4"/>
        <v>0</v>
      </c>
      <c r="L15" s="5">
        <f t="shared" ca="1" si="5"/>
        <v>1.4999999999999999E-4</v>
      </c>
      <c r="M15" s="5">
        <f t="shared" ca="1" si="6"/>
        <v>26</v>
      </c>
      <c r="N15" s="5">
        <f t="shared" ca="1" si="7"/>
        <v>26</v>
      </c>
      <c r="O15" s="5">
        <f t="shared" si="8"/>
        <v>11</v>
      </c>
      <c r="P15" s="5" t="str">
        <f t="shared" ca="1" si="1"/>
        <v>Mike Hosking</v>
      </c>
      <c r="Q15" s="7">
        <f t="shared" ca="1" si="2"/>
        <v>0</v>
      </c>
      <c r="R15" s="5">
        <f t="shared" ca="1" si="3"/>
        <v>3</v>
      </c>
      <c r="S15" s="5">
        <f ca="1">SUM(R5:R15)</f>
        <v>50</v>
      </c>
      <c r="T15" s="99">
        <f t="array" aca="1" ref="T15" ca="1">SUM(Q5:Q15*R5:R15)</f>
        <v>0</v>
      </c>
    </row>
    <row r="16" spans="1:20" x14ac:dyDescent="0.2">
      <c r="A16" s="64" t="str">
        <f ca="1"/>
        <v>DASH</v>
      </c>
      <c r="B16" t="str">
        <f ca="1"/>
        <v>David Sharpe</v>
      </c>
      <c r="C16" s="9">
        <f t="shared" ca="1" si="0"/>
        <v>0</v>
      </c>
      <c r="D16" s="9">
        <f ca="1">IF(NOT(ISNA(E16)),5*OFFSET(Batting!$AK$4,E16,0,1,1),0)</f>
        <v>0</v>
      </c>
      <c r="E16" s="9" t="e">
        <f ca="1">MATCH(A16,Batting!$A$5:$A$74,0)</f>
        <v>#N/A</v>
      </c>
      <c r="F16" s="9">
        <f ca="1">IF(NOT(ISNA(E16)),OFFSET(Batting!$B$4,E16,$C$1,1,1),0)</f>
        <v>0</v>
      </c>
      <c r="G16" s="9" t="e">
        <f ca="1">MATCH(A16,Bowling!$A$5:$A$52,0)</f>
        <v>#N/A</v>
      </c>
      <c r="H16" s="9">
        <f ca="1">IF(NOT(ISNA(G16)),OFFSET(Bowling!#REF!,G16,0,1,1),0)</f>
        <v>0</v>
      </c>
      <c r="I16" s="9">
        <f ca="1">IF(NOT(ISNA(E16)),OFFSET(Batting!$B$4,E16,$C$1+1,1,1),0)</f>
        <v>0</v>
      </c>
      <c r="J16" s="9">
        <f ca="1">VLOOKUP(A16,'Fantasy Teams'!$A$45:$C$87,3,FALSE)</f>
        <v>3</v>
      </c>
      <c r="K16" s="10">
        <f t="shared" ca="1" si="4"/>
        <v>0</v>
      </c>
      <c r="L16" s="5">
        <f t="shared" ca="1" si="5"/>
        <v>1.6000000000000001E-4</v>
      </c>
      <c r="M16" s="5">
        <f t="shared" ca="1" si="6"/>
        <v>25</v>
      </c>
      <c r="N16" s="5">
        <f t="shared" ca="1" si="7"/>
        <v>25</v>
      </c>
      <c r="O16" s="5">
        <f t="shared" si="8"/>
        <v>12</v>
      </c>
      <c r="P16" s="5" t="str">
        <f t="shared" ca="1" si="1"/>
        <v>Mike Bowers</v>
      </c>
      <c r="Q16" s="7">
        <f t="shared" ca="1" si="2"/>
        <v>0</v>
      </c>
      <c r="R16" s="5">
        <f t="shared" ca="1" si="3"/>
        <v>3</v>
      </c>
    </row>
    <row r="17" spans="1:18" x14ac:dyDescent="0.2">
      <c r="A17" s="64" t="str">
        <f ca="1"/>
        <v>DASN</v>
      </c>
      <c r="B17" t="str">
        <f ca="1"/>
        <v>David Snow</v>
      </c>
      <c r="C17" s="9">
        <f t="shared" ca="1" si="0"/>
        <v>0</v>
      </c>
      <c r="D17" s="9">
        <f ca="1">IF(NOT(ISNA(E17)),5*OFFSET(Batting!$AK$4,E17,0,1,1),0)</f>
        <v>0</v>
      </c>
      <c r="E17" s="9" t="e">
        <f ca="1">MATCH(A17,Batting!$A$5:$A$74,0)</f>
        <v>#N/A</v>
      </c>
      <c r="F17" s="9">
        <f ca="1">IF(NOT(ISNA(E17)),OFFSET(Batting!$B$4,E17,$C$1,1,1),0)</f>
        <v>0</v>
      </c>
      <c r="G17" s="9" t="e">
        <f ca="1">MATCH(A17,Bowling!$A$5:$A$52,0)</f>
        <v>#N/A</v>
      </c>
      <c r="H17" s="9">
        <f ca="1">IF(NOT(ISNA(G17)),OFFSET(Bowling!#REF!,G17,0,1,1),0)</f>
        <v>0</v>
      </c>
      <c r="I17" s="9">
        <f ca="1">IF(NOT(ISNA(E17)),OFFSET(Batting!$B$4,E17,$C$1+1,1,1),0)</f>
        <v>0</v>
      </c>
      <c r="J17" s="9">
        <f ca="1">VLOOKUP(A17,'Fantasy Teams'!$A$45:$C$87,3,FALSE)</f>
        <v>3</v>
      </c>
      <c r="K17" s="10">
        <f t="shared" ca="1" si="4"/>
        <v>0</v>
      </c>
      <c r="L17" s="5">
        <f t="shared" ca="1" si="5"/>
        <v>1.7000000000000001E-4</v>
      </c>
      <c r="M17" s="5">
        <f t="shared" ca="1" si="6"/>
        <v>24</v>
      </c>
      <c r="N17" s="5">
        <f t="shared" ca="1" si="7"/>
        <v>24</v>
      </c>
      <c r="O17" s="5">
        <f t="shared" si="8"/>
        <v>13</v>
      </c>
      <c r="P17" s="5" t="str">
        <f t="shared" ca="1" si="1"/>
        <v>Mick Clark</v>
      </c>
      <c r="Q17" s="7">
        <f t="shared" ca="1" si="2"/>
        <v>0</v>
      </c>
      <c r="R17" s="5">
        <f t="shared" ca="1" si="3"/>
        <v>2</v>
      </c>
    </row>
    <row r="18" spans="1:18" x14ac:dyDescent="0.2">
      <c r="A18" s="64" t="str">
        <f ca="1"/>
        <v>DESH</v>
      </c>
      <c r="B18" t="str">
        <f ca="1"/>
        <v>Del Shewan</v>
      </c>
      <c r="C18" s="9">
        <f t="shared" ref="C18:C32" ca="1" si="9">F18+H18+I18+D18</f>
        <v>0</v>
      </c>
      <c r="D18" s="9">
        <f ca="1">IF(NOT(ISNA(E18)),5*OFFSET(Batting!$AK$4,E18,0,1,1),0)</f>
        <v>0</v>
      </c>
      <c r="E18" s="9" t="e">
        <f ca="1">MATCH(A18,Batting!$A$5:$A$74,0)</f>
        <v>#N/A</v>
      </c>
      <c r="F18" s="9">
        <f ca="1">IF(NOT(ISNA(E18)),OFFSET(Batting!$B$4,E18,$C$1,1,1),0)</f>
        <v>0</v>
      </c>
      <c r="G18" s="9" t="e">
        <f ca="1">MATCH(A18,Bowling!$A$5:$A$52,0)</f>
        <v>#N/A</v>
      </c>
      <c r="H18" s="9">
        <f ca="1">IF(NOT(ISNA(G18)),OFFSET(Bowling!#REF!,G18,0,1,1),0)</f>
        <v>0</v>
      </c>
      <c r="I18" s="9">
        <f ca="1">IF(NOT(ISNA(E18)),OFFSET(Batting!$B$4,E18,$C$1+1,1,1),0)</f>
        <v>0</v>
      </c>
      <c r="J18" s="9">
        <f ca="1">VLOOKUP(A18,'Fantasy Teams'!$A$45:$C$87,3,FALSE)</f>
        <v>3</v>
      </c>
      <c r="K18" s="10">
        <f t="shared" ca="1" si="4"/>
        <v>0</v>
      </c>
      <c r="L18" s="5">
        <f t="shared" ca="1" si="5"/>
        <v>1.8000000000000001E-4</v>
      </c>
      <c r="M18" s="5">
        <f t="shared" ca="1" si="6"/>
        <v>23</v>
      </c>
      <c r="N18" s="5">
        <f t="shared" ca="1" si="7"/>
        <v>23</v>
      </c>
      <c r="O18" s="5">
        <f t="shared" si="8"/>
        <v>14</v>
      </c>
      <c r="P18" s="5" t="str">
        <f t="shared" ca="1" si="1"/>
        <v>Kieran Moore</v>
      </c>
      <c r="Q18" s="7">
        <f t="shared" ca="1" si="2"/>
        <v>0</v>
      </c>
      <c r="R18" s="5">
        <f t="shared" ca="1" si="3"/>
        <v>2</v>
      </c>
    </row>
    <row r="19" spans="1:18" x14ac:dyDescent="0.2">
      <c r="A19" s="64" t="str">
        <f ca="1"/>
        <v>GECO</v>
      </c>
      <c r="B19" t="str">
        <f ca="1"/>
        <v>Geoff Cooper</v>
      </c>
      <c r="C19" s="9">
        <f t="shared" ca="1" si="9"/>
        <v>0</v>
      </c>
      <c r="D19" s="9">
        <f ca="1">IF(NOT(ISNA(E19)),5*OFFSET(Batting!$AK$4,E19,0,1,1),0)</f>
        <v>0</v>
      </c>
      <c r="E19" s="9" t="e">
        <f ca="1">MATCH(A19,Batting!$A$5:$A$74,0)</f>
        <v>#N/A</v>
      </c>
      <c r="F19" s="9">
        <f ca="1">IF(NOT(ISNA(E19)),OFFSET(Batting!$B$4,E19,$C$1,1,1),0)</f>
        <v>0</v>
      </c>
      <c r="G19" s="9" t="e">
        <f ca="1">MATCH(A19,Bowling!$A$5:$A$52,0)</f>
        <v>#N/A</v>
      </c>
      <c r="H19" s="9">
        <f ca="1">IF(NOT(ISNA(G19)),OFFSET(Bowling!#REF!,G19,0,1,1),0)</f>
        <v>0</v>
      </c>
      <c r="I19" s="9">
        <f ca="1">IF(NOT(ISNA(E19)),OFFSET(Batting!$B$4,E19,$C$1+1,1,1),0)</f>
        <v>0</v>
      </c>
      <c r="J19" s="9">
        <f ca="1">VLOOKUP(A19,'Fantasy Teams'!$A$45:$C$87,3,FALSE)</f>
        <v>6</v>
      </c>
      <c r="K19" s="10">
        <f t="shared" ca="1" si="4"/>
        <v>0</v>
      </c>
      <c r="L19" s="5">
        <f t="shared" ca="1" si="5"/>
        <v>1.9000000000000001E-4</v>
      </c>
      <c r="M19" s="5">
        <f t="shared" ca="1" si="6"/>
        <v>22</v>
      </c>
      <c r="N19" s="5">
        <f t="shared" ca="1" si="7"/>
        <v>22</v>
      </c>
      <c r="O19" s="5">
        <f t="shared" si="8"/>
        <v>15</v>
      </c>
      <c r="P19" s="5" t="str">
        <f t="shared" ca="1" si="1"/>
        <v>Jon Worthy</v>
      </c>
      <c r="Q19" s="7">
        <f t="shared" ca="1" si="2"/>
        <v>0</v>
      </c>
      <c r="R19" s="5">
        <f t="shared" ca="1" si="3"/>
        <v>5</v>
      </c>
    </row>
    <row r="20" spans="1:18" x14ac:dyDescent="0.2">
      <c r="A20" s="64" t="str">
        <f ca="1"/>
        <v>GLLI</v>
      </c>
      <c r="B20" t="str">
        <f ca="1"/>
        <v>Glen Lilley</v>
      </c>
      <c r="C20" s="9">
        <f t="shared" ca="1" si="9"/>
        <v>0</v>
      </c>
      <c r="D20" s="9">
        <f ca="1">IF(NOT(ISNA(E20)),5*OFFSET(Batting!$AK$4,E20,0,1,1),0)</f>
        <v>0</v>
      </c>
      <c r="E20" s="9" t="e">
        <f ca="1">MATCH(A20,Batting!$A$5:$A$74,0)</f>
        <v>#N/A</v>
      </c>
      <c r="F20" s="9">
        <f ca="1">IF(NOT(ISNA(E20)),OFFSET(Batting!$B$4,E20,$C$1,1,1),0)</f>
        <v>0</v>
      </c>
      <c r="G20" s="9" t="e">
        <f ca="1">MATCH(A20,Bowling!$A$5:$A$52,0)</f>
        <v>#N/A</v>
      </c>
      <c r="H20" s="9">
        <f ca="1">IF(NOT(ISNA(G20)),OFFSET(Bowling!#REF!,G20,0,1,1),0)</f>
        <v>0</v>
      </c>
      <c r="I20" s="9">
        <f ca="1">IF(NOT(ISNA(E20)),OFFSET(Batting!$B$4,E20,$C$1+1,1,1),0)</f>
        <v>0</v>
      </c>
      <c r="J20" s="9">
        <f ca="1">VLOOKUP(A20,'Fantasy Teams'!$A$45:$C$87,3,FALSE)</f>
        <v>2</v>
      </c>
      <c r="K20" s="10">
        <f t="shared" ca="1" si="4"/>
        <v>0</v>
      </c>
      <c r="L20" s="5">
        <f t="shared" ca="1" si="5"/>
        <v>2.0000000000000001E-4</v>
      </c>
      <c r="M20" s="5">
        <f t="shared" ca="1" si="6"/>
        <v>21</v>
      </c>
      <c r="N20" s="5">
        <f t="shared" ca="1" si="7"/>
        <v>21</v>
      </c>
      <c r="O20" s="5">
        <f t="shared" si="8"/>
        <v>16</v>
      </c>
      <c r="P20" s="5" t="str">
        <f t="shared" ca="1" si="1"/>
        <v>John Leadley</v>
      </c>
      <c r="Q20" s="7">
        <f t="shared" ca="1" si="2"/>
        <v>0</v>
      </c>
      <c r="R20" s="5">
        <f t="shared" ca="1" si="3"/>
        <v>11</v>
      </c>
    </row>
    <row r="21" spans="1:18" x14ac:dyDescent="0.2">
      <c r="A21" s="64" t="str">
        <f ca="1"/>
        <v>GLAN</v>
      </c>
      <c r="B21" t="str">
        <f ca="1"/>
        <v>Glyn Angell</v>
      </c>
      <c r="C21" s="9">
        <f t="shared" ca="1" si="9"/>
        <v>0</v>
      </c>
      <c r="D21" s="9">
        <f ca="1">IF(NOT(ISNA(E21)),5*OFFSET(Batting!$AK$4,E21,0,1,1),0)</f>
        <v>0</v>
      </c>
      <c r="E21" s="9" t="e">
        <f ca="1">MATCH(A21,Batting!$A$5:$A$74,0)</f>
        <v>#N/A</v>
      </c>
      <c r="F21" s="9">
        <f ca="1">IF(NOT(ISNA(E21)),OFFSET(Batting!$B$4,E21,$C$1,1,1),0)</f>
        <v>0</v>
      </c>
      <c r="G21" s="9" t="e">
        <f ca="1">MATCH(A21,Bowling!$A$5:$A$52,0)</f>
        <v>#N/A</v>
      </c>
      <c r="H21" s="9">
        <f ca="1">IF(NOT(ISNA(G21)),OFFSET(Bowling!#REF!,G21,0,1,1),0)</f>
        <v>0</v>
      </c>
      <c r="I21" s="9">
        <f ca="1">IF(NOT(ISNA(E21)),OFFSET(Batting!$B$4,E21,$C$1+1,1,1),0)</f>
        <v>0</v>
      </c>
      <c r="J21" s="9">
        <f ca="1">VLOOKUP(A21,'Fantasy Teams'!$A$45:$C$87,3,FALSE)</f>
        <v>1</v>
      </c>
      <c r="K21" s="10">
        <f t="shared" ca="1" si="4"/>
        <v>0</v>
      </c>
      <c r="L21" s="5">
        <f t="shared" ca="1" si="5"/>
        <v>2.1000000000000001E-4</v>
      </c>
      <c r="M21" s="5">
        <f t="shared" ca="1" si="6"/>
        <v>20</v>
      </c>
      <c r="N21" s="5">
        <f t="shared" ca="1" si="7"/>
        <v>20</v>
      </c>
      <c r="O21" s="5">
        <f t="shared" si="8"/>
        <v>17</v>
      </c>
      <c r="P21" s="5" t="str">
        <f t="shared" ca="1" si="1"/>
        <v>John Elliston</v>
      </c>
      <c r="Q21" s="7">
        <f t="shared" ca="1" si="2"/>
        <v>0</v>
      </c>
      <c r="R21" s="5">
        <f t="shared" ca="1" si="3"/>
        <v>5</v>
      </c>
    </row>
    <row r="22" spans="1:18" x14ac:dyDescent="0.2">
      <c r="A22" s="64" t="str">
        <f ca="1"/>
        <v>JACR</v>
      </c>
      <c r="B22" t="str">
        <f ca="1"/>
        <v>Jason Crisford</v>
      </c>
      <c r="C22" s="9">
        <f t="shared" ca="1" si="9"/>
        <v>0</v>
      </c>
      <c r="D22" s="9">
        <f ca="1">IF(NOT(ISNA(E22)),5*OFFSET(Batting!$AK$4,E22,0,1,1),0)</f>
        <v>0</v>
      </c>
      <c r="E22" s="9" t="e">
        <f ca="1">MATCH(A22,Batting!$A$5:$A$74,0)</f>
        <v>#N/A</v>
      </c>
      <c r="F22" s="9">
        <f ca="1">IF(NOT(ISNA(E22)),OFFSET(Batting!$B$4,E22,$C$1,1,1),0)</f>
        <v>0</v>
      </c>
      <c r="G22" s="9" t="e">
        <f ca="1">MATCH(A22,Bowling!$A$5:$A$52,0)</f>
        <v>#N/A</v>
      </c>
      <c r="H22" s="9">
        <f ca="1">IF(NOT(ISNA(G22)),OFFSET(Bowling!#REF!,G22,0,1,1),0)</f>
        <v>0</v>
      </c>
      <c r="I22" s="9">
        <f ca="1">IF(NOT(ISNA(E22)),OFFSET(Batting!$B$4,E22,$C$1+1,1,1),0)</f>
        <v>0</v>
      </c>
      <c r="J22" s="9">
        <f ca="1">VLOOKUP(A22,'Fantasy Teams'!$A$45:$C$87,3,FALSE)</f>
        <v>2</v>
      </c>
      <c r="K22" s="10">
        <f t="shared" ca="1" si="4"/>
        <v>0</v>
      </c>
      <c r="L22" s="5">
        <f t="shared" ca="1" si="5"/>
        <v>2.2000000000000001E-4</v>
      </c>
      <c r="M22" s="5">
        <f t="shared" ca="1" si="6"/>
        <v>19</v>
      </c>
      <c r="N22" s="5">
        <f t="shared" ca="1" si="7"/>
        <v>19</v>
      </c>
      <c r="O22" s="5">
        <f t="shared" si="8"/>
        <v>18</v>
      </c>
      <c r="P22" s="5" t="str">
        <f t="shared" ca="1" si="1"/>
        <v>Jeff Lestrelle</v>
      </c>
      <c r="Q22" s="7">
        <f t="shared" ca="1" si="2"/>
        <v>0</v>
      </c>
      <c r="R22" s="5">
        <f t="shared" ca="1" si="3"/>
        <v>4</v>
      </c>
    </row>
    <row r="23" spans="1:18" x14ac:dyDescent="0.2">
      <c r="A23" s="64" t="str">
        <f ca="1"/>
        <v>JELE</v>
      </c>
      <c r="B23" t="str">
        <f ca="1"/>
        <v>Jeff Lestrelle</v>
      </c>
      <c r="C23" s="9">
        <f t="shared" ca="1" si="9"/>
        <v>0</v>
      </c>
      <c r="D23" s="9">
        <f ca="1">IF(NOT(ISNA(E23)),5*OFFSET(Batting!$AK$4,E23,0,1,1),0)</f>
        <v>0</v>
      </c>
      <c r="E23" s="9" t="e">
        <f ca="1">MATCH(A23,Batting!$A$5:$A$74,0)</f>
        <v>#N/A</v>
      </c>
      <c r="F23" s="9">
        <f ca="1">IF(NOT(ISNA(E23)),OFFSET(Batting!$B$4,E23,$C$1,1,1),0)</f>
        <v>0</v>
      </c>
      <c r="G23" s="9" t="e">
        <f ca="1">MATCH(A23,Bowling!$A$5:$A$52,0)</f>
        <v>#N/A</v>
      </c>
      <c r="H23" s="9">
        <f ca="1">IF(NOT(ISNA(G23)),OFFSET(Bowling!#REF!,G23,0,1,1),0)</f>
        <v>0</v>
      </c>
      <c r="I23" s="9">
        <f ca="1">IF(NOT(ISNA(E23)),OFFSET(Batting!$B$4,E23,$C$1+1,1,1),0)</f>
        <v>0</v>
      </c>
      <c r="J23" s="9">
        <f ca="1">VLOOKUP(A23,'Fantasy Teams'!$A$45:$C$87,3,FALSE)</f>
        <v>4</v>
      </c>
      <c r="K23" s="10">
        <f t="shared" ca="1" si="4"/>
        <v>0</v>
      </c>
      <c r="L23" s="5">
        <f t="shared" ca="1" si="5"/>
        <v>2.3000000000000001E-4</v>
      </c>
      <c r="M23" s="5">
        <f t="shared" ca="1" si="6"/>
        <v>18</v>
      </c>
      <c r="N23" s="5">
        <f t="shared" ca="1" si="7"/>
        <v>18</v>
      </c>
      <c r="O23" s="5">
        <f t="shared" si="8"/>
        <v>19</v>
      </c>
      <c r="P23" s="5" t="str">
        <f t="shared" ca="1" si="1"/>
        <v>Jason Crisford</v>
      </c>
      <c r="Q23" s="7">
        <f t="shared" ca="1" si="2"/>
        <v>0</v>
      </c>
      <c r="R23" s="5">
        <f t="shared" ca="1" si="3"/>
        <v>2</v>
      </c>
    </row>
    <row r="24" spans="1:18" x14ac:dyDescent="0.2">
      <c r="A24" s="64" t="str">
        <f ca="1"/>
        <v>JOEL</v>
      </c>
      <c r="B24" t="str">
        <f ca="1"/>
        <v>John Elliston</v>
      </c>
      <c r="C24" s="9">
        <f t="shared" ca="1" si="9"/>
        <v>0</v>
      </c>
      <c r="D24" s="9">
        <f ca="1">IF(NOT(ISNA(E24)),5*OFFSET(Batting!$AK$4,E24,0,1,1),0)</f>
        <v>0</v>
      </c>
      <c r="E24" s="9" t="e">
        <f ca="1">MATCH(A24,Batting!$A$5:$A$74,0)</f>
        <v>#N/A</v>
      </c>
      <c r="F24" s="9">
        <f ca="1">IF(NOT(ISNA(E24)),OFFSET(Batting!$B$4,E24,$C$1,1,1),0)</f>
        <v>0</v>
      </c>
      <c r="G24" s="9" t="e">
        <f ca="1">MATCH(A24,Bowling!$A$5:$A$52,0)</f>
        <v>#N/A</v>
      </c>
      <c r="H24" s="9">
        <f ca="1">IF(NOT(ISNA(G24)),OFFSET(Bowling!#REF!,G24,0,1,1),0)</f>
        <v>0</v>
      </c>
      <c r="I24" s="9">
        <f ca="1">IF(NOT(ISNA(E24)),OFFSET(Batting!$B$4,E24,$C$1+1,1,1),0)</f>
        <v>0</v>
      </c>
      <c r="J24" s="9">
        <f ca="1">VLOOKUP(A24,'Fantasy Teams'!$A$45:$C$87,3,FALSE)</f>
        <v>5</v>
      </c>
      <c r="K24" s="10">
        <f t="shared" ca="1" si="4"/>
        <v>0</v>
      </c>
      <c r="L24" s="5">
        <f t="shared" ca="1" si="5"/>
        <v>2.4000000000000001E-4</v>
      </c>
      <c r="M24" s="5">
        <f t="shared" ca="1" si="6"/>
        <v>17</v>
      </c>
      <c r="N24" s="5">
        <f t="shared" ca="1" si="7"/>
        <v>17</v>
      </c>
      <c r="O24" s="5">
        <f t="shared" si="8"/>
        <v>20</v>
      </c>
      <c r="P24" s="5" t="str">
        <f t="shared" ca="1" si="1"/>
        <v>Glyn Angell</v>
      </c>
      <c r="Q24" s="7">
        <f t="shared" ca="1" si="2"/>
        <v>0</v>
      </c>
      <c r="R24" s="5">
        <f t="shared" ca="1" si="3"/>
        <v>1</v>
      </c>
    </row>
    <row r="25" spans="1:18" x14ac:dyDescent="0.2">
      <c r="A25" s="64" t="str">
        <f ca="1"/>
        <v>JOLE</v>
      </c>
      <c r="B25" t="str">
        <f ca="1"/>
        <v>John Leadley</v>
      </c>
      <c r="C25" s="9">
        <f t="shared" ca="1" si="9"/>
        <v>0</v>
      </c>
      <c r="D25" s="9">
        <f ca="1">IF(NOT(ISNA(E25)),5*OFFSET(Batting!$AK$4,E25,0,1,1),0)</f>
        <v>0</v>
      </c>
      <c r="E25" s="9" t="e">
        <f ca="1">MATCH(A25,Batting!$A$5:$A$74,0)</f>
        <v>#N/A</v>
      </c>
      <c r="F25" s="9">
        <f ca="1">IF(NOT(ISNA(E25)),OFFSET(Batting!$B$4,E25,$C$1,1,1),0)</f>
        <v>0</v>
      </c>
      <c r="G25" s="9" t="e">
        <f ca="1">MATCH(A25,Bowling!$A$5:$A$52,0)</f>
        <v>#N/A</v>
      </c>
      <c r="H25" s="9">
        <f ca="1">IF(NOT(ISNA(G25)),OFFSET(Bowling!#REF!,G25,0,1,1),0)</f>
        <v>0</v>
      </c>
      <c r="I25" s="9">
        <f ca="1">IF(NOT(ISNA(E25)),OFFSET(Batting!$B$4,E25,$C$1+1,1,1),0)</f>
        <v>0</v>
      </c>
      <c r="J25" s="9">
        <f ca="1">VLOOKUP(A25,'Fantasy Teams'!$A$45:$C$87,3,FALSE)</f>
        <v>11</v>
      </c>
      <c r="K25" s="10">
        <f t="shared" ca="1" si="4"/>
        <v>0</v>
      </c>
      <c r="L25" s="5">
        <f t="shared" ca="1" si="5"/>
        <v>2.5000000000000001E-4</v>
      </c>
      <c r="M25" s="5">
        <f t="shared" ca="1" si="6"/>
        <v>16</v>
      </c>
      <c r="N25" s="5">
        <f t="shared" ca="1" si="7"/>
        <v>16</v>
      </c>
      <c r="O25" s="5">
        <f t="shared" si="8"/>
        <v>21</v>
      </c>
      <c r="P25" s="5" t="str">
        <f t="shared" ca="1" si="1"/>
        <v>Glen Lilley</v>
      </c>
      <c r="Q25" s="7">
        <f t="shared" ca="1" si="2"/>
        <v>0</v>
      </c>
      <c r="R25" s="5">
        <f t="shared" ca="1" si="3"/>
        <v>2</v>
      </c>
    </row>
    <row r="26" spans="1:18" x14ac:dyDescent="0.2">
      <c r="A26" s="64" t="str">
        <f ca="1"/>
        <v>JOWO</v>
      </c>
      <c r="B26" t="str">
        <f ca="1"/>
        <v>Jon Worthy</v>
      </c>
      <c r="C26" s="9">
        <f t="shared" ca="1" si="9"/>
        <v>0</v>
      </c>
      <c r="D26" s="9">
        <f ca="1">IF(NOT(ISNA(E26)),5*OFFSET(Batting!$AK$4,E26,0,1,1),0)</f>
        <v>0</v>
      </c>
      <c r="E26" s="9" t="e">
        <f ca="1">MATCH(A26,Batting!$A$5:$A$74,0)</f>
        <v>#N/A</v>
      </c>
      <c r="F26" s="9">
        <f ca="1">IF(NOT(ISNA(E26)),OFFSET(Batting!$B$4,E26,$C$1,1,1),0)</f>
        <v>0</v>
      </c>
      <c r="G26" s="9" t="e">
        <f ca="1">MATCH(A26,Bowling!$A$5:$A$52,0)</f>
        <v>#N/A</v>
      </c>
      <c r="H26" s="9">
        <f ca="1">IF(NOT(ISNA(G26)),OFFSET(Bowling!#REF!,G26,0,1,1),0)</f>
        <v>0</v>
      </c>
      <c r="I26" s="9">
        <f ca="1">IF(NOT(ISNA(E26)),OFFSET(Batting!$B$4,E26,$C$1+1,1,1),0)</f>
        <v>0</v>
      </c>
      <c r="J26" s="9">
        <f ca="1">VLOOKUP(A26,'Fantasy Teams'!$A$45:$C$87,3,FALSE)</f>
        <v>5</v>
      </c>
      <c r="K26" s="10">
        <f t="shared" ca="1" si="4"/>
        <v>0</v>
      </c>
      <c r="L26" s="5">
        <f t="shared" ca="1" si="5"/>
        <v>2.5999999999999998E-4</v>
      </c>
      <c r="M26" s="5">
        <f t="shared" ca="1" si="6"/>
        <v>15</v>
      </c>
      <c r="N26" s="5">
        <f t="shared" ca="1" si="7"/>
        <v>15</v>
      </c>
      <c r="O26" s="5">
        <f t="shared" si="8"/>
        <v>22</v>
      </c>
      <c r="P26" s="5" t="str">
        <f t="shared" ca="1" si="1"/>
        <v>Geoff Cooper</v>
      </c>
      <c r="Q26" s="7">
        <f t="shared" ca="1" si="2"/>
        <v>0</v>
      </c>
      <c r="R26" s="5">
        <f t="shared" ca="1" si="3"/>
        <v>6</v>
      </c>
    </row>
    <row r="27" spans="1:18" x14ac:dyDescent="0.2">
      <c r="A27" s="64" t="str">
        <f ca="1"/>
        <v>KIMO</v>
      </c>
      <c r="B27" t="str">
        <f ca="1"/>
        <v>Kieran Moore</v>
      </c>
      <c r="C27" s="9">
        <f t="shared" ca="1" si="9"/>
        <v>0</v>
      </c>
      <c r="D27" s="9">
        <f ca="1">IF(NOT(ISNA(E27)),5*OFFSET(Batting!$AK$4,E27,0,1,1),0)</f>
        <v>0</v>
      </c>
      <c r="E27" s="9" t="e">
        <f ca="1">MATCH(A27,Batting!$A$5:$A$74,0)</f>
        <v>#N/A</v>
      </c>
      <c r="F27" s="9">
        <f ca="1">IF(NOT(ISNA(E27)),OFFSET(Batting!$B$4,E27,$C$1,1,1),0)</f>
        <v>0</v>
      </c>
      <c r="G27" s="9" t="e">
        <f ca="1">MATCH(A27,Bowling!$A$5:$A$52,0)</f>
        <v>#N/A</v>
      </c>
      <c r="H27" s="9">
        <f ca="1">IF(NOT(ISNA(G27)),OFFSET(Bowling!#REF!,G27,0,1,1),0)</f>
        <v>0</v>
      </c>
      <c r="I27" s="9">
        <f ca="1">IF(NOT(ISNA(E27)),OFFSET(Batting!$B$4,E27,$C$1+1,1,1),0)</f>
        <v>0</v>
      </c>
      <c r="J27" s="9">
        <f ca="1">VLOOKUP(A27,'Fantasy Teams'!$A$45:$C$87,3,FALSE)</f>
        <v>2</v>
      </c>
      <c r="K27" s="10">
        <f t="shared" ca="1" si="4"/>
        <v>0</v>
      </c>
      <c r="L27" s="5">
        <f t="shared" ca="1" si="5"/>
        <v>2.7E-4</v>
      </c>
      <c r="M27" s="5">
        <f t="shared" ca="1" si="6"/>
        <v>14</v>
      </c>
      <c r="N27" s="5">
        <f t="shared" ca="1" si="7"/>
        <v>14</v>
      </c>
      <c r="O27" s="5">
        <f t="shared" si="8"/>
        <v>23</v>
      </c>
      <c r="P27" s="5" t="str">
        <f t="shared" ca="1" si="1"/>
        <v>Del Shewan</v>
      </c>
      <c r="Q27" s="7">
        <f t="shared" ca="1" si="2"/>
        <v>0</v>
      </c>
      <c r="R27" s="5">
        <f t="shared" ca="1" si="3"/>
        <v>3</v>
      </c>
    </row>
    <row r="28" spans="1:18" x14ac:dyDescent="0.2">
      <c r="A28" s="64" t="str">
        <f ca="1"/>
        <v>MICL</v>
      </c>
      <c r="B28" t="str">
        <f ca="1"/>
        <v>Mick Clark</v>
      </c>
      <c r="C28" s="9">
        <f t="shared" ca="1" si="9"/>
        <v>0</v>
      </c>
      <c r="D28" s="9">
        <f ca="1">IF(NOT(ISNA(E28)),5*OFFSET(Batting!$AK$4,E28,0,1,1),0)</f>
        <v>0</v>
      </c>
      <c r="E28" s="9" t="e">
        <f ca="1">MATCH(A28,Batting!$A$5:$A$74,0)</f>
        <v>#N/A</v>
      </c>
      <c r="F28" s="9">
        <f ca="1">IF(NOT(ISNA(E28)),OFFSET(Batting!$B$4,E28,$C$1,1,1),0)</f>
        <v>0</v>
      </c>
      <c r="G28" s="9" t="e">
        <f ca="1">MATCH(A28,Bowling!$A$5:$A$52,0)</f>
        <v>#N/A</v>
      </c>
      <c r="H28" s="9">
        <f ca="1">IF(NOT(ISNA(G28)),OFFSET(Bowling!#REF!,G28,0,1,1),0)</f>
        <v>0</v>
      </c>
      <c r="I28" s="9">
        <f ca="1">IF(NOT(ISNA(E28)),OFFSET(Batting!$B$4,E28,$C$1+1,1,1),0)</f>
        <v>0</v>
      </c>
      <c r="J28" s="9">
        <f ca="1">VLOOKUP(A28,'Fantasy Teams'!$A$45:$C$87,3,FALSE)</f>
        <v>2</v>
      </c>
      <c r="K28" s="10">
        <f t="shared" ca="1" si="4"/>
        <v>0</v>
      </c>
      <c r="L28" s="5">
        <f t="shared" ca="1" si="5"/>
        <v>2.7999999999999998E-4</v>
      </c>
      <c r="M28" s="5">
        <f t="shared" ca="1" si="6"/>
        <v>13</v>
      </c>
      <c r="N28" s="5">
        <f t="shared" ca="1" si="7"/>
        <v>13</v>
      </c>
      <c r="O28" s="5">
        <f t="shared" si="8"/>
        <v>24</v>
      </c>
      <c r="P28" s="5" t="str">
        <f t="shared" ca="1" si="1"/>
        <v>David Snow</v>
      </c>
      <c r="Q28" s="7">
        <f t="shared" ca="1" si="2"/>
        <v>0</v>
      </c>
      <c r="R28" s="5">
        <f t="shared" ca="1" si="3"/>
        <v>3</v>
      </c>
    </row>
    <row r="29" spans="1:18" x14ac:dyDescent="0.2">
      <c r="A29" s="64" t="str">
        <f ca="1"/>
        <v>MIBO</v>
      </c>
      <c r="B29" t="str">
        <f ca="1"/>
        <v>Mike Bowers</v>
      </c>
      <c r="C29" s="9">
        <f t="shared" ca="1" si="9"/>
        <v>0</v>
      </c>
      <c r="D29" s="9">
        <f ca="1">IF(NOT(ISNA(E29)),5*OFFSET(Batting!$AK$4,E29,0,1,1),0)</f>
        <v>0</v>
      </c>
      <c r="E29" s="9" t="e">
        <f ca="1">MATCH(A29,Batting!$A$5:$A$74,0)</f>
        <v>#N/A</v>
      </c>
      <c r="F29" s="9">
        <f ca="1">IF(NOT(ISNA(E29)),OFFSET(Batting!$B$4,E29,$C$1,1,1),0)</f>
        <v>0</v>
      </c>
      <c r="G29" s="9" t="e">
        <f ca="1">MATCH(A29,Bowling!$A$5:$A$52,0)</f>
        <v>#N/A</v>
      </c>
      <c r="H29" s="9">
        <f ca="1">IF(NOT(ISNA(G29)),OFFSET(Bowling!#REF!,G29,0,1,1),0)</f>
        <v>0</v>
      </c>
      <c r="I29" s="9">
        <f ca="1">IF(NOT(ISNA(E29)),OFFSET(Batting!$B$4,E29,$C$1+1,1,1),0)</f>
        <v>0</v>
      </c>
      <c r="J29" s="9">
        <f ca="1">VLOOKUP(A29,'Fantasy Teams'!$A$45:$C$87,3,FALSE)</f>
        <v>3</v>
      </c>
      <c r="K29" s="10">
        <f t="shared" ca="1" si="4"/>
        <v>0</v>
      </c>
      <c r="L29" s="5">
        <f t="shared" ca="1" si="5"/>
        <v>2.9E-4</v>
      </c>
      <c r="M29" s="5">
        <f t="shared" ca="1" si="6"/>
        <v>12</v>
      </c>
      <c r="N29" s="5">
        <f t="shared" ca="1" si="7"/>
        <v>12</v>
      </c>
      <c r="O29" s="5">
        <f t="shared" si="8"/>
        <v>25</v>
      </c>
      <c r="P29" s="5" t="str">
        <f t="shared" ca="1" si="1"/>
        <v>David Sharpe</v>
      </c>
      <c r="Q29" s="7">
        <f t="shared" ca="1" si="2"/>
        <v>0</v>
      </c>
      <c r="R29" s="5">
        <f t="shared" ca="1" si="3"/>
        <v>3</v>
      </c>
    </row>
    <row r="30" spans="1:18" x14ac:dyDescent="0.2">
      <c r="A30" s="64" t="str">
        <f ca="1"/>
        <v>MIHO</v>
      </c>
      <c r="B30" t="str">
        <f ca="1"/>
        <v>Mike Hosking</v>
      </c>
      <c r="C30" s="9">
        <f t="shared" ca="1" si="9"/>
        <v>0</v>
      </c>
      <c r="D30" s="9">
        <f ca="1">IF(NOT(ISNA(E30)),5*OFFSET(Batting!$AK$4,E30,0,1,1),0)</f>
        <v>0</v>
      </c>
      <c r="E30" s="9" t="e">
        <f ca="1">MATCH(A30,Batting!$A$5:$A$74,0)</f>
        <v>#N/A</v>
      </c>
      <c r="F30" s="9">
        <f ca="1">IF(NOT(ISNA(E30)),OFFSET(Batting!$B$4,E30,$C$1,1,1),0)</f>
        <v>0</v>
      </c>
      <c r="G30" s="9" t="e">
        <f ca="1">MATCH(A30,Bowling!$A$5:$A$52,0)</f>
        <v>#N/A</v>
      </c>
      <c r="H30" s="9">
        <f ca="1">IF(NOT(ISNA(G30)),OFFSET(Bowling!#REF!,G30,0,1,1),0)</f>
        <v>0</v>
      </c>
      <c r="I30" s="9">
        <f ca="1">IF(NOT(ISNA(E30)),OFFSET(Batting!$B$4,E30,$C$1+1,1,1),0)</f>
        <v>0</v>
      </c>
      <c r="J30" s="9">
        <f ca="1">VLOOKUP(A30,'Fantasy Teams'!$A$45:$C$87,3,FALSE)</f>
        <v>3</v>
      </c>
      <c r="K30" s="10">
        <f t="shared" ca="1" si="4"/>
        <v>0</v>
      </c>
      <c r="L30" s="5">
        <f t="shared" ca="1" si="5"/>
        <v>2.9999999999999997E-4</v>
      </c>
      <c r="M30" s="5">
        <f t="shared" ca="1" si="6"/>
        <v>11</v>
      </c>
      <c r="N30" s="5">
        <f t="shared" ca="1" si="7"/>
        <v>11</v>
      </c>
      <c r="O30" s="5">
        <f t="shared" si="8"/>
        <v>26</v>
      </c>
      <c r="P30" s="5" t="str">
        <f t="shared" ca="1" si="1"/>
        <v>David Brocks</v>
      </c>
      <c r="Q30" s="7">
        <f t="shared" ca="1" si="2"/>
        <v>0</v>
      </c>
      <c r="R30" s="5">
        <f t="shared" ca="1" si="3"/>
        <v>4</v>
      </c>
    </row>
    <row r="31" spans="1:18" x14ac:dyDescent="0.2">
      <c r="A31" s="64" t="str">
        <f ca="1"/>
        <v>MIWO</v>
      </c>
      <c r="B31" t="str">
        <f ca="1"/>
        <v>Mike Woodhouse</v>
      </c>
      <c r="C31" s="9">
        <f t="shared" ca="1" si="9"/>
        <v>0</v>
      </c>
      <c r="D31" s="9">
        <f ca="1">IF(NOT(ISNA(E31)),5*OFFSET(Batting!$AK$4,E31,0,1,1),0)</f>
        <v>0</v>
      </c>
      <c r="E31" s="9" t="e">
        <f ca="1">MATCH(A31,Batting!$A$5:$A$74,0)</f>
        <v>#N/A</v>
      </c>
      <c r="F31" s="9">
        <f ca="1">IF(NOT(ISNA(E31)),OFFSET(Batting!$B$4,E31,$C$1,1,1),0)</f>
        <v>0</v>
      </c>
      <c r="G31" s="9" t="e">
        <f ca="1">MATCH(A31,Bowling!$A$5:$A$52,0)</f>
        <v>#N/A</v>
      </c>
      <c r="H31" s="9">
        <f ca="1">IF(NOT(ISNA(G31)),OFFSET(Bowling!#REF!,G31,0,1,1),0)</f>
        <v>0</v>
      </c>
      <c r="I31" s="9">
        <f ca="1">IF(NOT(ISNA(E31)),OFFSET(Batting!$B$4,E31,$C$1+1,1,1),0)</f>
        <v>0</v>
      </c>
      <c r="J31" s="9">
        <f ca="1">VLOOKUP(A31,'Fantasy Teams'!$A$45:$C$87,3,FALSE)</f>
        <v>5</v>
      </c>
      <c r="K31" s="10">
        <f t="shared" ca="1" si="4"/>
        <v>0</v>
      </c>
      <c r="L31" s="5">
        <f t="shared" ca="1" si="5"/>
        <v>3.1E-4</v>
      </c>
      <c r="M31" s="5">
        <f t="shared" ca="1" si="6"/>
        <v>10</v>
      </c>
      <c r="N31" s="5">
        <f t="shared" ca="1" si="7"/>
        <v>10</v>
      </c>
      <c r="O31" s="5">
        <f t="shared" si="8"/>
        <v>27</v>
      </c>
      <c r="P31" s="5" t="str">
        <f t="shared" ca="1" si="1"/>
        <v>Dave Morris</v>
      </c>
      <c r="Q31" s="7">
        <f t="shared" ca="1" si="2"/>
        <v>0</v>
      </c>
      <c r="R31" s="5">
        <f t="shared" ca="1" si="3"/>
        <v>5</v>
      </c>
    </row>
    <row r="32" spans="1:18" x14ac:dyDescent="0.2">
      <c r="A32" s="64" t="str">
        <f ca="1"/>
        <v>NAPA</v>
      </c>
      <c r="B32" t="str">
        <f ca="1"/>
        <v>Naimish Patel</v>
      </c>
      <c r="C32" s="9">
        <f t="shared" ca="1" si="9"/>
        <v>0</v>
      </c>
      <c r="D32" s="9">
        <f ca="1">IF(NOT(ISNA(E32)),5*OFFSET(Batting!$AK$4,E32,0,1,1),0)</f>
        <v>0</v>
      </c>
      <c r="E32" s="9" t="e">
        <f ca="1">MATCH(A32,Batting!$A$5:$A$74,0)</f>
        <v>#N/A</v>
      </c>
      <c r="F32" s="9">
        <f ca="1">IF(NOT(ISNA(E32)),OFFSET(Batting!$B$4,E32,$C$1,1,1),0)</f>
        <v>0</v>
      </c>
      <c r="G32" s="9" t="e">
        <f ca="1">MATCH(A32,Bowling!$A$5:$A$52,0)</f>
        <v>#N/A</v>
      </c>
      <c r="H32" s="9">
        <f ca="1">IF(NOT(ISNA(G32)),OFFSET(Bowling!#REF!,G32,0,1,1),0)</f>
        <v>0</v>
      </c>
      <c r="I32" s="9">
        <f ca="1">IF(NOT(ISNA(E32)),OFFSET(Batting!$B$4,E32,$C$1+1,1,1),0)</f>
        <v>0</v>
      </c>
      <c r="J32" s="9">
        <f ca="1">VLOOKUP(A32,'Fantasy Teams'!$A$45:$C$87,3,FALSE)</f>
        <v>3</v>
      </c>
      <c r="K32" s="10">
        <f t="shared" ca="1" si="4"/>
        <v>0</v>
      </c>
      <c r="L32" s="5">
        <f t="shared" ca="1" si="5"/>
        <v>3.2000000000000003E-4</v>
      </c>
      <c r="M32" s="5">
        <f t="shared" ca="1" si="6"/>
        <v>9</v>
      </c>
      <c r="N32" s="5">
        <f t="shared" ca="1" si="7"/>
        <v>9</v>
      </c>
      <c r="O32" s="5">
        <f t="shared" si="8"/>
        <v>28</v>
      </c>
      <c r="P32" s="5" t="str">
        <f t="shared" ref="P32:P46" ca="1" si="10">OFFSET($B$4,N32,0)</f>
        <v>Daragh Corrigan</v>
      </c>
      <c r="Q32" s="7">
        <f t="shared" ref="Q32:Q46" ca="1" si="11">OFFSET($K$4,N32,0)</f>
        <v>0</v>
      </c>
      <c r="R32" s="5">
        <f t="shared" ca="1" si="3"/>
        <v>2</v>
      </c>
    </row>
    <row r="33" spans="1:18" x14ac:dyDescent="0.2">
      <c r="A33" s="64" t="str">
        <f ca="1"/>
        <v>NEMA</v>
      </c>
      <c r="B33" t="str">
        <f ca="1"/>
        <v>Neil Mander</v>
      </c>
      <c r="C33" s="9">
        <f t="shared" ref="C33:C43" ca="1" si="12">F33+H33+I33+D33</f>
        <v>0</v>
      </c>
      <c r="D33" s="9">
        <f ca="1">IF(NOT(ISNA(E33)),5*OFFSET(Batting!$AK$4,E33,0,1,1),0)</f>
        <v>0</v>
      </c>
      <c r="E33" s="9" t="e">
        <f ca="1">MATCH(A33,Batting!$A$5:$A$74,0)</f>
        <v>#N/A</v>
      </c>
      <c r="F33" s="9">
        <f ca="1">IF(NOT(ISNA(E33)),OFFSET(Batting!$B$4,E33,$C$1,1,1),0)</f>
        <v>0</v>
      </c>
      <c r="G33" s="9" t="e">
        <f ca="1">MATCH(A33,Bowling!$A$5:$A$52,0)</f>
        <v>#N/A</v>
      </c>
      <c r="H33" s="9">
        <f ca="1">IF(NOT(ISNA(G33)),OFFSET(Bowling!#REF!,G33,0,1,1),0)</f>
        <v>0</v>
      </c>
      <c r="I33" s="9">
        <f ca="1">IF(NOT(ISNA(E33)),OFFSET(Batting!$B$4,E33,$C$1+1,1,1),0)</f>
        <v>0</v>
      </c>
      <c r="J33" s="9">
        <f ca="1">VLOOKUP(A33,'Fantasy Teams'!$A$45:$C$87,3,FALSE)</f>
        <v>9</v>
      </c>
      <c r="K33" s="10">
        <f t="shared" ca="1" si="4"/>
        <v>0</v>
      </c>
      <c r="L33" s="5">
        <f t="shared" ca="1" si="5"/>
        <v>3.3E-4</v>
      </c>
      <c r="M33" s="5">
        <f t="shared" ca="1" si="6"/>
        <v>8</v>
      </c>
      <c r="N33" s="5">
        <f t="shared" ca="1" si="7"/>
        <v>8</v>
      </c>
      <c r="O33" s="5">
        <f t="shared" si="8"/>
        <v>29</v>
      </c>
      <c r="P33" s="5" t="str">
        <f t="shared" ca="1" si="10"/>
        <v>Colin Mander</v>
      </c>
      <c r="Q33" s="7">
        <f t="shared" ca="1" si="11"/>
        <v>0</v>
      </c>
      <c r="R33" s="5">
        <f t="shared" ca="1" si="3"/>
        <v>9</v>
      </c>
    </row>
    <row r="34" spans="1:18" x14ac:dyDescent="0.2">
      <c r="A34" s="64" t="str">
        <f ca="1"/>
        <v>RIWO</v>
      </c>
      <c r="B34" t="str">
        <f ca="1"/>
        <v>Rick Worthington</v>
      </c>
      <c r="C34" s="9">
        <f t="shared" ca="1" si="12"/>
        <v>0</v>
      </c>
      <c r="D34" s="9">
        <f ca="1">IF(NOT(ISNA(E34)),5*OFFSET(Batting!$AK$4,E34,0,1,1),0)</f>
        <v>0</v>
      </c>
      <c r="E34" s="9" t="e">
        <f ca="1">MATCH(A34,Batting!$A$5:$A$74,0)</f>
        <v>#N/A</v>
      </c>
      <c r="F34" s="9">
        <f ca="1">IF(NOT(ISNA(E34)),OFFSET(Batting!$B$4,E34,$C$1,1,1),0)</f>
        <v>0</v>
      </c>
      <c r="G34" s="9" t="e">
        <f ca="1">MATCH(A34,Bowling!$A$5:$A$52,0)</f>
        <v>#N/A</v>
      </c>
      <c r="H34" s="9">
        <f ca="1">IF(NOT(ISNA(G34)),OFFSET(Bowling!#REF!,G34,0,1,1),0)</f>
        <v>0</v>
      </c>
      <c r="I34" s="9">
        <f ca="1">IF(NOT(ISNA(E34)),OFFSET(Batting!$B$4,E34,$C$1+1,1,1),0)</f>
        <v>0</v>
      </c>
      <c r="J34" s="9">
        <f ca="1">VLOOKUP(A34,'Fantasy Teams'!$A$45:$C$87,3,FALSE)</f>
        <v>4</v>
      </c>
      <c r="K34" s="10">
        <f t="shared" ca="1" si="4"/>
        <v>0</v>
      </c>
      <c r="L34" s="5">
        <f t="shared" ca="1" si="5"/>
        <v>3.4000000000000002E-4</v>
      </c>
      <c r="M34" s="5">
        <f t="shared" ca="1" si="6"/>
        <v>7</v>
      </c>
      <c r="N34" s="5">
        <f t="shared" ca="1" si="7"/>
        <v>7</v>
      </c>
      <c r="O34" s="5">
        <f t="shared" si="8"/>
        <v>30</v>
      </c>
      <c r="P34" s="5" t="str">
        <f t="shared" ca="1" si="10"/>
        <v>Clive Edghill</v>
      </c>
      <c r="Q34" s="7">
        <f t="shared" ca="1" si="11"/>
        <v>0</v>
      </c>
      <c r="R34" s="5">
        <f t="shared" ca="1" si="3"/>
        <v>2</v>
      </c>
    </row>
    <row r="35" spans="1:18" x14ac:dyDescent="0.2">
      <c r="A35" s="64" t="str">
        <f ca="1"/>
        <v>ROMO</v>
      </c>
      <c r="B35" t="str">
        <f ca="1"/>
        <v>Ron Morris</v>
      </c>
      <c r="C35" s="9">
        <f t="shared" ca="1" si="12"/>
        <v>0</v>
      </c>
      <c r="D35" s="9">
        <f ca="1">IF(NOT(ISNA(E35)),5*OFFSET(Batting!$AK$4,E35,0,1,1),0)</f>
        <v>0</v>
      </c>
      <c r="E35" s="9" t="e">
        <f ca="1">MATCH(A35,Batting!$A$5:$A$74,0)</f>
        <v>#N/A</v>
      </c>
      <c r="F35" s="9">
        <f ca="1">IF(NOT(ISNA(E35)),OFFSET(Batting!$B$4,E35,$C$1,1,1),0)</f>
        <v>0</v>
      </c>
      <c r="G35" s="9" t="e">
        <f ca="1">MATCH(A35,Bowling!$A$5:$A$52,0)</f>
        <v>#N/A</v>
      </c>
      <c r="H35" s="9">
        <f ca="1">IF(NOT(ISNA(G35)),OFFSET(Bowling!#REF!,G35,0,1,1),0)</f>
        <v>0</v>
      </c>
      <c r="I35" s="9">
        <f ca="1">IF(NOT(ISNA(E35)),OFFSET(Batting!$B$4,E35,$C$1+1,1,1),0)</f>
        <v>0</v>
      </c>
      <c r="J35" s="9">
        <f ca="1">VLOOKUP(A35,'Fantasy Teams'!$A$45:$C$87,3,FALSE)</f>
        <v>2</v>
      </c>
      <c r="K35" s="10">
        <f t="shared" ca="1" si="4"/>
        <v>0</v>
      </c>
      <c r="L35" s="5">
        <f t="shared" ca="1" si="5"/>
        <v>3.5E-4</v>
      </c>
      <c r="M35" s="5">
        <f t="shared" ca="1" si="6"/>
        <v>6</v>
      </c>
      <c r="N35" s="5">
        <f t="shared" ca="1" si="7"/>
        <v>6</v>
      </c>
      <c r="O35" s="5">
        <f t="shared" si="8"/>
        <v>31</v>
      </c>
      <c r="P35" s="5" t="str">
        <f t="shared" ca="1" si="10"/>
        <v>Chris Clark</v>
      </c>
      <c r="Q35" s="7">
        <f t="shared" ca="1" si="11"/>
        <v>0</v>
      </c>
      <c r="R35" s="5">
        <f t="shared" ca="1" si="3"/>
        <v>6</v>
      </c>
    </row>
    <row r="36" spans="1:18" x14ac:dyDescent="0.2">
      <c r="A36" s="64" t="str">
        <f ca="1"/>
        <v>ROOD</v>
      </c>
      <c r="B36" t="str">
        <f ca="1"/>
        <v>Roy Odeneal</v>
      </c>
      <c r="C36" s="9">
        <f t="shared" ca="1" si="12"/>
        <v>0</v>
      </c>
      <c r="D36" s="9">
        <f ca="1">IF(NOT(ISNA(E36)),5*OFFSET(Batting!$AK$4,E36,0,1,1),0)</f>
        <v>0</v>
      </c>
      <c r="E36" s="9" t="e">
        <f ca="1">MATCH(A36,Batting!$A$5:$A$74,0)</f>
        <v>#N/A</v>
      </c>
      <c r="F36" s="9">
        <f ca="1">IF(NOT(ISNA(E36)),OFFSET(Batting!$B$4,E36,$C$1,1,1),0)</f>
        <v>0</v>
      </c>
      <c r="G36" s="9" t="e">
        <f ca="1">MATCH(A36,Bowling!$A$5:$A$52,0)</f>
        <v>#N/A</v>
      </c>
      <c r="H36" s="9">
        <f ca="1">IF(NOT(ISNA(G36)),OFFSET(Bowling!#REF!,G36,0,1,1),0)</f>
        <v>0</v>
      </c>
      <c r="I36" s="9">
        <f ca="1">IF(NOT(ISNA(E36)),OFFSET(Batting!$B$4,E36,$C$1+1,1,1),0)</f>
        <v>0</v>
      </c>
      <c r="J36" s="9">
        <f ca="1">VLOOKUP(A36,'Fantasy Teams'!$A$45:$C$87,3,FALSE)</f>
        <v>2</v>
      </c>
      <c r="K36" s="10">
        <f t="shared" ca="1" si="4"/>
        <v>0</v>
      </c>
      <c r="L36" s="5">
        <f t="shared" ca="1" si="5"/>
        <v>3.6000000000000002E-4</v>
      </c>
      <c r="M36" s="5">
        <f t="shared" ca="1" si="6"/>
        <v>5</v>
      </c>
      <c r="N36" s="5">
        <f t="shared" ca="1" si="7"/>
        <v>5</v>
      </c>
      <c r="O36" s="5">
        <f t="shared" si="8"/>
        <v>32</v>
      </c>
      <c r="P36" s="5" t="str">
        <f t="shared" ca="1" si="10"/>
        <v>Bob Young</v>
      </c>
      <c r="Q36" s="7">
        <f t="shared" ca="1" si="11"/>
        <v>0</v>
      </c>
      <c r="R36" s="5">
        <f t="shared" ca="1" si="3"/>
        <v>4</v>
      </c>
    </row>
    <row r="37" spans="1:18" x14ac:dyDescent="0.2">
      <c r="A37" s="64" t="str">
        <f ca="1"/>
        <v>STBA</v>
      </c>
      <c r="B37" t="str">
        <f ca="1"/>
        <v>Steve Barry</v>
      </c>
      <c r="C37" s="9">
        <f t="shared" ca="1" si="12"/>
        <v>0</v>
      </c>
      <c r="D37" s="9">
        <f ca="1">IF(NOT(ISNA(E37)),5*OFFSET(Batting!$AK$4,E37,0,1,1),0)</f>
        <v>0</v>
      </c>
      <c r="E37" s="9" t="e">
        <f ca="1">MATCH(A37,Batting!$A$5:$A$74,0)</f>
        <v>#N/A</v>
      </c>
      <c r="F37" s="9">
        <f ca="1">IF(NOT(ISNA(E37)),OFFSET(Batting!$B$4,E37,$C$1,1,1),0)</f>
        <v>0</v>
      </c>
      <c r="G37" s="9" t="e">
        <f ca="1">MATCH(A37,Bowling!$A$5:$A$52,0)</f>
        <v>#N/A</v>
      </c>
      <c r="H37" s="9">
        <f ca="1">IF(NOT(ISNA(G37)),OFFSET(Bowling!#REF!,G37,0,1,1),0)</f>
        <v>0</v>
      </c>
      <c r="I37" s="9">
        <f ca="1">IF(NOT(ISNA(E37)),OFFSET(Batting!$B$4,E37,$C$1+1,1,1),0)</f>
        <v>0</v>
      </c>
      <c r="J37" s="9">
        <f ca="1">VLOOKUP(A37,'Fantasy Teams'!$A$45:$C$87,3,FALSE)</f>
        <v>2</v>
      </c>
      <c r="K37" s="10">
        <f t="shared" ca="1" si="4"/>
        <v>0</v>
      </c>
      <c r="L37" s="5">
        <f t="shared" ca="1" si="5"/>
        <v>3.6999999999999999E-4</v>
      </c>
      <c r="M37" s="5">
        <f t="shared" ca="1" si="6"/>
        <v>4</v>
      </c>
      <c r="N37" s="5">
        <f t="shared" ca="1" si="7"/>
        <v>4</v>
      </c>
      <c r="O37" s="5">
        <f t="shared" si="8"/>
        <v>33</v>
      </c>
      <c r="P37" s="5" t="str">
        <f t="shared" ca="1" si="10"/>
        <v>Andy Mander</v>
      </c>
      <c r="Q37" s="7">
        <f t="shared" ca="1" si="11"/>
        <v>0</v>
      </c>
      <c r="R37" s="5">
        <f t="shared" ca="1" si="3"/>
        <v>6</v>
      </c>
    </row>
    <row r="38" spans="1:18" x14ac:dyDescent="0.2">
      <c r="A38" s="64" t="str">
        <f ca="1"/>
        <v>TEDU</v>
      </c>
      <c r="B38" t="str">
        <f ca="1"/>
        <v>Ted Dugdale</v>
      </c>
      <c r="C38" s="9">
        <f t="shared" ca="1" si="12"/>
        <v>0</v>
      </c>
      <c r="D38" s="9">
        <f ca="1">IF(NOT(ISNA(E38)),5*OFFSET(Batting!$AK$4,E38,0,1,1),0)</f>
        <v>0</v>
      </c>
      <c r="E38" s="9" t="e">
        <f ca="1">MATCH(A38,Batting!$A$5:$A$74,0)</f>
        <v>#N/A</v>
      </c>
      <c r="F38" s="9">
        <f ca="1">IF(NOT(ISNA(E38)),OFFSET(Batting!$B$4,E38,$C$1,1,1),0)</f>
        <v>0</v>
      </c>
      <c r="G38" s="9" t="e">
        <f ca="1">MATCH(A38,Bowling!$A$5:$A$52,0)</f>
        <v>#N/A</v>
      </c>
      <c r="H38" s="9">
        <f ca="1">IF(NOT(ISNA(G38)),OFFSET(Bowling!#REF!,G38,0,1,1),0)</f>
        <v>0</v>
      </c>
      <c r="I38" s="9">
        <f ca="1">IF(NOT(ISNA(E38)),OFFSET(Batting!$B$4,E38,$C$1+1,1,1),0)</f>
        <v>0</v>
      </c>
      <c r="J38" s="9">
        <f ca="1">VLOOKUP(A38,'Fantasy Teams'!$A$45:$C$87,3,FALSE)</f>
        <v>3</v>
      </c>
      <c r="K38" s="10">
        <f t="shared" ca="1" si="4"/>
        <v>0</v>
      </c>
      <c r="L38" s="5">
        <f t="shared" ca="1" si="5"/>
        <v>3.8000000000000002E-4</v>
      </c>
      <c r="M38" s="5">
        <f t="shared" ca="1" si="6"/>
        <v>3</v>
      </c>
      <c r="N38" s="5">
        <f t="shared" ca="1" si="7"/>
        <v>3</v>
      </c>
      <c r="O38" s="5">
        <f t="shared" si="8"/>
        <v>34</v>
      </c>
      <c r="P38" s="5" t="str">
        <f t="shared" ca="1" si="10"/>
        <v>Aiden Coloe</v>
      </c>
      <c r="Q38" s="7">
        <f t="shared" ca="1" si="11"/>
        <v>0</v>
      </c>
      <c r="R38" s="5">
        <f t="shared" ca="1" si="3"/>
        <v>3</v>
      </c>
    </row>
    <row r="39" spans="1:18" x14ac:dyDescent="0.2">
      <c r="A39" s="64" t="str">
        <f ca="1"/>
        <v>TOSP</v>
      </c>
      <c r="B39" t="str">
        <f ca="1"/>
        <v>Tony Springer</v>
      </c>
      <c r="C39" s="9">
        <f t="shared" ca="1" si="12"/>
        <v>0</v>
      </c>
      <c r="D39" s="9">
        <f ca="1">IF(NOT(ISNA(E39)),5*OFFSET(Batting!$AK$4,E39,0,1,1),0)</f>
        <v>0</v>
      </c>
      <c r="E39" s="9" t="e">
        <f ca="1">MATCH(A39,Batting!$A$5:$A$74,0)</f>
        <v>#N/A</v>
      </c>
      <c r="F39" s="9">
        <f ca="1">IF(NOT(ISNA(E39)),OFFSET(Batting!$B$4,E39,$C$1,1,1),0)</f>
        <v>0</v>
      </c>
      <c r="G39" s="9" t="e">
        <f ca="1">MATCH(A39,Bowling!$A$5:$A$52,0)</f>
        <v>#N/A</v>
      </c>
      <c r="H39" s="9">
        <f ca="1">IF(NOT(ISNA(G39)),OFFSET(Bowling!#REF!,G39,0,1,1),0)</f>
        <v>0</v>
      </c>
      <c r="I39" s="9">
        <f ca="1">IF(NOT(ISNA(E39)),OFFSET(Batting!$B$4,E39,$C$1+1,1,1),0)</f>
        <v>0</v>
      </c>
      <c r="J39" s="9">
        <f ca="1">VLOOKUP(A39,'Fantasy Teams'!$A$45:$C$87,3,FALSE)</f>
        <v>13</v>
      </c>
      <c r="K39" s="10">
        <f t="shared" ca="1" si="4"/>
        <v>0</v>
      </c>
      <c r="L39" s="5">
        <f t="shared" ca="1" si="5"/>
        <v>3.8999999999999999E-4</v>
      </c>
      <c r="M39" s="5">
        <f t="shared" ca="1" si="6"/>
        <v>2</v>
      </c>
      <c r="N39" s="5">
        <f t="shared" ca="1" si="7"/>
        <v>2</v>
      </c>
      <c r="O39" s="5">
        <f t="shared" si="8"/>
        <v>35</v>
      </c>
      <c r="P39" s="5" t="str">
        <f t="shared" ca="1" si="10"/>
        <v>Adam Lestrelle</v>
      </c>
      <c r="Q39" s="7">
        <f t="shared" ca="1" si="11"/>
        <v>0</v>
      </c>
      <c r="R39" s="5">
        <f t="shared" ca="1" si="3"/>
        <v>2</v>
      </c>
    </row>
    <row r="40" spans="1:18" x14ac:dyDescent="0.2">
      <c r="A40" s="64" t="str">
        <f ca="1"/>
        <v>VIRE</v>
      </c>
      <c r="B40" t="str">
        <f ca="1"/>
        <v>Vince Reid</v>
      </c>
      <c r="C40" s="9">
        <f t="shared" ca="1" si="12"/>
        <v>0</v>
      </c>
      <c r="D40" s="9">
        <f ca="1">IF(NOT(ISNA(E40)),5*OFFSET(Batting!$AK$4,E40,0,1,1),0)</f>
        <v>0</v>
      </c>
      <c r="E40" s="9" t="e">
        <f ca="1">MATCH(A40,Batting!$A$5:$A$74,0)</f>
        <v>#N/A</v>
      </c>
      <c r="F40" s="9">
        <f ca="1">IF(NOT(ISNA(E40)),OFFSET(Batting!$B$4,E40,$C$1,1,1),0)</f>
        <v>0</v>
      </c>
      <c r="G40" s="9" t="e">
        <f ca="1">MATCH(A40,Bowling!$A$5:$A$52,0)</f>
        <v>#N/A</v>
      </c>
      <c r="H40" s="9">
        <f ca="1">IF(NOT(ISNA(G40)),OFFSET(Bowling!#REF!,G40,0,1,1),0)</f>
        <v>0</v>
      </c>
      <c r="I40" s="9">
        <f ca="1">IF(NOT(ISNA(E40)),OFFSET(Batting!$B$4,E40,$C$1+1,1,1),0)</f>
        <v>0</v>
      </c>
      <c r="J40" s="9">
        <f ca="1">VLOOKUP(A40,'Fantasy Teams'!$A$45:$C$87,3,FALSE)</f>
        <v>4</v>
      </c>
      <c r="K40" s="10">
        <f t="shared" ca="1" si="4"/>
        <v>0</v>
      </c>
      <c r="L40" s="5">
        <f t="shared" ca="1" si="5"/>
        <v>4.0000000000000002E-4</v>
      </c>
      <c r="M40" s="5">
        <f t="shared" ca="1" si="6"/>
        <v>1</v>
      </c>
      <c r="N40" s="5">
        <f t="shared" ca="1" si="7"/>
        <v>1</v>
      </c>
      <c r="O40" s="5">
        <f t="shared" si="8"/>
        <v>36</v>
      </c>
      <c r="P40" s="5" t="str">
        <f t="shared" ca="1" si="10"/>
        <v>Adrian Hawksworth</v>
      </c>
      <c r="Q40" s="7">
        <f t="shared" ca="1" si="11"/>
        <v>0</v>
      </c>
      <c r="R40" s="5">
        <f t="shared" ca="1" si="3"/>
        <v>3</v>
      </c>
    </row>
    <row r="41" spans="1:18" x14ac:dyDescent="0.2">
      <c r="A41" s="64" t="e">
        <f ca="1"/>
        <v>#N/A</v>
      </c>
      <c r="B41" t="e">
        <f ca="1"/>
        <v>#N/A</v>
      </c>
      <c r="C41" s="9">
        <f t="shared" ca="1" si="12"/>
        <v>0</v>
      </c>
      <c r="D41" s="9">
        <f ca="1">IF(NOT(ISNA(E41)),5*OFFSET(Batting!$AK$4,E41,0,1,1),0)</f>
        <v>0</v>
      </c>
      <c r="E41" s="9" t="e">
        <f ca="1">MATCH(A41,Batting!$A$5:$A$74,0)</f>
        <v>#N/A</v>
      </c>
      <c r="F41" s="9">
        <f ca="1">IF(NOT(ISNA(E41)),OFFSET(Batting!$B$4,E41,$C$1,1,1),0)</f>
        <v>0</v>
      </c>
      <c r="G41" s="9" t="e">
        <f ca="1">MATCH(A41,Bowling!$A$5:$A$52,0)</f>
        <v>#N/A</v>
      </c>
      <c r="H41" s="9">
        <f ca="1">IF(NOT(ISNA(G41)),OFFSET(Bowling!#REF!,G41,0,1,1),0)</f>
        <v>0</v>
      </c>
      <c r="I41" s="9">
        <f ca="1">IF(NOT(ISNA(E41)),OFFSET(Batting!$B$4,E41,$C$1+1,1,1),0)</f>
        <v>0</v>
      </c>
      <c r="J41" s="9" t="e">
        <f ca="1">VLOOKUP(A41,'Fantasy Teams'!$A$45:$C$87,3,FALSE)</f>
        <v>#N/A</v>
      </c>
      <c r="K41" s="10" t="e">
        <f t="shared" ca="1" si="4"/>
        <v>#N/A</v>
      </c>
      <c r="L41" s="5" t="e">
        <f t="shared" ca="1" si="5"/>
        <v>#N/A</v>
      </c>
      <c r="M41" s="5" t="e">
        <f t="shared" ca="1" si="6"/>
        <v>#N/A</v>
      </c>
      <c r="N41" s="5" t="e">
        <f t="shared" ca="1" si="7"/>
        <v>#N/A</v>
      </c>
      <c r="O41" s="5">
        <f t="shared" si="8"/>
        <v>37</v>
      </c>
      <c r="P41" s="5" t="e">
        <f t="shared" ca="1" si="10"/>
        <v>#N/A</v>
      </c>
      <c r="Q41" s="7" t="e">
        <f t="shared" ca="1" si="11"/>
        <v>#N/A</v>
      </c>
      <c r="R41" s="5" t="e">
        <f t="shared" ca="1" si="3"/>
        <v>#N/A</v>
      </c>
    </row>
    <row r="42" spans="1:18" x14ac:dyDescent="0.2">
      <c r="A42" s="64" t="e">
        <f ca="1"/>
        <v>#N/A</v>
      </c>
      <c r="B42" t="e">
        <f ca="1"/>
        <v>#N/A</v>
      </c>
      <c r="C42" s="9">
        <f t="shared" ca="1" si="12"/>
        <v>0</v>
      </c>
      <c r="D42" s="9">
        <f ca="1">IF(NOT(ISNA(E42)),5*OFFSET(Batting!$AK$4,E42,0,1,1),0)</f>
        <v>0</v>
      </c>
      <c r="E42" s="9" t="e">
        <f ca="1">MATCH(A42,Batting!$A$5:$A$74,0)</f>
        <v>#N/A</v>
      </c>
      <c r="F42" s="9">
        <f ca="1">IF(NOT(ISNA(E42)),OFFSET(Batting!$B$4,E42,$C$1,1,1),0)</f>
        <v>0</v>
      </c>
      <c r="G42" s="9" t="e">
        <f ca="1">MATCH(A42,Bowling!$A$5:$A$52,0)</f>
        <v>#N/A</v>
      </c>
      <c r="H42" s="9">
        <f ca="1">IF(NOT(ISNA(G42)),OFFSET(Bowling!#REF!,G42,0,1,1),0)</f>
        <v>0</v>
      </c>
      <c r="I42" s="9">
        <f ca="1">IF(NOT(ISNA(E42)),OFFSET(Batting!$B$4,E42,$C$1+1,1,1),0)</f>
        <v>0</v>
      </c>
      <c r="J42" s="9" t="e">
        <f ca="1">VLOOKUP(A42,'Fantasy Teams'!$A$45:$C$87,3,FALSE)</f>
        <v>#N/A</v>
      </c>
      <c r="K42" s="10" t="e">
        <f t="shared" ca="1" si="4"/>
        <v>#N/A</v>
      </c>
      <c r="L42" s="5" t="e">
        <f t="shared" ca="1" si="5"/>
        <v>#N/A</v>
      </c>
      <c r="M42" s="5" t="e">
        <f t="shared" ca="1" si="6"/>
        <v>#N/A</v>
      </c>
      <c r="N42" s="5" t="e">
        <f t="shared" ca="1" si="7"/>
        <v>#N/A</v>
      </c>
      <c r="O42" s="5">
        <f t="shared" si="8"/>
        <v>38</v>
      </c>
      <c r="P42" s="5" t="e">
        <f t="shared" ca="1" si="10"/>
        <v>#N/A</v>
      </c>
      <c r="Q42" s="7" t="e">
        <f t="shared" ca="1" si="11"/>
        <v>#N/A</v>
      </c>
      <c r="R42" s="5" t="e">
        <f t="shared" ca="1" si="3"/>
        <v>#N/A</v>
      </c>
    </row>
    <row r="43" spans="1:18" x14ac:dyDescent="0.2">
      <c r="A43" s="64" t="e">
        <f ca="1"/>
        <v>#N/A</v>
      </c>
      <c r="B43" t="e">
        <f ca="1"/>
        <v>#N/A</v>
      </c>
      <c r="C43" s="9">
        <f t="shared" ca="1" si="12"/>
        <v>0</v>
      </c>
      <c r="D43" s="9">
        <f ca="1">IF(NOT(ISNA(E43)),5*OFFSET(Batting!$AK$4,E43,0,1,1),0)</f>
        <v>0</v>
      </c>
      <c r="E43" s="9" t="e">
        <f ca="1">MATCH(A43,Batting!$A$5:$A$74,0)</f>
        <v>#N/A</v>
      </c>
      <c r="F43" s="9">
        <f ca="1">IF(NOT(ISNA(E43)),OFFSET(Batting!$B$4,E43,$C$1,1,1),0)</f>
        <v>0</v>
      </c>
      <c r="G43" s="9" t="e">
        <f ca="1">MATCH(A43,Bowling!$A$5:$A$52,0)</f>
        <v>#N/A</v>
      </c>
      <c r="H43" s="9">
        <f ca="1">IF(NOT(ISNA(G43)),OFFSET(Bowling!#REF!,G43,0,1,1),0)</f>
        <v>0</v>
      </c>
      <c r="I43" s="9">
        <f ca="1">IF(NOT(ISNA(E43)),OFFSET(Batting!$B$4,E43,$C$1+1,1,1),0)</f>
        <v>0</v>
      </c>
      <c r="J43" s="9" t="e">
        <f ca="1">VLOOKUP(A43,'Fantasy Teams'!$A$45:$C$87,3,FALSE)</f>
        <v>#N/A</v>
      </c>
      <c r="K43" s="10" t="e">
        <f t="shared" ca="1" si="4"/>
        <v>#N/A</v>
      </c>
      <c r="L43" s="5" t="e">
        <f t="shared" ca="1" si="5"/>
        <v>#N/A</v>
      </c>
      <c r="M43" s="5" t="e">
        <f t="shared" ca="1" si="6"/>
        <v>#N/A</v>
      </c>
      <c r="N43" s="5" t="e">
        <f t="shared" ca="1" si="7"/>
        <v>#N/A</v>
      </c>
      <c r="O43" s="5">
        <f t="shared" si="8"/>
        <v>39</v>
      </c>
      <c r="P43" s="5" t="e">
        <f t="shared" ca="1" si="10"/>
        <v>#N/A</v>
      </c>
      <c r="Q43" s="7" t="e">
        <f t="shared" ca="1" si="11"/>
        <v>#N/A</v>
      </c>
      <c r="R43" s="5" t="e">
        <f t="shared" ca="1" si="3"/>
        <v>#N/A</v>
      </c>
    </row>
    <row r="44" spans="1:18" x14ac:dyDescent="0.2">
      <c r="A44" s="64" t="e">
        <f ca="1"/>
        <v>#N/A</v>
      </c>
      <c r="B44" t="e">
        <f ca="1"/>
        <v>#N/A</v>
      </c>
      <c r="C44" s="9">
        <f ca="1">F44+H44+I44+D44</f>
        <v>0</v>
      </c>
      <c r="D44" s="9">
        <f ca="1">IF(NOT(ISNA(E44)),5*OFFSET(Batting!$AK$4,E44,0,1,1),0)</f>
        <v>0</v>
      </c>
      <c r="E44" s="9" t="e">
        <f ca="1">MATCH(A44,Batting!$A$5:$A$74,0)</f>
        <v>#N/A</v>
      </c>
      <c r="F44" s="9">
        <f ca="1">IF(NOT(ISNA(E44)),OFFSET(Batting!$B$4,E44,$C$1,1,1),0)</f>
        <v>0</v>
      </c>
      <c r="G44" s="9" t="e">
        <f ca="1">MATCH(A44,Bowling!$A$5:$A$52,0)</f>
        <v>#N/A</v>
      </c>
      <c r="H44" s="9">
        <f ca="1">IF(NOT(ISNA(G44)),OFFSET(Bowling!#REF!,G44,0,1,1),0)</f>
        <v>0</v>
      </c>
      <c r="I44" s="9">
        <f ca="1">IF(NOT(ISNA(E44)),OFFSET(Batting!$B$4,E44,$C$1+1,1,1),0)</f>
        <v>0</v>
      </c>
      <c r="J44" s="9" t="e">
        <f ca="1">VLOOKUP(A44,'Fantasy Teams'!$A$45:$C$87,3,FALSE)</f>
        <v>#N/A</v>
      </c>
      <c r="K44" s="10" t="e">
        <f t="shared" ca="1" si="4"/>
        <v>#N/A</v>
      </c>
      <c r="L44" s="5" t="e">
        <f t="shared" ca="1" si="5"/>
        <v>#N/A</v>
      </c>
      <c r="M44" s="5" t="e">
        <f t="shared" ca="1" si="6"/>
        <v>#N/A</v>
      </c>
      <c r="N44" s="5" t="e">
        <f t="shared" ca="1" si="7"/>
        <v>#N/A</v>
      </c>
      <c r="O44" s="5">
        <f t="shared" si="8"/>
        <v>40</v>
      </c>
      <c r="P44" s="5" t="e">
        <f t="shared" ca="1" si="10"/>
        <v>#N/A</v>
      </c>
      <c r="Q44" s="7" t="e">
        <f t="shared" ca="1" si="11"/>
        <v>#N/A</v>
      </c>
      <c r="R44" s="5" t="e">
        <f t="shared" ca="1" si="3"/>
        <v>#N/A</v>
      </c>
    </row>
    <row r="45" spans="1:18" x14ac:dyDescent="0.2">
      <c r="A45" s="64" t="e">
        <f ca="1"/>
        <v>#N/A</v>
      </c>
      <c r="B45" t="e">
        <f ca="1"/>
        <v>#N/A</v>
      </c>
      <c r="C45" s="9">
        <f ca="1">F45+H45+I45+D45</f>
        <v>0</v>
      </c>
      <c r="D45" s="9">
        <f ca="1">IF(NOT(ISNA(E45)),5*OFFSET(Batting!$AK$4,E45,0,1,1),0)</f>
        <v>0</v>
      </c>
      <c r="E45" s="9" t="e">
        <f ca="1">MATCH(A45,Batting!$A$5:$A$74,0)</f>
        <v>#N/A</v>
      </c>
      <c r="F45" s="9">
        <f ca="1">IF(NOT(ISNA(E45)),OFFSET(Batting!$B$4,E45,$C$1,1,1),0)</f>
        <v>0</v>
      </c>
      <c r="G45" s="9" t="e">
        <f ca="1">MATCH(A45,Bowling!$A$5:$A$52,0)</f>
        <v>#N/A</v>
      </c>
      <c r="H45" s="9">
        <f ca="1">IF(NOT(ISNA(G45)),OFFSET(Bowling!#REF!,G45,0,1,1),0)</f>
        <v>0</v>
      </c>
      <c r="I45" s="9">
        <f ca="1">IF(NOT(ISNA(E45)),OFFSET(Batting!$B$4,E45,$C$1+1,1,1),0)</f>
        <v>0</v>
      </c>
      <c r="J45" s="9" t="e">
        <f ca="1">VLOOKUP(A45,'Fantasy Teams'!$A$45:$C$87,3,FALSE)</f>
        <v>#N/A</v>
      </c>
      <c r="K45" s="10" t="e">
        <f t="shared" ca="1" si="4"/>
        <v>#N/A</v>
      </c>
      <c r="L45" s="5" t="e">
        <f t="shared" ca="1" si="5"/>
        <v>#N/A</v>
      </c>
      <c r="M45" s="5" t="e">
        <f t="shared" ca="1" si="6"/>
        <v>#N/A</v>
      </c>
      <c r="N45" s="5" t="e">
        <f t="shared" ca="1" si="7"/>
        <v>#N/A</v>
      </c>
      <c r="O45" s="5">
        <f t="shared" si="8"/>
        <v>41</v>
      </c>
      <c r="P45" s="5" t="e">
        <f t="shared" ca="1" si="10"/>
        <v>#N/A</v>
      </c>
      <c r="Q45" s="7" t="e">
        <f t="shared" ca="1" si="11"/>
        <v>#N/A</v>
      </c>
      <c r="R45" s="5" t="e">
        <f t="shared" ca="1" si="3"/>
        <v>#N/A</v>
      </c>
    </row>
    <row r="46" spans="1:18" x14ac:dyDescent="0.2">
      <c r="A46" s="64" t="e">
        <f ca="1"/>
        <v>#N/A</v>
      </c>
      <c r="B46" t="e">
        <f ca="1"/>
        <v>#N/A</v>
      </c>
      <c r="C46" s="9">
        <f ca="1">F46+H46+I46+D46</f>
        <v>0</v>
      </c>
      <c r="D46" s="9">
        <f ca="1">IF(NOT(ISNA(E46)),5*OFFSET(Batting!$AK$4,E46,0,1,1),0)</f>
        <v>0</v>
      </c>
      <c r="E46" s="9" t="e">
        <f ca="1">MATCH(A46,Batting!$A$5:$A$74,0)</f>
        <v>#N/A</v>
      </c>
      <c r="F46" s="9">
        <f ca="1">IF(NOT(ISNA(E46)),OFFSET(Batting!$B$4,E46,$C$1,1,1),0)</f>
        <v>0</v>
      </c>
      <c r="G46" s="9" t="e">
        <f ca="1">MATCH(A46,Bowling!$A$5:$A$52,0)</f>
        <v>#N/A</v>
      </c>
      <c r="H46" s="9">
        <f ca="1">IF(NOT(ISNA(G46)),OFFSET(Bowling!#REF!,G46,0,1,1),0)</f>
        <v>0</v>
      </c>
      <c r="I46" s="9">
        <f ca="1">IF(NOT(ISNA(E46)),OFFSET(Batting!$B$4,E46,$C$1+1,1,1),0)</f>
        <v>0</v>
      </c>
      <c r="J46" s="9" t="e">
        <f ca="1">VLOOKUP(A46,'Fantasy Teams'!$A$45:$C$87,3,FALSE)</f>
        <v>#N/A</v>
      </c>
      <c r="K46" s="10" t="e">
        <f t="shared" ca="1" si="4"/>
        <v>#N/A</v>
      </c>
      <c r="L46" s="5" t="e">
        <f t="shared" ca="1" si="5"/>
        <v>#N/A</v>
      </c>
      <c r="M46" s="5" t="e">
        <f t="shared" ca="1" si="6"/>
        <v>#N/A</v>
      </c>
      <c r="N46" s="5" t="e">
        <f t="shared" ca="1" si="7"/>
        <v>#N/A</v>
      </c>
      <c r="O46" s="5">
        <f t="shared" si="8"/>
        <v>42</v>
      </c>
      <c r="P46" s="5" t="e">
        <f t="shared" ca="1" si="10"/>
        <v>#N/A</v>
      </c>
      <c r="Q46" s="7" t="e">
        <f t="shared" ca="1" si="11"/>
        <v>#N/A</v>
      </c>
      <c r="R46" s="5" t="e">
        <f t="shared" ca="1" si="3"/>
        <v>#N/A</v>
      </c>
    </row>
    <row r="47" spans="1:18" x14ac:dyDescent="0.2">
      <c r="A47"/>
      <c r="B47"/>
      <c r="D47" s="9"/>
      <c r="E47" s="9"/>
      <c r="F47" s="9"/>
      <c r="G47" s="9"/>
      <c r="H47" s="9"/>
      <c r="I47" s="9"/>
      <c r="J47" s="9"/>
      <c r="K47" s="10"/>
    </row>
    <row r="48" spans="1:18" x14ac:dyDescent="0.2">
      <c r="A48"/>
      <c r="B48"/>
      <c r="D48" s="9"/>
      <c r="E48" s="9"/>
      <c r="F48" s="9"/>
      <c r="G48" s="9"/>
      <c r="H48" s="9"/>
      <c r="I48" s="9"/>
      <c r="J48" s="9"/>
      <c r="K48" s="10"/>
    </row>
    <row r="49" spans="1:11" x14ac:dyDescent="0.2">
      <c r="A49"/>
      <c r="B49"/>
      <c r="D49" s="9"/>
      <c r="E49" s="9"/>
      <c r="F49" s="9"/>
      <c r="G49" s="9"/>
      <c r="H49" s="9"/>
      <c r="I49" s="9"/>
      <c r="J49" s="9"/>
      <c r="K49" s="10"/>
    </row>
    <row r="50" spans="1:11" x14ac:dyDescent="0.2">
      <c r="A50"/>
      <c r="B50"/>
      <c r="D50" s="9"/>
      <c r="E50" s="9"/>
      <c r="F50" s="9"/>
      <c r="G50" s="9"/>
      <c r="H50" s="9"/>
      <c r="I50" s="9"/>
      <c r="J50" s="9"/>
      <c r="K50" s="10"/>
    </row>
    <row r="51" spans="1:11" x14ac:dyDescent="0.2">
      <c r="A51"/>
      <c r="B51"/>
      <c r="D51" s="9"/>
      <c r="E51" s="9"/>
      <c r="F51" s="9"/>
      <c r="G51" s="9"/>
      <c r="H51" s="9"/>
      <c r="I51" s="9"/>
      <c r="J51" s="9"/>
      <c r="K51" s="10"/>
    </row>
    <row r="52" spans="1:11" x14ac:dyDescent="0.2">
      <c r="A52"/>
      <c r="B52"/>
      <c r="D52" s="9"/>
      <c r="E52" s="9"/>
      <c r="F52" s="9"/>
      <c r="G52" s="9"/>
      <c r="H52" s="9"/>
      <c r="I52" s="9"/>
      <c r="J52" s="9"/>
      <c r="K52" s="10"/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88"/>
  <sheetViews>
    <sheetView workbookViewId="0"/>
  </sheetViews>
  <sheetFormatPr defaultRowHeight="12.75" customHeight="1" x14ac:dyDescent="0.2"/>
  <cols>
    <col min="1" max="1" width="19.42578125" style="16" customWidth="1"/>
    <col min="2" max="7" width="9.7109375" style="20" customWidth="1"/>
    <col min="8" max="8" width="9.7109375" style="21" customWidth="1"/>
    <col min="9" max="9" width="3" style="16" bestFit="1" customWidth="1"/>
    <col min="10" max="10" width="9.140625" style="96"/>
    <col min="11" max="16384" width="9.140625" style="16"/>
  </cols>
  <sheetData>
    <row r="1" spans="1:10" ht="12.75" customHeight="1" x14ac:dyDescent="0.25">
      <c r="A1" s="13" t="s">
        <v>76</v>
      </c>
      <c r="B1" s="14" t="s">
        <v>84</v>
      </c>
      <c r="C1" s="14" t="s">
        <v>85</v>
      </c>
      <c r="D1" s="14" t="s">
        <v>79</v>
      </c>
      <c r="E1" s="14" t="s">
        <v>81</v>
      </c>
      <c r="F1" s="14" t="s">
        <v>82</v>
      </c>
      <c r="G1" s="14" t="s">
        <v>70</v>
      </c>
      <c r="H1" s="15" t="s">
        <v>86</v>
      </c>
    </row>
    <row r="2" spans="1:10" ht="12.75" customHeight="1" x14ac:dyDescent="0.3">
      <c r="A2" s="17" t="str">
        <f ca="1">FantasyPts!B5</f>
        <v>Adrian Hawksworth</v>
      </c>
      <c r="B2" s="18">
        <f ca="1">FantasyPts!C5</f>
        <v>0</v>
      </c>
      <c r="C2" s="18">
        <f ca="1">FantasyPts!D5</f>
        <v>0</v>
      </c>
      <c r="D2" s="18">
        <f ca="1">FantasyPts!F5</f>
        <v>0</v>
      </c>
      <c r="E2" s="18">
        <f ca="1">FantasyPts!H5</f>
        <v>0</v>
      </c>
      <c r="F2" s="18">
        <f ca="1">FantasyPts!I5</f>
        <v>0</v>
      </c>
      <c r="G2" s="18">
        <f ca="1">FantasyPts!J5</f>
        <v>3</v>
      </c>
      <c r="H2" s="19">
        <f ca="1">FantasyPts!K5</f>
        <v>0</v>
      </c>
      <c r="I2" s="16">
        <f ca="1">INT(B2/100+0.5)</f>
        <v>0</v>
      </c>
      <c r="J2" s="100">
        <f ca="1">I2-G2</f>
        <v>-3</v>
      </c>
    </row>
    <row r="3" spans="1:10" ht="12.75" customHeight="1" x14ac:dyDescent="0.3">
      <c r="A3" s="17" t="str">
        <f ca="1">FantasyPts!B6</f>
        <v>Adam Lestrelle</v>
      </c>
      <c r="B3" s="18">
        <f ca="1">FantasyPts!C6</f>
        <v>0</v>
      </c>
      <c r="C3" s="18">
        <f ca="1">FantasyPts!D6</f>
        <v>0</v>
      </c>
      <c r="D3" s="18">
        <f ca="1">FantasyPts!F6</f>
        <v>0</v>
      </c>
      <c r="E3" s="18">
        <f ca="1">FantasyPts!H6</f>
        <v>0</v>
      </c>
      <c r="F3" s="18">
        <f ca="1">FantasyPts!I6</f>
        <v>0</v>
      </c>
      <c r="G3" s="18">
        <f ca="1">FantasyPts!J6</f>
        <v>2</v>
      </c>
      <c r="H3" s="19">
        <f ca="1">FantasyPts!K6</f>
        <v>0</v>
      </c>
      <c r="I3" s="16">
        <f t="shared" ref="I3:I38" ca="1" si="0">INT(B3/100+0.5)</f>
        <v>0</v>
      </c>
      <c r="J3" s="100">
        <f t="shared" ref="J3:J42" ca="1" si="1">I3-G3</f>
        <v>-2</v>
      </c>
    </row>
    <row r="4" spans="1:10" ht="12.75" customHeight="1" x14ac:dyDescent="0.3">
      <c r="A4" s="17" t="str">
        <f ca="1">FantasyPts!B7</f>
        <v>Aiden Coloe</v>
      </c>
      <c r="B4" s="18">
        <f ca="1">FantasyPts!C7</f>
        <v>0</v>
      </c>
      <c r="C4" s="18">
        <f ca="1">FantasyPts!D7</f>
        <v>0</v>
      </c>
      <c r="D4" s="18">
        <f ca="1">FantasyPts!F7</f>
        <v>0</v>
      </c>
      <c r="E4" s="18">
        <f ca="1">FantasyPts!H7</f>
        <v>0</v>
      </c>
      <c r="F4" s="18">
        <f ca="1">FantasyPts!I7</f>
        <v>0</v>
      </c>
      <c r="G4" s="18">
        <f ca="1">FantasyPts!J7</f>
        <v>3</v>
      </c>
      <c r="H4" s="19">
        <f ca="1">FantasyPts!K7</f>
        <v>0</v>
      </c>
      <c r="I4" s="16">
        <f t="shared" ca="1" si="0"/>
        <v>0</v>
      </c>
      <c r="J4" s="100">
        <f t="shared" ca="1" si="1"/>
        <v>-3</v>
      </c>
    </row>
    <row r="5" spans="1:10" ht="12.75" customHeight="1" x14ac:dyDescent="0.3">
      <c r="A5" s="17" t="str">
        <f ca="1">FantasyPts!B8</f>
        <v>Andy Mander</v>
      </c>
      <c r="B5" s="18">
        <f ca="1">FantasyPts!C8</f>
        <v>0</v>
      </c>
      <c r="C5" s="18">
        <f ca="1">FantasyPts!D8</f>
        <v>0</v>
      </c>
      <c r="D5" s="18">
        <f ca="1">FantasyPts!F8</f>
        <v>0</v>
      </c>
      <c r="E5" s="18">
        <f ca="1">FantasyPts!H8</f>
        <v>0</v>
      </c>
      <c r="F5" s="18">
        <f ca="1">FantasyPts!I8</f>
        <v>0</v>
      </c>
      <c r="G5" s="18">
        <f ca="1">FantasyPts!J8</f>
        <v>6</v>
      </c>
      <c r="H5" s="19">
        <f ca="1">FantasyPts!K8</f>
        <v>0</v>
      </c>
      <c r="I5" s="16">
        <f t="shared" ca="1" si="0"/>
        <v>0</v>
      </c>
      <c r="J5" s="100">
        <f t="shared" ca="1" si="1"/>
        <v>-6</v>
      </c>
    </row>
    <row r="6" spans="1:10" ht="12.75" customHeight="1" x14ac:dyDescent="0.3">
      <c r="A6" s="17" t="str">
        <f ca="1">FantasyPts!B9</f>
        <v>Bob Young</v>
      </c>
      <c r="B6" s="18">
        <f ca="1">FantasyPts!C9</f>
        <v>0</v>
      </c>
      <c r="C6" s="18">
        <f ca="1">FantasyPts!D9</f>
        <v>0</v>
      </c>
      <c r="D6" s="18">
        <f ca="1">FantasyPts!F9</f>
        <v>0</v>
      </c>
      <c r="E6" s="18">
        <f ca="1">FantasyPts!H9</f>
        <v>0</v>
      </c>
      <c r="F6" s="18">
        <f ca="1">FantasyPts!I9</f>
        <v>0</v>
      </c>
      <c r="G6" s="18">
        <f ca="1">FantasyPts!J9</f>
        <v>4</v>
      </c>
      <c r="H6" s="19">
        <f ca="1">FantasyPts!K9</f>
        <v>0</v>
      </c>
      <c r="I6" s="16">
        <f t="shared" ca="1" si="0"/>
        <v>0</v>
      </c>
      <c r="J6" s="100">
        <f t="shared" ca="1" si="1"/>
        <v>-4</v>
      </c>
    </row>
    <row r="7" spans="1:10" ht="12.75" customHeight="1" x14ac:dyDescent="0.3">
      <c r="A7" s="17" t="str">
        <f ca="1">FantasyPts!B10</f>
        <v>Chris Clark</v>
      </c>
      <c r="B7" s="18">
        <f ca="1">FantasyPts!C10</f>
        <v>0</v>
      </c>
      <c r="C7" s="18">
        <f ca="1">FantasyPts!D10</f>
        <v>0</v>
      </c>
      <c r="D7" s="18">
        <f ca="1">FantasyPts!F10</f>
        <v>0</v>
      </c>
      <c r="E7" s="18">
        <f ca="1">FantasyPts!H10</f>
        <v>0</v>
      </c>
      <c r="F7" s="18">
        <f ca="1">FantasyPts!I10</f>
        <v>0</v>
      </c>
      <c r="G7" s="18">
        <f ca="1">FantasyPts!J10</f>
        <v>6</v>
      </c>
      <c r="H7" s="19">
        <f ca="1">FantasyPts!K10</f>
        <v>0</v>
      </c>
      <c r="I7" s="16">
        <f t="shared" ca="1" si="0"/>
        <v>0</v>
      </c>
      <c r="J7" s="100">
        <f t="shared" ca="1" si="1"/>
        <v>-6</v>
      </c>
    </row>
    <row r="8" spans="1:10" ht="12.75" customHeight="1" x14ac:dyDescent="0.3">
      <c r="A8" s="17" t="str">
        <f ca="1">FantasyPts!B11</f>
        <v>Clive Edghill</v>
      </c>
      <c r="B8" s="18">
        <f ca="1">FantasyPts!C11</f>
        <v>0</v>
      </c>
      <c r="C8" s="18">
        <f ca="1">FantasyPts!D11</f>
        <v>0</v>
      </c>
      <c r="D8" s="18">
        <f ca="1">FantasyPts!F11</f>
        <v>0</v>
      </c>
      <c r="E8" s="18">
        <f ca="1">FantasyPts!H11</f>
        <v>0</v>
      </c>
      <c r="F8" s="18">
        <f ca="1">FantasyPts!I11</f>
        <v>0</v>
      </c>
      <c r="G8" s="18">
        <f ca="1">FantasyPts!J11</f>
        <v>2</v>
      </c>
      <c r="H8" s="19">
        <f ca="1">FantasyPts!K11</f>
        <v>0</v>
      </c>
      <c r="I8" s="16">
        <f t="shared" ca="1" si="0"/>
        <v>0</v>
      </c>
      <c r="J8" s="100">
        <f t="shared" ca="1" si="1"/>
        <v>-2</v>
      </c>
    </row>
    <row r="9" spans="1:10" ht="12.75" customHeight="1" x14ac:dyDescent="0.3">
      <c r="A9" s="17" t="str">
        <f ca="1">FantasyPts!B12</f>
        <v>Colin Mander</v>
      </c>
      <c r="B9" s="18">
        <f ca="1">FantasyPts!C12</f>
        <v>0</v>
      </c>
      <c r="C9" s="18">
        <f ca="1">FantasyPts!D12</f>
        <v>0</v>
      </c>
      <c r="D9" s="18">
        <f ca="1">FantasyPts!F12</f>
        <v>0</v>
      </c>
      <c r="E9" s="18">
        <f ca="1">FantasyPts!H12</f>
        <v>0</v>
      </c>
      <c r="F9" s="18">
        <f ca="1">FantasyPts!I12</f>
        <v>0</v>
      </c>
      <c r="G9" s="18">
        <f ca="1">FantasyPts!J12</f>
        <v>9</v>
      </c>
      <c r="H9" s="19">
        <f ca="1">FantasyPts!K12</f>
        <v>0</v>
      </c>
      <c r="I9" s="16">
        <f t="shared" ca="1" si="0"/>
        <v>0</v>
      </c>
      <c r="J9" s="100">
        <f t="shared" ca="1" si="1"/>
        <v>-9</v>
      </c>
    </row>
    <row r="10" spans="1:10" ht="12.75" customHeight="1" x14ac:dyDescent="0.3">
      <c r="A10" s="17" t="str">
        <f ca="1">FantasyPts!B13</f>
        <v>Daragh Corrigan</v>
      </c>
      <c r="B10" s="18">
        <f ca="1">FantasyPts!C13</f>
        <v>0</v>
      </c>
      <c r="C10" s="18">
        <f ca="1">FantasyPts!D13</f>
        <v>0</v>
      </c>
      <c r="D10" s="18">
        <f ca="1">FantasyPts!F13</f>
        <v>0</v>
      </c>
      <c r="E10" s="18">
        <f ca="1">FantasyPts!H13</f>
        <v>0</v>
      </c>
      <c r="F10" s="18">
        <f ca="1">FantasyPts!I13</f>
        <v>0</v>
      </c>
      <c r="G10" s="18">
        <f ca="1">FantasyPts!J13</f>
        <v>2</v>
      </c>
      <c r="H10" s="19">
        <f ca="1">FantasyPts!K13</f>
        <v>0</v>
      </c>
      <c r="I10" s="16">
        <f t="shared" ca="1" si="0"/>
        <v>0</v>
      </c>
      <c r="J10" s="100">
        <f t="shared" ca="1" si="1"/>
        <v>-2</v>
      </c>
    </row>
    <row r="11" spans="1:10" ht="12.75" customHeight="1" x14ac:dyDescent="0.3">
      <c r="A11" s="17" t="str">
        <f ca="1">FantasyPts!B14</f>
        <v>Dave Morris</v>
      </c>
      <c r="B11" s="18">
        <f ca="1">FantasyPts!C14</f>
        <v>0</v>
      </c>
      <c r="C11" s="18">
        <f ca="1">FantasyPts!D14</f>
        <v>0</v>
      </c>
      <c r="D11" s="18">
        <f ca="1">FantasyPts!F14</f>
        <v>0</v>
      </c>
      <c r="E11" s="18">
        <f ca="1">FantasyPts!H14</f>
        <v>0</v>
      </c>
      <c r="F11" s="18">
        <f ca="1">FantasyPts!I14</f>
        <v>0</v>
      </c>
      <c r="G11" s="18">
        <f ca="1">FantasyPts!J14</f>
        <v>5</v>
      </c>
      <c r="H11" s="19">
        <f ca="1">FantasyPts!K14</f>
        <v>0</v>
      </c>
      <c r="I11" s="16">
        <f t="shared" ca="1" si="0"/>
        <v>0</v>
      </c>
      <c r="J11" s="100">
        <f t="shared" ca="1" si="1"/>
        <v>-5</v>
      </c>
    </row>
    <row r="12" spans="1:10" ht="12.75" customHeight="1" x14ac:dyDescent="0.3">
      <c r="A12" s="17" t="str">
        <f ca="1">FantasyPts!B15</f>
        <v>David Brocks</v>
      </c>
      <c r="B12" s="18">
        <f ca="1">FantasyPts!C15</f>
        <v>0</v>
      </c>
      <c r="C12" s="18">
        <f ca="1">FantasyPts!D15</f>
        <v>0</v>
      </c>
      <c r="D12" s="18">
        <f ca="1">FantasyPts!F15</f>
        <v>0</v>
      </c>
      <c r="E12" s="18">
        <f ca="1">FantasyPts!H15</f>
        <v>0</v>
      </c>
      <c r="F12" s="18">
        <f ca="1">FantasyPts!I15</f>
        <v>0</v>
      </c>
      <c r="G12" s="18">
        <f ca="1">FantasyPts!J15</f>
        <v>4</v>
      </c>
      <c r="H12" s="19">
        <f ca="1">FantasyPts!K15</f>
        <v>0</v>
      </c>
      <c r="I12" s="16">
        <f t="shared" ca="1" si="0"/>
        <v>0</v>
      </c>
      <c r="J12" s="100">
        <f t="shared" ca="1" si="1"/>
        <v>-4</v>
      </c>
    </row>
    <row r="13" spans="1:10" ht="12.75" customHeight="1" x14ac:dyDescent="0.3">
      <c r="A13" s="17" t="str">
        <f ca="1">FantasyPts!B16</f>
        <v>David Sharpe</v>
      </c>
      <c r="B13" s="18">
        <f ca="1">FantasyPts!C16</f>
        <v>0</v>
      </c>
      <c r="C13" s="18">
        <f ca="1">FantasyPts!D16</f>
        <v>0</v>
      </c>
      <c r="D13" s="18">
        <f ca="1">FantasyPts!F16</f>
        <v>0</v>
      </c>
      <c r="E13" s="18">
        <f ca="1">FantasyPts!H16</f>
        <v>0</v>
      </c>
      <c r="F13" s="18">
        <f ca="1">FantasyPts!I16</f>
        <v>0</v>
      </c>
      <c r="G13" s="18">
        <f ca="1">FantasyPts!J16</f>
        <v>3</v>
      </c>
      <c r="H13" s="19">
        <f ca="1">FantasyPts!K16</f>
        <v>0</v>
      </c>
      <c r="I13" s="16">
        <f t="shared" ca="1" si="0"/>
        <v>0</v>
      </c>
      <c r="J13" s="100">
        <f t="shared" ca="1" si="1"/>
        <v>-3</v>
      </c>
    </row>
    <row r="14" spans="1:10" ht="12.75" customHeight="1" x14ac:dyDescent="0.3">
      <c r="A14" s="17" t="str">
        <f ca="1">FantasyPts!B17</f>
        <v>David Snow</v>
      </c>
      <c r="B14" s="18">
        <f ca="1">FantasyPts!C17</f>
        <v>0</v>
      </c>
      <c r="C14" s="18">
        <f ca="1">FantasyPts!D17</f>
        <v>0</v>
      </c>
      <c r="D14" s="18">
        <f ca="1">FantasyPts!F17</f>
        <v>0</v>
      </c>
      <c r="E14" s="18">
        <f ca="1">FantasyPts!H17</f>
        <v>0</v>
      </c>
      <c r="F14" s="18">
        <f ca="1">FantasyPts!I17</f>
        <v>0</v>
      </c>
      <c r="G14" s="18">
        <f ca="1">FantasyPts!J17</f>
        <v>3</v>
      </c>
      <c r="H14" s="19">
        <f ca="1">FantasyPts!K17</f>
        <v>0</v>
      </c>
      <c r="I14" s="16">
        <f t="shared" ca="1" si="0"/>
        <v>0</v>
      </c>
      <c r="J14" s="100">
        <f t="shared" ca="1" si="1"/>
        <v>-3</v>
      </c>
    </row>
    <row r="15" spans="1:10" ht="12.75" customHeight="1" x14ac:dyDescent="0.3">
      <c r="A15" s="17" t="str">
        <f ca="1">FantasyPts!B18</f>
        <v>Del Shewan</v>
      </c>
      <c r="B15" s="18">
        <f ca="1">FantasyPts!C18</f>
        <v>0</v>
      </c>
      <c r="C15" s="18">
        <f ca="1">FantasyPts!D18</f>
        <v>0</v>
      </c>
      <c r="D15" s="18">
        <f ca="1">FantasyPts!F18</f>
        <v>0</v>
      </c>
      <c r="E15" s="18">
        <f ca="1">FantasyPts!H18</f>
        <v>0</v>
      </c>
      <c r="F15" s="18">
        <f ca="1">FantasyPts!I18</f>
        <v>0</v>
      </c>
      <c r="G15" s="18">
        <f ca="1">FantasyPts!J18</f>
        <v>3</v>
      </c>
      <c r="H15" s="19">
        <f ca="1">FantasyPts!K18</f>
        <v>0</v>
      </c>
      <c r="I15" s="16">
        <f t="shared" ca="1" si="0"/>
        <v>0</v>
      </c>
      <c r="J15" s="100">
        <f t="shared" ca="1" si="1"/>
        <v>-3</v>
      </c>
    </row>
    <row r="16" spans="1:10" ht="12.75" customHeight="1" x14ac:dyDescent="0.3">
      <c r="A16" s="17" t="str">
        <f ca="1">FantasyPts!B19</f>
        <v>Geoff Cooper</v>
      </c>
      <c r="B16" s="18">
        <f ca="1">FantasyPts!C19</f>
        <v>0</v>
      </c>
      <c r="C16" s="18">
        <f ca="1">FantasyPts!D19</f>
        <v>0</v>
      </c>
      <c r="D16" s="18">
        <f ca="1">FantasyPts!F19</f>
        <v>0</v>
      </c>
      <c r="E16" s="18">
        <f ca="1">FantasyPts!H19</f>
        <v>0</v>
      </c>
      <c r="F16" s="18">
        <f ca="1">FantasyPts!I19</f>
        <v>0</v>
      </c>
      <c r="G16" s="18">
        <f ca="1">FantasyPts!J19</f>
        <v>6</v>
      </c>
      <c r="H16" s="19">
        <f ca="1">FantasyPts!K19</f>
        <v>0</v>
      </c>
      <c r="I16" s="16">
        <f t="shared" ca="1" si="0"/>
        <v>0</v>
      </c>
      <c r="J16" s="100">
        <f t="shared" ca="1" si="1"/>
        <v>-6</v>
      </c>
    </row>
    <row r="17" spans="1:10" ht="12.75" customHeight="1" x14ac:dyDescent="0.3">
      <c r="A17" s="17" t="str">
        <f ca="1">FantasyPts!B20</f>
        <v>Glen Lilley</v>
      </c>
      <c r="B17" s="18">
        <f ca="1">FantasyPts!C20</f>
        <v>0</v>
      </c>
      <c r="C17" s="18">
        <f ca="1">FantasyPts!D20</f>
        <v>0</v>
      </c>
      <c r="D17" s="18">
        <f ca="1">FantasyPts!F20</f>
        <v>0</v>
      </c>
      <c r="E17" s="18">
        <f ca="1">FantasyPts!H20</f>
        <v>0</v>
      </c>
      <c r="F17" s="18">
        <f ca="1">FantasyPts!I20</f>
        <v>0</v>
      </c>
      <c r="G17" s="18">
        <f ca="1">FantasyPts!J20</f>
        <v>2</v>
      </c>
      <c r="H17" s="19">
        <f ca="1">FantasyPts!K20</f>
        <v>0</v>
      </c>
      <c r="I17" s="16">
        <f t="shared" ca="1" si="0"/>
        <v>0</v>
      </c>
      <c r="J17" s="100">
        <f t="shared" ca="1" si="1"/>
        <v>-2</v>
      </c>
    </row>
    <row r="18" spans="1:10" ht="12.75" customHeight="1" x14ac:dyDescent="0.3">
      <c r="A18" s="17" t="str">
        <f ca="1">FantasyPts!B21</f>
        <v>Glyn Angell</v>
      </c>
      <c r="B18" s="18">
        <f ca="1">FantasyPts!C21</f>
        <v>0</v>
      </c>
      <c r="C18" s="18">
        <f ca="1">FantasyPts!D21</f>
        <v>0</v>
      </c>
      <c r="D18" s="18">
        <f ca="1">FantasyPts!F21</f>
        <v>0</v>
      </c>
      <c r="E18" s="18">
        <f ca="1">FantasyPts!H21</f>
        <v>0</v>
      </c>
      <c r="F18" s="18">
        <f ca="1">FantasyPts!I21</f>
        <v>0</v>
      </c>
      <c r="G18" s="18">
        <f ca="1">FantasyPts!J21</f>
        <v>1</v>
      </c>
      <c r="H18" s="19">
        <f ca="1">FantasyPts!K21</f>
        <v>0</v>
      </c>
      <c r="I18" s="16">
        <f t="shared" ca="1" si="0"/>
        <v>0</v>
      </c>
      <c r="J18" s="100">
        <f t="shared" ca="1" si="1"/>
        <v>-1</v>
      </c>
    </row>
    <row r="19" spans="1:10" ht="12.75" customHeight="1" x14ac:dyDescent="0.3">
      <c r="A19" s="17" t="str">
        <f ca="1">FantasyPts!B22</f>
        <v>Jason Crisford</v>
      </c>
      <c r="B19" s="18">
        <f ca="1">FantasyPts!C22</f>
        <v>0</v>
      </c>
      <c r="C19" s="18">
        <f ca="1">FantasyPts!D22</f>
        <v>0</v>
      </c>
      <c r="D19" s="18">
        <f ca="1">FantasyPts!F22</f>
        <v>0</v>
      </c>
      <c r="E19" s="18">
        <f ca="1">FantasyPts!H22</f>
        <v>0</v>
      </c>
      <c r="F19" s="18">
        <f ca="1">FantasyPts!I22</f>
        <v>0</v>
      </c>
      <c r="G19" s="18">
        <f ca="1">FantasyPts!J22</f>
        <v>2</v>
      </c>
      <c r="H19" s="19">
        <f ca="1">FantasyPts!K22</f>
        <v>0</v>
      </c>
      <c r="I19" s="16">
        <f t="shared" ca="1" si="0"/>
        <v>0</v>
      </c>
      <c r="J19" s="100">
        <f t="shared" ca="1" si="1"/>
        <v>-2</v>
      </c>
    </row>
    <row r="20" spans="1:10" ht="12.75" customHeight="1" x14ac:dyDescent="0.3">
      <c r="A20" s="17" t="str">
        <f ca="1">FantasyPts!B23</f>
        <v>Jeff Lestrelle</v>
      </c>
      <c r="B20" s="18">
        <f ca="1">FantasyPts!C23</f>
        <v>0</v>
      </c>
      <c r="C20" s="18">
        <f ca="1">FantasyPts!D23</f>
        <v>0</v>
      </c>
      <c r="D20" s="18">
        <f ca="1">FantasyPts!F23</f>
        <v>0</v>
      </c>
      <c r="E20" s="18">
        <f ca="1">FantasyPts!H23</f>
        <v>0</v>
      </c>
      <c r="F20" s="18">
        <f ca="1">FantasyPts!I23</f>
        <v>0</v>
      </c>
      <c r="G20" s="18">
        <f ca="1">FantasyPts!J23</f>
        <v>4</v>
      </c>
      <c r="H20" s="19">
        <f ca="1">FantasyPts!K23</f>
        <v>0</v>
      </c>
      <c r="I20" s="16">
        <f t="shared" ca="1" si="0"/>
        <v>0</v>
      </c>
      <c r="J20" s="100">
        <f t="shared" ca="1" si="1"/>
        <v>-4</v>
      </c>
    </row>
    <row r="21" spans="1:10" ht="12.75" customHeight="1" x14ac:dyDescent="0.3">
      <c r="A21" s="17" t="str">
        <f ca="1">FantasyPts!B24</f>
        <v>John Elliston</v>
      </c>
      <c r="B21" s="18">
        <f ca="1">FantasyPts!C24</f>
        <v>0</v>
      </c>
      <c r="C21" s="18">
        <f ca="1">FantasyPts!D24</f>
        <v>0</v>
      </c>
      <c r="D21" s="18">
        <f ca="1">FantasyPts!F24</f>
        <v>0</v>
      </c>
      <c r="E21" s="18">
        <f ca="1">FantasyPts!H24</f>
        <v>0</v>
      </c>
      <c r="F21" s="18">
        <f ca="1">FantasyPts!I24</f>
        <v>0</v>
      </c>
      <c r="G21" s="18">
        <f ca="1">FantasyPts!J24</f>
        <v>5</v>
      </c>
      <c r="H21" s="19">
        <f ca="1">FantasyPts!K24</f>
        <v>0</v>
      </c>
      <c r="I21" s="16">
        <f t="shared" ca="1" si="0"/>
        <v>0</v>
      </c>
      <c r="J21" s="100">
        <f t="shared" ca="1" si="1"/>
        <v>-5</v>
      </c>
    </row>
    <row r="22" spans="1:10" ht="12.75" customHeight="1" x14ac:dyDescent="0.3">
      <c r="A22" s="17" t="str">
        <f ca="1">FantasyPts!B25</f>
        <v>John Leadley</v>
      </c>
      <c r="B22" s="18">
        <f ca="1">FantasyPts!C25</f>
        <v>0</v>
      </c>
      <c r="C22" s="18">
        <f ca="1">FantasyPts!D25</f>
        <v>0</v>
      </c>
      <c r="D22" s="18">
        <f ca="1">FantasyPts!F25</f>
        <v>0</v>
      </c>
      <c r="E22" s="18">
        <f ca="1">FantasyPts!H25</f>
        <v>0</v>
      </c>
      <c r="F22" s="18">
        <f ca="1">FantasyPts!I25</f>
        <v>0</v>
      </c>
      <c r="G22" s="18">
        <f ca="1">FantasyPts!J25</f>
        <v>11</v>
      </c>
      <c r="H22" s="19">
        <f ca="1">FantasyPts!K25</f>
        <v>0</v>
      </c>
      <c r="I22" s="16">
        <f t="shared" ca="1" si="0"/>
        <v>0</v>
      </c>
      <c r="J22" s="100">
        <f t="shared" ca="1" si="1"/>
        <v>-11</v>
      </c>
    </row>
    <row r="23" spans="1:10" ht="12.75" customHeight="1" x14ac:dyDescent="0.3">
      <c r="A23" s="17" t="str">
        <f ca="1">FantasyPts!B26</f>
        <v>Jon Worthy</v>
      </c>
      <c r="B23" s="18">
        <f ca="1">FantasyPts!C26</f>
        <v>0</v>
      </c>
      <c r="C23" s="18">
        <f ca="1">FantasyPts!D26</f>
        <v>0</v>
      </c>
      <c r="D23" s="18">
        <f ca="1">FantasyPts!F26</f>
        <v>0</v>
      </c>
      <c r="E23" s="18">
        <f ca="1">FantasyPts!H26</f>
        <v>0</v>
      </c>
      <c r="F23" s="18">
        <f ca="1">FantasyPts!I26</f>
        <v>0</v>
      </c>
      <c r="G23" s="18">
        <f ca="1">FantasyPts!J26</f>
        <v>5</v>
      </c>
      <c r="H23" s="19">
        <f ca="1">FantasyPts!K26</f>
        <v>0</v>
      </c>
      <c r="I23" s="16">
        <f t="shared" ca="1" si="0"/>
        <v>0</v>
      </c>
      <c r="J23" s="100">
        <f t="shared" ca="1" si="1"/>
        <v>-5</v>
      </c>
    </row>
    <row r="24" spans="1:10" ht="12.75" customHeight="1" x14ac:dyDescent="0.3">
      <c r="A24" s="17" t="str">
        <f ca="1">FantasyPts!B27</f>
        <v>Kieran Moore</v>
      </c>
      <c r="B24" s="18">
        <f ca="1">FantasyPts!C27</f>
        <v>0</v>
      </c>
      <c r="C24" s="18">
        <f ca="1">FantasyPts!D27</f>
        <v>0</v>
      </c>
      <c r="D24" s="18">
        <f ca="1">FantasyPts!F27</f>
        <v>0</v>
      </c>
      <c r="E24" s="18">
        <f ca="1">FantasyPts!H27</f>
        <v>0</v>
      </c>
      <c r="F24" s="18">
        <f ca="1">FantasyPts!I27</f>
        <v>0</v>
      </c>
      <c r="G24" s="18">
        <f ca="1">FantasyPts!J27</f>
        <v>2</v>
      </c>
      <c r="H24" s="19">
        <f ca="1">FantasyPts!K27</f>
        <v>0</v>
      </c>
      <c r="I24" s="16">
        <f t="shared" ca="1" si="0"/>
        <v>0</v>
      </c>
      <c r="J24" s="100">
        <f t="shared" ca="1" si="1"/>
        <v>-2</v>
      </c>
    </row>
    <row r="25" spans="1:10" ht="12.75" customHeight="1" x14ac:dyDescent="0.3">
      <c r="A25" s="17" t="str">
        <f ca="1">FantasyPts!B28</f>
        <v>Mick Clark</v>
      </c>
      <c r="B25" s="18">
        <f ca="1">FantasyPts!C28</f>
        <v>0</v>
      </c>
      <c r="C25" s="18">
        <f ca="1">FantasyPts!D28</f>
        <v>0</v>
      </c>
      <c r="D25" s="18">
        <f ca="1">FantasyPts!F28</f>
        <v>0</v>
      </c>
      <c r="E25" s="18">
        <f ca="1">FantasyPts!H28</f>
        <v>0</v>
      </c>
      <c r="F25" s="18">
        <f ca="1">FantasyPts!I28</f>
        <v>0</v>
      </c>
      <c r="G25" s="18">
        <f ca="1">FantasyPts!J28</f>
        <v>2</v>
      </c>
      <c r="H25" s="19">
        <f ca="1">FantasyPts!K28</f>
        <v>0</v>
      </c>
      <c r="I25" s="16">
        <f t="shared" ca="1" si="0"/>
        <v>0</v>
      </c>
      <c r="J25" s="100">
        <f t="shared" ca="1" si="1"/>
        <v>-2</v>
      </c>
    </row>
    <row r="26" spans="1:10" ht="12.75" customHeight="1" x14ac:dyDescent="0.3">
      <c r="A26" s="17" t="str">
        <f ca="1">FantasyPts!B29</f>
        <v>Mike Bowers</v>
      </c>
      <c r="B26" s="18">
        <f ca="1">FantasyPts!C29</f>
        <v>0</v>
      </c>
      <c r="C26" s="18">
        <f ca="1">FantasyPts!D29</f>
        <v>0</v>
      </c>
      <c r="D26" s="18">
        <f ca="1">FantasyPts!F29</f>
        <v>0</v>
      </c>
      <c r="E26" s="18">
        <f ca="1">FantasyPts!H29</f>
        <v>0</v>
      </c>
      <c r="F26" s="18">
        <f ca="1">FantasyPts!I29</f>
        <v>0</v>
      </c>
      <c r="G26" s="18">
        <f ca="1">FantasyPts!J29</f>
        <v>3</v>
      </c>
      <c r="H26" s="19">
        <f ca="1">FantasyPts!K29</f>
        <v>0</v>
      </c>
      <c r="I26" s="16">
        <f t="shared" ca="1" si="0"/>
        <v>0</v>
      </c>
      <c r="J26" s="100">
        <f t="shared" ca="1" si="1"/>
        <v>-3</v>
      </c>
    </row>
    <row r="27" spans="1:10" ht="12.75" customHeight="1" x14ac:dyDescent="0.3">
      <c r="A27" s="17" t="str">
        <f ca="1">FantasyPts!B30</f>
        <v>Mike Hosking</v>
      </c>
      <c r="B27" s="18">
        <f ca="1">FantasyPts!C30</f>
        <v>0</v>
      </c>
      <c r="C27" s="18">
        <f ca="1">FantasyPts!D30</f>
        <v>0</v>
      </c>
      <c r="D27" s="18">
        <f ca="1">FantasyPts!F30</f>
        <v>0</v>
      </c>
      <c r="E27" s="18">
        <f ca="1">FantasyPts!H30</f>
        <v>0</v>
      </c>
      <c r="F27" s="18">
        <f ca="1">FantasyPts!I30</f>
        <v>0</v>
      </c>
      <c r="G27" s="18">
        <f ca="1">FantasyPts!J30</f>
        <v>3</v>
      </c>
      <c r="H27" s="19">
        <f ca="1">FantasyPts!K30</f>
        <v>0</v>
      </c>
      <c r="I27" s="16">
        <f t="shared" ca="1" si="0"/>
        <v>0</v>
      </c>
      <c r="J27" s="100">
        <f t="shared" ca="1" si="1"/>
        <v>-3</v>
      </c>
    </row>
    <row r="28" spans="1:10" ht="12.75" customHeight="1" x14ac:dyDescent="0.3">
      <c r="A28" s="17" t="str">
        <f ca="1">FantasyPts!B31</f>
        <v>Mike Woodhouse</v>
      </c>
      <c r="B28" s="18">
        <f ca="1">FantasyPts!C31</f>
        <v>0</v>
      </c>
      <c r="C28" s="18">
        <f ca="1">FantasyPts!D31</f>
        <v>0</v>
      </c>
      <c r="D28" s="18">
        <f ca="1">FantasyPts!F31</f>
        <v>0</v>
      </c>
      <c r="E28" s="18">
        <f ca="1">FantasyPts!H31</f>
        <v>0</v>
      </c>
      <c r="F28" s="18">
        <f ca="1">FantasyPts!I31</f>
        <v>0</v>
      </c>
      <c r="G28" s="18">
        <f ca="1">FantasyPts!J31</f>
        <v>5</v>
      </c>
      <c r="H28" s="19">
        <f ca="1">FantasyPts!K31</f>
        <v>0</v>
      </c>
      <c r="I28" s="16">
        <f t="shared" ca="1" si="0"/>
        <v>0</v>
      </c>
      <c r="J28" s="100">
        <f t="shared" ca="1" si="1"/>
        <v>-5</v>
      </c>
    </row>
    <row r="29" spans="1:10" ht="12.75" customHeight="1" x14ac:dyDescent="0.3">
      <c r="A29" s="17" t="str">
        <f ca="1">FantasyPts!B32</f>
        <v>Naimish Patel</v>
      </c>
      <c r="B29" s="18">
        <f ca="1">FantasyPts!C32</f>
        <v>0</v>
      </c>
      <c r="C29" s="18">
        <f ca="1">FantasyPts!D32</f>
        <v>0</v>
      </c>
      <c r="D29" s="18">
        <f ca="1">FantasyPts!F32</f>
        <v>0</v>
      </c>
      <c r="E29" s="18">
        <f ca="1">FantasyPts!H32</f>
        <v>0</v>
      </c>
      <c r="F29" s="18">
        <f ca="1">FantasyPts!I32</f>
        <v>0</v>
      </c>
      <c r="G29" s="18">
        <f ca="1">FantasyPts!J32</f>
        <v>3</v>
      </c>
      <c r="H29" s="19">
        <f ca="1">FantasyPts!K32</f>
        <v>0</v>
      </c>
      <c r="I29" s="16">
        <f t="shared" ca="1" si="0"/>
        <v>0</v>
      </c>
      <c r="J29" s="100">
        <f t="shared" ca="1" si="1"/>
        <v>-3</v>
      </c>
    </row>
    <row r="30" spans="1:10" ht="12.75" customHeight="1" x14ac:dyDescent="0.3">
      <c r="A30" s="17" t="str">
        <f ca="1">FantasyPts!B33</f>
        <v>Neil Mander</v>
      </c>
      <c r="B30" s="18">
        <f ca="1">FantasyPts!C33</f>
        <v>0</v>
      </c>
      <c r="C30" s="18">
        <f ca="1">FantasyPts!D33</f>
        <v>0</v>
      </c>
      <c r="D30" s="18">
        <f ca="1">FantasyPts!F33</f>
        <v>0</v>
      </c>
      <c r="E30" s="18">
        <f ca="1">FantasyPts!H33</f>
        <v>0</v>
      </c>
      <c r="F30" s="18">
        <f ca="1">FantasyPts!I33</f>
        <v>0</v>
      </c>
      <c r="G30" s="18">
        <f ca="1">FantasyPts!J33</f>
        <v>9</v>
      </c>
      <c r="H30" s="19">
        <f ca="1">FantasyPts!K33</f>
        <v>0</v>
      </c>
      <c r="I30" s="16">
        <f t="shared" ca="1" si="0"/>
        <v>0</v>
      </c>
      <c r="J30" s="100">
        <f t="shared" ca="1" si="1"/>
        <v>-9</v>
      </c>
    </row>
    <row r="31" spans="1:10" ht="12.75" customHeight="1" x14ac:dyDescent="0.3">
      <c r="A31" s="17" t="str">
        <f ca="1">FantasyPts!B34</f>
        <v>Rick Worthington</v>
      </c>
      <c r="B31" s="18">
        <f ca="1">FantasyPts!C34</f>
        <v>0</v>
      </c>
      <c r="C31" s="18">
        <f ca="1">FantasyPts!D34</f>
        <v>0</v>
      </c>
      <c r="D31" s="18">
        <f ca="1">FantasyPts!F34</f>
        <v>0</v>
      </c>
      <c r="E31" s="18">
        <f ca="1">FantasyPts!H34</f>
        <v>0</v>
      </c>
      <c r="F31" s="18">
        <f ca="1">FantasyPts!I34</f>
        <v>0</v>
      </c>
      <c r="G31" s="18">
        <f ca="1">FantasyPts!J34</f>
        <v>4</v>
      </c>
      <c r="H31" s="19">
        <f ca="1">FantasyPts!K34</f>
        <v>0</v>
      </c>
      <c r="I31" s="16">
        <f t="shared" ca="1" si="0"/>
        <v>0</v>
      </c>
      <c r="J31" s="100">
        <f t="shared" ca="1" si="1"/>
        <v>-4</v>
      </c>
    </row>
    <row r="32" spans="1:10" ht="12.75" customHeight="1" x14ac:dyDescent="0.3">
      <c r="A32" s="17" t="str">
        <f ca="1">FantasyPts!B35</f>
        <v>Ron Morris</v>
      </c>
      <c r="B32" s="18">
        <f ca="1">FantasyPts!C35</f>
        <v>0</v>
      </c>
      <c r="C32" s="18">
        <f ca="1">FantasyPts!D35</f>
        <v>0</v>
      </c>
      <c r="D32" s="18">
        <f ca="1">FantasyPts!F35</f>
        <v>0</v>
      </c>
      <c r="E32" s="18">
        <f ca="1">FantasyPts!H35</f>
        <v>0</v>
      </c>
      <c r="F32" s="18">
        <f ca="1">FantasyPts!I35</f>
        <v>0</v>
      </c>
      <c r="G32" s="18">
        <f ca="1">FantasyPts!J35</f>
        <v>2</v>
      </c>
      <c r="H32" s="19">
        <f ca="1">FantasyPts!K35</f>
        <v>0</v>
      </c>
      <c r="I32" s="16">
        <f t="shared" ca="1" si="0"/>
        <v>0</v>
      </c>
      <c r="J32" s="100">
        <f t="shared" ca="1" si="1"/>
        <v>-2</v>
      </c>
    </row>
    <row r="33" spans="1:10" ht="12.75" customHeight="1" x14ac:dyDescent="0.3">
      <c r="A33" s="17" t="str">
        <f ca="1">FantasyPts!B36</f>
        <v>Roy Odeneal</v>
      </c>
      <c r="B33" s="18">
        <f ca="1">FantasyPts!C36</f>
        <v>0</v>
      </c>
      <c r="C33" s="18">
        <f ca="1">FantasyPts!D36</f>
        <v>0</v>
      </c>
      <c r="D33" s="18">
        <f ca="1">FantasyPts!F36</f>
        <v>0</v>
      </c>
      <c r="E33" s="18">
        <f ca="1">FantasyPts!H36</f>
        <v>0</v>
      </c>
      <c r="F33" s="18">
        <f ca="1">FantasyPts!I36</f>
        <v>0</v>
      </c>
      <c r="G33" s="18">
        <f ca="1">FantasyPts!J36</f>
        <v>2</v>
      </c>
      <c r="H33" s="19">
        <f ca="1">FantasyPts!K36</f>
        <v>0</v>
      </c>
      <c r="I33" s="16">
        <f t="shared" ca="1" si="0"/>
        <v>0</v>
      </c>
      <c r="J33" s="100">
        <f t="shared" ca="1" si="1"/>
        <v>-2</v>
      </c>
    </row>
    <row r="34" spans="1:10" ht="12.75" customHeight="1" x14ac:dyDescent="0.3">
      <c r="A34" s="17" t="str">
        <f ca="1">FantasyPts!B37</f>
        <v>Steve Barry</v>
      </c>
      <c r="B34" s="18">
        <f ca="1">FantasyPts!C37</f>
        <v>0</v>
      </c>
      <c r="C34" s="18">
        <f ca="1">FantasyPts!D37</f>
        <v>0</v>
      </c>
      <c r="D34" s="18">
        <f ca="1">FantasyPts!F37</f>
        <v>0</v>
      </c>
      <c r="E34" s="18">
        <f ca="1">FantasyPts!H37</f>
        <v>0</v>
      </c>
      <c r="F34" s="18">
        <f ca="1">FantasyPts!I37</f>
        <v>0</v>
      </c>
      <c r="G34" s="18">
        <f ca="1">FantasyPts!J37</f>
        <v>2</v>
      </c>
      <c r="H34" s="19">
        <f ca="1">FantasyPts!K37</f>
        <v>0</v>
      </c>
      <c r="I34" s="16">
        <f t="shared" ca="1" si="0"/>
        <v>0</v>
      </c>
      <c r="J34" s="100">
        <f t="shared" ca="1" si="1"/>
        <v>-2</v>
      </c>
    </row>
    <row r="35" spans="1:10" ht="12.75" customHeight="1" x14ac:dyDescent="0.3">
      <c r="A35" s="17" t="str">
        <f ca="1">FantasyPts!B38</f>
        <v>Ted Dugdale</v>
      </c>
      <c r="B35" s="18">
        <f ca="1">FantasyPts!C38</f>
        <v>0</v>
      </c>
      <c r="C35" s="18">
        <f ca="1">FantasyPts!D38</f>
        <v>0</v>
      </c>
      <c r="D35" s="18">
        <f ca="1">FantasyPts!F38</f>
        <v>0</v>
      </c>
      <c r="E35" s="18">
        <f ca="1">FantasyPts!H38</f>
        <v>0</v>
      </c>
      <c r="F35" s="18">
        <f ca="1">FantasyPts!I38</f>
        <v>0</v>
      </c>
      <c r="G35" s="18">
        <f ca="1">FantasyPts!J38</f>
        <v>3</v>
      </c>
      <c r="H35" s="19">
        <f ca="1">FantasyPts!K38</f>
        <v>0</v>
      </c>
      <c r="I35" s="16">
        <f t="shared" ca="1" si="0"/>
        <v>0</v>
      </c>
      <c r="J35" s="100">
        <f t="shared" ca="1" si="1"/>
        <v>-3</v>
      </c>
    </row>
    <row r="36" spans="1:10" ht="12.75" customHeight="1" x14ac:dyDescent="0.3">
      <c r="A36" s="17" t="str">
        <f ca="1">FantasyPts!B39</f>
        <v>Tony Springer</v>
      </c>
      <c r="B36" s="18">
        <f ca="1">FantasyPts!C39</f>
        <v>0</v>
      </c>
      <c r="C36" s="18">
        <f ca="1">FantasyPts!D39</f>
        <v>0</v>
      </c>
      <c r="D36" s="18">
        <f ca="1">FantasyPts!F39</f>
        <v>0</v>
      </c>
      <c r="E36" s="18">
        <f ca="1">FantasyPts!H39</f>
        <v>0</v>
      </c>
      <c r="F36" s="18">
        <f ca="1">FantasyPts!I39</f>
        <v>0</v>
      </c>
      <c r="G36" s="18">
        <f ca="1">FantasyPts!J39</f>
        <v>13</v>
      </c>
      <c r="H36" s="19">
        <f ca="1">FantasyPts!K39</f>
        <v>0</v>
      </c>
      <c r="I36" s="16">
        <f t="shared" ca="1" si="0"/>
        <v>0</v>
      </c>
      <c r="J36" s="100">
        <f t="shared" ca="1" si="1"/>
        <v>-13</v>
      </c>
    </row>
    <row r="37" spans="1:10" ht="12.75" customHeight="1" x14ac:dyDescent="0.3">
      <c r="A37" s="17" t="str">
        <f ca="1">FantasyPts!B40</f>
        <v>Vince Reid</v>
      </c>
      <c r="B37" s="18">
        <f ca="1">FantasyPts!C40</f>
        <v>0</v>
      </c>
      <c r="C37" s="18">
        <f ca="1">FantasyPts!D40</f>
        <v>0</v>
      </c>
      <c r="D37" s="18">
        <f ca="1">FantasyPts!F40</f>
        <v>0</v>
      </c>
      <c r="E37" s="18">
        <f ca="1">FantasyPts!H40</f>
        <v>0</v>
      </c>
      <c r="F37" s="18">
        <f ca="1">FantasyPts!I40</f>
        <v>0</v>
      </c>
      <c r="G37" s="18">
        <f ca="1">FantasyPts!J40</f>
        <v>4</v>
      </c>
      <c r="H37" s="19">
        <f ca="1">FantasyPts!K40</f>
        <v>0</v>
      </c>
      <c r="I37" s="16">
        <f t="shared" ca="1" si="0"/>
        <v>0</v>
      </c>
      <c r="J37" s="100">
        <f t="shared" ca="1" si="1"/>
        <v>-4</v>
      </c>
    </row>
    <row r="38" spans="1:10" ht="12.75" customHeight="1" x14ac:dyDescent="0.3">
      <c r="A38" s="17" t="e">
        <f ca="1">FantasyPts!B41</f>
        <v>#N/A</v>
      </c>
      <c r="B38" s="18">
        <f ca="1">FantasyPts!C41</f>
        <v>0</v>
      </c>
      <c r="C38" s="18">
        <f ca="1">FantasyPts!D41</f>
        <v>0</v>
      </c>
      <c r="D38" s="18">
        <f ca="1">FantasyPts!F41</f>
        <v>0</v>
      </c>
      <c r="E38" s="18">
        <f ca="1">FantasyPts!H41</f>
        <v>0</v>
      </c>
      <c r="F38" s="18">
        <f ca="1">FantasyPts!I41</f>
        <v>0</v>
      </c>
      <c r="G38" s="18" t="e">
        <f ca="1">FantasyPts!J41</f>
        <v>#N/A</v>
      </c>
      <c r="H38" s="19" t="e">
        <f ca="1">FantasyPts!K41</f>
        <v>#N/A</v>
      </c>
      <c r="I38" s="16">
        <f t="shared" ca="1" si="0"/>
        <v>0</v>
      </c>
      <c r="J38" s="100" t="e">
        <f t="shared" ca="1" si="1"/>
        <v>#N/A</v>
      </c>
    </row>
    <row r="39" spans="1:10" ht="12.75" customHeight="1" x14ac:dyDescent="0.3">
      <c r="A39" s="17" t="e">
        <f ca="1">FantasyPts!B42</f>
        <v>#N/A</v>
      </c>
      <c r="B39" s="18">
        <f ca="1">FantasyPts!C42</f>
        <v>0</v>
      </c>
      <c r="C39" s="18">
        <f ca="1">FantasyPts!D42</f>
        <v>0</v>
      </c>
      <c r="D39" s="18">
        <f ca="1">FantasyPts!F42</f>
        <v>0</v>
      </c>
      <c r="E39" s="18">
        <f ca="1">FantasyPts!H42</f>
        <v>0</v>
      </c>
      <c r="F39" s="18">
        <f ca="1">FantasyPts!I42</f>
        <v>0</v>
      </c>
      <c r="G39" s="18" t="e">
        <f ca="1">FantasyPts!J42</f>
        <v>#N/A</v>
      </c>
      <c r="H39" s="19" t="e">
        <f ca="1">FantasyPts!K42</f>
        <v>#N/A</v>
      </c>
      <c r="I39" s="16">
        <f ca="1">INT(B39/100+0.5)</f>
        <v>0</v>
      </c>
      <c r="J39" s="100" t="e">
        <f t="shared" ca="1" si="1"/>
        <v>#N/A</v>
      </c>
    </row>
    <row r="40" spans="1:10" ht="12.75" customHeight="1" x14ac:dyDescent="0.3">
      <c r="A40" s="17" t="e">
        <f ca="1">FantasyPts!B43</f>
        <v>#N/A</v>
      </c>
      <c r="B40" s="18">
        <f ca="1">FantasyPts!C43</f>
        <v>0</v>
      </c>
      <c r="C40" s="18">
        <f ca="1">FantasyPts!D43</f>
        <v>0</v>
      </c>
      <c r="D40" s="18">
        <f ca="1">FantasyPts!F43</f>
        <v>0</v>
      </c>
      <c r="E40" s="18">
        <f ca="1">FantasyPts!H43</f>
        <v>0</v>
      </c>
      <c r="F40" s="18">
        <f ca="1">FantasyPts!I43</f>
        <v>0</v>
      </c>
      <c r="G40" s="18" t="e">
        <f ca="1">FantasyPts!J43</f>
        <v>#N/A</v>
      </c>
      <c r="H40" s="19" t="e">
        <f ca="1">FantasyPts!K43</f>
        <v>#N/A</v>
      </c>
      <c r="I40" s="16">
        <f ca="1">INT(B40/100+0.5)</f>
        <v>0</v>
      </c>
      <c r="J40" s="100" t="e">
        <f t="shared" ca="1" si="1"/>
        <v>#N/A</v>
      </c>
    </row>
    <row r="41" spans="1:10" ht="12.75" customHeight="1" x14ac:dyDescent="0.3">
      <c r="A41" s="17" t="e">
        <f ca="1">FantasyPts!B44</f>
        <v>#N/A</v>
      </c>
      <c r="B41" s="18">
        <f ca="1">FantasyPts!C44</f>
        <v>0</v>
      </c>
      <c r="C41" s="18">
        <f ca="1">FantasyPts!D44</f>
        <v>0</v>
      </c>
      <c r="D41" s="18">
        <f ca="1">FantasyPts!F44</f>
        <v>0</v>
      </c>
      <c r="E41" s="18">
        <f ca="1">FantasyPts!H44</f>
        <v>0</v>
      </c>
      <c r="F41" s="18">
        <f ca="1">FantasyPts!I44</f>
        <v>0</v>
      </c>
      <c r="G41" s="18" t="e">
        <f ca="1">FantasyPts!J44</f>
        <v>#N/A</v>
      </c>
      <c r="H41" s="19" t="e">
        <f ca="1">FantasyPts!K44</f>
        <v>#N/A</v>
      </c>
      <c r="I41" s="16">
        <f ca="1">INT(B41/100+0.5)</f>
        <v>0</v>
      </c>
      <c r="J41" s="100" t="e">
        <f t="shared" ca="1" si="1"/>
        <v>#N/A</v>
      </c>
    </row>
    <row r="42" spans="1:10" ht="12.75" customHeight="1" x14ac:dyDescent="0.3">
      <c r="A42" s="17" t="e">
        <f ca="1">FantasyPts!B45</f>
        <v>#N/A</v>
      </c>
      <c r="B42" s="18">
        <f ca="1">FantasyPts!C45</f>
        <v>0</v>
      </c>
      <c r="C42" s="18">
        <f ca="1">FantasyPts!D45</f>
        <v>0</v>
      </c>
      <c r="D42" s="18">
        <f ca="1">FantasyPts!F45</f>
        <v>0</v>
      </c>
      <c r="E42" s="18">
        <f ca="1">FantasyPts!H45</f>
        <v>0</v>
      </c>
      <c r="F42" s="18">
        <f ca="1">FantasyPts!I45</f>
        <v>0</v>
      </c>
      <c r="G42" s="18" t="e">
        <f ca="1">FantasyPts!J45</f>
        <v>#N/A</v>
      </c>
      <c r="H42" s="19" t="e">
        <f ca="1">FantasyPts!K45</f>
        <v>#N/A</v>
      </c>
      <c r="I42" s="16">
        <f ca="1">INT(B42/100+0.5)</f>
        <v>0</v>
      </c>
      <c r="J42" s="100" t="e">
        <f t="shared" ca="1" si="1"/>
        <v>#N/A</v>
      </c>
    </row>
    <row r="43" spans="1:10" ht="12.75" customHeight="1" x14ac:dyDescent="0.3">
      <c r="A43" s="17"/>
      <c r="B43" s="18"/>
      <c r="C43" s="18"/>
      <c r="D43" s="18"/>
      <c r="E43" s="18"/>
      <c r="F43" s="18"/>
      <c r="G43" s="18"/>
      <c r="H43" s="19"/>
    </row>
    <row r="44" spans="1:10" ht="12.75" customHeight="1" x14ac:dyDescent="0.3">
      <c r="A44" s="17"/>
      <c r="B44" s="18"/>
      <c r="C44" s="18"/>
      <c r="D44" s="18"/>
      <c r="E44" s="18"/>
      <c r="F44" s="18"/>
      <c r="G44" s="18"/>
      <c r="H44" s="19"/>
    </row>
    <row r="45" spans="1:10" ht="12.75" customHeight="1" x14ac:dyDescent="0.3">
      <c r="A45" s="17"/>
      <c r="B45" s="18"/>
      <c r="C45" s="18"/>
      <c r="D45" s="18"/>
      <c r="E45" s="18"/>
      <c r="F45" s="18"/>
      <c r="G45" s="18"/>
      <c r="H45" s="19"/>
    </row>
    <row r="46" spans="1:10" ht="12.75" customHeight="1" x14ac:dyDescent="0.3">
      <c r="A46" s="17"/>
      <c r="B46" s="18"/>
      <c r="C46" s="18"/>
      <c r="D46" s="18"/>
      <c r="E46" s="18"/>
      <c r="F46" s="18"/>
      <c r="G46" s="18"/>
      <c r="H46" s="19"/>
    </row>
    <row r="47" spans="1:10" ht="12.75" customHeight="1" x14ac:dyDescent="0.3">
      <c r="A47" s="17"/>
      <c r="B47" s="18"/>
      <c r="C47" s="18"/>
      <c r="D47" s="18"/>
      <c r="E47" s="18"/>
      <c r="F47" s="18"/>
      <c r="G47" s="18"/>
      <c r="H47" s="19"/>
    </row>
    <row r="48" spans="1:10" ht="12.75" customHeight="1" x14ac:dyDescent="0.3">
      <c r="A48" s="17"/>
      <c r="B48" s="18"/>
      <c r="C48" s="18"/>
      <c r="D48" s="18"/>
      <c r="E48" s="18"/>
      <c r="F48" s="18"/>
      <c r="G48" s="18"/>
      <c r="H48" s="19"/>
    </row>
    <row r="49" spans="1:8" ht="12.75" customHeight="1" x14ac:dyDescent="0.3">
      <c r="A49" s="17"/>
      <c r="B49" s="18"/>
      <c r="C49" s="18"/>
      <c r="D49" s="18"/>
      <c r="E49" s="18"/>
      <c r="F49" s="18"/>
      <c r="G49" s="18"/>
      <c r="H49" s="19"/>
    </row>
    <row r="50" spans="1:8" ht="12.75" customHeight="1" x14ac:dyDescent="0.3">
      <c r="A50" s="17"/>
      <c r="B50" s="18"/>
      <c r="C50" s="18"/>
      <c r="D50" s="18"/>
      <c r="E50" s="18"/>
      <c r="F50" s="18"/>
      <c r="G50" s="18"/>
      <c r="H50" s="19"/>
    </row>
    <row r="51" spans="1:8" ht="12.75" customHeight="1" x14ac:dyDescent="0.3">
      <c r="A51" s="17"/>
      <c r="B51" s="18"/>
      <c r="C51" s="18"/>
      <c r="D51" s="18"/>
      <c r="E51" s="18"/>
      <c r="F51" s="18"/>
      <c r="G51" s="18"/>
      <c r="H51" s="19"/>
    </row>
    <row r="52" spans="1:8" ht="12.75" customHeight="1" x14ac:dyDescent="0.3">
      <c r="A52" s="17"/>
      <c r="B52" s="18"/>
      <c r="C52" s="18"/>
      <c r="D52" s="18"/>
      <c r="E52" s="18"/>
      <c r="F52" s="18"/>
      <c r="G52" s="18"/>
      <c r="H52" s="19"/>
    </row>
    <row r="53" spans="1:8" ht="12.75" customHeight="1" x14ac:dyDescent="0.3">
      <c r="A53" s="17"/>
      <c r="B53" s="18"/>
      <c r="C53" s="18"/>
      <c r="D53" s="18"/>
      <c r="E53" s="18"/>
      <c r="F53" s="18"/>
      <c r="G53" s="18"/>
      <c r="H53" s="19"/>
    </row>
    <row r="54" spans="1:8" ht="12.75" customHeight="1" x14ac:dyDescent="0.3">
      <c r="A54" s="17"/>
      <c r="B54" s="18"/>
      <c r="C54" s="18"/>
      <c r="D54" s="18"/>
      <c r="E54" s="18"/>
      <c r="F54" s="18"/>
      <c r="G54" s="18"/>
      <c r="H54" s="19"/>
    </row>
    <row r="55" spans="1:8" ht="12.75" customHeight="1" x14ac:dyDescent="0.3">
      <c r="A55" s="17"/>
      <c r="B55" s="18"/>
      <c r="C55" s="18"/>
      <c r="D55" s="18"/>
      <c r="E55" s="18"/>
      <c r="F55" s="18"/>
      <c r="G55" s="18"/>
      <c r="H55" s="19"/>
    </row>
    <row r="56" spans="1:8" ht="12.75" customHeight="1" x14ac:dyDescent="0.3">
      <c r="A56" s="17"/>
      <c r="B56" s="18"/>
      <c r="C56" s="18"/>
      <c r="D56" s="18"/>
      <c r="E56" s="18"/>
      <c r="F56" s="18"/>
      <c r="G56" s="18"/>
      <c r="H56" s="19"/>
    </row>
    <row r="57" spans="1:8" ht="12.75" customHeight="1" x14ac:dyDescent="0.3">
      <c r="A57" s="17"/>
      <c r="B57" s="18"/>
      <c r="C57" s="18"/>
      <c r="D57" s="18"/>
      <c r="E57" s="18"/>
      <c r="F57" s="18"/>
      <c r="G57" s="18"/>
      <c r="H57" s="19"/>
    </row>
    <row r="58" spans="1:8" ht="12.75" customHeight="1" x14ac:dyDescent="0.3">
      <c r="A58" s="17"/>
      <c r="B58" s="18"/>
      <c r="C58" s="18"/>
      <c r="D58" s="18"/>
      <c r="E58" s="18"/>
      <c r="F58" s="18"/>
      <c r="G58" s="18"/>
      <c r="H58" s="19"/>
    </row>
    <row r="59" spans="1:8" ht="12.75" customHeight="1" x14ac:dyDescent="0.3">
      <c r="A59" s="17"/>
      <c r="B59" s="18"/>
      <c r="C59" s="18"/>
      <c r="D59" s="18"/>
      <c r="E59" s="18"/>
      <c r="F59" s="18"/>
      <c r="G59" s="18"/>
      <c r="H59" s="19"/>
    </row>
    <row r="60" spans="1:8" ht="12.75" customHeight="1" x14ac:dyDescent="0.3">
      <c r="A60" s="17"/>
      <c r="B60" s="18"/>
      <c r="C60" s="18"/>
      <c r="D60" s="18"/>
      <c r="E60" s="18"/>
      <c r="F60" s="18"/>
      <c r="G60" s="18"/>
      <c r="H60" s="19"/>
    </row>
    <row r="61" spans="1:8" ht="12.75" customHeight="1" x14ac:dyDescent="0.3">
      <c r="A61" s="17"/>
      <c r="B61" s="18"/>
      <c r="C61" s="18"/>
      <c r="D61" s="18"/>
      <c r="E61" s="18"/>
      <c r="F61" s="18"/>
      <c r="G61" s="18"/>
      <c r="H61" s="19"/>
    </row>
    <row r="62" spans="1:8" ht="12.75" customHeight="1" x14ac:dyDescent="0.3">
      <c r="A62" s="17"/>
      <c r="B62" s="18"/>
      <c r="C62" s="18"/>
      <c r="D62" s="18"/>
      <c r="E62" s="18"/>
      <c r="F62" s="18"/>
      <c r="G62" s="18"/>
      <c r="H62" s="19"/>
    </row>
    <row r="63" spans="1:8" ht="12.75" customHeight="1" x14ac:dyDescent="0.3">
      <c r="A63" s="17"/>
      <c r="B63" s="18"/>
      <c r="C63" s="18"/>
      <c r="D63" s="18"/>
      <c r="E63" s="18"/>
      <c r="F63" s="18"/>
      <c r="G63" s="18"/>
      <c r="H63" s="19"/>
    </row>
    <row r="64" spans="1:8" ht="12.75" customHeight="1" x14ac:dyDescent="0.3">
      <c r="A64" s="17"/>
      <c r="B64" s="18"/>
      <c r="C64" s="18"/>
      <c r="D64" s="18"/>
      <c r="E64" s="18"/>
      <c r="F64" s="18"/>
      <c r="G64" s="18"/>
      <c r="H64" s="19"/>
    </row>
    <row r="65" spans="1:8" ht="12.75" customHeight="1" x14ac:dyDescent="0.3">
      <c r="A65" s="17"/>
      <c r="B65" s="18"/>
      <c r="C65" s="18"/>
      <c r="D65" s="18"/>
      <c r="E65" s="18"/>
      <c r="F65" s="18"/>
      <c r="G65" s="18"/>
      <c r="H65" s="19"/>
    </row>
    <row r="66" spans="1:8" ht="12.75" customHeight="1" x14ac:dyDescent="0.3">
      <c r="A66" s="17"/>
      <c r="B66" s="18"/>
      <c r="C66" s="18"/>
      <c r="D66" s="18"/>
      <c r="E66" s="18"/>
      <c r="F66" s="18"/>
      <c r="G66" s="18"/>
      <c r="H66" s="19"/>
    </row>
    <row r="67" spans="1:8" ht="12.75" customHeight="1" x14ac:dyDescent="0.3">
      <c r="A67" s="17"/>
      <c r="B67" s="18"/>
      <c r="C67" s="18"/>
      <c r="D67" s="18"/>
      <c r="E67" s="18"/>
      <c r="F67" s="18"/>
      <c r="G67" s="18"/>
      <c r="H67" s="19"/>
    </row>
    <row r="68" spans="1:8" ht="12.75" customHeight="1" x14ac:dyDescent="0.3">
      <c r="A68" s="17"/>
      <c r="B68" s="18"/>
      <c r="C68" s="18"/>
      <c r="D68" s="18"/>
      <c r="E68" s="18"/>
      <c r="F68" s="18"/>
      <c r="G68" s="18"/>
      <c r="H68" s="19"/>
    </row>
    <row r="69" spans="1:8" ht="12.75" customHeight="1" x14ac:dyDescent="0.3">
      <c r="A69" s="17"/>
      <c r="B69" s="18"/>
      <c r="C69" s="18"/>
      <c r="D69" s="18"/>
      <c r="E69" s="18"/>
      <c r="F69" s="18"/>
      <c r="G69" s="18"/>
      <c r="H69" s="19"/>
    </row>
    <row r="70" spans="1:8" ht="12.75" customHeight="1" x14ac:dyDescent="0.3">
      <c r="A70" s="17"/>
      <c r="B70" s="18"/>
      <c r="C70" s="18"/>
      <c r="D70" s="18"/>
      <c r="E70" s="18"/>
      <c r="F70" s="18"/>
      <c r="G70" s="18"/>
      <c r="H70" s="19"/>
    </row>
    <row r="71" spans="1:8" ht="12.75" customHeight="1" x14ac:dyDescent="0.3">
      <c r="A71" s="17"/>
      <c r="B71" s="18"/>
      <c r="C71" s="18"/>
      <c r="D71" s="18"/>
      <c r="E71" s="18"/>
      <c r="F71" s="18"/>
      <c r="G71" s="18"/>
      <c r="H71" s="19"/>
    </row>
    <row r="72" spans="1:8" ht="12.75" customHeight="1" x14ac:dyDescent="0.3">
      <c r="A72" s="17"/>
      <c r="B72" s="18"/>
      <c r="C72" s="18"/>
      <c r="D72" s="18"/>
      <c r="E72" s="18"/>
      <c r="F72" s="18"/>
      <c r="G72" s="18"/>
      <c r="H72" s="19"/>
    </row>
    <row r="73" spans="1:8" ht="12.75" customHeight="1" x14ac:dyDescent="0.3">
      <c r="A73" s="17"/>
      <c r="B73" s="18"/>
      <c r="C73" s="18"/>
      <c r="D73" s="18"/>
      <c r="E73" s="18"/>
      <c r="F73" s="18"/>
      <c r="G73" s="18"/>
      <c r="H73" s="19"/>
    </row>
    <row r="74" spans="1:8" ht="12.75" customHeight="1" x14ac:dyDescent="0.3">
      <c r="A74" s="17"/>
      <c r="B74" s="18"/>
      <c r="C74" s="18"/>
      <c r="D74" s="18"/>
      <c r="E74" s="18"/>
      <c r="F74" s="18"/>
      <c r="G74" s="18"/>
      <c r="H74" s="19"/>
    </row>
    <row r="75" spans="1:8" ht="12.75" customHeight="1" x14ac:dyDescent="0.3">
      <c r="A75" s="17"/>
      <c r="B75" s="18"/>
      <c r="C75" s="18"/>
      <c r="D75" s="18"/>
      <c r="E75" s="18"/>
      <c r="F75" s="18"/>
      <c r="G75" s="18"/>
      <c r="H75" s="19"/>
    </row>
    <row r="76" spans="1:8" ht="12.75" customHeight="1" x14ac:dyDescent="0.3">
      <c r="A76" s="17"/>
      <c r="B76" s="18"/>
      <c r="C76" s="18"/>
      <c r="D76" s="18"/>
      <c r="E76" s="18"/>
      <c r="F76" s="18"/>
      <c r="G76" s="18"/>
      <c r="H76" s="19"/>
    </row>
    <row r="77" spans="1:8" ht="12.75" customHeight="1" x14ac:dyDescent="0.3">
      <c r="A77" s="17"/>
      <c r="B77" s="18"/>
      <c r="C77" s="18"/>
      <c r="D77" s="18"/>
      <c r="E77" s="18"/>
      <c r="F77" s="18"/>
      <c r="G77" s="18"/>
      <c r="H77" s="19"/>
    </row>
    <row r="78" spans="1:8" ht="12.75" customHeight="1" x14ac:dyDescent="0.3">
      <c r="A78" s="17"/>
      <c r="B78" s="18"/>
      <c r="C78" s="18"/>
      <c r="D78" s="18"/>
      <c r="E78" s="18"/>
      <c r="F78" s="18"/>
      <c r="G78" s="18"/>
      <c r="H78" s="19"/>
    </row>
    <row r="79" spans="1:8" ht="12.75" customHeight="1" x14ac:dyDescent="0.3">
      <c r="A79" s="17"/>
      <c r="B79" s="18"/>
      <c r="C79" s="18"/>
      <c r="D79" s="18"/>
      <c r="E79" s="18"/>
      <c r="F79" s="18"/>
      <c r="G79" s="18"/>
      <c r="H79" s="19"/>
    </row>
    <row r="80" spans="1:8" ht="12.75" customHeight="1" x14ac:dyDescent="0.3">
      <c r="A80" s="17"/>
      <c r="B80" s="18"/>
      <c r="C80" s="18"/>
      <c r="D80" s="18"/>
      <c r="E80" s="18"/>
      <c r="F80" s="18"/>
      <c r="G80" s="18"/>
      <c r="H80" s="19"/>
    </row>
    <row r="81" spans="1:8" ht="12.75" customHeight="1" x14ac:dyDescent="0.3">
      <c r="A81" s="17"/>
      <c r="B81" s="18"/>
      <c r="C81" s="18"/>
      <c r="D81" s="18"/>
      <c r="E81" s="18"/>
      <c r="F81" s="18"/>
      <c r="G81" s="18"/>
      <c r="H81" s="19"/>
    </row>
    <row r="82" spans="1:8" ht="12.75" customHeight="1" x14ac:dyDescent="0.3">
      <c r="A82" s="17"/>
      <c r="B82" s="18"/>
      <c r="C82" s="18"/>
      <c r="D82" s="18"/>
      <c r="E82" s="18"/>
      <c r="F82" s="18"/>
      <c r="G82" s="18"/>
      <c r="H82" s="19"/>
    </row>
    <row r="83" spans="1:8" ht="12.75" customHeight="1" x14ac:dyDescent="0.3">
      <c r="A83" s="17"/>
      <c r="B83" s="18"/>
      <c r="C83" s="18"/>
      <c r="D83" s="18"/>
      <c r="E83" s="18"/>
      <c r="F83" s="18"/>
      <c r="G83" s="18"/>
      <c r="H83" s="19"/>
    </row>
    <row r="84" spans="1:8" ht="12.75" customHeight="1" x14ac:dyDescent="0.3">
      <c r="A84" s="17"/>
      <c r="B84" s="18"/>
      <c r="C84" s="18"/>
      <c r="D84" s="18"/>
      <c r="E84" s="18"/>
      <c r="F84" s="18"/>
      <c r="G84" s="18"/>
      <c r="H84" s="19"/>
    </row>
    <row r="85" spans="1:8" ht="12.75" customHeight="1" x14ac:dyDescent="0.3">
      <c r="A85" s="17"/>
      <c r="B85" s="18"/>
      <c r="C85" s="18"/>
      <c r="D85" s="18"/>
      <c r="E85" s="18"/>
      <c r="F85" s="18"/>
      <c r="G85" s="18"/>
      <c r="H85" s="19"/>
    </row>
    <row r="86" spans="1:8" ht="12.75" customHeight="1" x14ac:dyDescent="0.3">
      <c r="A86" s="17"/>
      <c r="B86" s="18"/>
      <c r="C86" s="18"/>
      <c r="D86" s="18"/>
      <c r="E86" s="18"/>
      <c r="F86" s="18"/>
      <c r="G86" s="18"/>
      <c r="H86" s="19"/>
    </row>
    <row r="87" spans="1:8" ht="12.75" customHeight="1" x14ac:dyDescent="0.3">
      <c r="A87" s="17"/>
      <c r="B87" s="18"/>
      <c r="C87" s="18"/>
      <c r="D87" s="18"/>
      <c r="E87" s="18"/>
      <c r="F87" s="18"/>
      <c r="G87" s="18"/>
      <c r="H87" s="19"/>
    </row>
    <row r="88" spans="1:8" ht="12.75" customHeight="1" x14ac:dyDescent="0.3">
      <c r="A88" s="17"/>
      <c r="B88" s="18"/>
      <c r="C88" s="18"/>
      <c r="D88" s="18"/>
      <c r="E88" s="18"/>
      <c r="F88" s="18"/>
      <c r="G88" s="18"/>
      <c r="H88" s="19"/>
    </row>
  </sheetData>
  <phoneticPr fontId="0" type="noConversion"/>
  <printOptions horizontalCentered="1"/>
  <pageMargins left="0.74803149606299213" right="0.74803149606299213" top="0.59055118110236227" bottom="0.59055118110236227" header="0.31496062992125984" footer="0.31496062992125984"/>
  <pageSetup paperSize="9" orientation="portrait" horizontalDpi="300" verticalDpi="300" r:id="rId1"/>
  <headerFooter alignWithMargins="0">
    <oddHeader>&amp;A</oddHead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A70"/>
  <sheetViews>
    <sheetView workbookViewId="0"/>
  </sheetViews>
  <sheetFormatPr defaultColWidth="9" defaultRowHeight="12.75" x14ac:dyDescent="0.25"/>
  <cols>
    <col min="1" max="1" width="9.5703125" style="76" customWidth="1"/>
    <col min="2" max="2" width="18" style="75" customWidth="1"/>
    <col min="3" max="3" width="40.5703125" style="75" bestFit="1" customWidth="1"/>
    <col min="4" max="4" width="9.7109375" style="76" customWidth="1"/>
    <col min="5" max="8" width="9" style="75" customWidth="1"/>
    <col min="9" max="9" width="12.28515625" style="75" customWidth="1"/>
    <col min="10" max="10" width="9.140625" customWidth="1"/>
    <col min="11" max="15" width="5.85546875" style="75" customWidth="1"/>
    <col min="16" max="16" width="10.5703125" style="75" customWidth="1"/>
    <col min="17" max="17" width="9" style="75" customWidth="1"/>
    <col min="18" max="18" width="11.5703125" style="75" customWidth="1"/>
    <col min="19" max="16384" width="9" style="75"/>
  </cols>
  <sheetData>
    <row r="1" spans="1:27" x14ac:dyDescent="0.25">
      <c r="A1" s="74" t="s">
        <v>183</v>
      </c>
    </row>
    <row r="2" spans="1:27" x14ac:dyDescent="0.25">
      <c r="A2" s="74"/>
    </row>
    <row r="3" spans="1:27" ht="15" x14ac:dyDescent="0.3">
      <c r="A3" s="11" t="s">
        <v>179</v>
      </c>
      <c r="B3" s="12" t="s">
        <v>87</v>
      </c>
      <c r="C3" s="12" t="s">
        <v>88</v>
      </c>
      <c r="D3" s="11" t="s">
        <v>89</v>
      </c>
    </row>
    <row r="4" spans="1:27" ht="15" x14ac:dyDescent="0.3">
      <c r="A4" s="11">
        <f>'Fantasy Teams'!L45</f>
        <v>1</v>
      </c>
      <c r="B4" s="12" t="e">
        <f ca="1">'Fantasy Teams'!M45</f>
        <v>#REF!</v>
      </c>
      <c r="C4" s="12" t="e">
        <f ca="1">'Fantasy Teams'!N45</f>
        <v>#REF!</v>
      </c>
      <c r="D4" s="11" t="e">
        <f ca="1">'Fantasy Teams'!O45</f>
        <v>#REF!</v>
      </c>
    </row>
    <row r="5" spans="1:27" ht="15" x14ac:dyDescent="0.3">
      <c r="A5" s="11">
        <f>'Fantasy Teams'!L46</f>
        <v>2</v>
      </c>
      <c r="B5" s="12" t="e">
        <f ca="1">'Fantasy Teams'!M46</f>
        <v>#REF!</v>
      </c>
      <c r="C5" s="12" t="e">
        <f ca="1">'Fantasy Teams'!N46</f>
        <v>#REF!</v>
      </c>
      <c r="D5" s="11" t="e">
        <f ca="1">'Fantasy Teams'!O46</f>
        <v>#REF!</v>
      </c>
    </row>
    <row r="6" spans="1:27" ht="15" x14ac:dyDescent="0.3">
      <c r="A6" s="11">
        <f>'Fantasy Teams'!L47</f>
        <v>3</v>
      </c>
      <c r="B6" s="12" t="e">
        <f ca="1">'Fantasy Teams'!M47</f>
        <v>#REF!</v>
      </c>
      <c r="C6" s="12" t="e">
        <f ca="1">'Fantasy Teams'!N47</f>
        <v>#REF!</v>
      </c>
      <c r="D6" s="11" t="e">
        <f ca="1">'Fantasy Teams'!O47</f>
        <v>#REF!</v>
      </c>
    </row>
    <row r="7" spans="1:27" ht="15" x14ac:dyDescent="0.3">
      <c r="A7" s="11">
        <f>'Fantasy Teams'!L48</f>
        <v>4</v>
      </c>
      <c r="B7" s="12" t="e">
        <f ca="1">'Fantasy Teams'!M48</f>
        <v>#REF!</v>
      </c>
      <c r="C7" s="12" t="e">
        <f ca="1">'Fantasy Teams'!N48</f>
        <v>#REF!</v>
      </c>
      <c r="D7" s="11" t="e">
        <f ca="1">'Fantasy Teams'!O48</f>
        <v>#REF!</v>
      </c>
      <c r="K7"/>
      <c r="L7"/>
      <c r="M7"/>
      <c r="N7"/>
      <c r="O7"/>
      <c r="P7" s="98"/>
      <c r="Q7" s="98"/>
      <c r="R7" s="98"/>
      <c r="S7" s="98"/>
      <c r="T7" s="98"/>
      <c r="U7" s="98"/>
      <c r="V7" s="98"/>
      <c r="W7" s="98"/>
      <c r="X7" s="98"/>
      <c r="Y7" s="98"/>
      <c r="Z7" s="98"/>
      <c r="AA7" s="98"/>
    </row>
    <row r="8" spans="1:27" ht="15" x14ac:dyDescent="0.3">
      <c r="A8" s="11">
        <f>'Fantasy Teams'!L49</f>
        <v>5</v>
      </c>
      <c r="B8" s="12" t="e">
        <f ca="1">'Fantasy Teams'!M49</f>
        <v>#REF!</v>
      </c>
      <c r="C8" s="12" t="e">
        <f ca="1">'Fantasy Teams'!N49</f>
        <v>#REF!</v>
      </c>
      <c r="D8" s="11" t="e">
        <f ca="1">'Fantasy Teams'!O49</f>
        <v>#REF!</v>
      </c>
      <c r="N8"/>
      <c r="O8"/>
      <c r="P8" s="98"/>
      <c r="Q8" s="98"/>
      <c r="R8" s="98"/>
      <c r="S8" s="98"/>
      <c r="T8" s="98"/>
      <c r="U8" s="98"/>
      <c r="V8" s="98"/>
      <c r="W8" s="98"/>
      <c r="X8" s="98"/>
      <c r="Y8" s="98"/>
      <c r="Z8" s="98"/>
      <c r="AA8" s="98"/>
    </row>
    <row r="9" spans="1:27" ht="15" x14ac:dyDescent="0.3">
      <c r="A9" s="11">
        <f>'Fantasy Teams'!L50</f>
        <v>6</v>
      </c>
      <c r="B9" s="12" t="e">
        <f ca="1">'Fantasy Teams'!M50</f>
        <v>#REF!</v>
      </c>
      <c r="C9" s="12" t="e">
        <f ca="1">'Fantasy Teams'!N50</f>
        <v>#REF!</v>
      </c>
      <c r="D9" s="11" t="e">
        <f ca="1">'Fantasy Teams'!O50</f>
        <v>#REF!</v>
      </c>
      <c r="K9"/>
      <c r="L9"/>
      <c r="M9"/>
      <c r="N9"/>
      <c r="O9"/>
      <c r="P9" s="98"/>
      <c r="Q9" s="98"/>
      <c r="R9" s="98"/>
      <c r="S9" s="98"/>
      <c r="T9" s="98"/>
      <c r="U9" s="98"/>
      <c r="V9" s="98"/>
      <c r="W9" s="98"/>
      <c r="X9" s="98"/>
      <c r="Y9" s="98"/>
      <c r="Z9" s="98"/>
      <c r="AA9" s="98"/>
    </row>
    <row r="10" spans="1:27" ht="15" x14ac:dyDescent="0.3">
      <c r="A10" s="11">
        <f>'Fantasy Teams'!L51</f>
        <v>7</v>
      </c>
      <c r="B10" s="12" t="e">
        <f ca="1">'Fantasy Teams'!M51</f>
        <v>#REF!</v>
      </c>
      <c r="C10" s="12" t="e">
        <f ca="1">'Fantasy Teams'!N51</f>
        <v>#REF!</v>
      </c>
      <c r="D10" s="11" t="e">
        <f ca="1">'Fantasy Teams'!O51</f>
        <v>#REF!</v>
      </c>
      <c r="K10"/>
      <c r="L10"/>
      <c r="M10"/>
      <c r="N10"/>
      <c r="O10"/>
    </row>
    <row r="11" spans="1:27" ht="15" x14ac:dyDescent="0.3">
      <c r="A11" s="11">
        <f>'Fantasy Teams'!L52</f>
        <v>8</v>
      </c>
      <c r="B11" s="12" t="e">
        <f ca="1">'Fantasy Teams'!M52</f>
        <v>#REF!</v>
      </c>
      <c r="C11" s="12" t="e">
        <f ca="1">'Fantasy Teams'!N52</f>
        <v>#REF!</v>
      </c>
      <c r="D11" s="11" t="e">
        <f ca="1">'Fantasy Teams'!O52</f>
        <v>#REF!</v>
      </c>
      <c r="K11"/>
      <c r="L11"/>
      <c r="M11"/>
      <c r="N11"/>
      <c r="O11"/>
    </row>
    <row r="12" spans="1:27" ht="15" x14ac:dyDescent="0.3">
      <c r="A12" s="11">
        <f>'Fantasy Teams'!L53</f>
        <v>9</v>
      </c>
      <c r="B12" s="12" t="e">
        <f ca="1">'Fantasy Teams'!M53</f>
        <v>#REF!</v>
      </c>
      <c r="C12" s="12" t="e">
        <f ca="1">'Fantasy Teams'!N53</f>
        <v>#REF!</v>
      </c>
      <c r="D12" s="11" t="e">
        <f ca="1">'Fantasy Teams'!O53</f>
        <v>#REF!</v>
      </c>
      <c r="L12"/>
      <c r="M12"/>
      <c r="N12"/>
      <c r="O12"/>
    </row>
    <row r="13" spans="1:27" ht="15" x14ac:dyDescent="0.3">
      <c r="A13" s="11">
        <f>'Fantasy Teams'!L54</f>
        <v>10</v>
      </c>
      <c r="B13" s="12" t="e">
        <f ca="1">'Fantasy Teams'!M54</f>
        <v>#REF!</v>
      </c>
      <c r="C13" s="12" t="e">
        <f ca="1">'Fantasy Teams'!N54</f>
        <v>#REF!</v>
      </c>
      <c r="D13" s="11" t="e">
        <f ca="1">'Fantasy Teams'!O54</f>
        <v>#REF!</v>
      </c>
      <c r="F13"/>
      <c r="G13"/>
      <c r="H13"/>
      <c r="I13"/>
      <c r="K13"/>
      <c r="L13"/>
      <c r="M13"/>
      <c r="N13"/>
      <c r="O13"/>
    </row>
    <row r="14" spans="1:27" ht="15" x14ac:dyDescent="0.3">
      <c r="A14" s="11">
        <f>'Fantasy Teams'!L55</f>
        <v>11</v>
      </c>
      <c r="B14" s="12" t="e">
        <f ca="1">'Fantasy Teams'!M55</f>
        <v>#REF!</v>
      </c>
      <c r="C14" s="12" t="e">
        <f ca="1">'Fantasy Teams'!N55</f>
        <v>#REF!</v>
      </c>
      <c r="D14" s="11" t="e">
        <f ca="1">'Fantasy Teams'!O55</f>
        <v>#REF!</v>
      </c>
      <c r="F14"/>
      <c r="G14"/>
      <c r="H14"/>
      <c r="I14"/>
      <c r="K14"/>
      <c r="L14"/>
      <c r="M14"/>
      <c r="N14"/>
      <c r="O14"/>
    </row>
    <row r="15" spans="1:27" ht="15" x14ac:dyDescent="0.3">
      <c r="A15" s="11">
        <f>'Fantasy Teams'!L56</f>
        <v>12</v>
      </c>
      <c r="B15" s="12" t="e">
        <f ca="1">'Fantasy Teams'!M56</f>
        <v>#REF!</v>
      </c>
      <c r="C15" s="12" t="e">
        <f ca="1">'Fantasy Teams'!N56</f>
        <v>#REF!</v>
      </c>
      <c r="D15" s="11" t="e">
        <f ca="1">'Fantasy Teams'!O56</f>
        <v>#REF!</v>
      </c>
      <c r="F15"/>
      <c r="G15"/>
      <c r="H15"/>
      <c r="I15"/>
      <c r="L15"/>
      <c r="M15"/>
      <c r="N15"/>
      <c r="O15"/>
    </row>
    <row r="16" spans="1:27" ht="15" x14ac:dyDescent="0.3">
      <c r="A16" s="11">
        <f>'Fantasy Teams'!L57</f>
        <v>13</v>
      </c>
      <c r="B16" s="12" t="e">
        <f ca="1">'Fantasy Teams'!M57</f>
        <v>#REF!</v>
      </c>
      <c r="C16" s="12" t="e">
        <f ca="1">'Fantasy Teams'!N57</f>
        <v>#REF!</v>
      </c>
      <c r="D16" s="11" t="e">
        <f ca="1">'Fantasy Teams'!O57</f>
        <v>#REF!</v>
      </c>
      <c r="F16"/>
      <c r="G16"/>
      <c r="H16"/>
      <c r="I16"/>
      <c r="K16"/>
      <c r="L16"/>
      <c r="M16"/>
      <c r="N16"/>
      <c r="O16"/>
    </row>
    <row r="17" spans="1:18" ht="15" x14ac:dyDescent="0.3">
      <c r="A17" s="11">
        <f>'Fantasy Teams'!L58</f>
        <v>14</v>
      </c>
      <c r="B17" s="12" t="e">
        <f ca="1">'Fantasy Teams'!M58</f>
        <v>#REF!</v>
      </c>
      <c r="C17" s="12" t="e">
        <f ca="1">'Fantasy Teams'!N58</f>
        <v>#REF!</v>
      </c>
      <c r="D17" s="11" t="e">
        <f ca="1">'Fantasy Teams'!O58</f>
        <v>#REF!</v>
      </c>
      <c r="F17"/>
      <c r="G17"/>
      <c r="H17"/>
      <c r="I17"/>
      <c r="K17"/>
      <c r="L17"/>
      <c r="M17"/>
      <c r="N17"/>
      <c r="O17"/>
    </row>
    <row r="18" spans="1:18" ht="15" x14ac:dyDescent="0.3">
      <c r="A18" s="11">
        <f>'Fantasy Teams'!L59</f>
        <v>15</v>
      </c>
      <c r="B18" s="12" t="e">
        <f ca="1">'Fantasy Teams'!M59</f>
        <v>#REF!</v>
      </c>
      <c r="C18" s="12" t="e">
        <f ca="1">'Fantasy Teams'!N59</f>
        <v>#REF!</v>
      </c>
      <c r="D18" s="11" t="e">
        <f ca="1">'Fantasy Teams'!O59</f>
        <v>#REF!</v>
      </c>
      <c r="F18"/>
      <c r="G18"/>
      <c r="H18"/>
      <c r="I18"/>
      <c r="M18"/>
      <c r="N18"/>
      <c r="O18"/>
      <c r="P18"/>
    </row>
    <row r="19" spans="1:18" ht="15" x14ac:dyDescent="0.3">
      <c r="A19" s="11">
        <f>'Fantasy Teams'!L60</f>
        <v>16</v>
      </c>
      <c r="B19" s="12" t="e">
        <f ca="1">'Fantasy Teams'!M60</f>
        <v>#REF!</v>
      </c>
      <c r="C19" s="12" t="e">
        <f ca="1">'Fantasy Teams'!N60</f>
        <v>#REF!</v>
      </c>
      <c r="D19" s="11" t="e">
        <f ca="1">'Fantasy Teams'!O60</f>
        <v>#REF!</v>
      </c>
      <c r="F19"/>
      <c r="G19"/>
      <c r="H19"/>
      <c r="I19"/>
      <c r="L19"/>
      <c r="M19"/>
      <c r="N19"/>
      <c r="O19"/>
      <c r="P19"/>
    </row>
    <row r="20" spans="1:18" ht="15" x14ac:dyDescent="0.3">
      <c r="A20" s="11">
        <f>'Fantasy Teams'!L61</f>
        <v>17</v>
      </c>
      <c r="B20" s="12" t="e">
        <f ca="1">'Fantasy Teams'!M61</f>
        <v>#REF!</v>
      </c>
      <c r="C20" s="12" t="e">
        <f ca="1">'Fantasy Teams'!N61</f>
        <v>#REF!</v>
      </c>
      <c r="D20" s="11" t="e">
        <f ca="1">'Fantasy Teams'!O61</f>
        <v>#REF!</v>
      </c>
      <c r="F20"/>
      <c r="G20"/>
      <c r="H20"/>
      <c r="K20"/>
      <c r="L20"/>
      <c r="M20"/>
      <c r="N20"/>
      <c r="O20"/>
      <c r="P20"/>
      <c r="R20"/>
    </row>
    <row r="21" spans="1:18" ht="15" x14ac:dyDescent="0.3">
      <c r="A21" s="11">
        <f>'Fantasy Teams'!L62</f>
        <v>18</v>
      </c>
      <c r="B21" s="12" t="e">
        <f ca="1">'Fantasy Teams'!M62</f>
        <v>#REF!</v>
      </c>
      <c r="C21" s="12" t="e">
        <f ca="1">'Fantasy Teams'!N62</f>
        <v>#REF!</v>
      </c>
      <c r="D21" s="11" t="e">
        <f ca="1">'Fantasy Teams'!O62</f>
        <v>#REF!</v>
      </c>
      <c r="F21"/>
      <c r="G21"/>
      <c r="H21"/>
      <c r="K21"/>
      <c r="L21"/>
      <c r="M21"/>
      <c r="N21"/>
      <c r="O21"/>
      <c r="P21"/>
      <c r="R21"/>
    </row>
    <row r="22" spans="1:18" ht="15" x14ac:dyDescent="0.3">
      <c r="A22" s="11">
        <f>'Fantasy Teams'!L63</f>
        <v>19</v>
      </c>
      <c r="B22" s="12" t="e">
        <f ca="1">'Fantasy Teams'!M63</f>
        <v>#REF!</v>
      </c>
      <c r="C22" s="12" t="e">
        <f ca="1">'Fantasy Teams'!N63</f>
        <v>#REF!</v>
      </c>
      <c r="D22" s="11" t="e">
        <f ca="1">'Fantasy Teams'!O63</f>
        <v>#REF!</v>
      </c>
      <c r="F22"/>
      <c r="G22"/>
      <c r="H22"/>
      <c r="N22"/>
      <c r="O22"/>
    </row>
    <row r="23" spans="1:18" ht="15" x14ac:dyDescent="0.3">
      <c r="A23" s="11">
        <f>'Fantasy Teams'!L64</f>
        <v>20</v>
      </c>
      <c r="B23" s="12" t="e">
        <f ca="1">'Fantasy Teams'!M64</f>
        <v>#REF!</v>
      </c>
      <c r="C23" s="12" t="e">
        <f ca="1">'Fantasy Teams'!N64</f>
        <v>#REF!</v>
      </c>
      <c r="D23" s="11" t="e">
        <f ca="1">'Fantasy Teams'!O64</f>
        <v>#REF!</v>
      </c>
      <c r="F23"/>
      <c r="G23"/>
      <c r="H23"/>
      <c r="M23"/>
      <c r="N23"/>
      <c r="O23"/>
      <c r="P23"/>
    </row>
    <row r="24" spans="1:18" ht="15" x14ac:dyDescent="0.3">
      <c r="A24" s="11">
        <f>'Fantasy Teams'!L65</f>
        <v>21</v>
      </c>
      <c r="B24" s="12" t="e">
        <f ca="1">'Fantasy Teams'!M65</f>
        <v>#REF!</v>
      </c>
      <c r="C24" s="12" t="e">
        <f ca="1">'Fantasy Teams'!N65</f>
        <v>#REF!</v>
      </c>
      <c r="D24" s="11" t="e">
        <f ca="1">'Fantasy Teams'!O65</f>
        <v>#REF!</v>
      </c>
      <c r="F24"/>
      <c r="G24"/>
      <c r="H24"/>
      <c r="L24"/>
      <c r="M24"/>
      <c r="N24"/>
      <c r="O24"/>
      <c r="P24"/>
    </row>
    <row r="25" spans="1:18" ht="15" x14ac:dyDescent="0.3">
      <c r="A25" s="11">
        <f>'Fantasy Teams'!L66</f>
        <v>22</v>
      </c>
      <c r="B25" s="12" t="e">
        <f ca="1">'Fantasy Teams'!M66</f>
        <v>#REF!</v>
      </c>
      <c r="C25" s="12" t="e">
        <f ca="1">'Fantasy Teams'!N66</f>
        <v>#REF!</v>
      </c>
      <c r="D25" s="11" t="e">
        <f ca="1">'Fantasy Teams'!O66</f>
        <v>#REF!</v>
      </c>
      <c r="F25"/>
      <c r="G25"/>
      <c r="H25"/>
      <c r="L25"/>
      <c r="M25"/>
      <c r="N25"/>
      <c r="O25"/>
      <c r="P25"/>
      <c r="R25"/>
    </row>
    <row r="26" spans="1:18" ht="15" x14ac:dyDescent="0.3">
      <c r="A26" s="11">
        <f>'Fantasy Teams'!L67</f>
        <v>23</v>
      </c>
      <c r="B26" s="12" t="e">
        <f ca="1">'Fantasy Teams'!M67</f>
        <v>#REF!</v>
      </c>
      <c r="C26" s="12" t="e">
        <f ca="1">'Fantasy Teams'!N67</f>
        <v>#REF!</v>
      </c>
      <c r="D26" s="11" t="e">
        <f ca="1">'Fantasy Teams'!O67</f>
        <v>#REF!</v>
      </c>
      <c r="F26"/>
      <c r="G26"/>
      <c r="H26"/>
      <c r="M26"/>
      <c r="N26"/>
      <c r="O26"/>
      <c r="P26"/>
    </row>
    <row r="27" spans="1:18" ht="15" x14ac:dyDescent="0.3">
      <c r="A27" s="11">
        <f>'Fantasy Teams'!L68</f>
        <v>24</v>
      </c>
      <c r="B27" s="12" t="e">
        <f ca="1">'Fantasy Teams'!M68</f>
        <v>#REF!</v>
      </c>
      <c r="C27" s="12" t="e">
        <f ca="1">'Fantasy Teams'!N68</f>
        <v>#REF!</v>
      </c>
      <c r="D27" s="11" t="e">
        <f ca="1">'Fantasy Teams'!O68</f>
        <v>#REF!</v>
      </c>
      <c r="F27"/>
      <c r="G27"/>
      <c r="H27"/>
      <c r="L27"/>
      <c r="M27"/>
      <c r="N27"/>
      <c r="O27"/>
      <c r="P27"/>
      <c r="R27"/>
    </row>
    <row r="28" spans="1:18" ht="15" x14ac:dyDescent="0.3">
      <c r="A28" s="11">
        <f>'Fantasy Teams'!L69</f>
        <v>25</v>
      </c>
      <c r="B28" s="12" t="e">
        <f ca="1">'Fantasy Teams'!M69</f>
        <v>#REF!</v>
      </c>
      <c r="C28" s="12" t="e">
        <f ca="1">'Fantasy Teams'!N69</f>
        <v>#REF!</v>
      </c>
      <c r="D28" s="11" t="e">
        <f ca="1">'Fantasy Teams'!O69</f>
        <v>#REF!</v>
      </c>
      <c r="F28"/>
      <c r="G28"/>
      <c r="H28"/>
      <c r="I28"/>
      <c r="L28"/>
      <c r="M28"/>
      <c r="N28"/>
      <c r="O28"/>
      <c r="P28"/>
      <c r="R28"/>
    </row>
    <row r="29" spans="1:18" ht="15" x14ac:dyDescent="0.3">
      <c r="A29" s="11">
        <f>'Fantasy Teams'!L70</f>
        <v>26</v>
      </c>
      <c r="B29" s="12" t="e">
        <f ca="1">'Fantasy Teams'!M70</f>
        <v>#REF!</v>
      </c>
      <c r="C29" s="12" t="e">
        <f ca="1">'Fantasy Teams'!N70</f>
        <v>#REF!</v>
      </c>
      <c r="D29" s="11" t="e">
        <f ca="1">'Fantasy Teams'!O70</f>
        <v>#REF!</v>
      </c>
      <c r="F29"/>
      <c r="G29"/>
      <c r="H29"/>
      <c r="I29"/>
      <c r="K29"/>
      <c r="L29"/>
      <c r="M29"/>
      <c r="N29"/>
      <c r="O29"/>
      <c r="P29"/>
      <c r="R29"/>
    </row>
    <row r="30" spans="1:18" ht="15" x14ac:dyDescent="0.3">
      <c r="A30" s="11">
        <f>'Fantasy Teams'!L71</f>
        <v>27</v>
      </c>
      <c r="B30" s="12" t="e">
        <f ca="1">'Fantasy Teams'!M71</f>
        <v>#REF!</v>
      </c>
      <c r="C30" s="12" t="e">
        <f ca="1">'Fantasy Teams'!N71</f>
        <v>#REF!</v>
      </c>
      <c r="D30" s="11" t="e">
        <f ca="1">'Fantasy Teams'!O71</f>
        <v>#REF!</v>
      </c>
      <c r="F30"/>
      <c r="G30"/>
      <c r="H30"/>
      <c r="I30"/>
      <c r="K30"/>
      <c r="L30"/>
      <c r="N30"/>
      <c r="O30"/>
      <c r="R30"/>
    </row>
    <row r="31" spans="1:18" ht="15" x14ac:dyDescent="0.3">
      <c r="A31" s="11">
        <f>'Fantasy Teams'!L72</f>
        <v>28</v>
      </c>
      <c r="B31" s="12" t="e">
        <f ca="1">'Fantasy Teams'!M72</f>
        <v>#REF!</v>
      </c>
      <c r="C31" s="12" t="e">
        <f ca="1">'Fantasy Teams'!N72</f>
        <v>#REF!</v>
      </c>
      <c r="D31" s="11" t="e">
        <f ca="1">'Fantasy Teams'!O72</f>
        <v>#REF!</v>
      </c>
      <c r="F31"/>
      <c r="G31"/>
      <c r="H31"/>
      <c r="I31"/>
      <c r="K31"/>
      <c r="L31"/>
      <c r="M31"/>
      <c r="N31"/>
      <c r="O31"/>
      <c r="P31"/>
      <c r="R31"/>
    </row>
    <row r="32" spans="1:18" ht="15" x14ac:dyDescent="0.3">
      <c r="A32" s="11">
        <f>'Fantasy Teams'!L73</f>
        <v>29</v>
      </c>
      <c r="B32" s="12" t="e">
        <f ca="1">'Fantasy Teams'!M73</f>
        <v>#REF!</v>
      </c>
      <c r="C32" s="12" t="e">
        <f ca="1">'Fantasy Teams'!N73</f>
        <v>#REF!</v>
      </c>
      <c r="D32" s="11" t="e">
        <f ca="1">'Fantasy Teams'!O73</f>
        <v>#REF!</v>
      </c>
      <c r="F32"/>
      <c r="G32"/>
      <c r="H32"/>
      <c r="I32"/>
      <c r="K32"/>
      <c r="L32"/>
      <c r="M32"/>
      <c r="N32"/>
      <c r="O32"/>
      <c r="P32"/>
      <c r="R32"/>
    </row>
    <row r="33" spans="1:18" ht="15" x14ac:dyDescent="0.3">
      <c r="A33" s="11">
        <f>'Fantasy Teams'!L74</f>
        <v>30</v>
      </c>
      <c r="B33" s="12" t="e">
        <f ca="1">'Fantasy Teams'!M74</f>
        <v>#REF!</v>
      </c>
      <c r="C33" s="12" t="e">
        <f ca="1">'Fantasy Teams'!N74</f>
        <v>#REF!</v>
      </c>
      <c r="D33" s="11" t="e">
        <f ca="1">'Fantasy Teams'!O74</f>
        <v>#REF!</v>
      </c>
      <c r="F33"/>
      <c r="G33"/>
      <c r="H33"/>
      <c r="I33"/>
      <c r="L33"/>
      <c r="M33"/>
      <c r="N33"/>
      <c r="O33"/>
      <c r="P33"/>
      <c r="R33"/>
    </row>
    <row r="34" spans="1:18" ht="15" x14ac:dyDescent="0.3">
      <c r="A34" s="11">
        <f>'Fantasy Teams'!L75</f>
        <v>31</v>
      </c>
      <c r="B34" s="12" t="e">
        <f ca="1">'Fantasy Teams'!M75</f>
        <v>#REF!</v>
      </c>
      <c r="C34" s="12" t="e">
        <f ca="1">'Fantasy Teams'!N75</f>
        <v>#REF!</v>
      </c>
      <c r="D34" s="11" t="e">
        <f ca="1">'Fantasy Teams'!O75</f>
        <v>#REF!</v>
      </c>
      <c r="F34"/>
      <c r="G34"/>
      <c r="H34"/>
      <c r="I34"/>
      <c r="K34"/>
      <c r="L34"/>
      <c r="M34"/>
      <c r="N34"/>
      <c r="O34"/>
      <c r="R34"/>
    </row>
    <row r="35" spans="1:18" ht="15" x14ac:dyDescent="0.3">
      <c r="A35" s="11">
        <f>'Fantasy Teams'!L76</f>
        <v>32</v>
      </c>
      <c r="B35" s="12" t="e">
        <f ca="1">'Fantasy Teams'!M76</f>
        <v>#REF!</v>
      </c>
      <c r="C35" s="12" t="e">
        <f ca="1">'Fantasy Teams'!N76</f>
        <v>#REF!</v>
      </c>
      <c r="D35" s="11" t="e">
        <f ca="1">'Fantasy Teams'!O76</f>
        <v>#REF!</v>
      </c>
      <c r="F35"/>
      <c r="G35"/>
      <c r="H35"/>
      <c r="I35"/>
      <c r="K35"/>
      <c r="L35"/>
      <c r="M35"/>
      <c r="N35"/>
      <c r="O35"/>
      <c r="R35"/>
    </row>
    <row r="36" spans="1:18" ht="15" x14ac:dyDescent="0.3">
      <c r="A36" s="11">
        <f>'Fantasy Teams'!L77</f>
        <v>33</v>
      </c>
      <c r="B36" s="12" t="e">
        <f ca="1">'Fantasy Teams'!M77</f>
        <v>#REF!</v>
      </c>
      <c r="C36" s="12" t="e">
        <f ca="1">'Fantasy Teams'!N77</f>
        <v>#REF!</v>
      </c>
      <c r="D36" s="11" t="e">
        <f ca="1">'Fantasy Teams'!O77</f>
        <v>#REF!</v>
      </c>
      <c r="F36"/>
      <c r="G36"/>
      <c r="H36"/>
      <c r="I36"/>
      <c r="K36"/>
      <c r="L36"/>
      <c r="M36"/>
      <c r="N36"/>
      <c r="O36"/>
      <c r="R36"/>
    </row>
    <row r="37" spans="1:18" ht="15" x14ac:dyDescent="0.3">
      <c r="A37" s="11">
        <f>'Fantasy Teams'!L78</f>
        <v>34</v>
      </c>
      <c r="B37" s="12" t="e">
        <f ca="1">'Fantasy Teams'!M78</f>
        <v>#REF!</v>
      </c>
      <c r="C37" s="12" t="e">
        <f ca="1">'Fantasy Teams'!N78</f>
        <v>#REF!</v>
      </c>
      <c r="D37" s="11" t="e">
        <f ca="1">'Fantasy Teams'!O78</f>
        <v>#REF!</v>
      </c>
      <c r="F37"/>
      <c r="G37"/>
      <c r="H37"/>
      <c r="I37"/>
      <c r="K37"/>
      <c r="L37"/>
      <c r="M37"/>
      <c r="N37"/>
      <c r="O37"/>
      <c r="R37"/>
    </row>
    <row r="38" spans="1:18" ht="15" x14ac:dyDescent="0.3">
      <c r="A38" s="11">
        <f>'Fantasy Teams'!L79</f>
        <v>35</v>
      </c>
      <c r="B38" s="12" t="e">
        <f ca="1">'Fantasy Teams'!M79</f>
        <v>#REF!</v>
      </c>
      <c r="C38" s="12" t="e">
        <f ca="1">'Fantasy Teams'!N79</f>
        <v>#REF!</v>
      </c>
      <c r="D38" s="11" t="e">
        <f ca="1">'Fantasy Teams'!O79</f>
        <v>#REF!</v>
      </c>
      <c r="F38"/>
      <c r="G38"/>
      <c r="H38"/>
      <c r="I38"/>
      <c r="K38"/>
      <c r="L38"/>
      <c r="M38"/>
      <c r="N38"/>
      <c r="O38"/>
      <c r="R38"/>
    </row>
    <row r="39" spans="1:18" ht="15" x14ac:dyDescent="0.3">
      <c r="A39" s="11">
        <f>'Fantasy Teams'!L80</f>
        <v>36</v>
      </c>
      <c r="B39" s="12" t="e">
        <f ca="1">'Fantasy Teams'!M80</f>
        <v>#REF!</v>
      </c>
      <c r="C39" s="12" t="e">
        <f ca="1">'Fantasy Teams'!N80</f>
        <v>#REF!</v>
      </c>
      <c r="D39" s="11" t="e">
        <f ca="1">'Fantasy Teams'!O80</f>
        <v>#REF!</v>
      </c>
      <c r="F39"/>
      <c r="G39"/>
      <c r="H39"/>
      <c r="I39"/>
      <c r="N39"/>
      <c r="O39"/>
      <c r="R39"/>
    </row>
    <row r="40" spans="1:18" ht="15" x14ac:dyDescent="0.3">
      <c r="A40" s="11">
        <f>'Fantasy Teams'!L81</f>
        <v>37</v>
      </c>
      <c r="B40" s="12" t="e">
        <f ca="1">'Fantasy Teams'!M81</f>
        <v>#REF!</v>
      </c>
      <c r="C40" s="12" t="e">
        <f ca="1">'Fantasy Teams'!N81</f>
        <v>#REF!</v>
      </c>
      <c r="D40" s="11" t="e">
        <f ca="1">'Fantasy Teams'!O81</f>
        <v>#REF!</v>
      </c>
      <c r="F40"/>
      <c r="G40"/>
      <c r="H40"/>
      <c r="I40"/>
      <c r="M40"/>
      <c r="N40"/>
      <c r="O40"/>
      <c r="R40"/>
    </row>
    <row r="41" spans="1:18" ht="15" x14ac:dyDescent="0.3">
      <c r="A41" s="11"/>
      <c r="B41" s="12"/>
      <c r="C41" s="12"/>
      <c r="D41" s="11"/>
      <c r="F41"/>
      <c r="G41"/>
      <c r="H41"/>
      <c r="I41"/>
      <c r="L41"/>
      <c r="M41"/>
      <c r="N41"/>
      <c r="O41"/>
    </row>
    <row r="42" spans="1:18" ht="15" x14ac:dyDescent="0.3">
      <c r="A42" s="11"/>
      <c r="B42" s="12"/>
      <c r="C42" s="12"/>
      <c r="D42" s="11"/>
      <c r="F42"/>
      <c r="G42"/>
      <c r="H42"/>
      <c r="I42"/>
      <c r="L42"/>
      <c r="M42"/>
      <c r="N42"/>
      <c r="O42"/>
    </row>
    <row r="43" spans="1:18" x14ac:dyDescent="0.15">
      <c r="A43" s="75"/>
      <c r="D43" s="75"/>
      <c r="F43"/>
      <c r="G43"/>
      <c r="H43"/>
      <c r="L43"/>
      <c r="M43"/>
      <c r="N43"/>
      <c r="O43"/>
      <c r="R43"/>
    </row>
    <row r="44" spans="1:18" x14ac:dyDescent="0.25">
      <c r="F44"/>
      <c r="G44"/>
      <c r="H44"/>
      <c r="I44"/>
      <c r="L44"/>
      <c r="M44"/>
      <c r="N44"/>
      <c r="O44"/>
      <c r="R44"/>
    </row>
    <row r="45" spans="1:18" x14ac:dyDescent="0.25">
      <c r="F45"/>
      <c r="G45"/>
      <c r="H45"/>
      <c r="I45"/>
      <c r="L45"/>
      <c r="M45"/>
      <c r="N45"/>
      <c r="O45"/>
      <c r="R45"/>
    </row>
    <row r="46" spans="1:18" x14ac:dyDescent="0.25">
      <c r="F46"/>
      <c r="G46"/>
      <c r="H46"/>
      <c r="I46"/>
      <c r="L46"/>
      <c r="M46"/>
      <c r="N46"/>
      <c r="O46"/>
      <c r="R46"/>
    </row>
    <row r="47" spans="1:18" x14ac:dyDescent="0.25">
      <c r="F47"/>
      <c r="G47"/>
      <c r="H47"/>
      <c r="I47"/>
      <c r="L47"/>
      <c r="M47"/>
      <c r="N47"/>
      <c r="O47"/>
      <c r="R47"/>
    </row>
    <row r="48" spans="1:18" x14ac:dyDescent="0.25">
      <c r="F48"/>
      <c r="G48"/>
      <c r="H48"/>
      <c r="I48"/>
      <c r="L48"/>
      <c r="M48"/>
      <c r="N48"/>
      <c r="O48"/>
      <c r="R48"/>
    </row>
    <row r="49" spans="6:18" x14ac:dyDescent="0.25">
      <c r="F49"/>
      <c r="G49"/>
      <c r="H49"/>
      <c r="I49"/>
      <c r="L49"/>
      <c r="M49"/>
      <c r="N49"/>
      <c r="O49"/>
      <c r="R49"/>
    </row>
    <row r="50" spans="6:18" x14ac:dyDescent="0.25">
      <c r="F50"/>
      <c r="G50"/>
      <c r="H50"/>
      <c r="I50"/>
      <c r="L50"/>
      <c r="M50"/>
      <c r="N50"/>
      <c r="O50"/>
      <c r="R50"/>
    </row>
    <row r="51" spans="6:18" x14ac:dyDescent="0.25">
      <c r="F51"/>
      <c r="G51"/>
      <c r="H51"/>
      <c r="I51"/>
      <c r="L51"/>
      <c r="M51"/>
      <c r="N51"/>
      <c r="O51"/>
      <c r="R51"/>
    </row>
    <row r="52" spans="6:18" x14ac:dyDescent="0.25">
      <c r="F52"/>
      <c r="G52"/>
      <c r="H52"/>
      <c r="I52"/>
      <c r="K52"/>
      <c r="L52"/>
      <c r="M52"/>
      <c r="N52"/>
      <c r="O52"/>
      <c r="R52"/>
    </row>
    <row r="53" spans="6:18" x14ac:dyDescent="0.25">
      <c r="F53"/>
      <c r="G53"/>
      <c r="H53"/>
      <c r="I53"/>
      <c r="K53"/>
      <c r="L53"/>
      <c r="M53"/>
      <c r="N53"/>
      <c r="O53"/>
      <c r="R53"/>
    </row>
    <row r="54" spans="6:18" x14ac:dyDescent="0.25">
      <c r="F54"/>
      <c r="G54"/>
      <c r="H54"/>
      <c r="I54"/>
      <c r="K54"/>
      <c r="L54"/>
      <c r="M54"/>
      <c r="N54"/>
      <c r="O54"/>
      <c r="R54"/>
    </row>
    <row r="55" spans="6:18" x14ac:dyDescent="0.25">
      <c r="F55"/>
      <c r="G55"/>
      <c r="H55"/>
      <c r="I55"/>
      <c r="K55"/>
      <c r="L55"/>
      <c r="M55"/>
      <c r="N55"/>
      <c r="O55"/>
      <c r="R55"/>
    </row>
    <row r="56" spans="6:18" x14ac:dyDescent="0.25">
      <c r="F56"/>
      <c r="G56"/>
      <c r="H56"/>
      <c r="I56"/>
      <c r="K56"/>
      <c r="L56"/>
      <c r="M56"/>
      <c r="N56"/>
      <c r="O56"/>
      <c r="R56"/>
    </row>
    <row r="57" spans="6:18" x14ac:dyDescent="0.25">
      <c r="F57"/>
      <c r="G57"/>
      <c r="H57"/>
      <c r="I57"/>
      <c r="K57"/>
      <c r="L57"/>
      <c r="M57"/>
      <c r="N57"/>
      <c r="O57"/>
      <c r="R57"/>
    </row>
    <row r="58" spans="6:18" x14ac:dyDescent="0.25">
      <c r="F58"/>
      <c r="G58"/>
      <c r="H58"/>
      <c r="I58"/>
      <c r="K58"/>
      <c r="L58"/>
      <c r="M58"/>
      <c r="N58"/>
      <c r="O58"/>
      <c r="R58"/>
    </row>
    <row r="59" spans="6:18" x14ac:dyDescent="0.25">
      <c r="F59"/>
      <c r="G59"/>
      <c r="H59"/>
      <c r="I59"/>
      <c r="K59"/>
      <c r="L59"/>
      <c r="M59"/>
      <c r="N59"/>
      <c r="O59"/>
      <c r="R59"/>
    </row>
    <row r="60" spans="6:18" x14ac:dyDescent="0.25">
      <c r="F60"/>
      <c r="G60"/>
      <c r="H60"/>
      <c r="I60"/>
      <c r="K60"/>
      <c r="L60"/>
      <c r="M60"/>
      <c r="N60"/>
      <c r="O60"/>
      <c r="R60"/>
    </row>
    <row r="61" spans="6:18" x14ac:dyDescent="0.25">
      <c r="F61"/>
      <c r="G61"/>
      <c r="H61"/>
      <c r="I61"/>
      <c r="K61"/>
      <c r="L61"/>
      <c r="M61"/>
      <c r="N61"/>
      <c r="O61"/>
      <c r="R61"/>
    </row>
    <row r="62" spans="6:18" x14ac:dyDescent="0.25">
      <c r="F62"/>
      <c r="G62"/>
      <c r="H62"/>
      <c r="I62"/>
      <c r="K62"/>
      <c r="L62"/>
      <c r="M62"/>
      <c r="N62"/>
      <c r="O62"/>
      <c r="R62"/>
    </row>
    <row r="63" spans="6:18" x14ac:dyDescent="0.25">
      <c r="F63"/>
      <c r="G63"/>
      <c r="H63"/>
      <c r="I63"/>
      <c r="K63"/>
      <c r="L63"/>
      <c r="M63"/>
      <c r="N63"/>
      <c r="O63"/>
      <c r="R63"/>
    </row>
    <row r="64" spans="6:18" x14ac:dyDescent="0.25">
      <c r="F64"/>
      <c r="G64"/>
      <c r="H64"/>
      <c r="I64"/>
      <c r="K64"/>
      <c r="L64"/>
      <c r="M64"/>
      <c r="N64"/>
      <c r="O64"/>
      <c r="R64"/>
    </row>
    <row r="65" spans="11:18" x14ac:dyDescent="0.25">
      <c r="K65"/>
      <c r="R65"/>
    </row>
    <row r="66" spans="11:18" x14ac:dyDescent="0.25">
      <c r="K66"/>
      <c r="R66"/>
    </row>
    <row r="67" spans="11:18" x14ac:dyDescent="0.25">
      <c r="K67"/>
      <c r="R67"/>
    </row>
    <row r="68" spans="11:18" x14ac:dyDescent="0.25">
      <c r="K68"/>
      <c r="R68"/>
    </row>
    <row r="69" spans="11:18" x14ac:dyDescent="0.25">
      <c r="K69"/>
      <c r="R69"/>
    </row>
    <row r="70" spans="11:18" x14ac:dyDescent="0.25">
      <c r="K70"/>
      <c r="R70"/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&amp;CFantasy League Table</oddHead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F52"/>
  <sheetViews>
    <sheetView workbookViewId="0">
      <selection activeCell="E12" sqref="E12"/>
    </sheetView>
  </sheetViews>
  <sheetFormatPr defaultRowHeight="10.5" x14ac:dyDescent="0.15"/>
  <cols>
    <col min="4" max="4" width="13.42578125" customWidth="1"/>
    <col min="5" max="5" width="16.7109375" customWidth="1"/>
    <col min="6" max="6" width="11.85546875" customWidth="1"/>
    <col min="7" max="7" width="3.5703125" customWidth="1"/>
    <col min="8" max="8" width="11.85546875" bestFit="1" customWidth="1"/>
  </cols>
  <sheetData>
    <row r="1" spans="1:6" x14ac:dyDescent="0.15">
      <c r="A1" t="s">
        <v>266</v>
      </c>
      <c r="B1" t="s">
        <v>12</v>
      </c>
    </row>
    <row r="2" spans="1:6" x14ac:dyDescent="0.15">
      <c r="A2" s="181" t="str">
        <f t="array" ref="A2:A52">TRANSPOSE(Batting!D4:AI4)</f>
        <v>W</v>
      </c>
      <c r="B2" t="str">
        <f t="array" ref="B2:B52">TRANSPOSE(Batting!D72:AI72)</f>
        <v>Springer T</v>
      </c>
    </row>
    <row r="3" spans="1:6" x14ac:dyDescent="0.15">
      <c r="A3" s="181" t="str">
        <v>W</v>
      </c>
      <c r="B3" t="str">
        <v>Springer T</v>
      </c>
    </row>
    <row r="4" spans="1:6" x14ac:dyDescent="0.15">
      <c r="A4" s="181" t="str">
        <v>D</v>
      </c>
      <c r="B4" t="str">
        <v>Springer T</v>
      </c>
    </row>
    <row r="5" spans="1:6" x14ac:dyDescent="0.15">
      <c r="A5" s="181" t="str">
        <v>W</v>
      </c>
      <c r="B5" t="str">
        <v>Springer T</v>
      </c>
    </row>
    <row r="6" spans="1:6" x14ac:dyDescent="0.15">
      <c r="A6" s="181" t="str">
        <v>W</v>
      </c>
      <c r="B6" t="str">
        <v>Springer T</v>
      </c>
    </row>
    <row r="7" spans="1:6" x14ac:dyDescent="0.15">
      <c r="A7" s="181" t="str">
        <v>ND</v>
      </c>
      <c r="B7" t="str">
        <v>Seymour C</v>
      </c>
    </row>
    <row r="8" spans="1:6" x14ac:dyDescent="0.15">
      <c r="A8" s="181" t="str">
        <v>W</v>
      </c>
      <c r="B8" t="str">
        <v>Nair S</v>
      </c>
    </row>
    <row r="9" spans="1:6" x14ac:dyDescent="0.15">
      <c r="A9" s="181" t="str">
        <v>L</v>
      </c>
      <c r="B9" t="str">
        <v>Bhatt P</v>
      </c>
      <c r="D9" s="172" t="s">
        <v>268</v>
      </c>
      <c r="E9" s="172" t="s">
        <v>267</v>
      </c>
    </row>
    <row r="10" spans="1:6" x14ac:dyDescent="0.15">
      <c r="A10" s="181" t="str">
        <v>W</v>
      </c>
      <c r="B10" t="str">
        <v>Springer T</v>
      </c>
      <c r="D10" s="172" t="s">
        <v>241</v>
      </c>
      <c r="E10">
        <v>0</v>
      </c>
      <c r="F10" t="s">
        <v>242</v>
      </c>
    </row>
    <row r="11" spans="1:6" x14ac:dyDescent="0.15">
      <c r="A11" s="181" t="str">
        <v>L</v>
      </c>
      <c r="B11" t="str">
        <v>Springer T</v>
      </c>
      <c r="D11" s="173" t="s">
        <v>335</v>
      </c>
      <c r="E11" s="174">
        <v>17</v>
      </c>
      <c r="F11" s="174">
        <v>17</v>
      </c>
    </row>
    <row r="12" spans="1:6" x14ac:dyDescent="0.15">
      <c r="A12" s="181" t="str">
        <v>W</v>
      </c>
      <c r="B12" t="str">
        <v>Springer T</v>
      </c>
      <c r="D12" s="173" t="s">
        <v>242</v>
      </c>
      <c r="E12" s="174">
        <v>17</v>
      </c>
      <c r="F12" s="174">
        <v>17</v>
      </c>
    </row>
    <row r="13" spans="1:6" x14ac:dyDescent="0.15">
      <c r="A13" s="181" t="str">
        <v>W</v>
      </c>
      <c r="B13" t="str">
        <v>Springer T</v>
      </c>
    </row>
    <row r="14" spans="1:6" x14ac:dyDescent="0.15">
      <c r="A14" s="181" t="str">
        <v>W</v>
      </c>
      <c r="B14" t="str">
        <v>Seymour C</v>
      </c>
    </row>
    <row r="15" spans="1:6" x14ac:dyDescent="0.15">
      <c r="A15" s="181" t="str">
        <v>L</v>
      </c>
      <c r="B15" t="str">
        <v>Springer T</v>
      </c>
    </row>
    <row r="16" spans="1:6" x14ac:dyDescent="0.15">
      <c r="A16" s="181" t="str">
        <v>W</v>
      </c>
      <c r="B16" t="str">
        <v>Springer T</v>
      </c>
    </row>
    <row r="17" spans="1:2" x14ac:dyDescent="0.15">
      <c r="A17" s="181" t="str">
        <v>W</v>
      </c>
      <c r="B17" t="e">
        <v>#N/A</v>
      </c>
    </row>
    <row r="18" spans="1:2" x14ac:dyDescent="0.15">
      <c r="A18" s="181" t="str">
        <v>L</v>
      </c>
      <c r="B18" t="e">
        <v>#N/A</v>
      </c>
    </row>
    <row r="19" spans="1:2" x14ac:dyDescent="0.15">
      <c r="A19" s="181" t="str">
        <v>L</v>
      </c>
      <c r="B19" t="str">
        <v>Springer T</v>
      </c>
    </row>
    <row r="20" spans="1:2" x14ac:dyDescent="0.15">
      <c r="A20" s="181" t="str">
        <v>L</v>
      </c>
      <c r="B20" t="str">
        <v>Springer T</v>
      </c>
    </row>
    <row r="21" spans="1:2" x14ac:dyDescent="0.15">
      <c r="A21" s="181" t="str">
        <v>L</v>
      </c>
      <c r="B21" t="str">
        <v>Springer T</v>
      </c>
    </row>
    <row r="22" spans="1:2" x14ac:dyDescent="0.15">
      <c r="A22" s="181" t="str">
        <v>W</v>
      </c>
      <c r="B22" t="str">
        <v>Springer T</v>
      </c>
    </row>
    <row r="23" spans="1:2" x14ac:dyDescent="0.15">
      <c r="A23" s="181">
        <v>0</v>
      </c>
      <c r="B23" t="e">
        <v>#N/A</v>
      </c>
    </row>
    <row r="24" spans="1:2" x14ac:dyDescent="0.15">
      <c r="A24" s="181">
        <v>0</v>
      </c>
      <c r="B24" t="e">
        <v>#N/A</v>
      </c>
    </row>
    <row r="25" spans="1:2" x14ac:dyDescent="0.15">
      <c r="A25" s="181">
        <v>0</v>
      </c>
      <c r="B25" t="e">
        <v>#N/A</v>
      </c>
    </row>
    <row r="26" spans="1:2" x14ac:dyDescent="0.15">
      <c r="A26" s="181">
        <v>0</v>
      </c>
      <c r="B26" t="e">
        <v>#N/A</v>
      </c>
    </row>
    <row r="27" spans="1:2" x14ac:dyDescent="0.15">
      <c r="A27" s="181">
        <v>0</v>
      </c>
      <c r="B27" t="e">
        <v>#N/A</v>
      </c>
    </row>
    <row r="28" spans="1:2" x14ac:dyDescent="0.15">
      <c r="A28" s="181">
        <v>0</v>
      </c>
      <c r="B28" t="e">
        <v>#N/A</v>
      </c>
    </row>
    <row r="29" spans="1:2" x14ac:dyDescent="0.15">
      <c r="A29" s="181">
        <v>0</v>
      </c>
      <c r="B29" t="e">
        <v>#N/A</v>
      </c>
    </row>
    <row r="30" spans="1:2" x14ac:dyDescent="0.15">
      <c r="A30" s="181" t="e">
        <v>#N/A</v>
      </c>
      <c r="B30">
        <v>0</v>
      </c>
    </row>
    <row r="31" spans="1:2" x14ac:dyDescent="0.15">
      <c r="A31" s="181" t="e">
        <v>#N/A</v>
      </c>
      <c r="B31">
        <v>0</v>
      </c>
    </row>
    <row r="32" spans="1:2" x14ac:dyDescent="0.15">
      <c r="A32" s="181">
        <v>0</v>
      </c>
      <c r="B32">
        <v>0</v>
      </c>
    </row>
    <row r="33" spans="1:2" x14ac:dyDescent="0.15">
      <c r="A33" s="181">
        <v>0</v>
      </c>
      <c r="B33">
        <v>0</v>
      </c>
    </row>
    <row r="34" spans="1:2" x14ac:dyDescent="0.15">
      <c r="A34" s="181" t="e">
        <v>#N/A</v>
      </c>
      <c r="B34" t="e">
        <v>#N/A</v>
      </c>
    </row>
    <row r="35" spans="1:2" x14ac:dyDescent="0.15">
      <c r="A35" s="181" t="e">
        <v>#N/A</v>
      </c>
      <c r="B35" t="e">
        <v>#N/A</v>
      </c>
    </row>
    <row r="36" spans="1:2" x14ac:dyDescent="0.15">
      <c r="A36" s="181" t="e">
        <v>#N/A</v>
      </c>
      <c r="B36" t="e">
        <v>#N/A</v>
      </c>
    </row>
    <row r="37" spans="1:2" x14ac:dyDescent="0.15">
      <c r="A37" s="181" t="e">
        <v>#N/A</v>
      </c>
      <c r="B37" t="e">
        <v>#N/A</v>
      </c>
    </row>
    <row r="38" spans="1:2" x14ac:dyDescent="0.15">
      <c r="A38" s="181" t="e">
        <v>#N/A</v>
      </c>
      <c r="B38" t="e">
        <v>#N/A</v>
      </c>
    </row>
    <row r="39" spans="1:2" x14ac:dyDescent="0.15">
      <c r="A39" s="181" t="e">
        <v>#N/A</v>
      </c>
      <c r="B39" t="e">
        <v>#N/A</v>
      </c>
    </row>
    <row r="40" spans="1:2" x14ac:dyDescent="0.15">
      <c r="A40" s="181" t="e">
        <v>#N/A</v>
      </c>
      <c r="B40" t="e">
        <v>#N/A</v>
      </c>
    </row>
    <row r="41" spans="1:2" x14ac:dyDescent="0.15">
      <c r="A41" s="181" t="e">
        <v>#N/A</v>
      </c>
      <c r="B41" t="e">
        <v>#N/A</v>
      </c>
    </row>
    <row r="42" spans="1:2" x14ac:dyDescent="0.15">
      <c r="A42" s="181" t="e">
        <v>#N/A</v>
      </c>
      <c r="B42" t="e">
        <v>#N/A</v>
      </c>
    </row>
    <row r="43" spans="1:2" x14ac:dyDescent="0.15">
      <c r="A43" s="181" t="e">
        <v>#N/A</v>
      </c>
      <c r="B43" t="e">
        <v>#N/A</v>
      </c>
    </row>
    <row r="44" spans="1:2" x14ac:dyDescent="0.15">
      <c r="A44" s="181" t="e">
        <v>#N/A</v>
      </c>
      <c r="B44" t="e">
        <v>#N/A</v>
      </c>
    </row>
    <row r="45" spans="1:2" x14ac:dyDescent="0.15">
      <c r="A45" s="181" t="e">
        <v>#N/A</v>
      </c>
      <c r="B45" t="e">
        <v>#N/A</v>
      </c>
    </row>
    <row r="46" spans="1:2" x14ac:dyDescent="0.15">
      <c r="A46" s="181" t="e">
        <v>#N/A</v>
      </c>
      <c r="B46" t="e">
        <v>#N/A</v>
      </c>
    </row>
    <row r="47" spans="1:2" x14ac:dyDescent="0.15">
      <c r="A47" s="181" t="e">
        <v>#N/A</v>
      </c>
      <c r="B47" t="e">
        <v>#N/A</v>
      </c>
    </row>
    <row r="48" spans="1:2" x14ac:dyDescent="0.15">
      <c r="A48" s="181" t="e">
        <v>#N/A</v>
      </c>
      <c r="B48" t="e">
        <v>#N/A</v>
      </c>
    </row>
    <row r="49" spans="1:2" x14ac:dyDescent="0.15">
      <c r="A49" s="181" t="e">
        <v>#N/A</v>
      </c>
      <c r="B49" t="e">
        <v>#N/A</v>
      </c>
    </row>
    <row r="50" spans="1:2" x14ac:dyDescent="0.15">
      <c r="A50" s="181" t="e">
        <v>#N/A</v>
      </c>
      <c r="B50" t="e">
        <v>#N/A</v>
      </c>
    </row>
    <row r="51" spans="1:2" x14ac:dyDescent="0.15">
      <c r="A51" s="181" t="e">
        <v>#N/A</v>
      </c>
      <c r="B51" t="e">
        <v>#N/A</v>
      </c>
    </row>
    <row r="52" spans="1:2" x14ac:dyDescent="0.15">
      <c r="A52" s="181" t="e">
        <v>#N/A</v>
      </c>
      <c r="B52" t="e">
        <v>#N/A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BJ80"/>
  <sheetViews>
    <sheetView showGridLines="0" zoomScaleNormal="100" workbookViewId="0">
      <selection activeCell="M5" sqref="M5"/>
    </sheetView>
  </sheetViews>
  <sheetFormatPr defaultRowHeight="11.25" x14ac:dyDescent="0.15"/>
  <cols>
    <col min="1" max="1" width="3" style="188" bestFit="1" customWidth="1"/>
    <col min="2" max="2" width="14.28515625" style="188" bestFit="1" customWidth="1"/>
    <col min="3" max="3" width="4.7109375" style="188" bestFit="1" customWidth="1"/>
    <col min="4" max="4" width="4.5703125" style="188" bestFit="1" customWidth="1"/>
    <col min="5" max="5" width="5.140625" style="188" bestFit="1" customWidth="1"/>
    <col min="6" max="6" width="5.42578125" style="188" bestFit="1" customWidth="1"/>
    <col min="7" max="7" width="5.7109375" style="188" bestFit="1" customWidth="1"/>
    <col min="8" max="8" width="2.7109375" style="188" customWidth="1"/>
    <col min="9" max="9" width="3" style="188" bestFit="1" customWidth="1"/>
    <col min="10" max="10" width="12" style="188" bestFit="1" customWidth="1"/>
    <col min="11" max="11" width="5.7109375" style="188" bestFit="1" customWidth="1"/>
    <col min="12" max="12" width="5.28515625" style="188" bestFit="1" customWidth="1"/>
    <col min="13" max="13" width="5.140625" style="188" bestFit="1" customWidth="1"/>
    <col min="14" max="14" width="7.42578125" style="188" bestFit="1" customWidth="1"/>
    <col min="15" max="15" width="5.5703125" style="188" bestFit="1" customWidth="1"/>
    <col min="16" max="17" width="5.42578125" style="188" bestFit="1" customWidth="1"/>
    <col min="18" max="18" width="4.28515625" style="188" bestFit="1" customWidth="1"/>
    <col min="19" max="19" width="2.7109375" style="188" customWidth="1"/>
    <col min="20" max="20" width="4.140625" style="188" bestFit="1" customWidth="1"/>
    <col min="21" max="21" width="4.7109375" style="188" bestFit="1" customWidth="1"/>
    <col min="22" max="22" width="5.42578125" style="188" bestFit="1" customWidth="1"/>
    <col min="23" max="23" width="10.28515625" style="188" bestFit="1" customWidth="1"/>
    <col min="24" max="25" width="4.140625" style="188" bestFit="1" customWidth="1"/>
    <col min="26" max="26" width="10.28515625" style="188" bestFit="1" customWidth="1"/>
    <col min="27" max="28" width="4.140625" style="188" bestFit="1" customWidth="1"/>
    <col min="29" max="29" width="19" style="188" bestFit="1" customWidth="1"/>
    <col min="30" max="30" width="6.5703125" style="198" bestFit="1" customWidth="1"/>
    <col min="31" max="31" width="2.7109375" style="188" customWidth="1"/>
    <col min="32" max="32" width="4.28515625" style="188" bestFit="1" customWidth="1"/>
    <col min="33" max="33" width="12.140625" style="188" bestFit="1" customWidth="1"/>
    <col min="34" max="34" width="2.7109375" style="188" customWidth="1"/>
    <col min="35" max="35" width="2.7109375" style="188" bestFit="1" customWidth="1"/>
    <col min="36" max="36" width="10.140625" style="188" bestFit="1" customWidth="1"/>
    <col min="37" max="37" width="2.7109375" style="188" customWidth="1"/>
    <col min="38" max="38" width="3.5703125" style="188" bestFit="1" customWidth="1"/>
    <col min="39" max="39" width="14.140625" style="188" bestFit="1" customWidth="1"/>
    <col min="40" max="40" width="2.7109375" style="188" customWidth="1"/>
    <col min="41" max="41" width="2.7109375" style="188" bestFit="1" customWidth="1"/>
    <col min="42" max="42" width="10.140625" style="188" bestFit="1" customWidth="1"/>
    <col min="43" max="43" width="2.7109375" style="188" customWidth="1"/>
    <col min="44" max="44" width="1.85546875" style="188" bestFit="1" customWidth="1"/>
    <col min="45" max="45" width="14.140625" style="188" bestFit="1" customWidth="1"/>
    <col min="46" max="46" width="2.7109375" style="188" customWidth="1"/>
    <col min="47" max="47" width="2.7109375" style="198" customWidth="1"/>
    <col min="48" max="48" width="13" style="188" customWidth="1"/>
    <col min="49" max="49" width="2.7109375" style="198" customWidth="1"/>
    <col min="50" max="50" width="13" style="188" customWidth="1"/>
    <col min="51" max="51" width="2.7109375" style="198" customWidth="1"/>
    <col min="52" max="52" width="13" style="188" customWidth="1"/>
    <col min="53" max="53" width="2.7109375" style="198" customWidth="1"/>
    <col min="54" max="54" width="13" style="188" customWidth="1"/>
    <col min="55" max="55" width="9.140625" style="188"/>
    <col min="56" max="56" width="18.28515625" style="188" bestFit="1" customWidth="1"/>
    <col min="57" max="58" width="27.140625" style="198" customWidth="1"/>
    <col min="59" max="59" width="9.140625" style="188"/>
    <col min="60" max="60" width="11.28515625" style="188" customWidth="1"/>
    <col min="61" max="61" width="17.28515625" style="188" customWidth="1"/>
    <col min="62" max="16384" width="9.140625" style="188"/>
  </cols>
  <sheetData>
    <row r="1" spans="1:62" s="185" customFormat="1" x14ac:dyDescent="0.15">
      <c r="A1" s="234" t="s">
        <v>276</v>
      </c>
      <c r="B1" s="234"/>
      <c r="C1" s="234"/>
      <c r="D1" s="234"/>
      <c r="E1" s="234"/>
      <c r="F1" s="234"/>
      <c r="G1" s="234"/>
      <c r="I1" s="234" t="s">
        <v>277</v>
      </c>
      <c r="J1" s="234"/>
      <c r="K1" s="234"/>
      <c r="L1" s="234"/>
      <c r="M1" s="234"/>
      <c r="N1" s="234"/>
      <c r="O1" s="234"/>
      <c r="P1" s="234"/>
      <c r="Q1" s="234"/>
      <c r="R1" s="234"/>
      <c r="T1" s="234" t="s">
        <v>278</v>
      </c>
      <c r="U1" s="234"/>
      <c r="V1" s="234"/>
      <c r="W1" s="234"/>
      <c r="X1" s="234"/>
      <c r="Y1" s="234"/>
      <c r="Z1" s="234"/>
      <c r="AA1" s="234"/>
      <c r="AB1" s="234"/>
      <c r="AC1" s="234"/>
      <c r="AD1" s="234"/>
      <c r="AF1" s="234" t="s">
        <v>283</v>
      </c>
      <c r="AG1" s="234"/>
      <c r="AI1" s="234" t="s">
        <v>284</v>
      </c>
      <c r="AJ1" s="234"/>
      <c r="AK1" s="212"/>
      <c r="AL1" s="234" t="s">
        <v>285</v>
      </c>
      <c r="AM1" s="234"/>
      <c r="AN1" s="212"/>
      <c r="AO1" s="234" t="s">
        <v>286</v>
      </c>
      <c r="AP1" s="234"/>
      <c r="AQ1" s="212"/>
      <c r="AR1" s="234" t="s">
        <v>288</v>
      </c>
      <c r="AS1" s="234"/>
      <c r="AT1" s="212"/>
      <c r="AU1" s="234" t="s">
        <v>287</v>
      </c>
      <c r="AV1" s="234"/>
      <c r="AW1" s="234"/>
      <c r="AX1" s="234"/>
      <c r="AY1" s="234"/>
      <c r="AZ1" s="234"/>
      <c r="BA1" s="218"/>
      <c r="BB1" s="218"/>
      <c r="BC1" s="212"/>
      <c r="BD1" s="212"/>
      <c r="BE1" s="214"/>
      <c r="BF1" s="214"/>
    </row>
    <row r="2" spans="1:62" x14ac:dyDescent="0.15">
      <c r="A2" s="194"/>
      <c r="B2" s="186" t="s">
        <v>76</v>
      </c>
      <c r="C2" s="187" t="s">
        <v>7</v>
      </c>
      <c r="D2" s="187" t="s">
        <v>202</v>
      </c>
      <c r="E2" s="187" t="s">
        <v>131</v>
      </c>
      <c r="F2" s="187" t="s">
        <v>9</v>
      </c>
      <c r="G2" s="187" t="s">
        <v>33</v>
      </c>
      <c r="I2" s="191"/>
      <c r="J2" s="186" t="s">
        <v>76</v>
      </c>
      <c r="K2" s="187" t="s">
        <v>30</v>
      </c>
      <c r="L2" s="189" t="s">
        <v>31</v>
      </c>
      <c r="M2" s="187" t="s">
        <v>9</v>
      </c>
      <c r="N2" s="187" t="s">
        <v>134</v>
      </c>
      <c r="O2" s="187" t="s">
        <v>33</v>
      </c>
      <c r="P2" s="187" t="s">
        <v>34</v>
      </c>
      <c r="Q2" s="187" t="s">
        <v>35</v>
      </c>
      <c r="R2" s="187" t="s">
        <v>90</v>
      </c>
      <c r="T2" s="190" t="s">
        <v>13</v>
      </c>
      <c r="U2" s="190" t="s">
        <v>77</v>
      </c>
      <c r="V2" s="190" t="s">
        <v>209</v>
      </c>
      <c r="W2" s="190" t="s">
        <v>210</v>
      </c>
      <c r="X2" s="190" t="s">
        <v>211</v>
      </c>
      <c r="Y2" s="190" t="s">
        <v>212</v>
      </c>
      <c r="Z2" s="190" t="s">
        <v>213</v>
      </c>
      <c r="AA2" s="190" t="s">
        <v>214</v>
      </c>
      <c r="AB2" s="190" t="s">
        <v>212</v>
      </c>
      <c r="AC2" s="190" t="s">
        <v>239</v>
      </c>
      <c r="AD2" s="187" t="s">
        <v>0</v>
      </c>
      <c r="AE2" s="188">
        <v>6</v>
      </c>
      <c r="AF2" s="188" t="s">
        <v>347</v>
      </c>
      <c r="AG2" s="188" t="s">
        <v>259</v>
      </c>
      <c r="AI2" s="191">
        <v>3</v>
      </c>
      <c r="AJ2" s="191" t="s">
        <v>324</v>
      </c>
      <c r="AK2" s="191"/>
      <c r="AL2" s="188">
        <v>54</v>
      </c>
      <c r="AM2" s="188" t="s">
        <v>222</v>
      </c>
      <c r="AN2" s="191"/>
      <c r="AO2" s="188">
        <v>7</v>
      </c>
      <c r="AP2" s="188" t="s">
        <v>196</v>
      </c>
      <c r="AQ2" s="191"/>
      <c r="AR2" s="191">
        <v>3</v>
      </c>
      <c r="AS2" s="191" t="s">
        <v>324</v>
      </c>
      <c r="AT2" s="191"/>
      <c r="AU2" s="198">
        <v>21</v>
      </c>
      <c r="AV2" s="188" t="s">
        <v>196</v>
      </c>
      <c r="AW2" s="198">
        <v>10</v>
      </c>
      <c r="AX2" s="188" t="s">
        <v>136</v>
      </c>
      <c r="AY2" s="198">
        <v>2</v>
      </c>
      <c r="AZ2" s="188" t="s">
        <v>432</v>
      </c>
      <c r="BA2" s="198">
        <v>1</v>
      </c>
      <c r="BB2" s="188" t="s">
        <v>470</v>
      </c>
      <c r="BC2" s="191"/>
      <c r="BD2" s="191"/>
      <c r="BE2" s="198" t="s">
        <v>351</v>
      </c>
      <c r="BF2" s="198" t="s">
        <v>352</v>
      </c>
    </row>
    <row r="3" spans="1:62" x14ac:dyDescent="0.2">
      <c r="A3" s="205">
        <v>1</v>
      </c>
      <c r="B3" s="205" t="str">
        <f t="array" aca="1" ref="B3:G42" ca="1">OFFSET(BatAves!O2,0,0,batavg_qualifiers,6)</f>
        <v>Seymour D</v>
      </c>
      <c r="C3" s="205">
        <f ca="1"/>
        <v>7</v>
      </c>
      <c r="D3" s="205">
        <f ca="1"/>
        <v>2</v>
      </c>
      <c r="E3" s="205" t="str">
        <f ca="1"/>
        <v>114*</v>
      </c>
      <c r="F3" s="205">
        <f ca="1"/>
        <v>213</v>
      </c>
      <c r="G3" s="206">
        <f ca="1"/>
        <v>42.6</v>
      </c>
      <c r="I3" s="211">
        <v>1</v>
      </c>
      <c r="J3" s="207" t="str">
        <f t="array" aca="1" ref="J3:R30" ca="1">OFFSET(BowlAves!Q3,0,0,BowlAves!AD4,9)</f>
        <v>Nair S</v>
      </c>
      <c r="K3" s="205">
        <f ca="1"/>
        <v>65.2</v>
      </c>
      <c r="L3" s="208">
        <f ca="1"/>
        <v>10</v>
      </c>
      <c r="M3" s="205">
        <f ca="1"/>
        <v>210</v>
      </c>
      <c r="N3" s="205">
        <f ca="1"/>
        <v>22</v>
      </c>
      <c r="O3" s="206">
        <f ca="1"/>
        <v>9.5500000000000007</v>
      </c>
      <c r="P3" s="209">
        <f ca="1"/>
        <v>17.818181818181817</v>
      </c>
      <c r="Q3" s="209">
        <f ca="1"/>
        <v>3.2142857142857144</v>
      </c>
      <c r="R3" s="209" t="str">
        <f ca="1"/>
        <v>4-23</v>
      </c>
      <c r="T3" s="191">
        <f t="array" aca="1" ref="T3:AD26" ca="1">OFFSET(Partnerships!R2,0,0,Partnerships!AE2,11)</f>
        <v>1</v>
      </c>
      <c r="U3" s="191">
        <f ca="1"/>
        <v>54</v>
      </c>
      <c r="V3" s="192">
        <f ca="1"/>
        <v>0</v>
      </c>
      <c r="W3" s="191" t="str">
        <f ca="1"/>
        <v>Patel J</v>
      </c>
      <c r="X3" s="191">
        <f ca="1"/>
        <v>52</v>
      </c>
      <c r="Y3" s="192">
        <f ca="1"/>
        <v>0</v>
      </c>
      <c r="Z3" s="191" t="str">
        <f ca="1"/>
        <v>Seymour C</v>
      </c>
      <c r="AA3" s="191">
        <f ca="1"/>
        <v>7</v>
      </c>
      <c r="AB3" s="192">
        <f ca="1"/>
        <v>0</v>
      </c>
      <c r="AC3" s="191" t="str">
        <f ca="1"/>
        <v>Ploughman's Sunday XI</v>
      </c>
      <c r="AD3" s="210">
        <f ca="1"/>
        <v>44822</v>
      </c>
      <c r="AE3" s="188">
        <v>4</v>
      </c>
      <c r="AF3" s="188" t="s">
        <v>282</v>
      </c>
      <c r="AG3" s="188" t="s">
        <v>387</v>
      </c>
      <c r="AI3" s="188">
        <v>3</v>
      </c>
      <c r="AJ3" s="188" t="s">
        <v>136</v>
      </c>
      <c r="AK3" s="191"/>
      <c r="AL3" s="188">
        <v>50</v>
      </c>
      <c r="AM3" s="188" t="s">
        <v>136</v>
      </c>
      <c r="AN3" s="191"/>
      <c r="AO3" s="188">
        <v>7</v>
      </c>
      <c r="AP3" s="188" t="s">
        <v>222</v>
      </c>
      <c r="AQ3" s="191"/>
      <c r="AR3" s="191">
        <v>3</v>
      </c>
      <c r="AS3" s="191" t="s">
        <v>302</v>
      </c>
      <c r="AT3" s="191"/>
      <c r="AU3" s="198">
        <v>17</v>
      </c>
      <c r="AV3" s="188" t="s">
        <v>222</v>
      </c>
      <c r="AW3" s="198">
        <v>8</v>
      </c>
      <c r="AX3" s="188" t="s">
        <v>387</v>
      </c>
      <c r="AY3" s="198">
        <v>2</v>
      </c>
      <c r="AZ3" s="188" t="s">
        <v>587</v>
      </c>
      <c r="BA3" s="198">
        <v>1</v>
      </c>
      <c r="BB3" s="188" t="s">
        <v>575</v>
      </c>
      <c r="BC3" s="191"/>
      <c r="BD3" s="213" t="s">
        <v>350</v>
      </c>
      <c r="BE3" s="198">
        <f>Matches!AA36</f>
        <v>3573</v>
      </c>
      <c r="BF3" s="198">
        <f>Matches!AB36</f>
        <v>3181</v>
      </c>
    </row>
    <row r="4" spans="1:62" x14ac:dyDescent="0.2">
      <c r="A4" s="205">
        <v>2</v>
      </c>
      <c r="B4" s="205" t="str">
        <f ca="1"/>
        <v>Sharpe D</v>
      </c>
      <c r="C4" s="205">
        <f ca="1"/>
        <v>10</v>
      </c>
      <c r="D4" s="205">
        <f ca="1"/>
        <v>1</v>
      </c>
      <c r="E4" s="205">
        <f ca="1"/>
        <v>86</v>
      </c>
      <c r="F4" s="205">
        <f ca="1"/>
        <v>309</v>
      </c>
      <c r="G4" s="206">
        <f ca="1"/>
        <v>34.333333333333336</v>
      </c>
      <c r="I4" s="211">
        <v>2</v>
      </c>
      <c r="J4" s="207" t="str">
        <f ca="1"/>
        <v>Kogulathasan D</v>
      </c>
      <c r="K4" s="205">
        <f ca="1"/>
        <v>50.3</v>
      </c>
      <c r="L4" s="208">
        <f ca="1"/>
        <v>4</v>
      </c>
      <c r="M4" s="205">
        <f ca="1"/>
        <v>189</v>
      </c>
      <c r="N4" s="205">
        <f ca="1"/>
        <v>11</v>
      </c>
      <c r="O4" s="206">
        <f ca="1"/>
        <v>17.18</v>
      </c>
      <c r="P4" s="209">
        <f ca="1"/>
        <v>27.545454545454547</v>
      </c>
      <c r="Q4" s="209">
        <f ca="1"/>
        <v>3.7425742574257428</v>
      </c>
      <c r="R4" s="209" t="str">
        <f ca="1"/>
        <v>3-21</v>
      </c>
      <c r="T4" s="191">
        <f ca="1"/>
        <v>1</v>
      </c>
      <c r="U4" s="191">
        <f ca="1"/>
        <v>53</v>
      </c>
      <c r="V4" s="192">
        <f ca="1"/>
        <v>0</v>
      </c>
      <c r="W4" s="191" t="str">
        <f ca="1"/>
        <v>Patel J</v>
      </c>
      <c r="X4" s="191">
        <f ca="1"/>
        <v>36</v>
      </c>
      <c r="Y4" s="192">
        <f ca="1"/>
        <v>0</v>
      </c>
      <c r="Z4" s="191" t="str">
        <f ca="1"/>
        <v>Seymour C</v>
      </c>
      <c r="AA4" s="191">
        <f ca="1"/>
        <v>9</v>
      </c>
      <c r="AB4" s="192">
        <f ca="1"/>
        <v>0</v>
      </c>
      <c r="AC4" s="191" t="str">
        <f ca="1"/>
        <v>Battersea Ironsides</v>
      </c>
      <c r="AD4" s="210">
        <f ca="1"/>
        <v>44815</v>
      </c>
      <c r="AE4" s="188">
        <v>4</v>
      </c>
      <c r="AF4" s="188" t="s">
        <v>753</v>
      </c>
      <c r="AG4" s="188" t="s">
        <v>136</v>
      </c>
      <c r="AI4" s="191">
        <v>2</v>
      </c>
      <c r="AJ4" s="191" t="s">
        <v>575</v>
      </c>
      <c r="AK4" s="191"/>
      <c r="AL4" s="188">
        <v>49</v>
      </c>
      <c r="AM4" s="188" t="s">
        <v>196</v>
      </c>
      <c r="AN4" s="191"/>
      <c r="AO4" s="188">
        <v>6</v>
      </c>
      <c r="AP4" s="188" t="s">
        <v>136</v>
      </c>
      <c r="AQ4" s="191"/>
      <c r="AR4" s="188">
        <v>3</v>
      </c>
      <c r="AS4" s="188" t="s">
        <v>297</v>
      </c>
      <c r="AT4" s="191"/>
      <c r="AU4" s="198">
        <v>16</v>
      </c>
      <c r="AV4" s="188" t="s">
        <v>235</v>
      </c>
      <c r="AW4" s="198">
        <v>8</v>
      </c>
      <c r="AX4" s="188" t="s">
        <v>314</v>
      </c>
      <c r="AY4" s="198">
        <v>2</v>
      </c>
      <c r="AZ4" s="188" t="s">
        <v>299</v>
      </c>
      <c r="BA4" s="198">
        <v>1</v>
      </c>
      <c r="BB4" s="188" t="s">
        <v>632</v>
      </c>
      <c r="BC4" s="191"/>
      <c r="BD4" s="213" t="s">
        <v>353</v>
      </c>
      <c r="BE4" s="198">
        <f>Matches!AC36</f>
        <v>157</v>
      </c>
      <c r="BF4" s="198">
        <f>Matches!AD36</f>
        <v>136</v>
      </c>
      <c r="BG4" s="198" t="s">
        <v>728</v>
      </c>
      <c r="BH4" s="188" t="s">
        <v>259</v>
      </c>
      <c r="BI4" s="188" t="s">
        <v>291</v>
      </c>
      <c r="BJ4" s="221">
        <v>45047</v>
      </c>
    </row>
    <row r="5" spans="1:62" x14ac:dyDescent="0.2">
      <c r="A5" s="205">
        <v>3</v>
      </c>
      <c r="B5" s="205" t="str">
        <f ca="1"/>
        <v>Patel J</v>
      </c>
      <c r="C5" s="205">
        <f ca="1"/>
        <v>7</v>
      </c>
      <c r="D5" s="205">
        <f ca="1"/>
        <v>0</v>
      </c>
      <c r="E5" s="205">
        <f ca="1"/>
        <v>66</v>
      </c>
      <c r="F5" s="205">
        <f ca="1"/>
        <v>237</v>
      </c>
      <c r="G5" s="206">
        <f ca="1"/>
        <v>33.857142857142854</v>
      </c>
      <c r="I5" s="211">
        <v>3</v>
      </c>
      <c r="J5" s="207" t="str">
        <f ca="1"/>
        <v>Springer T</v>
      </c>
      <c r="K5" s="205">
        <f ca="1"/>
        <v>43.5</v>
      </c>
      <c r="L5" s="208">
        <f ca="1"/>
        <v>6</v>
      </c>
      <c r="M5" s="205">
        <f ca="1"/>
        <v>209</v>
      </c>
      <c r="N5" s="205">
        <f ca="1"/>
        <v>11</v>
      </c>
      <c r="O5" s="206">
        <f ca="1"/>
        <v>19</v>
      </c>
      <c r="P5" s="209">
        <f ca="1"/>
        <v>23.90909090909091</v>
      </c>
      <c r="Q5" s="209">
        <f ca="1"/>
        <v>4.7680608365019008</v>
      </c>
      <c r="R5" s="209" t="str">
        <f ca="1"/>
        <v>4-27</v>
      </c>
      <c r="T5" s="191">
        <f ca="1"/>
        <v>1</v>
      </c>
      <c r="U5" s="191">
        <f ca="1"/>
        <v>50</v>
      </c>
      <c r="V5" s="192">
        <f ca="1"/>
        <v>0</v>
      </c>
      <c r="W5" s="191" t="str">
        <f ca="1"/>
        <v>Seymour C</v>
      </c>
      <c r="X5" s="191">
        <f ca="1"/>
        <v>35</v>
      </c>
      <c r="Y5" s="192">
        <f ca="1"/>
        <v>0</v>
      </c>
      <c r="Z5" s="191" t="str">
        <f ca="1"/>
        <v>Patel J</v>
      </c>
      <c r="AA5" s="191">
        <f ca="1"/>
        <v>19</v>
      </c>
      <c r="AB5" s="192">
        <f ca="1"/>
        <v>0</v>
      </c>
      <c r="AC5" s="191" t="str">
        <f ca="1"/>
        <v>Beddington</v>
      </c>
      <c r="AD5" s="210">
        <f ca="1"/>
        <v>44808</v>
      </c>
      <c r="AE5" s="188">
        <v>3</v>
      </c>
      <c r="AF5" s="194" t="s">
        <v>280</v>
      </c>
      <c r="AG5" s="191" t="s">
        <v>432</v>
      </c>
      <c r="AI5" s="191">
        <v>2</v>
      </c>
      <c r="AJ5" s="191" t="s">
        <v>387</v>
      </c>
      <c r="AK5" s="191"/>
      <c r="AL5" s="191">
        <v>31</v>
      </c>
      <c r="AM5" s="191" t="s">
        <v>324</v>
      </c>
      <c r="AN5" s="191"/>
      <c r="AO5" s="191">
        <v>5</v>
      </c>
      <c r="AP5" s="191" t="s">
        <v>324</v>
      </c>
      <c r="AQ5" s="191"/>
      <c r="AR5" s="188">
        <v>3</v>
      </c>
      <c r="AS5" s="188" t="s">
        <v>222</v>
      </c>
      <c r="AT5" s="191"/>
      <c r="AU5" s="198">
        <v>14</v>
      </c>
      <c r="AV5" s="188" t="s">
        <v>251</v>
      </c>
      <c r="AW5" s="198">
        <v>7</v>
      </c>
      <c r="AX5" s="188" t="s">
        <v>263</v>
      </c>
      <c r="AY5" s="198">
        <v>2</v>
      </c>
      <c r="AZ5" s="188" t="s">
        <v>636</v>
      </c>
      <c r="BA5" s="198">
        <v>1</v>
      </c>
      <c r="BB5" s="188" t="s">
        <v>562</v>
      </c>
      <c r="BC5" s="191"/>
      <c r="BD5" s="213" t="s">
        <v>354</v>
      </c>
      <c r="BE5" s="215">
        <f>BE3/BE4</f>
        <v>22.757961783439491</v>
      </c>
      <c r="BF5" s="215">
        <f>BF3/BF4</f>
        <v>23.389705882352942</v>
      </c>
      <c r="BG5" s="198">
        <v>90</v>
      </c>
      <c r="BH5" s="188" t="s">
        <v>432</v>
      </c>
      <c r="BI5" s="188" t="s">
        <v>393</v>
      </c>
      <c r="BJ5" s="221">
        <v>45068</v>
      </c>
    </row>
    <row r="6" spans="1:62" x14ac:dyDescent="0.2">
      <c r="A6" s="205">
        <v>4</v>
      </c>
      <c r="B6" s="205" t="str">
        <f ca="1"/>
        <v>De S</v>
      </c>
      <c r="C6" s="205">
        <f ca="1"/>
        <v>10</v>
      </c>
      <c r="D6" s="205">
        <f ca="1"/>
        <v>2</v>
      </c>
      <c r="E6" s="205">
        <f ca="1"/>
        <v>84</v>
      </c>
      <c r="F6" s="205">
        <f ca="1"/>
        <v>237</v>
      </c>
      <c r="G6" s="206">
        <f ca="1"/>
        <v>29.625</v>
      </c>
      <c r="I6" s="211">
        <v>4</v>
      </c>
      <c r="J6" s="207" t="str">
        <f ca="1"/>
        <v>Bhatt P</v>
      </c>
      <c r="K6" s="205">
        <f ca="1"/>
        <v>77.3</v>
      </c>
      <c r="L6" s="208">
        <f ca="1"/>
        <v>11</v>
      </c>
      <c r="M6" s="205">
        <f ca="1"/>
        <v>341</v>
      </c>
      <c r="N6" s="205">
        <f ca="1"/>
        <v>16</v>
      </c>
      <c r="O6" s="206">
        <f ca="1"/>
        <v>21.31</v>
      </c>
      <c r="P6" s="209">
        <f ca="1"/>
        <v>29.0625</v>
      </c>
      <c r="Q6" s="209">
        <f ca="1"/>
        <v>4.4000000000000004</v>
      </c>
      <c r="R6" s="209" t="str">
        <f ca="1"/>
        <v>4-20</v>
      </c>
      <c r="T6" s="191">
        <f ca="1"/>
        <v>2</v>
      </c>
      <c r="U6" s="191">
        <f ca="1"/>
        <v>103</v>
      </c>
      <c r="V6" s="192">
        <f ca="1"/>
        <v>0</v>
      </c>
      <c r="W6" s="191" t="str">
        <f ca="1"/>
        <v>Seymour C</v>
      </c>
      <c r="X6" s="191">
        <f ca="1"/>
        <v>41</v>
      </c>
      <c r="Y6" s="192">
        <f ca="1"/>
        <v>0</v>
      </c>
      <c r="Z6" s="191" t="str">
        <f ca="1"/>
        <v>Springer T</v>
      </c>
      <c r="AA6" s="191">
        <f ca="1"/>
        <v>64</v>
      </c>
      <c r="AB6" s="192">
        <f ca="1"/>
        <v>0</v>
      </c>
      <c r="AC6" s="191" t="str">
        <f ca="1"/>
        <v>Warlingham</v>
      </c>
      <c r="AD6" s="210">
        <f ca="1"/>
        <v>44689</v>
      </c>
      <c r="AE6" s="188">
        <v>3</v>
      </c>
      <c r="AF6" s="188" t="s">
        <v>280</v>
      </c>
      <c r="AG6" s="188" t="s">
        <v>206</v>
      </c>
      <c r="AI6" s="191">
        <v>1</v>
      </c>
      <c r="AJ6" s="191" t="s">
        <v>245</v>
      </c>
      <c r="AK6" s="191"/>
      <c r="AL6" s="191">
        <v>29</v>
      </c>
      <c r="AM6" s="191" t="s">
        <v>432</v>
      </c>
      <c r="AN6" s="191"/>
      <c r="AO6" s="188">
        <v>4</v>
      </c>
      <c r="AP6" s="188" t="s">
        <v>387</v>
      </c>
      <c r="AQ6" s="191"/>
      <c r="AR6" s="191">
        <v>2</v>
      </c>
      <c r="AS6" s="191" t="s">
        <v>369</v>
      </c>
      <c r="AT6" s="191"/>
      <c r="AU6" s="198">
        <v>14</v>
      </c>
      <c r="AV6" s="188" t="s">
        <v>302</v>
      </c>
      <c r="AW6" s="198">
        <v>7</v>
      </c>
      <c r="AX6" s="188" t="s">
        <v>369</v>
      </c>
      <c r="AY6" s="198">
        <v>2</v>
      </c>
      <c r="AZ6" s="188" t="s">
        <v>619</v>
      </c>
      <c r="BA6" s="198">
        <v>1</v>
      </c>
      <c r="BB6" s="188" t="s">
        <v>234</v>
      </c>
      <c r="BC6" s="191"/>
      <c r="BD6" s="213" t="s">
        <v>355</v>
      </c>
      <c r="BE6" s="215">
        <f>Matches!O40</f>
        <v>83.364442370508627</v>
      </c>
      <c r="BF6" s="215">
        <f>Matches!P40</f>
        <v>75.486473659231137</v>
      </c>
      <c r="BG6" s="198">
        <v>86</v>
      </c>
      <c r="BH6" s="188" t="s">
        <v>432</v>
      </c>
      <c r="BI6" s="188" t="s">
        <v>290</v>
      </c>
      <c r="BJ6" s="221">
        <v>45089</v>
      </c>
    </row>
    <row r="7" spans="1:62" x14ac:dyDescent="0.2">
      <c r="A7" s="205">
        <v>5</v>
      </c>
      <c r="B7" s="205" t="str">
        <f ca="1"/>
        <v>Mander A</v>
      </c>
      <c r="C7" s="205">
        <f ca="1"/>
        <v>6</v>
      </c>
      <c r="D7" s="205">
        <f ca="1"/>
        <v>5</v>
      </c>
      <c r="E7" s="205">
        <f ca="1"/>
        <v>14</v>
      </c>
      <c r="F7" s="205">
        <f ca="1"/>
        <v>26</v>
      </c>
      <c r="G7" s="206">
        <f ca="1"/>
        <v>26</v>
      </c>
      <c r="I7" s="211">
        <v>5</v>
      </c>
      <c r="J7" s="207" t="str">
        <f ca="1"/>
        <v>Seymour C</v>
      </c>
      <c r="K7" s="205">
        <f ca="1"/>
        <v>62</v>
      </c>
      <c r="L7" s="208">
        <f ca="1"/>
        <v>4</v>
      </c>
      <c r="M7" s="205">
        <f ca="1"/>
        <v>282</v>
      </c>
      <c r="N7" s="205">
        <f ca="1"/>
        <v>12</v>
      </c>
      <c r="O7" s="206">
        <f ca="1"/>
        <v>23.5</v>
      </c>
      <c r="P7" s="209">
        <f ca="1"/>
        <v>31</v>
      </c>
      <c r="Q7" s="209">
        <f ca="1"/>
        <v>4.5483870967741939</v>
      </c>
      <c r="R7" s="209" t="str">
        <f ca="1"/>
        <v>2-22</v>
      </c>
      <c r="T7" s="191">
        <f ca="1"/>
        <v>2</v>
      </c>
      <c r="U7" s="191">
        <f ca="1"/>
        <v>88</v>
      </c>
      <c r="V7" s="192">
        <f ca="1"/>
        <v>0</v>
      </c>
      <c r="W7" s="191" t="str">
        <f ca="1"/>
        <v>Crone W</v>
      </c>
      <c r="X7" s="191">
        <f ca="1"/>
        <v>56</v>
      </c>
      <c r="Y7" s="192">
        <f ca="1"/>
        <v>0</v>
      </c>
      <c r="Z7" s="191" t="str">
        <f ca="1"/>
        <v>Niran S</v>
      </c>
      <c r="AA7" s="191">
        <f ca="1"/>
        <v>49</v>
      </c>
      <c r="AB7" s="192">
        <f ca="1"/>
        <v>0</v>
      </c>
      <c r="AC7" s="191" t="str">
        <f ca="1"/>
        <v>Sanderstead</v>
      </c>
      <c r="AD7" s="210">
        <f ca="1"/>
        <v>44759</v>
      </c>
      <c r="AE7" s="188">
        <v>3</v>
      </c>
      <c r="AF7" s="188" t="s">
        <v>280</v>
      </c>
      <c r="AG7" s="188" t="s">
        <v>196</v>
      </c>
      <c r="AI7" s="191">
        <v>1</v>
      </c>
      <c r="AJ7" s="191" t="s">
        <v>375</v>
      </c>
      <c r="AK7" s="191"/>
      <c r="AL7" s="188">
        <v>28</v>
      </c>
      <c r="AM7" s="188" t="s">
        <v>387</v>
      </c>
      <c r="AN7" s="191"/>
      <c r="AO7" s="191">
        <v>3</v>
      </c>
      <c r="AP7" s="191" t="s">
        <v>235</v>
      </c>
      <c r="AQ7" s="191"/>
      <c r="AR7" s="191">
        <v>2</v>
      </c>
      <c r="AS7" s="191" t="s">
        <v>251</v>
      </c>
      <c r="AT7" s="191"/>
      <c r="AU7" s="198">
        <v>14</v>
      </c>
      <c r="AV7" s="188" t="s">
        <v>375</v>
      </c>
      <c r="AW7" s="198">
        <v>7</v>
      </c>
      <c r="AX7" s="188" t="s">
        <v>259</v>
      </c>
      <c r="AY7" s="198">
        <v>2</v>
      </c>
      <c r="AZ7" s="188" t="s">
        <v>189</v>
      </c>
      <c r="BA7" s="198">
        <v>1</v>
      </c>
      <c r="BB7" s="188" t="s">
        <v>579</v>
      </c>
      <c r="BC7" s="191"/>
      <c r="BD7" s="213" t="s">
        <v>363</v>
      </c>
      <c r="BE7" s="198">
        <f>Matches!P39</f>
        <v>702.2</v>
      </c>
      <c r="BF7" s="198">
        <f>Matches!O39</f>
        <v>714.2</v>
      </c>
      <c r="BG7" s="198">
        <v>86</v>
      </c>
      <c r="BH7" s="188" t="s">
        <v>136</v>
      </c>
      <c r="BI7" s="188" t="s">
        <v>511</v>
      </c>
      <c r="BJ7" s="221">
        <v>45096</v>
      </c>
    </row>
    <row r="8" spans="1:62" x14ac:dyDescent="0.2">
      <c r="A8" s="205">
        <v>6</v>
      </c>
      <c r="B8" s="205" t="str">
        <f ca="1"/>
        <v>Seymour C</v>
      </c>
      <c r="C8" s="205">
        <f ca="1"/>
        <v>20</v>
      </c>
      <c r="D8" s="205">
        <f ca="1"/>
        <v>1</v>
      </c>
      <c r="E8" s="205">
        <f ca="1"/>
        <v>70</v>
      </c>
      <c r="F8" s="205">
        <f ca="1"/>
        <v>397</v>
      </c>
      <c r="G8" s="206">
        <f ca="1"/>
        <v>20.894736842105264</v>
      </c>
      <c r="I8" s="211">
        <v>6</v>
      </c>
      <c r="J8" s="207" t="e">
        <f ca="1"/>
        <v>#N/A</v>
      </c>
      <c r="K8" s="205" t="e">
        <f ca="1"/>
        <v>#N/A</v>
      </c>
      <c r="L8" s="208" t="e">
        <f ca="1"/>
        <v>#N/A</v>
      </c>
      <c r="M8" s="205" t="e">
        <f ca="1"/>
        <v>#N/A</v>
      </c>
      <c r="N8" s="205" t="e">
        <f ca="1"/>
        <v>#N/A</v>
      </c>
      <c r="O8" s="206" t="e">
        <f ca="1"/>
        <v>#N/A</v>
      </c>
      <c r="P8" s="209" t="e">
        <f ca="1"/>
        <v>#N/A</v>
      </c>
      <c r="Q8" s="209" t="e">
        <f ca="1"/>
        <v>#N/A</v>
      </c>
      <c r="R8" s="209" t="e">
        <f ca="1"/>
        <v>#N/A</v>
      </c>
      <c r="T8" s="191">
        <f ca="1"/>
        <v>3</v>
      </c>
      <c r="U8" s="191">
        <f ca="1"/>
        <v>138</v>
      </c>
      <c r="V8" s="192">
        <f ca="1"/>
        <v>0</v>
      </c>
      <c r="W8" s="191" t="str">
        <f ca="1"/>
        <v>Patel J</v>
      </c>
      <c r="X8" s="191">
        <f ca="1"/>
        <v>66</v>
      </c>
      <c r="Y8" s="192">
        <f ca="1"/>
        <v>0</v>
      </c>
      <c r="Z8" s="191" t="str">
        <f ca="1"/>
        <v>Ahmed R</v>
      </c>
      <c r="AA8" s="191">
        <f ca="1"/>
        <v>90</v>
      </c>
      <c r="AB8" s="192">
        <f ca="1"/>
        <v>0</v>
      </c>
      <c r="AC8" s="191" t="str">
        <f ca="1"/>
        <v>Merton Bears</v>
      </c>
      <c r="AD8" s="210">
        <f ca="1"/>
        <v>44703</v>
      </c>
      <c r="AE8" s="188">
        <v>3</v>
      </c>
      <c r="AF8" s="188" t="s">
        <v>280</v>
      </c>
      <c r="AG8" s="188" t="s">
        <v>222</v>
      </c>
      <c r="AI8" s="188">
        <v>1</v>
      </c>
      <c r="AJ8" s="188" t="s">
        <v>259</v>
      </c>
      <c r="AK8" s="191"/>
      <c r="AL8" s="188">
        <v>25</v>
      </c>
      <c r="AM8" s="188" t="s">
        <v>259</v>
      </c>
      <c r="AN8" s="191"/>
      <c r="AO8" s="188">
        <v>3</v>
      </c>
      <c r="AP8" s="188" t="s">
        <v>245</v>
      </c>
      <c r="AQ8" s="191"/>
      <c r="AR8" s="191">
        <v>2</v>
      </c>
      <c r="AS8" s="191" t="s">
        <v>206</v>
      </c>
      <c r="AT8" s="191"/>
      <c r="AU8" s="198">
        <v>12</v>
      </c>
      <c r="AV8" s="188" t="s">
        <v>324</v>
      </c>
      <c r="AW8" s="198">
        <v>4</v>
      </c>
      <c r="AX8" s="188" t="s">
        <v>201</v>
      </c>
      <c r="AY8" s="198">
        <v>1</v>
      </c>
      <c r="AZ8" s="188" t="s">
        <v>570</v>
      </c>
      <c r="BA8" s="198">
        <v>1</v>
      </c>
      <c r="BB8" s="188" t="s">
        <v>542</v>
      </c>
      <c r="BC8" s="191"/>
      <c r="BD8" s="213" t="s">
        <v>356</v>
      </c>
      <c r="BE8" s="198">
        <f>Matches!Y36</f>
        <v>347</v>
      </c>
      <c r="BF8" s="198">
        <f>Matches!Z36</f>
        <v>453</v>
      </c>
      <c r="BG8" s="198">
        <v>84</v>
      </c>
      <c r="BH8" s="188" t="s">
        <v>324</v>
      </c>
      <c r="BI8" s="188" t="s">
        <v>535</v>
      </c>
      <c r="BJ8" s="221">
        <v>45152</v>
      </c>
    </row>
    <row r="9" spans="1:62" x14ac:dyDescent="0.2">
      <c r="A9" s="205">
        <v>7</v>
      </c>
      <c r="B9" s="205" t="str">
        <f ca="1"/>
        <v>Springer T</v>
      </c>
      <c r="C9" s="205">
        <f ca="1"/>
        <v>17</v>
      </c>
      <c r="D9" s="205">
        <f ca="1"/>
        <v>2</v>
      </c>
      <c r="E9" s="205">
        <f ca="1"/>
        <v>64</v>
      </c>
      <c r="F9" s="205">
        <f ca="1"/>
        <v>304</v>
      </c>
      <c r="G9" s="206">
        <f ca="1"/>
        <v>20.266666666666666</v>
      </c>
      <c r="I9" s="191">
        <v>7</v>
      </c>
      <c r="J9" s="193" t="e">
        <f ca="1"/>
        <v>#N/A</v>
      </c>
      <c r="K9" s="194" t="e">
        <f ca="1"/>
        <v>#N/A</v>
      </c>
      <c r="L9" s="195" t="e">
        <f ca="1"/>
        <v>#N/A</v>
      </c>
      <c r="M9" s="194" t="e">
        <f ca="1"/>
        <v>#N/A</v>
      </c>
      <c r="N9" s="194" t="e">
        <f ca="1"/>
        <v>#N/A</v>
      </c>
      <c r="O9" s="196" t="e">
        <f ca="1"/>
        <v>#N/A</v>
      </c>
      <c r="P9" s="197" t="e">
        <f ca="1"/>
        <v>#N/A</v>
      </c>
      <c r="Q9" s="197" t="e">
        <f ca="1"/>
        <v>#N/A</v>
      </c>
      <c r="R9" s="197" t="e">
        <f ca="1"/>
        <v>#N/A</v>
      </c>
      <c r="T9" s="191">
        <f ca="1"/>
        <v>3</v>
      </c>
      <c r="U9" s="191">
        <f ca="1"/>
        <v>110</v>
      </c>
      <c r="V9" s="192">
        <f ca="1"/>
        <v>0</v>
      </c>
      <c r="W9" s="191" t="str">
        <f ca="1"/>
        <v>De S</v>
      </c>
      <c r="X9" s="191">
        <f ca="1"/>
        <v>84</v>
      </c>
      <c r="Y9" s="192">
        <f ca="1"/>
        <v>0</v>
      </c>
      <c r="Z9" s="191" t="str">
        <f ca="1"/>
        <v>Bhatt P</v>
      </c>
      <c r="AA9" s="191">
        <f ca="1"/>
        <v>32</v>
      </c>
      <c r="AB9" s="192">
        <f ca="1"/>
        <v>0</v>
      </c>
      <c r="AC9" s="191" t="str">
        <f ca="1"/>
        <v>Norwood Exiles</v>
      </c>
      <c r="AD9" s="210">
        <f ca="1"/>
        <v>44787</v>
      </c>
      <c r="AE9" s="188">
        <v>2</v>
      </c>
      <c r="AF9" s="194" t="s">
        <v>281</v>
      </c>
      <c r="AG9" s="191" t="s">
        <v>224</v>
      </c>
      <c r="AI9" s="188">
        <v>1</v>
      </c>
      <c r="AJ9" s="188" t="s">
        <v>307</v>
      </c>
      <c r="AK9" s="191"/>
      <c r="AL9" s="191">
        <v>22</v>
      </c>
      <c r="AM9" s="191" t="s">
        <v>302</v>
      </c>
      <c r="AN9" s="191"/>
      <c r="AO9" s="188">
        <v>3</v>
      </c>
      <c r="AP9" s="188" t="s">
        <v>259</v>
      </c>
      <c r="AQ9" s="191"/>
      <c r="AR9" s="188">
        <v>2</v>
      </c>
      <c r="AS9" s="188" t="s">
        <v>196</v>
      </c>
      <c r="AT9" s="191"/>
      <c r="AU9" s="198">
        <v>12</v>
      </c>
      <c r="AV9" s="188" t="s">
        <v>218</v>
      </c>
      <c r="AW9" s="198">
        <v>4</v>
      </c>
      <c r="AX9" s="188" t="s">
        <v>245</v>
      </c>
      <c r="AY9" s="198">
        <v>1</v>
      </c>
      <c r="AZ9" s="188" t="s">
        <v>273</v>
      </c>
      <c r="BA9" s="198">
        <v>1</v>
      </c>
      <c r="BB9" s="188" t="s">
        <v>307</v>
      </c>
      <c r="BC9" s="191"/>
      <c r="BD9" s="213" t="s">
        <v>360</v>
      </c>
      <c r="BE9" s="198">
        <f t="array" ref="BE9:BE12">TRANSPOSE(Matches!Q36:T36)</f>
        <v>140</v>
      </c>
      <c r="BF9" s="198">
        <f t="array" ref="BF9:BF12">TRANSPOSE(Matches!U36:X36)</f>
        <v>165</v>
      </c>
      <c r="BG9" s="198">
        <v>70</v>
      </c>
      <c r="BH9" s="188" t="s">
        <v>196</v>
      </c>
      <c r="BI9" s="188" t="s">
        <v>384</v>
      </c>
      <c r="BJ9" s="221">
        <v>45061</v>
      </c>
    </row>
    <row r="10" spans="1:62" x14ac:dyDescent="0.2">
      <c r="A10" s="205">
        <v>8</v>
      </c>
      <c r="B10" s="205" t="str">
        <f ca="1"/>
        <v>Bhatt P</v>
      </c>
      <c r="C10" s="205">
        <f ca="1"/>
        <v>12</v>
      </c>
      <c r="D10" s="205">
        <f ca="1"/>
        <v>2</v>
      </c>
      <c r="E10" s="205" t="str">
        <f ca="1"/>
        <v>43*</v>
      </c>
      <c r="F10" s="205">
        <f ca="1"/>
        <v>189</v>
      </c>
      <c r="G10" s="206">
        <f ca="1"/>
        <v>18.899999999999999</v>
      </c>
      <c r="I10" s="191">
        <v>8</v>
      </c>
      <c r="J10" s="193" t="e">
        <f ca="1"/>
        <v>#N/A</v>
      </c>
      <c r="K10" s="194" t="e">
        <f ca="1"/>
        <v>#N/A</v>
      </c>
      <c r="L10" s="195" t="e">
        <f ca="1"/>
        <v>#N/A</v>
      </c>
      <c r="M10" s="194" t="e">
        <f ca="1"/>
        <v>#N/A</v>
      </c>
      <c r="N10" s="194" t="e">
        <f ca="1"/>
        <v>#N/A</v>
      </c>
      <c r="O10" s="196" t="e">
        <f ca="1"/>
        <v>#N/A</v>
      </c>
      <c r="P10" s="197" t="e">
        <f ca="1"/>
        <v>#N/A</v>
      </c>
      <c r="Q10" s="197" t="e">
        <f ca="1"/>
        <v>#N/A</v>
      </c>
      <c r="R10" s="197" t="e">
        <f ca="1"/>
        <v>#N/A</v>
      </c>
      <c r="T10" s="191">
        <f ca="1"/>
        <v>3</v>
      </c>
      <c r="U10" s="191">
        <f ca="1"/>
        <v>54</v>
      </c>
      <c r="V10" s="192">
        <f ca="1"/>
        <v>0</v>
      </c>
      <c r="W10" s="191" t="str">
        <f ca="1"/>
        <v>Seymour D</v>
      </c>
      <c r="X10" s="191">
        <f ca="1"/>
        <v>29</v>
      </c>
      <c r="Y10" s="192">
        <f ca="1"/>
        <v>0</v>
      </c>
      <c r="Z10" s="191" t="str">
        <f ca="1"/>
        <v>Seymour C</v>
      </c>
      <c r="AA10" s="191">
        <f ca="1"/>
        <v>70</v>
      </c>
      <c r="AB10" s="192">
        <f ca="1"/>
        <v>0</v>
      </c>
      <c r="AC10" s="191" t="str">
        <f ca="1"/>
        <v>YRG Eagles</v>
      </c>
      <c r="AD10" s="210">
        <f ca="1"/>
        <v>44696</v>
      </c>
      <c r="AE10" s="188">
        <v>2</v>
      </c>
      <c r="AF10" s="194" t="s">
        <v>281</v>
      </c>
      <c r="AG10" s="191" t="s">
        <v>369</v>
      </c>
      <c r="AI10" s="191">
        <v>0</v>
      </c>
      <c r="AJ10" s="191" t="s">
        <v>194</v>
      </c>
      <c r="AK10" s="191"/>
      <c r="AL10" s="191">
        <v>20</v>
      </c>
      <c r="AM10" s="191" t="s">
        <v>235</v>
      </c>
      <c r="AN10" s="191"/>
      <c r="AO10" s="191">
        <v>2</v>
      </c>
      <c r="AP10" s="191" t="s">
        <v>432</v>
      </c>
      <c r="AQ10" s="191"/>
      <c r="AR10" s="191"/>
      <c r="AS10" s="191"/>
      <c r="AT10" s="191"/>
      <c r="AU10" s="198">
        <v>11</v>
      </c>
      <c r="AV10" s="188" t="s">
        <v>206</v>
      </c>
      <c r="AW10" s="198">
        <v>3</v>
      </c>
      <c r="AX10" s="188" t="s">
        <v>224</v>
      </c>
      <c r="AY10" s="198">
        <v>1</v>
      </c>
      <c r="AZ10" s="188" t="s">
        <v>187</v>
      </c>
      <c r="BA10" s="198">
        <v>1</v>
      </c>
      <c r="BB10" s="188" t="s">
        <v>522</v>
      </c>
      <c r="BC10" s="191"/>
      <c r="BD10" s="213" t="s">
        <v>359</v>
      </c>
      <c r="BE10" s="198">
        <v>35</v>
      </c>
      <c r="BF10" s="198">
        <v>77</v>
      </c>
      <c r="BG10" s="198" t="s">
        <v>727</v>
      </c>
      <c r="BH10" s="188" t="s">
        <v>136</v>
      </c>
      <c r="BI10" s="188" t="s">
        <v>551</v>
      </c>
      <c r="BJ10" s="221">
        <v>45110</v>
      </c>
    </row>
    <row r="11" spans="1:62" x14ac:dyDescent="0.2">
      <c r="A11" s="205">
        <v>9</v>
      </c>
      <c r="B11" s="205" t="str">
        <f ca="1"/>
        <v>Kogulathasan D</v>
      </c>
      <c r="C11" s="205">
        <f ca="1"/>
        <v>13</v>
      </c>
      <c r="D11" s="205">
        <f ca="1"/>
        <v>4</v>
      </c>
      <c r="E11" s="205" t="str">
        <f ca="1"/>
        <v>29*</v>
      </c>
      <c r="F11" s="205">
        <f ca="1"/>
        <v>138</v>
      </c>
      <c r="G11" s="206">
        <f ca="1"/>
        <v>15.333333333333334</v>
      </c>
      <c r="I11" s="191">
        <v>9</v>
      </c>
      <c r="J11" s="193" t="e">
        <f ca="1"/>
        <v>#N/A</v>
      </c>
      <c r="K11" s="194" t="e">
        <f ca="1"/>
        <v>#N/A</v>
      </c>
      <c r="L11" s="195" t="e">
        <f ca="1"/>
        <v>#N/A</v>
      </c>
      <c r="M11" s="194" t="e">
        <f ca="1"/>
        <v>#N/A</v>
      </c>
      <c r="N11" s="194" t="e">
        <f ca="1"/>
        <v>#N/A</v>
      </c>
      <c r="O11" s="196" t="e">
        <f ca="1"/>
        <v>#N/A</v>
      </c>
      <c r="P11" s="197" t="e">
        <f ca="1"/>
        <v>#N/A</v>
      </c>
      <c r="Q11" s="197" t="e">
        <f ca="1"/>
        <v>#N/A</v>
      </c>
      <c r="R11" s="197" t="e">
        <f ca="1"/>
        <v>#N/A</v>
      </c>
      <c r="T11" s="191">
        <f ca="1"/>
        <v>4</v>
      </c>
      <c r="U11" s="191">
        <f ca="1"/>
        <v>85</v>
      </c>
      <c r="V11" s="192">
        <f ca="1"/>
        <v>0</v>
      </c>
      <c r="W11" s="191" t="str">
        <f ca="1"/>
        <v>Seymour C</v>
      </c>
      <c r="X11" s="191">
        <f ca="1"/>
        <v>70</v>
      </c>
      <c r="Y11" s="192">
        <f ca="1"/>
        <v>0</v>
      </c>
      <c r="Z11" s="191" t="str">
        <f ca="1"/>
        <v>Bhatt P</v>
      </c>
      <c r="AA11" s="191">
        <f ca="1"/>
        <v>43</v>
      </c>
      <c r="AB11" s="192" t="str">
        <f ca="1"/>
        <v>*</v>
      </c>
      <c r="AC11" s="191" t="str">
        <f ca="1"/>
        <v>YRG Eagles</v>
      </c>
      <c r="AD11" s="210">
        <f ca="1"/>
        <v>44696</v>
      </c>
      <c r="AE11" s="188">
        <v>2</v>
      </c>
      <c r="AF11" s="194" t="s">
        <v>281</v>
      </c>
      <c r="AG11" s="191" t="s">
        <v>251</v>
      </c>
      <c r="AI11" s="191">
        <v>0</v>
      </c>
      <c r="AJ11" s="191" t="s">
        <v>194</v>
      </c>
      <c r="AK11" s="191"/>
      <c r="AL11" s="188">
        <v>19</v>
      </c>
      <c r="AM11" s="188" t="s">
        <v>245</v>
      </c>
      <c r="AN11" s="191"/>
      <c r="AO11" s="191">
        <v>2</v>
      </c>
      <c r="AP11" s="191" t="s">
        <v>302</v>
      </c>
      <c r="AQ11" s="191"/>
      <c r="AR11" s="191"/>
      <c r="AS11" s="191"/>
      <c r="AT11" s="191"/>
      <c r="AU11" s="198">
        <v>10</v>
      </c>
      <c r="AV11" s="188" t="s">
        <v>297</v>
      </c>
      <c r="AW11" s="198">
        <v>3</v>
      </c>
      <c r="AX11" s="188" t="s">
        <v>236</v>
      </c>
      <c r="AY11" s="198">
        <v>1</v>
      </c>
      <c r="AZ11" s="188" t="s">
        <v>161</v>
      </c>
      <c r="BA11" s="198">
        <v>1</v>
      </c>
      <c r="BB11" s="188" t="s">
        <v>414</v>
      </c>
      <c r="BC11" s="191"/>
      <c r="BD11" s="213" t="s">
        <v>357</v>
      </c>
      <c r="BE11" s="198">
        <v>110</v>
      </c>
      <c r="BF11" s="198">
        <v>170</v>
      </c>
      <c r="BG11" s="198">
        <v>67</v>
      </c>
      <c r="BH11" s="188" t="s">
        <v>307</v>
      </c>
      <c r="BI11" s="188" t="s">
        <v>290</v>
      </c>
      <c r="BJ11" s="221">
        <v>45089</v>
      </c>
    </row>
    <row r="12" spans="1:62" x14ac:dyDescent="0.2">
      <c r="A12" s="205">
        <v>10</v>
      </c>
      <c r="B12" s="205" t="str">
        <f ca="1"/>
        <v>Jenkins D</v>
      </c>
      <c r="C12" s="205">
        <f ca="1"/>
        <v>13</v>
      </c>
      <c r="D12" s="205">
        <f ca="1"/>
        <v>2</v>
      </c>
      <c r="E12" s="205">
        <f ca="1"/>
        <v>37</v>
      </c>
      <c r="F12" s="205">
        <f ca="1"/>
        <v>131</v>
      </c>
      <c r="G12" s="206">
        <f ca="1"/>
        <v>11.909090909090908</v>
      </c>
      <c r="I12" s="191">
        <v>10</v>
      </c>
      <c r="J12" s="193" t="e">
        <f ca="1"/>
        <v>#N/A</v>
      </c>
      <c r="K12" s="194" t="e">
        <f ca="1"/>
        <v>#N/A</v>
      </c>
      <c r="L12" s="195" t="e">
        <f ca="1"/>
        <v>#N/A</v>
      </c>
      <c r="M12" s="194" t="e">
        <f ca="1"/>
        <v>#N/A</v>
      </c>
      <c r="N12" s="194" t="e">
        <f ca="1"/>
        <v>#N/A</v>
      </c>
      <c r="O12" s="196" t="e">
        <f ca="1"/>
        <v>#N/A</v>
      </c>
      <c r="P12" s="197" t="e">
        <f ca="1"/>
        <v>#N/A</v>
      </c>
      <c r="Q12" s="197" t="e">
        <f ca="1"/>
        <v>#N/A</v>
      </c>
      <c r="R12" s="197" t="e">
        <f ca="1"/>
        <v>#N/A</v>
      </c>
      <c r="T12" s="191">
        <f ca="1"/>
        <v>5</v>
      </c>
      <c r="U12" s="191">
        <f ca="1"/>
        <v>48</v>
      </c>
      <c r="V12" s="192">
        <f ca="1"/>
        <v>0</v>
      </c>
      <c r="W12" s="191" t="str">
        <f ca="1"/>
        <v>Springer T</v>
      </c>
      <c r="X12" s="191">
        <f ca="1"/>
        <v>29</v>
      </c>
      <c r="Y12" s="192">
        <f ca="1"/>
        <v>0</v>
      </c>
      <c r="Z12" s="191" t="str">
        <f ca="1"/>
        <v>Seymour C</v>
      </c>
      <c r="AA12" s="191">
        <f ca="1"/>
        <v>36</v>
      </c>
      <c r="AB12" s="192" t="str">
        <f ca="1"/>
        <v>*</v>
      </c>
      <c r="AC12" s="191" t="str">
        <f ca="1"/>
        <v>Worcester Park</v>
      </c>
      <c r="AD12" s="210">
        <f ca="1"/>
        <v>44780</v>
      </c>
      <c r="AE12" s="188">
        <v>2</v>
      </c>
      <c r="AF12" s="188" t="s">
        <v>281</v>
      </c>
      <c r="AG12" s="188" t="s">
        <v>375</v>
      </c>
      <c r="AI12" s="191">
        <v>0</v>
      </c>
      <c r="AJ12" s="191" t="s">
        <v>194</v>
      </c>
      <c r="AK12" s="191"/>
      <c r="AL12" s="191">
        <v>14</v>
      </c>
      <c r="AM12" s="191" t="s">
        <v>251</v>
      </c>
      <c r="AN12" s="191"/>
      <c r="AO12" s="191">
        <v>1</v>
      </c>
      <c r="AP12" s="191" t="s">
        <v>587</v>
      </c>
      <c r="AQ12" s="191"/>
      <c r="AR12" s="191"/>
      <c r="AS12" s="191"/>
      <c r="AT12" s="191"/>
      <c r="BC12" s="191"/>
      <c r="BD12" s="213" t="s">
        <v>358</v>
      </c>
      <c r="BE12" s="198">
        <v>34</v>
      </c>
      <c r="BF12" s="198">
        <v>41</v>
      </c>
      <c r="BG12" s="198">
        <v>66</v>
      </c>
      <c r="BH12" s="188" t="s">
        <v>387</v>
      </c>
      <c r="BI12" s="188" t="s">
        <v>393</v>
      </c>
      <c r="BJ12" s="221">
        <v>45068</v>
      </c>
    </row>
    <row r="13" spans="1:62" x14ac:dyDescent="0.2">
      <c r="A13" s="205">
        <v>11</v>
      </c>
      <c r="B13" s="205" t="str">
        <f ca="1"/>
        <v>Ahmed M</v>
      </c>
      <c r="C13" s="205">
        <f ca="1"/>
        <v>7</v>
      </c>
      <c r="D13" s="205">
        <f ca="1"/>
        <v>2</v>
      </c>
      <c r="E13" s="205" t="str">
        <f ca="1"/>
        <v>22*</v>
      </c>
      <c r="F13" s="205">
        <f ca="1"/>
        <v>50</v>
      </c>
      <c r="G13" s="206">
        <f ca="1"/>
        <v>10</v>
      </c>
      <c r="I13" s="191">
        <v>11</v>
      </c>
      <c r="J13" s="193" t="e">
        <f ca="1"/>
        <v>#N/A</v>
      </c>
      <c r="K13" s="194" t="e">
        <f ca="1"/>
        <v>#N/A</v>
      </c>
      <c r="L13" s="195" t="e">
        <f ca="1"/>
        <v>#N/A</v>
      </c>
      <c r="M13" s="194" t="e">
        <f ca="1"/>
        <v>#N/A</v>
      </c>
      <c r="N13" s="194" t="e">
        <f ca="1"/>
        <v>#N/A</v>
      </c>
      <c r="O13" s="196" t="e">
        <f ca="1"/>
        <v>#N/A</v>
      </c>
      <c r="P13" s="197" t="e">
        <f ca="1"/>
        <v>#N/A</v>
      </c>
      <c r="Q13" s="197" t="e">
        <f ca="1"/>
        <v>#N/A</v>
      </c>
      <c r="R13" s="197" t="e">
        <f ca="1"/>
        <v>#N/A</v>
      </c>
      <c r="T13" s="191">
        <f ca="1"/>
        <v>6</v>
      </c>
      <c r="U13" s="191">
        <f ca="1"/>
        <v>102</v>
      </c>
      <c r="V13" s="192">
        <f ca="1"/>
        <v>0</v>
      </c>
      <c r="W13" s="191" t="str">
        <f ca="1"/>
        <v>De S</v>
      </c>
      <c r="X13" s="191">
        <f ca="1"/>
        <v>37</v>
      </c>
      <c r="Y13" s="192">
        <f ca="1"/>
        <v>0</v>
      </c>
      <c r="Z13" s="191" t="str">
        <f ca="1"/>
        <v>Mahmood S</v>
      </c>
      <c r="AA13" s="191">
        <f ca="1"/>
        <v>47</v>
      </c>
      <c r="AB13" s="192">
        <f ca="1"/>
        <v>0</v>
      </c>
      <c r="AC13" s="191" t="str">
        <f ca="1"/>
        <v>Morden</v>
      </c>
      <c r="AD13" s="210">
        <f ca="1"/>
        <v>44752</v>
      </c>
      <c r="AE13" s="188">
        <v>2</v>
      </c>
      <c r="AF13" s="188" t="s">
        <v>281</v>
      </c>
      <c r="AG13" s="188" t="s">
        <v>314</v>
      </c>
      <c r="AI13" s="191">
        <v>0</v>
      </c>
      <c r="AJ13" s="191" t="s">
        <v>194</v>
      </c>
      <c r="AK13" s="191"/>
      <c r="AL13" s="188">
        <v>11</v>
      </c>
      <c r="AM13" s="188" t="s">
        <v>236</v>
      </c>
      <c r="AN13" s="191"/>
      <c r="AO13" s="191">
        <v>1</v>
      </c>
      <c r="AP13" s="191" t="s">
        <v>299</v>
      </c>
      <c r="AQ13" s="191"/>
      <c r="AR13" s="191"/>
      <c r="AS13" s="191"/>
      <c r="AT13" s="191"/>
      <c r="BC13" s="191"/>
      <c r="BD13" s="213" t="s">
        <v>361</v>
      </c>
      <c r="BG13" s="198">
        <v>64</v>
      </c>
      <c r="BH13" s="188" t="s">
        <v>222</v>
      </c>
      <c r="BI13" s="188" t="s">
        <v>392</v>
      </c>
      <c r="BJ13" s="221">
        <v>45054</v>
      </c>
    </row>
    <row r="14" spans="1:62" x14ac:dyDescent="0.2">
      <c r="A14" s="205">
        <v>12</v>
      </c>
      <c r="B14" s="205" t="str">
        <f ca="1"/>
        <v>Patel M</v>
      </c>
      <c r="C14" s="205">
        <f ca="1"/>
        <v>12</v>
      </c>
      <c r="D14" s="205">
        <f ca="1"/>
        <v>0</v>
      </c>
      <c r="E14" s="205">
        <f ca="1"/>
        <v>19</v>
      </c>
      <c r="F14" s="205">
        <f ca="1"/>
        <v>82</v>
      </c>
      <c r="G14" s="206">
        <f ca="1"/>
        <v>6.833333333333333</v>
      </c>
      <c r="I14" s="191">
        <v>12</v>
      </c>
      <c r="J14" s="193" t="e">
        <f ca="1"/>
        <v>#N/A</v>
      </c>
      <c r="K14" s="194" t="e">
        <f ca="1"/>
        <v>#N/A</v>
      </c>
      <c r="L14" s="195" t="e">
        <f ca="1"/>
        <v>#N/A</v>
      </c>
      <c r="M14" s="194" t="e">
        <f ca="1"/>
        <v>#N/A</v>
      </c>
      <c r="N14" s="194" t="e">
        <f ca="1"/>
        <v>#N/A</v>
      </c>
      <c r="O14" s="196" t="e">
        <f ca="1"/>
        <v>#N/A</v>
      </c>
      <c r="P14" s="197" t="e">
        <f ca="1"/>
        <v>#N/A</v>
      </c>
      <c r="Q14" s="197" t="e">
        <f ca="1"/>
        <v>#N/A</v>
      </c>
      <c r="R14" s="197" t="e">
        <f ca="1"/>
        <v>#N/A</v>
      </c>
      <c r="T14" s="191">
        <f ca="1"/>
        <v>6</v>
      </c>
      <c r="U14" s="191">
        <f ca="1"/>
        <v>50</v>
      </c>
      <c r="V14" s="192">
        <f ca="1"/>
        <v>0</v>
      </c>
      <c r="W14" s="191" t="str">
        <f ca="1"/>
        <v>Seymour D</v>
      </c>
      <c r="X14" s="191">
        <f ca="1"/>
        <v>114</v>
      </c>
      <c r="Y14" s="192" t="str">
        <f ca="1"/>
        <v>*</v>
      </c>
      <c r="Z14" s="191" t="str">
        <f ca="1"/>
        <v>Sharpe D</v>
      </c>
      <c r="AA14" s="191">
        <f ca="1"/>
        <v>26</v>
      </c>
      <c r="AB14" s="192">
        <f ca="1"/>
        <v>0</v>
      </c>
      <c r="AC14" s="191" t="str">
        <f ca="1"/>
        <v>Riverside</v>
      </c>
      <c r="AD14" s="210">
        <f ca="1"/>
        <v>44682</v>
      </c>
      <c r="AE14" s="188">
        <v>1</v>
      </c>
      <c r="AF14" s="194" t="s">
        <v>279</v>
      </c>
      <c r="AG14" s="191" t="s">
        <v>235</v>
      </c>
      <c r="AI14" s="191">
        <v>0</v>
      </c>
      <c r="AJ14" s="191" t="s">
        <v>194</v>
      </c>
      <c r="AK14" s="191"/>
      <c r="AL14" s="191">
        <v>10</v>
      </c>
      <c r="AM14" s="191" t="s">
        <v>201</v>
      </c>
      <c r="AN14" s="191"/>
      <c r="AO14" s="191">
        <v>1</v>
      </c>
      <c r="AP14" s="191" t="s">
        <v>251</v>
      </c>
      <c r="AQ14" s="191"/>
      <c r="AR14" s="191"/>
      <c r="AS14" s="191"/>
      <c r="AT14" s="191"/>
      <c r="BC14" s="191"/>
      <c r="BD14" s="213" t="s">
        <v>362</v>
      </c>
      <c r="BG14" s="198">
        <v>52</v>
      </c>
      <c r="BH14" s="188" t="s">
        <v>387</v>
      </c>
      <c r="BI14" s="188" t="s">
        <v>583</v>
      </c>
      <c r="BJ14" s="221">
        <v>45194</v>
      </c>
    </row>
    <row r="15" spans="1:62" x14ac:dyDescent="0.2">
      <c r="A15" s="205">
        <v>13</v>
      </c>
      <c r="B15" s="205" t="str">
        <f ca="1"/>
        <v>Nair S</v>
      </c>
      <c r="C15" s="205">
        <f ca="1"/>
        <v>7</v>
      </c>
      <c r="D15" s="205">
        <f ca="1"/>
        <v>2</v>
      </c>
      <c r="E15" s="205" t="str">
        <f ca="1"/>
        <v>20*</v>
      </c>
      <c r="F15" s="205">
        <f ca="1"/>
        <v>31</v>
      </c>
      <c r="G15" s="206">
        <f ca="1"/>
        <v>6.2</v>
      </c>
      <c r="I15" s="191">
        <v>13</v>
      </c>
      <c r="J15" s="193" t="e">
        <f ca="1"/>
        <v>#N/A</v>
      </c>
      <c r="K15" s="194" t="e">
        <f ca="1"/>
        <v>#N/A</v>
      </c>
      <c r="L15" s="195" t="e">
        <f ca="1"/>
        <v>#N/A</v>
      </c>
      <c r="M15" s="194" t="e">
        <f ca="1"/>
        <v>#N/A</v>
      </c>
      <c r="N15" s="194" t="e">
        <f ca="1"/>
        <v>#N/A</v>
      </c>
      <c r="O15" s="196" t="e">
        <f ca="1"/>
        <v>#N/A</v>
      </c>
      <c r="P15" s="197" t="e">
        <f ca="1"/>
        <v>#N/A</v>
      </c>
      <c r="Q15" s="197" t="e">
        <f ca="1"/>
        <v>#N/A</v>
      </c>
      <c r="R15" s="197" t="e">
        <f ca="1"/>
        <v>#N/A</v>
      </c>
      <c r="T15" s="191">
        <f ca="1"/>
        <v>9</v>
      </c>
      <c r="U15" s="191">
        <f ca="1"/>
        <v>75</v>
      </c>
      <c r="V15" s="192" t="str">
        <f ca="1"/>
        <v>*</v>
      </c>
      <c r="W15" s="191" t="str">
        <f ca="1"/>
        <v>Bhatt P</v>
      </c>
      <c r="X15" s="191">
        <f ca="1"/>
        <v>35</v>
      </c>
      <c r="Y15" s="192" t="str">
        <f ca="1"/>
        <v>*</v>
      </c>
      <c r="Z15" s="191" t="str">
        <f ca="1"/>
        <v>Middleton J</v>
      </c>
      <c r="AA15" s="191">
        <f ca="1"/>
        <v>36</v>
      </c>
      <c r="AB15" s="192" t="str">
        <f ca="1"/>
        <v>*</v>
      </c>
      <c r="AC15" s="191" t="str">
        <f ca="1"/>
        <v>Morden</v>
      </c>
      <c r="AD15" s="210">
        <f ca="1"/>
        <v>44752</v>
      </c>
      <c r="AE15" s="188">
        <v>1</v>
      </c>
      <c r="AF15" s="194" t="s">
        <v>279</v>
      </c>
      <c r="AG15" s="191" t="s">
        <v>324</v>
      </c>
      <c r="AI15" s="191">
        <v>0</v>
      </c>
      <c r="AJ15" s="191" t="s">
        <v>194</v>
      </c>
      <c r="AK15" s="191"/>
      <c r="AL15" s="188">
        <v>10</v>
      </c>
      <c r="AM15" s="188" t="s">
        <v>375</v>
      </c>
      <c r="AN15" s="191"/>
      <c r="AO15" s="191">
        <v>1</v>
      </c>
      <c r="AP15" s="191" t="s">
        <v>575</v>
      </c>
      <c r="AQ15" s="191"/>
      <c r="AT15" s="191"/>
      <c r="BC15" s="191"/>
      <c r="BD15" s="191"/>
      <c r="BG15" s="198">
        <v>52</v>
      </c>
      <c r="BH15" s="188" t="s">
        <v>196</v>
      </c>
      <c r="BI15" s="188" t="s">
        <v>290</v>
      </c>
      <c r="BJ15" s="221">
        <v>45089</v>
      </c>
    </row>
    <row r="16" spans="1:62" x14ac:dyDescent="0.2">
      <c r="A16" s="205">
        <v>14</v>
      </c>
      <c r="B16" s="205" t="str">
        <f ca="1"/>
        <v>Sajjid K</v>
      </c>
      <c r="C16" s="205">
        <f ca="1"/>
        <v>9</v>
      </c>
      <c r="D16" s="205">
        <f ca="1"/>
        <v>6</v>
      </c>
      <c r="E16" s="205" t="str">
        <f ca="1"/>
        <v>6*</v>
      </c>
      <c r="F16" s="205">
        <f ca="1"/>
        <v>16</v>
      </c>
      <c r="G16" s="206">
        <f ca="1"/>
        <v>5.333333333333333</v>
      </c>
      <c r="I16" s="191">
        <v>14</v>
      </c>
      <c r="J16" s="193" t="e">
        <f ca="1"/>
        <v>#N/A</v>
      </c>
      <c r="K16" s="194" t="e">
        <f ca="1"/>
        <v>#N/A</v>
      </c>
      <c r="L16" s="195" t="e">
        <f ca="1"/>
        <v>#N/A</v>
      </c>
      <c r="M16" s="194" t="e">
        <f ca="1"/>
        <v>#N/A</v>
      </c>
      <c r="N16" s="194" t="e">
        <f ca="1"/>
        <v>#N/A</v>
      </c>
      <c r="O16" s="196" t="e">
        <f ca="1"/>
        <v>#N/A</v>
      </c>
      <c r="P16" s="197" t="e">
        <f ca="1"/>
        <v>#N/A</v>
      </c>
      <c r="Q16" s="197" t="e">
        <f ca="1"/>
        <v>#N/A</v>
      </c>
      <c r="R16" s="197" t="e">
        <f ca="1"/>
        <v>#N/A</v>
      </c>
      <c r="T16" s="191">
        <f ca="1"/>
        <v>9</v>
      </c>
      <c r="U16" s="191">
        <f ca="1"/>
        <v>64</v>
      </c>
      <c r="V16" s="192">
        <f ca="1"/>
        <v>0</v>
      </c>
      <c r="W16" s="191" t="str">
        <f ca="1"/>
        <v>Sharpe D</v>
      </c>
      <c r="X16" s="191">
        <f ca="1"/>
        <v>86</v>
      </c>
      <c r="Y16" s="192">
        <f ca="1"/>
        <v>0</v>
      </c>
      <c r="Z16" s="191" t="str">
        <f ca="1"/>
        <v>Turner R</v>
      </c>
      <c r="AA16" s="191">
        <f ca="1"/>
        <v>16</v>
      </c>
      <c r="AB16" s="192" t="str">
        <f ca="1"/>
        <v>*</v>
      </c>
      <c r="AC16" s="191" t="str">
        <f ca="1"/>
        <v>Richmond Legbreakers</v>
      </c>
      <c r="AD16" s="210">
        <f ca="1"/>
        <v>44731</v>
      </c>
      <c r="AE16" s="188">
        <v>1</v>
      </c>
      <c r="AF16" s="188" t="s">
        <v>279</v>
      </c>
      <c r="AG16" s="188" t="s">
        <v>575</v>
      </c>
      <c r="AI16" s="191">
        <v>0</v>
      </c>
      <c r="AJ16" s="191" t="s">
        <v>194</v>
      </c>
      <c r="AK16" s="191"/>
      <c r="AL16" s="188">
        <v>8</v>
      </c>
      <c r="AM16" s="188" t="s">
        <v>307</v>
      </c>
      <c r="AN16" s="191"/>
      <c r="AO16" s="191">
        <v>1</v>
      </c>
      <c r="AP16" s="191" t="s">
        <v>201</v>
      </c>
      <c r="AQ16" s="191"/>
      <c r="AT16" s="191"/>
      <c r="BC16" s="191"/>
      <c r="BD16" s="191"/>
      <c r="BG16" s="198" t="s">
        <v>726</v>
      </c>
      <c r="BH16" s="188" t="s">
        <v>324</v>
      </c>
      <c r="BI16" s="188" t="s">
        <v>269</v>
      </c>
      <c r="BJ16" s="221">
        <v>45040</v>
      </c>
    </row>
    <row r="17" spans="1:56" x14ac:dyDescent="0.2">
      <c r="A17" s="205">
        <v>15</v>
      </c>
      <c r="B17" s="205" t="str">
        <f ca="1"/>
        <v>Jain A</v>
      </c>
      <c r="C17" s="205">
        <f ca="1"/>
        <v>6</v>
      </c>
      <c r="D17" s="205">
        <f ca="1"/>
        <v>1</v>
      </c>
      <c r="E17" s="205" t="str">
        <f ca="1"/>
        <v>9*</v>
      </c>
      <c r="F17" s="205">
        <f ca="1"/>
        <v>22</v>
      </c>
      <c r="G17" s="206">
        <f ca="1"/>
        <v>4.4000000000000004</v>
      </c>
      <c r="I17" s="191">
        <v>15</v>
      </c>
      <c r="J17" s="193" t="e">
        <f ca="1"/>
        <v>#N/A</v>
      </c>
      <c r="K17" s="194" t="e">
        <f ca="1"/>
        <v>#N/A</v>
      </c>
      <c r="L17" s="195" t="e">
        <f ca="1"/>
        <v>#N/A</v>
      </c>
      <c r="M17" s="194" t="e">
        <f ca="1"/>
        <v>#N/A</v>
      </c>
      <c r="N17" s="194" t="e">
        <f ca="1"/>
        <v>#N/A</v>
      </c>
      <c r="O17" s="196" t="e">
        <f ca="1"/>
        <v>#N/A</v>
      </c>
      <c r="P17" s="197" t="e">
        <f ca="1"/>
        <v>#N/A</v>
      </c>
      <c r="Q17" s="197" t="e">
        <f ca="1"/>
        <v>#N/A</v>
      </c>
      <c r="R17" s="197" t="e">
        <f ca="1"/>
        <v>#N/A</v>
      </c>
      <c r="T17" s="191">
        <f ca="1"/>
        <v>9</v>
      </c>
      <c r="U17" s="191">
        <f ca="1"/>
        <v>58</v>
      </c>
      <c r="V17" s="192">
        <f ca="1"/>
        <v>0</v>
      </c>
      <c r="W17" s="191" t="str">
        <f ca="1"/>
        <v>Seymour D</v>
      </c>
      <c r="X17" s="191">
        <f ca="1"/>
        <v>114</v>
      </c>
      <c r="Y17" s="192" t="str">
        <f ca="1"/>
        <v>*</v>
      </c>
      <c r="Z17" s="191" t="str">
        <f ca="1"/>
        <v>Bhatt P</v>
      </c>
      <c r="AA17" s="191">
        <f ca="1"/>
        <v>11</v>
      </c>
      <c r="AB17" s="192">
        <f ca="1"/>
        <v>0</v>
      </c>
      <c r="AC17" s="191" t="str">
        <f ca="1"/>
        <v>Riverside</v>
      </c>
      <c r="AD17" s="210">
        <f ca="1"/>
        <v>44682</v>
      </c>
      <c r="AE17" s="188">
        <v>1</v>
      </c>
      <c r="AF17" s="188" t="s">
        <v>279</v>
      </c>
      <c r="AG17" s="188" t="s">
        <v>218</v>
      </c>
      <c r="AI17" s="191">
        <v>0</v>
      </c>
      <c r="AJ17" s="191" t="s">
        <v>194</v>
      </c>
      <c r="AK17" s="191"/>
      <c r="AL17" s="191">
        <v>7</v>
      </c>
      <c r="AM17" s="191" t="s">
        <v>299</v>
      </c>
      <c r="AN17" s="191"/>
      <c r="AO17" s="188">
        <v>1</v>
      </c>
      <c r="AP17" s="188" t="s">
        <v>307</v>
      </c>
      <c r="AQ17" s="191"/>
      <c r="AT17" s="191"/>
      <c r="BC17" s="191"/>
      <c r="BD17" s="191"/>
    </row>
    <row r="18" spans="1:56" x14ac:dyDescent="0.2">
      <c r="A18" s="205">
        <v>16</v>
      </c>
      <c r="B18" s="205" t="e">
        <f ca="1"/>
        <v>#N/A</v>
      </c>
      <c r="C18" s="205" t="e">
        <f ca="1"/>
        <v>#N/A</v>
      </c>
      <c r="D18" s="205" t="e">
        <f ca="1"/>
        <v>#N/A</v>
      </c>
      <c r="E18" s="205" t="e">
        <f ca="1"/>
        <v>#N/A</v>
      </c>
      <c r="F18" s="205" t="e">
        <f ca="1"/>
        <v>#N/A</v>
      </c>
      <c r="G18" s="206" t="e">
        <f ca="1"/>
        <v>#N/A</v>
      </c>
      <c r="I18" s="191">
        <v>16</v>
      </c>
      <c r="J18" s="193" t="e">
        <f ca="1"/>
        <v>#N/A</v>
      </c>
      <c r="K18" s="194" t="e">
        <f ca="1"/>
        <v>#N/A</v>
      </c>
      <c r="L18" s="195" t="e">
        <f ca="1"/>
        <v>#N/A</v>
      </c>
      <c r="M18" s="194" t="e">
        <f ca="1"/>
        <v>#N/A</v>
      </c>
      <c r="N18" s="194" t="e">
        <f ca="1"/>
        <v>#N/A</v>
      </c>
      <c r="O18" s="196" t="e">
        <f ca="1"/>
        <v>#N/A</v>
      </c>
      <c r="P18" s="197" t="e">
        <f ca="1"/>
        <v>#N/A</v>
      </c>
      <c r="Q18" s="197" t="e">
        <f ca="1"/>
        <v>#N/A</v>
      </c>
      <c r="R18" s="197" t="e">
        <f ca="1"/>
        <v>#N/A</v>
      </c>
      <c r="T18" s="191">
        <f ca="1"/>
        <v>9</v>
      </c>
      <c r="U18" s="191">
        <f ca="1"/>
        <v>43</v>
      </c>
      <c r="V18" s="192" t="str">
        <f ca="1"/>
        <v>*</v>
      </c>
      <c r="W18" s="191" t="str">
        <f ca="1"/>
        <v>De S</v>
      </c>
      <c r="X18" s="191">
        <f ca="1"/>
        <v>50</v>
      </c>
      <c r="Y18" s="192" t="str">
        <f ca="1"/>
        <v>*</v>
      </c>
      <c r="Z18" s="191" t="str">
        <f ca="1"/>
        <v>Jain A</v>
      </c>
      <c r="AA18" s="191">
        <f ca="1"/>
        <v>9</v>
      </c>
      <c r="AB18" s="192" t="str">
        <f ca="1"/>
        <v>*</v>
      </c>
      <c r="AC18" s="191" t="str">
        <f ca="1"/>
        <v>Worcester Park</v>
      </c>
      <c r="AD18" s="210">
        <f ca="1"/>
        <v>44675</v>
      </c>
      <c r="AE18" s="188">
        <v>1</v>
      </c>
      <c r="AF18" s="188" t="s">
        <v>279</v>
      </c>
      <c r="AG18" s="188" t="s">
        <v>632</v>
      </c>
      <c r="AI18" s="191">
        <v>0</v>
      </c>
      <c r="AJ18" s="191" t="s">
        <v>194</v>
      </c>
      <c r="AK18" s="191"/>
      <c r="AL18" s="191">
        <v>6</v>
      </c>
      <c r="AM18" s="191" t="s">
        <v>575</v>
      </c>
      <c r="AN18" s="191"/>
      <c r="AO18" s="188">
        <v>1</v>
      </c>
      <c r="AP18" s="188" t="s">
        <v>236</v>
      </c>
      <c r="AQ18" s="191"/>
      <c r="AR18" s="191"/>
      <c r="AS18" s="191"/>
      <c r="AT18" s="191"/>
      <c r="BC18" s="191"/>
      <c r="BD18" s="191"/>
    </row>
    <row r="19" spans="1:56" x14ac:dyDescent="0.2">
      <c r="A19" s="205">
        <v>17</v>
      </c>
      <c r="B19" s="205" t="e">
        <f ca="1"/>
        <v>#N/A</v>
      </c>
      <c r="C19" s="205" t="e">
        <f ca="1"/>
        <v>#N/A</v>
      </c>
      <c r="D19" s="205" t="e">
        <f ca="1"/>
        <v>#N/A</v>
      </c>
      <c r="E19" s="205" t="e">
        <f ca="1"/>
        <v>#N/A</v>
      </c>
      <c r="F19" s="205" t="e">
        <f ca="1"/>
        <v>#N/A</v>
      </c>
      <c r="G19" s="206" t="e">
        <f ca="1"/>
        <v>#N/A</v>
      </c>
      <c r="I19" s="191">
        <v>17</v>
      </c>
      <c r="J19" s="193" t="e">
        <f ca="1"/>
        <v>#N/A</v>
      </c>
      <c r="K19" s="194" t="e">
        <f ca="1"/>
        <v>#N/A</v>
      </c>
      <c r="L19" s="195" t="e">
        <f ca="1"/>
        <v>#N/A</v>
      </c>
      <c r="M19" s="194" t="e">
        <f ca="1"/>
        <v>#N/A</v>
      </c>
      <c r="N19" s="194" t="e">
        <f ca="1"/>
        <v>#N/A</v>
      </c>
      <c r="O19" s="196" t="e">
        <f ca="1"/>
        <v>#N/A</v>
      </c>
      <c r="P19" s="197" t="e">
        <f ca="1"/>
        <v>#N/A</v>
      </c>
      <c r="Q19" s="197" t="e">
        <f ca="1"/>
        <v>#N/A</v>
      </c>
      <c r="R19" s="197" t="e">
        <f ca="1"/>
        <v>#N/A</v>
      </c>
      <c r="T19" s="191" t="e">
        <f ca="1"/>
        <v>#N/A</v>
      </c>
      <c r="U19" s="191" t="e">
        <f ca="1"/>
        <v>#N/A</v>
      </c>
      <c r="V19" s="192" t="e">
        <f ca="1"/>
        <v>#N/A</v>
      </c>
      <c r="W19" s="191" t="e">
        <f ca="1"/>
        <v>#N/A</v>
      </c>
      <c r="X19" s="191" t="e">
        <f ca="1"/>
        <v>#N/A</v>
      </c>
      <c r="Y19" s="192" t="e">
        <f ca="1"/>
        <v>#N/A</v>
      </c>
      <c r="Z19" s="191" t="e">
        <f ca="1"/>
        <v>#N/A</v>
      </c>
      <c r="AA19" s="191" t="e">
        <f ca="1"/>
        <v>#N/A</v>
      </c>
      <c r="AB19" s="192" t="e">
        <f ca="1"/>
        <v>#N/A</v>
      </c>
      <c r="AC19" s="191" t="e">
        <f ca="1"/>
        <v>#N/A</v>
      </c>
      <c r="AD19" s="210" t="e">
        <f ca="1"/>
        <v>#N/A</v>
      </c>
      <c r="AE19" s="188">
        <v>1</v>
      </c>
      <c r="AF19" s="188" t="s">
        <v>279</v>
      </c>
      <c r="AG19" s="188" t="s">
        <v>201</v>
      </c>
      <c r="AI19" s="191">
        <v>0</v>
      </c>
      <c r="AJ19" s="191" t="s">
        <v>194</v>
      </c>
      <c r="AK19" s="191"/>
      <c r="AL19" s="191">
        <v>5</v>
      </c>
      <c r="AM19" s="191" t="s">
        <v>587</v>
      </c>
      <c r="AN19" s="191"/>
      <c r="AO19" s="191">
        <v>0</v>
      </c>
      <c r="AP19" s="191" t="s">
        <v>194</v>
      </c>
      <c r="AQ19" s="191"/>
      <c r="AR19" s="191"/>
      <c r="AS19" s="191"/>
      <c r="AT19" s="191"/>
      <c r="BC19" s="191"/>
      <c r="BD19" s="191"/>
    </row>
    <row r="20" spans="1:56" x14ac:dyDescent="0.2">
      <c r="A20" s="194">
        <v>18</v>
      </c>
      <c r="B20" s="194" t="e">
        <f ca="1"/>
        <v>#N/A</v>
      </c>
      <c r="C20" s="194" t="e">
        <f ca="1"/>
        <v>#N/A</v>
      </c>
      <c r="D20" s="194" t="e">
        <f ca="1"/>
        <v>#N/A</v>
      </c>
      <c r="E20" s="194" t="e">
        <f ca="1"/>
        <v>#N/A</v>
      </c>
      <c r="F20" s="194" t="e">
        <f ca="1"/>
        <v>#N/A</v>
      </c>
      <c r="G20" s="196" t="e">
        <f ca="1"/>
        <v>#N/A</v>
      </c>
      <c r="I20" s="191">
        <v>18</v>
      </c>
      <c r="J20" s="193" t="e">
        <f ca="1"/>
        <v>#N/A</v>
      </c>
      <c r="K20" s="194" t="e">
        <f ca="1"/>
        <v>#N/A</v>
      </c>
      <c r="L20" s="195" t="e">
        <f ca="1"/>
        <v>#N/A</v>
      </c>
      <c r="M20" s="194" t="e">
        <f ca="1"/>
        <v>#N/A</v>
      </c>
      <c r="N20" s="194" t="e">
        <f ca="1"/>
        <v>#N/A</v>
      </c>
      <c r="O20" s="196" t="e">
        <f ca="1"/>
        <v>#N/A</v>
      </c>
      <c r="P20" s="197" t="e">
        <f ca="1"/>
        <v>#N/A</v>
      </c>
      <c r="Q20" s="197" t="e">
        <f ca="1"/>
        <v>#N/A</v>
      </c>
      <c r="R20" s="197" t="e">
        <f ca="1"/>
        <v>#N/A</v>
      </c>
      <c r="T20" s="191" t="e">
        <f ca="1"/>
        <v>#N/A</v>
      </c>
      <c r="U20" s="191" t="e">
        <f ca="1"/>
        <v>#N/A</v>
      </c>
      <c r="V20" s="192" t="e">
        <f ca="1"/>
        <v>#N/A</v>
      </c>
      <c r="W20" s="191" t="e">
        <f ca="1"/>
        <v>#N/A</v>
      </c>
      <c r="X20" s="191" t="e">
        <f ca="1"/>
        <v>#N/A</v>
      </c>
      <c r="Y20" s="192" t="e">
        <f ca="1"/>
        <v>#N/A</v>
      </c>
      <c r="Z20" s="191" t="e">
        <f ca="1"/>
        <v>#N/A</v>
      </c>
      <c r="AA20" s="191" t="e">
        <f ca="1"/>
        <v>#N/A</v>
      </c>
      <c r="AB20" s="192" t="e">
        <f ca="1"/>
        <v>#N/A</v>
      </c>
      <c r="AC20" s="191" t="e">
        <f ca="1"/>
        <v>#N/A</v>
      </c>
      <c r="AD20" s="210" t="e">
        <f ca="1"/>
        <v>#N/A</v>
      </c>
      <c r="AE20" s="188">
        <v>1</v>
      </c>
      <c r="AF20" s="188" t="s">
        <v>752</v>
      </c>
      <c r="AG20" s="188" t="s">
        <v>245</v>
      </c>
      <c r="AI20" s="191">
        <v>0</v>
      </c>
      <c r="AJ20" s="191" t="s">
        <v>194</v>
      </c>
      <c r="AK20" s="191"/>
      <c r="AL20" s="191">
        <v>4</v>
      </c>
      <c r="AM20" s="191" t="s">
        <v>263</v>
      </c>
      <c r="AN20" s="191"/>
      <c r="AO20" s="191">
        <v>0</v>
      </c>
      <c r="AP20" s="191" t="s">
        <v>194</v>
      </c>
      <c r="AQ20" s="191"/>
      <c r="AR20" s="191"/>
      <c r="AS20" s="191"/>
      <c r="AT20" s="191"/>
      <c r="BC20" s="191"/>
      <c r="BD20" s="191"/>
    </row>
    <row r="21" spans="1:56" x14ac:dyDescent="0.2">
      <c r="A21" s="194">
        <v>19</v>
      </c>
      <c r="B21" s="194" t="e">
        <f ca="1"/>
        <v>#N/A</v>
      </c>
      <c r="C21" s="194" t="e">
        <f ca="1"/>
        <v>#N/A</v>
      </c>
      <c r="D21" s="194" t="e">
        <f ca="1"/>
        <v>#N/A</v>
      </c>
      <c r="E21" s="194" t="e">
        <f ca="1"/>
        <v>#N/A</v>
      </c>
      <c r="F21" s="194" t="e">
        <f ca="1"/>
        <v>#N/A</v>
      </c>
      <c r="G21" s="196" t="e">
        <f ca="1"/>
        <v>#N/A</v>
      </c>
      <c r="I21" s="191">
        <v>19</v>
      </c>
      <c r="J21" s="193" t="e">
        <f ca="1"/>
        <v>#N/A</v>
      </c>
      <c r="K21" s="194" t="e">
        <f ca="1"/>
        <v>#N/A</v>
      </c>
      <c r="L21" s="195" t="e">
        <f ca="1"/>
        <v>#N/A</v>
      </c>
      <c r="M21" s="194" t="e">
        <f ca="1"/>
        <v>#N/A</v>
      </c>
      <c r="N21" s="194" t="e">
        <f ca="1"/>
        <v>#N/A</v>
      </c>
      <c r="O21" s="196" t="e">
        <f ca="1"/>
        <v>#N/A</v>
      </c>
      <c r="P21" s="197" t="e">
        <f ca="1"/>
        <v>#N/A</v>
      </c>
      <c r="Q21" s="197" t="e">
        <f ca="1"/>
        <v>#N/A</v>
      </c>
      <c r="R21" s="197" t="e">
        <f ca="1"/>
        <v>#N/A</v>
      </c>
      <c r="T21" s="191" t="e">
        <f ca="1"/>
        <v>#N/A</v>
      </c>
      <c r="U21" s="191" t="e">
        <f ca="1"/>
        <v>#N/A</v>
      </c>
      <c r="V21" s="192" t="e">
        <f ca="1"/>
        <v>#N/A</v>
      </c>
      <c r="W21" s="191" t="e">
        <f ca="1"/>
        <v>#N/A</v>
      </c>
      <c r="X21" s="191" t="e">
        <f ca="1"/>
        <v>#N/A</v>
      </c>
      <c r="Y21" s="192" t="e">
        <f ca="1"/>
        <v>#N/A</v>
      </c>
      <c r="Z21" s="191" t="e">
        <f ca="1"/>
        <v>#N/A</v>
      </c>
      <c r="AA21" s="191" t="e">
        <f ca="1"/>
        <v>#N/A</v>
      </c>
      <c r="AB21" s="192" t="e">
        <f ca="1"/>
        <v>#N/A</v>
      </c>
      <c r="AC21" s="191" t="e">
        <f ca="1"/>
        <v>#N/A</v>
      </c>
      <c r="AD21" s="210" t="e">
        <f ca="1"/>
        <v>#N/A</v>
      </c>
      <c r="AE21" s="188">
        <v>1</v>
      </c>
      <c r="AF21" s="188" t="s">
        <v>279</v>
      </c>
      <c r="AG21" s="188" t="s">
        <v>307</v>
      </c>
      <c r="AI21" s="191">
        <v>0</v>
      </c>
      <c r="AJ21" s="191" t="s">
        <v>194</v>
      </c>
      <c r="AK21" s="191"/>
      <c r="AL21" s="191">
        <v>4</v>
      </c>
      <c r="AM21" s="191" t="s">
        <v>218</v>
      </c>
      <c r="AN21" s="191"/>
      <c r="AO21" s="191">
        <v>0</v>
      </c>
      <c r="AP21" s="191" t="s">
        <v>194</v>
      </c>
      <c r="AQ21" s="191"/>
      <c r="AR21" s="191"/>
      <c r="AS21" s="191"/>
      <c r="AT21" s="191"/>
      <c r="BC21" s="191"/>
      <c r="BD21" s="191"/>
    </row>
    <row r="22" spans="1:56" x14ac:dyDescent="0.2">
      <c r="A22" s="194">
        <v>20</v>
      </c>
      <c r="B22" s="194" t="e">
        <f ca="1"/>
        <v>#N/A</v>
      </c>
      <c r="C22" s="194" t="e">
        <f ca="1"/>
        <v>#N/A</v>
      </c>
      <c r="D22" s="194" t="e">
        <f ca="1"/>
        <v>#N/A</v>
      </c>
      <c r="E22" s="194" t="e">
        <f ca="1"/>
        <v>#N/A</v>
      </c>
      <c r="F22" s="194" t="e">
        <f ca="1"/>
        <v>#N/A</v>
      </c>
      <c r="G22" s="196" t="e">
        <f ca="1"/>
        <v>#N/A</v>
      </c>
      <c r="I22" s="191">
        <v>20</v>
      </c>
      <c r="J22" s="193" t="e">
        <f ca="1"/>
        <v>#N/A</v>
      </c>
      <c r="K22" s="194" t="e">
        <f ca="1"/>
        <v>#N/A</v>
      </c>
      <c r="L22" s="195" t="e">
        <f ca="1"/>
        <v>#N/A</v>
      </c>
      <c r="M22" s="194" t="e">
        <f ca="1"/>
        <v>#N/A</v>
      </c>
      <c r="N22" s="194" t="e">
        <f ca="1"/>
        <v>#N/A</v>
      </c>
      <c r="O22" s="196" t="e">
        <f ca="1"/>
        <v>#N/A</v>
      </c>
      <c r="P22" s="197" t="e">
        <f ca="1"/>
        <v>#N/A</v>
      </c>
      <c r="Q22" s="197" t="e">
        <f ca="1"/>
        <v>#N/A</v>
      </c>
      <c r="R22" s="197" t="e">
        <f ca="1"/>
        <v>#N/A</v>
      </c>
      <c r="T22" s="191" t="e">
        <f ca="1"/>
        <v>#N/A</v>
      </c>
      <c r="U22" s="191" t="e">
        <f ca="1"/>
        <v>#N/A</v>
      </c>
      <c r="V22" s="192" t="e">
        <f ca="1"/>
        <v>#N/A</v>
      </c>
      <c r="W22" s="191" t="e">
        <f ca="1"/>
        <v>#N/A</v>
      </c>
      <c r="X22" s="191" t="e">
        <f ca="1"/>
        <v>#N/A</v>
      </c>
      <c r="Y22" s="192" t="e">
        <f ca="1"/>
        <v>#N/A</v>
      </c>
      <c r="Z22" s="191" t="e">
        <f ca="1"/>
        <v>#N/A</v>
      </c>
      <c r="AA22" s="191" t="e">
        <f ca="1"/>
        <v>#N/A</v>
      </c>
      <c r="AB22" s="192" t="e">
        <f ca="1"/>
        <v>#N/A</v>
      </c>
      <c r="AC22" s="191" t="e">
        <f ca="1"/>
        <v>#N/A</v>
      </c>
      <c r="AD22" s="210" t="e">
        <f ca="1"/>
        <v>#N/A</v>
      </c>
      <c r="AE22" s="188">
        <v>0</v>
      </c>
      <c r="AF22" s="194" t="s">
        <v>194</v>
      </c>
      <c r="AG22" s="191" t="s">
        <v>194</v>
      </c>
      <c r="AI22" s="191">
        <v>0</v>
      </c>
      <c r="AJ22" s="191" t="s">
        <v>194</v>
      </c>
      <c r="AK22" s="191"/>
      <c r="AL22" s="191">
        <v>4</v>
      </c>
      <c r="AM22" s="191" t="s">
        <v>206</v>
      </c>
      <c r="AN22" s="191"/>
      <c r="AO22" s="191">
        <v>0</v>
      </c>
      <c r="AP22" s="191" t="s">
        <v>194</v>
      </c>
      <c r="AQ22" s="191"/>
      <c r="AR22" s="191"/>
      <c r="AS22" s="191"/>
      <c r="AT22" s="191"/>
      <c r="AY22" s="194"/>
      <c r="AZ22" s="191"/>
      <c r="BA22" s="194"/>
      <c r="BB22" s="191"/>
      <c r="BC22" s="191"/>
      <c r="BD22" s="191"/>
    </row>
    <row r="23" spans="1:56" x14ac:dyDescent="0.2">
      <c r="A23" s="194">
        <v>21</v>
      </c>
      <c r="B23" s="194" t="e">
        <f ca="1"/>
        <v>#N/A</v>
      </c>
      <c r="C23" s="194" t="e">
        <f ca="1"/>
        <v>#N/A</v>
      </c>
      <c r="D23" s="194" t="e">
        <f ca="1"/>
        <v>#N/A</v>
      </c>
      <c r="E23" s="194" t="e">
        <f ca="1"/>
        <v>#N/A</v>
      </c>
      <c r="F23" s="194" t="e">
        <f ca="1"/>
        <v>#N/A</v>
      </c>
      <c r="G23" s="196" t="e">
        <f ca="1"/>
        <v>#N/A</v>
      </c>
      <c r="I23" s="191">
        <v>21</v>
      </c>
      <c r="J23" s="193" t="e">
        <f ca="1"/>
        <v>#N/A</v>
      </c>
      <c r="K23" s="194" t="e">
        <f ca="1"/>
        <v>#N/A</v>
      </c>
      <c r="L23" s="195" t="e">
        <f ca="1"/>
        <v>#N/A</v>
      </c>
      <c r="M23" s="194" t="e">
        <f ca="1"/>
        <v>#N/A</v>
      </c>
      <c r="N23" s="194" t="e">
        <f ca="1"/>
        <v>#N/A</v>
      </c>
      <c r="O23" s="196" t="e">
        <f ca="1"/>
        <v>#N/A</v>
      </c>
      <c r="P23" s="197" t="e">
        <f ca="1"/>
        <v>#N/A</v>
      </c>
      <c r="Q23" s="197" t="e">
        <f ca="1"/>
        <v>#N/A</v>
      </c>
      <c r="R23" s="197" t="e">
        <f ca="1"/>
        <v>#N/A</v>
      </c>
      <c r="T23" s="191" t="e">
        <f ca="1"/>
        <v>#N/A</v>
      </c>
      <c r="U23" s="191" t="e">
        <f ca="1"/>
        <v>#N/A</v>
      </c>
      <c r="V23" s="192" t="e">
        <f ca="1"/>
        <v>#N/A</v>
      </c>
      <c r="W23" s="191" t="e">
        <f ca="1"/>
        <v>#N/A</v>
      </c>
      <c r="X23" s="191" t="e">
        <f ca="1"/>
        <v>#N/A</v>
      </c>
      <c r="Y23" s="192" t="e">
        <f ca="1"/>
        <v>#N/A</v>
      </c>
      <c r="Z23" s="191" t="e">
        <f ca="1"/>
        <v>#N/A</v>
      </c>
      <c r="AA23" s="191" t="e">
        <f ca="1"/>
        <v>#N/A</v>
      </c>
      <c r="AB23" s="192" t="e">
        <f ca="1"/>
        <v>#N/A</v>
      </c>
      <c r="AC23" s="191" t="e">
        <f ca="1"/>
        <v>#N/A</v>
      </c>
      <c r="AD23" s="210" t="e">
        <f ca="1"/>
        <v>#N/A</v>
      </c>
      <c r="AE23" s="188">
        <v>0</v>
      </c>
      <c r="AF23" s="194" t="s">
        <v>194</v>
      </c>
      <c r="AG23" s="191" t="s">
        <v>194</v>
      </c>
      <c r="AI23" s="191">
        <v>0</v>
      </c>
      <c r="AJ23" s="191" t="s">
        <v>194</v>
      </c>
      <c r="AK23" s="191"/>
      <c r="AL23" s="191">
        <v>3</v>
      </c>
      <c r="AM23" s="191" t="s">
        <v>224</v>
      </c>
      <c r="AN23" s="191"/>
      <c r="AO23" s="191">
        <v>0</v>
      </c>
      <c r="AP23" s="191" t="s">
        <v>194</v>
      </c>
      <c r="AQ23" s="191"/>
      <c r="AR23" s="191"/>
      <c r="AS23" s="191"/>
      <c r="AT23" s="191"/>
      <c r="AY23" s="194"/>
      <c r="AZ23" s="191"/>
      <c r="BA23" s="194"/>
      <c r="BB23" s="191"/>
      <c r="BC23" s="191"/>
      <c r="BD23" s="191"/>
    </row>
    <row r="24" spans="1:56" x14ac:dyDescent="0.2">
      <c r="A24" s="194">
        <v>22</v>
      </c>
      <c r="B24" s="194" t="e">
        <f ca="1"/>
        <v>#N/A</v>
      </c>
      <c r="C24" s="194" t="e">
        <f ca="1"/>
        <v>#N/A</v>
      </c>
      <c r="D24" s="194" t="e">
        <f ca="1"/>
        <v>#N/A</v>
      </c>
      <c r="E24" s="194" t="e">
        <f ca="1"/>
        <v>#N/A</v>
      </c>
      <c r="F24" s="194" t="e">
        <f ca="1"/>
        <v>#N/A</v>
      </c>
      <c r="G24" s="196" t="e">
        <f ca="1"/>
        <v>#N/A</v>
      </c>
      <c r="I24" s="191">
        <v>22</v>
      </c>
      <c r="J24" s="193" t="e">
        <f ca="1"/>
        <v>#N/A</v>
      </c>
      <c r="K24" s="194" t="e">
        <f ca="1"/>
        <v>#N/A</v>
      </c>
      <c r="L24" s="195" t="e">
        <f ca="1"/>
        <v>#N/A</v>
      </c>
      <c r="M24" s="194" t="e">
        <f ca="1"/>
        <v>#N/A</v>
      </c>
      <c r="N24" s="194" t="e">
        <f ca="1"/>
        <v>#N/A</v>
      </c>
      <c r="O24" s="196" t="e">
        <f ca="1"/>
        <v>#N/A</v>
      </c>
      <c r="P24" s="197" t="e">
        <f ca="1"/>
        <v>#N/A</v>
      </c>
      <c r="Q24" s="197" t="e">
        <f ca="1"/>
        <v>#N/A</v>
      </c>
      <c r="R24" s="197" t="e">
        <f ca="1"/>
        <v>#N/A</v>
      </c>
      <c r="T24" s="191" t="e">
        <f ca="1"/>
        <v>#N/A</v>
      </c>
      <c r="U24" s="191" t="e">
        <f ca="1"/>
        <v>#N/A</v>
      </c>
      <c r="V24" s="192" t="e">
        <f ca="1"/>
        <v>#N/A</v>
      </c>
      <c r="W24" s="191" t="e">
        <f ca="1"/>
        <v>#N/A</v>
      </c>
      <c r="X24" s="191" t="e">
        <f ca="1"/>
        <v>#N/A</v>
      </c>
      <c r="Y24" s="192" t="e">
        <f ca="1"/>
        <v>#N/A</v>
      </c>
      <c r="Z24" s="191" t="e">
        <f ca="1"/>
        <v>#N/A</v>
      </c>
      <c r="AA24" s="191" t="e">
        <f ca="1"/>
        <v>#N/A</v>
      </c>
      <c r="AB24" s="192" t="e">
        <f ca="1"/>
        <v>#N/A</v>
      </c>
      <c r="AC24" s="191" t="e">
        <f ca="1"/>
        <v>#N/A</v>
      </c>
      <c r="AD24" s="210" t="e">
        <f ca="1"/>
        <v>#N/A</v>
      </c>
      <c r="AE24" s="188">
        <v>0</v>
      </c>
      <c r="AF24" s="194" t="s">
        <v>194</v>
      </c>
      <c r="AG24" s="191" t="s">
        <v>194</v>
      </c>
      <c r="AI24" s="191">
        <v>0</v>
      </c>
      <c r="AJ24" s="191" t="s">
        <v>194</v>
      </c>
      <c r="AK24" s="191"/>
      <c r="AL24" s="191">
        <v>2</v>
      </c>
      <c r="AM24" s="191" t="s">
        <v>369</v>
      </c>
      <c r="AN24" s="191"/>
      <c r="AO24" s="191">
        <v>0</v>
      </c>
      <c r="AP24" s="191" t="s">
        <v>194</v>
      </c>
      <c r="AQ24" s="191"/>
      <c r="AR24" s="191"/>
      <c r="AS24" s="191"/>
      <c r="AT24" s="191"/>
      <c r="AY24" s="194"/>
      <c r="AZ24" s="191"/>
      <c r="BA24" s="194"/>
      <c r="BB24" s="191"/>
      <c r="BC24" s="191"/>
      <c r="BD24" s="191"/>
    </row>
    <row r="25" spans="1:56" x14ac:dyDescent="0.2">
      <c r="A25" s="194">
        <v>23</v>
      </c>
      <c r="B25" s="194" t="e">
        <f ca="1"/>
        <v>#N/A</v>
      </c>
      <c r="C25" s="194" t="e">
        <f ca="1"/>
        <v>#N/A</v>
      </c>
      <c r="D25" s="194" t="e">
        <f ca="1"/>
        <v>#N/A</v>
      </c>
      <c r="E25" s="194" t="e">
        <f ca="1"/>
        <v>#N/A</v>
      </c>
      <c r="F25" s="194" t="e">
        <f ca="1"/>
        <v>#N/A</v>
      </c>
      <c r="G25" s="196" t="e">
        <f ca="1"/>
        <v>#N/A</v>
      </c>
      <c r="I25" s="191">
        <v>23</v>
      </c>
      <c r="J25" s="193" t="e">
        <f ca="1"/>
        <v>#N/A</v>
      </c>
      <c r="K25" s="194" t="e">
        <f ca="1"/>
        <v>#N/A</v>
      </c>
      <c r="L25" s="195" t="e">
        <f ca="1"/>
        <v>#N/A</v>
      </c>
      <c r="M25" s="194" t="e">
        <f ca="1"/>
        <v>#N/A</v>
      </c>
      <c r="N25" s="194" t="e">
        <f ca="1"/>
        <v>#N/A</v>
      </c>
      <c r="O25" s="196" t="e">
        <f ca="1"/>
        <v>#N/A</v>
      </c>
      <c r="P25" s="197" t="e">
        <f ca="1"/>
        <v>#N/A</v>
      </c>
      <c r="Q25" s="197" t="e">
        <f ca="1"/>
        <v>#N/A</v>
      </c>
      <c r="R25" s="197" t="e">
        <f ca="1"/>
        <v>#N/A</v>
      </c>
      <c r="T25" s="191" t="e">
        <f ca="1"/>
        <v>#N/A</v>
      </c>
      <c r="U25" s="191" t="e">
        <f ca="1"/>
        <v>#N/A</v>
      </c>
      <c r="V25" s="192" t="e">
        <f ca="1"/>
        <v>#N/A</v>
      </c>
      <c r="W25" s="191" t="e">
        <f ca="1"/>
        <v>#N/A</v>
      </c>
      <c r="X25" s="191" t="e">
        <f ca="1"/>
        <v>#N/A</v>
      </c>
      <c r="Y25" s="192" t="e">
        <f ca="1"/>
        <v>#N/A</v>
      </c>
      <c r="Z25" s="191" t="e">
        <f ca="1"/>
        <v>#N/A</v>
      </c>
      <c r="AA25" s="191" t="e">
        <f ca="1"/>
        <v>#N/A</v>
      </c>
      <c r="AB25" s="192" t="e">
        <f ca="1"/>
        <v>#N/A</v>
      </c>
      <c r="AC25" s="191" t="e">
        <f ca="1"/>
        <v>#N/A</v>
      </c>
      <c r="AD25" s="210" t="e">
        <f ca="1"/>
        <v>#N/A</v>
      </c>
      <c r="AE25" s="188">
        <v>0</v>
      </c>
      <c r="AF25" s="194" t="s">
        <v>194</v>
      </c>
      <c r="AG25" s="191" t="s">
        <v>194</v>
      </c>
      <c r="AI25" s="191">
        <v>0</v>
      </c>
      <c r="AJ25" s="191" t="s">
        <v>194</v>
      </c>
      <c r="AK25" s="191"/>
      <c r="AL25" s="188">
        <v>2</v>
      </c>
      <c r="AM25" s="188" t="s">
        <v>314</v>
      </c>
      <c r="AN25" s="191"/>
      <c r="AO25" s="191">
        <v>0</v>
      </c>
      <c r="AP25" s="191" t="s">
        <v>194</v>
      </c>
      <c r="AQ25" s="191"/>
      <c r="AR25" s="191"/>
      <c r="AS25" s="191"/>
      <c r="AT25" s="191"/>
      <c r="AY25" s="194"/>
      <c r="AZ25" s="191"/>
      <c r="BA25" s="194"/>
      <c r="BB25" s="191"/>
      <c r="BC25" s="191"/>
      <c r="BD25" s="191"/>
    </row>
    <row r="26" spans="1:56" x14ac:dyDescent="0.2">
      <c r="A26" s="194">
        <v>24</v>
      </c>
      <c r="B26" s="194" t="e">
        <f ca="1"/>
        <v>#N/A</v>
      </c>
      <c r="C26" s="194" t="e">
        <f ca="1"/>
        <v>#N/A</v>
      </c>
      <c r="D26" s="194" t="e">
        <f ca="1"/>
        <v>#N/A</v>
      </c>
      <c r="E26" s="194" t="e">
        <f ca="1"/>
        <v>#N/A</v>
      </c>
      <c r="F26" s="194" t="e">
        <f ca="1"/>
        <v>#N/A</v>
      </c>
      <c r="G26" s="196" t="e">
        <f ca="1"/>
        <v>#N/A</v>
      </c>
      <c r="I26" s="191">
        <v>24</v>
      </c>
      <c r="J26" s="193" t="e">
        <f ca="1"/>
        <v>#N/A</v>
      </c>
      <c r="K26" s="194" t="e">
        <f ca="1"/>
        <v>#N/A</v>
      </c>
      <c r="L26" s="195" t="e">
        <f ca="1"/>
        <v>#N/A</v>
      </c>
      <c r="M26" s="194" t="e">
        <f ca="1"/>
        <v>#N/A</v>
      </c>
      <c r="N26" s="194" t="e">
        <f ca="1"/>
        <v>#N/A</v>
      </c>
      <c r="O26" s="196" t="e">
        <f ca="1"/>
        <v>#N/A</v>
      </c>
      <c r="P26" s="197" t="e">
        <f ca="1"/>
        <v>#N/A</v>
      </c>
      <c r="Q26" s="197" t="e">
        <f ca="1"/>
        <v>#N/A</v>
      </c>
      <c r="R26" s="197" t="e">
        <f ca="1"/>
        <v>#N/A</v>
      </c>
      <c r="T26" s="191" t="e">
        <f ca="1"/>
        <v>#N/A</v>
      </c>
      <c r="U26" s="191" t="e">
        <f ca="1"/>
        <v>#N/A</v>
      </c>
      <c r="V26" s="192" t="e">
        <f ca="1"/>
        <v>#N/A</v>
      </c>
      <c r="W26" s="191" t="e">
        <f ca="1"/>
        <v>#N/A</v>
      </c>
      <c r="X26" s="191" t="e">
        <f ca="1"/>
        <v>#N/A</v>
      </c>
      <c r="Y26" s="192" t="e">
        <f ca="1"/>
        <v>#N/A</v>
      </c>
      <c r="Z26" s="191" t="e">
        <f ca="1"/>
        <v>#N/A</v>
      </c>
      <c r="AA26" s="191" t="e">
        <f ca="1"/>
        <v>#N/A</v>
      </c>
      <c r="AB26" s="192" t="e">
        <f ca="1"/>
        <v>#N/A</v>
      </c>
      <c r="AC26" s="191" t="e">
        <f ca="1"/>
        <v>#N/A</v>
      </c>
      <c r="AD26" s="210" t="e">
        <f ca="1"/>
        <v>#N/A</v>
      </c>
      <c r="AE26" s="188">
        <v>0</v>
      </c>
      <c r="AF26" s="194" t="s">
        <v>194</v>
      </c>
      <c r="AG26" s="191" t="s">
        <v>194</v>
      </c>
      <c r="AI26" s="191">
        <v>0</v>
      </c>
      <c r="AJ26" s="191" t="s">
        <v>194</v>
      </c>
      <c r="AK26" s="191"/>
      <c r="AL26" s="191">
        <v>1</v>
      </c>
      <c r="AM26" s="191" t="s">
        <v>570</v>
      </c>
      <c r="AN26" s="191"/>
      <c r="AO26" s="191">
        <v>0</v>
      </c>
      <c r="AP26" s="191" t="s">
        <v>194</v>
      </c>
      <c r="AQ26" s="191"/>
      <c r="AR26" s="191"/>
      <c r="AS26" s="191"/>
      <c r="AT26" s="191"/>
      <c r="AY26" s="194"/>
      <c r="AZ26" s="191"/>
      <c r="BA26" s="194"/>
      <c r="BB26" s="191"/>
      <c r="BC26" s="191"/>
      <c r="BD26" s="191"/>
    </row>
    <row r="27" spans="1:56" x14ac:dyDescent="0.2">
      <c r="A27" s="194">
        <v>25</v>
      </c>
      <c r="B27" s="194" t="e">
        <f ca="1"/>
        <v>#N/A</v>
      </c>
      <c r="C27" s="194" t="e">
        <f ca="1"/>
        <v>#N/A</v>
      </c>
      <c r="D27" s="194" t="e">
        <f ca="1"/>
        <v>#N/A</v>
      </c>
      <c r="E27" s="194" t="e">
        <f ca="1"/>
        <v>#N/A</v>
      </c>
      <c r="F27" s="194" t="e">
        <f ca="1"/>
        <v>#N/A</v>
      </c>
      <c r="G27" s="196" t="e">
        <f ca="1"/>
        <v>#N/A</v>
      </c>
      <c r="I27" s="191">
        <v>25</v>
      </c>
      <c r="J27" s="193" t="e">
        <f ca="1"/>
        <v>#N/A</v>
      </c>
      <c r="K27" s="194" t="e">
        <f ca="1"/>
        <v>#N/A</v>
      </c>
      <c r="L27" s="195" t="e">
        <f ca="1"/>
        <v>#N/A</v>
      </c>
      <c r="M27" s="194" t="e">
        <f ca="1"/>
        <v>#N/A</v>
      </c>
      <c r="N27" s="194" t="e">
        <f ca="1"/>
        <v>#N/A</v>
      </c>
      <c r="O27" s="196" t="e">
        <f ca="1"/>
        <v>#N/A</v>
      </c>
      <c r="P27" s="197" t="e">
        <f ca="1"/>
        <v>#N/A</v>
      </c>
      <c r="Q27" s="197" t="e">
        <f ca="1"/>
        <v>#N/A</v>
      </c>
      <c r="R27" s="197" t="e">
        <f ca="1"/>
        <v>#N/A</v>
      </c>
      <c r="AE27" s="188">
        <v>0</v>
      </c>
      <c r="AF27" s="194" t="s">
        <v>194</v>
      </c>
      <c r="AG27" s="191" t="s">
        <v>194</v>
      </c>
      <c r="AI27" s="191">
        <v>0</v>
      </c>
      <c r="AJ27" s="191" t="s">
        <v>194</v>
      </c>
      <c r="AK27" s="191"/>
      <c r="AL27" s="191">
        <v>1</v>
      </c>
      <c r="AM27" s="191" t="s">
        <v>273</v>
      </c>
      <c r="AN27" s="191"/>
      <c r="AO27" s="191">
        <v>0</v>
      </c>
      <c r="AP27" s="191" t="s">
        <v>194</v>
      </c>
      <c r="AQ27" s="191"/>
      <c r="AR27" s="191"/>
      <c r="AS27" s="191"/>
      <c r="AT27" s="191"/>
      <c r="AY27" s="194"/>
      <c r="AZ27" s="191"/>
      <c r="BA27" s="194"/>
      <c r="BB27" s="191"/>
      <c r="BC27" s="191"/>
      <c r="BD27" s="191"/>
    </row>
    <row r="28" spans="1:56" x14ac:dyDescent="0.2">
      <c r="A28" s="194">
        <v>26</v>
      </c>
      <c r="B28" s="194" t="e">
        <f ca="1"/>
        <v>#N/A</v>
      </c>
      <c r="C28" s="194" t="e">
        <f ca="1"/>
        <v>#N/A</v>
      </c>
      <c r="D28" s="194" t="e">
        <f ca="1"/>
        <v>#N/A</v>
      </c>
      <c r="E28" s="194" t="e">
        <f ca="1"/>
        <v>#N/A</v>
      </c>
      <c r="F28" s="194" t="e">
        <f ca="1"/>
        <v>#N/A</v>
      </c>
      <c r="G28" s="196" t="e">
        <f ca="1"/>
        <v>#N/A</v>
      </c>
      <c r="I28" s="191">
        <v>26</v>
      </c>
      <c r="J28" s="193" t="e">
        <f ca="1"/>
        <v>#N/A</v>
      </c>
      <c r="K28" s="194" t="e">
        <f ca="1"/>
        <v>#N/A</v>
      </c>
      <c r="L28" s="195" t="e">
        <f ca="1"/>
        <v>#N/A</v>
      </c>
      <c r="M28" s="194" t="e">
        <f ca="1"/>
        <v>#N/A</v>
      </c>
      <c r="N28" s="194" t="e">
        <f ca="1"/>
        <v>#N/A</v>
      </c>
      <c r="O28" s="196" t="e">
        <f ca="1"/>
        <v>#N/A</v>
      </c>
      <c r="P28" s="197" t="e">
        <f ca="1"/>
        <v>#N/A</v>
      </c>
      <c r="Q28" s="197" t="e">
        <f ca="1"/>
        <v>#N/A</v>
      </c>
      <c r="R28" s="197" t="e">
        <f ca="1"/>
        <v>#N/A</v>
      </c>
      <c r="AE28" s="188">
        <v>0</v>
      </c>
      <c r="AF28" s="194" t="s">
        <v>194</v>
      </c>
      <c r="AG28" s="191" t="s">
        <v>194</v>
      </c>
      <c r="AI28" s="191">
        <v>0</v>
      </c>
      <c r="AJ28" s="191" t="s">
        <v>194</v>
      </c>
      <c r="AK28" s="191"/>
      <c r="AL28" s="191">
        <v>1</v>
      </c>
      <c r="AM28" s="191" t="s">
        <v>470</v>
      </c>
      <c r="AN28" s="191"/>
      <c r="AO28" s="191">
        <v>0</v>
      </c>
      <c r="AP28" s="191" t="s">
        <v>194</v>
      </c>
      <c r="AQ28" s="191"/>
      <c r="AR28" s="191"/>
      <c r="AS28" s="191"/>
      <c r="AT28" s="191"/>
      <c r="AY28" s="194"/>
      <c r="AZ28" s="191"/>
      <c r="BA28" s="194"/>
      <c r="BB28" s="191"/>
      <c r="BC28" s="191"/>
      <c r="BD28" s="191"/>
    </row>
    <row r="29" spans="1:56" x14ac:dyDescent="0.2">
      <c r="A29" s="194">
        <v>27</v>
      </c>
      <c r="B29" s="194" t="e">
        <f ca="1"/>
        <v>#N/A</v>
      </c>
      <c r="C29" s="194" t="e">
        <f ca="1"/>
        <v>#N/A</v>
      </c>
      <c r="D29" s="194" t="e">
        <f ca="1"/>
        <v>#N/A</v>
      </c>
      <c r="E29" s="194" t="e">
        <f ca="1"/>
        <v>#N/A</v>
      </c>
      <c r="F29" s="194" t="e">
        <f ca="1"/>
        <v>#N/A</v>
      </c>
      <c r="G29" s="196" t="e">
        <f ca="1"/>
        <v>#N/A</v>
      </c>
      <c r="I29" s="191">
        <v>27</v>
      </c>
      <c r="J29" s="193" t="e">
        <f ca="1"/>
        <v>#N/A</v>
      </c>
      <c r="K29" s="194" t="e">
        <f ca="1"/>
        <v>#N/A</v>
      </c>
      <c r="L29" s="195" t="e">
        <f ca="1"/>
        <v>#N/A</v>
      </c>
      <c r="M29" s="194" t="e">
        <f ca="1"/>
        <v>#N/A</v>
      </c>
      <c r="N29" s="194" t="e">
        <f ca="1"/>
        <v>#N/A</v>
      </c>
      <c r="O29" s="196" t="e">
        <f ca="1"/>
        <v>#N/A</v>
      </c>
      <c r="P29" s="197" t="e">
        <f ca="1"/>
        <v>#N/A</v>
      </c>
      <c r="Q29" s="197" t="e">
        <f ca="1"/>
        <v>#N/A</v>
      </c>
      <c r="R29" s="197" t="e">
        <f ca="1"/>
        <v>#N/A</v>
      </c>
      <c r="AE29" s="188">
        <v>0</v>
      </c>
      <c r="AF29" s="194" t="s">
        <v>194</v>
      </c>
      <c r="AG29" s="191" t="s">
        <v>194</v>
      </c>
      <c r="AI29" s="191">
        <v>0</v>
      </c>
      <c r="AJ29" s="191" t="s">
        <v>194</v>
      </c>
      <c r="AK29" s="191"/>
      <c r="AL29" s="191">
        <v>1</v>
      </c>
      <c r="AM29" s="191" t="s">
        <v>632</v>
      </c>
      <c r="AN29" s="191"/>
      <c r="AO29" s="191">
        <v>0</v>
      </c>
      <c r="AP29" s="191" t="s">
        <v>194</v>
      </c>
      <c r="AQ29" s="191"/>
      <c r="AR29" s="191"/>
      <c r="AS29" s="191"/>
      <c r="AT29" s="191"/>
      <c r="AY29" s="194"/>
      <c r="AZ29" s="191"/>
      <c r="BA29" s="194"/>
      <c r="BB29" s="191"/>
      <c r="BC29" s="191"/>
      <c r="BD29" s="191"/>
    </row>
    <row r="30" spans="1:56" x14ac:dyDescent="0.2">
      <c r="A30" s="194">
        <v>28</v>
      </c>
      <c r="B30" s="194" t="e">
        <f ca="1"/>
        <v>#N/A</v>
      </c>
      <c r="C30" s="194" t="e">
        <f ca="1"/>
        <v>#N/A</v>
      </c>
      <c r="D30" s="194" t="e">
        <f ca="1"/>
        <v>#N/A</v>
      </c>
      <c r="E30" s="194" t="e">
        <f ca="1"/>
        <v>#N/A</v>
      </c>
      <c r="F30" s="194" t="e">
        <f ca="1"/>
        <v>#N/A</v>
      </c>
      <c r="G30" s="196" t="e">
        <f ca="1"/>
        <v>#N/A</v>
      </c>
      <c r="I30" s="191">
        <v>28</v>
      </c>
      <c r="J30" s="193" t="e">
        <f ca="1"/>
        <v>#N/A</v>
      </c>
      <c r="K30" s="194" t="e">
        <f ca="1"/>
        <v>#N/A</v>
      </c>
      <c r="L30" s="195" t="e">
        <f ca="1"/>
        <v>#N/A</v>
      </c>
      <c r="M30" s="194" t="e">
        <f ca="1"/>
        <v>#N/A</v>
      </c>
      <c r="N30" s="194" t="e">
        <f ca="1"/>
        <v>#N/A</v>
      </c>
      <c r="O30" s="196" t="e">
        <f ca="1"/>
        <v>#N/A</v>
      </c>
      <c r="P30" s="197" t="e">
        <f ca="1"/>
        <v>#N/A</v>
      </c>
      <c r="Q30" s="197" t="e">
        <f ca="1"/>
        <v>#N/A</v>
      </c>
      <c r="R30" s="197" t="e">
        <f ca="1"/>
        <v>#N/A</v>
      </c>
      <c r="AE30" s="188">
        <v>0</v>
      </c>
      <c r="AF30" s="194" t="s">
        <v>194</v>
      </c>
      <c r="AG30" s="191" t="s">
        <v>194</v>
      </c>
      <c r="AI30" s="191">
        <v>0</v>
      </c>
      <c r="AJ30" s="191" t="s">
        <v>194</v>
      </c>
      <c r="AL30" s="188">
        <v>1</v>
      </c>
      <c r="AM30" s="188" t="s">
        <v>579</v>
      </c>
      <c r="AO30" s="191">
        <v>0</v>
      </c>
      <c r="AP30" s="191" t="s">
        <v>194</v>
      </c>
      <c r="AR30" s="191"/>
      <c r="AS30" s="191"/>
    </row>
    <row r="31" spans="1:56" x14ac:dyDescent="0.15">
      <c r="A31" s="194">
        <v>29</v>
      </c>
      <c r="B31" s="194" t="e">
        <f ca="1"/>
        <v>#N/A</v>
      </c>
      <c r="C31" s="194" t="e">
        <f ca="1"/>
        <v>#N/A</v>
      </c>
      <c r="D31" s="194" t="e">
        <f ca="1"/>
        <v>#N/A</v>
      </c>
      <c r="E31" s="194" t="e">
        <f ca="1"/>
        <v>#N/A</v>
      </c>
      <c r="F31" s="194" t="e">
        <f ca="1"/>
        <v>#N/A</v>
      </c>
      <c r="G31" s="196" t="e">
        <f ca="1"/>
        <v>#N/A</v>
      </c>
      <c r="AE31" s="188">
        <v>0</v>
      </c>
      <c r="AF31" s="194" t="s">
        <v>194</v>
      </c>
      <c r="AG31" s="191" t="s">
        <v>194</v>
      </c>
      <c r="AI31" s="191">
        <v>0</v>
      </c>
      <c r="AJ31" s="191" t="s">
        <v>194</v>
      </c>
      <c r="AL31" s="188">
        <v>1</v>
      </c>
      <c r="AM31" s="188" t="s">
        <v>297</v>
      </c>
      <c r="AO31" s="191">
        <v>0</v>
      </c>
      <c r="AP31" s="191" t="s">
        <v>194</v>
      </c>
      <c r="AR31" s="191"/>
      <c r="AS31" s="191"/>
    </row>
    <row r="32" spans="1:56" x14ac:dyDescent="0.15">
      <c r="A32" s="194">
        <v>30</v>
      </c>
      <c r="B32" s="194" t="e">
        <f ca="1"/>
        <v>#N/A</v>
      </c>
      <c r="C32" s="194" t="e">
        <f ca="1"/>
        <v>#N/A</v>
      </c>
      <c r="D32" s="194" t="e">
        <f ca="1"/>
        <v>#N/A</v>
      </c>
      <c r="E32" s="194" t="e">
        <f ca="1"/>
        <v>#N/A</v>
      </c>
      <c r="F32" s="194" t="e">
        <f ca="1"/>
        <v>#N/A</v>
      </c>
      <c r="G32" s="196" t="e">
        <f ca="1"/>
        <v>#N/A</v>
      </c>
      <c r="AE32" s="188">
        <v>0</v>
      </c>
      <c r="AF32" s="194" t="s">
        <v>194</v>
      </c>
      <c r="AG32" s="191" t="s">
        <v>194</v>
      </c>
      <c r="AI32" s="191">
        <v>0</v>
      </c>
      <c r="AJ32" s="191" t="s">
        <v>194</v>
      </c>
      <c r="AL32" s="188">
        <v>1</v>
      </c>
      <c r="AM32" s="188" t="s">
        <v>522</v>
      </c>
      <c r="AO32" s="191">
        <v>0</v>
      </c>
      <c r="AP32" s="191" t="s">
        <v>194</v>
      </c>
      <c r="AR32" s="191"/>
      <c r="AS32" s="191"/>
    </row>
    <row r="33" spans="1:48" x14ac:dyDescent="0.15">
      <c r="A33" s="194">
        <v>31</v>
      </c>
      <c r="B33" s="194" t="e">
        <f ca="1"/>
        <v>#N/A</v>
      </c>
      <c r="C33" s="194" t="e">
        <f ca="1"/>
        <v>#N/A</v>
      </c>
      <c r="D33" s="194" t="e">
        <f ca="1"/>
        <v>#N/A</v>
      </c>
      <c r="E33" s="194" t="e">
        <f ca="1"/>
        <v>#N/A</v>
      </c>
      <c r="F33" s="194" t="e">
        <f ca="1"/>
        <v>#N/A</v>
      </c>
      <c r="G33" s="196" t="e">
        <f ca="1"/>
        <v>#N/A</v>
      </c>
      <c r="J33" s="188" t="s">
        <v>348</v>
      </c>
      <c r="AE33" s="188">
        <v>0</v>
      </c>
      <c r="AF33" s="194" t="s">
        <v>194</v>
      </c>
      <c r="AG33" s="191" t="s">
        <v>194</v>
      </c>
      <c r="AI33" s="188">
        <v>0</v>
      </c>
      <c r="AJ33" s="188" t="s">
        <v>194</v>
      </c>
      <c r="AL33" s="188">
        <v>1</v>
      </c>
      <c r="AM33" s="188" t="s">
        <v>414</v>
      </c>
      <c r="AO33" s="191">
        <v>0</v>
      </c>
      <c r="AP33" s="191" t="s">
        <v>194</v>
      </c>
      <c r="AR33" s="191"/>
      <c r="AS33" s="191"/>
    </row>
    <row r="34" spans="1:48" x14ac:dyDescent="0.15">
      <c r="A34" s="194">
        <v>32</v>
      </c>
      <c r="B34" s="194" t="e">
        <f ca="1"/>
        <v>#N/A</v>
      </c>
      <c r="C34" s="194" t="e">
        <f ca="1"/>
        <v>#N/A</v>
      </c>
      <c r="D34" s="194" t="e">
        <f ca="1"/>
        <v>#N/A</v>
      </c>
      <c r="E34" s="194" t="e">
        <f ca="1"/>
        <v>#N/A</v>
      </c>
      <c r="F34" s="194" t="e">
        <f ca="1"/>
        <v>#N/A</v>
      </c>
      <c r="G34" s="196" t="e">
        <f ca="1"/>
        <v>#N/A</v>
      </c>
      <c r="AE34" s="188">
        <v>0</v>
      </c>
      <c r="AF34" s="194" t="s">
        <v>194</v>
      </c>
      <c r="AG34" s="191" t="s">
        <v>194</v>
      </c>
      <c r="AI34" s="188">
        <v>0</v>
      </c>
      <c r="AJ34" s="188" t="s">
        <v>194</v>
      </c>
      <c r="AL34" s="191">
        <v>0</v>
      </c>
      <c r="AM34" s="191" t="s">
        <v>194</v>
      </c>
      <c r="AO34" s="191">
        <v>0</v>
      </c>
      <c r="AP34" s="191" t="s">
        <v>194</v>
      </c>
      <c r="AR34" s="191"/>
      <c r="AS34" s="191"/>
    </row>
    <row r="35" spans="1:48" x14ac:dyDescent="0.15">
      <c r="A35" s="194">
        <v>33</v>
      </c>
      <c r="B35" s="194" t="e">
        <f ca="1"/>
        <v>#N/A</v>
      </c>
      <c r="C35" s="194" t="e">
        <f ca="1"/>
        <v>#N/A</v>
      </c>
      <c r="D35" s="194" t="e">
        <f ca="1"/>
        <v>#N/A</v>
      </c>
      <c r="E35" s="194" t="e">
        <f ca="1"/>
        <v>#N/A</v>
      </c>
      <c r="F35" s="194" t="e">
        <f ca="1"/>
        <v>#N/A</v>
      </c>
      <c r="G35" s="196" t="e">
        <f ca="1"/>
        <v>#N/A</v>
      </c>
      <c r="AE35" s="188">
        <v>0</v>
      </c>
      <c r="AF35" s="194" t="s">
        <v>194</v>
      </c>
      <c r="AG35" s="191" t="s">
        <v>194</v>
      </c>
      <c r="AI35" s="188">
        <v>0</v>
      </c>
      <c r="AJ35" s="188" t="s">
        <v>194</v>
      </c>
      <c r="AL35" s="191">
        <v>0</v>
      </c>
      <c r="AM35" s="191" t="s">
        <v>194</v>
      </c>
      <c r="AO35" s="191">
        <v>0</v>
      </c>
      <c r="AP35" s="191" t="s">
        <v>194</v>
      </c>
      <c r="AR35" s="191"/>
      <c r="AS35" s="191"/>
    </row>
    <row r="36" spans="1:48" x14ac:dyDescent="0.15">
      <c r="A36" s="194">
        <v>34</v>
      </c>
      <c r="B36" s="194" t="e">
        <f ca="1"/>
        <v>#N/A</v>
      </c>
      <c r="C36" s="194" t="e">
        <f ca="1"/>
        <v>#N/A</v>
      </c>
      <c r="D36" s="194" t="e">
        <f ca="1"/>
        <v>#N/A</v>
      </c>
      <c r="E36" s="194" t="e">
        <f ca="1"/>
        <v>#N/A</v>
      </c>
      <c r="F36" s="194" t="e">
        <f ca="1"/>
        <v>#N/A</v>
      </c>
      <c r="G36" s="196" t="e">
        <f ca="1"/>
        <v>#N/A</v>
      </c>
      <c r="AE36" s="188">
        <v>0</v>
      </c>
      <c r="AF36" s="188" t="s">
        <v>194</v>
      </c>
      <c r="AG36" s="188" t="s">
        <v>194</v>
      </c>
      <c r="AI36" s="188">
        <v>0</v>
      </c>
      <c r="AJ36" s="188" t="s">
        <v>194</v>
      </c>
      <c r="AL36" s="191">
        <v>0</v>
      </c>
      <c r="AM36" s="191" t="s">
        <v>194</v>
      </c>
      <c r="AO36" s="191">
        <v>0</v>
      </c>
      <c r="AP36" s="191" t="s">
        <v>194</v>
      </c>
    </row>
    <row r="37" spans="1:48" x14ac:dyDescent="0.15">
      <c r="A37" s="194">
        <v>35</v>
      </c>
      <c r="B37" s="194" t="e">
        <f ca="1"/>
        <v>#N/A</v>
      </c>
      <c r="C37" s="194" t="e">
        <f ca="1"/>
        <v>#N/A</v>
      </c>
      <c r="D37" s="194" t="e">
        <f ca="1"/>
        <v>#N/A</v>
      </c>
      <c r="E37" s="194" t="e">
        <f ca="1"/>
        <v>#N/A</v>
      </c>
      <c r="F37" s="194" t="e">
        <f ca="1"/>
        <v>#N/A</v>
      </c>
      <c r="G37" s="196" t="e">
        <f ca="1"/>
        <v>#N/A</v>
      </c>
      <c r="AE37" s="188">
        <v>0</v>
      </c>
      <c r="AF37" s="188" t="s">
        <v>194</v>
      </c>
      <c r="AG37" s="188" t="s">
        <v>194</v>
      </c>
      <c r="AI37" s="188">
        <v>0</v>
      </c>
      <c r="AJ37" s="188" t="s">
        <v>194</v>
      </c>
      <c r="AL37" s="191">
        <v>0</v>
      </c>
      <c r="AM37" s="191" t="s">
        <v>194</v>
      </c>
      <c r="AO37" s="191">
        <v>0</v>
      </c>
      <c r="AP37" s="191" t="s">
        <v>194</v>
      </c>
    </row>
    <row r="38" spans="1:48" x14ac:dyDescent="0.15">
      <c r="A38" s="194">
        <v>36</v>
      </c>
      <c r="B38" s="194" t="e">
        <f ca="1"/>
        <v>#N/A</v>
      </c>
      <c r="C38" s="194" t="e">
        <f ca="1"/>
        <v>#N/A</v>
      </c>
      <c r="D38" s="194" t="e">
        <f ca="1"/>
        <v>#N/A</v>
      </c>
      <c r="E38" s="194" t="e">
        <f ca="1"/>
        <v>#N/A</v>
      </c>
      <c r="F38" s="194" t="e">
        <f ca="1"/>
        <v>#N/A</v>
      </c>
      <c r="G38" s="196" t="e">
        <f ca="1"/>
        <v>#N/A</v>
      </c>
      <c r="AE38" s="188">
        <v>0</v>
      </c>
      <c r="AF38" s="188" t="s">
        <v>194</v>
      </c>
      <c r="AG38" s="188" t="s">
        <v>194</v>
      </c>
      <c r="AI38" s="188">
        <v>0</v>
      </c>
      <c r="AJ38" s="188" t="s">
        <v>194</v>
      </c>
      <c r="AL38" s="191">
        <v>0</v>
      </c>
      <c r="AM38" s="191" t="s">
        <v>194</v>
      </c>
      <c r="AO38" s="188">
        <v>0</v>
      </c>
      <c r="AP38" s="188" t="s">
        <v>194</v>
      </c>
    </row>
    <row r="39" spans="1:48" x14ac:dyDescent="0.15">
      <c r="A39" s="194">
        <v>37</v>
      </c>
      <c r="B39" s="194" t="e">
        <f ca="1"/>
        <v>#N/A</v>
      </c>
      <c r="C39" s="194" t="e">
        <f ca="1"/>
        <v>#N/A</v>
      </c>
      <c r="D39" s="194" t="e">
        <f ca="1"/>
        <v>#N/A</v>
      </c>
      <c r="E39" s="194" t="e">
        <f ca="1"/>
        <v>#N/A</v>
      </c>
      <c r="F39" s="194" t="e">
        <f ca="1"/>
        <v>#N/A</v>
      </c>
      <c r="G39" s="196" t="e">
        <f ca="1"/>
        <v>#N/A</v>
      </c>
      <c r="AE39" s="188">
        <v>0</v>
      </c>
      <c r="AF39" s="188" t="s">
        <v>194</v>
      </c>
      <c r="AG39" s="188" t="s">
        <v>194</v>
      </c>
      <c r="AI39" s="188">
        <v>0</v>
      </c>
      <c r="AJ39" s="188" t="s">
        <v>194</v>
      </c>
      <c r="AL39" s="191">
        <v>0</v>
      </c>
      <c r="AM39" s="191" t="s">
        <v>194</v>
      </c>
      <c r="AO39" s="188">
        <v>0</v>
      </c>
      <c r="AP39" s="188" t="s">
        <v>194</v>
      </c>
    </row>
    <row r="40" spans="1:48" x14ac:dyDescent="0.15">
      <c r="A40" s="194">
        <v>38</v>
      </c>
      <c r="B40" s="194" t="e">
        <f ca="1"/>
        <v>#N/A</v>
      </c>
      <c r="C40" s="194" t="e">
        <f ca="1"/>
        <v>#N/A</v>
      </c>
      <c r="D40" s="194" t="e">
        <f ca="1"/>
        <v>#N/A</v>
      </c>
      <c r="E40" s="194" t="e">
        <f ca="1"/>
        <v>#N/A</v>
      </c>
      <c r="F40" s="194" t="e">
        <f ca="1"/>
        <v>#N/A</v>
      </c>
      <c r="G40" s="196" t="e">
        <f ca="1"/>
        <v>#N/A</v>
      </c>
      <c r="AE40" s="188">
        <v>0</v>
      </c>
      <c r="AF40" s="188" t="s">
        <v>194</v>
      </c>
      <c r="AG40" s="188" t="s">
        <v>194</v>
      </c>
      <c r="AI40" s="188">
        <v>0</v>
      </c>
      <c r="AJ40" s="188" t="s">
        <v>194</v>
      </c>
      <c r="AL40" s="191">
        <v>0</v>
      </c>
      <c r="AM40" s="191" t="s">
        <v>194</v>
      </c>
      <c r="AO40" s="188">
        <v>0</v>
      </c>
      <c r="AP40" s="188" t="s">
        <v>194</v>
      </c>
    </row>
    <row r="41" spans="1:48" x14ac:dyDescent="0.15">
      <c r="A41" s="194">
        <v>39</v>
      </c>
      <c r="B41" s="194" t="e">
        <f ca="1"/>
        <v>#N/A</v>
      </c>
      <c r="C41" s="194" t="e">
        <f ca="1"/>
        <v>#N/A</v>
      </c>
      <c r="D41" s="194" t="e">
        <f ca="1"/>
        <v>#N/A</v>
      </c>
      <c r="E41" s="194" t="e">
        <f ca="1"/>
        <v>#N/A</v>
      </c>
      <c r="F41" s="194" t="e">
        <f ca="1"/>
        <v>#N/A</v>
      </c>
      <c r="G41" s="196" t="e">
        <f ca="1"/>
        <v>#N/A</v>
      </c>
      <c r="AE41" s="188">
        <v>0</v>
      </c>
      <c r="AF41" s="188" t="s">
        <v>194</v>
      </c>
      <c r="AG41" s="188" t="s">
        <v>194</v>
      </c>
      <c r="AI41" s="188">
        <v>0</v>
      </c>
      <c r="AJ41" s="188" t="s">
        <v>194</v>
      </c>
      <c r="AL41" s="191">
        <v>0</v>
      </c>
      <c r="AM41" s="191" t="s">
        <v>194</v>
      </c>
      <c r="AO41" s="188">
        <v>0</v>
      </c>
      <c r="AP41" s="188" t="s">
        <v>194</v>
      </c>
    </row>
    <row r="42" spans="1:48" x14ac:dyDescent="0.15">
      <c r="A42" s="194">
        <v>40</v>
      </c>
      <c r="B42" s="194" t="e">
        <f ca="1"/>
        <v>#N/A</v>
      </c>
      <c r="C42" s="194" t="e">
        <f ca="1"/>
        <v>#N/A</v>
      </c>
      <c r="D42" s="194" t="e">
        <f ca="1"/>
        <v>#N/A</v>
      </c>
      <c r="E42" s="194" t="e">
        <f ca="1"/>
        <v>#N/A</v>
      </c>
      <c r="F42" s="194" t="e">
        <f ca="1"/>
        <v>#N/A</v>
      </c>
      <c r="G42" s="196" t="e">
        <f ca="1"/>
        <v>#N/A</v>
      </c>
      <c r="AE42" s="188">
        <v>0</v>
      </c>
      <c r="AF42" s="188" t="s">
        <v>194</v>
      </c>
      <c r="AG42" s="188" t="s">
        <v>194</v>
      </c>
      <c r="AI42" s="188">
        <v>0</v>
      </c>
      <c r="AJ42" s="188" t="s">
        <v>194</v>
      </c>
      <c r="AL42" s="191">
        <v>0</v>
      </c>
      <c r="AM42" s="191" t="s">
        <v>194</v>
      </c>
      <c r="AO42" s="188">
        <v>0</v>
      </c>
      <c r="AP42" s="188" t="s">
        <v>194</v>
      </c>
      <c r="AU42" s="194"/>
      <c r="AV42" s="191"/>
    </row>
    <row r="43" spans="1:48" x14ac:dyDescent="0.15">
      <c r="AE43" s="188">
        <v>0</v>
      </c>
      <c r="AF43" s="188" t="s">
        <v>194</v>
      </c>
      <c r="AG43" s="188" t="s">
        <v>194</v>
      </c>
      <c r="AI43" s="188">
        <v>0</v>
      </c>
      <c r="AJ43" s="188" t="s">
        <v>194</v>
      </c>
      <c r="AL43" s="191">
        <v>0</v>
      </c>
      <c r="AM43" s="191" t="s">
        <v>194</v>
      </c>
      <c r="AO43" s="188">
        <v>0</v>
      </c>
      <c r="AP43" s="188" t="s">
        <v>194</v>
      </c>
      <c r="AU43" s="194"/>
      <c r="AV43" s="191"/>
    </row>
    <row r="44" spans="1:48" x14ac:dyDescent="0.15">
      <c r="A44" s="188" t="s">
        <v>349</v>
      </c>
      <c r="AE44" s="188">
        <v>0</v>
      </c>
      <c r="AF44" s="188" t="s">
        <v>194</v>
      </c>
      <c r="AG44" s="188" t="s">
        <v>194</v>
      </c>
      <c r="AI44" s="188">
        <v>0</v>
      </c>
      <c r="AJ44" s="188" t="s">
        <v>194</v>
      </c>
      <c r="AL44" s="188">
        <v>0</v>
      </c>
      <c r="AM44" s="188" t="s">
        <v>194</v>
      </c>
      <c r="AO44" s="188">
        <v>0</v>
      </c>
      <c r="AP44" s="188" t="s">
        <v>194</v>
      </c>
      <c r="AU44" s="194"/>
      <c r="AV44" s="191"/>
    </row>
    <row r="45" spans="1:48" x14ac:dyDescent="0.15">
      <c r="B45" s="188" t="s">
        <v>194</v>
      </c>
      <c r="AE45" s="188">
        <v>0</v>
      </c>
      <c r="AF45" s="188" t="s">
        <v>194</v>
      </c>
      <c r="AG45" s="188" t="s">
        <v>194</v>
      </c>
      <c r="AL45" s="188">
        <v>0</v>
      </c>
      <c r="AM45" s="188" t="s">
        <v>194</v>
      </c>
      <c r="AO45" s="188">
        <v>0</v>
      </c>
      <c r="AP45" s="188" t="s">
        <v>194</v>
      </c>
      <c r="AU45" s="194"/>
      <c r="AV45" s="191"/>
    </row>
    <row r="46" spans="1:48" x14ac:dyDescent="0.15">
      <c r="B46" s="188" t="s">
        <v>194</v>
      </c>
      <c r="AE46" s="188">
        <v>0</v>
      </c>
      <c r="AF46" s="188" t="s">
        <v>194</v>
      </c>
      <c r="AG46" s="188" t="s">
        <v>194</v>
      </c>
      <c r="AL46" s="188">
        <v>0</v>
      </c>
      <c r="AM46" s="188" t="s">
        <v>194</v>
      </c>
      <c r="AO46" s="188">
        <v>0</v>
      </c>
      <c r="AP46" s="188" t="s">
        <v>194</v>
      </c>
      <c r="AU46" s="194"/>
      <c r="AV46" s="191"/>
    </row>
    <row r="47" spans="1:48" x14ac:dyDescent="0.15">
      <c r="B47" s="188" t="s">
        <v>194</v>
      </c>
      <c r="AE47" s="188">
        <v>0</v>
      </c>
      <c r="AF47" s="188" t="s">
        <v>194</v>
      </c>
      <c r="AG47" s="188" t="s">
        <v>194</v>
      </c>
      <c r="AL47" s="188">
        <v>0</v>
      </c>
      <c r="AM47" s="188" t="s">
        <v>194</v>
      </c>
      <c r="AO47" s="188">
        <v>0</v>
      </c>
      <c r="AP47" s="188" t="s">
        <v>194</v>
      </c>
      <c r="AU47" s="194"/>
      <c r="AV47" s="191"/>
    </row>
    <row r="48" spans="1:48" x14ac:dyDescent="0.15">
      <c r="B48" s="188" t="s">
        <v>194</v>
      </c>
      <c r="AE48" s="188">
        <v>0</v>
      </c>
      <c r="AF48" s="188" t="s">
        <v>194</v>
      </c>
      <c r="AG48" s="188" t="s">
        <v>194</v>
      </c>
      <c r="AL48" s="188">
        <v>0</v>
      </c>
      <c r="AM48" s="188" t="s">
        <v>194</v>
      </c>
      <c r="AO48" s="188">
        <v>0</v>
      </c>
      <c r="AP48" s="188" t="s">
        <v>194</v>
      </c>
      <c r="AU48" s="194"/>
      <c r="AV48" s="191"/>
    </row>
    <row r="49" spans="2:48" x14ac:dyDescent="0.15">
      <c r="B49" s="188" t="s">
        <v>194</v>
      </c>
      <c r="AE49" s="188">
        <v>0</v>
      </c>
      <c r="AF49" s="188" t="s">
        <v>194</v>
      </c>
      <c r="AG49" s="188" t="s">
        <v>194</v>
      </c>
      <c r="AL49" s="188">
        <v>0</v>
      </c>
      <c r="AM49" s="188" t="s">
        <v>194</v>
      </c>
      <c r="AO49" s="188">
        <v>0</v>
      </c>
      <c r="AP49" s="188" t="s">
        <v>194</v>
      </c>
      <c r="AU49" s="194"/>
      <c r="AV49" s="191"/>
    </row>
    <row r="50" spans="2:48" x14ac:dyDescent="0.15">
      <c r="B50" s="188" t="s">
        <v>194</v>
      </c>
      <c r="AE50" s="188">
        <v>0</v>
      </c>
      <c r="AF50" s="188" t="s">
        <v>194</v>
      </c>
      <c r="AG50" s="188" t="s">
        <v>194</v>
      </c>
      <c r="AL50" s="188">
        <v>0</v>
      </c>
      <c r="AM50" s="188" t="s">
        <v>194</v>
      </c>
      <c r="AO50" s="188">
        <v>0</v>
      </c>
      <c r="AP50" s="188" t="s">
        <v>194</v>
      </c>
      <c r="AU50" s="194"/>
      <c r="AV50" s="191"/>
    </row>
    <row r="51" spans="2:48" x14ac:dyDescent="0.15">
      <c r="B51" s="188" t="s">
        <v>194</v>
      </c>
      <c r="AE51" s="188">
        <v>0</v>
      </c>
      <c r="AF51" s="188" t="s">
        <v>194</v>
      </c>
      <c r="AG51" s="188" t="s">
        <v>194</v>
      </c>
      <c r="AL51" s="188">
        <v>0</v>
      </c>
      <c r="AM51" s="188" t="s">
        <v>194</v>
      </c>
      <c r="AO51" s="188">
        <v>0</v>
      </c>
      <c r="AP51" s="188" t="s">
        <v>194</v>
      </c>
      <c r="AU51" s="194"/>
      <c r="AV51" s="191"/>
    </row>
    <row r="52" spans="2:48" x14ac:dyDescent="0.15">
      <c r="B52" s="188" t="s">
        <v>194</v>
      </c>
      <c r="AF52" s="188" t="s">
        <v>194</v>
      </c>
      <c r="AG52" s="188" t="s">
        <v>194</v>
      </c>
      <c r="AL52" s="188">
        <v>0</v>
      </c>
      <c r="AM52" s="188" t="s">
        <v>194</v>
      </c>
      <c r="AO52" s="188">
        <v>0</v>
      </c>
      <c r="AP52" s="188" t="s">
        <v>194</v>
      </c>
      <c r="AU52" s="194"/>
      <c r="AV52" s="191"/>
    </row>
    <row r="53" spans="2:48" x14ac:dyDescent="0.15">
      <c r="B53" s="188" t="s">
        <v>194</v>
      </c>
      <c r="AL53" s="188">
        <v>0</v>
      </c>
      <c r="AM53" s="188" t="s">
        <v>194</v>
      </c>
      <c r="AO53" s="188">
        <v>0</v>
      </c>
      <c r="AP53" s="188" t="s">
        <v>194</v>
      </c>
      <c r="AU53" s="194"/>
      <c r="AV53" s="191"/>
    </row>
    <row r="54" spans="2:48" x14ac:dyDescent="0.15">
      <c r="B54" s="188" t="s">
        <v>194</v>
      </c>
      <c r="AL54" s="188">
        <v>0</v>
      </c>
      <c r="AM54" s="188" t="s">
        <v>194</v>
      </c>
      <c r="AO54" s="188">
        <v>0</v>
      </c>
      <c r="AP54" s="188" t="s">
        <v>194</v>
      </c>
    </row>
    <row r="55" spans="2:48" x14ac:dyDescent="0.15">
      <c r="B55" s="188" t="s">
        <v>194</v>
      </c>
      <c r="AL55" s="188">
        <v>0</v>
      </c>
      <c r="AM55" s="188" t="s">
        <v>194</v>
      </c>
      <c r="AO55" s="188">
        <v>0</v>
      </c>
      <c r="AP55" s="188" t="s">
        <v>194</v>
      </c>
    </row>
    <row r="56" spans="2:48" x14ac:dyDescent="0.15">
      <c r="B56" s="188" t="s">
        <v>194</v>
      </c>
      <c r="AL56" s="188">
        <v>0</v>
      </c>
      <c r="AM56" s="188" t="s">
        <v>194</v>
      </c>
      <c r="AO56" s="188">
        <v>0</v>
      </c>
      <c r="AP56" s="188" t="s">
        <v>194</v>
      </c>
    </row>
    <row r="57" spans="2:48" x14ac:dyDescent="0.15">
      <c r="B57" s="188" t="s">
        <v>194</v>
      </c>
      <c r="AL57" s="188">
        <v>0</v>
      </c>
      <c r="AM57" s="188" t="s">
        <v>194</v>
      </c>
    </row>
    <row r="59" spans="2:48" x14ac:dyDescent="0.15">
      <c r="B59" s="188" t="s">
        <v>194</v>
      </c>
    </row>
    <row r="60" spans="2:48" x14ac:dyDescent="0.15">
      <c r="B60" s="188" t="s">
        <v>704</v>
      </c>
      <c r="C60" s="188" t="str">
        <f>B60&amp;", "</f>
        <v xml:space="preserve">Ahmed R 2-0-90-176, </v>
      </c>
    </row>
    <row r="61" spans="2:48" x14ac:dyDescent="0.15">
      <c r="B61" s="188" t="s">
        <v>718</v>
      </c>
      <c r="C61" s="188" t="str">
        <f t="shared" ref="C61:C80" si="0">B61&amp;", "</f>
        <v xml:space="preserve">Biswas A 1-0-4-4, </v>
      </c>
    </row>
    <row r="62" spans="2:48" x14ac:dyDescent="0.15">
      <c r="B62" s="188" t="s">
        <v>715</v>
      </c>
      <c r="C62" s="188" t="str">
        <f t="shared" si="0"/>
        <v xml:space="preserve">Brocks D 3-0-18-22, </v>
      </c>
    </row>
    <row r="63" spans="2:48" x14ac:dyDescent="0.15">
      <c r="B63" s="188" t="s">
        <v>708</v>
      </c>
      <c r="C63" s="188" t="str">
        <f t="shared" si="0"/>
        <v xml:space="preserve">Crone W 2-0-45-62, </v>
      </c>
    </row>
    <row r="64" spans="2:48" x14ac:dyDescent="0.15">
      <c r="B64" s="188" t="s">
        <v>710</v>
      </c>
      <c r="C64" s="188" t="str">
        <f t="shared" si="0"/>
        <v xml:space="preserve">Curling L 2-0-33-40, </v>
      </c>
    </row>
    <row r="65" spans="2:3" x14ac:dyDescent="0.15">
      <c r="B65" s="188" t="s">
        <v>717</v>
      </c>
      <c r="C65" s="188" t="str">
        <f t="shared" si="0"/>
        <v xml:space="preserve">Deol R 1-0-5-5, </v>
      </c>
    </row>
    <row r="66" spans="2:3" x14ac:dyDescent="0.15">
      <c r="B66" s="188" t="s">
        <v>721</v>
      </c>
      <c r="C66" s="188" t="str">
        <f t="shared" si="0"/>
        <v xml:space="preserve">Gardezi S 1-0-0-0, </v>
      </c>
    </row>
    <row r="67" spans="2:3" x14ac:dyDescent="0.15">
      <c r="B67" s="188" t="s">
        <v>720</v>
      </c>
      <c r="C67" s="188" t="str">
        <f t="shared" si="0"/>
        <v xml:space="preserve">Khan A 1-0-0-0, </v>
      </c>
    </row>
    <row r="68" spans="2:3" x14ac:dyDescent="0.15">
      <c r="B68" s="188" t="s">
        <v>724</v>
      </c>
      <c r="C68" s="188" t="str">
        <f t="shared" si="0"/>
        <v xml:space="preserve">Kiernan M 1-0-0-0, </v>
      </c>
    </row>
    <row r="69" spans="2:3" x14ac:dyDescent="0.15">
      <c r="B69" s="188" t="s">
        <v>713</v>
      </c>
      <c r="C69" s="188" t="str">
        <f t="shared" si="0"/>
        <v xml:space="preserve">Lindsay B 1-0-11-11, </v>
      </c>
    </row>
    <row r="70" spans="2:3" x14ac:dyDescent="0.15">
      <c r="B70" s="188" t="s">
        <v>706</v>
      </c>
      <c r="C70" s="188" t="str">
        <f t="shared" si="0"/>
        <v xml:space="preserve">Mahmood S 1-0-47-47, </v>
      </c>
    </row>
    <row r="71" spans="2:3" x14ac:dyDescent="0.15">
      <c r="B71" s="188" t="s">
        <v>716</v>
      </c>
      <c r="C71" s="188" t="str">
        <f t="shared" si="0"/>
        <v xml:space="preserve">Mander C 1-0-6-6, </v>
      </c>
    </row>
    <row r="72" spans="2:3" x14ac:dyDescent="0.15">
      <c r="B72" s="188" t="s">
        <v>711</v>
      </c>
      <c r="C72" s="188" t="str">
        <f t="shared" si="0"/>
        <v xml:space="preserve">Middleton J 4-1-36*-53, </v>
      </c>
    </row>
    <row r="73" spans="2:3" x14ac:dyDescent="0.15">
      <c r="B73" s="188" t="s">
        <v>707</v>
      </c>
      <c r="C73" s="188" t="str">
        <f t="shared" si="0"/>
        <v xml:space="preserve">Niran S 4-0-49-142, </v>
      </c>
    </row>
    <row r="74" spans="2:3" x14ac:dyDescent="0.15">
      <c r="B74" s="188" t="s">
        <v>723</v>
      </c>
      <c r="C74" s="188" t="str">
        <f t="shared" si="0"/>
        <v xml:space="preserve">Parboo R 1-0-0-0, </v>
      </c>
    </row>
    <row r="75" spans="2:3" x14ac:dyDescent="0.15">
      <c r="B75" s="188" t="s">
        <v>714</v>
      </c>
      <c r="C75" s="188" t="str">
        <f t="shared" si="0"/>
        <v xml:space="preserve">Patel S 1-0-9-9, </v>
      </c>
    </row>
    <row r="76" spans="2:3" x14ac:dyDescent="0.15">
      <c r="B76" s="188" t="s">
        <v>719</v>
      </c>
      <c r="C76" s="188" t="str">
        <f t="shared" si="0"/>
        <v xml:space="preserve">Rugg D 4-1-8-9, </v>
      </c>
    </row>
    <row r="77" spans="2:3" x14ac:dyDescent="0.15">
      <c r="B77" s="188" t="s">
        <v>705</v>
      </c>
      <c r="C77" s="188" t="str">
        <f t="shared" si="0"/>
        <v xml:space="preserve">Stevenson R 1-0-67-67, </v>
      </c>
    </row>
    <row r="78" spans="2:3" x14ac:dyDescent="0.15">
      <c r="B78" s="188" t="s">
        <v>722</v>
      </c>
      <c r="C78" s="188" t="str">
        <f t="shared" si="0"/>
        <v xml:space="preserve">Turner 1-1-16*-16, </v>
      </c>
    </row>
    <row r="79" spans="2:3" x14ac:dyDescent="0.15">
      <c r="B79" s="188" t="s">
        <v>712</v>
      </c>
      <c r="C79" s="188" t="str">
        <f t="shared" si="0"/>
        <v xml:space="preserve">Umar S 1-0-13-13, </v>
      </c>
    </row>
    <row r="80" spans="2:3" x14ac:dyDescent="0.15">
      <c r="B80" s="188" t="s">
        <v>709</v>
      </c>
      <c r="C80" s="188" t="str">
        <f t="shared" si="0"/>
        <v xml:space="preserve">Viveganandan M 3-1-43-50, </v>
      </c>
    </row>
  </sheetData>
  <sortState ref="AR2:AS59">
    <sortCondition descending="1" ref="AR2:AR59"/>
  </sortState>
  <mergeCells count="9">
    <mergeCell ref="AO1:AP1"/>
    <mergeCell ref="AR1:AS1"/>
    <mergeCell ref="AU1:AZ1"/>
    <mergeCell ref="A1:G1"/>
    <mergeCell ref="I1:R1"/>
    <mergeCell ref="T1:AD1"/>
    <mergeCell ref="AF1:AG1"/>
    <mergeCell ref="AI1:AJ1"/>
    <mergeCell ref="AL1:AM1"/>
  </mergeCells>
  <pageMargins left="0.70866141732283472" right="0.70866141732283472" top="0.55118110236220474" bottom="0.55118110236220474" header="0.31496062992125984" footer="0.31496062992125984"/>
  <pageSetup paperSize="9" orientation="landscape" horizontalDpi="4294967293" verticalDpi="0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O83"/>
  <sheetViews>
    <sheetView topLeftCell="E1" workbookViewId="0">
      <selection activeCell="AC18" sqref="AC18"/>
    </sheetView>
  </sheetViews>
  <sheetFormatPr defaultRowHeight="10.5" x14ac:dyDescent="0.15"/>
  <cols>
    <col min="28" max="28" width="4.7109375" style="217" customWidth="1"/>
    <col min="29" max="29" width="19" customWidth="1"/>
    <col min="30" max="30" width="4.7109375" style="217" customWidth="1"/>
    <col min="31" max="31" width="19" customWidth="1"/>
    <col min="32" max="32" width="4.7109375" style="217" customWidth="1"/>
    <col min="33" max="33" width="19" customWidth="1"/>
    <col min="34" max="34" width="4.7109375" style="217" customWidth="1"/>
    <col min="35" max="35" width="12.7109375" customWidth="1"/>
    <col min="36" max="36" width="4.7109375" style="217" customWidth="1"/>
    <col min="37" max="37" width="12.7109375" customWidth="1"/>
    <col min="38" max="38" width="4.7109375" style="217" customWidth="1"/>
    <col min="39" max="39" width="12.7109375" customWidth="1"/>
    <col min="40" max="40" width="4.7109375" style="217" customWidth="1"/>
    <col min="41" max="41" width="12.7109375" customWidth="1"/>
  </cols>
  <sheetData>
    <row r="1" spans="1:29" x14ac:dyDescent="0.15">
      <c r="A1" t="s">
        <v>725</v>
      </c>
      <c r="B1" t="s">
        <v>725</v>
      </c>
      <c r="C1" t="s">
        <v>725</v>
      </c>
      <c r="D1" t="s">
        <v>725</v>
      </c>
      <c r="E1" t="s">
        <v>725</v>
      </c>
      <c r="F1" t="s">
        <v>725</v>
      </c>
      <c r="G1" t="s">
        <v>725</v>
      </c>
      <c r="H1" t="s">
        <v>725</v>
      </c>
      <c r="I1" t="s">
        <v>725</v>
      </c>
      <c r="J1" t="s">
        <v>725</v>
      </c>
      <c r="K1" t="s">
        <v>725</v>
      </c>
      <c r="L1" t="s">
        <v>725</v>
      </c>
      <c r="M1" t="s">
        <v>725</v>
      </c>
      <c r="N1" t="s">
        <v>725</v>
      </c>
      <c r="O1" t="s">
        <v>725</v>
      </c>
      <c r="P1" t="s">
        <v>725</v>
      </c>
      <c r="Q1" t="s">
        <v>725</v>
      </c>
      <c r="R1" t="s">
        <v>725</v>
      </c>
      <c r="S1" t="s">
        <v>725</v>
      </c>
      <c r="T1" t="s">
        <v>725</v>
      </c>
      <c r="U1" t="s">
        <v>725</v>
      </c>
      <c r="V1" t="s">
        <v>725</v>
      </c>
    </row>
    <row r="2" spans="1:29" x14ac:dyDescent="0.15">
      <c r="A2" t="s">
        <v>725</v>
      </c>
      <c r="B2" t="s">
        <v>725</v>
      </c>
      <c r="C2" t="s">
        <v>725</v>
      </c>
      <c r="D2" t="s">
        <v>725</v>
      </c>
      <c r="F2" t="s">
        <v>725</v>
      </c>
      <c r="G2" t="s">
        <v>725</v>
      </c>
      <c r="H2" t="s">
        <v>725</v>
      </c>
      <c r="J2" t="s">
        <v>725</v>
      </c>
      <c r="K2" t="s">
        <v>725</v>
      </c>
      <c r="L2" t="s">
        <v>725</v>
      </c>
      <c r="M2" t="s">
        <v>725</v>
      </c>
      <c r="N2" t="s">
        <v>725</v>
      </c>
      <c r="O2" t="s">
        <v>725</v>
      </c>
      <c r="P2" t="s">
        <v>725</v>
      </c>
      <c r="Q2" t="s">
        <v>725</v>
      </c>
      <c r="R2" t="s">
        <v>725</v>
      </c>
      <c r="S2" t="s">
        <v>725</v>
      </c>
      <c r="T2" t="s">
        <v>725</v>
      </c>
      <c r="U2" t="s">
        <v>725</v>
      </c>
      <c r="V2" t="s">
        <v>725</v>
      </c>
    </row>
    <row r="3" spans="1:29" x14ac:dyDescent="0.15">
      <c r="A3" t="s">
        <v>725</v>
      </c>
      <c r="B3" t="s">
        <v>725</v>
      </c>
      <c r="C3" t="s">
        <v>725</v>
      </c>
      <c r="D3" t="s">
        <v>725</v>
      </c>
      <c r="E3" t="s">
        <v>725</v>
      </c>
      <c r="F3" t="s">
        <v>725</v>
      </c>
      <c r="G3" t="s">
        <v>725</v>
      </c>
      <c r="H3" t="s">
        <v>725</v>
      </c>
      <c r="I3" t="s">
        <v>725</v>
      </c>
      <c r="J3" t="s">
        <v>725</v>
      </c>
      <c r="K3" t="s">
        <v>725</v>
      </c>
      <c r="L3" t="s">
        <v>725</v>
      </c>
      <c r="M3" t="s">
        <v>725</v>
      </c>
      <c r="N3" t="s">
        <v>725</v>
      </c>
      <c r="O3" t="s">
        <v>725</v>
      </c>
      <c r="P3" t="s">
        <v>725</v>
      </c>
      <c r="Q3" t="s">
        <v>725</v>
      </c>
      <c r="R3" t="s">
        <v>725</v>
      </c>
      <c r="S3" t="s">
        <v>725</v>
      </c>
      <c r="T3" t="s">
        <v>725</v>
      </c>
      <c r="U3" t="s">
        <v>725</v>
      </c>
      <c r="V3" t="s">
        <v>725</v>
      </c>
    </row>
    <row r="4" spans="1:29" x14ac:dyDescent="0.15">
      <c r="A4" t="s">
        <v>725</v>
      </c>
      <c r="B4" t="s">
        <v>725</v>
      </c>
      <c r="C4" t="s">
        <v>725</v>
      </c>
      <c r="D4" t="s">
        <v>725</v>
      </c>
      <c r="E4" t="s">
        <v>725</v>
      </c>
      <c r="F4" t="s">
        <v>725</v>
      </c>
      <c r="G4" t="s">
        <v>725</v>
      </c>
      <c r="H4" t="s">
        <v>725</v>
      </c>
      <c r="I4" t="s">
        <v>725</v>
      </c>
      <c r="J4" t="s">
        <v>725</v>
      </c>
      <c r="K4" t="s">
        <v>725</v>
      </c>
      <c r="L4" t="s">
        <v>725</v>
      </c>
      <c r="M4" t="s">
        <v>725</v>
      </c>
      <c r="N4" t="s">
        <v>725</v>
      </c>
      <c r="O4" t="s">
        <v>725</v>
      </c>
      <c r="P4" t="s">
        <v>725</v>
      </c>
      <c r="Q4" t="s">
        <v>725</v>
      </c>
      <c r="R4" t="s">
        <v>725</v>
      </c>
      <c r="S4" t="s">
        <v>725</v>
      </c>
      <c r="T4" t="s">
        <v>725</v>
      </c>
      <c r="U4" t="s">
        <v>725</v>
      </c>
      <c r="V4" t="s">
        <v>725</v>
      </c>
    </row>
    <row r="5" spans="1:29" x14ac:dyDescent="0.15">
      <c r="A5" t="s">
        <v>725</v>
      </c>
      <c r="B5" t="s">
        <v>725</v>
      </c>
      <c r="C5" t="s">
        <v>725</v>
      </c>
      <c r="D5" t="s">
        <v>725</v>
      </c>
      <c r="E5" t="s">
        <v>725</v>
      </c>
      <c r="F5" t="s">
        <v>725</v>
      </c>
      <c r="G5" t="s">
        <v>725</v>
      </c>
      <c r="H5" t="s">
        <v>725</v>
      </c>
      <c r="I5" t="s">
        <v>725</v>
      </c>
      <c r="J5" t="s">
        <v>725</v>
      </c>
      <c r="K5" t="s">
        <v>725</v>
      </c>
      <c r="L5" t="s">
        <v>725</v>
      </c>
      <c r="M5" t="s">
        <v>725</v>
      </c>
      <c r="N5" t="s">
        <v>725</v>
      </c>
      <c r="O5" t="s">
        <v>725</v>
      </c>
      <c r="P5" t="s">
        <v>725</v>
      </c>
      <c r="Q5" t="s">
        <v>725</v>
      </c>
      <c r="R5" t="s">
        <v>725</v>
      </c>
      <c r="S5" t="s">
        <v>725</v>
      </c>
      <c r="T5" t="s">
        <v>725</v>
      </c>
      <c r="U5" t="s">
        <v>725</v>
      </c>
      <c r="V5" t="s">
        <v>725</v>
      </c>
    </row>
    <row r="6" spans="1:29" x14ac:dyDescent="0.15">
      <c r="A6" t="s">
        <v>725</v>
      </c>
      <c r="B6" t="s">
        <v>725</v>
      </c>
      <c r="C6" t="s">
        <v>725</v>
      </c>
      <c r="D6" t="s">
        <v>725</v>
      </c>
      <c r="E6" t="s">
        <v>725</v>
      </c>
      <c r="F6" t="s">
        <v>725</v>
      </c>
      <c r="G6" t="s">
        <v>725</v>
      </c>
      <c r="H6" t="s">
        <v>725</v>
      </c>
      <c r="I6" t="s">
        <v>725</v>
      </c>
      <c r="J6" t="s">
        <v>725</v>
      </c>
      <c r="K6" t="s">
        <v>725</v>
      </c>
      <c r="L6" t="s">
        <v>725</v>
      </c>
      <c r="M6" t="s">
        <v>725</v>
      </c>
      <c r="N6" t="s">
        <v>725</v>
      </c>
      <c r="O6" t="s">
        <v>725</v>
      </c>
      <c r="P6" t="s">
        <v>725</v>
      </c>
      <c r="Q6" t="s">
        <v>725</v>
      </c>
      <c r="R6" t="s">
        <v>725</v>
      </c>
      <c r="S6" t="s">
        <v>725</v>
      </c>
      <c r="T6" t="s">
        <v>725</v>
      </c>
      <c r="U6" t="s">
        <v>725</v>
      </c>
      <c r="V6" t="s">
        <v>725</v>
      </c>
      <c r="W6" t="s">
        <v>726</v>
      </c>
      <c r="X6" t="s">
        <v>324</v>
      </c>
      <c r="Y6" t="s">
        <v>269</v>
      </c>
      <c r="Z6" s="220">
        <v>45040</v>
      </c>
    </row>
    <row r="7" spans="1:29" x14ac:dyDescent="0.15">
      <c r="A7" t="s">
        <v>725</v>
      </c>
      <c r="B7" t="s">
        <v>725</v>
      </c>
      <c r="C7" t="s">
        <v>725</v>
      </c>
      <c r="D7" t="s">
        <v>725</v>
      </c>
      <c r="E7" t="s">
        <v>725</v>
      </c>
      <c r="F7" t="s">
        <v>725</v>
      </c>
      <c r="G7" t="s">
        <v>725</v>
      </c>
      <c r="H7" t="s">
        <v>725</v>
      </c>
      <c r="I7" t="s">
        <v>725</v>
      </c>
      <c r="J7" t="s">
        <v>725</v>
      </c>
      <c r="K7" t="s">
        <v>725</v>
      </c>
      <c r="L7" t="s">
        <v>725</v>
      </c>
      <c r="M7" t="s">
        <v>725</v>
      </c>
      <c r="N7" t="s">
        <v>725</v>
      </c>
      <c r="O7" t="s">
        <v>725</v>
      </c>
      <c r="P7" t="s">
        <v>725</v>
      </c>
      <c r="Q7" t="s">
        <v>725</v>
      </c>
      <c r="R7" t="s">
        <v>725</v>
      </c>
      <c r="S7" t="s">
        <v>725</v>
      </c>
      <c r="T7" t="s">
        <v>725</v>
      </c>
      <c r="U7" t="s">
        <v>725</v>
      </c>
      <c r="V7" t="s">
        <v>725</v>
      </c>
      <c r="W7">
        <v>90</v>
      </c>
      <c r="X7" t="s">
        <v>432</v>
      </c>
      <c r="Y7" t="s">
        <v>393</v>
      </c>
      <c r="Z7" s="220">
        <v>45068</v>
      </c>
      <c r="AC7" t="s">
        <v>194</v>
      </c>
    </row>
    <row r="8" spans="1:29" x14ac:dyDescent="0.15">
      <c r="A8" t="s">
        <v>725</v>
      </c>
      <c r="B8" t="s">
        <v>725</v>
      </c>
      <c r="C8" t="s">
        <v>725</v>
      </c>
      <c r="D8" t="s">
        <v>725</v>
      </c>
      <c r="E8" t="s">
        <v>725</v>
      </c>
      <c r="F8" t="s">
        <v>725</v>
      </c>
      <c r="G8" t="s">
        <v>725</v>
      </c>
      <c r="H8" t="s">
        <v>725</v>
      </c>
      <c r="I8" t="s">
        <v>725</v>
      </c>
      <c r="J8" t="s">
        <v>725</v>
      </c>
      <c r="K8" t="s">
        <v>725</v>
      </c>
      <c r="L8" t="s">
        <v>725</v>
      </c>
      <c r="M8" t="s">
        <v>725</v>
      </c>
      <c r="N8" t="s">
        <v>725</v>
      </c>
      <c r="O8" t="s">
        <v>725</v>
      </c>
      <c r="P8" t="s">
        <v>725</v>
      </c>
      <c r="Q8" t="s">
        <v>725</v>
      </c>
      <c r="R8" t="s">
        <v>725</v>
      </c>
      <c r="S8" t="s">
        <v>725</v>
      </c>
      <c r="T8" t="s">
        <v>725</v>
      </c>
      <c r="U8" t="s">
        <v>725</v>
      </c>
      <c r="V8" t="s">
        <v>725</v>
      </c>
      <c r="W8">
        <v>84</v>
      </c>
      <c r="X8" t="s">
        <v>324</v>
      </c>
      <c r="Y8" t="s">
        <v>535</v>
      </c>
      <c r="Z8" s="220">
        <v>45152</v>
      </c>
      <c r="AC8" t="s">
        <v>194</v>
      </c>
    </row>
    <row r="9" spans="1:29" x14ac:dyDescent="0.15">
      <c r="B9" t="s">
        <v>725</v>
      </c>
      <c r="C9" t="s">
        <v>725</v>
      </c>
      <c r="D9" t="s">
        <v>725</v>
      </c>
      <c r="E9" t="s">
        <v>725</v>
      </c>
      <c r="F9" t="s">
        <v>725</v>
      </c>
      <c r="G9" t="s">
        <v>725</v>
      </c>
      <c r="H9" t="s">
        <v>725</v>
      </c>
      <c r="I9" t="s">
        <v>725</v>
      </c>
      <c r="J9" t="s">
        <v>725</v>
      </c>
      <c r="K9" t="s">
        <v>725</v>
      </c>
      <c r="L9" t="s">
        <v>725</v>
      </c>
      <c r="M9" t="s">
        <v>725</v>
      </c>
      <c r="N9" t="s">
        <v>725</v>
      </c>
      <c r="O9" t="s">
        <v>725</v>
      </c>
      <c r="Q9" t="s">
        <v>725</v>
      </c>
      <c r="R9" t="s">
        <v>725</v>
      </c>
      <c r="S9" t="s">
        <v>725</v>
      </c>
      <c r="T9" t="s">
        <v>725</v>
      </c>
      <c r="U9" t="s">
        <v>725</v>
      </c>
      <c r="V9" t="s">
        <v>725</v>
      </c>
      <c r="W9">
        <v>86</v>
      </c>
      <c r="X9" t="s">
        <v>432</v>
      </c>
      <c r="Y9" t="s">
        <v>290</v>
      </c>
      <c r="Z9" s="220">
        <v>45089</v>
      </c>
      <c r="AC9" t="s">
        <v>194</v>
      </c>
    </row>
    <row r="10" spans="1:29" x14ac:dyDescent="0.15">
      <c r="A10" t="s">
        <v>725</v>
      </c>
      <c r="B10" t="s">
        <v>725</v>
      </c>
      <c r="C10" t="s">
        <v>725</v>
      </c>
      <c r="D10" t="s">
        <v>725</v>
      </c>
      <c r="E10" t="s">
        <v>725</v>
      </c>
      <c r="F10" t="s">
        <v>725</v>
      </c>
      <c r="G10" t="s">
        <v>725</v>
      </c>
      <c r="H10" t="s">
        <v>725</v>
      </c>
      <c r="I10" t="s">
        <v>725</v>
      </c>
      <c r="J10" t="s">
        <v>725</v>
      </c>
      <c r="K10" t="s">
        <v>725</v>
      </c>
      <c r="L10" t="s">
        <v>725</v>
      </c>
      <c r="M10" t="s">
        <v>725</v>
      </c>
      <c r="N10" t="s">
        <v>725</v>
      </c>
      <c r="O10" t="s">
        <v>725</v>
      </c>
      <c r="P10" t="s">
        <v>725</v>
      </c>
      <c r="Q10" t="s">
        <v>725</v>
      </c>
      <c r="R10" t="s">
        <v>725</v>
      </c>
      <c r="S10" t="s">
        <v>725</v>
      </c>
      <c r="T10" t="s">
        <v>725</v>
      </c>
      <c r="U10" t="s">
        <v>725</v>
      </c>
      <c r="V10" t="s">
        <v>725</v>
      </c>
      <c r="W10">
        <v>52</v>
      </c>
      <c r="X10" t="s">
        <v>387</v>
      </c>
      <c r="Y10" t="s">
        <v>583</v>
      </c>
      <c r="Z10" s="220">
        <v>45194</v>
      </c>
      <c r="AC10" t="s">
        <v>738</v>
      </c>
    </row>
    <row r="11" spans="1:29" x14ac:dyDescent="0.15">
      <c r="A11" t="s">
        <v>725</v>
      </c>
      <c r="B11" t="s">
        <v>725</v>
      </c>
      <c r="C11" t="s">
        <v>725</v>
      </c>
      <c r="D11" t="s">
        <v>725</v>
      </c>
      <c r="E11" t="s">
        <v>725</v>
      </c>
      <c r="F11" t="s">
        <v>725</v>
      </c>
      <c r="G11" t="s">
        <v>725</v>
      </c>
      <c r="H11" t="s">
        <v>725</v>
      </c>
      <c r="I11" t="s">
        <v>725</v>
      </c>
      <c r="J11" t="s">
        <v>725</v>
      </c>
      <c r="K11" t="s">
        <v>725</v>
      </c>
      <c r="L11" t="s">
        <v>725</v>
      </c>
      <c r="M11" t="s">
        <v>725</v>
      </c>
      <c r="N11" t="s">
        <v>725</v>
      </c>
      <c r="O11" t="s">
        <v>725</v>
      </c>
      <c r="P11" t="s">
        <v>725</v>
      </c>
      <c r="Q11" t="s">
        <v>725</v>
      </c>
      <c r="R11" t="s">
        <v>725</v>
      </c>
      <c r="S11" t="s">
        <v>725</v>
      </c>
      <c r="T11" t="s">
        <v>725</v>
      </c>
      <c r="U11" t="s">
        <v>725</v>
      </c>
      <c r="V11" t="s">
        <v>725</v>
      </c>
      <c r="W11" t="s">
        <v>727</v>
      </c>
      <c r="X11" t="s">
        <v>136</v>
      </c>
      <c r="Y11" t="s">
        <v>551</v>
      </c>
      <c r="Z11" s="220">
        <v>45110</v>
      </c>
      <c r="AC11" t="s">
        <v>750</v>
      </c>
    </row>
    <row r="12" spans="1:29" x14ac:dyDescent="0.15">
      <c r="A12" t="s">
        <v>725</v>
      </c>
      <c r="B12" t="s">
        <v>725</v>
      </c>
      <c r="C12" t="s">
        <v>725</v>
      </c>
      <c r="D12" t="s">
        <v>725</v>
      </c>
      <c r="E12" t="s">
        <v>725</v>
      </c>
      <c r="F12" t="s">
        <v>725</v>
      </c>
      <c r="G12" t="s">
        <v>725</v>
      </c>
      <c r="H12" t="s">
        <v>725</v>
      </c>
      <c r="I12" t="s">
        <v>725</v>
      </c>
      <c r="J12" t="s">
        <v>725</v>
      </c>
      <c r="K12" t="s">
        <v>725</v>
      </c>
      <c r="L12" t="s">
        <v>725</v>
      </c>
      <c r="M12" t="s">
        <v>725</v>
      </c>
      <c r="N12" t="s">
        <v>725</v>
      </c>
      <c r="O12" t="s">
        <v>725</v>
      </c>
      <c r="P12" t="s">
        <v>725</v>
      </c>
      <c r="Q12" t="s">
        <v>725</v>
      </c>
      <c r="R12" t="s">
        <v>725</v>
      </c>
      <c r="S12" t="s">
        <v>725</v>
      </c>
      <c r="T12" t="s">
        <v>725</v>
      </c>
      <c r="U12" t="s">
        <v>725</v>
      </c>
      <c r="V12" t="s">
        <v>725</v>
      </c>
      <c r="W12">
        <v>86</v>
      </c>
      <c r="X12" t="s">
        <v>136</v>
      </c>
      <c r="Y12" t="s">
        <v>511</v>
      </c>
      <c r="Z12" s="220">
        <v>45096</v>
      </c>
      <c r="AC12" t="s">
        <v>743</v>
      </c>
    </row>
    <row r="13" spans="1:29" x14ac:dyDescent="0.15">
      <c r="A13" t="s">
        <v>725</v>
      </c>
      <c r="B13" t="s">
        <v>725</v>
      </c>
      <c r="C13" t="s">
        <v>725</v>
      </c>
      <c r="D13" t="s">
        <v>725</v>
      </c>
      <c r="E13" t="s">
        <v>725</v>
      </c>
      <c r="F13" t="s">
        <v>725</v>
      </c>
      <c r="G13" t="s">
        <v>725</v>
      </c>
      <c r="H13" t="s">
        <v>725</v>
      </c>
      <c r="I13" t="s">
        <v>725</v>
      </c>
      <c r="J13" t="s">
        <v>725</v>
      </c>
      <c r="K13" t="s">
        <v>725</v>
      </c>
      <c r="L13" t="s">
        <v>725</v>
      </c>
      <c r="M13" t="s">
        <v>725</v>
      </c>
      <c r="N13" t="s">
        <v>725</v>
      </c>
      <c r="O13" t="s">
        <v>725</v>
      </c>
      <c r="P13" t="s">
        <v>725</v>
      </c>
      <c r="Q13" t="s">
        <v>725</v>
      </c>
      <c r="R13" t="s">
        <v>725</v>
      </c>
      <c r="S13" t="s">
        <v>725</v>
      </c>
      <c r="T13" t="s">
        <v>725</v>
      </c>
      <c r="U13" t="s">
        <v>725</v>
      </c>
      <c r="V13" t="s">
        <v>725</v>
      </c>
      <c r="W13">
        <v>52</v>
      </c>
      <c r="X13" t="s">
        <v>196</v>
      </c>
      <c r="Y13" t="s">
        <v>290</v>
      </c>
      <c r="Z13" s="220">
        <v>45089</v>
      </c>
      <c r="AC13" t="s">
        <v>744</v>
      </c>
    </row>
    <row r="14" spans="1:29" x14ac:dyDescent="0.15">
      <c r="A14" t="s">
        <v>725</v>
      </c>
      <c r="B14" t="s">
        <v>725</v>
      </c>
      <c r="C14" t="s">
        <v>725</v>
      </c>
      <c r="D14" t="s">
        <v>725</v>
      </c>
      <c r="E14" t="s">
        <v>725</v>
      </c>
      <c r="F14" t="s">
        <v>725</v>
      </c>
      <c r="G14" t="s">
        <v>725</v>
      </c>
      <c r="H14" t="s">
        <v>725</v>
      </c>
      <c r="I14" t="s">
        <v>725</v>
      </c>
      <c r="J14" t="s">
        <v>725</v>
      </c>
      <c r="K14" t="s">
        <v>725</v>
      </c>
      <c r="L14" t="s">
        <v>725</v>
      </c>
      <c r="M14" t="s">
        <v>725</v>
      </c>
      <c r="N14" t="s">
        <v>725</v>
      </c>
      <c r="O14" t="s">
        <v>725</v>
      </c>
      <c r="P14" t="s">
        <v>725</v>
      </c>
      <c r="Q14" t="s">
        <v>725</v>
      </c>
      <c r="R14" t="s">
        <v>725</v>
      </c>
      <c r="S14" t="s">
        <v>725</v>
      </c>
      <c r="T14" t="s">
        <v>725</v>
      </c>
      <c r="U14" t="s">
        <v>725</v>
      </c>
      <c r="V14" t="s">
        <v>725</v>
      </c>
      <c r="W14">
        <v>66</v>
      </c>
      <c r="X14" t="s">
        <v>387</v>
      </c>
      <c r="Y14" t="s">
        <v>393</v>
      </c>
      <c r="Z14" s="220">
        <v>45068</v>
      </c>
      <c r="AC14" t="s">
        <v>748</v>
      </c>
    </row>
    <row r="15" spans="1:29" x14ac:dyDescent="0.15">
      <c r="A15" t="s">
        <v>725</v>
      </c>
      <c r="B15" t="s">
        <v>725</v>
      </c>
      <c r="C15" t="s">
        <v>725</v>
      </c>
      <c r="D15" t="s">
        <v>725</v>
      </c>
      <c r="E15" t="s">
        <v>725</v>
      </c>
      <c r="F15" t="s">
        <v>725</v>
      </c>
      <c r="G15" t="s">
        <v>725</v>
      </c>
      <c r="H15" t="s">
        <v>725</v>
      </c>
      <c r="I15" t="s">
        <v>725</v>
      </c>
      <c r="J15" t="s">
        <v>725</v>
      </c>
      <c r="K15" t="s">
        <v>725</v>
      </c>
      <c r="L15" t="s">
        <v>725</v>
      </c>
      <c r="M15" t="s">
        <v>725</v>
      </c>
      <c r="N15" t="s">
        <v>725</v>
      </c>
      <c r="O15" t="s">
        <v>725</v>
      </c>
      <c r="P15" t="s">
        <v>725</v>
      </c>
      <c r="Q15" t="s">
        <v>725</v>
      </c>
      <c r="R15" t="s">
        <v>725</v>
      </c>
      <c r="S15" t="s">
        <v>725</v>
      </c>
      <c r="T15" t="s">
        <v>725</v>
      </c>
      <c r="U15" t="s">
        <v>725</v>
      </c>
      <c r="V15" t="s">
        <v>725</v>
      </c>
      <c r="W15">
        <v>67</v>
      </c>
      <c r="X15" t="s">
        <v>307</v>
      </c>
      <c r="Y15" t="s">
        <v>290</v>
      </c>
      <c r="Z15" s="220">
        <v>45089</v>
      </c>
      <c r="AC15" t="s">
        <v>730</v>
      </c>
    </row>
    <row r="16" spans="1:29" x14ac:dyDescent="0.15">
      <c r="A16" t="s">
        <v>725</v>
      </c>
      <c r="B16" t="s">
        <v>725</v>
      </c>
      <c r="C16" t="s">
        <v>725</v>
      </c>
      <c r="D16" t="s">
        <v>725</v>
      </c>
      <c r="E16" t="s">
        <v>725</v>
      </c>
      <c r="F16" t="s">
        <v>725</v>
      </c>
      <c r="G16" t="s">
        <v>725</v>
      </c>
      <c r="H16" t="s">
        <v>725</v>
      </c>
      <c r="I16" t="s">
        <v>725</v>
      </c>
      <c r="J16" t="s">
        <v>725</v>
      </c>
      <c r="K16" t="s">
        <v>725</v>
      </c>
      <c r="L16" t="s">
        <v>725</v>
      </c>
      <c r="M16" t="s">
        <v>725</v>
      </c>
      <c r="N16" t="s">
        <v>725</v>
      </c>
      <c r="O16" t="s">
        <v>725</v>
      </c>
      <c r="P16" t="s">
        <v>725</v>
      </c>
      <c r="Q16" t="s">
        <v>725</v>
      </c>
      <c r="R16" t="s">
        <v>725</v>
      </c>
      <c r="S16" t="s">
        <v>725</v>
      </c>
      <c r="T16" t="s">
        <v>725</v>
      </c>
      <c r="U16" t="s">
        <v>725</v>
      </c>
      <c r="V16" t="s">
        <v>725</v>
      </c>
      <c r="W16">
        <v>70</v>
      </c>
      <c r="X16" t="s">
        <v>196</v>
      </c>
      <c r="Y16" t="s">
        <v>384</v>
      </c>
      <c r="Z16" s="220">
        <v>45061</v>
      </c>
      <c r="AC16" t="s">
        <v>733</v>
      </c>
    </row>
    <row r="17" spans="1:41" x14ac:dyDescent="0.15">
      <c r="A17" t="s">
        <v>725</v>
      </c>
      <c r="B17" t="s">
        <v>725</v>
      </c>
      <c r="C17" t="s">
        <v>725</v>
      </c>
      <c r="D17" t="s">
        <v>725</v>
      </c>
      <c r="E17" t="s">
        <v>725</v>
      </c>
      <c r="F17" t="s">
        <v>725</v>
      </c>
      <c r="G17" t="s">
        <v>725</v>
      </c>
      <c r="H17" t="s">
        <v>725</v>
      </c>
      <c r="I17" t="s">
        <v>725</v>
      </c>
      <c r="J17" t="s">
        <v>725</v>
      </c>
      <c r="K17" t="s">
        <v>725</v>
      </c>
      <c r="L17" t="s">
        <v>725</v>
      </c>
      <c r="M17" t="s">
        <v>725</v>
      </c>
      <c r="N17" t="s">
        <v>725</v>
      </c>
      <c r="O17" t="s">
        <v>725</v>
      </c>
      <c r="P17" t="s">
        <v>725</v>
      </c>
      <c r="Q17" t="s">
        <v>725</v>
      </c>
      <c r="R17" t="s">
        <v>725</v>
      </c>
      <c r="S17" t="s">
        <v>725</v>
      </c>
      <c r="T17" t="s">
        <v>725</v>
      </c>
      <c r="U17" t="s">
        <v>725</v>
      </c>
      <c r="V17" t="s">
        <v>725</v>
      </c>
      <c r="W17" t="s">
        <v>728</v>
      </c>
      <c r="X17" t="s">
        <v>259</v>
      </c>
      <c r="Y17" t="s">
        <v>291</v>
      </c>
      <c r="Z17" s="220">
        <v>45047</v>
      </c>
      <c r="AC17" t="s">
        <v>749</v>
      </c>
    </row>
    <row r="18" spans="1:41" x14ac:dyDescent="0.15">
      <c r="A18" t="s">
        <v>725</v>
      </c>
      <c r="B18" t="s">
        <v>725</v>
      </c>
      <c r="C18" t="s">
        <v>725</v>
      </c>
      <c r="D18" t="s">
        <v>725</v>
      </c>
      <c r="E18" t="s">
        <v>725</v>
      </c>
      <c r="F18" t="s">
        <v>725</v>
      </c>
      <c r="G18" t="s">
        <v>725</v>
      </c>
      <c r="H18" t="s">
        <v>725</v>
      </c>
      <c r="I18" t="s">
        <v>725</v>
      </c>
      <c r="J18" t="s">
        <v>725</v>
      </c>
      <c r="K18" t="s">
        <v>725</v>
      </c>
      <c r="L18" t="s">
        <v>725</v>
      </c>
      <c r="M18" t="s">
        <v>725</v>
      </c>
      <c r="N18" t="s">
        <v>725</v>
      </c>
      <c r="O18" t="s">
        <v>725</v>
      </c>
      <c r="P18" t="s">
        <v>725</v>
      </c>
      <c r="Q18" t="s">
        <v>725</v>
      </c>
      <c r="R18" t="s">
        <v>725</v>
      </c>
      <c r="S18" t="s">
        <v>725</v>
      </c>
      <c r="T18" t="s">
        <v>725</v>
      </c>
      <c r="U18" t="s">
        <v>725</v>
      </c>
      <c r="V18" t="s">
        <v>725</v>
      </c>
      <c r="W18">
        <v>64</v>
      </c>
      <c r="X18" t="s">
        <v>222</v>
      </c>
      <c r="Y18" t="s">
        <v>392</v>
      </c>
      <c r="Z18" s="220">
        <v>45054</v>
      </c>
      <c r="AC18" t="s">
        <v>740</v>
      </c>
    </row>
    <row r="19" spans="1:41" x14ac:dyDescent="0.15">
      <c r="A19" t="s">
        <v>725</v>
      </c>
      <c r="B19" t="s">
        <v>725</v>
      </c>
      <c r="C19" t="s">
        <v>725</v>
      </c>
      <c r="D19" t="s">
        <v>725</v>
      </c>
      <c r="E19" t="s">
        <v>725</v>
      </c>
      <c r="F19" t="s">
        <v>725</v>
      </c>
      <c r="G19" t="s">
        <v>725</v>
      </c>
      <c r="H19" t="s">
        <v>725</v>
      </c>
      <c r="I19" t="s">
        <v>725</v>
      </c>
      <c r="J19" t="s">
        <v>725</v>
      </c>
      <c r="K19" t="s">
        <v>725</v>
      </c>
      <c r="L19" t="s">
        <v>725</v>
      </c>
      <c r="M19" t="s">
        <v>725</v>
      </c>
      <c r="N19" t="s">
        <v>725</v>
      </c>
      <c r="O19" t="s">
        <v>725</v>
      </c>
      <c r="P19" t="s">
        <v>725</v>
      </c>
      <c r="Q19" t="s">
        <v>725</v>
      </c>
      <c r="R19" t="s">
        <v>725</v>
      </c>
      <c r="S19" t="s">
        <v>725</v>
      </c>
      <c r="T19" t="s">
        <v>725</v>
      </c>
      <c r="U19" t="s">
        <v>725</v>
      </c>
      <c r="V19" t="s">
        <v>725</v>
      </c>
      <c r="AC19" t="s">
        <v>736</v>
      </c>
    </row>
    <row r="20" spans="1:41" x14ac:dyDescent="0.15">
      <c r="A20" t="s">
        <v>725</v>
      </c>
      <c r="B20" t="s">
        <v>725</v>
      </c>
      <c r="C20" t="s">
        <v>725</v>
      </c>
      <c r="D20" t="s">
        <v>725</v>
      </c>
      <c r="E20" t="s">
        <v>725</v>
      </c>
      <c r="F20" t="s">
        <v>725</v>
      </c>
      <c r="G20" t="s">
        <v>725</v>
      </c>
      <c r="H20" t="s">
        <v>725</v>
      </c>
      <c r="I20" t="s">
        <v>725</v>
      </c>
      <c r="J20" t="s">
        <v>725</v>
      </c>
      <c r="K20" t="s">
        <v>725</v>
      </c>
      <c r="L20" t="s">
        <v>725</v>
      </c>
      <c r="M20" t="s">
        <v>725</v>
      </c>
      <c r="N20" t="s">
        <v>725</v>
      </c>
      <c r="O20" t="s">
        <v>725</v>
      </c>
      <c r="P20" t="s">
        <v>725</v>
      </c>
      <c r="Q20" t="s">
        <v>725</v>
      </c>
      <c r="R20" t="s">
        <v>725</v>
      </c>
      <c r="S20" t="s">
        <v>725</v>
      </c>
      <c r="T20" t="s">
        <v>725</v>
      </c>
      <c r="U20" t="s">
        <v>725</v>
      </c>
      <c r="V20" t="s">
        <v>725</v>
      </c>
      <c r="AC20" t="s">
        <v>731</v>
      </c>
    </row>
    <row r="21" spans="1:41" x14ac:dyDescent="0.15">
      <c r="A21" t="s">
        <v>725</v>
      </c>
      <c r="B21" t="s">
        <v>725</v>
      </c>
      <c r="C21" t="s">
        <v>725</v>
      </c>
      <c r="D21" t="s">
        <v>725</v>
      </c>
      <c r="E21" t="s">
        <v>725</v>
      </c>
      <c r="F21" t="s">
        <v>725</v>
      </c>
      <c r="G21" t="s">
        <v>725</v>
      </c>
      <c r="H21" t="s">
        <v>725</v>
      </c>
      <c r="I21" t="s">
        <v>725</v>
      </c>
      <c r="J21" t="s">
        <v>725</v>
      </c>
      <c r="K21" t="s">
        <v>725</v>
      </c>
      <c r="L21" t="s">
        <v>725</v>
      </c>
      <c r="M21" t="s">
        <v>725</v>
      </c>
      <c r="N21" t="s">
        <v>725</v>
      </c>
      <c r="O21" t="s">
        <v>725</v>
      </c>
      <c r="P21" t="s">
        <v>725</v>
      </c>
      <c r="Q21" t="s">
        <v>725</v>
      </c>
      <c r="R21" t="s">
        <v>725</v>
      </c>
      <c r="S21" t="s">
        <v>725</v>
      </c>
      <c r="T21" t="s">
        <v>725</v>
      </c>
      <c r="U21" t="s">
        <v>725</v>
      </c>
      <c r="V21" t="s">
        <v>725</v>
      </c>
      <c r="AC21" t="s">
        <v>739</v>
      </c>
    </row>
    <row r="22" spans="1:41" x14ac:dyDescent="0.15">
      <c r="A22" t="s">
        <v>725</v>
      </c>
      <c r="B22" t="s">
        <v>725</v>
      </c>
      <c r="C22" t="s">
        <v>725</v>
      </c>
      <c r="D22" t="s">
        <v>725</v>
      </c>
      <c r="E22" t="s">
        <v>725</v>
      </c>
      <c r="F22" t="s">
        <v>725</v>
      </c>
      <c r="G22" t="s">
        <v>725</v>
      </c>
      <c r="H22" t="s">
        <v>725</v>
      </c>
      <c r="I22" t="s">
        <v>725</v>
      </c>
      <c r="J22" t="s">
        <v>725</v>
      </c>
      <c r="K22" t="s">
        <v>725</v>
      </c>
      <c r="L22" t="s">
        <v>725</v>
      </c>
      <c r="M22" t="s">
        <v>725</v>
      </c>
      <c r="N22" t="s">
        <v>725</v>
      </c>
      <c r="O22" t="s">
        <v>725</v>
      </c>
      <c r="P22" t="s">
        <v>725</v>
      </c>
      <c r="Q22" t="s">
        <v>725</v>
      </c>
      <c r="R22" t="s">
        <v>725</v>
      </c>
      <c r="S22" t="s">
        <v>725</v>
      </c>
      <c r="T22" t="s">
        <v>725</v>
      </c>
      <c r="U22" t="s">
        <v>725</v>
      </c>
      <c r="V22" t="s">
        <v>725</v>
      </c>
      <c r="AC22" t="s">
        <v>741</v>
      </c>
    </row>
    <row r="23" spans="1:41" ht="11.25" x14ac:dyDescent="0.15">
      <c r="A23" t="s">
        <v>725</v>
      </c>
      <c r="B23" t="s">
        <v>725</v>
      </c>
      <c r="C23" t="s">
        <v>725</v>
      </c>
      <c r="D23" t="s">
        <v>725</v>
      </c>
      <c r="E23" t="s">
        <v>725</v>
      </c>
      <c r="F23" t="s">
        <v>725</v>
      </c>
      <c r="G23" t="s">
        <v>725</v>
      </c>
      <c r="H23" t="s">
        <v>725</v>
      </c>
      <c r="I23" t="s">
        <v>725</v>
      </c>
      <c r="J23" t="s">
        <v>725</v>
      </c>
      <c r="K23" t="s">
        <v>725</v>
      </c>
      <c r="L23" t="s">
        <v>725</v>
      </c>
      <c r="M23" t="s">
        <v>725</v>
      </c>
      <c r="N23" t="s">
        <v>725</v>
      </c>
      <c r="O23" t="s">
        <v>725</v>
      </c>
      <c r="P23" t="s">
        <v>725</v>
      </c>
      <c r="Q23" t="s">
        <v>725</v>
      </c>
      <c r="R23" t="s">
        <v>725</v>
      </c>
      <c r="S23" t="s">
        <v>725</v>
      </c>
      <c r="T23" t="s">
        <v>725</v>
      </c>
      <c r="U23" t="s">
        <v>725</v>
      </c>
      <c r="V23" t="s">
        <v>725</v>
      </c>
      <c r="AC23" t="s">
        <v>751</v>
      </c>
      <c r="AH23" s="198">
        <v>0</v>
      </c>
      <c r="AI23" s="188" t="s">
        <v>204</v>
      </c>
    </row>
    <row r="24" spans="1:41" ht="11.25" x14ac:dyDescent="0.15">
      <c r="A24" t="s">
        <v>725</v>
      </c>
      <c r="B24" t="s">
        <v>725</v>
      </c>
      <c r="C24" t="s">
        <v>725</v>
      </c>
      <c r="D24" t="s">
        <v>725</v>
      </c>
      <c r="E24" t="s">
        <v>725</v>
      </c>
      <c r="F24" t="s">
        <v>725</v>
      </c>
      <c r="G24" t="s">
        <v>725</v>
      </c>
      <c r="H24" t="s">
        <v>725</v>
      </c>
      <c r="I24" t="s">
        <v>725</v>
      </c>
      <c r="J24" t="s">
        <v>725</v>
      </c>
      <c r="K24" t="s">
        <v>725</v>
      </c>
      <c r="L24" t="s">
        <v>725</v>
      </c>
      <c r="M24" t="s">
        <v>725</v>
      </c>
      <c r="N24" t="s">
        <v>725</v>
      </c>
      <c r="O24" t="s">
        <v>725</v>
      </c>
      <c r="P24" t="s">
        <v>725</v>
      </c>
      <c r="Q24" t="s">
        <v>725</v>
      </c>
      <c r="R24" t="s">
        <v>725</v>
      </c>
      <c r="S24" t="s">
        <v>725</v>
      </c>
      <c r="T24" t="s">
        <v>725</v>
      </c>
      <c r="U24" t="s">
        <v>725</v>
      </c>
      <c r="V24" t="s">
        <v>725</v>
      </c>
      <c r="AC24" t="s">
        <v>729</v>
      </c>
      <c r="AH24" s="217">
        <v>0</v>
      </c>
      <c r="AI24" t="s">
        <v>318</v>
      </c>
      <c r="AJ24" s="198"/>
      <c r="AK24" s="188"/>
      <c r="AL24" s="198"/>
      <c r="AM24" s="188"/>
      <c r="AN24" s="198"/>
      <c r="AO24" s="188"/>
    </row>
    <row r="25" spans="1:41" ht="11.25" x14ac:dyDescent="0.15">
      <c r="A25" t="s">
        <v>725</v>
      </c>
      <c r="B25" t="s">
        <v>725</v>
      </c>
      <c r="C25" t="s">
        <v>725</v>
      </c>
      <c r="D25" t="s">
        <v>725</v>
      </c>
      <c r="E25" t="s">
        <v>725</v>
      </c>
      <c r="F25" t="s">
        <v>725</v>
      </c>
      <c r="G25" t="s">
        <v>725</v>
      </c>
      <c r="H25" t="s">
        <v>725</v>
      </c>
      <c r="I25" t="s">
        <v>725</v>
      </c>
      <c r="J25" t="s">
        <v>725</v>
      </c>
      <c r="K25" t="s">
        <v>725</v>
      </c>
      <c r="L25" t="s">
        <v>725</v>
      </c>
      <c r="M25" t="s">
        <v>725</v>
      </c>
      <c r="N25" t="s">
        <v>725</v>
      </c>
      <c r="O25" t="s">
        <v>725</v>
      </c>
      <c r="P25" t="s">
        <v>725</v>
      </c>
      <c r="Q25" t="s">
        <v>725</v>
      </c>
      <c r="R25" t="s">
        <v>725</v>
      </c>
      <c r="S25" t="s">
        <v>725</v>
      </c>
      <c r="T25" t="s">
        <v>725</v>
      </c>
      <c r="U25" t="s">
        <v>725</v>
      </c>
      <c r="V25" t="s">
        <v>725</v>
      </c>
      <c r="AC25" t="s">
        <v>735</v>
      </c>
      <c r="AH25" s="217">
        <v>0</v>
      </c>
      <c r="AI25" t="s">
        <v>341</v>
      </c>
      <c r="AJ25" s="198"/>
      <c r="AK25" s="188"/>
      <c r="AL25" s="198"/>
      <c r="AM25" s="188"/>
      <c r="AN25" s="198"/>
      <c r="AO25" s="188"/>
    </row>
    <row r="26" spans="1:41" ht="11.25" x14ac:dyDescent="0.15">
      <c r="A26" t="s">
        <v>725</v>
      </c>
      <c r="B26" t="s">
        <v>725</v>
      </c>
      <c r="C26" t="s">
        <v>725</v>
      </c>
      <c r="D26" t="s">
        <v>725</v>
      </c>
      <c r="E26" t="s">
        <v>725</v>
      </c>
      <c r="F26" t="s">
        <v>725</v>
      </c>
      <c r="G26" t="s">
        <v>725</v>
      </c>
      <c r="H26" t="s">
        <v>725</v>
      </c>
      <c r="I26" t="s">
        <v>725</v>
      </c>
      <c r="J26" t="s">
        <v>725</v>
      </c>
      <c r="K26" t="s">
        <v>725</v>
      </c>
      <c r="L26" t="s">
        <v>725</v>
      </c>
      <c r="M26" t="s">
        <v>725</v>
      </c>
      <c r="N26" t="s">
        <v>725</v>
      </c>
      <c r="O26" t="s">
        <v>725</v>
      </c>
      <c r="P26" t="s">
        <v>725</v>
      </c>
      <c r="Q26" t="s">
        <v>725</v>
      </c>
      <c r="R26" t="s">
        <v>725</v>
      </c>
      <c r="S26" t="s">
        <v>725</v>
      </c>
      <c r="T26" t="s">
        <v>725</v>
      </c>
      <c r="U26" t="s">
        <v>725</v>
      </c>
      <c r="V26" t="s">
        <v>725</v>
      </c>
      <c r="AC26" t="s">
        <v>737</v>
      </c>
      <c r="AH26" s="194">
        <v>0</v>
      </c>
      <c r="AI26" s="191" t="s">
        <v>301</v>
      </c>
      <c r="AJ26" s="194"/>
      <c r="AK26" s="191"/>
      <c r="AL26" s="194"/>
      <c r="AM26" s="191"/>
      <c r="AN26" s="198"/>
      <c r="AO26" s="188"/>
    </row>
    <row r="27" spans="1:41" ht="11.25" x14ac:dyDescent="0.15">
      <c r="A27" t="s">
        <v>725</v>
      </c>
      <c r="B27" t="s">
        <v>725</v>
      </c>
      <c r="C27" t="s">
        <v>725</v>
      </c>
      <c r="D27" t="s">
        <v>725</v>
      </c>
      <c r="E27" t="s">
        <v>725</v>
      </c>
      <c r="F27" t="s">
        <v>725</v>
      </c>
      <c r="G27" t="s">
        <v>725</v>
      </c>
      <c r="H27" t="s">
        <v>725</v>
      </c>
      <c r="I27" t="s">
        <v>725</v>
      </c>
      <c r="J27" t="s">
        <v>725</v>
      </c>
      <c r="K27" t="s">
        <v>725</v>
      </c>
      <c r="L27" t="s">
        <v>725</v>
      </c>
      <c r="M27" t="s">
        <v>725</v>
      </c>
      <c r="N27" t="s">
        <v>725</v>
      </c>
      <c r="O27" t="s">
        <v>725</v>
      </c>
      <c r="P27" t="s">
        <v>725</v>
      </c>
      <c r="Q27" t="s">
        <v>725</v>
      </c>
      <c r="R27" t="s">
        <v>725</v>
      </c>
      <c r="S27" t="s">
        <v>725</v>
      </c>
      <c r="T27" t="s">
        <v>725</v>
      </c>
      <c r="U27" t="s">
        <v>725</v>
      </c>
      <c r="V27" t="s">
        <v>725</v>
      </c>
      <c r="AC27" t="s">
        <v>732</v>
      </c>
      <c r="AH27" s="194">
        <v>0</v>
      </c>
      <c r="AI27" s="191" t="s">
        <v>338</v>
      </c>
      <c r="AJ27" s="194"/>
      <c r="AK27" s="191"/>
      <c r="AL27" s="194"/>
      <c r="AM27" s="191"/>
      <c r="AN27" s="198"/>
      <c r="AO27" s="188"/>
    </row>
    <row r="28" spans="1:41" ht="11.25" x14ac:dyDescent="0.15">
      <c r="A28" t="s">
        <v>725</v>
      </c>
      <c r="B28" t="s">
        <v>725</v>
      </c>
      <c r="C28" t="s">
        <v>725</v>
      </c>
      <c r="D28" t="s">
        <v>725</v>
      </c>
      <c r="E28" t="s">
        <v>725</v>
      </c>
      <c r="F28" t="s">
        <v>725</v>
      </c>
      <c r="G28" t="s">
        <v>725</v>
      </c>
      <c r="H28" t="s">
        <v>725</v>
      </c>
      <c r="I28" t="s">
        <v>725</v>
      </c>
      <c r="J28" t="s">
        <v>725</v>
      </c>
      <c r="K28" t="s">
        <v>725</v>
      </c>
      <c r="L28" t="s">
        <v>725</v>
      </c>
      <c r="M28" t="s">
        <v>725</v>
      </c>
      <c r="N28" t="s">
        <v>725</v>
      </c>
      <c r="O28" t="s">
        <v>725</v>
      </c>
      <c r="P28" t="s">
        <v>725</v>
      </c>
      <c r="Q28" t="s">
        <v>725</v>
      </c>
      <c r="R28" t="s">
        <v>725</v>
      </c>
      <c r="S28" t="s">
        <v>725</v>
      </c>
      <c r="T28" t="s">
        <v>725</v>
      </c>
      <c r="U28" t="s">
        <v>725</v>
      </c>
      <c r="V28" t="s">
        <v>725</v>
      </c>
      <c r="AC28" t="s">
        <v>745</v>
      </c>
      <c r="AH28" s="194">
        <v>0</v>
      </c>
      <c r="AI28" s="191" t="s">
        <v>343</v>
      </c>
      <c r="AJ28" s="194"/>
      <c r="AK28" s="191"/>
      <c r="AL28" s="198"/>
      <c r="AM28" s="188"/>
      <c r="AN28" s="198"/>
      <c r="AO28" s="188"/>
    </row>
    <row r="29" spans="1:41" ht="11.25" x14ac:dyDescent="0.15">
      <c r="A29" t="s">
        <v>725</v>
      </c>
      <c r="B29" t="s">
        <v>725</v>
      </c>
      <c r="C29" t="s">
        <v>725</v>
      </c>
      <c r="D29" t="s">
        <v>725</v>
      </c>
      <c r="E29" t="s">
        <v>725</v>
      </c>
      <c r="F29" t="s">
        <v>725</v>
      </c>
      <c r="G29" t="s">
        <v>725</v>
      </c>
      <c r="H29" t="s">
        <v>725</v>
      </c>
      <c r="I29" t="s">
        <v>725</v>
      </c>
      <c r="J29" t="s">
        <v>725</v>
      </c>
      <c r="K29" t="s">
        <v>725</v>
      </c>
      <c r="L29" t="s">
        <v>725</v>
      </c>
      <c r="M29" t="s">
        <v>725</v>
      </c>
      <c r="N29" t="s">
        <v>725</v>
      </c>
      <c r="O29" t="s">
        <v>725</v>
      </c>
      <c r="P29" t="s">
        <v>725</v>
      </c>
      <c r="Q29" t="s">
        <v>725</v>
      </c>
      <c r="R29" t="s">
        <v>725</v>
      </c>
      <c r="S29" t="s">
        <v>725</v>
      </c>
      <c r="T29" t="s">
        <v>725</v>
      </c>
      <c r="U29" t="s">
        <v>725</v>
      </c>
      <c r="V29" t="s">
        <v>725</v>
      </c>
      <c r="AC29" t="s">
        <v>746</v>
      </c>
      <c r="AH29" s="198">
        <v>0</v>
      </c>
      <c r="AI29" s="188" t="s">
        <v>258</v>
      </c>
    </row>
    <row r="30" spans="1:41" ht="11.25" x14ac:dyDescent="0.15">
      <c r="A30" t="s">
        <v>725</v>
      </c>
      <c r="B30" t="s">
        <v>725</v>
      </c>
      <c r="C30" t="s">
        <v>725</v>
      </c>
      <c r="D30" t="s">
        <v>725</v>
      </c>
      <c r="E30" t="s">
        <v>725</v>
      </c>
      <c r="F30" t="s">
        <v>725</v>
      </c>
      <c r="G30" t="s">
        <v>725</v>
      </c>
      <c r="H30" t="s">
        <v>725</v>
      </c>
      <c r="I30" t="s">
        <v>725</v>
      </c>
      <c r="J30" t="s">
        <v>725</v>
      </c>
      <c r="K30" t="s">
        <v>725</v>
      </c>
      <c r="L30" t="s">
        <v>725</v>
      </c>
      <c r="M30" t="s">
        <v>725</v>
      </c>
      <c r="N30" t="s">
        <v>725</v>
      </c>
      <c r="O30" t="s">
        <v>725</v>
      </c>
      <c r="P30" t="s">
        <v>725</v>
      </c>
      <c r="Q30" t="s">
        <v>725</v>
      </c>
      <c r="R30" t="s">
        <v>725</v>
      </c>
      <c r="S30" t="s">
        <v>725</v>
      </c>
      <c r="T30" t="s">
        <v>725</v>
      </c>
      <c r="U30" t="s">
        <v>725</v>
      </c>
      <c r="V30" t="s">
        <v>725</v>
      </c>
      <c r="AC30" t="s">
        <v>742</v>
      </c>
      <c r="AH30" s="194">
        <v>0</v>
      </c>
      <c r="AI30" s="191" t="s">
        <v>265</v>
      </c>
    </row>
    <row r="31" spans="1:41" x14ac:dyDescent="0.15">
      <c r="A31" t="s">
        <v>725</v>
      </c>
      <c r="B31" t="s">
        <v>725</v>
      </c>
      <c r="C31" t="s">
        <v>725</v>
      </c>
      <c r="D31" t="s">
        <v>725</v>
      </c>
      <c r="E31" t="s">
        <v>725</v>
      </c>
      <c r="F31" t="s">
        <v>725</v>
      </c>
      <c r="G31" t="s">
        <v>725</v>
      </c>
      <c r="H31" t="s">
        <v>725</v>
      </c>
      <c r="I31" t="s">
        <v>725</v>
      </c>
      <c r="J31" t="s">
        <v>725</v>
      </c>
      <c r="K31" t="s">
        <v>725</v>
      </c>
      <c r="L31" t="s">
        <v>725</v>
      </c>
      <c r="M31" t="s">
        <v>725</v>
      </c>
      <c r="N31" t="s">
        <v>725</v>
      </c>
      <c r="O31" t="s">
        <v>725</v>
      </c>
      <c r="P31" t="s">
        <v>725</v>
      </c>
      <c r="Q31" t="s">
        <v>725</v>
      </c>
      <c r="R31" t="s">
        <v>725</v>
      </c>
      <c r="S31" t="s">
        <v>725</v>
      </c>
      <c r="T31" t="s">
        <v>725</v>
      </c>
      <c r="U31" t="s">
        <v>725</v>
      </c>
      <c r="V31" t="s">
        <v>725</v>
      </c>
      <c r="AC31" t="s">
        <v>747</v>
      </c>
      <c r="AH31" s="217">
        <v>0</v>
      </c>
      <c r="AI31" t="s">
        <v>230</v>
      </c>
    </row>
    <row r="32" spans="1:41" x14ac:dyDescent="0.15">
      <c r="A32" t="s">
        <v>725</v>
      </c>
      <c r="B32" t="s">
        <v>725</v>
      </c>
      <c r="C32" t="s">
        <v>725</v>
      </c>
      <c r="D32" t="s">
        <v>725</v>
      </c>
      <c r="E32" t="s">
        <v>725</v>
      </c>
      <c r="F32" t="s">
        <v>725</v>
      </c>
      <c r="G32" t="s">
        <v>725</v>
      </c>
      <c r="H32" t="s">
        <v>725</v>
      </c>
      <c r="I32" t="s">
        <v>725</v>
      </c>
      <c r="J32" t="s">
        <v>725</v>
      </c>
      <c r="K32" t="s">
        <v>725</v>
      </c>
      <c r="L32" t="s">
        <v>725</v>
      </c>
      <c r="M32" t="s">
        <v>725</v>
      </c>
      <c r="N32" t="s">
        <v>725</v>
      </c>
      <c r="O32" t="s">
        <v>725</v>
      </c>
      <c r="P32" t="s">
        <v>725</v>
      </c>
      <c r="Q32" t="s">
        <v>725</v>
      </c>
      <c r="R32" t="s">
        <v>725</v>
      </c>
      <c r="S32" t="s">
        <v>725</v>
      </c>
      <c r="T32" t="s">
        <v>725</v>
      </c>
      <c r="U32" t="s">
        <v>725</v>
      </c>
      <c r="V32" t="s">
        <v>725</v>
      </c>
      <c r="AC32" t="s">
        <v>734</v>
      </c>
      <c r="AH32" s="217">
        <v>0</v>
      </c>
      <c r="AI32" t="s">
        <v>303</v>
      </c>
    </row>
    <row r="33" spans="1:41" x14ac:dyDescent="0.15">
      <c r="A33" t="s">
        <v>725</v>
      </c>
      <c r="B33" t="s">
        <v>725</v>
      </c>
      <c r="C33" t="s">
        <v>725</v>
      </c>
      <c r="D33" t="s">
        <v>725</v>
      </c>
      <c r="E33" t="s">
        <v>725</v>
      </c>
      <c r="F33" t="s">
        <v>725</v>
      </c>
      <c r="G33" t="s">
        <v>725</v>
      </c>
      <c r="H33" t="s">
        <v>725</v>
      </c>
      <c r="I33" t="s">
        <v>725</v>
      </c>
      <c r="J33" t="s">
        <v>725</v>
      </c>
      <c r="K33" t="s">
        <v>725</v>
      </c>
      <c r="L33" t="s">
        <v>725</v>
      </c>
      <c r="M33" t="s">
        <v>725</v>
      </c>
      <c r="N33" t="s">
        <v>725</v>
      </c>
      <c r="O33" t="s">
        <v>725</v>
      </c>
      <c r="P33" t="s">
        <v>725</v>
      </c>
      <c r="Q33" t="s">
        <v>725</v>
      </c>
      <c r="R33" t="s">
        <v>725</v>
      </c>
      <c r="S33" t="s">
        <v>725</v>
      </c>
      <c r="T33" t="s">
        <v>725</v>
      </c>
      <c r="U33" t="s">
        <v>725</v>
      </c>
      <c r="V33" t="s">
        <v>725</v>
      </c>
      <c r="AH33" s="217">
        <v>0</v>
      </c>
      <c r="AI33" t="s">
        <v>254</v>
      </c>
    </row>
    <row r="34" spans="1:41" x14ac:dyDescent="0.15">
      <c r="A34" t="s">
        <v>725</v>
      </c>
      <c r="B34" t="s">
        <v>725</v>
      </c>
      <c r="C34" t="s">
        <v>725</v>
      </c>
      <c r="D34" t="s">
        <v>725</v>
      </c>
      <c r="F34" t="s">
        <v>725</v>
      </c>
      <c r="G34" t="s">
        <v>725</v>
      </c>
      <c r="H34" t="s">
        <v>725</v>
      </c>
      <c r="I34" t="s">
        <v>725</v>
      </c>
      <c r="J34" t="s">
        <v>725</v>
      </c>
      <c r="K34" t="s">
        <v>725</v>
      </c>
      <c r="L34" t="s">
        <v>725</v>
      </c>
      <c r="M34" t="s">
        <v>725</v>
      </c>
      <c r="N34" t="s">
        <v>725</v>
      </c>
      <c r="O34" t="s">
        <v>725</v>
      </c>
      <c r="P34" t="s">
        <v>725</v>
      </c>
      <c r="Q34" t="s">
        <v>725</v>
      </c>
      <c r="R34" t="s">
        <v>725</v>
      </c>
      <c r="S34" t="s">
        <v>725</v>
      </c>
      <c r="T34" t="s">
        <v>725</v>
      </c>
      <c r="V34" t="s">
        <v>725</v>
      </c>
      <c r="AH34" s="217">
        <v>0</v>
      </c>
      <c r="AI34" t="s">
        <v>296</v>
      </c>
    </row>
    <row r="35" spans="1:41" x14ac:dyDescent="0.15">
      <c r="A35" t="s">
        <v>725</v>
      </c>
      <c r="B35" t="s">
        <v>725</v>
      </c>
      <c r="C35" t="s">
        <v>725</v>
      </c>
      <c r="D35" t="s">
        <v>725</v>
      </c>
      <c r="E35" t="s">
        <v>725</v>
      </c>
      <c r="F35" t="s">
        <v>725</v>
      </c>
      <c r="G35" t="s">
        <v>725</v>
      </c>
      <c r="H35" t="s">
        <v>725</v>
      </c>
      <c r="I35" t="s">
        <v>725</v>
      </c>
      <c r="J35" t="s">
        <v>725</v>
      </c>
      <c r="K35" t="s">
        <v>725</v>
      </c>
      <c r="L35" t="s">
        <v>725</v>
      </c>
      <c r="M35" t="s">
        <v>725</v>
      </c>
      <c r="N35" t="s">
        <v>725</v>
      </c>
      <c r="O35" t="s">
        <v>725</v>
      </c>
      <c r="P35" t="s">
        <v>725</v>
      </c>
      <c r="Q35" t="s">
        <v>725</v>
      </c>
      <c r="R35" t="s">
        <v>725</v>
      </c>
      <c r="S35" t="s">
        <v>725</v>
      </c>
      <c r="T35" t="s">
        <v>725</v>
      </c>
      <c r="U35" t="s">
        <v>725</v>
      </c>
      <c r="V35" t="s">
        <v>725</v>
      </c>
      <c r="AH35" s="217">
        <v>0</v>
      </c>
      <c r="AI35" t="s">
        <v>272</v>
      </c>
    </row>
    <row r="36" spans="1:41" ht="11.25" x14ac:dyDescent="0.15">
      <c r="A36" t="s">
        <v>725</v>
      </c>
      <c r="B36" t="s">
        <v>725</v>
      </c>
      <c r="C36" t="s">
        <v>725</v>
      </c>
      <c r="D36" t="s">
        <v>725</v>
      </c>
      <c r="E36" t="s">
        <v>725</v>
      </c>
      <c r="F36" t="s">
        <v>725</v>
      </c>
      <c r="G36" t="s">
        <v>725</v>
      </c>
      <c r="H36" t="s">
        <v>725</v>
      </c>
      <c r="I36" t="s">
        <v>725</v>
      </c>
      <c r="J36" t="s">
        <v>725</v>
      </c>
      <c r="K36" t="s">
        <v>725</v>
      </c>
      <c r="L36" t="s">
        <v>725</v>
      </c>
      <c r="M36" t="s">
        <v>725</v>
      </c>
      <c r="N36" t="s">
        <v>725</v>
      </c>
      <c r="O36" t="s">
        <v>725</v>
      </c>
      <c r="P36" t="s">
        <v>725</v>
      </c>
      <c r="Q36" t="s">
        <v>725</v>
      </c>
      <c r="R36" t="s">
        <v>725</v>
      </c>
      <c r="S36" t="s">
        <v>725</v>
      </c>
      <c r="T36" t="s">
        <v>725</v>
      </c>
      <c r="U36" t="s">
        <v>725</v>
      </c>
      <c r="V36" t="s">
        <v>725</v>
      </c>
      <c r="AH36" s="217">
        <v>0</v>
      </c>
      <c r="AI36" t="s">
        <v>244</v>
      </c>
      <c r="AJ36" s="194"/>
      <c r="AK36" s="191"/>
      <c r="AL36" s="194"/>
      <c r="AM36" s="191"/>
      <c r="AN36" s="198"/>
      <c r="AO36" s="188"/>
    </row>
    <row r="37" spans="1:41" ht="11.25" x14ac:dyDescent="0.15">
      <c r="A37" t="s">
        <v>725</v>
      </c>
      <c r="B37" t="s">
        <v>725</v>
      </c>
      <c r="C37" t="s">
        <v>725</v>
      </c>
      <c r="D37" t="s">
        <v>725</v>
      </c>
      <c r="E37" t="s">
        <v>725</v>
      </c>
      <c r="F37" t="s">
        <v>725</v>
      </c>
      <c r="G37" t="s">
        <v>725</v>
      </c>
      <c r="H37" t="s">
        <v>725</v>
      </c>
      <c r="I37" t="s">
        <v>725</v>
      </c>
      <c r="J37" t="s">
        <v>725</v>
      </c>
      <c r="K37" t="s">
        <v>725</v>
      </c>
      <c r="L37" t="s">
        <v>725</v>
      </c>
      <c r="M37" t="s">
        <v>725</v>
      </c>
      <c r="N37" t="s">
        <v>725</v>
      </c>
      <c r="O37" t="s">
        <v>725</v>
      </c>
      <c r="P37" t="s">
        <v>725</v>
      </c>
      <c r="Q37" t="s">
        <v>725</v>
      </c>
      <c r="R37" t="s">
        <v>725</v>
      </c>
      <c r="S37" t="s">
        <v>725</v>
      </c>
      <c r="T37" t="s">
        <v>725</v>
      </c>
      <c r="U37" t="s">
        <v>725</v>
      </c>
      <c r="V37" t="s">
        <v>725</v>
      </c>
      <c r="AH37" s="217">
        <v>0</v>
      </c>
      <c r="AI37" t="s">
        <v>249</v>
      </c>
      <c r="AJ37" s="194"/>
      <c r="AK37" s="191"/>
      <c r="AL37" s="194"/>
      <c r="AM37" s="191"/>
      <c r="AN37" s="198"/>
      <c r="AO37" s="188"/>
    </row>
    <row r="38" spans="1:41" x14ac:dyDescent="0.15">
      <c r="A38" t="s">
        <v>725</v>
      </c>
      <c r="B38" t="s">
        <v>725</v>
      </c>
      <c r="C38" t="s">
        <v>725</v>
      </c>
      <c r="D38" t="s">
        <v>725</v>
      </c>
      <c r="E38" t="s">
        <v>725</v>
      </c>
      <c r="F38" t="s">
        <v>725</v>
      </c>
      <c r="G38" t="s">
        <v>725</v>
      </c>
      <c r="H38" t="s">
        <v>725</v>
      </c>
      <c r="I38" t="s">
        <v>725</v>
      </c>
      <c r="J38" t="s">
        <v>725</v>
      </c>
      <c r="K38" t="s">
        <v>725</v>
      </c>
      <c r="L38" t="s">
        <v>725</v>
      </c>
      <c r="M38" t="s">
        <v>725</v>
      </c>
      <c r="N38" t="s">
        <v>725</v>
      </c>
      <c r="O38" t="s">
        <v>725</v>
      </c>
      <c r="P38" t="s">
        <v>725</v>
      </c>
      <c r="Q38" t="s">
        <v>725</v>
      </c>
      <c r="R38" t="s">
        <v>725</v>
      </c>
      <c r="S38" t="s">
        <v>725</v>
      </c>
      <c r="T38" t="s">
        <v>725</v>
      </c>
      <c r="U38" t="s">
        <v>725</v>
      </c>
      <c r="V38" t="s">
        <v>725</v>
      </c>
      <c r="AH38" s="217">
        <v>0</v>
      </c>
      <c r="AI38" t="s">
        <v>345</v>
      </c>
    </row>
    <row r="39" spans="1:41" x14ac:dyDescent="0.15">
      <c r="A39" t="s">
        <v>725</v>
      </c>
      <c r="B39" t="s">
        <v>725</v>
      </c>
      <c r="C39" t="s">
        <v>725</v>
      </c>
      <c r="D39" t="s">
        <v>725</v>
      </c>
      <c r="E39" t="s">
        <v>725</v>
      </c>
      <c r="F39" t="s">
        <v>725</v>
      </c>
      <c r="G39" t="s">
        <v>725</v>
      </c>
      <c r="H39" t="s">
        <v>725</v>
      </c>
      <c r="I39" t="s">
        <v>725</v>
      </c>
      <c r="J39" t="s">
        <v>725</v>
      </c>
      <c r="K39" t="s">
        <v>725</v>
      </c>
      <c r="L39" t="s">
        <v>725</v>
      </c>
      <c r="M39" t="s">
        <v>725</v>
      </c>
      <c r="N39" t="s">
        <v>725</v>
      </c>
      <c r="O39" t="s">
        <v>725</v>
      </c>
      <c r="P39" t="s">
        <v>725</v>
      </c>
      <c r="Q39" t="s">
        <v>725</v>
      </c>
      <c r="R39" t="s">
        <v>725</v>
      </c>
      <c r="S39" t="s">
        <v>725</v>
      </c>
      <c r="T39" t="s">
        <v>725</v>
      </c>
      <c r="U39" t="s">
        <v>725</v>
      </c>
      <c r="V39" t="s">
        <v>725</v>
      </c>
      <c r="AH39" s="217">
        <v>0</v>
      </c>
      <c r="AI39" t="s">
        <v>233</v>
      </c>
    </row>
    <row r="40" spans="1:41" x14ac:dyDescent="0.15">
      <c r="A40" t="s">
        <v>725</v>
      </c>
      <c r="B40" t="s">
        <v>725</v>
      </c>
      <c r="C40" t="s">
        <v>725</v>
      </c>
      <c r="D40" t="s">
        <v>725</v>
      </c>
      <c r="E40" t="s">
        <v>725</v>
      </c>
      <c r="F40" t="s">
        <v>725</v>
      </c>
      <c r="G40" t="s">
        <v>725</v>
      </c>
      <c r="H40" t="s">
        <v>725</v>
      </c>
      <c r="I40" t="s">
        <v>725</v>
      </c>
      <c r="J40" t="s">
        <v>725</v>
      </c>
      <c r="K40" t="s">
        <v>725</v>
      </c>
      <c r="L40" t="s">
        <v>725</v>
      </c>
      <c r="M40" t="s">
        <v>725</v>
      </c>
      <c r="N40" t="s">
        <v>725</v>
      </c>
      <c r="O40" t="s">
        <v>725</v>
      </c>
      <c r="P40" t="s">
        <v>725</v>
      </c>
      <c r="Q40" t="s">
        <v>725</v>
      </c>
      <c r="R40" t="s">
        <v>725</v>
      </c>
      <c r="S40" t="s">
        <v>725</v>
      </c>
      <c r="T40" t="s">
        <v>725</v>
      </c>
      <c r="U40" t="s">
        <v>725</v>
      </c>
      <c r="V40" t="s">
        <v>725</v>
      </c>
      <c r="AH40" s="217">
        <v>0</v>
      </c>
      <c r="AI40" t="s">
        <v>252</v>
      </c>
    </row>
    <row r="41" spans="1:41" ht="11.25" x14ac:dyDescent="0.15">
      <c r="A41" t="s">
        <v>725</v>
      </c>
      <c r="B41" t="s">
        <v>725</v>
      </c>
      <c r="C41" t="s">
        <v>725</v>
      </c>
      <c r="D41" t="s">
        <v>725</v>
      </c>
      <c r="E41" t="s">
        <v>725</v>
      </c>
      <c r="F41" t="s">
        <v>725</v>
      </c>
      <c r="G41" t="s">
        <v>725</v>
      </c>
      <c r="H41" t="s">
        <v>725</v>
      </c>
      <c r="I41" t="s">
        <v>725</v>
      </c>
      <c r="J41" t="s">
        <v>725</v>
      </c>
      <c r="K41" t="s">
        <v>725</v>
      </c>
      <c r="L41" t="s">
        <v>725</v>
      </c>
      <c r="M41" t="s">
        <v>725</v>
      </c>
      <c r="N41" t="s">
        <v>725</v>
      </c>
      <c r="O41" t="s">
        <v>725</v>
      </c>
      <c r="P41" t="s">
        <v>725</v>
      </c>
      <c r="Q41" t="s">
        <v>725</v>
      </c>
      <c r="R41" t="s">
        <v>725</v>
      </c>
      <c r="S41" t="s">
        <v>725</v>
      </c>
      <c r="T41" t="s">
        <v>725</v>
      </c>
      <c r="U41" t="s">
        <v>725</v>
      </c>
      <c r="V41" t="s">
        <v>725</v>
      </c>
      <c r="AH41" s="198">
        <v>1</v>
      </c>
      <c r="AI41" s="188" t="s">
        <v>570</v>
      </c>
      <c r="AJ41" s="194"/>
      <c r="AK41" s="191"/>
      <c r="AL41" s="194"/>
      <c r="AM41" s="191"/>
      <c r="AN41" s="194"/>
      <c r="AO41" s="191"/>
    </row>
    <row r="42" spans="1:41" ht="11.25" x14ac:dyDescent="0.15">
      <c r="A42" t="s">
        <v>725</v>
      </c>
      <c r="B42" t="s">
        <v>725</v>
      </c>
      <c r="C42" t="s">
        <v>725</v>
      </c>
      <c r="D42" t="s">
        <v>725</v>
      </c>
      <c r="E42" t="s">
        <v>725</v>
      </c>
      <c r="F42" t="s">
        <v>725</v>
      </c>
      <c r="G42" t="s">
        <v>725</v>
      </c>
      <c r="H42" t="s">
        <v>725</v>
      </c>
      <c r="I42" t="s">
        <v>725</v>
      </c>
      <c r="J42" t="s">
        <v>725</v>
      </c>
      <c r="K42" t="s">
        <v>725</v>
      </c>
      <c r="L42" t="s">
        <v>725</v>
      </c>
      <c r="M42" t="s">
        <v>725</v>
      </c>
      <c r="N42" t="s">
        <v>725</v>
      </c>
      <c r="O42" t="s">
        <v>725</v>
      </c>
      <c r="P42" t="s">
        <v>725</v>
      </c>
      <c r="Q42" t="s">
        <v>725</v>
      </c>
      <c r="R42" t="s">
        <v>725</v>
      </c>
      <c r="S42" t="s">
        <v>725</v>
      </c>
      <c r="T42" t="s">
        <v>725</v>
      </c>
      <c r="U42" t="s">
        <v>725</v>
      </c>
      <c r="V42" t="s">
        <v>725</v>
      </c>
      <c r="AH42" s="217">
        <v>1</v>
      </c>
      <c r="AI42" t="s">
        <v>273</v>
      </c>
      <c r="AJ42" s="198"/>
      <c r="AK42" s="188"/>
      <c r="AL42" s="194"/>
      <c r="AM42" s="191"/>
      <c r="AN42" s="194"/>
      <c r="AO42" s="191"/>
    </row>
    <row r="43" spans="1:41" ht="11.25" x14ac:dyDescent="0.15">
      <c r="A43" t="s">
        <v>725</v>
      </c>
      <c r="B43" t="s">
        <v>725</v>
      </c>
      <c r="C43" t="s">
        <v>725</v>
      </c>
      <c r="D43" t="s">
        <v>725</v>
      </c>
      <c r="E43" t="s">
        <v>725</v>
      </c>
      <c r="F43" t="s">
        <v>725</v>
      </c>
      <c r="G43" t="s">
        <v>725</v>
      </c>
      <c r="H43" t="s">
        <v>725</v>
      </c>
      <c r="I43" t="s">
        <v>725</v>
      </c>
      <c r="J43" t="s">
        <v>725</v>
      </c>
      <c r="K43" t="s">
        <v>725</v>
      </c>
      <c r="L43" t="s">
        <v>725</v>
      </c>
      <c r="M43" t="s">
        <v>725</v>
      </c>
      <c r="N43" t="s">
        <v>725</v>
      </c>
      <c r="O43" t="s">
        <v>725</v>
      </c>
      <c r="P43" t="s">
        <v>725</v>
      </c>
      <c r="Q43" t="s">
        <v>725</v>
      </c>
      <c r="R43" t="s">
        <v>725</v>
      </c>
      <c r="S43" t="s">
        <v>725</v>
      </c>
      <c r="T43" t="s">
        <v>725</v>
      </c>
      <c r="U43" t="s">
        <v>725</v>
      </c>
      <c r="V43" t="s">
        <v>725</v>
      </c>
      <c r="AH43" s="217">
        <v>1</v>
      </c>
      <c r="AI43" t="s">
        <v>187</v>
      </c>
      <c r="AJ43" s="194"/>
      <c r="AK43" s="191"/>
      <c r="AL43" s="194"/>
      <c r="AM43" s="191"/>
      <c r="AN43" s="194"/>
      <c r="AO43" s="191"/>
    </row>
    <row r="44" spans="1:41" ht="11.25" x14ac:dyDescent="0.15">
      <c r="A44" t="s">
        <v>725</v>
      </c>
      <c r="B44" t="s">
        <v>725</v>
      </c>
      <c r="C44" t="s">
        <v>725</v>
      </c>
      <c r="E44" t="s">
        <v>725</v>
      </c>
      <c r="F44" t="s">
        <v>725</v>
      </c>
      <c r="G44" t="s">
        <v>725</v>
      </c>
      <c r="H44" t="s">
        <v>725</v>
      </c>
      <c r="J44" t="s">
        <v>725</v>
      </c>
      <c r="K44" t="s">
        <v>725</v>
      </c>
      <c r="L44" t="s">
        <v>725</v>
      </c>
      <c r="M44" t="s">
        <v>725</v>
      </c>
      <c r="N44" t="s">
        <v>725</v>
      </c>
      <c r="O44" t="s">
        <v>725</v>
      </c>
      <c r="P44" t="s">
        <v>725</v>
      </c>
      <c r="Q44" t="s">
        <v>725</v>
      </c>
      <c r="R44" t="s">
        <v>725</v>
      </c>
      <c r="S44" t="s">
        <v>725</v>
      </c>
      <c r="T44" t="s">
        <v>725</v>
      </c>
      <c r="U44" t="s">
        <v>725</v>
      </c>
      <c r="V44" t="s">
        <v>725</v>
      </c>
      <c r="AH44" s="198">
        <v>1</v>
      </c>
      <c r="AI44" s="188" t="s">
        <v>161</v>
      </c>
      <c r="AJ44" s="198"/>
      <c r="AK44" s="188"/>
      <c r="AL44" s="194"/>
      <c r="AM44" s="191"/>
      <c r="AN44" s="194"/>
      <c r="AO44" s="191"/>
    </row>
    <row r="45" spans="1:41" ht="11.25" x14ac:dyDescent="0.15">
      <c r="A45" t="s">
        <v>725</v>
      </c>
      <c r="C45" t="s">
        <v>725</v>
      </c>
      <c r="D45" t="s">
        <v>725</v>
      </c>
      <c r="E45" t="s">
        <v>725</v>
      </c>
      <c r="F45" t="s">
        <v>725</v>
      </c>
      <c r="G45" t="s">
        <v>725</v>
      </c>
      <c r="H45" t="s">
        <v>725</v>
      </c>
      <c r="I45" t="s">
        <v>725</v>
      </c>
      <c r="J45" t="s">
        <v>725</v>
      </c>
      <c r="K45" t="s">
        <v>725</v>
      </c>
      <c r="L45" t="s">
        <v>725</v>
      </c>
      <c r="M45" t="s">
        <v>725</v>
      </c>
      <c r="N45" t="s">
        <v>725</v>
      </c>
      <c r="O45" t="s">
        <v>725</v>
      </c>
      <c r="P45" t="s">
        <v>725</v>
      </c>
      <c r="Q45" t="s">
        <v>725</v>
      </c>
      <c r="R45" t="s">
        <v>725</v>
      </c>
      <c r="S45" t="s">
        <v>725</v>
      </c>
      <c r="T45" t="s">
        <v>725</v>
      </c>
      <c r="U45" t="s">
        <v>725</v>
      </c>
      <c r="V45" t="s">
        <v>725</v>
      </c>
      <c r="AH45" s="198">
        <v>1</v>
      </c>
      <c r="AI45" s="188" t="s">
        <v>470</v>
      </c>
      <c r="AJ45" s="194"/>
      <c r="AK45" s="191"/>
      <c r="AL45" s="194"/>
      <c r="AM45" s="191"/>
      <c r="AN45" s="198"/>
      <c r="AO45" s="188"/>
    </row>
    <row r="46" spans="1:41" ht="11.25" x14ac:dyDescent="0.15">
      <c r="A46" t="s">
        <v>725</v>
      </c>
      <c r="B46" t="s">
        <v>725</v>
      </c>
      <c r="C46" t="s">
        <v>725</v>
      </c>
      <c r="D46" t="s">
        <v>725</v>
      </c>
      <c r="E46" t="s">
        <v>725</v>
      </c>
      <c r="F46" t="s">
        <v>725</v>
      </c>
      <c r="G46" t="s">
        <v>725</v>
      </c>
      <c r="H46" t="s">
        <v>725</v>
      </c>
      <c r="I46" t="s">
        <v>725</v>
      </c>
      <c r="K46" t="s">
        <v>725</v>
      </c>
      <c r="M46" t="s">
        <v>725</v>
      </c>
      <c r="N46" t="s">
        <v>725</v>
      </c>
      <c r="O46" t="s">
        <v>725</v>
      </c>
      <c r="P46" t="s">
        <v>725</v>
      </c>
      <c r="Q46" t="s">
        <v>725</v>
      </c>
      <c r="R46" t="s">
        <v>725</v>
      </c>
      <c r="S46" t="s">
        <v>725</v>
      </c>
      <c r="T46" t="s">
        <v>725</v>
      </c>
      <c r="U46" t="s">
        <v>725</v>
      </c>
      <c r="V46" t="s">
        <v>725</v>
      </c>
      <c r="AH46" s="198">
        <v>1</v>
      </c>
      <c r="AI46" s="188" t="s">
        <v>575</v>
      </c>
      <c r="AJ46" s="198"/>
      <c r="AK46" s="188"/>
      <c r="AL46" s="194"/>
      <c r="AM46" s="191"/>
      <c r="AN46" s="198"/>
      <c r="AO46" s="188"/>
    </row>
    <row r="47" spans="1:41" ht="11.25" x14ac:dyDescent="0.15">
      <c r="A47" t="s">
        <v>725</v>
      </c>
      <c r="B47" t="s">
        <v>725</v>
      </c>
      <c r="C47" t="s">
        <v>725</v>
      </c>
      <c r="D47" t="s">
        <v>725</v>
      </c>
      <c r="E47" t="s">
        <v>725</v>
      </c>
      <c r="F47" t="s">
        <v>725</v>
      </c>
      <c r="G47" t="s">
        <v>725</v>
      </c>
      <c r="H47" t="s">
        <v>725</v>
      </c>
      <c r="I47" t="s">
        <v>725</v>
      </c>
      <c r="J47" t="s">
        <v>725</v>
      </c>
      <c r="K47" t="s">
        <v>725</v>
      </c>
      <c r="L47" t="s">
        <v>725</v>
      </c>
      <c r="M47" t="s">
        <v>725</v>
      </c>
      <c r="N47" t="s">
        <v>725</v>
      </c>
      <c r="O47" t="s">
        <v>725</v>
      </c>
      <c r="P47" t="s">
        <v>725</v>
      </c>
      <c r="Q47" t="s">
        <v>725</v>
      </c>
      <c r="R47" t="s">
        <v>725</v>
      </c>
      <c r="S47" t="s">
        <v>725</v>
      </c>
      <c r="T47" t="s">
        <v>725</v>
      </c>
      <c r="U47" t="s">
        <v>725</v>
      </c>
      <c r="V47" t="s">
        <v>725</v>
      </c>
      <c r="AH47" s="194">
        <v>1</v>
      </c>
      <c r="AI47" s="191" t="s">
        <v>632</v>
      </c>
      <c r="AJ47" s="198"/>
      <c r="AK47" s="188"/>
      <c r="AL47" s="194"/>
      <c r="AM47" s="191"/>
      <c r="AN47" s="198"/>
      <c r="AO47" s="188"/>
    </row>
    <row r="48" spans="1:41" ht="11.25" x14ac:dyDescent="0.15">
      <c r="A48" t="s">
        <v>725</v>
      </c>
      <c r="B48" t="s">
        <v>725</v>
      </c>
      <c r="C48" t="s">
        <v>725</v>
      </c>
      <c r="D48" t="s">
        <v>725</v>
      </c>
      <c r="E48" t="s">
        <v>725</v>
      </c>
      <c r="F48" t="s">
        <v>725</v>
      </c>
      <c r="G48" t="s">
        <v>725</v>
      </c>
      <c r="H48" t="s">
        <v>725</v>
      </c>
      <c r="I48" t="s">
        <v>725</v>
      </c>
      <c r="J48" t="s">
        <v>725</v>
      </c>
      <c r="K48" t="s">
        <v>725</v>
      </c>
      <c r="L48" t="s">
        <v>725</v>
      </c>
      <c r="M48" t="s">
        <v>725</v>
      </c>
      <c r="N48" t="s">
        <v>725</v>
      </c>
      <c r="O48" t="s">
        <v>725</v>
      </c>
      <c r="P48" t="s">
        <v>725</v>
      </c>
      <c r="Q48" t="s">
        <v>725</v>
      </c>
      <c r="R48" t="s">
        <v>725</v>
      </c>
      <c r="S48" t="s">
        <v>725</v>
      </c>
      <c r="T48" t="s">
        <v>725</v>
      </c>
      <c r="U48" t="s">
        <v>725</v>
      </c>
      <c r="V48" t="s">
        <v>725</v>
      </c>
      <c r="AH48" s="198">
        <v>1</v>
      </c>
      <c r="AI48" s="188" t="s">
        <v>562</v>
      </c>
      <c r="AJ48" s="194"/>
      <c r="AK48" s="191"/>
      <c r="AL48" s="198"/>
      <c r="AM48" s="188"/>
      <c r="AN48" s="198"/>
      <c r="AO48" s="188"/>
    </row>
    <row r="49" spans="1:41" ht="11.25" x14ac:dyDescent="0.15">
      <c r="A49" t="s">
        <v>725</v>
      </c>
      <c r="B49" t="s">
        <v>725</v>
      </c>
      <c r="C49" t="s">
        <v>725</v>
      </c>
      <c r="D49" t="s">
        <v>725</v>
      </c>
      <c r="E49" t="s">
        <v>725</v>
      </c>
      <c r="F49" t="s">
        <v>725</v>
      </c>
      <c r="G49" t="s">
        <v>725</v>
      </c>
      <c r="H49" t="s">
        <v>725</v>
      </c>
      <c r="I49" t="s">
        <v>725</v>
      </c>
      <c r="J49" t="s">
        <v>725</v>
      </c>
      <c r="K49" t="s">
        <v>725</v>
      </c>
      <c r="L49" t="s">
        <v>725</v>
      </c>
      <c r="M49" t="s">
        <v>725</v>
      </c>
      <c r="N49" t="s">
        <v>725</v>
      </c>
      <c r="O49" t="s">
        <v>725</v>
      </c>
      <c r="P49" t="s">
        <v>725</v>
      </c>
      <c r="Q49" t="s">
        <v>725</v>
      </c>
      <c r="R49" t="s">
        <v>725</v>
      </c>
      <c r="S49" t="s">
        <v>725</v>
      </c>
      <c r="T49" t="s">
        <v>725</v>
      </c>
      <c r="U49" t="s">
        <v>725</v>
      </c>
      <c r="V49" t="s">
        <v>725</v>
      </c>
      <c r="AH49" s="198">
        <v>1</v>
      </c>
      <c r="AI49" s="188" t="s">
        <v>234</v>
      </c>
    </row>
    <row r="50" spans="1:41" x14ac:dyDescent="0.15">
      <c r="A50" t="s">
        <v>725</v>
      </c>
      <c r="B50" t="s">
        <v>725</v>
      </c>
      <c r="D50" t="s">
        <v>725</v>
      </c>
      <c r="E50" t="s">
        <v>725</v>
      </c>
      <c r="F50" t="s">
        <v>725</v>
      </c>
      <c r="G50" t="s">
        <v>725</v>
      </c>
      <c r="H50" t="s">
        <v>725</v>
      </c>
      <c r="I50" t="s">
        <v>725</v>
      </c>
      <c r="J50" t="s">
        <v>725</v>
      </c>
      <c r="K50" t="s">
        <v>725</v>
      </c>
      <c r="L50" t="s">
        <v>725</v>
      </c>
      <c r="M50" t="s">
        <v>725</v>
      </c>
      <c r="N50" t="s">
        <v>725</v>
      </c>
      <c r="O50" t="s">
        <v>725</v>
      </c>
      <c r="P50" t="s">
        <v>725</v>
      </c>
      <c r="Q50" t="s">
        <v>725</v>
      </c>
      <c r="R50" t="s">
        <v>725</v>
      </c>
      <c r="S50" t="s">
        <v>725</v>
      </c>
      <c r="T50" t="s">
        <v>725</v>
      </c>
      <c r="U50" t="s">
        <v>725</v>
      </c>
      <c r="V50" t="s">
        <v>725</v>
      </c>
      <c r="AH50" s="217">
        <v>1</v>
      </c>
      <c r="AI50" t="s">
        <v>579</v>
      </c>
    </row>
    <row r="51" spans="1:41" ht="11.25" x14ac:dyDescent="0.15">
      <c r="A51" t="s">
        <v>725</v>
      </c>
      <c r="B51" t="s">
        <v>725</v>
      </c>
      <c r="C51" t="s">
        <v>725</v>
      </c>
      <c r="D51" t="s">
        <v>725</v>
      </c>
      <c r="E51" t="s">
        <v>725</v>
      </c>
      <c r="F51" t="s">
        <v>725</v>
      </c>
      <c r="G51" t="s">
        <v>725</v>
      </c>
      <c r="H51" t="s">
        <v>725</v>
      </c>
      <c r="J51" t="s">
        <v>725</v>
      </c>
      <c r="K51" t="s">
        <v>725</v>
      </c>
      <c r="L51" t="s">
        <v>725</v>
      </c>
      <c r="M51" t="s">
        <v>725</v>
      </c>
      <c r="N51" t="s">
        <v>725</v>
      </c>
      <c r="O51" t="s">
        <v>725</v>
      </c>
      <c r="P51" t="s">
        <v>725</v>
      </c>
      <c r="Q51" t="s">
        <v>725</v>
      </c>
      <c r="R51" t="s">
        <v>725</v>
      </c>
      <c r="S51" t="s">
        <v>725</v>
      </c>
      <c r="T51" t="s">
        <v>725</v>
      </c>
      <c r="U51" t="s">
        <v>725</v>
      </c>
      <c r="V51" t="s">
        <v>725</v>
      </c>
      <c r="AH51" s="217">
        <v>1</v>
      </c>
      <c r="AI51" t="s">
        <v>542</v>
      </c>
      <c r="AJ51" s="194"/>
      <c r="AK51" s="191"/>
      <c r="AL51" s="194"/>
      <c r="AM51" s="191"/>
      <c r="AN51" s="198"/>
      <c r="AO51" s="188"/>
    </row>
    <row r="52" spans="1:41" ht="11.25" x14ac:dyDescent="0.15">
      <c r="A52" t="s">
        <v>725</v>
      </c>
      <c r="B52" t="s">
        <v>725</v>
      </c>
      <c r="C52" t="s">
        <v>725</v>
      </c>
      <c r="D52" t="s">
        <v>725</v>
      </c>
      <c r="E52" t="s">
        <v>725</v>
      </c>
      <c r="F52" t="s">
        <v>725</v>
      </c>
      <c r="G52" t="s">
        <v>725</v>
      </c>
      <c r="H52" t="s">
        <v>725</v>
      </c>
      <c r="I52" t="s">
        <v>725</v>
      </c>
      <c r="J52" t="s">
        <v>725</v>
      </c>
      <c r="K52" t="s">
        <v>725</v>
      </c>
      <c r="L52" t="s">
        <v>725</v>
      </c>
      <c r="M52" t="s">
        <v>725</v>
      </c>
      <c r="N52" t="s">
        <v>725</v>
      </c>
      <c r="O52" t="s">
        <v>725</v>
      </c>
      <c r="P52" t="s">
        <v>725</v>
      </c>
      <c r="Q52" t="s">
        <v>725</v>
      </c>
      <c r="R52" t="s">
        <v>725</v>
      </c>
      <c r="S52" t="s">
        <v>725</v>
      </c>
      <c r="T52" t="s">
        <v>725</v>
      </c>
      <c r="U52" t="s">
        <v>725</v>
      </c>
      <c r="V52" t="s">
        <v>725</v>
      </c>
      <c r="AH52" s="217">
        <v>1</v>
      </c>
      <c r="AI52" t="s">
        <v>307</v>
      </c>
      <c r="AJ52" s="198"/>
      <c r="AK52" s="188"/>
      <c r="AL52" s="194"/>
      <c r="AM52" s="191"/>
      <c r="AN52" s="198"/>
      <c r="AO52" s="188"/>
    </row>
    <row r="53" spans="1:41" ht="11.25" x14ac:dyDescent="0.15">
      <c r="A53" t="s">
        <v>725</v>
      </c>
      <c r="B53" t="s">
        <v>725</v>
      </c>
      <c r="C53" t="s">
        <v>725</v>
      </c>
      <c r="D53" t="s">
        <v>725</v>
      </c>
      <c r="E53" t="s">
        <v>725</v>
      </c>
      <c r="F53" t="s">
        <v>725</v>
      </c>
      <c r="G53" t="s">
        <v>725</v>
      </c>
      <c r="H53" t="s">
        <v>725</v>
      </c>
      <c r="I53" t="s">
        <v>725</v>
      </c>
      <c r="J53" t="s">
        <v>725</v>
      </c>
      <c r="K53" t="s">
        <v>725</v>
      </c>
      <c r="L53" t="s">
        <v>725</v>
      </c>
      <c r="M53" t="s">
        <v>725</v>
      </c>
      <c r="N53" t="s">
        <v>725</v>
      </c>
      <c r="O53" t="s">
        <v>725</v>
      </c>
      <c r="P53" t="s">
        <v>725</v>
      </c>
      <c r="Q53" t="s">
        <v>725</v>
      </c>
      <c r="R53" t="s">
        <v>725</v>
      </c>
      <c r="S53" t="s">
        <v>725</v>
      </c>
      <c r="T53" t="s">
        <v>725</v>
      </c>
      <c r="U53" t="s">
        <v>725</v>
      </c>
      <c r="V53" t="s">
        <v>725</v>
      </c>
      <c r="AH53" s="217">
        <v>1</v>
      </c>
      <c r="AI53" t="s">
        <v>522</v>
      </c>
      <c r="AJ53" s="198"/>
      <c r="AK53" s="188"/>
      <c r="AL53" s="194"/>
      <c r="AM53" s="191"/>
    </row>
    <row r="54" spans="1:41" ht="11.25" x14ac:dyDescent="0.15">
      <c r="A54" t="s">
        <v>725</v>
      </c>
      <c r="B54" t="s">
        <v>725</v>
      </c>
      <c r="C54" t="s">
        <v>725</v>
      </c>
      <c r="D54" t="s">
        <v>725</v>
      </c>
      <c r="E54" t="s">
        <v>725</v>
      </c>
      <c r="F54" t="s">
        <v>725</v>
      </c>
      <c r="G54" t="s">
        <v>725</v>
      </c>
      <c r="H54" t="s">
        <v>725</v>
      </c>
      <c r="I54" t="s">
        <v>725</v>
      </c>
      <c r="J54" t="s">
        <v>725</v>
      </c>
      <c r="K54" t="s">
        <v>725</v>
      </c>
      <c r="L54" t="s">
        <v>725</v>
      </c>
      <c r="M54" t="s">
        <v>725</v>
      </c>
      <c r="N54" t="s">
        <v>725</v>
      </c>
      <c r="O54" t="s">
        <v>725</v>
      </c>
      <c r="P54" t="s">
        <v>725</v>
      </c>
      <c r="Q54" t="s">
        <v>725</v>
      </c>
      <c r="R54" t="s">
        <v>725</v>
      </c>
      <c r="S54" t="s">
        <v>725</v>
      </c>
      <c r="T54" t="s">
        <v>725</v>
      </c>
      <c r="U54" t="s">
        <v>725</v>
      </c>
      <c r="V54" t="s">
        <v>725</v>
      </c>
      <c r="AH54" s="217">
        <v>1</v>
      </c>
      <c r="AI54" t="s">
        <v>414</v>
      </c>
      <c r="AJ54" s="194"/>
      <c r="AK54" s="191"/>
      <c r="AL54" s="194"/>
      <c r="AM54" s="191"/>
    </row>
    <row r="55" spans="1:41" ht="11.25" x14ac:dyDescent="0.15">
      <c r="A55" t="s">
        <v>725</v>
      </c>
      <c r="B55" t="s">
        <v>725</v>
      </c>
      <c r="C55" t="s">
        <v>725</v>
      </c>
      <c r="D55" t="s">
        <v>725</v>
      </c>
      <c r="E55" t="s">
        <v>725</v>
      </c>
      <c r="F55" t="s">
        <v>725</v>
      </c>
      <c r="G55" t="s">
        <v>725</v>
      </c>
      <c r="H55" t="s">
        <v>725</v>
      </c>
      <c r="I55" t="s">
        <v>725</v>
      </c>
      <c r="J55" t="s">
        <v>725</v>
      </c>
      <c r="K55" t="s">
        <v>725</v>
      </c>
      <c r="L55" t="s">
        <v>725</v>
      </c>
      <c r="M55" t="s">
        <v>725</v>
      </c>
      <c r="N55" t="s">
        <v>725</v>
      </c>
      <c r="O55" t="s">
        <v>725</v>
      </c>
      <c r="P55" t="s">
        <v>725</v>
      </c>
      <c r="Q55" t="s">
        <v>725</v>
      </c>
      <c r="R55" t="s">
        <v>725</v>
      </c>
      <c r="S55" t="s">
        <v>725</v>
      </c>
      <c r="T55" t="s">
        <v>725</v>
      </c>
      <c r="U55" t="s">
        <v>725</v>
      </c>
      <c r="V55" t="s">
        <v>725</v>
      </c>
      <c r="AH55" s="198">
        <v>2</v>
      </c>
      <c r="AI55" s="188" t="s">
        <v>432</v>
      </c>
      <c r="AJ55" s="194"/>
      <c r="AK55" s="191"/>
      <c r="AL55" s="194"/>
      <c r="AM55" s="191"/>
    </row>
    <row r="56" spans="1:41" x14ac:dyDescent="0.15">
      <c r="A56" t="s">
        <v>725</v>
      </c>
      <c r="B56" t="s">
        <v>725</v>
      </c>
      <c r="C56" t="s">
        <v>725</v>
      </c>
      <c r="D56" t="s">
        <v>725</v>
      </c>
      <c r="E56" t="s">
        <v>725</v>
      </c>
      <c r="F56" t="s">
        <v>725</v>
      </c>
      <c r="G56" t="s">
        <v>725</v>
      </c>
      <c r="H56" t="s">
        <v>725</v>
      </c>
      <c r="I56" t="s">
        <v>725</v>
      </c>
      <c r="J56" t="s">
        <v>725</v>
      </c>
      <c r="K56" t="s">
        <v>725</v>
      </c>
      <c r="L56" t="s">
        <v>725</v>
      </c>
      <c r="M56" t="s">
        <v>725</v>
      </c>
      <c r="N56" t="s">
        <v>725</v>
      </c>
      <c r="O56" t="s">
        <v>725</v>
      </c>
      <c r="P56" t="s">
        <v>725</v>
      </c>
      <c r="Q56" t="s">
        <v>725</v>
      </c>
      <c r="R56" t="s">
        <v>725</v>
      </c>
      <c r="S56" t="s">
        <v>725</v>
      </c>
      <c r="T56" t="s">
        <v>725</v>
      </c>
      <c r="U56" t="s">
        <v>725</v>
      </c>
      <c r="V56" t="s">
        <v>725</v>
      </c>
      <c r="AH56" s="217">
        <v>2</v>
      </c>
      <c r="AI56" t="s">
        <v>587</v>
      </c>
    </row>
    <row r="57" spans="1:41" x14ac:dyDescent="0.15">
      <c r="A57" t="s">
        <v>725</v>
      </c>
      <c r="B57" t="s">
        <v>725</v>
      </c>
      <c r="C57" t="s">
        <v>725</v>
      </c>
      <c r="D57" t="s">
        <v>725</v>
      </c>
      <c r="E57" t="s">
        <v>725</v>
      </c>
      <c r="F57" t="s">
        <v>725</v>
      </c>
      <c r="G57" t="s">
        <v>725</v>
      </c>
      <c r="H57" t="s">
        <v>725</v>
      </c>
      <c r="I57" t="s">
        <v>725</v>
      </c>
      <c r="J57" t="s">
        <v>725</v>
      </c>
      <c r="K57" t="s">
        <v>725</v>
      </c>
      <c r="L57" t="s">
        <v>725</v>
      </c>
      <c r="M57" t="s">
        <v>725</v>
      </c>
      <c r="N57" t="s">
        <v>725</v>
      </c>
      <c r="O57" t="s">
        <v>725</v>
      </c>
      <c r="P57" t="s">
        <v>725</v>
      </c>
      <c r="Q57" t="s">
        <v>725</v>
      </c>
      <c r="R57" t="s">
        <v>725</v>
      </c>
      <c r="S57" t="s">
        <v>725</v>
      </c>
      <c r="T57" t="s">
        <v>725</v>
      </c>
      <c r="U57" t="s">
        <v>725</v>
      </c>
      <c r="V57" t="s">
        <v>725</v>
      </c>
      <c r="AH57" s="217">
        <v>2</v>
      </c>
      <c r="AI57" t="s">
        <v>299</v>
      </c>
    </row>
    <row r="58" spans="1:41" x14ac:dyDescent="0.15">
      <c r="A58" t="s">
        <v>725</v>
      </c>
      <c r="B58" t="s">
        <v>725</v>
      </c>
      <c r="C58" t="s">
        <v>725</v>
      </c>
      <c r="D58" t="s">
        <v>725</v>
      </c>
      <c r="E58" t="s">
        <v>725</v>
      </c>
      <c r="F58" t="s">
        <v>725</v>
      </c>
      <c r="G58" t="s">
        <v>725</v>
      </c>
      <c r="H58" t="s">
        <v>725</v>
      </c>
      <c r="I58" t="s">
        <v>725</v>
      </c>
      <c r="J58" t="s">
        <v>725</v>
      </c>
      <c r="K58" t="s">
        <v>725</v>
      </c>
      <c r="L58" t="s">
        <v>725</v>
      </c>
      <c r="M58" t="s">
        <v>725</v>
      </c>
      <c r="N58" t="s">
        <v>725</v>
      </c>
      <c r="O58" t="s">
        <v>725</v>
      </c>
      <c r="P58" t="s">
        <v>725</v>
      </c>
      <c r="Q58" t="s">
        <v>725</v>
      </c>
      <c r="R58" t="s">
        <v>725</v>
      </c>
      <c r="S58" t="s">
        <v>725</v>
      </c>
      <c r="T58" t="s">
        <v>725</v>
      </c>
      <c r="U58" t="s">
        <v>725</v>
      </c>
      <c r="V58" t="s">
        <v>725</v>
      </c>
      <c r="AH58" s="217">
        <v>2</v>
      </c>
      <c r="AI58" t="s">
        <v>636</v>
      </c>
    </row>
    <row r="59" spans="1:41" ht="11.25" x14ac:dyDescent="0.15">
      <c r="A59" t="s">
        <v>725</v>
      </c>
      <c r="B59" t="s">
        <v>725</v>
      </c>
      <c r="C59" t="s">
        <v>725</v>
      </c>
      <c r="D59" t="s">
        <v>725</v>
      </c>
      <c r="E59" t="s">
        <v>725</v>
      </c>
      <c r="F59" t="s">
        <v>725</v>
      </c>
      <c r="G59" t="s">
        <v>725</v>
      </c>
      <c r="H59" t="s">
        <v>725</v>
      </c>
      <c r="I59" t="s">
        <v>725</v>
      </c>
      <c r="J59" t="s">
        <v>725</v>
      </c>
      <c r="K59" t="s">
        <v>725</v>
      </c>
      <c r="L59" t="s">
        <v>725</v>
      </c>
      <c r="M59" t="s">
        <v>725</v>
      </c>
      <c r="N59" t="s">
        <v>725</v>
      </c>
      <c r="O59" t="s">
        <v>725</v>
      </c>
      <c r="P59" t="s">
        <v>725</v>
      </c>
      <c r="Q59" t="s">
        <v>725</v>
      </c>
      <c r="R59" t="s">
        <v>725</v>
      </c>
      <c r="S59" t="s">
        <v>725</v>
      </c>
      <c r="T59" t="s">
        <v>725</v>
      </c>
      <c r="U59" t="s">
        <v>725</v>
      </c>
      <c r="V59" t="s">
        <v>725</v>
      </c>
      <c r="AB59" s="191"/>
      <c r="AC59" s="191"/>
      <c r="AD59" s="191"/>
      <c r="AE59" s="191"/>
      <c r="AF59" s="191"/>
      <c r="AG59" s="191"/>
      <c r="AH59" s="217">
        <v>2</v>
      </c>
      <c r="AI59" t="s">
        <v>619</v>
      </c>
    </row>
    <row r="60" spans="1:41" ht="11.25" x14ac:dyDescent="0.15">
      <c r="A60" t="s">
        <v>725</v>
      </c>
      <c r="B60" t="s">
        <v>725</v>
      </c>
      <c r="C60" t="s">
        <v>725</v>
      </c>
      <c r="D60" t="s">
        <v>725</v>
      </c>
      <c r="E60" t="s">
        <v>725</v>
      </c>
      <c r="F60" t="s">
        <v>725</v>
      </c>
      <c r="G60" t="s">
        <v>725</v>
      </c>
      <c r="H60" t="s">
        <v>725</v>
      </c>
      <c r="I60" t="s">
        <v>725</v>
      </c>
      <c r="J60" t="s">
        <v>725</v>
      </c>
      <c r="K60" t="s">
        <v>725</v>
      </c>
      <c r="L60" t="s">
        <v>725</v>
      </c>
      <c r="M60" t="s">
        <v>725</v>
      </c>
      <c r="N60" t="s">
        <v>725</v>
      </c>
      <c r="O60" t="s">
        <v>725</v>
      </c>
      <c r="P60" t="s">
        <v>725</v>
      </c>
      <c r="Q60" t="s">
        <v>725</v>
      </c>
      <c r="R60" t="s">
        <v>725</v>
      </c>
      <c r="S60" t="s">
        <v>725</v>
      </c>
      <c r="T60" t="s">
        <v>725</v>
      </c>
      <c r="U60" t="s">
        <v>725</v>
      </c>
      <c r="V60" t="s">
        <v>725</v>
      </c>
      <c r="AB60" s="191"/>
      <c r="AC60" s="191"/>
      <c r="AD60" s="191"/>
      <c r="AE60" s="191"/>
      <c r="AF60" s="191"/>
      <c r="AG60" s="191"/>
      <c r="AH60" s="217">
        <v>2</v>
      </c>
      <c r="AI60" t="s">
        <v>189</v>
      </c>
    </row>
    <row r="61" spans="1:41" ht="11.25" x14ac:dyDescent="0.15">
      <c r="AB61" s="191"/>
      <c r="AC61" s="191"/>
      <c r="AD61" s="191"/>
      <c r="AE61" s="191"/>
      <c r="AF61" s="191"/>
      <c r="AG61" s="191"/>
      <c r="AH61" s="194">
        <v>3</v>
      </c>
      <c r="AI61" s="191" t="s">
        <v>224</v>
      </c>
    </row>
    <row r="62" spans="1:41" x14ac:dyDescent="0.15">
      <c r="AH62" s="217">
        <v>3</v>
      </c>
      <c r="AI62" t="s">
        <v>236</v>
      </c>
    </row>
    <row r="63" spans="1:41" x14ac:dyDescent="0.15">
      <c r="AH63" s="217">
        <v>4</v>
      </c>
      <c r="AI63" t="s">
        <v>201</v>
      </c>
    </row>
    <row r="64" spans="1:41" ht="11.25" x14ac:dyDescent="0.15">
      <c r="AH64" s="198">
        <v>4</v>
      </c>
      <c r="AI64" s="188" t="s">
        <v>245</v>
      </c>
    </row>
    <row r="65" spans="34:35" x14ac:dyDescent="0.15">
      <c r="AH65" s="217">
        <v>7</v>
      </c>
      <c r="AI65" t="s">
        <v>263</v>
      </c>
    </row>
    <row r="66" spans="34:35" ht="11.25" x14ac:dyDescent="0.15">
      <c r="AH66" s="198">
        <v>7</v>
      </c>
      <c r="AI66" s="188" t="s">
        <v>369</v>
      </c>
    </row>
    <row r="67" spans="34:35" x14ac:dyDescent="0.15">
      <c r="AH67" s="217">
        <v>7</v>
      </c>
      <c r="AI67" t="s">
        <v>259</v>
      </c>
    </row>
    <row r="68" spans="34:35" x14ac:dyDescent="0.15">
      <c r="AH68" s="217">
        <v>8</v>
      </c>
      <c r="AI68" t="s">
        <v>387</v>
      </c>
    </row>
    <row r="69" spans="34:35" x14ac:dyDescent="0.15">
      <c r="AH69" s="217">
        <v>8</v>
      </c>
      <c r="AI69" t="s">
        <v>314</v>
      </c>
    </row>
    <row r="70" spans="34:35" x14ac:dyDescent="0.15">
      <c r="AH70" s="217">
        <v>10</v>
      </c>
      <c r="AI70" t="s">
        <v>297</v>
      </c>
    </row>
    <row r="71" spans="34:35" x14ac:dyDescent="0.15">
      <c r="AH71" s="217">
        <v>10</v>
      </c>
      <c r="AI71" t="s">
        <v>136</v>
      </c>
    </row>
    <row r="72" spans="34:35" x14ac:dyDescent="0.15">
      <c r="AH72" s="217">
        <v>11</v>
      </c>
      <c r="AI72" t="s">
        <v>206</v>
      </c>
    </row>
    <row r="73" spans="34:35" x14ac:dyDescent="0.15">
      <c r="AH73" s="217">
        <v>12</v>
      </c>
      <c r="AI73" t="s">
        <v>324</v>
      </c>
    </row>
    <row r="74" spans="34:35" ht="11.25" x14ac:dyDescent="0.15">
      <c r="AH74" s="198">
        <v>12</v>
      </c>
      <c r="AI74" s="188" t="s">
        <v>218</v>
      </c>
    </row>
    <row r="75" spans="34:35" x14ac:dyDescent="0.15">
      <c r="AH75" s="217">
        <v>14</v>
      </c>
      <c r="AI75" t="s">
        <v>251</v>
      </c>
    </row>
    <row r="76" spans="34:35" ht="11.25" x14ac:dyDescent="0.15">
      <c r="AH76" s="198">
        <v>14</v>
      </c>
      <c r="AI76" s="188" t="s">
        <v>302</v>
      </c>
    </row>
    <row r="77" spans="34:35" x14ac:dyDescent="0.15">
      <c r="AH77" s="217">
        <v>14</v>
      </c>
      <c r="AI77" t="s">
        <v>375</v>
      </c>
    </row>
    <row r="78" spans="34:35" ht="11.25" x14ac:dyDescent="0.15">
      <c r="AH78" s="198">
        <v>16</v>
      </c>
      <c r="AI78" s="188" t="s">
        <v>235</v>
      </c>
    </row>
    <row r="79" spans="34:35" x14ac:dyDescent="0.15">
      <c r="AH79" s="217">
        <v>17</v>
      </c>
      <c r="AI79" t="s">
        <v>222</v>
      </c>
    </row>
    <row r="80" spans="34:35" x14ac:dyDescent="0.15">
      <c r="AH80" s="217">
        <v>21</v>
      </c>
      <c r="AI80" t="s">
        <v>196</v>
      </c>
    </row>
    <row r="82" spans="34:41" ht="11.25" x14ac:dyDescent="0.15">
      <c r="AH82" s="194">
        <v>3</v>
      </c>
      <c r="AI82" s="191" t="s">
        <v>324</v>
      </c>
      <c r="AJ82" s="198">
        <v>3</v>
      </c>
      <c r="AK82" s="188" t="s">
        <v>297</v>
      </c>
      <c r="AL82" s="194">
        <v>2</v>
      </c>
      <c r="AM82" s="191" t="s">
        <v>369</v>
      </c>
      <c r="AN82" s="194">
        <v>2</v>
      </c>
      <c r="AO82" s="191" t="s">
        <v>206</v>
      </c>
    </row>
    <row r="83" spans="34:41" ht="11.25" x14ac:dyDescent="0.15">
      <c r="AH83" s="194">
        <v>3</v>
      </c>
      <c r="AI83" s="191" t="s">
        <v>302</v>
      </c>
      <c r="AJ83" s="198">
        <v>3</v>
      </c>
      <c r="AK83" s="188" t="s">
        <v>222</v>
      </c>
      <c r="AL83" s="194">
        <v>2</v>
      </c>
      <c r="AM83" s="191" t="s">
        <v>251</v>
      </c>
      <c r="AN83" s="198">
        <v>2</v>
      </c>
      <c r="AO83" s="188" t="s">
        <v>196</v>
      </c>
    </row>
  </sheetData>
  <sortState ref="AH23:AI80">
    <sortCondition ref="AH23:AH80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13</vt:i4>
      </vt:variant>
    </vt:vector>
  </HeadingPairs>
  <TitlesOfParts>
    <vt:vector size="26" baseType="lpstr">
      <vt:lpstr>Matches</vt:lpstr>
      <vt:lpstr>Batting</vt:lpstr>
      <vt:lpstr>Bowling</vt:lpstr>
      <vt:lpstr>Partnerships</vt:lpstr>
      <vt:lpstr>BatAves</vt:lpstr>
      <vt:lpstr>BowlAves</vt:lpstr>
      <vt:lpstr>Fantasy Teams</vt:lpstr>
      <vt:lpstr>FantasyPts</vt:lpstr>
      <vt:lpstr>Player Stats</vt:lpstr>
      <vt:lpstr>League Table</vt:lpstr>
      <vt:lpstr>Capts</vt:lpstr>
      <vt:lpstr>To_Word_Doc</vt:lpstr>
      <vt:lpstr>Scratchpad</vt:lpstr>
      <vt:lpstr>batavg_qualifiers</vt:lpstr>
      <vt:lpstr>Extract</vt:lpstr>
      <vt:lpstr>FantasyPlayerCount</vt:lpstr>
      <vt:lpstr>MinValue</vt:lpstr>
      <vt:lpstr>NumFantTeams</vt:lpstr>
      <vt:lpstr>BatAves!Print_Area</vt:lpstr>
      <vt:lpstr>BowlAves!Print_Area</vt:lpstr>
      <vt:lpstr>Bowling!Print_Area</vt:lpstr>
      <vt:lpstr>'League Table'!Print_Area</vt:lpstr>
      <vt:lpstr>Matches!Print_Area</vt:lpstr>
      <vt:lpstr>'Player Stats'!Print_Area</vt:lpstr>
      <vt:lpstr>To_Word_Doc!Print_Area</vt:lpstr>
      <vt:lpstr>Matches!Print_Titles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</dc:creator>
  <cp:lastModifiedBy>Mike Woodhouse</cp:lastModifiedBy>
  <cp:lastPrinted>2019-10-31T16:18:17Z</cp:lastPrinted>
  <dcterms:created xsi:type="dcterms:W3CDTF">1995-07-17T18:41:11Z</dcterms:created>
  <dcterms:modified xsi:type="dcterms:W3CDTF">2023-06-17T12:58:29Z</dcterms:modified>
</cp:coreProperties>
</file>
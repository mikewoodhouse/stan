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705" windowWidth="19005" windowHeight="11760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Bowling!$A$1:$AR$40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X49" i="2" l="1" a="1"/>
  <c r="CX49" i="2" s="1"/>
  <c r="CX48" i="2" a="1"/>
  <c r="CX48" i="2" s="1"/>
  <c r="CX47" i="2"/>
  <c r="CX47" i="2" a="1"/>
  <c r="CX46" i="2" a="1"/>
  <c r="CX46" i="2" s="1"/>
  <c r="CX45" i="2" a="1"/>
  <c r="CX45" i="2" s="1"/>
  <c r="CX44" i="2" a="1"/>
  <c r="CX44" i="2" s="1"/>
  <c r="CX43" i="2"/>
  <c r="CX43" i="2" a="1"/>
  <c r="CX42" i="2" a="1"/>
  <c r="CX42" i="2" s="1"/>
  <c r="CX41" i="2" a="1"/>
  <c r="CX41" i="2" s="1"/>
  <c r="CX40" i="2" a="1"/>
  <c r="CX40" i="2" s="1"/>
  <c r="CX39" i="2"/>
  <c r="CX39" i="2" a="1"/>
  <c r="CX38" i="2" a="1"/>
  <c r="CX38" i="2" s="1"/>
  <c r="CX37" i="2" a="1"/>
  <c r="CX37" i="2" s="1"/>
  <c r="CX36" i="2" a="1"/>
  <c r="CX36" i="2" s="1"/>
  <c r="CX35" i="2" a="1"/>
  <c r="CX35" i="2" s="1"/>
  <c r="CX34" i="2" a="1"/>
  <c r="CX34" i="2" s="1"/>
  <c r="CX33" i="2" a="1"/>
  <c r="CX33" i="2" s="1"/>
  <c r="CX32" i="2" a="1"/>
  <c r="CX32" i="2" s="1"/>
  <c r="CX31" i="2"/>
  <c r="CX31" i="2" a="1"/>
  <c r="CX30" i="2" a="1"/>
  <c r="CX30" i="2" s="1"/>
  <c r="CX29" i="2" a="1"/>
  <c r="CX29" i="2" s="1"/>
  <c r="CX28" i="2" a="1"/>
  <c r="CX28" i="2" s="1"/>
  <c r="CX27" i="2" a="1"/>
  <c r="CX27" i="2" s="1"/>
  <c r="CX26" i="2" a="1"/>
  <c r="CX26" i="2" s="1"/>
  <c r="CX25" i="2" a="1"/>
  <c r="CX25" i="2" s="1"/>
  <c r="CX24" i="2" a="1"/>
  <c r="CX24" i="2" s="1"/>
  <c r="CX23" i="2"/>
  <c r="CX23" i="2" a="1"/>
  <c r="CX22" i="2" a="1"/>
  <c r="CX22" i="2" s="1"/>
  <c r="CX21" i="2" a="1"/>
  <c r="CX21" i="2" s="1"/>
  <c r="CX20" i="2" a="1"/>
  <c r="CX20" i="2" s="1"/>
  <c r="CX19" i="2" a="1"/>
  <c r="CX19" i="2" s="1"/>
  <c r="CX18" i="2" a="1"/>
  <c r="CX18" i="2" s="1"/>
  <c r="CX17" i="2" a="1"/>
  <c r="CX17" i="2" s="1"/>
  <c r="CX16" i="2" a="1"/>
  <c r="CX16" i="2" s="1"/>
  <c r="CX15" i="2"/>
  <c r="CX15" i="2" a="1"/>
  <c r="CX14" i="2" a="1"/>
  <c r="CX14" i="2" s="1"/>
  <c r="CX13" i="2" a="1"/>
  <c r="CX13" i="2" s="1"/>
  <c r="CX12" i="2" a="1"/>
  <c r="CX12" i="2" s="1"/>
  <c r="CX11" i="2" a="1"/>
  <c r="CX11" i="2" s="1"/>
  <c r="CX10" i="2" a="1"/>
  <c r="CX10" i="2" s="1"/>
  <c r="CX9" i="2" a="1"/>
  <c r="CX9" i="2" s="1"/>
  <c r="CX8" i="2" a="1"/>
  <c r="CX8" i="2" s="1"/>
  <c r="CX7" i="2"/>
  <c r="CX7" i="2" a="1"/>
  <c r="CX6" i="2" a="1"/>
  <c r="CX6" i="2" s="1"/>
  <c r="CX5" i="2" a="1"/>
  <c r="CX5" i="2" s="1"/>
  <c r="W83" i="9"/>
  <c r="W82" i="9"/>
  <c r="W81" i="9"/>
  <c r="W80" i="9"/>
  <c r="W79" i="9"/>
  <c r="W78" i="9"/>
  <c r="W77" i="9"/>
  <c r="W76" i="9"/>
  <c r="W75" i="9"/>
  <c r="W74" i="9"/>
  <c r="W73" i="9"/>
  <c r="W72" i="9"/>
  <c r="W71" i="9"/>
  <c r="W70" i="9"/>
  <c r="W69" i="9"/>
  <c r="W68" i="9"/>
  <c r="W67" i="9"/>
  <c r="W66" i="9"/>
  <c r="W65" i="9"/>
  <c r="W64" i="9"/>
  <c r="W63" i="9"/>
  <c r="W62" i="9"/>
  <c r="W61" i="9"/>
  <c r="W60" i="9"/>
  <c r="W59" i="9"/>
  <c r="W58" i="9"/>
  <c r="W57" i="9"/>
  <c r="W56" i="9"/>
  <c r="W55" i="9"/>
  <c r="W54" i="9"/>
  <c r="W53" i="9"/>
  <c r="W52" i="9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DD22" i="2"/>
  <c r="CZ22" i="2"/>
  <c r="CQ22" i="2"/>
  <c r="DC22" i="2"/>
  <c r="CY22" i="2"/>
  <c r="DE22" i="2"/>
  <c r="DB22" i="2"/>
  <c r="DA22" i="2"/>
  <c r="R120" i="2"/>
  <c r="N120" i="2"/>
  <c r="U119" i="2"/>
  <c r="E119" i="2"/>
  <c r="L118" i="2"/>
  <c r="S117" i="2"/>
  <c r="Z116" i="2"/>
  <c r="J116" i="2"/>
  <c r="Q115" i="2"/>
  <c r="X114" i="2"/>
  <c r="H114" i="2"/>
  <c r="O113" i="2"/>
  <c r="V112" i="2"/>
  <c r="F112" i="2"/>
  <c r="M111" i="2"/>
  <c r="T110" i="2"/>
  <c r="D110" i="2"/>
  <c r="K109" i="2"/>
  <c r="R108" i="2"/>
  <c r="U107" i="2"/>
  <c r="E107" i="2"/>
  <c r="L106" i="2"/>
  <c r="S105" i="2"/>
  <c r="Z104" i="2"/>
  <c r="G104" i="2"/>
  <c r="K103" i="2"/>
  <c r="R102" i="2"/>
  <c r="Y101" i="2"/>
  <c r="I101" i="2"/>
  <c r="P100" i="2"/>
  <c r="U120" i="2"/>
  <c r="E120" i="2"/>
  <c r="L119" i="2"/>
  <c r="S118" i="2"/>
  <c r="Z117" i="2"/>
  <c r="J117" i="2"/>
  <c r="Q116" i="2"/>
  <c r="X115" i="2"/>
  <c r="H115" i="2"/>
  <c r="O114" i="2"/>
  <c r="V113" i="2"/>
  <c r="F113" i="2"/>
  <c r="M112" i="2"/>
  <c r="T111" i="2"/>
  <c r="D111" i="2"/>
  <c r="K110" i="2"/>
  <c r="R109" i="2"/>
  <c r="Y108" i="2"/>
  <c r="E108" i="2"/>
  <c r="L107" i="2"/>
  <c r="S106" i="2"/>
  <c r="Z105" i="2"/>
  <c r="J105" i="2"/>
  <c r="P104" i="2"/>
  <c r="T103" i="2"/>
  <c r="Y102" i="2"/>
  <c r="I102" i="2"/>
  <c r="P101" i="2"/>
  <c r="X120" i="2"/>
  <c r="H120" i="2"/>
  <c r="O119" i="2"/>
  <c r="V118" i="2"/>
  <c r="F118" i="2"/>
  <c r="M117" i="2"/>
  <c r="T116" i="2"/>
  <c r="D116" i="2"/>
  <c r="K115" i="2"/>
  <c r="R114" i="2"/>
  <c r="Y113" i="2"/>
  <c r="I113" i="2"/>
  <c r="P112" i="2"/>
  <c r="W111" i="2"/>
  <c r="G111" i="2"/>
  <c r="N110" i="2"/>
  <c r="U109" i="2"/>
  <c r="E109" i="2"/>
  <c r="J108" i="2"/>
  <c r="O107" i="2"/>
  <c r="V106" i="2"/>
  <c r="F106" i="2"/>
  <c r="M105" i="2"/>
  <c r="S104" i="2"/>
  <c r="W103" i="2"/>
  <c r="E103" i="2"/>
  <c r="L102" i="2"/>
  <c r="S101" i="2"/>
  <c r="Z100" i="2"/>
  <c r="J100" i="2"/>
  <c r="N119" i="2"/>
  <c r="S116" i="2"/>
  <c r="X113" i="2"/>
  <c r="F111" i="2"/>
  <c r="I108" i="2"/>
  <c r="L105" i="2"/>
  <c r="K102" i="2"/>
  <c r="I100" i="2"/>
  <c r="N99" i="2"/>
  <c r="U98" i="2"/>
  <c r="E98" i="2"/>
  <c r="L97" i="2"/>
  <c r="S96" i="2"/>
  <c r="Z95" i="2"/>
  <c r="I95" i="2"/>
  <c r="O94" i="2"/>
  <c r="V93" i="2"/>
  <c r="F93" i="2"/>
  <c r="M92" i="2"/>
  <c r="T91" i="2"/>
  <c r="D91" i="2"/>
  <c r="K90" i="2"/>
  <c r="R89" i="2"/>
  <c r="Y88" i="2"/>
  <c r="I88" i="2"/>
  <c r="P87" i="2"/>
  <c r="W86" i="2"/>
  <c r="G86" i="2"/>
  <c r="N85" i="2"/>
  <c r="U84" i="2"/>
  <c r="E84" i="2"/>
  <c r="L83" i="2"/>
  <c r="Q118" i="2"/>
  <c r="F119" i="2"/>
  <c r="K116" i="2"/>
  <c r="P113" i="2"/>
  <c r="U110" i="2"/>
  <c r="V107" i="2"/>
  <c r="D105" i="2"/>
  <c r="Z101" i="2"/>
  <c r="Z120" i="2"/>
  <c r="J120" i="2"/>
  <c r="Q119" i="2"/>
  <c r="X118" i="2"/>
  <c r="H118" i="2"/>
  <c r="O117" i="2"/>
  <c r="V116" i="2"/>
  <c r="F116" i="2"/>
  <c r="M115" i="2"/>
  <c r="T114" i="2"/>
  <c r="D114" i="2"/>
  <c r="K113" i="2"/>
  <c r="R112" i="2"/>
  <c r="Y111" i="2"/>
  <c r="I111" i="2"/>
  <c r="P110" i="2"/>
  <c r="W109" i="2"/>
  <c r="G109" i="2"/>
  <c r="L108" i="2"/>
  <c r="Q107" i="2"/>
  <c r="X106" i="2"/>
  <c r="H106" i="2"/>
  <c r="O105" i="2"/>
  <c r="V104" i="2"/>
  <c r="Y103" i="2"/>
  <c r="G103" i="2"/>
  <c r="N102" i="2"/>
  <c r="U101" i="2"/>
  <c r="E101" i="2"/>
  <c r="L100" i="2"/>
  <c r="Q120" i="2"/>
  <c r="X119" i="2"/>
  <c r="H119" i="2"/>
  <c r="O118" i="2"/>
  <c r="V117" i="2"/>
  <c r="F117" i="2"/>
  <c r="M116" i="2"/>
  <c r="T115" i="2"/>
  <c r="D115" i="2"/>
  <c r="K114" i="2"/>
  <c r="R113" i="2"/>
  <c r="Y112" i="2"/>
  <c r="I112" i="2"/>
  <c r="P111" i="2"/>
  <c r="W110" i="2"/>
  <c r="G110" i="2"/>
  <c r="N109" i="2"/>
  <c r="U108" i="2"/>
  <c r="X107" i="2"/>
  <c r="H107" i="2"/>
  <c r="O106" i="2"/>
  <c r="V105" i="2"/>
  <c r="F105" i="2"/>
  <c r="K104" i="2"/>
  <c r="O103" i="2"/>
  <c r="U102" i="2"/>
  <c r="E102" i="2"/>
  <c r="L101" i="2"/>
  <c r="T120" i="2"/>
  <c r="D120" i="2"/>
  <c r="K119" i="2"/>
  <c r="R118" i="2"/>
  <c r="Y117" i="2"/>
  <c r="I117" i="2"/>
  <c r="P116" i="2"/>
  <c r="W115" i="2"/>
  <c r="G115" i="2"/>
  <c r="N114" i="2"/>
  <c r="U113" i="2"/>
  <c r="E113" i="2"/>
  <c r="L112" i="2"/>
  <c r="S111" i="2"/>
  <c r="Z110" i="2"/>
  <c r="J110" i="2"/>
  <c r="Q109" i="2"/>
  <c r="X108" i="2"/>
  <c r="D108" i="2"/>
  <c r="K107" i="2"/>
  <c r="R106" i="2"/>
  <c r="Y105" i="2"/>
  <c r="I105" i="2"/>
  <c r="O104" i="2"/>
  <c r="S103" i="2"/>
  <c r="X102" i="2"/>
  <c r="H102" i="2"/>
  <c r="O101" i="2"/>
  <c r="V100" i="2"/>
  <c r="F100" i="2"/>
  <c r="U118" i="2"/>
  <c r="Z115" i="2"/>
  <c r="H113" i="2"/>
  <c r="M110" i="2"/>
  <c r="N107" i="2"/>
  <c r="R104" i="2"/>
  <c r="R101" i="2"/>
  <c r="Z99" i="2"/>
  <c r="J99" i="2"/>
  <c r="Q98" i="2"/>
  <c r="X97" i="2"/>
  <c r="H97" i="2"/>
  <c r="O96" i="2"/>
  <c r="V95" i="2"/>
  <c r="E95" i="2"/>
  <c r="K94" i="2"/>
  <c r="R93" i="2"/>
  <c r="Y92" i="2"/>
  <c r="I92" i="2"/>
  <c r="P91" i="2"/>
  <c r="W90" i="2"/>
  <c r="G90" i="2"/>
  <c r="N89" i="2"/>
  <c r="U88" i="2"/>
  <c r="E88" i="2"/>
  <c r="L87" i="2"/>
  <c r="S86" i="2"/>
  <c r="Z85" i="2"/>
  <c r="J85" i="2"/>
  <c r="Q84" i="2"/>
  <c r="X83" i="2"/>
  <c r="S120" i="2"/>
  <c r="X117" i="2"/>
  <c r="M118" i="2"/>
  <c r="R115" i="2"/>
  <c r="W112" i="2"/>
  <c r="E110" i="2"/>
  <c r="V120" i="2"/>
  <c r="F120" i="2"/>
  <c r="M119" i="2"/>
  <c r="T118" i="2"/>
  <c r="D118" i="2"/>
  <c r="K117" i="2"/>
  <c r="R116" i="2"/>
  <c r="Y115" i="2"/>
  <c r="I115" i="2"/>
  <c r="P114" i="2"/>
  <c r="W113" i="2"/>
  <c r="G113" i="2"/>
  <c r="N112" i="2"/>
  <c r="U111" i="2"/>
  <c r="E111" i="2"/>
  <c r="L110" i="2"/>
  <c r="S109" i="2"/>
  <c r="Z108" i="2"/>
  <c r="H108" i="2"/>
  <c r="M107" i="2"/>
  <c r="T106" i="2"/>
  <c r="D106" i="2"/>
  <c r="K105" i="2"/>
  <c r="Q104" i="2"/>
  <c r="U103" i="2"/>
  <c r="Z102" i="2"/>
  <c r="J102" i="2"/>
  <c r="Q101" i="2"/>
  <c r="X100" i="2"/>
  <c r="H100" i="2"/>
  <c r="M120" i="2"/>
  <c r="T119" i="2"/>
  <c r="D119" i="2"/>
  <c r="K118" i="2"/>
  <c r="R117" i="2"/>
  <c r="Y116" i="2"/>
  <c r="I116" i="2"/>
  <c r="P115" i="2"/>
  <c r="W114" i="2"/>
  <c r="G114" i="2"/>
  <c r="N113" i="2"/>
  <c r="U112" i="2"/>
  <c r="E112" i="2"/>
  <c r="L111" i="2"/>
  <c r="S110" i="2"/>
  <c r="Z109" i="2"/>
  <c r="J109" i="2"/>
  <c r="Q108" i="2"/>
  <c r="T107" i="2"/>
  <c r="D107" i="2"/>
  <c r="K106" i="2"/>
  <c r="R105" i="2"/>
  <c r="Y104" i="2"/>
  <c r="F104" i="2"/>
  <c r="J103" i="2"/>
  <c r="Q102" i="2"/>
  <c r="X101" i="2"/>
  <c r="H101" i="2"/>
  <c r="P120" i="2"/>
  <c r="W119" i="2"/>
  <c r="G119" i="2"/>
  <c r="N118" i="2"/>
  <c r="U117" i="2"/>
  <c r="E117" i="2"/>
  <c r="L116" i="2"/>
  <c r="S115" i="2"/>
  <c r="Z114" i="2"/>
  <c r="J114" i="2"/>
  <c r="Q113" i="2"/>
  <c r="X112" i="2"/>
  <c r="H112" i="2"/>
  <c r="O111" i="2"/>
  <c r="V110" i="2"/>
  <c r="F110" i="2"/>
  <c r="M109" i="2"/>
  <c r="T108" i="2"/>
  <c r="W107" i="2"/>
  <c r="G107" i="2"/>
  <c r="N106" i="2"/>
  <c r="U105" i="2"/>
  <c r="E105" i="2"/>
  <c r="J104" i="2"/>
  <c r="N103" i="2"/>
  <c r="T102" i="2"/>
  <c r="D102" i="2"/>
  <c r="K101" i="2"/>
  <c r="R100" i="2"/>
  <c r="W120" i="2"/>
  <c r="E118" i="2"/>
  <c r="J115" i="2"/>
  <c r="O112" i="2"/>
  <c r="T109" i="2"/>
  <c r="U106" i="2"/>
  <c r="V103" i="2"/>
  <c r="Y100" i="2"/>
  <c r="V99" i="2"/>
  <c r="F99" i="2"/>
  <c r="M98" i="2"/>
  <c r="T97" i="2"/>
  <c r="D97" i="2"/>
  <c r="K96" i="2"/>
  <c r="R95" i="2"/>
  <c r="X94" i="2"/>
  <c r="G94" i="2"/>
  <c r="N93" i="2"/>
  <c r="U92" i="2"/>
  <c r="E92" i="2"/>
  <c r="L91" i="2"/>
  <c r="S90" i="2"/>
  <c r="Z89" i="2"/>
  <c r="J89" i="2"/>
  <c r="Q88" i="2"/>
  <c r="X87" i="2"/>
  <c r="H87" i="2"/>
  <c r="O86" i="2"/>
  <c r="V85" i="2"/>
  <c r="F85" i="2"/>
  <c r="M84" i="2"/>
  <c r="T83" i="2"/>
  <c r="Z119" i="2"/>
  <c r="O120" i="2"/>
  <c r="T117" i="2"/>
  <c r="Y114" i="2"/>
  <c r="G112" i="2"/>
  <c r="L109" i="2"/>
  <c r="Y119" i="2"/>
  <c r="G117" i="2"/>
  <c r="L114" i="2"/>
  <c r="Q111" i="2"/>
  <c r="V108" i="2"/>
  <c r="W105" i="2"/>
  <c r="V102" i="2"/>
  <c r="Y120" i="2"/>
  <c r="G118" i="2"/>
  <c r="L115" i="2"/>
  <c r="Q112" i="2"/>
  <c r="V109" i="2"/>
  <c r="W106" i="2"/>
  <c r="X103" i="2"/>
  <c r="D101" i="2"/>
  <c r="J118" i="2"/>
  <c r="O115" i="2"/>
  <c r="T112" i="2"/>
  <c r="Y109" i="2"/>
  <c r="Z106" i="2"/>
  <c r="E104" i="2"/>
  <c r="G101" i="2"/>
  <c r="Q114" i="2"/>
  <c r="D103" i="2"/>
  <c r="I98" i="2"/>
  <c r="N95" i="2"/>
  <c r="Q92" i="2"/>
  <c r="V89" i="2"/>
  <c r="D87" i="2"/>
  <c r="I84" i="2"/>
  <c r="D117" i="2"/>
  <c r="F107" i="2"/>
  <c r="M103" i="2"/>
  <c r="M100" i="2"/>
  <c r="P99" i="2"/>
  <c r="W98" i="2"/>
  <c r="G98" i="2"/>
  <c r="N97" i="2"/>
  <c r="U96" i="2"/>
  <c r="E96" i="2"/>
  <c r="L95" i="2"/>
  <c r="R94" i="2"/>
  <c r="X93" i="2"/>
  <c r="H93" i="2"/>
  <c r="O92" i="2"/>
  <c r="V91" i="2"/>
  <c r="F91" i="2"/>
  <c r="M90" i="2"/>
  <c r="T89" i="2"/>
  <c r="D89" i="2"/>
  <c r="K88" i="2"/>
  <c r="R87" i="2"/>
  <c r="Y86" i="2"/>
  <c r="I86" i="2"/>
  <c r="P85" i="2"/>
  <c r="G116" i="2"/>
  <c r="Q110" i="2"/>
  <c r="W104" i="2"/>
  <c r="D100" i="2"/>
  <c r="R98" i="2"/>
  <c r="I119" i="2"/>
  <c r="N116" i="2"/>
  <c r="S113" i="2"/>
  <c r="X110" i="2"/>
  <c r="Y107" i="2"/>
  <c r="G105" i="2"/>
  <c r="F102" i="2"/>
  <c r="I120" i="2"/>
  <c r="N117" i="2"/>
  <c r="S114" i="2"/>
  <c r="X111" i="2"/>
  <c r="F109" i="2"/>
  <c r="G106" i="2"/>
  <c r="F103" i="2"/>
  <c r="L120" i="2"/>
  <c r="Q117" i="2"/>
  <c r="V114" i="2"/>
  <c r="D112" i="2"/>
  <c r="I109" i="2"/>
  <c r="J106" i="2"/>
  <c r="I103" i="2"/>
  <c r="N100" i="2"/>
  <c r="V111" i="2"/>
  <c r="Q100" i="2"/>
  <c r="P97" i="2"/>
  <c r="T94" i="2"/>
  <c r="X91" i="2"/>
  <c r="F89" i="2"/>
  <c r="K86" i="2"/>
  <c r="P83" i="2"/>
  <c r="I114" i="2"/>
  <c r="M106" i="2"/>
  <c r="S102" i="2"/>
  <c r="E100" i="2"/>
  <c r="L99" i="2"/>
  <c r="S98" i="2"/>
  <c r="Z97" i="2"/>
  <c r="J97" i="2"/>
  <c r="Q96" i="2"/>
  <c r="X95" i="2"/>
  <c r="G95" i="2"/>
  <c r="M94" i="2"/>
  <c r="T93" i="2"/>
  <c r="P118" i="2"/>
  <c r="U115" i="2"/>
  <c r="Z112" i="2"/>
  <c r="H110" i="2"/>
  <c r="I107" i="2"/>
  <c r="M104" i="2"/>
  <c r="M101" i="2"/>
  <c r="P119" i="2"/>
  <c r="U116" i="2"/>
  <c r="Z113" i="2"/>
  <c r="H111" i="2"/>
  <c r="K108" i="2"/>
  <c r="N105" i="2"/>
  <c r="M102" i="2"/>
  <c r="S119" i="2"/>
  <c r="X116" i="2"/>
  <c r="F114" i="2"/>
  <c r="K111" i="2"/>
  <c r="P108" i="2"/>
  <c r="Q105" i="2"/>
  <c r="P102" i="2"/>
  <c r="G120" i="2"/>
  <c r="D109" i="2"/>
  <c r="R99" i="2"/>
  <c r="W96" i="2"/>
  <c r="Z93" i="2"/>
  <c r="H91" i="2"/>
  <c r="M88" i="2"/>
  <c r="R85" i="2"/>
  <c r="J119" i="2"/>
  <c r="N111" i="2"/>
  <c r="T105" i="2"/>
  <c r="J101" i="2"/>
  <c r="X99" i="2"/>
  <c r="H99" i="2"/>
  <c r="O98" i="2"/>
  <c r="V97" i="2"/>
  <c r="F97" i="2"/>
  <c r="M96" i="2"/>
  <c r="T95" i="2"/>
  <c r="Z94" i="2"/>
  <c r="I94" i="2"/>
  <c r="P93" i="2"/>
  <c r="W92" i="2"/>
  <c r="G92" i="2"/>
  <c r="N91" i="2"/>
  <c r="U90" i="2"/>
  <c r="E90" i="2"/>
  <c r="L89" i="2"/>
  <c r="S88" i="2"/>
  <c r="Z87" i="2"/>
  <c r="J87" i="2"/>
  <c r="Q86" i="2"/>
  <c r="X85" i="2"/>
  <c r="K120" i="2"/>
  <c r="L113" i="2"/>
  <c r="R107" i="2"/>
  <c r="V101" i="2"/>
  <c r="K99" i="2"/>
  <c r="Y97" i="2"/>
  <c r="P96" i="2"/>
  <c r="F95" i="2"/>
  <c r="S93" i="2"/>
  <c r="J92" i="2"/>
  <c r="X90" i="2"/>
  <c r="O89" i="2"/>
  <c r="F88" i="2"/>
  <c r="T86" i="2"/>
  <c r="K85" i="2"/>
  <c r="L84" i="2"/>
  <c r="N83" i="2"/>
  <c r="T82" i="2"/>
  <c r="Z81" i="2"/>
  <c r="I81" i="2"/>
  <c r="P80" i="2"/>
  <c r="W79" i="2"/>
  <c r="G79" i="2"/>
  <c r="N78" i="2"/>
  <c r="U77" i="2"/>
  <c r="E77" i="2"/>
  <c r="K76" i="2"/>
  <c r="R75" i="2"/>
  <c r="Y74" i="2"/>
  <c r="I74" i="2"/>
  <c r="P73" i="2"/>
  <c r="W72" i="2"/>
  <c r="H117" i="2"/>
  <c r="R111" i="2"/>
  <c r="X105" i="2"/>
  <c r="O100" i="2"/>
  <c r="X98" i="2"/>
  <c r="O97" i="2"/>
  <c r="F96" i="2"/>
  <c r="S94" i="2"/>
  <c r="I93" i="2"/>
  <c r="W91" i="2"/>
  <c r="N90" i="2"/>
  <c r="E89" i="2"/>
  <c r="S87" i="2"/>
  <c r="J86" i="2"/>
  <c r="D85" i="2"/>
  <c r="F84" i="2"/>
  <c r="H83" i="2"/>
  <c r="O82" i="2"/>
  <c r="U81" i="2"/>
  <c r="D81" i="2"/>
  <c r="K80" i="2"/>
  <c r="R79" i="2"/>
  <c r="Y78" i="2"/>
  <c r="I78" i="2"/>
  <c r="P77" i="2"/>
  <c r="W76" i="2"/>
  <c r="F76" i="2"/>
  <c r="M75" i="2"/>
  <c r="T74" i="2"/>
  <c r="D74" i="2"/>
  <c r="K73" i="2"/>
  <c r="R72" i="2"/>
  <c r="J111" i="2"/>
  <c r="K100" i="2"/>
  <c r="M97" i="2"/>
  <c r="P94" i="2"/>
  <c r="U91" i="2"/>
  <c r="Z88" i="2"/>
  <c r="H86" i="2"/>
  <c r="D84" i="2"/>
  <c r="N82" i="2"/>
  <c r="W117" i="2"/>
  <c r="P106" i="2"/>
  <c r="E116" i="2"/>
  <c r="U104" i="2"/>
  <c r="M113" i="2"/>
  <c r="W101" i="2"/>
  <c r="G96" i="2"/>
  <c r="Y84" i="2"/>
  <c r="U100" i="2"/>
  <c r="R97" i="2"/>
  <c r="V94" i="2"/>
  <c r="S92" i="2"/>
  <c r="J91" i="2"/>
  <c r="X89" i="2"/>
  <c r="O88" i="2"/>
  <c r="F87" i="2"/>
  <c r="T85" i="2"/>
  <c r="Z111" i="2"/>
  <c r="S100" i="2"/>
  <c r="Q97" i="2"/>
  <c r="W95" i="2"/>
  <c r="D94" i="2"/>
  <c r="Y91" i="2"/>
  <c r="H90" i="2"/>
  <c r="N88" i="2"/>
  <c r="L86" i="2"/>
  <c r="W84" i="2"/>
  <c r="S83" i="2"/>
  <c r="P82" i="2"/>
  <c r="R81" i="2"/>
  <c r="T80" i="2"/>
  <c r="S79" i="2"/>
  <c r="V78" i="2"/>
  <c r="Y77" i="2"/>
  <c r="X76" i="2"/>
  <c r="Z75" i="2"/>
  <c r="F75" i="2"/>
  <c r="E74" i="2"/>
  <c r="H73" i="2"/>
  <c r="R119" i="2"/>
  <c r="I110" i="2"/>
  <c r="W102" i="2"/>
  <c r="I99" i="2"/>
  <c r="G97" i="2"/>
  <c r="M95" i="2"/>
  <c r="Q93" i="2"/>
  <c r="O91" i="2"/>
  <c r="U89" i="2"/>
  <c r="D88" i="2"/>
  <c r="Y85" i="2"/>
  <c r="P84" i="2"/>
  <c r="M83" i="2"/>
  <c r="K82" i="2"/>
  <c r="L81" i="2"/>
  <c r="O80" i="2"/>
  <c r="N79" i="2"/>
  <c r="Q78" i="2"/>
  <c r="T77" i="2"/>
  <c r="R76" i="2"/>
  <c r="U75" i="2"/>
  <c r="X74" i="2"/>
  <c r="W73" i="2"/>
  <c r="Z72" i="2"/>
  <c r="E114" i="2"/>
  <c r="O99" i="2"/>
  <c r="D96" i="2"/>
  <c r="N92" i="2"/>
  <c r="J88" i="2"/>
  <c r="Z84" i="2"/>
  <c r="V82" i="2"/>
  <c r="Z80" i="2"/>
  <c r="Q79" i="2"/>
  <c r="H78" i="2"/>
  <c r="V76" i="2"/>
  <c r="L75" i="2"/>
  <c r="Z73" i="2"/>
  <c r="Q72" i="2"/>
  <c r="V71" i="2"/>
  <c r="F71" i="2"/>
  <c r="M70" i="2"/>
  <c r="T69" i="2"/>
  <c r="D69" i="2"/>
  <c r="K68" i="2"/>
  <c r="R67" i="2"/>
  <c r="P109" i="2"/>
  <c r="S97" i="2"/>
  <c r="K91" i="2"/>
  <c r="G85" i="2"/>
  <c r="I82" i="2"/>
  <c r="T79" i="2"/>
  <c r="P76" i="2"/>
  <c r="U73" i="2"/>
  <c r="K71" i="2"/>
  <c r="M69" i="2"/>
  <c r="K67" i="2"/>
  <c r="Z107" i="2"/>
  <c r="M99" i="2"/>
  <c r="R96" i="2"/>
  <c r="U93" i="2"/>
  <c r="Z90" i="2"/>
  <c r="H88" i="2"/>
  <c r="M85" i="2"/>
  <c r="O83" i="2"/>
  <c r="D82" i="2"/>
  <c r="Q80" i="2"/>
  <c r="H79" i="2"/>
  <c r="V77" i="2"/>
  <c r="L76" i="2"/>
  <c r="Z74" i="2"/>
  <c r="Q73" i="2"/>
  <c r="J72" i="2"/>
  <c r="Q71" i="2"/>
  <c r="X70" i="2"/>
  <c r="H70" i="2"/>
  <c r="O69" i="2"/>
  <c r="V68" i="2"/>
  <c r="F68" i="2"/>
  <c r="M67" i="2"/>
  <c r="W100" i="2"/>
  <c r="F94" i="2"/>
  <c r="I89" i="2"/>
  <c r="S84" i="2"/>
  <c r="F81" i="2"/>
  <c r="R77" i="2"/>
  <c r="F74" i="2"/>
  <c r="G71" i="2"/>
  <c r="E69" i="2"/>
  <c r="E115" i="2"/>
  <c r="P103" i="2"/>
  <c r="J113" i="2"/>
  <c r="T101" i="2"/>
  <c r="R110" i="2"/>
  <c r="L117" i="2"/>
  <c r="J93" i="2"/>
  <c r="V119" i="2"/>
  <c r="T99" i="2"/>
  <c r="Y96" i="2"/>
  <c r="E94" i="2"/>
  <c r="K92" i="2"/>
  <c r="Y90" i="2"/>
  <c r="P89" i="2"/>
  <c r="G88" i="2"/>
  <c r="U86" i="2"/>
  <c r="L85" i="2"/>
  <c r="H109" i="2"/>
  <c r="S99" i="2"/>
  <c r="I97" i="2"/>
  <c r="O95" i="2"/>
  <c r="K93" i="2"/>
  <c r="Q91" i="2"/>
  <c r="W89" i="2"/>
  <c r="U87" i="2"/>
  <c r="D86" i="2"/>
  <c r="R84" i="2"/>
  <c r="I83" i="2"/>
  <c r="L82" i="2"/>
  <c r="M81" i="2"/>
  <c r="L80" i="2"/>
  <c r="O79" i="2"/>
  <c r="R78" i="2"/>
  <c r="Q77" i="2"/>
  <c r="S76" i="2"/>
  <c r="V75" i="2"/>
  <c r="U74" i="2"/>
  <c r="X73" i="2"/>
  <c r="D73" i="2"/>
  <c r="V115" i="2"/>
  <c r="W108" i="2"/>
  <c r="N101" i="2"/>
  <c r="P98" i="2"/>
  <c r="V96" i="2"/>
  <c r="D95" i="2"/>
  <c r="X92" i="2"/>
  <c r="G91" i="2"/>
  <c r="M89" i="2"/>
  <c r="K87" i="2"/>
  <c r="Q85" i="2"/>
  <c r="K84" i="2"/>
  <c r="D83" i="2"/>
  <c r="G82" i="2"/>
  <c r="H81" i="2"/>
  <c r="G80" i="2"/>
  <c r="J79" i="2"/>
  <c r="M78" i="2"/>
  <c r="L77" i="2"/>
  <c r="N76" i="2"/>
  <c r="Q75" i="2"/>
  <c r="P74" i="2"/>
  <c r="S73" i="2"/>
  <c r="V72" i="2"/>
  <c r="M108" i="2"/>
  <c r="V98" i="2"/>
  <c r="K95" i="2"/>
  <c r="E91" i="2"/>
  <c r="Q87" i="2"/>
  <c r="O84" i="2"/>
  <c r="F82" i="2"/>
  <c r="R80" i="2"/>
  <c r="I79" i="2"/>
  <c r="W77" i="2"/>
  <c r="M76" i="2"/>
  <c r="D75" i="2"/>
  <c r="R73" i="2"/>
  <c r="K72" i="2"/>
  <c r="R71" i="2"/>
  <c r="Y70" i="2"/>
  <c r="I70" i="2"/>
  <c r="P69" i="2"/>
  <c r="W68" i="2"/>
  <c r="G68" i="2"/>
  <c r="N67" i="2"/>
  <c r="Q103" i="2"/>
  <c r="J96" i="2"/>
  <c r="Y89" i="2"/>
  <c r="H84" i="2"/>
  <c r="O81" i="2"/>
  <c r="D79" i="2"/>
  <c r="W75" i="2"/>
  <c r="L72" i="2"/>
  <c r="V70" i="2"/>
  <c r="X68" i="2"/>
  <c r="O116" i="2"/>
  <c r="H105" i="2"/>
  <c r="T98" i="2"/>
  <c r="Y95" i="2"/>
  <c r="E93" i="2"/>
  <c r="J90" i="2"/>
  <c r="O87" i="2"/>
  <c r="X84" i="2"/>
  <c r="F83" i="2"/>
  <c r="S81" i="2"/>
  <c r="I80" i="2"/>
  <c r="W78" i="2"/>
  <c r="N77" i="2"/>
  <c r="D76" i="2"/>
  <c r="R74" i="2"/>
  <c r="I73" i="2"/>
  <c r="F72" i="2"/>
  <c r="M71" i="2"/>
  <c r="T70" i="2"/>
  <c r="D70" i="2"/>
  <c r="K69" i="2"/>
  <c r="R68" i="2"/>
  <c r="Y67" i="2"/>
  <c r="I67" i="2"/>
  <c r="I118" i="2"/>
  <c r="E99" i="2"/>
  <c r="T92" i="2"/>
  <c r="W87" i="2"/>
  <c r="U83" i="2"/>
  <c r="E80" i="2"/>
  <c r="Y76" i="2"/>
  <c r="M73" i="2"/>
  <c r="R70" i="2"/>
  <c r="P68" i="2"/>
  <c r="J112" i="2"/>
  <c r="T100" i="2"/>
  <c r="O110" i="2"/>
  <c r="Z118" i="2"/>
  <c r="S107" i="2"/>
  <c r="E106" i="2"/>
  <c r="O90" i="2"/>
  <c r="S108" i="2"/>
  <c r="D99" i="2"/>
  <c r="I96" i="2"/>
  <c r="L93" i="2"/>
  <c r="Z91" i="2"/>
  <c r="Q90" i="2"/>
  <c r="H89" i="2"/>
  <c r="V87" i="2"/>
  <c r="M86" i="2"/>
  <c r="P117" i="2"/>
  <c r="I106" i="2"/>
  <c r="Z98" i="2"/>
  <c r="X96" i="2"/>
  <c r="U94" i="2"/>
  <c r="Z92" i="2"/>
  <c r="I91" i="2"/>
  <c r="G89" i="2"/>
  <c r="M87" i="2"/>
  <c r="S85" i="2"/>
  <c r="G84" i="2"/>
  <c r="E83" i="2"/>
  <c r="H82" i="2"/>
  <c r="E81" i="2"/>
  <c r="H80" i="2"/>
  <c r="K79" i="2"/>
  <c r="J78" i="2"/>
  <c r="M77" i="2"/>
  <c r="O76" i="2"/>
  <c r="N75" i="2"/>
  <c r="Q74" i="2"/>
  <c r="T73" i="2"/>
  <c r="S72" i="2"/>
  <c r="M114" i="2"/>
  <c r="J107" i="2"/>
  <c r="Y99" i="2"/>
  <c r="H98" i="2"/>
  <c r="N96" i="2"/>
  <c r="J94" i="2"/>
  <c r="P92" i="2"/>
  <c r="V90" i="2"/>
  <c r="T88" i="2"/>
  <c r="Z86" i="2"/>
  <c r="I85" i="2"/>
  <c r="W83" i="2"/>
  <c r="W82" i="2"/>
  <c r="Y81" i="2"/>
  <c r="W80" i="2"/>
  <c r="Z79" i="2"/>
  <c r="F79" i="2"/>
  <c r="E78" i="2"/>
  <c r="H77" i="2"/>
  <c r="J76" i="2"/>
  <c r="I75" i="2"/>
  <c r="L74" i="2"/>
  <c r="O73" i="2"/>
  <c r="N72" i="2"/>
  <c r="P105" i="2"/>
  <c r="F98" i="2"/>
  <c r="W93" i="2"/>
  <c r="L90" i="2"/>
  <c r="X86" i="2"/>
  <c r="Q83" i="2"/>
  <c r="T81" i="2"/>
  <c r="J80" i="2"/>
  <c r="X78" i="2"/>
  <c r="O77" i="2"/>
  <c r="E76" i="2"/>
  <c r="S74" i="2"/>
  <c r="J73" i="2"/>
  <c r="G72" i="2"/>
  <c r="N71" i="2"/>
  <c r="U70" i="2"/>
  <c r="E70" i="2"/>
  <c r="L69" i="2"/>
  <c r="S68" i="2"/>
  <c r="Z67" i="2"/>
  <c r="J67" i="2"/>
  <c r="U99" i="2"/>
  <c r="W94" i="2"/>
  <c r="P88" i="2"/>
  <c r="J83" i="2"/>
  <c r="U80" i="2"/>
  <c r="K78" i="2"/>
  <c r="G75" i="2"/>
  <c r="H72" i="2"/>
  <c r="J70" i="2"/>
  <c r="L68" i="2"/>
  <c r="T113" i="2"/>
  <c r="G102" i="2"/>
  <c r="D98" i="2"/>
  <c r="H95" i="2"/>
  <c r="L92" i="2"/>
  <c r="Q89" i="2"/>
  <c r="V86" i="2"/>
  <c r="N84" i="2"/>
  <c r="U82" i="2"/>
  <c r="J81" i="2"/>
  <c r="X79" i="2"/>
  <c r="O78" i="2"/>
  <c r="F77" i="2"/>
  <c r="S75" i="2"/>
  <c r="J74" i="2"/>
  <c r="X72" i="2"/>
  <c r="Y71" i="2"/>
  <c r="I71" i="2"/>
  <c r="P70" i="2"/>
  <c r="W69" i="2"/>
  <c r="G69" i="2"/>
  <c r="N68" i="2"/>
  <c r="U67" i="2"/>
  <c r="E67" i="2"/>
  <c r="K112" i="2"/>
  <c r="Z96" i="2"/>
  <c r="D92" i="2"/>
  <c r="G87" i="2"/>
  <c r="Y82" i="2"/>
  <c r="L79" i="2"/>
  <c r="H76" i="2"/>
  <c r="T72" i="2"/>
  <c r="F70" i="2"/>
  <c r="D68" i="2"/>
  <c r="Y118" i="2"/>
  <c r="Y106" i="2"/>
  <c r="G99" i="2"/>
  <c r="L96" i="2"/>
  <c r="O93" i="2"/>
  <c r="T90" i="2"/>
  <c r="Y87" i="2"/>
  <c r="H85" i="2"/>
  <c r="K83" i="2"/>
  <c r="X81" i="2"/>
  <c r="N80" i="2"/>
  <c r="E79" i="2"/>
  <c r="S77" i="2"/>
  <c r="I76" i="2"/>
  <c r="W74" i="2"/>
  <c r="N73" i="2"/>
  <c r="I72" i="2"/>
  <c r="P71" i="2"/>
  <c r="W70" i="2"/>
  <c r="G70" i="2"/>
  <c r="N69" i="2"/>
  <c r="U68" i="2"/>
  <c r="E68" i="2"/>
  <c r="L67" i="2"/>
  <c r="Z77" i="2"/>
  <c r="O71" i="2"/>
  <c r="I69" i="2"/>
  <c r="O109" i="2"/>
  <c r="W118" i="2"/>
  <c r="P107" i="2"/>
  <c r="H116" i="2"/>
  <c r="X104" i="2"/>
  <c r="Y98" i="2"/>
  <c r="T87" i="2"/>
  <c r="H104" i="2"/>
  <c r="K98" i="2"/>
  <c r="P95" i="2"/>
  <c r="D93" i="2"/>
  <c r="R91" i="2"/>
  <c r="I90" i="2"/>
  <c r="W88" i="2"/>
  <c r="N87" i="2"/>
  <c r="E86" i="2"/>
  <c r="U114" i="2"/>
  <c r="H103" i="2"/>
  <c r="J98" i="2"/>
  <c r="H96" i="2"/>
  <c r="L94" i="2"/>
  <c r="R92" i="2"/>
  <c r="E85" i="2"/>
  <c r="X80" i="2"/>
  <c r="I77" i="2"/>
  <c r="L73" i="2"/>
  <c r="Q99" i="2"/>
  <c r="H92" i="2"/>
  <c r="V84" i="2"/>
  <c r="S80" i="2"/>
  <c r="D77" i="2"/>
  <c r="G73" i="2"/>
  <c r="G93" i="2"/>
  <c r="K81" i="2"/>
  <c r="T75" i="2"/>
  <c r="J71" i="2"/>
  <c r="O68" i="2"/>
  <c r="M93" i="2"/>
  <c r="J77" i="2"/>
  <c r="W67" i="2"/>
  <c r="N94" i="2"/>
  <c r="Z83" i="2"/>
  <c r="G78" i="2"/>
  <c r="P72" i="2"/>
  <c r="S69" i="2"/>
  <c r="R90" i="2"/>
  <c r="O75" i="2"/>
  <c r="G67" i="2"/>
  <c r="X109" i="2"/>
  <c r="N98" i="2"/>
  <c r="Y94" i="2"/>
  <c r="M91" i="2"/>
  <c r="I87" i="2"/>
  <c r="J84" i="2"/>
  <c r="J82" i="2"/>
  <c r="F80" i="2"/>
  <c r="L78" i="2"/>
  <c r="Q76" i="2"/>
  <c r="O74" i="2"/>
  <c r="U72" i="2"/>
  <c r="T71" i="2"/>
  <c r="S70" i="2"/>
  <c r="V69" i="2"/>
  <c r="Y68" i="2"/>
  <c r="X67" i="2"/>
  <c r="D67" i="2"/>
  <c r="D72" i="2"/>
  <c r="T68" i="2"/>
  <c r="Q70" i="2"/>
  <c r="M82" i="2"/>
  <c r="U71" i="2"/>
  <c r="U85" i="2"/>
  <c r="Z103" i="2"/>
  <c r="U97" i="2"/>
  <c r="D90" i="2"/>
  <c r="P86" i="2"/>
  <c r="P81" i="2"/>
  <c r="U79" i="2"/>
  <c r="X75" i="2"/>
  <c r="M72" i="2"/>
  <c r="O70" i="2"/>
  <c r="Q68" i="2"/>
  <c r="T67" i="2"/>
  <c r="P90" i="2"/>
  <c r="Y83" i="2"/>
  <c r="D80" i="2"/>
  <c r="G76" i="2"/>
  <c r="O72" i="2"/>
  <c r="W97" i="2"/>
  <c r="F90" i="2"/>
  <c r="R83" i="2"/>
  <c r="V79" i="2"/>
  <c r="Y75" i="2"/>
  <c r="W116" i="2"/>
  <c r="S89" i="2"/>
  <c r="Y79" i="2"/>
  <c r="K74" i="2"/>
  <c r="V67" i="2"/>
  <c r="N86" i="2"/>
  <c r="N74" i="2"/>
  <c r="Y110" i="2"/>
  <c r="S91" i="2"/>
  <c r="U76" i="2"/>
  <c r="Z68" i="2"/>
  <c r="W71" i="2"/>
  <c r="H94" i="2"/>
  <c r="V83" i="2"/>
  <c r="D78" i="2"/>
  <c r="G74" i="2"/>
  <c r="L71" i="2"/>
  <c r="R69" i="2"/>
  <c r="Z70" i="2"/>
  <c r="V88" i="2"/>
  <c r="X82" i="2"/>
  <c r="Z78" i="2"/>
  <c r="J75" i="2"/>
  <c r="D113" i="2"/>
  <c r="U95" i="2"/>
  <c r="L88" i="2"/>
  <c r="S82" i="2"/>
  <c r="U78" i="2"/>
  <c r="E75" i="2"/>
  <c r="O102" i="2"/>
  <c r="O85" i="2"/>
  <c r="P78" i="2"/>
  <c r="Y72" i="2"/>
  <c r="X69" i="2"/>
  <c r="F67" i="2"/>
  <c r="F115" i="2"/>
  <c r="Q82" i="2"/>
  <c r="S71" i="2"/>
  <c r="G100" i="2"/>
  <c r="X88" i="2"/>
  <c r="Y80" i="2"/>
  <c r="K75" i="2"/>
  <c r="E71" i="2"/>
  <c r="J68" i="2"/>
  <c r="Q106" i="2"/>
  <c r="W81" i="2"/>
  <c r="Q69" i="2"/>
  <c r="N115" i="2"/>
  <c r="F101" i="2"/>
  <c r="E97" i="2"/>
  <c r="V92" i="2"/>
  <c r="K89" i="2"/>
  <c r="W85" i="2"/>
  <c r="Z82" i="2"/>
  <c r="G81" i="2"/>
  <c r="M79" i="2"/>
  <c r="K77" i="2"/>
  <c r="P75" i="2"/>
  <c r="V73" i="2"/>
  <c r="E72" i="2"/>
  <c r="H71" i="2"/>
  <c r="K70" i="2"/>
  <c r="J69" i="2"/>
  <c r="M68" i="2"/>
  <c r="P67" i="2"/>
  <c r="V74" i="2"/>
  <c r="N70" i="2"/>
  <c r="S67" i="2"/>
  <c r="E87" i="2"/>
  <c r="V81" i="2"/>
  <c r="F78" i="2"/>
  <c r="M74" i="2"/>
  <c r="N104" i="2"/>
  <c r="Y93" i="2"/>
  <c r="R86" i="2"/>
  <c r="Q81" i="2"/>
  <c r="X77" i="2"/>
  <c r="H74" i="2"/>
  <c r="T96" i="2"/>
  <c r="G83" i="2"/>
  <c r="G77" i="2"/>
  <c r="Z71" i="2"/>
  <c r="H69" i="2"/>
  <c r="L98" i="2"/>
  <c r="M80" i="2"/>
  <c r="U69" i="2"/>
  <c r="K97" i="2"/>
  <c r="F86" i="2"/>
  <c r="P79" i="2"/>
  <c r="Y73" i="2"/>
  <c r="L70" i="2"/>
  <c r="Q67" i="2"/>
  <c r="Q95" i="2"/>
  <c r="S78" i="2"/>
  <c r="O67" i="2"/>
  <c r="S112" i="2"/>
  <c r="W99" i="2"/>
  <c r="S95" i="2"/>
  <c r="F92" i="2"/>
  <c r="R88" i="2"/>
  <c r="T84" i="2"/>
  <c r="R82" i="2"/>
  <c r="V80" i="2"/>
  <c r="T78" i="2"/>
  <c r="Z76" i="2"/>
  <c r="H75" i="2"/>
  <c r="F73" i="2"/>
  <c r="X71" i="2"/>
  <c r="D71" i="2"/>
  <c r="Z69" i="2"/>
  <c r="F69" i="2"/>
  <c r="I68" i="2"/>
  <c r="H67" i="2"/>
  <c r="E73" i="2"/>
  <c r="Y69" i="2"/>
  <c r="H68" i="2"/>
  <c r="CP22" i="2" l="1" a="1"/>
  <c r="CP22" i="2" s="1"/>
  <c r="CO22" i="2" a="1"/>
  <c r="CO22" i="2" s="1"/>
  <c r="CK22" i="2"/>
  <c r="CN22" i="2"/>
  <c r="CM22" i="2"/>
  <c r="DI22" i="2" l="1"/>
  <c r="CH22" i="2"/>
  <c r="CI22" i="2"/>
  <c r="CG22" i="2"/>
  <c r="DJ22" i="2" l="1"/>
  <c r="CL22" i="2"/>
  <c r="CJ22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X85" i="3"/>
  <c r="T85" i="3"/>
  <c r="P85" i="3"/>
  <c r="L85" i="3"/>
  <c r="H85" i="3"/>
  <c r="D85" i="3"/>
  <c r="V84" i="3"/>
  <c r="R84" i="3"/>
  <c r="N84" i="3"/>
  <c r="J84" i="3"/>
  <c r="F84" i="3"/>
  <c r="X83" i="3"/>
  <c r="T83" i="3"/>
  <c r="P83" i="3"/>
  <c r="L83" i="3"/>
  <c r="H83" i="3"/>
  <c r="D83" i="3"/>
  <c r="V82" i="3"/>
  <c r="R82" i="3"/>
  <c r="N82" i="3"/>
  <c r="J82" i="3"/>
  <c r="F82" i="3"/>
  <c r="X81" i="3"/>
  <c r="T81" i="3"/>
  <c r="P81" i="3"/>
  <c r="L81" i="3"/>
  <c r="H81" i="3"/>
  <c r="D81" i="3"/>
  <c r="V80" i="3"/>
  <c r="R80" i="3"/>
  <c r="N80" i="3"/>
  <c r="J80" i="3"/>
  <c r="F80" i="3"/>
  <c r="X79" i="3"/>
  <c r="T79" i="3"/>
  <c r="P79" i="3"/>
  <c r="L79" i="3"/>
  <c r="H79" i="3"/>
  <c r="D79" i="3"/>
  <c r="V78" i="3"/>
  <c r="R78" i="3"/>
  <c r="N78" i="3"/>
  <c r="J78" i="3"/>
  <c r="F78" i="3"/>
  <c r="X77" i="3"/>
  <c r="T77" i="3"/>
  <c r="P77" i="3"/>
  <c r="L77" i="3"/>
  <c r="H77" i="3"/>
  <c r="D77" i="3"/>
  <c r="V76" i="3"/>
  <c r="R76" i="3"/>
  <c r="N76" i="3"/>
  <c r="J76" i="3"/>
  <c r="F76" i="3"/>
  <c r="X75" i="3"/>
  <c r="T75" i="3"/>
  <c r="P75" i="3"/>
  <c r="L75" i="3"/>
  <c r="H75" i="3"/>
  <c r="D75" i="3"/>
  <c r="V74" i="3"/>
  <c r="R74" i="3"/>
  <c r="N74" i="3"/>
  <c r="J74" i="3"/>
  <c r="F74" i="3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CQ19" i="3"/>
  <c r="CJ19" i="3"/>
  <c r="CF19" i="3"/>
  <c r="CP29" i="3"/>
  <c r="CI29" i="3"/>
  <c r="CE29" i="3"/>
  <c r="CO36" i="3"/>
  <c r="CH36" i="3"/>
  <c r="DE43" i="2"/>
  <c r="DA43" i="2"/>
  <c r="V85" i="3"/>
  <c r="R85" i="3"/>
  <c r="N85" i="3"/>
  <c r="J85" i="3"/>
  <c r="F85" i="3"/>
  <c r="X84" i="3"/>
  <c r="P84" i="3"/>
  <c r="L84" i="3"/>
  <c r="D84" i="3"/>
  <c r="V83" i="3"/>
  <c r="N83" i="3"/>
  <c r="F83" i="3"/>
  <c r="X82" i="3"/>
  <c r="P82" i="3"/>
  <c r="H82" i="3"/>
  <c r="V81" i="3"/>
  <c r="N81" i="3"/>
  <c r="X80" i="3"/>
  <c r="P80" i="3"/>
  <c r="H80" i="3"/>
  <c r="V79" i="3"/>
  <c r="N79" i="3"/>
  <c r="J79" i="3"/>
  <c r="X78" i="3"/>
  <c r="P78" i="3"/>
  <c r="H78" i="3"/>
  <c r="V77" i="3"/>
  <c r="N77" i="3"/>
  <c r="F77" i="3"/>
  <c r="T76" i="3"/>
  <c r="L76" i="3"/>
  <c r="D76" i="3"/>
  <c r="R75" i="3"/>
  <c r="J75" i="3"/>
  <c r="X74" i="3"/>
  <c r="T74" i="3"/>
  <c r="L74" i="3"/>
  <c r="D74" i="3"/>
  <c r="V73" i="3"/>
  <c r="N73" i="3"/>
  <c r="X72" i="3"/>
  <c r="P72" i="3"/>
  <c r="L72" i="3"/>
  <c r="D72" i="3"/>
  <c r="R71" i="3"/>
  <c r="F71" i="3"/>
  <c r="T70" i="3"/>
  <c r="H70" i="3"/>
  <c r="V69" i="3"/>
  <c r="N69" i="3"/>
  <c r="F69" i="3"/>
  <c r="T68" i="3"/>
  <c r="W85" i="3"/>
  <c r="S85" i="3"/>
  <c r="O85" i="3"/>
  <c r="K85" i="3"/>
  <c r="G85" i="3"/>
  <c r="C85" i="3"/>
  <c r="U84" i="3"/>
  <c r="Q84" i="3"/>
  <c r="M84" i="3"/>
  <c r="I84" i="3"/>
  <c r="E84" i="3"/>
  <c r="W83" i="3"/>
  <c r="S83" i="3"/>
  <c r="O83" i="3"/>
  <c r="K83" i="3"/>
  <c r="G83" i="3"/>
  <c r="C83" i="3"/>
  <c r="U82" i="3"/>
  <c r="Q82" i="3"/>
  <c r="M82" i="3"/>
  <c r="I82" i="3"/>
  <c r="E82" i="3"/>
  <c r="W81" i="3"/>
  <c r="S81" i="3"/>
  <c r="O81" i="3"/>
  <c r="K81" i="3"/>
  <c r="G81" i="3"/>
  <c r="C81" i="3"/>
  <c r="U80" i="3"/>
  <c r="Q80" i="3"/>
  <c r="M80" i="3"/>
  <c r="I80" i="3"/>
  <c r="E80" i="3"/>
  <c r="W79" i="3"/>
  <c r="S79" i="3"/>
  <c r="O79" i="3"/>
  <c r="K79" i="3"/>
  <c r="G79" i="3"/>
  <c r="C79" i="3"/>
  <c r="U78" i="3"/>
  <c r="Q78" i="3"/>
  <c r="M78" i="3"/>
  <c r="I78" i="3"/>
  <c r="E78" i="3"/>
  <c r="W77" i="3"/>
  <c r="S77" i="3"/>
  <c r="O77" i="3"/>
  <c r="K77" i="3"/>
  <c r="G77" i="3"/>
  <c r="C77" i="3"/>
  <c r="U76" i="3"/>
  <c r="Q76" i="3"/>
  <c r="M76" i="3"/>
  <c r="I76" i="3"/>
  <c r="E76" i="3"/>
  <c r="W75" i="3"/>
  <c r="S75" i="3"/>
  <c r="O75" i="3"/>
  <c r="K75" i="3"/>
  <c r="G75" i="3"/>
  <c r="C75" i="3"/>
  <c r="U74" i="3"/>
  <c r="Q74" i="3"/>
  <c r="M74" i="3"/>
  <c r="I74" i="3"/>
  <c r="E74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U56" i="3"/>
  <c r="Q56" i="3"/>
  <c r="M56" i="3"/>
  <c r="I56" i="3"/>
  <c r="E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CP19" i="3"/>
  <c r="CI19" i="3"/>
  <c r="CE19" i="3"/>
  <c r="CO29" i="3"/>
  <c r="CH29" i="3"/>
  <c r="CU36" i="3"/>
  <c r="CN36" i="3"/>
  <c r="CG36" i="3"/>
  <c r="DD43" i="2"/>
  <c r="CZ43" i="2"/>
  <c r="T84" i="3"/>
  <c r="H84" i="3"/>
  <c r="R83" i="3"/>
  <c r="J83" i="3"/>
  <c r="T82" i="3"/>
  <c r="L82" i="3"/>
  <c r="D82" i="3"/>
  <c r="R81" i="3"/>
  <c r="J81" i="3"/>
  <c r="F81" i="3"/>
  <c r="T80" i="3"/>
  <c r="L80" i="3"/>
  <c r="D80" i="3"/>
  <c r="R79" i="3"/>
  <c r="F79" i="3"/>
  <c r="T78" i="3"/>
  <c r="L78" i="3"/>
  <c r="D78" i="3"/>
  <c r="R77" i="3"/>
  <c r="J77" i="3"/>
  <c r="X76" i="3"/>
  <c r="P76" i="3"/>
  <c r="H76" i="3"/>
  <c r="V75" i="3"/>
  <c r="N75" i="3"/>
  <c r="F75" i="3"/>
  <c r="P74" i="3"/>
  <c r="H74" i="3"/>
  <c r="R73" i="3"/>
  <c r="J73" i="3"/>
  <c r="F73" i="3"/>
  <c r="T72" i="3"/>
  <c r="H72" i="3"/>
  <c r="V71" i="3"/>
  <c r="N71" i="3"/>
  <c r="J71" i="3"/>
  <c r="X70" i="3"/>
  <c r="P70" i="3"/>
  <c r="L70" i="3"/>
  <c r="D70" i="3"/>
  <c r="R69" i="3"/>
  <c r="J69" i="3"/>
  <c r="X68" i="3"/>
  <c r="CE22" i="2"/>
  <c r="I85" i="3"/>
  <c r="O84" i="3"/>
  <c r="U83" i="3"/>
  <c r="E83" i="3"/>
  <c r="K82" i="3"/>
  <c r="Q81" i="3"/>
  <c r="W80" i="3"/>
  <c r="G80" i="3"/>
  <c r="M79" i="3"/>
  <c r="S78" i="3"/>
  <c r="C78" i="3"/>
  <c r="I77" i="3"/>
  <c r="O76" i="3"/>
  <c r="U75" i="3"/>
  <c r="E75" i="3"/>
  <c r="K74" i="3"/>
  <c r="Q73" i="3"/>
  <c r="W72" i="3"/>
  <c r="G72" i="3"/>
  <c r="M71" i="3"/>
  <c r="S70" i="3"/>
  <c r="C70" i="3"/>
  <c r="I69" i="3"/>
  <c r="P68" i="3"/>
  <c r="H68" i="3"/>
  <c r="V67" i="3"/>
  <c r="N67" i="3"/>
  <c r="F67" i="3"/>
  <c r="T66" i="3"/>
  <c r="L66" i="3"/>
  <c r="D66" i="3"/>
  <c r="R65" i="3"/>
  <c r="J65" i="3"/>
  <c r="X64" i="3"/>
  <c r="P64" i="3"/>
  <c r="H64" i="3"/>
  <c r="V63" i="3"/>
  <c r="N63" i="3"/>
  <c r="F63" i="3"/>
  <c r="T62" i="3"/>
  <c r="L62" i="3"/>
  <c r="D62" i="3"/>
  <c r="R61" i="3"/>
  <c r="J61" i="3"/>
  <c r="X60" i="3"/>
  <c r="P60" i="3"/>
  <c r="H60" i="3"/>
  <c r="V59" i="3"/>
  <c r="N59" i="3"/>
  <c r="F59" i="3"/>
  <c r="T58" i="3"/>
  <c r="L58" i="3"/>
  <c r="D58" i="3"/>
  <c r="R57" i="3"/>
  <c r="J57" i="3"/>
  <c r="X56" i="3"/>
  <c r="P56" i="3"/>
  <c r="H56" i="3"/>
  <c r="V55" i="3"/>
  <c r="N55" i="3"/>
  <c r="F55" i="3"/>
  <c r="T54" i="3"/>
  <c r="L54" i="3"/>
  <c r="D54" i="3"/>
  <c r="R53" i="3"/>
  <c r="J53" i="3"/>
  <c r="X52" i="3"/>
  <c r="P52" i="3"/>
  <c r="H52" i="3"/>
  <c r="V51" i="3"/>
  <c r="N51" i="3"/>
  <c r="F51" i="3"/>
  <c r="CO19" i="3"/>
  <c r="CU29" i="3"/>
  <c r="CG29" i="3"/>
  <c r="CJ36" i="3"/>
  <c r="DC43" i="2"/>
  <c r="CF36" i="3"/>
  <c r="CY43" i="2"/>
  <c r="M85" i="3"/>
  <c r="C84" i="3"/>
  <c r="I83" i="3"/>
  <c r="O82" i="3"/>
  <c r="U81" i="3"/>
  <c r="E81" i="3"/>
  <c r="K80" i="3"/>
  <c r="Q79" i="3"/>
  <c r="W78" i="3"/>
  <c r="M77" i="3"/>
  <c r="C76" i="3"/>
  <c r="U73" i="3"/>
  <c r="Q71" i="3"/>
  <c r="G70" i="3"/>
  <c r="S68" i="3"/>
  <c r="I59" i="3"/>
  <c r="G54" i="3"/>
  <c r="CU19" i="3"/>
  <c r="CE36" i="3"/>
  <c r="U85" i="3"/>
  <c r="E85" i="3"/>
  <c r="K84" i="3"/>
  <c r="Q83" i="3"/>
  <c r="W82" i="3"/>
  <c r="G82" i="3"/>
  <c r="M81" i="3"/>
  <c r="S80" i="3"/>
  <c r="C80" i="3"/>
  <c r="I79" i="3"/>
  <c r="O78" i="3"/>
  <c r="U77" i="3"/>
  <c r="E77" i="3"/>
  <c r="K76" i="3"/>
  <c r="Q75" i="3"/>
  <c r="W74" i="3"/>
  <c r="G74" i="3"/>
  <c r="M73" i="3"/>
  <c r="S72" i="3"/>
  <c r="C72" i="3"/>
  <c r="I71" i="3"/>
  <c r="O70" i="3"/>
  <c r="U69" i="3"/>
  <c r="E69" i="3"/>
  <c r="O68" i="3"/>
  <c r="G68" i="3"/>
  <c r="U67" i="3"/>
  <c r="M67" i="3"/>
  <c r="E67" i="3"/>
  <c r="S66" i="3"/>
  <c r="K66" i="3"/>
  <c r="C66" i="3"/>
  <c r="Q65" i="3"/>
  <c r="I65" i="3"/>
  <c r="W64" i="3"/>
  <c r="O64" i="3"/>
  <c r="G64" i="3"/>
  <c r="U63" i="3"/>
  <c r="M63" i="3"/>
  <c r="E63" i="3"/>
  <c r="S62" i="3"/>
  <c r="K62" i="3"/>
  <c r="C62" i="3"/>
  <c r="Q61" i="3"/>
  <c r="I61" i="3"/>
  <c r="W60" i="3"/>
  <c r="O60" i="3"/>
  <c r="G60" i="3"/>
  <c r="U59" i="3"/>
  <c r="M59" i="3"/>
  <c r="E59" i="3"/>
  <c r="S58" i="3"/>
  <c r="K58" i="3"/>
  <c r="C58" i="3"/>
  <c r="Q57" i="3"/>
  <c r="I57" i="3"/>
  <c r="W56" i="3"/>
  <c r="O56" i="3"/>
  <c r="G56" i="3"/>
  <c r="U55" i="3"/>
  <c r="M55" i="3"/>
  <c r="E55" i="3"/>
  <c r="S54" i="3"/>
  <c r="K54" i="3"/>
  <c r="C54" i="3"/>
  <c r="Q53" i="3"/>
  <c r="I53" i="3"/>
  <c r="W52" i="3"/>
  <c r="O52" i="3"/>
  <c r="G52" i="3"/>
  <c r="U51" i="3"/>
  <c r="M51" i="3"/>
  <c r="E51" i="3"/>
  <c r="CN19" i="3"/>
  <c r="CQ29" i="3"/>
  <c r="CF29" i="3"/>
  <c r="CI36" i="3"/>
  <c r="DB43" i="2"/>
  <c r="Q85" i="3"/>
  <c r="W84" i="3"/>
  <c r="G84" i="3"/>
  <c r="M83" i="3"/>
  <c r="S82" i="3"/>
  <c r="C82" i="3"/>
  <c r="I81" i="3"/>
  <c r="O80" i="3"/>
  <c r="U79" i="3"/>
  <c r="E79" i="3"/>
  <c r="K78" i="3"/>
  <c r="Q77" i="3"/>
  <c r="W76" i="3"/>
  <c r="G76" i="3"/>
  <c r="M75" i="3"/>
  <c r="S74" i="3"/>
  <c r="C74" i="3"/>
  <c r="I73" i="3"/>
  <c r="O72" i="3"/>
  <c r="U71" i="3"/>
  <c r="E71" i="3"/>
  <c r="K70" i="3"/>
  <c r="Q69" i="3"/>
  <c r="W68" i="3"/>
  <c r="L68" i="3"/>
  <c r="D68" i="3"/>
  <c r="R67" i="3"/>
  <c r="J67" i="3"/>
  <c r="X66" i="3"/>
  <c r="P66" i="3"/>
  <c r="H66" i="3"/>
  <c r="V65" i="3"/>
  <c r="N65" i="3"/>
  <c r="F65" i="3"/>
  <c r="T64" i="3"/>
  <c r="L64" i="3"/>
  <c r="D64" i="3"/>
  <c r="R63" i="3"/>
  <c r="J63" i="3"/>
  <c r="X62" i="3"/>
  <c r="P62" i="3"/>
  <c r="H62" i="3"/>
  <c r="V61" i="3"/>
  <c r="N61" i="3"/>
  <c r="F61" i="3"/>
  <c r="T60" i="3"/>
  <c r="L60" i="3"/>
  <c r="D60" i="3"/>
  <c r="R59" i="3"/>
  <c r="J59" i="3"/>
  <c r="X58" i="3"/>
  <c r="P58" i="3"/>
  <c r="H58" i="3"/>
  <c r="V57" i="3"/>
  <c r="N57" i="3"/>
  <c r="F57" i="3"/>
  <c r="T56" i="3"/>
  <c r="L56" i="3"/>
  <c r="D56" i="3"/>
  <c r="R55" i="3"/>
  <c r="J55" i="3"/>
  <c r="X54" i="3"/>
  <c r="P54" i="3"/>
  <c r="H54" i="3"/>
  <c r="V53" i="3"/>
  <c r="N53" i="3"/>
  <c r="F53" i="3"/>
  <c r="T52" i="3"/>
  <c r="L52" i="3"/>
  <c r="D52" i="3"/>
  <c r="R51" i="3"/>
  <c r="J51" i="3"/>
  <c r="H50" i="3"/>
  <c r="CH19" i="3"/>
  <c r="CN29" i="3"/>
  <c r="CQ36" i="3"/>
  <c r="S84" i="3"/>
  <c r="G78" i="3"/>
  <c r="S76" i="3"/>
  <c r="I75" i="3"/>
  <c r="O74" i="3"/>
  <c r="E73" i="3"/>
  <c r="K72" i="3"/>
  <c r="W70" i="3"/>
  <c r="M69" i="3"/>
  <c r="K68" i="3"/>
  <c r="C68" i="3"/>
  <c r="Q67" i="3"/>
  <c r="I67" i="3"/>
  <c r="W66" i="3"/>
  <c r="O66" i="3"/>
  <c r="G66" i="3"/>
  <c r="U65" i="3"/>
  <c r="M65" i="3"/>
  <c r="E65" i="3"/>
  <c r="S64" i="3"/>
  <c r="K64" i="3"/>
  <c r="C64" i="3"/>
  <c r="Q63" i="3"/>
  <c r="I63" i="3"/>
  <c r="W62" i="3"/>
  <c r="O62" i="3"/>
  <c r="G62" i="3"/>
  <c r="U61" i="3"/>
  <c r="M61" i="3"/>
  <c r="E61" i="3"/>
  <c r="S60" i="3"/>
  <c r="K60" i="3"/>
  <c r="C60" i="3"/>
  <c r="Q59" i="3"/>
  <c r="W58" i="3"/>
  <c r="O58" i="3"/>
  <c r="G58" i="3"/>
  <c r="U57" i="3"/>
  <c r="M57" i="3"/>
  <c r="E57" i="3"/>
  <c r="S56" i="3"/>
  <c r="K56" i="3"/>
  <c r="C56" i="3"/>
  <c r="Q55" i="3"/>
  <c r="I55" i="3"/>
  <c r="W54" i="3"/>
  <c r="O54" i="3"/>
  <c r="U53" i="3"/>
  <c r="M53" i="3"/>
  <c r="E53" i="3"/>
  <c r="S52" i="3"/>
  <c r="K52" i="3"/>
  <c r="C52" i="3"/>
  <c r="Q51" i="3"/>
  <c r="I51" i="3"/>
  <c r="CG19" i="3"/>
  <c r="CJ29" i="3"/>
  <c r="CP36" i="3"/>
  <c r="CQ43" i="2"/>
  <c r="CR29" i="3" l="1"/>
  <c r="CK29" i="3"/>
  <c r="CL29" i="3"/>
  <c r="CM29" i="3"/>
  <c r="CT29" i="3"/>
  <c r="CT36" i="3"/>
  <c r="CM36" i="3"/>
  <c r="CL36" i="3"/>
  <c r="CR36" i="3"/>
  <c r="CK36" i="3"/>
  <c r="CF22" i="2"/>
  <c r="DF22" i="2"/>
  <c r="CT19" i="3"/>
  <c r="CM19" i="3"/>
  <c r="CR19" i="3"/>
  <c r="CK19" i="3"/>
  <c r="CL19" i="3"/>
  <c r="CP43" i="2" a="1"/>
  <c r="CP43" i="2" s="1"/>
  <c r="CO43" i="2" a="1"/>
  <c r="CO43" i="2" s="1"/>
  <c r="CM43" i="2"/>
  <c r="CK43" i="2"/>
  <c r="CN43" i="2"/>
  <c r="DI43" i="2" l="1"/>
  <c r="CH43" i="2"/>
  <c r="CG43" i="2"/>
  <c r="CI43" i="2"/>
  <c r="DJ43" i="2" l="1"/>
  <c r="CL43" i="2"/>
  <c r="CJ43" i="2"/>
  <c r="DE9" i="2"/>
  <c r="DA9" i="2"/>
  <c r="DD9" i="2"/>
  <c r="CZ9" i="2"/>
  <c r="DC9" i="2"/>
  <c r="CE43" i="2"/>
  <c r="DB9" i="2"/>
  <c r="CY9" i="2"/>
  <c r="CF43" i="2" l="1"/>
  <c r="DF43" i="2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N9" i="2"/>
  <c r="CM9" i="2"/>
  <c r="CK9" i="2"/>
  <c r="DI9" i="2" l="1"/>
  <c r="CH9" i="2"/>
  <c r="CI9" i="2"/>
  <c r="CG9" i="2"/>
  <c r="DJ9" i="2" l="1"/>
  <c r="CL9" i="2"/>
  <c r="CJ9" i="2"/>
  <c r="CU39" i="3"/>
  <c r="CN39" i="3"/>
  <c r="CG39" i="3"/>
  <c r="CQ20" i="3"/>
  <c r="CJ20" i="3"/>
  <c r="CF20" i="3"/>
  <c r="CP14" i="3"/>
  <c r="CI14" i="3"/>
  <c r="CE14" i="3"/>
  <c r="CH14" i="3"/>
  <c r="CE9" i="2"/>
  <c r="CU20" i="3"/>
  <c r="CJ14" i="3"/>
  <c r="CQ39" i="3"/>
  <c r="CJ39" i="3"/>
  <c r="CF39" i="3"/>
  <c r="CP20" i="3"/>
  <c r="CI20" i="3"/>
  <c r="CE20" i="3"/>
  <c r="CO14" i="3"/>
  <c r="CN14" i="3"/>
  <c r="CO39" i="3"/>
  <c r="CG20" i="3"/>
  <c r="CF14" i="3"/>
  <c r="CP39" i="3"/>
  <c r="CI39" i="3"/>
  <c r="CE39" i="3"/>
  <c r="CO20" i="3"/>
  <c r="CH20" i="3"/>
  <c r="CU14" i="3"/>
  <c r="CG14" i="3"/>
  <c r="CH39" i="3"/>
  <c r="CN20" i="3"/>
  <c r="CQ14" i="3"/>
  <c r="CF9" i="2" l="1"/>
  <c r="DF9" i="2"/>
  <c r="CT39" i="3"/>
  <c r="CM39" i="3"/>
  <c r="CR39" i="3"/>
  <c r="CK39" i="3"/>
  <c r="CL39" i="3"/>
  <c r="CT20" i="3"/>
  <c r="CM20" i="3"/>
  <c r="CR20" i="3"/>
  <c r="CK20" i="3"/>
  <c r="CL20" i="3"/>
  <c r="CT14" i="3"/>
  <c r="CM14" i="3"/>
  <c r="CR14" i="3"/>
  <c r="CK14" i="3"/>
  <c r="CL14" i="3"/>
  <c r="DB47" i="2"/>
  <c r="DA47" i="2"/>
  <c r="CY47" i="2"/>
  <c r="DE47" i="2"/>
  <c r="DD47" i="2"/>
  <c r="CZ47" i="2"/>
  <c r="DC47" i="2"/>
  <c r="CW47" i="2" l="1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 a="1"/>
  <c r="CR47" i="2" s="1"/>
  <c r="CQ47" i="2"/>
  <c r="CP47" i="2" l="1" a="1"/>
  <c r="CP47" i="2" s="1"/>
  <c r="CO47" i="2" a="1"/>
  <c r="CO47" i="2" s="1"/>
  <c r="CN47" i="2"/>
  <c r="CM47" i="2"/>
  <c r="CK47" i="2"/>
  <c r="DI47" i="2" l="1"/>
  <c r="CI47" i="2"/>
  <c r="CG47" i="2"/>
  <c r="CH47" i="2"/>
  <c r="DJ47" i="2" l="1"/>
  <c r="CL47" i="2"/>
  <c r="CJ47" i="2"/>
  <c r="CE47" i="2"/>
  <c r="CF47" i="2" l="1"/>
  <c r="DF47" i="2"/>
  <c r="DC46" i="2"/>
  <c r="CY46" i="2"/>
  <c r="DB46" i="2"/>
  <c r="DE46" i="2"/>
  <c r="DA46" i="2"/>
  <c r="CZ46" i="2"/>
  <c r="DD46" i="2"/>
  <c r="CW46" i="2" l="1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Q46" i="2"/>
  <c r="CP46" i="2" l="1" a="1"/>
  <c r="CP46" i="2" s="1"/>
  <c r="CO46" i="2" a="1"/>
  <c r="CO46" i="2" s="1"/>
  <c r="CN46" i="2"/>
  <c r="CM46" i="2"/>
  <c r="CK46" i="2"/>
  <c r="DI46" i="2" l="1"/>
  <c r="CH46" i="2"/>
  <c r="CG46" i="2"/>
  <c r="CI46" i="2"/>
  <c r="DJ46" i="2" l="1"/>
  <c r="CL46" i="2"/>
  <c r="CJ46" i="2"/>
  <c r="CE46" i="2"/>
  <c r="CF46" i="2" l="1"/>
  <c r="DF46" i="2"/>
  <c r="DC45" i="2"/>
  <c r="CY45" i="2"/>
  <c r="DB45" i="2"/>
  <c r="DE45" i="2"/>
  <c r="DA45" i="2"/>
  <c r="DD45" i="2"/>
  <c r="CZ45" i="2"/>
  <c r="CW45" i="2" l="1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Q45" i="2"/>
  <c r="CP45" i="2" l="1" a="1"/>
  <c r="CP45" i="2" s="1"/>
  <c r="CO45" i="2" a="1"/>
  <c r="CO45" i="2" s="1"/>
  <c r="CN45" i="2"/>
  <c r="CM45" i="2"/>
  <c r="CK45" i="2"/>
  <c r="DI45" i="2" l="1"/>
  <c r="CH45" i="2"/>
  <c r="CI45" i="2"/>
  <c r="CG45" i="2"/>
  <c r="DJ45" i="2" l="1"/>
  <c r="CL45" i="2"/>
  <c r="CJ45" i="2"/>
  <c r="CE45" i="2"/>
  <c r="CF45" i="2" l="1"/>
  <c r="DF45" i="2"/>
  <c r="DC44" i="2"/>
  <c r="CY44" i="2"/>
  <c r="DB44" i="2"/>
  <c r="DE44" i="2"/>
  <c r="DA44" i="2"/>
  <c r="DD44" i="2"/>
  <c r="CZ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N44" i="2"/>
  <c r="CM44" i="2"/>
  <c r="CK44" i="2"/>
  <c r="DI44" i="2" l="1"/>
  <c r="CH44" i="2"/>
  <c r="CG44" i="2"/>
  <c r="CI44" i="2"/>
  <c r="DJ44" i="2" l="1"/>
  <c r="CL44" i="2"/>
  <c r="CJ44" i="2"/>
  <c r="CE44" i="2"/>
  <c r="CF44" i="2" l="1"/>
  <c r="DF44" i="2"/>
  <c r="DC42" i="2"/>
  <c r="CY42" i="2"/>
  <c r="DB42" i="2"/>
  <c r="DE42" i="2"/>
  <c r="DA42" i="2"/>
  <c r="DD42" i="2"/>
  <c r="CZ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N42" i="2"/>
  <c r="CM42" i="2"/>
  <c r="CK42" i="2"/>
  <c r="DI42" i="2" l="1"/>
  <c r="CI42" i="2"/>
  <c r="CH42" i="2"/>
  <c r="CG42" i="2"/>
  <c r="DJ42" i="2" l="1"/>
  <c r="CL42" i="2"/>
  <c r="CJ42" i="2"/>
  <c r="CE42" i="2"/>
  <c r="CF42" i="2" l="1"/>
  <c r="DF42" i="2"/>
  <c r="DC41" i="2"/>
  <c r="CY41" i="2"/>
  <c r="DB41" i="2"/>
  <c r="DE41" i="2"/>
  <c r="DA41" i="2"/>
  <c r="DD41" i="2"/>
  <c r="CZ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N41" i="2"/>
  <c r="CM41" i="2"/>
  <c r="CK41" i="2"/>
  <c r="DI41" i="2" l="1"/>
  <c r="CI41" i="2"/>
  <c r="CG41" i="2"/>
  <c r="CH41" i="2"/>
  <c r="DJ41" i="2" l="1"/>
  <c r="CL41" i="2"/>
  <c r="CJ41" i="2"/>
  <c r="CE41" i="2"/>
  <c r="CF41" i="2" l="1"/>
  <c r="DF41" i="2"/>
  <c r="DC40" i="2"/>
  <c r="CY40" i="2"/>
  <c r="DB40" i="2"/>
  <c r="DE40" i="2"/>
  <c r="DA40" i="2"/>
  <c r="DD40" i="2"/>
  <c r="CZ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N40" i="2"/>
  <c r="CM40" i="2"/>
  <c r="CK40" i="2"/>
  <c r="DI40" i="2" l="1"/>
  <c r="CI40" i="2"/>
  <c r="CH40" i="2"/>
  <c r="CG40" i="2"/>
  <c r="DJ40" i="2" l="1"/>
  <c r="CL40" i="2"/>
  <c r="CJ40" i="2"/>
  <c r="CE40" i="2"/>
  <c r="CF40" i="2" l="1"/>
  <c r="DF40" i="2"/>
  <c r="DC39" i="2"/>
  <c r="CY39" i="2"/>
  <c r="DB39" i="2"/>
  <c r="DE39" i="2"/>
  <c r="DA39" i="2"/>
  <c r="CZ39" i="2"/>
  <c r="DD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N39" i="2"/>
  <c r="CM39" i="2"/>
  <c r="CK39" i="2"/>
  <c r="DI39" i="2" l="1"/>
  <c r="CI39" i="2"/>
  <c r="CH39" i="2"/>
  <c r="CG39" i="2"/>
  <c r="DJ39" i="2" l="1"/>
  <c r="CL39" i="2"/>
  <c r="CJ39" i="2"/>
  <c r="CE39" i="2"/>
  <c r="CF39" i="2" l="1"/>
  <c r="DF39" i="2"/>
  <c r="DC38" i="2"/>
  <c r="CY38" i="2"/>
  <c r="DB38" i="2"/>
  <c r="DE38" i="2"/>
  <c r="DD38" i="2"/>
  <c r="DA38" i="2"/>
  <c r="CZ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N38" i="2"/>
  <c r="CM38" i="2"/>
  <c r="CK38" i="2"/>
  <c r="DI38" i="2" l="1"/>
  <c r="CI38" i="2"/>
  <c r="CG38" i="2"/>
  <c r="CH38" i="2"/>
  <c r="DJ38" i="2" l="1"/>
  <c r="CL38" i="2"/>
  <c r="CJ38" i="2"/>
  <c r="CE38" i="2"/>
  <c r="CF38" i="2" l="1"/>
  <c r="DF38" i="2"/>
  <c r="DC37" i="2"/>
  <c r="CY37" i="2"/>
  <c r="DB37" i="2"/>
  <c r="DE37" i="2"/>
  <c r="DA37" i="2"/>
  <c r="DD37" i="2"/>
  <c r="CZ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N37" i="2"/>
  <c r="CM37" i="2"/>
  <c r="CK37" i="2"/>
  <c r="DI37" i="2" l="1"/>
  <c r="CI37" i="2"/>
  <c r="CG37" i="2"/>
  <c r="CH37" i="2"/>
  <c r="DJ37" i="2" l="1"/>
  <c r="CL37" i="2"/>
  <c r="CJ37" i="2"/>
  <c r="CE37" i="2"/>
  <c r="CF37" i="2" l="1"/>
  <c r="DF37" i="2"/>
  <c r="DC36" i="2"/>
  <c r="CY36" i="2"/>
  <c r="DD36" i="2"/>
  <c r="DB36" i="2"/>
  <c r="DE36" i="2"/>
  <c r="DA36" i="2"/>
  <c r="CZ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M36" i="2"/>
  <c r="CK36" i="2"/>
  <c r="DI36" i="2" l="1"/>
  <c r="CI36" i="2"/>
  <c r="CH36" i="2"/>
  <c r="CG36" i="2"/>
  <c r="DJ36" i="2" l="1"/>
  <c r="CL36" i="2"/>
  <c r="CJ36" i="2"/>
  <c r="CE36" i="2"/>
  <c r="CF36" i="2" l="1"/>
  <c r="DF36" i="2"/>
  <c r="DC35" i="2"/>
  <c r="CY35" i="2"/>
  <c r="DB35" i="2"/>
  <c r="DE35" i="2"/>
  <c r="DA35" i="2"/>
  <c r="DD35" i="2"/>
  <c r="CZ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N35" i="2"/>
  <c r="CM35" i="2"/>
  <c r="CK35" i="2"/>
  <c r="DI35" i="2" l="1"/>
  <c r="CI35" i="2"/>
  <c r="CH35" i="2"/>
  <c r="CG35" i="2"/>
  <c r="DJ35" i="2" l="1"/>
  <c r="CL35" i="2"/>
  <c r="CJ35" i="2"/>
  <c r="CE35" i="2"/>
  <c r="CF35" i="2" l="1"/>
  <c r="DF35" i="2"/>
  <c r="DC34" i="2"/>
  <c r="CY34" i="2"/>
  <c r="DB34" i="2"/>
  <c r="DE34" i="2"/>
  <c r="DA34" i="2"/>
  <c r="DD34" i="2"/>
  <c r="CZ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K34" i="2"/>
  <c r="CN34" i="2"/>
  <c r="CM34" i="2"/>
  <c r="DI34" i="2" l="1"/>
  <c r="CI34" i="2"/>
  <c r="CG34" i="2"/>
  <c r="CH34" i="2"/>
  <c r="DJ34" i="2" l="1"/>
  <c r="CL34" i="2"/>
  <c r="CJ34" i="2"/>
  <c r="CE34" i="2"/>
  <c r="CF34" i="2" l="1"/>
  <c r="DF34" i="2"/>
  <c r="DC33" i="2"/>
  <c r="CY33" i="2"/>
  <c r="DB33" i="2"/>
  <c r="DE33" i="2"/>
  <c r="DA33" i="2"/>
  <c r="DD33" i="2"/>
  <c r="CZ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N33" i="2"/>
  <c r="CM33" i="2"/>
  <c r="CK33" i="2"/>
  <c r="DI33" i="2" l="1"/>
  <c r="CI33" i="2"/>
  <c r="CH33" i="2"/>
  <c r="CG33" i="2"/>
  <c r="DJ33" i="2" l="1"/>
  <c r="CL33" i="2"/>
  <c r="CJ33" i="2"/>
  <c r="CE33" i="2"/>
  <c r="CF33" i="2" l="1"/>
  <c r="DF33" i="2"/>
  <c r="DC32" i="2"/>
  <c r="CY32" i="2"/>
  <c r="DB32" i="2"/>
  <c r="CZ32" i="2"/>
  <c r="DE32" i="2"/>
  <c r="DA32" i="2"/>
  <c r="DD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N32" i="2"/>
  <c r="CM32" i="2"/>
  <c r="CK32" i="2"/>
  <c r="DI32" i="2" l="1"/>
  <c r="CI32" i="2"/>
  <c r="CH32" i="2"/>
  <c r="CG32" i="2"/>
  <c r="DJ32" i="2" l="1"/>
  <c r="CL32" i="2"/>
  <c r="CJ32" i="2"/>
  <c r="CE32" i="2"/>
  <c r="CF32" i="2" l="1"/>
  <c r="DF32" i="2"/>
  <c r="DC31" i="2"/>
  <c r="CY31" i="2"/>
  <c r="DB31" i="2"/>
  <c r="DA31" i="2"/>
  <c r="DD31" i="2"/>
  <c r="CZ31" i="2"/>
  <c r="DE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M31" i="2"/>
  <c r="CK31" i="2"/>
  <c r="DI31" i="2" l="1"/>
  <c r="CI31" i="2"/>
  <c r="CH31" i="2"/>
  <c r="CG31" i="2"/>
  <c r="DJ31" i="2" l="1"/>
  <c r="CL31" i="2"/>
  <c r="CJ31" i="2"/>
  <c r="CE31" i="2"/>
  <c r="CF31" i="2" l="1"/>
  <c r="DF31" i="2"/>
  <c r="DC30" i="2"/>
  <c r="CY30" i="2"/>
  <c r="DB30" i="2"/>
  <c r="DE30" i="2"/>
  <c r="DA30" i="2"/>
  <c r="DD30" i="2"/>
  <c r="CZ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N30" i="2"/>
  <c r="CM30" i="2"/>
  <c r="CK30" i="2"/>
  <c r="DI30" i="2" l="1"/>
  <c r="CI30" i="2"/>
  <c r="CH30" i="2"/>
  <c r="CG30" i="2"/>
  <c r="DJ30" i="2" l="1"/>
  <c r="CL30" i="2"/>
  <c r="CJ30" i="2"/>
  <c r="CE30" i="2"/>
  <c r="CF30" i="2" l="1"/>
  <c r="DF30" i="2"/>
  <c r="DC29" i="2"/>
  <c r="CY29" i="2"/>
  <c r="DB29" i="2"/>
  <c r="DA29" i="2"/>
  <c r="DD29" i="2"/>
  <c r="DE29" i="2"/>
  <c r="CZ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N29" i="2"/>
  <c r="CM29" i="2"/>
  <c r="CK29" i="2"/>
  <c r="DI29" i="2" l="1"/>
  <c r="CI29" i="2"/>
  <c r="CG29" i="2"/>
  <c r="CH29" i="2"/>
  <c r="DJ29" i="2" l="1"/>
  <c r="CL29" i="2"/>
  <c r="CJ29" i="2"/>
  <c r="CE29" i="2"/>
  <c r="CF29" i="2" l="1"/>
  <c r="DF29" i="2"/>
  <c r="DC28" i="2"/>
  <c r="CY28" i="2"/>
  <c r="DB28" i="2"/>
  <c r="DE28" i="2"/>
  <c r="DD28" i="2"/>
  <c r="CZ28" i="2"/>
  <c r="DA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N28" i="2"/>
  <c r="CK28" i="2"/>
  <c r="CM28" i="2"/>
  <c r="DI28" i="2" l="1"/>
  <c r="CI28" i="2"/>
  <c r="CH28" i="2"/>
  <c r="CG28" i="2"/>
  <c r="DJ28" i="2" l="1"/>
  <c r="CL28" i="2"/>
  <c r="CJ28" i="2"/>
  <c r="CE28" i="2"/>
  <c r="CF28" i="2" l="1"/>
  <c r="DF28" i="2"/>
  <c r="DC27" i="2"/>
  <c r="CY27" i="2"/>
  <c r="DB27" i="2"/>
  <c r="DA27" i="2"/>
  <c r="DD27" i="2"/>
  <c r="CZ27" i="2"/>
  <c r="DE27" i="2"/>
  <c r="CW27" i="2" l="1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K27" i="2"/>
  <c r="CM27" i="2"/>
  <c r="DI27" i="2" l="1"/>
  <c r="CH27" i="2"/>
  <c r="CI27" i="2"/>
  <c r="CG27" i="2"/>
  <c r="DJ27" i="2" l="1"/>
  <c r="CL27" i="2"/>
  <c r="CJ27" i="2"/>
  <c r="CE27" i="2"/>
  <c r="CF27" i="2" l="1"/>
  <c r="DF27" i="2"/>
  <c r="DC26" i="2"/>
  <c r="CY26" i="2"/>
  <c r="DB26" i="2"/>
  <c r="DE26" i="2"/>
  <c r="DA26" i="2"/>
  <c r="DD26" i="2"/>
  <c r="CZ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N26" i="2"/>
  <c r="CM26" i="2"/>
  <c r="CK26" i="2"/>
  <c r="DI26" i="2" l="1"/>
  <c r="CI26" i="2"/>
  <c r="CG26" i="2"/>
  <c r="CH26" i="2"/>
  <c r="DJ26" i="2" l="1"/>
  <c r="CL26" i="2"/>
  <c r="CJ26" i="2"/>
  <c r="CE26" i="2"/>
  <c r="CF26" i="2" l="1"/>
  <c r="DF26" i="2"/>
  <c r="DC25" i="2"/>
  <c r="CY25" i="2"/>
  <c r="DB25" i="2"/>
  <c r="DE25" i="2"/>
  <c r="DA25" i="2"/>
  <c r="DD25" i="2"/>
  <c r="CZ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N25" i="2"/>
  <c r="CK25" i="2"/>
  <c r="CM25" i="2"/>
  <c r="DI25" i="2" l="1"/>
  <c r="CI25" i="2"/>
  <c r="CH25" i="2"/>
  <c r="CG25" i="2"/>
  <c r="DJ25" i="2" l="1"/>
  <c r="CL25" i="2"/>
  <c r="CJ25" i="2"/>
  <c r="CE25" i="2"/>
  <c r="CF25" i="2" l="1"/>
  <c r="DF25" i="2"/>
  <c r="DC24" i="2"/>
  <c r="CY24" i="2"/>
  <c r="DB24" i="2"/>
  <c r="DA24" i="2"/>
  <c r="DD24" i="2"/>
  <c r="DE24" i="2"/>
  <c r="CZ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N24" i="2"/>
  <c r="CK24" i="2"/>
  <c r="CM24" i="2"/>
  <c r="DI24" i="2" l="1"/>
  <c r="CH24" i="2"/>
  <c r="CI24" i="2"/>
  <c r="CG24" i="2"/>
  <c r="DJ24" i="2" l="1"/>
  <c r="CL24" i="2"/>
  <c r="CJ24" i="2"/>
  <c r="CE24" i="2"/>
  <c r="CF24" i="2" l="1"/>
  <c r="DF24" i="2"/>
  <c r="DC23" i="2"/>
  <c r="CY23" i="2"/>
  <c r="DB23" i="2"/>
  <c r="DE23" i="2"/>
  <c r="DD23" i="2"/>
  <c r="CZ23" i="2"/>
  <c r="DA23" i="2"/>
  <c r="CW23" i="2" l="1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N23" i="2"/>
  <c r="CM23" i="2"/>
  <c r="CK23" i="2"/>
  <c r="DI23" i="2" l="1"/>
  <c r="CH23" i="2"/>
  <c r="CI23" i="2"/>
  <c r="CG23" i="2"/>
  <c r="DJ23" i="2" l="1"/>
  <c r="CL23" i="2"/>
  <c r="CJ23" i="2"/>
  <c r="CE23" i="2"/>
  <c r="CF23" i="2" l="1"/>
  <c r="DF23" i="2"/>
  <c r="DC21" i="2"/>
  <c r="CY21" i="2"/>
  <c r="DB21" i="2"/>
  <c r="DA21" i="2"/>
  <c r="DD21" i="2"/>
  <c r="DE21" i="2"/>
  <c r="CZ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K21" i="2"/>
  <c r="CM21" i="2"/>
  <c r="DI21" i="2" l="1"/>
  <c r="CI21" i="2"/>
  <c r="CG21" i="2"/>
  <c r="CH21" i="2"/>
  <c r="DJ21" i="2" l="1"/>
  <c r="CL21" i="2"/>
  <c r="CJ21" i="2"/>
  <c r="CE21" i="2"/>
  <c r="CF21" i="2" l="1"/>
  <c r="DF21" i="2"/>
  <c r="DC20" i="2"/>
  <c r="CY20" i="2"/>
  <c r="DB20" i="2"/>
  <c r="DE20" i="2"/>
  <c r="DA20" i="2"/>
  <c r="DD20" i="2"/>
  <c r="CZ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N20" i="2"/>
  <c r="CK20" i="2"/>
  <c r="CM20" i="2"/>
  <c r="DI20" i="2" l="1"/>
  <c r="CH20" i="2"/>
  <c r="CG20" i="2"/>
  <c r="CI20" i="2"/>
  <c r="DJ20" i="2" l="1"/>
  <c r="CL20" i="2"/>
  <c r="CJ20" i="2"/>
  <c r="CE20" i="2"/>
  <c r="CF20" i="2" l="1"/>
  <c r="DF20" i="2"/>
  <c r="DC19" i="2"/>
  <c r="CY19" i="2"/>
  <c r="DB19" i="2"/>
  <c r="DE19" i="2"/>
  <c r="DA19" i="2"/>
  <c r="CZ19" i="2"/>
  <c r="DD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N19" i="2"/>
  <c r="CM19" i="2"/>
  <c r="CK19" i="2"/>
  <c r="DI19" i="2" l="1"/>
  <c r="CH19" i="2"/>
  <c r="CI19" i="2"/>
  <c r="CG19" i="2"/>
  <c r="DJ19" i="2" l="1"/>
  <c r="CL19" i="2"/>
  <c r="CJ19" i="2"/>
  <c r="CE19" i="2"/>
  <c r="CF19" i="2" l="1"/>
  <c r="DF19" i="2"/>
  <c r="DC18" i="2"/>
  <c r="CY18" i="2"/>
  <c r="DB18" i="2"/>
  <c r="DE18" i="2"/>
  <c r="DD18" i="2"/>
  <c r="CZ18" i="2"/>
  <c r="DA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K18" i="2"/>
  <c r="CN18" i="2"/>
  <c r="CM18" i="2"/>
  <c r="DI18" i="2" l="1"/>
  <c r="CH18" i="2"/>
  <c r="CG18" i="2"/>
  <c r="CI18" i="2"/>
  <c r="DJ18" i="2" l="1"/>
  <c r="CL18" i="2"/>
  <c r="CJ18" i="2"/>
  <c r="CE18" i="2"/>
  <c r="CF18" i="2" l="1"/>
  <c r="DF18" i="2"/>
  <c r="DC17" i="2"/>
  <c r="CY17" i="2"/>
  <c r="DB17" i="2"/>
  <c r="DE17" i="2"/>
  <c r="DD17" i="2"/>
  <c r="DA17" i="2"/>
  <c r="CZ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N17" i="2"/>
  <c r="CK17" i="2"/>
  <c r="CM17" i="2"/>
  <c r="DI17" i="2" l="1"/>
  <c r="CI17" i="2"/>
  <c r="CG17" i="2"/>
  <c r="CH17" i="2"/>
  <c r="DJ17" i="2" l="1"/>
  <c r="CL17" i="2"/>
  <c r="CJ17" i="2"/>
  <c r="CE17" i="2"/>
  <c r="CF17" i="2" l="1"/>
  <c r="DF17" i="2"/>
  <c r="DC16" i="2"/>
  <c r="CY16" i="2"/>
  <c r="DA16" i="2"/>
  <c r="CZ16" i="2"/>
  <c r="DB16" i="2"/>
  <c r="DE16" i="2"/>
  <c r="DD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N16" i="2"/>
  <c r="CM16" i="2"/>
  <c r="CK16" i="2"/>
  <c r="DI16" i="2" l="1"/>
  <c r="CH16" i="2"/>
  <c r="CI16" i="2"/>
  <c r="CG16" i="2"/>
  <c r="DJ16" i="2" l="1"/>
  <c r="CL16" i="2"/>
  <c r="CJ16" i="2"/>
  <c r="CE16" i="2"/>
  <c r="CF16" i="2" l="1"/>
  <c r="DF16" i="2"/>
  <c r="DC15" i="2"/>
  <c r="CY15" i="2"/>
  <c r="DB15" i="2"/>
  <c r="DE15" i="2"/>
  <c r="DD15" i="2"/>
  <c r="CZ15" i="2"/>
  <c r="DA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M15" i="2"/>
  <c r="CK15" i="2"/>
  <c r="DI15" i="2" l="1"/>
  <c r="CH15" i="2"/>
  <c r="CI15" i="2"/>
  <c r="CG15" i="2"/>
  <c r="DJ15" i="2" l="1"/>
  <c r="CL15" i="2"/>
  <c r="CJ15" i="2"/>
  <c r="CE15" i="2"/>
  <c r="CF15" i="2" l="1"/>
  <c r="DF15" i="2"/>
  <c r="DC14" i="2"/>
  <c r="CY14" i="2"/>
  <c r="DB14" i="2"/>
  <c r="DE14" i="2"/>
  <c r="DA14" i="2"/>
  <c r="DD14" i="2"/>
  <c r="CZ14" i="2"/>
  <c r="CW14" i="2" l="1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N14" i="2"/>
  <c r="CM14" i="2"/>
  <c r="CK14" i="2"/>
  <c r="DI14" i="2" l="1"/>
  <c r="CH14" i="2"/>
  <c r="CG14" i="2"/>
  <c r="CI14" i="2"/>
  <c r="DJ14" i="2" l="1"/>
  <c r="CL14" i="2"/>
  <c r="CJ14" i="2"/>
  <c r="CE14" i="2"/>
  <c r="CF14" i="2" l="1"/>
  <c r="DF14" i="2"/>
  <c r="DC13" i="2"/>
  <c r="CY13" i="2"/>
  <c r="DD13" i="2"/>
  <c r="DB13" i="2"/>
  <c r="DE13" i="2"/>
  <c r="DA13" i="2"/>
  <c r="CZ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N13" i="2"/>
  <c r="CM13" i="2"/>
  <c r="CK13" i="2"/>
  <c r="DI13" i="2" l="1"/>
  <c r="CI13" i="2"/>
  <c r="CH13" i="2"/>
  <c r="CG13" i="2"/>
  <c r="DJ13" i="2" l="1"/>
  <c r="CL13" i="2"/>
  <c r="CJ13" i="2"/>
  <c r="CE13" i="2"/>
  <c r="CF13" i="2" l="1"/>
  <c r="DF13" i="2"/>
  <c r="DC12" i="2"/>
  <c r="CY12" i="2"/>
  <c r="DE12" i="2"/>
  <c r="DD12" i="2"/>
  <c r="DB12" i="2"/>
  <c r="DA12" i="2"/>
  <c r="CZ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N12" i="2"/>
  <c r="CM12" i="2"/>
  <c r="CK12" i="2"/>
  <c r="DI12" i="2" l="1"/>
  <c r="CH12" i="2"/>
  <c r="CI12" i="2"/>
  <c r="CG12" i="2"/>
  <c r="DJ12" i="2" l="1"/>
  <c r="CL12" i="2"/>
  <c r="CJ12" i="2"/>
  <c r="CE12" i="2"/>
  <c r="CF12" i="2" l="1"/>
  <c r="DF12" i="2"/>
  <c r="DC11" i="2"/>
  <c r="CY11" i="2"/>
  <c r="DB11" i="2"/>
  <c r="DE11" i="2"/>
  <c r="DA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N11" i="2"/>
  <c r="CM11" i="2"/>
  <c r="CK11" i="2"/>
  <c r="DI11" i="2" l="1"/>
  <c r="CH11" i="2"/>
  <c r="CG11" i="2"/>
  <c r="CI11" i="2"/>
  <c r="DJ11" i="2" l="1"/>
  <c r="CL11" i="2"/>
  <c r="CJ11" i="2"/>
  <c r="CE11" i="2"/>
  <c r="CF11" i="2" l="1"/>
  <c r="DF11" i="2"/>
  <c r="DC10" i="2"/>
  <c r="CY10" i="2"/>
  <c r="CZ10" i="2"/>
  <c r="DB10" i="2"/>
  <c r="DE10" i="2"/>
  <c r="DA10" i="2"/>
  <c r="DD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N10" i="2"/>
  <c r="CM10" i="2"/>
  <c r="CK10" i="2"/>
  <c r="DI10" i="2" l="1"/>
  <c r="CI10" i="2"/>
  <c r="CH10" i="2"/>
  <c r="CG10" i="2"/>
  <c r="DJ10" i="2" l="1"/>
  <c r="CL10" i="2"/>
  <c r="CJ10" i="2"/>
  <c r="CE10" i="2"/>
  <c r="CF10" i="2" l="1"/>
  <c r="DF10" i="2"/>
  <c r="DC8" i="2"/>
  <c r="CY8" i="2"/>
  <c r="DB8" i="2"/>
  <c r="DE8" i="2"/>
  <c r="DA8" i="2"/>
  <c r="DD8" i="2"/>
  <c r="CZ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N8" i="2"/>
  <c r="CM8" i="2"/>
  <c r="CK8" i="2"/>
  <c r="DI8" i="2" l="1"/>
  <c r="CI8" i="2"/>
  <c r="CG8" i="2"/>
  <c r="CH8" i="2"/>
  <c r="DJ8" i="2" l="1"/>
  <c r="CL8" i="2"/>
  <c r="CJ8" i="2"/>
  <c r="CE8" i="2"/>
  <c r="CF8" i="2" l="1"/>
  <c r="DF8" i="2"/>
  <c r="DC7" i="2"/>
  <c r="CY7" i="2"/>
  <c r="DA7" i="2"/>
  <c r="DB7" i="2"/>
  <c r="DE7" i="2"/>
  <c r="DD7" i="2"/>
  <c r="CZ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N7" i="2"/>
  <c r="CM7" i="2"/>
  <c r="CK7" i="2"/>
  <c r="DI7" i="2" l="1"/>
  <c r="CI7" i="2"/>
  <c r="CH7" i="2"/>
  <c r="CG7" i="2"/>
  <c r="DJ7" i="2" l="1"/>
  <c r="CL7" i="2"/>
  <c r="CJ7" i="2"/>
  <c r="CE7" i="2"/>
  <c r="CF7" i="2" l="1"/>
  <c r="DF7" i="2"/>
  <c r="DC6" i="2"/>
  <c r="CY6" i="2"/>
  <c r="DA6" i="2"/>
  <c r="DB6" i="2"/>
  <c r="DE6" i="2"/>
  <c r="CZ6" i="2"/>
  <c r="DD6" i="2"/>
  <c r="CW6" i="2" l="1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N6" i="2"/>
  <c r="CM6" i="2"/>
  <c r="CK6" i="2"/>
  <c r="DI6" i="2" l="1"/>
  <c r="CG6" i="2"/>
  <c r="CI6" i="2"/>
  <c r="CH6" i="2"/>
  <c r="DJ6" i="2" l="1"/>
  <c r="CL6" i="2"/>
  <c r="CJ6" i="2"/>
  <c r="CE6" i="2"/>
  <c r="CF6" i="2" l="1"/>
  <c r="DF6" i="2"/>
  <c r="CP7" i="3"/>
  <c r="CJ7" i="3"/>
  <c r="CG7" i="3"/>
  <c r="CF7" i="3"/>
  <c r="CH7" i="3"/>
  <c r="CN7" i="3"/>
  <c r="CI7" i="3"/>
  <c r="CE7" i="3"/>
  <c r="CQ7" i="3"/>
  <c r="CO7" i="3"/>
  <c r="CU7" i="3"/>
  <c r="CT7" i="3" l="1"/>
  <c r="CM7" i="3"/>
  <c r="CK7" i="3"/>
  <c r="CR7" i="3" s="1"/>
  <c r="CL7" i="3"/>
  <c r="CO24" i="3"/>
  <c r="CG13" i="3"/>
  <c r="CF24" i="3"/>
  <c r="CQ24" i="3"/>
  <c r="CU24" i="3"/>
  <c r="CJ13" i="3"/>
  <c r="CP24" i="3"/>
  <c r="CG24" i="3"/>
  <c r="CE24" i="3"/>
  <c r="CH24" i="3"/>
  <c r="CI24" i="3"/>
  <c r="CI13" i="3"/>
  <c r="CJ24" i="3"/>
  <c r="CN24" i="3"/>
  <c r="CF13" i="3"/>
  <c r="CO13" i="3"/>
  <c r="CN13" i="3"/>
  <c r="CQ13" i="3"/>
  <c r="CU13" i="3"/>
  <c r="CP13" i="3"/>
  <c r="CH13" i="3"/>
  <c r="CE13" i="3"/>
  <c r="CT24" i="3" l="1"/>
  <c r="CM24" i="3"/>
  <c r="CK24" i="3"/>
  <c r="CR24" i="3" s="1"/>
  <c r="CL24" i="3"/>
  <c r="CT13" i="3"/>
  <c r="CM13" i="3"/>
  <c r="CR13" i="3"/>
  <c r="CL13" i="3"/>
  <c r="CK13" i="3"/>
  <c r="CW48" i="2" l="1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 a="1"/>
  <c r="CR48" i="2" s="1"/>
  <c r="DC48" i="2"/>
  <c r="CZ48" i="2"/>
  <c r="CQ48" i="2"/>
  <c r="DA48" i="2"/>
  <c r="DD48" i="2"/>
  <c r="DE48" i="2"/>
  <c r="CY48" i="2"/>
  <c r="DB48" i="2"/>
  <c r="CP48" i="2" l="1" a="1"/>
  <c r="CP48" i="2" s="1"/>
  <c r="CO48" i="2" a="1"/>
  <c r="CO48" i="2" s="1"/>
  <c r="CN48" i="2"/>
  <c r="CM48" i="2"/>
  <c r="CK48" i="2"/>
  <c r="DI48" i="2" l="1"/>
  <c r="CH48" i="2"/>
  <c r="CI48" i="2"/>
  <c r="CG48" i="2"/>
  <c r="DJ48" i="2" l="1"/>
  <c r="CL48" i="2"/>
  <c r="CJ48" i="2"/>
  <c r="CI6" i="3"/>
  <c r="CE37" i="3"/>
  <c r="CF37" i="3"/>
  <c r="CP37" i="3"/>
  <c r="CQ6" i="3"/>
  <c r="CF6" i="3"/>
  <c r="CO37" i="3"/>
  <c r="CG6" i="3"/>
  <c r="CN6" i="3"/>
  <c r="CO6" i="3"/>
  <c r="CG37" i="3"/>
  <c r="CP6" i="3"/>
  <c r="CU37" i="3"/>
  <c r="CH6" i="3"/>
  <c r="CU6" i="3"/>
  <c r="CQ37" i="3"/>
  <c r="CH37" i="3"/>
  <c r="CE48" i="2"/>
  <c r="CN37" i="3"/>
  <c r="CJ6" i="3"/>
  <c r="CJ37" i="3"/>
  <c r="CI37" i="3"/>
  <c r="CE6" i="3"/>
  <c r="CF48" i="2" l="1"/>
  <c r="DF48" i="2"/>
  <c r="CT37" i="3"/>
  <c r="CM37" i="3"/>
  <c r="CK37" i="3"/>
  <c r="CR37" i="3" s="1"/>
  <c r="CL37" i="3"/>
  <c r="CT6" i="3"/>
  <c r="CM6" i="3"/>
  <c r="CR6" i="3"/>
  <c r="CK6" i="3"/>
  <c r="CL6" i="3"/>
  <c r="O50" i="3"/>
  <c r="T50" i="3"/>
  <c r="L50" i="3"/>
  <c r="R50" i="3"/>
  <c r="X50" i="3"/>
  <c r="CP8" i="3"/>
  <c r="CJ8" i="3"/>
  <c r="V50" i="3"/>
  <c r="CH8" i="3"/>
  <c r="CQ8" i="3"/>
  <c r="Q50" i="3"/>
  <c r="G50" i="3"/>
  <c r="CI8" i="3"/>
  <c r="F50" i="3"/>
  <c r="I50" i="3"/>
  <c r="P50" i="3"/>
  <c r="CU8" i="3"/>
  <c r="CG8" i="3"/>
  <c r="N50" i="3"/>
  <c r="S50" i="3"/>
  <c r="CE8" i="3"/>
  <c r="J50" i="3"/>
  <c r="W50" i="3"/>
  <c r="U50" i="3"/>
  <c r="M50" i="3"/>
  <c r="CO8" i="3"/>
  <c r="CF8" i="3"/>
  <c r="K50" i="3"/>
  <c r="CN8" i="3"/>
  <c r="CT8" i="3" l="1"/>
  <c r="CM8" i="3"/>
  <c r="CR8" i="3"/>
  <c r="CK8" i="3"/>
  <c r="CL8" i="3"/>
  <c r="CI15" i="3"/>
  <c r="CP15" i="3"/>
  <c r="CH15" i="3"/>
  <c r="CN15" i="3"/>
  <c r="CJ15" i="3"/>
  <c r="C42" i="3"/>
  <c r="C50" i="3"/>
  <c r="CQ15" i="3"/>
  <c r="CU15" i="3"/>
  <c r="CO15" i="3"/>
  <c r="E50" i="3"/>
  <c r="CG15" i="3"/>
  <c r="D50" i="3"/>
  <c r="CF15" i="3"/>
  <c r="CE15" i="3"/>
  <c r="H66" i="2"/>
  <c r="F66" i="2"/>
  <c r="P66" i="2"/>
  <c r="X66" i="2"/>
  <c r="N66" i="2"/>
  <c r="G66" i="2"/>
  <c r="E66" i="2"/>
  <c r="Q66" i="2"/>
  <c r="W66" i="2"/>
  <c r="M66" i="2"/>
  <c r="K66" i="2"/>
  <c r="U66" i="2"/>
  <c r="Y66" i="2"/>
  <c r="S66" i="2"/>
  <c r="O66" i="2"/>
  <c r="L66" i="2"/>
  <c r="V66" i="2"/>
  <c r="R66" i="2"/>
  <c r="Z66" i="2"/>
  <c r="J66" i="2"/>
  <c r="T66" i="2"/>
  <c r="I66" i="2"/>
  <c r="B50" i="3" l="1"/>
  <c r="CT15" i="3"/>
  <c r="CM15" i="3"/>
  <c r="CK15" i="3"/>
  <c r="CR15" i="3" s="1"/>
  <c r="CL15" i="3"/>
  <c r="CO34" i="3"/>
  <c r="CF34" i="3"/>
  <c r="CQ34" i="3"/>
  <c r="CE34" i="3"/>
  <c r="CP27" i="3"/>
  <c r="CG34" i="3"/>
  <c r="CQ27" i="3"/>
  <c r="CF27" i="3"/>
  <c r="CG27" i="3"/>
  <c r="CU27" i="3"/>
  <c r="CO27" i="3"/>
  <c r="CE27" i="3"/>
  <c r="CU34" i="3"/>
  <c r="CH27" i="3"/>
  <c r="CJ34" i="3"/>
  <c r="CH34" i="3"/>
  <c r="CN27" i="3"/>
  <c r="CN34" i="3"/>
  <c r="CP34" i="3"/>
  <c r="CJ27" i="3"/>
  <c r="CI27" i="3"/>
  <c r="CI34" i="3"/>
  <c r="CT27" i="3" l="1"/>
  <c r="CM27" i="3"/>
  <c r="CK27" i="3"/>
  <c r="CR27" i="3" s="1"/>
  <c r="CL27" i="3"/>
  <c r="CT34" i="3"/>
  <c r="CM34" i="3"/>
  <c r="CK34" i="3"/>
  <c r="CR34" i="3" s="1"/>
  <c r="CL34" i="3"/>
  <c r="CO26" i="3"/>
  <c r="CU26" i="3"/>
  <c r="CE26" i="3"/>
  <c r="CP26" i="3"/>
  <c r="CJ26" i="3"/>
  <c r="CH26" i="3"/>
  <c r="CF26" i="3"/>
  <c r="CQ26" i="3"/>
  <c r="CI26" i="3"/>
  <c r="CG26" i="3"/>
  <c r="CN26" i="3"/>
  <c r="CM26" i="3" l="1"/>
  <c r="CT26" i="3"/>
  <c r="CL26" i="3"/>
  <c r="CK26" i="3"/>
  <c r="CR26" i="3" s="1"/>
  <c r="CN10" i="3"/>
  <c r="CE28" i="3"/>
  <c r="CO28" i="3"/>
  <c r="CG28" i="3"/>
  <c r="CI28" i="3"/>
  <c r="CJ28" i="3"/>
  <c r="CH28" i="3"/>
  <c r="CQ10" i="3"/>
  <c r="CN28" i="3"/>
  <c r="CP28" i="3"/>
  <c r="CF10" i="3"/>
  <c r="CP10" i="3"/>
  <c r="CO10" i="3"/>
  <c r="CU10" i="3"/>
  <c r="CI10" i="3"/>
  <c r="CH10" i="3"/>
  <c r="CU28" i="3"/>
  <c r="CE10" i="3"/>
  <c r="CJ10" i="3"/>
  <c r="CQ28" i="3"/>
  <c r="CG10" i="3"/>
  <c r="CF28" i="3"/>
  <c r="CT10" i="3" l="1"/>
  <c r="CM10" i="3"/>
  <c r="CK10" i="3"/>
  <c r="CR10" i="3" s="1"/>
  <c r="CL10" i="3"/>
  <c r="CT28" i="3"/>
  <c r="CM28" i="3"/>
  <c r="CK28" i="3"/>
  <c r="CR28" i="3" s="1"/>
  <c r="CL28" i="3"/>
  <c r="CQ40" i="3"/>
  <c r="CH40" i="3"/>
  <c r="CE40" i="3"/>
  <c r="CN40" i="3"/>
  <c r="CO40" i="3"/>
  <c r="CF40" i="3"/>
  <c r="CU38" i="3"/>
  <c r="CG40" i="3"/>
  <c r="CJ40" i="3"/>
  <c r="CU40" i="3"/>
  <c r="CI40" i="3"/>
  <c r="CP40" i="3"/>
  <c r="CT40" i="3" l="1"/>
  <c r="CM40" i="3"/>
  <c r="CK40" i="3"/>
  <c r="CR40" i="3" s="1"/>
  <c r="CL40" i="3"/>
  <c r="CO38" i="3"/>
  <c r="CI38" i="3"/>
  <c r="CH38" i="3"/>
  <c r="CG38" i="3"/>
  <c r="CP38" i="3"/>
  <c r="CQ38" i="3"/>
  <c r="CU35" i="3"/>
  <c r="CF38" i="3"/>
  <c r="CN38" i="3"/>
  <c r="CE38" i="3"/>
  <c r="CJ38" i="3"/>
  <c r="CT38" i="3" l="1"/>
  <c r="CM38" i="3"/>
  <c r="CK38" i="3"/>
  <c r="CR38" i="3" s="1"/>
  <c r="CL38" i="3"/>
  <c r="CF35" i="3"/>
  <c r="CO35" i="3"/>
  <c r="CP35" i="3"/>
  <c r="CN35" i="3"/>
  <c r="CJ35" i="3"/>
  <c r="CQ35" i="3"/>
  <c r="CI35" i="3"/>
  <c r="CH35" i="3"/>
  <c r="CU33" i="3"/>
  <c r="CG35" i="3"/>
  <c r="CE35" i="3"/>
  <c r="CT35" i="3" l="1"/>
  <c r="CM35" i="3"/>
  <c r="CK35" i="3"/>
  <c r="CR35" i="3" s="1"/>
  <c r="CL35" i="3"/>
  <c r="CQ33" i="3"/>
  <c r="CE33" i="3"/>
  <c r="CO33" i="3"/>
  <c r="CI33" i="3"/>
  <c r="CJ33" i="3"/>
  <c r="CN33" i="3"/>
  <c r="CH33" i="3"/>
  <c r="CP33" i="3"/>
  <c r="CG33" i="3"/>
  <c r="CF33" i="3"/>
  <c r="CU32" i="3"/>
  <c r="CT33" i="3" l="1"/>
  <c r="CM33" i="3"/>
  <c r="CK33" i="3"/>
  <c r="CR33" i="3" s="1"/>
  <c r="CL33" i="3"/>
  <c r="CN32" i="3"/>
  <c r="CE32" i="3"/>
  <c r="CJ32" i="3"/>
  <c r="CP32" i="3"/>
  <c r="CO32" i="3"/>
  <c r="CQ32" i="3"/>
  <c r="CU31" i="3"/>
  <c r="CI32" i="3"/>
  <c r="CG32" i="3"/>
  <c r="CF32" i="3"/>
  <c r="CH32" i="3"/>
  <c r="CT32" i="3" l="1"/>
  <c r="CM32" i="3"/>
  <c r="CK32" i="3"/>
  <c r="CR32" i="3" s="1"/>
  <c r="CL32" i="3"/>
  <c r="CH31" i="3"/>
  <c r="CJ31" i="3"/>
  <c r="CO31" i="3"/>
  <c r="CG31" i="3"/>
  <c r="CF31" i="3"/>
  <c r="CE31" i="3"/>
  <c r="CQ31" i="3"/>
  <c r="CN31" i="3"/>
  <c r="CP31" i="3"/>
  <c r="CI31" i="3"/>
  <c r="CU30" i="3"/>
  <c r="CT31" i="3" l="1"/>
  <c r="CM31" i="3"/>
  <c r="CK31" i="3"/>
  <c r="CR31" i="3" s="1"/>
  <c r="CL31" i="3"/>
  <c r="CJ30" i="3"/>
  <c r="CH30" i="3"/>
  <c r="CP30" i="3"/>
  <c r="CO30" i="3"/>
  <c r="CI30" i="3"/>
  <c r="CN30" i="3"/>
  <c r="CG30" i="3"/>
  <c r="CE30" i="3"/>
  <c r="CQ30" i="3"/>
  <c r="CF30" i="3"/>
  <c r="CT30" i="3" l="1"/>
  <c r="CM30" i="3"/>
  <c r="CK30" i="3"/>
  <c r="CR30" i="3" s="1"/>
  <c r="CL30" i="3"/>
  <c r="CG25" i="3"/>
  <c r="CI25" i="3"/>
  <c r="CO25" i="3"/>
  <c r="CN25" i="3"/>
  <c r="CH25" i="3"/>
  <c r="CQ25" i="3"/>
  <c r="CU25" i="3"/>
  <c r="CJ25" i="3"/>
  <c r="CE25" i="3"/>
  <c r="CP25" i="3"/>
  <c r="CF25" i="3"/>
  <c r="CU23" i="3"/>
  <c r="CT25" i="3" l="1"/>
  <c r="CM25" i="3"/>
  <c r="CK25" i="3"/>
  <c r="CR25" i="3" s="1"/>
  <c r="CL25" i="3"/>
  <c r="CF23" i="3"/>
  <c r="CQ23" i="3"/>
  <c r="CH23" i="3"/>
  <c r="CG23" i="3"/>
  <c r="CI23" i="3"/>
  <c r="CE23" i="3"/>
  <c r="CP23" i="3"/>
  <c r="CN23" i="3"/>
  <c r="CU22" i="3"/>
  <c r="CJ23" i="3"/>
  <c r="CO23" i="3"/>
  <c r="CT23" i="3" l="1"/>
  <c r="CM23" i="3"/>
  <c r="CL23" i="3"/>
  <c r="CK23" i="3"/>
  <c r="CR23" i="3" s="1"/>
  <c r="CP22" i="3"/>
  <c r="CN22" i="3"/>
  <c r="CJ22" i="3"/>
  <c r="CI22" i="3"/>
  <c r="CH22" i="3"/>
  <c r="CF22" i="3"/>
  <c r="CG22" i="3"/>
  <c r="CE22" i="3"/>
  <c r="CQ22" i="3"/>
  <c r="CO22" i="3"/>
  <c r="CU21" i="3"/>
  <c r="CT22" i="3" l="1"/>
  <c r="CM22" i="3"/>
  <c r="CK22" i="3"/>
  <c r="CR22" i="3" s="1"/>
  <c r="CL22" i="3"/>
  <c r="CO21" i="3"/>
  <c r="CF21" i="3"/>
  <c r="CN21" i="3"/>
  <c r="CE21" i="3"/>
  <c r="CH21" i="3"/>
  <c r="CJ21" i="3"/>
  <c r="CG21" i="3"/>
  <c r="CQ21" i="3"/>
  <c r="CP21" i="3"/>
  <c r="CI21" i="3"/>
  <c r="CT21" i="3" l="1"/>
  <c r="CM21" i="3"/>
  <c r="CK21" i="3"/>
  <c r="CR21" i="3" s="1"/>
  <c r="CL21" i="3"/>
  <c r="CI18" i="3"/>
  <c r="CJ18" i="3"/>
  <c r="CO18" i="3"/>
  <c r="CG18" i="3"/>
  <c r="CQ18" i="3"/>
  <c r="CE18" i="3"/>
  <c r="CU18" i="3"/>
  <c r="CH18" i="3"/>
  <c r="CF18" i="3"/>
  <c r="CU17" i="3"/>
  <c r="CP18" i="3"/>
  <c r="CN18" i="3"/>
  <c r="CT18" i="3" l="1"/>
  <c r="CM18" i="3"/>
  <c r="CK18" i="3"/>
  <c r="CR18" i="3" s="1"/>
  <c r="CL18" i="3"/>
  <c r="CO17" i="3"/>
  <c r="CJ17" i="3"/>
  <c r="CN17" i="3"/>
  <c r="CE17" i="3"/>
  <c r="CP17" i="3"/>
  <c r="CF17" i="3"/>
  <c r="CI17" i="3"/>
  <c r="CH17" i="3"/>
  <c r="CG17" i="3"/>
  <c r="CU16" i="3"/>
  <c r="CQ17" i="3"/>
  <c r="CT17" i="3" l="1"/>
  <c r="CM17" i="3"/>
  <c r="CK17" i="3"/>
  <c r="CR17" i="3" s="1"/>
  <c r="CL17" i="3"/>
  <c r="CN16" i="3"/>
  <c r="CJ16" i="3"/>
  <c r="CH16" i="3"/>
  <c r="CE16" i="3"/>
  <c r="CO16" i="3"/>
  <c r="CI16" i="3"/>
  <c r="CF16" i="3"/>
  <c r="CQ16" i="3"/>
  <c r="CP16" i="3"/>
  <c r="CG16" i="3"/>
  <c r="CT16" i="3" l="1"/>
  <c r="CM16" i="3"/>
  <c r="CK16" i="3"/>
  <c r="CR16" i="3" s="1"/>
  <c r="CL16" i="3"/>
  <c r="CH12" i="3"/>
  <c r="CQ12" i="3"/>
  <c r="CU12" i="3"/>
  <c r="CG12" i="3"/>
  <c r="CF12" i="3"/>
  <c r="CI12" i="3"/>
  <c r="CE12" i="3"/>
  <c r="CU11" i="3"/>
  <c r="CO12" i="3"/>
  <c r="CP12" i="3"/>
  <c r="CN12" i="3"/>
  <c r="CJ12" i="3"/>
  <c r="CT12" i="3" l="1"/>
  <c r="CM12" i="3"/>
  <c r="CK12" i="3"/>
  <c r="CR12" i="3" s="1"/>
  <c r="CL12" i="3"/>
  <c r="CJ11" i="3"/>
  <c r="CU9" i="3"/>
  <c r="CF11" i="3"/>
  <c r="CN11" i="3"/>
  <c r="CH11" i="3"/>
  <c r="CQ11" i="3"/>
  <c r="CE11" i="3"/>
  <c r="CI11" i="3"/>
  <c r="CP11" i="3"/>
  <c r="CO11" i="3"/>
  <c r="CG11" i="3"/>
  <c r="CT11" i="3" l="1"/>
  <c r="CM11" i="3"/>
  <c r="CK11" i="3"/>
  <c r="CR11" i="3" s="1"/>
  <c r="CL11" i="3"/>
  <c r="CQ9" i="3"/>
  <c r="CO9" i="3"/>
  <c r="CP9" i="3"/>
  <c r="CF9" i="3"/>
  <c r="CJ9" i="3"/>
  <c r="CI9" i="3"/>
  <c r="CG9" i="3"/>
  <c r="CH9" i="3"/>
  <c r="CN9" i="3"/>
  <c r="CE9" i="3"/>
  <c r="CT9" i="3" l="1"/>
  <c r="CM9" i="3"/>
  <c r="CK9" i="3"/>
  <c r="CR9" i="3" s="1"/>
  <c r="CL9" i="3"/>
  <c r="DB49" i="2"/>
  <c r="DD49" i="2"/>
  <c r="DE49" i="2"/>
  <c r="CY49" i="2"/>
  <c r="CZ49" i="2"/>
  <c r="DC49" i="2"/>
  <c r="DA49" i="2"/>
  <c r="CW49" i="2" l="1" a="1"/>
  <c r="CW49" i="2" s="1"/>
  <c r="CV49" i="2" a="1"/>
  <c r="CV49" i="2" s="1"/>
  <c r="CU49" i="2" a="1"/>
  <c r="CU49" i="2" s="1"/>
  <c r="CT49" i="2" a="1"/>
  <c r="CT49" i="2" s="1"/>
  <c r="CS49" i="2" a="1"/>
  <c r="CS49" i="2" s="1"/>
  <c r="CR49" i="2" a="1"/>
  <c r="CR49" i="2" s="1"/>
  <c r="CQ49" i="2"/>
  <c r="CP49" i="2" l="1" a="1"/>
  <c r="CP49" i="2" s="1"/>
  <c r="CO49" i="2" a="1"/>
  <c r="CO49" i="2" s="1"/>
  <c r="CK49" i="2"/>
  <c r="CN49" i="2"/>
  <c r="CM49" i="2"/>
  <c r="DI49" i="2" l="1"/>
  <c r="CI49" i="2"/>
  <c r="CH49" i="2"/>
  <c r="CG49" i="2"/>
  <c r="DJ49" i="2" l="1"/>
  <c r="CL49" i="2"/>
  <c r="CJ49" i="2"/>
  <c r="CE49" i="2"/>
  <c r="CF49" i="2" l="1"/>
  <c r="DF49" i="2"/>
  <c r="A15" i="1" l="1"/>
  <c r="V63" i="2"/>
  <c r="W63" i="2"/>
  <c r="O63" i="2"/>
  <c r="Q63" i="2"/>
  <c r="M63" i="2"/>
  <c r="L63" i="2"/>
  <c r="Y63" i="2"/>
  <c r="I63" i="2"/>
  <c r="F63" i="2"/>
  <c r="H63" i="2"/>
  <c r="P63" i="2"/>
  <c r="S63" i="2"/>
  <c r="R63" i="2"/>
  <c r="Z63" i="2"/>
  <c r="U63" i="2"/>
  <c r="N63" i="2"/>
  <c r="E55" i="2"/>
  <c r="E63" i="2"/>
  <c r="G63" i="2"/>
  <c r="X63" i="2"/>
  <c r="T63" i="2"/>
  <c r="J63" i="2"/>
  <c r="K63" i="2"/>
  <c r="D6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D66" i="2"/>
  <c r="CW5" i="2" l="1" a="1"/>
  <c r="CW5" i="2" s="1"/>
  <c r="CW51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l="1" a="1"/>
  <c r="CP5" i="2" s="1"/>
  <c r="CO5" i="2" a="1"/>
  <c r="CO5" i="2" s="1"/>
  <c r="DE5" i="2"/>
  <c r="CQ5" i="2"/>
  <c r="CU5" i="3"/>
  <c r="CN5" i="2"/>
  <c r="CK5" i="2"/>
  <c r="CZ5" i="2"/>
  <c r="DB5" i="2"/>
  <c r="CM5" i="2"/>
  <c r="DD5" i="2"/>
  <c r="DA5" i="2"/>
  <c r="CY5" i="2"/>
  <c r="DC5" i="2"/>
  <c r="DI5" i="2" l="1"/>
  <c r="CH5" i="2"/>
  <c r="CG5" i="2"/>
  <c r="CI5" i="2"/>
  <c r="DJ5" i="2" l="1"/>
  <c r="CL5" i="2"/>
  <c r="CJ5" i="2"/>
  <c r="CE5" i="2"/>
  <c r="CF5" i="2" l="1"/>
  <c r="DF5" i="2"/>
  <c r="CQ5" i="3"/>
  <c r="CI5" i="3"/>
  <c r="CN5" i="3"/>
  <c r="CH5" i="3"/>
  <c r="CE5" i="3"/>
  <c r="CF5" i="3"/>
  <c r="CG5" i="3"/>
  <c r="CP5" i="3"/>
  <c r="CJ5" i="3"/>
  <c r="CO5" i="3"/>
  <c r="DG22" i="2" l="1"/>
  <c r="DG43" i="2"/>
  <c r="DG9" i="2"/>
  <c r="DG45" i="2"/>
  <c r="DG30" i="2"/>
  <c r="DG17" i="2"/>
  <c r="DG33" i="2"/>
  <c r="DG10" i="2"/>
  <c r="DG34" i="2"/>
  <c r="DG7" i="2"/>
  <c r="DG35" i="2"/>
  <c r="DG19" i="2"/>
  <c r="DG36" i="2"/>
  <c r="DG6" i="2"/>
  <c r="DG21" i="2"/>
  <c r="DG38" i="2"/>
  <c r="DG24" i="2"/>
  <c r="DG12" i="2"/>
  <c r="DG39" i="2"/>
  <c r="DG25" i="2"/>
  <c r="DG44" i="2"/>
  <c r="DG13" i="2"/>
  <c r="DG37" i="2"/>
  <c r="DG11" i="2"/>
  <c r="DG23" i="2"/>
  <c r="DG41" i="2"/>
  <c r="DG28" i="2"/>
  <c r="DG15" i="2"/>
  <c r="DG42" i="2"/>
  <c r="DG8" i="2"/>
  <c r="DG20" i="2"/>
  <c r="DG40" i="2"/>
  <c r="DG27" i="2"/>
  <c r="DG14" i="2"/>
  <c r="DG16" i="2"/>
  <c r="DG26" i="2"/>
  <c r="DG46" i="2"/>
  <c r="DG31" i="2"/>
  <c r="DG18" i="2"/>
  <c r="DG47" i="2"/>
  <c r="DG32" i="2"/>
  <c r="DG29" i="2"/>
  <c r="DG48" i="2"/>
  <c r="DG49" i="2"/>
  <c r="CT5" i="3"/>
  <c r="CM5" i="3"/>
  <c r="CK5" i="3"/>
  <c r="CR5" i="3" s="1"/>
  <c r="CL5" i="3"/>
  <c r="CS19" i="3" l="1"/>
  <c r="CS29" i="3"/>
  <c r="CS36" i="3"/>
  <c r="CS7" i="3"/>
  <c r="CS14" i="3"/>
  <c r="CS20" i="3"/>
  <c r="CS39" i="3"/>
  <c r="CS24" i="3"/>
  <c r="CS13" i="3"/>
  <c r="CS8" i="3"/>
  <c r="CS37" i="3"/>
  <c r="CS6" i="3"/>
  <c r="CS26" i="3"/>
  <c r="CS15" i="3"/>
  <c r="CS34" i="3"/>
  <c r="CS27" i="3"/>
  <c r="CS10" i="3"/>
  <c r="CS28" i="3"/>
  <c r="CS38" i="3"/>
  <c r="CS31" i="3"/>
  <c r="CS25" i="3"/>
  <c r="CS16" i="3"/>
  <c r="CS9" i="3"/>
  <c r="CS40" i="3"/>
  <c r="CS32" i="3"/>
  <c r="CS21" i="3"/>
  <c r="CS17" i="3"/>
  <c r="CS12" i="3"/>
  <c r="CS33" i="3"/>
  <c r="CS22" i="3"/>
  <c r="CS18" i="3"/>
  <c r="CS35" i="3"/>
  <c r="CS30" i="3"/>
  <c r="CS23" i="3"/>
  <c r="CS11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O3" i="1" l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D64" i="2"/>
  <c r="U64" i="2"/>
  <c r="L64" i="2"/>
  <c r="I64" i="2"/>
  <c r="T64" i="2"/>
  <c r="E64" i="2"/>
  <c r="O64" i="2"/>
  <c r="R64" i="2"/>
  <c r="N64" i="2"/>
  <c r="G64" i="2"/>
  <c r="Y64" i="2"/>
  <c r="M64" i="2"/>
  <c r="V64" i="2"/>
  <c r="J64" i="2"/>
  <c r="Z64" i="2"/>
  <c r="P64" i="2"/>
  <c r="F64" i="2"/>
  <c r="Q64" i="2"/>
  <c r="X64" i="2"/>
  <c r="S64" i="2"/>
  <c r="H64" i="2"/>
  <c r="W64" i="2"/>
  <c r="K64" i="2"/>
  <c r="AD20" i="1" l="1"/>
  <c r="AC20" i="1"/>
  <c r="AB20" i="1"/>
  <c r="AE20" i="1" s="1"/>
  <c r="AA20" i="1"/>
  <c r="AD19" i="1"/>
  <c r="AC19" i="1"/>
  <c r="AB19" i="1"/>
  <c r="AE19" i="1" s="1"/>
  <c r="AA19" i="1"/>
  <c r="AD18" i="1"/>
  <c r="AC18" i="1"/>
  <c r="AB18" i="1"/>
  <c r="AE18" i="1" s="1"/>
  <c r="AA18" i="1"/>
  <c r="AD17" i="1"/>
  <c r="AC17" i="1"/>
  <c r="AB17" i="1"/>
  <c r="AE17" i="1" s="1"/>
  <c r="AA17" i="1"/>
  <c r="AD16" i="1"/>
  <c r="AC16" i="1"/>
  <c r="AB16" i="1"/>
  <c r="AE16" i="1" s="1"/>
  <c r="AA16" i="1"/>
  <c r="AD15" i="1"/>
  <c r="AC15" i="1"/>
  <c r="AB15" i="1"/>
  <c r="AE15" i="1" s="1"/>
  <c r="AA15" i="1"/>
  <c r="AD14" i="1"/>
  <c r="AC14" i="1"/>
  <c r="AB14" i="1"/>
  <c r="AE14" i="1" s="1"/>
  <c r="AA14" i="1"/>
  <c r="AD13" i="1"/>
  <c r="AC13" i="1"/>
  <c r="AB13" i="1"/>
  <c r="AE13" i="1" s="1"/>
  <c r="AA13" i="1"/>
  <c r="AD12" i="1"/>
  <c r="AC12" i="1"/>
  <c r="AB12" i="1"/>
  <c r="AE12" i="1" s="1"/>
  <c r="AA12" i="1"/>
  <c r="AD11" i="1"/>
  <c r="AC11" i="1"/>
  <c r="AB11" i="1"/>
  <c r="AE11" i="1" s="1"/>
  <c r="AA11" i="1"/>
  <c r="AD10" i="1"/>
  <c r="AC10" i="1"/>
  <c r="AB10" i="1"/>
  <c r="AE10" i="1" s="1"/>
  <c r="AA10" i="1"/>
  <c r="AD9" i="1"/>
  <c r="AC9" i="1"/>
  <c r="AB9" i="1"/>
  <c r="AE9" i="1" s="1"/>
  <c r="AA9" i="1"/>
  <c r="AD8" i="1"/>
  <c r="AC8" i="1"/>
  <c r="AB8" i="1"/>
  <c r="AE8" i="1" s="1"/>
  <c r="AA8" i="1"/>
  <c r="AD7" i="1"/>
  <c r="AC7" i="1"/>
  <c r="AB7" i="1"/>
  <c r="AE7" i="1" s="1"/>
  <c r="AA7" i="1"/>
  <c r="AD6" i="1"/>
  <c r="AC6" i="1"/>
  <c r="AB6" i="1"/>
  <c r="AE6" i="1" s="1"/>
  <c r="AA6" i="1"/>
  <c r="AD5" i="1"/>
  <c r="AC5" i="1"/>
  <c r="AB5" i="1"/>
  <c r="AE5" i="1" s="1"/>
  <c r="AA5" i="1"/>
  <c r="C1" i="2" a="1"/>
  <c r="C1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N52" i="2" a="1"/>
  <c r="N52" i="2" s="1"/>
  <c r="O52" i="2" a="1"/>
  <c r="O52" i="2" s="1"/>
  <c r="P52" i="2" a="1"/>
  <c r="P52" i="2" s="1"/>
  <c r="Q52" i="2" a="1"/>
  <c r="Q52" i="2" s="1"/>
  <c r="R52" i="2" a="1"/>
  <c r="R52" i="2" s="1"/>
  <c r="S52" i="2" a="1"/>
  <c r="S52" i="2" s="1"/>
  <c r="T52" i="2" a="1"/>
  <c r="T52" i="2" s="1"/>
  <c r="U52" i="2" a="1"/>
  <c r="U52" i="2" s="1"/>
  <c r="V52" i="2" a="1"/>
  <c r="V52" i="2" s="1"/>
  <c r="W52" i="2" a="1"/>
  <c r="W52" i="2" s="1"/>
  <c r="X52" i="2" a="1"/>
  <c r="X52" i="2" s="1"/>
  <c r="Y52" i="2" a="1"/>
  <c r="Y52" i="2" s="1"/>
  <c r="Z52" i="2" a="1"/>
  <c r="Z52" i="2" s="1"/>
  <c r="AA52" i="2" a="1"/>
  <c r="AA52" i="2" s="1"/>
  <c r="AB52" i="2" a="1"/>
  <c r="AB52" i="2" s="1"/>
  <c r="AC52" i="2" a="1"/>
  <c r="AC52" i="2" s="1"/>
  <c r="AD52" i="2" a="1"/>
  <c r="AD52" i="2" s="1"/>
  <c r="AE52" i="2" a="1"/>
  <c r="AE52" i="2" s="1"/>
  <c r="AF52" i="2" a="1"/>
  <c r="AF52" i="2" s="1"/>
  <c r="AG52" i="2" a="1"/>
  <c r="AG52" i="2" s="1"/>
  <c r="AH52" i="2" a="1"/>
  <c r="AH52" i="2" s="1"/>
  <c r="AI52" i="2" a="1"/>
  <c r="AI52" i="2" s="1"/>
  <c r="AJ52" i="2" a="1"/>
  <c r="AJ52" i="2" s="1"/>
  <c r="AK52" i="2" a="1"/>
  <c r="AK52" i="2" s="1"/>
  <c r="AL52" i="2" a="1"/>
  <c r="AL52" i="2" s="1"/>
  <c r="AM52" i="2" a="1"/>
  <c r="AM52" i="2" s="1"/>
  <c r="AN52" i="2" a="1"/>
  <c r="AN52" i="2" s="1"/>
  <c r="AO52" i="2" a="1"/>
  <c r="AO52" i="2" s="1"/>
  <c r="AP52" i="2" a="1"/>
  <c r="AP52" i="2" s="1"/>
  <c r="AQ52" i="2" a="1"/>
  <c r="AQ52" i="2" s="1"/>
  <c r="AR52" i="2" a="1"/>
  <c r="AR52" i="2" s="1"/>
  <c r="AS52" i="2" a="1"/>
  <c r="AS52" i="2" s="1"/>
  <c r="AT52" i="2" a="1"/>
  <c r="AT52" i="2" s="1"/>
  <c r="AU52" i="2" a="1"/>
  <c r="AU52" i="2" s="1"/>
  <c r="AV52" i="2" a="1"/>
  <c r="AV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BD52" i="2" a="1"/>
  <c r="BD52" i="2" s="1"/>
  <c r="BE52" i="2" a="1"/>
  <c r="BE52" i="2" s="1"/>
  <c r="BF52" i="2" a="1"/>
  <c r="BF52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 s="1"/>
  <c r="R53" i="2" a="1"/>
  <c r="R53" i="2" s="1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Y53" i="2" a="1"/>
  <c r="Y53" i="2" s="1"/>
  <c r="Z53" i="2" a="1"/>
  <c r="Z53" i="2" s="1"/>
  <c r="AA53" i="2" a="1"/>
  <c r="AA53" i="2" s="1"/>
  <c r="AB53" i="2" a="1"/>
  <c r="AB53" i="2" s="1"/>
  <c r="AC53" i="2" a="1"/>
  <c r="AC53" i="2" s="1"/>
  <c r="AD53" i="2" a="1"/>
  <c r="AD53" i="2" s="1"/>
  <c r="AE53" i="2" a="1"/>
  <c r="AE53" i="2" s="1"/>
  <c r="AF53" i="2" a="1"/>
  <c r="AF53" i="2" s="1"/>
  <c r="AG53" i="2" a="1"/>
  <c r="AG53" i="2" s="1"/>
  <c r="AH53" i="2" a="1"/>
  <c r="AH53" i="2" s="1"/>
  <c r="AI53" i="2" a="1"/>
  <c r="AI53" i="2" s="1"/>
  <c r="AJ53" i="2" a="1"/>
  <c r="AJ53" i="2" s="1"/>
  <c r="AK53" i="2" a="1"/>
  <c r="AK53" i="2" s="1"/>
  <c r="AL53" i="2" a="1"/>
  <c r="AL53" i="2" s="1"/>
  <c r="AM53" i="2" a="1"/>
  <c r="AM53" i="2" s="1"/>
  <c r="AN53" i="2" a="1"/>
  <c r="AN53" i="2" s="1"/>
  <c r="AO53" i="2" a="1"/>
  <c r="AO53" i="2" s="1"/>
  <c r="AP53" i="2" a="1"/>
  <c r="AP53" i="2" s="1"/>
  <c r="AQ53" i="2" a="1"/>
  <c r="AQ53" i="2" s="1"/>
  <c r="AR53" i="2" a="1"/>
  <c r="AR53" i="2" s="1"/>
  <c r="AS53" i="2" a="1"/>
  <c r="AS53" i="2" s="1"/>
  <c r="AT53" i="2" a="1"/>
  <c r="AT53" i="2" s="1"/>
  <c r="AU53" i="2" a="1"/>
  <c r="AU53" i="2" s="1"/>
  <c r="AV53" i="2" a="1"/>
  <c r="AV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BD53" i="2" a="1"/>
  <c r="BD53" i="2" s="1"/>
  <c r="BE53" i="2" a="1"/>
  <c r="BE53" i="2" s="1"/>
  <c r="BF53" i="2" a="1"/>
  <c r="BF53" i="2" s="1"/>
  <c r="B1" i="3" a="1"/>
  <c r="B1" i="3" s="1"/>
  <c r="C43" i="3" a="1"/>
  <c r="C43" i="3" s="1"/>
  <c r="C48" i="3" a="1"/>
  <c r="C4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M41" i="4"/>
  <c r="M42" i="4" s="1"/>
  <c r="O41" i="4"/>
  <c r="O42" i="4" s="1"/>
  <c r="AG41" i="4"/>
  <c r="AG42" i="4" s="1"/>
  <c r="AK41" i="4"/>
  <c r="AK42" i="4" s="1"/>
  <c r="AM41" i="4"/>
  <c r="AM42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E21" i="1" s="1"/>
  <c r="AC21" i="1"/>
  <c r="AD21" i="1"/>
  <c r="AA22" i="1"/>
  <c r="AB22" i="1"/>
  <c r="AE22" i="1" s="1"/>
  <c r="AC22" i="1"/>
  <c r="AD22" i="1"/>
  <c r="AA23" i="1"/>
  <c r="AB23" i="1"/>
  <c r="AE23" i="1" s="1"/>
  <c r="AC23" i="1"/>
  <c r="AD23" i="1"/>
  <c r="AA24" i="1"/>
  <c r="AB24" i="1"/>
  <c r="AE24" i="1" s="1"/>
  <c r="AC24" i="1"/>
  <c r="AD24" i="1"/>
  <c r="AA25" i="1"/>
  <c r="AB25" i="1"/>
  <c r="AE25" i="1" s="1"/>
  <c r="AC25" i="1"/>
  <c r="AD25" i="1"/>
  <c r="A26" i="1"/>
  <c r="AA26" i="1"/>
  <c r="AB26" i="1"/>
  <c r="AE26" i="1" s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G55" i="2"/>
  <c r="AR47" i="3"/>
  <c r="AC46" i="3"/>
  <c r="X46" i="3"/>
  <c r="AS46" i="3"/>
  <c r="AA61" i="2"/>
  <c r="AE47" i="3"/>
  <c r="K46" i="3"/>
  <c r="BB46" i="3"/>
  <c r="N46" i="3"/>
  <c r="AU55" i="2"/>
  <c r="AP47" i="3"/>
  <c r="AL46" i="3"/>
  <c r="AH42" i="3"/>
  <c r="AJ47" i="3"/>
  <c r="R46" i="3"/>
  <c r="H55" i="2"/>
  <c r="P59" i="2"/>
  <c r="AE59" i="2"/>
  <c r="R59" i="2"/>
  <c r="BF46" i="3"/>
  <c r="AQ46" i="3"/>
  <c r="O42" i="3"/>
  <c r="AM46" i="3"/>
  <c r="AR46" i="3"/>
  <c r="O55" i="2"/>
  <c r="AJ46" i="3"/>
  <c r="Y62" i="2"/>
  <c r="I47" i="3"/>
  <c r="BE47" i="3"/>
  <c r="AV47" i="3"/>
  <c r="BC55" i="2"/>
  <c r="E61" i="2"/>
  <c r="BD42" i="3"/>
  <c r="X61" i="2"/>
  <c r="Q47" i="3"/>
  <c r="AP46" i="3"/>
  <c r="M59" i="2"/>
  <c r="K55" i="2"/>
  <c r="AN42" i="3"/>
  <c r="AS47" i="3"/>
  <c r="AL55" i="2"/>
  <c r="L42" i="3"/>
  <c r="V46" i="3"/>
  <c r="F47" i="3"/>
  <c r="X42" i="3"/>
  <c r="O47" i="3"/>
  <c r="Q59" i="2"/>
  <c r="Y61" i="2"/>
  <c r="G62" i="2"/>
  <c r="AQ42" i="3"/>
  <c r="AC55" i="2"/>
  <c r="G46" i="3"/>
  <c r="E47" i="3"/>
  <c r="L47" i="3"/>
  <c r="AF55" i="2"/>
  <c r="AY46" i="3"/>
  <c r="AA62" i="2"/>
  <c r="J61" i="2"/>
  <c r="AR42" i="3"/>
  <c r="F46" i="3"/>
  <c r="N62" i="2"/>
  <c r="AM55" i="2"/>
  <c r="S47" i="3"/>
  <c r="P62" i="2"/>
  <c r="E59" i="2"/>
  <c r="G59" i="2"/>
  <c r="R55" i="2"/>
  <c r="AA47" i="3"/>
  <c r="AA42" i="3"/>
  <c r="BB47" i="3"/>
  <c r="AH55" i="2"/>
  <c r="AU46" i="3"/>
  <c r="AD42" i="3"/>
  <c r="S61" i="2"/>
  <c r="R62" i="2"/>
  <c r="AI47" i="3"/>
  <c r="AG42" i="3"/>
  <c r="AO47" i="3"/>
  <c r="K47" i="3"/>
  <c r="H62" i="2"/>
  <c r="V61" i="2"/>
  <c r="P47" i="3"/>
  <c r="AW46" i="3"/>
  <c r="Z62" i="2"/>
  <c r="AU42" i="3"/>
  <c r="H47" i="3"/>
  <c r="E46" i="3"/>
  <c r="AV46" i="3"/>
  <c r="AF47" i="3"/>
  <c r="U47" i="3"/>
  <c r="BC46" i="3"/>
  <c r="BE46" i="3"/>
  <c r="S59" i="2"/>
  <c r="W59" i="2"/>
  <c r="Q46" i="3"/>
  <c r="AM42" i="3"/>
  <c r="J47" i="3"/>
  <c r="W62" i="2"/>
  <c r="AT42" i="3"/>
  <c r="M46" i="3"/>
  <c r="AZ42" i="3"/>
  <c r="X62" i="2"/>
  <c r="W47" i="3"/>
  <c r="AL47" i="3"/>
  <c r="J46" i="3"/>
  <c r="AI46" i="3"/>
  <c r="Y46" i="3"/>
  <c r="AW47" i="3"/>
  <c r="J42" i="3"/>
  <c r="R42" i="3"/>
  <c r="V62" i="2"/>
  <c r="X59" i="2"/>
  <c r="AB59" i="2"/>
  <c r="BA42" i="3"/>
  <c r="D62" i="2"/>
  <c r="AV42" i="3"/>
  <c r="AE55" i="2"/>
  <c r="AJ42" i="3"/>
  <c r="BA55" i="2"/>
  <c r="Y42" i="3"/>
  <c r="AE62" i="2"/>
  <c r="Q55" i="2"/>
  <c r="K61" i="2"/>
  <c r="AI42" i="3"/>
  <c r="I55" i="2"/>
  <c r="D61" i="2"/>
  <c r="BE42" i="3"/>
  <c r="D46" i="3"/>
  <c r="BA47" i="3"/>
  <c r="N55" i="2"/>
  <c r="AK47" i="3"/>
  <c r="AK42" i="3"/>
  <c r="D42" i="3"/>
  <c r="P42" i="3"/>
  <c r="AK55" i="2"/>
  <c r="AZ55" i="2"/>
  <c r="Q62" i="2"/>
  <c r="V42" i="3"/>
  <c r="T47" i="3"/>
  <c r="AD55" i="2"/>
  <c r="H59" i="2"/>
  <c r="Z59" i="2"/>
  <c r="I61" i="2"/>
  <c r="V55" i="2"/>
  <c r="AE61" i="2"/>
  <c r="S46" i="3"/>
  <c r="AG47" i="3"/>
  <c r="T62" i="2"/>
  <c r="AN47" i="3"/>
  <c r="AE46" i="3"/>
  <c r="AA59" i="2"/>
  <c r="AD62" i="2"/>
  <c r="M61" i="2"/>
  <c r="N61" i="2"/>
  <c r="L61" i="2"/>
  <c r="R47" i="3"/>
  <c r="I42" i="3"/>
  <c r="AH47" i="3"/>
  <c r="AL42" i="3"/>
  <c r="AG55" i="2"/>
  <c r="L46" i="3"/>
  <c r="BC42" i="3"/>
  <c r="BD55" i="2"/>
  <c r="U62" i="2"/>
  <c r="AT46" i="3"/>
  <c r="AX55" i="2"/>
  <c r="AC47" i="3"/>
  <c r="X47" i="3"/>
  <c r="L59" i="2"/>
  <c r="K59" i="2"/>
  <c r="BC47" i="3"/>
  <c r="N47" i="3"/>
  <c r="U55" i="2"/>
  <c r="BA46" i="3"/>
  <c r="AD47" i="3"/>
  <c r="AZ46" i="3"/>
  <c r="AU47" i="3"/>
  <c r="M62" i="2"/>
  <c r="T55" i="2"/>
  <c r="AX47" i="3"/>
  <c r="AY42" i="3"/>
  <c r="BF42" i="3"/>
  <c r="I46" i="3"/>
  <c r="P55" i="2"/>
  <c r="AS55" i="2"/>
  <c r="AQ55" i="2"/>
  <c r="J62" i="2"/>
  <c r="AD59" i="2"/>
  <c r="I59" i="2"/>
  <c r="AA46" i="3"/>
  <c r="E42" i="3"/>
  <c r="AG46" i="3"/>
  <c r="F42" i="3"/>
  <c r="AT47" i="3"/>
  <c r="U42" i="3"/>
  <c r="G61" i="2"/>
  <c r="AD46" i="3"/>
  <c r="W55" i="2"/>
  <c r="BB42" i="3"/>
  <c r="Z42" i="3"/>
  <c r="Z46" i="3"/>
  <c r="AM47" i="3"/>
  <c r="BF55" i="2"/>
  <c r="C46" i="3"/>
  <c r="O61" i="2"/>
  <c r="M47" i="3"/>
  <c r="L55" i="2"/>
  <c r="U46" i="3"/>
  <c r="T42" i="3"/>
  <c r="W46" i="3"/>
  <c r="AA55" i="2"/>
  <c r="E62" i="2"/>
  <c r="W61" i="2"/>
  <c r="AE42" i="3"/>
  <c r="X55" i="2"/>
  <c r="S55" i="2"/>
  <c r="F59" i="2"/>
  <c r="K62" i="2"/>
  <c r="AN46" i="3"/>
  <c r="K42" i="3"/>
  <c r="AT55" i="2"/>
  <c r="H42" i="3"/>
  <c r="O62" i="2"/>
  <c r="AP55" i="2"/>
  <c r="C47" i="3"/>
  <c r="AY55" i="2"/>
  <c r="D59" i="2"/>
  <c r="L62" i="2"/>
  <c r="AK46" i="3"/>
  <c r="P61" i="2"/>
  <c r="M42" i="3"/>
  <c r="V47" i="3"/>
  <c r="AF42" i="3"/>
  <c r="O46" i="3"/>
  <c r="J55" i="2"/>
  <c r="N42" i="3"/>
  <c r="AW42" i="3"/>
  <c r="AB47" i="3"/>
  <c r="AB46" i="3"/>
  <c r="BE55" i="2"/>
  <c r="H61" i="2"/>
  <c r="M55" i="2"/>
  <c r="I62" i="2"/>
  <c r="W42" i="3"/>
  <c r="J59" i="2"/>
  <c r="O59" i="2"/>
  <c r="S42" i="3"/>
  <c r="AH46" i="3"/>
  <c r="R61" i="2"/>
  <c r="AB62" i="2"/>
  <c r="Y55" i="2"/>
  <c r="AD61" i="2"/>
  <c r="Q42" i="3"/>
  <c r="P46" i="3"/>
  <c r="H46" i="3"/>
  <c r="AN55" i="2"/>
  <c r="AC42" i="3"/>
  <c r="AP42" i="3"/>
  <c r="Z55" i="2"/>
  <c r="AO46" i="3"/>
  <c r="AB55" i="2"/>
  <c r="AO55" i="2"/>
  <c r="AZ47" i="3"/>
  <c r="AY47" i="3"/>
  <c r="U59" i="2"/>
  <c r="Y59" i="2"/>
  <c r="BD47" i="3"/>
  <c r="AQ47" i="3"/>
  <c r="G47" i="3"/>
  <c r="D55" i="2"/>
  <c r="F62" i="2"/>
  <c r="G42" i="3"/>
  <c r="AS42" i="3"/>
  <c r="F61" i="2"/>
  <c r="BF47" i="3"/>
  <c r="AC61" i="2"/>
  <c r="BD46" i="3"/>
  <c r="AW55" i="2"/>
  <c r="N59" i="2"/>
  <c r="AF46" i="3"/>
  <c r="AJ55" i="2"/>
  <c r="AB61" i="2"/>
  <c r="AV55" i="2"/>
  <c r="AO42" i="3"/>
  <c r="U61" i="2"/>
  <c r="S62" i="2"/>
  <c r="AR55" i="2"/>
  <c r="V59" i="2"/>
  <c r="Y47" i="3"/>
  <c r="Z61" i="2"/>
  <c r="F55" i="2"/>
  <c r="Q61" i="2"/>
  <c r="T59" i="2"/>
  <c r="AC59" i="2"/>
  <c r="Z47" i="3"/>
  <c r="AI55" i="2"/>
  <c r="BB55" i="2"/>
  <c r="AX46" i="3"/>
  <c r="T61" i="2"/>
  <c r="AX42" i="3"/>
  <c r="D47" i="3"/>
  <c r="T46" i="3"/>
  <c r="AC62" i="2"/>
  <c r="AB42" i="3"/>
  <c r="O43" i="4" l="1"/>
  <c r="AM43" i="4"/>
  <c r="M43" i="4"/>
  <c r="AO43" i="4"/>
  <c r="AC43" i="4"/>
  <c r="K43" i="4"/>
  <c r="G43" i="4"/>
  <c r="L47" i="4"/>
  <c r="AK43" i="4"/>
  <c r="C43" i="4"/>
  <c r="AG43" i="4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51" i="2"/>
  <c r="CE53" i="2"/>
  <c r="AB3" i="1" a="1"/>
  <c r="AB3" i="1" s="1"/>
  <c r="AC63" i="1"/>
  <c r="BN48" i="3"/>
  <c r="AH48" i="3"/>
  <c r="AX48" i="3"/>
  <c r="R48" i="3"/>
  <c r="K44" i="3"/>
  <c r="BV48" i="3"/>
  <c r="BF48" i="3"/>
  <c r="AP48" i="3"/>
  <c r="Z48" i="3"/>
  <c r="J48" i="3"/>
  <c r="AQ44" i="3"/>
  <c r="AH43" i="3"/>
  <c r="K46" i="4"/>
  <c r="N46" i="4" s="1"/>
  <c r="C5" i="7" s="1"/>
  <c r="AA44" i="3"/>
  <c r="AX43" i="3"/>
  <c r="R43" i="3"/>
  <c r="BZ48" i="3"/>
  <c r="BR48" i="3"/>
  <c r="BJ48" i="3"/>
  <c r="BB48" i="3"/>
  <c r="AT48" i="3"/>
  <c r="AL48" i="3"/>
  <c r="AD48" i="3"/>
  <c r="V48" i="3"/>
  <c r="N48" i="3"/>
  <c r="F48" i="3"/>
  <c r="AY44" i="3"/>
  <c r="AI44" i="3"/>
  <c r="S44" i="3"/>
  <c r="C44" i="3"/>
  <c r="AP43" i="3"/>
  <c r="Z43" i="3"/>
  <c r="J43" i="3"/>
  <c r="BC44" i="3"/>
  <c r="AU44" i="3"/>
  <c r="AM44" i="3"/>
  <c r="AE44" i="3"/>
  <c r="W44" i="3"/>
  <c r="O44" i="3"/>
  <c r="G44" i="3"/>
  <c r="BB43" i="3"/>
  <c r="AT43" i="3"/>
  <c r="AL43" i="3"/>
  <c r="AD43" i="3"/>
  <c r="V43" i="3"/>
  <c r="N43" i="3"/>
  <c r="F43" i="3"/>
  <c r="CB48" i="3"/>
  <c r="BX48" i="3"/>
  <c r="BT48" i="3"/>
  <c r="BP48" i="3"/>
  <c r="BL48" i="3"/>
  <c r="BH48" i="3"/>
  <c r="BD48" i="3"/>
  <c r="AZ48" i="3"/>
  <c r="AV48" i="3"/>
  <c r="AR48" i="3"/>
  <c r="AN48" i="3"/>
  <c r="AJ48" i="3"/>
  <c r="AF48" i="3"/>
  <c r="AB48" i="3"/>
  <c r="X48" i="3"/>
  <c r="T48" i="3"/>
  <c r="P48" i="3"/>
  <c r="L48" i="3"/>
  <c r="H48" i="3"/>
  <c r="D48" i="3"/>
  <c r="BE44" i="3"/>
  <c r="BA44" i="3"/>
  <c r="AW44" i="3"/>
  <c r="AS44" i="3"/>
  <c r="AO44" i="3"/>
  <c r="AK44" i="3"/>
  <c r="AG44" i="3"/>
  <c r="AC44" i="3"/>
  <c r="Y44" i="3"/>
  <c r="U44" i="3"/>
  <c r="Q44" i="3"/>
  <c r="M44" i="3"/>
  <c r="I44" i="3"/>
  <c r="E44" i="3"/>
  <c r="BD43" i="3"/>
  <c r="AZ43" i="3"/>
  <c r="AV43" i="3"/>
  <c r="AR43" i="3"/>
  <c r="AN43" i="3"/>
  <c r="AJ43" i="3"/>
  <c r="AF43" i="3"/>
  <c r="AB43" i="3"/>
  <c r="X43" i="3"/>
  <c r="T43" i="3"/>
  <c r="P43" i="3"/>
  <c r="L43" i="3"/>
  <c r="H43" i="3"/>
  <c r="D43" i="3"/>
  <c r="BD44" i="3"/>
  <c r="BB44" i="3"/>
  <c r="AZ44" i="3"/>
  <c r="AX44" i="3"/>
  <c r="AV44" i="3"/>
  <c r="AT44" i="3"/>
  <c r="AR44" i="3"/>
  <c r="AP44" i="3"/>
  <c r="AN44" i="3"/>
  <c r="AL44" i="3"/>
  <c r="AJ44" i="3"/>
  <c r="AH44" i="3"/>
  <c r="AF44" i="3"/>
  <c r="AD44" i="3"/>
  <c r="AB44" i="3"/>
  <c r="Z44" i="3"/>
  <c r="X44" i="3"/>
  <c r="V44" i="3"/>
  <c r="T44" i="3"/>
  <c r="R44" i="3"/>
  <c r="P44" i="3"/>
  <c r="N44" i="3"/>
  <c r="L44" i="3"/>
  <c r="J44" i="3"/>
  <c r="H44" i="3"/>
  <c r="F44" i="3"/>
  <c r="D44" i="3"/>
  <c r="BE43" i="3"/>
  <c r="BC43" i="3"/>
  <c r="BA43" i="3"/>
  <c r="BA45" i="3" s="1"/>
  <c r="AY43" i="3"/>
  <c r="AW43" i="3"/>
  <c r="AU43" i="3"/>
  <c r="AS43" i="3"/>
  <c r="AQ43" i="3"/>
  <c r="AO43" i="3"/>
  <c r="AM43" i="3"/>
  <c r="AK43" i="3"/>
  <c r="AI43" i="3"/>
  <c r="AG43" i="3"/>
  <c r="AE43" i="3"/>
  <c r="AC43" i="3"/>
  <c r="AA43" i="3"/>
  <c r="Y43" i="3"/>
  <c r="W43" i="3"/>
  <c r="U43" i="3"/>
  <c r="S43" i="3"/>
  <c r="Q43" i="3"/>
  <c r="O43" i="3"/>
  <c r="M43" i="3"/>
  <c r="K43" i="3"/>
  <c r="I43" i="3"/>
  <c r="G43" i="3"/>
  <c r="E43" i="3"/>
  <c r="CC48" i="3"/>
  <c r="CA48" i="3"/>
  <c r="BY48" i="3"/>
  <c r="BW48" i="3"/>
  <c r="BU48" i="3"/>
  <c r="BS48" i="3"/>
  <c r="BQ48" i="3"/>
  <c r="BO48" i="3"/>
  <c r="BM48" i="3"/>
  <c r="BK48" i="3"/>
  <c r="BI48" i="3"/>
  <c r="BG48" i="3"/>
  <c r="BE48" i="3"/>
  <c r="BC48" i="3"/>
  <c r="BA48" i="3"/>
  <c r="AY48" i="3"/>
  <c r="AW48" i="3"/>
  <c r="AU48" i="3"/>
  <c r="AS48" i="3"/>
  <c r="AQ48" i="3"/>
  <c r="AO48" i="3"/>
  <c r="AM48" i="3"/>
  <c r="AK48" i="3"/>
  <c r="AI48" i="3"/>
  <c r="AG48" i="3"/>
  <c r="AE48" i="3"/>
  <c r="AC48" i="3"/>
  <c r="AA48" i="3"/>
  <c r="Y48" i="3"/>
  <c r="W48" i="3"/>
  <c r="U48" i="3"/>
  <c r="S48" i="3"/>
  <c r="Q48" i="3"/>
  <c r="O48" i="3"/>
  <c r="M48" i="3"/>
  <c r="K48" i="3"/>
  <c r="I48" i="3"/>
  <c r="G48" i="3"/>
  <c r="E48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51" i="2"/>
  <c r="CS51" i="2"/>
  <c r="CP51" i="2"/>
  <c r="CE52" i="2"/>
  <c r="CV51" i="2"/>
  <c r="CT51" i="2"/>
  <c r="CO51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Z51" i="2"/>
  <c r="CE47" i="3"/>
  <c r="CE46" i="3"/>
  <c r="CE42" i="3"/>
  <c r="CE55" i="2"/>
  <c r="CO55" i="2"/>
  <c r="DD51" i="2"/>
  <c r="CI55" i="2"/>
  <c r="CQ3" i="3"/>
  <c r="DB51" i="2"/>
  <c r="CP3" i="3"/>
  <c r="B62" i="2"/>
  <c r="B61" i="2"/>
  <c r="DE51" i="2"/>
  <c r="DC51" i="2"/>
  <c r="DA51" i="2"/>
  <c r="CQ51" i="2"/>
  <c r="CF42" i="3"/>
  <c r="CJ42" i="3"/>
  <c r="CK55" i="2"/>
  <c r="CG55" i="2"/>
  <c r="CH55" i="2"/>
  <c r="O17" i="5"/>
  <c r="Z63" i="1"/>
  <c r="D56" i="2" a="1"/>
  <c r="AA2" i="1"/>
  <c r="AA63" i="1"/>
  <c r="AA3" i="1" a="1"/>
  <c r="AA3" i="1" s="1"/>
  <c r="AD63" i="1"/>
  <c r="AB63" i="1"/>
  <c r="CO53" i="2"/>
  <c r="P65" i="1"/>
  <c r="P66" i="1" s="1"/>
  <c r="H93" i="4"/>
  <c r="A5" i="5" s="1" a="1"/>
  <c r="CO5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G108" i="2"/>
  <c r="T76" i="2"/>
  <c r="N81" i="2"/>
  <c r="N108" i="2"/>
  <c r="I104" i="2"/>
  <c r="O108" i="2"/>
  <c r="Q94" i="2"/>
  <c r="J95" i="2"/>
  <c r="L103" i="2"/>
  <c r="L104" i="2"/>
  <c r="E82" i="2"/>
  <c r="T104" i="2"/>
  <c r="R103" i="2"/>
  <c r="F108" i="2"/>
  <c r="D104" i="2"/>
  <c r="H47" i="4" l="1"/>
  <c r="A6" i="7"/>
  <c r="L48" i="4"/>
  <c r="CR52" i="2"/>
  <c r="CW53" i="2" s="1"/>
  <c r="DG5" i="2"/>
  <c r="CS5" i="3"/>
  <c r="AS45" i="3"/>
  <c r="T68" i="1"/>
  <c r="R68" i="1"/>
  <c r="S68" i="1"/>
  <c r="Q68" i="1"/>
  <c r="BC45" i="3"/>
  <c r="G45" i="3"/>
  <c r="W45" i="3"/>
  <c r="AA45" i="3"/>
  <c r="AI45" i="3"/>
  <c r="AM45" i="3"/>
  <c r="E45" i="3"/>
  <c r="M45" i="3"/>
  <c r="U45" i="3"/>
  <c r="AC45" i="3"/>
  <c r="AK45" i="3"/>
  <c r="C45" i="3"/>
  <c r="I45" i="3"/>
  <c r="AB45" i="3"/>
  <c r="L45" i="3"/>
  <c r="AR45" i="3"/>
  <c r="AO45" i="3"/>
  <c r="Y45" i="3"/>
  <c r="BE45" i="3"/>
  <c r="D45" i="3"/>
  <c r="T45" i="3"/>
  <c r="AJ45" i="3"/>
  <c r="AZ45" i="3"/>
  <c r="AY45" i="3"/>
  <c r="S45" i="3"/>
  <c r="H45" i="3"/>
  <c r="P45" i="3"/>
  <c r="X45" i="3"/>
  <c r="AF45" i="3"/>
  <c r="AN45" i="3"/>
  <c r="AV45" i="3"/>
  <c r="BD45" i="3"/>
  <c r="Q45" i="3"/>
  <c r="AG45" i="3"/>
  <c r="AW45" i="3"/>
  <c r="N45" i="3"/>
  <c r="R45" i="3"/>
  <c r="Z45" i="3"/>
  <c r="AD45" i="3"/>
  <c r="AH45" i="3"/>
  <c r="AT45" i="3"/>
  <c r="O45" i="3"/>
  <c r="AE45" i="3"/>
  <c r="AU45" i="3"/>
  <c r="AQ45" i="3"/>
  <c r="K45" i="3"/>
  <c r="F45" i="3"/>
  <c r="V45" i="3"/>
  <c r="AL45" i="3"/>
  <c r="BB45" i="3"/>
  <c r="J45" i="3"/>
  <c r="AP45" i="3"/>
  <c r="AX45" i="3"/>
  <c r="CE43" i="3"/>
  <c r="CE44" i="3"/>
  <c r="AA65" i="1"/>
  <c r="O67" i="1"/>
  <c r="D56" i="2"/>
  <c r="E56" i="2"/>
  <c r="E57" i="2" s="1"/>
  <c r="G56" i="2"/>
  <c r="G57" i="2" s="1"/>
  <c r="I56" i="2"/>
  <c r="I57" i="2" s="1"/>
  <c r="K56" i="2"/>
  <c r="K57" i="2" s="1"/>
  <c r="M56" i="2"/>
  <c r="M57" i="2" s="1"/>
  <c r="O56" i="2"/>
  <c r="O57" i="2" s="1"/>
  <c r="Q56" i="2"/>
  <c r="Q57" i="2" s="1"/>
  <c r="S56" i="2"/>
  <c r="S57" i="2" s="1"/>
  <c r="U56" i="2"/>
  <c r="U57" i="2" s="1"/>
  <c r="W56" i="2"/>
  <c r="W57" i="2" s="1"/>
  <c r="Y56" i="2"/>
  <c r="Y57" i="2" s="1"/>
  <c r="AA56" i="2"/>
  <c r="AA57" i="2" s="1"/>
  <c r="AC56" i="2"/>
  <c r="AC57" i="2" s="1"/>
  <c r="AE56" i="2"/>
  <c r="AE57" i="2" s="1"/>
  <c r="AG56" i="2"/>
  <c r="AG57" i="2" s="1"/>
  <c r="AI56" i="2"/>
  <c r="AI57" i="2" s="1"/>
  <c r="AK56" i="2"/>
  <c r="AK57" i="2" s="1"/>
  <c r="AM56" i="2"/>
  <c r="AM57" i="2" s="1"/>
  <c r="AO56" i="2"/>
  <c r="AO57" i="2" s="1"/>
  <c r="AQ56" i="2"/>
  <c r="AQ57" i="2" s="1"/>
  <c r="AS56" i="2"/>
  <c r="AS57" i="2" s="1"/>
  <c r="AU56" i="2"/>
  <c r="AU57" i="2" s="1"/>
  <c r="AV56" i="2"/>
  <c r="AV57" i="2" s="1"/>
  <c r="AW56" i="2"/>
  <c r="AW57" i="2" s="1"/>
  <c r="AX56" i="2"/>
  <c r="AX57" i="2" s="1"/>
  <c r="AY56" i="2"/>
  <c r="AY57" i="2" s="1"/>
  <c r="AZ56" i="2"/>
  <c r="AZ57" i="2" s="1"/>
  <c r="BA56" i="2"/>
  <c r="BA57" i="2" s="1"/>
  <c r="BB56" i="2"/>
  <c r="BB57" i="2" s="1"/>
  <c r="BC56" i="2"/>
  <c r="BC57" i="2" s="1"/>
  <c r="BD56" i="2"/>
  <c r="BD57" i="2" s="1"/>
  <c r="BE56" i="2"/>
  <c r="BE57" i="2" s="1"/>
  <c r="BF56" i="2"/>
  <c r="BF57" i="2" s="1"/>
  <c r="H56" i="2"/>
  <c r="H57" i="2" s="1"/>
  <c r="L56" i="2"/>
  <c r="L57" i="2" s="1"/>
  <c r="P56" i="2"/>
  <c r="P57" i="2" s="1"/>
  <c r="T56" i="2"/>
  <c r="T57" i="2" s="1"/>
  <c r="X56" i="2"/>
  <c r="X57" i="2" s="1"/>
  <c r="AB56" i="2"/>
  <c r="AB57" i="2" s="1"/>
  <c r="AF56" i="2"/>
  <c r="AF57" i="2" s="1"/>
  <c r="AJ56" i="2"/>
  <c r="AJ57" i="2" s="1"/>
  <c r="AN56" i="2"/>
  <c r="AN57" i="2" s="1"/>
  <c r="AR56" i="2"/>
  <c r="AR57" i="2" s="1"/>
  <c r="F56" i="2"/>
  <c r="F57" i="2" s="1"/>
  <c r="J56" i="2"/>
  <c r="J57" i="2" s="1"/>
  <c r="N56" i="2"/>
  <c r="N57" i="2" s="1"/>
  <c r="R56" i="2"/>
  <c r="R57" i="2" s="1"/>
  <c r="V56" i="2"/>
  <c r="V57" i="2" s="1"/>
  <c r="Z56" i="2"/>
  <c r="Z57" i="2" s="1"/>
  <c r="AD56" i="2"/>
  <c r="AD57" i="2" s="1"/>
  <c r="AH56" i="2"/>
  <c r="AH57" i="2" s="1"/>
  <c r="AL56" i="2"/>
  <c r="AL57" i="2" s="1"/>
  <c r="AP56" i="2"/>
  <c r="AP57" i="2" s="1"/>
  <c r="AT56" i="2"/>
  <c r="AT57" i="2" s="1"/>
  <c r="CF47" i="3"/>
  <c r="CG4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57" i="2"/>
  <c r="H48" i="4" l="1"/>
  <c r="L49" i="4"/>
  <c r="A7" i="7"/>
  <c r="K47" i="4"/>
  <c r="N47" i="4" s="1"/>
  <c r="C6" i="7" s="1"/>
  <c r="O47" i="4"/>
  <c r="D6" i="7" s="1"/>
  <c r="M47" i="4"/>
  <c r="B6" i="7" s="1"/>
  <c r="CR53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5" i="3"/>
  <c r="CH45" i="3" a="1"/>
  <c r="CH4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3" i="2"/>
  <c r="CT53" i="2"/>
  <c r="CV53" i="2"/>
  <c r="CU5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56" i="2"/>
  <c r="D57" i="2"/>
  <c r="CE56" i="2"/>
  <c r="CH47" i="3"/>
  <c r="H49" i="4" l="1"/>
  <c r="A8" i="7"/>
  <c r="L50" i="4"/>
  <c r="M48" i="4"/>
  <c r="B7" i="7" s="1"/>
  <c r="K48" i="4"/>
  <c r="N48" i="4" s="1"/>
  <c r="C7" i="7" s="1"/>
  <c r="O48" i="4"/>
  <c r="D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57" i="2"/>
  <c r="CE57" i="2"/>
  <c r="CH58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A9" i="7" l="1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O50" i="4" l="1"/>
  <c r="D9" i="7" s="1"/>
  <c r="M50" i="4"/>
  <c r="B9" i="7" s="1"/>
  <c r="K50" i="4"/>
  <c r="N50" i="4" s="1"/>
  <c r="C9" i="7" s="1"/>
  <c r="A10" i="7"/>
  <c r="H51" i="4"/>
  <c r="L52" i="4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L53" i="4" l="1"/>
  <c r="A11" i="7"/>
  <c r="H52" i="4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K52" i="4" l="1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3" i="7" l="1"/>
  <c r="H54" i="4"/>
  <c r="L55" i="4"/>
  <c r="O53" i="4"/>
  <c r="D12" i="7" s="1"/>
  <c r="K53" i="4"/>
  <c r="N53" i="4" s="1"/>
  <c r="C12" i="7" s="1"/>
  <c r="M53" i="4"/>
  <c r="B12" i="7" s="1"/>
  <c r="X7" i="10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14" i="7" l="1"/>
  <c r="H55" i="4"/>
  <c r="L56" i="4"/>
  <c r="M54" i="4"/>
  <c r="B13" i="7" s="1"/>
  <c r="K54" i="4"/>
  <c r="N54" i="4" s="1"/>
  <c r="C13" i="7" s="1"/>
  <c r="O54" i="4"/>
  <c r="D13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K57" i="4" l="1"/>
  <c r="N57" i="4" s="1"/>
  <c r="C16" i="7" s="1"/>
  <c r="O57" i="4"/>
  <c r="D16" i="7" s="1"/>
  <c r="M57" i="4"/>
  <c r="B16" i="7" s="1"/>
  <c r="H58" i="4"/>
  <c r="L59" i="4"/>
  <c r="A17" i="7"/>
  <c r="O29" i="5"/>
  <c r="N28" i="5"/>
  <c r="P27" i="5"/>
  <c r="R27" i="5"/>
  <c r="Q27" i="5"/>
  <c r="K58" i="4" l="1"/>
  <c r="N58" i="4" s="1"/>
  <c r="C17" i="7" s="1"/>
  <c r="O58" i="4"/>
  <c r="D17" i="7" s="1"/>
  <c r="M58" i="4"/>
  <c r="B17" i="7" s="1"/>
  <c r="H59" i="4"/>
  <c r="L60" i="4"/>
  <c r="A18" i="7"/>
  <c r="Q28" i="5"/>
  <c r="P28" i="5"/>
  <c r="R28" i="5"/>
  <c r="O30" i="5"/>
  <c r="N29" i="5"/>
  <c r="O59" i="4" l="1"/>
  <c r="D18" i="7" s="1"/>
  <c r="K59" i="4"/>
  <c r="N59" i="4" s="1"/>
  <c r="C18" i="7" s="1"/>
  <c r="M59" i="4"/>
  <c r="B18" i="7" s="1"/>
  <c r="H60" i="4"/>
  <c r="L61" i="4"/>
  <c r="A19" i="7"/>
  <c r="P29" i="5"/>
  <c r="R29" i="5"/>
  <c r="Q29" i="5"/>
  <c r="O31" i="5"/>
  <c r="N30" i="5"/>
  <c r="O60" i="4" l="1"/>
  <c r="D19" i="7" s="1"/>
  <c r="M60" i="4"/>
  <c r="B19" i="7" s="1"/>
  <c r="K60" i="4"/>
  <c r="N60" i="4" s="1"/>
  <c r="C19" i="7" s="1"/>
  <c r="A20" i="7"/>
  <c r="H61" i="4"/>
  <c r="L62" i="4"/>
  <c r="O32" i="5"/>
  <c r="N31" i="5"/>
  <c r="Q30" i="5"/>
  <c r="P30" i="5"/>
  <c r="R30" i="5"/>
  <c r="H62" i="4" l="1"/>
  <c r="L63" i="4"/>
  <c r="A21" i="7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H63" i="4" l="1"/>
  <c r="L64" i="4"/>
  <c r="A22" i="7"/>
  <c r="K62" i="4"/>
  <c r="N62" i="4" s="1"/>
  <c r="C21" i="7" s="1"/>
  <c r="O62" i="4"/>
  <c r="D21" i="7" s="1"/>
  <c r="M62" i="4"/>
  <c r="B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K64" i="4"/>
  <c r="N64" i="4" s="1"/>
  <c r="C23" i="7" s="1"/>
  <c r="M64" i="4"/>
  <c r="B23" i="7" s="1"/>
  <c r="O36" i="5"/>
  <c r="N35" i="5"/>
  <c r="Q34" i="5"/>
  <c r="P34" i="5"/>
  <c r="R34" i="5"/>
  <c r="H66" i="4" l="1"/>
  <c r="A25" i="7"/>
  <c r="L67" i="4"/>
  <c r="K65" i="4"/>
  <c r="N65" i="4" s="1"/>
  <c r="C24" i="7" s="1"/>
  <c r="M65" i="4"/>
  <c r="B24" i="7" s="1"/>
  <c r="O65" i="4"/>
  <c r="D24" i="7" s="1"/>
  <c r="O37" i="5"/>
  <c r="N36" i="5"/>
  <c r="P35" i="5"/>
  <c r="R35" i="5"/>
  <c r="Q35" i="5"/>
  <c r="H67" i="4" l="1"/>
  <c r="L68" i="4"/>
  <c r="A26" i="7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L69" i="4"/>
  <c r="A27" i="7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H69" i="4" l="1"/>
  <c r="A28" i="7"/>
  <c r="L70" i="4"/>
  <c r="O68" i="4"/>
  <c r="D27" i="7" s="1"/>
  <c r="M68" i="4"/>
  <c r="B27" i="7" s="1"/>
  <c r="K68" i="4"/>
  <c r="N68" i="4" s="1"/>
  <c r="C27" i="7" s="1"/>
  <c r="O40" i="5"/>
  <c r="N39" i="5"/>
  <c r="Q38" i="5"/>
  <c r="P38" i="5"/>
  <c r="R38" i="5"/>
  <c r="H70" i="4" l="1"/>
  <c r="L71" i="4"/>
  <c r="A29" i="7"/>
  <c r="M69" i="4"/>
  <c r="B28" i="7" s="1"/>
  <c r="K69" i="4"/>
  <c r="N69" i="4" s="1"/>
  <c r="C28" i="7" s="1"/>
  <c r="O69" i="4"/>
  <c r="D28" i="7" s="1"/>
  <c r="P39" i="5"/>
  <c r="R39" i="5"/>
  <c r="Q39" i="5"/>
  <c r="O41" i="5"/>
  <c r="N40" i="5"/>
  <c r="H71" i="4" l="1"/>
  <c r="A30" i="7"/>
  <c r="L72" i="4"/>
  <c r="K70" i="4"/>
  <c r="N70" i="4" s="1"/>
  <c r="C29" i="7" s="1"/>
  <c r="O70" i="4"/>
  <c r="D29" i="7" s="1"/>
  <c r="M70" i="4"/>
  <c r="B29" i="7" s="1"/>
  <c r="Q40" i="5"/>
  <c r="P40" i="5"/>
  <c r="R40" i="5"/>
  <c r="O42" i="5"/>
  <c r="N41" i="5"/>
  <c r="H72" i="4" l="1"/>
  <c r="L73" i="4"/>
  <c r="A31" i="7"/>
  <c r="K71" i="4"/>
  <c r="N71" i="4" s="1"/>
  <c r="C30" i="7" s="1"/>
  <c r="M71" i="4"/>
  <c r="B30" i="7" s="1"/>
  <c r="O71" i="4"/>
  <c r="D30" i="7" s="1"/>
  <c r="P41" i="5"/>
  <c r="R41" i="5"/>
  <c r="Q41" i="5"/>
  <c r="O43" i="5"/>
  <c r="N42" i="5"/>
  <c r="H73" i="4" l="1"/>
  <c r="L74" i="4"/>
  <c r="A32" i="7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A33" i="7"/>
  <c r="L75" i="4"/>
  <c r="M73" i="4"/>
  <c r="B32" i="7" s="1"/>
  <c r="K73" i="4"/>
  <c r="N73" i="4" s="1"/>
  <c r="C32" i="7" s="1"/>
  <c r="O73" i="4"/>
  <c r="D32" i="7" s="1"/>
  <c r="P43" i="5"/>
  <c r="R43" i="5"/>
  <c r="Q43" i="5"/>
  <c r="O45" i="5"/>
  <c r="N44" i="5"/>
  <c r="H75" i="4" l="1"/>
  <c r="L76" i="4"/>
  <c r="A34" i="7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K75" i="4"/>
  <c r="N75" i="4" s="1"/>
  <c r="C34" i="7" s="1"/>
  <c r="O75" i="4"/>
  <c r="D34" i="7" s="1"/>
  <c r="M75" i="4"/>
  <c r="B34" i="7" s="1"/>
  <c r="P45" i="5"/>
  <c r="R45" i="5"/>
  <c r="Q45" i="5"/>
  <c r="Q46" i="5"/>
  <c r="P46" i="5"/>
  <c r="R46" i="5"/>
  <c r="L78" i="4" l="1"/>
  <c r="A36" i="7"/>
  <c r="H77" i="4"/>
  <c r="M76" i="4"/>
  <c r="B35" i="7" s="1"/>
  <c r="O76" i="4"/>
  <c r="D35" i="7" s="1"/>
  <c r="K76" i="4"/>
  <c r="N76" i="4" s="1"/>
  <c r="C35" i="7" s="1"/>
  <c r="K77" i="4" l="1"/>
  <c r="N77" i="4" s="1"/>
  <c r="C36" i="7" s="1"/>
  <c r="M77" i="4"/>
  <c r="B36" i="7" s="1"/>
  <c r="O77" i="4"/>
  <c r="D36" i="7" s="1"/>
  <c r="H78" i="4"/>
  <c r="L79" i="4"/>
  <c r="A37" i="7"/>
  <c r="K78" i="4" l="1"/>
  <c r="N78" i="4" s="1"/>
  <c r="C37" i="7" s="1"/>
  <c r="O78" i="4"/>
  <c r="D37" i="7" s="1"/>
  <c r="M78" i="4"/>
  <c r="B37" i="7" s="1"/>
  <c r="H79" i="4"/>
  <c r="A38" i="7"/>
  <c r="L80" i="4"/>
  <c r="O79" i="4" l="1"/>
  <c r="D38" i="7" s="1"/>
  <c r="K79" i="4"/>
  <c r="N79" i="4" s="1"/>
  <c r="C38" i="7" s="1"/>
  <c r="M79" i="4"/>
  <c r="B38" i="7" s="1"/>
  <c r="H80" i="4"/>
  <c r="L81" i="4"/>
  <c r="A39" i="7"/>
  <c r="O80" i="4" l="1"/>
  <c r="D39" i="7" s="1"/>
  <c r="M80" i="4"/>
  <c r="B39" i="7" s="1"/>
  <c r="K80" i="4"/>
  <c r="N80" i="4" s="1"/>
  <c r="C39" i="7" s="1"/>
  <c r="H81" i="4"/>
  <c r="L82" i="4"/>
  <c r="A40" i="7"/>
  <c r="M81" i="4" l="1"/>
  <c r="B40" i="7" s="1"/>
  <c r="K81" i="4"/>
  <c r="N81" i="4" s="1"/>
  <c r="C40" i="7" s="1"/>
  <c r="O81" i="4"/>
  <c r="D40" i="7" s="1"/>
  <c r="H82" i="4"/>
  <c r="L83" i="4"/>
  <c r="O82" i="4" l="1"/>
  <c r="M82" i="4"/>
  <c r="K82" i="4"/>
  <c r="N82" i="4" s="1"/>
  <c r="H83" i="4"/>
  <c r="L84" i="4"/>
  <c r="M83" i="4" l="1"/>
  <c r="K83" i="4"/>
  <c r="N83" i="4" s="1"/>
  <c r="O83" i="4"/>
  <c r="H84" i="4"/>
  <c r="L85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<sst xmlns="http://schemas.openxmlformats.org/spreadsheetml/2006/main" count="1006" uniqueCount="660">
  <si>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</si>
  <si>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</si>
  <si>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</si>
  <si>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</si>
  <si>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</si>
  <si>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</si>
  <si>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</si>
  <si>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</si>
  <si>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</si>
  <si>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</si>
  <si>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</si>
  <si>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</si>
  <si>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</si>
  <si>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</si>
  <si>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</si>
  <si>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</si>
  <si>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</si>
  <si>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</si>
  <si>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</si>
  <si>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</si>
  <si>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</si>
  <si>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</si>
  <si>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</si>
  <si>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</si>
  <si>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</si>
  <si>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</si>
  <si>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</si>
  <si>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</si>
  <si>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</si>
  <si>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</si>
  <si>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</si>
  <si>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</si>
  <si>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</si>
  <si>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</si>
  <si>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</si>
  <si>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</si>
  <si>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</si>
  <si>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</si>
  <si>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</si>
  <si>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</si>
  <si>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</si>
  <si>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</si>
  <si>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</si>
  <si>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</si>
  <si>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</si>
  <si>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</si>
  <si>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</si>
  <si>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</si>
  <si>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</si>
  <si>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</si>
  <si>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</si>
  <si>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</si>
  <si>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</si>
  <si>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</si>
  <si>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</si>
  <si>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</si>
  <si>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</si>
  <si>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</si>
  <si>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</si>
  <si>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</si>
  <si>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</si>
  <si>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</si>
  <si>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</si>
  <si>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</si>
  <si>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</si>
  <si>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</si>
  <si>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</si>
  <si>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</si>
  <si>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</si>
  <si>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</si>
  <si>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</si>
  <si>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</si>
  <si>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</si>
  <si>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</si>
  <si>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</si>
  <si>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</si>
  <si>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</si>
  <si>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</si>
  <si>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</si>
  <si>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</si>
  <si>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</si>
  <si>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</si>
  <si>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</si>
  <si>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</si>
  <si>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</si>
  <si>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</si>
  <si>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</si>
  <si>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</si>
  <si>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</si>
  <si>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</si>
  <si>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</si>
  <si>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</si>
  <si>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</si>
  <si>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</si>
  <si>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</si>
  <si>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</si>
  <si>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</si>
  <si>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</si>
  <si>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</si>
  <si>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</si>
  <si>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</si>
  <si>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</si>
  <si>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</si>
  <si>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</si>
  <si>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</si>
  <si>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</si>
  <si>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</si>
  <si>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</si>
  <si>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</si>
  <si>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</si>
  <si>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</si>
  <si>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</si>
  <si>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</si>
  <si>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</si>
  <si>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</si>
  <si>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</si>
  <si>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</si>
  <si>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</si>
  <si>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</si>
  <si>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</si>
  <si>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</si>
  <si>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</si>
  <si>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</si>
  <si>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</si>
  <si>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</si>
  <si>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</si>
  <si>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</si>
  <si>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</si>
  <si>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</si>
  <si>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</si>
  <si>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</si>
  <si>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</si>
  <si>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</si>
  <si>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</si>
  <si>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</si>
  <si>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</si>
  <si>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</si>
  <si>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</si>
  <si>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</si>
  <si>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</si>
  <si>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</si>
  <si>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</si>
  <si>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</si>
  <si>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</si>
  <si>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Sharpe D</t>
  </si>
  <si>
    <t>Woodhouse M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</si>
  <si>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</si>
  <si>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</si>
  <si>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</si>
  <si>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</si>
  <si>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</si>
  <si>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</si>
  <si>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</si>
  <si>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</si>
  <si>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</si>
  <si>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</si>
  <si>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</si>
  <si>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</si>
  <si>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</si>
  <si>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</si>
  <si>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</si>
  <si>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</si>
  <si>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</si>
  <si>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</si>
  <si>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</si>
  <si>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</si>
  <si>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</si>
  <si>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</si>
  <si>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</si>
  <si>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</si>
  <si>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</si>
  <si>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</si>
  <si>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</si>
  <si>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</si>
  <si>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</si>
  <si>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</si>
  <si>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</si>
  <si>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</si>
  <si>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</si>
  <si>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</si>
  <si>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</si>
  <si>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</si>
  <si>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</si>
  <si>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</si>
  <si>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</si>
  <si>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</si>
  <si>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</si>
  <si>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</si>
  <si>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</si>
  <si>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</si>
  <si>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</si>
  <si>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</si>
  <si>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</si>
  <si>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</si>
  <si>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</si>
  <si>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</si>
  <si>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</si>
  <si>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</si>
  <si>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</si>
  <si>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</si>
  <si>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</si>
  <si>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</si>
  <si>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</si>
  <si>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</si>
  <si>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</si>
  <si>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</si>
  <si>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</si>
  <si>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</si>
  <si>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</si>
  <si>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</si>
  <si>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</si>
  <si>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</si>
  <si>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</si>
  <si>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</si>
  <si>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</si>
  <si>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</si>
  <si>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</si>
  <si>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</si>
  <si>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</si>
  <si>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</si>
  <si>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</si>
  <si>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</si>
  <si>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</si>
  <si>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</si>
  <si>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</si>
  <si>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</si>
  <si>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</si>
  <si>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</si>
  <si>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</si>
  <si>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</si>
  <si>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</si>
  <si>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</si>
  <si>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</si>
  <si>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</si>
  <si>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</si>
  <si>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Chaitanya</t>
  </si>
  <si>
    <t>Sunkara C</t>
  </si>
  <si>
    <t>Mander A</t>
  </si>
  <si>
    <t>7/0/dnb/0/0</t>
  </si>
  <si>
    <t>Norwood Exiles</t>
  </si>
  <si>
    <t>11/0/dnb/0/0</t>
  </si>
  <si>
    <t>Vijay</t>
  </si>
  <si>
    <t>Vashisthta</t>
  </si>
  <si>
    <t>Vashisthta V</t>
  </si>
  <si>
    <t>A</t>
  </si>
  <si>
    <t>10/0/dnb/0/0</t>
  </si>
  <si>
    <t>5/0/c/0/0</t>
  </si>
  <si>
    <t>Steeple Langford</t>
  </si>
  <si>
    <t>8/0/dnb/0/0</t>
  </si>
  <si>
    <t>Woodgreen</t>
  </si>
  <si>
    <t>Edghill D</t>
  </si>
  <si>
    <t>Daniel</t>
  </si>
  <si>
    <t>Edghill R</t>
  </si>
  <si>
    <t>Robert</t>
  </si>
  <si>
    <t>FiveFors</t>
  </si>
  <si>
    <t>Tony</t>
  </si>
  <si>
    <t>Springer T</t>
  </si>
  <si>
    <t>Azfar S</t>
  </si>
  <si>
    <t>*</t>
  </si>
  <si>
    <t>James</t>
  </si>
  <si>
    <t>Syed</t>
  </si>
  <si>
    <t>Ottey A</t>
  </si>
  <si>
    <t>Winter T</t>
  </si>
  <si>
    <t>Churchleigh</t>
  </si>
  <si>
    <t>Pascoe T</t>
  </si>
  <si>
    <t>4/0/18/1</t>
  </si>
  <si>
    <t>Pascoe N</t>
  </si>
  <si>
    <t>Nick</t>
  </si>
  <si>
    <t>Dave</t>
  </si>
  <si>
    <t>Brocks D</t>
  </si>
  <si>
    <t>11/0/dnb/1/0</t>
  </si>
  <si>
    <t>Stevenson R</t>
  </si>
  <si>
    <t>Pascoe M</t>
  </si>
  <si>
    <t>Driver S</t>
  </si>
  <si>
    <t>6/1/b/0/0</t>
  </si>
  <si>
    <t>Sam</t>
  </si>
  <si>
    <t>8/0/dnb*/1/0</t>
  </si>
  <si>
    <t>2014 Season</t>
  </si>
  <si>
    <t>Deando-Ruxley</t>
  </si>
  <si>
    <t>Woolston 60, Brocks 3-18</t>
  </si>
  <si>
    <t>Sharpe 50</t>
  </si>
  <si>
    <t>2/3/b/0/0</t>
  </si>
  <si>
    <t>3/5/lm/0/0</t>
  </si>
  <si>
    <t>4/24/c/0/1.0</t>
  </si>
  <si>
    <t>5/0/st/0/0</t>
  </si>
  <si>
    <t>Anuj</t>
  </si>
  <si>
    <t>6/1/st/0/0</t>
  </si>
  <si>
    <t>7/3/lb/1/0</t>
  </si>
  <si>
    <t>8/17/c/0/1.1</t>
  </si>
  <si>
    <t>9/0/c*/0/0</t>
  </si>
  <si>
    <t>10/6/no/0/0</t>
  </si>
  <si>
    <t>11/4/ro/0/1.0</t>
  </si>
  <si>
    <t>7/1/18/0</t>
  </si>
  <si>
    <t>7/0/15/0</t>
  </si>
  <si>
    <t>5/0/22/0</t>
  </si>
  <si>
    <t>5/0/29/1</t>
  </si>
  <si>
    <t>8/0/18/3</t>
  </si>
  <si>
    <t>6/1/15/1</t>
  </si>
  <si>
    <t>2/0/11/0</t>
  </si>
  <si>
    <t>Edghill D 51*, Nash S 3-10</t>
  </si>
  <si>
    <t>Edgill D 3-26</t>
  </si>
  <si>
    <t>1/14/c/0/1.0</t>
  </si>
  <si>
    <t>2/22/c+/1.0/3.0</t>
  </si>
  <si>
    <t>3/8/b/1/0</t>
  </si>
  <si>
    <t>4/30/b/0/1.0</t>
  </si>
  <si>
    <t>5/51/no/1/3.0</t>
  </si>
  <si>
    <t>6/1/b/2/0</t>
  </si>
  <si>
    <t>7/9/c*/0/2.0</t>
  </si>
  <si>
    <t>8/5/b/0/1.0</t>
  </si>
  <si>
    <t>9/0/no/0/0</t>
  </si>
  <si>
    <t>5/1/21/0</t>
  </si>
  <si>
    <t>8/3/25/1</t>
  </si>
  <si>
    <t>2/0/10/0</t>
  </si>
  <si>
    <t>4/0/15/1</t>
  </si>
  <si>
    <t>6/1/26/3</t>
  </si>
  <si>
    <t>6/1/20/1</t>
  </si>
  <si>
    <t>3/0/7/1</t>
  </si>
  <si>
    <t>Mander A 3-31, Seymour 3-37</t>
  </si>
  <si>
    <t>Springer 55*</t>
  </si>
  <si>
    <t>1/2/b+/1.0/0</t>
  </si>
  <si>
    <t>2/4/lb/0/0</t>
  </si>
  <si>
    <t>3/55/no/1/8.0</t>
  </si>
  <si>
    <t>4/38/c/0/7.0</t>
  </si>
  <si>
    <t>5/25/st/0/3.1</t>
  </si>
  <si>
    <t>6/0/no/0/0</t>
  </si>
  <si>
    <t>8/1/31/3</t>
  </si>
  <si>
    <t>8/0/37/3</t>
  </si>
  <si>
    <t>3/0/21/2</t>
  </si>
  <si>
    <t>3/0/20/0</t>
  </si>
  <si>
    <t>3/0/12/1</t>
  </si>
  <si>
    <t>2.4/0/9/1</t>
  </si>
  <si>
    <t>Deando</t>
  </si>
  <si>
    <t>Springer T 116, Naish J 4-27</t>
  </si>
  <si>
    <t>Bishop 101, Harding 50</t>
  </si>
  <si>
    <t>2/33/lb/0/4.1</t>
  </si>
  <si>
    <t>3/10/c/0/2.0</t>
  </si>
  <si>
    <t>4/5/lb*/0/1.0</t>
  </si>
  <si>
    <t>5/11/lb/0/2.0</t>
  </si>
  <si>
    <t>6/2/lb+/0/0</t>
  </si>
  <si>
    <t>Matthew</t>
  </si>
  <si>
    <t>Snow M</t>
  </si>
  <si>
    <t>Snow D</t>
  </si>
  <si>
    <t>7/0/b/0/0</t>
  </si>
  <si>
    <t>8/4/b/0/0</t>
  </si>
  <si>
    <t>9/1/lb/0/0</t>
  </si>
  <si>
    <t>10/1/no/0/0</t>
  </si>
  <si>
    <t>11/0/b/1/0</t>
  </si>
  <si>
    <t>7/0/41/0</t>
  </si>
  <si>
    <t>4/1/22/0</t>
  </si>
  <si>
    <t>7/0/22/0</t>
  </si>
  <si>
    <t>3/1/24/0</t>
  </si>
  <si>
    <t>6/1/48/0</t>
  </si>
  <si>
    <t>4/0/25/1</t>
  </si>
  <si>
    <t>1.2/0/19/1</t>
  </si>
  <si>
    <t>1/0/5/0</t>
  </si>
  <si>
    <t>1/116/ret/0/11.4</t>
  </si>
  <si>
    <t>ND</t>
  </si>
  <si>
    <t>Sharpe 54</t>
  </si>
  <si>
    <t>O'Mahoney 83</t>
  </si>
  <si>
    <t>2/14/c/1/1.0</t>
  </si>
  <si>
    <t>3/16/c/0/2.0</t>
  </si>
  <si>
    <t>4/31/lb*/0/4.2</t>
  </si>
  <si>
    <t>Ahmed B</t>
  </si>
  <si>
    <t>Belal</t>
  </si>
  <si>
    <t>6/1/c/0/0</t>
  </si>
  <si>
    <t>Varun</t>
  </si>
  <si>
    <t>8/7/ro/0/1.0</t>
  </si>
  <si>
    <t>1/54/c/0/4.3</t>
  </si>
  <si>
    <t>7/30/no+/0/3.1</t>
  </si>
  <si>
    <t>8/0/33/4</t>
  </si>
  <si>
    <t>8/2/18/0</t>
  </si>
  <si>
    <t>7/1/44/2</t>
  </si>
  <si>
    <t>4.3/0/20/0</t>
  </si>
  <si>
    <t>5/0/18/1</t>
  </si>
  <si>
    <t>4/0/31/0</t>
  </si>
  <si>
    <t>Putney</t>
  </si>
  <si>
    <t>Wilson 74, Springer 3-30, Sunkara 3-40</t>
  </si>
  <si>
    <t>Middleton 52, Worthington 42*</t>
  </si>
  <si>
    <t>1/0/b/0/0</t>
  </si>
  <si>
    <t>2/13/b/0/0</t>
  </si>
  <si>
    <t>3/52/b*/0/10.0</t>
  </si>
  <si>
    <t>4/7/lb/0/0</t>
  </si>
  <si>
    <t>Rick</t>
  </si>
  <si>
    <t>Worthington</t>
  </si>
  <si>
    <t>5/42/no/0/3.0</t>
  </si>
  <si>
    <t>Tiyagi V</t>
  </si>
  <si>
    <t>Morjada A</t>
  </si>
  <si>
    <t>7/30/no/1/1.0</t>
  </si>
  <si>
    <t>9/0/dnb/1/0</t>
  </si>
  <si>
    <t>8/1/30/3</t>
  </si>
  <si>
    <t>4/0/19/0</t>
  </si>
  <si>
    <t>7/1/40/3</t>
  </si>
  <si>
    <t>8/1/33/0</t>
  </si>
  <si>
    <t>8/1/28/2</t>
  </si>
  <si>
    <t>Worthington R</t>
  </si>
  <si>
    <t>LESSA</t>
  </si>
  <si>
    <t>Feroz 48, Sharpe 2-24</t>
  </si>
  <si>
    <t>Feroz 4-12</t>
  </si>
  <si>
    <t>1/26/b/0/3.0</t>
  </si>
  <si>
    <t>2/6/b/0/0</t>
  </si>
  <si>
    <t>Cummins J</t>
  </si>
  <si>
    <t>4/1/c+/0.1/0</t>
  </si>
  <si>
    <t xml:space="preserve">O'Rourke </t>
  </si>
  <si>
    <t>5/14/c/1/3.0</t>
  </si>
  <si>
    <t>6/5/b/0/1.0</t>
  </si>
  <si>
    <t>Crawford S</t>
  </si>
  <si>
    <t>8/1/c/0/0</t>
  </si>
  <si>
    <t>9/27/b*/0/4.0</t>
  </si>
  <si>
    <t>10/0/b/0/0</t>
  </si>
  <si>
    <t>11/4/no/0/1.0</t>
  </si>
  <si>
    <t>7/1/24/2</t>
  </si>
  <si>
    <t>7/0/38/0</t>
  </si>
  <si>
    <t>7/0/33/2</t>
  </si>
  <si>
    <t>O'Rourke P</t>
  </si>
  <si>
    <t>7/0/27/1</t>
  </si>
  <si>
    <t>4/1/13/0</t>
  </si>
  <si>
    <t>3/0/19/1</t>
  </si>
  <si>
    <t>Merstham</t>
  </si>
  <si>
    <t>Sharpe 64, Seymour 59</t>
  </si>
  <si>
    <t>Locke 60*</t>
  </si>
  <si>
    <t>1/64/ro/1/9.2</t>
  </si>
  <si>
    <t>2/32/st/0/5.1</t>
  </si>
  <si>
    <t>3/59/c/0/6.0</t>
  </si>
  <si>
    <t>4/11/b/0/2.0</t>
  </si>
  <si>
    <t>5/2/ro/0/0</t>
  </si>
  <si>
    <t>6/0/c+/1.0/0</t>
  </si>
  <si>
    <t>7/3/no/0/0</t>
  </si>
  <si>
    <t>8/0/c/0/0</t>
  </si>
  <si>
    <t>9/6/b*/0/1.0</t>
  </si>
  <si>
    <t>10/4/no/0/1.0</t>
  </si>
  <si>
    <t>8/0/27/1</t>
  </si>
  <si>
    <t>8/0/45/0</t>
  </si>
  <si>
    <t>8/0/36/1</t>
  </si>
  <si>
    <t>8/0/28/0</t>
  </si>
  <si>
    <t>5.1/0/23/2</t>
  </si>
  <si>
    <t>2/0/18/0</t>
  </si>
  <si>
    <t>RACS</t>
  </si>
  <si>
    <t>Seymour 36*</t>
  </si>
  <si>
    <t>1/8/lb/0/0</t>
  </si>
  <si>
    <t>2/18/c*/0/4.0</t>
  </si>
  <si>
    <t>3/36/no/0/3.0</t>
  </si>
  <si>
    <t>4/0/c/0/0</t>
  </si>
  <si>
    <t>5/10/b+/0/1.0</t>
  </si>
  <si>
    <t>Goodacre C</t>
  </si>
  <si>
    <t>6/20/b/0/3.0</t>
  </si>
  <si>
    <t>8/0/no/0/0</t>
  </si>
  <si>
    <t>Faherty E</t>
  </si>
  <si>
    <t>Southbank</t>
  </si>
  <si>
    <t>Keaton 95</t>
  </si>
  <si>
    <t>2/29/lb*/1/5.0</t>
  </si>
  <si>
    <t>3/60/b/1/10.1</t>
  </si>
  <si>
    <t>Springer 60, Driver 53</t>
  </si>
  <si>
    <t>4/53/c/0/7.0</t>
  </si>
  <si>
    <t>5/10/no/0/0</t>
  </si>
  <si>
    <t>6/1/ro+/0.1/0</t>
  </si>
  <si>
    <t>7/0/c/0/0</t>
  </si>
  <si>
    <t>8/21/no/0/3.1</t>
  </si>
  <si>
    <t>8/0/46/0</t>
  </si>
  <si>
    <t>8/1/38/2</t>
  </si>
  <si>
    <t>8/0/44/2</t>
  </si>
  <si>
    <t>8/0/32/0</t>
  </si>
  <si>
    <t>6/0/43/1</t>
  </si>
  <si>
    <t>1/0/10/1</t>
  </si>
  <si>
    <t>1/0/7/0</t>
  </si>
  <si>
    <t>S Railway/Kenley</t>
  </si>
  <si>
    <t>Springer 61</t>
  </si>
  <si>
    <t>Springer 4-17</t>
  </si>
  <si>
    <t>1/37/lb/1/7.1</t>
  </si>
  <si>
    <t>2/61/c+/0/14.0</t>
  </si>
  <si>
    <t>3/6/b/0/1.0</t>
  </si>
  <si>
    <t>Castle I</t>
  </si>
  <si>
    <t>4/9/b/0/2.0</t>
  </si>
  <si>
    <t>Barber J</t>
  </si>
  <si>
    <t>Sturrock C</t>
  </si>
  <si>
    <t>6/20/no/1/2.1</t>
  </si>
  <si>
    <t>5/33/b/1/3.0</t>
  </si>
  <si>
    <t>7/9/no/0/2.0</t>
  </si>
  <si>
    <t>8/0/dnb/0/01</t>
  </si>
  <si>
    <t>9/0/dnb*/0/0</t>
  </si>
  <si>
    <t>S Rlwy/Kenley</t>
  </si>
  <si>
    <t>8/3/17/4</t>
  </si>
  <si>
    <t>8/0/40/0</t>
  </si>
  <si>
    <t>4/0/29/0</t>
  </si>
  <si>
    <t>7/0/44/2</t>
  </si>
  <si>
    <t>3/0/15/0</t>
  </si>
  <si>
    <t>4/0/15/2</t>
  </si>
  <si>
    <t>4/0/18/2</t>
  </si>
  <si>
    <t>D</t>
  </si>
  <si>
    <t>Hall 93*</t>
  </si>
  <si>
    <t>1/9/c/0/2.0</t>
  </si>
  <si>
    <t>2/0/c*/0/0</t>
  </si>
  <si>
    <t>3/14/no/0/0</t>
  </si>
  <si>
    <t>4/2/no/0/0</t>
  </si>
  <si>
    <t>5/0/dnb/0/0</t>
  </si>
  <si>
    <t>6/0/dnb+/0/0</t>
  </si>
  <si>
    <t>8/5/15/0</t>
  </si>
  <si>
    <t>8/2/26/2</t>
  </si>
  <si>
    <t>6/0/29/1</t>
  </si>
  <si>
    <t>4/0/10/0</t>
  </si>
  <si>
    <t>4/1/19/2</t>
  </si>
  <si>
    <t>2/0/14/0</t>
  </si>
  <si>
    <t>2/0/20/0</t>
  </si>
  <si>
    <t>4/0/26/0</t>
  </si>
  <si>
    <t>2/0/9/0</t>
  </si>
  <si>
    <t>Wilson 105*, Steel 58</t>
  </si>
  <si>
    <t>Ali 64</t>
  </si>
  <si>
    <t>1/40/c/1/8.0</t>
  </si>
  <si>
    <t>2/12/lb*/0/1.1</t>
  </si>
  <si>
    <t>3/4/b/0/0</t>
  </si>
  <si>
    <t>Ali</t>
  </si>
  <si>
    <t>Mati</t>
  </si>
  <si>
    <t>4/64/c/0/8.0</t>
  </si>
  <si>
    <t>Louis</t>
  </si>
  <si>
    <t>Wilson L</t>
  </si>
  <si>
    <t>5/2/b/0/0</t>
  </si>
  <si>
    <t>Aaron</t>
  </si>
  <si>
    <t>Dalrymple A</t>
  </si>
  <si>
    <t>6/8/b/0/1.0</t>
  </si>
  <si>
    <t>7/2/c/0/0</t>
  </si>
  <si>
    <t>8/14/b/0/1.0</t>
  </si>
  <si>
    <t>9/13/no+/1.0/2.0</t>
  </si>
  <si>
    <t>10/16/no/0/2.0</t>
  </si>
  <si>
    <t>8/3/13/0</t>
  </si>
  <si>
    <t>8/2/33/2</t>
  </si>
  <si>
    <t>Mati A</t>
  </si>
  <si>
    <t>5/1/29/0</t>
  </si>
  <si>
    <t>8/0/57/0</t>
  </si>
  <si>
    <t>5/0/37/0</t>
  </si>
  <si>
    <t>4/0/31/1</t>
  </si>
  <si>
    <t>Sanderstead</t>
  </si>
  <si>
    <t>Seymour 57*</t>
  </si>
  <si>
    <t>Lemon 64*, Elleray 54*</t>
  </si>
  <si>
    <t>1/9/b*/0/1.0</t>
  </si>
  <si>
    <t>2/57/no/0/7.0</t>
  </si>
  <si>
    <t>3/0/b/0/0</t>
  </si>
  <si>
    <t>5/0/b/0/0</t>
  </si>
  <si>
    <t>Threlfall R</t>
  </si>
  <si>
    <t>6/0/b/0/0</t>
  </si>
  <si>
    <t>7/1/lb/0/0</t>
  </si>
  <si>
    <t>8/10/c/0/2.0</t>
  </si>
  <si>
    <t>9/12/b/0/1.0</t>
  </si>
  <si>
    <t>10/7/b/0/0</t>
  </si>
  <si>
    <t>Roy</t>
  </si>
  <si>
    <t>11/4/no/0/0</t>
  </si>
  <si>
    <t>5/3/9/2</t>
  </si>
  <si>
    <t>5/1/13/0</t>
  </si>
  <si>
    <t>3/0/17/0</t>
  </si>
  <si>
    <t>4/1/12/0</t>
  </si>
  <si>
    <t>4/0/16/0</t>
  </si>
  <si>
    <t>3/0/31/0</t>
  </si>
  <si>
    <t>Pearce R</t>
  </si>
  <si>
    <t>2/1/4/0</t>
  </si>
  <si>
    <t>2.2/0/8/0</t>
  </si>
  <si>
    <t>2/0/4/0</t>
  </si>
  <si>
    <t>2/0/19/0</t>
  </si>
  <si>
    <t>Norwood</t>
  </si>
  <si>
    <t>Saeed 107, Waqas 71</t>
  </si>
  <si>
    <t>1/37/b/2/6.0</t>
  </si>
  <si>
    <t>2/26/b/3/6.0</t>
  </si>
  <si>
    <t>3/35/b*/0/3.3</t>
  </si>
  <si>
    <t>4/11/c/0/1.0</t>
  </si>
  <si>
    <t>5/0/ro/0/0</t>
  </si>
  <si>
    <t>Giles M</t>
  </si>
  <si>
    <t>7/1/c+/0.1/0</t>
  </si>
  <si>
    <t>8/29/no/0/5.0</t>
  </si>
  <si>
    <t>9/1/b/0/0</t>
  </si>
  <si>
    <t>10/0/c/0/0</t>
  </si>
  <si>
    <t>11/6/b/0/0</t>
  </si>
  <si>
    <t>8/0/50/2</t>
  </si>
  <si>
    <t>8/0/57/1</t>
  </si>
  <si>
    <t>4/0/27/0</t>
  </si>
  <si>
    <t>8/0/65/1</t>
  </si>
  <si>
    <t>8/0/55/2</t>
  </si>
  <si>
    <t>Living Word</t>
  </si>
  <si>
    <t>Sharpe 80, Clarkson 56</t>
  </si>
  <si>
    <t>1/17/c/0/3.0</t>
  </si>
  <si>
    <t>2/80/b/0/9.2</t>
  </si>
  <si>
    <t>3/9/c/0/0</t>
  </si>
  <si>
    <t>5/28/ro/0/4.0</t>
  </si>
  <si>
    <t>6/13/no/0/2.0</t>
  </si>
  <si>
    <t>8/10/no*/0/2.0</t>
  </si>
  <si>
    <t>7/2/39/1</t>
  </si>
  <si>
    <t>7/1/40/0</t>
  </si>
  <si>
    <t>7/0/50/2</t>
  </si>
  <si>
    <t>7/0/36/1</t>
  </si>
  <si>
    <t>4/0/32/2</t>
  </si>
  <si>
    <t>Vashishtha V</t>
  </si>
  <si>
    <t>Mati 1-0-64-64</t>
  </si>
  <si>
    <t>Worthington 2-1-42*-53</t>
  </si>
  <si>
    <t>Pascoe N 3-2-29*-35</t>
  </si>
  <si>
    <t>Barber J 1-0-33-33</t>
  </si>
  <si>
    <t>Driver S 2-0-53-53</t>
  </si>
  <si>
    <t>Stevenson R 1-0-25-25</t>
  </si>
  <si>
    <t>Goodacre C 1-0-20-20</t>
  </si>
  <si>
    <t>O'Rourke  1-0-14-14</t>
  </si>
  <si>
    <t>Azfar S 1-0-11-11</t>
  </si>
  <si>
    <t>Castle I 1-0-9-9</t>
  </si>
  <si>
    <t>Dalrymple A 1-0-8-8</t>
  </si>
  <si>
    <t>Woodhouse M 3-0-14-22</t>
  </si>
  <si>
    <t>Pascoe M 1-0-5-5</t>
  </si>
  <si>
    <t>Morjada A 2-1-3*-4</t>
  </si>
  <si>
    <t>Ottey A 4-1-3-7</t>
  </si>
  <si>
    <t>Wilson L 1-0-2-2</t>
  </si>
  <si>
    <t>Edghill R 2-0-2-3</t>
  </si>
  <si>
    <t>Snow D 1-0-1-1</t>
  </si>
  <si>
    <t>Cummins J 1-0-1-1</t>
  </si>
  <si>
    <t>Ahmed B 1-0-1-1</t>
  </si>
  <si>
    <t>Bowers M 1-0-0-0</t>
  </si>
  <si>
    <t>Sunkara C 1-0-0-0</t>
  </si>
  <si>
    <t>Edghill D 1-1-51*-51</t>
  </si>
  <si>
    <t>Sturrock C 1-1-20*-20</t>
  </si>
  <si>
    <t>Kiernan M 1-1-4*-4</t>
  </si>
  <si>
    <t>Pearce R 1-1-4*-4</t>
  </si>
  <si>
    <t>Winter T 1-0-0-0</t>
  </si>
  <si>
    <t>Threlfall R 1-0-0-0</t>
  </si>
  <si>
    <t>Snow M 1-0-0-0</t>
  </si>
  <si>
    <t>Nair S 1-0-0-0</t>
  </si>
  <si>
    <t>Giles M 1-0-0-0</t>
  </si>
  <si>
    <t>Crawford S 1-0-0-0</t>
  </si>
  <si>
    <t>10/0/dnb/1/0</t>
  </si>
  <si>
    <t>1/50/st+/2.0/2.2</t>
  </si>
  <si>
    <t>3/1/c/2/0</t>
  </si>
  <si>
    <t>1/18/lb/1/2.0</t>
  </si>
  <si>
    <t>Edghill D 6-1-26-3,</t>
  </si>
  <si>
    <t>Barber J 4-0-18-2,</t>
  </si>
  <si>
    <t>Stevenson R 3-0-12-1,</t>
  </si>
  <si>
    <t>Ottey A 13.1-1-58-4,</t>
  </si>
  <si>
    <t>Azfar S 1.2-0-19-1,</t>
  </si>
  <si>
    <t>Driver S 8-1-38-2,</t>
  </si>
  <si>
    <t>Sunkara C 14-1-76-4,</t>
  </si>
  <si>
    <t>Pascoe M 6-1-20-1,</t>
  </si>
  <si>
    <t>Brocks D 16-2-63-3,</t>
  </si>
  <si>
    <t>Mander A 52-9-197-9,</t>
  </si>
  <si>
    <t>Bowers M 37-0-214-8,</t>
  </si>
  <si>
    <t>O'Rourke P 7-0-27-1,</t>
  </si>
  <si>
    <t>Smith C 9.2-0-54-2,</t>
  </si>
  <si>
    <t>Clarkson M 7-0-33-1,</t>
  </si>
  <si>
    <t>Middleton J 46-3-204-6,</t>
  </si>
  <si>
    <t>Pascoe N 16.4-2-73-2,</t>
  </si>
  <si>
    <t>Tiyagi V 13-0-84-2,</t>
  </si>
  <si>
    <t>Vashisthta V 21-0-85-1,</t>
  </si>
  <si>
    <t>Dalrymple A 2-0-18-0,</t>
  </si>
  <si>
    <t>Edghill C 2-0-10-0,</t>
  </si>
  <si>
    <t>Pearce R 2-1-4-0,</t>
  </si>
  <si>
    <t>Threlfall R 2-0-19-0,</t>
  </si>
  <si>
    <t>Edghill R 3-0-31-0,</t>
  </si>
  <si>
    <t>Lestrelle A 3-0-17-0,</t>
  </si>
  <si>
    <t>Crawford S 4-1-13-0,</t>
  </si>
  <si>
    <t>Nair S 4-1-12-0,</t>
  </si>
  <si>
    <t>Ahmed B 4.3-0-20-0,</t>
  </si>
  <si>
    <t>Mati A 5-1-29-0,</t>
  </si>
  <si>
    <t>Wilson L 5-0-37-0,</t>
  </si>
  <si>
    <t>Morjada A 6-0-30-0,</t>
  </si>
  <si>
    <t>Clark C 0-0-0-0,</t>
  </si>
  <si>
    <t>Pascoe T 0-0-0-0,</t>
  </si>
  <si>
    <t>Winter T 0-0-0-0,</t>
  </si>
  <si>
    <t>11/0/dnb+/0/0</t>
  </si>
  <si>
    <t>4/6/b+/0/1.0</t>
  </si>
  <si>
    <t>4/56/c+/0/11.0</t>
  </si>
  <si>
    <t>/ret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</si>
</sst>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4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8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15" fillId="8" borderId="0" xfId="0" applyFont="1" applyFill="1" applyAlignment="1">
      <alignment horizontal="center" vertical="top"/>
    </xf>
    <xf numFmtId="2" fontId="20" fillId="8" borderId="0" xfId="0" applyNumberFormat="1" applyFont="1" applyFill="1" applyAlignment="1">
      <alignment horizontal="center" vertical="top"/>
    </xf>
    <xf numFmtId="0" fontId="15" fillId="8" borderId="0" xfId="0" applyFont="1" applyFill="1">
      <alignment vertical="top"/>
    </xf>
    <xf numFmtId="16" fontId="15" fillId="8" borderId="0" xfId="0" applyNumberFormat="1" applyFont="1" applyFill="1">
      <alignment vertical="top"/>
    </xf>
    <xf numFmtId="0" fontId="0" fillId="8" borderId="0" xfId="0" applyFill="1">
      <alignment vertical="top"/>
    </xf>
  </cellXfs>
  <cellStyles count="2"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E9" sqref="E9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277</v>
      </c>
      <c r="B1" s="29"/>
      <c r="C1" s="39" t="str">
        <f t="array" ref="C1">"Won:"&amp;SUM(IF($E$5:$E$67="W",1,0))</f>
        <v>Won:5</v>
      </c>
      <c r="D1" s="99" t="str">
        <f t="array" ref="D1">"N/D:"&amp;SUM(IF($E$5:$E$67="ND",1,0))</f>
        <v>N/D:1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Lost:9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204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195</v>
      </c>
      <c r="AA2" s="45">
        <f>MAX(AA5:AA59)</f>
        <v>232</v>
      </c>
      <c r="AB2" s="45">
        <f>MAX(AB5:AB59)</f>
        <v>289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205</v>
      </c>
      <c r="O3" s="174">
        <f>MAX(O5:O25)</f>
        <v>40</v>
      </c>
      <c r="P3" s="174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196</v>
      </c>
      <c r="AA3" s="45">
        <f t="array" ref="AA3">MIN(IF(AA5:AA59=0,99999,AA5:AA59))</f>
        <v>29</v>
      </c>
      <c r="AB3" s="45">
        <f t="array" ref="AB3">MIN(IF(AB5:AB59&lt;=0,99999,AB5:AB59))</f>
        <v>132</v>
      </c>
      <c r="AF3" s="45">
        <f>SUM(AF5:AF59)</f>
        <v>6</v>
      </c>
      <c r="AG3" s="45">
        <f>SUM(AG5:AG59)</f>
        <v>9</v>
      </c>
    </row>
    <row r="4" spans="1:33" s="145" customFormat="1" ht="31.5" x14ac:dyDescent="0.15">
      <c r="A4" s="139" t="s">
        <v>124</v>
      </c>
      <c r="B4" s="140" t="s">
        <v>0</v>
      </c>
      <c r="C4" s="141" t="s">
        <v>1</v>
      </c>
      <c r="D4" s="139" t="s">
        <v>2</v>
      </c>
      <c r="E4" s="139" t="s">
        <v>3</v>
      </c>
      <c r="F4" s="139" t="s">
        <v>151</v>
      </c>
      <c r="G4" s="141" t="s">
        <v>9</v>
      </c>
      <c r="H4" s="139" t="s">
        <v>34</v>
      </c>
      <c r="I4" s="139" t="s">
        <v>102</v>
      </c>
      <c r="J4" s="142"/>
      <c r="K4" s="141" t="s">
        <v>9</v>
      </c>
      <c r="L4" s="139" t="s">
        <v>34</v>
      </c>
      <c r="M4" s="139" t="s">
        <v>102</v>
      </c>
      <c r="N4" s="141"/>
      <c r="O4" s="141" t="s">
        <v>175</v>
      </c>
      <c r="P4" s="141" t="s">
        <v>176</v>
      </c>
      <c r="Q4" s="141" t="s">
        <v>104</v>
      </c>
      <c r="R4" s="143" t="s">
        <v>105</v>
      </c>
      <c r="S4" s="143" t="s">
        <v>106</v>
      </c>
      <c r="T4" s="143" t="s">
        <v>107</v>
      </c>
      <c r="U4" s="143" t="s">
        <v>108</v>
      </c>
      <c r="V4" s="143" t="s">
        <v>109</v>
      </c>
      <c r="W4" s="143" t="s">
        <v>110</v>
      </c>
      <c r="X4" s="143" t="s">
        <v>111</v>
      </c>
      <c r="Y4" s="143" t="s">
        <v>114</v>
      </c>
      <c r="Z4" s="143" t="s">
        <v>115</v>
      </c>
      <c r="AA4" s="144" t="s">
        <v>188</v>
      </c>
      <c r="AB4" s="144" t="s">
        <v>189</v>
      </c>
      <c r="AC4" s="144" t="s">
        <v>190</v>
      </c>
      <c r="AD4" s="144" t="s">
        <v>191</v>
      </c>
      <c r="AE4" s="145" t="s">
        <v>213</v>
      </c>
      <c r="AF4" s="145" t="s">
        <v>224</v>
      </c>
      <c r="AG4" s="145" t="s">
        <v>225</v>
      </c>
    </row>
    <row r="5" spans="1:33" s="22" customFormat="1" x14ac:dyDescent="0.15">
      <c r="A5" s="108" t="str">
        <f t="shared" ref="A5:A59" si="0">TEXT(WEEKDAY(B5),"ddd")</f>
        <v>Sun</v>
      </c>
      <c r="B5" s="109">
        <v>41756</v>
      </c>
      <c r="C5" s="110" t="s">
        <v>278</v>
      </c>
      <c r="D5" s="111" t="s">
        <v>244</v>
      </c>
      <c r="E5" s="111" t="s">
        <v>216</v>
      </c>
      <c r="F5" s="111" t="s">
        <v>1</v>
      </c>
      <c r="G5" s="112">
        <v>132</v>
      </c>
      <c r="H5" s="111">
        <v>6</v>
      </c>
      <c r="I5" s="111"/>
      <c r="J5" s="113" t="s">
        <v>279</v>
      </c>
      <c r="K5" s="112">
        <v>130</v>
      </c>
      <c r="L5" s="111">
        <v>10</v>
      </c>
      <c r="M5" s="111"/>
      <c r="N5" s="110" t="s">
        <v>280</v>
      </c>
      <c r="O5" s="114">
        <v>38</v>
      </c>
      <c r="P5" s="114">
        <v>40</v>
      </c>
      <c r="Q5" s="115">
        <v>15</v>
      </c>
      <c r="R5" s="115">
        <v>2</v>
      </c>
      <c r="S5" s="115">
        <v>1</v>
      </c>
      <c r="T5" s="115">
        <v>3</v>
      </c>
      <c r="U5" s="115">
        <v>13</v>
      </c>
      <c r="V5" s="115">
        <v>1</v>
      </c>
      <c r="W5" s="115">
        <v>1</v>
      </c>
      <c r="X5" s="115">
        <v>2</v>
      </c>
      <c r="Y5" s="115">
        <f t="shared" ref="Y5:Y27" si="1">SUM(Q5:T5)</f>
        <v>21</v>
      </c>
      <c r="Z5" s="115">
        <f t="shared" ref="Z5:Z27" si="2">SUM(U5:X5)</f>
        <v>17</v>
      </c>
      <c r="AA5" s="115">
        <f t="shared" ref="AA5:AA20" si="3">IF(F5="TOCC",G5,K5)</f>
        <v>130</v>
      </c>
      <c r="AB5" s="115">
        <f t="shared" ref="AB5:AB20" si="4">IF(F5&lt;&gt;"TOCC",G5,K5)</f>
        <v>132</v>
      </c>
      <c r="AC5" s="115">
        <f t="shared" ref="AC5:AC20" si="5">IF(F5="TOCC",H5,L5)</f>
        <v>10</v>
      </c>
      <c r="AD5" s="115">
        <f t="shared" ref="AD5:AD20" si="6">IF(F5&lt;&gt;"TOCC",H5,L5)</f>
        <v>6</v>
      </c>
      <c r="AE5" s="177">
        <f>Y5/AB5</f>
        <v>0.15909090909090909</v>
      </c>
      <c r="AG5" s="22">
        <v>1</v>
      </c>
    </row>
    <row r="6" spans="1:33" x14ac:dyDescent="0.15">
      <c r="A6" s="108" t="str">
        <f t="shared" si="0"/>
        <v>Sun</v>
      </c>
      <c r="B6" s="146">
        <v>41763</v>
      </c>
      <c r="C6" s="147" t="s">
        <v>249</v>
      </c>
      <c r="D6" s="148" t="s">
        <v>212</v>
      </c>
      <c r="E6" s="148" t="s">
        <v>217</v>
      </c>
      <c r="F6" s="148" t="s">
        <v>215</v>
      </c>
      <c r="G6" s="149">
        <v>162</v>
      </c>
      <c r="H6" s="148">
        <v>7</v>
      </c>
      <c r="I6" s="148"/>
      <c r="J6" s="150" t="s">
        <v>299</v>
      </c>
      <c r="K6" s="149">
        <v>156</v>
      </c>
      <c r="L6" s="148">
        <v>8</v>
      </c>
      <c r="M6" s="148"/>
      <c r="N6" s="147" t="s">
        <v>300</v>
      </c>
      <c r="O6" s="151">
        <v>40</v>
      </c>
      <c r="P6" s="151">
        <v>40</v>
      </c>
      <c r="Q6" s="152">
        <v>2</v>
      </c>
      <c r="R6" s="152">
        <v>1</v>
      </c>
      <c r="S6" s="152">
        <v>3</v>
      </c>
      <c r="T6" s="152">
        <v>0</v>
      </c>
      <c r="U6" s="152">
        <v>7</v>
      </c>
      <c r="V6" s="152">
        <v>2</v>
      </c>
      <c r="W6" s="152">
        <v>11</v>
      </c>
      <c r="X6" s="152">
        <v>2</v>
      </c>
      <c r="Y6" s="115">
        <f t="shared" si="1"/>
        <v>6</v>
      </c>
      <c r="Z6" s="115">
        <f t="shared" si="2"/>
        <v>22</v>
      </c>
      <c r="AA6" s="152">
        <f t="shared" si="3"/>
        <v>162</v>
      </c>
      <c r="AB6" s="152">
        <f t="shared" si="4"/>
        <v>156</v>
      </c>
      <c r="AC6" s="152">
        <f t="shared" si="5"/>
        <v>7</v>
      </c>
      <c r="AD6" s="152">
        <f t="shared" si="6"/>
        <v>8</v>
      </c>
      <c r="AE6" s="177">
        <f t="shared" ref="AE6:AE26" si="7">Y6/AB6</f>
        <v>3.8461538461538464E-2</v>
      </c>
      <c r="AF6" s="26">
        <v>1</v>
      </c>
      <c r="AG6" s="26">
        <v>1</v>
      </c>
    </row>
    <row r="7" spans="1:33" x14ac:dyDescent="0.15">
      <c r="A7" s="108" t="str">
        <f t="shared" si="0"/>
        <v>Sun</v>
      </c>
      <c r="B7" s="146">
        <v>41777</v>
      </c>
      <c r="C7" s="147" t="s">
        <v>263</v>
      </c>
      <c r="D7" s="148" t="s">
        <v>212</v>
      </c>
      <c r="E7" s="148" t="s">
        <v>217</v>
      </c>
      <c r="F7" s="148" t="s">
        <v>1</v>
      </c>
      <c r="G7" s="149">
        <v>134</v>
      </c>
      <c r="H7" s="148">
        <v>10</v>
      </c>
      <c r="I7" s="148"/>
      <c r="J7" s="150" t="s">
        <v>317</v>
      </c>
      <c r="K7" s="149">
        <v>135</v>
      </c>
      <c r="L7" s="148">
        <v>4</v>
      </c>
      <c r="M7" s="148"/>
      <c r="N7" s="147" t="s">
        <v>318</v>
      </c>
      <c r="O7" s="151">
        <v>24.3</v>
      </c>
      <c r="P7" s="151">
        <v>27.4</v>
      </c>
      <c r="Q7" s="152">
        <v>5</v>
      </c>
      <c r="R7" s="152">
        <v>2</v>
      </c>
      <c r="S7" s="152">
        <v>2</v>
      </c>
      <c r="T7" s="152">
        <v>2</v>
      </c>
      <c r="U7" s="152">
        <v>0</v>
      </c>
      <c r="V7" s="152">
        <v>0</v>
      </c>
      <c r="W7" s="152">
        <v>4</v>
      </c>
      <c r="X7" s="152">
        <v>7</v>
      </c>
      <c r="Y7" s="115">
        <f t="shared" si="1"/>
        <v>11</v>
      </c>
      <c r="Z7" s="115">
        <f t="shared" si="2"/>
        <v>11</v>
      </c>
      <c r="AA7" s="152">
        <f t="shared" si="3"/>
        <v>135</v>
      </c>
      <c r="AB7" s="152">
        <f t="shared" si="4"/>
        <v>134</v>
      </c>
      <c r="AC7" s="152">
        <f t="shared" si="5"/>
        <v>4</v>
      </c>
      <c r="AD7" s="152">
        <f t="shared" si="6"/>
        <v>10</v>
      </c>
      <c r="AE7" s="177">
        <f t="shared" si="7"/>
        <v>8.2089552238805971E-2</v>
      </c>
      <c r="AG7" s="26">
        <v>1</v>
      </c>
    </row>
    <row r="8" spans="1:33" x14ac:dyDescent="0.15">
      <c r="A8" s="108" t="str">
        <f t="shared" si="0"/>
        <v>Sun</v>
      </c>
      <c r="B8" s="146">
        <v>41784</v>
      </c>
      <c r="C8" s="147" t="s">
        <v>249</v>
      </c>
      <c r="D8" s="148" t="s">
        <v>244</v>
      </c>
      <c r="E8" s="148" t="s">
        <v>216</v>
      </c>
      <c r="F8" s="148" t="s">
        <v>215</v>
      </c>
      <c r="G8" s="149">
        <v>206</v>
      </c>
      <c r="H8" s="148">
        <v>10</v>
      </c>
      <c r="I8" s="148"/>
      <c r="J8" s="153" t="s">
        <v>332</v>
      </c>
      <c r="K8" s="149">
        <v>209</v>
      </c>
      <c r="L8" s="148">
        <v>4</v>
      </c>
      <c r="M8" s="148"/>
      <c r="N8" s="147" t="s">
        <v>333</v>
      </c>
      <c r="O8" s="151">
        <v>37.299999999999997</v>
      </c>
      <c r="P8" s="151">
        <v>33.200000000000003</v>
      </c>
      <c r="Q8" s="152">
        <v>3</v>
      </c>
      <c r="R8" s="152">
        <v>0</v>
      </c>
      <c r="S8" s="152">
        <v>3</v>
      </c>
      <c r="T8" s="152">
        <v>0</v>
      </c>
      <c r="U8" s="152">
        <v>9</v>
      </c>
      <c r="V8" s="152">
        <v>0</v>
      </c>
      <c r="W8" s="152">
        <v>14</v>
      </c>
      <c r="X8" s="152">
        <v>0</v>
      </c>
      <c r="Y8" s="115">
        <f t="shared" si="1"/>
        <v>6</v>
      </c>
      <c r="Z8" s="115">
        <f t="shared" si="2"/>
        <v>23</v>
      </c>
      <c r="AA8" s="152">
        <f t="shared" si="3"/>
        <v>206</v>
      </c>
      <c r="AB8" s="152">
        <f t="shared" si="4"/>
        <v>209</v>
      </c>
      <c r="AC8" s="152">
        <f t="shared" si="5"/>
        <v>10</v>
      </c>
      <c r="AD8" s="152">
        <f t="shared" si="6"/>
        <v>4</v>
      </c>
      <c r="AE8" s="177">
        <f t="shared" si="7"/>
        <v>2.8708133971291867E-2</v>
      </c>
    </row>
    <row r="9" spans="1:33" x14ac:dyDescent="0.15">
      <c r="A9" s="108" t="str">
        <f t="shared" si="0"/>
        <v>Mon</v>
      </c>
      <c r="B9" s="146">
        <v>41785</v>
      </c>
      <c r="C9" s="147" t="s">
        <v>247</v>
      </c>
      <c r="D9" s="148" t="s">
        <v>244</v>
      </c>
      <c r="E9" s="148"/>
      <c r="F9" s="148"/>
      <c r="G9" s="149"/>
      <c r="H9" s="148"/>
      <c r="I9" s="148"/>
      <c r="J9" s="150"/>
      <c r="K9" s="149"/>
      <c r="L9" s="148"/>
      <c r="M9" s="148"/>
      <c r="N9" s="147"/>
      <c r="O9" s="151"/>
      <c r="P9" s="151"/>
      <c r="Q9" s="152"/>
      <c r="R9" s="152"/>
      <c r="S9" s="152"/>
      <c r="T9" s="152"/>
      <c r="U9" s="152"/>
      <c r="V9" s="152"/>
      <c r="W9" s="152"/>
      <c r="X9" s="152"/>
      <c r="Y9" s="115">
        <f t="shared" si="1"/>
        <v>0</v>
      </c>
      <c r="Z9" s="115">
        <f t="shared" si="2"/>
        <v>0</v>
      </c>
      <c r="AA9" s="152">
        <f t="shared" si="3"/>
        <v>0</v>
      </c>
      <c r="AB9" s="152">
        <f t="shared" si="4"/>
        <v>0</v>
      </c>
      <c r="AC9" s="152">
        <f t="shared" si="5"/>
        <v>0</v>
      </c>
      <c r="AD9" s="152">
        <f t="shared" si="6"/>
        <v>0</v>
      </c>
      <c r="AE9" s="177" t="e">
        <f t="shared" si="7"/>
        <v>#DIV/0!</v>
      </c>
    </row>
    <row r="10" spans="1:33" x14ac:dyDescent="0.15">
      <c r="A10" s="108" t="str">
        <f t="shared" si="0"/>
        <v>Sun</v>
      </c>
      <c r="B10" s="146">
        <v>41791</v>
      </c>
      <c r="C10" s="147" t="s">
        <v>239</v>
      </c>
      <c r="D10" s="148" t="s">
        <v>244</v>
      </c>
      <c r="E10" s="148" t="s">
        <v>216</v>
      </c>
      <c r="F10" s="148" t="s">
        <v>215</v>
      </c>
      <c r="G10" s="149">
        <v>178</v>
      </c>
      <c r="H10" s="148">
        <v>7</v>
      </c>
      <c r="I10" s="148"/>
      <c r="J10" s="150" t="s">
        <v>357</v>
      </c>
      <c r="K10" s="149">
        <v>179</v>
      </c>
      <c r="L10" s="148">
        <v>7</v>
      </c>
      <c r="M10" s="148"/>
      <c r="N10" s="147" t="s">
        <v>358</v>
      </c>
      <c r="O10" s="151">
        <v>40</v>
      </c>
      <c r="P10" s="151">
        <v>38.299999999999997</v>
      </c>
      <c r="Q10" s="152">
        <v>16</v>
      </c>
      <c r="R10" s="152">
        <v>1</v>
      </c>
      <c r="S10" s="152">
        <v>4</v>
      </c>
      <c r="T10" s="152">
        <v>1</v>
      </c>
      <c r="U10" s="152">
        <v>17</v>
      </c>
      <c r="V10" s="152">
        <v>1</v>
      </c>
      <c r="W10" s="152">
        <v>6</v>
      </c>
      <c r="X10" s="152">
        <v>1</v>
      </c>
      <c r="Y10" s="115">
        <f t="shared" si="1"/>
        <v>22</v>
      </c>
      <c r="Z10" s="115">
        <f t="shared" si="2"/>
        <v>25</v>
      </c>
      <c r="AA10" s="152">
        <f t="shared" si="3"/>
        <v>178</v>
      </c>
      <c r="AB10" s="152">
        <f t="shared" si="4"/>
        <v>179</v>
      </c>
      <c r="AC10" s="152">
        <f t="shared" si="5"/>
        <v>7</v>
      </c>
      <c r="AD10" s="152">
        <f t="shared" si="6"/>
        <v>7</v>
      </c>
      <c r="AE10" s="177">
        <f t="shared" si="7"/>
        <v>0.12290502793296089</v>
      </c>
      <c r="AG10" s="26">
        <v>2</v>
      </c>
    </row>
    <row r="11" spans="1:33" x14ac:dyDescent="0.15">
      <c r="A11" s="108" t="str">
        <f t="shared" si="0"/>
        <v>Sun</v>
      </c>
      <c r="B11" s="146">
        <v>41798</v>
      </c>
      <c r="C11" s="147" t="s">
        <v>375</v>
      </c>
      <c r="D11" s="148" t="s">
        <v>212</v>
      </c>
      <c r="E11" s="148" t="s">
        <v>217</v>
      </c>
      <c r="F11" s="148" t="s">
        <v>1</v>
      </c>
      <c r="G11" s="149">
        <v>180</v>
      </c>
      <c r="H11" s="148">
        <v>8</v>
      </c>
      <c r="I11" s="148"/>
      <c r="J11" s="150" t="s">
        <v>376</v>
      </c>
      <c r="K11" s="149">
        <v>181</v>
      </c>
      <c r="L11" s="148">
        <v>5</v>
      </c>
      <c r="M11" s="148"/>
      <c r="N11" s="147" t="s">
        <v>377</v>
      </c>
      <c r="O11" s="151">
        <v>40</v>
      </c>
      <c r="P11" s="151">
        <v>40</v>
      </c>
      <c r="Q11" s="152">
        <v>8</v>
      </c>
      <c r="R11" s="152">
        <v>0</v>
      </c>
      <c r="S11" s="152">
        <v>6</v>
      </c>
      <c r="T11" s="152">
        <v>6</v>
      </c>
      <c r="U11" s="152">
        <v>18</v>
      </c>
      <c r="V11" s="152">
        <v>6</v>
      </c>
      <c r="W11" s="152">
        <v>7</v>
      </c>
      <c r="X11" s="152">
        <v>5</v>
      </c>
      <c r="Y11" s="115">
        <f t="shared" si="1"/>
        <v>20</v>
      </c>
      <c r="Z11" s="115">
        <f t="shared" si="2"/>
        <v>36</v>
      </c>
      <c r="AA11" s="152">
        <f t="shared" si="3"/>
        <v>181</v>
      </c>
      <c r="AB11" s="152">
        <f t="shared" si="4"/>
        <v>180</v>
      </c>
      <c r="AC11" s="152">
        <f t="shared" si="5"/>
        <v>5</v>
      </c>
      <c r="AD11" s="152">
        <f t="shared" si="6"/>
        <v>8</v>
      </c>
      <c r="AE11" s="177">
        <f t="shared" si="7"/>
        <v>0.1111111111111111</v>
      </c>
    </row>
    <row r="12" spans="1:33" x14ac:dyDescent="0.15">
      <c r="A12" s="108" t="str">
        <f t="shared" si="0"/>
        <v>Sun</v>
      </c>
      <c r="B12" s="146">
        <v>41805</v>
      </c>
      <c r="C12" s="147" t="s">
        <v>395</v>
      </c>
      <c r="D12" s="148" t="s">
        <v>244</v>
      </c>
      <c r="E12" s="148" t="s">
        <v>216</v>
      </c>
      <c r="F12" s="148" t="s">
        <v>1</v>
      </c>
      <c r="G12" s="149">
        <v>156</v>
      </c>
      <c r="H12" s="148">
        <v>6</v>
      </c>
      <c r="I12" s="148"/>
      <c r="J12" s="150" t="s">
        <v>396</v>
      </c>
      <c r="K12" s="149">
        <v>103</v>
      </c>
      <c r="L12" s="148">
        <v>10</v>
      </c>
      <c r="M12" s="148"/>
      <c r="N12" s="150" t="s">
        <v>397</v>
      </c>
      <c r="O12" s="151">
        <v>29.1</v>
      </c>
      <c r="P12" s="151">
        <v>35</v>
      </c>
      <c r="Q12" s="152">
        <v>9</v>
      </c>
      <c r="R12" s="152">
        <v>1</v>
      </c>
      <c r="S12" s="152">
        <v>5</v>
      </c>
      <c r="T12" s="152">
        <v>2</v>
      </c>
      <c r="U12" s="152">
        <v>3</v>
      </c>
      <c r="V12" s="152">
        <v>0</v>
      </c>
      <c r="W12" s="152">
        <v>13</v>
      </c>
      <c r="X12" s="152">
        <v>2</v>
      </c>
      <c r="Y12" s="115">
        <f t="shared" si="1"/>
        <v>17</v>
      </c>
      <c r="Z12" s="115">
        <f t="shared" si="2"/>
        <v>18</v>
      </c>
      <c r="AA12" s="152">
        <f t="shared" si="3"/>
        <v>103</v>
      </c>
      <c r="AB12" s="152">
        <f t="shared" si="4"/>
        <v>156</v>
      </c>
      <c r="AC12" s="152">
        <f t="shared" si="5"/>
        <v>10</v>
      </c>
      <c r="AD12" s="152">
        <f t="shared" si="6"/>
        <v>6</v>
      </c>
      <c r="AE12" s="177">
        <f t="shared" si="7"/>
        <v>0.10897435897435898</v>
      </c>
      <c r="AF12" s="26">
        <v>2</v>
      </c>
      <c r="AG12" s="26">
        <v>1</v>
      </c>
    </row>
    <row r="13" spans="1:33" x14ac:dyDescent="0.15">
      <c r="A13" s="108" t="str">
        <f t="shared" si="0"/>
        <v>Sun</v>
      </c>
      <c r="B13" s="146">
        <v>41812</v>
      </c>
      <c r="C13" s="147" t="s">
        <v>417</v>
      </c>
      <c r="D13" s="148" t="s">
        <v>212</v>
      </c>
      <c r="E13" s="148" t="s">
        <v>216</v>
      </c>
      <c r="F13" s="148" t="s">
        <v>215</v>
      </c>
      <c r="G13" s="149">
        <v>191</v>
      </c>
      <c r="H13" s="148">
        <v>8</v>
      </c>
      <c r="I13" s="148"/>
      <c r="J13" s="150" t="s">
        <v>418</v>
      </c>
      <c r="K13" s="149">
        <v>193</v>
      </c>
      <c r="L13" s="148">
        <v>4</v>
      </c>
      <c r="M13" s="148"/>
      <c r="N13" s="147" t="s">
        <v>419</v>
      </c>
      <c r="O13" s="151">
        <v>40</v>
      </c>
      <c r="P13" s="151">
        <v>39.1</v>
      </c>
      <c r="Q13" s="152">
        <v>2</v>
      </c>
      <c r="R13" s="152">
        <v>1</v>
      </c>
      <c r="S13" s="152">
        <v>10</v>
      </c>
      <c r="T13" s="152">
        <v>5</v>
      </c>
      <c r="U13" s="152">
        <v>5</v>
      </c>
      <c r="V13" s="152">
        <v>0</v>
      </c>
      <c r="W13" s="152">
        <v>4</v>
      </c>
      <c r="X13" s="152">
        <v>1</v>
      </c>
      <c r="Y13" s="115">
        <f t="shared" si="1"/>
        <v>18</v>
      </c>
      <c r="Z13" s="115">
        <f t="shared" si="2"/>
        <v>10</v>
      </c>
      <c r="AA13" s="152">
        <f t="shared" si="3"/>
        <v>191</v>
      </c>
      <c r="AB13" s="152">
        <f t="shared" si="4"/>
        <v>193</v>
      </c>
      <c r="AC13" s="152">
        <f t="shared" si="5"/>
        <v>8</v>
      </c>
      <c r="AD13" s="152">
        <f t="shared" si="6"/>
        <v>4</v>
      </c>
      <c r="AE13" s="177">
        <f t="shared" si="7"/>
        <v>9.3264248704663211E-2</v>
      </c>
    </row>
    <row r="14" spans="1:33" x14ac:dyDescent="0.15">
      <c r="A14" s="108" t="str">
        <f t="shared" si="0"/>
        <v>Sun</v>
      </c>
      <c r="B14" s="146">
        <v>41819</v>
      </c>
      <c r="C14" s="147" t="s">
        <v>436</v>
      </c>
      <c r="D14" s="148" t="s">
        <v>244</v>
      </c>
      <c r="E14" s="148" t="s">
        <v>356</v>
      </c>
      <c r="F14" s="148" t="s">
        <v>215</v>
      </c>
      <c r="G14" s="149">
        <v>97</v>
      </c>
      <c r="H14" s="148">
        <v>6</v>
      </c>
      <c r="I14" s="148"/>
      <c r="J14" s="150" t="s">
        <v>437</v>
      </c>
      <c r="K14" s="149"/>
      <c r="L14" s="148"/>
      <c r="M14" s="148"/>
      <c r="N14" s="147"/>
      <c r="O14" s="151">
        <v>28.3</v>
      </c>
      <c r="P14" s="151">
        <v>0</v>
      </c>
      <c r="Q14" s="152">
        <v>0</v>
      </c>
      <c r="R14" s="152">
        <v>0</v>
      </c>
      <c r="S14" s="152">
        <v>0</v>
      </c>
      <c r="T14" s="152">
        <v>0</v>
      </c>
      <c r="U14" s="152">
        <v>4</v>
      </c>
      <c r="V14" s="152">
        <v>0</v>
      </c>
      <c r="W14" s="152">
        <v>0</v>
      </c>
      <c r="X14" s="152">
        <v>1</v>
      </c>
      <c r="Y14" s="115">
        <f t="shared" si="1"/>
        <v>0</v>
      </c>
      <c r="Z14" s="115">
        <f t="shared" si="2"/>
        <v>5</v>
      </c>
      <c r="AA14" s="152">
        <f t="shared" si="3"/>
        <v>97</v>
      </c>
      <c r="AB14" s="152">
        <f t="shared" si="4"/>
        <v>0</v>
      </c>
      <c r="AC14" s="152">
        <f t="shared" si="5"/>
        <v>6</v>
      </c>
      <c r="AD14" s="152">
        <f t="shared" si="6"/>
        <v>0</v>
      </c>
      <c r="AE14" s="177" t="e">
        <f t="shared" si="7"/>
        <v>#DIV/0!</v>
      </c>
      <c r="AF14" s="26">
        <v>1</v>
      </c>
    </row>
    <row r="15" spans="1:33" x14ac:dyDescent="0.15">
      <c r="A15" s="108" t="str">
        <f t="shared" si="0"/>
        <v>Sun</v>
      </c>
      <c r="B15" s="146">
        <v>41826</v>
      </c>
      <c r="C15" s="147" t="s">
        <v>447</v>
      </c>
      <c r="D15" s="148" t="s">
        <v>212</v>
      </c>
      <c r="E15" s="148" t="s">
        <v>216</v>
      </c>
      <c r="F15" s="148" t="s">
        <v>1</v>
      </c>
      <c r="G15" s="149">
        <v>234</v>
      </c>
      <c r="H15" s="148">
        <v>6</v>
      </c>
      <c r="I15" s="148"/>
      <c r="J15" s="150" t="s">
        <v>448</v>
      </c>
      <c r="K15" s="149">
        <v>208</v>
      </c>
      <c r="L15" s="148">
        <v>6</v>
      </c>
      <c r="M15" s="148"/>
      <c r="N15" s="147" t="s">
        <v>451</v>
      </c>
      <c r="O15" s="151">
        <v>40</v>
      </c>
      <c r="P15" s="151">
        <v>40</v>
      </c>
      <c r="Q15" s="152">
        <v>1</v>
      </c>
      <c r="R15" s="152">
        <v>0</v>
      </c>
      <c r="S15" s="152">
        <v>9</v>
      </c>
      <c r="T15" s="152">
        <v>3</v>
      </c>
      <c r="U15" s="152">
        <v>11</v>
      </c>
      <c r="V15" s="152">
        <v>0</v>
      </c>
      <c r="W15" s="152">
        <v>2</v>
      </c>
      <c r="X15" s="152">
        <v>3</v>
      </c>
      <c r="Y15" s="115">
        <f t="shared" si="1"/>
        <v>13</v>
      </c>
      <c r="Z15" s="115">
        <f t="shared" si="2"/>
        <v>16</v>
      </c>
      <c r="AA15" s="152">
        <f t="shared" si="3"/>
        <v>208</v>
      </c>
      <c r="AB15" s="152">
        <f t="shared" si="4"/>
        <v>234</v>
      </c>
      <c r="AC15" s="152">
        <f t="shared" si="5"/>
        <v>6</v>
      </c>
      <c r="AD15" s="152">
        <f t="shared" si="6"/>
        <v>6</v>
      </c>
      <c r="AE15" s="177">
        <f t="shared" si="7"/>
        <v>5.5555555555555552E-2</v>
      </c>
    </row>
    <row r="16" spans="1:33" s="22" customFormat="1" x14ac:dyDescent="0.15">
      <c r="A16" s="108" t="str">
        <f t="shared" si="0"/>
        <v>Sun</v>
      </c>
      <c r="B16" s="109">
        <v>41833</v>
      </c>
      <c r="C16" s="110" t="s">
        <v>464</v>
      </c>
      <c r="D16" s="111" t="s">
        <v>244</v>
      </c>
      <c r="E16" s="111" t="s">
        <v>217</v>
      </c>
      <c r="F16" s="111" t="s">
        <v>215</v>
      </c>
      <c r="G16" s="112">
        <v>191</v>
      </c>
      <c r="H16" s="111">
        <v>5</v>
      </c>
      <c r="I16" s="111"/>
      <c r="J16" s="113" t="s">
        <v>465</v>
      </c>
      <c r="K16" s="112">
        <v>190</v>
      </c>
      <c r="L16" s="111">
        <v>10</v>
      </c>
      <c r="M16" s="111"/>
      <c r="N16" s="110" t="s">
        <v>466</v>
      </c>
      <c r="O16" s="114">
        <v>40</v>
      </c>
      <c r="P16" s="114">
        <v>38</v>
      </c>
      <c r="Q16" s="115">
        <v>8</v>
      </c>
      <c r="R16" s="115">
        <v>0</v>
      </c>
      <c r="S16" s="115">
        <v>9</v>
      </c>
      <c r="T16" s="115">
        <v>3</v>
      </c>
      <c r="U16" s="115">
        <v>9</v>
      </c>
      <c r="V16" s="115">
        <v>0</v>
      </c>
      <c r="W16" s="115">
        <v>6</v>
      </c>
      <c r="X16" s="115">
        <v>1</v>
      </c>
      <c r="Y16" s="115">
        <f t="shared" si="1"/>
        <v>20</v>
      </c>
      <c r="Z16" s="115">
        <f t="shared" si="2"/>
        <v>16</v>
      </c>
      <c r="AA16" s="115">
        <f t="shared" si="3"/>
        <v>191</v>
      </c>
      <c r="AB16" s="115">
        <f t="shared" si="4"/>
        <v>190</v>
      </c>
      <c r="AC16" s="115">
        <f t="shared" si="5"/>
        <v>5</v>
      </c>
      <c r="AD16" s="115">
        <f t="shared" si="6"/>
        <v>10</v>
      </c>
      <c r="AE16" s="177">
        <f t="shared" si="7"/>
        <v>0.10526315789473684</v>
      </c>
      <c r="AF16" s="22">
        <v>1</v>
      </c>
    </row>
    <row r="17" spans="1:33" x14ac:dyDescent="0.15">
      <c r="A17" s="108" t="str">
        <f t="shared" si="0"/>
        <v>Sun</v>
      </c>
      <c r="B17" s="109">
        <v>41840</v>
      </c>
      <c r="C17" s="147" t="s">
        <v>395</v>
      </c>
      <c r="D17" s="111" t="s">
        <v>212</v>
      </c>
      <c r="E17" s="111" t="s">
        <v>487</v>
      </c>
      <c r="F17" s="111" t="s">
        <v>1</v>
      </c>
      <c r="G17" s="112">
        <v>189</v>
      </c>
      <c r="H17" s="111">
        <v>6</v>
      </c>
      <c r="I17" s="111"/>
      <c r="J17" s="113" t="s">
        <v>488</v>
      </c>
      <c r="K17" s="112">
        <v>29</v>
      </c>
      <c r="L17" s="111">
        <v>2</v>
      </c>
      <c r="M17" s="111"/>
      <c r="N17" s="110"/>
      <c r="O17" s="114">
        <v>9</v>
      </c>
      <c r="P17" s="114">
        <v>40</v>
      </c>
      <c r="Q17" s="115">
        <v>8</v>
      </c>
      <c r="R17" s="115">
        <v>1</v>
      </c>
      <c r="S17" s="115">
        <v>5</v>
      </c>
      <c r="T17" s="115">
        <v>7</v>
      </c>
      <c r="U17" s="115">
        <v>1</v>
      </c>
      <c r="V17" s="115">
        <v>1</v>
      </c>
      <c r="W17" s="115">
        <v>1</v>
      </c>
      <c r="X17" s="115">
        <v>1</v>
      </c>
      <c r="Y17" s="115">
        <f t="shared" si="1"/>
        <v>21</v>
      </c>
      <c r="Z17" s="115">
        <f t="shared" si="2"/>
        <v>4</v>
      </c>
      <c r="AA17" s="115">
        <f t="shared" si="3"/>
        <v>29</v>
      </c>
      <c r="AB17" s="115">
        <f t="shared" si="4"/>
        <v>189</v>
      </c>
      <c r="AC17" s="115">
        <f t="shared" si="5"/>
        <v>2</v>
      </c>
      <c r="AD17" s="115">
        <f t="shared" si="6"/>
        <v>6</v>
      </c>
      <c r="AE17" s="177">
        <f t="shared" si="7"/>
        <v>0.1111111111111111</v>
      </c>
    </row>
    <row r="18" spans="1:33" x14ac:dyDescent="0.15">
      <c r="A18" s="108" t="str">
        <f t="shared" si="0"/>
        <v>Sun</v>
      </c>
      <c r="B18" s="109">
        <v>41875</v>
      </c>
      <c r="C18" s="147" t="s">
        <v>239</v>
      </c>
      <c r="D18" s="111" t="s">
        <v>212</v>
      </c>
      <c r="E18" s="111" t="s">
        <v>216</v>
      </c>
      <c r="F18" s="111" t="s">
        <v>1</v>
      </c>
      <c r="G18" s="112">
        <v>221</v>
      </c>
      <c r="H18" s="111">
        <v>4</v>
      </c>
      <c r="I18" s="111"/>
      <c r="J18" s="113" t="s">
        <v>504</v>
      </c>
      <c r="K18" s="112">
        <v>191</v>
      </c>
      <c r="L18" s="111">
        <v>8</v>
      </c>
      <c r="M18" s="111"/>
      <c r="N18" s="110" t="s">
        <v>505</v>
      </c>
      <c r="O18" s="114">
        <v>40</v>
      </c>
      <c r="P18" s="114">
        <v>40</v>
      </c>
      <c r="Q18" s="115">
        <v>9</v>
      </c>
      <c r="R18" s="115">
        <v>2</v>
      </c>
      <c r="S18" s="115">
        <v>2</v>
      </c>
      <c r="T18" s="115">
        <v>1</v>
      </c>
      <c r="U18" s="115">
        <v>10</v>
      </c>
      <c r="V18" s="115">
        <v>3</v>
      </c>
      <c r="W18" s="115">
        <v>3</v>
      </c>
      <c r="X18" s="115">
        <v>0</v>
      </c>
      <c r="Y18" s="115">
        <f t="shared" si="1"/>
        <v>14</v>
      </c>
      <c r="Z18" s="115">
        <f t="shared" si="2"/>
        <v>16</v>
      </c>
      <c r="AA18" s="115">
        <f t="shared" si="3"/>
        <v>191</v>
      </c>
      <c r="AB18" s="115">
        <f t="shared" si="4"/>
        <v>221</v>
      </c>
      <c r="AC18" s="115">
        <f t="shared" si="5"/>
        <v>8</v>
      </c>
      <c r="AD18" s="115">
        <f t="shared" si="6"/>
        <v>4</v>
      </c>
      <c r="AE18" s="177">
        <f t="shared" si="7"/>
        <v>6.3348416289592757E-2</v>
      </c>
      <c r="AG18" s="26">
        <v>1</v>
      </c>
    </row>
    <row r="19" spans="1:33" x14ac:dyDescent="0.15">
      <c r="A19" s="108" t="str">
        <f t="shared" si="0"/>
        <v>Sun</v>
      </c>
      <c r="B19" s="109">
        <v>41882</v>
      </c>
      <c r="C19" s="110" t="s">
        <v>529</v>
      </c>
      <c r="D19" s="111" t="s">
        <v>244</v>
      </c>
      <c r="E19" s="111" t="s">
        <v>216</v>
      </c>
      <c r="F19" s="111" t="s">
        <v>215</v>
      </c>
      <c r="G19" s="112">
        <v>135</v>
      </c>
      <c r="H19" s="111">
        <v>9</v>
      </c>
      <c r="I19" s="111"/>
      <c r="J19" s="113" t="s">
        <v>530</v>
      </c>
      <c r="K19" s="112">
        <v>137</v>
      </c>
      <c r="L19" s="111">
        <v>2</v>
      </c>
      <c r="M19" s="111"/>
      <c r="N19" s="110" t="s">
        <v>531</v>
      </c>
      <c r="O19" s="114">
        <v>40</v>
      </c>
      <c r="P19" s="114">
        <v>32.200000000000003</v>
      </c>
      <c r="Q19" s="115">
        <v>8</v>
      </c>
      <c r="R19" s="115">
        <v>2</v>
      </c>
      <c r="S19" s="115">
        <v>2</v>
      </c>
      <c r="T19" s="115">
        <v>0</v>
      </c>
      <c r="U19" s="115">
        <v>11</v>
      </c>
      <c r="V19" s="115">
        <v>1</v>
      </c>
      <c r="W19" s="115">
        <v>14</v>
      </c>
      <c r="X19" s="115">
        <v>3</v>
      </c>
      <c r="Y19" s="115">
        <f t="shared" si="1"/>
        <v>12</v>
      </c>
      <c r="Z19" s="115">
        <f t="shared" si="2"/>
        <v>29</v>
      </c>
      <c r="AA19" s="115">
        <f t="shared" si="3"/>
        <v>135</v>
      </c>
      <c r="AB19" s="115">
        <f t="shared" si="4"/>
        <v>137</v>
      </c>
      <c r="AC19" s="115">
        <f t="shared" si="5"/>
        <v>9</v>
      </c>
      <c r="AD19" s="115">
        <f t="shared" si="6"/>
        <v>2</v>
      </c>
      <c r="AE19" s="177">
        <f t="shared" si="7"/>
        <v>8.7591240875912413E-2</v>
      </c>
      <c r="AF19" s="26">
        <v>1</v>
      </c>
    </row>
    <row r="20" spans="1:33" x14ac:dyDescent="0.15">
      <c r="A20" s="108" t="str">
        <f t="shared" si="0"/>
        <v>Sun</v>
      </c>
      <c r="B20" s="109">
        <v>41889</v>
      </c>
      <c r="C20" s="110" t="s">
        <v>555</v>
      </c>
      <c r="D20" s="111" t="s">
        <v>212</v>
      </c>
      <c r="E20" s="111" t="s">
        <v>216</v>
      </c>
      <c r="F20" s="111" t="s">
        <v>1</v>
      </c>
      <c r="G20" s="112">
        <v>289</v>
      </c>
      <c r="H20" s="111">
        <v>7</v>
      </c>
      <c r="I20" s="111"/>
      <c r="J20" s="113" t="s">
        <v>556</v>
      </c>
      <c r="K20" s="112">
        <v>183</v>
      </c>
      <c r="L20" s="111">
        <v>10</v>
      </c>
      <c r="M20" s="111"/>
      <c r="N20" s="110"/>
      <c r="O20" s="114">
        <v>37</v>
      </c>
      <c r="P20" s="114">
        <v>40</v>
      </c>
      <c r="Q20" s="115">
        <v>8</v>
      </c>
      <c r="R20" s="115">
        <v>0</v>
      </c>
      <c r="S20" s="115">
        <v>6</v>
      </c>
      <c r="T20" s="115">
        <v>1</v>
      </c>
      <c r="U20" s="115">
        <v>16</v>
      </c>
      <c r="V20" s="115">
        <v>5</v>
      </c>
      <c r="W20" s="115">
        <v>13</v>
      </c>
      <c r="X20" s="115">
        <v>2</v>
      </c>
      <c r="Y20" s="115">
        <f t="shared" si="1"/>
        <v>15</v>
      </c>
      <c r="Z20" s="115">
        <f t="shared" si="2"/>
        <v>36</v>
      </c>
      <c r="AA20" s="115">
        <f t="shared" si="3"/>
        <v>183</v>
      </c>
      <c r="AB20" s="115">
        <f t="shared" si="4"/>
        <v>289</v>
      </c>
      <c r="AC20" s="115">
        <f t="shared" si="5"/>
        <v>10</v>
      </c>
      <c r="AD20" s="115">
        <f t="shared" si="6"/>
        <v>7</v>
      </c>
      <c r="AE20" s="177">
        <f t="shared" si="7"/>
        <v>5.1903114186851208E-2</v>
      </c>
      <c r="AG20" s="26">
        <v>1</v>
      </c>
    </row>
    <row r="21" spans="1:33" x14ac:dyDescent="0.15">
      <c r="A21" s="108" t="str">
        <f t="shared" si="0"/>
        <v>Sat</v>
      </c>
      <c r="B21" s="109">
        <v>41902</v>
      </c>
      <c r="C21" s="110" t="s">
        <v>573</v>
      </c>
      <c r="D21" s="111" t="s">
        <v>212</v>
      </c>
      <c r="E21" s="111" t="s">
        <v>217</v>
      </c>
      <c r="F21" s="111" t="s">
        <v>1</v>
      </c>
      <c r="G21" s="112">
        <v>231</v>
      </c>
      <c r="H21" s="111">
        <v>6</v>
      </c>
      <c r="I21" s="111"/>
      <c r="J21" s="113"/>
      <c r="K21" s="112">
        <v>232</v>
      </c>
      <c r="L21" s="111">
        <v>6</v>
      </c>
      <c r="M21" s="111"/>
      <c r="N21" s="110" t="s">
        <v>574</v>
      </c>
      <c r="O21" s="114">
        <v>34.299999999999997</v>
      </c>
      <c r="P21" s="114">
        <v>35</v>
      </c>
      <c r="Q21" s="115">
        <v>13</v>
      </c>
      <c r="R21" s="115">
        <v>1</v>
      </c>
      <c r="S21" s="115">
        <v>11</v>
      </c>
      <c r="T21" s="115">
        <v>0</v>
      </c>
      <c r="U21" s="115">
        <v>12</v>
      </c>
      <c r="V21" s="115">
        <v>0</v>
      </c>
      <c r="W21" s="115">
        <v>6</v>
      </c>
      <c r="X21" s="115">
        <v>1</v>
      </c>
      <c r="Y21" s="115">
        <f t="shared" si="1"/>
        <v>25</v>
      </c>
      <c r="Z21" s="115">
        <f t="shared" si="2"/>
        <v>19</v>
      </c>
      <c r="AA21" s="115">
        <f t="shared" ref="AA21:AA59" si="8">IF(F21="TOCC",G21,K21)</f>
        <v>232</v>
      </c>
      <c r="AB21" s="115">
        <f t="shared" ref="AB21:AB59" si="9">IF(F21&lt;&gt;"TOCC",G21,K21)</f>
        <v>231</v>
      </c>
      <c r="AC21" s="115">
        <f t="shared" ref="AC21:AC59" si="10">IF(F21="TOCC",H21,L21)</f>
        <v>6</v>
      </c>
      <c r="AD21" s="115">
        <f t="shared" ref="AD21:AD59" si="11">IF(F21&lt;&gt;"TOCC",H21,L21)</f>
        <v>6</v>
      </c>
      <c r="AE21" s="177">
        <f t="shared" si="7"/>
        <v>0.10822510822510822</v>
      </c>
      <c r="AG21" s="26">
        <v>1</v>
      </c>
    </row>
    <row r="22" spans="1:33" x14ac:dyDescent="0.15">
      <c r="A22" s="108" t="str">
        <f t="shared" si="0"/>
        <v>Sat</v>
      </c>
      <c r="B22" s="109"/>
      <c r="C22" s="110"/>
      <c r="D22" s="111"/>
      <c r="E22" s="111"/>
      <c r="F22" s="111"/>
      <c r="G22" s="112"/>
      <c r="H22" s="111"/>
      <c r="I22" s="111"/>
      <c r="J22" s="113"/>
      <c r="K22" s="112"/>
      <c r="L22" s="111"/>
      <c r="M22" s="111"/>
      <c r="N22" s="110"/>
      <c r="O22" s="114"/>
      <c r="P22" s="114"/>
      <c r="Q22" s="115"/>
      <c r="R22" s="115"/>
      <c r="S22" s="115"/>
      <c r="T22" s="115"/>
      <c r="U22" s="115"/>
      <c r="V22" s="115"/>
      <c r="W22" s="115"/>
      <c r="X22" s="115"/>
      <c r="Y22" s="115">
        <f t="shared" si="1"/>
        <v>0</v>
      </c>
      <c r="Z22" s="115">
        <f t="shared" si="2"/>
        <v>0</v>
      </c>
      <c r="AA22" s="115">
        <f t="shared" si="8"/>
        <v>0</v>
      </c>
      <c r="AB22" s="115">
        <f t="shared" si="9"/>
        <v>0</v>
      </c>
      <c r="AC22" s="115">
        <f t="shared" si="10"/>
        <v>0</v>
      </c>
      <c r="AD22" s="115">
        <f t="shared" si="11"/>
        <v>0</v>
      </c>
      <c r="AE22" s="177" t="e">
        <f t="shared" si="7"/>
        <v>#DIV/0!</v>
      </c>
    </row>
    <row r="23" spans="1:33" x14ac:dyDescent="0.15">
      <c r="A23" s="108" t="str">
        <f t="shared" si="0"/>
        <v>Sat</v>
      </c>
      <c r="B23" s="109"/>
      <c r="C23" s="110"/>
      <c r="D23" s="111"/>
      <c r="E23" s="111"/>
      <c r="F23" s="111"/>
      <c r="G23" s="112"/>
      <c r="H23" s="111"/>
      <c r="I23" s="111"/>
      <c r="J23" s="113"/>
      <c r="K23" s="112"/>
      <c r="L23" s="111"/>
      <c r="M23" s="111"/>
      <c r="N23" s="110"/>
      <c r="O23" s="114"/>
      <c r="P23" s="114"/>
      <c r="Q23" s="115"/>
      <c r="R23" s="115"/>
      <c r="S23" s="115"/>
      <c r="T23" s="115"/>
      <c r="U23" s="115"/>
      <c r="V23" s="115"/>
      <c r="W23" s="115"/>
      <c r="X23" s="115"/>
      <c r="Y23" s="115">
        <f t="shared" si="1"/>
        <v>0</v>
      </c>
      <c r="Z23" s="115">
        <f t="shared" si="2"/>
        <v>0</v>
      </c>
      <c r="AA23" s="115">
        <f t="shared" si="8"/>
        <v>0</v>
      </c>
      <c r="AB23" s="115">
        <f t="shared" si="9"/>
        <v>0</v>
      </c>
      <c r="AC23" s="115">
        <f t="shared" si="10"/>
        <v>0</v>
      </c>
      <c r="AD23" s="115">
        <f t="shared" si="11"/>
        <v>0</v>
      </c>
      <c r="AE23" s="177" t="e">
        <f t="shared" si="7"/>
        <v>#DIV/0!</v>
      </c>
    </row>
    <row r="24" spans="1:33" x14ac:dyDescent="0.15">
      <c r="A24" s="108" t="str">
        <f t="shared" si="0"/>
        <v>Sat</v>
      </c>
      <c r="B24" s="109"/>
      <c r="C24" s="110"/>
      <c r="D24" s="111"/>
      <c r="E24" s="111"/>
      <c r="F24" s="111"/>
      <c r="G24" s="112"/>
      <c r="H24" s="111"/>
      <c r="I24" s="111"/>
      <c r="J24" s="113"/>
      <c r="K24" s="112"/>
      <c r="L24" s="111"/>
      <c r="M24" s="111"/>
      <c r="N24" s="110"/>
      <c r="O24" s="114"/>
      <c r="P24" s="114"/>
      <c r="Q24" s="115"/>
      <c r="R24" s="115"/>
      <c r="S24" s="115"/>
      <c r="T24" s="115"/>
      <c r="U24" s="115"/>
      <c r="V24" s="115"/>
      <c r="W24" s="115"/>
      <c r="X24" s="115"/>
      <c r="Y24" s="115">
        <f t="shared" si="1"/>
        <v>0</v>
      </c>
      <c r="Z24" s="115">
        <f t="shared" si="2"/>
        <v>0</v>
      </c>
      <c r="AA24" s="115">
        <f t="shared" si="8"/>
        <v>0</v>
      </c>
      <c r="AB24" s="115">
        <f t="shared" si="9"/>
        <v>0</v>
      </c>
      <c r="AC24" s="115">
        <f t="shared" si="10"/>
        <v>0</v>
      </c>
      <c r="AD24" s="115">
        <f t="shared" si="11"/>
        <v>0</v>
      </c>
      <c r="AE24" s="177" t="e">
        <f t="shared" si="7"/>
        <v>#DIV/0!</v>
      </c>
    </row>
    <row r="25" spans="1:33" x14ac:dyDescent="0.15">
      <c r="A25" s="108" t="str">
        <f t="shared" si="0"/>
        <v>Sat</v>
      </c>
      <c r="B25" s="109"/>
      <c r="C25" s="110"/>
      <c r="D25" s="111"/>
      <c r="E25" s="111"/>
      <c r="F25" s="111"/>
      <c r="G25" s="112"/>
      <c r="H25" s="111"/>
      <c r="I25" s="111"/>
      <c r="J25" s="113"/>
      <c r="K25" s="112"/>
      <c r="L25" s="111"/>
      <c r="M25" s="111"/>
      <c r="N25" s="110"/>
      <c r="O25" s="114"/>
      <c r="P25" s="114"/>
      <c r="Q25" s="115"/>
      <c r="R25" s="115"/>
      <c r="S25" s="115"/>
      <c r="T25" s="115"/>
      <c r="U25" s="115"/>
      <c r="V25" s="115"/>
      <c r="W25" s="115"/>
      <c r="X25" s="115"/>
      <c r="Y25" s="115">
        <f t="shared" si="1"/>
        <v>0</v>
      </c>
      <c r="Z25" s="115">
        <f t="shared" si="2"/>
        <v>0</v>
      </c>
      <c r="AA25" s="115">
        <f t="shared" si="8"/>
        <v>0</v>
      </c>
      <c r="AB25" s="115">
        <f t="shared" si="9"/>
        <v>0</v>
      </c>
      <c r="AC25" s="115">
        <f t="shared" si="10"/>
        <v>0</v>
      </c>
      <c r="AD25" s="115">
        <f t="shared" si="11"/>
        <v>0</v>
      </c>
      <c r="AE25" s="177" t="e">
        <f t="shared" si="7"/>
        <v>#DIV/0!</v>
      </c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8"/>
        <v>0</v>
      </c>
      <c r="AB26" s="115">
        <f t="shared" si="9"/>
        <v>0</v>
      </c>
      <c r="AC26" s="115">
        <f t="shared" si="10"/>
        <v>0</v>
      </c>
      <c r="AD26" s="115">
        <f t="shared" si="11"/>
        <v>0</v>
      </c>
      <c r="AE26" s="177" t="e">
        <f t="shared" si="7"/>
        <v>#DIV/0!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5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8"/>
        <v>0</v>
      </c>
      <c r="AB27" s="115">
        <f t="shared" si="9"/>
        <v>0</v>
      </c>
      <c r="AC27" s="115">
        <f t="shared" si="10"/>
        <v>0</v>
      </c>
      <c r="AD27" s="115">
        <f t="shared" si="11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2">SUM(Q28:T28)</f>
        <v>0</v>
      </c>
      <c r="Z28" s="115">
        <f t="shared" ref="Z28:Z59" si="13">SUM(U28:X28)</f>
        <v>0</v>
      </c>
      <c r="AA28" s="115">
        <f t="shared" si="8"/>
        <v>0</v>
      </c>
      <c r="AB28" s="115">
        <f t="shared" si="9"/>
        <v>0</v>
      </c>
      <c r="AC28" s="115">
        <f t="shared" si="10"/>
        <v>0</v>
      </c>
      <c r="AD28" s="115">
        <f t="shared" si="11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2"/>
        <v>0</v>
      </c>
      <c r="Z29" s="115">
        <f t="shared" si="13"/>
        <v>0</v>
      </c>
      <c r="AA29" s="115">
        <f t="shared" si="8"/>
        <v>0</v>
      </c>
      <c r="AB29" s="115">
        <f t="shared" si="9"/>
        <v>0</v>
      </c>
      <c r="AC29" s="115">
        <f t="shared" si="10"/>
        <v>0</v>
      </c>
      <c r="AD29" s="115">
        <f t="shared" si="11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2"/>
        <v>0</v>
      </c>
      <c r="Z30" s="115">
        <f t="shared" si="13"/>
        <v>0</v>
      </c>
      <c r="AA30" s="115">
        <f t="shared" si="8"/>
        <v>0</v>
      </c>
      <c r="AB30" s="115">
        <f t="shared" si="9"/>
        <v>0</v>
      </c>
      <c r="AC30" s="115">
        <f t="shared" si="10"/>
        <v>0</v>
      </c>
      <c r="AD30" s="115">
        <f t="shared" si="11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2"/>
        <v>0</v>
      </c>
      <c r="Z31" s="115">
        <f t="shared" si="13"/>
        <v>0</v>
      </c>
      <c r="AA31" s="115">
        <f t="shared" si="8"/>
        <v>0</v>
      </c>
      <c r="AB31" s="115">
        <f t="shared" si="9"/>
        <v>0</v>
      </c>
      <c r="AC31" s="115">
        <f t="shared" si="10"/>
        <v>0</v>
      </c>
      <c r="AD31" s="115">
        <f t="shared" si="11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2"/>
        <v>0</v>
      </c>
      <c r="Z32" s="115">
        <f t="shared" si="13"/>
        <v>0</v>
      </c>
      <c r="AA32" s="115">
        <f t="shared" si="8"/>
        <v>0</v>
      </c>
      <c r="AB32" s="115">
        <f t="shared" si="9"/>
        <v>0</v>
      </c>
      <c r="AC32" s="115">
        <f t="shared" si="10"/>
        <v>0</v>
      </c>
      <c r="AD32" s="115">
        <f t="shared" si="11"/>
        <v>0</v>
      </c>
    </row>
    <row r="33" spans="1:30" x14ac:dyDescent="0.15">
      <c r="A33" s="108" t="str">
        <f t="shared" si="0"/>
        <v>Sat</v>
      </c>
      <c r="B33" s="109"/>
      <c r="C33" s="172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2"/>
        <v>0</v>
      </c>
      <c r="Z33" s="115">
        <f t="shared" si="13"/>
        <v>0</v>
      </c>
      <c r="AA33" s="115">
        <f t="shared" si="8"/>
        <v>0</v>
      </c>
      <c r="AB33" s="115">
        <f t="shared" si="9"/>
        <v>0</v>
      </c>
      <c r="AC33" s="115">
        <f t="shared" si="10"/>
        <v>0</v>
      </c>
      <c r="AD33" s="115">
        <f t="shared" si="11"/>
        <v>0</v>
      </c>
    </row>
    <row r="34" spans="1:30" x14ac:dyDescent="0.15">
      <c r="A34" s="108" t="str">
        <f t="shared" si="0"/>
        <v>Sat</v>
      </c>
      <c r="B34" s="109"/>
      <c r="C34" s="173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2"/>
        <v>0</v>
      </c>
      <c r="Z34" s="115">
        <f t="shared" si="13"/>
        <v>0</v>
      </c>
      <c r="AA34" s="115">
        <f t="shared" si="8"/>
        <v>0</v>
      </c>
      <c r="AB34" s="115">
        <f t="shared" si="9"/>
        <v>0</v>
      </c>
      <c r="AC34" s="115">
        <f t="shared" si="10"/>
        <v>0</v>
      </c>
      <c r="AD34" s="115">
        <f t="shared" si="11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2"/>
        <v>0</v>
      </c>
      <c r="Z35" s="115">
        <f t="shared" si="13"/>
        <v>0</v>
      </c>
      <c r="AA35" s="115">
        <f t="shared" si="8"/>
        <v>0</v>
      </c>
      <c r="AB35" s="115">
        <f t="shared" si="9"/>
        <v>0</v>
      </c>
      <c r="AC35" s="115">
        <f t="shared" si="10"/>
        <v>0</v>
      </c>
      <c r="AD35" s="115">
        <f t="shared" si="11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2"/>
        <v>0</v>
      </c>
      <c r="Z36" s="115">
        <f t="shared" si="13"/>
        <v>0</v>
      </c>
      <c r="AA36" s="115">
        <f t="shared" si="8"/>
        <v>0</v>
      </c>
      <c r="AB36" s="115">
        <f t="shared" si="9"/>
        <v>0</v>
      </c>
      <c r="AC36" s="115">
        <f t="shared" si="10"/>
        <v>0</v>
      </c>
      <c r="AD36" s="115">
        <f t="shared" si="11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2"/>
        <v>0</v>
      </c>
      <c r="Z37" s="115">
        <f t="shared" si="13"/>
        <v>0</v>
      </c>
      <c r="AA37" s="115">
        <f t="shared" si="8"/>
        <v>0</v>
      </c>
      <c r="AB37" s="115">
        <f t="shared" si="9"/>
        <v>0</v>
      </c>
      <c r="AC37" s="115">
        <f t="shared" si="10"/>
        <v>0</v>
      </c>
      <c r="AD37" s="115">
        <f t="shared" si="11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2"/>
        <v>0</v>
      </c>
      <c r="Z38" s="115">
        <f t="shared" si="13"/>
        <v>0</v>
      </c>
      <c r="AA38" s="115">
        <f t="shared" si="8"/>
        <v>0</v>
      </c>
      <c r="AB38" s="115">
        <f t="shared" si="9"/>
        <v>0</v>
      </c>
      <c r="AC38" s="115">
        <f t="shared" si="10"/>
        <v>0</v>
      </c>
      <c r="AD38" s="115">
        <f t="shared" si="11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2"/>
        <v>0</v>
      </c>
      <c r="Z39" s="115">
        <f t="shared" si="13"/>
        <v>0</v>
      </c>
      <c r="AA39" s="115">
        <f t="shared" si="8"/>
        <v>0</v>
      </c>
      <c r="AB39" s="115">
        <f t="shared" si="9"/>
        <v>0</v>
      </c>
      <c r="AC39" s="115">
        <f t="shared" si="10"/>
        <v>0</v>
      </c>
      <c r="AD39" s="115">
        <f t="shared" si="11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2"/>
        <v>0</v>
      </c>
      <c r="Z40" s="115">
        <f t="shared" si="13"/>
        <v>0</v>
      </c>
      <c r="AA40" s="115">
        <f t="shared" si="8"/>
        <v>0</v>
      </c>
      <c r="AB40" s="115">
        <f t="shared" si="9"/>
        <v>0</v>
      </c>
      <c r="AC40" s="115">
        <f t="shared" si="10"/>
        <v>0</v>
      </c>
      <c r="AD40" s="115">
        <f t="shared" si="11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2"/>
        <v>0</v>
      </c>
      <c r="Z41" s="115">
        <f t="shared" si="13"/>
        <v>0</v>
      </c>
      <c r="AA41" s="115">
        <f t="shared" si="8"/>
        <v>0</v>
      </c>
      <c r="AB41" s="115">
        <f t="shared" si="9"/>
        <v>0</v>
      </c>
      <c r="AC41" s="115">
        <f t="shared" si="10"/>
        <v>0</v>
      </c>
      <c r="AD41" s="115">
        <f t="shared" si="11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2"/>
        <v>0</v>
      </c>
      <c r="Z42" s="115">
        <f t="shared" si="13"/>
        <v>0</v>
      </c>
      <c r="AA42" s="115">
        <f t="shared" si="8"/>
        <v>0</v>
      </c>
      <c r="AB42" s="115">
        <f t="shared" si="9"/>
        <v>0</v>
      </c>
      <c r="AC42" s="115">
        <f t="shared" si="10"/>
        <v>0</v>
      </c>
      <c r="AD42" s="115">
        <f t="shared" si="11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2"/>
        <v>0</v>
      </c>
      <c r="Z43" s="115">
        <f t="shared" si="13"/>
        <v>0</v>
      </c>
      <c r="AA43" s="115">
        <f t="shared" si="8"/>
        <v>0</v>
      </c>
      <c r="AB43" s="115">
        <f t="shared" si="9"/>
        <v>0</v>
      </c>
      <c r="AC43" s="115">
        <f t="shared" si="10"/>
        <v>0</v>
      </c>
      <c r="AD43" s="115">
        <f t="shared" si="11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2"/>
        <v>0</v>
      </c>
      <c r="Z44" s="115">
        <f t="shared" si="13"/>
        <v>0</v>
      </c>
      <c r="AA44" s="115">
        <f t="shared" si="8"/>
        <v>0</v>
      </c>
      <c r="AB44" s="115">
        <f t="shared" si="9"/>
        <v>0</v>
      </c>
      <c r="AC44" s="115">
        <f t="shared" si="10"/>
        <v>0</v>
      </c>
      <c r="AD44" s="115">
        <f t="shared" si="11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2"/>
        <v>0</v>
      </c>
      <c r="Z45" s="115">
        <f t="shared" si="13"/>
        <v>0</v>
      </c>
      <c r="AA45" s="115">
        <f t="shared" si="8"/>
        <v>0</v>
      </c>
      <c r="AB45" s="115">
        <f t="shared" si="9"/>
        <v>0</v>
      </c>
      <c r="AC45" s="115">
        <f t="shared" si="10"/>
        <v>0</v>
      </c>
      <c r="AD45" s="115">
        <f t="shared" si="11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2"/>
        <v>0</v>
      </c>
      <c r="Z46" s="115">
        <f t="shared" si="13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2"/>
        <v>0</v>
      </c>
      <c r="Z47" s="115">
        <f t="shared" si="13"/>
        <v>0</v>
      </c>
      <c r="AA47" s="115">
        <f t="shared" si="8"/>
        <v>0</v>
      </c>
      <c r="AB47" s="115">
        <f t="shared" si="9"/>
        <v>0</v>
      </c>
      <c r="AC47" s="115">
        <f t="shared" si="10"/>
        <v>0</v>
      </c>
      <c r="AD47" s="115">
        <f t="shared" si="11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2"/>
        <v>0</v>
      </c>
      <c r="Z48" s="115">
        <f t="shared" si="13"/>
        <v>0</v>
      </c>
      <c r="AA48" s="115">
        <f t="shared" si="8"/>
        <v>0</v>
      </c>
      <c r="AB48" s="115">
        <f t="shared" si="9"/>
        <v>0</v>
      </c>
      <c r="AC48" s="115">
        <f t="shared" si="10"/>
        <v>0</v>
      </c>
      <c r="AD48" s="115">
        <f t="shared" si="11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2"/>
        <v>0</v>
      </c>
      <c r="Z49" s="115">
        <f t="shared" si="13"/>
        <v>0</v>
      </c>
      <c r="AA49" s="115">
        <f t="shared" si="8"/>
        <v>0</v>
      </c>
      <c r="AB49" s="115">
        <f t="shared" si="9"/>
        <v>0</v>
      </c>
      <c r="AC49" s="115">
        <f t="shared" si="10"/>
        <v>0</v>
      </c>
      <c r="AD49" s="115">
        <f t="shared" si="11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2"/>
        <v>0</v>
      </c>
      <c r="Z50" s="115">
        <f t="shared" si="13"/>
        <v>0</v>
      </c>
      <c r="AA50" s="115">
        <f t="shared" si="8"/>
        <v>0</v>
      </c>
      <c r="AB50" s="115">
        <f t="shared" si="9"/>
        <v>0</v>
      </c>
      <c r="AC50" s="115">
        <f t="shared" si="10"/>
        <v>0</v>
      </c>
      <c r="AD50" s="115">
        <f t="shared" si="11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2"/>
        <v>0</v>
      </c>
      <c r="Z51" s="115">
        <f t="shared" si="13"/>
        <v>0</v>
      </c>
      <c r="AA51" s="115">
        <f t="shared" si="8"/>
        <v>0</v>
      </c>
      <c r="AB51" s="115">
        <f t="shared" si="9"/>
        <v>0</v>
      </c>
      <c r="AC51" s="115">
        <f t="shared" si="10"/>
        <v>0</v>
      </c>
      <c r="AD51" s="115">
        <f t="shared" si="11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2"/>
        <v>0</v>
      </c>
      <c r="Z52" s="115">
        <f t="shared" si="13"/>
        <v>0</v>
      </c>
      <c r="AA52" s="115">
        <f t="shared" si="8"/>
        <v>0</v>
      </c>
      <c r="AB52" s="115">
        <f t="shared" si="9"/>
        <v>0</v>
      </c>
      <c r="AC52" s="115">
        <f t="shared" si="10"/>
        <v>0</v>
      </c>
      <c r="AD52" s="115">
        <f t="shared" si="11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2"/>
        <v>0</v>
      </c>
      <c r="Z53" s="115">
        <f t="shared" si="13"/>
        <v>0</v>
      </c>
      <c r="AA53" s="115">
        <f t="shared" si="8"/>
        <v>0</v>
      </c>
      <c r="AB53" s="115">
        <f t="shared" si="9"/>
        <v>0</v>
      </c>
      <c r="AC53" s="115">
        <f t="shared" si="10"/>
        <v>0</v>
      </c>
      <c r="AD53" s="115">
        <f t="shared" si="11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2"/>
        <v>0</v>
      </c>
      <c r="Z54" s="115">
        <f t="shared" si="13"/>
        <v>0</v>
      </c>
      <c r="AA54" s="115">
        <f t="shared" si="8"/>
        <v>0</v>
      </c>
      <c r="AB54" s="115">
        <f t="shared" si="9"/>
        <v>0</v>
      </c>
      <c r="AC54" s="115">
        <f t="shared" si="10"/>
        <v>0</v>
      </c>
      <c r="AD54" s="115">
        <f t="shared" si="11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2"/>
        <v>0</v>
      </c>
      <c r="Z55" s="115">
        <f t="shared" si="13"/>
        <v>0</v>
      </c>
      <c r="AA55" s="115">
        <f t="shared" si="8"/>
        <v>0</v>
      </c>
      <c r="AB55" s="115">
        <f t="shared" si="9"/>
        <v>0</v>
      </c>
      <c r="AC55" s="115">
        <f t="shared" si="10"/>
        <v>0</v>
      </c>
      <c r="AD55" s="115">
        <f t="shared" si="11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2"/>
        <v>0</v>
      </c>
      <c r="Z56" s="115">
        <f t="shared" si="13"/>
        <v>0</v>
      </c>
      <c r="AA56" s="115">
        <f t="shared" si="8"/>
        <v>0</v>
      </c>
      <c r="AB56" s="115">
        <f t="shared" si="9"/>
        <v>0</v>
      </c>
      <c r="AC56" s="115">
        <f t="shared" si="10"/>
        <v>0</v>
      </c>
      <c r="AD56" s="115">
        <f t="shared" si="11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2"/>
        <v>0</v>
      </c>
      <c r="Z57" s="115">
        <f t="shared" si="13"/>
        <v>0</v>
      </c>
      <c r="AA57" s="115">
        <f t="shared" si="8"/>
        <v>0</v>
      </c>
      <c r="AB57" s="115">
        <f t="shared" si="9"/>
        <v>0</v>
      </c>
      <c r="AC57" s="115">
        <f t="shared" si="10"/>
        <v>0</v>
      </c>
      <c r="AD57" s="115">
        <f t="shared" si="11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103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2"/>
        <v>0</v>
      </c>
      <c r="Z58" s="115">
        <f t="shared" si="13"/>
        <v>0</v>
      </c>
      <c r="AA58" s="115">
        <f t="shared" si="8"/>
        <v>0</v>
      </c>
      <c r="AB58" s="115">
        <f t="shared" si="9"/>
        <v>0</v>
      </c>
      <c r="AC58" s="115">
        <f t="shared" si="10"/>
        <v>0</v>
      </c>
      <c r="AD58" s="115">
        <f t="shared" si="11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103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2"/>
        <v>0</v>
      </c>
      <c r="Z59" s="115">
        <f t="shared" si="13"/>
        <v>0</v>
      </c>
      <c r="AA59" s="115">
        <f t="shared" si="8"/>
        <v>0</v>
      </c>
      <c r="AB59" s="115">
        <f t="shared" si="9"/>
        <v>0</v>
      </c>
      <c r="AC59" s="115">
        <f t="shared" si="10"/>
        <v>0</v>
      </c>
      <c r="AD59" s="115">
        <f t="shared" si="11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147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556</v>
      </c>
      <c r="P63" s="36">
        <f t="array" ref="P63">SUM(FLOOR(P5:P59,1))</f>
        <v>557</v>
      </c>
      <c r="Q63" s="37">
        <f>SUM(Q5:Q59)</f>
        <v>115</v>
      </c>
      <c r="R63" s="37">
        <f t="shared" ref="R63:Z63" si="14">SUM(R5:R59)</f>
        <v>14</v>
      </c>
      <c r="S63" s="37">
        <f t="shared" si="14"/>
        <v>78</v>
      </c>
      <c r="T63" s="37">
        <f t="shared" si="14"/>
        <v>34</v>
      </c>
      <c r="U63" s="37">
        <f t="shared" si="14"/>
        <v>146</v>
      </c>
      <c r="V63" s="37">
        <f t="shared" si="14"/>
        <v>20</v>
      </c>
      <c r="W63" s="37">
        <f t="shared" si="14"/>
        <v>105</v>
      </c>
      <c r="X63" s="37">
        <f t="shared" si="14"/>
        <v>32</v>
      </c>
      <c r="Y63" s="37">
        <f t="shared" si="14"/>
        <v>241</v>
      </c>
      <c r="Z63" s="37">
        <f t="shared" si="14"/>
        <v>303</v>
      </c>
      <c r="AA63" s="26">
        <f>SUM(AA5:AA59)</f>
        <v>2552</v>
      </c>
      <c r="AB63" s="26">
        <f>SUM(AB5:AB59)</f>
        <v>2830</v>
      </c>
      <c r="AC63" s="26">
        <f>SUM(AC5:AC59)</f>
        <v>113</v>
      </c>
      <c r="AD63" s="26">
        <f>SUM(AD5:AD59)</f>
        <v>94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12.999999999999972</v>
      </c>
      <c r="P64" s="36">
        <f t="array" ref="P64">SUM(P5:P59-FLOOR(P5:P59,1))*10</f>
        <v>12.000000000000028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146</v>
      </c>
      <c r="O65" s="36">
        <f>O63*6+O64</f>
        <v>3349</v>
      </c>
      <c r="P65" s="36">
        <f>P63*6+P64</f>
        <v>3354</v>
      </c>
      <c r="Q65" s="37"/>
      <c r="R65" s="37"/>
      <c r="S65" s="37">
        <f>MAX(S7:S59)</f>
        <v>11</v>
      </c>
      <c r="T65" s="37"/>
      <c r="U65" s="37"/>
      <c r="V65" s="37"/>
      <c r="W65" s="37">
        <f>MAX(W7:W59)</f>
        <v>14</v>
      </c>
      <c r="X65" s="37"/>
      <c r="Z65" s="26" t="s">
        <v>35</v>
      </c>
      <c r="AA65" s="26">
        <f>AA63/AC63</f>
        <v>22.584070796460178</v>
      </c>
      <c r="AB65" s="26">
        <f>AB63/AD63</f>
        <v>30.106382978723403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193</v>
      </c>
      <c r="O66" s="36">
        <f>INT(O65/6)+(O65-INT(O65/6)*6)/10</f>
        <v>558.1</v>
      </c>
      <c r="P66" s="36">
        <f>INT(P65/6)+(P65-INT(P65/6)*6)/10</f>
        <v>559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194</v>
      </c>
      <c r="O67" s="36">
        <f>AA63/O65*100</f>
        <v>76.201851298895193</v>
      </c>
      <c r="P67" s="36">
        <f>AB63/P65*100</f>
        <v>84.376863446630892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115</v>
      </c>
      <c r="R68" s="26">
        <f t="shared" ref="R68:T68" si="15">$Y$63*R63/SUM($Q$63:$T$63)</f>
        <v>14</v>
      </c>
      <c r="S68" s="26">
        <f t="shared" si="15"/>
        <v>78</v>
      </c>
      <c r="T68" s="26">
        <f t="shared" si="15"/>
        <v>34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3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J1553"/>
  <sheetViews>
    <sheetView zoomScaleNormal="100" workbookViewId="0">
      <pane xSplit="3" ySplit="4" topLeftCell="G5" activePane="bottomRight" state="frozenSplit"/>
      <selection pane="topRight" activeCell="D1" sqref="D1"/>
      <selection pane="bottomLeft" activeCell="A4" sqref="A4"/>
      <selection pane="bottomRight" activeCell="G39" sqref="G39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hidden="1" customWidth="1"/>
    <col min="24" max="24" width="13.85546875" style="68" hidden="1" customWidth="1"/>
    <col min="25" max="25" width="14.28515625" style="68" hidden="1" customWidth="1"/>
    <col min="26" max="26" width="14.42578125" style="68" hidden="1" customWidth="1"/>
    <col min="27" max="27" width="13.85546875" style="68" hidden="1" customWidth="1"/>
    <col min="28" max="28" width="14.5703125" style="68" hidden="1" customWidth="1"/>
    <col min="29" max="29" width="12.42578125" style="68" hidden="1" customWidth="1"/>
    <col min="30" max="30" width="13.5703125" style="68" hidden="1" customWidth="1"/>
    <col min="31" max="31" width="14.28515625" style="68" hidden="1" customWidth="1"/>
    <col min="32" max="81" width="2.7109375" style="68" hidden="1" customWidth="1"/>
    <col min="8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2" width="4.140625" style="68" customWidth="1"/>
    <col min="103" max="103" width="7.7109375" style="68" bestFit="1" customWidth="1"/>
    <col min="104" max="105" width="8.140625" style="68" bestFit="1" customWidth="1"/>
    <col min="106" max="106" width="5.42578125" style="68" bestFit="1" customWidth="1"/>
    <col min="107" max="107" width="9.5703125" style="68" bestFit="1" customWidth="1"/>
    <col min="108" max="108" width="6.5703125" style="68" bestFit="1" customWidth="1"/>
    <col min="109" max="109" width="5.140625" style="68" bestFit="1" customWidth="1"/>
    <col min="110" max="110" width="11" style="68" bestFit="1" customWidth="1"/>
    <col min="111" max="112" width="5.140625" style="68" bestFit="1" customWidth="1"/>
    <col min="113" max="16384" width="9.140625" style="68"/>
  </cols>
  <sheetData>
    <row r="1" spans="1:114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41756</v>
      </c>
      <c r="E1" s="65">
        <v>41763</v>
      </c>
      <c r="F1" s="65">
        <v>41777</v>
      </c>
      <c r="G1" s="65">
        <v>41784</v>
      </c>
      <c r="H1" s="65">
        <v>41785</v>
      </c>
      <c r="I1" s="65">
        <v>41791</v>
      </c>
      <c r="J1" s="65">
        <v>41798</v>
      </c>
      <c r="K1" s="65">
        <v>41805</v>
      </c>
      <c r="L1" s="65">
        <v>41812</v>
      </c>
      <c r="M1" s="65">
        <v>41819</v>
      </c>
      <c r="N1" s="65">
        <v>41826</v>
      </c>
      <c r="O1" s="65">
        <v>41833</v>
      </c>
      <c r="P1" s="65">
        <v>41840</v>
      </c>
      <c r="Q1" s="65">
        <v>41875</v>
      </c>
      <c r="R1" s="65">
        <v>41882</v>
      </c>
      <c r="S1" s="65">
        <v>41889</v>
      </c>
      <c r="T1" s="65">
        <v>41902</v>
      </c>
      <c r="U1" s="65">
        <v>0</v>
      </c>
      <c r="V1" s="65">
        <v>0</v>
      </c>
      <c r="W1" s="65">
        <v>0</v>
      </c>
      <c r="X1" s="65">
        <v>0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4" ht="83.25" customHeight="1" x14ac:dyDescent="0.15">
      <c r="C2" s="53" t="str">
        <v>Opp</v>
      </c>
      <c r="D2" s="69" t="str">
        <v>Deando-Ruxley</v>
      </c>
      <c r="E2" s="69" t="str">
        <v>Woodgreen</v>
      </c>
      <c r="F2" s="69" t="str">
        <v>Churchleigh</v>
      </c>
      <c r="G2" s="69" t="str">
        <v>Woodgreen</v>
      </c>
      <c r="H2" s="69" t="str">
        <v>Steeple Langford</v>
      </c>
      <c r="I2" s="69" t="str">
        <v>Norwood Exiles</v>
      </c>
      <c r="J2" s="69" t="str">
        <v>Putney</v>
      </c>
      <c r="K2" s="69" t="str">
        <v>LESSA</v>
      </c>
      <c r="L2" s="69" t="str">
        <v>Merstham</v>
      </c>
      <c r="M2" s="69" t="str">
        <v>RACS</v>
      </c>
      <c r="N2" s="69" t="str">
        <v>Southbank</v>
      </c>
      <c r="O2" s="69" t="str">
        <v>S Railway/Kenley</v>
      </c>
      <c r="P2" s="69" t="str">
        <v>LESSA</v>
      </c>
      <c r="Q2" s="69" t="str">
        <v>Norwood Exiles</v>
      </c>
      <c r="R2" s="69" t="str">
        <v>Sanderstead</v>
      </c>
      <c r="S2" s="69" t="str">
        <v>Norwood</v>
      </c>
      <c r="T2" s="69" t="str">
        <v>Living Word</v>
      </c>
      <c r="U2" s="69">
        <v>0</v>
      </c>
      <c r="V2" s="69">
        <v>0</v>
      </c>
      <c r="W2" s="69">
        <v>0</v>
      </c>
      <c r="X2" s="69">
        <v>0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4" x14ac:dyDescent="0.15">
      <c r="C3" s="53" t="str">
        <v>Venue</v>
      </c>
      <c r="D3" s="53" t="str">
        <v>A</v>
      </c>
      <c r="E3" s="53" t="str">
        <v>H</v>
      </c>
      <c r="F3" s="53" t="str">
        <v>H</v>
      </c>
      <c r="G3" s="53" t="str">
        <v>A</v>
      </c>
      <c r="H3" s="53" t="str">
        <v>A</v>
      </c>
      <c r="I3" s="53" t="str">
        <v>A</v>
      </c>
      <c r="J3" s="53" t="str">
        <v>H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H</v>
      </c>
      <c r="Q3" s="53" t="str">
        <v>H</v>
      </c>
      <c r="R3" s="53" t="str">
        <v>A</v>
      </c>
      <c r="S3" s="53" t="str">
        <v>H</v>
      </c>
      <c r="T3" s="53" t="str">
        <v>H</v>
      </c>
      <c r="U3" s="53">
        <v>0</v>
      </c>
      <c r="V3" s="53">
        <v>0</v>
      </c>
      <c r="W3" s="53">
        <v>0</v>
      </c>
      <c r="X3" s="53">
        <v>0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4" x14ac:dyDescent="0.15">
      <c r="C4" s="53" t="str">
        <v>Result</v>
      </c>
      <c r="D4" s="68" t="str">
        <v>L</v>
      </c>
      <c r="E4" s="53" t="str">
        <v>W</v>
      </c>
      <c r="F4" s="53" t="str">
        <v>W</v>
      </c>
      <c r="G4" s="53" t="str">
        <v>L</v>
      </c>
      <c r="H4" s="53">
        <v>0</v>
      </c>
      <c r="I4" s="53" t="str">
        <v>L</v>
      </c>
      <c r="J4" s="53" t="str">
        <v>W</v>
      </c>
      <c r="K4" s="53" t="str">
        <v>L</v>
      </c>
      <c r="L4" s="53" t="str">
        <v>L</v>
      </c>
      <c r="M4" s="53" t="str">
        <v>ND</v>
      </c>
      <c r="N4" s="53" t="str">
        <v>L</v>
      </c>
      <c r="O4" s="53" t="str">
        <v>W</v>
      </c>
      <c r="P4" s="53" t="str">
        <v>D</v>
      </c>
      <c r="Q4" s="53" t="str">
        <v>L</v>
      </c>
      <c r="R4" s="53" t="str">
        <v>L</v>
      </c>
      <c r="S4" s="53" t="str">
        <v>L</v>
      </c>
      <c r="T4" s="53" t="str">
        <v>W</v>
      </c>
      <c r="U4" s="53">
        <v>0</v>
      </c>
      <c r="V4" s="53">
        <v>0</v>
      </c>
      <c r="W4" s="53">
        <v>0</v>
      </c>
      <c r="X4" s="53">
        <v>0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121</v>
      </c>
      <c r="CJ4" s="49" t="s">
        <v>137</v>
      </c>
      <c r="CK4" s="49" t="s">
        <v>9</v>
      </c>
      <c r="CL4" s="46" t="s">
        <v>35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200</v>
      </c>
      <c r="CX4" s="74" t="s">
        <v>659</v>
      </c>
      <c r="CY4" s="74" t="s">
        <v>233</v>
      </c>
      <c r="CZ4" s="49" t="s">
        <v>21</v>
      </c>
      <c r="DA4" s="49" t="s">
        <v>22</v>
      </c>
      <c r="DB4" s="49" t="s">
        <v>23</v>
      </c>
      <c r="DC4" s="49" t="s">
        <v>24</v>
      </c>
      <c r="DD4" s="68" t="s">
        <v>122</v>
      </c>
      <c r="DE4" s="68" t="s">
        <v>123</v>
      </c>
      <c r="DF4" s="68" t="s">
        <v>135</v>
      </c>
      <c r="DG4" s="68" t="s">
        <v>134</v>
      </c>
      <c r="DH4" s="68" t="s">
        <v>141</v>
      </c>
      <c r="DI4" s="68" t="s">
        <v>152</v>
      </c>
      <c r="DJ4" s="68" t="s">
        <v>154</v>
      </c>
    </row>
    <row r="5" spans="1:114" x14ac:dyDescent="0.15">
      <c r="B5" t="s">
        <v>363</v>
      </c>
      <c r="C5" t="s">
        <v>362</v>
      </c>
      <c r="D5"/>
      <c r="E5"/>
      <c r="F5" s="122"/>
      <c r="G5" s="122"/>
      <c r="H5"/>
      <c r="I5" t="s">
        <v>364</v>
      </c>
      <c r="J5"/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>
        <f t="shared" ref="CE5" si="0">BatSplit(D5:CD5,MatchesPlayed)</f>
        <v>1</v>
      </c>
      <c r="CF5" s="68">
        <f t="shared" ref="CF5" si="1">CE5-CG5</f>
        <v>0</v>
      </c>
      <c r="CG5" s="68">
        <f t="shared" ref="CG5" si="2">BatSplit(D5:CD5,InnsBattedIn)</f>
        <v>1</v>
      </c>
      <c r="CH5" s="68">
        <f t="shared" ref="CH5" si="3">BatSplit(D5:CD5,NotOuts)</f>
        <v>0</v>
      </c>
      <c r="CI5" s="68">
        <f t="shared" ref="CI5" si="4">BatSplit(D5:CD5,HighestScore)</f>
        <v>1</v>
      </c>
      <c r="CJ5" s="72">
        <f t="shared" ref="CJ5" si="5">IF(CI5&lt;0,-CI5&amp;"*",CI5)</f>
        <v>1</v>
      </c>
      <c r="CK5" s="68">
        <f t="shared" ref="CK5" si="6">BatSplit(D5:CD5,RunsScored)</f>
        <v>1</v>
      </c>
      <c r="CL5" s="70">
        <f t="shared" ref="CL5" si="7">IF(CG5=CH5,0,CK5/(CG5-CH5))</f>
        <v>1</v>
      </c>
      <c r="CM5" s="68">
        <f t="shared" ref="CM5" si="8">BatSplit(D5:CD5,BatPts)</f>
        <v>1</v>
      </c>
      <c r="CN5" s="68">
        <f t="shared" ref="CN5" si="9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10">BatSplit(D5:CD5,Ducks)</f>
        <v>0</v>
      </c>
      <c r="CR5" s="71">
        <f t="array" ref="CR5">SUM(IF(ISERR(FIND(CR$4,$D5:$CD5)),0,1))</f>
        <v>0</v>
      </c>
      <c r="CS5" s="71">
        <f t="array" ref="CS5">SUM(IF(ISERR(FIND(CS$4,$D5:$CD5)),0,1))</f>
        <v>1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shared" ref="CY5" si="11">BatSplit(D5:CD5,Fifties)</f>
        <v>0</v>
      </c>
      <c r="CZ5" s="71">
        <f t="shared" ref="CZ5" si="12">BatSplit(D5:CD5,Catches)</f>
        <v>0</v>
      </c>
      <c r="DA5" s="71">
        <f t="shared" ref="DA5" si="13">BatSplit(D5:CD5,Fours)</f>
        <v>0</v>
      </c>
      <c r="DB5" s="71">
        <f t="shared" ref="DB5" si="14">BatSplit(D5:CD5,Sixes)</f>
        <v>0</v>
      </c>
      <c r="DC5" s="71">
        <f t="shared" ref="DC5" si="15">BatSplit(D5:CD5,Stumpings)</f>
        <v>0</v>
      </c>
      <c r="DD5" s="71">
        <f t="shared" ref="DD5" si="16">BatSplit(D5:CD5,CaughtWkt)</f>
        <v>0</v>
      </c>
      <c r="DE5" s="71">
        <f t="shared" ref="DE5" si="17">BatSplit(D5:CD5,TwentyFives)</f>
        <v>0</v>
      </c>
      <c r="DF5" s="68">
        <f t="shared" ref="DF5" si="18">ROUND(IF(ISERROR(CL5),0,CL5),2)*100000+CG5*100+CE5+CK5/100+ROW()/100000</f>
        <v>100101.01005</v>
      </c>
      <c r="DG5" s="68">
        <f t="shared" ref="DG5:DG49" si="19">RANK(DF5,$DF$5:$DF$49)</f>
        <v>31</v>
      </c>
      <c r="DH5" s="68">
        <v>0</v>
      </c>
      <c r="DI5" s="89" t="str">
        <f t="shared" ref="DI5" si="20">IF(CK5&gt;=50,(DA5*4+DB5*6+DH5*5)/CK5,"")</f>
        <v/>
      </c>
      <c r="DJ5" s="97">
        <f t="shared" ref="DJ5" si="21">CQ5/(CG5-CH5)</f>
        <v>0</v>
      </c>
    </row>
    <row r="6" spans="1:114" x14ac:dyDescent="0.15">
      <c r="B6" t="s">
        <v>285</v>
      </c>
      <c r="C6" t="s">
        <v>386</v>
      </c>
      <c r="D6" t="s">
        <v>286</v>
      </c>
      <c r="E6"/>
      <c r="F6" s="122"/>
      <c r="G6" s="122"/>
      <c r="H6" s="122"/>
      <c r="I6" t="s">
        <v>248</v>
      </c>
      <c r="J6"/>
      <c r="K6" s="122"/>
      <c r="L6" t="s">
        <v>426</v>
      </c>
      <c r="M6" s="122"/>
      <c r="N6" s="122"/>
      <c r="O6" s="122"/>
      <c r="P6"/>
      <c r="Q6"/>
      <c r="R6"/>
      <c r="S6"/>
      <c r="T6"/>
      <c r="U6"/>
      <c r="V6"/>
      <c r="W6"/>
      <c r="X6"/>
      <c r="Y6"/>
      <c r="Z6"/>
      <c r="CE6" s="68">
        <f t="shared" ref="CE6:CE47" si="22">BatSplit(D6:CD6,MatchesPlayed)</f>
        <v>3</v>
      </c>
      <c r="CF6" s="68">
        <f t="shared" ref="CF6:CF47" si="23">CE6-CG6</f>
        <v>1</v>
      </c>
      <c r="CG6" s="68">
        <f t="shared" ref="CG6:CG47" si="24">BatSplit(D6:CD6,InnsBattedIn)</f>
        <v>2</v>
      </c>
      <c r="CH6" s="68">
        <f t="shared" ref="CH6:CH47" si="25">BatSplit(D6:CD6,NotOuts)</f>
        <v>1</v>
      </c>
      <c r="CI6" s="68">
        <f t="shared" ref="CI6:CI47" si="26">BatSplit(D6:CD6,HighestScore)</f>
        <v>-3</v>
      </c>
      <c r="CJ6" s="72" t="str">
        <f t="shared" ref="CJ6:CJ47" si="27">IF(CI6&lt;0,-CI6&amp;"*",CI6)</f>
        <v>3*</v>
      </c>
      <c r="CK6" s="68">
        <f t="shared" ref="CK6:CK47" si="28">BatSplit(D6:CD6,RunsScored)</f>
        <v>4</v>
      </c>
      <c r="CL6" s="70">
        <f t="shared" ref="CL6:CL47" si="29">IF(CG6=CH6,0,CK6/(CG6-CH6))</f>
        <v>4</v>
      </c>
      <c r="CM6" s="68">
        <f t="shared" ref="CM6:CM47" si="30">BatSplit(D6:CD6,BatPts)</f>
        <v>4</v>
      </c>
      <c r="CN6" s="68">
        <f t="shared" ref="CN6:CN47" si="31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:CQ47" si="32">BatSplit(D6:CD6,Ducks)</f>
        <v>0</v>
      </c>
      <c r="CR6" s="71">
        <f t="array" ref="CR6">SUM(IF(ISERR(FIND(CR$4,$D6:$CD6)),0,1))</f>
        <v>0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1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array" ref="CX6">SUM(IF(ISERR(FIND(CX$4,$D6:$CD6)),0,1))</f>
        <v>0</v>
      </c>
      <c r="CY6" s="71">
        <f t="shared" ref="CY6:CY47" si="33">BatSplit(D6:CD6,Fifties)</f>
        <v>0</v>
      </c>
      <c r="CZ6" s="71">
        <f t="shared" ref="CZ6:CZ47" si="34">BatSplit(D6:CD6,Catches)</f>
        <v>0</v>
      </c>
      <c r="DA6" s="71">
        <f t="shared" ref="DA6:DA47" si="35">BatSplit(D6:CD6,Fours)</f>
        <v>0</v>
      </c>
      <c r="DB6" s="71">
        <f t="shared" ref="DB6:DB47" si="36">BatSplit(D6:CD6,Sixes)</f>
        <v>0</v>
      </c>
      <c r="DC6" s="71">
        <f t="shared" ref="DC6:DC47" si="37">BatSplit(D6:CD6,Stumpings)</f>
        <v>0</v>
      </c>
      <c r="DD6" s="71">
        <f t="shared" ref="DD6:DD47" si="38">BatSplit(D6:CD6,CaughtWkt)</f>
        <v>0</v>
      </c>
      <c r="DE6" s="71">
        <f t="shared" ref="DE6:DE47" si="39">BatSplit(D6:CD6,TwentyFives)</f>
        <v>0</v>
      </c>
      <c r="DF6" s="68">
        <f t="shared" ref="DF6:DF47" si="40">ROUND(IF(ISERROR(CL6),0,CL6),2)*100000+CG6*100+CE6+CK6/100+ROW()/100000</f>
        <v>400203.04005999997</v>
      </c>
      <c r="DG6" s="68">
        <f t="shared" si="19"/>
        <v>23</v>
      </c>
      <c r="DH6" s="68">
        <v>0</v>
      </c>
      <c r="DI6" s="89" t="str">
        <f t="shared" ref="DI6:DI47" si="41">IF(CK6&gt;=50,(DA6*4+DB6*6+DH6*5)/CK6,"")</f>
        <v/>
      </c>
      <c r="DJ6" s="97">
        <f t="shared" ref="DJ6:DJ47" si="42">CQ6/(CG6-CH6)</f>
        <v>0</v>
      </c>
    </row>
    <row r="7" spans="1:114" x14ac:dyDescent="0.15">
      <c r="B7" t="s">
        <v>260</v>
      </c>
      <c r="C7" t="s">
        <v>257</v>
      </c>
      <c r="D7"/>
      <c r="E7"/>
      <c r="F7" s="122"/>
      <c r="G7" t="s">
        <v>337</v>
      </c>
      <c r="H7" s="122"/>
      <c r="I7" s="122"/>
      <c r="J7"/>
      <c r="K7" s="122"/>
      <c r="L7" s="122"/>
      <c r="M7" s="122"/>
      <c r="N7" s="122"/>
      <c r="O7" s="122"/>
      <c r="P7"/>
      <c r="Q7"/>
      <c r="R7"/>
      <c r="S7"/>
      <c r="T7"/>
      <c r="U7"/>
      <c r="V7"/>
      <c r="W7"/>
      <c r="X7"/>
      <c r="Y7"/>
      <c r="Z7"/>
      <c r="CE7" s="68">
        <f t="shared" si="22"/>
        <v>1</v>
      </c>
      <c r="CF7" s="68">
        <f t="shared" si="23"/>
        <v>0</v>
      </c>
      <c r="CG7" s="68">
        <f t="shared" si="24"/>
        <v>1</v>
      </c>
      <c r="CH7" s="68">
        <f t="shared" si="25"/>
        <v>0</v>
      </c>
      <c r="CI7" s="68">
        <f t="shared" si="26"/>
        <v>11</v>
      </c>
      <c r="CJ7" s="72">
        <f t="shared" si="27"/>
        <v>11</v>
      </c>
      <c r="CK7" s="68">
        <f t="shared" si="28"/>
        <v>11</v>
      </c>
      <c r="CL7" s="70">
        <f t="shared" si="29"/>
        <v>11</v>
      </c>
      <c r="CM7" s="68">
        <f t="shared" si="30"/>
        <v>11</v>
      </c>
      <c r="CN7" s="68">
        <f t="shared" si="31"/>
        <v>0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si="32"/>
        <v>0</v>
      </c>
      <c r="CR7" s="71">
        <f t="array" ref="CR7">SUM(IF(ISERR(FIND(CR$4,$D7:$CD7)),0,1))</f>
        <v>0</v>
      </c>
      <c r="CS7" s="71">
        <f t="array" ref="CS7">SUM(IF(ISERR(FIND(CS$4,$D7:$CD7)),0,1))</f>
        <v>0</v>
      </c>
      <c r="CT7" s="71">
        <f t="array" ref="CT7">SUM(IF(ISERR(FIND(CT$4,$D7:$CD7)),0,1))</f>
        <v>1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>
        <f t="array" ref="CX7">SUM(IF(ISERR(FIND(CX$4,$D7:$CD7)),0,1))</f>
        <v>0</v>
      </c>
      <c r="CY7" s="71">
        <f t="shared" si="33"/>
        <v>0</v>
      </c>
      <c r="CZ7" s="71">
        <f t="shared" si="34"/>
        <v>0</v>
      </c>
      <c r="DA7" s="71">
        <f t="shared" si="35"/>
        <v>2</v>
      </c>
      <c r="DB7" s="71">
        <f t="shared" si="36"/>
        <v>0</v>
      </c>
      <c r="DC7" s="71">
        <f t="shared" si="37"/>
        <v>0</v>
      </c>
      <c r="DD7" s="71">
        <f t="shared" si="38"/>
        <v>0</v>
      </c>
      <c r="DE7" s="71">
        <f t="shared" si="39"/>
        <v>0</v>
      </c>
      <c r="DF7" s="68">
        <f t="shared" si="40"/>
        <v>1100101.1100700002</v>
      </c>
      <c r="DG7" s="68">
        <f t="shared" si="19"/>
        <v>17</v>
      </c>
      <c r="DH7" s="68">
        <v>0</v>
      </c>
      <c r="DI7" s="89" t="str">
        <f t="shared" si="41"/>
        <v/>
      </c>
      <c r="DJ7" s="97">
        <f t="shared" si="42"/>
        <v>0</v>
      </c>
    </row>
    <row r="8" spans="1:114" x14ac:dyDescent="0.15">
      <c r="B8" t="s">
        <v>259</v>
      </c>
      <c r="C8" t="s">
        <v>472</v>
      </c>
      <c r="D8"/>
      <c r="E8"/>
      <c r="F8" s="122"/>
      <c r="G8"/>
      <c r="H8" s="122"/>
      <c r="I8" s="122"/>
      <c r="J8"/>
      <c r="K8" s="122"/>
      <c r="L8" s="122"/>
      <c r="M8" s="122"/>
      <c r="N8" s="122"/>
      <c r="O8" t="s">
        <v>475</v>
      </c>
      <c r="P8"/>
      <c r="Q8"/>
      <c r="R8"/>
      <c r="S8"/>
      <c r="T8"/>
      <c r="U8"/>
      <c r="V8"/>
      <c r="W8"/>
      <c r="X8"/>
      <c r="Y8"/>
      <c r="Z8"/>
      <c r="CE8" s="68">
        <f t="shared" si="22"/>
        <v>1</v>
      </c>
      <c r="CF8" s="68">
        <f t="shared" si="23"/>
        <v>0</v>
      </c>
      <c r="CG8" s="68">
        <f t="shared" si="24"/>
        <v>1</v>
      </c>
      <c r="CH8" s="68">
        <f t="shared" si="25"/>
        <v>0</v>
      </c>
      <c r="CI8" s="68">
        <f t="shared" si="26"/>
        <v>33</v>
      </c>
      <c r="CJ8" s="72">
        <f t="shared" si="27"/>
        <v>33</v>
      </c>
      <c r="CK8" s="68">
        <f t="shared" si="28"/>
        <v>33</v>
      </c>
      <c r="CL8" s="70">
        <f t="shared" si="29"/>
        <v>33</v>
      </c>
      <c r="CM8" s="68">
        <f t="shared" si="30"/>
        <v>33</v>
      </c>
      <c r="CN8" s="68">
        <f t="shared" si="31"/>
        <v>5</v>
      </c>
      <c r="CO8" s="71">
        <f t="array" ref="CO8">SUM(IF(ISERR(FIND("*",D8:CD8)),0,1))</f>
        <v>0</v>
      </c>
      <c r="CP8" s="71">
        <f t="array" ref="CP8">SUM(IF(ISERR(FIND("+",D8:CD8)),0,1))</f>
        <v>0</v>
      </c>
      <c r="CQ8" s="68">
        <f t="shared" si="32"/>
        <v>0</v>
      </c>
      <c r="CR8" s="71">
        <f t="array" ref="CR8">SUM(IF(ISERR(FIND(CR$4,$D8:$CD8)),0,1))</f>
        <v>1</v>
      </c>
      <c r="CS8" s="71">
        <f t="array" ref="CS8">SUM(IF(ISERR(FIND(CS$4,$D8:$CD8)),0,1))</f>
        <v>0</v>
      </c>
      <c r="CT8" s="71">
        <f t="array" ref="CT8">SUM(IF(ISERR(FIND(CT$4,$D8:$CD8)),0,1))</f>
        <v>0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array" ref="CX8">SUM(IF(ISERR(FIND(CX$4,$D8:$CD8)),0,1))</f>
        <v>0</v>
      </c>
      <c r="CY8" s="71">
        <f t="shared" si="33"/>
        <v>0</v>
      </c>
      <c r="CZ8" s="71">
        <f t="shared" si="34"/>
        <v>1</v>
      </c>
      <c r="DA8" s="71">
        <f t="shared" si="35"/>
        <v>3</v>
      </c>
      <c r="DB8" s="71">
        <f t="shared" si="36"/>
        <v>0</v>
      </c>
      <c r="DC8" s="71">
        <f t="shared" si="37"/>
        <v>0</v>
      </c>
      <c r="DD8" s="71">
        <f t="shared" si="38"/>
        <v>0</v>
      </c>
      <c r="DE8" s="71">
        <f t="shared" si="39"/>
        <v>1</v>
      </c>
      <c r="DF8" s="68">
        <f t="shared" si="40"/>
        <v>3300101.3300800002</v>
      </c>
      <c r="DG8" s="68">
        <f t="shared" si="19"/>
        <v>5</v>
      </c>
      <c r="DH8" s="68">
        <v>0</v>
      </c>
      <c r="DI8" s="89" t="str">
        <f t="shared" si="41"/>
        <v/>
      </c>
      <c r="DJ8" s="97">
        <f t="shared" si="42"/>
        <v>0</v>
      </c>
    </row>
    <row r="9" spans="1:114" x14ac:dyDescent="0.15">
      <c r="B9" t="s">
        <v>542</v>
      </c>
      <c r="C9" t="s">
        <v>550</v>
      </c>
      <c r="D9"/>
      <c r="E9"/>
      <c r="F9" s="122"/>
      <c r="G9"/>
      <c r="H9" s="122"/>
      <c r="I9" s="122"/>
      <c r="J9"/>
      <c r="K9" s="122"/>
      <c r="L9" s="122"/>
      <c r="M9" s="122"/>
      <c r="N9" s="122"/>
      <c r="O9"/>
      <c r="P9"/>
      <c r="Q9"/>
      <c r="R9" t="s">
        <v>543</v>
      </c>
      <c r="S9"/>
      <c r="T9"/>
      <c r="U9"/>
      <c r="V9"/>
      <c r="W9"/>
      <c r="X9"/>
      <c r="Y9"/>
      <c r="Z9"/>
      <c r="CE9" s="68">
        <f t="shared" ref="CE9" si="43">BatSplit(D9:CD9,MatchesPlayed)</f>
        <v>1</v>
      </c>
      <c r="CF9" s="68">
        <f t="shared" ref="CF9" si="44">CE9-CG9</f>
        <v>0</v>
      </c>
      <c r="CG9" s="68">
        <f t="shared" ref="CG9" si="45">BatSplit(D9:CD9,InnsBattedIn)</f>
        <v>1</v>
      </c>
      <c r="CH9" s="68">
        <f t="shared" ref="CH9" si="46">BatSplit(D9:CD9,NotOuts)</f>
        <v>1</v>
      </c>
      <c r="CI9" s="68">
        <f t="shared" ref="CI9" si="47">BatSplit(D9:CD9,HighestScore)</f>
        <v>-4</v>
      </c>
      <c r="CJ9" s="72" t="str">
        <f t="shared" ref="CJ9" si="48">IF(CI9&lt;0,-CI9&amp;"*",CI9)</f>
        <v>4*</v>
      </c>
      <c r="CK9" s="68">
        <f t="shared" ref="CK9" si="49">BatSplit(D9:CD9,RunsScored)</f>
        <v>4</v>
      </c>
      <c r="CL9" s="70">
        <f t="shared" ref="CL9" si="50">IF(CG9=CH9,0,CK9/(CG9-CH9))</f>
        <v>0</v>
      </c>
      <c r="CM9" s="68">
        <f t="shared" ref="CM9" si="51">BatSplit(D9:CD9,BatPts)</f>
        <v>4</v>
      </c>
      <c r="CN9" s="68">
        <f t="shared" ref="CN9" si="52">BatSplit(D9:CD9,FldPts)</f>
        <v>0</v>
      </c>
      <c r="CO9" s="71">
        <f t="array" ref="CO9">SUM(IF(ISERR(FIND("*",D9:CD9)),0,1))</f>
        <v>0</v>
      </c>
      <c r="CP9" s="71">
        <f t="array" ref="CP9">SUM(IF(ISERR(FIND("+",D9:CD9)),0,1))</f>
        <v>0</v>
      </c>
      <c r="CQ9" s="68">
        <f t="shared" ref="CQ9" si="53">BatSplit(D9:CD9,Ducks)</f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shared" ref="CY9" si="54">BatSplit(D9:CD9,Fifties)</f>
        <v>0</v>
      </c>
      <c r="CZ9" s="71">
        <f t="shared" ref="CZ9" si="55">BatSplit(D9:CD9,Catches)</f>
        <v>0</v>
      </c>
      <c r="DA9" s="71">
        <f t="shared" ref="DA9" si="56">BatSplit(D9:CD9,Fours)</f>
        <v>0</v>
      </c>
      <c r="DB9" s="71">
        <f t="shared" ref="DB9" si="57">BatSplit(D9:CD9,Sixes)</f>
        <v>0</v>
      </c>
      <c r="DC9" s="71">
        <f t="shared" ref="DC9" si="58">BatSplit(D9:CD9,Stumpings)</f>
        <v>0</v>
      </c>
      <c r="DD9" s="71">
        <f t="shared" ref="DD9" si="59">BatSplit(D9:CD9,CaughtWkt)</f>
        <v>0</v>
      </c>
      <c r="DE9" s="71">
        <f t="shared" ref="DE9" si="60">BatSplit(D9:CD9,TwentyFives)</f>
        <v>0</v>
      </c>
      <c r="DF9" s="68">
        <f t="shared" ref="DF9" si="61">ROUND(IF(ISERROR(CL9),0,CL9),2)*100000+CG9*100+CE9+CK9/100+ROW()/100000</f>
        <v>101.04009000000001</v>
      </c>
      <c r="DG9" s="68">
        <f t="shared" si="19"/>
        <v>37</v>
      </c>
      <c r="DH9" s="68">
        <v>0</v>
      </c>
      <c r="DI9" s="89" t="str">
        <f t="shared" ref="DI9" si="62">IF(CK9&gt;=50,(DA9*4+DB9*6+DH9*5)/CK9,"")</f>
        <v/>
      </c>
      <c r="DJ9" s="97" t="e">
        <f t="shared" ref="DJ9" si="63">CQ9/(CG9-CH9)</f>
        <v>#DIV/0!</v>
      </c>
    </row>
    <row r="10" spans="1:114" x14ac:dyDescent="0.15">
      <c r="A10" s="68" t="s">
        <v>56</v>
      </c>
      <c r="B10" s="68" t="s">
        <v>25</v>
      </c>
      <c r="C10" s="68" t="s">
        <v>142</v>
      </c>
      <c r="D10" s="122"/>
      <c r="E10" s="122" t="s">
        <v>270</v>
      </c>
      <c r="F10" s="122"/>
      <c r="G10" s="122"/>
      <c r="H10"/>
      <c r="I10" t="s">
        <v>245</v>
      </c>
      <c r="J10" t="s">
        <v>245</v>
      </c>
      <c r="K10" t="s">
        <v>408</v>
      </c>
      <c r="L10" t="s">
        <v>240</v>
      </c>
      <c r="M10" s="122"/>
      <c r="N10" s="122" t="s">
        <v>214</v>
      </c>
      <c r="O10" s="122" t="s">
        <v>245</v>
      </c>
      <c r="P10" s="122" t="s">
        <v>214</v>
      </c>
      <c r="Q10"/>
      <c r="R10"/>
      <c r="S10"/>
      <c r="T10" t="s">
        <v>240</v>
      </c>
      <c r="U10"/>
      <c r="V10"/>
      <c r="W10"/>
      <c r="X10"/>
      <c r="Y10"/>
      <c r="Z10"/>
      <c r="CE10" s="68">
        <f t="shared" si="22"/>
        <v>9</v>
      </c>
      <c r="CF10" s="68">
        <f t="shared" si="23"/>
        <v>8</v>
      </c>
      <c r="CG10" s="68">
        <f t="shared" si="24"/>
        <v>1</v>
      </c>
      <c r="CH10" s="68">
        <f t="shared" si="25"/>
        <v>0</v>
      </c>
      <c r="CI10" s="68">
        <f t="shared" si="26"/>
        <v>0</v>
      </c>
      <c r="CJ10" s="72">
        <f t="shared" si="27"/>
        <v>0</v>
      </c>
      <c r="CK10" s="68">
        <f t="shared" si="28"/>
        <v>0</v>
      </c>
      <c r="CL10" s="70">
        <f t="shared" si="29"/>
        <v>0</v>
      </c>
      <c r="CM10" s="68">
        <f t="shared" si="30"/>
        <v>-5</v>
      </c>
      <c r="CN10" s="68">
        <f t="shared" si="31"/>
        <v>5</v>
      </c>
      <c r="CO10" s="71">
        <f t="array" ref="CO10">SUM(IF(ISERR(FIND("*",D10:CD10)),0,1))</f>
        <v>0</v>
      </c>
      <c r="CP10" s="71">
        <f t="array" ref="CP10">SUM(IF(ISERR(FIND("+",D10:CD10)),0,1))</f>
        <v>0</v>
      </c>
      <c r="CQ10" s="68">
        <f t="shared" si="32"/>
        <v>1</v>
      </c>
      <c r="CR10" s="71">
        <f t="array" ref="CR10">SUM(IF(ISERR(FIND(CR$4,$D10:$CD10)),0,1))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0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shared" si="33"/>
        <v>0</v>
      </c>
      <c r="CZ10" s="71">
        <f t="shared" si="34"/>
        <v>1</v>
      </c>
      <c r="DA10" s="71">
        <f t="shared" si="35"/>
        <v>0</v>
      </c>
      <c r="DB10" s="71">
        <f t="shared" si="36"/>
        <v>0</v>
      </c>
      <c r="DC10" s="71">
        <f t="shared" si="37"/>
        <v>0</v>
      </c>
      <c r="DD10" s="71">
        <f t="shared" si="38"/>
        <v>0</v>
      </c>
      <c r="DE10" s="71">
        <f t="shared" si="39"/>
        <v>0</v>
      </c>
      <c r="DF10" s="68">
        <f t="shared" si="40"/>
        <v>109.0001</v>
      </c>
      <c r="DG10" s="68">
        <f t="shared" si="19"/>
        <v>32</v>
      </c>
      <c r="DH10" s="68">
        <v>0</v>
      </c>
      <c r="DI10" s="89" t="str">
        <f t="shared" si="41"/>
        <v/>
      </c>
      <c r="DJ10" s="97">
        <f t="shared" si="42"/>
        <v>1</v>
      </c>
    </row>
    <row r="11" spans="1:114" x14ac:dyDescent="0.15">
      <c r="B11" t="s">
        <v>268</v>
      </c>
      <c r="C11" t="s">
        <v>269</v>
      </c>
      <c r="D11" t="s">
        <v>288</v>
      </c>
      <c r="E11" t="s">
        <v>306</v>
      </c>
      <c r="F11" t="s">
        <v>322</v>
      </c>
      <c r="G11" t="s">
        <v>335</v>
      </c>
      <c r="H11"/>
      <c r="I11"/>
      <c r="J11"/>
      <c r="K11"/>
      <c r="L11" s="122"/>
      <c r="M11" s="122"/>
      <c r="N11" t="s">
        <v>454</v>
      </c>
      <c r="O11" s="122"/>
      <c r="P11"/>
      <c r="Q11"/>
      <c r="R11"/>
      <c r="S11"/>
      <c r="T11" t="s">
        <v>579</v>
      </c>
      <c r="U11"/>
      <c r="V11"/>
      <c r="W11"/>
      <c r="X11"/>
      <c r="Y11"/>
      <c r="Z11"/>
      <c r="CE11" s="68">
        <f t="shared" si="22"/>
        <v>6</v>
      </c>
      <c r="CF11" s="68">
        <f t="shared" si="23"/>
        <v>0</v>
      </c>
      <c r="CG11" s="68">
        <f t="shared" si="24"/>
        <v>6</v>
      </c>
      <c r="CH11" s="68">
        <f t="shared" si="25"/>
        <v>1</v>
      </c>
      <c r="CI11" s="68">
        <f t="shared" si="26"/>
        <v>38</v>
      </c>
      <c r="CJ11" s="72">
        <f t="shared" si="27"/>
        <v>38</v>
      </c>
      <c r="CK11" s="68">
        <f t="shared" si="28"/>
        <v>80</v>
      </c>
      <c r="CL11" s="70">
        <f t="shared" si="29"/>
        <v>16</v>
      </c>
      <c r="CM11" s="68">
        <f t="shared" si="30"/>
        <v>80</v>
      </c>
      <c r="CN11" s="68">
        <f t="shared" si="31"/>
        <v>10</v>
      </c>
      <c r="CO11" s="71">
        <f t="array" ref="CO11">SUM(IF(ISERR(FIND("*",D11:CD11)),0,1))</f>
        <v>0</v>
      </c>
      <c r="CP11" s="71">
        <f t="array" ref="CP11">SUM(IF(ISERR(FIND("+",D11:CD11)),0,1))</f>
        <v>1</v>
      </c>
      <c r="CQ11" s="68">
        <f t="shared" si="32"/>
        <v>0</v>
      </c>
      <c r="CR11" s="71">
        <f t="array" ref="CR11">SUM(IF(ISERR(FIND(CR$4,$D11:$CD11)),0,1))</f>
        <v>1</v>
      </c>
      <c r="CS11" s="71">
        <f t="array" ref="CS11">SUM(IF(ISERR(FIND(CS$4,$D11:$CD11)),0,1))</f>
        <v>3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1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shared" si="33"/>
        <v>0</v>
      </c>
      <c r="CZ11" s="71">
        <f t="shared" si="34"/>
        <v>2</v>
      </c>
      <c r="DA11" s="71">
        <f t="shared" si="35"/>
        <v>12</v>
      </c>
      <c r="DB11" s="71">
        <f t="shared" si="36"/>
        <v>1</v>
      </c>
      <c r="DC11" s="71">
        <f t="shared" si="37"/>
        <v>1</v>
      </c>
      <c r="DD11" s="71">
        <f t="shared" si="38"/>
        <v>0</v>
      </c>
      <c r="DE11" s="71">
        <f t="shared" si="39"/>
        <v>1</v>
      </c>
      <c r="DF11" s="68">
        <f t="shared" si="40"/>
        <v>1600606.80011</v>
      </c>
      <c r="DG11" s="68">
        <f t="shared" si="19"/>
        <v>15</v>
      </c>
      <c r="DH11" s="68">
        <v>0</v>
      </c>
      <c r="DI11" s="89">
        <f t="shared" si="41"/>
        <v>0.67500000000000004</v>
      </c>
      <c r="DJ11" s="97">
        <f t="shared" si="42"/>
        <v>0</v>
      </c>
    </row>
    <row r="12" spans="1:114" x14ac:dyDescent="0.15">
      <c r="B12"/>
      <c r="C12" t="s">
        <v>470</v>
      </c>
      <c r="D12"/>
      <c r="E12"/>
      <c r="F12"/>
      <c r="G12"/>
      <c r="H12"/>
      <c r="I12"/>
      <c r="J12"/>
      <c r="K12"/>
      <c r="L12" s="122"/>
      <c r="M12" s="122"/>
      <c r="N12"/>
      <c r="O12" t="s">
        <v>471</v>
      </c>
      <c r="P12"/>
      <c r="Q12"/>
      <c r="R12"/>
      <c r="S12"/>
      <c r="T12"/>
      <c r="U12"/>
      <c r="V12"/>
      <c r="W12"/>
      <c r="X12"/>
      <c r="Y12"/>
      <c r="Z12"/>
      <c r="CE12" s="68">
        <f t="shared" si="22"/>
        <v>1</v>
      </c>
      <c r="CF12" s="68">
        <f t="shared" si="23"/>
        <v>0</v>
      </c>
      <c r="CG12" s="68">
        <f t="shared" si="24"/>
        <v>1</v>
      </c>
      <c r="CH12" s="68">
        <f t="shared" si="25"/>
        <v>0</v>
      </c>
      <c r="CI12" s="68">
        <f t="shared" si="26"/>
        <v>9</v>
      </c>
      <c r="CJ12" s="72">
        <f t="shared" si="27"/>
        <v>9</v>
      </c>
      <c r="CK12" s="68">
        <f t="shared" si="28"/>
        <v>9</v>
      </c>
      <c r="CL12" s="70">
        <f t="shared" si="29"/>
        <v>9</v>
      </c>
      <c r="CM12" s="68">
        <f t="shared" si="30"/>
        <v>9</v>
      </c>
      <c r="CN12" s="68">
        <f t="shared" si="31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32"/>
        <v>0</v>
      </c>
      <c r="CR12" s="71">
        <f t="array" ref="CR12">SUM(IF(ISERR(FIND(CR$4,$D12:$CD12)),0,1))</f>
        <v>1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array" ref="CX12">SUM(IF(ISERR(FIND(CX$4,$D12:$CD12)),0,1))</f>
        <v>0</v>
      </c>
      <c r="CY12" s="71">
        <f t="shared" si="33"/>
        <v>0</v>
      </c>
      <c r="CZ12" s="71">
        <f t="shared" si="34"/>
        <v>0</v>
      </c>
      <c r="DA12" s="71">
        <f t="shared" si="35"/>
        <v>2</v>
      </c>
      <c r="DB12" s="71">
        <f t="shared" si="36"/>
        <v>0</v>
      </c>
      <c r="DC12" s="71">
        <f t="shared" si="37"/>
        <v>0</v>
      </c>
      <c r="DD12" s="71">
        <f t="shared" si="38"/>
        <v>0</v>
      </c>
      <c r="DE12" s="71">
        <f t="shared" si="39"/>
        <v>0</v>
      </c>
      <c r="DF12" s="68">
        <f t="shared" si="40"/>
        <v>900101.09011999995</v>
      </c>
      <c r="DG12" s="68">
        <f t="shared" si="19"/>
        <v>19</v>
      </c>
      <c r="DH12" s="68">
        <v>0</v>
      </c>
      <c r="DI12" s="89" t="str">
        <f t="shared" si="41"/>
        <v/>
      </c>
      <c r="DJ12" s="97">
        <f t="shared" si="42"/>
        <v>0</v>
      </c>
    </row>
    <row r="13" spans="1:114" x14ac:dyDescent="0.15">
      <c r="B13" s="122" t="s">
        <v>220</v>
      </c>
      <c r="C13" s="122" t="s">
        <v>221</v>
      </c>
      <c r="D13" t="s">
        <v>287</v>
      </c>
      <c r="E13"/>
      <c r="F13"/>
      <c r="G13" t="s">
        <v>338</v>
      </c>
      <c r="H13"/>
      <c r="I13" t="s">
        <v>368</v>
      </c>
      <c r="J13"/>
      <c r="K13" t="s">
        <v>399</v>
      </c>
      <c r="L13" t="s">
        <v>425</v>
      </c>
      <c r="M13" t="s">
        <v>442</v>
      </c>
      <c r="N13"/>
      <c r="O13"/>
      <c r="P13" t="s">
        <v>494</v>
      </c>
      <c r="Q13"/>
      <c r="R13" t="s">
        <v>539</v>
      </c>
      <c r="S13"/>
      <c r="T13" t="s">
        <v>658</v>
      </c>
      <c r="U13"/>
      <c r="V13"/>
      <c r="W13"/>
      <c r="X13"/>
      <c r="Y13"/>
      <c r="Z13"/>
      <c r="CE13" s="68">
        <f t="shared" si="22"/>
        <v>9</v>
      </c>
      <c r="CF13" s="68">
        <f t="shared" si="23"/>
        <v>1</v>
      </c>
      <c r="CG13" s="68">
        <f t="shared" si="24"/>
        <v>8</v>
      </c>
      <c r="CH13" s="68">
        <f t="shared" si="25"/>
        <v>1</v>
      </c>
      <c r="CI13" s="68">
        <f t="shared" si="26"/>
        <v>56</v>
      </c>
      <c r="CJ13" s="72">
        <f t="shared" si="27"/>
        <v>56</v>
      </c>
      <c r="CK13" s="68">
        <f t="shared" si="28"/>
        <v>117</v>
      </c>
      <c r="CL13" s="70">
        <f t="shared" si="29"/>
        <v>16.714285714285715</v>
      </c>
      <c r="CM13" s="68">
        <f t="shared" si="30"/>
        <v>122</v>
      </c>
      <c r="CN13" s="68">
        <f t="shared" si="31"/>
        <v>5</v>
      </c>
      <c r="CO13" s="71">
        <f t="array" ref="CO13">SUM(IF(ISERR(FIND("*",D13:CD13)),0,1))</f>
        <v>0</v>
      </c>
      <c r="CP13" s="71">
        <f t="array" ref="CP13">SUM(IF(ISERR(FIND("+",D13:CD13)),0,1))</f>
        <v>6</v>
      </c>
      <c r="CQ13" s="68">
        <f t="shared" si="32"/>
        <v>1</v>
      </c>
      <c r="CR13" s="71">
        <f t="array" ref="CR13">SUM(IF(ISERR(FIND(CR$4,$D13:$CD13)),0,1))</f>
        <v>2</v>
      </c>
      <c r="CS13" s="71">
        <f t="array" ref="CS13">SUM(IF(ISERR(FIND(CS$4,$D13:$CD13)),0,1))</f>
        <v>3</v>
      </c>
      <c r="CT13" s="71">
        <f t="array" ref="CT13">SUM(IF(ISERR(FIND(CT$4,$D13:$CD13)),0,1))</f>
        <v>2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shared" si="33"/>
        <v>1</v>
      </c>
      <c r="CZ13" s="71">
        <f t="shared" si="34"/>
        <v>2</v>
      </c>
      <c r="DA13" s="71">
        <f t="shared" si="35"/>
        <v>17</v>
      </c>
      <c r="DB13" s="71">
        <f t="shared" si="36"/>
        <v>1</v>
      </c>
      <c r="DC13" s="71">
        <f t="shared" si="37"/>
        <v>0</v>
      </c>
      <c r="DD13" s="71">
        <f t="shared" si="38"/>
        <v>1</v>
      </c>
      <c r="DE13" s="71">
        <f t="shared" si="39"/>
        <v>2</v>
      </c>
      <c r="DF13" s="68">
        <f t="shared" si="40"/>
        <v>1671810.17013</v>
      </c>
      <c r="DG13" s="68">
        <f t="shared" si="19"/>
        <v>14</v>
      </c>
      <c r="DH13" s="68">
        <v>0</v>
      </c>
      <c r="DI13" s="89">
        <f t="shared" si="41"/>
        <v>0.63247863247863245</v>
      </c>
      <c r="DJ13" s="97">
        <f t="shared" si="42"/>
        <v>0.14285714285714285</v>
      </c>
    </row>
    <row r="14" spans="1:114" x14ac:dyDescent="0.15">
      <c r="B14" s="122"/>
      <c r="C14" s="122" t="s">
        <v>405</v>
      </c>
      <c r="D14"/>
      <c r="E14"/>
      <c r="F14"/>
      <c r="G14"/>
      <c r="H14"/>
      <c r="I14"/>
      <c r="J14"/>
      <c r="K14" t="s">
        <v>342</v>
      </c>
      <c r="L14"/>
      <c r="M14"/>
      <c r="N14"/>
      <c r="O14"/>
      <c r="P14"/>
      <c r="Q14"/>
      <c r="R14"/>
      <c r="S14"/>
      <c r="U14"/>
      <c r="V14"/>
      <c r="W14"/>
      <c r="X14"/>
      <c r="Y14"/>
      <c r="Z14"/>
      <c r="CE14" s="68">
        <f t="shared" si="22"/>
        <v>1</v>
      </c>
      <c r="CF14" s="68">
        <f t="shared" si="23"/>
        <v>0</v>
      </c>
      <c r="CG14" s="68">
        <f t="shared" si="24"/>
        <v>1</v>
      </c>
      <c r="CH14" s="68">
        <f t="shared" si="25"/>
        <v>0</v>
      </c>
      <c r="CI14" s="68">
        <f t="shared" si="26"/>
        <v>0</v>
      </c>
      <c r="CJ14" s="72">
        <f t="shared" si="27"/>
        <v>0</v>
      </c>
      <c r="CK14" s="68">
        <f t="shared" si="28"/>
        <v>0</v>
      </c>
      <c r="CL14" s="70">
        <f t="shared" si="29"/>
        <v>0</v>
      </c>
      <c r="CM14" s="68">
        <f t="shared" si="30"/>
        <v>-5</v>
      </c>
      <c r="CN14" s="68">
        <f t="shared" si="31"/>
        <v>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32"/>
        <v>1</v>
      </c>
      <c r="CR14" s="71">
        <f t="array" ref="CR14">SUM(IF(ISERR(FIND(CR$4,$D14:$CD14)),0,1))</f>
        <v>1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shared" si="33"/>
        <v>0</v>
      </c>
      <c r="CZ14" s="71">
        <f t="shared" si="34"/>
        <v>0</v>
      </c>
      <c r="DA14" s="71">
        <f t="shared" si="35"/>
        <v>0</v>
      </c>
      <c r="DB14" s="71">
        <f t="shared" si="36"/>
        <v>0</v>
      </c>
      <c r="DC14" s="71">
        <f t="shared" si="37"/>
        <v>0</v>
      </c>
      <c r="DD14" s="71">
        <f t="shared" si="38"/>
        <v>0</v>
      </c>
      <c r="DE14" s="71">
        <f t="shared" si="39"/>
        <v>0</v>
      </c>
      <c r="DF14" s="68">
        <f t="shared" si="40"/>
        <v>101.00014</v>
      </c>
      <c r="DG14" s="68">
        <f t="shared" si="19"/>
        <v>43</v>
      </c>
      <c r="DH14" s="68">
        <v>0</v>
      </c>
      <c r="DI14" s="89" t="str">
        <f t="shared" si="41"/>
        <v/>
      </c>
      <c r="DJ14" s="97">
        <f t="shared" si="42"/>
        <v>1</v>
      </c>
    </row>
    <row r="15" spans="1:114" x14ac:dyDescent="0.15">
      <c r="B15" s="122"/>
      <c r="C15" s="122" t="s">
        <v>400</v>
      </c>
      <c r="D15"/>
      <c r="E15"/>
      <c r="F15"/>
      <c r="G15"/>
      <c r="H15"/>
      <c r="I15"/>
      <c r="J15"/>
      <c r="K15" t="s">
        <v>401</v>
      </c>
      <c r="L15"/>
      <c r="M15"/>
      <c r="N15"/>
      <c r="O15"/>
      <c r="P15"/>
      <c r="Q15"/>
      <c r="R15"/>
      <c r="S15"/>
      <c r="U15"/>
      <c r="V15"/>
      <c r="W15"/>
      <c r="X15"/>
      <c r="Y15"/>
      <c r="Z15"/>
      <c r="CE15" s="68">
        <f t="shared" si="22"/>
        <v>1</v>
      </c>
      <c r="CF15" s="68">
        <f t="shared" si="23"/>
        <v>0</v>
      </c>
      <c r="CG15" s="68">
        <f t="shared" si="24"/>
        <v>1</v>
      </c>
      <c r="CH15" s="68">
        <f t="shared" si="25"/>
        <v>0</v>
      </c>
      <c r="CI15" s="68">
        <f t="shared" si="26"/>
        <v>1</v>
      </c>
      <c r="CJ15" s="72">
        <f t="shared" si="27"/>
        <v>1</v>
      </c>
      <c r="CK15" s="68">
        <f t="shared" si="28"/>
        <v>1</v>
      </c>
      <c r="CL15" s="70">
        <f t="shared" si="29"/>
        <v>1</v>
      </c>
      <c r="CM15" s="68">
        <f t="shared" si="30"/>
        <v>1</v>
      </c>
      <c r="CN15" s="68">
        <f t="shared" si="31"/>
        <v>0</v>
      </c>
      <c r="CO15" s="71">
        <f t="array" ref="CO15">SUM(IF(ISERR(FIND("*",D15:CD15)),0,1))</f>
        <v>0</v>
      </c>
      <c r="CP15" s="71">
        <f t="array" ref="CP15">SUM(IF(ISERR(FIND("+",D15:CD15)),0,1))</f>
        <v>1</v>
      </c>
      <c r="CQ15" s="68">
        <f t="shared" si="32"/>
        <v>0</v>
      </c>
      <c r="CR15" s="71">
        <f t="array" ref="CR15">SUM(IF(ISERR(FIND(CR$4,$D15:$CD15)),0,1))</f>
        <v>0</v>
      </c>
      <c r="CS15" s="71">
        <f t="array" ref="CS15">SUM(IF(ISERR(FIND(CS$4,$D15:$CD15)),0,1))</f>
        <v>1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array" ref="CX15">SUM(IF(ISERR(FIND(CX$4,$D15:$CD15)),0,1))</f>
        <v>0</v>
      </c>
      <c r="CY15" s="71">
        <f t="shared" si="33"/>
        <v>0</v>
      </c>
      <c r="CZ15" s="71">
        <f t="shared" si="34"/>
        <v>0</v>
      </c>
      <c r="DA15" s="71">
        <f t="shared" si="35"/>
        <v>0</v>
      </c>
      <c r="DB15" s="71">
        <f t="shared" si="36"/>
        <v>0</v>
      </c>
      <c r="DC15" s="71">
        <f t="shared" si="37"/>
        <v>1</v>
      </c>
      <c r="DD15" s="71">
        <f t="shared" si="38"/>
        <v>0</v>
      </c>
      <c r="DE15" s="71">
        <f t="shared" si="39"/>
        <v>0</v>
      </c>
      <c r="DF15" s="68">
        <f t="shared" si="40"/>
        <v>100101.01015</v>
      </c>
      <c r="DG15" s="68">
        <f t="shared" si="19"/>
        <v>30</v>
      </c>
      <c r="DH15" s="68">
        <v>0</v>
      </c>
      <c r="DI15" s="89" t="str">
        <f t="shared" si="41"/>
        <v/>
      </c>
      <c r="DJ15" s="97">
        <f t="shared" si="42"/>
        <v>0</v>
      </c>
    </row>
    <row r="16" spans="1:114" x14ac:dyDescent="0.15">
      <c r="B16" t="s">
        <v>515</v>
      </c>
      <c r="C16" s="122" t="s">
        <v>516</v>
      </c>
      <c r="D16"/>
      <c r="E16"/>
      <c r="F16"/>
      <c r="G16"/>
      <c r="H16"/>
      <c r="I16"/>
      <c r="J16"/>
      <c r="K16"/>
      <c r="L16"/>
      <c r="M16"/>
      <c r="N16"/>
      <c r="O16"/>
      <c r="P16"/>
      <c r="Q16" t="s">
        <v>517</v>
      </c>
      <c r="R16"/>
      <c r="S16"/>
      <c r="U16"/>
      <c r="V16"/>
      <c r="W16"/>
      <c r="X16"/>
      <c r="Y16"/>
      <c r="Z16"/>
      <c r="CE16" s="68">
        <f t="shared" si="22"/>
        <v>1</v>
      </c>
      <c r="CF16" s="68">
        <f t="shared" si="23"/>
        <v>0</v>
      </c>
      <c r="CG16" s="68">
        <f t="shared" si="24"/>
        <v>1</v>
      </c>
      <c r="CH16" s="68">
        <f t="shared" si="25"/>
        <v>0</v>
      </c>
      <c r="CI16" s="68">
        <f t="shared" si="26"/>
        <v>8</v>
      </c>
      <c r="CJ16" s="72">
        <f t="shared" si="27"/>
        <v>8</v>
      </c>
      <c r="CK16" s="68">
        <f t="shared" si="28"/>
        <v>8</v>
      </c>
      <c r="CL16" s="70">
        <f t="shared" si="29"/>
        <v>8</v>
      </c>
      <c r="CM16" s="68">
        <f t="shared" si="30"/>
        <v>8</v>
      </c>
      <c r="CN16" s="68">
        <f t="shared" si="31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32"/>
        <v>0</v>
      </c>
      <c r="CR16" s="71">
        <f t="array" ref="CR16">SUM(IF(ISERR(FIND(CR$4,$D16:$CD16)),0,1))</f>
        <v>1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shared" si="33"/>
        <v>0</v>
      </c>
      <c r="CZ16" s="71">
        <f t="shared" si="34"/>
        <v>0</v>
      </c>
      <c r="DA16" s="71">
        <f t="shared" si="35"/>
        <v>1</v>
      </c>
      <c r="DB16" s="71">
        <f t="shared" si="36"/>
        <v>0</v>
      </c>
      <c r="DC16" s="71">
        <f t="shared" si="37"/>
        <v>0</v>
      </c>
      <c r="DD16" s="71">
        <f t="shared" si="38"/>
        <v>0</v>
      </c>
      <c r="DE16" s="71">
        <f t="shared" si="39"/>
        <v>0</v>
      </c>
      <c r="DF16" s="68">
        <f t="shared" si="40"/>
        <v>800101.08016000001</v>
      </c>
      <c r="DG16" s="68">
        <f t="shared" si="19"/>
        <v>20</v>
      </c>
      <c r="DH16" s="68">
        <v>0</v>
      </c>
      <c r="DI16" s="89" t="str">
        <f t="shared" si="41"/>
        <v/>
      </c>
      <c r="DJ16" s="97">
        <f t="shared" si="42"/>
        <v>0</v>
      </c>
    </row>
    <row r="17" spans="1:114" x14ac:dyDescent="0.15">
      <c r="B17" s="122" t="s">
        <v>275</v>
      </c>
      <c r="C17" s="122" t="s">
        <v>273</v>
      </c>
      <c r="K17" s="122"/>
      <c r="L17"/>
      <c r="M17" t="s">
        <v>441</v>
      </c>
      <c r="N17" t="s">
        <v>452</v>
      </c>
      <c r="O17"/>
      <c r="P17"/>
      <c r="Q17"/>
      <c r="R17"/>
      <c r="S17"/>
      <c r="T17"/>
      <c r="U17"/>
      <c r="V17"/>
      <c r="Y17"/>
      <c r="CE17" s="68">
        <f t="shared" si="22"/>
        <v>2</v>
      </c>
      <c r="CF17" s="68">
        <f t="shared" si="23"/>
        <v>0</v>
      </c>
      <c r="CG17" s="68">
        <f t="shared" si="24"/>
        <v>2</v>
      </c>
      <c r="CH17" s="68">
        <f t="shared" si="25"/>
        <v>0</v>
      </c>
      <c r="CI17" s="68">
        <f t="shared" si="26"/>
        <v>53</v>
      </c>
      <c r="CJ17" s="72">
        <f t="shared" si="27"/>
        <v>53</v>
      </c>
      <c r="CK17" s="68">
        <f t="shared" si="28"/>
        <v>53</v>
      </c>
      <c r="CL17" s="70">
        <f t="shared" si="29"/>
        <v>26.5</v>
      </c>
      <c r="CM17" s="68">
        <f t="shared" si="30"/>
        <v>58</v>
      </c>
      <c r="CN17" s="68">
        <f t="shared" si="31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32"/>
        <v>1</v>
      </c>
      <c r="CR17" s="71">
        <f t="array" ref="CR17">SUM(IF(ISERR(FIND(CR$4,$D17:$CD17)),0,1))</f>
        <v>0</v>
      </c>
      <c r="CS17" s="71">
        <f t="array" ref="CS17">SUM(IF(ISERR(FIND(CS$4,$D17:$CD17)),0,1))</f>
        <v>2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array" ref="CX17">SUM(IF(ISERR(FIND(CX$4,$D17:$CD17)),0,1))</f>
        <v>0</v>
      </c>
      <c r="CY17" s="71">
        <f t="shared" si="33"/>
        <v>1</v>
      </c>
      <c r="CZ17" s="71">
        <f t="shared" si="34"/>
        <v>0</v>
      </c>
      <c r="DA17" s="71">
        <f t="shared" si="35"/>
        <v>7</v>
      </c>
      <c r="DB17" s="71">
        <f t="shared" si="36"/>
        <v>0</v>
      </c>
      <c r="DC17" s="71">
        <f t="shared" si="37"/>
        <v>0</v>
      </c>
      <c r="DD17" s="71">
        <f t="shared" si="38"/>
        <v>0</v>
      </c>
      <c r="DE17" s="71">
        <f t="shared" si="39"/>
        <v>1</v>
      </c>
      <c r="DF17" s="68">
        <f t="shared" si="40"/>
        <v>2650202.5301699997</v>
      </c>
      <c r="DG17" s="68">
        <f t="shared" si="19"/>
        <v>8</v>
      </c>
      <c r="DH17" s="68">
        <v>0</v>
      </c>
      <c r="DI17" s="89">
        <f t="shared" si="41"/>
        <v>0.52830188679245282</v>
      </c>
      <c r="DJ17" s="97">
        <f t="shared" si="42"/>
        <v>0.5</v>
      </c>
    </row>
    <row r="18" spans="1:114" x14ac:dyDescent="0.15">
      <c r="B18" t="s">
        <v>251</v>
      </c>
      <c r="C18" t="s">
        <v>250</v>
      </c>
      <c r="D18"/>
      <c r="E18" t="s">
        <v>305</v>
      </c>
      <c r="F18"/>
      <c r="G18"/>
      <c r="J18" s="122"/>
      <c r="K18" s="122"/>
      <c r="L18" s="122"/>
      <c r="M18" s="122"/>
      <c r="N18" s="122"/>
      <c r="O18"/>
      <c r="P18"/>
      <c r="Q18"/>
      <c r="R18"/>
      <c r="S18"/>
      <c r="T18"/>
      <c r="U18"/>
      <c r="V18"/>
      <c r="W18"/>
      <c r="X18"/>
      <c r="Y18"/>
      <c r="Z18"/>
      <c r="CE18" s="68">
        <f t="shared" si="22"/>
        <v>1</v>
      </c>
      <c r="CF18" s="68">
        <f t="shared" si="23"/>
        <v>0</v>
      </c>
      <c r="CG18" s="68">
        <f t="shared" si="24"/>
        <v>1</v>
      </c>
      <c r="CH18" s="68">
        <f t="shared" si="25"/>
        <v>1</v>
      </c>
      <c r="CI18" s="68">
        <f t="shared" si="26"/>
        <v>-51</v>
      </c>
      <c r="CJ18" s="72" t="str">
        <f t="shared" si="27"/>
        <v>51*</v>
      </c>
      <c r="CK18" s="68">
        <f t="shared" si="28"/>
        <v>51</v>
      </c>
      <c r="CL18" s="70">
        <f t="shared" si="29"/>
        <v>0</v>
      </c>
      <c r="CM18" s="68">
        <f t="shared" si="30"/>
        <v>61</v>
      </c>
      <c r="CN18" s="68">
        <f t="shared" si="31"/>
        <v>5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32"/>
        <v>0</v>
      </c>
      <c r="CR18" s="71">
        <f t="array" ref="CR18">SUM(IF(ISERR(FIND(CR$4,$D18:$CD18)),0,1))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shared" si="33"/>
        <v>1</v>
      </c>
      <c r="CZ18" s="71">
        <f t="shared" si="34"/>
        <v>1</v>
      </c>
      <c r="DA18" s="71">
        <f t="shared" si="35"/>
        <v>3</v>
      </c>
      <c r="DB18" s="71">
        <f t="shared" si="36"/>
        <v>0</v>
      </c>
      <c r="DC18" s="71">
        <f t="shared" si="37"/>
        <v>0</v>
      </c>
      <c r="DD18" s="71">
        <f t="shared" si="38"/>
        <v>0</v>
      </c>
      <c r="DE18" s="71">
        <f t="shared" si="39"/>
        <v>1</v>
      </c>
      <c r="DF18" s="68">
        <f t="shared" si="40"/>
        <v>101.51018000000001</v>
      </c>
      <c r="DG18" s="68">
        <f t="shared" si="19"/>
        <v>34</v>
      </c>
      <c r="DH18" s="68">
        <v>0</v>
      </c>
      <c r="DI18" s="89">
        <f t="shared" si="41"/>
        <v>0.23529411764705882</v>
      </c>
      <c r="DJ18" s="97" t="e">
        <f t="shared" si="42"/>
        <v>#DIV/0!</v>
      </c>
    </row>
    <row r="19" spans="1:114" x14ac:dyDescent="0.15">
      <c r="B19" t="s">
        <v>253</v>
      </c>
      <c r="C19" t="s">
        <v>252</v>
      </c>
      <c r="D19"/>
      <c r="E19"/>
      <c r="F19"/>
      <c r="G19" s="122"/>
      <c r="H19" s="122"/>
      <c r="I19" s="122"/>
      <c r="J19" s="122"/>
      <c r="K19" s="122"/>
      <c r="L19"/>
      <c r="M19"/>
      <c r="N19"/>
      <c r="O19"/>
      <c r="P19"/>
      <c r="Q19" t="s">
        <v>518</v>
      </c>
      <c r="R19" t="s">
        <v>538</v>
      </c>
      <c r="S19"/>
      <c r="T19"/>
      <c r="U19"/>
      <c r="V19"/>
      <c r="X19"/>
      <c r="Y19" s="122"/>
      <c r="CE19" s="68">
        <f t="shared" si="22"/>
        <v>2</v>
      </c>
      <c r="CF19" s="68">
        <f t="shared" si="23"/>
        <v>0</v>
      </c>
      <c r="CG19" s="68">
        <f t="shared" si="24"/>
        <v>2</v>
      </c>
      <c r="CH19" s="68">
        <f t="shared" si="25"/>
        <v>0</v>
      </c>
      <c r="CI19" s="68">
        <f t="shared" si="26"/>
        <v>2</v>
      </c>
      <c r="CJ19" s="72">
        <f t="shared" si="27"/>
        <v>2</v>
      </c>
      <c r="CK19" s="68">
        <f t="shared" si="28"/>
        <v>3</v>
      </c>
      <c r="CL19" s="70">
        <f t="shared" si="29"/>
        <v>1.5</v>
      </c>
      <c r="CM19" s="68">
        <f t="shared" si="30"/>
        <v>3</v>
      </c>
      <c r="CN19" s="68">
        <f t="shared" si="31"/>
        <v>0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32"/>
        <v>0</v>
      </c>
      <c r="CR19" s="71">
        <f t="array" ref="CR19">SUM(IF(ISERR(FIND(CR$4,$D19:$CD19)),0,1))</f>
        <v>0</v>
      </c>
      <c r="CS19" s="71">
        <f t="array" ref="CS19">SUM(IF(ISERR(FIND(CS$4,$D19:$CD19)),0,1))</f>
        <v>1</v>
      </c>
      <c r="CT19" s="71">
        <f t="array" ref="CT19">SUM(IF(ISERR(FIND(CT$4,$D19:$CD19)),0,1))</f>
        <v>1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shared" si="33"/>
        <v>0</v>
      </c>
      <c r="CZ19" s="71">
        <f t="shared" si="34"/>
        <v>0</v>
      </c>
      <c r="DA19" s="71">
        <f t="shared" si="35"/>
        <v>0</v>
      </c>
      <c r="DB19" s="71">
        <f t="shared" si="36"/>
        <v>0</v>
      </c>
      <c r="DC19" s="71">
        <f t="shared" si="37"/>
        <v>0</v>
      </c>
      <c r="DD19" s="71">
        <f t="shared" si="38"/>
        <v>0</v>
      </c>
      <c r="DE19" s="71">
        <f t="shared" si="39"/>
        <v>0</v>
      </c>
      <c r="DF19" s="68">
        <f t="shared" si="40"/>
        <v>150202.03018999999</v>
      </c>
      <c r="DG19" s="68">
        <f t="shared" si="19"/>
        <v>28</v>
      </c>
      <c r="DH19" s="68">
        <v>0</v>
      </c>
      <c r="DI19" s="89" t="str">
        <f t="shared" si="41"/>
        <v/>
      </c>
      <c r="DJ19" s="97">
        <f t="shared" si="42"/>
        <v>0</v>
      </c>
    </row>
    <row r="20" spans="1:114" x14ac:dyDescent="0.15">
      <c r="A20" s="68" t="s">
        <v>177</v>
      </c>
      <c r="B20" s="68" t="s">
        <v>171</v>
      </c>
      <c r="C20" s="68" t="s">
        <v>172</v>
      </c>
      <c r="D20" s="122"/>
      <c r="E20" s="122" t="s">
        <v>309</v>
      </c>
      <c r="F20" s="122" t="s">
        <v>320</v>
      </c>
      <c r="G20" s="122"/>
      <c r="H20" s="122"/>
      <c r="I20" s="122" t="s">
        <v>360</v>
      </c>
      <c r="J20" t="s">
        <v>656</v>
      </c>
      <c r="K20"/>
      <c r="L20"/>
      <c r="M20"/>
      <c r="N20" t="s">
        <v>245</v>
      </c>
      <c r="O20"/>
      <c r="P20"/>
      <c r="Q20" t="s">
        <v>520</v>
      </c>
      <c r="R20" t="s">
        <v>657</v>
      </c>
      <c r="S20" t="s">
        <v>563</v>
      </c>
      <c r="T20"/>
      <c r="U20"/>
      <c r="V20"/>
      <c r="W20"/>
      <c r="X20"/>
      <c r="Y20"/>
      <c r="Z20"/>
      <c r="CE20" s="68">
        <f t="shared" si="22"/>
        <v>8</v>
      </c>
      <c r="CF20" s="68">
        <f t="shared" si="23"/>
        <v>2</v>
      </c>
      <c r="CG20" s="68">
        <f t="shared" si="24"/>
        <v>6</v>
      </c>
      <c r="CH20" s="68">
        <f t="shared" si="25"/>
        <v>2</v>
      </c>
      <c r="CI20" s="68">
        <f t="shared" si="26"/>
        <v>16</v>
      </c>
      <c r="CJ20" s="72">
        <f t="shared" si="27"/>
        <v>16</v>
      </c>
      <c r="CK20" s="68">
        <f t="shared" si="28"/>
        <v>40</v>
      </c>
      <c r="CL20" s="70">
        <f t="shared" si="29"/>
        <v>10</v>
      </c>
      <c r="CM20" s="68">
        <f t="shared" si="30"/>
        <v>40</v>
      </c>
      <c r="CN20" s="68">
        <f t="shared" si="31"/>
        <v>0</v>
      </c>
      <c r="CO20" s="71">
        <f t="array" ref="CO20">SUM(IF(ISERR(FIND("*",D20:CD20)),0,1))</f>
        <v>0</v>
      </c>
      <c r="CP20" s="71">
        <f t="array" ref="CP20">SUM(IF(ISERR(FIND("+",D20:CD20)),0,1))</f>
        <v>4</v>
      </c>
      <c r="CQ20" s="68">
        <f t="shared" si="32"/>
        <v>0</v>
      </c>
      <c r="CR20" s="71">
        <f t="array" ref="CR20">SUM(IF(ISERR(FIND(CR$4,$D20:$CD20)),0,1))</f>
        <v>1</v>
      </c>
      <c r="CS20" s="71">
        <f t="array" ref="CS20">SUM(IF(ISERR(FIND(CS$4,$D20:$CD20)),0,1))</f>
        <v>2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shared" si="33"/>
        <v>0</v>
      </c>
      <c r="CZ20" s="71">
        <f t="shared" si="34"/>
        <v>1</v>
      </c>
      <c r="DA20" s="71">
        <f t="shared" si="35"/>
        <v>5</v>
      </c>
      <c r="DB20" s="71">
        <f t="shared" si="36"/>
        <v>0</v>
      </c>
      <c r="DC20" s="71">
        <f t="shared" si="37"/>
        <v>1</v>
      </c>
      <c r="DD20" s="71">
        <f t="shared" si="38"/>
        <v>1</v>
      </c>
      <c r="DE20" s="71">
        <f t="shared" si="39"/>
        <v>0</v>
      </c>
      <c r="DF20" s="68">
        <f t="shared" si="40"/>
        <v>1000608.4002</v>
      </c>
      <c r="DG20" s="68">
        <f t="shared" si="19"/>
        <v>18</v>
      </c>
      <c r="DH20" s="68">
        <v>0</v>
      </c>
      <c r="DI20" s="89" t="str">
        <f t="shared" si="41"/>
        <v/>
      </c>
      <c r="DJ20" s="97">
        <f t="shared" si="42"/>
        <v>0</v>
      </c>
    </row>
    <row r="21" spans="1:114" x14ac:dyDescent="0.15">
      <c r="C21" s="122" t="s">
        <v>446</v>
      </c>
      <c r="D21" s="122"/>
      <c r="E21" s="122"/>
      <c r="F21" s="122"/>
      <c r="G21" s="122"/>
      <c r="H21" s="122"/>
      <c r="I21" s="122"/>
      <c r="J21" s="122"/>
      <c r="K21"/>
      <c r="L21"/>
      <c r="M21" t="s">
        <v>214</v>
      </c>
      <c r="N21"/>
      <c r="O21"/>
      <c r="P21"/>
      <c r="Q21"/>
      <c r="R21"/>
      <c r="S21"/>
      <c r="T21"/>
      <c r="U21"/>
      <c r="V21"/>
      <c r="W21"/>
      <c r="X21"/>
      <c r="Y21"/>
      <c r="Z21"/>
      <c r="CE21" s="68">
        <f t="shared" si="22"/>
        <v>1</v>
      </c>
      <c r="CF21" s="68">
        <f t="shared" si="23"/>
        <v>1</v>
      </c>
      <c r="CG21" s="68">
        <f t="shared" si="24"/>
        <v>0</v>
      </c>
      <c r="CH21" s="68">
        <f t="shared" si="25"/>
        <v>0</v>
      </c>
      <c r="CI21" s="68">
        <f t="shared" si="26"/>
        <v>0</v>
      </c>
      <c r="CJ21" s="72">
        <f t="shared" si="27"/>
        <v>0</v>
      </c>
      <c r="CK21" s="68">
        <f t="shared" si="28"/>
        <v>0</v>
      </c>
      <c r="CL21" s="70">
        <f t="shared" si="29"/>
        <v>0</v>
      </c>
      <c r="CM21" s="68">
        <f t="shared" si="30"/>
        <v>0</v>
      </c>
      <c r="CN21" s="68">
        <f t="shared" si="31"/>
        <v>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32"/>
        <v>0</v>
      </c>
      <c r="CR21" s="71">
        <f t="array" ref="CR21">SUM(IF(ISERR(FIND(CR$4,$D21:$CD21)),0,1))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shared" si="33"/>
        <v>0</v>
      </c>
      <c r="CZ21" s="71">
        <f t="shared" si="34"/>
        <v>0</v>
      </c>
      <c r="DA21" s="71">
        <f t="shared" si="35"/>
        <v>0</v>
      </c>
      <c r="DB21" s="71">
        <f t="shared" si="36"/>
        <v>0</v>
      </c>
      <c r="DC21" s="71">
        <f t="shared" si="37"/>
        <v>0</v>
      </c>
      <c r="DD21" s="71">
        <f t="shared" si="38"/>
        <v>0</v>
      </c>
      <c r="DE21" s="71">
        <f t="shared" si="39"/>
        <v>0</v>
      </c>
      <c r="DF21" s="68">
        <f t="shared" si="40"/>
        <v>1.00021</v>
      </c>
      <c r="DG21" s="68">
        <f t="shared" si="19"/>
        <v>45</v>
      </c>
      <c r="DH21" s="68">
        <v>0</v>
      </c>
      <c r="DI21" s="89" t="str">
        <f t="shared" si="41"/>
        <v/>
      </c>
      <c r="DJ21" s="97" t="e">
        <f t="shared" si="42"/>
        <v>#DIV/0!</v>
      </c>
    </row>
    <row r="22" spans="1:114" x14ac:dyDescent="0.15">
      <c r="C22" s="122" t="s">
        <v>562</v>
      </c>
      <c r="D22" s="122"/>
      <c r="E22" s="122"/>
      <c r="F22" s="122"/>
      <c r="G22" s="122"/>
      <c r="H22" s="122"/>
      <c r="I22" s="122"/>
      <c r="J22"/>
      <c r="K22"/>
      <c r="L22"/>
      <c r="M22"/>
      <c r="N22"/>
      <c r="O22"/>
      <c r="P22"/>
      <c r="Q22"/>
      <c r="S22" t="s">
        <v>537</v>
      </c>
      <c r="T22"/>
      <c r="U22"/>
      <c r="V22"/>
      <c r="W22"/>
      <c r="X22"/>
      <c r="Y22"/>
      <c r="Z22"/>
      <c r="CE22" s="68">
        <f t="shared" ref="CE22" si="64">BatSplit(D22:CD22,MatchesPlayed)</f>
        <v>1</v>
      </c>
      <c r="CF22" s="68">
        <f t="shared" ref="CF22" si="65">CE22-CG22</f>
        <v>0</v>
      </c>
      <c r="CG22" s="68">
        <f t="shared" ref="CG22" si="66">BatSplit(D22:CD22,InnsBattedIn)</f>
        <v>1</v>
      </c>
      <c r="CH22" s="68">
        <f t="shared" ref="CH22" si="67">BatSplit(D22:CD22,NotOuts)</f>
        <v>0</v>
      </c>
      <c r="CI22" s="68">
        <f t="shared" ref="CI22" si="68">BatSplit(D22:CD22,HighestScore)</f>
        <v>0</v>
      </c>
      <c r="CJ22" s="72">
        <f t="shared" ref="CJ22" si="69">IF(CI22&lt;0,-CI22&amp;"*",CI22)</f>
        <v>0</v>
      </c>
      <c r="CK22" s="68">
        <f t="shared" ref="CK22" si="70">BatSplit(D22:CD22,RunsScored)</f>
        <v>0</v>
      </c>
      <c r="CL22" s="70">
        <f t="shared" ref="CL22" si="71">IF(CG22=CH22,0,CK22/(CG22-CH22))</f>
        <v>0</v>
      </c>
      <c r="CM22" s="68">
        <f t="shared" ref="CM22" si="72">BatSplit(D22:CD22,BatPts)</f>
        <v>-5</v>
      </c>
      <c r="CN22" s="68">
        <f t="shared" ref="CN22" si="73">BatSplit(D22:CD22,FldPts)</f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ref="CQ22" si="74">BatSplit(D22:CD22,Ducks)</f>
        <v>1</v>
      </c>
      <c r="CR22" s="71">
        <f t="array" ref="CR22">SUM(IF(ISERR(FIND(CR$4,$D22:$CD22)),0,1))</f>
        <v>1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shared" ref="CY22" si="75">BatSplit(D22:CD22,Fifties)</f>
        <v>0</v>
      </c>
      <c r="CZ22" s="71">
        <f t="shared" ref="CZ22" si="76">BatSplit(D22:CD22,Catches)</f>
        <v>0</v>
      </c>
      <c r="DA22" s="71">
        <f t="shared" ref="DA22" si="77">BatSplit(D22:CD22,Fours)</f>
        <v>0</v>
      </c>
      <c r="DB22" s="71">
        <f t="shared" ref="DB22" si="78">BatSplit(D22:CD22,Sixes)</f>
        <v>0</v>
      </c>
      <c r="DC22" s="71">
        <f t="shared" ref="DC22" si="79">BatSplit(D22:CD22,Stumpings)</f>
        <v>0</v>
      </c>
      <c r="DD22" s="71">
        <f t="shared" ref="DD22" si="80">BatSplit(D22:CD22,CaughtWkt)</f>
        <v>0</v>
      </c>
      <c r="DE22" s="71">
        <f t="shared" ref="DE22" si="81">BatSplit(D22:CD22,TwentyFives)</f>
        <v>0</v>
      </c>
      <c r="DF22" s="68">
        <f t="shared" ref="DF22" si="82">ROUND(IF(ISERROR(CL22),0,CL22),2)*100000+CG22*100+CE22+CK22/100+ROW()/100000</f>
        <v>101.00022</v>
      </c>
      <c r="DG22" s="68">
        <f t="shared" si="19"/>
        <v>42</v>
      </c>
      <c r="DH22" s="68">
        <v>0</v>
      </c>
      <c r="DI22" s="89" t="str">
        <f t="shared" ref="DI22" si="83">IF(CK22&gt;=50,(DA22*4+DB22*6+DH22*5)/CK22,"")</f>
        <v/>
      </c>
      <c r="DJ22" s="97">
        <f t="shared" ref="DJ22" si="84">CQ22/(CG22-CH22)</f>
        <v>1</v>
      </c>
    </row>
    <row r="23" spans="1:114" x14ac:dyDescent="0.15">
      <c r="B23" s="122"/>
      <c r="C23" s="122" t="s">
        <v>443</v>
      </c>
      <c r="D23" s="122"/>
      <c r="E23" s="122"/>
      <c r="F23" s="122"/>
      <c r="G23"/>
      <c r="H23"/>
      <c r="I23"/>
      <c r="J23"/>
      <c r="K23" s="122"/>
      <c r="L23"/>
      <c r="M23" t="s">
        <v>444</v>
      </c>
      <c r="N23"/>
      <c r="O23"/>
      <c r="P23"/>
      <c r="Q23"/>
      <c r="S23"/>
      <c r="T23"/>
      <c r="U23"/>
      <c r="V23"/>
      <c r="W23"/>
      <c r="X23"/>
      <c r="Y23"/>
      <c r="Z23"/>
      <c r="CE23" s="68">
        <f t="shared" si="22"/>
        <v>1</v>
      </c>
      <c r="CF23" s="68">
        <f t="shared" si="23"/>
        <v>0</v>
      </c>
      <c r="CG23" s="68">
        <f t="shared" si="24"/>
        <v>1</v>
      </c>
      <c r="CH23" s="68">
        <f t="shared" si="25"/>
        <v>0</v>
      </c>
      <c r="CI23" s="68">
        <f t="shared" si="26"/>
        <v>20</v>
      </c>
      <c r="CJ23" s="72">
        <f t="shared" si="27"/>
        <v>20</v>
      </c>
      <c r="CK23" s="68">
        <f t="shared" si="28"/>
        <v>20</v>
      </c>
      <c r="CL23" s="70">
        <f t="shared" si="29"/>
        <v>20</v>
      </c>
      <c r="CM23" s="68">
        <f t="shared" si="30"/>
        <v>20</v>
      </c>
      <c r="CN23" s="68">
        <f t="shared" si="31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32"/>
        <v>0</v>
      </c>
      <c r="CR23" s="71">
        <f t="array" ref="CR23">SUM(IF(ISERR(FIND(CR$4,$D23:$CD23)),0,1))</f>
        <v>1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shared" si="33"/>
        <v>0</v>
      </c>
      <c r="CZ23" s="71">
        <f t="shared" si="34"/>
        <v>0</v>
      </c>
      <c r="DA23" s="71">
        <f t="shared" si="35"/>
        <v>3</v>
      </c>
      <c r="DB23" s="71">
        <f t="shared" si="36"/>
        <v>0</v>
      </c>
      <c r="DC23" s="71">
        <f t="shared" si="37"/>
        <v>0</v>
      </c>
      <c r="DD23" s="71">
        <f t="shared" si="38"/>
        <v>0</v>
      </c>
      <c r="DE23" s="71">
        <f t="shared" si="39"/>
        <v>0</v>
      </c>
      <c r="DF23" s="68">
        <f t="shared" si="40"/>
        <v>2000101.2002299998</v>
      </c>
      <c r="DG23" s="68">
        <f t="shared" si="19"/>
        <v>13</v>
      </c>
      <c r="DH23" s="68">
        <v>0</v>
      </c>
      <c r="DI23" s="89" t="str">
        <f t="shared" si="41"/>
        <v/>
      </c>
      <c r="DJ23" s="97">
        <f t="shared" si="42"/>
        <v>0</v>
      </c>
    </row>
    <row r="24" spans="1:114" x14ac:dyDescent="0.15">
      <c r="B24" s="68" t="s">
        <v>202</v>
      </c>
      <c r="C24" s="68" t="s">
        <v>201</v>
      </c>
      <c r="D24"/>
      <c r="F24"/>
      <c r="G24"/>
      <c r="H24"/>
      <c r="I24"/>
      <c r="J24"/>
      <c r="K24" t="s">
        <v>409</v>
      </c>
      <c r="M24"/>
      <c r="N24"/>
      <c r="O24"/>
      <c r="P24"/>
      <c r="Q24"/>
      <c r="R24"/>
      <c r="S24"/>
      <c r="T24"/>
      <c r="U24"/>
      <c r="V24"/>
      <c r="W24"/>
      <c r="X24"/>
      <c r="CE24" s="68">
        <f t="shared" si="22"/>
        <v>1</v>
      </c>
      <c r="CF24" s="68">
        <f t="shared" si="23"/>
        <v>0</v>
      </c>
      <c r="CG24" s="68">
        <f t="shared" si="24"/>
        <v>1</v>
      </c>
      <c r="CH24" s="68">
        <f t="shared" si="25"/>
        <v>1</v>
      </c>
      <c r="CI24" s="68">
        <f t="shared" si="26"/>
        <v>-4</v>
      </c>
      <c r="CJ24" s="72" t="str">
        <f t="shared" si="27"/>
        <v>4*</v>
      </c>
      <c r="CK24" s="68">
        <f t="shared" si="28"/>
        <v>4</v>
      </c>
      <c r="CL24" s="70">
        <f t="shared" si="29"/>
        <v>0</v>
      </c>
      <c r="CM24" s="68">
        <f t="shared" si="30"/>
        <v>4</v>
      </c>
      <c r="CN24" s="68">
        <f t="shared" si="31"/>
        <v>0</v>
      </c>
      <c r="CO24" s="71">
        <f t="array" ref="CO24">SUM(IF(ISERR(FIND("*",D24:CD24)),0,1))</f>
        <v>0</v>
      </c>
      <c r="CP24" s="71">
        <f t="array" ref="CP24">SUM(IF(ISERR(FIND("+",D24:CD24)),0,1))</f>
        <v>0</v>
      </c>
      <c r="CQ24" s="68">
        <f t="shared" si="32"/>
        <v>0</v>
      </c>
      <c r="CR24" s="71">
        <f t="array" ref="CR24">SUM(IF(ISERR(FIND(CR$4,$D24:$CD24)),0,1))</f>
        <v>0</v>
      </c>
      <c r="CS24" s="71">
        <f t="array" ref="CS24">SUM(IF(ISERR(FIND(CS$4,$D24:$CD24)),0,1))</f>
        <v>0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shared" si="33"/>
        <v>0</v>
      </c>
      <c r="CZ24" s="71">
        <f t="shared" si="34"/>
        <v>0</v>
      </c>
      <c r="DA24" s="71">
        <f t="shared" si="35"/>
        <v>1</v>
      </c>
      <c r="DB24" s="71">
        <f t="shared" si="36"/>
        <v>0</v>
      </c>
      <c r="DC24" s="71">
        <f t="shared" si="37"/>
        <v>0</v>
      </c>
      <c r="DD24" s="71">
        <f t="shared" si="38"/>
        <v>0</v>
      </c>
      <c r="DE24" s="71">
        <f t="shared" si="39"/>
        <v>0</v>
      </c>
      <c r="DF24" s="68">
        <f t="shared" si="40"/>
        <v>101.04024000000001</v>
      </c>
      <c r="DG24" s="68">
        <f t="shared" si="19"/>
        <v>36</v>
      </c>
      <c r="DH24" s="68">
        <v>0</v>
      </c>
      <c r="DI24" s="89" t="str">
        <f t="shared" si="41"/>
        <v/>
      </c>
      <c r="DJ24" s="97" t="e">
        <f t="shared" si="42"/>
        <v>#DIV/0!</v>
      </c>
    </row>
    <row r="25" spans="1:114" x14ac:dyDescent="0.15">
      <c r="B25" t="s">
        <v>173</v>
      </c>
      <c r="C25" t="s">
        <v>174</v>
      </c>
      <c r="D25" s="122"/>
      <c r="E25" s="122"/>
      <c r="F25"/>
      <c r="G25"/>
      <c r="H25"/>
      <c r="I25"/>
      <c r="J25"/>
      <c r="K25"/>
      <c r="N25"/>
      <c r="Q25"/>
      <c r="R25"/>
      <c r="T25" t="s">
        <v>214</v>
      </c>
      <c r="V25"/>
      <c r="Y25"/>
      <c r="Z25"/>
      <c r="CE25" s="68">
        <f t="shared" si="22"/>
        <v>1</v>
      </c>
      <c r="CF25" s="68">
        <f t="shared" si="23"/>
        <v>1</v>
      </c>
      <c r="CG25" s="68">
        <f t="shared" si="24"/>
        <v>0</v>
      </c>
      <c r="CH25" s="68">
        <f t="shared" si="25"/>
        <v>0</v>
      </c>
      <c r="CI25" s="68">
        <f t="shared" si="26"/>
        <v>0</v>
      </c>
      <c r="CJ25" s="72">
        <f t="shared" si="27"/>
        <v>0</v>
      </c>
      <c r="CK25" s="68">
        <f t="shared" si="28"/>
        <v>0</v>
      </c>
      <c r="CL25" s="70">
        <f t="shared" si="29"/>
        <v>0</v>
      </c>
      <c r="CM25" s="68">
        <f t="shared" si="30"/>
        <v>0</v>
      </c>
      <c r="CN25" s="68">
        <f t="shared" si="31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32"/>
        <v>0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shared" si="33"/>
        <v>0</v>
      </c>
      <c r="CZ25" s="71">
        <f t="shared" si="34"/>
        <v>0</v>
      </c>
      <c r="DA25" s="71">
        <f t="shared" si="35"/>
        <v>0</v>
      </c>
      <c r="DB25" s="71">
        <f t="shared" si="36"/>
        <v>0</v>
      </c>
      <c r="DC25" s="71">
        <f t="shared" si="37"/>
        <v>0</v>
      </c>
      <c r="DD25" s="71">
        <f t="shared" si="38"/>
        <v>0</v>
      </c>
      <c r="DE25" s="71">
        <f t="shared" si="39"/>
        <v>0</v>
      </c>
      <c r="DF25" s="68">
        <f t="shared" si="40"/>
        <v>1.0002500000000001</v>
      </c>
      <c r="DG25" s="68">
        <f t="shared" si="19"/>
        <v>44</v>
      </c>
      <c r="DH25" s="68">
        <v>0</v>
      </c>
      <c r="DI25" s="89" t="str">
        <f t="shared" si="41"/>
        <v/>
      </c>
      <c r="DJ25" s="97" t="e">
        <f t="shared" si="42"/>
        <v>#DIV/0!</v>
      </c>
    </row>
    <row r="26" spans="1:114" x14ac:dyDescent="0.15">
      <c r="B26" s="122" t="s">
        <v>27</v>
      </c>
      <c r="C26" t="s">
        <v>237</v>
      </c>
      <c r="D26"/>
      <c r="E26"/>
      <c r="F26" t="s">
        <v>245</v>
      </c>
      <c r="G26" t="s">
        <v>345</v>
      </c>
      <c r="H26" s="122"/>
      <c r="I26" s="122"/>
      <c r="J26"/>
      <c r="K26"/>
      <c r="L26"/>
      <c r="M26"/>
      <c r="N26" t="s">
        <v>456</v>
      </c>
      <c r="O26"/>
      <c r="P26" t="s">
        <v>245</v>
      </c>
      <c r="Q26" t="s">
        <v>521</v>
      </c>
      <c r="R26" t="s">
        <v>541</v>
      </c>
      <c r="S26" t="s">
        <v>567</v>
      </c>
      <c r="T26"/>
      <c r="U26"/>
      <c r="V26"/>
      <c r="W26"/>
      <c r="X26" s="122"/>
      <c r="CE26" s="68">
        <f t="shared" si="22"/>
        <v>7</v>
      </c>
      <c r="CF26" s="68">
        <f t="shared" si="23"/>
        <v>2</v>
      </c>
      <c r="CG26" s="68">
        <f t="shared" si="24"/>
        <v>5</v>
      </c>
      <c r="CH26" s="68">
        <f t="shared" si="25"/>
        <v>3</v>
      </c>
      <c r="CI26" s="68">
        <f t="shared" si="26"/>
        <v>-21</v>
      </c>
      <c r="CJ26" s="72" t="str">
        <f t="shared" si="27"/>
        <v>21*</v>
      </c>
      <c r="CK26" s="68">
        <f t="shared" si="28"/>
        <v>51</v>
      </c>
      <c r="CL26" s="70">
        <f t="shared" si="29"/>
        <v>25.5</v>
      </c>
      <c r="CM26" s="68">
        <f t="shared" si="30"/>
        <v>51</v>
      </c>
      <c r="CN26" s="68">
        <f t="shared" si="31"/>
        <v>0</v>
      </c>
      <c r="CO26" s="71">
        <f t="array" ref="CO26">SUM(IF(ISERR(FIND("*",D26:CD26)),0,1))</f>
        <v>0</v>
      </c>
      <c r="CP26" s="71">
        <f t="array" ref="CP26">SUM(IF(ISERR(FIND("+",D26:CD26)),0,1))</f>
        <v>0</v>
      </c>
      <c r="CQ26" s="68">
        <f t="shared" si="32"/>
        <v>0</v>
      </c>
      <c r="CR26" s="71">
        <f t="array" ref="CR26">SUM(IF(ISERR(FIND(CR$4,$D26:$CD26)),0,1))</f>
        <v>2</v>
      </c>
      <c r="CS26" s="71">
        <f t="array" ref="CS26">SUM(IF(ISERR(FIND(CS$4,$D26:$CD26)),0,1))</f>
        <v>0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array" ref="CX26">SUM(IF(ISERR(FIND(CX$4,$D26:$CD26)),0,1))</f>
        <v>0</v>
      </c>
      <c r="CY26" s="71">
        <f t="shared" si="33"/>
        <v>0</v>
      </c>
      <c r="CZ26" s="71">
        <f t="shared" si="34"/>
        <v>0</v>
      </c>
      <c r="DA26" s="71">
        <f t="shared" si="35"/>
        <v>5</v>
      </c>
      <c r="DB26" s="71">
        <f t="shared" si="36"/>
        <v>1</v>
      </c>
      <c r="DC26" s="71">
        <f t="shared" si="37"/>
        <v>0</v>
      </c>
      <c r="DD26" s="71">
        <f t="shared" si="38"/>
        <v>0</v>
      </c>
      <c r="DE26" s="71">
        <f t="shared" si="39"/>
        <v>0</v>
      </c>
      <c r="DF26" s="68">
        <f t="shared" si="40"/>
        <v>2550507.5102599999</v>
      </c>
      <c r="DG26" s="68">
        <f t="shared" si="19"/>
        <v>9</v>
      </c>
      <c r="DH26" s="68">
        <v>0</v>
      </c>
      <c r="DI26" s="89">
        <f t="shared" si="41"/>
        <v>0.50980392156862742</v>
      </c>
      <c r="DJ26" s="97">
        <f t="shared" si="42"/>
        <v>0</v>
      </c>
    </row>
    <row r="27" spans="1:114" x14ac:dyDescent="0.15">
      <c r="B27" s="122" t="s">
        <v>509</v>
      </c>
      <c r="C27" t="s">
        <v>510</v>
      </c>
      <c r="D27"/>
      <c r="E27"/>
      <c r="F27"/>
      <c r="G27"/>
      <c r="H27" s="122"/>
      <c r="I27" s="122"/>
      <c r="J27"/>
      <c r="K27"/>
      <c r="L27"/>
      <c r="M27"/>
      <c r="N27"/>
      <c r="O27"/>
      <c r="P27"/>
      <c r="Q27" t="s">
        <v>511</v>
      </c>
      <c r="R27"/>
      <c r="S27"/>
      <c r="T27"/>
      <c r="U27"/>
      <c r="V27"/>
      <c r="W27"/>
      <c r="X27" s="122"/>
      <c r="CE27" s="68">
        <f t="shared" si="22"/>
        <v>1</v>
      </c>
      <c r="CF27" s="68">
        <f t="shared" si="23"/>
        <v>0</v>
      </c>
      <c r="CG27" s="68">
        <f t="shared" si="24"/>
        <v>1</v>
      </c>
      <c r="CH27" s="68">
        <f t="shared" si="25"/>
        <v>0</v>
      </c>
      <c r="CI27" s="68">
        <f t="shared" si="26"/>
        <v>64</v>
      </c>
      <c r="CJ27" s="72">
        <f t="shared" si="27"/>
        <v>64</v>
      </c>
      <c r="CK27" s="68">
        <f t="shared" si="28"/>
        <v>64</v>
      </c>
      <c r="CL27" s="70">
        <f t="shared" si="29"/>
        <v>64</v>
      </c>
      <c r="CM27" s="68">
        <f t="shared" si="30"/>
        <v>74</v>
      </c>
      <c r="CN27" s="68">
        <f t="shared" si="31"/>
        <v>0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32"/>
        <v>0</v>
      </c>
      <c r="CR27" s="71">
        <f t="array" ref="CR27">SUM(IF(ISERR(FIND(CR$4,$D27:$CD27)),0,1))</f>
        <v>0</v>
      </c>
      <c r="CS27" s="71">
        <f t="array" ref="CS27">SUM(IF(ISERR(FIND(CS$4,$D27:$CD27)),0,1))</f>
        <v>1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shared" si="33"/>
        <v>1</v>
      </c>
      <c r="CZ27" s="71">
        <f t="shared" si="34"/>
        <v>0</v>
      </c>
      <c r="DA27" s="71">
        <f t="shared" si="35"/>
        <v>8</v>
      </c>
      <c r="DB27" s="71">
        <f t="shared" si="36"/>
        <v>0</v>
      </c>
      <c r="DC27" s="71">
        <f t="shared" si="37"/>
        <v>0</v>
      </c>
      <c r="DD27" s="71">
        <f t="shared" si="38"/>
        <v>0</v>
      </c>
      <c r="DE27" s="71">
        <f t="shared" si="39"/>
        <v>1</v>
      </c>
      <c r="DF27" s="68">
        <f t="shared" si="40"/>
        <v>6400101.6402699994</v>
      </c>
      <c r="DG27" s="68">
        <f t="shared" si="19"/>
        <v>1</v>
      </c>
      <c r="DH27" s="68">
        <v>0</v>
      </c>
      <c r="DI27" s="89">
        <f t="shared" si="41"/>
        <v>0.5</v>
      </c>
      <c r="DJ27" s="97">
        <f t="shared" si="42"/>
        <v>0</v>
      </c>
    </row>
    <row r="28" spans="1:114" x14ac:dyDescent="0.15">
      <c r="B28" s="68" t="s">
        <v>29</v>
      </c>
      <c r="C28" s="68" t="s">
        <v>218</v>
      </c>
      <c r="D28" t="s">
        <v>289</v>
      </c>
      <c r="E28" t="s">
        <v>307</v>
      </c>
      <c r="F28" t="s">
        <v>276</v>
      </c>
      <c r="G28" t="s">
        <v>334</v>
      </c>
      <c r="H28"/>
      <c r="I28" t="s">
        <v>361</v>
      </c>
      <c r="J28" t="s">
        <v>380</v>
      </c>
      <c r="K28" t="s">
        <v>407</v>
      </c>
      <c r="L28" t="s">
        <v>428</v>
      </c>
      <c r="M28"/>
      <c r="N28" t="s">
        <v>449</v>
      </c>
      <c r="O28" t="s">
        <v>478</v>
      </c>
      <c r="P28" t="s">
        <v>490</v>
      </c>
      <c r="Q28" t="s">
        <v>507</v>
      </c>
      <c r="R28"/>
      <c r="S28" t="s">
        <v>559</v>
      </c>
      <c r="T28" t="s">
        <v>580</v>
      </c>
      <c r="U28"/>
      <c r="V28"/>
      <c r="W28"/>
      <c r="X28"/>
      <c r="Y28"/>
      <c r="Z28"/>
      <c r="CE28" s="68">
        <f t="shared" si="22"/>
        <v>14</v>
      </c>
      <c r="CF28" s="68">
        <f t="shared" si="23"/>
        <v>2</v>
      </c>
      <c r="CG28" s="68">
        <f t="shared" si="24"/>
        <v>12</v>
      </c>
      <c r="CH28" s="68">
        <f t="shared" si="25"/>
        <v>1</v>
      </c>
      <c r="CI28" s="68">
        <f t="shared" si="26"/>
        <v>52</v>
      </c>
      <c r="CJ28" s="72">
        <f t="shared" si="27"/>
        <v>52</v>
      </c>
      <c r="CK28" s="68">
        <f t="shared" si="28"/>
        <v>244</v>
      </c>
      <c r="CL28" s="70">
        <f t="shared" si="29"/>
        <v>22.181818181818183</v>
      </c>
      <c r="CM28" s="68">
        <f t="shared" si="30"/>
        <v>244</v>
      </c>
      <c r="CN28" s="68">
        <f t="shared" si="31"/>
        <v>10</v>
      </c>
      <c r="CO28" s="71">
        <f t="array" ref="CO28">SUM(IF(ISERR(FIND("*",D28:CD28)),0,1))</f>
        <v>13</v>
      </c>
      <c r="CP28" s="71">
        <f t="array" ref="CP28">SUM(IF(ISERR(FIND("+",D28:CD28)),0,1))</f>
        <v>0</v>
      </c>
      <c r="CQ28" s="68">
        <f t="shared" si="32"/>
        <v>2</v>
      </c>
      <c r="CR28" s="71">
        <f t="array" ref="CR28">SUM(IF(ISERR(FIND(CR$4,$D28:$CD28)),0,1))</f>
        <v>4</v>
      </c>
      <c r="CS28" s="71">
        <f t="array" ref="CS28">SUM(IF(ISERR(FIND(CS$4,$D28:$CD28)),0,1))</f>
        <v>3</v>
      </c>
      <c r="CT28" s="71">
        <f t="array" ref="CT28">SUM(IF(ISERR(FIND(CT$4,$D28:$CD28)),0,1))</f>
        <v>4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shared" si="33"/>
        <v>1</v>
      </c>
      <c r="CZ28" s="71">
        <f t="shared" si="34"/>
        <v>2</v>
      </c>
      <c r="DA28" s="71">
        <f t="shared" si="35"/>
        <v>36</v>
      </c>
      <c r="DB28" s="71">
        <f t="shared" si="36"/>
        <v>7</v>
      </c>
      <c r="DC28" s="71">
        <f t="shared" si="37"/>
        <v>0</v>
      </c>
      <c r="DD28" s="71">
        <f t="shared" si="38"/>
        <v>0</v>
      </c>
      <c r="DE28" s="71">
        <f t="shared" si="39"/>
        <v>6</v>
      </c>
      <c r="DF28" s="68">
        <f t="shared" si="40"/>
        <v>2219216.4402799997</v>
      </c>
      <c r="DG28" s="68">
        <f t="shared" si="19"/>
        <v>11</v>
      </c>
      <c r="DH28" s="68">
        <v>0</v>
      </c>
      <c r="DI28" s="89">
        <f t="shared" si="41"/>
        <v>0.76229508196721307</v>
      </c>
      <c r="DJ28" s="97">
        <f t="shared" si="42"/>
        <v>0.18181818181818182</v>
      </c>
    </row>
    <row r="29" spans="1:114" x14ac:dyDescent="0.15">
      <c r="B29" t="s">
        <v>222</v>
      </c>
      <c r="C29" t="s">
        <v>223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 s="122"/>
      <c r="R29" t="s">
        <v>535</v>
      </c>
      <c r="S29"/>
      <c r="T29"/>
      <c r="U29"/>
      <c r="V29"/>
      <c r="W29"/>
      <c r="X29"/>
      <c r="Y29"/>
      <c r="CE29" s="68">
        <f t="shared" si="22"/>
        <v>1</v>
      </c>
      <c r="CF29" s="68">
        <f t="shared" si="23"/>
        <v>0</v>
      </c>
      <c r="CG29" s="68">
        <f t="shared" si="24"/>
        <v>1</v>
      </c>
      <c r="CH29" s="68">
        <f t="shared" si="25"/>
        <v>0</v>
      </c>
      <c r="CI29" s="68">
        <f t="shared" si="26"/>
        <v>0</v>
      </c>
      <c r="CJ29" s="72">
        <f t="shared" si="27"/>
        <v>0</v>
      </c>
      <c r="CK29" s="68">
        <f t="shared" si="28"/>
        <v>0</v>
      </c>
      <c r="CL29" s="70">
        <f t="shared" si="29"/>
        <v>0</v>
      </c>
      <c r="CM29" s="68">
        <f t="shared" si="30"/>
        <v>-5</v>
      </c>
      <c r="CN29" s="68">
        <f t="shared" si="31"/>
        <v>0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32"/>
        <v>1</v>
      </c>
      <c r="CR29" s="71">
        <f t="array" ref="CR29">SUM(IF(ISERR(FIND(CR$4,$D29:$CD29)),0,1))</f>
        <v>1</v>
      </c>
      <c r="CS29" s="71">
        <f t="array" ref="CS29">SUM(IF(ISERR(FIND(CS$4,$D29:$CD29)),0,1))</f>
        <v>0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shared" si="33"/>
        <v>0</v>
      </c>
      <c r="CZ29" s="71">
        <f t="shared" si="34"/>
        <v>0</v>
      </c>
      <c r="DA29" s="71">
        <f t="shared" si="35"/>
        <v>0</v>
      </c>
      <c r="DB29" s="71">
        <f t="shared" si="36"/>
        <v>0</v>
      </c>
      <c r="DC29" s="71">
        <f t="shared" si="37"/>
        <v>0</v>
      </c>
      <c r="DD29" s="71">
        <f t="shared" si="38"/>
        <v>0</v>
      </c>
      <c r="DE29" s="71">
        <f t="shared" si="39"/>
        <v>0</v>
      </c>
      <c r="DF29" s="68">
        <f t="shared" si="40"/>
        <v>101.00029000000001</v>
      </c>
      <c r="DG29" s="68">
        <f t="shared" si="19"/>
        <v>41</v>
      </c>
      <c r="DH29" s="68">
        <v>0</v>
      </c>
      <c r="DI29" s="89" t="str">
        <f t="shared" si="41"/>
        <v/>
      </c>
      <c r="DJ29" s="97">
        <f t="shared" si="42"/>
        <v>1</v>
      </c>
    </row>
    <row r="30" spans="1:114" x14ac:dyDescent="0.15">
      <c r="B30"/>
      <c r="C30" t="s">
        <v>402</v>
      </c>
      <c r="D30"/>
      <c r="E30"/>
      <c r="F30"/>
      <c r="G30"/>
      <c r="H30"/>
      <c r="I30"/>
      <c r="J30"/>
      <c r="K30" t="s">
        <v>403</v>
      </c>
      <c r="L30"/>
      <c r="M30"/>
      <c r="N30"/>
      <c r="O30"/>
      <c r="P30"/>
      <c r="Q30" s="122"/>
      <c r="R30"/>
      <c r="S30"/>
      <c r="T30"/>
      <c r="U30"/>
      <c r="V30"/>
      <c r="W30"/>
      <c r="X30"/>
      <c r="Y30"/>
      <c r="CE30" s="68">
        <f t="shared" si="22"/>
        <v>1</v>
      </c>
      <c r="CF30" s="68">
        <f t="shared" si="23"/>
        <v>0</v>
      </c>
      <c r="CG30" s="68">
        <f t="shared" si="24"/>
        <v>1</v>
      </c>
      <c r="CH30" s="68">
        <f t="shared" si="25"/>
        <v>0</v>
      </c>
      <c r="CI30" s="68">
        <f t="shared" si="26"/>
        <v>14</v>
      </c>
      <c r="CJ30" s="72">
        <f t="shared" si="27"/>
        <v>14</v>
      </c>
      <c r="CK30" s="68">
        <f t="shared" si="28"/>
        <v>14</v>
      </c>
      <c r="CL30" s="70">
        <f t="shared" si="29"/>
        <v>14</v>
      </c>
      <c r="CM30" s="68">
        <f t="shared" si="30"/>
        <v>14</v>
      </c>
      <c r="CN30" s="68">
        <f t="shared" si="31"/>
        <v>5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32"/>
        <v>0</v>
      </c>
      <c r="CR30" s="71">
        <f t="array" ref="CR30">SUM(IF(ISERR(FIND(CR$4,$D30:$CD30)),0,1))</f>
        <v>0</v>
      </c>
      <c r="CS30" s="71">
        <f t="array" ref="CS30">SUM(IF(ISERR(FIND(CS$4,$D30:$CD30)),0,1))</f>
        <v>1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shared" si="33"/>
        <v>0</v>
      </c>
      <c r="CZ30" s="71">
        <f t="shared" si="34"/>
        <v>1</v>
      </c>
      <c r="DA30" s="71">
        <f t="shared" si="35"/>
        <v>3</v>
      </c>
      <c r="DB30" s="71">
        <f t="shared" si="36"/>
        <v>0</v>
      </c>
      <c r="DC30" s="71">
        <f t="shared" si="37"/>
        <v>0</v>
      </c>
      <c r="DD30" s="71">
        <f t="shared" si="38"/>
        <v>0</v>
      </c>
      <c r="DE30" s="71">
        <f t="shared" si="39"/>
        <v>0</v>
      </c>
      <c r="DF30" s="68">
        <f t="shared" si="40"/>
        <v>1400101.1402999999</v>
      </c>
      <c r="DG30" s="68">
        <f t="shared" si="19"/>
        <v>16</v>
      </c>
      <c r="DH30" s="68">
        <v>0</v>
      </c>
      <c r="DI30" s="89" t="str">
        <f t="shared" si="41"/>
        <v/>
      </c>
      <c r="DJ30" s="97">
        <f t="shared" si="42"/>
        <v>0</v>
      </c>
    </row>
    <row r="31" spans="1:114" x14ac:dyDescent="0.15">
      <c r="B31" t="s">
        <v>27</v>
      </c>
      <c r="C31" t="s">
        <v>261</v>
      </c>
      <c r="D31" t="s">
        <v>281</v>
      </c>
      <c r="E31"/>
      <c r="F31"/>
      <c r="G31"/>
      <c r="H31"/>
      <c r="I31"/>
      <c r="J31"/>
      <c r="K31"/>
      <c r="L31" t="s">
        <v>424</v>
      </c>
      <c r="M31"/>
      <c r="N31"/>
      <c r="O31"/>
      <c r="P31" t="s">
        <v>492</v>
      </c>
      <c r="Q31" s="122"/>
      <c r="R31" t="s">
        <v>534</v>
      </c>
      <c r="S31"/>
      <c r="T31"/>
      <c r="U31"/>
      <c r="V31"/>
      <c r="W31"/>
      <c r="X31"/>
      <c r="Y31"/>
      <c r="CE31" s="68">
        <f t="shared" si="22"/>
        <v>4</v>
      </c>
      <c r="CF31" s="68">
        <f t="shared" si="23"/>
        <v>0</v>
      </c>
      <c r="CG31" s="68">
        <f t="shared" si="24"/>
        <v>4</v>
      </c>
      <c r="CH31" s="68">
        <f t="shared" si="25"/>
        <v>1</v>
      </c>
      <c r="CI31" s="68">
        <f t="shared" si="26"/>
        <v>3</v>
      </c>
      <c r="CJ31" s="72">
        <f t="shared" si="27"/>
        <v>3</v>
      </c>
      <c r="CK31" s="68">
        <f t="shared" si="28"/>
        <v>7</v>
      </c>
      <c r="CL31" s="70">
        <f t="shared" si="29"/>
        <v>2.3333333333333335</v>
      </c>
      <c r="CM31" s="68">
        <f t="shared" si="30"/>
        <v>2</v>
      </c>
      <c r="CN31" s="68">
        <f t="shared" si="31"/>
        <v>0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32"/>
        <v>1</v>
      </c>
      <c r="CR31" s="71">
        <f t="array" ref="CR31">SUM(IF(ISERR(FIND(CR$4,$D31:$CD31)),0,1))</f>
        <v>2</v>
      </c>
      <c r="CS31" s="71">
        <f t="array" ref="CS31">SUM(IF(ISERR(FIND(CS$4,$D31:$CD31)),0,1))</f>
        <v>0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1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shared" si="33"/>
        <v>0</v>
      </c>
      <c r="CZ31" s="71">
        <f t="shared" si="34"/>
        <v>0</v>
      </c>
      <c r="DA31" s="71">
        <f t="shared" si="35"/>
        <v>0</v>
      </c>
      <c r="DB31" s="71">
        <f t="shared" si="36"/>
        <v>0</v>
      </c>
      <c r="DC31" s="71">
        <f t="shared" si="37"/>
        <v>0</v>
      </c>
      <c r="DD31" s="71">
        <f t="shared" si="38"/>
        <v>0</v>
      </c>
      <c r="DE31" s="71">
        <f t="shared" si="39"/>
        <v>0</v>
      </c>
      <c r="DF31" s="68">
        <f t="shared" si="40"/>
        <v>233404.07031000001</v>
      </c>
      <c r="DG31" s="68">
        <f t="shared" si="19"/>
        <v>26</v>
      </c>
      <c r="DH31" s="68">
        <v>0</v>
      </c>
      <c r="DI31" s="89" t="str">
        <f t="shared" si="41"/>
        <v/>
      </c>
      <c r="DJ31" s="97">
        <f t="shared" si="42"/>
        <v>0.33333333333333331</v>
      </c>
    </row>
    <row r="32" spans="1:114" x14ac:dyDescent="0.15">
      <c r="B32" t="s">
        <v>220</v>
      </c>
      <c r="C32" t="s">
        <v>272</v>
      </c>
      <c r="D32"/>
      <c r="E32" t="s">
        <v>308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CE32" s="68">
        <f t="shared" si="22"/>
        <v>1</v>
      </c>
      <c r="CF32" s="68">
        <f t="shared" si="23"/>
        <v>0</v>
      </c>
      <c r="CG32" s="68">
        <f t="shared" si="24"/>
        <v>1</v>
      </c>
      <c r="CH32" s="68">
        <f t="shared" si="25"/>
        <v>0</v>
      </c>
      <c r="CI32" s="68">
        <f t="shared" si="26"/>
        <v>5</v>
      </c>
      <c r="CJ32" s="72">
        <f t="shared" si="27"/>
        <v>5</v>
      </c>
      <c r="CK32" s="68">
        <f t="shared" si="28"/>
        <v>5</v>
      </c>
      <c r="CL32" s="70">
        <f t="shared" si="29"/>
        <v>5</v>
      </c>
      <c r="CM32" s="68">
        <f t="shared" si="30"/>
        <v>5</v>
      </c>
      <c r="CN32" s="68">
        <f t="shared" si="31"/>
        <v>0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32"/>
        <v>0</v>
      </c>
      <c r="CR32" s="71">
        <f t="array" ref="CR32">SUM(IF(ISERR(FIND(CR$4,$D32:$CD32)),0,1))</f>
        <v>1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shared" si="33"/>
        <v>0</v>
      </c>
      <c r="CZ32" s="71">
        <f t="shared" si="34"/>
        <v>0</v>
      </c>
      <c r="DA32" s="71">
        <f t="shared" si="35"/>
        <v>1</v>
      </c>
      <c r="DB32" s="71">
        <f t="shared" si="36"/>
        <v>0</v>
      </c>
      <c r="DC32" s="71">
        <f t="shared" si="37"/>
        <v>0</v>
      </c>
      <c r="DD32" s="71">
        <f t="shared" si="38"/>
        <v>0</v>
      </c>
      <c r="DE32" s="71">
        <f t="shared" si="39"/>
        <v>0</v>
      </c>
      <c r="DF32" s="68">
        <f t="shared" si="40"/>
        <v>500101.05031999998</v>
      </c>
      <c r="DG32" s="68">
        <f t="shared" si="19"/>
        <v>22</v>
      </c>
      <c r="DH32" s="68">
        <v>0</v>
      </c>
      <c r="DI32" s="89" t="str">
        <f t="shared" si="41"/>
        <v/>
      </c>
      <c r="DJ32" s="97">
        <f t="shared" si="42"/>
        <v>0</v>
      </c>
    </row>
    <row r="33" spans="1:114" x14ac:dyDescent="0.15">
      <c r="B33" t="s">
        <v>267</v>
      </c>
      <c r="C33" t="s">
        <v>266</v>
      </c>
      <c r="D33" t="s">
        <v>290</v>
      </c>
      <c r="E33"/>
      <c r="F33" t="s">
        <v>238</v>
      </c>
      <c r="G33" t="s">
        <v>346</v>
      </c>
      <c r="H33"/>
      <c r="I33"/>
      <c r="J33"/>
      <c r="K33"/>
      <c r="L33"/>
      <c r="M33"/>
      <c r="N33"/>
      <c r="O33"/>
      <c r="P33"/>
      <c r="Q33"/>
      <c r="R33"/>
      <c r="S33" t="s">
        <v>564</v>
      </c>
      <c r="T33"/>
      <c r="U33"/>
      <c r="V33"/>
      <c r="W33"/>
      <c r="X33"/>
      <c r="Y33"/>
      <c r="CE33" s="68">
        <f t="shared" si="22"/>
        <v>4</v>
      </c>
      <c r="CF33" s="68">
        <f t="shared" si="23"/>
        <v>1</v>
      </c>
      <c r="CG33" s="68">
        <f t="shared" si="24"/>
        <v>3</v>
      </c>
      <c r="CH33" s="68">
        <f t="shared" si="25"/>
        <v>2</v>
      </c>
      <c r="CI33" s="68">
        <f t="shared" si="26"/>
        <v>-29</v>
      </c>
      <c r="CJ33" s="72" t="str">
        <f t="shared" si="27"/>
        <v>29*</v>
      </c>
      <c r="CK33" s="68">
        <f t="shared" si="28"/>
        <v>35</v>
      </c>
      <c r="CL33" s="70">
        <f t="shared" si="29"/>
        <v>35</v>
      </c>
      <c r="CM33" s="68">
        <f t="shared" si="30"/>
        <v>30</v>
      </c>
      <c r="CN33" s="68">
        <f t="shared" si="31"/>
        <v>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32"/>
        <v>1</v>
      </c>
      <c r="CR33" s="71">
        <f t="array" ref="CR33">SUM(IF(ISERR(FIND(CR$4,$D33:$CD33)),0,1))</f>
        <v>1</v>
      </c>
      <c r="CS33" s="71">
        <f t="array" ref="CS33">SUM(IF(ISERR(FIND(CS$4,$D33:$CD33)),0,1))</f>
        <v>0</v>
      </c>
      <c r="CT33" s="71">
        <f t="array" ref="CT33">SUM(IF(ISERR(FIND(CT$4,$D33:$CD33)),0,1))</f>
        <v>0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array" ref="CX33">SUM(IF(ISERR(FIND(CX$4,$D33:$CD33)),0,1))</f>
        <v>0</v>
      </c>
      <c r="CY33" s="71">
        <f t="shared" si="33"/>
        <v>0</v>
      </c>
      <c r="CZ33" s="71">
        <f t="shared" si="34"/>
        <v>1</v>
      </c>
      <c r="DA33" s="71">
        <f t="shared" si="35"/>
        <v>5</v>
      </c>
      <c r="DB33" s="71">
        <f t="shared" si="36"/>
        <v>0</v>
      </c>
      <c r="DC33" s="71">
        <f t="shared" si="37"/>
        <v>0</v>
      </c>
      <c r="DD33" s="71">
        <f t="shared" si="38"/>
        <v>0</v>
      </c>
      <c r="DE33" s="71">
        <f t="shared" si="39"/>
        <v>1</v>
      </c>
      <c r="DF33" s="68">
        <f t="shared" si="40"/>
        <v>3500304.3503300003</v>
      </c>
      <c r="DG33" s="68">
        <f t="shared" si="19"/>
        <v>4</v>
      </c>
      <c r="DH33" s="68">
        <v>0</v>
      </c>
      <c r="DI33" s="89" t="str">
        <f t="shared" si="41"/>
        <v/>
      </c>
      <c r="DJ33" s="97">
        <f t="shared" si="42"/>
        <v>1</v>
      </c>
    </row>
    <row r="34" spans="1:114" x14ac:dyDescent="0.15">
      <c r="B34" s="68" t="s">
        <v>30</v>
      </c>
      <c r="C34" s="68" t="s">
        <v>211</v>
      </c>
      <c r="D34" t="s">
        <v>282</v>
      </c>
      <c r="E34" t="s">
        <v>304</v>
      </c>
      <c r="F34" t="s">
        <v>324</v>
      </c>
      <c r="G34" t="s">
        <v>343</v>
      </c>
      <c r="H34"/>
      <c r="I34" t="s">
        <v>359</v>
      </c>
      <c r="J34" t="s">
        <v>387</v>
      </c>
      <c r="K34" t="s">
        <v>398</v>
      </c>
      <c r="L34" t="s">
        <v>422</v>
      </c>
      <c r="M34" t="s">
        <v>440</v>
      </c>
      <c r="N34" t="s">
        <v>453</v>
      </c>
      <c r="O34" t="s">
        <v>469</v>
      </c>
      <c r="P34" t="s">
        <v>491</v>
      </c>
      <c r="Q34" t="s">
        <v>519</v>
      </c>
      <c r="R34" t="s">
        <v>533</v>
      </c>
      <c r="S34" t="s">
        <v>560</v>
      </c>
      <c r="T34" t="s">
        <v>577</v>
      </c>
      <c r="U34"/>
      <c r="V34"/>
      <c r="W34"/>
      <c r="X34"/>
      <c r="Y34"/>
      <c r="Z34"/>
      <c r="CE34" s="68">
        <f t="shared" si="22"/>
        <v>16</v>
      </c>
      <c r="CF34" s="68">
        <f t="shared" si="23"/>
        <v>0</v>
      </c>
      <c r="CG34" s="68">
        <f t="shared" si="24"/>
        <v>16</v>
      </c>
      <c r="CH34" s="68">
        <f t="shared" si="25"/>
        <v>6</v>
      </c>
      <c r="CI34" s="68">
        <f t="shared" si="26"/>
        <v>59</v>
      </c>
      <c r="CJ34" s="72">
        <f t="shared" si="27"/>
        <v>59</v>
      </c>
      <c r="CK34" s="68">
        <f t="shared" si="28"/>
        <v>325</v>
      </c>
      <c r="CL34" s="70">
        <f t="shared" si="29"/>
        <v>32.5</v>
      </c>
      <c r="CM34" s="68">
        <f t="shared" si="30"/>
        <v>345</v>
      </c>
      <c r="CN34" s="68">
        <f t="shared" si="31"/>
        <v>10</v>
      </c>
      <c r="CO34" s="71">
        <f t="array" ref="CO34">SUM(IF(ISERR(FIND("*",D34:CD34)),0,1))</f>
        <v>0</v>
      </c>
      <c r="CP34" s="71">
        <f t="array" ref="CP34">SUM(IF(ISERR(FIND("+",D34:CD34)),0,1))</f>
        <v>0</v>
      </c>
      <c r="CQ34" s="68">
        <f t="shared" si="32"/>
        <v>0</v>
      </c>
      <c r="CR34" s="71">
        <f t="array" ref="CR34">SUM(IF(ISERR(FIND(CR$4,$D34:$CD34)),0,1))</f>
        <v>5</v>
      </c>
      <c r="CS34" s="71">
        <f t="array" ref="CS34">SUM(IF(ISERR(FIND(CS$4,$D34:$CD34)),0,1))</f>
        <v>4</v>
      </c>
      <c r="CT34" s="71">
        <f t="array" ref="CT34">SUM(IF(ISERR(FIND(CT$4,$D34:$CD34)),0,1))</f>
        <v>0</v>
      </c>
      <c r="CU34" s="71">
        <f t="array" ref="CU34">SUM(IF(ISERR(FIND(CU$4,$D34:$CD34)),0,1))</f>
        <v>0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array" ref="CX34">SUM(IF(ISERR(FIND(CX$4,$D34:$CD34)),0,1))</f>
        <v>0</v>
      </c>
      <c r="CY34" s="71">
        <f t="shared" si="33"/>
        <v>2</v>
      </c>
      <c r="CZ34" s="71">
        <f t="shared" si="34"/>
        <v>2</v>
      </c>
      <c r="DA34" s="71">
        <f t="shared" si="35"/>
        <v>25</v>
      </c>
      <c r="DB34" s="71">
        <f t="shared" si="36"/>
        <v>0</v>
      </c>
      <c r="DC34" s="71">
        <f t="shared" si="37"/>
        <v>0</v>
      </c>
      <c r="DD34" s="71">
        <f t="shared" si="38"/>
        <v>0</v>
      </c>
      <c r="DE34" s="71">
        <f t="shared" si="39"/>
        <v>6</v>
      </c>
      <c r="DF34" s="68">
        <f t="shared" si="40"/>
        <v>3251619.2503399998</v>
      </c>
      <c r="DG34" s="68">
        <f t="shared" si="19"/>
        <v>6</v>
      </c>
      <c r="DH34" s="68">
        <v>0</v>
      </c>
      <c r="DI34" s="89">
        <f t="shared" si="41"/>
        <v>0.30769230769230771</v>
      </c>
      <c r="DJ34" s="97">
        <f t="shared" si="42"/>
        <v>0</v>
      </c>
    </row>
    <row r="35" spans="1:114" x14ac:dyDescent="0.15">
      <c r="A35" s="68" t="s">
        <v>48</v>
      </c>
      <c r="B35" s="68" t="s">
        <v>26</v>
      </c>
      <c r="C35" s="68" t="s">
        <v>144</v>
      </c>
      <c r="D35" t="s">
        <v>620</v>
      </c>
      <c r="E35" t="s">
        <v>302</v>
      </c>
      <c r="F35" t="s">
        <v>319</v>
      </c>
      <c r="G35" t="s">
        <v>336</v>
      </c>
      <c r="H35"/>
      <c r="I35" t="s">
        <v>367</v>
      </c>
      <c r="J35"/>
      <c r="K35" t="s">
        <v>621</v>
      </c>
      <c r="L35" t="s">
        <v>420</v>
      </c>
      <c r="M35" t="s">
        <v>439</v>
      </c>
      <c r="N35" t="s">
        <v>622</v>
      </c>
      <c r="O35" t="s">
        <v>467</v>
      </c>
      <c r="P35"/>
      <c r="Q35" t="s">
        <v>506</v>
      </c>
      <c r="R35" t="s">
        <v>532</v>
      </c>
      <c r="S35" t="s">
        <v>557</v>
      </c>
      <c r="T35" t="s">
        <v>576</v>
      </c>
      <c r="U35"/>
      <c r="V35"/>
      <c r="W35"/>
      <c r="X35"/>
      <c r="Y35"/>
      <c r="Z35"/>
      <c r="CE35" s="68">
        <f t="shared" si="22"/>
        <v>14</v>
      </c>
      <c r="CF35" s="68">
        <f t="shared" si="23"/>
        <v>0</v>
      </c>
      <c r="CG35" s="68">
        <f t="shared" si="24"/>
        <v>14</v>
      </c>
      <c r="CH35" s="68">
        <f t="shared" si="25"/>
        <v>0</v>
      </c>
      <c r="CI35" s="68">
        <f t="shared" si="26"/>
        <v>80</v>
      </c>
      <c r="CJ35" s="72">
        <f t="shared" si="27"/>
        <v>80</v>
      </c>
      <c r="CK35" s="68">
        <f t="shared" si="28"/>
        <v>437</v>
      </c>
      <c r="CL35" s="70">
        <f t="shared" si="29"/>
        <v>31.214285714285715</v>
      </c>
      <c r="CM35" s="68">
        <f t="shared" si="30"/>
        <v>477</v>
      </c>
      <c r="CN35" s="68">
        <f t="shared" si="31"/>
        <v>40</v>
      </c>
      <c r="CO35" s="71">
        <f t="array" ref="CO35">SUM(IF(ISERR(FIND("*",D35:CD35)),0,1))</f>
        <v>3</v>
      </c>
      <c r="CP35" s="71">
        <f t="array" ref="CP35">SUM(IF(ISERR(FIND("+",D35:CD35)),0,1))</f>
        <v>3</v>
      </c>
      <c r="CQ35" s="68">
        <f t="shared" si="32"/>
        <v>0</v>
      </c>
      <c r="CR35" s="71">
        <f t="array" ref="CR35">SUM(IF(ISERR(FIND(CR$4,$D35:$CD35)),0,1))</f>
        <v>4</v>
      </c>
      <c r="CS35" s="71">
        <f t="array" ref="CS35">SUM(IF(ISERR(FIND(CS$4,$D35:$CD35)),0,1))</f>
        <v>5</v>
      </c>
      <c r="CT35" s="71">
        <f t="array" ref="CT35">SUM(IF(ISERR(FIND(CT$4,$D35:$CD35)),0,1))</f>
        <v>3</v>
      </c>
      <c r="CU35" s="71">
        <f t="array" ref="CU35">SUM(IF(ISERR(FIND(CU$4,$D35:$CD35)),0,1))</f>
        <v>1</v>
      </c>
      <c r="CV35" s="71">
        <f t="array" ref="CV35">SUM(IF(ISERR(FIND(CV$4,$D35:$CD35)),0,1))</f>
        <v>1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shared" si="33"/>
        <v>4</v>
      </c>
      <c r="CZ35" s="71">
        <f t="shared" si="34"/>
        <v>12</v>
      </c>
      <c r="DA35" s="71">
        <f t="shared" si="35"/>
        <v>56</v>
      </c>
      <c r="DB35" s="71">
        <f t="shared" si="36"/>
        <v>10</v>
      </c>
      <c r="DC35" s="71">
        <f t="shared" si="37"/>
        <v>0</v>
      </c>
      <c r="DD35" s="71">
        <f t="shared" si="38"/>
        <v>4</v>
      </c>
      <c r="DE35" s="71">
        <f t="shared" si="39"/>
        <v>7</v>
      </c>
      <c r="DF35" s="68">
        <f t="shared" si="40"/>
        <v>3122418.37035</v>
      </c>
      <c r="DG35" s="68">
        <f t="shared" si="19"/>
        <v>7</v>
      </c>
      <c r="DH35" s="68">
        <v>0</v>
      </c>
      <c r="DI35" s="89">
        <f t="shared" si="41"/>
        <v>0.64988558352402748</v>
      </c>
      <c r="DJ35" s="97">
        <f t="shared" si="42"/>
        <v>0</v>
      </c>
    </row>
    <row r="36" spans="1:114" x14ac:dyDescent="0.15">
      <c r="B36" s="68" t="s">
        <v>28</v>
      </c>
      <c r="C36" s="68" t="s">
        <v>203</v>
      </c>
      <c r="D36" t="s">
        <v>291</v>
      </c>
      <c r="E36" t="s">
        <v>619</v>
      </c>
      <c r="F36" t="s">
        <v>214</v>
      </c>
      <c r="G36" s="122"/>
      <c r="H36" s="122"/>
      <c r="I36" s="122" t="s">
        <v>246</v>
      </c>
      <c r="J36" s="122" t="s">
        <v>381</v>
      </c>
      <c r="K36" s="122" t="s">
        <v>406</v>
      </c>
      <c r="L36" s="122" t="s">
        <v>427</v>
      </c>
      <c r="M36" s="122" t="s">
        <v>445</v>
      </c>
      <c r="N36" s="122" t="s">
        <v>455</v>
      </c>
      <c r="O36" s="122" t="s">
        <v>477</v>
      </c>
      <c r="P36" s="122" t="s">
        <v>248</v>
      </c>
      <c r="Q36" s="122" t="s">
        <v>508</v>
      </c>
      <c r="R36" s="122" t="s">
        <v>540</v>
      </c>
      <c r="S36" s="122" t="s">
        <v>561</v>
      </c>
      <c r="T36" s="122" t="s">
        <v>245</v>
      </c>
      <c r="U36"/>
      <c r="V36"/>
      <c r="W36"/>
      <c r="X36"/>
      <c r="Y36"/>
      <c r="CE36" s="68">
        <f t="shared" si="22"/>
        <v>15</v>
      </c>
      <c r="CF36" s="68">
        <f t="shared" si="23"/>
        <v>5</v>
      </c>
      <c r="CG36" s="68">
        <f t="shared" si="24"/>
        <v>10</v>
      </c>
      <c r="CH36" s="68">
        <f t="shared" si="25"/>
        <v>1</v>
      </c>
      <c r="CI36" s="68">
        <f t="shared" si="26"/>
        <v>12</v>
      </c>
      <c r="CJ36" s="72">
        <f t="shared" si="27"/>
        <v>12</v>
      </c>
      <c r="CK36" s="68">
        <f t="shared" si="28"/>
        <v>28</v>
      </c>
      <c r="CL36" s="70">
        <f t="shared" si="29"/>
        <v>3.1111111111111112</v>
      </c>
      <c r="CM36" s="68">
        <f t="shared" si="30"/>
        <v>8</v>
      </c>
      <c r="CN36" s="68">
        <f t="shared" si="31"/>
        <v>5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si="32"/>
        <v>4</v>
      </c>
      <c r="CR36" s="71">
        <f t="array" ref="CR36">SUM(IF(ISERR(FIND(CR$4,$D36:$CD36)),0,1))</f>
        <v>2</v>
      </c>
      <c r="CS36" s="71">
        <f t="array" ref="CS36">SUM(IF(ISERR(FIND(CS$4,$D36:$CD36)),0,1))</f>
        <v>4</v>
      </c>
      <c r="CT36" s="71">
        <f t="array" ref="CT36">SUM(IF(ISERR(FIND(CT$4,$D36:$CD36)),0,1))</f>
        <v>1</v>
      </c>
      <c r="CU36" s="71">
        <f t="array" ref="CU36">SUM(IF(ISERR(FIND(CU$4,$D36:$CD36)),0,1))</f>
        <v>0</v>
      </c>
      <c r="CV36" s="71">
        <f t="array" ref="CV36">SUM(IF(ISERR(FIND(CV$4,$D36:$CD36)),0,1))</f>
        <v>2</v>
      </c>
      <c r="CW36" s="71">
        <f t="array" ref="CW36">SUM(IF(ISERR(FIND(CW$4,$D36:$CD36)),0,1))</f>
        <v>0</v>
      </c>
      <c r="CX36" s="71">
        <f t="array" ref="CX36">SUM(IF(ISERR(FIND(CX$4,$D36:$CD36)),0,1))</f>
        <v>0</v>
      </c>
      <c r="CY36" s="71">
        <f t="shared" si="33"/>
        <v>0</v>
      </c>
      <c r="CZ36" s="71">
        <f t="shared" si="34"/>
        <v>1</v>
      </c>
      <c r="DA36" s="71">
        <f t="shared" si="35"/>
        <v>2</v>
      </c>
      <c r="DB36" s="71">
        <f t="shared" si="36"/>
        <v>0</v>
      </c>
      <c r="DC36" s="71">
        <f t="shared" si="37"/>
        <v>0</v>
      </c>
      <c r="DD36" s="71">
        <f t="shared" si="38"/>
        <v>0</v>
      </c>
      <c r="DE36" s="71">
        <f t="shared" si="39"/>
        <v>0</v>
      </c>
      <c r="DF36" s="68">
        <f t="shared" si="40"/>
        <v>312015.28036000003</v>
      </c>
      <c r="DG36" s="68">
        <f t="shared" si="19"/>
        <v>24</v>
      </c>
      <c r="DH36" s="68">
        <v>0</v>
      </c>
      <c r="DI36" s="89" t="str">
        <f t="shared" si="41"/>
        <v/>
      </c>
      <c r="DJ36" s="97">
        <f t="shared" si="42"/>
        <v>0.44444444444444442</v>
      </c>
    </row>
    <row r="37" spans="1:114" x14ac:dyDescent="0.15">
      <c r="B37" s="122" t="s">
        <v>26</v>
      </c>
      <c r="C37" t="s">
        <v>341</v>
      </c>
      <c r="D37" s="122"/>
      <c r="E37" s="122"/>
      <c r="F37" s="122"/>
      <c r="G37" t="s">
        <v>344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 s="122"/>
      <c r="CE37" s="68">
        <f t="shared" si="22"/>
        <v>1</v>
      </c>
      <c r="CF37" s="68">
        <f t="shared" si="23"/>
        <v>0</v>
      </c>
      <c r="CG37" s="68">
        <f t="shared" si="24"/>
        <v>1</v>
      </c>
      <c r="CH37" s="68">
        <f t="shared" si="25"/>
        <v>0</v>
      </c>
      <c r="CI37" s="68">
        <f t="shared" si="26"/>
        <v>1</v>
      </c>
      <c r="CJ37" s="72">
        <f t="shared" si="27"/>
        <v>1</v>
      </c>
      <c r="CK37" s="68">
        <f t="shared" si="28"/>
        <v>1</v>
      </c>
      <c r="CL37" s="70">
        <f t="shared" si="29"/>
        <v>1</v>
      </c>
      <c r="CM37" s="68">
        <f t="shared" si="30"/>
        <v>1</v>
      </c>
      <c r="CN37" s="68">
        <f t="shared" si="31"/>
        <v>0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32"/>
        <v>0</v>
      </c>
      <c r="CR37" s="71">
        <f t="array" ref="CR37">SUM(IF(ISERR(FIND(CR$4,$D37:$CD37)),0,1))</f>
        <v>0</v>
      </c>
      <c r="CS37" s="71">
        <f t="array" ref="CS37">SUM(IF(ISERR(FIND(CS$4,$D37:$CD37)),0,1))</f>
        <v>0</v>
      </c>
      <c r="CT37" s="71">
        <f t="array" ref="CT37">SUM(IF(ISERR(FIND(CT$4,$D37:$CD37)),0,1))</f>
        <v>1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shared" si="33"/>
        <v>0</v>
      </c>
      <c r="CZ37" s="71">
        <f t="shared" si="34"/>
        <v>0</v>
      </c>
      <c r="DA37" s="71">
        <f t="shared" si="35"/>
        <v>0</v>
      </c>
      <c r="DB37" s="71">
        <f t="shared" si="36"/>
        <v>0</v>
      </c>
      <c r="DC37" s="71">
        <f t="shared" si="37"/>
        <v>0</v>
      </c>
      <c r="DD37" s="71">
        <f t="shared" si="38"/>
        <v>0</v>
      </c>
      <c r="DE37" s="71">
        <f t="shared" si="39"/>
        <v>0</v>
      </c>
      <c r="DF37" s="68">
        <f t="shared" si="40"/>
        <v>100101.01036999999</v>
      </c>
      <c r="DG37" s="68">
        <f t="shared" si="19"/>
        <v>29</v>
      </c>
      <c r="DH37" s="68">
        <v>0</v>
      </c>
      <c r="DI37" s="89" t="str">
        <f t="shared" si="41"/>
        <v/>
      </c>
      <c r="DJ37" s="97">
        <f t="shared" si="42"/>
        <v>0</v>
      </c>
    </row>
    <row r="38" spans="1:114" x14ac:dyDescent="0.15">
      <c r="B38" t="s">
        <v>339</v>
      </c>
      <c r="C38" t="s">
        <v>340</v>
      </c>
      <c r="D38" s="122"/>
      <c r="E38" s="122"/>
      <c r="F38" s="122"/>
      <c r="G38" t="s">
        <v>342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 s="122"/>
      <c r="CE38" s="68">
        <f t="shared" si="22"/>
        <v>1</v>
      </c>
      <c r="CF38" s="68">
        <f t="shared" si="23"/>
        <v>0</v>
      </c>
      <c r="CG38" s="68">
        <f t="shared" si="24"/>
        <v>1</v>
      </c>
      <c r="CH38" s="68">
        <f t="shared" si="25"/>
        <v>0</v>
      </c>
      <c r="CI38" s="68">
        <f t="shared" si="26"/>
        <v>0</v>
      </c>
      <c r="CJ38" s="72">
        <f t="shared" si="27"/>
        <v>0</v>
      </c>
      <c r="CK38" s="68">
        <f t="shared" si="28"/>
        <v>0</v>
      </c>
      <c r="CL38" s="70">
        <f t="shared" si="29"/>
        <v>0</v>
      </c>
      <c r="CM38" s="68">
        <f t="shared" si="30"/>
        <v>-5</v>
      </c>
      <c r="CN38" s="68">
        <f t="shared" si="31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32"/>
        <v>1</v>
      </c>
      <c r="CR38" s="71">
        <f t="array" ref="CR38">SUM(IF(ISERR(FIND(CR$4,$D38:$CD38)),0,1))</f>
        <v>1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array" ref="CX38">SUM(IF(ISERR(FIND(CX$4,$D38:$CD38)),0,1))</f>
        <v>0</v>
      </c>
      <c r="CY38" s="71">
        <f t="shared" si="33"/>
        <v>0</v>
      </c>
      <c r="CZ38" s="71">
        <f t="shared" si="34"/>
        <v>0</v>
      </c>
      <c r="DA38" s="71">
        <f t="shared" si="35"/>
        <v>0</v>
      </c>
      <c r="DB38" s="71">
        <f t="shared" si="36"/>
        <v>0</v>
      </c>
      <c r="DC38" s="71">
        <f t="shared" si="37"/>
        <v>0</v>
      </c>
      <c r="DD38" s="71">
        <f t="shared" si="38"/>
        <v>0</v>
      </c>
      <c r="DE38" s="71">
        <f t="shared" si="39"/>
        <v>0</v>
      </c>
      <c r="DF38" s="68">
        <f t="shared" si="40"/>
        <v>101.00038000000001</v>
      </c>
      <c r="DG38" s="68">
        <f t="shared" si="19"/>
        <v>40</v>
      </c>
      <c r="DH38" s="68">
        <v>0</v>
      </c>
      <c r="DI38" s="89" t="str">
        <f t="shared" si="41"/>
        <v/>
      </c>
      <c r="DJ38" s="97">
        <f t="shared" si="42"/>
        <v>1</v>
      </c>
    </row>
    <row r="39" spans="1:114" x14ac:dyDescent="0.15">
      <c r="B39" s="122" t="s">
        <v>255</v>
      </c>
      <c r="C39" s="122" t="s">
        <v>256</v>
      </c>
      <c r="D39" t="s">
        <v>283</v>
      </c>
      <c r="E39" t="s">
        <v>303</v>
      </c>
      <c r="F39" t="s">
        <v>321</v>
      </c>
      <c r="G39" t="s">
        <v>355</v>
      </c>
      <c r="H39"/>
      <c r="I39"/>
      <c r="J39" t="s">
        <v>379</v>
      </c>
      <c r="K39"/>
      <c r="L39" t="s">
        <v>421</v>
      </c>
      <c r="M39"/>
      <c r="N39" t="s">
        <v>450</v>
      </c>
      <c r="O39" t="s">
        <v>468</v>
      </c>
      <c r="P39" t="s">
        <v>489</v>
      </c>
      <c r="Q39"/>
      <c r="R39"/>
      <c r="S39" t="s">
        <v>558</v>
      </c>
      <c r="T39" t="s">
        <v>575</v>
      </c>
      <c r="U39"/>
      <c r="V39"/>
      <c r="W39"/>
      <c r="X39"/>
      <c r="Y39"/>
      <c r="CE39" s="68">
        <f t="shared" si="22"/>
        <v>11</v>
      </c>
      <c r="CF39" s="68">
        <f t="shared" si="23"/>
        <v>0</v>
      </c>
      <c r="CG39" s="68">
        <f t="shared" si="24"/>
        <v>11</v>
      </c>
      <c r="CH39" s="68">
        <f t="shared" si="25"/>
        <v>1</v>
      </c>
      <c r="CI39" s="68">
        <f t="shared" si="26"/>
        <v>116</v>
      </c>
      <c r="CJ39" s="72">
        <f t="shared" si="27"/>
        <v>116</v>
      </c>
      <c r="CK39" s="68">
        <f t="shared" si="28"/>
        <v>421</v>
      </c>
      <c r="CL39" s="70">
        <f t="shared" si="29"/>
        <v>42.1</v>
      </c>
      <c r="CM39" s="68">
        <f t="shared" si="30"/>
        <v>461</v>
      </c>
      <c r="CN39" s="68">
        <f t="shared" si="31"/>
        <v>30</v>
      </c>
      <c r="CO39" s="71">
        <f t="array" ref="CO39">SUM(IF(ISERR(FIND("*",D39:CD39)),0,1))</f>
        <v>0</v>
      </c>
      <c r="CP39" s="71">
        <f t="array" ref="CP39">SUM(IF(ISERR(FIND("+",D39:CD39)),0,1))</f>
        <v>1</v>
      </c>
      <c r="CQ39" s="68">
        <f t="shared" si="32"/>
        <v>0</v>
      </c>
      <c r="CR39" s="71">
        <f t="array" ref="CR39">SUM(IF(ISERR(FIND(CR$4,$D39:$CD39)),0,1))</f>
        <v>4</v>
      </c>
      <c r="CS39" s="71">
        <f t="array" ref="CS39">SUM(IF(ISERR(FIND(CS$4,$D39:$CD39)),0,1))</f>
        <v>4</v>
      </c>
      <c r="CT39" s="71">
        <f t="array" ref="CT39">SUM(IF(ISERR(FIND(CT$4,$D39:$CD39)),0,1))</f>
        <v>0</v>
      </c>
      <c r="CU39" s="71">
        <f t="array" ref="CU39">SUM(IF(ISERR(FIND(CU$4,$D39:$CD39)),0,1))</f>
        <v>1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1</v>
      </c>
      <c r="CY39" s="71">
        <f t="shared" si="33"/>
        <v>4</v>
      </c>
      <c r="CZ39" s="71">
        <f t="shared" si="34"/>
        <v>6</v>
      </c>
      <c r="DA39" s="71">
        <f t="shared" si="35"/>
        <v>60</v>
      </c>
      <c r="DB39" s="71">
        <f t="shared" si="36"/>
        <v>6</v>
      </c>
      <c r="DC39" s="71">
        <f t="shared" si="37"/>
        <v>0</v>
      </c>
      <c r="DD39" s="71">
        <f t="shared" si="38"/>
        <v>0</v>
      </c>
      <c r="DE39" s="71">
        <f t="shared" si="39"/>
        <v>6</v>
      </c>
      <c r="DF39" s="68">
        <f t="shared" si="40"/>
        <v>4211115.2103899997</v>
      </c>
      <c r="DG39" s="68">
        <f t="shared" si="19"/>
        <v>3</v>
      </c>
      <c r="DH39" s="68">
        <v>0</v>
      </c>
      <c r="DI39" s="89">
        <f t="shared" si="41"/>
        <v>0.6555819477434679</v>
      </c>
      <c r="DJ39" s="97">
        <f t="shared" si="42"/>
        <v>0</v>
      </c>
    </row>
    <row r="40" spans="1:114" x14ac:dyDescent="0.15">
      <c r="B40" s="122"/>
      <c r="C40" s="122" t="s">
        <v>271</v>
      </c>
      <c r="D40"/>
      <c r="E40"/>
      <c r="F40" t="s">
        <v>323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 s="122"/>
      <c r="CE40" s="68">
        <f t="shared" si="22"/>
        <v>1</v>
      </c>
      <c r="CF40" s="68">
        <f t="shared" si="23"/>
        <v>0</v>
      </c>
      <c r="CG40" s="68">
        <f t="shared" si="24"/>
        <v>1</v>
      </c>
      <c r="CH40" s="68">
        <f t="shared" si="25"/>
        <v>0</v>
      </c>
      <c r="CI40" s="68">
        <f t="shared" si="26"/>
        <v>25</v>
      </c>
      <c r="CJ40" s="72">
        <f t="shared" si="27"/>
        <v>25</v>
      </c>
      <c r="CK40" s="68">
        <f t="shared" si="28"/>
        <v>25</v>
      </c>
      <c r="CL40" s="70">
        <f t="shared" si="29"/>
        <v>25</v>
      </c>
      <c r="CM40" s="68">
        <f t="shared" si="30"/>
        <v>25</v>
      </c>
      <c r="CN40" s="68">
        <f t="shared" si="31"/>
        <v>0</v>
      </c>
      <c r="CO40" s="71">
        <f t="array" ref="CO40">SUM(IF(ISERR(FIND("*",D40:CD40)),0,1))</f>
        <v>0</v>
      </c>
      <c r="CP40" s="71">
        <f t="array" ref="CP40">SUM(IF(ISERR(FIND("+",D40:CD40)),0,1))</f>
        <v>0</v>
      </c>
      <c r="CQ40" s="68">
        <f t="shared" si="32"/>
        <v>0</v>
      </c>
      <c r="CR40" s="71">
        <f t="array" ref="CR40">SUM(IF(ISERR(FIND(CR$4,$D40:$CD40)),0,1))</f>
        <v>0</v>
      </c>
      <c r="CS40" s="71">
        <f t="array" ref="CS40">SUM(IF(ISERR(FIND(CS$4,$D40:$CD40)),0,1))</f>
        <v>0</v>
      </c>
      <c r="CT40" s="71">
        <f t="array" ref="CT40">SUM(IF(ISERR(FIND(CT$4,$D40:$CD40)),0,1))</f>
        <v>0</v>
      </c>
      <c r="CU40" s="71">
        <f t="array" ref="CU40">SUM(IF(ISERR(FIND(CU$4,$D40:$CD40)),0,1))</f>
        <v>1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array" ref="CX40">SUM(IF(ISERR(FIND(CX$4,$D40:$CD40)),0,1))</f>
        <v>0</v>
      </c>
      <c r="CY40" s="71">
        <f t="shared" si="33"/>
        <v>0</v>
      </c>
      <c r="CZ40" s="71">
        <f t="shared" si="34"/>
        <v>0</v>
      </c>
      <c r="DA40" s="71">
        <f t="shared" si="35"/>
        <v>3</v>
      </c>
      <c r="DB40" s="71">
        <f t="shared" si="36"/>
        <v>1</v>
      </c>
      <c r="DC40" s="71">
        <f t="shared" si="37"/>
        <v>0</v>
      </c>
      <c r="DD40" s="71">
        <f t="shared" si="38"/>
        <v>0</v>
      </c>
      <c r="DE40" s="71">
        <f t="shared" si="39"/>
        <v>1</v>
      </c>
      <c r="DF40" s="68">
        <f t="shared" si="40"/>
        <v>2500101.2503999998</v>
      </c>
      <c r="DG40" s="68">
        <f t="shared" si="19"/>
        <v>10</v>
      </c>
      <c r="DH40" s="68">
        <v>0</v>
      </c>
      <c r="DI40" s="89" t="str">
        <f t="shared" si="41"/>
        <v/>
      </c>
      <c r="DJ40" s="97">
        <f t="shared" si="42"/>
        <v>0</v>
      </c>
    </row>
    <row r="41" spans="1:114" x14ac:dyDescent="0.15">
      <c r="B41" s="122"/>
      <c r="C41" s="122" t="s">
        <v>473</v>
      </c>
      <c r="D41"/>
      <c r="E41"/>
      <c r="F41"/>
      <c r="G41"/>
      <c r="H41"/>
      <c r="I41"/>
      <c r="J41"/>
      <c r="K41"/>
      <c r="L41"/>
      <c r="M41"/>
      <c r="N41"/>
      <c r="O41" t="s">
        <v>474</v>
      </c>
      <c r="P41"/>
      <c r="Q41"/>
      <c r="R41"/>
      <c r="S41"/>
      <c r="T41"/>
      <c r="U41"/>
      <c r="V41"/>
      <c r="W41"/>
      <c r="X41"/>
      <c r="Y41" s="122"/>
      <c r="CE41" s="68">
        <f t="shared" si="22"/>
        <v>1</v>
      </c>
      <c r="CF41" s="68">
        <f t="shared" si="23"/>
        <v>0</v>
      </c>
      <c r="CG41" s="68">
        <f t="shared" si="24"/>
        <v>1</v>
      </c>
      <c r="CH41" s="68">
        <f t="shared" si="25"/>
        <v>1</v>
      </c>
      <c r="CI41" s="68">
        <f t="shared" si="26"/>
        <v>-20</v>
      </c>
      <c r="CJ41" s="72" t="str">
        <f t="shared" si="27"/>
        <v>20*</v>
      </c>
      <c r="CK41" s="68">
        <f t="shared" si="28"/>
        <v>20</v>
      </c>
      <c r="CL41" s="70">
        <f t="shared" si="29"/>
        <v>0</v>
      </c>
      <c r="CM41" s="68">
        <f t="shared" si="30"/>
        <v>20</v>
      </c>
      <c r="CN41" s="68">
        <f t="shared" si="31"/>
        <v>5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32"/>
        <v>0</v>
      </c>
      <c r="CR41" s="71">
        <f t="array" ref="CR41">SUM(IF(ISERR(FIND(CR$4,$D41:$CD41)),0,1))</f>
        <v>0</v>
      </c>
      <c r="CS41" s="71">
        <f t="array" ref="CS41">SUM(IF(ISERR(FIND(CS$4,$D41:$CD41)),0,1))</f>
        <v>0</v>
      </c>
      <c r="CT41" s="71">
        <f t="array" ref="CT41">SUM(IF(ISERR(FIND(CT$4,$D41:$CD41)),0,1))</f>
        <v>0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array" ref="CX41">SUM(IF(ISERR(FIND(CX$4,$D41:$CD41)),0,1))</f>
        <v>0</v>
      </c>
      <c r="CY41" s="71">
        <f t="shared" si="33"/>
        <v>0</v>
      </c>
      <c r="CZ41" s="71">
        <f t="shared" si="34"/>
        <v>1</v>
      </c>
      <c r="DA41" s="71">
        <f t="shared" si="35"/>
        <v>2</v>
      </c>
      <c r="DB41" s="71">
        <f t="shared" si="36"/>
        <v>1</v>
      </c>
      <c r="DC41" s="71">
        <f t="shared" si="37"/>
        <v>0</v>
      </c>
      <c r="DD41" s="71">
        <f t="shared" si="38"/>
        <v>0</v>
      </c>
      <c r="DE41" s="71">
        <f t="shared" si="39"/>
        <v>0</v>
      </c>
      <c r="DF41" s="68">
        <f t="shared" si="40"/>
        <v>101.20041000000001</v>
      </c>
      <c r="DG41" s="68">
        <f t="shared" si="19"/>
        <v>35</v>
      </c>
      <c r="DH41" s="68">
        <v>0</v>
      </c>
      <c r="DI41" s="89" t="str">
        <f t="shared" si="41"/>
        <v/>
      </c>
      <c r="DJ41" s="97" t="e">
        <f t="shared" si="42"/>
        <v>#DIV/0!</v>
      </c>
    </row>
    <row r="42" spans="1:114" x14ac:dyDescent="0.15">
      <c r="B42" s="122" t="s">
        <v>235</v>
      </c>
      <c r="C42" s="122" t="s">
        <v>236</v>
      </c>
      <c r="D42"/>
      <c r="E42"/>
      <c r="F42"/>
      <c r="G42"/>
      <c r="H42"/>
      <c r="I42"/>
      <c r="J42" t="s">
        <v>388</v>
      </c>
      <c r="K42"/>
      <c r="L42"/>
      <c r="M42"/>
      <c r="N42" s="122"/>
      <c r="O42" s="122"/>
      <c r="P42" s="122"/>
      <c r="Q42" s="122"/>
      <c r="R42" s="122"/>
      <c r="S42" s="122"/>
      <c r="T42" t="s">
        <v>342</v>
      </c>
      <c r="U42" s="122"/>
      <c r="V42" s="122"/>
      <c r="W42" s="122"/>
      <c r="X42" s="122"/>
      <c r="Z42" s="122"/>
      <c r="CE42" s="68">
        <f t="shared" si="22"/>
        <v>2</v>
      </c>
      <c r="CF42" s="68">
        <f t="shared" si="23"/>
        <v>1</v>
      </c>
      <c r="CG42" s="68">
        <f t="shared" si="24"/>
        <v>1</v>
      </c>
      <c r="CH42" s="68">
        <f t="shared" si="25"/>
        <v>0</v>
      </c>
      <c r="CI42" s="68">
        <f t="shared" si="26"/>
        <v>0</v>
      </c>
      <c r="CJ42" s="72">
        <f t="shared" si="27"/>
        <v>0</v>
      </c>
      <c r="CK42" s="68">
        <f t="shared" si="28"/>
        <v>0</v>
      </c>
      <c r="CL42" s="70">
        <f t="shared" si="29"/>
        <v>0</v>
      </c>
      <c r="CM42" s="68">
        <f t="shared" si="30"/>
        <v>-5</v>
      </c>
      <c r="CN42" s="68">
        <f t="shared" si="31"/>
        <v>5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32"/>
        <v>1</v>
      </c>
      <c r="CR42" s="71">
        <f t="array" ref="CR42">SUM(IF(ISERR(FIND(CR$4,$D42:$CD42)),0,1))</f>
        <v>1</v>
      </c>
      <c r="CS42" s="71">
        <f t="array" ref="CS42">SUM(IF(ISERR(FIND(CS$4,$D42:$CD42)),0,1))</f>
        <v>0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array" ref="CX42">SUM(IF(ISERR(FIND(CX$4,$D42:$CD42)),0,1))</f>
        <v>0</v>
      </c>
      <c r="CY42" s="71">
        <f t="shared" si="33"/>
        <v>0</v>
      </c>
      <c r="CZ42" s="71">
        <f t="shared" si="34"/>
        <v>1</v>
      </c>
      <c r="DA42" s="71">
        <f t="shared" si="35"/>
        <v>0</v>
      </c>
      <c r="DB42" s="71">
        <f t="shared" si="36"/>
        <v>0</v>
      </c>
      <c r="DC42" s="71">
        <f t="shared" si="37"/>
        <v>0</v>
      </c>
      <c r="DD42" s="71">
        <f t="shared" si="38"/>
        <v>0</v>
      </c>
      <c r="DE42" s="71">
        <f t="shared" si="39"/>
        <v>0</v>
      </c>
      <c r="DF42" s="68">
        <f t="shared" si="40"/>
        <v>102.00042000000001</v>
      </c>
      <c r="DG42" s="68">
        <f t="shared" si="19"/>
        <v>33</v>
      </c>
      <c r="DH42" s="68">
        <v>0</v>
      </c>
      <c r="DI42" s="89" t="str">
        <f t="shared" si="41"/>
        <v/>
      </c>
      <c r="DJ42" s="97">
        <f t="shared" si="42"/>
        <v>1</v>
      </c>
    </row>
    <row r="43" spans="1:114" x14ac:dyDescent="0.15">
      <c r="B43"/>
      <c r="C43" t="s">
        <v>536</v>
      </c>
      <c r="D43"/>
      <c r="E43"/>
      <c r="F43"/>
      <c r="G43"/>
      <c r="H43"/>
      <c r="I43"/>
      <c r="J43"/>
      <c r="K43"/>
      <c r="L43"/>
      <c r="M43"/>
      <c r="N43" s="122"/>
      <c r="O43" s="122"/>
      <c r="P43" s="122"/>
      <c r="Q43" s="122"/>
      <c r="R43" t="s">
        <v>537</v>
      </c>
      <c r="S43" s="122"/>
      <c r="T43" s="122"/>
      <c r="U43" s="122"/>
      <c r="V43" s="122"/>
      <c r="W43" s="122"/>
      <c r="X43" s="122"/>
      <c r="Z43" s="122"/>
      <c r="CE43" s="68">
        <f t="shared" ref="CE43" si="85">BatSplit(D43:CD43,MatchesPlayed)</f>
        <v>1</v>
      </c>
      <c r="CF43" s="68">
        <f t="shared" ref="CF43" si="86">CE43-CG43</f>
        <v>0</v>
      </c>
      <c r="CG43" s="68">
        <f t="shared" ref="CG43" si="87">BatSplit(D43:CD43,InnsBattedIn)</f>
        <v>1</v>
      </c>
      <c r="CH43" s="68">
        <f t="shared" ref="CH43" si="88">BatSplit(D43:CD43,NotOuts)</f>
        <v>0</v>
      </c>
      <c r="CI43" s="68">
        <f t="shared" ref="CI43" si="89">BatSplit(D43:CD43,HighestScore)</f>
        <v>0</v>
      </c>
      <c r="CJ43" s="72">
        <f t="shared" ref="CJ43" si="90">IF(CI43&lt;0,-CI43&amp;"*",CI43)</f>
        <v>0</v>
      </c>
      <c r="CK43" s="68">
        <f t="shared" ref="CK43" si="91">BatSplit(D43:CD43,RunsScored)</f>
        <v>0</v>
      </c>
      <c r="CL43" s="70">
        <f t="shared" ref="CL43" si="92">IF(CG43=CH43,0,CK43/(CG43-CH43))</f>
        <v>0</v>
      </c>
      <c r="CM43" s="68">
        <f t="shared" ref="CM43" si="93">BatSplit(D43:CD43,BatPts)</f>
        <v>-5</v>
      </c>
      <c r="CN43" s="68">
        <f t="shared" ref="CN43" si="94">BatSplit(D43:CD43,FldPts)</f>
        <v>0</v>
      </c>
      <c r="CO43" s="71">
        <f t="array" ref="CO43">SUM(IF(ISERR(FIND("*",D43:CD43)),0,1))</f>
        <v>0</v>
      </c>
      <c r="CP43" s="71">
        <f t="array" ref="CP43">SUM(IF(ISERR(FIND("+",D43:CD43)),0,1))</f>
        <v>0</v>
      </c>
      <c r="CQ43" s="68">
        <f t="shared" ref="CQ43" si="95">BatSplit(D43:CD43,Ducks)</f>
        <v>1</v>
      </c>
      <c r="CR43" s="71">
        <f t="array" ref="CR43">SUM(IF(ISERR(FIND(CR$4,$D43:$CD43)),0,1))</f>
        <v>1</v>
      </c>
      <c r="CS43" s="71">
        <f t="array" ref="CS43">SUM(IF(ISERR(FIND(CS$4,$D43:$CD43)),0,1))</f>
        <v>0</v>
      </c>
      <c r="CT43" s="71">
        <f t="array" ref="CT43">SUM(IF(ISERR(FIND(CT$4,$D43:$CD43)),0,1))</f>
        <v>0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array" ref="CX43">SUM(IF(ISERR(FIND(CX$4,$D43:$CD43)),0,1))</f>
        <v>0</v>
      </c>
      <c r="CY43" s="71">
        <f t="shared" ref="CY43" si="96">BatSplit(D43:CD43,Fifties)</f>
        <v>0</v>
      </c>
      <c r="CZ43" s="71">
        <f t="shared" ref="CZ43" si="97">BatSplit(D43:CD43,Catches)</f>
        <v>0</v>
      </c>
      <c r="DA43" s="71">
        <f t="shared" ref="DA43" si="98">BatSplit(D43:CD43,Fours)</f>
        <v>0</v>
      </c>
      <c r="DB43" s="71">
        <f t="shared" ref="DB43" si="99">BatSplit(D43:CD43,Sixes)</f>
        <v>0</v>
      </c>
      <c r="DC43" s="71">
        <f t="shared" ref="DC43" si="100">BatSplit(D43:CD43,Stumpings)</f>
        <v>0</v>
      </c>
      <c r="DD43" s="71">
        <f t="shared" ref="DD43" si="101">BatSplit(D43:CD43,CaughtWkt)</f>
        <v>0</v>
      </c>
      <c r="DE43" s="71">
        <f t="shared" ref="DE43" si="102">BatSplit(D43:CD43,TwentyFives)</f>
        <v>0</v>
      </c>
      <c r="DF43" s="68">
        <f t="shared" ref="DF43" si="103">ROUND(IF(ISERROR(CL43),0,CL43),2)*100000+CG43*100+CE43+CK43/100+ROW()/100000</f>
        <v>101.00042999999999</v>
      </c>
      <c r="DG43" s="68">
        <f t="shared" si="19"/>
        <v>39</v>
      </c>
      <c r="DH43" s="68">
        <v>0</v>
      </c>
      <c r="DI43" s="89" t="str">
        <f t="shared" ref="DI43" si="104">IF(CK43&gt;=50,(DA43*4+DB43*6+DH43*5)/CK43,"")</f>
        <v/>
      </c>
      <c r="DJ43" s="97">
        <f t="shared" ref="DJ43" si="105">CQ43/(CG43-CH43)</f>
        <v>1</v>
      </c>
    </row>
    <row r="44" spans="1:114" x14ac:dyDescent="0.15">
      <c r="B44" s="122" t="s">
        <v>365</v>
      </c>
      <c r="C44" t="s">
        <v>385</v>
      </c>
      <c r="D44"/>
      <c r="E44"/>
      <c r="F44"/>
      <c r="G44"/>
      <c r="H44"/>
      <c r="I44" t="s">
        <v>366</v>
      </c>
      <c r="J44" t="s">
        <v>274</v>
      </c>
      <c r="K44" t="s">
        <v>404</v>
      </c>
      <c r="L44"/>
      <c r="M44" t="s">
        <v>342</v>
      </c>
      <c r="N44" s="122"/>
      <c r="O44" s="122"/>
      <c r="P44" t="s">
        <v>238</v>
      </c>
      <c r="Q44" s="122"/>
      <c r="R44" s="122"/>
      <c r="S44" t="s">
        <v>565</v>
      </c>
      <c r="T44" s="122"/>
      <c r="U44" s="122"/>
      <c r="V44" s="122"/>
      <c r="W44" s="122"/>
      <c r="X44" s="122"/>
      <c r="Z44" s="122"/>
      <c r="CE44" s="68">
        <f t="shared" si="22"/>
        <v>6</v>
      </c>
      <c r="CF44" s="68">
        <f t="shared" si="23"/>
        <v>1</v>
      </c>
      <c r="CG44" s="68">
        <f t="shared" si="24"/>
        <v>5</v>
      </c>
      <c r="CH44" s="68">
        <f t="shared" si="25"/>
        <v>0</v>
      </c>
      <c r="CI44" s="68">
        <f t="shared" si="26"/>
        <v>7</v>
      </c>
      <c r="CJ44" s="72">
        <f t="shared" si="27"/>
        <v>7</v>
      </c>
      <c r="CK44" s="68">
        <f t="shared" si="28"/>
        <v>14</v>
      </c>
      <c r="CL44" s="70">
        <f t="shared" si="29"/>
        <v>2.8</v>
      </c>
      <c r="CM44" s="68">
        <f t="shared" si="30"/>
        <v>9</v>
      </c>
      <c r="CN44" s="68">
        <f t="shared" si="31"/>
        <v>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32"/>
        <v>1</v>
      </c>
      <c r="CR44" s="71">
        <f t="array" ref="CR44">SUM(IF(ISERR(FIND(CR$4,$D44:$CD44)),0,1))</f>
        <v>4</v>
      </c>
      <c r="CS44" s="71">
        <f t="array" ref="CS44">SUM(IF(ISERR(FIND(CS$4,$D44:$CD44)),0,1))</f>
        <v>0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1</v>
      </c>
      <c r="CW44" s="71">
        <f t="array" ref="CW44">SUM(IF(ISERR(FIND(CW$4,$D44:$CD44)),0,1))</f>
        <v>0</v>
      </c>
      <c r="CX44" s="71">
        <f t="array" ref="CX44">SUM(IF(ISERR(FIND(CX$4,$D44:$CD44)),0,1))</f>
        <v>0</v>
      </c>
      <c r="CY44" s="71">
        <f t="shared" si="33"/>
        <v>0</v>
      </c>
      <c r="CZ44" s="71">
        <f t="shared" si="34"/>
        <v>0</v>
      </c>
      <c r="DA44" s="71">
        <f t="shared" si="35"/>
        <v>2</v>
      </c>
      <c r="DB44" s="71">
        <f t="shared" si="36"/>
        <v>0</v>
      </c>
      <c r="DC44" s="71">
        <f t="shared" si="37"/>
        <v>0</v>
      </c>
      <c r="DD44" s="71">
        <f t="shared" si="38"/>
        <v>0</v>
      </c>
      <c r="DE44" s="71">
        <f t="shared" si="39"/>
        <v>0</v>
      </c>
      <c r="DF44" s="68">
        <f t="shared" si="40"/>
        <v>280506.14043999999</v>
      </c>
      <c r="DG44" s="68">
        <f t="shared" si="19"/>
        <v>25</v>
      </c>
      <c r="DH44" s="68">
        <v>0</v>
      </c>
      <c r="DI44" s="89" t="str">
        <f t="shared" si="41"/>
        <v/>
      </c>
      <c r="DJ44" s="97">
        <f t="shared" si="42"/>
        <v>0.2</v>
      </c>
    </row>
    <row r="45" spans="1:114" x14ac:dyDescent="0.15">
      <c r="B45" s="122" t="s">
        <v>241</v>
      </c>
      <c r="C45" s="122" t="s">
        <v>242</v>
      </c>
      <c r="D45"/>
      <c r="E45"/>
      <c r="F45" t="s">
        <v>240</v>
      </c>
      <c r="G45"/>
      <c r="H45"/>
      <c r="I45" t="s">
        <v>309</v>
      </c>
      <c r="J45"/>
      <c r="K45" s="122"/>
      <c r="L45" t="s">
        <v>429</v>
      </c>
      <c r="M45"/>
      <c r="N45" s="122"/>
      <c r="O45" t="s">
        <v>476</v>
      </c>
      <c r="P45" t="s">
        <v>493</v>
      </c>
      <c r="Q45"/>
      <c r="R45" s="122"/>
      <c r="S45" t="s">
        <v>566</v>
      </c>
      <c r="T45" t="s">
        <v>578</v>
      </c>
      <c r="U45" s="122"/>
      <c r="V45"/>
      <c r="W45"/>
      <c r="X45"/>
      <c r="Y45"/>
      <c r="Z45"/>
      <c r="CE45" s="68">
        <f t="shared" si="22"/>
        <v>7</v>
      </c>
      <c r="CF45" s="68">
        <f t="shared" si="23"/>
        <v>2</v>
      </c>
      <c r="CG45" s="68">
        <f t="shared" si="24"/>
        <v>5</v>
      </c>
      <c r="CH45" s="68">
        <f t="shared" si="25"/>
        <v>3</v>
      </c>
      <c r="CI45" s="68">
        <f t="shared" si="26"/>
        <v>28</v>
      </c>
      <c r="CJ45" s="72">
        <f t="shared" si="27"/>
        <v>28</v>
      </c>
      <c r="CK45" s="68">
        <f t="shared" si="28"/>
        <v>41</v>
      </c>
      <c r="CL45" s="70">
        <f t="shared" si="29"/>
        <v>20.5</v>
      </c>
      <c r="CM45" s="68">
        <f t="shared" si="30"/>
        <v>36</v>
      </c>
      <c r="CN45" s="68">
        <f t="shared" si="31"/>
        <v>0</v>
      </c>
      <c r="CO45" s="71">
        <f t="array" ref="CO45">SUM(IF(ISERR(FIND("*",D45:CD45)),0,1))</f>
        <v>0</v>
      </c>
      <c r="CP45" s="71">
        <f t="array" ref="CP45">SUM(IF(ISERR(FIND("+",D45:CD45)),0,1))</f>
        <v>0</v>
      </c>
      <c r="CQ45" s="68">
        <f t="shared" si="32"/>
        <v>1</v>
      </c>
      <c r="CR45" s="71">
        <f t="array" ref="CR45">SUM(IF(ISERR(FIND(CR$4,$D45:$CD45)),0,1))</f>
        <v>0</v>
      </c>
      <c r="CS45" s="71">
        <f t="array" ref="CS45">SUM(IF(ISERR(FIND(CS$4,$D45:$CD45)),0,1))</f>
        <v>1</v>
      </c>
      <c r="CT45" s="71">
        <f t="array" ref="CT45">SUM(IF(ISERR(FIND(CT$4,$D45:$CD45)),0,1))</f>
        <v>0</v>
      </c>
      <c r="CU45" s="71">
        <f t="array" ref="CU45">SUM(IF(ISERR(FIND(CU$4,$D45:$CD45)),0,1))</f>
        <v>0</v>
      </c>
      <c r="CV45" s="71">
        <f t="array" ref="CV45">SUM(IF(ISERR(FIND(CV$4,$D45:$CD45)),0,1))</f>
        <v>1</v>
      </c>
      <c r="CW45" s="71">
        <f t="array" ref="CW45">SUM(IF(ISERR(FIND(CW$4,$D45:$CD45)),0,1))</f>
        <v>0</v>
      </c>
      <c r="CX45" s="71">
        <f t="array" ref="CX45">SUM(IF(ISERR(FIND(CX$4,$D45:$CD45)),0,1))</f>
        <v>0</v>
      </c>
      <c r="CY45" s="71">
        <f t="shared" si="33"/>
        <v>0</v>
      </c>
      <c r="CZ45" s="71">
        <f t="shared" si="34"/>
        <v>0</v>
      </c>
      <c r="DA45" s="71">
        <f t="shared" si="35"/>
        <v>7</v>
      </c>
      <c r="DB45" s="71">
        <f t="shared" si="36"/>
        <v>0</v>
      </c>
      <c r="DC45" s="71">
        <f t="shared" si="37"/>
        <v>0</v>
      </c>
      <c r="DD45" s="71">
        <f t="shared" si="38"/>
        <v>0</v>
      </c>
      <c r="DE45" s="71">
        <f t="shared" si="39"/>
        <v>1</v>
      </c>
      <c r="DF45" s="68">
        <f t="shared" si="40"/>
        <v>2050507.4104499999</v>
      </c>
      <c r="DG45" s="68">
        <f t="shared" si="19"/>
        <v>12</v>
      </c>
      <c r="DH45" s="68">
        <v>0</v>
      </c>
      <c r="DI45" s="89" t="str">
        <f t="shared" si="41"/>
        <v/>
      </c>
      <c r="DJ45" s="97">
        <f t="shared" si="42"/>
        <v>0.5</v>
      </c>
    </row>
    <row r="46" spans="1:114" x14ac:dyDescent="0.15">
      <c r="B46" s="122" t="s">
        <v>512</v>
      </c>
      <c r="C46" s="122" t="s">
        <v>513</v>
      </c>
      <c r="D46"/>
      <c r="E46"/>
      <c r="F46"/>
      <c r="G46"/>
      <c r="H46"/>
      <c r="I46"/>
      <c r="J46"/>
      <c r="K46" s="122"/>
      <c r="L46"/>
      <c r="M46"/>
      <c r="N46" s="122"/>
      <c r="O46"/>
      <c r="P46"/>
      <c r="Q46" t="s">
        <v>514</v>
      </c>
      <c r="R46" s="122"/>
      <c r="S46" s="122"/>
      <c r="T46" s="122"/>
      <c r="U46" s="122"/>
      <c r="V46"/>
      <c r="W46"/>
      <c r="X46"/>
      <c r="Y46"/>
      <c r="Z46"/>
      <c r="CE46" s="68">
        <f t="shared" si="22"/>
        <v>1</v>
      </c>
      <c r="CF46" s="68">
        <f t="shared" si="23"/>
        <v>0</v>
      </c>
      <c r="CG46" s="68">
        <f t="shared" si="24"/>
        <v>1</v>
      </c>
      <c r="CH46" s="68">
        <f t="shared" si="25"/>
        <v>0</v>
      </c>
      <c r="CI46" s="68">
        <f t="shared" si="26"/>
        <v>2</v>
      </c>
      <c r="CJ46" s="72">
        <f t="shared" si="27"/>
        <v>2</v>
      </c>
      <c r="CK46" s="68">
        <f t="shared" si="28"/>
        <v>2</v>
      </c>
      <c r="CL46" s="70">
        <f t="shared" si="29"/>
        <v>2</v>
      </c>
      <c r="CM46" s="68">
        <f t="shared" si="30"/>
        <v>2</v>
      </c>
      <c r="CN46" s="68">
        <f t="shared" si="31"/>
        <v>0</v>
      </c>
      <c r="CO46" s="71">
        <f t="array" ref="CO46">SUM(IF(ISERR(FIND("*",D46:CD46)),0,1))</f>
        <v>0</v>
      </c>
      <c r="CP46" s="71">
        <f t="array" ref="CP46">SUM(IF(ISERR(FIND("+",D46:CD46)),0,1))</f>
        <v>0</v>
      </c>
      <c r="CQ46" s="68">
        <f t="shared" si="32"/>
        <v>0</v>
      </c>
      <c r="CR46" s="71">
        <f t="array" ref="CR46">SUM(IF(ISERR(FIND(CR$4,$D46:$CD46)),0,1))</f>
        <v>1</v>
      </c>
      <c r="CS46" s="71">
        <f t="array" ref="CS46">SUM(IF(ISERR(FIND(CS$4,$D46:$CD46)),0,1))</f>
        <v>0</v>
      </c>
      <c r="CT46" s="71">
        <f t="array" ref="CT46">SUM(IF(ISERR(FIND(CT$4,$D46:$CD46)),0,1))</f>
        <v>0</v>
      </c>
      <c r="CU46" s="71">
        <f t="array" ref="CU46">SUM(IF(ISERR(FIND(CU$4,$D46:$CD46)),0,1))</f>
        <v>0</v>
      </c>
      <c r="CV46" s="71">
        <f t="array" ref="CV46">SUM(IF(ISERR(FIND(CV$4,$D46:$CD46)),0,1))</f>
        <v>0</v>
      </c>
      <c r="CW46" s="71">
        <f t="array" ref="CW46">SUM(IF(ISERR(FIND(CW$4,$D46:$CD46)),0,1))</f>
        <v>0</v>
      </c>
      <c r="CX46" s="71">
        <f t="array" ref="CX46">SUM(IF(ISERR(FIND(CX$4,$D46:$CD46)),0,1))</f>
        <v>0</v>
      </c>
      <c r="CY46" s="71">
        <f t="shared" si="33"/>
        <v>0</v>
      </c>
      <c r="CZ46" s="71">
        <f t="shared" si="34"/>
        <v>0</v>
      </c>
      <c r="DA46" s="71">
        <f t="shared" si="35"/>
        <v>0</v>
      </c>
      <c r="DB46" s="71">
        <f t="shared" si="36"/>
        <v>0</v>
      </c>
      <c r="DC46" s="71">
        <f t="shared" si="37"/>
        <v>0</v>
      </c>
      <c r="DD46" s="71">
        <f t="shared" si="38"/>
        <v>0</v>
      </c>
      <c r="DE46" s="71">
        <f t="shared" si="39"/>
        <v>0</v>
      </c>
      <c r="DF46" s="68">
        <f t="shared" si="40"/>
        <v>200101.02046</v>
      </c>
      <c r="DG46" s="68">
        <f t="shared" si="19"/>
        <v>27</v>
      </c>
      <c r="DH46" s="68">
        <v>0</v>
      </c>
      <c r="DI46" s="89" t="str">
        <f t="shared" si="41"/>
        <v/>
      </c>
      <c r="DJ46" s="97">
        <f t="shared" si="42"/>
        <v>0</v>
      </c>
    </row>
    <row r="47" spans="1:114" x14ac:dyDescent="0.15">
      <c r="B47" s="122"/>
      <c r="C47" s="122" t="s">
        <v>262</v>
      </c>
      <c r="D47" t="s">
        <v>284</v>
      </c>
      <c r="E47"/>
      <c r="F47"/>
      <c r="G47"/>
      <c r="H47"/>
      <c r="I47"/>
      <c r="J47"/>
      <c r="K47" s="122"/>
      <c r="L47" s="122"/>
      <c r="M47"/>
      <c r="N47" s="122"/>
      <c r="O47"/>
      <c r="P47"/>
      <c r="Q47" s="122"/>
      <c r="R47" s="122"/>
      <c r="S47"/>
      <c r="T47" s="122"/>
      <c r="U47" s="122"/>
      <c r="V47" s="122"/>
      <c r="W47"/>
      <c r="X47"/>
      <c r="Z47"/>
      <c r="CE47" s="68">
        <f t="shared" si="22"/>
        <v>1</v>
      </c>
      <c r="CF47" s="68">
        <f t="shared" si="23"/>
        <v>0</v>
      </c>
      <c r="CG47" s="68">
        <f t="shared" si="24"/>
        <v>1</v>
      </c>
      <c r="CH47" s="68">
        <f t="shared" si="25"/>
        <v>0</v>
      </c>
      <c r="CI47" s="68">
        <f t="shared" si="26"/>
        <v>0</v>
      </c>
      <c r="CJ47" s="72">
        <f t="shared" si="27"/>
        <v>0</v>
      </c>
      <c r="CK47" s="68">
        <f t="shared" si="28"/>
        <v>0</v>
      </c>
      <c r="CL47" s="70">
        <f t="shared" si="29"/>
        <v>0</v>
      </c>
      <c r="CM47" s="68">
        <f t="shared" si="30"/>
        <v>-5</v>
      </c>
      <c r="CN47" s="68">
        <f t="shared" si="31"/>
        <v>0</v>
      </c>
      <c r="CO47" s="71">
        <f t="array" ref="CO47">SUM(IF(ISERR(FIND("*",D47:CD47)),0,1))</f>
        <v>0</v>
      </c>
      <c r="CP47" s="71">
        <f t="array" ref="CP47">SUM(IF(ISERR(FIND("+",D47:CD47)),0,1))</f>
        <v>0</v>
      </c>
      <c r="CQ47" s="68">
        <f t="shared" si="32"/>
        <v>1</v>
      </c>
      <c r="CR47" s="71">
        <f t="array" ref="CR47">SUM(IF(ISERR(FIND(CR$4,$D47:$CD47)),0,1))</f>
        <v>0</v>
      </c>
      <c r="CS47" s="71">
        <f t="array" ref="CS47">SUM(IF(ISERR(FIND(CS$4,$D47:$CD47)),0,1))</f>
        <v>0</v>
      </c>
      <c r="CT47" s="71">
        <f t="array" ref="CT47">SUM(IF(ISERR(FIND(CT$4,$D47:$CD47)),0,1))</f>
        <v>0</v>
      </c>
      <c r="CU47" s="71">
        <f t="array" ref="CU47">SUM(IF(ISERR(FIND(CU$4,$D47:$CD47)),0,1))</f>
        <v>1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array" ref="CX47">SUM(IF(ISERR(FIND(CX$4,$D47:$CD47)),0,1))</f>
        <v>0</v>
      </c>
      <c r="CY47" s="71">
        <f t="shared" si="33"/>
        <v>0</v>
      </c>
      <c r="CZ47" s="71">
        <f t="shared" si="34"/>
        <v>0</v>
      </c>
      <c r="DA47" s="71">
        <f t="shared" si="35"/>
        <v>0</v>
      </c>
      <c r="DB47" s="71">
        <f t="shared" si="36"/>
        <v>0</v>
      </c>
      <c r="DC47" s="71">
        <f t="shared" si="37"/>
        <v>0</v>
      </c>
      <c r="DD47" s="71">
        <f t="shared" si="38"/>
        <v>0</v>
      </c>
      <c r="DE47" s="71">
        <f t="shared" si="39"/>
        <v>0</v>
      </c>
      <c r="DF47" s="68">
        <f t="shared" si="40"/>
        <v>101.00047000000001</v>
      </c>
      <c r="DG47" s="68">
        <f t="shared" si="19"/>
        <v>38</v>
      </c>
      <c r="DH47" s="68">
        <v>0</v>
      </c>
      <c r="DI47" s="89" t="str">
        <f t="shared" si="41"/>
        <v/>
      </c>
      <c r="DJ47" s="97">
        <f t="shared" si="42"/>
        <v>1</v>
      </c>
    </row>
    <row r="48" spans="1:114" x14ac:dyDescent="0.15">
      <c r="A48" s="68" t="s">
        <v>55</v>
      </c>
      <c r="B48" s="68" t="s">
        <v>25</v>
      </c>
      <c r="C48" s="68" t="s">
        <v>145</v>
      </c>
      <c r="D48" s="122"/>
      <c r="E48" s="122" t="s">
        <v>301</v>
      </c>
      <c r="F48" s="122"/>
      <c r="G48"/>
      <c r="H48"/>
      <c r="I48"/>
      <c r="J48" t="s">
        <v>378</v>
      </c>
      <c r="K48" s="122"/>
      <c r="L48"/>
      <c r="M48" t="s">
        <v>438</v>
      </c>
      <c r="N48"/>
      <c r="O48"/>
      <c r="P48"/>
      <c r="Q48"/>
      <c r="R48"/>
      <c r="S48"/>
      <c r="T48"/>
      <c r="U48"/>
      <c r="V48"/>
      <c r="W48"/>
      <c r="X48"/>
      <c r="Y48"/>
      <c r="Z48"/>
      <c r="CE48" s="68">
        <f t="shared" ref="CE48" si="106">BatSplit(D48:CD48,MatchesPlayed)</f>
        <v>3</v>
      </c>
      <c r="CF48" s="68">
        <f t="shared" ref="CF48" si="107">CE48-CG48</f>
        <v>0</v>
      </c>
      <c r="CG48" s="68">
        <f t="shared" ref="CG48" si="108">BatSplit(D48:CD48,InnsBattedIn)</f>
        <v>3</v>
      </c>
      <c r="CH48" s="68">
        <f t="shared" ref="CH48" si="109">BatSplit(D48:CD48,NotOuts)</f>
        <v>0</v>
      </c>
      <c r="CI48" s="68">
        <f t="shared" ref="CI48" si="110">BatSplit(D48:CD48,HighestScore)</f>
        <v>14</v>
      </c>
      <c r="CJ48" s="72">
        <f t="shared" ref="CJ48" si="111">IF(CI48&lt;0,-CI48&amp;"*",CI48)</f>
        <v>14</v>
      </c>
      <c r="CK48" s="68">
        <f t="shared" ref="CK48" si="112">BatSplit(D48:CD48,RunsScored)</f>
        <v>22</v>
      </c>
      <c r="CL48" s="70">
        <f t="shared" ref="CL48" si="113">IF(CG48=CH48,0,CK48/(CG48-CH48))</f>
        <v>7.333333333333333</v>
      </c>
      <c r="CM48" s="68">
        <f t="shared" ref="CM48" si="114">BatSplit(D48:CD48,BatPts)</f>
        <v>17</v>
      </c>
      <c r="CN48" s="68">
        <f t="shared" ref="CN48" si="115">BatSplit(D48:CD48,FldPts)</f>
        <v>0</v>
      </c>
      <c r="CO48" s="71">
        <f t="array" ref="CO48">SUM(IF(ISERR(FIND("*",D48:CD48)),0,1))</f>
        <v>0</v>
      </c>
      <c r="CP48" s="71">
        <f t="array" ref="CP48">SUM(IF(ISERR(FIND("+",D48:CD48)),0,1))</f>
        <v>0</v>
      </c>
      <c r="CQ48" s="68">
        <f t="shared" ref="CQ48" si="116">BatSplit(D48:CD48,Ducks)</f>
        <v>1</v>
      </c>
      <c r="CR48" s="71">
        <f t="array" ref="CR48">SUM(IF(ISERR(FIND(CR$4,$D48:$CD48)),0,1))</f>
        <v>1</v>
      </c>
      <c r="CS48" s="71">
        <f t="array" ref="CS48">SUM(IF(ISERR(FIND(CS$4,$D48:$CD48)),0,1))</f>
        <v>1</v>
      </c>
      <c r="CT48" s="71">
        <f t="array" ref="CT48">SUM(IF(ISERR(FIND(CT$4,$D48:$CD48)),0,1))</f>
        <v>1</v>
      </c>
      <c r="CU48" s="71">
        <f t="array" ref="CU48">SUM(IF(ISERR(FIND(CU$4,$D48:$CD48)),0,1))</f>
        <v>0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array" ref="CX48">SUM(IF(ISERR(FIND(CX$4,$D48:$CD48)),0,1))</f>
        <v>0</v>
      </c>
      <c r="CY48" s="71">
        <f t="shared" ref="CY48" si="117">BatSplit(D48:CD48,Fifties)</f>
        <v>0</v>
      </c>
      <c r="CZ48" s="71">
        <f t="shared" ref="CZ48" si="118">BatSplit(D48:CD48,Catches)</f>
        <v>0</v>
      </c>
      <c r="DA48" s="71">
        <f t="shared" ref="DA48" si="119">BatSplit(D48:CD48,Fours)</f>
        <v>1</v>
      </c>
      <c r="DB48" s="71">
        <f t="shared" ref="DB48" si="120">BatSplit(D48:CD48,Sixes)</f>
        <v>0</v>
      </c>
      <c r="DC48" s="71">
        <f t="shared" ref="DC48" si="121">BatSplit(D48:CD48,Stumpings)</f>
        <v>0</v>
      </c>
      <c r="DD48" s="71">
        <f t="shared" ref="DD48" si="122">BatSplit(D48:CD48,CaughtWkt)</f>
        <v>0</v>
      </c>
      <c r="DE48" s="71">
        <f t="shared" ref="DE48" si="123">BatSplit(D48:CD48,TwentyFives)</f>
        <v>0</v>
      </c>
      <c r="DF48" s="68">
        <f t="shared" ref="DF48" si="124">ROUND(IF(ISERROR(CL48),0,CL48),2)*100000+CG48*100+CE48+CK48/100+ROW()/100000</f>
        <v>733303.22048000002</v>
      </c>
      <c r="DG48" s="68">
        <f t="shared" si="19"/>
        <v>21</v>
      </c>
      <c r="DH48" s="68">
        <v>0</v>
      </c>
      <c r="DI48" s="89" t="str">
        <f t="shared" ref="DI48" si="125">IF(CK48&gt;=50,(DA48*4+DB48*6+DH48*5)/CK48,"")</f>
        <v/>
      </c>
      <c r="DJ48" s="97">
        <f t="shared" ref="DJ48" si="126">CQ48/(CG48-CH48)</f>
        <v>0.33333333333333331</v>
      </c>
    </row>
    <row r="49" spans="2:114" x14ac:dyDescent="0.15">
      <c r="B49" t="s">
        <v>382</v>
      </c>
      <c r="C49" t="s">
        <v>383</v>
      </c>
      <c r="D49" s="122"/>
      <c r="E49" s="122"/>
      <c r="F49" s="122"/>
      <c r="G49"/>
      <c r="H49"/>
      <c r="I49"/>
      <c r="J49" t="s">
        <v>384</v>
      </c>
      <c r="K49" s="122"/>
      <c r="L49" t="s">
        <v>423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CE49" s="68">
        <f t="shared" ref="CE49" si="127">BatSplit(D49:CD49,MatchesPlayed)</f>
        <v>2</v>
      </c>
      <c r="CF49" s="68">
        <f t="shared" ref="CF49" si="128">CE49-CG49</f>
        <v>0</v>
      </c>
      <c r="CG49" s="68">
        <f t="shared" ref="CG49" si="129">BatSplit(D49:CD49,InnsBattedIn)</f>
        <v>2</v>
      </c>
      <c r="CH49" s="68">
        <f t="shared" ref="CH49" si="130">BatSplit(D49:CD49,NotOuts)</f>
        <v>1</v>
      </c>
      <c r="CI49" s="68">
        <f t="shared" ref="CI49" si="131">BatSplit(D49:CD49,HighestScore)</f>
        <v>-42</v>
      </c>
      <c r="CJ49" s="72" t="str">
        <f t="shared" ref="CJ49" si="132">IF(CI49&lt;0,-CI49&amp;"*",CI49)</f>
        <v>42*</v>
      </c>
      <c r="CK49" s="68">
        <f t="shared" ref="CK49" si="133">BatSplit(D49:CD49,RunsScored)</f>
        <v>53</v>
      </c>
      <c r="CL49" s="70">
        <f t="shared" ref="CL49" si="134">IF(CG49=CH49,0,CK49/(CG49-CH49))</f>
        <v>53</v>
      </c>
      <c r="CM49" s="68">
        <f t="shared" ref="CM49" si="135">BatSplit(D49:CD49,BatPts)</f>
        <v>53</v>
      </c>
      <c r="CN49" s="68">
        <f t="shared" ref="CN49" si="136">BatSplit(D49:CD49,FldPts)</f>
        <v>0</v>
      </c>
      <c r="CO49" s="71">
        <f t="array" ref="CO49">SUM(IF(ISERR(FIND("*",D49:CD49)),0,1))</f>
        <v>0</v>
      </c>
      <c r="CP49" s="71">
        <f t="array" ref="CP49">SUM(IF(ISERR(FIND("+",D49:CD49)),0,1))</f>
        <v>0</v>
      </c>
      <c r="CQ49" s="68">
        <f t="shared" ref="CQ49" si="137">BatSplit(D49:CD49,Ducks)</f>
        <v>0</v>
      </c>
      <c r="CR49" s="71">
        <f t="array" ref="CR49">SUM(IF(ISERR(FIND(CR$4,$D49:$CD49)),0,1))</f>
        <v>1</v>
      </c>
      <c r="CS49" s="71">
        <f t="array" ref="CS49">SUM(IF(ISERR(FIND(CS$4,$D49:$CD49)),0,1))</f>
        <v>0</v>
      </c>
      <c r="CT49" s="71">
        <f t="array" ref="CT49">SUM(IF(ISERR(FIND(CT$4,$D49:$CD49)),0,1))</f>
        <v>0</v>
      </c>
      <c r="CU49" s="71">
        <f t="array" ref="CU49">SUM(IF(ISERR(FIND(CU$4,$D49:$CD49)),0,1))</f>
        <v>0</v>
      </c>
      <c r="CV49" s="71">
        <f t="array" ref="CV49">SUM(IF(ISERR(FIND(CV$4,$D49:$CD49)),0,1))</f>
        <v>0</v>
      </c>
      <c r="CW49" s="71">
        <f t="array" ref="CW49">SUM(IF(ISERR(FIND(CW$4,$D49:$CD49)),0,1))</f>
        <v>0</v>
      </c>
      <c r="CX49" s="71">
        <f t="array" ref="CX49">SUM(IF(ISERR(FIND(CX$4,$D49:$CD49)),0,1))</f>
        <v>0</v>
      </c>
      <c r="CY49" s="71">
        <f t="shared" ref="CY49" si="138">BatSplit(D49:CD49,Fifties)</f>
        <v>0</v>
      </c>
      <c r="CZ49" s="71">
        <f t="shared" ref="CZ49" si="139">BatSplit(D49:CD49,Catches)</f>
        <v>0</v>
      </c>
      <c r="DA49" s="71">
        <f t="shared" ref="DA49" si="140">BatSplit(D49:CD49,Fours)</f>
        <v>5</v>
      </c>
      <c r="DB49" s="71">
        <f t="shared" ref="DB49" si="141">BatSplit(D49:CD49,Sixes)</f>
        <v>0</v>
      </c>
      <c r="DC49" s="71">
        <f t="shared" ref="DC49" si="142">BatSplit(D49:CD49,Stumpings)</f>
        <v>0</v>
      </c>
      <c r="DD49" s="71">
        <f t="shared" ref="DD49" si="143">BatSplit(D49:CD49,CaughtWkt)</f>
        <v>0</v>
      </c>
      <c r="DE49" s="71">
        <f t="shared" ref="DE49" si="144">BatSplit(D49:CD49,TwentyFives)</f>
        <v>1</v>
      </c>
      <c r="DF49" s="68">
        <f t="shared" ref="DF49" si="145">ROUND(IF(ISERROR(CL49),0,CL49),2)*100000+CG49*100+CE49+CK49/100+ROW()/100000</f>
        <v>5300202.5304899998</v>
      </c>
      <c r="DG49" s="68">
        <f t="shared" si="19"/>
        <v>2</v>
      </c>
      <c r="DH49" s="68">
        <v>0</v>
      </c>
      <c r="DI49" s="89">
        <f t="shared" ref="DI49" si="146">IF(CK49&gt;=50,(DA49*4+DB49*6+DH49*5)/CK49,"")</f>
        <v>0.37735849056603776</v>
      </c>
      <c r="DJ49" s="97">
        <f t="shared" ref="DJ49" si="147">CQ49/(CG49-CH49)</f>
        <v>0</v>
      </c>
    </row>
    <row r="50" spans="2:114" x14ac:dyDescent="0.15">
      <c r="CJ50" s="72"/>
      <c r="CL50" s="70"/>
      <c r="CO50" s="71"/>
      <c r="CP50" s="71"/>
      <c r="CR50" s="71"/>
      <c r="CS50" s="71"/>
      <c r="CT50" s="71"/>
      <c r="CU50" s="71"/>
      <c r="CV50" s="71"/>
      <c r="CW50" s="71"/>
      <c r="CX50" s="71"/>
      <c r="CY50" s="71"/>
    </row>
    <row r="51" spans="2:114" x14ac:dyDescent="0.15">
      <c r="CO51" s="90">
        <f t="shared" ref="CO51:CW51" si="148">SUM(CO5:CO50)</f>
        <v>16</v>
      </c>
      <c r="CP51" s="90">
        <f t="shared" si="148"/>
        <v>16</v>
      </c>
      <c r="CQ51" s="60">
        <f t="shared" si="148"/>
        <v>21</v>
      </c>
      <c r="CR51" s="73">
        <f t="shared" si="148"/>
        <v>47</v>
      </c>
      <c r="CS51" s="73">
        <f t="shared" si="148"/>
        <v>37</v>
      </c>
      <c r="CT51" s="73">
        <f t="shared" si="148"/>
        <v>15</v>
      </c>
      <c r="CU51" s="73">
        <f t="shared" si="148"/>
        <v>5</v>
      </c>
      <c r="CV51" s="73">
        <f t="shared" si="148"/>
        <v>7</v>
      </c>
      <c r="CW51" s="73">
        <f t="shared" si="148"/>
        <v>0</v>
      </c>
      <c r="CX51" s="73"/>
      <c r="CY51" s="73"/>
      <c r="CZ51" s="60">
        <f t="shared" ref="CZ51:DE51" si="149">SUM(CZ5:CZ50)</f>
        <v>35</v>
      </c>
      <c r="DA51" s="60">
        <f t="shared" si="149"/>
        <v>277</v>
      </c>
      <c r="DB51" s="60">
        <f t="shared" si="149"/>
        <v>28</v>
      </c>
      <c r="DC51" s="60">
        <f t="shared" si="149"/>
        <v>3</v>
      </c>
      <c r="DD51" s="60">
        <f t="shared" si="149"/>
        <v>6</v>
      </c>
      <c r="DE51" s="60">
        <f t="shared" si="149"/>
        <v>36</v>
      </c>
    </row>
    <row r="52" spans="2:114" x14ac:dyDescent="0.15">
      <c r="C52" s="68" t="s">
        <v>125</v>
      </c>
      <c r="D52" s="68">
        <f t="array" ref="D52">SUM(IF(NOT(ISERR(FIND("*",D5:D49))),1,0))</f>
        <v>1</v>
      </c>
      <c r="E52" s="68">
        <f t="array" ref="E52">SUM(IF(NOT(ISERR(FIND("*",E5:E49))),1,0))</f>
        <v>1</v>
      </c>
      <c r="F52" s="68">
        <f t="array" ref="F52">SUM(IF(NOT(ISERR(FIND("*",F5:F49))),1,0))</f>
        <v>1</v>
      </c>
      <c r="G52" s="68">
        <f t="array" ref="G52">SUM(IF(NOT(ISERR(FIND("*",G5:G49))),1,0))</f>
        <v>1</v>
      </c>
      <c r="H52" s="68">
        <f t="array" ref="H52">SUM(IF(NOT(ISERR(FIND("*",H5:H49))),1,0))</f>
        <v>0</v>
      </c>
      <c r="I52" s="68">
        <f t="array" ref="I52">SUM(IF(NOT(ISERR(FIND("*",I5:I49))),1,0))</f>
        <v>1</v>
      </c>
      <c r="J52" s="68">
        <f t="array" ref="J52">SUM(IF(NOT(ISERR(FIND("*",J5:J49))),1,0))</f>
        <v>1</v>
      </c>
      <c r="K52" s="68">
        <f t="array" ref="K52">SUM(IF(NOT(ISERR(FIND("*",K5:K49))),1,0))</f>
        <v>1</v>
      </c>
      <c r="L52" s="68">
        <f t="array" ref="L52">SUM(IF(NOT(ISERR(FIND("*",L5:L49))),1,0))</f>
        <v>1</v>
      </c>
      <c r="M52" s="68">
        <f t="array" ref="M52">SUM(IF(NOT(ISERR(FIND("*",M5:M49))),1,0))</f>
        <v>1</v>
      </c>
      <c r="N52" s="68">
        <f t="array" ref="N52">SUM(IF(NOT(ISERR(FIND("*",N5:N49))),1,0))</f>
        <v>1</v>
      </c>
      <c r="O52" s="68">
        <f t="array" ref="O52">SUM(IF(NOT(ISERR(FIND("*",O5:O49))),1,0))</f>
        <v>1</v>
      </c>
      <c r="P52" s="68">
        <f t="array" ref="P52">SUM(IF(NOT(ISERR(FIND("*",P5:P49))),1,0))</f>
        <v>1</v>
      </c>
      <c r="Q52" s="68">
        <f t="array" ref="Q52">SUM(IF(NOT(ISERR(FIND("*",Q5:Q49))),1,0))</f>
        <v>1</v>
      </c>
      <c r="R52" s="68">
        <f t="array" ref="R52">SUM(IF(NOT(ISERR(FIND("*",R5:R49))),1,0))</f>
        <v>1</v>
      </c>
      <c r="S52" s="68">
        <f t="array" ref="S52">SUM(IF(NOT(ISERR(FIND("*",S5:S49))),1,0))</f>
        <v>1</v>
      </c>
      <c r="T52" s="68">
        <f t="array" ref="T52">SUM(IF(NOT(ISERR(FIND("*",T5:T49))),1,0))</f>
        <v>1</v>
      </c>
      <c r="U52" s="68">
        <f t="array" ref="U52">SUM(IF(NOT(ISERR(FIND("*",U5:U49))),1,0))</f>
        <v>0</v>
      </c>
      <c r="V52" s="68">
        <f t="array" ref="V52">SUM(IF(NOT(ISERR(FIND("*",V5:V49))),1,0))</f>
        <v>0</v>
      </c>
      <c r="W52" s="68">
        <f t="array" ref="W52">SUM(IF(NOT(ISERR(FIND("*",W5:W49))),1,0))</f>
        <v>0</v>
      </c>
      <c r="X52" s="68">
        <f t="array" ref="X52">SUM(IF(NOT(ISERR(FIND("*",X5:X49))),1,0))</f>
        <v>0</v>
      </c>
      <c r="Y52" s="68">
        <f t="array" ref="Y52">SUM(IF(NOT(ISERR(FIND("*",Y5:Y49))),1,0))</f>
        <v>0</v>
      </c>
      <c r="Z52" s="68">
        <f t="array" ref="Z52">SUM(IF(NOT(ISERR(FIND("*",Z5:Z49))),1,0))</f>
        <v>0</v>
      </c>
      <c r="AA52" s="68">
        <f t="array" ref="AA52">SUM(IF(NOT(ISERR(FIND("*",AA5:AA49))),1,0))</f>
        <v>0</v>
      </c>
      <c r="AB52" s="68">
        <f t="array" ref="AB52">SUM(IF(NOT(ISERR(FIND("*",AB5:AB49))),1,0))</f>
        <v>0</v>
      </c>
      <c r="AC52" s="68">
        <f t="array" ref="AC52">SUM(IF(NOT(ISERR(FIND("*",AC5:AC49))),1,0))</f>
        <v>0</v>
      </c>
      <c r="AD52" s="68">
        <f t="array" ref="AD52">SUM(IF(NOT(ISERR(FIND("*",AD5:AD49))),1,0))</f>
        <v>0</v>
      </c>
      <c r="AE52" s="68">
        <f t="array" ref="AE52">SUM(IF(NOT(ISERR(FIND("*",AE5:AE49))),1,0))</f>
        <v>0</v>
      </c>
      <c r="AF52" s="68">
        <f t="array" ref="AF52">SUM(IF(NOT(ISERR(FIND("*",AF5:AF49))),1,0))</f>
        <v>0</v>
      </c>
      <c r="AG52" s="68">
        <f t="array" ref="AG52">SUM(IF(NOT(ISERR(FIND("*",AG5:AG49))),1,0))</f>
        <v>0</v>
      </c>
      <c r="AH52" s="68">
        <f t="array" ref="AH52">SUM(IF(NOT(ISERR(FIND("*",AH5:AH49))),1,0))</f>
        <v>0</v>
      </c>
      <c r="AI52" s="68">
        <f t="array" ref="AI52">SUM(IF(NOT(ISERR(FIND("*",AI5:AI49))),1,0))</f>
        <v>0</v>
      </c>
      <c r="AJ52" s="68">
        <f t="array" ref="AJ52">SUM(IF(NOT(ISERR(FIND("*",AJ5:AJ49))),1,0))</f>
        <v>0</v>
      </c>
      <c r="AK52" s="68">
        <f t="array" ref="AK52">SUM(IF(NOT(ISERR(FIND("*",AK5:AK49))),1,0))</f>
        <v>0</v>
      </c>
      <c r="AL52" s="68">
        <f t="array" ref="AL52">SUM(IF(NOT(ISERR(FIND("*",AL5:AL49))),1,0))</f>
        <v>0</v>
      </c>
      <c r="AM52" s="68">
        <f t="array" ref="AM52">SUM(IF(NOT(ISERR(FIND("*",AM5:AM49))),1,0))</f>
        <v>0</v>
      </c>
      <c r="AN52" s="68">
        <f t="array" ref="AN52">SUM(IF(NOT(ISERR(FIND("*",AN5:AN49))),1,0))</f>
        <v>0</v>
      </c>
      <c r="AO52" s="68">
        <f t="array" ref="AO52">SUM(IF(NOT(ISERR(FIND("*",AO5:AO49))),1,0))</f>
        <v>0</v>
      </c>
      <c r="AP52" s="68">
        <f t="array" ref="AP52">SUM(IF(NOT(ISERR(FIND("*",AP5:AP49))),1,0))</f>
        <v>0</v>
      </c>
      <c r="AQ52" s="68">
        <f t="array" ref="AQ52">SUM(IF(NOT(ISERR(FIND("*",AQ5:AQ49))),1,0))</f>
        <v>0</v>
      </c>
      <c r="AR52" s="68">
        <f t="array" ref="AR52">SUM(IF(NOT(ISERR(FIND("*",AR5:AR49))),1,0))</f>
        <v>0</v>
      </c>
      <c r="AS52" s="68">
        <f t="array" ref="AS52">SUM(IF(NOT(ISERR(FIND("*",AS5:AS49))),1,0))</f>
        <v>0</v>
      </c>
      <c r="AT52" s="68">
        <f t="array" ref="AT52">SUM(IF(NOT(ISERR(FIND("*",AT5:AT49))),1,0))</f>
        <v>0</v>
      </c>
      <c r="AU52" s="68">
        <f t="array" ref="AU52">SUM(IF(NOT(ISERR(FIND("*",AU5:AU49))),1,0))</f>
        <v>0</v>
      </c>
      <c r="AV52" s="68">
        <f t="array" ref="AV52">SUM(IF(NOT(ISERR(FIND("*",AV5:AV49))),1,0))</f>
        <v>0</v>
      </c>
      <c r="AW52" s="68">
        <f t="array" ref="AW52">SUM(IF(NOT(ISERR(FIND("*",AW5:AW49))),1,0))</f>
        <v>0</v>
      </c>
      <c r="AX52" s="68">
        <f t="array" ref="AX52">SUM(IF(NOT(ISERR(FIND("*",AX5:AX49))),1,0))</f>
        <v>0</v>
      </c>
      <c r="AY52" s="68">
        <f t="array" ref="AY52">SUM(IF(NOT(ISERR(FIND("*",AY5:AY49))),1,0))</f>
        <v>0</v>
      </c>
      <c r="AZ52" s="68">
        <f t="array" ref="AZ52">SUM(IF(NOT(ISERR(FIND("*",AZ5:AZ49))),1,0))</f>
        <v>0</v>
      </c>
      <c r="BA52" s="68">
        <f t="array" ref="BA52">SUM(IF(NOT(ISERR(FIND("*",BA5:BA49))),1,0))</f>
        <v>0</v>
      </c>
      <c r="BB52" s="68">
        <f t="array" ref="BB52">SUM(IF(NOT(ISERR(FIND("*",BB5:BB49))),1,0))</f>
        <v>0</v>
      </c>
      <c r="BC52" s="68">
        <f t="array" ref="BC52">SUM(IF(NOT(ISERR(FIND("*",BC5:BC49))),1,0))</f>
        <v>0</v>
      </c>
      <c r="BD52" s="68">
        <f t="array" ref="BD52">SUM(IF(NOT(ISERR(FIND("*",BD5:BD49))),1,0))</f>
        <v>0</v>
      </c>
      <c r="BE52" s="68">
        <f t="array" ref="BE52">SUM(IF(NOT(ISERR(FIND("*",BE5:BE49))),1,0))</f>
        <v>0</v>
      </c>
      <c r="BF52" s="68">
        <f t="array" ref="BF52">SUM(IF(NOT(ISERR(FIND("*",BF5:BF49))),1,0))</f>
        <v>0</v>
      </c>
      <c r="CE52" s="68">
        <f>SUM(D52:BF52)</f>
        <v>16</v>
      </c>
      <c r="CO52" s="91">
        <f>SUM(D52:BF52)</f>
        <v>16</v>
      </c>
      <c r="CP52" s="60"/>
      <c r="CQ52" s="60"/>
      <c r="CR52" s="73">
        <f>SUM(CR51:CW51)</f>
        <v>111</v>
      </c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</row>
    <row r="53" spans="2:114" x14ac:dyDescent="0.15">
      <c r="C53" s="68" t="s">
        <v>14</v>
      </c>
      <c r="D53" s="68">
        <f t="array" ref="D53">SUM(IF(NOT(ISERR(FIND("+",D5:D49))),1,0))</f>
        <v>1</v>
      </c>
      <c r="E53" s="68">
        <f t="array" ref="E53">SUM(IF(NOT(ISERR(FIND("+",E5:E49))),1,0))</f>
        <v>1</v>
      </c>
      <c r="F53" s="68">
        <f t="array" ref="F53">SUM(IF(NOT(ISERR(FIND("+",F5:F49))),1,0))</f>
        <v>1</v>
      </c>
      <c r="G53" s="68">
        <f t="array" ref="G53">SUM(IF(NOT(ISERR(FIND("+",G5:G49))),1,0))</f>
        <v>1</v>
      </c>
      <c r="H53" s="68">
        <f t="array" ref="H53">SUM(IF(NOT(ISERR(FIND("+",H5:H49))),1,0))</f>
        <v>0</v>
      </c>
      <c r="I53" s="68">
        <f t="array" ref="I53">SUM(IF(NOT(ISERR(FIND("+",I5:I49))),1,0))</f>
        <v>1</v>
      </c>
      <c r="J53" s="68">
        <f t="array" ref="J53">SUM(IF(NOT(ISERR(FIND("+",J5:J49))),1,0))</f>
        <v>1</v>
      </c>
      <c r="K53" s="68">
        <f t="array" ref="K53">SUM(IF(NOT(ISERR(FIND("+",K5:K49))),1,0))</f>
        <v>1</v>
      </c>
      <c r="L53" s="68">
        <f t="array" ref="L53">SUM(IF(NOT(ISERR(FIND("+",L5:L49))),1,0))</f>
        <v>1</v>
      </c>
      <c r="M53" s="68">
        <f t="array" ref="M53">SUM(IF(NOT(ISERR(FIND("+",M5:M49))),1,0))</f>
        <v>1</v>
      </c>
      <c r="N53" s="68">
        <f t="array" ref="N53">SUM(IF(NOT(ISERR(FIND("+",N5:N49))),1,0))</f>
        <v>1</v>
      </c>
      <c r="O53" s="68">
        <f t="array" ref="O53">SUM(IF(NOT(ISERR(FIND("+",O5:O49))),1,0))</f>
        <v>1</v>
      </c>
      <c r="P53" s="68">
        <f t="array" ref="P53">SUM(IF(NOT(ISERR(FIND("+",P5:P49))),1,0))</f>
        <v>1</v>
      </c>
      <c r="Q53" s="68">
        <f t="array" ref="Q53">SUM(IF(NOT(ISERR(FIND("+",Q5:Q49))),1,0))</f>
        <v>1</v>
      </c>
      <c r="R53" s="68">
        <f t="array" ref="R53">SUM(IF(NOT(ISERR(FIND("+",R5:R49))),1,0))</f>
        <v>1</v>
      </c>
      <c r="S53" s="68">
        <f t="array" ref="S53">SUM(IF(NOT(ISERR(FIND("+",S5:S49))),1,0))</f>
        <v>1</v>
      </c>
      <c r="T53" s="68">
        <f t="array" ref="T53">SUM(IF(NOT(ISERR(FIND("+",T5:T49))),1,0))</f>
        <v>1</v>
      </c>
      <c r="U53" s="68">
        <f t="array" ref="U53">SUM(IF(NOT(ISERR(FIND("+",U5:U49))),1,0))</f>
        <v>0</v>
      </c>
      <c r="V53" s="68">
        <f t="array" ref="V53">SUM(IF(NOT(ISERR(FIND("+",V5:V49))),1,0))</f>
        <v>0</v>
      </c>
      <c r="W53" s="68">
        <f t="array" ref="W53">SUM(IF(NOT(ISERR(FIND("+",W5:W49))),1,0))</f>
        <v>0</v>
      </c>
      <c r="X53" s="68">
        <f t="array" ref="X53">SUM(IF(NOT(ISERR(FIND("+",X5:X49))),1,0))</f>
        <v>0</v>
      </c>
      <c r="Y53" s="68">
        <f t="array" ref="Y53">SUM(IF(NOT(ISERR(FIND("+",Y5:Y49))),1,0))</f>
        <v>0</v>
      </c>
      <c r="Z53" s="68">
        <f t="array" ref="Z53">SUM(IF(NOT(ISERR(FIND("+",Z5:Z49))),1,0))</f>
        <v>0</v>
      </c>
      <c r="AA53" s="68">
        <f t="array" ref="AA53">SUM(IF(NOT(ISERR(FIND("+",AA5:AA49))),1,0))</f>
        <v>0</v>
      </c>
      <c r="AB53" s="68">
        <f t="array" ref="AB53">SUM(IF(NOT(ISERR(FIND("+",AB5:AB49))),1,0))</f>
        <v>0</v>
      </c>
      <c r="AC53" s="68">
        <f t="array" ref="AC53">SUM(IF(NOT(ISERR(FIND("+",AC5:AC49))),1,0))</f>
        <v>0</v>
      </c>
      <c r="AD53" s="68">
        <f t="array" ref="AD53">SUM(IF(NOT(ISERR(FIND("+",AD5:AD49))),1,0))</f>
        <v>0</v>
      </c>
      <c r="AE53" s="68">
        <f t="array" ref="AE53">SUM(IF(NOT(ISERR(FIND("+",AE5:AE49))),1,0))</f>
        <v>0</v>
      </c>
      <c r="AF53" s="68">
        <f t="array" ref="AF53">SUM(IF(NOT(ISERR(FIND("+",AF5:AF49))),1,0))</f>
        <v>0</v>
      </c>
      <c r="AG53" s="68">
        <f t="array" ref="AG53">SUM(IF(NOT(ISERR(FIND("+",AG5:AG49))),1,0))</f>
        <v>0</v>
      </c>
      <c r="AH53" s="68">
        <f t="array" ref="AH53">SUM(IF(NOT(ISERR(FIND("+",AH5:AH49))),1,0))</f>
        <v>0</v>
      </c>
      <c r="AI53" s="68">
        <f t="array" ref="AI53">SUM(IF(NOT(ISERR(FIND("+",AI5:AI49))),1,0))</f>
        <v>0</v>
      </c>
      <c r="AJ53" s="68">
        <f t="array" ref="AJ53">SUM(IF(NOT(ISERR(FIND("+",AJ5:AJ49))),1,0))</f>
        <v>0</v>
      </c>
      <c r="AK53" s="68">
        <f t="array" ref="AK53">SUM(IF(NOT(ISERR(FIND("+",AK5:AK49))),1,0))</f>
        <v>0</v>
      </c>
      <c r="AL53" s="68">
        <f t="array" ref="AL53">SUM(IF(NOT(ISERR(FIND("+",AL5:AL49))),1,0))</f>
        <v>0</v>
      </c>
      <c r="AM53" s="68">
        <f t="array" ref="AM53">SUM(IF(NOT(ISERR(FIND("+",AM5:AM49))),1,0))</f>
        <v>0</v>
      </c>
      <c r="AN53" s="68">
        <f t="array" ref="AN53">SUM(IF(NOT(ISERR(FIND("+",AN5:AN49))),1,0))</f>
        <v>0</v>
      </c>
      <c r="AO53" s="68">
        <f t="array" ref="AO53">SUM(IF(NOT(ISERR(FIND("+",AO5:AO49))),1,0))</f>
        <v>0</v>
      </c>
      <c r="AP53" s="68">
        <f t="array" ref="AP53">SUM(IF(NOT(ISERR(FIND("+",AP5:AP49))),1,0))</f>
        <v>0</v>
      </c>
      <c r="AQ53" s="68">
        <f t="array" ref="AQ53">SUM(IF(NOT(ISERR(FIND("+",AQ5:AQ49))),1,0))</f>
        <v>0</v>
      </c>
      <c r="AR53" s="68">
        <f t="array" ref="AR53">SUM(IF(NOT(ISERR(FIND("+",AR5:AR49))),1,0))</f>
        <v>0</v>
      </c>
      <c r="AS53" s="68">
        <f t="array" ref="AS53">SUM(IF(NOT(ISERR(FIND("+",AS5:AS49))),1,0))</f>
        <v>0</v>
      </c>
      <c r="AT53" s="68">
        <f t="array" ref="AT53">SUM(IF(NOT(ISERR(FIND("+",AT5:AT49))),1,0))</f>
        <v>0</v>
      </c>
      <c r="AU53" s="68">
        <f t="array" ref="AU53">SUM(IF(NOT(ISERR(FIND("+",AU5:AU49))),1,0))</f>
        <v>0</v>
      </c>
      <c r="AV53" s="68">
        <f t="array" ref="AV53">SUM(IF(NOT(ISERR(FIND("+",AV5:AV49))),1,0))</f>
        <v>0</v>
      </c>
      <c r="AW53" s="68">
        <f t="array" ref="AW53">SUM(IF(NOT(ISERR(FIND("+",AW5:AW49))),1,0))</f>
        <v>0</v>
      </c>
      <c r="AX53" s="68">
        <f t="array" ref="AX53">SUM(IF(NOT(ISERR(FIND("+",AX5:AX49))),1,0))</f>
        <v>0</v>
      </c>
      <c r="AY53" s="68">
        <f t="array" ref="AY53">SUM(IF(NOT(ISERR(FIND("+",AY5:AY49))),1,0))</f>
        <v>0</v>
      </c>
      <c r="AZ53" s="68">
        <f t="array" ref="AZ53">SUM(IF(NOT(ISERR(FIND("+",AZ5:AZ49))),1,0))</f>
        <v>0</v>
      </c>
      <c r="BA53" s="68">
        <f t="array" ref="BA53">SUM(IF(NOT(ISERR(FIND("+",BA5:BA49))),1,0))</f>
        <v>0</v>
      </c>
      <c r="BB53" s="68">
        <f t="array" ref="BB53">SUM(IF(NOT(ISERR(FIND("+",BB5:BB49))),1,0))</f>
        <v>0</v>
      </c>
      <c r="BC53" s="68">
        <f t="array" ref="BC53">SUM(IF(NOT(ISERR(FIND("+",BC5:BC49))),1,0))</f>
        <v>0</v>
      </c>
      <c r="BD53" s="68">
        <f t="array" ref="BD53">SUM(IF(NOT(ISERR(FIND("+",BD5:BD49))),1,0))</f>
        <v>0</v>
      </c>
      <c r="BE53" s="68">
        <f t="array" ref="BE53">SUM(IF(NOT(ISERR(FIND("+",BE5:BE49))),1,0))</f>
        <v>0</v>
      </c>
      <c r="BF53" s="68">
        <f t="array" ref="BF53">SUM(IF(NOT(ISERR(FIND("+",BF5:BF49))),1,0))</f>
        <v>0</v>
      </c>
      <c r="CE53" s="68">
        <f>SUM(D53:BF53)</f>
        <v>16</v>
      </c>
      <c r="CO53" s="91">
        <f>SUM(D53:BF53)</f>
        <v>16</v>
      </c>
      <c r="CP53" s="60"/>
      <c r="CQ53" s="60"/>
      <c r="CR53" s="107">
        <f t="shared" ref="CR53:CW53" si="150">CR51/$CR$52</f>
        <v>0.42342342342342343</v>
      </c>
      <c r="CS53" s="107">
        <f t="shared" si="150"/>
        <v>0.33333333333333331</v>
      </c>
      <c r="CT53" s="107">
        <f t="shared" si="150"/>
        <v>0.13513513513513514</v>
      </c>
      <c r="CU53" s="107">
        <f t="shared" si="150"/>
        <v>4.5045045045045043E-2</v>
      </c>
      <c r="CV53" s="107">
        <f t="shared" si="150"/>
        <v>6.3063063063063057E-2</v>
      </c>
      <c r="CW53" s="107">
        <f t="shared" si="150"/>
        <v>0</v>
      </c>
      <c r="CX53" s="107"/>
      <c r="CY53" s="107"/>
      <c r="CZ53" s="60"/>
      <c r="DA53" s="60"/>
      <c r="DB53" s="60"/>
      <c r="DC53" s="60"/>
      <c r="DD53" s="60"/>
      <c r="DE53" s="60"/>
    </row>
    <row r="55" spans="2:114" x14ac:dyDescent="0.15">
      <c r="C55" s="68" t="s">
        <v>116</v>
      </c>
      <c r="D55" s="68">
        <f t="shared" ref="D55:AI55" si="151">BatSplit(D5:D49,RunsScored)</f>
        <v>113</v>
      </c>
      <c r="E55" s="68">
        <f t="shared" si="151"/>
        <v>140</v>
      </c>
      <c r="F55" s="68">
        <f t="shared" si="151"/>
        <v>124</v>
      </c>
      <c r="G55" s="68">
        <f t="shared" si="151"/>
        <v>183</v>
      </c>
      <c r="H55" s="68">
        <f t="shared" si="151"/>
        <v>0</v>
      </c>
      <c r="I55" s="68">
        <f t="shared" si="151"/>
        <v>153</v>
      </c>
      <c r="J55" s="68">
        <f t="shared" si="151"/>
        <v>145</v>
      </c>
      <c r="K55" s="68">
        <f t="shared" si="151"/>
        <v>85</v>
      </c>
      <c r="L55" s="68">
        <f t="shared" si="151"/>
        <v>181</v>
      </c>
      <c r="M55" s="68">
        <f t="shared" si="151"/>
        <v>92</v>
      </c>
      <c r="N55" s="68">
        <f t="shared" si="151"/>
        <v>192</v>
      </c>
      <c r="O55" s="68">
        <f t="shared" si="151"/>
        <v>175</v>
      </c>
      <c r="P55" s="68">
        <f t="shared" si="151"/>
        <v>25</v>
      </c>
      <c r="Q55" s="68">
        <f t="shared" si="151"/>
        <v>175</v>
      </c>
      <c r="R55" s="68">
        <f t="shared" si="151"/>
        <v>106</v>
      </c>
      <c r="S55" s="68">
        <f t="shared" si="151"/>
        <v>146</v>
      </c>
      <c r="T55" s="68">
        <f t="shared" si="151"/>
        <v>213</v>
      </c>
      <c r="U55" s="68">
        <f t="shared" si="151"/>
        <v>0</v>
      </c>
      <c r="V55" s="68">
        <f t="shared" si="151"/>
        <v>0</v>
      </c>
      <c r="W55" s="68">
        <f t="shared" si="151"/>
        <v>0</v>
      </c>
      <c r="X55" s="68">
        <f t="shared" si="151"/>
        <v>0</v>
      </c>
      <c r="Y55" s="68">
        <f t="shared" si="151"/>
        <v>0</v>
      </c>
      <c r="Z55" s="68">
        <f t="shared" si="151"/>
        <v>0</v>
      </c>
      <c r="AA55" s="68">
        <f t="shared" si="151"/>
        <v>0</v>
      </c>
      <c r="AB55" s="68">
        <f t="shared" si="151"/>
        <v>0</v>
      </c>
      <c r="AC55" s="68">
        <f t="shared" si="151"/>
        <v>0</v>
      </c>
      <c r="AD55" s="68">
        <f t="shared" si="151"/>
        <v>0</v>
      </c>
      <c r="AE55" s="68">
        <f t="shared" si="151"/>
        <v>0</v>
      </c>
      <c r="AF55" s="68">
        <f t="shared" si="151"/>
        <v>0</v>
      </c>
      <c r="AG55" s="68">
        <f t="shared" si="151"/>
        <v>0</v>
      </c>
      <c r="AH55" s="68">
        <f t="shared" si="151"/>
        <v>0</v>
      </c>
      <c r="AI55" s="68">
        <f t="shared" si="151"/>
        <v>0</v>
      </c>
      <c r="AJ55" s="68">
        <f t="shared" ref="AJ55:BF55" si="152">BatSplit(AJ5:AJ49,RunsScored)</f>
        <v>0</v>
      </c>
      <c r="AK55" s="68">
        <f t="shared" si="152"/>
        <v>0</v>
      </c>
      <c r="AL55" s="68">
        <f t="shared" si="152"/>
        <v>0</v>
      </c>
      <c r="AM55" s="68">
        <f t="shared" si="152"/>
        <v>0</v>
      </c>
      <c r="AN55" s="68">
        <f t="shared" si="152"/>
        <v>0</v>
      </c>
      <c r="AO55" s="68">
        <f t="shared" si="152"/>
        <v>0</v>
      </c>
      <c r="AP55" s="68">
        <f t="shared" si="152"/>
        <v>0</v>
      </c>
      <c r="AQ55" s="68">
        <f t="shared" si="152"/>
        <v>0</v>
      </c>
      <c r="AR55" s="68">
        <f t="shared" si="152"/>
        <v>0</v>
      </c>
      <c r="AS55" s="68">
        <f t="shared" si="152"/>
        <v>0</v>
      </c>
      <c r="AT55" s="68">
        <f t="shared" si="152"/>
        <v>0</v>
      </c>
      <c r="AU55" s="68">
        <f t="shared" si="152"/>
        <v>0</v>
      </c>
      <c r="AV55" s="68">
        <f t="shared" si="152"/>
        <v>0</v>
      </c>
      <c r="AW55" s="68">
        <f t="shared" si="152"/>
        <v>0</v>
      </c>
      <c r="AX55" s="68">
        <f t="shared" si="152"/>
        <v>0</v>
      </c>
      <c r="AY55" s="68">
        <f t="shared" si="152"/>
        <v>0</v>
      </c>
      <c r="AZ55" s="68">
        <f t="shared" si="152"/>
        <v>0</v>
      </c>
      <c r="BA55" s="68">
        <f t="shared" si="152"/>
        <v>0</v>
      </c>
      <c r="BB55" s="68">
        <f t="shared" si="152"/>
        <v>0</v>
      </c>
      <c r="BC55" s="68">
        <f t="shared" si="152"/>
        <v>0</v>
      </c>
      <c r="BD55" s="68">
        <f t="shared" si="152"/>
        <v>0</v>
      </c>
      <c r="BE55" s="68">
        <f t="shared" si="152"/>
        <v>0</v>
      </c>
      <c r="BF55" s="68">
        <f t="shared" si="152"/>
        <v>0</v>
      </c>
      <c r="CE55" s="68">
        <f>SUM(D55:BD55)</f>
        <v>2248</v>
      </c>
      <c r="CG55" s="68">
        <f>SUM(CG5:CG50)</f>
        <v>141</v>
      </c>
      <c r="CH55" s="68">
        <f>SUM(CH5:CH50)</f>
        <v>28</v>
      </c>
      <c r="CI55" s="68">
        <f>SUM(CI5:CI49)</f>
        <v>556</v>
      </c>
      <c r="CK55" s="68">
        <f>SUM(CK5:CK50)</f>
        <v>2248</v>
      </c>
      <c r="CO55" s="68">
        <f>SUM(D55:BF55)</f>
        <v>2248</v>
      </c>
    </row>
    <row r="56" spans="2:114" x14ac:dyDescent="0.15">
      <c r="C56" s="68" t="s">
        <v>115</v>
      </c>
      <c r="D56" s="68">
        <f t="array" ref="D56:BF56">TRANSPOSE(Matches!Z5:Z59)</f>
        <v>17</v>
      </c>
      <c r="E56" s="68">
        <v>22</v>
      </c>
      <c r="F56" s="68">
        <v>11</v>
      </c>
      <c r="G56" s="68">
        <v>23</v>
      </c>
      <c r="H56" s="68">
        <v>0</v>
      </c>
      <c r="I56" s="68">
        <v>25</v>
      </c>
      <c r="J56" s="68">
        <v>36</v>
      </c>
      <c r="K56" s="68">
        <v>18</v>
      </c>
      <c r="L56" s="68">
        <v>10</v>
      </c>
      <c r="M56" s="68">
        <v>5</v>
      </c>
      <c r="N56" s="68">
        <v>16</v>
      </c>
      <c r="O56" s="68">
        <v>16</v>
      </c>
      <c r="P56" s="68">
        <v>4</v>
      </c>
      <c r="Q56" s="68">
        <v>16</v>
      </c>
      <c r="R56" s="68">
        <v>29</v>
      </c>
      <c r="S56" s="68">
        <v>36</v>
      </c>
      <c r="T56" s="68">
        <v>19</v>
      </c>
      <c r="U56" s="68">
        <v>0</v>
      </c>
      <c r="V56" s="68">
        <v>0</v>
      </c>
      <c r="W56" s="68">
        <v>0</v>
      </c>
      <c r="X56" s="68">
        <v>0</v>
      </c>
      <c r="Y56" s="68">
        <v>0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0</v>
      </c>
      <c r="AG56" s="68">
        <v>0</v>
      </c>
      <c r="AH56" s="68">
        <v>0</v>
      </c>
      <c r="AI56" s="68">
        <v>0</v>
      </c>
      <c r="AJ56" s="68">
        <v>0</v>
      </c>
      <c r="AK56" s="68">
        <v>0</v>
      </c>
      <c r="AL56" s="68">
        <v>0</v>
      </c>
      <c r="AM56" s="68">
        <v>0</v>
      </c>
      <c r="AN56" s="68">
        <v>0</v>
      </c>
      <c r="AO56" s="68">
        <v>0</v>
      </c>
      <c r="AP56" s="68">
        <v>0</v>
      </c>
      <c r="AQ56" s="68">
        <v>0</v>
      </c>
      <c r="AR56" s="68">
        <v>0</v>
      </c>
      <c r="AS56" s="68">
        <v>0</v>
      </c>
      <c r="AT56" s="68">
        <v>0</v>
      </c>
      <c r="AU56" s="68">
        <v>0</v>
      </c>
      <c r="AV56" s="68">
        <v>0</v>
      </c>
      <c r="AW56" s="68">
        <v>0</v>
      </c>
      <c r="AX56" s="68">
        <v>0</v>
      </c>
      <c r="AY56" s="68">
        <v>0</v>
      </c>
      <c r="AZ56" s="68">
        <v>0</v>
      </c>
      <c r="BA56" s="68">
        <v>0</v>
      </c>
      <c r="BB56" s="68">
        <v>0</v>
      </c>
      <c r="BC56" s="68">
        <v>0</v>
      </c>
      <c r="BD56" s="68">
        <v>0</v>
      </c>
      <c r="BE56" s="68">
        <v>0</v>
      </c>
      <c r="BF56" s="68">
        <v>0</v>
      </c>
      <c r="CE56" s="68">
        <f>SUM(D56:BD56)</f>
        <v>303</v>
      </c>
      <c r="CO56" s="68">
        <f>SUM(D56:BF56)</f>
        <v>303</v>
      </c>
    </row>
    <row r="57" spans="2:114" s="60" customFormat="1" x14ac:dyDescent="0.15">
      <c r="C57" s="60" t="s">
        <v>117</v>
      </c>
      <c r="D57" s="60">
        <f>D56+D55</f>
        <v>130</v>
      </c>
      <c r="E57" s="60">
        <f t="shared" ref="E57:BF57" si="153">E56+E55</f>
        <v>162</v>
      </c>
      <c r="F57" s="60">
        <f t="shared" si="153"/>
        <v>135</v>
      </c>
      <c r="G57" s="60">
        <f t="shared" si="153"/>
        <v>206</v>
      </c>
      <c r="H57" s="60">
        <f t="shared" si="153"/>
        <v>0</v>
      </c>
      <c r="I57" s="60">
        <f t="shared" si="153"/>
        <v>178</v>
      </c>
      <c r="J57" s="60">
        <f t="shared" si="153"/>
        <v>181</v>
      </c>
      <c r="K57" s="60">
        <f t="shared" si="153"/>
        <v>103</v>
      </c>
      <c r="L57" s="60">
        <f t="shared" si="153"/>
        <v>191</v>
      </c>
      <c r="M57" s="60">
        <f t="shared" si="153"/>
        <v>97</v>
      </c>
      <c r="N57" s="60">
        <f t="shared" si="153"/>
        <v>208</v>
      </c>
      <c r="O57" s="60">
        <f t="shared" si="153"/>
        <v>191</v>
      </c>
      <c r="P57" s="60">
        <f t="shared" si="153"/>
        <v>29</v>
      </c>
      <c r="Q57" s="60">
        <f t="shared" si="153"/>
        <v>191</v>
      </c>
      <c r="R57" s="60">
        <f t="shared" si="153"/>
        <v>135</v>
      </c>
      <c r="S57" s="60">
        <f t="shared" si="153"/>
        <v>182</v>
      </c>
      <c r="T57" s="60">
        <f t="shared" si="153"/>
        <v>232</v>
      </c>
      <c r="U57" s="60">
        <f t="shared" si="153"/>
        <v>0</v>
      </c>
      <c r="V57" s="60">
        <f t="shared" si="153"/>
        <v>0</v>
      </c>
      <c r="W57" s="60">
        <f t="shared" si="153"/>
        <v>0</v>
      </c>
      <c r="X57" s="60">
        <f t="shared" si="153"/>
        <v>0</v>
      </c>
      <c r="Y57" s="60">
        <f t="shared" si="153"/>
        <v>0</v>
      </c>
      <c r="Z57" s="60">
        <f t="shared" si="153"/>
        <v>0</v>
      </c>
      <c r="AA57" s="60">
        <f t="shared" si="153"/>
        <v>0</v>
      </c>
      <c r="AB57" s="60">
        <f t="shared" si="153"/>
        <v>0</v>
      </c>
      <c r="AC57" s="60">
        <f t="shared" si="153"/>
        <v>0</v>
      </c>
      <c r="AD57" s="60">
        <f t="shared" si="153"/>
        <v>0</v>
      </c>
      <c r="AE57" s="60">
        <f t="shared" si="153"/>
        <v>0</v>
      </c>
      <c r="AF57" s="60">
        <f t="shared" si="153"/>
        <v>0</v>
      </c>
      <c r="AG57" s="60">
        <f t="shared" si="153"/>
        <v>0</v>
      </c>
      <c r="AH57" s="60">
        <f t="shared" si="153"/>
        <v>0</v>
      </c>
      <c r="AI57" s="60">
        <f t="shared" si="153"/>
        <v>0</v>
      </c>
      <c r="AJ57" s="60">
        <f t="shared" si="153"/>
        <v>0</v>
      </c>
      <c r="AK57" s="60">
        <f t="shared" si="153"/>
        <v>0</v>
      </c>
      <c r="AL57" s="60">
        <f t="shared" si="153"/>
        <v>0</v>
      </c>
      <c r="AM57" s="60">
        <f t="shared" si="153"/>
        <v>0</v>
      </c>
      <c r="AN57" s="60">
        <f t="shared" si="153"/>
        <v>0</v>
      </c>
      <c r="AO57" s="60">
        <f t="shared" si="153"/>
        <v>0</v>
      </c>
      <c r="AP57" s="60">
        <f t="shared" si="153"/>
        <v>0</v>
      </c>
      <c r="AQ57" s="60">
        <f t="shared" si="153"/>
        <v>0</v>
      </c>
      <c r="AR57" s="60">
        <f t="shared" si="153"/>
        <v>0</v>
      </c>
      <c r="AS57" s="60">
        <f t="shared" si="153"/>
        <v>0</v>
      </c>
      <c r="AT57" s="60">
        <f t="shared" si="153"/>
        <v>0</v>
      </c>
      <c r="AU57" s="60">
        <f>AU56+AU55</f>
        <v>0</v>
      </c>
      <c r="AV57" s="60">
        <f t="shared" si="153"/>
        <v>0</v>
      </c>
      <c r="AW57" s="60">
        <f t="shared" si="153"/>
        <v>0</v>
      </c>
      <c r="AX57" s="60">
        <f t="shared" si="153"/>
        <v>0</v>
      </c>
      <c r="AY57" s="60">
        <f t="shared" si="153"/>
        <v>0</v>
      </c>
      <c r="AZ57" s="60">
        <f t="shared" si="153"/>
        <v>0</v>
      </c>
      <c r="BA57" s="60">
        <f t="shared" si="153"/>
        <v>0</v>
      </c>
      <c r="BB57" s="60">
        <f t="shared" si="153"/>
        <v>0</v>
      </c>
      <c r="BC57" s="60">
        <f t="shared" si="153"/>
        <v>0</v>
      </c>
      <c r="BD57" s="60">
        <f t="shared" si="153"/>
        <v>0</v>
      </c>
      <c r="BE57" s="60">
        <f t="shared" si="153"/>
        <v>0</v>
      </c>
      <c r="BF57" s="60">
        <f t="shared" si="153"/>
        <v>0</v>
      </c>
      <c r="CE57" s="68">
        <f>SUM(D57:BD57)</f>
        <v>2551</v>
      </c>
      <c r="CG57" s="68" t="s">
        <v>34</v>
      </c>
      <c r="CH57" s="68">
        <f>CG55-CH55</f>
        <v>113</v>
      </c>
      <c r="CI57" s="68"/>
      <c r="CJ57" s="68"/>
      <c r="CK57" s="68"/>
      <c r="CO57" s="60">
        <f>SUM(D57:BF57)</f>
        <v>2551</v>
      </c>
    </row>
    <row r="58" spans="2:114" x14ac:dyDescent="0.15">
      <c r="D58" s="53"/>
      <c r="CG58" s="68" t="s">
        <v>35</v>
      </c>
      <c r="CH58" s="68">
        <f>CE57/CH57</f>
        <v>22.575221238938052</v>
      </c>
    </row>
    <row r="59" spans="2:114" s="117" customFormat="1" x14ac:dyDescent="0.15">
      <c r="C59" s="117" t="s">
        <v>210</v>
      </c>
      <c r="D59" s="118" t="str">
        <f>INDEX($C$5:$C$49,findcellcontaining("*",D5:D49))</f>
        <v>Middleton J</v>
      </c>
      <c r="E59" s="118" t="str">
        <f>INDEX($C$5:$C$49,findcellcontaining("*",E5:E49))</f>
        <v>Middleton J</v>
      </c>
      <c r="F59" s="118" t="str">
        <f>INDEX($C$5:$C$49,findcellcontaining("*",F5:F49))</f>
        <v>Middleton J</v>
      </c>
      <c r="G59" s="118" t="str">
        <f>INDEX($C$5:$C$49,findcellcontaining("*",G5:G49))</f>
        <v>Sharpe D</v>
      </c>
      <c r="H59" s="118" t="e">
        <f>INDEX($C$5:$C$49,findcellcontaining("*",H5:H49))</f>
        <v>#N/A</v>
      </c>
      <c r="I59" s="118" t="str">
        <f>INDEX($C$5:$C$49,findcellcontaining("*",I5:I49))</f>
        <v>Middleton J</v>
      </c>
      <c r="J59" s="118" t="str">
        <f>INDEX($C$5:$C$49,findcellcontaining("*",J5:J49))</f>
        <v>Middleton J</v>
      </c>
      <c r="K59" s="118" t="str">
        <f>INDEX($C$5:$C$49,findcellcontaining("*",K5:K49))</f>
        <v>Middleton J</v>
      </c>
      <c r="L59" s="118" t="str">
        <f>INDEX($C$5:$C$49,findcellcontaining("*",L5:L49))</f>
        <v>Middleton J</v>
      </c>
      <c r="M59" s="118" t="str">
        <f>INDEX($C$5:$C$49,findcellcontaining("*",M5:M49))</f>
        <v>Sharpe D</v>
      </c>
      <c r="N59" s="118" t="str">
        <f>INDEX($C$5:$C$49,findcellcontaining("*",N5:N49))</f>
        <v>Middleton J</v>
      </c>
      <c r="O59" s="118" t="str">
        <f>INDEX($C$5:$C$49,findcellcontaining("*",O5:O49))</f>
        <v>Middleton J</v>
      </c>
      <c r="P59" s="118" t="str">
        <f>INDEX($C$5:$C$49,findcellcontaining("*",P5:P49))</f>
        <v>Middleton J</v>
      </c>
      <c r="Q59" s="118" t="str">
        <f>INDEX($C$5:$C$49,findcellcontaining("*",Q5:Q49))</f>
        <v>Middleton J</v>
      </c>
      <c r="R59" s="118" t="str">
        <f>INDEX($C$5:$C$49,findcellcontaining("*",R5:R49))</f>
        <v>Sharpe D</v>
      </c>
      <c r="S59" s="118" t="str">
        <f>INDEX($C$5:$C$49,findcellcontaining("*",S5:S49))</f>
        <v>Middleton J</v>
      </c>
      <c r="T59" s="118" t="str">
        <f>INDEX($C$5:$C$49,findcellcontaining("*",T5:T49))</f>
        <v>Middleton J</v>
      </c>
      <c r="U59" s="118" t="e">
        <f>INDEX($C$5:$C$49,findcellcontaining("*",U5:U49))</f>
        <v>#N/A</v>
      </c>
      <c r="V59" s="118" t="e">
        <f>INDEX($C$5:$C$49,findcellcontaining("*",V5:V49))</f>
        <v>#N/A</v>
      </c>
      <c r="W59" s="118" t="e">
        <f>INDEX($C$5:$C$49,findcellcontaining("*",W5:W49))</f>
        <v>#N/A</v>
      </c>
      <c r="X59" s="118" t="e">
        <f>INDEX($C$5:$C$49,findcellcontaining("*",X5:X49))</f>
        <v>#N/A</v>
      </c>
      <c r="Y59" s="118" t="e">
        <f>INDEX($C$5:$C$49,findcellcontaining("*",Y5:Y49))</f>
        <v>#N/A</v>
      </c>
      <c r="Z59" s="118" t="e">
        <f>INDEX($C$5:$C$49,findcellcontaining("*",Z5:Z49))</f>
        <v>#N/A</v>
      </c>
      <c r="AA59" s="118" t="e">
        <f>INDEX($C$5:$C$49,findcellcontaining("*",AA5:AA49))</f>
        <v>#N/A</v>
      </c>
      <c r="AB59" s="118" t="e">
        <f>INDEX($C$5:$C$49,findcellcontaining("*",AB5:AB49))</f>
        <v>#N/A</v>
      </c>
      <c r="AC59" s="118" t="e">
        <f>INDEX($C$5:$C$49,findcellcontaining("*",AC5:AC49))</f>
        <v>#N/A</v>
      </c>
      <c r="AD59" s="118" t="e">
        <f>INDEX($C$5:$C$49,findcellcontaining("*",AD5:AD49))</f>
        <v>#N/A</v>
      </c>
      <c r="AE59" s="118" t="e">
        <f>INDEX($C$5:$C$49,findcellcontaining("*",AE5:AE49))</f>
        <v>#N/A</v>
      </c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  <c r="BD59" s="118"/>
      <c r="BE59" s="118"/>
      <c r="BF59" s="118"/>
      <c r="BG59" s="118"/>
      <c r="BH59" s="118"/>
      <c r="BI59" s="118"/>
      <c r="BJ59" s="118"/>
      <c r="BK59" s="118"/>
      <c r="BL59" s="118"/>
      <c r="BM59" s="118"/>
      <c r="BN59" s="118"/>
      <c r="BO59" s="118"/>
      <c r="BP59" s="118"/>
      <c r="BQ59" s="118"/>
      <c r="BR59" s="118"/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L59" s="119"/>
    </row>
    <row r="60" spans="2:114" s="117" customFormat="1" x14ac:dyDescent="0.15">
      <c r="C60" s="121"/>
      <c r="CL60" s="119"/>
      <c r="CO60" s="120"/>
    </row>
    <row r="61" spans="2:114" s="117" customFormat="1" x14ac:dyDescent="0.15">
      <c r="B61" s="117">
        <f>MAX(D61:AE61)</f>
        <v>6</v>
      </c>
      <c r="C61" s="117" t="s">
        <v>23</v>
      </c>
      <c r="D61" s="117">
        <f t="shared" ref="D61:AE61" si="154">BatSplit(D5:D49,Sixes)</f>
        <v>3</v>
      </c>
      <c r="E61" s="117">
        <f t="shared" si="154"/>
        <v>0</v>
      </c>
      <c r="F61" s="117">
        <f t="shared" si="154"/>
        <v>1</v>
      </c>
      <c r="G61" s="117">
        <f t="shared" si="154"/>
        <v>5</v>
      </c>
      <c r="H61" s="117">
        <f t="shared" si="154"/>
        <v>0</v>
      </c>
      <c r="I61" s="117">
        <f t="shared" si="154"/>
        <v>6</v>
      </c>
      <c r="J61" s="117">
        <f t="shared" si="154"/>
        <v>0</v>
      </c>
      <c r="K61" s="117">
        <f t="shared" si="154"/>
        <v>0</v>
      </c>
      <c r="L61" s="117">
        <f t="shared" si="154"/>
        <v>3</v>
      </c>
      <c r="M61" s="117">
        <f t="shared" si="154"/>
        <v>0</v>
      </c>
      <c r="N61" s="117">
        <f t="shared" si="154"/>
        <v>2</v>
      </c>
      <c r="O61" s="117">
        <f t="shared" si="154"/>
        <v>2</v>
      </c>
      <c r="P61" s="117">
        <f t="shared" si="154"/>
        <v>0</v>
      </c>
      <c r="Q61" s="117">
        <f t="shared" si="154"/>
        <v>1</v>
      </c>
      <c r="R61" s="117">
        <f t="shared" si="154"/>
        <v>0</v>
      </c>
      <c r="S61" s="117">
        <f t="shared" si="154"/>
        <v>3</v>
      </c>
      <c r="T61" s="117">
        <f t="shared" si="154"/>
        <v>2</v>
      </c>
      <c r="U61" s="117">
        <f t="shared" si="154"/>
        <v>0</v>
      </c>
      <c r="V61" s="117">
        <f t="shared" si="154"/>
        <v>0</v>
      </c>
      <c r="W61" s="117">
        <f t="shared" si="154"/>
        <v>0</v>
      </c>
      <c r="X61" s="117">
        <f t="shared" si="154"/>
        <v>0</v>
      </c>
      <c r="Y61" s="117">
        <f t="shared" si="154"/>
        <v>0</v>
      </c>
      <c r="Z61" s="117">
        <f t="shared" si="154"/>
        <v>0</v>
      </c>
      <c r="AA61" s="117">
        <f t="shared" si="154"/>
        <v>0</v>
      </c>
      <c r="AB61" s="117">
        <f t="shared" si="154"/>
        <v>0</v>
      </c>
      <c r="AC61" s="117">
        <f t="shared" si="154"/>
        <v>0</v>
      </c>
      <c r="AD61" s="117">
        <f t="shared" si="154"/>
        <v>0</v>
      </c>
      <c r="AE61" s="117">
        <f t="shared" si="154"/>
        <v>0</v>
      </c>
      <c r="CL61" s="119"/>
    </row>
    <row r="62" spans="2:114" s="117" customFormat="1" x14ac:dyDescent="0.15">
      <c r="B62" s="117">
        <f>MAX(D62:AE62)</f>
        <v>31</v>
      </c>
      <c r="C62" s="117" t="s">
        <v>22</v>
      </c>
      <c r="D62" s="117">
        <f t="shared" ref="D62:AE62" si="155">BatSplit(D5:D49,Fours)</f>
        <v>5</v>
      </c>
      <c r="E62" s="117">
        <f t="shared" si="155"/>
        <v>11</v>
      </c>
      <c r="F62" s="117">
        <f t="shared" si="155"/>
        <v>18</v>
      </c>
      <c r="G62" s="117">
        <f t="shared" si="155"/>
        <v>20</v>
      </c>
      <c r="H62" s="117">
        <f t="shared" si="155"/>
        <v>0</v>
      </c>
      <c r="I62" s="117">
        <f t="shared" si="155"/>
        <v>15</v>
      </c>
      <c r="J62" s="117">
        <f t="shared" si="155"/>
        <v>14</v>
      </c>
      <c r="K62" s="117">
        <f t="shared" si="155"/>
        <v>12</v>
      </c>
      <c r="L62" s="117">
        <f t="shared" si="155"/>
        <v>24</v>
      </c>
      <c r="M62" s="117">
        <f t="shared" si="155"/>
        <v>11</v>
      </c>
      <c r="N62" s="117">
        <f t="shared" si="155"/>
        <v>27</v>
      </c>
      <c r="O62" s="117">
        <f t="shared" si="155"/>
        <v>31</v>
      </c>
      <c r="P62" s="117">
        <f t="shared" si="155"/>
        <v>2</v>
      </c>
      <c r="Q62" s="117">
        <f t="shared" si="155"/>
        <v>23</v>
      </c>
      <c r="R62" s="117">
        <f t="shared" si="155"/>
        <v>12</v>
      </c>
      <c r="S62" s="117">
        <f t="shared" si="155"/>
        <v>21</v>
      </c>
      <c r="T62" s="117">
        <f t="shared" si="155"/>
        <v>31</v>
      </c>
      <c r="U62" s="117">
        <f t="shared" si="155"/>
        <v>0</v>
      </c>
      <c r="V62" s="117">
        <f t="shared" si="155"/>
        <v>0</v>
      </c>
      <c r="W62" s="117">
        <f t="shared" si="155"/>
        <v>0</v>
      </c>
      <c r="X62" s="117">
        <f t="shared" si="155"/>
        <v>0</v>
      </c>
      <c r="Y62" s="117">
        <f t="shared" si="155"/>
        <v>0</v>
      </c>
      <c r="Z62" s="117">
        <f t="shared" si="155"/>
        <v>0</v>
      </c>
      <c r="AA62" s="117">
        <f t="shared" si="155"/>
        <v>0</v>
      </c>
      <c r="AB62" s="117">
        <f t="shared" si="155"/>
        <v>0</v>
      </c>
      <c r="AC62" s="117">
        <f t="shared" si="155"/>
        <v>0</v>
      </c>
      <c r="AD62" s="117">
        <f t="shared" si="155"/>
        <v>0</v>
      </c>
      <c r="AE62" s="117">
        <f t="shared" si="155"/>
        <v>0</v>
      </c>
      <c r="CL62" s="119"/>
    </row>
    <row r="63" spans="2:114" s="117" customFormat="1" x14ac:dyDescent="0.15">
      <c r="C63" s="137" t="s">
        <v>21</v>
      </c>
      <c r="D63" s="117">
        <f t="shared" ref="D63:Z63" si="156">BatSplit(D5:D49,Catches)</f>
        <v>3</v>
      </c>
      <c r="E63" s="117">
        <f t="shared" si="156"/>
        <v>7</v>
      </c>
      <c r="F63" s="117">
        <f t="shared" si="156"/>
        <v>3</v>
      </c>
      <c r="G63" s="117">
        <f t="shared" si="156"/>
        <v>1</v>
      </c>
      <c r="H63" s="117">
        <f t="shared" si="156"/>
        <v>0</v>
      </c>
      <c r="I63" s="117">
        <f t="shared" si="156"/>
        <v>1</v>
      </c>
      <c r="J63" s="117">
        <f t="shared" si="156"/>
        <v>2</v>
      </c>
      <c r="K63" s="117">
        <f t="shared" si="156"/>
        <v>3</v>
      </c>
      <c r="L63" s="117">
        <f t="shared" si="156"/>
        <v>2</v>
      </c>
      <c r="M63" s="117">
        <f t="shared" si="156"/>
        <v>0</v>
      </c>
      <c r="N63" s="117">
        <f t="shared" si="156"/>
        <v>3</v>
      </c>
      <c r="O63" s="117">
        <f t="shared" si="156"/>
        <v>3</v>
      </c>
      <c r="P63" s="117">
        <f t="shared" si="156"/>
        <v>0</v>
      </c>
      <c r="Q63" s="117">
        <f t="shared" si="156"/>
        <v>2</v>
      </c>
      <c r="R63" s="117">
        <f t="shared" si="156"/>
        <v>0</v>
      </c>
      <c r="S63" s="117">
        <f t="shared" si="156"/>
        <v>5</v>
      </c>
      <c r="T63" s="117">
        <f t="shared" si="156"/>
        <v>0</v>
      </c>
      <c r="U63" s="117">
        <f t="shared" si="156"/>
        <v>0</v>
      </c>
      <c r="V63" s="117">
        <f t="shared" si="156"/>
        <v>0</v>
      </c>
      <c r="W63" s="117">
        <f t="shared" si="156"/>
        <v>0</v>
      </c>
      <c r="X63" s="117">
        <f t="shared" si="156"/>
        <v>0</v>
      </c>
      <c r="Y63" s="117">
        <f t="shared" si="156"/>
        <v>0</v>
      </c>
      <c r="Z63" s="117">
        <f t="shared" si="156"/>
        <v>0</v>
      </c>
      <c r="CL63" s="119"/>
    </row>
    <row r="64" spans="2:114" s="117" customFormat="1" x14ac:dyDescent="0.15">
      <c r="C64" s="137" t="s">
        <v>232</v>
      </c>
      <c r="D64" s="117">
        <f t="shared" ref="D64:Z64" si="157">BatSplit(D5:D49,HighestScore)</f>
        <v>50</v>
      </c>
      <c r="E64" s="117">
        <f t="shared" si="157"/>
        <v>-51</v>
      </c>
      <c r="F64" s="117">
        <f t="shared" si="157"/>
        <v>-55</v>
      </c>
      <c r="G64" s="117">
        <f t="shared" si="157"/>
        <v>116</v>
      </c>
      <c r="H64" s="117">
        <f t="shared" si="157"/>
        <v>0</v>
      </c>
      <c r="I64" s="117">
        <f t="shared" si="157"/>
        <v>54</v>
      </c>
      <c r="J64" s="117">
        <f t="shared" si="157"/>
        <v>52</v>
      </c>
      <c r="K64" s="117">
        <f t="shared" si="157"/>
        <v>27</v>
      </c>
      <c r="L64" s="117">
        <f t="shared" si="157"/>
        <v>64</v>
      </c>
      <c r="M64" s="117">
        <f t="shared" si="157"/>
        <v>-36</v>
      </c>
      <c r="N64" s="117">
        <f t="shared" si="157"/>
        <v>60</v>
      </c>
      <c r="O64" s="117">
        <f t="shared" si="157"/>
        <v>61</v>
      </c>
      <c r="P64" s="117">
        <f t="shared" si="157"/>
        <v>-14</v>
      </c>
      <c r="Q64" s="117">
        <f t="shared" si="157"/>
        <v>64</v>
      </c>
      <c r="R64" s="117">
        <f t="shared" si="157"/>
        <v>-57</v>
      </c>
      <c r="S64" s="117">
        <f t="shared" si="157"/>
        <v>37</v>
      </c>
      <c r="T64" s="117">
        <f t="shared" si="157"/>
        <v>80</v>
      </c>
      <c r="U64" s="117">
        <f t="shared" si="157"/>
        <v>0</v>
      </c>
      <c r="V64" s="117">
        <f t="shared" si="157"/>
        <v>0</v>
      </c>
      <c r="W64" s="117">
        <f t="shared" si="157"/>
        <v>0</v>
      </c>
      <c r="X64" s="117">
        <f t="shared" si="157"/>
        <v>0</v>
      </c>
      <c r="Y64" s="117">
        <f t="shared" si="157"/>
        <v>0</v>
      </c>
      <c r="Z64" s="117">
        <f t="shared" si="157"/>
        <v>0</v>
      </c>
      <c r="CL64" s="119"/>
    </row>
    <row r="65" spans="3:90" s="117" customFormat="1" x14ac:dyDescent="0.15">
      <c r="C65" s="137"/>
      <c r="CL65" s="119"/>
    </row>
    <row r="66" spans="3:90" s="117" customFormat="1" x14ac:dyDescent="0.15">
      <c r="D66" s="117" t="str">
        <f t="shared" ref="D66:Z66" si="158">IF(BatSplit(D5,RunsScored)&gt;=50,BatSplit(D5,RunsScored)&amp;IF(BatSplit(D5,NotOuts)=1,"*","")&amp;"|"&amp;$C5&amp;"|"&amp;D$2&amp;"|"&amp;TEXT(D$1,"dd-mmm"),"x")</f>
        <v>x</v>
      </c>
      <c r="E66" s="117" t="str">
        <f t="shared" si="158"/>
        <v>x</v>
      </c>
      <c r="F66" s="117" t="str">
        <f t="shared" si="158"/>
        <v>x</v>
      </c>
      <c r="G66" s="117" t="str">
        <f t="shared" si="158"/>
        <v>x</v>
      </c>
      <c r="H66" s="117" t="str">
        <f t="shared" si="158"/>
        <v>x</v>
      </c>
      <c r="I66" s="117" t="str">
        <f t="shared" si="158"/>
        <v>x</v>
      </c>
      <c r="J66" s="117" t="str">
        <f t="shared" si="158"/>
        <v>x</v>
      </c>
      <c r="K66" s="117" t="str">
        <f t="shared" si="158"/>
        <v>x</v>
      </c>
      <c r="L66" s="117" t="str">
        <f t="shared" si="158"/>
        <v>x</v>
      </c>
      <c r="M66" s="117" t="str">
        <f t="shared" si="158"/>
        <v>x</v>
      </c>
      <c r="N66" s="117" t="str">
        <f t="shared" si="158"/>
        <v>x</v>
      </c>
      <c r="O66" s="117" t="str">
        <f t="shared" si="158"/>
        <v>x</v>
      </c>
      <c r="P66" s="117" t="str">
        <f t="shared" si="158"/>
        <v>x</v>
      </c>
      <c r="Q66" s="117" t="str">
        <f t="shared" si="158"/>
        <v>x</v>
      </c>
      <c r="R66" s="117" t="str">
        <f t="shared" si="158"/>
        <v>x</v>
      </c>
      <c r="S66" s="117" t="str">
        <f t="shared" si="158"/>
        <v>x</v>
      </c>
      <c r="T66" s="117" t="str">
        <f t="shared" si="158"/>
        <v>x</v>
      </c>
      <c r="U66" s="117" t="str">
        <f t="shared" si="158"/>
        <v>x</v>
      </c>
      <c r="V66" s="117" t="str">
        <f t="shared" si="158"/>
        <v>x</v>
      </c>
      <c r="W66" s="117" t="str">
        <f t="shared" si="158"/>
        <v>x</v>
      </c>
      <c r="X66" s="117" t="str">
        <f t="shared" si="158"/>
        <v>x</v>
      </c>
      <c r="Y66" s="117" t="str">
        <f t="shared" si="158"/>
        <v>x</v>
      </c>
      <c r="Z66" s="117" t="str">
        <f t="shared" si="158"/>
        <v>x</v>
      </c>
      <c r="CL66" s="119"/>
    </row>
    <row r="67" spans="3:90" s="117" customFormat="1" x14ac:dyDescent="0.15">
      <c r="D67" s="117" t="e">
        <f>IF(BatSplit(#REF!,RunsScored)&gt;=50,BatSplit(#REF!,RunsScored)&amp;IF(BatSplit(#REF!,NotOuts)=1,"*","")&amp;"|"&amp;#REF!&amp;"|"&amp;D$2&amp;"|"&amp;TEXT(D$1,"dd-mmm"),"x")</f>
        <v>#VALUE!</v>
      </c>
      <c r="E67" s="117" t="e">
        <f>IF(BatSplit(#REF!,RunsScored)&gt;=50,BatSplit(#REF!,RunsScored)&amp;IF(BatSplit(#REF!,NotOuts)=1,"*","")&amp;"|"&amp;#REF!&amp;"|"&amp;E$2&amp;"|"&amp;TEXT(E$1,"dd-mmm"),"x")</f>
        <v>#VALUE!</v>
      </c>
      <c r="F67" s="117" t="e">
        <f>IF(BatSplit(#REF!,RunsScored)&gt;=50,BatSplit(#REF!,RunsScored)&amp;IF(BatSplit(#REF!,NotOuts)=1,"*","")&amp;"|"&amp;#REF!&amp;"|"&amp;F$2&amp;"|"&amp;TEXT(F$1,"dd-mmm"),"x")</f>
        <v>#VALUE!</v>
      </c>
      <c r="G67" s="117" t="e">
        <f>IF(BatSplit(#REF!,RunsScored)&gt;=50,BatSplit(#REF!,RunsScored)&amp;IF(BatSplit(#REF!,NotOuts)=1,"*","")&amp;"|"&amp;#REF!&amp;"|"&amp;G$2&amp;"|"&amp;TEXT(G$1,"dd-mmm"),"x")</f>
        <v>#VALUE!</v>
      </c>
      <c r="H67" s="117" t="e">
        <f>IF(BatSplit(#REF!,RunsScored)&gt;=50,BatSplit(#REF!,RunsScored)&amp;IF(BatSplit(#REF!,NotOuts)=1,"*","")&amp;"|"&amp;#REF!&amp;"|"&amp;H$2&amp;"|"&amp;TEXT(H$1,"dd-mmm"),"x")</f>
        <v>#VALUE!</v>
      </c>
      <c r="I67" s="117" t="e">
        <f>IF(BatSplit(#REF!,RunsScored)&gt;=50,BatSplit(#REF!,RunsScored)&amp;IF(BatSplit(#REF!,NotOuts)=1,"*","")&amp;"|"&amp;#REF!&amp;"|"&amp;I$2&amp;"|"&amp;TEXT(I$1,"dd-mmm"),"x")</f>
        <v>#VALUE!</v>
      </c>
      <c r="J67" s="117" t="e">
        <f>IF(BatSplit(#REF!,RunsScored)&gt;=50,BatSplit(#REF!,RunsScored)&amp;IF(BatSplit(#REF!,NotOuts)=1,"*","")&amp;"|"&amp;#REF!&amp;"|"&amp;J$2&amp;"|"&amp;TEXT(J$1,"dd-mmm"),"x")</f>
        <v>#VALUE!</v>
      </c>
      <c r="K67" s="117" t="e">
        <f>IF(BatSplit(#REF!,RunsScored)&gt;=50,BatSplit(#REF!,RunsScored)&amp;IF(BatSplit(#REF!,NotOuts)=1,"*","")&amp;"|"&amp;#REF!&amp;"|"&amp;K$2&amp;"|"&amp;TEXT(K$1,"dd-mmm"),"x")</f>
        <v>#VALUE!</v>
      </c>
      <c r="L67" s="117" t="e">
        <f>IF(BatSplit(#REF!,RunsScored)&gt;=50,BatSplit(#REF!,RunsScored)&amp;IF(BatSplit(#REF!,NotOuts)=1,"*","")&amp;"|"&amp;#REF!&amp;"|"&amp;L$2&amp;"|"&amp;TEXT(L$1,"dd-mmm"),"x")</f>
        <v>#VALUE!</v>
      </c>
      <c r="M67" s="117" t="e">
        <f>IF(BatSplit(#REF!,RunsScored)&gt;=50,BatSplit(#REF!,RunsScored)&amp;IF(BatSplit(#REF!,NotOuts)=1,"*","")&amp;"|"&amp;#REF!&amp;"|"&amp;M$2&amp;"|"&amp;TEXT(M$1,"dd-mmm"),"x")</f>
        <v>#VALUE!</v>
      </c>
      <c r="N67" s="117" t="e">
        <f>IF(BatSplit(#REF!,RunsScored)&gt;=50,BatSplit(#REF!,RunsScored)&amp;IF(BatSplit(#REF!,NotOuts)=1,"*","")&amp;"|"&amp;#REF!&amp;"|"&amp;N$2&amp;"|"&amp;TEXT(N$1,"dd-mmm"),"x")</f>
        <v>#VALUE!</v>
      </c>
      <c r="O67" s="117" t="e">
        <f>IF(BatSplit(#REF!,RunsScored)&gt;=50,BatSplit(#REF!,RunsScored)&amp;IF(BatSplit(#REF!,NotOuts)=1,"*","")&amp;"|"&amp;#REF!&amp;"|"&amp;O$2&amp;"|"&amp;TEXT(O$1,"dd-mmm"),"x")</f>
        <v>#VALUE!</v>
      </c>
      <c r="P67" s="117" t="e">
        <f>IF(BatSplit(#REF!,RunsScored)&gt;=50,BatSplit(#REF!,RunsScored)&amp;IF(BatSplit(#REF!,NotOuts)=1,"*","")&amp;"|"&amp;#REF!&amp;"|"&amp;P$2&amp;"|"&amp;TEXT(P$1,"dd-mmm"),"x")</f>
        <v>#VALUE!</v>
      </c>
      <c r="Q67" s="117" t="e">
        <f>IF(BatSplit(#REF!,RunsScored)&gt;=50,BatSplit(#REF!,RunsScored)&amp;IF(BatSplit(#REF!,NotOuts)=1,"*","")&amp;"|"&amp;#REF!&amp;"|"&amp;Q$2&amp;"|"&amp;TEXT(Q$1,"dd-mmm"),"x")</f>
        <v>#VALUE!</v>
      </c>
      <c r="R67" s="117" t="e">
        <f>IF(BatSplit(#REF!,RunsScored)&gt;=50,BatSplit(#REF!,RunsScored)&amp;IF(BatSplit(#REF!,NotOuts)=1,"*","")&amp;"|"&amp;#REF!&amp;"|"&amp;R$2&amp;"|"&amp;TEXT(R$1,"dd-mmm"),"x")</f>
        <v>#VALUE!</v>
      </c>
      <c r="S67" s="117" t="e">
        <f>IF(BatSplit(#REF!,RunsScored)&gt;=50,BatSplit(#REF!,RunsScored)&amp;IF(BatSplit(#REF!,NotOuts)=1,"*","")&amp;"|"&amp;#REF!&amp;"|"&amp;S$2&amp;"|"&amp;TEXT(S$1,"dd-mmm"),"x")</f>
        <v>#VALUE!</v>
      </c>
      <c r="T67" s="117" t="e">
        <f>IF(BatSplit(#REF!,RunsScored)&gt;=50,BatSplit(#REF!,RunsScored)&amp;IF(BatSplit(#REF!,NotOuts)=1,"*","")&amp;"|"&amp;#REF!&amp;"|"&amp;T$2&amp;"|"&amp;TEXT(T$1,"dd-mmm"),"x")</f>
        <v>#VALUE!</v>
      </c>
      <c r="U67" s="117" t="e">
        <f>IF(BatSplit(#REF!,RunsScored)&gt;=50,BatSplit(#REF!,RunsScored)&amp;IF(BatSplit(#REF!,NotOuts)=1,"*","")&amp;"|"&amp;#REF!&amp;"|"&amp;U$2&amp;"|"&amp;TEXT(U$1,"dd-mmm"),"x")</f>
        <v>#VALUE!</v>
      </c>
      <c r="V67" s="117" t="e">
        <f>IF(BatSplit(#REF!,RunsScored)&gt;=50,BatSplit(#REF!,RunsScored)&amp;IF(BatSplit(#REF!,NotOuts)=1,"*","")&amp;"|"&amp;#REF!&amp;"|"&amp;V$2&amp;"|"&amp;TEXT(V$1,"dd-mmm"),"x")</f>
        <v>#VALUE!</v>
      </c>
      <c r="W67" s="117" t="e">
        <f>IF(BatSplit(#REF!,RunsScored)&gt;=50,BatSplit(#REF!,RunsScored)&amp;IF(BatSplit(#REF!,NotOuts)=1,"*","")&amp;"|"&amp;#REF!&amp;"|"&amp;W$2&amp;"|"&amp;TEXT(W$1,"dd-mmm"),"x")</f>
        <v>#VALUE!</v>
      </c>
      <c r="X67" s="117" t="e">
        <f>IF(BatSplit(#REF!,RunsScored)&gt;=50,BatSplit(#REF!,RunsScored)&amp;IF(BatSplit(#REF!,NotOuts)=1,"*","")&amp;"|"&amp;#REF!&amp;"|"&amp;X$2&amp;"|"&amp;TEXT(X$1,"dd-mmm"),"x")</f>
        <v>#VALUE!</v>
      </c>
      <c r="Y67" s="117" t="e">
        <f>IF(BatSplit(#REF!,RunsScored)&gt;=50,BatSplit(#REF!,RunsScored)&amp;IF(BatSplit(#REF!,NotOuts)=1,"*","")&amp;"|"&amp;#REF!&amp;"|"&amp;Y$2&amp;"|"&amp;TEXT(Y$1,"dd-mmm"),"x")</f>
        <v>#VALUE!</v>
      </c>
      <c r="Z67" s="117" t="e">
        <f>IF(BatSplit(#REF!,RunsScored)&gt;=50,BatSplit(#REF!,RunsScored)&amp;IF(BatSplit(#REF!,NotOuts)=1,"*","")&amp;"|"&amp;#REF!&amp;"|"&amp;Z$2&amp;"|"&amp;TEXT(Z$1,"dd-mmm"),"x")</f>
        <v>#VALUE!</v>
      </c>
      <c r="CL67" s="119"/>
    </row>
    <row r="68" spans="3:90" s="117" customFormat="1" x14ac:dyDescent="0.15">
      <c r="D68" s="117" t="str">
        <f t="shared" ref="D68:Z68" si="159">IF(BatSplit(D6,RunsScored)&gt;=50,BatSplit(D6,RunsScored)&amp;IF(BatSplit(D6,NotOuts)=1,"*","")&amp;"|"&amp;$C6&amp;"|"&amp;D$2&amp;"|"&amp;TEXT(D$1,"dd-mmm"),"x")</f>
        <v>x</v>
      </c>
      <c r="E68" s="117" t="str">
        <f t="shared" si="159"/>
        <v>x</v>
      </c>
      <c r="F68" s="117" t="str">
        <f t="shared" si="159"/>
        <v>x</v>
      </c>
      <c r="G68" s="117" t="str">
        <f t="shared" si="159"/>
        <v>x</v>
      </c>
      <c r="H68" s="117" t="str">
        <f t="shared" si="159"/>
        <v>x</v>
      </c>
      <c r="I68" s="117" t="str">
        <f t="shared" si="159"/>
        <v>x</v>
      </c>
      <c r="J68" s="117" t="str">
        <f t="shared" si="159"/>
        <v>x</v>
      </c>
      <c r="K68" s="117" t="str">
        <f t="shared" si="159"/>
        <v>x</v>
      </c>
      <c r="L68" s="117" t="str">
        <f t="shared" si="159"/>
        <v>x</v>
      </c>
      <c r="M68" s="117" t="str">
        <f t="shared" si="159"/>
        <v>x</v>
      </c>
      <c r="N68" s="117" t="str">
        <f t="shared" si="159"/>
        <v>x</v>
      </c>
      <c r="O68" s="117" t="str">
        <f t="shared" si="159"/>
        <v>x</v>
      </c>
      <c r="P68" s="117" t="str">
        <f t="shared" si="159"/>
        <v>x</v>
      </c>
      <c r="Q68" s="117" t="str">
        <f t="shared" si="159"/>
        <v>x</v>
      </c>
      <c r="R68" s="117" t="str">
        <f t="shared" si="159"/>
        <v>x</v>
      </c>
      <c r="S68" s="117" t="str">
        <f t="shared" si="159"/>
        <v>x</v>
      </c>
      <c r="T68" s="117" t="str">
        <f t="shared" si="159"/>
        <v>x</v>
      </c>
      <c r="U68" s="117" t="str">
        <f t="shared" si="159"/>
        <v>x</v>
      </c>
      <c r="V68" s="117" t="str">
        <f t="shared" si="159"/>
        <v>x</v>
      </c>
      <c r="W68" s="117" t="str">
        <f t="shared" si="159"/>
        <v>x</v>
      </c>
      <c r="X68" s="117" t="str">
        <f t="shared" si="159"/>
        <v>x</v>
      </c>
      <c r="Y68" s="117" t="str">
        <f t="shared" si="159"/>
        <v>x</v>
      </c>
      <c r="Z68" s="117" t="str">
        <f t="shared" si="159"/>
        <v>x</v>
      </c>
      <c r="CL68" s="119"/>
    </row>
    <row r="69" spans="3:90" s="117" customFormat="1" x14ac:dyDescent="0.15">
      <c r="D69" s="117" t="str">
        <f t="shared" ref="D69:Z69" si="160">IF(BatSplit(D7,RunsScored)&gt;=50,BatSplit(D7,RunsScored)&amp;IF(BatSplit(D7,NotOuts)=1,"*","")&amp;"|"&amp;$C7&amp;"|"&amp;D$2&amp;"|"&amp;TEXT(D$1,"dd-mmm"),"x")</f>
        <v>x</v>
      </c>
      <c r="E69" s="117" t="str">
        <f t="shared" si="160"/>
        <v>x</v>
      </c>
      <c r="F69" s="117" t="str">
        <f t="shared" si="160"/>
        <v>x</v>
      </c>
      <c r="G69" s="117" t="str">
        <f t="shared" si="160"/>
        <v>x</v>
      </c>
      <c r="H69" s="117" t="str">
        <f t="shared" si="160"/>
        <v>x</v>
      </c>
      <c r="I69" s="117" t="str">
        <f t="shared" si="160"/>
        <v>x</v>
      </c>
      <c r="J69" s="117" t="str">
        <f t="shared" si="160"/>
        <v>x</v>
      </c>
      <c r="K69" s="117" t="str">
        <f t="shared" si="160"/>
        <v>x</v>
      </c>
      <c r="L69" s="117" t="str">
        <f t="shared" si="160"/>
        <v>x</v>
      </c>
      <c r="M69" s="117" t="str">
        <f t="shared" si="160"/>
        <v>x</v>
      </c>
      <c r="N69" s="117" t="str">
        <f t="shared" si="160"/>
        <v>x</v>
      </c>
      <c r="O69" s="117" t="str">
        <f t="shared" si="160"/>
        <v>x</v>
      </c>
      <c r="P69" s="117" t="str">
        <f t="shared" si="160"/>
        <v>x</v>
      </c>
      <c r="Q69" s="117" t="str">
        <f t="shared" si="160"/>
        <v>x</v>
      </c>
      <c r="R69" s="117" t="str">
        <f t="shared" si="160"/>
        <v>x</v>
      </c>
      <c r="S69" s="117" t="str">
        <f t="shared" si="160"/>
        <v>x</v>
      </c>
      <c r="T69" s="117" t="str">
        <f t="shared" si="160"/>
        <v>x</v>
      </c>
      <c r="U69" s="117" t="str">
        <f t="shared" si="160"/>
        <v>x</v>
      </c>
      <c r="V69" s="117" t="str">
        <f t="shared" si="160"/>
        <v>x</v>
      </c>
      <c r="W69" s="117" t="str">
        <f t="shared" si="160"/>
        <v>x</v>
      </c>
      <c r="X69" s="117" t="str">
        <f t="shared" si="160"/>
        <v>x</v>
      </c>
      <c r="Y69" s="117" t="str">
        <f t="shared" si="160"/>
        <v>x</v>
      </c>
      <c r="Z69" s="117" t="str">
        <f t="shared" si="160"/>
        <v>x</v>
      </c>
      <c r="CL69" s="119"/>
    </row>
    <row r="70" spans="3:90" s="117" customFormat="1" x14ac:dyDescent="0.15">
      <c r="D70" s="117" t="str">
        <f t="shared" ref="D70:Z70" si="161">IF(BatSplit(D8,RunsScored)&gt;=50,BatSplit(D8,RunsScored)&amp;IF(BatSplit(D8,NotOuts)=1,"*","")&amp;"|"&amp;$C8&amp;"|"&amp;D$2&amp;"|"&amp;TEXT(D$1,"dd-mmm"),"x")</f>
        <v>x</v>
      </c>
      <c r="E70" s="117" t="str">
        <f t="shared" si="161"/>
        <v>x</v>
      </c>
      <c r="F70" s="117" t="str">
        <f t="shared" si="161"/>
        <v>x</v>
      </c>
      <c r="G70" s="117" t="str">
        <f t="shared" si="161"/>
        <v>x</v>
      </c>
      <c r="H70" s="117" t="str">
        <f t="shared" si="161"/>
        <v>x</v>
      </c>
      <c r="I70" s="117" t="str">
        <f t="shared" si="161"/>
        <v>x</v>
      </c>
      <c r="J70" s="117" t="str">
        <f t="shared" si="161"/>
        <v>x</v>
      </c>
      <c r="K70" s="117" t="str">
        <f t="shared" si="161"/>
        <v>x</v>
      </c>
      <c r="L70" s="117" t="str">
        <f t="shared" si="161"/>
        <v>x</v>
      </c>
      <c r="M70" s="117" t="str">
        <f t="shared" si="161"/>
        <v>x</v>
      </c>
      <c r="N70" s="117" t="str">
        <f t="shared" si="161"/>
        <v>x</v>
      </c>
      <c r="O70" s="117" t="str">
        <f t="shared" si="161"/>
        <v>x</v>
      </c>
      <c r="P70" s="117" t="str">
        <f t="shared" si="161"/>
        <v>x</v>
      </c>
      <c r="Q70" s="117" t="str">
        <f t="shared" si="161"/>
        <v>x</v>
      </c>
      <c r="R70" s="117" t="str">
        <f t="shared" si="161"/>
        <v>x</v>
      </c>
      <c r="S70" s="117" t="str">
        <f t="shared" si="161"/>
        <v>x</v>
      </c>
      <c r="T70" s="117" t="str">
        <f t="shared" si="161"/>
        <v>x</v>
      </c>
      <c r="U70" s="117" t="str">
        <f t="shared" si="161"/>
        <v>x</v>
      </c>
      <c r="V70" s="117" t="str">
        <f t="shared" si="161"/>
        <v>x</v>
      </c>
      <c r="W70" s="117" t="str">
        <f t="shared" si="161"/>
        <v>x</v>
      </c>
      <c r="X70" s="117" t="str">
        <f t="shared" si="161"/>
        <v>x</v>
      </c>
      <c r="Y70" s="117" t="str">
        <f t="shared" si="161"/>
        <v>x</v>
      </c>
      <c r="Z70" s="117" t="str">
        <f t="shared" si="161"/>
        <v>x</v>
      </c>
      <c r="CL70" s="119"/>
    </row>
    <row r="71" spans="3:90" customFormat="1" x14ac:dyDescent="0.15">
      <c r="D71" s="117" t="str">
        <f t="shared" ref="D71:Z71" si="162">IF(BatSplit(D9,RunsScored)&gt;=50,BatSplit(D9,RunsScored)&amp;IF(BatSplit(D9,NotOuts)=1,"*","")&amp;"|"&amp;$C9&amp;"|"&amp;D$2&amp;"|"&amp;TEXT(D$1,"dd-mmm"),"x")</f>
        <v>x</v>
      </c>
      <c r="E71" s="117" t="str">
        <f t="shared" si="162"/>
        <v>x</v>
      </c>
      <c r="F71" s="117" t="str">
        <f t="shared" si="162"/>
        <v>x</v>
      </c>
      <c r="G71" s="117" t="str">
        <f t="shared" si="162"/>
        <v>x</v>
      </c>
      <c r="H71" s="117" t="str">
        <f t="shared" si="162"/>
        <v>x</v>
      </c>
      <c r="I71" s="117" t="str">
        <f t="shared" si="162"/>
        <v>x</v>
      </c>
      <c r="J71" s="117" t="str">
        <f t="shared" si="162"/>
        <v>x</v>
      </c>
      <c r="K71" s="117" t="str">
        <f t="shared" si="162"/>
        <v>x</v>
      </c>
      <c r="L71" s="117" t="str">
        <f t="shared" si="162"/>
        <v>x</v>
      </c>
      <c r="M71" s="117" t="str">
        <f t="shared" si="162"/>
        <v>x</v>
      </c>
      <c r="N71" s="117" t="str">
        <f t="shared" si="162"/>
        <v>x</v>
      </c>
      <c r="O71" s="117" t="str">
        <f t="shared" si="162"/>
        <v>x</v>
      </c>
      <c r="P71" s="117" t="str">
        <f t="shared" si="162"/>
        <v>x</v>
      </c>
      <c r="Q71" s="117" t="str">
        <f t="shared" si="162"/>
        <v>x</v>
      </c>
      <c r="R71" s="117" t="str">
        <f t="shared" si="162"/>
        <v>x</v>
      </c>
      <c r="S71" s="117" t="str">
        <f t="shared" si="162"/>
        <v>x</v>
      </c>
      <c r="T71" s="117" t="str">
        <f t="shared" si="162"/>
        <v>x</v>
      </c>
      <c r="U71" s="117" t="str">
        <f t="shared" si="162"/>
        <v>x</v>
      </c>
      <c r="V71" s="117" t="str">
        <f t="shared" si="162"/>
        <v>x</v>
      </c>
      <c r="W71" s="117" t="str">
        <f t="shared" si="162"/>
        <v>x</v>
      </c>
      <c r="X71" s="117" t="str">
        <f t="shared" si="162"/>
        <v>x</v>
      </c>
      <c r="Y71" s="117" t="str">
        <f t="shared" si="162"/>
        <v>x</v>
      </c>
      <c r="Z71" s="117" t="str">
        <f t="shared" si="162"/>
        <v>x</v>
      </c>
    </row>
    <row r="72" spans="3:90" customFormat="1" x14ac:dyDescent="0.15">
      <c r="D72" s="117" t="str">
        <f t="shared" ref="D72:Z72" si="163">IF(BatSplit(D10,RunsScored)&gt;=50,BatSplit(D10,RunsScored)&amp;IF(BatSplit(D10,NotOuts)=1,"*","")&amp;"|"&amp;$C10&amp;"|"&amp;D$2&amp;"|"&amp;TEXT(D$1,"dd-mmm"),"x")</f>
        <v>x</v>
      </c>
      <c r="E72" s="117" t="str">
        <f t="shared" si="163"/>
        <v>x</v>
      </c>
      <c r="F72" s="117" t="str">
        <f t="shared" si="163"/>
        <v>x</v>
      </c>
      <c r="G72" s="117" t="str">
        <f t="shared" si="163"/>
        <v>x</v>
      </c>
      <c r="H72" s="117" t="str">
        <f t="shared" si="163"/>
        <v>x</v>
      </c>
      <c r="I72" s="117" t="str">
        <f t="shared" si="163"/>
        <v>x</v>
      </c>
      <c r="J72" s="117" t="str">
        <f t="shared" si="163"/>
        <v>x</v>
      </c>
      <c r="K72" s="117" t="str">
        <f t="shared" si="163"/>
        <v>x</v>
      </c>
      <c r="L72" s="117" t="str">
        <f t="shared" si="163"/>
        <v>x</v>
      </c>
      <c r="M72" s="117" t="str">
        <f t="shared" si="163"/>
        <v>x</v>
      </c>
      <c r="N72" s="117" t="str">
        <f t="shared" si="163"/>
        <v>x</v>
      </c>
      <c r="O72" s="117" t="str">
        <f t="shared" si="163"/>
        <v>x</v>
      </c>
      <c r="P72" s="117" t="str">
        <f t="shared" si="163"/>
        <v>x</v>
      </c>
      <c r="Q72" s="117" t="str">
        <f t="shared" si="163"/>
        <v>x</v>
      </c>
      <c r="R72" s="117" t="str">
        <f t="shared" si="163"/>
        <v>x</v>
      </c>
      <c r="S72" s="117" t="str">
        <f t="shared" si="163"/>
        <v>x</v>
      </c>
      <c r="T72" s="117" t="str">
        <f t="shared" si="163"/>
        <v>x</v>
      </c>
      <c r="U72" s="117" t="str">
        <f t="shared" si="163"/>
        <v>x</v>
      </c>
      <c r="V72" s="117" t="str">
        <f t="shared" si="163"/>
        <v>x</v>
      </c>
      <c r="W72" s="117" t="str">
        <f t="shared" si="163"/>
        <v>x</v>
      </c>
      <c r="X72" s="117" t="str">
        <f t="shared" si="163"/>
        <v>x</v>
      </c>
      <c r="Y72" s="117" t="str">
        <f t="shared" si="163"/>
        <v>x</v>
      </c>
      <c r="Z72" s="117" t="str">
        <f t="shared" si="163"/>
        <v>x</v>
      </c>
    </row>
    <row r="73" spans="3:90" customFormat="1" x14ac:dyDescent="0.15">
      <c r="D73" s="117" t="str">
        <f t="shared" ref="D73:Z73" si="164">IF(BatSplit(D11,RunsScored)&gt;=50,BatSplit(D11,RunsScored)&amp;IF(BatSplit(D11,NotOuts)=1,"*","")&amp;"|"&amp;$C11&amp;"|"&amp;D$2&amp;"|"&amp;TEXT(D$1,"dd-mmm"),"x")</f>
        <v>x</v>
      </c>
      <c r="E73" s="117" t="str">
        <f t="shared" si="164"/>
        <v>x</v>
      </c>
      <c r="F73" s="117" t="str">
        <f t="shared" si="164"/>
        <v>x</v>
      </c>
      <c r="G73" s="117" t="str">
        <f t="shared" si="164"/>
        <v>x</v>
      </c>
      <c r="H73" s="117" t="str">
        <f t="shared" si="164"/>
        <v>x</v>
      </c>
      <c r="I73" s="117" t="str">
        <f t="shared" si="164"/>
        <v>x</v>
      </c>
      <c r="J73" s="117" t="str">
        <f t="shared" si="164"/>
        <v>x</v>
      </c>
      <c r="K73" s="117" t="str">
        <f t="shared" si="164"/>
        <v>x</v>
      </c>
      <c r="L73" s="117" t="str">
        <f t="shared" si="164"/>
        <v>x</v>
      </c>
      <c r="M73" s="117" t="str">
        <f t="shared" si="164"/>
        <v>x</v>
      </c>
      <c r="N73" s="117" t="str">
        <f t="shared" si="164"/>
        <v>x</v>
      </c>
      <c r="O73" s="117" t="str">
        <f t="shared" si="164"/>
        <v>x</v>
      </c>
      <c r="P73" s="117" t="str">
        <f t="shared" si="164"/>
        <v>x</v>
      </c>
      <c r="Q73" s="117" t="str">
        <f t="shared" si="164"/>
        <v>x</v>
      </c>
      <c r="R73" s="117" t="str">
        <f t="shared" si="164"/>
        <v>x</v>
      </c>
      <c r="S73" s="117" t="str">
        <f t="shared" si="164"/>
        <v>x</v>
      </c>
      <c r="T73" s="117" t="str">
        <f t="shared" si="164"/>
        <v>x</v>
      </c>
      <c r="U73" s="117" t="str">
        <f t="shared" si="164"/>
        <v>x</v>
      </c>
      <c r="V73" s="117" t="str">
        <f t="shared" si="164"/>
        <v>x</v>
      </c>
      <c r="W73" s="117" t="str">
        <f t="shared" si="164"/>
        <v>x</v>
      </c>
      <c r="X73" s="117" t="str">
        <f t="shared" si="164"/>
        <v>x</v>
      </c>
      <c r="Y73" s="117" t="str">
        <f t="shared" si="164"/>
        <v>x</v>
      </c>
      <c r="Z73" s="117" t="str">
        <f t="shared" si="164"/>
        <v>x</v>
      </c>
    </row>
    <row r="74" spans="3:90" customFormat="1" x14ac:dyDescent="0.15">
      <c r="D74" s="117" t="str">
        <f t="shared" ref="D74:Z74" si="165">IF(BatSplit(D12,RunsScored)&gt;=50,BatSplit(D12,RunsScored)&amp;IF(BatSplit(D12,NotOuts)=1,"*","")&amp;"|"&amp;$C12&amp;"|"&amp;D$2&amp;"|"&amp;TEXT(D$1,"dd-mmm"),"x")</f>
        <v>x</v>
      </c>
      <c r="E74" s="117" t="str">
        <f t="shared" si="165"/>
        <v>x</v>
      </c>
      <c r="F74" s="117" t="str">
        <f t="shared" si="165"/>
        <v>x</v>
      </c>
      <c r="G74" s="117" t="str">
        <f t="shared" si="165"/>
        <v>x</v>
      </c>
      <c r="H74" s="117" t="str">
        <f t="shared" si="165"/>
        <v>x</v>
      </c>
      <c r="I74" s="117" t="str">
        <f t="shared" si="165"/>
        <v>x</v>
      </c>
      <c r="J74" s="117" t="str">
        <f t="shared" si="165"/>
        <v>x</v>
      </c>
      <c r="K74" s="117" t="str">
        <f t="shared" si="165"/>
        <v>x</v>
      </c>
      <c r="L74" s="117" t="str">
        <f t="shared" si="165"/>
        <v>x</v>
      </c>
      <c r="M74" s="117" t="str">
        <f t="shared" si="165"/>
        <v>x</v>
      </c>
      <c r="N74" s="117" t="str">
        <f t="shared" si="165"/>
        <v>x</v>
      </c>
      <c r="O74" s="117" t="str">
        <f t="shared" si="165"/>
        <v>x</v>
      </c>
      <c r="P74" s="117" t="str">
        <f t="shared" si="165"/>
        <v>x</v>
      </c>
      <c r="Q74" s="117" t="str">
        <f t="shared" si="165"/>
        <v>x</v>
      </c>
      <c r="R74" s="117" t="str">
        <f t="shared" si="165"/>
        <v>x</v>
      </c>
      <c r="S74" s="117" t="str">
        <f t="shared" si="165"/>
        <v>x</v>
      </c>
      <c r="T74" s="117" t="str">
        <f t="shared" si="165"/>
        <v>x</v>
      </c>
      <c r="U74" s="117" t="str">
        <f t="shared" si="165"/>
        <v>x</v>
      </c>
      <c r="V74" s="117" t="str">
        <f t="shared" si="165"/>
        <v>x</v>
      </c>
      <c r="W74" s="117" t="str">
        <f t="shared" si="165"/>
        <v>x</v>
      </c>
      <c r="X74" s="117" t="str">
        <f t="shared" si="165"/>
        <v>x</v>
      </c>
      <c r="Y74" s="117" t="str">
        <f t="shared" si="165"/>
        <v>x</v>
      </c>
      <c r="Z74" s="117" t="str">
        <f t="shared" si="165"/>
        <v>x</v>
      </c>
    </row>
    <row r="75" spans="3:90" customFormat="1" x14ac:dyDescent="0.15">
      <c r="D75" s="117" t="e">
        <f>IF(BatSplit(#REF!,RunsScored)&gt;=50,BatSplit(#REF!,RunsScored)&amp;IF(BatSplit(#REF!,NotOuts)=1,"*","")&amp;"|"&amp;#REF!&amp;"|"&amp;D$2&amp;"|"&amp;TEXT(D$1,"dd-mmm"),"x")</f>
        <v>#VALUE!</v>
      </c>
      <c r="E75" s="117" t="e">
        <f>IF(BatSplit(#REF!,RunsScored)&gt;=50,BatSplit(#REF!,RunsScored)&amp;IF(BatSplit(#REF!,NotOuts)=1,"*","")&amp;"|"&amp;#REF!&amp;"|"&amp;E$2&amp;"|"&amp;TEXT(E$1,"dd-mmm"),"x")</f>
        <v>#VALUE!</v>
      </c>
      <c r="F75" s="117" t="e">
        <f>IF(BatSplit(#REF!,RunsScored)&gt;=50,BatSplit(#REF!,RunsScored)&amp;IF(BatSplit(#REF!,NotOuts)=1,"*","")&amp;"|"&amp;#REF!&amp;"|"&amp;F$2&amp;"|"&amp;TEXT(F$1,"dd-mmm"),"x")</f>
        <v>#VALUE!</v>
      </c>
      <c r="G75" s="117" t="e">
        <f>IF(BatSplit(#REF!,RunsScored)&gt;=50,BatSplit(#REF!,RunsScored)&amp;IF(BatSplit(#REF!,NotOuts)=1,"*","")&amp;"|"&amp;#REF!&amp;"|"&amp;G$2&amp;"|"&amp;TEXT(G$1,"dd-mmm"),"x")</f>
        <v>#VALUE!</v>
      </c>
      <c r="H75" s="117" t="e">
        <f>IF(BatSplit(#REF!,RunsScored)&gt;=50,BatSplit(#REF!,RunsScored)&amp;IF(BatSplit(#REF!,NotOuts)=1,"*","")&amp;"|"&amp;#REF!&amp;"|"&amp;H$2&amp;"|"&amp;TEXT(H$1,"dd-mmm"),"x")</f>
        <v>#VALUE!</v>
      </c>
      <c r="I75" s="117" t="e">
        <f>IF(BatSplit(#REF!,RunsScored)&gt;=50,BatSplit(#REF!,RunsScored)&amp;IF(BatSplit(#REF!,NotOuts)=1,"*","")&amp;"|"&amp;#REF!&amp;"|"&amp;I$2&amp;"|"&amp;TEXT(I$1,"dd-mmm"),"x")</f>
        <v>#VALUE!</v>
      </c>
      <c r="J75" s="117" t="e">
        <f>IF(BatSplit(#REF!,RunsScored)&gt;=50,BatSplit(#REF!,RunsScored)&amp;IF(BatSplit(#REF!,NotOuts)=1,"*","")&amp;"|"&amp;#REF!&amp;"|"&amp;J$2&amp;"|"&amp;TEXT(J$1,"dd-mmm"),"x")</f>
        <v>#VALUE!</v>
      </c>
      <c r="K75" s="117" t="e">
        <f>IF(BatSplit(#REF!,RunsScored)&gt;=50,BatSplit(#REF!,RunsScored)&amp;IF(BatSplit(#REF!,NotOuts)=1,"*","")&amp;"|"&amp;#REF!&amp;"|"&amp;K$2&amp;"|"&amp;TEXT(K$1,"dd-mmm"),"x")</f>
        <v>#VALUE!</v>
      </c>
      <c r="L75" s="117" t="e">
        <f>IF(BatSplit(#REF!,RunsScored)&gt;=50,BatSplit(#REF!,RunsScored)&amp;IF(BatSplit(#REF!,NotOuts)=1,"*","")&amp;"|"&amp;#REF!&amp;"|"&amp;L$2&amp;"|"&amp;TEXT(L$1,"dd-mmm"),"x")</f>
        <v>#VALUE!</v>
      </c>
      <c r="M75" s="117" t="e">
        <f>IF(BatSplit(#REF!,RunsScored)&gt;=50,BatSplit(#REF!,RunsScored)&amp;IF(BatSplit(#REF!,NotOuts)=1,"*","")&amp;"|"&amp;#REF!&amp;"|"&amp;M$2&amp;"|"&amp;TEXT(M$1,"dd-mmm"),"x")</f>
        <v>#VALUE!</v>
      </c>
      <c r="N75" s="117" t="e">
        <f>IF(BatSplit(#REF!,RunsScored)&gt;=50,BatSplit(#REF!,RunsScored)&amp;IF(BatSplit(#REF!,NotOuts)=1,"*","")&amp;"|"&amp;#REF!&amp;"|"&amp;N$2&amp;"|"&amp;TEXT(N$1,"dd-mmm"),"x")</f>
        <v>#VALUE!</v>
      </c>
      <c r="O75" s="117" t="e">
        <f>IF(BatSplit(#REF!,RunsScored)&gt;=50,BatSplit(#REF!,RunsScored)&amp;IF(BatSplit(#REF!,NotOuts)=1,"*","")&amp;"|"&amp;#REF!&amp;"|"&amp;O$2&amp;"|"&amp;TEXT(O$1,"dd-mmm"),"x")</f>
        <v>#VALUE!</v>
      </c>
      <c r="P75" s="117" t="e">
        <f>IF(BatSplit(#REF!,RunsScored)&gt;=50,BatSplit(#REF!,RunsScored)&amp;IF(BatSplit(#REF!,NotOuts)=1,"*","")&amp;"|"&amp;#REF!&amp;"|"&amp;P$2&amp;"|"&amp;TEXT(P$1,"dd-mmm"),"x")</f>
        <v>#VALUE!</v>
      </c>
      <c r="Q75" s="117" t="e">
        <f>IF(BatSplit(#REF!,RunsScored)&gt;=50,BatSplit(#REF!,RunsScored)&amp;IF(BatSplit(#REF!,NotOuts)=1,"*","")&amp;"|"&amp;#REF!&amp;"|"&amp;Q$2&amp;"|"&amp;TEXT(Q$1,"dd-mmm"),"x")</f>
        <v>#VALUE!</v>
      </c>
      <c r="R75" s="117" t="e">
        <f>IF(BatSplit(#REF!,RunsScored)&gt;=50,BatSplit(#REF!,RunsScored)&amp;IF(BatSplit(#REF!,NotOuts)=1,"*","")&amp;"|"&amp;#REF!&amp;"|"&amp;R$2&amp;"|"&amp;TEXT(R$1,"dd-mmm"),"x")</f>
        <v>#VALUE!</v>
      </c>
      <c r="S75" s="117" t="e">
        <f>IF(BatSplit(#REF!,RunsScored)&gt;=50,BatSplit(#REF!,RunsScored)&amp;IF(BatSplit(#REF!,NotOuts)=1,"*","")&amp;"|"&amp;#REF!&amp;"|"&amp;S$2&amp;"|"&amp;TEXT(S$1,"dd-mmm"),"x")</f>
        <v>#VALUE!</v>
      </c>
      <c r="T75" s="117" t="e">
        <f>IF(BatSplit(#REF!,RunsScored)&gt;=50,BatSplit(#REF!,RunsScored)&amp;IF(BatSplit(#REF!,NotOuts)=1,"*","")&amp;"|"&amp;#REF!&amp;"|"&amp;T$2&amp;"|"&amp;TEXT(T$1,"dd-mmm"),"x")</f>
        <v>#VALUE!</v>
      </c>
      <c r="U75" s="117" t="e">
        <f>IF(BatSplit(#REF!,RunsScored)&gt;=50,BatSplit(#REF!,RunsScored)&amp;IF(BatSplit(#REF!,NotOuts)=1,"*","")&amp;"|"&amp;#REF!&amp;"|"&amp;U$2&amp;"|"&amp;TEXT(U$1,"dd-mmm"),"x")</f>
        <v>#VALUE!</v>
      </c>
      <c r="V75" s="117" t="e">
        <f>IF(BatSplit(#REF!,RunsScored)&gt;=50,BatSplit(#REF!,RunsScored)&amp;IF(BatSplit(#REF!,NotOuts)=1,"*","")&amp;"|"&amp;#REF!&amp;"|"&amp;V$2&amp;"|"&amp;TEXT(V$1,"dd-mmm"),"x")</f>
        <v>#VALUE!</v>
      </c>
      <c r="W75" s="117" t="e">
        <f>IF(BatSplit(#REF!,RunsScored)&gt;=50,BatSplit(#REF!,RunsScored)&amp;IF(BatSplit(#REF!,NotOuts)=1,"*","")&amp;"|"&amp;#REF!&amp;"|"&amp;W$2&amp;"|"&amp;TEXT(W$1,"dd-mmm"),"x")</f>
        <v>#VALUE!</v>
      </c>
      <c r="X75" s="117" t="e">
        <f>IF(BatSplit(#REF!,RunsScored)&gt;=50,BatSplit(#REF!,RunsScored)&amp;IF(BatSplit(#REF!,NotOuts)=1,"*","")&amp;"|"&amp;#REF!&amp;"|"&amp;X$2&amp;"|"&amp;TEXT(X$1,"dd-mmm"),"x")</f>
        <v>#VALUE!</v>
      </c>
      <c r="Y75" s="117" t="e">
        <f>IF(BatSplit(#REF!,RunsScored)&gt;=50,BatSplit(#REF!,RunsScored)&amp;IF(BatSplit(#REF!,NotOuts)=1,"*","")&amp;"|"&amp;#REF!&amp;"|"&amp;Y$2&amp;"|"&amp;TEXT(Y$1,"dd-mmm"),"x")</f>
        <v>#VALUE!</v>
      </c>
      <c r="Z75" s="117" t="e">
        <f>IF(BatSplit(#REF!,RunsScored)&gt;=50,BatSplit(#REF!,RunsScored)&amp;IF(BatSplit(#REF!,NotOuts)=1,"*","")&amp;"|"&amp;#REF!&amp;"|"&amp;Z$2&amp;"|"&amp;TEXT(Z$1,"dd-mmm"),"x")</f>
        <v>#VALUE!</v>
      </c>
    </row>
    <row r="76" spans="3:90" customFormat="1" x14ac:dyDescent="0.15">
      <c r="D76" s="117" t="str">
        <f t="shared" ref="D76:Z76" si="166">IF(BatSplit(D13,RunsScored)&gt;=50,BatSplit(D13,RunsScored)&amp;IF(BatSplit(D13,NotOuts)=1,"*","")&amp;"|"&amp;$C13&amp;"|"&amp;D$2&amp;"|"&amp;TEXT(D$1,"dd-mmm"),"x")</f>
        <v>x</v>
      </c>
      <c r="E76" s="117" t="str">
        <f t="shared" si="166"/>
        <v>x</v>
      </c>
      <c r="F76" s="117" t="str">
        <f t="shared" si="166"/>
        <v>x</v>
      </c>
      <c r="G76" s="117" t="str">
        <f t="shared" si="166"/>
        <v>x</v>
      </c>
      <c r="H76" s="117" t="str">
        <f t="shared" si="166"/>
        <v>x</v>
      </c>
      <c r="I76" s="117" t="str">
        <f t="shared" si="166"/>
        <v>x</v>
      </c>
      <c r="J76" s="117" t="str">
        <f t="shared" si="166"/>
        <v>x</v>
      </c>
      <c r="K76" s="117" t="str">
        <f t="shared" si="166"/>
        <v>x</v>
      </c>
      <c r="L76" s="117" t="str">
        <f t="shared" si="166"/>
        <v>x</v>
      </c>
      <c r="M76" s="117" t="str">
        <f t="shared" si="166"/>
        <v>x</v>
      </c>
      <c r="N76" s="117" t="str">
        <f t="shared" si="166"/>
        <v>x</v>
      </c>
      <c r="O76" s="117" t="str">
        <f t="shared" si="166"/>
        <v>x</v>
      </c>
      <c r="P76" s="117" t="str">
        <f t="shared" si="166"/>
        <v>x</v>
      </c>
      <c r="Q76" s="117" t="str">
        <f t="shared" si="166"/>
        <v>x</v>
      </c>
      <c r="R76" s="117" t="str">
        <f t="shared" si="166"/>
        <v>x</v>
      </c>
      <c r="S76" s="117" t="str">
        <f t="shared" si="166"/>
        <v>x</v>
      </c>
      <c r="T76" s="117" t="str">
        <f t="shared" si="166"/>
        <v>56|Clarkson M|Living Word|20-Sep</v>
      </c>
      <c r="U76" s="117" t="str">
        <f t="shared" si="166"/>
        <v>x</v>
      </c>
      <c r="V76" s="117" t="str">
        <f t="shared" si="166"/>
        <v>x</v>
      </c>
      <c r="W76" s="117" t="str">
        <f t="shared" si="166"/>
        <v>x</v>
      </c>
      <c r="X76" s="117" t="str">
        <f t="shared" si="166"/>
        <v>x</v>
      </c>
      <c r="Y76" s="117" t="str">
        <f t="shared" si="166"/>
        <v>x</v>
      </c>
      <c r="Z76" s="117" t="str">
        <f t="shared" si="166"/>
        <v>x</v>
      </c>
    </row>
    <row r="77" spans="3:90" customFormat="1" x14ac:dyDescent="0.15">
      <c r="D77" s="117" t="str">
        <f t="shared" ref="D77:Z77" si="167">IF(BatSplit(D14,RunsScored)&gt;=50,BatSplit(D14,RunsScored)&amp;IF(BatSplit(D14,NotOuts)=1,"*","")&amp;"|"&amp;$C14&amp;"|"&amp;D$2&amp;"|"&amp;TEXT(D$1,"dd-mmm"),"x")</f>
        <v>x</v>
      </c>
      <c r="E77" s="117" t="str">
        <f t="shared" si="167"/>
        <v>x</v>
      </c>
      <c r="F77" s="117" t="str">
        <f t="shared" si="167"/>
        <v>x</v>
      </c>
      <c r="G77" s="117" t="str">
        <f t="shared" si="167"/>
        <v>x</v>
      </c>
      <c r="H77" s="117" t="str">
        <f t="shared" si="167"/>
        <v>x</v>
      </c>
      <c r="I77" s="117" t="str">
        <f t="shared" si="167"/>
        <v>x</v>
      </c>
      <c r="J77" s="117" t="str">
        <f t="shared" si="167"/>
        <v>x</v>
      </c>
      <c r="K77" s="117" t="str">
        <f t="shared" si="167"/>
        <v>x</v>
      </c>
      <c r="L77" s="117" t="str">
        <f t="shared" si="167"/>
        <v>x</v>
      </c>
      <c r="M77" s="117" t="str">
        <f t="shared" si="167"/>
        <v>x</v>
      </c>
      <c r="N77" s="117" t="str">
        <f t="shared" si="167"/>
        <v>x</v>
      </c>
      <c r="O77" s="117" t="str">
        <f t="shared" si="167"/>
        <v>x</v>
      </c>
      <c r="P77" s="117" t="str">
        <f t="shared" si="167"/>
        <v>x</v>
      </c>
      <c r="Q77" s="117" t="str">
        <f t="shared" si="167"/>
        <v>x</v>
      </c>
      <c r="R77" s="117" t="str">
        <f t="shared" si="167"/>
        <v>x</v>
      </c>
      <c r="S77" s="117" t="str">
        <f t="shared" si="167"/>
        <v>x</v>
      </c>
      <c r="T77" s="117" t="str">
        <f t="shared" si="167"/>
        <v>x</v>
      </c>
      <c r="U77" s="117" t="str">
        <f t="shared" si="167"/>
        <v>x</v>
      </c>
      <c r="V77" s="117" t="str">
        <f t="shared" si="167"/>
        <v>x</v>
      </c>
      <c r="W77" s="117" t="str">
        <f t="shared" si="167"/>
        <v>x</v>
      </c>
      <c r="X77" s="117" t="str">
        <f t="shared" si="167"/>
        <v>x</v>
      </c>
      <c r="Y77" s="117" t="str">
        <f t="shared" si="167"/>
        <v>x</v>
      </c>
      <c r="Z77" s="117" t="str">
        <f t="shared" si="167"/>
        <v>x</v>
      </c>
    </row>
    <row r="78" spans="3:90" customFormat="1" x14ac:dyDescent="0.15">
      <c r="D78" s="117" t="str">
        <f t="shared" ref="D78:Z78" si="168">IF(BatSplit(D15,RunsScored)&gt;=50,BatSplit(D15,RunsScored)&amp;IF(BatSplit(D15,NotOuts)=1,"*","")&amp;"|"&amp;$C15&amp;"|"&amp;D$2&amp;"|"&amp;TEXT(D$1,"dd-mmm"),"x")</f>
        <v>x</v>
      </c>
      <c r="E78" s="117" t="str">
        <f t="shared" si="168"/>
        <v>x</v>
      </c>
      <c r="F78" s="117" t="str">
        <f t="shared" si="168"/>
        <v>x</v>
      </c>
      <c r="G78" s="117" t="str">
        <f t="shared" si="168"/>
        <v>x</v>
      </c>
      <c r="H78" s="117" t="str">
        <f t="shared" si="168"/>
        <v>x</v>
      </c>
      <c r="I78" s="117" t="str">
        <f t="shared" si="168"/>
        <v>x</v>
      </c>
      <c r="J78" s="117" t="str">
        <f t="shared" si="168"/>
        <v>x</v>
      </c>
      <c r="K78" s="117" t="str">
        <f t="shared" si="168"/>
        <v>x</v>
      </c>
      <c r="L78" s="117" t="str">
        <f t="shared" si="168"/>
        <v>x</v>
      </c>
      <c r="M78" s="117" t="str">
        <f t="shared" si="168"/>
        <v>x</v>
      </c>
      <c r="N78" s="117" t="str">
        <f t="shared" si="168"/>
        <v>x</v>
      </c>
      <c r="O78" s="117" t="str">
        <f t="shared" si="168"/>
        <v>x</v>
      </c>
      <c r="P78" s="117" t="str">
        <f t="shared" si="168"/>
        <v>x</v>
      </c>
      <c r="Q78" s="117" t="str">
        <f t="shared" si="168"/>
        <v>x</v>
      </c>
      <c r="R78" s="117" t="str">
        <f t="shared" si="168"/>
        <v>x</v>
      </c>
      <c r="S78" s="117" t="str">
        <f t="shared" si="168"/>
        <v>x</v>
      </c>
      <c r="T78" s="117" t="str">
        <f t="shared" si="168"/>
        <v>x</v>
      </c>
      <c r="U78" s="117" t="str">
        <f t="shared" si="168"/>
        <v>x</v>
      </c>
      <c r="V78" s="117" t="str">
        <f t="shared" si="168"/>
        <v>x</v>
      </c>
      <c r="W78" s="117" t="str">
        <f t="shared" si="168"/>
        <v>x</v>
      </c>
      <c r="X78" s="117" t="str">
        <f t="shared" si="168"/>
        <v>x</v>
      </c>
      <c r="Y78" s="117" t="str">
        <f t="shared" si="168"/>
        <v>x</v>
      </c>
      <c r="Z78" s="117" t="str">
        <f t="shared" si="168"/>
        <v>x</v>
      </c>
    </row>
    <row r="79" spans="3:90" customFormat="1" x14ac:dyDescent="0.15">
      <c r="D79" s="117" t="str">
        <f t="shared" ref="D79:Z79" si="169">IF(BatSplit(D16,RunsScored)&gt;=50,BatSplit(D16,RunsScored)&amp;IF(BatSplit(D16,NotOuts)=1,"*","")&amp;"|"&amp;$C16&amp;"|"&amp;D$2&amp;"|"&amp;TEXT(D$1,"dd-mmm"),"x")</f>
        <v>x</v>
      </c>
      <c r="E79" s="117" t="str">
        <f t="shared" si="169"/>
        <v>x</v>
      </c>
      <c r="F79" s="117" t="str">
        <f t="shared" si="169"/>
        <v>x</v>
      </c>
      <c r="G79" s="117" t="str">
        <f t="shared" si="169"/>
        <v>x</v>
      </c>
      <c r="H79" s="117" t="str">
        <f t="shared" si="169"/>
        <v>x</v>
      </c>
      <c r="I79" s="117" t="str">
        <f t="shared" si="169"/>
        <v>x</v>
      </c>
      <c r="J79" s="117" t="str">
        <f t="shared" si="169"/>
        <v>x</v>
      </c>
      <c r="K79" s="117" t="str">
        <f t="shared" si="169"/>
        <v>x</v>
      </c>
      <c r="L79" s="117" t="str">
        <f t="shared" si="169"/>
        <v>x</v>
      </c>
      <c r="M79" s="117" t="str">
        <f t="shared" si="169"/>
        <v>x</v>
      </c>
      <c r="N79" s="117" t="str">
        <f t="shared" si="169"/>
        <v>x</v>
      </c>
      <c r="O79" s="117" t="str">
        <f t="shared" si="169"/>
        <v>x</v>
      </c>
      <c r="P79" s="117" t="str">
        <f t="shared" si="169"/>
        <v>x</v>
      </c>
      <c r="Q79" s="117" t="str">
        <f t="shared" si="169"/>
        <v>x</v>
      </c>
      <c r="R79" s="117" t="str">
        <f t="shared" si="169"/>
        <v>x</v>
      </c>
      <c r="S79" s="117" t="str">
        <f t="shared" si="169"/>
        <v>x</v>
      </c>
      <c r="T79" s="117" t="str">
        <f t="shared" si="169"/>
        <v>x</v>
      </c>
      <c r="U79" s="117" t="str">
        <f t="shared" si="169"/>
        <v>x</v>
      </c>
      <c r="V79" s="117" t="str">
        <f t="shared" si="169"/>
        <v>x</v>
      </c>
      <c r="W79" s="117" t="str">
        <f t="shared" si="169"/>
        <v>x</v>
      </c>
      <c r="X79" s="117" t="str">
        <f t="shared" si="169"/>
        <v>x</v>
      </c>
      <c r="Y79" s="117" t="str">
        <f t="shared" si="169"/>
        <v>x</v>
      </c>
      <c r="Z79" s="117" t="str">
        <f t="shared" si="169"/>
        <v>x</v>
      </c>
    </row>
    <row r="80" spans="3:90" customFormat="1" x14ac:dyDescent="0.15">
      <c r="D80" s="117" t="e">
        <f>IF(BatSplit(#REF!,RunsScored)&gt;=50,BatSplit(#REF!,RunsScored)&amp;IF(BatSplit(#REF!,NotOuts)=1,"*","")&amp;"|"&amp;#REF!&amp;"|"&amp;D$2&amp;"|"&amp;TEXT(D$1,"dd-mmm"),"x")</f>
        <v>#VALUE!</v>
      </c>
      <c r="E80" s="117" t="e">
        <f>IF(BatSplit(#REF!,RunsScored)&gt;=50,BatSplit(#REF!,RunsScored)&amp;IF(BatSplit(#REF!,NotOuts)=1,"*","")&amp;"|"&amp;#REF!&amp;"|"&amp;E$2&amp;"|"&amp;TEXT(E$1,"dd-mmm"),"x")</f>
        <v>#VALUE!</v>
      </c>
      <c r="F80" s="117" t="e">
        <f>IF(BatSplit(#REF!,RunsScored)&gt;=50,BatSplit(#REF!,RunsScored)&amp;IF(BatSplit(#REF!,NotOuts)=1,"*","")&amp;"|"&amp;#REF!&amp;"|"&amp;F$2&amp;"|"&amp;TEXT(F$1,"dd-mmm"),"x")</f>
        <v>#VALUE!</v>
      </c>
      <c r="G80" s="117" t="e">
        <f>IF(BatSplit(#REF!,RunsScored)&gt;=50,BatSplit(#REF!,RunsScored)&amp;IF(BatSplit(#REF!,NotOuts)=1,"*","")&amp;"|"&amp;#REF!&amp;"|"&amp;G$2&amp;"|"&amp;TEXT(G$1,"dd-mmm"),"x")</f>
        <v>#VALUE!</v>
      </c>
      <c r="H80" s="117" t="e">
        <f>IF(BatSplit(#REF!,RunsScored)&gt;=50,BatSplit(#REF!,RunsScored)&amp;IF(BatSplit(#REF!,NotOuts)=1,"*","")&amp;"|"&amp;#REF!&amp;"|"&amp;H$2&amp;"|"&amp;TEXT(H$1,"dd-mmm"),"x")</f>
        <v>#VALUE!</v>
      </c>
      <c r="I80" s="117" t="e">
        <f>IF(BatSplit(#REF!,RunsScored)&gt;=50,BatSplit(#REF!,RunsScored)&amp;IF(BatSplit(#REF!,NotOuts)=1,"*","")&amp;"|"&amp;#REF!&amp;"|"&amp;I$2&amp;"|"&amp;TEXT(I$1,"dd-mmm"),"x")</f>
        <v>#VALUE!</v>
      </c>
      <c r="J80" s="117" t="e">
        <f>IF(BatSplit(#REF!,RunsScored)&gt;=50,BatSplit(#REF!,RunsScored)&amp;IF(BatSplit(#REF!,NotOuts)=1,"*","")&amp;"|"&amp;#REF!&amp;"|"&amp;J$2&amp;"|"&amp;TEXT(J$1,"dd-mmm"),"x")</f>
        <v>#VALUE!</v>
      </c>
      <c r="K80" s="117" t="e">
        <f>IF(BatSplit(#REF!,RunsScored)&gt;=50,BatSplit(#REF!,RunsScored)&amp;IF(BatSplit(#REF!,NotOuts)=1,"*","")&amp;"|"&amp;#REF!&amp;"|"&amp;K$2&amp;"|"&amp;TEXT(K$1,"dd-mmm"),"x")</f>
        <v>#VALUE!</v>
      </c>
      <c r="L80" s="117" t="e">
        <f>IF(BatSplit(#REF!,RunsScored)&gt;=50,BatSplit(#REF!,RunsScored)&amp;IF(BatSplit(#REF!,NotOuts)=1,"*","")&amp;"|"&amp;#REF!&amp;"|"&amp;L$2&amp;"|"&amp;TEXT(L$1,"dd-mmm"),"x")</f>
        <v>#VALUE!</v>
      </c>
      <c r="M80" s="117" t="e">
        <f>IF(BatSplit(#REF!,RunsScored)&gt;=50,BatSplit(#REF!,RunsScored)&amp;IF(BatSplit(#REF!,NotOuts)=1,"*","")&amp;"|"&amp;#REF!&amp;"|"&amp;M$2&amp;"|"&amp;TEXT(M$1,"dd-mmm"),"x")</f>
        <v>#VALUE!</v>
      </c>
      <c r="N80" s="117" t="e">
        <f>IF(BatSplit(#REF!,RunsScored)&gt;=50,BatSplit(#REF!,RunsScored)&amp;IF(BatSplit(#REF!,NotOuts)=1,"*","")&amp;"|"&amp;#REF!&amp;"|"&amp;N$2&amp;"|"&amp;TEXT(N$1,"dd-mmm"),"x")</f>
        <v>#VALUE!</v>
      </c>
      <c r="O80" s="117" t="e">
        <f>IF(BatSplit(#REF!,RunsScored)&gt;=50,BatSplit(#REF!,RunsScored)&amp;IF(BatSplit(#REF!,NotOuts)=1,"*","")&amp;"|"&amp;#REF!&amp;"|"&amp;O$2&amp;"|"&amp;TEXT(O$1,"dd-mmm"),"x")</f>
        <v>#VALUE!</v>
      </c>
      <c r="P80" s="117" t="e">
        <f>IF(BatSplit(#REF!,RunsScored)&gt;=50,BatSplit(#REF!,RunsScored)&amp;IF(BatSplit(#REF!,NotOuts)=1,"*","")&amp;"|"&amp;#REF!&amp;"|"&amp;P$2&amp;"|"&amp;TEXT(P$1,"dd-mmm"),"x")</f>
        <v>#VALUE!</v>
      </c>
      <c r="Q80" s="117" t="e">
        <f>IF(BatSplit(#REF!,RunsScored)&gt;=50,BatSplit(#REF!,RunsScored)&amp;IF(BatSplit(#REF!,NotOuts)=1,"*","")&amp;"|"&amp;#REF!&amp;"|"&amp;Q$2&amp;"|"&amp;TEXT(Q$1,"dd-mmm"),"x")</f>
        <v>#VALUE!</v>
      </c>
      <c r="R80" s="117" t="e">
        <f>IF(BatSplit(#REF!,RunsScored)&gt;=50,BatSplit(#REF!,RunsScored)&amp;IF(BatSplit(#REF!,NotOuts)=1,"*","")&amp;"|"&amp;#REF!&amp;"|"&amp;R$2&amp;"|"&amp;TEXT(R$1,"dd-mmm"),"x")</f>
        <v>#VALUE!</v>
      </c>
      <c r="S80" s="117" t="e">
        <f>IF(BatSplit(#REF!,RunsScored)&gt;=50,BatSplit(#REF!,RunsScored)&amp;IF(BatSplit(#REF!,NotOuts)=1,"*","")&amp;"|"&amp;#REF!&amp;"|"&amp;S$2&amp;"|"&amp;TEXT(S$1,"dd-mmm"),"x")</f>
        <v>#VALUE!</v>
      </c>
      <c r="T80" s="117" t="e">
        <f>IF(BatSplit(#REF!,RunsScored)&gt;=50,BatSplit(#REF!,RunsScored)&amp;IF(BatSplit(#REF!,NotOuts)=1,"*","")&amp;"|"&amp;#REF!&amp;"|"&amp;T$2&amp;"|"&amp;TEXT(T$1,"dd-mmm"),"x")</f>
        <v>#VALUE!</v>
      </c>
      <c r="U80" s="117" t="e">
        <f>IF(BatSplit(#REF!,RunsScored)&gt;=50,BatSplit(#REF!,RunsScored)&amp;IF(BatSplit(#REF!,NotOuts)=1,"*","")&amp;"|"&amp;#REF!&amp;"|"&amp;U$2&amp;"|"&amp;TEXT(U$1,"dd-mmm"),"x")</f>
        <v>#VALUE!</v>
      </c>
      <c r="V80" s="117" t="e">
        <f>IF(BatSplit(#REF!,RunsScored)&gt;=50,BatSplit(#REF!,RunsScored)&amp;IF(BatSplit(#REF!,NotOuts)=1,"*","")&amp;"|"&amp;#REF!&amp;"|"&amp;V$2&amp;"|"&amp;TEXT(V$1,"dd-mmm"),"x")</f>
        <v>#VALUE!</v>
      </c>
      <c r="W80" s="117" t="e">
        <f>IF(BatSplit(#REF!,RunsScored)&gt;=50,BatSplit(#REF!,RunsScored)&amp;IF(BatSplit(#REF!,NotOuts)=1,"*","")&amp;"|"&amp;#REF!&amp;"|"&amp;W$2&amp;"|"&amp;TEXT(W$1,"dd-mmm"),"x")</f>
        <v>#VALUE!</v>
      </c>
      <c r="X80" s="117" t="e">
        <f>IF(BatSplit(#REF!,RunsScored)&gt;=50,BatSplit(#REF!,RunsScored)&amp;IF(BatSplit(#REF!,NotOuts)=1,"*","")&amp;"|"&amp;#REF!&amp;"|"&amp;X$2&amp;"|"&amp;TEXT(X$1,"dd-mmm"),"x")</f>
        <v>#VALUE!</v>
      </c>
      <c r="Y80" s="117" t="e">
        <f>IF(BatSplit(#REF!,RunsScored)&gt;=50,BatSplit(#REF!,RunsScored)&amp;IF(BatSplit(#REF!,NotOuts)=1,"*","")&amp;"|"&amp;#REF!&amp;"|"&amp;Y$2&amp;"|"&amp;TEXT(Y$1,"dd-mmm"),"x")</f>
        <v>#VALUE!</v>
      </c>
      <c r="Z80" s="117" t="e">
        <f>IF(BatSplit(#REF!,RunsScored)&gt;=50,BatSplit(#REF!,RunsScored)&amp;IF(BatSplit(#REF!,NotOuts)=1,"*","")&amp;"|"&amp;#REF!&amp;"|"&amp;Z$2&amp;"|"&amp;TEXT(Z$1,"dd-mmm"),"x")</f>
        <v>#VALUE!</v>
      </c>
    </row>
    <row r="81" spans="4:26" customFormat="1" x14ac:dyDescent="0.15">
      <c r="D81" s="117" t="str">
        <f t="shared" ref="D81:Z81" si="170">IF(BatSplit(D17,RunsScored)&gt;=50,BatSplit(D17,RunsScored)&amp;IF(BatSplit(D17,NotOuts)=1,"*","")&amp;"|"&amp;$C17&amp;"|"&amp;D$2&amp;"|"&amp;TEXT(D$1,"dd-mmm"),"x")</f>
        <v>x</v>
      </c>
      <c r="E81" s="117" t="str">
        <f t="shared" si="170"/>
        <v>x</v>
      </c>
      <c r="F81" s="117" t="str">
        <f t="shared" si="170"/>
        <v>x</v>
      </c>
      <c r="G81" s="117" t="str">
        <f t="shared" si="170"/>
        <v>x</v>
      </c>
      <c r="H81" s="117" t="str">
        <f t="shared" si="170"/>
        <v>x</v>
      </c>
      <c r="I81" s="117" t="str">
        <f t="shared" si="170"/>
        <v>x</v>
      </c>
      <c r="J81" s="117" t="str">
        <f t="shared" si="170"/>
        <v>x</v>
      </c>
      <c r="K81" s="117" t="str">
        <f t="shared" si="170"/>
        <v>x</v>
      </c>
      <c r="L81" s="117" t="str">
        <f t="shared" si="170"/>
        <v>x</v>
      </c>
      <c r="M81" s="117" t="str">
        <f t="shared" si="170"/>
        <v>x</v>
      </c>
      <c r="N81" s="117" t="str">
        <f t="shared" si="170"/>
        <v>53|Driver S|Southbank|06-Jul</v>
      </c>
      <c r="O81" s="117" t="str">
        <f t="shared" si="170"/>
        <v>x</v>
      </c>
      <c r="P81" s="117" t="str">
        <f t="shared" si="170"/>
        <v>x</v>
      </c>
      <c r="Q81" s="117" t="str">
        <f t="shared" si="170"/>
        <v>x</v>
      </c>
      <c r="R81" s="117" t="str">
        <f t="shared" si="170"/>
        <v>x</v>
      </c>
      <c r="S81" s="117" t="str">
        <f t="shared" si="170"/>
        <v>x</v>
      </c>
      <c r="T81" s="117" t="str">
        <f t="shared" si="170"/>
        <v>x</v>
      </c>
      <c r="U81" s="117" t="str">
        <f t="shared" si="170"/>
        <v>x</v>
      </c>
      <c r="V81" s="117" t="str">
        <f t="shared" si="170"/>
        <v>x</v>
      </c>
      <c r="W81" s="117" t="str">
        <f t="shared" si="170"/>
        <v>x</v>
      </c>
      <c r="X81" s="117" t="str">
        <f t="shared" si="170"/>
        <v>x</v>
      </c>
      <c r="Y81" s="117" t="str">
        <f t="shared" si="170"/>
        <v>x</v>
      </c>
      <c r="Z81" s="117" t="str">
        <f t="shared" si="170"/>
        <v>x</v>
      </c>
    </row>
    <row r="82" spans="4:26" customFormat="1" x14ac:dyDescent="0.15">
      <c r="D82" s="117" t="str">
        <f t="shared" ref="D82:Z82" si="171">IF(BatSplit(D18,RunsScored)&gt;=50,BatSplit(D18,RunsScored)&amp;IF(BatSplit(D18,NotOuts)=1,"*","")&amp;"|"&amp;$C18&amp;"|"&amp;D$2&amp;"|"&amp;TEXT(D$1,"dd-mmm"),"x")</f>
        <v>x</v>
      </c>
      <c r="E82" s="117" t="str">
        <f t="shared" si="171"/>
        <v>51*|Edghill D|Woodgreen|04-May</v>
      </c>
      <c r="F82" s="117" t="str">
        <f t="shared" si="171"/>
        <v>x</v>
      </c>
      <c r="G82" s="117" t="str">
        <f t="shared" si="171"/>
        <v>x</v>
      </c>
      <c r="H82" s="117" t="str">
        <f t="shared" si="171"/>
        <v>x</v>
      </c>
      <c r="I82" s="117" t="str">
        <f t="shared" si="171"/>
        <v>x</v>
      </c>
      <c r="J82" s="117" t="str">
        <f t="shared" si="171"/>
        <v>x</v>
      </c>
      <c r="K82" s="117" t="str">
        <f t="shared" si="171"/>
        <v>x</v>
      </c>
      <c r="L82" s="117" t="str">
        <f t="shared" si="171"/>
        <v>x</v>
      </c>
      <c r="M82" s="117" t="str">
        <f t="shared" si="171"/>
        <v>x</v>
      </c>
      <c r="N82" s="117" t="str">
        <f t="shared" si="171"/>
        <v>x</v>
      </c>
      <c r="O82" s="117" t="str">
        <f t="shared" si="171"/>
        <v>x</v>
      </c>
      <c r="P82" s="117" t="str">
        <f t="shared" si="171"/>
        <v>x</v>
      </c>
      <c r="Q82" s="117" t="str">
        <f t="shared" si="171"/>
        <v>x</v>
      </c>
      <c r="R82" s="117" t="str">
        <f t="shared" si="171"/>
        <v>x</v>
      </c>
      <c r="S82" s="117" t="str">
        <f t="shared" si="171"/>
        <v>x</v>
      </c>
      <c r="T82" s="117" t="str">
        <f t="shared" si="171"/>
        <v>x</v>
      </c>
      <c r="U82" s="117" t="str">
        <f t="shared" si="171"/>
        <v>x</v>
      </c>
      <c r="V82" s="117" t="str">
        <f t="shared" si="171"/>
        <v>x</v>
      </c>
      <c r="W82" s="117" t="str">
        <f t="shared" si="171"/>
        <v>x</v>
      </c>
      <c r="X82" s="117" t="str">
        <f t="shared" si="171"/>
        <v>x</v>
      </c>
      <c r="Y82" s="117" t="str">
        <f t="shared" si="171"/>
        <v>x</v>
      </c>
      <c r="Z82" s="117" t="str">
        <f t="shared" si="171"/>
        <v>x</v>
      </c>
    </row>
    <row r="83" spans="4:26" customFormat="1" x14ac:dyDescent="0.15">
      <c r="D83" s="117" t="str">
        <f t="shared" ref="D83:Z83" si="172">IF(BatSplit(D19,RunsScored)&gt;=50,BatSplit(D19,RunsScored)&amp;IF(BatSplit(D19,NotOuts)=1,"*","")&amp;"|"&amp;$C19&amp;"|"&amp;D$2&amp;"|"&amp;TEXT(D$1,"dd-mmm"),"x")</f>
        <v>x</v>
      </c>
      <c r="E83" s="117" t="str">
        <f t="shared" si="172"/>
        <v>x</v>
      </c>
      <c r="F83" s="117" t="str">
        <f t="shared" si="172"/>
        <v>x</v>
      </c>
      <c r="G83" s="117" t="str">
        <f t="shared" si="172"/>
        <v>x</v>
      </c>
      <c r="H83" s="117" t="str">
        <f t="shared" si="172"/>
        <v>x</v>
      </c>
      <c r="I83" s="117" t="str">
        <f t="shared" si="172"/>
        <v>x</v>
      </c>
      <c r="J83" s="117" t="str">
        <f t="shared" si="172"/>
        <v>x</v>
      </c>
      <c r="K83" s="117" t="str">
        <f t="shared" si="172"/>
        <v>x</v>
      </c>
      <c r="L83" s="117" t="str">
        <f t="shared" si="172"/>
        <v>x</v>
      </c>
      <c r="M83" s="117" t="str">
        <f t="shared" si="172"/>
        <v>x</v>
      </c>
      <c r="N83" s="117" t="str">
        <f t="shared" si="172"/>
        <v>x</v>
      </c>
      <c r="O83" s="117" t="str">
        <f t="shared" si="172"/>
        <v>x</v>
      </c>
      <c r="P83" s="117" t="str">
        <f t="shared" si="172"/>
        <v>x</v>
      </c>
      <c r="Q83" s="117" t="str">
        <f t="shared" si="172"/>
        <v>x</v>
      </c>
      <c r="R83" s="117" t="str">
        <f t="shared" si="172"/>
        <v>x</v>
      </c>
      <c r="S83" s="117" t="str">
        <f t="shared" si="172"/>
        <v>x</v>
      </c>
      <c r="T83" s="117" t="str">
        <f t="shared" si="172"/>
        <v>x</v>
      </c>
      <c r="U83" s="117" t="str">
        <f t="shared" si="172"/>
        <v>x</v>
      </c>
      <c r="V83" s="117" t="str">
        <f t="shared" si="172"/>
        <v>x</v>
      </c>
      <c r="W83" s="117" t="str">
        <f t="shared" si="172"/>
        <v>x</v>
      </c>
      <c r="X83" s="117" t="str">
        <f t="shared" si="172"/>
        <v>x</v>
      </c>
      <c r="Y83" s="117" t="str">
        <f t="shared" si="172"/>
        <v>x</v>
      </c>
      <c r="Z83" s="117" t="str">
        <f t="shared" si="172"/>
        <v>x</v>
      </c>
    </row>
    <row r="84" spans="4:26" customFormat="1" x14ac:dyDescent="0.15">
      <c r="D84" s="117" t="str">
        <f t="shared" ref="D84:Z84" si="173">IF(BatSplit(D20,RunsScored)&gt;=50,BatSplit(D20,RunsScored)&amp;IF(BatSplit(D20,NotOuts)=1,"*","")&amp;"|"&amp;$C20&amp;"|"&amp;D$2&amp;"|"&amp;TEXT(D$1,"dd-mmm"),"x")</f>
        <v>x</v>
      </c>
      <c r="E84" s="117" t="str">
        <f t="shared" si="173"/>
        <v>x</v>
      </c>
      <c r="F84" s="117" t="str">
        <f t="shared" si="173"/>
        <v>x</v>
      </c>
      <c r="G84" s="117" t="str">
        <f t="shared" si="173"/>
        <v>x</v>
      </c>
      <c r="H84" s="117" t="str">
        <f t="shared" si="173"/>
        <v>x</v>
      </c>
      <c r="I84" s="117" t="str">
        <f t="shared" si="173"/>
        <v>x</v>
      </c>
      <c r="J84" s="117" t="str">
        <f t="shared" si="173"/>
        <v>x</v>
      </c>
      <c r="K84" s="117" t="str">
        <f t="shared" si="173"/>
        <v>x</v>
      </c>
      <c r="L84" s="117" t="str">
        <f t="shared" si="173"/>
        <v>x</v>
      </c>
      <c r="M84" s="117" t="str">
        <f t="shared" si="173"/>
        <v>x</v>
      </c>
      <c r="N84" s="117" t="str">
        <f t="shared" si="173"/>
        <v>x</v>
      </c>
      <c r="O84" s="117" t="str">
        <f t="shared" si="173"/>
        <v>x</v>
      </c>
      <c r="P84" s="117" t="str">
        <f t="shared" si="173"/>
        <v>x</v>
      </c>
      <c r="Q84" s="117" t="str">
        <f t="shared" si="173"/>
        <v>x</v>
      </c>
      <c r="R84" s="117" t="str">
        <f t="shared" si="173"/>
        <v>x</v>
      </c>
      <c r="S84" s="117" t="str">
        <f t="shared" si="173"/>
        <v>x</v>
      </c>
      <c r="T84" s="117" t="str">
        <f t="shared" si="173"/>
        <v>x</v>
      </c>
      <c r="U84" s="117" t="str">
        <f t="shared" si="173"/>
        <v>x</v>
      </c>
      <c r="V84" s="117" t="str">
        <f t="shared" si="173"/>
        <v>x</v>
      </c>
      <c r="W84" s="117" t="str">
        <f t="shared" si="173"/>
        <v>x</v>
      </c>
      <c r="X84" s="117" t="str">
        <f t="shared" si="173"/>
        <v>x</v>
      </c>
      <c r="Y84" s="117" t="str">
        <f t="shared" si="173"/>
        <v>x</v>
      </c>
      <c r="Z84" s="117" t="str">
        <f t="shared" si="173"/>
        <v>x</v>
      </c>
    </row>
    <row r="85" spans="4:26" customFormat="1" x14ac:dyDescent="0.15">
      <c r="D85" s="117" t="str">
        <f t="shared" ref="D85:Z85" si="174">IF(BatSplit(D21,RunsScored)&gt;=50,BatSplit(D21,RunsScored)&amp;IF(BatSplit(D21,NotOuts)=1,"*","")&amp;"|"&amp;$C21&amp;"|"&amp;D$2&amp;"|"&amp;TEXT(D$1,"dd-mmm"),"x")</f>
        <v>x</v>
      </c>
      <c r="E85" s="117" t="str">
        <f t="shared" si="174"/>
        <v>x</v>
      </c>
      <c r="F85" s="117" t="str">
        <f t="shared" si="174"/>
        <v>x</v>
      </c>
      <c r="G85" s="117" t="str">
        <f t="shared" si="174"/>
        <v>x</v>
      </c>
      <c r="H85" s="117" t="str">
        <f t="shared" si="174"/>
        <v>x</v>
      </c>
      <c r="I85" s="117" t="str">
        <f t="shared" si="174"/>
        <v>x</v>
      </c>
      <c r="J85" s="117" t="str">
        <f t="shared" si="174"/>
        <v>x</v>
      </c>
      <c r="K85" s="117" t="str">
        <f t="shared" si="174"/>
        <v>x</v>
      </c>
      <c r="L85" s="117" t="str">
        <f t="shared" si="174"/>
        <v>x</v>
      </c>
      <c r="M85" s="117" t="str">
        <f t="shared" si="174"/>
        <v>x</v>
      </c>
      <c r="N85" s="117" t="str">
        <f t="shared" si="174"/>
        <v>x</v>
      </c>
      <c r="O85" s="117" t="str">
        <f t="shared" si="174"/>
        <v>x</v>
      </c>
      <c r="P85" s="117" t="str">
        <f t="shared" si="174"/>
        <v>x</v>
      </c>
      <c r="Q85" s="117" t="str">
        <f t="shared" si="174"/>
        <v>x</v>
      </c>
      <c r="R85" s="117" t="str">
        <f t="shared" si="174"/>
        <v>x</v>
      </c>
      <c r="S85" s="117" t="str">
        <f t="shared" si="174"/>
        <v>x</v>
      </c>
      <c r="T85" s="117" t="str">
        <f t="shared" si="174"/>
        <v>x</v>
      </c>
      <c r="U85" s="117" t="str">
        <f t="shared" si="174"/>
        <v>x</v>
      </c>
      <c r="V85" s="117" t="str">
        <f t="shared" si="174"/>
        <v>x</v>
      </c>
      <c r="W85" s="117" t="str">
        <f t="shared" si="174"/>
        <v>x</v>
      </c>
      <c r="X85" s="117" t="str">
        <f t="shared" si="174"/>
        <v>x</v>
      </c>
      <c r="Y85" s="117" t="str">
        <f t="shared" si="174"/>
        <v>x</v>
      </c>
      <c r="Z85" s="117" t="str">
        <f t="shared" si="174"/>
        <v>x</v>
      </c>
    </row>
    <row r="86" spans="4:26" customFormat="1" x14ac:dyDescent="0.15">
      <c r="D86" s="117" t="e">
        <f>IF(BatSplit(#REF!,RunsScored)&gt;=50,BatSplit(#REF!,RunsScored)&amp;IF(BatSplit(#REF!,NotOuts)=1,"*","")&amp;"|"&amp;#REF!&amp;"|"&amp;D$2&amp;"|"&amp;TEXT(D$1,"dd-mmm"),"x")</f>
        <v>#VALUE!</v>
      </c>
      <c r="E86" s="117" t="e">
        <f>IF(BatSplit(#REF!,RunsScored)&gt;=50,BatSplit(#REF!,RunsScored)&amp;IF(BatSplit(#REF!,NotOuts)=1,"*","")&amp;"|"&amp;#REF!&amp;"|"&amp;E$2&amp;"|"&amp;TEXT(E$1,"dd-mmm"),"x")</f>
        <v>#VALUE!</v>
      </c>
      <c r="F86" s="117" t="e">
        <f>IF(BatSplit(#REF!,RunsScored)&gt;=50,BatSplit(#REF!,RunsScored)&amp;IF(BatSplit(#REF!,NotOuts)=1,"*","")&amp;"|"&amp;#REF!&amp;"|"&amp;F$2&amp;"|"&amp;TEXT(F$1,"dd-mmm"),"x")</f>
        <v>#VALUE!</v>
      </c>
      <c r="G86" s="117" t="e">
        <f>IF(BatSplit(#REF!,RunsScored)&gt;=50,BatSplit(#REF!,RunsScored)&amp;IF(BatSplit(#REF!,NotOuts)=1,"*","")&amp;"|"&amp;#REF!&amp;"|"&amp;G$2&amp;"|"&amp;TEXT(G$1,"dd-mmm"),"x")</f>
        <v>#VALUE!</v>
      </c>
      <c r="H86" s="117" t="e">
        <f>IF(BatSplit(#REF!,RunsScored)&gt;=50,BatSplit(#REF!,RunsScored)&amp;IF(BatSplit(#REF!,NotOuts)=1,"*","")&amp;"|"&amp;#REF!&amp;"|"&amp;H$2&amp;"|"&amp;TEXT(H$1,"dd-mmm"),"x")</f>
        <v>#VALUE!</v>
      </c>
      <c r="I86" s="117" t="e">
        <f>IF(BatSplit(#REF!,RunsScored)&gt;=50,BatSplit(#REF!,RunsScored)&amp;IF(BatSplit(#REF!,NotOuts)=1,"*","")&amp;"|"&amp;#REF!&amp;"|"&amp;I$2&amp;"|"&amp;TEXT(I$1,"dd-mmm"),"x")</f>
        <v>#VALUE!</v>
      </c>
      <c r="J86" s="117" t="e">
        <f>IF(BatSplit(#REF!,RunsScored)&gt;=50,BatSplit(#REF!,RunsScored)&amp;IF(BatSplit(#REF!,NotOuts)=1,"*","")&amp;"|"&amp;#REF!&amp;"|"&amp;J$2&amp;"|"&amp;TEXT(J$1,"dd-mmm"),"x")</f>
        <v>#VALUE!</v>
      </c>
      <c r="K86" s="117" t="e">
        <f>IF(BatSplit(#REF!,RunsScored)&gt;=50,BatSplit(#REF!,RunsScored)&amp;IF(BatSplit(#REF!,NotOuts)=1,"*","")&amp;"|"&amp;#REF!&amp;"|"&amp;K$2&amp;"|"&amp;TEXT(K$1,"dd-mmm"),"x")</f>
        <v>#VALUE!</v>
      </c>
      <c r="L86" s="117" t="e">
        <f>IF(BatSplit(#REF!,RunsScored)&gt;=50,BatSplit(#REF!,RunsScored)&amp;IF(BatSplit(#REF!,NotOuts)=1,"*","")&amp;"|"&amp;#REF!&amp;"|"&amp;L$2&amp;"|"&amp;TEXT(L$1,"dd-mmm"),"x")</f>
        <v>#VALUE!</v>
      </c>
      <c r="M86" s="117" t="e">
        <f>IF(BatSplit(#REF!,RunsScored)&gt;=50,BatSplit(#REF!,RunsScored)&amp;IF(BatSplit(#REF!,NotOuts)=1,"*","")&amp;"|"&amp;#REF!&amp;"|"&amp;M$2&amp;"|"&amp;TEXT(M$1,"dd-mmm"),"x")</f>
        <v>#VALUE!</v>
      </c>
      <c r="N86" s="117" t="e">
        <f>IF(BatSplit(#REF!,RunsScored)&gt;=50,BatSplit(#REF!,RunsScored)&amp;IF(BatSplit(#REF!,NotOuts)=1,"*","")&amp;"|"&amp;#REF!&amp;"|"&amp;N$2&amp;"|"&amp;TEXT(N$1,"dd-mmm"),"x")</f>
        <v>#VALUE!</v>
      </c>
      <c r="O86" s="117" t="e">
        <f>IF(BatSplit(#REF!,RunsScored)&gt;=50,BatSplit(#REF!,RunsScored)&amp;IF(BatSplit(#REF!,NotOuts)=1,"*","")&amp;"|"&amp;#REF!&amp;"|"&amp;O$2&amp;"|"&amp;TEXT(O$1,"dd-mmm"),"x")</f>
        <v>#VALUE!</v>
      </c>
      <c r="P86" s="117" t="e">
        <f>IF(BatSplit(#REF!,RunsScored)&gt;=50,BatSplit(#REF!,RunsScored)&amp;IF(BatSplit(#REF!,NotOuts)=1,"*","")&amp;"|"&amp;#REF!&amp;"|"&amp;P$2&amp;"|"&amp;TEXT(P$1,"dd-mmm"),"x")</f>
        <v>#VALUE!</v>
      </c>
      <c r="Q86" s="117" t="e">
        <f>IF(BatSplit(#REF!,RunsScored)&gt;=50,BatSplit(#REF!,RunsScored)&amp;IF(BatSplit(#REF!,NotOuts)=1,"*","")&amp;"|"&amp;#REF!&amp;"|"&amp;Q$2&amp;"|"&amp;TEXT(Q$1,"dd-mmm"),"x")</f>
        <v>#VALUE!</v>
      </c>
      <c r="R86" s="117" t="e">
        <f>IF(BatSplit(#REF!,RunsScored)&gt;=50,BatSplit(#REF!,RunsScored)&amp;IF(BatSplit(#REF!,NotOuts)=1,"*","")&amp;"|"&amp;#REF!&amp;"|"&amp;R$2&amp;"|"&amp;TEXT(R$1,"dd-mmm"),"x")</f>
        <v>#VALUE!</v>
      </c>
      <c r="S86" s="117" t="e">
        <f>IF(BatSplit(#REF!,RunsScored)&gt;=50,BatSplit(#REF!,RunsScored)&amp;IF(BatSplit(#REF!,NotOuts)=1,"*","")&amp;"|"&amp;#REF!&amp;"|"&amp;S$2&amp;"|"&amp;TEXT(S$1,"dd-mmm"),"x")</f>
        <v>#VALUE!</v>
      </c>
      <c r="T86" s="117" t="e">
        <f>IF(BatSplit(#REF!,RunsScored)&gt;=50,BatSplit(#REF!,RunsScored)&amp;IF(BatSplit(#REF!,NotOuts)=1,"*","")&amp;"|"&amp;#REF!&amp;"|"&amp;T$2&amp;"|"&amp;TEXT(T$1,"dd-mmm"),"x")</f>
        <v>#VALUE!</v>
      </c>
      <c r="U86" s="117" t="e">
        <f>IF(BatSplit(#REF!,RunsScored)&gt;=50,BatSplit(#REF!,RunsScored)&amp;IF(BatSplit(#REF!,NotOuts)=1,"*","")&amp;"|"&amp;#REF!&amp;"|"&amp;U$2&amp;"|"&amp;TEXT(U$1,"dd-mmm"),"x")</f>
        <v>#VALUE!</v>
      </c>
      <c r="V86" s="117" t="e">
        <f>IF(BatSplit(#REF!,RunsScored)&gt;=50,BatSplit(#REF!,RunsScored)&amp;IF(BatSplit(#REF!,NotOuts)=1,"*","")&amp;"|"&amp;#REF!&amp;"|"&amp;V$2&amp;"|"&amp;TEXT(V$1,"dd-mmm"),"x")</f>
        <v>#VALUE!</v>
      </c>
      <c r="W86" s="117" t="e">
        <f>IF(BatSplit(#REF!,RunsScored)&gt;=50,BatSplit(#REF!,RunsScored)&amp;IF(BatSplit(#REF!,NotOuts)=1,"*","")&amp;"|"&amp;#REF!&amp;"|"&amp;W$2&amp;"|"&amp;TEXT(W$1,"dd-mmm"),"x")</f>
        <v>#VALUE!</v>
      </c>
      <c r="X86" s="117" t="e">
        <f>IF(BatSplit(#REF!,RunsScored)&gt;=50,BatSplit(#REF!,RunsScored)&amp;IF(BatSplit(#REF!,NotOuts)=1,"*","")&amp;"|"&amp;#REF!&amp;"|"&amp;X$2&amp;"|"&amp;TEXT(X$1,"dd-mmm"),"x")</f>
        <v>#VALUE!</v>
      </c>
      <c r="Y86" s="117" t="e">
        <f>IF(BatSplit(#REF!,RunsScored)&gt;=50,BatSplit(#REF!,RunsScored)&amp;IF(BatSplit(#REF!,NotOuts)=1,"*","")&amp;"|"&amp;#REF!&amp;"|"&amp;Y$2&amp;"|"&amp;TEXT(Y$1,"dd-mmm"),"x")</f>
        <v>#VALUE!</v>
      </c>
      <c r="Z86" s="117" t="e">
        <f>IF(BatSplit(#REF!,RunsScored)&gt;=50,BatSplit(#REF!,RunsScored)&amp;IF(BatSplit(#REF!,NotOuts)=1,"*","")&amp;"|"&amp;#REF!&amp;"|"&amp;Z$2&amp;"|"&amp;TEXT(Z$1,"dd-mmm"),"x")</f>
        <v>#VALUE!</v>
      </c>
    </row>
    <row r="87" spans="4:26" customFormat="1" x14ac:dyDescent="0.15">
      <c r="D87" s="117" t="str">
        <f t="shared" ref="D87:Z87" si="175">IF(BatSplit(D22,RunsScored)&gt;=50,BatSplit(D22,RunsScored)&amp;IF(BatSplit(D22,NotOuts)=1,"*","")&amp;"|"&amp;$C22&amp;"|"&amp;D$2&amp;"|"&amp;TEXT(D$1,"dd-mmm"),"x")</f>
        <v>x</v>
      </c>
      <c r="E87" s="117" t="str">
        <f t="shared" si="175"/>
        <v>x</v>
      </c>
      <c r="F87" s="117" t="str">
        <f t="shared" si="175"/>
        <v>x</v>
      </c>
      <c r="G87" s="117" t="str">
        <f t="shared" si="175"/>
        <v>x</v>
      </c>
      <c r="H87" s="117" t="str">
        <f t="shared" si="175"/>
        <v>x</v>
      </c>
      <c r="I87" s="117" t="str">
        <f t="shared" si="175"/>
        <v>x</v>
      </c>
      <c r="J87" s="117" t="str">
        <f t="shared" si="175"/>
        <v>x</v>
      </c>
      <c r="K87" s="117" t="str">
        <f t="shared" si="175"/>
        <v>x</v>
      </c>
      <c r="L87" s="117" t="str">
        <f t="shared" si="175"/>
        <v>x</v>
      </c>
      <c r="M87" s="117" t="str">
        <f t="shared" si="175"/>
        <v>x</v>
      </c>
      <c r="N87" s="117" t="str">
        <f t="shared" si="175"/>
        <v>x</v>
      </c>
      <c r="O87" s="117" t="str">
        <f t="shared" si="175"/>
        <v>x</v>
      </c>
      <c r="P87" s="117" t="str">
        <f t="shared" si="175"/>
        <v>x</v>
      </c>
      <c r="Q87" s="117" t="str">
        <f t="shared" si="175"/>
        <v>x</v>
      </c>
      <c r="R87" s="117" t="str">
        <f t="shared" si="175"/>
        <v>x</v>
      </c>
      <c r="S87" s="117" t="str">
        <f t="shared" si="175"/>
        <v>x</v>
      </c>
      <c r="T87" s="117" t="str">
        <f t="shared" si="175"/>
        <v>x</v>
      </c>
      <c r="U87" s="117" t="str">
        <f t="shared" si="175"/>
        <v>x</v>
      </c>
      <c r="V87" s="117" t="str">
        <f t="shared" si="175"/>
        <v>x</v>
      </c>
      <c r="W87" s="117" t="str">
        <f t="shared" si="175"/>
        <v>x</v>
      </c>
      <c r="X87" s="117" t="str">
        <f t="shared" si="175"/>
        <v>x</v>
      </c>
      <c r="Y87" s="117" t="str">
        <f t="shared" si="175"/>
        <v>x</v>
      </c>
      <c r="Z87" s="117" t="str">
        <f t="shared" si="175"/>
        <v>x</v>
      </c>
    </row>
    <row r="88" spans="4:26" customFormat="1" x14ac:dyDescent="0.15">
      <c r="D88" s="117" t="e">
        <f>IF(BatSplit(#REF!,RunsScored)&gt;=50,BatSplit(#REF!,RunsScored)&amp;IF(BatSplit(#REF!,NotOuts)=1,"*","")&amp;"|"&amp;#REF!&amp;"|"&amp;D$2&amp;"|"&amp;TEXT(D$1,"dd-mmm"),"x")</f>
        <v>#VALUE!</v>
      </c>
      <c r="E88" s="117" t="e">
        <f>IF(BatSplit(#REF!,RunsScored)&gt;=50,BatSplit(#REF!,RunsScored)&amp;IF(BatSplit(#REF!,NotOuts)=1,"*","")&amp;"|"&amp;#REF!&amp;"|"&amp;E$2&amp;"|"&amp;TEXT(E$1,"dd-mmm"),"x")</f>
        <v>#VALUE!</v>
      </c>
      <c r="F88" s="117" t="e">
        <f>IF(BatSplit(#REF!,RunsScored)&gt;=50,BatSplit(#REF!,RunsScored)&amp;IF(BatSplit(#REF!,NotOuts)=1,"*","")&amp;"|"&amp;#REF!&amp;"|"&amp;F$2&amp;"|"&amp;TEXT(F$1,"dd-mmm"),"x")</f>
        <v>#VALUE!</v>
      </c>
      <c r="G88" s="117" t="e">
        <f>IF(BatSplit(#REF!,RunsScored)&gt;=50,BatSplit(#REF!,RunsScored)&amp;IF(BatSplit(#REF!,NotOuts)=1,"*","")&amp;"|"&amp;#REF!&amp;"|"&amp;G$2&amp;"|"&amp;TEXT(G$1,"dd-mmm"),"x")</f>
        <v>#VALUE!</v>
      </c>
      <c r="H88" s="117" t="e">
        <f>IF(BatSplit(#REF!,RunsScored)&gt;=50,BatSplit(#REF!,RunsScored)&amp;IF(BatSplit(#REF!,NotOuts)=1,"*","")&amp;"|"&amp;#REF!&amp;"|"&amp;H$2&amp;"|"&amp;TEXT(H$1,"dd-mmm"),"x")</f>
        <v>#VALUE!</v>
      </c>
      <c r="I88" s="117" t="e">
        <f>IF(BatSplit(#REF!,RunsScored)&gt;=50,BatSplit(#REF!,RunsScored)&amp;IF(BatSplit(#REF!,NotOuts)=1,"*","")&amp;"|"&amp;#REF!&amp;"|"&amp;I$2&amp;"|"&amp;TEXT(I$1,"dd-mmm"),"x")</f>
        <v>#VALUE!</v>
      </c>
      <c r="J88" s="117" t="e">
        <f>IF(BatSplit(#REF!,RunsScored)&gt;=50,BatSplit(#REF!,RunsScored)&amp;IF(BatSplit(#REF!,NotOuts)=1,"*","")&amp;"|"&amp;#REF!&amp;"|"&amp;J$2&amp;"|"&amp;TEXT(J$1,"dd-mmm"),"x")</f>
        <v>#VALUE!</v>
      </c>
      <c r="K88" s="117" t="e">
        <f>IF(BatSplit(#REF!,RunsScored)&gt;=50,BatSplit(#REF!,RunsScored)&amp;IF(BatSplit(#REF!,NotOuts)=1,"*","")&amp;"|"&amp;#REF!&amp;"|"&amp;K$2&amp;"|"&amp;TEXT(K$1,"dd-mmm"),"x")</f>
        <v>#VALUE!</v>
      </c>
      <c r="L88" s="117" t="e">
        <f>IF(BatSplit(#REF!,RunsScored)&gt;=50,BatSplit(#REF!,RunsScored)&amp;IF(BatSplit(#REF!,NotOuts)=1,"*","")&amp;"|"&amp;#REF!&amp;"|"&amp;L$2&amp;"|"&amp;TEXT(L$1,"dd-mmm"),"x")</f>
        <v>#VALUE!</v>
      </c>
      <c r="M88" s="117" t="e">
        <f>IF(BatSplit(#REF!,RunsScored)&gt;=50,BatSplit(#REF!,RunsScored)&amp;IF(BatSplit(#REF!,NotOuts)=1,"*","")&amp;"|"&amp;#REF!&amp;"|"&amp;M$2&amp;"|"&amp;TEXT(M$1,"dd-mmm"),"x")</f>
        <v>#VALUE!</v>
      </c>
      <c r="N88" s="117" t="e">
        <f>IF(BatSplit(#REF!,RunsScored)&gt;=50,BatSplit(#REF!,RunsScored)&amp;IF(BatSplit(#REF!,NotOuts)=1,"*","")&amp;"|"&amp;#REF!&amp;"|"&amp;N$2&amp;"|"&amp;TEXT(N$1,"dd-mmm"),"x")</f>
        <v>#VALUE!</v>
      </c>
      <c r="O88" s="117" t="e">
        <f>IF(BatSplit(#REF!,RunsScored)&gt;=50,BatSplit(#REF!,RunsScored)&amp;IF(BatSplit(#REF!,NotOuts)=1,"*","")&amp;"|"&amp;#REF!&amp;"|"&amp;O$2&amp;"|"&amp;TEXT(O$1,"dd-mmm"),"x")</f>
        <v>#VALUE!</v>
      </c>
      <c r="P88" s="117" t="e">
        <f>IF(BatSplit(#REF!,RunsScored)&gt;=50,BatSplit(#REF!,RunsScored)&amp;IF(BatSplit(#REF!,NotOuts)=1,"*","")&amp;"|"&amp;#REF!&amp;"|"&amp;P$2&amp;"|"&amp;TEXT(P$1,"dd-mmm"),"x")</f>
        <v>#VALUE!</v>
      </c>
      <c r="Q88" s="117" t="e">
        <f>IF(BatSplit(#REF!,RunsScored)&gt;=50,BatSplit(#REF!,RunsScored)&amp;IF(BatSplit(#REF!,NotOuts)=1,"*","")&amp;"|"&amp;#REF!&amp;"|"&amp;Q$2&amp;"|"&amp;TEXT(Q$1,"dd-mmm"),"x")</f>
        <v>#VALUE!</v>
      </c>
      <c r="R88" s="117" t="e">
        <f>IF(BatSplit(#REF!,RunsScored)&gt;=50,BatSplit(#REF!,RunsScored)&amp;IF(BatSplit(#REF!,NotOuts)=1,"*","")&amp;"|"&amp;#REF!&amp;"|"&amp;R$2&amp;"|"&amp;TEXT(R$1,"dd-mmm"),"x")</f>
        <v>#VALUE!</v>
      </c>
      <c r="S88" s="117" t="e">
        <f>IF(BatSplit(#REF!,RunsScored)&gt;=50,BatSplit(#REF!,RunsScored)&amp;IF(BatSplit(#REF!,NotOuts)=1,"*","")&amp;"|"&amp;#REF!&amp;"|"&amp;S$2&amp;"|"&amp;TEXT(S$1,"dd-mmm"),"x")</f>
        <v>#VALUE!</v>
      </c>
      <c r="T88" s="117" t="e">
        <f>IF(BatSplit(#REF!,RunsScored)&gt;=50,BatSplit(#REF!,RunsScored)&amp;IF(BatSplit(#REF!,NotOuts)=1,"*","")&amp;"|"&amp;#REF!&amp;"|"&amp;T$2&amp;"|"&amp;TEXT(T$1,"dd-mmm"),"x")</f>
        <v>#VALUE!</v>
      </c>
      <c r="U88" s="117" t="e">
        <f>IF(BatSplit(#REF!,RunsScored)&gt;=50,BatSplit(#REF!,RunsScored)&amp;IF(BatSplit(#REF!,NotOuts)=1,"*","")&amp;"|"&amp;#REF!&amp;"|"&amp;U$2&amp;"|"&amp;TEXT(U$1,"dd-mmm"),"x")</f>
        <v>#VALUE!</v>
      </c>
      <c r="V88" s="117" t="e">
        <f>IF(BatSplit(#REF!,RunsScored)&gt;=50,BatSplit(#REF!,RunsScored)&amp;IF(BatSplit(#REF!,NotOuts)=1,"*","")&amp;"|"&amp;#REF!&amp;"|"&amp;V$2&amp;"|"&amp;TEXT(V$1,"dd-mmm"),"x")</f>
        <v>#VALUE!</v>
      </c>
      <c r="W88" s="117" t="e">
        <f>IF(BatSplit(#REF!,RunsScored)&gt;=50,BatSplit(#REF!,RunsScored)&amp;IF(BatSplit(#REF!,NotOuts)=1,"*","")&amp;"|"&amp;#REF!&amp;"|"&amp;W$2&amp;"|"&amp;TEXT(W$1,"dd-mmm"),"x")</f>
        <v>#VALUE!</v>
      </c>
      <c r="X88" s="117" t="e">
        <f>IF(BatSplit(#REF!,RunsScored)&gt;=50,BatSplit(#REF!,RunsScored)&amp;IF(BatSplit(#REF!,NotOuts)=1,"*","")&amp;"|"&amp;#REF!&amp;"|"&amp;X$2&amp;"|"&amp;TEXT(X$1,"dd-mmm"),"x")</f>
        <v>#VALUE!</v>
      </c>
      <c r="Y88" s="117" t="e">
        <f>IF(BatSplit(#REF!,RunsScored)&gt;=50,BatSplit(#REF!,RunsScored)&amp;IF(BatSplit(#REF!,NotOuts)=1,"*","")&amp;"|"&amp;#REF!&amp;"|"&amp;Y$2&amp;"|"&amp;TEXT(Y$1,"dd-mmm"),"x")</f>
        <v>#VALUE!</v>
      </c>
      <c r="Z88" s="117" t="e">
        <f>IF(BatSplit(#REF!,RunsScored)&gt;=50,BatSplit(#REF!,RunsScored)&amp;IF(BatSplit(#REF!,NotOuts)=1,"*","")&amp;"|"&amp;#REF!&amp;"|"&amp;Z$2&amp;"|"&amp;TEXT(Z$1,"dd-mmm"),"x")</f>
        <v>#VALUE!</v>
      </c>
    </row>
    <row r="89" spans="4:26" customFormat="1" x14ac:dyDescent="0.15">
      <c r="D89" s="117" t="str">
        <f t="shared" ref="D89:Z89" si="176">IF(BatSplit(D23,RunsScored)&gt;=50,BatSplit(D23,RunsScored)&amp;IF(BatSplit(D23,NotOuts)=1,"*","")&amp;"|"&amp;$C23&amp;"|"&amp;D$2&amp;"|"&amp;TEXT(D$1,"dd-mmm"),"x")</f>
        <v>x</v>
      </c>
      <c r="E89" s="117" t="str">
        <f t="shared" si="176"/>
        <v>x</v>
      </c>
      <c r="F89" s="117" t="str">
        <f t="shared" si="176"/>
        <v>x</v>
      </c>
      <c r="G89" s="117" t="str">
        <f t="shared" si="176"/>
        <v>x</v>
      </c>
      <c r="H89" s="117" t="str">
        <f t="shared" si="176"/>
        <v>x</v>
      </c>
      <c r="I89" s="117" t="str">
        <f t="shared" si="176"/>
        <v>x</v>
      </c>
      <c r="J89" s="117" t="str">
        <f t="shared" si="176"/>
        <v>x</v>
      </c>
      <c r="K89" s="117" t="str">
        <f t="shared" si="176"/>
        <v>x</v>
      </c>
      <c r="L89" s="117" t="str">
        <f t="shared" si="176"/>
        <v>x</v>
      </c>
      <c r="M89" s="117" t="str">
        <f t="shared" si="176"/>
        <v>x</v>
      </c>
      <c r="N89" s="117" t="str">
        <f t="shared" si="176"/>
        <v>x</v>
      </c>
      <c r="O89" s="117" t="str">
        <f t="shared" si="176"/>
        <v>x</v>
      </c>
      <c r="P89" s="117" t="str">
        <f t="shared" si="176"/>
        <v>x</v>
      </c>
      <c r="Q89" s="117" t="str">
        <f t="shared" si="176"/>
        <v>x</v>
      </c>
      <c r="R89" s="117" t="str">
        <f t="shared" si="176"/>
        <v>x</v>
      </c>
      <c r="S89" s="117" t="str">
        <f t="shared" si="176"/>
        <v>x</v>
      </c>
      <c r="T89" s="117" t="str">
        <f t="shared" si="176"/>
        <v>x</v>
      </c>
      <c r="U89" s="117" t="str">
        <f t="shared" si="176"/>
        <v>x</v>
      </c>
      <c r="V89" s="117" t="str">
        <f t="shared" si="176"/>
        <v>x</v>
      </c>
      <c r="W89" s="117" t="str">
        <f t="shared" si="176"/>
        <v>x</v>
      </c>
      <c r="X89" s="117" t="str">
        <f t="shared" si="176"/>
        <v>x</v>
      </c>
      <c r="Y89" s="117" t="str">
        <f t="shared" si="176"/>
        <v>x</v>
      </c>
      <c r="Z89" s="117" t="str">
        <f t="shared" si="176"/>
        <v>x</v>
      </c>
    </row>
    <row r="90" spans="4:26" customFormat="1" x14ac:dyDescent="0.15">
      <c r="D90" s="117" t="e">
        <f>IF(BatSplit(#REF!,RunsScored)&gt;=50,BatSplit(#REF!,RunsScored)&amp;IF(BatSplit(#REF!,NotOuts)=1,"*","")&amp;"|"&amp;#REF!&amp;"|"&amp;D$2&amp;"|"&amp;TEXT(D$1,"dd-mmm"),"x")</f>
        <v>#VALUE!</v>
      </c>
      <c r="E90" s="117" t="e">
        <f>IF(BatSplit(#REF!,RunsScored)&gt;=50,BatSplit(#REF!,RunsScored)&amp;IF(BatSplit(#REF!,NotOuts)=1,"*","")&amp;"|"&amp;#REF!&amp;"|"&amp;E$2&amp;"|"&amp;TEXT(E$1,"dd-mmm"),"x")</f>
        <v>#VALUE!</v>
      </c>
      <c r="F90" s="117" t="e">
        <f>IF(BatSplit(#REF!,RunsScored)&gt;=50,BatSplit(#REF!,RunsScored)&amp;IF(BatSplit(#REF!,NotOuts)=1,"*","")&amp;"|"&amp;#REF!&amp;"|"&amp;F$2&amp;"|"&amp;TEXT(F$1,"dd-mmm"),"x")</f>
        <v>#VALUE!</v>
      </c>
      <c r="G90" s="117" t="e">
        <f>IF(BatSplit(#REF!,RunsScored)&gt;=50,BatSplit(#REF!,RunsScored)&amp;IF(BatSplit(#REF!,NotOuts)=1,"*","")&amp;"|"&amp;#REF!&amp;"|"&amp;G$2&amp;"|"&amp;TEXT(G$1,"dd-mmm"),"x")</f>
        <v>#VALUE!</v>
      </c>
      <c r="H90" s="117" t="e">
        <f>IF(BatSplit(#REF!,RunsScored)&gt;=50,BatSplit(#REF!,RunsScored)&amp;IF(BatSplit(#REF!,NotOuts)=1,"*","")&amp;"|"&amp;#REF!&amp;"|"&amp;H$2&amp;"|"&amp;TEXT(H$1,"dd-mmm"),"x")</f>
        <v>#VALUE!</v>
      </c>
      <c r="I90" s="117" t="e">
        <f>IF(BatSplit(#REF!,RunsScored)&gt;=50,BatSplit(#REF!,RunsScored)&amp;IF(BatSplit(#REF!,NotOuts)=1,"*","")&amp;"|"&amp;#REF!&amp;"|"&amp;I$2&amp;"|"&amp;TEXT(I$1,"dd-mmm"),"x")</f>
        <v>#VALUE!</v>
      </c>
      <c r="J90" s="117" t="e">
        <f>IF(BatSplit(#REF!,RunsScored)&gt;=50,BatSplit(#REF!,RunsScored)&amp;IF(BatSplit(#REF!,NotOuts)=1,"*","")&amp;"|"&amp;#REF!&amp;"|"&amp;J$2&amp;"|"&amp;TEXT(J$1,"dd-mmm"),"x")</f>
        <v>#VALUE!</v>
      </c>
      <c r="K90" s="117" t="e">
        <f>IF(BatSplit(#REF!,RunsScored)&gt;=50,BatSplit(#REF!,RunsScored)&amp;IF(BatSplit(#REF!,NotOuts)=1,"*","")&amp;"|"&amp;#REF!&amp;"|"&amp;K$2&amp;"|"&amp;TEXT(K$1,"dd-mmm"),"x")</f>
        <v>#VALUE!</v>
      </c>
      <c r="L90" s="117" t="e">
        <f>IF(BatSplit(#REF!,RunsScored)&gt;=50,BatSplit(#REF!,RunsScored)&amp;IF(BatSplit(#REF!,NotOuts)=1,"*","")&amp;"|"&amp;#REF!&amp;"|"&amp;L$2&amp;"|"&amp;TEXT(L$1,"dd-mmm"),"x")</f>
        <v>#VALUE!</v>
      </c>
      <c r="M90" s="117" t="e">
        <f>IF(BatSplit(#REF!,RunsScored)&gt;=50,BatSplit(#REF!,RunsScored)&amp;IF(BatSplit(#REF!,NotOuts)=1,"*","")&amp;"|"&amp;#REF!&amp;"|"&amp;M$2&amp;"|"&amp;TEXT(M$1,"dd-mmm"),"x")</f>
        <v>#VALUE!</v>
      </c>
      <c r="N90" s="117" t="e">
        <f>IF(BatSplit(#REF!,RunsScored)&gt;=50,BatSplit(#REF!,RunsScored)&amp;IF(BatSplit(#REF!,NotOuts)=1,"*","")&amp;"|"&amp;#REF!&amp;"|"&amp;N$2&amp;"|"&amp;TEXT(N$1,"dd-mmm"),"x")</f>
        <v>#VALUE!</v>
      </c>
      <c r="O90" s="117" t="e">
        <f>IF(BatSplit(#REF!,RunsScored)&gt;=50,BatSplit(#REF!,RunsScored)&amp;IF(BatSplit(#REF!,NotOuts)=1,"*","")&amp;"|"&amp;#REF!&amp;"|"&amp;O$2&amp;"|"&amp;TEXT(O$1,"dd-mmm"),"x")</f>
        <v>#VALUE!</v>
      </c>
      <c r="P90" s="117" t="e">
        <f>IF(BatSplit(#REF!,RunsScored)&gt;=50,BatSplit(#REF!,RunsScored)&amp;IF(BatSplit(#REF!,NotOuts)=1,"*","")&amp;"|"&amp;#REF!&amp;"|"&amp;P$2&amp;"|"&amp;TEXT(P$1,"dd-mmm"),"x")</f>
        <v>#VALUE!</v>
      </c>
      <c r="Q90" s="117" t="e">
        <f>IF(BatSplit(#REF!,RunsScored)&gt;=50,BatSplit(#REF!,RunsScored)&amp;IF(BatSplit(#REF!,NotOuts)=1,"*","")&amp;"|"&amp;#REF!&amp;"|"&amp;Q$2&amp;"|"&amp;TEXT(Q$1,"dd-mmm"),"x")</f>
        <v>#VALUE!</v>
      </c>
      <c r="R90" s="117" t="e">
        <f>IF(BatSplit(#REF!,RunsScored)&gt;=50,BatSplit(#REF!,RunsScored)&amp;IF(BatSplit(#REF!,NotOuts)=1,"*","")&amp;"|"&amp;#REF!&amp;"|"&amp;R$2&amp;"|"&amp;TEXT(R$1,"dd-mmm"),"x")</f>
        <v>#VALUE!</v>
      </c>
      <c r="S90" s="117" t="e">
        <f>IF(BatSplit(#REF!,RunsScored)&gt;=50,BatSplit(#REF!,RunsScored)&amp;IF(BatSplit(#REF!,NotOuts)=1,"*","")&amp;"|"&amp;#REF!&amp;"|"&amp;S$2&amp;"|"&amp;TEXT(S$1,"dd-mmm"),"x")</f>
        <v>#VALUE!</v>
      </c>
      <c r="T90" s="117" t="e">
        <f>IF(BatSplit(#REF!,RunsScored)&gt;=50,BatSplit(#REF!,RunsScored)&amp;IF(BatSplit(#REF!,NotOuts)=1,"*","")&amp;"|"&amp;#REF!&amp;"|"&amp;T$2&amp;"|"&amp;TEXT(T$1,"dd-mmm"),"x")</f>
        <v>#VALUE!</v>
      </c>
      <c r="U90" s="117" t="e">
        <f>IF(BatSplit(#REF!,RunsScored)&gt;=50,BatSplit(#REF!,RunsScored)&amp;IF(BatSplit(#REF!,NotOuts)=1,"*","")&amp;"|"&amp;#REF!&amp;"|"&amp;U$2&amp;"|"&amp;TEXT(U$1,"dd-mmm"),"x")</f>
        <v>#VALUE!</v>
      </c>
      <c r="V90" s="117" t="e">
        <f>IF(BatSplit(#REF!,RunsScored)&gt;=50,BatSplit(#REF!,RunsScored)&amp;IF(BatSplit(#REF!,NotOuts)=1,"*","")&amp;"|"&amp;#REF!&amp;"|"&amp;V$2&amp;"|"&amp;TEXT(V$1,"dd-mmm"),"x")</f>
        <v>#VALUE!</v>
      </c>
      <c r="W90" s="117" t="e">
        <f>IF(BatSplit(#REF!,RunsScored)&gt;=50,BatSplit(#REF!,RunsScored)&amp;IF(BatSplit(#REF!,NotOuts)=1,"*","")&amp;"|"&amp;#REF!&amp;"|"&amp;W$2&amp;"|"&amp;TEXT(W$1,"dd-mmm"),"x")</f>
        <v>#VALUE!</v>
      </c>
      <c r="X90" s="117" t="e">
        <f>IF(BatSplit(#REF!,RunsScored)&gt;=50,BatSplit(#REF!,RunsScored)&amp;IF(BatSplit(#REF!,NotOuts)=1,"*","")&amp;"|"&amp;#REF!&amp;"|"&amp;X$2&amp;"|"&amp;TEXT(X$1,"dd-mmm"),"x")</f>
        <v>#VALUE!</v>
      </c>
      <c r="Y90" s="117" t="e">
        <f>IF(BatSplit(#REF!,RunsScored)&gt;=50,BatSplit(#REF!,RunsScored)&amp;IF(BatSplit(#REF!,NotOuts)=1,"*","")&amp;"|"&amp;#REF!&amp;"|"&amp;Y$2&amp;"|"&amp;TEXT(Y$1,"dd-mmm"),"x")</f>
        <v>#VALUE!</v>
      </c>
      <c r="Z90" s="117" t="e">
        <f>IF(BatSplit(#REF!,RunsScored)&gt;=50,BatSplit(#REF!,RunsScored)&amp;IF(BatSplit(#REF!,NotOuts)=1,"*","")&amp;"|"&amp;#REF!&amp;"|"&amp;Z$2&amp;"|"&amp;TEXT(Z$1,"dd-mmm"),"x")</f>
        <v>#VALUE!</v>
      </c>
    </row>
    <row r="91" spans="4:26" customFormat="1" x14ac:dyDescent="0.15">
      <c r="D91" s="117" t="str">
        <f t="shared" ref="D91:Z91" si="177">IF(BatSplit(D24,RunsScored)&gt;=50,BatSplit(D24,RunsScored)&amp;IF(BatSplit(D24,NotOuts)=1,"*","")&amp;"|"&amp;$C24&amp;"|"&amp;D$2&amp;"|"&amp;TEXT(D$1,"dd-mmm"),"x")</f>
        <v>x</v>
      </c>
      <c r="E91" s="117" t="str">
        <f t="shared" si="177"/>
        <v>x</v>
      </c>
      <c r="F91" s="117" t="str">
        <f t="shared" si="177"/>
        <v>x</v>
      </c>
      <c r="G91" s="117" t="str">
        <f t="shared" si="177"/>
        <v>x</v>
      </c>
      <c r="H91" s="117" t="str">
        <f t="shared" si="177"/>
        <v>x</v>
      </c>
      <c r="I91" s="117" t="str">
        <f t="shared" si="177"/>
        <v>x</v>
      </c>
      <c r="J91" s="117" t="str">
        <f t="shared" si="177"/>
        <v>x</v>
      </c>
      <c r="K91" s="117" t="str">
        <f t="shared" si="177"/>
        <v>x</v>
      </c>
      <c r="L91" s="117" t="str">
        <f t="shared" si="177"/>
        <v>x</v>
      </c>
      <c r="M91" s="117" t="str">
        <f t="shared" si="177"/>
        <v>x</v>
      </c>
      <c r="N91" s="117" t="str">
        <f t="shared" si="177"/>
        <v>x</v>
      </c>
      <c r="O91" s="117" t="str">
        <f t="shared" si="177"/>
        <v>x</v>
      </c>
      <c r="P91" s="117" t="str">
        <f t="shared" si="177"/>
        <v>x</v>
      </c>
      <c r="Q91" s="117" t="str">
        <f t="shared" si="177"/>
        <v>x</v>
      </c>
      <c r="R91" s="117" t="str">
        <f t="shared" si="177"/>
        <v>x</v>
      </c>
      <c r="S91" s="117" t="str">
        <f t="shared" si="177"/>
        <v>x</v>
      </c>
      <c r="T91" s="117" t="str">
        <f t="shared" si="177"/>
        <v>x</v>
      </c>
      <c r="U91" s="117" t="str">
        <f t="shared" si="177"/>
        <v>x</v>
      </c>
      <c r="V91" s="117" t="str">
        <f t="shared" si="177"/>
        <v>x</v>
      </c>
      <c r="W91" s="117" t="str">
        <f t="shared" si="177"/>
        <v>x</v>
      </c>
      <c r="X91" s="117" t="str">
        <f t="shared" si="177"/>
        <v>x</v>
      </c>
      <c r="Y91" s="117" t="str">
        <f t="shared" si="177"/>
        <v>x</v>
      </c>
      <c r="Z91" s="117" t="str">
        <f t="shared" si="177"/>
        <v>x</v>
      </c>
    </row>
    <row r="92" spans="4:26" customFormat="1" x14ac:dyDescent="0.15">
      <c r="D92" s="117" t="str">
        <f t="shared" ref="D92:Z92" si="178">IF(BatSplit(D25,RunsScored)&gt;=50,BatSplit(D25,RunsScored)&amp;IF(BatSplit(D25,NotOuts)=1,"*","")&amp;"|"&amp;$C25&amp;"|"&amp;D$2&amp;"|"&amp;TEXT(D$1,"dd-mmm"),"x")</f>
        <v>x</v>
      </c>
      <c r="E92" s="117" t="str">
        <f t="shared" si="178"/>
        <v>x</v>
      </c>
      <c r="F92" s="117" t="str">
        <f t="shared" si="178"/>
        <v>x</v>
      </c>
      <c r="G92" s="117" t="str">
        <f t="shared" si="178"/>
        <v>x</v>
      </c>
      <c r="H92" s="117" t="str">
        <f t="shared" si="178"/>
        <v>x</v>
      </c>
      <c r="I92" s="117" t="str">
        <f t="shared" si="178"/>
        <v>x</v>
      </c>
      <c r="J92" s="117" t="str">
        <f t="shared" si="178"/>
        <v>x</v>
      </c>
      <c r="K92" s="117" t="str">
        <f t="shared" si="178"/>
        <v>x</v>
      </c>
      <c r="L92" s="117" t="str">
        <f t="shared" si="178"/>
        <v>x</v>
      </c>
      <c r="M92" s="117" t="str">
        <f t="shared" si="178"/>
        <v>x</v>
      </c>
      <c r="N92" s="117" t="str">
        <f t="shared" si="178"/>
        <v>x</v>
      </c>
      <c r="O92" s="117" t="str">
        <f t="shared" si="178"/>
        <v>x</v>
      </c>
      <c r="P92" s="117" t="str">
        <f t="shared" si="178"/>
        <v>x</v>
      </c>
      <c r="Q92" s="117" t="str">
        <f t="shared" si="178"/>
        <v>x</v>
      </c>
      <c r="R92" s="117" t="str">
        <f t="shared" si="178"/>
        <v>x</v>
      </c>
      <c r="S92" s="117" t="str">
        <f t="shared" si="178"/>
        <v>x</v>
      </c>
      <c r="T92" s="117" t="str">
        <f t="shared" si="178"/>
        <v>x</v>
      </c>
      <c r="U92" s="117" t="str">
        <f t="shared" si="178"/>
        <v>x</v>
      </c>
      <c r="V92" s="117" t="str">
        <f t="shared" si="178"/>
        <v>x</v>
      </c>
      <c r="W92" s="117" t="str">
        <f t="shared" si="178"/>
        <v>x</v>
      </c>
      <c r="X92" s="117" t="str">
        <f t="shared" si="178"/>
        <v>x</v>
      </c>
      <c r="Y92" s="117" t="str">
        <f t="shared" si="178"/>
        <v>x</v>
      </c>
      <c r="Z92" s="117" t="str">
        <f t="shared" si="178"/>
        <v>x</v>
      </c>
    </row>
    <row r="93" spans="4:26" customFormat="1" x14ac:dyDescent="0.15">
      <c r="D93" s="117" t="str">
        <f t="shared" ref="D93:Z93" si="179">IF(BatSplit(D26,RunsScored)&gt;=50,BatSplit(D26,RunsScored)&amp;IF(BatSplit(D26,NotOuts)=1,"*","")&amp;"|"&amp;$C26&amp;"|"&amp;D$2&amp;"|"&amp;TEXT(D$1,"dd-mmm"),"x")</f>
        <v>x</v>
      </c>
      <c r="E93" s="117" t="str">
        <f t="shared" si="179"/>
        <v>x</v>
      </c>
      <c r="F93" s="117" t="str">
        <f t="shared" si="179"/>
        <v>x</v>
      </c>
      <c r="G93" s="117" t="str">
        <f t="shared" si="179"/>
        <v>x</v>
      </c>
      <c r="H93" s="117" t="str">
        <f t="shared" si="179"/>
        <v>x</v>
      </c>
      <c r="I93" s="117" t="str">
        <f t="shared" si="179"/>
        <v>x</v>
      </c>
      <c r="J93" s="117" t="str">
        <f t="shared" si="179"/>
        <v>x</v>
      </c>
      <c r="K93" s="117" t="str">
        <f t="shared" si="179"/>
        <v>x</v>
      </c>
      <c r="L93" s="117" t="str">
        <f t="shared" si="179"/>
        <v>x</v>
      </c>
      <c r="M93" s="117" t="str">
        <f t="shared" si="179"/>
        <v>x</v>
      </c>
      <c r="N93" s="117" t="str">
        <f t="shared" si="179"/>
        <v>x</v>
      </c>
      <c r="O93" s="117" t="str">
        <f t="shared" si="179"/>
        <v>x</v>
      </c>
      <c r="P93" s="117" t="str">
        <f t="shared" si="179"/>
        <v>x</v>
      </c>
      <c r="Q93" s="117" t="str">
        <f t="shared" si="179"/>
        <v>x</v>
      </c>
      <c r="R93" s="117" t="str">
        <f t="shared" si="179"/>
        <v>x</v>
      </c>
      <c r="S93" s="117" t="str">
        <f t="shared" si="179"/>
        <v>x</v>
      </c>
      <c r="T93" s="117" t="str">
        <f t="shared" si="179"/>
        <v>x</v>
      </c>
      <c r="U93" s="117" t="str">
        <f t="shared" si="179"/>
        <v>x</v>
      </c>
      <c r="V93" s="117" t="str">
        <f t="shared" si="179"/>
        <v>x</v>
      </c>
      <c r="W93" s="117" t="str">
        <f t="shared" si="179"/>
        <v>x</v>
      </c>
      <c r="X93" s="117" t="str">
        <f t="shared" si="179"/>
        <v>x</v>
      </c>
      <c r="Y93" s="117" t="str">
        <f t="shared" si="179"/>
        <v>x</v>
      </c>
      <c r="Z93" s="117" t="str">
        <f t="shared" si="179"/>
        <v>x</v>
      </c>
    </row>
    <row r="94" spans="4:26" customFormat="1" x14ac:dyDescent="0.15">
      <c r="D94" s="117" t="str">
        <f t="shared" ref="D94:Z94" si="180">IF(BatSplit(D27,RunsScored)&gt;=50,BatSplit(D27,RunsScored)&amp;IF(BatSplit(D27,NotOuts)=1,"*","")&amp;"|"&amp;$C27&amp;"|"&amp;D$2&amp;"|"&amp;TEXT(D$1,"dd-mmm"),"x")</f>
        <v>x</v>
      </c>
      <c r="E94" s="117" t="str">
        <f t="shared" si="180"/>
        <v>x</v>
      </c>
      <c r="F94" s="117" t="str">
        <f t="shared" si="180"/>
        <v>x</v>
      </c>
      <c r="G94" s="117" t="str">
        <f t="shared" si="180"/>
        <v>x</v>
      </c>
      <c r="H94" s="117" t="str">
        <f t="shared" si="180"/>
        <v>x</v>
      </c>
      <c r="I94" s="117" t="str">
        <f t="shared" si="180"/>
        <v>x</v>
      </c>
      <c r="J94" s="117" t="str">
        <f t="shared" si="180"/>
        <v>x</v>
      </c>
      <c r="K94" s="117" t="str">
        <f t="shared" si="180"/>
        <v>x</v>
      </c>
      <c r="L94" s="117" t="str">
        <f t="shared" si="180"/>
        <v>x</v>
      </c>
      <c r="M94" s="117" t="str">
        <f t="shared" si="180"/>
        <v>x</v>
      </c>
      <c r="N94" s="117" t="str">
        <f t="shared" si="180"/>
        <v>x</v>
      </c>
      <c r="O94" s="117" t="str">
        <f t="shared" si="180"/>
        <v>x</v>
      </c>
      <c r="P94" s="117" t="str">
        <f t="shared" si="180"/>
        <v>x</v>
      </c>
      <c r="Q94" s="117" t="str">
        <f t="shared" si="180"/>
        <v>64|Mati|Norwood Exiles|24-Aug</v>
      </c>
      <c r="R94" s="117" t="str">
        <f t="shared" si="180"/>
        <v>x</v>
      </c>
      <c r="S94" s="117" t="str">
        <f t="shared" si="180"/>
        <v>x</v>
      </c>
      <c r="T94" s="117" t="str">
        <f t="shared" si="180"/>
        <v>x</v>
      </c>
      <c r="U94" s="117" t="str">
        <f t="shared" si="180"/>
        <v>x</v>
      </c>
      <c r="V94" s="117" t="str">
        <f t="shared" si="180"/>
        <v>x</v>
      </c>
      <c r="W94" s="117" t="str">
        <f t="shared" si="180"/>
        <v>x</v>
      </c>
      <c r="X94" s="117" t="str">
        <f t="shared" si="180"/>
        <v>x</v>
      </c>
      <c r="Y94" s="117" t="str">
        <f t="shared" si="180"/>
        <v>x</v>
      </c>
      <c r="Z94" s="117" t="str">
        <f t="shared" si="180"/>
        <v>x</v>
      </c>
    </row>
    <row r="95" spans="4:26" customFormat="1" x14ac:dyDescent="0.15">
      <c r="D95" s="117" t="str">
        <f t="shared" ref="D95:Z95" si="181">IF(BatSplit(D28,RunsScored)&gt;=50,BatSplit(D28,RunsScored)&amp;IF(BatSplit(D28,NotOuts)=1,"*","")&amp;"|"&amp;$C28&amp;"|"&amp;D$2&amp;"|"&amp;TEXT(D$1,"dd-mmm"),"x")</f>
        <v>x</v>
      </c>
      <c r="E95" s="117" t="str">
        <f t="shared" si="181"/>
        <v>x</v>
      </c>
      <c r="F95" s="117" t="str">
        <f t="shared" si="181"/>
        <v>x</v>
      </c>
      <c r="G95" s="117" t="str">
        <f t="shared" si="181"/>
        <v>x</v>
      </c>
      <c r="H95" s="117" t="str">
        <f t="shared" si="181"/>
        <v>x</v>
      </c>
      <c r="I95" s="117" t="str">
        <f t="shared" si="181"/>
        <v>x</v>
      </c>
      <c r="J95" s="117" t="str">
        <f t="shared" si="181"/>
        <v>52|Middleton J|Putney|08-Jun</v>
      </c>
      <c r="K95" s="117" t="str">
        <f t="shared" si="181"/>
        <v>x</v>
      </c>
      <c r="L95" s="117" t="str">
        <f t="shared" si="181"/>
        <v>x</v>
      </c>
      <c r="M95" s="117" t="str">
        <f t="shared" si="181"/>
        <v>x</v>
      </c>
      <c r="N95" s="117" t="str">
        <f t="shared" si="181"/>
        <v>x</v>
      </c>
      <c r="O95" s="117" t="str">
        <f t="shared" si="181"/>
        <v>x</v>
      </c>
      <c r="P95" s="117" t="str">
        <f t="shared" si="181"/>
        <v>x</v>
      </c>
      <c r="Q95" s="117" t="str">
        <f t="shared" si="181"/>
        <v>x</v>
      </c>
      <c r="R95" s="117" t="str">
        <f t="shared" si="181"/>
        <v>x</v>
      </c>
      <c r="S95" s="117" t="str">
        <f t="shared" si="181"/>
        <v>x</v>
      </c>
      <c r="T95" s="117" t="str">
        <f t="shared" si="181"/>
        <v>x</v>
      </c>
      <c r="U95" s="117" t="str">
        <f t="shared" si="181"/>
        <v>x</v>
      </c>
      <c r="V95" s="117" t="str">
        <f t="shared" si="181"/>
        <v>x</v>
      </c>
      <c r="W95" s="117" t="str">
        <f t="shared" si="181"/>
        <v>x</v>
      </c>
      <c r="X95" s="117" t="str">
        <f t="shared" si="181"/>
        <v>x</v>
      </c>
      <c r="Y95" s="117" t="str">
        <f t="shared" si="181"/>
        <v>x</v>
      </c>
      <c r="Z95" s="117" t="str">
        <f t="shared" si="181"/>
        <v>x</v>
      </c>
    </row>
    <row r="96" spans="4:26" customFormat="1" x14ac:dyDescent="0.15">
      <c r="D96" s="117" t="e">
        <f>IF(BatSplit(#REF!,RunsScored)&gt;=50,BatSplit(#REF!,RunsScored)&amp;IF(BatSplit(#REF!,NotOuts)=1,"*","")&amp;"|"&amp;#REF!&amp;"|"&amp;D$2&amp;"|"&amp;TEXT(D$1,"dd-mmm"),"x")</f>
        <v>#VALUE!</v>
      </c>
      <c r="E96" s="117" t="e">
        <f>IF(BatSplit(#REF!,RunsScored)&gt;=50,BatSplit(#REF!,RunsScored)&amp;IF(BatSplit(#REF!,NotOuts)=1,"*","")&amp;"|"&amp;#REF!&amp;"|"&amp;E$2&amp;"|"&amp;TEXT(E$1,"dd-mmm"),"x")</f>
        <v>#VALUE!</v>
      </c>
      <c r="F96" s="117" t="e">
        <f>IF(BatSplit(#REF!,RunsScored)&gt;=50,BatSplit(#REF!,RunsScored)&amp;IF(BatSplit(#REF!,NotOuts)=1,"*","")&amp;"|"&amp;#REF!&amp;"|"&amp;F$2&amp;"|"&amp;TEXT(F$1,"dd-mmm"),"x")</f>
        <v>#VALUE!</v>
      </c>
      <c r="G96" s="117" t="e">
        <f>IF(BatSplit(#REF!,RunsScored)&gt;=50,BatSplit(#REF!,RunsScored)&amp;IF(BatSplit(#REF!,NotOuts)=1,"*","")&amp;"|"&amp;#REF!&amp;"|"&amp;G$2&amp;"|"&amp;TEXT(G$1,"dd-mmm"),"x")</f>
        <v>#VALUE!</v>
      </c>
      <c r="H96" s="117" t="e">
        <f>IF(BatSplit(#REF!,RunsScored)&gt;=50,BatSplit(#REF!,RunsScored)&amp;IF(BatSplit(#REF!,NotOuts)=1,"*","")&amp;"|"&amp;#REF!&amp;"|"&amp;H$2&amp;"|"&amp;TEXT(H$1,"dd-mmm"),"x")</f>
        <v>#VALUE!</v>
      </c>
      <c r="I96" s="117" t="e">
        <f>IF(BatSplit(#REF!,RunsScored)&gt;=50,BatSplit(#REF!,RunsScored)&amp;IF(BatSplit(#REF!,NotOuts)=1,"*","")&amp;"|"&amp;#REF!&amp;"|"&amp;I$2&amp;"|"&amp;TEXT(I$1,"dd-mmm"),"x")</f>
        <v>#VALUE!</v>
      </c>
      <c r="J96" s="117" t="e">
        <f>IF(BatSplit(#REF!,RunsScored)&gt;=50,BatSplit(#REF!,RunsScored)&amp;IF(BatSplit(#REF!,NotOuts)=1,"*","")&amp;"|"&amp;#REF!&amp;"|"&amp;J$2&amp;"|"&amp;TEXT(J$1,"dd-mmm"),"x")</f>
        <v>#VALUE!</v>
      </c>
      <c r="K96" s="117" t="e">
        <f>IF(BatSplit(#REF!,RunsScored)&gt;=50,BatSplit(#REF!,RunsScored)&amp;IF(BatSplit(#REF!,NotOuts)=1,"*","")&amp;"|"&amp;#REF!&amp;"|"&amp;K$2&amp;"|"&amp;TEXT(K$1,"dd-mmm"),"x")</f>
        <v>#VALUE!</v>
      </c>
      <c r="L96" s="117" t="e">
        <f>IF(BatSplit(#REF!,RunsScored)&gt;=50,BatSplit(#REF!,RunsScored)&amp;IF(BatSplit(#REF!,NotOuts)=1,"*","")&amp;"|"&amp;#REF!&amp;"|"&amp;L$2&amp;"|"&amp;TEXT(L$1,"dd-mmm"),"x")</f>
        <v>#VALUE!</v>
      </c>
      <c r="M96" s="117" t="e">
        <f>IF(BatSplit(#REF!,RunsScored)&gt;=50,BatSplit(#REF!,RunsScored)&amp;IF(BatSplit(#REF!,NotOuts)=1,"*","")&amp;"|"&amp;#REF!&amp;"|"&amp;M$2&amp;"|"&amp;TEXT(M$1,"dd-mmm"),"x")</f>
        <v>#VALUE!</v>
      </c>
      <c r="N96" s="117" t="e">
        <f>IF(BatSplit(#REF!,RunsScored)&gt;=50,BatSplit(#REF!,RunsScored)&amp;IF(BatSplit(#REF!,NotOuts)=1,"*","")&amp;"|"&amp;#REF!&amp;"|"&amp;N$2&amp;"|"&amp;TEXT(N$1,"dd-mmm"),"x")</f>
        <v>#VALUE!</v>
      </c>
      <c r="O96" s="117" t="e">
        <f>IF(BatSplit(#REF!,RunsScored)&gt;=50,BatSplit(#REF!,RunsScored)&amp;IF(BatSplit(#REF!,NotOuts)=1,"*","")&amp;"|"&amp;#REF!&amp;"|"&amp;O$2&amp;"|"&amp;TEXT(O$1,"dd-mmm"),"x")</f>
        <v>#VALUE!</v>
      </c>
      <c r="P96" s="117" t="e">
        <f>IF(BatSplit(#REF!,RunsScored)&gt;=50,BatSplit(#REF!,RunsScored)&amp;IF(BatSplit(#REF!,NotOuts)=1,"*","")&amp;"|"&amp;#REF!&amp;"|"&amp;P$2&amp;"|"&amp;TEXT(P$1,"dd-mmm"),"x")</f>
        <v>#VALUE!</v>
      </c>
      <c r="Q96" s="117" t="e">
        <f>IF(BatSplit(#REF!,RunsScored)&gt;=50,BatSplit(#REF!,RunsScored)&amp;IF(BatSplit(#REF!,NotOuts)=1,"*","")&amp;"|"&amp;#REF!&amp;"|"&amp;Q$2&amp;"|"&amp;TEXT(Q$1,"dd-mmm"),"x")</f>
        <v>#VALUE!</v>
      </c>
      <c r="R96" s="117" t="e">
        <f>IF(BatSplit(#REF!,RunsScored)&gt;=50,BatSplit(#REF!,RunsScored)&amp;IF(BatSplit(#REF!,NotOuts)=1,"*","")&amp;"|"&amp;#REF!&amp;"|"&amp;R$2&amp;"|"&amp;TEXT(R$1,"dd-mmm"),"x")</f>
        <v>#VALUE!</v>
      </c>
      <c r="S96" s="117" t="e">
        <f>IF(BatSplit(#REF!,RunsScored)&gt;=50,BatSplit(#REF!,RunsScored)&amp;IF(BatSplit(#REF!,NotOuts)=1,"*","")&amp;"|"&amp;#REF!&amp;"|"&amp;S$2&amp;"|"&amp;TEXT(S$1,"dd-mmm"),"x")</f>
        <v>#VALUE!</v>
      </c>
      <c r="T96" s="117" t="e">
        <f>IF(BatSplit(#REF!,RunsScored)&gt;=50,BatSplit(#REF!,RunsScored)&amp;IF(BatSplit(#REF!,NotOuts)=1,"*","")&amp;"|"&amp;#REF!&amp;"|"&amp;T$2&amp;"|"&amp;TEXT(T$1,"dd-mmm"),"x")</f>
        <v>#VALUE!</v>
      </c>
      <c r="U96" s="117" t="e">
        <f>IF(BatSplit(#REF!,RunsScored)&gt;=50,BatSplit(#REF!,RunsScored)&amp;IF(BatSplit(#REF!,NotOuts)=1,"*","")&amp;"|"&amp;#REF!&amp;"|"&amp;U$2&amp;"|"&amp;TEXT(U$1,"dd-mmm"),"x")</f>
        <v>#VALUE!</v>
      </c>
      <c r="V96" s="117" t="e">
        <f>IF(BatSplit(#REF!,RunsScored)&gt;=50,BatSplit(#REF!,RunsScored)&amp;IF(BatSplit(#REF!,NotOuts)=1,"*","")&amp;"|"&amp;#REF!&amp;"|"&amp;V$2&amp;"|"&amp;TEXT(V$1,"dd-mmm"),"x")</f>
        <v>#VALUE!</v>
      </c>
      <c r="W96" s="117" t="e">
        <f>IF(BatSplit(#REF!,RunsScored)&gt;=50,BatSplit(#REF!,RunsScored)&amp;IF(BatSplit(#REF!,NotOuts)=1,"*","")&amp;"|"&amp;#REF!&amp;"|"&amp;W$2&amp;"|"&amp;TEXT(W$1,"dd-mmm"),"x")</f>
        <v>#VALUE!</v>
      </c>
      <c r="X96" s="117" t="e">
        <f>IF(BatSplit(#REF!,RunsScored)&gt;=50,BatSplit(#REF!,RunsScored)&amp;IF(BatSplit(#REF!,NotOuts)=1,"*","")&amp;"|"&amp;#REF!&amp;"|"&amp;X$2&amp;"|"&amp;TEXT(X$1,"dd-mmm"),"x")</f>
        <v>#VALUE!</v>
      </c>
      <c r="Y96" s="117" t="e">
        <f>IF(BatSplit(#REF!,RunsScored)&gt;=50,BatSplit(#REF!,RunsScored)&amp;IF(BatSplit(#REF!,NotOuts)=1,"*","")&amp;"|"&amp;#REF!&amp;"|"&amp;Y$2&amp;"|"&amp;TEXT(Y$1,"dd-mmm"),"x")</f>
        <v>#VALUE!</v>
      </c>
      <c r="Z96" s="117" t="e">
        <f>IF(BatSplit(#REF!,RunsScored)&gt;=50,BatSplit(#REF!,RunsScored)&amp;IF(BatSplit(#REF!,NotOuts)=1,"*","")&amp;"|"&amp;#REF!&amp;"|"&amp;Z$2&amp;"|"&amp;TEXT(Z$1,"dd-mmm"),"x")</f>
        <v>#VALUE!</v>
      </c>
    </row>
    <row r="97" spans="4:26" customFormat="1" x14ac:dyDescent="0.15">
      <c r="D97" s="117" t="str">
        <f t="shared" ref="D97:Z97" si="182">IF(BatSplit(D29,RunsScored)&gt;=50,BatSplit(D29,RunsScored)&amp;IF(BatSplit(D29,NotOuts)=1,"*","")&amp;"|"&amp;$C29&amp;"|"&amp;D$2&amp;"|"&amp;TEXT(D$1,"dd-mmm"),"x")</f>
        <v>x</v>
      </c>
      <c r="E97" s="117" t="str">
        <f t="shared" si="182"/>
        <v>x</v>
      </c>
      <c r="F97" s="117" t="str">
        <f t="shared" si="182"/>
        <v>x</v>
      </c>
      <c r="G97" s="117" t="str">
        <f t="shared" si="182"/>
        <v>x</v>
      </c>
      <c r="H97" s="117" t="str">
        <f t="shared" si="182"/>
        <v>x</v>
      </c>
      <c r="I97" s="117" t="str">
        <f t="shared" si="182"/>
        <v>x</v>
      </c>
      <c r="J97" s="117" t="str">
        <f t="shared" si="182"/>
        <v>x</v>
      </c>
      <c r="K97" s="117" t="str">
        <f t="shared" si="182"/>
        <v>x</v>
      </c>
      <c r="L97" s="117" t="str">
        <f t="shared" si="182"/>
        <v>x</v>
      </c>
      <c r="M97" s="117" t="str">
        <f t="shared" si="182"/>
        <v>x</v>
      </c>
      <c r="N97" s="117" t="str">
        <f t="shared" si="182"/>
        <v>x</v>
      </c>
      <c r="O97" s="117" t="str">
        <f t="shared" si="182"/>
        <v>x</v>
      </c>
      <c r="P97" s="117" t="str">
        <f t="shared" si="182"/>
        <v>x</v>
      </c>
      <c r="Q97" s="117" t="str">
        <f t="shared" si="182"/>
        <v>x</v>
      </c>
      <c r="R97" s="117" t="str">
        <f t="shared" si="182"/>
        <v>x</v>
      </c>
      <c r="S97" s="117" t="str">
        <f t="shared" si="182"/>
        <v>x</v>
      </c>
      <c r="T97" s="117" t="str">
        <f t="shared" si="182"/>
        <v>x</v>
      </c>
      <c r="U97" s="117" t="str">
        <f t="shared" si="182"/>
        <v>x</v>
      </c>
      <c r="V97" s="117" t="str">
        <f t="shared" si="182"/>
        <v>x</v>
      </c>
      <c r="W97" s="117" t="str">
        <f t="shared" si="182"/>
        <v>x</v>
      </c>
      <c r="X97" s="117" t="str">
        <f t="shared" si="182"/>
        <v>x</v>
      </c>
      <c r="Y97" s="117" t="str">
        <f t="shared" si="182"/>
        <v>x</v>
      </c>
      <c r="Z97" s="117" t="str">
        <f t="shared" si="182"/>
        <v>x</v>
      </c>
    </row>
    <row r="98" spans="4:26" customFormat="1" x14ac:dyDescent="0.15">
      <c r="D98" s="117" t="str">
        <f t="shared" ref="D98:Z98" si="183">IF(BatSplit(D30,RunsScored)&gt;=50,BatSplit(D30,RunsScored)&amp;IF(BatSplit(D30,NotOuts)=1,"*","")&amp;"|"&amp;$C30&amp;"|"&amp;D$2&amp;"|"&amp;TEXT(D$1,"dd-mmm"),"x")</f>
        <v>x</v>
      </c>
      <c r="E98" s="117" t="str">
        <f t="shared" si="183"/>
        <v>x</v>
      </c>
      <c r="F98" s="117" t="str">
        <f t="shared" si="183"/>
        <v>x</v>
      </c>
      <c r="G98" s="117" t="str">
        <f t="shared" si="183"/>
        <v>x</v>
      </c>
      <c r="H98" s="117" t="str">
        <f t="shared" si="183"/>
        <v>x</v>
      </c>
      <c r="I98" s="117" t="str">
        <f t="shared" si="183"/>
        <v>x</v>
      </c>
      <c r="J98" s="117" t="str">
        <f t="shared" si="183"/>
        <v>x</v>
      </c>
      <c r="K98" s="117" t="str">
        <f t="shared" si="183"/>
        <v>x</v>
      </c>
      <c r="L98" s="117" t="str">
        <f t="shared" si="183"/>
        <v>x</v>
      </c>
      <c r="M98" s="117" t="str">
        <f t="shared" si="183"/>
        <v>x</v>
      </c>
      <c r="N98" s="117" t="str">
        <f t="shared" si="183"/>
        <v>x</v>
      </c>
      <c r="O98" s="117" t="str">
        <f t="shared" si="183"/>
        <v>x</v>
      </c>
      <c r="P98" s="117" t="str">
        <f t="shared" si="183"/>
        <v>x</v>
      </c>
      <c r="Q98" s="117" t="str">
        <f t="shared" si="183"/>
        <v>x</v>
      </c>
      <c r="R98" s="117" t="str">
        <f t="shared" si="183"/>
        <v>x</v>
      </c>
      <c r="S98" s="117" t="str">
        <f t="shared" si="183"/>
        <v>x</v>
      </c>
      <c r="T98" s="117" t="str">
        <f t="shared" si="183"/>
        <v>x</v>
      </c>
      <c r="U98" s="117" t="str">
        <f t="shared" si="183"/>
        <v>x</v>
      </c>
      <c r="V98" s="117" t="str">
        <f t="shared" si="183"/>
        <v>x</v>
      </c>
      <c r="W98" s="117" t="str">
        <f t="shared" si="183"/>
        <v>x</v>
      </c>
      <c r="X98" s="117" t="str">
        <f t="shared" si="183"/>
        <v>x</v>
      </c>
      <c r="Y98" s="117" t="str">
        <f t="shared" si="183"/>
        <v>x</v>
      </c>
      <c r="Z98" s="117" t="str">
        <f t="shared" si="183"/>
        <v>x</v>
      </c>
    </row>
    <row r="99" spans="4:26" customFormat="1" x14ac:dyDescent="0.15">
      <c r="D99" s="117" t="str">
        <f t="shared" ref="D99:Z99" si="184">IF(BatSplit(D31,RunsScored)&gt;=50,BatSplit(D31,RunsScored)&amp;IF(BatSplit(D31,NotOuts)=1,"*","")&amp;"|"&amp;$C31&amp;"|"&amp;D$2&amp;"|"&amp;TEXT(D$1,"dd-mmm"),"x")</f>
        <v>x</v>
      </c>
      <c r="E99" s="117" t="str">
        <f t="shared" si="184"/>
        <v>x</v>
      </c>
      <c r="F99" s="117" t="str">
        <f t="shared" si="184"/>
        <v>x</v>
      </c>
      <c r="G99" s="117" t="str">
        <f t="shared" si="184"/>
        <v>x</v>
      </c>
      <c r="H99" s="117" t="str">
        <f t="shared" si="184"/>
        <v>x</v>
      </c>
      <c r="I99" s="117" t="str">
        <f t="shared" si="184"/>
        <v>x</v>
      </c>
      <c r="J99" s="117" t="str">
        <f t="shared" si="184"/>
        <v>x</v>
      </c>
      <c r="K99" s="117" t="str">
        <f t="shared" si="184"/>
        <v>x</v>
      </c>
      <c r="L99" s="117" t="str">
        <f t="shared" si="184"/>
        <v>x</v>
      </c>
      <c r="M99" s="117" t="str">
        <f t="shared" si="184"/>
        <v>x</v>
      </c>
      <c r="N99" s="117" t="str">
        <f t="shared" si="184"/>
        <v>x</v>
      </c>
      <c r="O99" s="117" t="str">
        <f t="shared" si="184"/>
        <v>x</v>
      </c>
      <c r="P99" s="117" t="str">
        <f t="shared" si="184"/>
        <v>x</v>
      </c>
      <c r="Q99" s="117" t="str">
        <f t="shared" si="184"/>
        <v>x</v>
      </c>
      <c r="R99" s="117" t="str">
        <f t="shared" si="184"/>
        <v>x</v>
      </c>
      <c r="S99" s="117" t="str">
        <f t="shared" si="184"/>
        <v>x</v>
      </c>
      <c r="T99" s="117" t="str">
        <f t="shared" si="184"/>
        <v>x</v>
      </c>
      <c r="U99" s="117" t="str">
        <f t="shared" si="184"/>
        <v>x</v>
      </c>
      <c r="V99" s="117" t="str">
        <f t="shared" si="184"/>
        <v>x</v>
      </c>
      <c r="W99" s="117" t="str">
        <f t="shared" si="184"/>
        <v>x</v>
      </c>
      <c r="X99" s="117" t="str">
        <f t="shared" si="184"/>
        <v>x</v>
      </c>
      <c r="Y99" s="117" t="str">
        <f t="shared" si="184"/>
        <v>x</v>
      </c>
      <c r="Z99" s="117" t="str">
        <f t="shared" si="184"/>
        <v>x</v>
      </c>
    </row>
    <row r="100" spans="4:26" customFormat="1" x14ac:dyDescent="0.15">
      <c r="D100" s="117" t="str">
        <f t="shared" ref="D100:Z100" si="185">IF(BatSplit(D32,RunsScored)&gt;=50,BatSplit(D32,RunsScored)&amp;IF(BatSplit(D32,NotOuts)=1,"*","")&amp;"|"&amp;$C32&amp;"|"&amp;D$2&amp;"|"&amp;TEXT(D$1,"dd-mmm"),"x")</f>
        <v>x</v>
      </c>
      <c r="E100" s="117" t="str">
        <f t="shared" si="185"/>
        <v>x</v>
      </c>
      <c r="F100" s="117" t="str">
        <f t="shared" si="185"/>
        <v>x</v>
      </c>
      <c r="G100" s="117" t="str">
        <f t="shared" si="185"/>
        <v>x</v>
      </c>
      <c r="H100" s="117" t="str">
        <f t="shared" si="185"/>
        <v>x</v>
      </c>
      <c r="I100" s="117" t="str">
        <f t="shared" si="185"/>
        <v>x</v>
      </c>
      <c r="J100" s="117" t="str">
        <f t="shared" si="185"/>
        <v>x</v>
      </c>
      <c r="K100" s="117" t="str">
        <f t="shared" si="185"/>
        <v>x</v>
      </c>
      <c r="L100" s="117" t="str">
        <f t="shared" si="185"/>
        <v>x</v>
      </c>
      <c r="M100" s="117" t="str">
        <f t="shared" si="185"/>
        <v>x</v>
      </c>
      <c r="N100" s="117" t="str">
        <f t="shared" si="185"/>
        <v>x</v>
      </c>
      <c r="O100" s="117" t="str">
        <f t="shared" si="185"/>
        <v>x</v>
      </c>
      <c r="P100" s="117" t="str">
        <f t="shared" si="185"/>
        <v>x</v>
      </c>
      <c r="Q100" s="117" t="str">
        <f t="shared" si="185"/>
        <v>x</v>
      </c>
      <c r="R100" s="117" t="str">
        <f t="shared" si="185"/>
        <v>x</v>
      </c>
      <c r="S100" s="117" t="str">
        <f t="shared" si="185"/>
        <v>x</v>
      </c>
      <c r="T100" s="117" t="str">
        <f t="shared" si="185"/>
        <v>x</v>
      </c>
      <c r="U100" s="117" t="str">
        <f t="shared" si="185"/>
        <v>x</v>
      </c>
      <c r="V100" s="117" t="str">
        <f t="shared" si="185"/>
        <v>x</v>
      </c>
      <c r="W100" s="117" t="str">
        <f t="shared" si="185"/>
        <v>x</v>
      </c>
      <c r="X100" s="117" t="str">
        <f t="shared" si="185"/>
        <v>x</v>
      </c>
      <c r="Y100" s="117" t="str">
        <f t="shared" si="185"/>
        <v>x</v>
      </c>
      <c r="Z100" s="117" t="str">
        <f t="shared" si="185"/>
        <v>x</v>
      </c>
    </row>
    <row r="101" spans="4:26" customFormat="1" x14ac:dyDescent="0.15">
      <c r="D101" s="117" t="str">
        <f t="shared" ref="D101:Z101" si="186">IF(BatSplit(D33,RunsScored)&gt;=50,BatSplit(D33,RunsScored)&amp;IF(BatSplit(D33,NotOuts)=1,"*","")&amp;"|"&amp;$C33&amp;"|"&amp;D$2&amp;"|"&amp;TEXT(D$1,"dd-mmm"),"x")</f>
        <v>x</v>
      </c>
      <c r="E101" s="117" t="str">
        <f t="shared" si="186"/>
        <v>x</v>
      </c>
      <c r="F101" s="117" t="str">
        <f t="shared" si="186"/>
        <v>x</v>
      </c>
      <c r="G101" s="117" t="str">
        <f t="shared" si="186"/>
        <v>x</v>
      </c>
      <c r="H101" s="117" t="str">
        <f t="shared" si="186"/>
        <v>x</v>
      </c>
      <c r="I101" s="117" t="str">
        <f t="shared" si="186"/>
        <v>x</v>
      </c>
      <c r="J101" s="117" t="str">
        <f t="shared" si="186"/>
        <v>x</v>
      </c>
      <c r="K101" s="117" t="str">
        <f t="shared" si="186"/>
        <v>x</v>
      </c>
      <c r="L101" s="117" t="str">
        <f t="shared" si="186"/>
        <v>x</v>
      </c>
      <c r="M101" s="117" t="str">
        <f t="shared" si="186"/>
        <v>x</v>
      </c>
      <c r="N101" s="117" t="str">
        <f t="shared" si="186"/>
        <v>x</v>
      </c>
      <c r="O101" s="117" t="str">
        <f t="shared" si="186"/>
        <v>x</v>
      </c>
      <c r="P101" s="117" t="str">
        <f t="shared" si="186"/>
        <v>x</v>
      </c>
      <c r="Q101" s="117" t="str">
        <f t="shared" si="186"/>
        <v>x</v>
      </c>
      <c r="R101" s="117" t="str">
        <f t="shared" si="186"/>
        <v>x</v>
      </c>
      <c r="S101" s="117" t="str">
        <f t="shared" si="186"/>
        <v>x</v>
      </c>
      <c r="T101" s="117" t="str">
        <f t="shared" si="186"/>
        <v>x</v>
      </c>
      <c r="U101" s="117" t="str">
        <f t="shared" si="186"/>
        <v>x</v>
      </c>
      <c r="V101" s="117" t="str">
        <f t="shared" si="186"/>
        <v>x</v>
      </c>
      <c r="W101" s="117" t="str">
        <f t="shared" si="186"/>
        <v>x</v>
      </c>
      <c r="X101" s="117" t="str">
        <f t="shared" si="186"/>
        <v>x</v>
      </c>
      <c r="Y101" s="117" t="str">
        <f t="shared" si="186"/>
        <v>x</v>
      </c>
      <c r="Z101" s="117" t="str">
        <f t="shared" si="186"/>
        <v>x</v>
      </c>
    </row>
    <row r="102" spans="4:26" customFormat="1" x14ac:dyDescent="0.15">
      <c r="D102" s="117" t="e">
        <f>IF(BatSplit(#REF!,RunsScored)&gt;=50,BatSplit(#REF!,RunsScored)&amp;IF(BatSplit(#REF!,NotOuts)=1,"*","")&amp;"|"&amp;#REF!&amp;"|"&amp;D$2&amp;"|"&amp;TEXT(D$1,"dd-mmm"),"x")</f>
        <v>#VALUE!</v>
      </c>
      <c r="E102" s="117" t="e">
        <f>IF(BatSplit(#REF!,RunsScored)&gt;=50,BatSplit(#REF!,RunsScored)&amp;IF(BatSplit(#REF!,NotOuts)=1,"*","")&amp;"|"&amp;#REF!&amp;"|"&amp;E$2&amp;"|"&amp;TEXT(E$1,"dd-mmm"),"x")</f>
        <v>#VALUE!</v>
      </c>
      <c r="F102" s="117" t="e">
        <f>IF(BatSplit(#REF!,RunsScored)&gt;=50,BatSplit(#REF!,RunsScored)&amp;IF(BatSplit(#REF!,NotOuts)=1,"*","")&amp;"|"&amp;#REF!&amp;"|"&amp;F$2&amp;"|"&amp;TEXT(F$1,"dd-mmm"),"x")</f>
        <v>#VALUE!</v>
      </c>
      <c r="G102" s="117" t="e">
        <f>IF(BatSplit(#REF!,RunsScored)&gt;=50,BatSplit(#REF!,RunsScored)&amp;IF(BatSplit(#REF!,NotOuts)=1,"*","")&amp;"|"&amp;#REF!&amp;"|"&amp;G$2&amp;"|"&amp;TEXT(G$1,"dd-mmm"),"x")</f>
        <v>#VALUE!</v>
      </c>
      <c r="H102" s="117" t="e">
        <f>IF(BatSplit(#REF!,RunsScored)&gt;=50,BatSplit(#REF!,RunsScored)&amp;IF(BatSplit(#REF!,NotOuts)=1,"*","")&amp;"|"&amp;#REF!&amp;"|"&amp;H$2&amp;"|"&amp;TEXT(H$1,"dd-mmm"),"x")</f>
        <v>#VALUE!</v>
      </c>
      <c r="I102" s="117" t="e">
        <f>IF(BatSplit(#REF!,RunsScored)&gt;=50,BatSplit(#REF!,RunsScored)&amp;IF(BatSplit(#REF!,NotOuts)=1,"*","")&amp;"|"&amp;#REF!&amp;"|"&amp;I$2&amp;"|"&amp;TEXT(I$1,"dd-mmm"),"x")</f>
        <v>#VALUE!</v>
      </c>
      <c r="J102" s="117" t="e">
        <f>IF(BatSplit(#REF!,RunsScored)&gt;=50,BatSplit(#REF!,RunsScored)&amp;IF(BatSplit(#REF!,NotOuts)=1,"*","")&amp;"|"&amp;#REF!&amp;"|"&amp;J$2&amp;"|"&amp;TEXT(J$1,"dd-mmm"),"x")</f>
        <v>#VALUE!</v>
      </c>
      <c r="K102" s="117" t="e">
        <f>IF(BatSplit(#REF!,RunsScored)&gt;=50,BatSplit(#REF!,RunsScored)&amp;IF(BatSplit(#REF!,NotOuts)=1,"*","")&amp;"|"&amp;#REF!&amp;"|"&amp;K$2&amp;"|"&amp;TEXT(K$1,"dd-mmm"),"x")</f>
        <v>#VALUE!</v>
      </c>
      <c r="L102" s="117" t="e">
        <f>IF(BatSplit(#REF!,RunsScored)&gt;=50,BatSplit(#REF!,RunsScored)&amp;IF(BatSplit(#REF!,NotOuts)=1,"*","")&amp;"|"&amp;#REF!&amp;"|"&amp;L$2&amp;"|"&amp;TEXT(L$1,"dd-mmm"),"x")</f>
        <v>#VALUE!</v>
      </c>
      <c r="M102" s="117" t="e">
        <f>IF(BatSplit(#REF!,RunsScored)&gt;=50,BatSplit(#REF!,RunsScored)&amp;IF(BatSplit(#REF!,NotOuts)=1,"*","")&amp;"|"&amp;#REF!&amp;"|"&amp;M$2&amp;"|"&amp;TEXT(M$1,"dd-mmm"),"x")</f>
        <v>#VALUE!</v>
      </c>
      <c r="N102" s="117" t="e">
        <f>IF(BatSplit(#REF!,RunsScored)&gt;=50,BatSplit(#REF!,RunsScored)&amp;IF(BatSplit(#REF!,NotOuts)=1,"*","")&amp;"|"&amp;#REF!&amp;"|"&amp;N$2&amp;"|"&amp;TEXT(N$1,"dd-mmm"),"x")</f>
        <v>#VALUE!</v>
      </c>
      <c r="O102" s="117" t="e">
        <f>IF(BatSplit(#REF!,RunsScored)&gt;=50,BatSplit(#REF!,RunsScored)&amp;IF(BatSplit(#REF!,NotOuts)=1,"*","")&amp;"|"&amp;#REF!&amp;"|"&amp;O$2&amp;"|"&amp;TEXT(O$1,"dd-mmm"),"x")</f>
        <v>#VALUE!</v>
      </c>
      <c r="P102" s="117" t="e">
        <f>IF(BatSplit(#REF!,RunsScored)&gt;=50,BatSplit(#REF!,RunsScored)&amp;IF(BatSplit(#REF!,NotOuts)=1,"*","")&amp;"|"&amp;#REF!&amp;"|"&amp;P$2&amp;"|"&amp;TEXT(P$1,"dd-mmm"),"x")</f>
        <v>#VALUE!</v>
      </c>
      <c r="Q102" s="117" t="e">
        <f>IF(BatSplit(#REF!,RunsScored)&gt;=50,BatSplit(#REF!,RunsScored)&amp;IF(BatSplit(#REF!,NotOuts)=1,"*","")&amp;"|"&amp;#REF!&amp;"|"&amp;Q$2&amp;"|"&amp;TEXT(Q$1,"dd-mmm"),"x")</f>
        <v>#VALUE!</v>
      </c>
      <c r="R102" s="117" t="e">
        <f>IF(BatSplit(#REF!,RunsScored)&gt;=50,BatSplit(#REF!,RunsScored)&amp;IF(BatSplit(#REF!,NotOuts)=1,"*","")&amp;"|"&amp;#REF!&amp;"|"&amp;R$2&amp;"|"&amp;TEXT(R$1,"dd-mmm"),"x")</f>
        <v>#VALUE!</v>
      </c>
      <c r="S102" s="117" t="e">
        <f>IF(BatSplit(#REF!,RunsScored)&gt;=50,BatSplit(#REF!,RunsScored)&amp;IF(BatSplit(#REF!,NotOuts)=1,"*","")&amp;"|"&amp;#REF!&amp;"|"&amp;S$2&amp;"|"&amp;TEXT(S$1,"dd-mmm"),"x")</f>
        <v>#VALUE!</v>
      </c>
      <c r="T102" s="117" t="e">
        <f>IF(BatSplit(#REF!,RunsScored)&gt;=50,BatSplit(#REF!,RunsScored)&amp;IF(BatSplit(#REF!,NotOuts)=1,"*","")&amp;"|"&amp;#REF!&amp;"|"&amp;T$2&amp;"|"&amp;TEXT(T$1,"dd-mmm"),"x")</f>
        <v>#VALUE!</v>
      </c>
      <c r="U102" s="117" t="e">
        <f>IF(BatSplit(#REF!,RunsScored)&gt;=50,BatSplit(#REF!,RunsScored)&amp;IF(BatSplit(#REF!,NotOuts)=1,"*","")&amp;"|"&amp;#REF!&amp;"|"&amp;U$2&amp;"|"&amp;TEXT(U$1,"dd-mmm"),"x")</f>
        <v>#VALUE!</v>
      </c>
      <c r="V102" s="117" t="e">
        <f>IF(BatSplit(#REF!,RunsScored)&gt;=50,BatSplit(#REF!,RunsScored)&amp;IF(BatSplit(#REF!,NotOuts)=1,"*","")&amp;"|"&amp;#REF!&amp;"|"&amp;V$2&amp;"|"&amp;TEXT(V$1,"dd-mmm"),"x")</f>
        <v>#VALUE!</v>
      </c>
      <c r="W102" s="117" t="e">
        <f>IF(BatSplit(#REF!,RunsScored)&gt;=50,BatSplit(#REF!,RunsScored)&amp;IF(BatSplit(#REF!,NotOuts)=1,"*","")&amp;"|"&amp;#REF!&amp;"|"&amp;W$2&amp;"|"&amp;TEXT(W$1,"dd-mmm"),"x")</f>
        <v>#VALUE!</v>
      </c>
      <c r="X102" s="117" t="e">
        <f>IF(BatSplit(#REF!,RunsScored)&gt;=50,BatSplit(#REF!,RunsScored)&amp;IF(BatSplit(#REF!,NotOuts)=1,"*","")&amp;"|"&amp;#REF!&amp;"|"&amp;X$2&amp;"|"&amp;TEXT(X$1,"dd-mmm"),"x")</f>
        <v>#VALUE!</v>
      </c>
      <c r="Y102" s="117" t="e">
        <f>IF(BatSplit(#REF!,RunsScored)&gt;=50,BatSplit(#REF!,RunsScored)&amp;IF(BatSplit(#REF!,NotOuts)=1,"*","")&amp;"|"&amp;#REF!&amp;"|"&amp;Y$2&amp;"|"&amp;TEXT(Y$1,"dd-mmm"),"x")</f>
        <v>#VALUE!</v>
      </c>
      <c r="Z102" s="117" t="e">
        <f>IF(BatSplit(#REF!,RunsScored)&gt;=50,BatSplit(#REF!,RunsScored)&amp;IF(BatSplit(#REF!,NotOuts)=1,"*","")&amp;"|"&amp;#REF!&amp;"|"&amp;Z$2&amp;"|"&amp;TEXT(Z$1,"dd-mmm"),"x")</f>
        <v>#VALUE!</v>
      </c>
    </row>
    <row r="103" spans="4:26" customFormat="1" x14ac:dyDescent="0.15">
      <c r="D103" s="117" t="str">
        <f t="shared" ref="D103:Z103" si="187">IF(BatSplit(D34,RunsScored)&gt;=50,BatSplit(D34,RunsScored)&amp;IF(BatSplit(D34,NotOuts)=1,"*","")&amp;"|"&amp;$C34&amp;"|"&amp;D$2&amp;"|"&amp;TEXT(D$1,"dd-mmm"),"x")</f>
        <v>x</v>
      </c>
      <c r="E103" s="117" t="str">
        <f t="shared" si="187"/>
        <v>x</v>
      </c>
      <c r="F103" s="117" t="str">
        <f t="shared" si="187"/>
        <v>x</v>
      </c>
      <c r="G103" s="117" t="str">
        <f t="shared" si="187"/>
        <v>x</v>
      </c>
      <c r="H103" s="117" t="str">
        <f t="shared" si="187"/>
        <v>x</v>
      </c>
      <c r="I103" s="117" t="str">
        <f t="shared" si="187"/>
        <v>x</v>
      </c>
      <c r="J103" s="117" t="str">
        <f t="shared" si="187"/>
        <v>x</v>
      </c>
      <c r="K103" s="117" t="str">
        <f t="shared" si="187"/>
        <v>x</v>
      </c>
      <c r="L103" s="117" t="str">
        <f t="shared" si="187"/>
        <v>59|Seymour C|Merstham|22-Jun</v>
      </c>
      <c r="M103" s="117" t="str">
        <f t="shared" si="187"/>
        <v>x</v>
      </c>
      <c r="N103" s="117" t="str">
        <f t="shared" si="187"/>
        <v>x</v>
      </c>
      <c r="O103" s="117" t="str">
        <f t="shared" si="187"/>
        <v>x</v>
      </c>
      <c r="P103" s="117" t="str">
        <f t="shared" si="187"/>
        <v>x</v>
      </c>
      <c r="Q103" s="117" t="str">
        <f t="shared" si="187"/>
        <v>x</v>
      </c>
      <c r="R103" s="117" t="str">
        <f t="shared" si="187"/>
        <v>57*|Seymour C|Sanderstead|31-Aug</v>
      </c>
      <c r="S103" s="117" t="str">
        <f t="shared" si="187"/>
        <v>x</v>
      </c>
      <c r="T103" s="117" t="str">
        <f t="shared" si="187"/>
        <v>x</v>
      </c>
      <c r="U103" s="117" t="str">
        <f t="shared" si="187"/>
        <v>x</v>
      </c>
      <c r="V103" s="117" t="str">
        <f t="shared" si="187"/>
        <v>x</v>
      </c>
      <c r="W103" s="117" t="str">
        <f t="shared" si="187"/>
        <v>x</v>
      </c>
      <c r="X103" s="117" t="str">
        <f t="shared" si="187"/>
        <v>x</v>
      </c>
      <c r="Y103" s="117" t="str">
        <f t="shared" si="187"/>
        <v>x</v>
      </c>
      <c r="Z103" s="117" t="str">
        <f t="shared" si="187"/>
        <v>x</v>
      </c>
    </row>
    <row r="104" spans="4:26" customFormat="1" x14ac:dyDescent="0.15">
      <c r="D104" s="117" t="str">
        <f t="shared" ref="D104:Z104" si="188">IF(BatSplit(D35,RunsScored)&gt;=50,BatSplit(D35,RunsScored)&amp;IF(BatSplit(D35,NotOuts)=1,"*","")&amp;"|"&amp;$C35&amp;"|"&amp;D$2&amp;"|"&amp;TEXT(D$1,"dd-mmm"),"x")</f>
        <v>50|Sharpe D|Deando-Ruxley|27-Apr</v>
      </c>
      <c r="E104" s="117" t="str">
        <f t="shared" si="188"/>
        <v>x</v>
      </c>
      <c r="F104" s="117" t="str">
        <f t="shared" si="188"/>
        <v>x</v>
      </c>
      <c r="G104" s="117" t="str">
        <f t="shared" si="188"/>
        <v>x</v>
      </c>
      <c r="H104" s="117" t="str">
        <f t="shared" si="188"/>
        <v>x</v>
      </c>
      <c r="I104" s="117" t="str">
        <f t="shared" si="188"/>
        <v>54|Sharpe D|Norwood Exiles|01-Jun</v>
      </c>
      <c r="J104" s="117" t="str">
        <f t="shared" si="188"/>
        <v>x</v>
      </c>
      <c r="K104" s="117" t="str">
        <f t="shared" si="188"/>
        <v>x</v>
      </c>
      <c r="L104" s="117" t="str">
        <f t="shared" si="188"/>
        <v>64|Sharpe D|Merstham|22-Jun</v>
      </c>
      <c r="M104" s="117" t="str">
        <f t="shared" si="188"/>
        <v>x</v>
      </c>
      <c r="N104" s="117" t="str">
        <f t="shared" si="188"/>
        <v>x</v>
      </c>
      <c r="O104" s="117" t="str">
        <f t="shared" si="188"/>
        <v>x</v>
      </c>
      <c r="P104" s="117" t="str">
        <f t="shared" si="188"/>
        <v>x</v>
      </c>
      <c r="Q104" s="117" t="str">
        <f t="shared" si="188"/>
        <v>x</v>
      </c>
      <c r="R104" s="117" t="str">
        <f t="shared" si="188"/>
        <v>x</v>
      </c>
      <c r="S104" s="117" t="str">
        <f t="shared" si="188"/>
        <v>x</v>
      </c>
      <c r="T104" s="117" t="str">
        <f t="shared" si="188"/>
        <v>80|Sharpe D|Living Word|20-Sep</v>
      </c>
      <c r="U104" s="117" t="str">
        <f t="shared" si="188"/>
        <v>x</v>
      </c>
      <c r="V104" s="117" t="str">
        <f t="shared" si="188"/>
        <v>x</v>
      </c>
      <c r="W104" s="117" t="str">
        <f t="shared" si="188"/>
        <v>x</v>
      </c>
      <c r="X104" s="117" t="str">
        <f t="shared" si="188"/>
        <v>x</v>
      </c>
      <c r="Y104" s="117" t="str">
        <f t="shared" si="188"/>
        <v>x</v>
      </c>
      <c r="Z104" s="117" t="str">
        <f t="shared" si="188"/>
        <v>x</v>
      </c>
    </row>
    <row r="105" spans="4:26" customFormat="1" x14ac:dyDescent="0.15">
      <c r="D105" s="117" t="str">
        <f t="shared" ref="D105:Z105" si="189">IF(BatSplit(D36,RunsScored)&gt;=50,BatSplit(D36,RunsScored)&amp;IF(BatSplit(D36,NotOuts)=1,"*","")&amp;"|"&amp;$C36&amp;"|"&amp;D$2&amp;"|"&amp;TEXT(D$1,"dd-mmm"),"x")</f>
        <v>x</v>
      </c>
      <c r="E105" s="117" t="str">
        <f t="shared" si="189"/>
        <v>x</v>
      </c>
      <c r="F105" s="117" t="str">
        <f t="shared" si="189"/>
        <v>x</v>
      </c>
      <c r="G105" s="117" t="str">
        <f t="shared" si="189"/>
        <v>x</v>
      </c>
      <c r="H105" s="117" t="str">
        <f t="shared" si="189"/>
        <v>x</v>
      </c>
      <c r="I105" s="117" t="str">
        <f t="shared" si="189"/>
        <v>x</v>
      </c>
      <c r="J105" s="117" t="str">
        <f t="shared" si="189"/>
        <v>x</v>
      </c>
      <c r="K105" s="117" t="str">
        <f t="shared" si="189"/>
        <v>x</v>
      </c>
      <c r="L105" s="117" t="str">
        <f t="shared" si="189"/>
        <v>x</v>
      </c>
      <c r="M105" s="117" t="str">
        <f t="shared" si="189"/>
        <v>x</v>
      </c>
      <c r="N105" s="117" t="str">
        <f t="shared" si="189"/>
        <v>x</v>
      </c>
      <c r="O105" s="117" t="str">
        <f t="shared" si="189"/>
        <v>x</v>
      </c>
      <c r="P105" s="117" t="str">
        <f t="shared" si="189"/>
        <v>x</v>
      </c>
      <c r="Q105" s="117" t="str">
        <f t="shared" si="189"/>
        <v>x</v>
      </c>
      <c r="R105" s="117" t="str">
        <f t="shared" si="189"/>
        <v>x</v>
      </c>
      <c r="S105" s="117" t="str">
        <f t="shared" si="189"/>
        <v>x</v>
      </c>
      <c r="T105" s="117" t="str">
        <f t="shared" si="189"/>
        <v>x</v>
      </c>
      <c r="U105" s="117" t="str">
        <f t="shared" si="189"/>
        <v>x</v>
      </c>
      <c r="V105" s="117" t="str">
        <f t="shared" si="189"/>
        <v>x</v>
      </c>
      <c r="W105" s="117" t="str">
        <f t="shared" si="189"/>
        <v>x</v>
      </c>
      <c r="X105" s="117" t="str">
        <f t="shared" si="189"/>
        <v>x</v>
      </c>
      <c r="Y105" s="117" t="str">
        <f t="shared" si="189"/>
        <v>x</v>
      </c>
      <c r="Z105" s="117" t="str">
        <f t="shared" si="189"/>
        <v>x</v>
      </c>
    </row>
    <row r="106" spans="4:26" customFormat="1" x14ac:dyDescent="0.15">
      <c r="D106" s="117" t="str">
        <f t="shared" ref="D106:Z106" si="190">IF(BatSplit(D37,RunsScored)&gt;=50,BatSplit(D37,RunsScored)&amp;IF(BatSplit(D37,NotOuts)=1,"*","")&amp;"|"&amp;$C37&amp;"|"&amp;D$2&amp;"|"&amp;TEXT(D$1,"dd-mmm"),"x")</f>
        <v>x</v>
      </c>
      <c r="E106" s="117" t="str">
        <f t="shared" si="190"/>
        <v>x</v>
      </c>
      <c r="F106" s="117" t="str">
        <f t="shared" si="190"/>
        <v>x</v>
      </c>
      <c r="G106" s="117" t="str">
        <f t="shared" si="190"/>
        <v>x</v>
      </c>
      <c r="H106" s="117" t="str">
        <f t="shared" si="190"/>
        <v>x</v>
      </c>
      <c r="I106" s="117" t="str">
        <f t="shared" si="190"/>
        <v>x</v>
      </c>
      <c r="J106" s="117" t="str">
        <f t="shared" si="190"/>
        <v>x</v>
      </c>
      <c r="K106" s="117" t="str">
        <f t="shared" si="190"/>
        <v>x</v>
      </c>
      <c r="L106" s="117" t="str">
        <f t="shared" si="190"/>
        <v>x</v>
      </c>
      <c r="M106" s="117" t="str">
        <f t="shared" si="190"/>
        <v>x</v>
      </c>
      <c r="N106" s="117" t="str">
        <f t="shared" si="190"/>
        <v>x</v>
      </c>
      <c r="O106" s="117" t="str">
        <f t="shared" si="190"/>
        <v>x</v>
      </c>
      <c r="P106" s="117" t="str">
        <f t="shared" si="190"/>
        <v>x</v>
      </c>
      <c r="Q106" s="117" t="str">
        <f t="shared" si="190"/>
        <v>x</v>
      </c>
      <c r="R106" s="117" t="str">
        <f t="shared" si="190"/>
        <v>x</v>
      </c>
      <c r="S106" s="117" t="str">
        <f t="shared" si="190"/>
        <v>x</v>
      </c>
      <c r="T106" s="117" t="str">
        <f t="shared" si="190"/>
        <v>x</v>
      </c>
      <c r="U106" s="117" t="str">
        <f t="shared" si="190"/>
        <v>x</v>
      </c>
      <c r="V106" s="117" t="str">
        <f t="shared" si="190"/>
        <v>x</v>
      </c>
      <c r="W106" s="117" t="str">
        <f t="shared" si="190"/>
        <v>x</v>
      </c>
      <c r="X106" s="117" t="str">
        <f t="shared" si="190"/>
        <v>x</v>
      </c>
      <c r="Y106" s="117" t="str">
        <f t="shared" si="190"/>
        <v>x</v>
      </c>
      <c r="Z106" s="117" t="str">
        <f t="shared" si="190"/>
        <v>x</v>
      </c>
    </row>
    <row r="107" spans="4:26" customFormat="1" x14ac:dyDescent="0.15">
      <c r="D107" s="117" t="str">
        <f t="shared" ref="D107:Z107" si="191">IF(BatSplit(D38,RunsScored)&gt;=50,BatSplit(D38,RunsScored)&amp;IF(BatSplit(D38,NotOuts)=1,"*","")&amp;"|"&amp;$C38&amp;"|"&amp;D$2&amp;"|"&amp;TEXT(D$1,"dd-mmm"),"x")</f>
        <v>x</v>
      </c>
      <c r="E107" s="117" t="str">
        <f t="shared" si="191"/>
        <v>x</v>
      </c>
      <c r="F107" s="117" t="str">
        <f t="shared" si="191"/>
        <v>x</v>
      </c>
      <c r="G107" s="117" t="str">
        <f t="shared" si="191"/>
        <v>x</v>
      </c>
      <c r="H107" s="117" t="str">
        <f t="shared" si="191"/>
        <v>x</v>
      </c>
      <c r="I107" s="117" t="str">
        <f t="shared" si="191"/>
        <v>x</v>
      </c>
      <c r="J107" s="117" t="str">
        <f t="shared" si="191"/>
        <v>x</v>
      </c>
      <c r="K107" s="117" t="str">
        <f t="shared" si="191"/>
        <v>x</v>
      </c>
      <c r="L107" s="117" t="str">
        <f t="shared" si="191"/>
        <v>x</v>
      </c>
      <c r="M107" s="117" t="str">
        <f t="shared" si="191"/>
        <v>x</v>
      </c>
      <c r="N107" s="117" t="str">
        <f t="shared" si="191"/>
        <v>x</v>
      </c>
      <c r="O107" s="117" t="str">
        <f t="shared" si="191"/>
        <v>x</v>
      </c>
      <c r="P107" s="117" t="str">
        <f t="shared" si="191"/>
        <v>x</v>
      </c>
      <c r="Q107" s="117" t="str">
        <f t="shared" si="191"/>
        <v>x</v>
      </c>
      <c r="R107" s="117" t="str">
        <f t="shared" si="191"/>
        <v>x</v>
      </c>
      <c r="S107" s="117" t="str">
        <f t="shared" si="191"/>
        <v>x</v>
      </c>
      <c r="T107" s="117" t="str">
        <f t="shared" si="191"/>
        <v>x</v>
      </c>
      <c r="U107" s="117" t="str">
        <f t="shared" si="191"/>
        <v>x</v>
      </c>
      <c r="V107" s="117" t="str">
        <f t="shared" si="191"/>
        <v>x</v>
      </c>
      <c r="W107" s="117" t="str">
        <f t="shared" si="191"/>
        <v>x</v>
      </c>
      <c r="X107" s="117" t="str">
        <f t="shared" si="191"/>
        <v>x</v>
      </c>
      <c r="Y107" s="117" t="str">
        <f t="shared" si="191"/>
        <v>x</v>
      </c>
      <c r="Z107" s="117" t="str">
        <f t="shared" si="191"/>
        <v>x</v>
      </c>
    </row>
    <row r="108" spans="4:26" customFormat="1" x14ac:dyDescent="0.15">
      <c r="D108" s="117" t="str">
        <f t="shared" ref="D108:Z108" si="192">IF(BatSplit(D39,RunsScored)&gt;=50,BatSplit(D39,RunsScored)&amp;IF(BatSplit(D39,NotOuts)=1,"*","")&amp;"|"&amp;$C39&amp;"|"&amp;D$2&amp;"|"&amp;TEXT(D$1,"dd-mmm"),"x")</f>
        <v>x</v>
      </c>
      <c r="E108" s="117" t="str">
        <f t="shared" si="192"/>
        <v>x</v>
      </c>
      <c r="F108" s="117" t="str">
        <f t="shared" si="192"/>
        <v>55*|Springer T|Churchleigh|18-May</v>
      </c>
      <c r="G108" s="117" t="str">
        <f t="shared" si="192"/>
        <v>116|Springer T|Woodgreen|25-May</v>
      </c>
      <c r="H108" s="117" t="str">
        <f t="shared" si="192"/>
        <v>x</v>
      </c>
      <c r="I108" s="117" t="str">
        <f t="shared" si="192"/>
        <v>x</v>
      </c>
      <c r="J108" s="117" t="str">
        <f t="shared" si="192"/>
        <v>x</v>
      </c>
      <c r="K108" s="117" t="str">
        <f t="shared" si="192"/>
        <v>x</v>
      </c>
      <c r="L108" s="117" t="str">
        <f t="shared" si="192"/>
        <v>x</v>
      </c>
      <c r="M108" s="117" t="str">
        <f t="shared" si="192"/>
        <v>x</v>
      </c>
      <c r="N108" s="117" t="str">
        <f t="shared" si="192"/>
        <v>60|Springer T|Southbank|06-Jul</v>
      </c>
      <c r="O108" s="117" t="str">
        <f t="shared" si="192"/>
        <v>61|Springer T|S Railway/Kenley|13-Jul</v>
      </c>
      <c r="P108" s="117" t="str">
        <f t="shared" si="192"/>
        <v>x</v>
      </c>
      <c r="Q108" s="117" t="str">
        <f t="shared" si="192"/>
        <v>x</v>
      </c>
      <c r="R108" s="117" t="str">
        <f t="shared" si="192"/>
        <v>x</v>
      </c>
      <c r="S108" s="117" t="str">
        <f t="shared" si="192"/>
        <v>x</v>
      </c>
      <c r="T108" s="117" t="str">
        <f t="shared" si="192"/>
        <v>x</v>
      </c>
      <c r="U108" s="117" t="str">
        <f t="shared" si="192"/>
        <v>x</v>
      </c>
      <c r="V108" s="117" t="str">
        <f t="shared" si="192"/>
        <v>x</v>
      </c>
      <c r="W108" s="117" t="str">
        <f t="shared" si="192"/>
        <v>x</v>
      </c>
      <c r="X108" s="117" t="str">
        <f t="shared" si="192"/>
        <v>x</v>
      </c>
      <c r="Y108" s="117" t="str">
        <f t="shared" si="192"/>
        <v>x</v>
      </c>
      <c r="Z108" s="117" t="str">
        <f t="shared" si="192"/>
        <v>x</v>
      </c>
    </row>
    <row r="109" spans="4:26" customFormat="1" x14ac:dyDescent="0.15">
      <c r="D109" s="117" t="e">
        <f>IF(BatSplit(#REF!,RunsScored)&gt;=50,BatSplit(#REF!,RunsScored)&amp;IF(BatSplit(#REF!,NotOuts)=1,"*","")&amp;"|"&amp;#REF!&amp;"|"&amp;D$2&amp;"|"&amp;TEXT(D$1,"dd-mmm"),"x")</f>
        <v>#VALUE!</v>
      </c>
      <c r="E109" s="117" t="e">
        <f>IF(BatSplit(#REF!,RunsScored)&gt;=50,BatSplit(#REF!,RunsScored)&amp;IF(BatSplit(#REF!,NotOuts)=1,"*","")&amp;"|"&amp;#REF!&amp;"|"&amp;E$2&amp;"|"&amp;TEXT(E$1,"dd-mmm"),"x")</f>
        <v>#VALUE!</v>
      </c>
      <c r="F109" s="117" t="e">
        <f>IF(BatSplit(#REF!,RunsScored)&gt;=50,BatSplit(#REF!,RunsScored)&amp;IF(BatSplit(#REF!,NotOuts)=1,"*","")&amp;"|"&amp;#REF!&amp;"|"&amp;F$2&amp;"|"&amp;TEXT(F$1,"dd-mmm"),"x")</f>
        <v>#VALUE!</v>
      </c>
      <c r="G109" s="117" t="e">
        <f>IF(BatSplit(#REF!,RunsScored)&gt;=50,BatSplit(#REF!,RunsScored)&amp;IF(BatSplit(#REF!,NotOuts)=1,"*","")&amp;"|"&amp;#REF!&amp;"|"&amp;G$2&amp;"|"&amp;TEXT(G$1,"dd-mmm"),"x")</f>
        <v>#VALUE!</v>
      </c>
      <c r="H109" s="117" t="e">
        <f>IF(BatSplit(#REF!,RunsScored)&gt;=50,BatSplit(#REF!,RunsScored)&amp;IF(BatSplit(#REF!,NotOuts)=1,"*","")&amp;"|"&amp;#REF!&amp;"|"&amp;H$2&amp;"|"&amp;TEXT(H$1,"dd-mmm"),"x")</f>
        <v>#VALUE!</v>
      </c>
      <c r="I109" s="117" t="e">
        <f>IF(BatSplit(#REF!,RunsScored)&gt;=50,BatSplit(#REF!,RunsScored)&amp;IF(BatSplit(#REF!,NotOuts)=1,"*","")&amp;"|"&amp;#REF!&amp;"|"&amp;I$2&amp;"|"&amp;TEXT(I$1,"dd-mmm"),"x")</f>
        <v>#VALUE!</v>
      </c>
      <c r="J109" s="117" t="e">
        <f>IF(BatSplit(#REF!,RunsScored)&gt;=50,BatSplit(#REF!,RunsScored)&amp;IF(BatSplit(#REF!,NotOuts)=1,"*","")&amp;"|"&amp;#REF!&amp;"|"&amp;J$2&amp;"|"&amp;TEXT(J$1,"dd-mmm"),"x")</f>
        <v>#VALUE!</v>
      </c>
      <c r="K109" s="117" t="e">
        <f>IF(BatSplit(#REF!,RunsScored)&gt;=50,BatSplit(#REF!,RunsScored)&amp;IF(BatSplit(#REF!,NotOuts)=1,"*","")&amp;"|"&amp;#REF!&amp;"|"&amp;K$2&amp;"|"&amp;TEXT(K$1,"dd-mmm"),"x")</f>
        <v>#VALUE!</v>
      </c>
      <c r="L109" s="117" t="e">
        <f>IF(BatSplit(#REF!,RunsScored)&gt;=50,BatSplit(#REF!,RunsScored)&amp;IF(BatSplit(#REF!,NotOuts)=1,"*","")&amp;"|"&amp;#REF!&amp;"|"&amp;L$2&amp;"|"&amp;TEXT(L$1,"dd-mmm"),"x")</f>
        <v>#VALUE!</v>
      </c>
      <c r="M109" s="117" t="e">
        <f>IF(BatSplit(#REF!,RunsScored)&gt;=50,BatSplit(#REF!,RunsScored)&amp;IF(BatSplit(#REF!,NotOuts)=1,"*","")&amp;"|"&amp;#REF!&amp;"|"&amp;M$2&amp;"|"&amp;TEXT(M$1,"dd-mmm"),"x")</f>
        <v>#VALUE!</v>
      </c>
      <c r="N109" s="117" t="e">
        <f>IF(BatSplit(#REF!,RunsScored)&gt;=50,BatSplit(#REF!,RunsScored)&amp;IF(BatSplit(#REF!,NotOuts)=1,"*","")&amp;"|"&amp;#REF!&amp;"|"&amp;N$2&amp;"|"&amp;TEXT(N$1,"dd-mmm"),"x")</f>
        <v>#VALUE!</v>
      </c>
      <c r="O109" s="117" t="e">
        <f>IF(BatSplit(#REF!,RunsScored)&gt;=50,BatSplit(#REF!,RunsScored)&amp;IF(BatSplit(#REF!,NotOuts)=1,"*","")&amp;"|"&amp;#REF!&amp;"|"&amp;O$2&amp;"|"&amp;TEXT(O$1,"dd-mmm"),"x")</f>
        <v>#VALUE!</v>
      </c>
      <c r="P109" s="117" t="e">
        <f>IF(BatSplit(#REF!,RunsScored)&gt;=50,BatSplit(#REF!,RunsScored)&amp;IF(BatSplit(#REF!,NotOuts)=1,"*","")&amp;"|"&amp;#REF!&amp;"|"&amp;P$2&amp;"|"&amp;TEXT(P$1,"dd-mmm"),"x")</f>
        <v>#VALUE!</v>
      </c>
      <c r="Q109" s="117" t="e">
        <f>IF(BatSplit(#REF!,RunsScored)&gt;=50,BatSplit(#REF!,RunsScored)&amp;IF(BatSplit(#REF!,NotOuts)=1,"*","")&amp;"|"&amp;#REF!&amp;"|"&amp;Q$2&amp;"|"&amp;TEXT(Q$1,"dd-mmm"),"x")</f>
        <v>#VALUE!</v>
      </c>
      <c r="R109" s="117" t="e">
        <f>IF(BatSplit(#REF!,RunsScored)&gt;=50,BatSplit(#REF!,RunsScored)&amp;IF(BatSplit(#REF!,NotOuts)=1,"*","")&amp;"|"&amp;#REF!&amp;"|"&amp;R$2&amp;"|"&amp;TEXT(R$1,"dd-mmm"),"x")</f>
        <v>#VALUE!</v>
      </c>
      <c r="S109" s="117" t="e">
        <f>IF(BatSplit(#REF!,RunsScored)&gt;=50,BatSplit(#REF!,RunsScored)&amp;IF(BatSplit(#REF!,NotOuts)=1,"*","")&amp;"|"&amp;#REF!&amp;"|"&amp;S$2&amp;"|"&amp;TEXT(S$1,"dd-mmm"),"x")</f>
        <v>#VALUE!</v>
      </c>
      <c r="T109" s="117" t="e">
        <f>IF(BatSplit(#REF!,RunsScored)&gt;=50,BatSplit(#REF!,RunsScored)&amp;IF(BatSplit(#REF!,NotOuts)=1,"*","")&amp;"|"&amp;#REF!&amp;"|"&amp;T$2&amp;"|"&amp;TEXT(T$1,"dd-mmm"),"x")</f>
        <v>#VALUE!</v>
      </c>
      <c r="U109" s="117" t="e">
        <f>IF(BatSplit(#REF!,RunsScored)&gt;=50,BatSplit(#REF!,RunsScored)&amp;IF(BatSplit(#REF!,NotOuts)=1,"*","")&amp;"|"&amp;#REF!&amp;"|"&amp;U$2&amp;"|"&amp;TEXT(U$1,"dd-mmm"),"x")</f>
        <v>#VALUE!</v>
      </c>
      <c r="V109" s="117" t="e">
        <f>IF(BatSplit(#REF!,RunsScored)&gt;=50,BatSplit(#REF!,RunsScored)&amp;IF(BatSplit(#REF!,NotOuts)=1,"*","")&amp;"|"&amp;#REF!&amp;"|"&amp;V$2&amp;"|"&amp;TEXT(V$1,"dd-mmm"),"x")</f>
        <v>#VALUE!</v>
      </c>
      <c r="W109" s="117" t="e">
        <f>IF(BatSplit(#REF!,RunsScored)&gt;=50,BatSplit(#REF!,RunsScored)&amp;IF(BatSplit(#REF!,NotOuts)=1,"*","")&amp;"|"&amp;#REF!&amp;"|"&amp;W$2&amp;"|"&amp;TEXT(W$1,"dd-mmm"),"x")</f>
        <v>#VALUE!</v>
      </c>
      <c r="X109" s="117" t="e">
        <f>IF(BatSplit(#REF!,RunsScored)&gt;=50,BatSplit(#REF!,RunsScored)&amp;IF(BatSplit(#REF!,NotOuts)=1,"*","")&amp;"|"&amp;#REF!&amp;"|"&amp;X$2&amp;"|"&amp;TEXT(X$1,"dd-mmm"),"x")</f>
        <v>#VALUE!</v>
      </c>
      <c r="Y109" s="117" t="e">
        <f>IF(BatSplit(#REF!,RunsScored)&gt;=50,BatSplit(#REF!,RunsScored)&amp;IF(BatSplit(#REF!,NotOuts)=1,"*","")&amp;"|"&amp;#REF!&amp;"|"&amp;Y$2&amp;"|"&amp;TEXT(Y$1,"dd-mmm"),"x")</f>
        <v>#VALUE!</v>
      </c>
      <c r="Z109" s="117" t="e">
        <f>IF(BatSplit(#REF!,RunsScored)&gt;=50,BatSplit(#REF!,RunsScored)&amp;IF(BatSplit(#REF!,NotOuts)=1,"*","")&amp;"|"&amp;#REF!&amp;"|"&amp;Z$2&amp;"|"&amp;TEXT(Z$1,"dd-mmm"),"x")</f>
        <v>#VALUE!</v>
      </c>
    </row>
    <row r="110" spans="4:26" customFormat="1" x14ac:dyDescent="0.15">
      <c r="D110" s="117" t="str">
        <f t="shared" ref="D110:Z110" si="193">IF(BatSplit(D40,RunsScored)&gt;=50,BatSplit(D40,RunsScored)&amp;IF(BatSplit(D40,NotOuts)=1,"*","")&amp;"|"&amp;$C40&amp;"|"&amp;D$2&amp;"|"&amp;TEXT(D$1,"dd-mmm"),"x")</f>
        <v>x</v>
      </c>
      <c r="E110" s="117" t="str">
        <f t="shared" si="193"/>
        <v>x</v>
      </c>
      <c r="F110" s="117" t="str">
        <f t="shared" si="193"/>
        <v>x</v>
      </c>
      <c r="G110" s="117" t="str">
        <f t="shared" si="193"/>
        <v>x</v>
      </c>
      <c r="H110" s="117" t="str">
        <f t="shared" si="193"/>
        <v>x</v>
      </c>
      <c r="I110" s="117" t="str">
        <f t="shared" si="193"/>
        <v>x</v>
      </c>
      <c r="J110" s="117" t="str">
        <f t="shared" si="193"/>
        <v>x</v>
      </c>
      <c r="K110" s="117" t="str">
        <f t="shared" si="193"/>
        <v>x</v>
      </c>
      <c r="L110" s="117" t="str">
        <f t="shared" si="193"/>
        <v>x</v>
      </c>
      <c r="M110" s="117" t="str">
        <f t="shared" si="193"/>
        <v>x</v>
      </c>
      <c r="N110" s="117" t="str">
        <f t="shared" si="193"/>
        <v>x</v>
      </c>
      <c r="O110" s="117" t="str">
        <f t="shared" si="193"/>
        <v>x</v>
      </c>
      <c r="P110" s="117" t="str">
        <f t="shared" si="193"/>
        <v>x</v>
      </c>
      <c r="Q110" s="117" t="str">
        <f t="shared" si="193"/>
        <v>x</v>
      </c>
      <c r="R110" s="117" t="str">
        <f t="shared" si="193"/>
        <v>x</v>
      </c>
      <c r="S110" s="117" t="str">
        <f t="shared" si="193"/>
        <v>x</v>
      </c>
      <c r="T110" s="117" t="str">
        <f t="shared" si="193"/>
        <v>x</v>
      </c>
      <c r="U110" s="117" t="str">
        <f t="shared" si="193"/>
        <v>x</v>
      </c>
      <c r="V110" s="117" t="str">
        <f t="shared" si="193"/>
        <v>x</v>
      </c>
      <c r="W110" s="117" t="str">
        <f t="shared" si="193"/>
        <v>x</v>
      </c>
      <c r="X110" s="117" t="str">
        <f t="shared" si="193"/>
        <v>x</v>
      </c>
      <c r="Y110" s="117" t="str">
        <f t="shared" si="193"/>
        <v>x</v>
      </c>
      <c r="Z110" s="117" t="str">
        <f t="shared" si="193"/>
        <v>x</v>
      </c>
    </row>
    <row r="111" spans="4:26" customFormat="1" x14ac:dyDescent="0.15">
      <c r="D111" s="117" t="str">
        <f t="shared" ref="D111:Z111" si="194">IF(BatSplit(D41,RunsScored)&gt;=50,BatSplit(D41,RunsScored)&amp;IF(BatSplit(D41,NotOuts)=1,"*","")&amp;"|"&amp;$C41&amp;"|"&amp;D$2&amp;"|"&amp;TEXT(D$1,"dd-mmm"),"x")</f>
        <v>x</v>
      </c>
      <c r="E111" s="117" t="str">
        <f t="shared" si="194"/>
        <v>x</v>
      </c>
      <c r="F111" s="117" t="str">
        <f t="shared" si="194"/>
        <v>x</v>
      </c>
      <c r="G111" s="117" t="str">
        <f t="shared" si="194"/>
        <v>x</v>
      </c>
      <c r="H111" s="117" t="str">
        <f t="shared" si="194"/>
        <v>x</v>
      </c>
      <c r="I111" s="117" t="str">
        <f t="shared" si="194"/>
        <v>x</v>
      </c>
      <c r="J111" s="117" t="str">
        <f t="shared" si="194"/>
        <v>x</v>
      </c>
      <c r="K111" s="117" t="str">
        <f t="shared" si="194"/>
        <v>x</v>
      </c>
      <c r="L111" s="117" t="str">
        <f t="shared" si="194"/>
        <v>x</v>
      </c>
      <c r="M111" s="117" t="str">
        <f t="shared" si="194"/>
        <v>x</v>
      </c>
      <c r="N111" s="117" t="str">
        <f t="shared" si="194"/>
        <v>x</v>
      </c>
      <c r="O111" s="117" t="str">
        <f t="shared" si="194"/>
        <v>x</v>
      </c>
      <c r="P111" s="117" t="str">
        <f t="shared" si="194"/>
        <v>x</v>
      </c>
      <c r="Q111" s="117" t="str">
        <f t="shared" si="194"/>
        <v>x</v>
      </c>
      <c r="R111" s="117" t="str">
        <f t="shared" si="194"/>
        <v>x</v>
      </c>
      <c r="S111" s="117" t="str">
        <f t="shared" si="194"/>
        <v>x</v>
      </c>
      <c r="T111" s="117" t="str">
        <f t="shared" si="194"/>
        <v>x</v>
      </c>
      <c r="U111" s="117" t="str">
        <f t="shared" si="194"/>
        <v>x</v>
      </c>
      <c r="V111" s="117" t="str">
        <f t="shared" si="194"/>
        <v>x</v>
      </c>
      <c r="W111" s="117" t="str">
        <f t="shared" si="194"/>
        <v>x</v>
      </c>
      <c r="X111" s="117" t="str">
        <f t="shared" si="194"/>
        <v>x</v>
      </c>
      <c r="Y111" s="117" t="str">
        <f t="shared" si="194"/>
        <v>x</v>
      </c>
      <c r="Z111" s="117" t="str">
        <f t="shared" si="194"/>
        <v>x</v>
      </c>
    </row>
    <row r="112" spans="4:26" customFormat="1" x14ac:dyDescent="0.15">
      <c r="D112" s="117" t="str">
        <f t="shared" ref="D112:Z112" si="195">IF(BatSplit(D42,RunsScored)&gt;=50,BatSplit(D42,RunsScored)&amp;IF(BatSplit(D42,NotOuts)=1,"*","")&amp;"|"&amp;$C42&amp;"|"&amp;D$2&amp;"|"&amp;TEXT(D$1,"dd-mmm"),"x")</f>
        <v>x</v>
      </c>
      <c r="E112" s="117" t="str">
        <f t="shared" si="195"/>
        <v>x</v>
      </c>
      <c r="F112" s="117" t="str">
        <f t="shared" si="195"/>
        <v>x</v>
      </c>
      <c r="G112" s="117" t="str">
        <f t="shared" si="195"/>
        <v>x</v>
      </c>
      <c r="H112" s="117" t="str">
        <f t="shared" si="195"/>
        <v>x</v>
      </c>
      <c r="I112" s="117" t="str">
        <f t="shared" si="195"/>
        <v>x</v>
      </c>
      <c r="J112" s="117" t="str">
        <f t="shared" si="195"/>
        <v>x</v>
      </c>
      <c r="K112" s="117" t="str">
        <f t="shared" si="195"/>
        <v>x</v>
      </c>
      <c r="L112" s="117" t="str">
        <f t="shared" si="195"/>
        <v>x</v>
      </c>
      <c r="M112" s="117" t="str">
        <f t="shared" si="195"/>
        <v>x</v>
      </c>
      <c r="N112" s="117" t="str">
        <f t="shared" si="195"/>
        <v>x</v>
      </c>
      <c r="O112" s="117" t="str">
        <f t="shared" si="195"/>
        <v>x</v>
      </c>
      <c r="P112" s="117" t="str">
        <f t="shared" si="195"/>
        <v>x</v>
      </c>
      <c r="Q112" s="117" t="str">
        <f t="shared" si="195"/>
        <v>x</v>
      </c>
      <c r="R112" s="117" t="str">
        <f t="shared" si="195"/>
        <v>x</v>
      </c>
      <c r="S112" s="117" t="str">
        <f t="shared" si="195"/>
        <v>x</v>
      </c>
      <c r="T112" s="117" t="str">
        <f t="shared" si="195"/>
        <v>x</v>
      </c>
      <c r="U112" s="117" t="str">
        <f t="shared" si="195"/>
        <v>x</v>
      </c>
      <c r="V112" s="117" t="str">
        <f t="shared" si="195"/>
        <v>x</v>
      </c>
      <c r="W112" s="117" t="str">
        <f t="shared" si="195"/>
        <v>x</v>
      </c>
      <c r="X112" s="117" t="str">
        <f t="shared" si="195"/>
        <v>x</v>
      </c>
      <c r="Y112" s="117" t="str">
        <f t="shared" si="195"/>
        <v>x</v>
      </c>
      <c r="Z112" s="117" t="str">
        <f t="shared" si="195"/>
        <v>x</v>
      </c>
    </row>
    <row r="113" spans="4:26" customFormat="1" x14ac:dyDescent="0.15">
      <c r="D113" s="117" t="str">
        <f t="shared" ref="D113:Z113" si="196">IF(BatSplit(D43,RunsScored)&gt;=50,BatSplit(D43,RunsScored)&amp;IF(BatSplit(D43,NotOuts)=1,"*","")&amp;"|"&amp;$C43&amp;"|"&amp;D$2&amp;"|"&amp;TEXT(D$1,"dd-mmm"),"x")</f>
        <v>x</v>
      </c>
      <c r="E113" s="117" t="str">
        <f t="shared" si="196"/>
        <v>x</v>
      </c>
      <c r="F113" s="117" t="str">
        <f t="shared" si="196"/>
        <v>x</v>
      </c>
      <c r="G113" s="117" t="str">
        <f t="shared" si="196"/>
        <v>x</v>
      </c>
      <c r="H113" s="117" t="str">
        <f t="shared" si="196"/>
        <v>x</v>
      </c>
      <c r="I113" s="117" t="str">
        <f t="shared" si="196"/>
        <v>x</v>
      </c>
      <c r="J113" s="117" t="str">
        <f t="shared" si="196"/>
        <v>x</v>
      </c>
      <c r="K113" s="117" t="str">
        <f t="shared" si="196"/>
        <v>x</v>
      </c>
      <c r="L113" s="117" t="str">
        <f t="shared" si="196"/>
        <v>x</v>
      </c>
      <c r="M113" s="117" t="str">
        <f t="shared" si="196"/>
        <v>x</v>
      </c>
      <c r="N113" s="117" t="str">
        <f t="shared" si="196"/>
        <v>x</v>
      </c>
      <c r="O113" s="117" t="str">
        <f t="shared" si="196"/>
        <v>x</v>
      </c>
      <c r="P113" s="117" t="str">
        <f t="shared" si="196"/>
        <v>x</v>
      </c>
      <c r="Q113" s="117" t="str">
        <f t="shared" si="196"/>
        <v>x</v>
      </c>
      <c r="R113" s="117" t="str">
        <f t="shared" si="196"/>
        <v>x</v>
      </c>
      <c r="S113" s="117" t="str">
        <f t="shared" si="196"/>
        <v>x</v>
      </c>
      <c r="T113" s="117" t="str">
        <f t="shared" si="196"/>
        <v>x</v>
      </c>
      <c r="U113" s="117" t="str">
        <f t="shared" si="196"/>
        <v>x</v>
      </c>
      <c r="V113" s="117" t="str">
        <f t="shared" si="196"/>
        <v>x</v>
      </c>
      <c r="W113" s="117" t="str">
        <f t="shared" si="196"/>
        <v>x</v>
      </c>
      <c r="X113" s="117" t="str">
        <f t="shared" si="196"/>
        <v>x</v>
      </c>
      <c r="Y113" s="117" t="str">
        <f t="shared" si="196"/>
        <v>x</v>
      </c>
      <c r="Z113" s="117" t="str">
        <f t="shared" si="196"/>
        <v>x</v>
      </c>
    </row>
    <row r="114" spans="4:26" customFormat="1" x14ac:dyDescent="0.15">
      <c r="D114" s="117" t="str">
        <f t="shared" ref="D114:Z114" si="197">IF(BatSplit(D44,RunsScored)&gt;=50,BatSplit(D44,RunsScored)&amp;IF(BatSplit(D44,NotOuts)=1,"*","")&amp;"|"&amp;$C44&amp;"|"&amp;D$2&amp;"|"&amp;TEXT(D$1,"dd-mmm"),"x")</f>
        <v>x</v>
      </c>
      <c r="E114" s="117" t="str">
        <f t="shared" si="197"/>
        <v>x</v>
      </c>
      <c r="F114" s="117" t="str">
        <f t="shared" si="197"/>
        <v>x</v>
      </c>
      <c r="G114" s="117" t="str">
        <f t="shared" si="197"/>
        <v>x</v>
      </c>
      <c r="H114" s="117" t="str">
        <f t="shared" si="197"/>
        <v>x</v>
      </c>
      <c r="I114" s="117" t="str">
        <f t="shared" si="197"/>
        <v>x</v>
      </c>
      <c r="J114" s="117" t="str">
        <f t="shared" si="197"/>
        <v>x</v>
      </c>
      <c r="K114" s="117" t="str">
        <f t="shared" si="197"/>
        <v>x</v>
      </c>
      <c r="L114" s="117" t="str">
        <f t="shared" si="197"/>
        <v>x</v>
      </c>
      <c r="M114" s="117" t="str">
        <f t="shared" si="197"/>
        <v>x</v>
      </c>
      <c r="N114" s="117" t="str">
        <f t="shared" si="197"/>
        <v>x</v>
      </c>
      <c r="O114" s="117" t="str">
        <f t="shared" si="197"/>
        <v>x</v>
      </c>
      <c r="P114" s="117" t="str">
        <f t="shared" si="197"/>
        <v>x</v>
      </c>
      <c r="Q114" s="117" t="str">
        <f t="shared" si="197"/>
        <v>x</v>
      </c>
      <c r="R114" s="117" t="str">
        <f t="shared" si="197"/>
        <v>x</v>
      </c>
      <c r="S114" s="117" t="str">
        <f t="shared" si="197"/>
        <v>x</v>
      </c>
      <c r="T114" s="117" t="str">
        <f t="shared" si="197"/>
        <v>x</v>
      </c>
      <c r="U114" s="117" t="str">
        <f t="shared" si="197"/>
        <v>x</v>
      </c>
      <c r="V114" s="117" t="str">
        <f t="shared" si="197"/>
        <v>x</v>
      </c>
      <c r="W114" s="117" t="str">
        <f t="shared" si="197"/>
        <v>x</v>
      </c>
      <c r="X114" s="117" t="str">
        <f t="shared" si="197"/>
        <v>x</v>
      </c>
      <c r="Y114" s="117" t="str">
        <f t="shared" si="197"/>
        <v>x</v>
      </c>
      <c r="Z114" s="117" t="str">
        <f t="shared" si="197"/>
        <v>x</v>
      </c>
    </row>
    <row r="115" spans="4:26" customFormat="1" x14ac:dyDescent="0.15">
      <c r="D115" s="117" t="str">
        <f t="shared" ref="D115:Z115" si="198">IF(BatSplit(D45,RunsScored)&gt;=50,BatSplit(D45,RunsScored)&amp;IF(BatSplit(D45,NotOuts)=1,"*","")&amp;"|"&amp;$C45&amp;"|"&amp;D$2&amp;"|"&amp;TEXT(D$1,"dd-mmm"),"x")</f>
        <v>x</v>
      </c>
      <c r="E115" s="117" t="str">
        <f t="shared" si="198"/>
        <v>x</v>
      </c>
      <c r="F115" s="117" t="str">
        <f t="shared" si="198"/>
        <v>x</v>
      </c>
      <c r="G115" s="117" t="str">
        <f t="shared" si="198"/>
        <v>x</v>
      </c>
      <c r="H115" s="117" t="str">
        <f t="shared" si="198"/>
        <v>x</v>
      </c>
      <c r="I115" s="117" t="str">
        <f t="shared" si="198"/>
        <v>x</v>
      </c>
      <c r="J115" s="117" t="str">
        <f t="shared" si="198"/>
        <v>x</v>
      </c>
      <c r="K115" s="117" t="str">
        <f t="shared" si="198"/>
        <v>x</v>
      </c>
      <c r="L115" s="117" t="str">
        <f t="shared" si="198"/>
        <v>x</v>
      </c>
      <c r="M115" s="117" t="str">
        <f t="shared" si="198"/>
        <v>x</v>
      </c>
      <c r="N115" s="117" t="str">
        <f t="shared" si="198"/>
        <v>x</v>
      </c>
      <c r="O115" s="117" t="str">
        <f t="shared" si="198"/>
        <v>x</v>
      </c>
      <c r="P115" s="117" t="str">
        <f t="shared" si="198"/>
        <v>x</v>
      </c>
      <c r="Q115" s="117" t="str">
        <f t="shared" si="198"/>
        <v>x</v>
      </c>
      <c r="R115" s="117" t="str">
        <f t="shared" si="198"/>
        <v>x</v>
      </c>
      <c r="S115" s="117" t="str">
        <f t="shared" si="198"/>
        <v>x</v>
      </c>
      <c r="T115" s="117" t="str">
        <f t="shared" si="198"/>
        <v>x</v>
      </c>
      <c r="U115" s="117" t="str">
        <f t="shared" si="198"/>
        <v>x</v>
      </c>
      <c r="V115" s="117" t="str">
        <f t="shared" si="198"/>
        <v>x</v>
      </c>
      <c r="W115" s="117" t="str">
        <f t="shared" si="198"/>
        <v>x</v>
      </c>
      <c r="X115" s="117" t="str">
        <f t="shared" si="198"/>
        <v>x</v>
      </c>
      <c r="Y115" s="117" t="str">
        <f t="shared" si="198"/>
        <v>x</v>
      </c>
      <c r="Z115" s="117" t="str">
        <f t="shared" si="198"/>
        <v>x</v>
      </c>
    </row>
    <row r="116" spans="4:26" customFormat="1" x14ac:dyDescent="0.15">
      <c r="D116" s="117" t="str">
        <f t="shared" ref="D116:Z116" si="199">IF(BatSplit(D46,RunsScored)&gt;=50,BatSplit(D46,RunsScored)&amp;IF(BatSplit(D46,NotOuts)=1,"*","")&amp;"|"&amp;$C46&amp;"|"&amp;D$2&amp;"|"&amp;TEXT(D$1,"dd-mmm"),"x")</f>
        <v>x</v>
      </c>
      <c r="E116" s="117" t="str">
        <f t="shared" si="199"/>
        <v>x</v>
      </c>
      <c r="F116" s="117" t="str">
        <f t="shared" si="199"/>
        <v>x</v>
      </c>
      <c r="G116" s="117" t="str">
        <f t="shared" si="199"/>
        <v>x</v>
      </c>
      <c r="H116" s="117" t="str">
        <f t="shared" si="199"/>
        <v>x</v>
      </c>
      <c r="I116" s="117" t="str">
        <f t="shared" si="199"/>
        <v>x</v>
      </c>
      <c r="J116" s="117" t="str">
        <f t="shared" si="199"/>
        <v>x</v>
      </c>
      <c r="K116" s="117" t="str">
        <f t="shared" si="199"/>
        <v>x</v>
      </c>
      <c r="L116" s="117" t="str">
        <f t="shared" si="199"/>
        <v>x</v>
      </c>
      <c r="M116" s="117" t="str">
        <f t="shared" si="199"/>
        <v>x</v>
      </c>
      <c r="N116" s="117" t="str">
        <f t="shared" si="199"/>
        <v>x</v>
      </c>
      <c r="O116" s="117" t="str">
        <f t="shared" si="199"/>
        <v>x</v>
      </c>
      <c r="P116" s="117" t="str">
        <f t="shared" si="199"/>
        <v>x</v>
      </c>
      <c r="Q116" s="117" t="str">
        <f t="shared" si="199"/>
        <v>x</v>
      </c>
      <c r="R116" s="117" t="str">
        <f t="shared" si="199"/>
        <v>x</v>
      </c>
      <c r="S116" s="117" t="str">
        <f t="shared" si="199"/>
        <v>x</v>
      </c>
      <c r="T116" s="117" t="str">
        <f t="shared" si="199"/>
        <v>x</v>
      </c>
      <c r="U116" s="117" t="str">
        <f t="shared" si="199"/>
        <v>x</v>
      </c>
      <c r="V116" s="117" t="str">
        <f t="shared" si="199"/>
        <v>x</v>
      </c>
      <c r="W116" s="117" t="str">
        <f t="shared" si="199"/>
        <v>x</v>
      </c>
      <c r="X116" s="117" t="str">
        <f t="shared" si="199"/>
        <v>x</v>
      </c>
      <c r="Y116" s="117" t="str">
        <f t="shared" si="199"/>
        <v>x</v>
      </c>
      <c r="Z116" s="117" t="str">
        <f t="shared" si="199"/>
        <v>x</v>
      </c>
    </row>
    <row r="117" spans="4:26" customFormat="1" x14ac:dyDescent="0.15">
      <c r="D117" s="117" t="str">
        <f t="shared" ref="D117:Z117" si="200">IF(BatSplit(D47,RunsScored)&gt;=50,BatSplit(D47,RunsScored)&amp;IF(BatSplit(D47,NotOuts)=1,"*","")&amp;"|"&amp;$C47&amp;"|"&amp;D$2&amp;"|"&amp;TEXT(D$1,"dd-mmm"),"x")</f>
        <v>x</v>
      </c>
      <c r="E117" s="117" t="str">
        <f t="shared" si="200"/>
        <v>x</v>
      </c>
      <c r="F117" s="117" t="str">
        <f t="shared" si="200"/>
        <v>x</v>
      </c>
      <c r="G117" s="117" t="str">
        <f t="shared" si="200"/>
        <v>x</v>
      </c>
      <c r="H117" s="117" t="str">
        <f t="shared" si="200"/>
        <v>x</v>
      </c>
      <c r="I117" s="117" t="str">
        <f t="shared" si="200"/>
        <v>x</v>
      </c>
      <c r="J117" s="117" t="str">
        <f t="shared" si="200"/>
        <v>x</v>
      </c>
      <c r="K117" s="117" t="str">
        <f t="shared" si="200"/>
        <v>x</v>
      </c>
      <c r="L117" s="117" t="str">
        <f t="shared" si="200"/>
        <v>x</v>
      </c>
      <c r="M117" s="117" t="str">
        <f t="shared" si="200"/>
        <v>x</v>
      </c>
      <c r="N117" s="117" t="str">
        <f t="shared" si="200"/>
        <v>x</v>
      </c>
      <c r="O117" s="117" t="str">
        <f t="shared" si="200"/>
        <v>x</v>
      </c>
      <c r="P117" s="117" t="str">
        <f t="shared" si="200"/>
        <v>x</v>
      </c>
      <c r="Q117" s="117" t="str">
        <f t="shared" si="200"/>
        <v>x</v>
      </c>
      <c r="R117" s="117" t="str">
        <f t="shared" si="200"/>
        <v>x</v>
      </c>
      <c r="S117" s="117" t="str">
        <f t="shared" si="200"/>
        <v>x</v>
      </c>
      <c r="T117" s="117" t="str">
        <f t="shared" si="200"/>
        <v>x</v>
      </c>
      <c r="U117" s="117" t="str">
        <f t="shared" si="200"/>
        <v>x</v>
      </c>
      <c r="V117" s="117" t="str">
        <f t="shared" si="200"/>
        <v>x</v>
      </c>
      <c r="W117" s="117" t="str">
        <f t="shared" si="200"/>
        <v>x</v>
      </c>
      <c r="X117" s="117" t="str">
        <f t="shared" si="200"/>
        <v>x</v>
      </c>
      <c r="Y117" s="117" t="str">
        <f t="shared" si="200"/>
        <v>x</v>
      </c>
      <c r="Z117" s="117" t="str">
        <f t="shared" si="200"/>
        <v>x</v>
      </c>
    </row>
    <row r="118" spans="4:26" customFormat="1" x14ac:dyDescent="0.15">
      <c r="D118" s="117" t="e">
        <f>IF(BatSplit(#REF!,RunsScored)&gt;=50,BatSplit(#REF!,RunsScored)&amp;IF(BatSplit(#REF!,NotOuts)=1,"*","")&amp;"|"&amp;#REF!&amp;"|"&amp;D$2&amp;"|"&amp;TEXT(D$1,"dd-mmm"),"x")</f>
        <v>#VALUE!</v>
      </c>
      <c r="E118" s="117" t="e">
        <f>IF(BatSplit(#REF!,RunsScored)&gt;=50,BatSplit(#REF!,RunsScored)&amp;IF(BatSplit(#REF!,NotOuts)=1,"*","")&amp;"|"&amp;#REF!&amp;"|"&amp;E$2&amp;"|"&amp;TEXT(E$1,"dd-mmm"),"x")</f>
        <v>#VALUE!</v>
      </c>
      <c r="F118" s="117" t="e">
        <f>IF(BatSplit(#REF!,RunsScored)&gt;=50,BatSplit(#REF!,RunsScored)&amp;IF(BatSplit(#REF!,NotOuts)=1,"*","")&amp;"|"&amp;#REF!&amp;"|"&amp;F$2&amp;"|"&amp;TEXT(F$1,"dd-mmm"),"x")</f>
        <v>#VALUE!</v>
      </c>
      <c r="G118" s="117" t="e">
        <f>IF(BatSplit(#REF!,RunsScored)&gt;=50,BatSplit(#REF!,RunsScored)&amp;IF(BatSplit(#REF!,NotOuts)=1,"*","")&amp;"|"&amp;#REF!&amp;"|"&amp;G$2&amp;"|"&amp;TEXT(G$1,"dd-mmm"),"x")</f>
        <v>#VALUE!</v>
      </c>
      <c r="H118" s="117" t="e">
        <f>IF(BatSplit(#REF!,RunsScored)&gt;=50,BatSplit(#REF!,RunsScored)&amp;IF(BatSplit(#REF!,NotOuts)=1,"*","")&amp;"|"&amp;#REF!&amp;"|"&amp;H$2&amp;"|"&amp;TEXT(H$1,"dd-mmm"),"x")</f>
        <v>#VALUE!</v>
      </c>
      <c r="I118" s="117" t="e">
        <f>IF(BatSplit(#REF!,RunsScored)&gt;=50,BatSplit(#REF!,RunsScored)&amp;IF(BatSplit(#REF!,NotOuts)=1,"*","")&amp;"|"&amp;#REF!&amp;"|"&amp;I$2&amp;"|"&amp;TEXT(I$1,"dd-mmm"),"x")</f>
        <v>#VALUE!</v>
      </c>
      <c r="J118" s="117" t="e">
        <f>IF(BatSplit(#REF!,RunsScored)&gt;=50,BatSplit(#REF!,RunsScored)&amp;IF(BatSplit(#REF!,NotOuts)=1,"*","")&amp;"|"&amp;#REF!&amp;"|"&amp;J$2&amp;"|"&amp;TEXT(J$1,"dd-mmm"),"x")</f>
        <v>#VALUE!</v>
      </c>
      <c r="K118" s="117" t="e">
        <f>IF(BatSplit(#REF!,RunsScored)&gt;=50,BatSplit(#REF!,RunsScored)&amp;IF(BatSplit(#REF!,NotOuts)=1,"*","")&amp;"|"&amp;#REF!&amp;"|"&amp;K$2&amp;"|"&amp;TEXT(K$1,"dd-mmm"),"x")</f>
        <v>#VALUE!</v>
      </c>
      <c r="L118" s="117" t="e">
        <f>IF(BatSplit(#REF!,RunsScored)&gt;=50,BatSplit(#REF!,RunsScored)&amp;IF(BatSplit(#REF!,NotOuts)=1,"*","")&amp;"|"&amp;#REF!&amp;"|"&amp;L$2&amp;"|"&amp;TEXT(L$1,"dd-mmm"),"x")</f>
        <v>#VALUE!</v>
      </c>
      <c r="M118" s="117" t="e">
        <f>IF(BatSplit(#REF!,RunsScored)&gt;=50,BatSplit(#REF!,RunsScored)&amp;IF(BatSplit(#REF!,NotOuts)=1,"*","")&amp;"|"&amp;#REF!&amp;"|"&amp;M$2&amp;"|"&amp;TEXT(M$1,"dd-mmm"),"x")</f>
        <v>#VALUE!</v>
      </c>
      <c r="N118" s="117" t="e">
        <f>IF(BatSplit(#REF!,RunsScored)&gt;=50,BatSplit(#REF!,RunsScored)&amp;IF(BatSplit(#REF!,NotOuts)=1,"*","")&amp;"|"&amp;#REF!&amp;"|"&amp;N$2&amp;"|"&amp;TEXT(N$1,"dd-mmm"),"x")</f>
        <v>#VALUE!</v>
      </c>
      <c r="O118" s="117" t="e">
        <f>IF(BatSplit(#REF!,RunsScored)&gt;=50,BatSplit(#REF!,RunsScored)&amp;IF(BatSplit(#REF!,NotOuts)=1,"*","")&amp;"|"&amp;#REF!&amp;"|"&amp;O$2&amp;"|"&amp;TEXT(O$1,"dd-mmm"),"x")</f>
        <v>#VALUE!</v>
      </c>
      <c r="P118" s="117" t="e">
        <f>IF(BatSplit(#REF!,RunsScored)&gt;=50,BatSplit(#REF!,RunsScored)&amp;IF(BatSplit(#REF!,NotOuts)=1,"*","")&amp;"|"&amp;#REF!&amp;"|"&amp;P$2&amp;"|"&amp;TEXT(P$1,"dd-mmm"),"x")</f>
        <v>#VALUE!</v>
      </c>
      <c r="Q118" s="117" t="e">
        <f>IF(BatSplit(#REF!,RunsScored)&gt;=50,BatSplit(#REF!,RunsScored)&amp;IF(BatSplit(#REF!,NotOuts)=1,"*","")&amp;"|"&amp;#REF!&amp;"|"&amp;Q$2&amp;"|"&amp;TEXT(Q$1,"dd-mmm"),"x")</f>
        <v>#VALUE!</v>
      </c>
      <c r="R118" s="117" t="e">
        <f>IF(BatSplit(#REF!,RunsScored)&gt;=50,BatSplit(#REF!,RunsScored)&amp;IF(BatSplit(#REF!,NotOuts)=1,"*","")&amp;"|"&amp;#REF!&amp;"|"&amp;R$2&amp;"|"&amp;TEXT(R$1,"dd-mmm"),"x")</f>
        <v>#VALUE!</v>
      </c>
      <c r="S118" s="117" t="e">
        <f>IF(BatSplit(#REF!,RunsScored)&gt;=50,BatSplit(#REF!,RunsScored)&amp;IF(BatSplit(#REF!,NotOuts)=1,"*","")&amp;"|"&amp;#REF!&amp;"|"&amp;S$2&amp;"|"&amp;TEXT(S$1,"dd-mmm"),"x")</f>
        <v>#VALUE!</v>
      </c>
      <c r="T118" s="117" t="e">
        <f>IF(BatSplit(#REF!,RunsScored)&gt;=50,BatSplit(#REF!,RunsScored)&amp;IF(BatSplit(#REF!,NotOuts)=1,"*","")&amp;"|"&amp;#REF!&amp;"|"&amp;T$2&amp;"|"&amp;TEXT(T$1,"dd-mmm"),"x")</f>
        <v>#VALUE!</v>
      </c>
      <c r="U118" s="117" t="e">
        <f>IF(BatSplit(#REF!,RunsScored)&gt;=50,BatSplit(#REF!,RunsScored)&amp;IF(BatSplit(#REF!,NotOuts)=1,"*","")&amp;"|"&amp;#REF!&amp;"|"&amp;U$2&amp;"|"&amp;TEXT(U$1,"dd-mmm"),"x")</f>
        <v>#VALUE!</v>
      </c>
      <c r="V118" s="117" t="e">
        <f>IF(BatSplit(#REF!,RunsScored)&gt;=50,BatSplit(#REF!,RunsScored)&amp;IF(BatSplit(#REF!,NotOuts)=1,"*","")&amp;"|"&amp;#REF!&amp;"|"&amp;V$2&amp;"|"&amp;TEXT(V$1,"dd-mmm"),"x")</f>
        <v>#VALUE!</v>
      </c>
      <c r="W118" s="117" t="e">
        <f>IF(BatSplit(#REF!,RunsScored)&gt;=50,BatSplit(#REF!,RunsScored)&amp;IF(BatSplit(#REF!,NotOuts)=1,"*","")&amp;"|"&amp;#REF!&amp;"|"&amp;W$2&amp;"|"&amp;TEXT(W$1,"dd-mmm"),"x")</f>
        <v>#VALUE!</v>
      </c>
      <c r="X118" s="117" t="e">
        <f>IF(BatSplit(#REF!,RunsScored)&gt;=50,BatSplit(#REF!,RunsScored)&amp;IF(BatSplit(#REF!,NotOuts)=1,"*","")&amp;"|"&amp;#REF!&amp;"|"&amp;X$2&amp;"|"&amp;TEXT(X$1,"dd-mmm"),"x")</f>
        <v>#VALUE!</v>
      </c>
      <c r="Y118" s="117" t="e">
        <f>IF(BatSplit(#REF!,RunsScored)&gt;=50,BatSplit(#REF!,RunsScored)&amp;IF(BatSplit(#REF!,NotOuts)=1,"*","")&amp;"|"&amp;#REF!&amp;"|"&amp;Y$2&amp;"|"&amp;TEXT(Y$1,"dd-mmm"),"x")</f>
        <v>#VALUE!</v>
      </c>
      <c r="Z118" s="117" t="e">
        <f>IF(BatSplit(#REF!,RunsScored)&gt;=50,BatSplit(#REF!,RunsScored)&amp;IF(BatSplit(#REF!,NotOuts)=1,"*","")&amp;"|"&amp;#REF!&amp;"|"&amp;Z$2&amp;"|"&amp;TEXT(Z$1,"dd-mmm"),"x")</f>
        <v>#VALUE!</v>
      </c>
    </row>
    <row r="119" spans="4:26" customFormat="1" x14ac:dyDescent="0.15">
      <c r="D119" s="117" t="str">
        <f t="shared" ref="D119:Z119" si="201">IF(BatSplit(D48,RunsScored)&gt;=50,BatSplit(D48,RunsScored)&amp;IF(BatSplit(D48,NotOuts)=1,"*","")&amp;"|"&amp;$C48&amp;"|"&amp;D$2&amp;"|"&amp;TEXT(D$1,"dd-mmm"),"x")</f>
        <v>x</v>
      </c>
      <c r="E119" s="117" t="str">
        <f t="shared" si="201"/>
        <v>x</v>
      </c>
      <c r="F119" s="117" t="str">
        <f t="shared" si="201"/>
        <v>x</v>
      </c>
      <c r="G119" s="117" t="str">
        <f t="shared" si="201"/>
        <v>x</v>
      </c>
      <c r="H119" s="117" t="str">
        <f t="shared" si="201"/>
        <v>x</v>
      </c>
      <c r="I119" s="117" t="str">
        <f t="shared" si="201"/>
        <v>x</v>
      </c>
      <c r="J119" s="117" t="str">
        <f t="shared" si="201"/>
        <v>x</v>
      </c>
      <c r="K119" s="117" t="str">
        <f t="shared" si="201"/>
        <v>x</v>
      </c>
      <c r="L119" s="117" t="str">
        <f t="shared" si="201"/>
        <v>x</v>
      </c>
      <c r="M119" s="117" t="str">
        <f t="shared" si="201"/>
        <v>x</v>
      </c>
      <c r="N119" s="117" t="str">
        <f t="shared" si="201"/>
        <v>x</v>
      </c>
      <c r="O119" s="117" t="str">
        <f t="shared" si="201"/>
        <v>x</v>
      </c>
      <c r="P119" s="117" t="str">
        <f t="shared" si="201"/>
        <v>x</v>
      </c>
      <c r="Q119" s="117" t="str">
        <f t="shared" si="201"/>
        <v>x</v>
      </c>
      <c r="R119" s="117" t="str">
        <f t="shared" si="201"/>
        <v>x</v>
      </c>
      <c r="S119" s="117" t="str">
        <f t="shared" si="201"/>
        <v>x</v>
      </c>
      <c r="T119" s="117" t="str">
        <f t="shared" si="201"/>
        <v>x</v>
      </c>
      <c r="U119" s="117" t="str">
        <f t="shared" si="201"/>
        <v>x</v>
      </c>
      <c r="V119" s="117" t="str">
        <f t="shared" si="201"/>
        <v>x</v>
      </c>
      <c r="W119" s="117" t="str">
        <f t="shared" si="201"/>
        <v>x</v>
      </c>
      <c r="X119" s="117" t="str">
        <f t="shared" si="201"/>
        <v>x</v>
      </c>
      <c r="Y119" s="117" t="str">
        <f t="shared" si="201"/>
        <v>x</v>
      </c>
      <c r="Z119" s="117" t="str">
        <f t="shared" si="201"/>
        <v>x</v>
      </c>
    </row>
    <row r="120" spans="4:26" customFormat="1" x14ac:dyDescent="0.15">
      <c r="D120" s="117" t="str">
        <f t="shared" ref="D120:Z120" si="202">IF(BatSplit(D49,RunsScored)&gt;=50,BatSplit(D49,RunsScored)&amp;IF(BatSplit(D49,NotOuts)=1,"*","")&amp;"|"&amp;$C49&amp;"|"&amp;D$2&amp;"|"&amp;TEXT(D$1,"dd-mmm"),"x")</f>
        <v>x</v>
      </c>
      <c r="E120" s="117" t="str">
        <f t="shared" si="202"/>
        <v>x</v>
      </c>
      <c r="F120" s="117" t="str">
        <f t="shared" si="202"/>
        <v>x</v>
      </c>
      <c r="G120" s="117" t="str">
        <f t="shared" si="202"/>
        <v>x</v>
      </c>
      <c r="H120" s="117" t="str">
        <f t="shared" si="202"/>
        <v>x</v>
      </c>
      <c r="I120" s="117" t="str">
        <f t="shared" si="202"/>
        <v>x</v>
      </c>
      <c r="J120" s="117" t="str">
        <f t="shared" si="202"/>
        <v>x</v>
      </c>
      <c r="K120" s="117" t="str">
        <f t="shared" si="202"/>
        <v>x</v>
      </c>
      <c r="L120" s="117" t="str">
        <f t="shared" si="202"/>
        <v>x</v>
      </c>
      <c r="M120" s="117" t="str">
        <f t="shared" si="202"/>
        <v>x</v>
      </c>
      <c r="N120" s="117" t="str">
        <f t="shared" si="202"/>
        <v>x</v>
      </c>
      <c r="O120" s="117" t="str">
        <f t="shared" si="202"/>
        <v>x</v>
      </c>
      <c r="P120" s="117" t="str">
        <f t="shared" si="202"/>
        <v>x</v>
      </c>
      <c r="Q120" s="117" t="str">
        <f t="shared" si="202"/>
        <v>x</v>
      </c>
      <c r="R120" s="117" t="str">
        <f t="shared" si="202"/>
        <v>x</v>
      </c>
      <c r="S120" s="117" t="str">
        <f t="shared" si="202"/>
        <v>x</v>
      </c>
      <c r="T120" s="117" t="str">
        <f t="shared" si="202"/>
        <v>x</v>
      </c>
      <c r="U120" s="117" t="str">
        <f t="shared" si="202"/>
        <v>x</v>
      </c>
      <c r="V120" s="117" t="str">
        <f t="shared" si="202"/>
        <v>x</v>
      </c>
      <c r="W120" s="117" t="str">
        <f t="shared" si="202"/>
        <v>x</v>
      </c>
      <c r="X120" s="117" t="str">
        <f t="shared" si="202"/>
        <v>x</v>
      </c>
      <c r="Y120" s="117" t="str">
        <f t="shared" si="202"/>
        <v>x</v>
      </c>
      <c r="Z120" s="117" t="str">
        <f t="shared" si="202"/>
        <v>x</v>
      </c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spans="4:26" customFormat="1" x14ac:dyDescent="0.15"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spans="4:26" customFormat="1" x14ac:dyDescent="0.15"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spans="4:26" customFormat="1" x14ac:dyDescent="0.15"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spans="4:26" customFormat="1" x14ac:dyDescent="0.15"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</row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</sheetData>
  <phoneticPr fontId="0" type="noConversion"/>
  <conditionalFormatting sqref="CE61:CE70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85"/>
  <sheetViews>
    <sheetView zoomScaleNormal="100" workbookViewId="0">
      <pane xSplit="2" ySplit="4" topLeftCell="CI5" activePane="bottomRight" state="frozenSplit"/>
      <selection pane="topRight" activeCell="B1" sqref="B1"/>
      <selection pane="bottomLeft" activeCell="A5" sqref="A5"/>
      <selection pane="bottomRight" activeCell="CT33" sqref="CT3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41756</v>
      </c>
      <c r="D1" s="4">
        <v>41763</v>
      </c>
      <c r="E1" s="4">
        <v>41777</v>
      </c>
      <c r="F1" s="4">
        <v>41784</v>
      </c>
      <c r="G1" s="4">
        <v>41785</v>
      </c>
      <c r="H1" s="4">
        <v>41791</v>
      </c>
      <c r="I1" s="4">
        <v>41798</v>
      </c>
      <c r="J1" s="4">
        <v>41805</v>
      </c>
      <c r="K1" s="4">
        <v>41812</v>
      </c>
      <c r="L1" s="4">
        <v>41819</v>
      </c>
      <c r="M1" s="4">
        <v>41826</v>
      </c>
      <c r="N1" s="4">
        <v>41833</v>
      </c>
      <c r="O1" s="4">
        <v>41840</v>
      </c>
      <c r="P1" s="4">
        <v>41875</v>
      </c>
      <c r="Q1" s="4">
        <v>41882</v>
      </c>
      <c r="R1" s="4">
        <v>41889</v>
      </c>
      <c r="S1" s="4">
        <v>41902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Deando-Ruxley</v>
      </c>
      <c r="D2" s="1" t="str">
        <v>Woodgreen</v>
      </c>
      <c r="E2" s="1" t="str">
        <v>Churchleigh</v>
      </c>
      <c r="F2" s="1" t="str">
        <v>Woodgreen</v>
      </c>
      <c r="G2" s="1" t="str">
        <v>Steeple Langford</v>
      </c>
      <c r="H2" s="1" t="str">
        <v>Norwood Exiles</v>
      </c>
      <c r="I2" s="1" t="str">
        <v>Putney</v>
      </c>
      <c r="J2" s="1" t="str">
        <v>LESSA</v>
      </c>
      <c r="K2" s="1" t="str">
        <v>Merstham</v>
      </c>
      <c r="L2" s="1" t="str">
        <v>RACS</v>
      </c>
      <c r="M2" s="1" t="str">
        <v>Southbank</v>
      </c>
      <c r="N2" s="1" t="str">
        <v>S Railway/Kenley</v>
      </c>
      <c r="O2" s="1" t="str">
        <v>LESSA</v>
      </c>
      <c r="P2" s="1" t="str">
        <v>Norwood Exiles</v>
      </c>
      <c r="Q2" s="1" t="str">
        <v>Sanderstead</v>
      </c>
      <c r="R2" s="1" t="str">
        <v>Norwood</v>
      </c>
      <c r="S2" s="1" t="str">
        <v>Living Word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A</v>
      </c>
      <c r="R3" s="1" t="str">
        <v>H</v>
      </c>
      <c r="S3" s="1" t="str">
        <v>H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SUM(CP5:CP46)</f>
        <v>0</v>
      </c>
      <c r="CQ3" s="53">
        <f>SUM(CQ5:CQ46)</f>
        <v>0</v>
      </c>
    </row>
    <row r="4" spans="1:99" ht="11.25" customHeight="1" x14ac:dyDescent="0.15">
      <c r="B4" s="2" t="str">
        <v>Result</v>
      </c>
      <c r="C4" s="1" t="str">
        <v>L</v>
      </c>
      <c r="D4" s="1" t="str">
        <v>W</v>
      </c>
      <c r="E4" s="1" t="str">
        <v>W</v>
      </c>
      <c r="F4" s="1" t="str">
        <v>L</v>
      </c>
      <c r="G4" s="1">
        <v>0</v>
      </c>
      <c r="H4" s="1" t="str">
        <v>L</v>
      </c>
      <c r="I4" s="1" t="str">
        <v>W</v>
      </c>
      <c r="J4" s="1" t="str">
        <v>L</v>
      </c>
      <c r="K4" s="1" t="str">
        <v>L</v>
      </c>
      <c r="L4" s="1" t="str">
        <v>ND</v>
      </c>
      <c r="M4" s="1" t="str">
        <v>L</v>
      </c>
      <c r="N4" s="1" t="str">
        <v>W</v>
      </c>
      <c r="O4" s="1" t="str">
        <v>D</v>
      </c>
      <c r="P4" s="1" t="str">
        <v>L</v>
      </c>
      <c r="Q4" s="1" t="str">
        <v>L</v>
      </c>
      <c r="R4" s="1" t="str">
        <v>L</v>
      </c>
      <c r="S4" s="1" t="str">
        <v>W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31</v>
      </c>
      <c r="CG4" s="49" t="s">
        <v>32</v>
      </c>
      <c r="CH4" s="49" t="s">
        <v>33</v>
      </c>
      <c r="CI4" s="49" t="s">
        <v>9</v>
      </c>
      <c r="CJ4" s="49" t="s">
        <v>34</v>
      </c>
      <c r="CK4" s="46" t="s">
        <v>35</v>
      </c>
      <c r="CL4" s="49" t="s">
        <v>36</v>
      </c>
      <c r="CM4" s="49" t="s">
        <v>37</v>
      </c>
      <c r="CN4" s="48" t="s">
        <v>93</v>
      </c>
      <c r="CO4" s="53" t="s">
        <v>38</v>
      </c>
      <c r="CP4" s="53" t="s">
        <v>112</v>
      </c>
      <c r="CQ4" s="53" t="s">
        <v>113</v>
      </c>
      <c r="CR4" s="74" t="s">
        <v>139</v>
      </c>
      <c r="CS4" s="2" t="s">
        <v>134</v>
      </c>
      <c r="CT4" s="2" t="s">
        <v>199</v>
      </c>
      <c r="CU4" s="2" t="s">
        <v>254</v>
      </c>
    </row>
    <row r="5" spans="1:99" ht="11.25" customHeight="1" x14ac:dyDescent="0.15">
      <c r="B5" s="2" t="s">
        <v>257</v>
      </c>
      <c r="F5" s="2" t="s">
        <v>353</v>
      </c>
      <c r="CE5" s="53">
        <f t="shared" ref="CE5:CE8" si="0">BowlSplit(C5:BC5,InnsBowledIn)</f>
        <v>1</v>
      </c>
      <c r="CF5" s="53">
        <f t="shared" ref="CF5:CF8" si="1">BowlSplit(C5:CC5,BallsBowled)</f>
        <v>8</v>
      </c>
      <c r="CG5" s="55">
        <f t="shared" ref="CG5:CG8" si="2">BowlSplit(C5:CC5,OversBowled)</f>
        <v>1.2</v>
      </c>
      <c r="CH5" s="53">
        <f t="shared" ref="CH5:CH8" si="3">BowlSplit(C5:CC5,Maidens)</f>
        <v>0</v>
      </c>
      <c r="CI5" s="53">
        <f t="shared" ref="CI5:CI8" si="4">BowlSplit(C5:CC5,RunsConceded)</f>
        <v>19</v>
      </c>
      <c r="CJ5" s="53">
        <f t="shared" ref="CJ5:CJ8" si="5">BowlSplit(C5:CC5,WicketsTaken)</f>
        <v>1</v>
      </c>
      <c r="CK5" s="56">
        <f t="shared" ref="CK5:CK8" si="6">IF(CJ5&gt;0,ROUND(CI5/CJ5,2),"")</f>
        <v>19</v>
      </c>
      <c r="CL5" s="57">
        <f t="shared" ref="CL5:CL8" si="7">IF(CJ5&gt;0,CF5/CJ5,"")</f>
        <v>8</v>
      </c>
      <c r="CM5" s="57">
        <f t="shared" ref="CM5:CM8" si="8">IF(CF5&gt;0,6*CI5/CF5,"")</f>
        <v>14.25</v>
      </c>
      <c r="CN5" s="48" t="str">
        <f t="shared" ref="CN5:CN8" si="9">BowlSplit(C5:CC5,BestBowling)</f>
        <v>1-19</v>
      </c>
      <c r="CO5" s="53">
        <f t="shared" ref="CO5:CO8" si="10">BowlSplit(C5:CC5,BowlPts)</f>
        <v>5</v>
      </c>
      <c r="CP5" s="53">
        <f t="shared" ref="CP5:CP8" si="11">BowlSplit(C5:CC5,Wides)</f>
        <v>0</v>
      </c>
      <c r="CQ5" s="53">
        <f t="shared" ref="CQ5:CQ8" si="12">BowlSplit(C5:CC5,NoBalls)</f>
        <v>0</v>
      </c>
      <c r="CR5" s="58">
        <f t="shared" ref="CR5:CR8" si="13">IF(CJ5&gt;0,CK5,IF(CF5&gt;0,CF5+1000,99999))+ROW(CQ5)/10000</f>
        <v>19.000499999999999</v>
      </c>
      <c r="CS5" s="2">
        <f t="shared" ref="CS5:CS40" si="14">RANK(CR5,$CR$5:$CR$40,1)</f>
        <v>5</v>
      </c>
      <c r="CT5" s="106" t="str">
        <f t="shared" ref="CT5:CT8" si="15">IF(CF5&gt;=120,CH5/CF5*6,"")</f>
        <v/>
      </c>
      <c r="CU5" s="2">
        <f t="shared" ref="CU5:CU8" si="16">BowlSplit(C5:CC5,FiveFors)</f>
        <v>0</v>
      </c>
    </row>
    <row r="6" spans="1:99" ht="11.25" customHeight="1" x14ac:dyDescent="0.15">
      <c r="B6" s="2" t="s">
        <v>362</v>
      </c>
      <c r="H6" s="2" t="s">
        <v>372</v>
      </c>
      <c r="CE6" s="53">
        <f t="shared" ref="CE6" si="17">BowlSplit(C6:BC6,InnsBowledIn)</f>
        <v>1</v>
      </c>
      <c r="CF6" s="53">
        <f t="shared" ref="CF6" si="18">BowlSplit(C6:CC6,BallsBowled)</f>
        <v>27.000001907348633</v>
      </c>
      <c r="CG6" s="55">
        <f t="shared" ref="CG6" si="19">BowlSplit(C6:CC6,OversBowled)</f>
        <v>4.3</v>
      </c>
      <c r="CH6" s="53">
        <f t="shared" ref="CH6" si="20">BowlSplit(C6:CC6,Maidens)</f>
        <v>0</v>
      </c>
      <c r="CI6" s="53">
        <f t="shared" ref="CI6" si="21">BowlSplit(C6:CC6,RunsConceded)</f>
        <v>20</v>
      </c>
      <c r="CJ6" s="53">
        <f t="shared" ref="CJ6" si="22">BowlSplit(C6:CC6,WicketsTaken)</f>
        <v>0</v>
      </c>
      <c r="CK6" s="56" t="str">
        <f t="shared" ref="CK6" si="23">IF(CJ6&gt;0,ROUND(CI6/CJ6,2),"")</f>
        <v/>
      </c>
      <c r="CL6" s="57" t="str">
        <f t="shared" ref="CL6" si="24">IF(CJ6&gt;0,CF6/CJ6,"")</f>
        <v/>
      </c>
      <c r="CM6" s="57">
        <f t="shared" ref="CM6" si="25">IF(CF6&gt;0,6*CI6/CF6,"")</f>
        <v>4.4444441304776134</v>
      </c>
      <c r="CN6" s="48" t="str">
        <f t="shared" ref="CN6" si="26">BowlSplit(C6:CC6,BestBowling)</f>
        <v>0-20</v>
      </c>
      <c r="CO6" s="53">
        <f t="shared" ref="CO6" si="27">BowlSplit(C6:CC6,BowlPts)</f>
        <v>0</v>
      </c>
      <c r="CP6" s="53">
        <f t="shared" ref="CP6" si="28">BowlSplit(C6:CC6,Wides)</f>
        <v>0</v>
      </c>
      <c r="CQ6" s="53">
        <f t="shared" ref="CQ6" si="29">BowlSplit(C6:CC6,NoBalls)</f>
        <v>0</v>
      </c>
      <c r="CR6" s="58">
        <f t="shared" ref="CR6" si="30">IF(CJ6&gt;0,CK6,IF(CF6&gt;0,CF6+1000,99999))+ROW(CQ6)/10000</f>
        <v>1027.0006019073487</v>
      </c>
      <c r="CS6" s="2">
        <f t="shared" si="14"/>
        <v>30</v>
      </c>
      <c r="CT6" s="106" t="str">
        <f t="shared" ref="CT6" si="31">IF(CF6&gt;=120,CH6/CF6*6,"")</f>
        <v/>
      </c>
      <c r="CU6" s="2">
        <f t="shared" ref="CU6" si="32">BowlSplit(C6:CC6,FiveFors)</f>
        <v>0</v>
      </c>
    </row>
    <row r="7" spans="1:99" ht="11.25" customHeight="1" x14ac:dyDescent="0.15">
      <c r="B7" s="2" t="s">
        <v>472</v>
      </c>
      <c r="N7" s="2" t="s">
        <v>486</v>
      </c>
      <c r="CE7" s="53">
        <f t="shared" ref="CE7" si="33">BowlSplit(C7:BC7,InnsBowledIn)</f>
        <v>1</v>
      </c>
      <c r="CF7" s="53">
        <f t="shared" ref="CF7" si="34">BowlSplit(C7:CC7,BallsBowled)</f>
        <v>24</v>
      </c>
      <c r="CG7" s="55">
        <f t="shared" ref="CG7" si="35">BowlSplit(C7:CC7,OversBowled)</f>
        <v>4</v>
      </c>
      <c r="CH7" s="53">
        <f t="shared" ref="CH7" si="36">BowlSplit(C7:CC7,Maidens)</f>
        <v>0</v>
      </c>
      <c r="CI7" s="53">
        <f t="shared" ref="CI7" si="37">BowlSplit(C7:CC7,RunsConceded)</f>
        <v>18</v>
      </c>
      <c r="CJ7" s="53">
        <f t="shared" ref="CJ7" si="38">BowlSplit(C7:CC7,WicketsTaken)</f>
        <v>2</v>
      </c>
      <c r="CK7" s="56">
        <f t="shared" ref="CK7" si="39">IF(CJ7&gt;0,ROUND(CI7/CJ7,2),"")</f>
        <v>9</v>
      </c>
      <c r="CL7" s="57">
        <f t="shared" ref="CL7" si="40">IF(CJ7&gt;0,CF7/CJ7,"")</f>
        <v>12</v>
      </c>
      <c r="CM7" s="57">
        <f t="shared" ref="CM7" si="41">IF(CF7&gt;0,6*CI7/CF7,"")</f>
        <v>4.5</v>
      </c>
      <c r="CN7" s="48" t="str">
        <f t="shared" ref="CN7" si="42">BowlSplit(C7:CC7,BestBowling)</f>
        <v>2-18</v>
      </c>
      <c r="CO7" s="53">
        <f t="shared" ref="CO7" si="43">BowlSplit(C7:CC7,BowlPts)</f>
        <v>20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9.0007000000000001</v>
      </c>
      <c r="CS7" s="2">
        <f t="shared" si="14"/>
        <v>2</v>
      </c>
      <c r="CT7" s="106" t="str">
        <f t="shared" ref="CT7" si="47">IF(CF7&gt;=120,CH7/CF7*6,"")</f>
        <v/>
      </c>
      <c r="CU7" s="2">
        <f t="shared" ref="CU7" si="48">BowlSplit(C7:CC7,FiveFors)</f>
        <v>0</v>
      </c>
    </row>
    <row r="8" spans="1:99" ht="11.25" customHeight="1" x14ac:dyDescent="0.15">
      <c r="B8" s="2" t="s">
        <v>386</v>
      </c>
      <c r="C8" s="2" t="s">
        <v>298</v>
      </c>
      <c r="I8" s="2" t="s">
        <v>390</v>
      </c>
      <c r="CE8" s="53">
        <f t="shared" si="0"/>
        <v>2</v>
      </c>
      <c r="CF8" s="53">
        <f t="shared" si="1"/>
        <v>36</v>
      </c>
      <c r="CG8" s="55">
        <f t="shared" si="2"/>
        <v>6</v>
      </c>
      <c r="CH8" s="53">
        <f t="shared" si="3"/>
        <v>0</v>
      </c>
      <c r="CI8" s="53">
        <f t="shared" si="4"/>
        <v>30</v>
      </c>
      <c r="CJ8" s="53">
        <f t="shared" si="5"/>
        <v>0</v>
      </c>
      <c r="CK8" s="56" t="str">
        <f t="shared" si="6"/>
        <v/>
      </c>
      <c r="CL8" s="57" t="str">
        <f t="shared" si="7"/>
        <v/>
      </c>
      <c r="CM8" s="57">
        <f t="shared" si="8"/>
        <v>5</v>
      </c>
      <c r="CN8" s="48" t="str">
        <f t="shared" si="9"/>
        <v>0-11</v>
      </c>
      <c r="CO8" s="53">
        <f t="shared" si="10"/>
        <v>-5</v>
      </c>
      <c r="CP8" s="53">
        <f t="shared" si="11"/>
        <v>0</v>
      </c>
      <c r="CQ8" s="53">
        <f t="shared" si="12"/>
        <v>0</v>
      </c>
      <c r="CR8" s="58">
        <f t="shared" si="13"/>
        <v>1036.0008</v>
      </c>
      <c r="CS8" s="2">
        <f t="shared" si="14"/>
        <v>33</v>
      </c>
      <c r="CT8" s="106" t="str">
        <f t="shared" si="15"/>
        <v/>
      </c>
      <c r="CU8" s="2">
        <f t="shared" si="16"/>
        <v>0</v>
      </c>
    </row>
    <row r="9" spans="1:99" ht="11.25" customHeight="1" x14ac:dyDescent="0.15">
      <c r="A9" s="2" t="s">
        <v>56</v>
      </c>
      <c r="B9" s="2" t="s">
        <v>142</v>
      </c>
      <c r="D9" s="2" t="s">
        <v>313</v>
      </c>
      <c r="H9" s="2" t="s">
        <v>312</v>
      </c>
      <c r="I9" s="2" t="s">
        <v>294</v>
      </c>
      <c r="J9" s="2" t="s">
        <v>416</v>
      </c>
      <c r="M9" s="2" t="s">
        <v>461</v>
      </c>
      <c r="N9" s="2" t="s">
        <v>483</v>
      </c>
      <c r="O9" s="2" t="s">
        <v>497</v>
      </c>
      <c r="S9" s="2" t="s">
        <v>585</v>
      </c>
      <c r="CE9" s="53">
        <f t="shared" ref="CE9:CE40" si="49">BowlSplit(C9:BC9,InnsBowledIn)</f>
        <v>8</v>
      </c>
      <c r="CF9" s="53">
        <f t="shared" ref="CF9:CF40" si="50">BowlSplit(C9:CC9,BallsBowled)</f>
        <v>222</v>
      </c>
      <c r="CG9" s="55">
        <f t="shared" ref="CG9:CG40" si="51">BowlSplit(C9:CC9,OversBowled)</f>
        <v>37</v>
      </c>
      <c r="CH9" s="53">
        <f t="shared" ref="CH9:CH40" si="52">BowlSplit(C9:CC9,Maidens)</f>
        <v>0</v>
      </c>
      <c r="CI9" s="53">
        <f t="shared" ref="CI9:CI40" si="53">BowlSplit(C9:CC9,RunsConceded)</f>
        <v>214</v>
      </c>
      <c r="CJ9" s="53">
        <f t="shared" ref="CJ9:CJ40" si="54">BowlSplit(C9:CC9,WicketsTaken)</f>
        <v>8</v>
      </c>
      <c r="CK9" s="56">
        <f t="shared" ref="CK9:CK40" si="55">IF(CJ9&gt;0,ROUND(CI9/CJ9,2),"")</f>
        <v>26.75</v>
      </c>
      <c r="CL9" s="57">
        <f t="shared" ref="CL9:CL40" si="56">IF(CJ9&gt;0,CF9/CJ9,"")</f>
        <v>27.75</v>
      </c>
      <c r="CM9" s="57">
        <f t="shared" ref="CM9:CM40" si="57">IF(CF9&gt;0,6*CI9/CF9,"")</f>
        <v>5.7837837837837842</v>
      </c>
      <c r="CN9" s="48" t="str">
        <f t="shared" ref="CN9:CN40" si="58">BowlSplit(C9:CC9,BestBowling)</f>
        <v>2-32</v>
      </c>
      <c r="CO9" s="53">
        <f t="shared" ref="CO9:CO40" si="59">BowlSplit(C9:CC9,BowlPts)</f>
        <v>65</v>
      </c>
      <c r="CP9" s="53">
        <f t="shared" ref="CP9:CP40" si="60">BowlSplit(C9:CC9,Wides)</f>
        <v>0</v>
      </c>
      <c r="CQ9" s="53">
        <f t="shared" ref="CQ9:CQ40" si="61">BowlSplit(C9:CC9,NoBalls)</f>
        <v>0</v>
      </c>
      <c r="CR9" s="58">
        <f t="shared" ref="CR9:CR40" si="62">IF(CJ9&gt;0,CK9,IF(CF9&gt;0,CF9+1000,99999))+ROW(CQ9)/10000</f>
        <v>26.750900000000001</v>
      </c>
      <c r="CS9" s="2">
        <f t="shared" si="14"/>
        <v>13</v>
      </c>
      <c r="CT9" s="106">
        <f t="shared" ref="CT9:CT40" si="63">IF(CF9&gt;=120,CH9/CF9*6,"")</f>
        <v>0</v>
      </c>
      <c r="CU9" s="2">
        <f t="shared" ref="CU9:CU40" si="64">BowlSplit(C9:CC9,FiveFors)</f>
        <v>0</v>
      </c>
    </row>
    <row r="10" spans="1:99" ht="11.25" customHeight="1" x14ac:dyDescent="0.15">
      <c r="B10" s="2" t="s">
        <v>269</v>
      </c>
      <c r="C10" s="2" t="s">
        <v>296</v>
      </c>
      <c r="D10" s="2" t="s">
        <v>310</v>
      </c>
      <c r="F10" s="2" t="s">
        <v>350</v>
      </c>
      <c r="CE10" s="53">
        <f t="shared" ref="CE10" si="65">BowlSplit(C10:BC10,InnsBowledIn)</f>
        <v>3</v>
      </c>
      <c r="CF10" s="53">
        <f t="shared" ref="CF10" si="66">BowlSplit(C10:CC10,BallsBowled)</f>
        <v>96</v>
      </c>
      <c r="CG10" s="55">
        <f t="shared" ref="CG10" si="67">BowlSplit(C10:CC10,OversBowled)</f>
        <v>16</v>
      </c>
      <c r="CH10" s="53">
        <f t="shared" ref="CH10" si="68">BowlSplit(C10:CC10,Maidens)</f>
        <v>2</v>
      </c>
      <c r="CI10" s="53">
        <f t="shared" ref="CI10" si="69">BowlSplit(C10:CC10,RunsConceded)</f>
        <v>63</v>
      </c>
      <c r="CJ10" s="53">
        <f t="shared" ref="CJ10" si="70">BowlSplit(C10:CC10,WicketsTaken)</f>
        <v>3</v>
      </c>
      <c r="CK10" s="56">
        <f t="shared" ref="CK10" si="71">IF(CJ10&gt;0,ROUND(CI10/CJ10,2),"")</f>
        <v>21</v>
      </c>
      <c r="CL10" s="57">
        <f t="shared" ref="CL10" si="72">IF(CJ10&gt;0,CF10/CJ10,"")</f>
        <v>32</v>
      </c>
      <c r="CM10" s="57">
        <f t="shared" ref="CM10" si="73">IF(CF10&gt;0,6*CI10/CF10,"")</f>
        <v>3.9375</v>
      </c>
      <c r="CN10" s="48" t="str">
        <f t="shared" ref="CN10" si="74">BowlSplit(C10:CC10,BestBowling)</f>
        <v>3-18</v>
      </c>
      <c r="CO10" s="53">
        <f t="shared" ref="CO10" si="75">BowlSplit(C10:CC10,BowlPts)</f>
        <v>37</v>
      </c>
      <c r="CP10" s="53">
        <f t="shared" ref="CP10" si="76">BowlSplit(C10:CC10,Wides)</f>
        <v>0</v>
      </c>
      <c r="CQ10" s="53">
        <f t="shared" ref="CQ10" si="77">BowlSplit(C10:CC10,NoBalls)</f>
        <v>0</v>
      </c>
      <c r="CR10" s="58">
        <f t="shared" ref="CR10" si="78">IF(CJ10&gt;0,CK10,IF(CF10&gt;0,CF10+1000,99999))+ROW(CQ10)/10000</f>
        <v>21.001000000000001</v>
      </c>
      <c r="CS10" s="2">
        <f t="shared" si="14"/>
        <v>9</v>
      </c>
      <c r="CT10" s="106" t="str">
        <f t="shared" ref="CT10" si="79">IF(CF10&gt;=120,CH10/CF10*6,"")</f>
        <v/>
      </c>
      <c r="CU10" s="2">
        <f t="shared" ref="CU10" si="80">BowlSplit(C10:CC10,FiveFors)</f>
        <v>0</v>
      </c>
    </row>
    <row r="11" spans="1:99" ht="11.25" customHeight="1" x14ac:dyDescent="0.15">
      <c r="A11" s="2" t="s">
        <v>94</v>
      </c>
      <c r="B11" s="2" t="s">
        <v>143</v>
      </c>
      <c r="D11" s="123"/>
      <c r="M11" s="58"/>
      <c r="CE11" s="53">
        <f t="shared" si="49"/>
        <v>0</v>
      </c>
      <c r="CF11" s="53">
        <f t="shared" si="50"/>
        <v>0</v>
      </c>
      <c r="CG11" s="55">
        <f t="shared" si="51"/>
        <v>0</v>
      </c>
      <c r="CH11" s="53">
        <f t="shared" si="52"/>
        <v>0</v>
      </c>
      <c r="CI11" s="53">
        <f t="shared" si="53"/>
        <v>0</v>
      </c>
      <c r="CJ11" s="53">
        <f t="shared" si="54"/>
        <v>0</v>
      </c>
      <c r="CK11" s="56" t="str">
        <f t="shared" si="55"/>
        <v/>
      </c>
      <c r="CL11" s="57" t="str">
        <f t="shared" si="56"/>
        <v/>
      </c>
      <c r="CM11" s="57" t="str">
        <f t="shared" si="57"/>
        <v/>
      </c>
      <c r="CN11" s="48" t="str">
        <f t="shared" si="58"/>
        <v/>
      </c>
      <c r="CO11" s="53">
        <f t="shared" si="59"/>
        <v>0</v>
      </c>
      <c r="CP11" s="53">
        <f t="shared" si="60"/>
        <v>0</v>
      </c>
      <c r="CQ11" s="53">
        <f t="shared" si="61"/>
        <v>0</v>
      </c>
      <c r="CR11" s="58">
        <f t="shared" si="62"/>
        <v>99999.001099999994</v>
      </c>
      <c r="CS11" s="2">
        <f t="shared" si="14"/>
        <v>34</v>
      </c>
      <c r="CT11" s="106" t="str">
        <f t="shared" si="63"/>
        <v/>
      </c>
      <c r="CU11" s="2">
        <f t="shared" si="64"/>
        <v>0</v>
      </c>
    </row>
    <row r="12" spans="1:99" ht="11.25" customHeight="1" x14ac:dyDescent="0.15">
      <c r="B12" s="2" t="s">
        <v>221</v>
      </c>
      <c r="C12" s="2" t="s">
        <v>295</v>
      </c>
      <c r="D12" s="123"/>
      <c r="M12" s="58"/>
      <c r="Q12" s="2" t="s">
        <v>553</v>
      </c>
      <c r="CE12" s="53">
        <f t="shared" si="49"/>
        <v>2</v>
      </c>
      <c r="CF12" s="53">
        <f t="shared" si="50"/>
        <v>42</v>
      </c>
      <c r="CG12" s="55">
        <f t="shared" si="51"/>
        <v>7</v>
      </c>
      <c r="CH12" s="53">
        <f t="shared" si="52"/>
        <v>0</v>
      </c>
      <c r="CI12" s="53">
        <f t="shared" si="53"/>
        <v>33</v>
      </c>
      <c r="CJ12" s="53">
        <f t="shared" si="54"/>
        <v>1</v>
      </c>
      <c r="CK12" s="56">
        <f t="shared" si="55"/>
        <v>33</v>
      </c>
      <c r="CL12" s="57">
        <f t="shared" si="56"/>
        <v>42</v>
      </c>
      <c r="CM12" s="57">
        <f t="shared" si="57"/>
        <v>4.7142857142857144</v>
      </c>
      <c r="CN12" s="48" t="str">
        <f t="shared" si="58"/>
        <v>1-29</v>
      </c>
      <c r="CO12" s="53">
        <f t="shared" si="59"/>
        <v>15</v>
      </c>
      <c r="CP12" s="53">
        <f t="shared" si="60"/>
        <v>0</v>
      </c>
      <c r="CQ12" s="53">
        <f t="shared" si="61"/>
        <v>0</v>
      </c>
      <c r="CR12" s="58">
        <f t="shared" si="62"/>
        <v>33.001199999999997</v>
      </c>
      <c r="CS12" s="2">
        <f t="shared" si="14"/>
        <v>16</v>
      </c>
      <c r="CT12" s="106" t="str">
        <f t="shared" si="63"/>
        <v/>
      </c>
      <c r="CU12" s="2">
        <f t="shared" si="64"/>
        <v>0</v>
      </c>
    </row>
    <row r="13" spans="1:99" ht="11.25" customHeight="1" x14ac:dyDescent="0.15">
      <c r="B13" s="2" t="s">
        <v>405</v>
      </c>
      <c r="D13" s="123"/>
      <c r="J13" s="2" t="s">
        <v>415</v>
      </c>
      <c r="M13" s="58"/>
      <c r="CE13" s="53">
        <f t="shared" ref="CE13" si="81">BowlSplit(C13:BC13,InnsBowledIn)</f>
        <v>1</v>
      </c>
      <c r="CF13" s="53">
        <f t="shared" ref="CF13" si="82">BowlSplit(C13:CC13,BallsBowled)</f>
        <v>24</v>
      </c>
      <c r="CG13" s="55">
        <f t="shared" ref="CG13" si="83">BowlSplit(C13:CC13,OversBowled)</f>
        <v>4</v>
      </c>
      <c r="CH13" s="53">
        <f t="shared" ref="CH13" si="84">BowlSplit(C13:CC13,Maidens)</f>
        <v>1</v>
      </c>
      <c r="CI13" s="53">
        <f t="shared" ref="CI13" si="85">BowlSplit(C13:CC13,RunsConceded)</f>
        <v>13</v>
      </c>
      <c r="CJ13" s="53">
        <f t="shared" ref="CJ13" si="86">BowlSplit(C13:CC13,WicketsTaken)</f>
        <v>0</v>
      </c>
      <c r="CK13" s="56" t="str">
        <f t="shared" ref="CK13" si="87">IF(CJ13&gt;0,ROUND(CI13/CJ13,2),"")</f>
        <v/>
      </c>
      <c r="CL13" s="57" t="str">
        <f t="shared" ref="CL13" si="88">IF(CJ13&gt;0,CF13/CJ13,"")</f>
        <v/>
      </c>
      <c r="CM13" s="57">
        <f t="shared" ref="CM13" si="89">IF(CF13&gt;0,6*CI13/CF13,"")</f>
        <v>3.25</v>
      </c>
      <c r="CN13" s="48" t="str">
        <f t="shared" ref="CN13" si="90">BowlSplit(C13:CC13,BestBowling)</f>
        <v>0-13</v>
      </c>
      <c r="CO13" s="53">
        <f t="shared" ref="CO13" si="91">BowlSplit(C13:CC13,BowlPts)</f>
        <v>6</v>
      </c>
      <c r="CP13" s="53">
        <f t="shared" ref="CP13" si="92">BowlSplit(C13:CC13,Wides)</f>
        <v>0</v>
      </c>
      <c r="CQ13" s="53">
        <f t="shared" ref="CQ13" si="93">BowlSplit(C13:CC13,NoBalls)</f>
        <v>0</v>
      </c>
      <c r="CR13" s="58">
        <f t="shared" ref="CR13" si="94">IF(CJ13&gt;0,CK13,IF(CF13&gt;0,CF13+1000,99999))+ROW(CQ13)/10000</f>
        <v>1024.0012999999999</v>
      </c>
      <c r="CS13" s="2">
        <f t="shared" si="14"/>
        <v>28</v>
      </c>
      <c r="CT13" s="106" t="str">
        <f t="shared" ref="CT13" si="95">IF(CF13&gt;=120,CH13/CF13*6,"")</f>
        <v/>
      </c>
      <c r="CU13" s="2">
        <f t="shared" ref="CU13" si="96">BowlSplit(C13:CC13,FiveFors)</f>
        <v>0</v>
      </c>
    </row>
    <row r="14" spans="1:99" ht="11.25" customHeight="1" x14ac:dyDescent="0.15">
      <c r="B14" s="2" t="s">
        <v>516</v>
      </c>
      <c r="D14" s="123"/>
      <c r="M14" s="58"/>
      <c r="P14" s="2" t="s">
        <v>435</v>
      </c>
      <c r="CE14" s="53">
        <f t="shared" ref="CE14" si="97">BowlSplit(C14:BC14,InnsBowledIn)</f>
        <v>1</v>
      </c>
      <c r="CF14" s="53">
        <f t="shared" ref="CF14" si="98">BowlSplit(C14:CC14,BallsBowled)</f>
        <v>12</v>
      </c>
      <c r="CG14" s="55">
        <f t="shared" ref="CG14" si="99">BowlSplit(C14:CC14,OversBowled)</f>
        <v>2</v>
      </c>
      <c r="CH14" s="53">
        <f t="shared" ref="CH14" si="100">BowlSplit(C14:CC14,Maidens)</f>
        <v>0</v>
      </c>
      <c r="CI14" s="53">
        <f t="shared" ref="CI14" si="101">BowlSplit(C14:CC14,RunsConceded)</f>
        <v>18</v>
      </c>
      <c r="CJ14" s="53">
        <f t="shared" ref="CJ14" si="102">BowlSplit(C14:CC14,WicketsTaken)</f>
        <v>0</v>
      </c>
      <c r="CK14" s="56" t="str">
        <f t="shared" ref="CK14" si="103">IF(CJ14&gt;0,ROUND(CI14/CJ14,2),"")</f>
        <v/>
      </c>
      <c r="CL14" s="57" t="str">
        <f t="shared" ref="CL14" si="104">IF(CJ14&gt;0,CF14/CJ14,"")</f>
        <v/>
      </c>
      <c r="CM14" s="57">
        <f t="shared" ref="CM14" si="105">IF(CF14&gt;0,6*CI14/CF14,"")</f>
        <v>9</v>
      </c>
      <c r="CN14" s="48" t="str">
        <f t="shared" ref="CN14" si="106">BowlSplit(C14:CC14,BestBowling)</f>
        <v>0-18</v>
      </c>
      <c r="CO14" s="53">
        <f t="shared" ref="CO14" si="107">BowlSplit(C14:CC14,BowlPts)</f>
        <v>-5</v>
      </c>
      <c r="CP14" s="53">
        <f t="shared" ref="CP14" si="108">BowlSplit(C14:CC14,Wides)</f>
        <v>0</v>
      </c>
      <c r="CQ14" s="53">
        <f t="shared" ref="CQ14" si="109">BowlSplit(C14:CC14,NoBalls)</f>
        <v>0</v>
      </c>
      <c r="CR14" s="58">
        <f t="shared" ref="CR14" si="110">IF(CJ14&gt;0,CK14,IF(CF14&gt;0,CF14+1000,99999))+ROW(CQ14)/10000</f>
        <v>1012.0014</v>
      </c>
      <c r="CS14" s="2">
        <f t="shared" si="14"/>
        <v>22</v>
      </c>
      <c r="CT14" s="106" t="str">
        <f t="shared" ref="CT14" si="111">IF(CF14&gt;=120,CH14/CF14*6,"")</f>
        <v/>
      </c>
      <c r="CU14" s="2">
        <f t="shared" ref="CU14" si="112">BowlSplit(C14:CC14,FiveFors)</f>
        <v>0</v>
      </c>
    </row>
    <row r="15" spans="1:99" ht="11.25" customHeight="1" x14ac:dyDescent="0.15">
      <c r="B15" s="2" t="s">
        <v>273</v>
      </c>
      <c r="M15" s="58" t="s">
        <v>458</v>
      </c>
      <c r="CE15" s="53">
        <f t="shared" ref="CE15" si="113">BowlSplit(C15:BC15,InnsBowledIn)</f>
        <v>1</v>
      </c>
      <c r="CF15" s="53">
        <f t="shared" ref="CF15" si="114">BowlSplit(C15:CC15,BallsBowled)</f>
        <v>48</v>
      </c>
      <c r="CG15" s="55">
        <f t="shared" ref="CG15" si="115">BowlSplit(C15:CC15,OversBowled)</f>
        <v>8</v>
      </c>
      <c r="CH15" s="53">
        <f t="shared" ref="CH15" si="116">BowlSplit(C15:CC15,Maidens)</f>
        <v>1</v>
      </c>
      <c r="CI15" s="53">
        <f t="shared" ref="CI15" si="117">BowlSplit(C15:CC15,RunsConceded)</f>
        <v>38</v>
      </c>
      <c r="CJ15" s="53">
        <f t="shared" ref="CJ15" si="118">BowlSplit(C15:CC15,WicketsTaken)</f>
        <v>2</v>
      </c>
      <c r="CK15" s="56">
        <f t="shared" ref="CK15" si="119">IF(CJ15&gt;0,ROUND(CI15/CJ15,2),"")</f>
        <v>19</v>
      </c>
      <c r="CL15" s="57">
        <f t="shared" ref="CL15" si="120">IF(CJ15&gt;0,CF15/CJ15,"")</f>
        <v>24</v>
      </c>
      <c r="CM15" s="57">
        <f t="shared" ref="CM15" si="121">IF(CF15&gt;0,6*CI15/CF15,"")</f>
        <v>4.75</v>
      </c>
      <c r="CN15" s="48" t="str">
        <f t="shared" ref="CN15" si="122">BowlSplit(C15:CC15,BestBowling)</f>
        <v>2-38</v>
      </c>
      <c r="CO15" s="53">
        <f t="shared" ref="CO15" si="123">BowlSplit(C15:CC15,BowlPts)</f>
        <v>21</v>
      </c>
      <c r="CP15" s="53">
        <f t="shared" ref="CP15" si="124">BowlSplit(C15:CC15,Wides)</f>
        <v>0</v>
      </c>
      <c r="CQ15" s="53">
        <f t="shared" ref="CQ15" si="125">BowlSplit(C15:CC15,NoBalls)</f>
        <v>0</v>
      </c>
      <c r="CR15" s="58">
        <f t="shared" ref="CR15" si="126">IF(CJ15&gt;0,CK15,IF(CF15&gt;0,CF15+1000,99999))+ROW(CQ15)/10000</f>
        <v>19.0015</v>
      </c>
      <c r="CS15" s="2">
        <f t="shared" si="14"/>
        <v>6</v>
      </c>
      <c r="CT15" s="106" t="str">
        <f t="shared" ref="CT15" si="127">IF(CF15&gt;=120,CH15/CF15*6,"")</f>
        <v/>
      </c>
      <c r="CU15" s="2">
        <f t="shared" ref="CU15" si="128">BowlSplit(C15:CC15,FiveFors)</f>
        <v>0</v>
      </c>
    </row>
    <row r="16" spans="1:99" ht="11.25" customHeight="1" x14ac:dyDescent="0.15">
      <c r="B16" s="2" t="s">
        <v>172</v>
      </c>
      <c r="D16" s="2" t="s">
        <v>312</v>
      </c>
      <c r="M16" s="58"/>
      <c r="CE16" s="53">
        <f t="shared" si="49"/>
        <v>1</v>
      </c>
      <c r="CF16" s="53">
        <f t="shared" si="50"/>
        <v>12</v>
      </c>
      <c r="CG16" s="55">
        <f t="shared" si="51"/>
        <v>2</v>
      </c>
      <c r="CH16" s="53">
        <f t="shared" si="52"/>
        <v>0</v>
      </c>
      <c r="CI16" s="53">
        <f t="shared" si="53"/>
        <v>10</v>
      </c>
      <c r="CJ16" s="53">
        <f t="shared" si="54"/>
        <v>0</v>
      </c>
      <c r="CK16" s="56" t="str">
        <f t="shared" si="55"/>
        <v/>
      </c>
      <c r="CL16" s="57" t="str">
        <f t="shared" si="56"/>
        <v/>
      </c>
      <c r="CM16" s="57">
        <f t="shared" si="57"/>
        <v>5</v>
      </c>
      <c r="CN16" s="48" t="str">
        <f t="shared" si="58"/>
        <v>0-10</v>
      </c>
      <c r="CO16" s="53">
        <f t="shared" si="59"/>
        <v>0</v>
      </c>
      <c r="CP16" s="53">
        <f t="shared" si="60"/>
        <v>0</v>
      </c>
      <c r="CQ16" s="53">
        <f t="shared" si="61"/>
        <v>0</v>
      </c>
      <c r="CR16" s="58">
        <f t="shared" si="62"/>
        <v>1012.0016000000001</v>
      </c>
      <c r="CS16" s="2">
        <f t="shared" si="14"/>
        <v>23</v>
      </c>
      <c r="CT16" s="106" t="str">
        <f t="shared" si="63"/>
        <v/>
      </c>
      <c r="CU16" s="2">
        <f t="shared" si="64"/>
        <v>0</v>
      </c>
    </row>
    <row r="17" spans="1:99" ht="11.25" customHeight="1" x14ac:dyDescent="0.15">
      <c r="B17" s="2" t="s">
        <v>250</v>
      </c>
      <c r="D17" s="2" t="s">
        <v>314</v>
      </c>
      <c r="M17" s="58"/>
      <c r="CE17" s="53">
        <f t="shared" si="49"/>
        <v>1</v>
      </c>
      <c r="CF17" s="53">
        <f t="shared" si="50"/>
        <v>36</v>
      </c>
      <c r="CG17" s="55">
        <f t="shared" si="51"/>
        <v>6</v>
      </c>
      <c r="CH17" s="53">
        <f t="shared" si="52"/>
        <v>1</v>
      </c>
      <c r="CI17" s="53">
        <f t="shared" si="53"/>
        <v>26</v>
      </c>
      <c r="CJ17" s="53">
        <f t="shared" si="54"/>
        <v>3</v>
      </c>
      <c r="CK17" s="56">
        <f t="shared" si="55"/>
        <v>8.67</v>
      </c>
      <c r="CL17" s="57">
        <f t="shared" si="56"/>
        <v>12</v>
      </c>
      <c r="CM17" s="57">
        <f t="shared" si="57"/>
        <v>4.333333333333333</v>
      </c>
      <c r="CN17" s="48" t="str">
        <f t="shared" si="58"/>
        <v>3-26</v>
      </c>
      <c r="CO17" s="53">
        <f t="shared" si="59"/>
        <v>31</v>
      </c>
      <c r="CP17" s="53">
        <f t="shared" si="60"/>
        <v>0</v>
      </c>
      <c r="CQ17" s="53">
        <f t="shared" si="61"/>
        <v>0</v>
      </c>
      <c r="CR17" s="58">
        <f t="shared" si="62"/>
        <v>8.6716999999999995</v>
      </c>
      <c r="CS17" s="2">
        <f t="shared" si="14"/>
        <v>1</v>
      </c>
      <c r="CT17" s="106" t="str">
        <f t="shared" si="63"/>
        <v/>
      </c>
      <c r="CU17" s="2">
        <f t="shared" si="64"/>
        <v>0</v>
      </c>
    </row>
    <row r="18" spans="1:99" ht="11.25" customHeight="1" x14ac:dyDescent="0.15">
      <c r="B18" s="2" t="s">
        <v>252</v>
      </c>
      <c r="M18" s="58"/>
      <c r="Q18" s="2" t="s">
        <v>549</v>
      </c>
      <c r="CE18" s="53">
        <f t="shared" si="49"/>
        <v>1</v>
      </c>
      <c r="CF18" s="53">
        <f t="shared" si="50"/>
        <v>18</v>
      </c>
      <c r="CG18" s="55">
        <f t="shared" si="51"/>
        <v>3</v>
      </c>
      <c r="CH18" s="53">
        <f t="shared" si="52"/>
        <v>0</v>
      </c>
      <c r="CI18" s="53">
        <f t="shared" si="53"/>
        <v>31</v>
      </c>
      <c r="CJ18" s="53">
        <f t="shared" si="54"/>
        <v>0</v>
      </c>
      <c r="CK18" s="56" t="str">
        <f t="shared" si="55"/>
        <v/>
      </c>
      <c r="CL18" s="57" t="str">
        <f t="shared" si="56"/>
        <v/>
      </c>
      <c r="CM18" s="57">
        <f t="shared" si="57"/>
        <v>10.333333333333334</v>
      </c>
      <c r="CN18" s="48" t="str">
        <f t="shared" si="58"/>
        <v>0-31</v>
      </c>
      <c r="CO18" s="53">
        <f t="shared" si="59"/>
        <v>-5</v>
      </c>
      <c r="CP18" s="53">
        <f t="shared" si="60"/>
        <v>0</v>
      </c>
      <c r="CQ18" s="53">
        <f t="shared" si="61"/>
        <v>0</v>
      </c>
      <c r="CR18" s="58">
        <f t="shared" si="62"/>
        <v>1018.0018</v>
      </c>
      <c r="CS18" s="2">
        <f t="shared" si="14"/>
        <v>26</v>
      </c>
      <c r="CT18" s="106" t="str">
        <f t="shared" si="63"/>
        <v/>
      </c>
      <c r="CU18" s="2">
        <f t="shared" si="64"/>
        <v>0</v>
      </c>
    </row>
    <row r="19" spans="1:99" ht="11.25" customHeight="1" x14ac:dyDescent="0.15">
      <c r="B19" s="2" t="s">
        <v>174</v>
      </c>
      <c r="M19" s="58"/>
      <c r="S19" s="2" t="s">
        <v>546</v>
      </c>
      <c r="CE19" s="53">
        <f t="shared" ref="CE19" si="129">BowlSplit(C19:BC19,InnsBowledIn)</f>
        <v>1</v>
      </c>
      <c r="CF19" s="53">
        <f t="shared" ref="CF19" si="130">BowlSplit(C19:CC19,BallsBowled)</f>
        <v>18</v>
      </c>
      <c r="CG19" s="55">
        <f t="shared" ref="CG19" si="131">BowlSplit(C19:CC19,OversBowled)</f>
        <v>3</v>
      </c>
      <c r="CH19" s="53">
        <f t="shared" ref="CH19" si="132">BowlSplit(C19:CC19,Maidens)</f>
        <v>0</v>
      </c>
      <c r="CI19" s="53">
        <f t="shared" ref="CI19" si="133">BowlSplit(C19:CC19,RunsConceded)</f>
        <v>17</v>
      </c>
      <c r="CJ19" s="53">
        <f t="shared" ref="CJ19" si="134">BowlSplit(C19:CC19,WicketsTaken)</f>
        <v>0</v>
      </c>
      <c r="CK19" s="56" t="str">
        <f t="shared" ref="CK19" si="135">IF(CJ19&gt;0,ROUND(CI19/CJ19,2),"")</f>
        <v/>
      </c>
      <c r="CL19" s="57" t="str">
        <f t="shared" ref="CL19" si="136">IF(CJ19&gt;0,CF19/CJ19,"")</f>
        <v/>
      </c>
      <c r="CM19" s="57">
        <f t="shared" ref="CM19" si="137">IF(CF19&gt;0,6*CI19/CF19,"")</f>
        <v>5.666666666666667</v>
      </c>
      <c r="CN19" s="48" t="str">
        <f t="shared" ref="CN19" si="138">BowlSplit(C19:CC19,BestBowling)</f>
        <v>0-17</v>
      </c>
      <c r="CO19" s="53">
        <f t="shared" ref="CO19" si="139">BowlSplit(C19:CC19,BowlPts)</f>
        <v>-5</v>
      </c>
      <c r="CP19" s="53">
        <f t="shared" ref="CP19" si="140">BowlSplit(C19:CC19,Wides)</f>
        <v>0</v>
      </c>
      <c r="CQ19" s="53">
        <f t="shared" ref="CQ19" si="141">BowlSplit(C19:CC19,NoBalls)</f>
        <v>0</v>
      </c>
      <c r="CR19" s="58">
        <f t="shared" ref="CR19" si="142">IF(CJ19&gt;0,CK19,IF(CF19&gt;0,CF19+1000,99999))+ROW(CQ19)/10000</f>
        <v>1018.0019</v>
      </c>
      <c r="CS19" s="2">
        <f t="shared" si="14"/>
        <v>27</v>
      </c>
      <c r="CT19" s="106" t="str">
        <f t="shared" ref="CT19" si="143">IF(CF19&gt;=120,CH19/CF19*6,"")</f>
        <v/>
      </c>
      <c r="CU19" s="2">
        <f t="shared" ref="CU19" si="144">BowlSplit(C19:CC19,FiveFors)</f>
        <v>0</v>
      </c>
    </row>
    <row r="20" spans="1:99" ht="11.25" customHeight="1" x14ac:dyDescent="0.15">
      <c r="B20" s="2" t="s">
        <v>524</v>
      </c>
      <c r="P20" s="2" t="s">
        <v>525</v>
      </c>
      <c r="CE20" s="53">
        <f t="shared" ref="CE20" si="145">BowlSplit(C20:BC20,InnsBowledIn)</f>
        <v>1</v>
      </c>
      <c r="CF20" s="53">
        <f t="shared" ref="CF20" si="146">BowlSplit(C20:CC20,BallsBowled)</f>
        <v>30</v>
      </c>
      <c r="CG20" s="55">
        <f t="shared" ref="CG20" si="147">BowlSplit(C20:CC20,OversBowled)</f>
        <v>5</v>
      </c>
      <c r="CH20" s="53">
        <f t="shared" ref="CH20" si="148">BowlSplit(C20:CC20,Maidens)</f>
        <v>1</v>
      </c>
      <c r="CI20" s="53">
        <f t="shared" ref="CI20" si="149">BowlSplit(C20:CC20,RunsConceded)</f>
        <v>29</v>
      </c>
      <c r="CJ20" s="53">
        <f t="shared" ref="CJ20" si="150">BowlSplit(C20:CC20,WicketsTaken)</f>
        <v>0</v>
      </c>
      <c r="CK20" s="56" t="str">
        <f t="shared" ref="CK20" si="151">IF(CJ20&gt;0,ROUND(CI20/CJ20,2),"")</f>
        <v/>
      </c>
      <c r="CL20" s="57" t="str">
        <f t="shared" ref="CL20" si="152">IF(CJ20&gt;0,CF20/CJ20,"")</f>
        <v/>
      </c>
      <c r="CM20" s="57">
        <f t="shared" ref="CM20" si="153">IF(CF20&gt;0,6*CI20/CF20,"")</f>
        <v>5.8</v>
      </c>
      <c r="CN20" s="48" t="str">
        <f t="shared" ref="CN20" si="154">BowlSplit(C20:CC20,BestBowling)</f>
        <v>0-29</v>
      </c>
      <c r="CO20" s="53">
        <f t="shared" ref="CO20" si="155">BowlSplit(C20:CC20,BowlPts)</f>
        <v>-4</v>
      </c>
      <c r="CP20" s="53">
        <f t="shared" ref="CP20" si="156">BowlSplit(C20:CC20,Wides)</f>
        <v>0</v>
      </c>
      <c r="CQ20" s="53">
        <f t="shared" ref="CQ20" si="157">BowlSplit(C20:CC20,NoBalls)</f>
        <v>0</v>
      </c>
      <c r="CR20" s="58">
        <f t="shared" ref="CR20" si="158">IF(CJ20&gt;0,CK20,IF(CF20&gt;0,CF20+1000,99999))+ROW(CQ20)/10000</f>
        <v>1030.002</v>
      </c>
      <c r="CS20" s="2">
        <f t="shared" si="14"/>
        <v>31</v>
      </c>
      <c r="CT20" s="106" t="str">
        <f t="shared" ref="CT20" si="159">IF(CF20&gt;=120,CH20/CF20*6,"")</f>
        <v/>
      </c>
      <c r="CU20" s="2">
        <f t="shared" ref="CU20" si="160">BowlSplit(C20:CC20,FiveFors)</f>
        <v>0</v>
      </c>
    </row>
    <row r="21" spans="1:99" ht="11.25" customHeight="1" x14ac:dyDescent="0.15">
      <c r="B21" s="2" t="s">
        <v>237</v>
      </c>
      <c r="E21" s="2" t="s">
        <v>325</v>
      </c>
      <c r="F21" s="2" t="s">
        <v>349</v>
      </c>
      <c r="M21" s="2" t="s">
        <v>457</v>
      </c>
      <c r="O21" s="2" t="s">
        <v>496</v>
      </c>
      <c r="P21" s="2" t="s">
        <v>522</v>
      </c>
      <c r="Q21" s="2" t="s">
        <v>544</v>
      </c>
      <c r="R21" s="2" t="s">
        <v>568</v>
      </c>
      <c r="CE21" s="53">
        <f t="shared" si="49"/>
        <v>7</v>
      </c>
      <c r="CF21" s="53">
        <f t="shared" si="50"/>
        <v>312</v>
      </c>
      <c r="CG21" s="55">
        <f t="shared" si="51"/>
        <v>52</v>
      </c>
      <c r="CH21" s="53">
        <f t="shared" si="52"/>
        <v>9</v>
      </c>
      <c r="CI21" s="53">
        <f t="shared" si="53"/>
        <v>197</v>
      </c>
      <c r="CJ21" s="53">
        <f t="shared" si="54"/>
        <v>9</v>
      </c>
      <c r="CK21" s="56">
        <f t="shared" si="55"/>
        <v>21.89</v>
      </c>
      <c r="CL21" s="57">
        <f t="shared" si="56"/>
        <v>34.666666666666664</v>
      </c>
      <c r="CM21" s="57">
        <f t="shared" si="57"/>
        <v>3.7884615384615383</v>
      </c>
      <c r="CN21" s="48" t="str">
        <f t="shared" si="58"/>
        <v>3-31</v>
      </c>
      <c r="CO21" s="53">
        <f t="shared" si="59"/>
        <v>124</v>
      </c>
      <c r="CP21" s="53">
        <f t="shared" si="60"/>
        <v>0</v>
      </c>
      <c r="CQ21" s="53">
        <f t="shared" si="61"/>
        <v>0</v>
      </c>
      <c r="CR21" s="58">
        <f t="shared" si="62"/>
        <v>21.892099999999999</v>
      </c>
      <c r="CS21" s="2">
        <f t="shared" si="14"/>
        <v>11</v>
      </c>
      <c r="CT21" s="106">
        <f t="shared" si="63"/>
        <v>0.17307692307692307</v>
      </c>
      <c r="CU21" s="2">
        <f t="shared" si="64"/>
        <v>0</v>
      </c>
    </row>
    <row r="22" spans="1:99" ht="11.25" customHeight="1" x14ac:dyDescent="0.15">
      <c r="B22" s="2" t="s">
        <v>218</v>
      </c>
      <c r="C22" s="2" t="s">
        <v>293</v>
      </c>
      <c r="D22" s="2" t="s">
        <v>316</v>
      </c>
      <c r="F22" s="2" t="s">
        <v>352</v>
      </c>
      <c r="H22" s="2" t="s">
        <v>370</v>
      </c>
      <c r="I22" s="2" t="s">
        <v>393</v>
      </c>
      <c r="K22" s="2" t="s">
        <v>435</v>
      </c>
      <c r="M22" s="58" t="s">
        <v>463</v>
      </c>
      <c r="N22" s="2" t="s">
        <v>484</v>
      </c>
      <c r="O22" s="2" t="s">
        <v>503</v>
      </c>
      <c r="P22" s="2" t="s">
        <v>528</v>
      </c>
      <c r="R22" s="2" t="s">
        <v>528</v>
      </c>
      <c r="CE22" s="53">
        <f t="shared" si="49"/>
        <v>11</v>
      </c>
      <c r="CF22" s="53">
        <f t="shared" si="50"/>
        <v>276</v>
      </c>
      <c r="CG22" s="55">
        <f t="shared" si="51"/>
        <v>46</v>
      </c>
      <c r="CH22" s="53">
        <f t="shared" si="52"/>
        <v>3</v>
      </c>
      <c r="CI22" s="53">
        <f t="shared" si="53"/>
        <v>204</v>
      </c>
      <c r="CJ22" s="53">
        <f t="shared" si="54"/>
        <v>6</v>
      </c>
      <c r="CK22" s="56">
        <f t="shared" si="55"/>
        <v>34</v>
      </c>
      <c r="CL22" s="57">
        <f t="shared" si="56"/>
        <v>46</v>
      </c>
      <c r="CM22" s="57">
        <f t="shared" si="57"/>
        <v>4.4347826086956523</v>
      </c>
      <c r="CN22" s="48" t="str">
        <f t="shared" si="58"/>
        <v>2-28</v>
      </c>
      <c r="CO22" s="53">
        <f t="shared" si="59"/>
        <v>73</v>
      </c>
      <c r="CP22" s="53">
        <f t="shared" si="60"/>
        <v>0</v>
      </c>
      <c r="CQ22" s="53">
        <f t="shared" si="61"/>
        <v>0</v>
      </c>
      <c r="CR22" s="58">
        <f t="shared" si="62"/>
        <v>34.002200000000002</v>
      </c>
      <c r="CS22" s="2">
        <f t="shared" si="14"/>
        <v>17</v>
      </c>
      <c r="CT22" s="106">
        <f t="shared" si="63"/>
        <v>6.5217391304347824E-2</v>
      </c>
      <c r="CU22" s="2">
        <f t="shared" si="64"/>
        <v>0</v>
      </c>
    </row>
    <row r="23" spans="1:99" ht="11.25" customHeight="1" x14ac:dyDescent="0.15">
      <c r="B23" s="2" t="s">
        <v>223</v>
      </c>
      <c r="M23" s="58"/>
      <c r="Q23" s="2" t="s">
        <v>547</v>
      </c>
      <c r="CE23" s="53">
        <f t="shared" si="49"/>
        <v>1</v>
      </c>
      <c r="CF23" s="53">
        <f t="shared" si="50"/>
        <v>24</v>
      </c>
      <c r="CG23" s="55">
        <f t="shared" si="51"/>
        <v>4</v>
      </c>
      <c r="CH23" s="53">
        <f t="shared" si="52"/>
        <v>1</v>
      </c>
      <c r="CI23" s="53">
        <f t="shared" si="53"/>
        <v>12</v>
      </c>
      <c r="CJ23" s="53">
        <f t="shared" si="54"/>
        <v>0</v>
      </c>
      <c r="CK23" s="56" t="str">
        <f t="shared" si="55"/>
        <v/>
      </c>
      <c r="CL23" s="57" t="str">
        <f t="shared" si="56"/>
        <v/>
      </c>
      <c r="CM23" s="57">
        <f t="shared" si="57"/>
        <v>3</v>
      </c>
      <c r="CN23" s="48" t="str">
        <f t="shared" si="58"/>
        <v>0-12</v>
      </c>
      <c r="CO23" s="53">
        <f t="shared" si="59"/>
        <v>6</v>
      </c>
      <c r="CP23" s="53">
        <f t="shared" si="60"/>
        <v>0</v>
      </c>
      <c r="CQ23" s="53">
        <f t="shared" si="61"/>
        <v>0</v>
      </c>
      <c r="CR23" s="58">
        <f t="shared" si="62"/>
        <v>1024.0023000000001</v>
      </c>
      <c r="CS23" s="2">
        <f t="shared" si="14"/>
        <v>29</v>
      </c>
      <c r="CT23" s="106" t="str">
        <f t="shared" si="63"/>
        <v/>
      </c>
      <c r="CU23" s="2">
        <f t="shared" si="64"/>
        <v>0</v>
      </c>
    </row>
    <row r="24" spans="1:99" ht="11.25" customHeight="1" x14ac:dyDescent="0.15">
      <c r="B24" s="2" t="s">
        <v>413</v>
      </c>
      <c r="J24" s="2" t="s">
        <v>414</v>
      </c>
      <c r="M24" s="58"/>
      <c r="CE24" s="53">
        <f t="shared" si="49"/>
        <v>1</v>
      </c>
      <c r="CF24" s="53">
        <f t="shared" si="50"/>
        <v>42</v>
      </c>
      <c r="CG24" s="55">
        <f t="shared" si="51"/>
        <v>7</v>
      </c>
      <c r="CH24" s="53">
        <f t="shared" si="52"/>
        <v>0</v>
      </c>
      <c r="CI24" s="53">
        <f t="shared" si="53"/>
        <v>27</v>
      </c>
      <c r="CJ24" s="53">
        <f t="shared" si="54"/>
        <v>1</v>
      </c>
      <c r="CK24" s="56">
        <f t="shared" si="55"/>
        <v>27</v>
      </c>
      <c r="CL24" s="57">
        <f t="shared" si="56"/>
        <v>42</v>
      </c>
      <c r="CM24" s="57">
        <f t="shared" si="57"/>
        <v>3.8571428571428572</v>
      </c>
      <c r="CN24" s="48" t="str">
        <f t="shared" si="58"/>
        <v>1-27</v>
      </c>
      <c r="CO24" s="53">
        <f t="shared" si="59"/>
        <v>15</v>
      </c>
      <c r="CP24" s="53">
        <f t="shared" si="60"/>
        <v>0</v>
      </c>
      <c r="CQ24" s="53">
        <f t="shared" si="61"/>
        <v>0</v>
      </c>
      <c r="CR24" s="58">
        <f t="shared" si="62"/>
        <v>27.002400000000002</v>
      </c>
      <c r="CS24" s="2">
        <f t="shared" si="14"/>
        <v>14</v>
      </c>
      <c r="CT24" s="106" t="str">
        <f t="shared" si="63"/>
        <v/>
      </c>
      <c r="CU24" s="2">
        <f t="shared" si="64"/>
        <v>0</v>
      </c>
    </row>
    <row r="25" spans="1:99" ht="11.25" customHeight="1" x14ac:dyDescent="0.15">
      <c r="B25" s="2" t="s">
        <v>261</v>
      </c>
      <c r="K25" s="2" t="s">
        <v>434</v>
      </c>
      <c r="M25" s="58"/>
      <c r="O25" s="2" t="s">
        <v>499</v>
      </c>
      <c r="Q25" s="2" t="s">
        <v>548</v>
      </c>
      <c r="CE25" s="53">
        <f t="shared" si="49"/>
        <v>3</v>
      </c>
      <c r="CF25" s="53">
        <f t="shared" si="50"/>
        <v>79</v>
      </c>
      <c r="CG25" s="55">
        <f t="shared" si="51"/>
        <v>13.1</v>
      </c>
      <c r="CH25" s="53">
        <f t="shared" si="52"/>
        <v>1</v>
      </c>
      <c r="CI25" s="53">
        <f t="shared" si="53"/>
        <v>58</v>
      </c>
      <c r="CJ25" s="53">
        <f t="shared" si="54"/>
        <v>4</v>
      </c>
      <c r="CK25" s="56">
        <f t="shared" si="55"/>
        <v>14.5</v>
      </c>
      <c r="CL25" s="57">
        <f t="shared" si="56"/>
        <v>19.75</v>
      </c>
      <c r="CM25" s="57">
        <f t="shared" si="57"/>
        <v>4.4050632911392409</v>
      </c>
      <c r="CN25" s="48" t="str">
        <f t="shared" si="58"/>
        <v>2-19</v>
      </c>
      <c r="CO25" s="53">
        <f t="shared" si="59"/>
        <v>41</v>
      </c>
      <c r="CP25" s="53">
        <f t="shared" si="60"/>
        <v>0</v>
      </c>
      <c r="CQ25" s="53">
        <f t="shared" si="61"/>
        <v>0</v>
      </c>
      <c r="CR25" s="58">
        <f t="shared" si="62"/>
        <v>14.5025</v>
      </c>
      <c r="CS25" s="2">
        <f t="shared" si="14"/>
        <v>4</v>
      </c>
      <c r="CT25" s="106" t="str">
        <f t="shared" si="63"/>
        <v/>
      </c>
      <c r="CU25" s="2">
        <f t="shared" si="64"/>
        <v>0</v>
      </c>
    </row>
    <row r="26" spans="1:99" ht="11.25" customHeight="1" x14ac:dyDescent="0.15">
      <c r="B26" s="2" t="s">
        <v>264</v>
      </c>
      <c r="M26" s="58"/>
      <c r="CE26" s="53">
        <f t="shared" ref="CE26:CE27" si="161">BowlSplit(C26:BC26,InnsBowledIn)</f>
        <v>0</v>
      </c>
      <c r="CF26" s="53">
        <f t="shared" ref="CF26:CF27" si="162">BowlSplit(C26:CC26,BallsBowled)</f>
        <v>0</v>
      </c>
      <c r="CG26" s="55">
        <f t="shared" ref="CG26:CG27" si="163">BowlSplit(C26:CC26,OversBowled)</f>
        <v>0</v>
      </c>
      <c r="CH26" s="53">
        <f t="shared" ref="CH26:CH27" si="164">BowlSplit(C26:CC26,Maidens)</f>
        <v>0</v>
      </c>
      <c r="CI26" s="53">
        <f t="shared" ref="CI26:CI27" si="165">BowlSplit(C26:CC26,RunsConceded)</f>
        <v>0</v>
      </c>
      <c r="CJ26" s="53">
        <f t="shared" ref="CJ26:CJ27" si="166">BowlSplit(C26:CC26,WicketsTaken)</f>
        <v>0</v>
      </c>
      <c r="CK26" s="56" t="str">
        <f t="shared" ref="CK26:CK27" si="167">IF(CJ26&gt;0,ROUND(CI26/CJ26,2),"")</f>
        <v/>
      </c>
      <c r="CL26" s="57" t="str">
        <f t="shared" ref="CL26:CL27" si="168">IF(CJ26&gt;0,CF26/CJ26,"")</f>
        <v/>
      </c>
      <c r="CM26" s="57" t="str">
        <f t="shared" ref="CM26:CM27" si="169">IF(CF26&gt;0,6*CI26/CF26,"")</f>
        <v/>
      </c>
      <c r="CN26" s="48" t="str">
        <f t="shared" ref="CN26:CN27" si="170">BowlSplit(C26:CC26,BestBowling)</f>
        <v/>
      </c>
      <c r="CO26" s="53">
        <f t="shared" ref="CO26:CO27" si="171">BowlSplit(C26:CC26,BowlPts)</f>
        <v>0</v>
      </c>
      <c r="CP26" s="53">
        <f t="shared" ref="CP26:CP27" si="172">BowlSplit(C26:CC26,Wides)</f>
        <v>0</v>
      </c>
      <c r="CQ26" s="53">
        <f t="shared" ref="CQ26:CQ27" si="173">BowlSplit(C26:CC26,NoBalls)</f>
        <v>0</v>
      </c>
      <c r="CR26" s="58">
        <f t="shared" ref="CR26:CR27" si="174">IF(CJ26&gt;0,CK26,IF(CF26&gt;0,CF26+1000,99999))+ROW(CQ26)/10000</f>
        <v>99999.002600000007</v>
      </c>
      <c r="CS26" s="2">
        <f t="shared" si="14"/>
        <v>35</v>
      </c>
      <c r="CT26" s="106" t="str">
        <f t="shared" ref="CT26:CT27" si="175">IF(CF26&gt;=120,CH26/CF26*6,"")</f>
        <v/>
      </c>
      <c r="CU26" s="2">
        <f t="shared" ref="CU26:CU27" si="176">BowlSplit(C26:CC26,FiveFors)</f>
        <v>0</v>
      </c>
    </row>
    <row r="27" spans="1:99" ht="11.25" customHeight="1" x14ac:dyDescent="0.15">
      <c r="B27" s="2" t="s">
        <v>272</v>
      </c>
      <c r="D27" s="2" t="s">
        <v>315</v>
      </c>
      <c r="M27" s="58"/>
      <c r="CE27" s="53">
        <f t="shared" si="161"/>
        <v>1</v>
      </c>
      <c r="CF27" s="53">
        <f t="shared" si="162"/>
        <v>36</v>
      </c>
      <c r="CG27" s="55">
        <f t="shared" si="163"/>
        <v>6</v>
      </c>
      <c r="CH27" s="53">
        <f t="shared" si="164"/>
        <v>1</v>
      </c>
      <c r="CI27" s="53">
        <f t="shared" si="165"/>
        <v>20</v>
      </c>
      <c r="CJ27" s="53">
        <f t="shared" si="166"/>
        <v>1</v>
      </c>
      <c r="CK27" s="56">
        <f t="shared" si="167"/>
        <v>20</v>
      </c>
      <c r="CL27" s="57">
        <f t="shared" si="168"/>
        <v>36</v>
      </c>
      <c r="CM27" s="57">
        <f t="shared" si="169"/>
        <v>3.3333333333333335</v>
      </c>
      <c r="CN27" s="48" t="str">
        <f t="shared" si="170"/>
        <v>1-20</v>
      </c>
      <c r="CO27" s="53">
        <f t="shared" si="171"/>
        <v>16</v>
      </c>
      <c r="CP27" s="53">
        <f t="shared" si="172"/>
        <v>0</v>
      </c>
      <c r="CQ27" s="53">
        <f t="shared" si="173"/>
        <v>0</v>
      </c>
      <c r="CR27" s="58">
        <f t="shared" si="174"/>
        <v>20.002700000000001</v>
      </c>
      <c r="CS27" s="2">
        <f t="shared" si="14"/>
        <v>8</v>
      </c>
      <c r="CT27" s="106" t="str">
        <f t="shared" si="175"/>
        <v/>
      </c>
      <c r="CU27" s="2">
        <f t="shared" si="176"/>
        <v>0</v>
      </c>
    </row>
    <row r="28" spans="1:99" ht="11.25" customHeight="1" x14ac:dyDescent="0.15">
      <c r="B28" s="2" t="s">
        <v>266</v>
      </c>
      <c r="C28" s="2" t="s">
        <v>297</v>
      </c>
      <c r="E28" s="2" t="s">
        <v>330</v>
      </c>
      <c r="F28" s="2" t="s">
        <v>348</v>
      </c>
      <c r="M28" s="58"/>
      <c r="R28" s="2" t="s">
        <v>570</v>
      </c>
      <c r="CE28" s="53">
        <f t="shared" si="49"/>
        <v>4</v>
      </c>
      <c r="CF28" s="53">
        <f t="shared" si="50"/>
        <v>100</v>
      </c>
      <c r="CG28" s="55">
        <f t="shared" si="51"/>
        <v>16.399999999999999</v>
      </c>
      <c r="CH28" s="53">
        <f t="shared" si="52"/>
        <v>2</v>
      </c>
      <c r="CI28" s="53">
        <f t="shared" si="53"/>
        <v>73</v>
      </c>
      <c r="CJ28" s="53">
        <f t="shared" si="54"/>
        <v>2</v>
      </c>
      <c r="CK28" s="56">
        <f t="shared" si="55"/>
        <v>36.5</v>
      </c>
      <c r="CL28" s="57">
        <f t="shared" si="56"/>
        <v>50</v>
      </c>
      <c r="CM28" s="57">
        <f t="shared" si="57"/>
        <v>4.38</v>
      </c>
      <c r="CN28" s="48" t="str">
        <f t="shared" si="58"/>
        <v>1-9</v>
      </c>
      <c r="CO28" s="53">
        <f t="shared" si="59"/>
        <v>27</v>
      </c>
      <c r="CP28" s="53">
        <f t="shared" si="60"/>
        <v>0</v>
      </c>
      <c r="CQ28" s="53">
        <f t="shared" si="61"/>
        <v>0</v>
      </c>
      <c r="CR28" s="58">
        <f t="shared" si="62"/>
        <v>36.502800000000001</v>
      </c>
      <c r="CS28" s="2">
        <f t="shared" si="14"/>
        <v>18</v>
      </c>
      <c r="CT28" s="106" t="str">
        <f t="shared" si="63"/>
        <v/>
      </c>
      <c r="CU28" s="2">
        <f t="shared" si="64"/>
        <v>0</v>
      </c>
    </row>
    <row r="29" spans="1:99" ht="11.25" customHeight="1" x14ac:dyDescent="0.15">
      <c r="B29" s="2" t="s">
        <v>550</v>
      </c>
      <c r="M29" s="58"/>
      <c r="Q29" s="2" t="s">
        <v>551</v>
      </c>
      <c r="CE29" s="53">
        <f t="shared" ref="CE29" si="177">BowlSplit(C29:BC29,InnsBowledIn)</f>
        <v>1</v>
      </c>
      <c r="CF29" s="53">
        <f t="shared" ref="CF29" si="178">BowlSplit(C29:CC29,BallsBowled)</f>
        <v>12</v>
      </c>
      <c r="CG29" s="55">
        <f t="shared" ref="CG29" si="179">BowlSplit(C29:CC29,OversBowled)</f>
        <v>2</v>
      </c>
      <c r="CH29" s="53">
        <f t="shared" ref="CH29" si="180">BowlSplit(C29:CC29,Maidens)</f>
        <v>1</v>
      </c>
      <c r="CI29" s="53">
        <f t="shared" ref="CI29" si="181">BowlSplit(C29:CC29,RunsConceded)</f>
        <v>4</v>
      </c>
      <c r="CJ29" s="53">
        <f t="shared" ref="CJ29" si="182">BowlSplit(C29:CC29,WicketsTaken)</f>
        <v>0</v>
      </c>
      <c r="CK29" s="56" t="str">
        <f t="shared" ref="CK29" si="183">IF(CJ29&gt;0,ROUND(CI29/CJ29,2),"")</f>
        <v/>
      </c>
      <c r="CL29" s="57" t="str">
        <f t="shared" ref="CL29" si="184">IF(CJ29&gt;0,CF29/CJ29,"")</f>
        <v/>
      </c>
      <c r="CM29" s="57">
        <f t="shared" ref="CM29" si="185">IF(CF29&gt;0,6*CI29/CF29,"")</f>
        <v>2</v>
      </c>
      <c r="CN29" s="48" t="str">
        <f t="shared" ref="CN29" si="186">BowlSplit(C29:CC29,BestBowling)</f>
        <v>0-4</v>
      </c>
      <c r="CO29" s="53">
        <f t="shared" ref="CO29" si="187">BowlSplit(C29:CC29,BowlPts)</f>
        <v>11</v>
      </c>
      <c r="CP29" s="53">
        <f t="shared" ref="CP29" si="188">BowlSplit(C29:CC29,Wides)</f>
        <v>0</v>
      </c>
      <c r="CQ29" s="53">
        <f t="shared" ref="CQ29" si="189">BowlSplit(C29:CC29,NoBalls)</f>
        <v>0</v>
      </c>
      <c r="CR29" s="58">
        <f t="shared" ref="CR29" si="190">IF(CJ29&gt;0,CK29,IF(CF29&gt;0,CF29+1000,99999))+ROW(CQ29)/10000</f>
        <v>1012.0029</v>
      </c>
      <c r="CS29" s="2">
        <f t="shared" si="14"/>
        <v>24</v>
      </c>
      <c r="CT29" s="106" t="str">
        <f t="shared" ref="CT29" si="191">IF(CF29&gt;=120,CH29/CF29*6,"")</f>
        <v/>
      </c>
      <c r="CU29" s="2">
        <f t="shared" ref="CU29" si="192">BowlSplit(C29:CC29,FiveFors)</f>
        <v>0</v>
      </c>
    </row>
    <row r="30" spans="1:99" ht="11.25" customHeight="1" x14ac:dyDescent="0.15">
      <c r="B30" s="2" t="s">
        <v>211</v>
      </c>
      <c r="C30" s="2" t="s">
        <v>294</v>
      </c>
      <c r="D30" s="2" t="s">
        <v>265</v>
      </c>
      <c r="E30" s="2" t="s">
        <v>326</v>
      </c>
      <c r="F30" s="2" t="s">
        <v>347</v>
      </c>
      <c r="H30" s="2" t="s">
        <v>371</v>
      </c>
      <c r="I30" s="2" t="s">
        <v>392</v>
      </c>
      <c r="J30" s="2" t="s">
        <v>411</v>
      </c>
      <c r="K30" s="2" t="s">
        <v>431</v>
      </c>
      <c r="M30" s="58" t="s">
        <v>460</v>
      </c>
      <c r="N30" s="2" t="s">
        <v>481</v>
      </c>
      <c r="O30" s="2" t="s">
        <v>502</v>
      </c>
      <c r="P30" s="2" t="s">
        <v>526</v>
      </c>
      <c r="Q30" s="2" t="s">
        <v>546</v>
      </c>
      <c r="R30" s="2" t="s">
        <v>572</v>
      </c>
      <c r="S30" s="2" t="s">
        <v>583</v>
      </c>
      <c r="CE30" s="53">
        <f t="shared" si="49"/>
        <v>15</v>
      </c>
      <c r="CF30" s="53">
        <f t="shared" si="50"/>
        <v>600</v>
      </c>
      <c r="CG30" s="55">
        <f t="shared" si="51"/>
        <v>100</v>
      </c>
      <c r="CH30" s="53">
        <f t="shared" si="52"/>
        <v>2</v>
      </c>
      <c r="CI30" s="53">
        <f t="shared" si="53"/>
        <v>555</v>
      </c>
      <c r="CJ30" s="53">
        <f t="shared" si="54"/>
        <v>10</v>
      </c>
      <c r="CK30" s="56">
        <f t="shared" si="55"/>
        <v>55.5</v>
      </c>
      <c r="CL30" s="57">
        <f t="shared" si="56"/>
        <v>60</v>
      </c>
      <c r="CM30" s="57">
        <f t="shared" si="57"/>
        <v>5.55</v>
      </c>
      <c r="CN30" s="48" t="str">
        <f t="shared" si="58"/>
        <v>3-37</v>
      </c>
      <c r="CO30" s="53">
        <f t="shared" si="59"/>
        <v>57</v>
      </c>
      <c r="CP30" s="53">
        <f t="shared" si="60"/>
        <v>0</v>
      </c>
      <c r="CQ30" s="53">
        <f t="shared" si="61"/>
        <v>0</v>
      </c>
      <c r="CR30" s="58">
        <f t="shared" si="62"/>
        <v>55.503</v>
      </c>
      <c r="CS30" s="2">
        <f t="shared" si="14"/>
        <v>20</v>
      </c>
      <c r="CT30" s="106">
        <f t="shared" si="63"/>
        <v>0.02</v>
      </c>
      <c r="CU30" s="2">
        <f t="shared" si="64"/>
        <v>0</v>
      </c>
    </row>
    <row r="31" spans="1:99" ht="11.25" customHeight="1" x14ac:dyDescent="0.15">
      <c r="A31" s="2" t="s">
        <v>48</v>
      </c>
      <c r="B31" s="2" t="s">
        <v>144</v>
      </c>
      <c r="C31" s="58"/>
      <c r="F31" s="2" t="s">
        <v>354</v>
      </c>
      <c r="H31" s="2" t="s">
        <v>369</v>
      </c>
      <c r="J31" s="2" t="s">
        <v>410</v>
      </c>
      <c r="K31" s="2" t="s">
        <v>432</v>
      </c>
      <c r="M31" s="58" t="s">
        <v>462</v>
      </c>
      <c r="N31" s="2" t="s">
        <v>485</v>
      </c>
      <c r="P31" s="2" t="s">
        <v>523</v>
      </c>
      <c r="Q31" s="2" t="s">
        <v>545</v>
      </c>
      <c r="R31" s="2" t="s">
        <v>571</v>
      </c>
      <c r="S31" s="2" t="s">
        <v>582</v>
      </c>
      <c r="CE31" s="53">
        <f t="shared" si="49"/>
        <v>10</v>
      </c>
      <c r="CF31" s="53">
        <f t="shared" si="50"/>
        <v>342</v>
      </c>
      <c r="CG31" s="55">
        <f t="shared" si="51"/>
        <v>57</v>
      </c>
      <c r="CH31" s="53">
        <f t="shared" si="52"/>
        <v>5</v>
      </c>
      <c r="CI31" s="53">
        <f t="shared" si="53"/>
        <v>274</v>
      </c>
      <c r="CJ31" s="53">
        <f t="shared" si="54"/>
        <v>13</v>
      </c>
      <c r="CK31" s="56">
        <f t="shared" si="55"/>
        <v>21.08</v>
      </c>
      <c r="CL31" s="57">
        <f t="shared" si="56"/>
        <v>26.307692307692307</v>
      </c>
      <c r="CM31" s="57">
        <f t="shared" si="57"/>
        <v>4.807017543859649</v>
      </c>
      <c r="CN31" s="48" t="str">
        <f t="shared" si="58"/>
        <v>4-33</v>
      </c>
      <c r="CO31" s="53">
        <f t="shared" si="59"/>
        <v>140</v>
      </c>
      <c r="CP31" s="53">
        <f t="shared" si="60"/>
        <v>0</v>
      </c>
      <c r="CQ31" s="53">
        <f t="shared" si="61"/>
        <v>0</v>
      </c>
      <c r="CR31" s="58">
        <f t="shared" si="62"/>
        <v>21.083099999999998</v>
      </c>
      <c r="CS31" s="2">
        <f t="shared" si="14"/>
        <v>10</v>
      </c>
      <c r="CT31" s="106">
        <f t="shared" si="63"/>
        <v>8.771929824561403E-2</v>
      </c>
      <c r="CU31" s="2">
        <f t="shared" si="64"/>
        <v>0</v>
      </c>
    </row>
    <row r="32" spans="1:99" ht="11.25" customHeight="1" x14ac:dyDescent="0.15">
      <c r="B32" s="2" t="s">
        <v>203</v>
      </c>
      <c r="D32" s="2" t="s">
        <v>298</v>
      </c>
      <c r="E32" s="2" t="s">
        <v>327</v>
      </c>
      <c r="M32" s="58"/>
      <c r="O32" s="2" t="s">
        <v>500</v>
      </c>
      <c r="Q32" s="2" t="s">
        <v>552</v>
      </c>
      <c r="CE32" s="53">
        <f t="shared" si="49"/>
        <v>4</v>
      </c>
      <c r="CF32" s="53">
        <f t="shared" si="50"/>
        <v>56</v>
      </c>
      <c r="CG32" s="55">
        <f t="shared" si="51"/>
        <v>9.1999999999999993</v>
      </c>
      <c r="CH32" s="53">
        <f t="shared" si="52"/>
        <v>0</v>
      </c>
      <c r="CI32" s="53">
        <f t="shared" si="53"/>
        <v>54</v>
      </c>
      <c r="CJ32" s="53">
        <f t="shared" si="54"/>
        <v>2</v>
      </c>
      <c r="CK32" s="56">
        <f t="shared" si="55"/>
        <v>27</v>
      </c>
      <c r="CL32" s="57">
        <f t="shared" si="56"/>
        <v>28</v>
      </c>
      <c r="CM32" s="57">
        <f t="shared" si="57"/>
        <v>5.7857142857142856</v>
      </c>
      <c r="CN32" s="48" t="str">
        <f t="shared" si="58"/>
        <v>2-21</v>
      </c>
      <c r="CO32" s="53">
        <f t="shared" si="59"/>
        <v>10</v>
      </c>
      <c r="CP32" s="53">
        <f t="shared" si="60"/>
        <v>0</v>
      </c>
      <c r="CQ32" s="53">
        <f t="shared" si="61"/>
        <v>0</v>
      </c>
      <c r="CR32" s="58">
        <f t="shared" si="62"/>
        <v>27.0032</v>
      </c>
      <c r="CS32" s="2">
        <f t="shared" si="14"/>
        <v>15</v>
      </c>
      <c r="CT32" s="106" t="str">
        <f t="shared" si="63"/>
        <v/>
      </c>
      <c r="CU32" s="2">
        <f t="shared" si="64"/>
        <v>0</v>
      </c>
    </row>
    <row r="33" spans="2:99" ht="11.25" customHeight="1" x14ac:dyDescent="0.15">
      <c r="B33" s="2" t="s">
        <v>256</v>
      </c>
      <c r="C33" s="2" t="s">
        <v>292</v>
      </c>
      <c r="D33" s="2" t="s">
        <v>311</v>
      </c>
      <c r="E33" s="2" t="s">
        <v>328</v>
      </c>
      <c r="F33" s="2" t="s">
        <v>351</v>
      </c>
      <c r="I33" s="2" t="s">
        <v>389</v>
      </c>
      <c r="K33" s="2" t="s">
        <v>430</v>
      </c>
      <c r="M33" s="58" t="s">
        <v>459</v>
      </c>
      <c r="N33" s="2" t="s">
        <v>480</v>
      </c>
      <c r="O33" s="2" t="s">
        <v>495</v>
      </c>
      <c r="R33" s="2" t="s">
        <v>569</v>
      </c>
      <c r="S33" s="2" t="s">
        <v>581</v>
      </c>
      <c r="CE33" s="53">
        <f t="shared" si="49"/>
        <v>11</v>
      </c>
      <c r="CF33" s="53">
        <f t="shared" si="50"/>
        <v>474</v>
      </c>
      <c r="CG33" s="55">
        <f t="shared" si="51"/>
        <v>79</v>
      </c>
      <c r="CH33" s="53">
        <f t="shared" si="52"/>
        <v>16</v>
      </c>
      <c r="CI33" s="53">
        <f t="shared" si="53"/>
        <v>340</v>
      </c>
      <c r="CJ33" s="53">
        <f t="shared" si="54"/>
        <v>13</v>
      </c>
      <c r="CK33" s="56">
        <f t="shared" si="55"/>
        <v>26.15</v>
      </c>
      <c r="CL33" s="57">
        <f t="shared" si="56"/>
        <v>36.46153846153846</v>
      </c>
      <c r="CM33" s="57">
        <f t="shared" si="57"/>
        <v>4.3037974683544302</v>
      </c>
      <c r="CN33" s="48" t="str">
        <f t="shared" si="58"/>
        <v>4-17</v>
      </c>
      <c r="CO33" s="53">
        <f t="shared" si="59"/>
        <v>166</v>
      </c>
      <c r="CP33" s="53">
        <f t="shared" si="60"/>
        <v>0</v>
      </c>
      <c r="CQ33" s="53">
        <f t="shared" si="61"/>
        <v>0</v>
      </c>
      <c r="CR33" s="58">
        <f t="shared" si="62"/>
        <v>26.153299999999998</v>
      </c>
      <c r="CS33" s="2">
        <f t="shared" si="14"/>
        <v>12</v>
      </c>
      <c r="CT33" s="106">
        <f t="shared" si="63"/>
        <v>0.20253164556962022</v>
      </c>
      <c r="CU33" s="2">
        <f t="shared" si="64"/>
        <v>0</v>
      </c>
    </row>
    <row r="34" spans="2:99" ht="11.25" customHeight="1" x14ac:dyDescent="0.15">
      <c r="B34" s="2" t="s">
        <v>271</v>
      </c>
      <c r="E34" s="2" t="s">
        <v>329</v>
      </c>
      <c r="M34" s="58"/>
      <c r="CE34" s="53">
        <f t="shared" ref="CE34" si="193">BowlSplit(C34:BC34,InnsBowledIn)</f>
        <v>1</v>
      </c>
      <c r="CF34" s="53">
        <f t="shared" ref="CF34" si="194">BowlSplit(C34:CC34,BallsBowled)</f>
        <v>18</v>
      </c>
      <c r="CG34" s="55">
        <f t="shared" ref="CG34" si="195">BowlSplit(C34:CC34,OversBowled)</f>
        <v>3</v>
      </c>
      <c r="CH34" s="53">
        <f t="shared" ref="CH34" si="196">BowlSplit(C34:CC34,Maidens)</f>
        <v>0</v>
      </c>
      <c r="CI34" s="53">
        <f t="shared" ref="CI34" si="197">BowlSplit(C34:CC34,RunsConceded)</f>
        <v>12</v>
      </c>
      <c r="CJ34" s="53">
        <f t="shared" ref="CJ34" si="198">BowlSplit(C34:CC34,WicketsTaken)</f>
        <v>1</v>
      </c>
      <c r="CK34" s="56">
        <f t="shared" ref="CK34" si="199">IF(CJ34&gt;0,ROUND(CI34/CJ34,2),"")</f>
        <v>12</v>
      </c>
      <c r="CL34" s="57">
        <f t="shared" ref="CL34" si="200">IF(CJ34&gt;0,CF34/CJ34,"")</f>
        <v>18</v>
      </c>
      <c r="CM34" s="57">
        <f t="shared" ref="CM34" si="201">IF(CF34&gt;0,6*CI34/CF34,"")</f>
        <v>4</v>
      </c>
      <c r="CN34" s="48" t="str">
        <f t="shared" ref="CN34" si="202">BowlSplit(C34:CC34,BestBowling)</f>
        <v>1-12</v>
      </c>
      <c r="CO34" s="53">
        <f t="shared" ref="CO34" si="203">BowlSplit(C34:CC34,BowlPts)</f>
        <v>10</v>
      </c>
      <c r="CP34" s="53">
        <f t="shared" ref="CP34" si="204">BowlSplit(C34:CC34,Wides)</f>
        <v>0</v>
      </c>
      <c r="CQ34" s="53">
        <f t="shared" ref="CQ34" si="205">BowlSplit(C34:CC34,NoBalls)</f>
        <v>0</v>
      </c>
      <c r="CR34" s="58">
        <f t="shared" ref="CR34" si="206">IF(CJ34&gt;0,CK34,IF(CF34&gt;0,CF34+1000,99999))+ROW(CQ34)/10000</f>
        <v>12.003399999999999</v>
      </c>
      <c r="CS34" s="2">
        <f t="shared" si="14"/>
        <v>3</v>
      </c>
      <c r="CT34" s="106" t="str">
        <f t="shared" ref="CT34" si="207">IF(CF34&gt;=120,CH34/CF34*6,"")</f>
        <v/>
      </c>
      <c r="CU34" s="2">
        <f t="shared" ref="CU34" si="208">BowlSplit(C34:CC34,FiveFors)</f>
        <v>0</v>
      </c>
    </row>
    <row r="35" spans="2:99" ht="11.25" customHeight="1" x14ac:dyDescent="0.15">
      <c r="B35" s="2" t="s">
        <v>236</v>
      </c>
      <c r="I35" s="2" t="s">
        <v>391</v>
      </c>
      <c r="M35" s="58"/>
      <c r="S35" s="2" t="s">
        <v>584</v>
      </c>
      <c r="CE35" s="53">
        <f t="shared" si="49"/>
        <v>2</v>
      </c>
      <c r="CF35" s="53">
        <f t="shared" si="50"/>
        <v>84</v>
      </c>
      <c r="CG35" s="55">
        <f t="shared" si="51"/>
        <v>14</v>
      </c>
      <c r="CH35" s="53">
        <f t="shared" si="52"/>
        <v>1</v>
      </c>
      <c r="CI35" s="53">
        <f t="shared" si="53"/>
        <v>76</v>
      </c>
      <c r="CJ35" s="53">
        <f t="shared" si="54"/>
        <v>4</v>
      </c>
      <c r="CK35" s="56">
        <f t="shared" si="55"/>
        <v>19</v>
      </c>
      <c r="CL35" s="57">
        <f t="shared" si="56"/>
        <v>21</v>
      </c>
      <c r="CM35" s="57">
        <f t="shared" si="57"/>
        <v>5.4285714285714288</v>
      </c>
      <c r="CN35" s="48" t="str">
        <f t="shared" si="58"/>
        <v>3-40</v>
      </c>
      <c r="CO35" s="53">
        <f t="shared" si="59"/>
        <v>31</v>
      </c>
      <c r="CP35" s="53">
        <f t="shared" si="60"/>
        <v>0</v>
      </c>
      <c r="CQ35" s="53">
        <f t="shared" si="61"/>
        <v>0</v>
      </c>
      <c r="CR35" s="58">
        <f t="shared" si="62"/>
        <v>19.003499999999999</v>
      </c>
      <c r="CS35" s="2">
        <f t="shared" si="14"/>
        <v>7</v>
      </c>
      <c r="CT35" s="106" t="str">
        <f t="shared" si="63"/>
        <v/>
      </c>
      <c r="CU35" s="2">
        <f t="shared" si="64"/>
        <v>0</v>
      </c>
    </row>
    <row r="36" spans="2:99" ht="11.25" customHeight="1" x14ac:dyDescent="0.15">
      <c r="B36" s="2" t="s">
        <v>536</v>
      </c>
      <c r="M36" s="58"/>
      <c r="Q36" s="2" t="s">
        <v>554</v>
      </c>
      <c r="CE36" s="53">
        <f t="shared" si="49"/>
        <v>1</v>
      </c>
      <c r="CF36" s="53">
        <f t="shared" si="50"/>
        <v>12</v>
      </c>
      <c r="CG36" s="55">
        <f t="shared" si="51"/>
        <v>2</v>
      </c>
      <c r="CH36" s="53">
        <f t="shared" si="52"/>
        <v>0</v>
      </c>
      <c r="CI36" s="53">
        <f t="shared" si="53"/>
        <v>19</v>
      </c>
      <c r="CJ36" s="53">
        <f t="shared" si="54"/>
        <v>0</v>
      </c>
      <c r="CK36" s="56" t="str">
        <f t="shared" si="55"/>
        <v/>
      </c>
      <c r="CL36" s="57" t="str">
        <f t="shared" si="56"/>
        <v/>
      </c>
      <c r="CM36" s="57">
        <f t="shared" si="57"/>
        <v>9.5</v>
      </c>
      <c r="CN36" s="48" t="str">
        <f t="shared" si="58"/>
        <v>0-19</v>
      </c>
      <c r="CO36" s="53">
        <f t="shared" si="59"/>
        <v>-5</v>
      </c>
      <c r="CP36" s="53">
        <f t="shared" si="60"/>
        <v>0</v>
      </c>
      <c r="CQ36" s="53">
        <f t="shared" si="61"/>
        <v>0</v>
      </c>
      <c r="CR36" s="58">
        <f t="shared" si="62"/>
        <v>1012.0036</v>
      </c>
      <c r="CS36" s="2">
        <f t="shared" si="14"/>
        <v>25</v>
      </c>
      <c r="CT36" s="106" t="str">
        <f t="shared" si="63"/>
        <v/>
      </c>
      <c r="CU36" s="2">
        <f t="shared" si="64"/>
        <v>0</v>
      </c>
    </row>
    <row r="37" spans="2:99" ht="11.25" customHeight="1" x14ac:dyDescent="0.15">
      <c r="B37" s="2" t="s">
        <v>385</v>
      </c>
      <c r="H37" s="2" t="s">
        <v>374</v>
      </c>
      <c r="J37" s="2" t="s">
        <v>412</v>
      </c>
      <c r="M37" s="58"/>
      <c r="O37" s="2" t="s">
        <v>501</v>
      </c>
      <c r="CE37" s="53">
        <f t="shared" ref="CE37" si="209">BowlSplit(C37:BC37,InnsBowledIn)</f>
        <v>3</v>
      </c>
      <c r="CF37" s="53">
        <f t="shared" ref="CF37" si="210">BowlSplit(C37:CC37,BallsBowled)</f>
        <v>78</v>
      </c>
      <c r="CG37" s="55">
        <f t="shared" ref="CG37" si="211">BowlSplit(C37:CC37,OversBowled)</f>
        <v>13</v>
      </c>
      <c r="CH37" s="53">
        <f t="shared" ref="CH37" si="212">BowlSplit(C37:CC37,Maidens)</f>
        <v>0</v>
      </c>
      <c r="CI37" s="53">
        <f t="shared" ref="CI37" si="213">BowlSplit(C37:CC37,RunsConceded)</f>
        <v>84</v>
      </c>
      <c r="CJ37" s="53">
        <f t="shared" ref="CJ37" si="214">BowlSplit(C37:CC37,WicketsTaken)</f>
        <v>2</v>
      </c>
      <c r="CK37" s="56">
        <f t="shared" ref="CK37" si="215">IF(CJ37&gt;0,ROUND(CI37/CJ37,2),"")</f>
        <v>42</v>
      </c>
      <c r="CL37" s="57">
        <f t="shared" ref="CL37" si="216">IF(CJ37&gt;0,CF37/CJ37,"")</f>
        <v>39</v>
      </c>
      <c r="CM37" s="57">
        <f t="shared" ref="CM37" si="217">IF(CF37&gt;0,6*CI37/CF37,"")</f>
        <v>6.4615384615384617</v>
      </c>
      <c r="CN37" s="48" t="str">
        <f t="shared" ref="CN37" si="218">BowlSplit(C37:CC37,BestBowling)</f>
        <v>2-33</v>
      </c>
      <c r="CO37" s="53">
        <f t="shared" ref="CO37" si="219">BowlSplit(C37:CC37,BowlPts)</f>
        <v>10</v>
      </c>
      <c r="CP37" s="53">
        <f t="shared" ref="CP37" si="220">BowlSplit(C37:CC37,Wides)</f>
        <v>0</v>
      </c>
      <c r="CQ37" s="53">
        <f t="shared" ref="CQ37" si="221">BowlSplit(C37:CC37,NoBalls)</f>
        <v>0</v>
      </c>
      <c r="CR37" s="58">
        <f t="shared" ref="CR37" si="222">IF(CJ37&gt;0,CK37,IF(CF37&gt;0,CF37+1000,99999))+ROW(CQ37)/10000</f>
        <v>42.003700000000002</v>
      </c>
      <c r="CS37" s="2">
        <f t="shared" si="14"/>
        <v>19</v>
      </c>
      <c r="CT37" s="106" t="str">
        <f t="shared" ref="CT37" si="223">IF(CF37&gt;=120,CH37/CF37*6,"")</f>
        <v/>
      </c>
      <c r="CU37" s="2">
        <f t="shared" ref="CU37" si="224">BowlSplit(C37:CC37,FiveFors)</f>
        <v>0</v>
      </c>
    </row>
    <row r="38" spans="2:99" ht="11.25" customHeight="1" x14ac:dyDescent="0.15">
      <c r="B38" s="2" t="s">
        <v>243</v>
      </c>
      <c r="H38" s="2" t="s">
        <v>373</v>
      </c>
      <c r="K38" s="2" t="s">
        <v>433</v>
      </c>
      <c r="M38" s="58"/>
      <c r="N38" s="2" t="s">
        <v>482</v>
      </c>
      <c r="O38" s="2" t="s">
        <v>498</v>
      </c>
      <c r="CE38" s="53">
        <f t="shared" si="49"/>
        <v>4</v>
      </c>
      <c r="CF38" s="53">
        <f t="shared" si="50"/>
        <v>126</v>
      </c>
      <c r="CG38" s="55">
        <f t="shared" si="51"/>
        <v>21</v>
      </c>
      <c r="CH38" s="53">
        <f t="shared" si="52"/>
        <v>0</v>
      </c>
      <c r="CI38" s="53">
        <f t="shared" si="53"/>
        <v>85</v>
      </c>
      <c r="CJ38" s="53">
        <f t="shared" si="54"/>
        <v>1</v>
      </c>
      <c r="CK38" s="56">
        <f t="shared" si="55"/>
        <v>85</v>
      </c>
      <c r="CL38" s="57">
        <f t="shared" si="56"/>
        <v>126</v>
      </c>
      <c r="CM38" s="57">
        <f t="shared" si="57"/>
        <v>4.0476190476190474</v>
      </c>
      <c r="CN38" s="48" t="str">
        <f t="shared" si="58"/>
        <v>1-18</v>
      </c>
      <c r="CO38" s="53">
        <f t="shared" si="59"/>
        <v>25</v>
      </c>
      <c r="CP38" s="53">
        <f t="shared" si="60"/>
        <v>0</v>
      </c>
      <c r="CQ38" s="53">
        <f t="shared" si="61"/>
        <v>0</v>
      </c>
      <c r="CR38" s="58">
        <f t="shared" si="62"/>
        <v>85.003799999999998</v>
      </c>
      <c r="CS38" s="2">
        <f t="shared" si="14"/>
        <v>21</v>
      </c>
      <c r="CT38" s="106">
        <f t="shared" si="63"/>
        <v>0</v>
      </c>
      <c r="CU38" s="2">
        <f t="shared" si="64"/>
        <v>0</v>
      </c>
    </row>
    <row r="39" spans="2:99" ht="11.25" customHeight="1" x14ac:dyDescent="0.15">
      <c r="B39" s="2" t="s">
        <v>513</v>
      </c>
      <c r="M39" s="58"/>
      <c r="P39" s="2" t="s">
        <v>527</v>
      </c>
      <c r="CE39" s="53">
        <f t="shared" ref="CE39" si="225">BowlSplit(C39:BC39,InnsBowledIn)</f>
        <v>1</v>
      </c>
      <c r="CF39" s="53">
        <f t="shared" ref="CF39" si="226">BowlSplit(C39:CC39,BallsBowled)</f>
        <v>30</v>
      </c>
      <c r="CG39" s="55">
        <f t="shared" ref="CG39" si="227">BowlSplit(C39:CC39,OversBowled)</f>
        <v>5</v>
      </c>
      <c r="CH39" s="53">
        <f t="shared" ref="CH39" si="228">BowlSplit(C39:CC39,Maidens)</f>
        <v>0</v>
      </c>
      <c r="CI39" s="53">
        <f t="shared" ref="CI39" si="229">BowlSplit(C39:CC39,RunsConceded)</f>
        <v>37</v>
      </c>
      <c r="CJ39" s="53">
        <f t="shared" ref="CJ39" si="230">BowlSplit(C39:CC39,WicketsTaken)</f>
        <v>0</v>
      </c>
      <c r="CK39" s="56" t="str">
        <f t="shared" ref="CK39" si="231">IF(CJ39&gt;0,ROUND(CI39/CJ39,2),"")</f>
        <v/>
      </c>
      <c r="CL39" s="57" t="str">
        <f t="shared" ref="CL39" si="232">IF(CJ39&gt;0,CF39/CJ39,"")</f>
        <v/>
      </c>
      <c r="CM39" s="57">
        <f t="shared" ref="CM39" si="233">IF(CF39&gt;0,6*CI39/CF39,"")</f>
        <v>7.4</v>
      </c>
      <c r="CN39" s="48" t="str">
        <f t="shared" ref="CN39" si="234">BowlSplit(C39:CC39,BestBowling)</f>
        <v>0-37</v>
      </c>
      <c r="CO39" s="53">
        <f t="shared" ref="CO39" si="235">BowlSplit(C39:CC39,BowlPts)</f>
        <v>-5</v>
      </c>
      <c r="CP39" s="53">
        <f t="shared" ref="CP39" si="236">BowlSplit(C39:CC39,Wides)</f>
        <v>0</v>
      </c>
      <c r="CQ39" s="53">
        <f t="shared" ref="CQ39" si="237">BowlSplit(C39:CC39,NoBalls)</f>
        <v>0</v>
      </c>
      <c r="CR39" s="58">
        <f t="shared" ref="CR39" si="238">IF(CJ39&gt;0,CK39,IF(CF39&gt;0,CF39+1000,99999))+ROW(CQ39)/10000</f>
        <v>1030.0038999999999</v>
      </c>
      <c r="CS39" s="2">
        <f t="shared" si="14"/>
        <v>32</v>
      </c>
      <c r="CT39" s="106" t="str">
        <f t="shared" ref="CT39" si="239">IF(CF39&gt;=120,CH39/CF39*6,"")</f>
        <v/>
      </c>
      <c r="CU39" s="2">
        <f t="shared" ref="CU39" si="240">BowlSplit(C39:CC39,FiveFors)</f>
        <v>0</v>
      </c>
    </row>
    <row r="40" spans="2:99" ht="11.25" customHeight="1" x14ac:dyDescent="0.15">
      <c r="B40" s="2" t="s">
        <v>262</v>
      </c>
      <c r="M40" s="58"/>
      <c r="CE40" s="53">
        <f t="shared" si="49"/>
        <v>0</v>
      </c>
      <c r="CF40" s="53">
        <f t="shared" si="50"/>
        <v>0</v>
      </c>
      <c r="CG40" s="55">
        <f t="shared" si="51"/>
        <v>0</v>
      </c>
      <c r="CH40" s="53">
        <f t="shared" si="52"/>
        <v>0</v>
      </c>
      <c r="CI40" s="53">
        <f t="shared" si="53"/>
        <v>0</v>
      </c>
      <c r="CJ40" s="53">
        <f t="shared" si="54"/>
        <v>0</v>
      </c>
      <c r="CK40" s="56" t="str">
        <f t="shared" si="55"/>
        <v/>
      </c>
      <c r="CL40" s="57" t="str">
        <f t="shared" si="56"/>
        <v/>
      </c>
      <c r="CM40" s="57" t="str">
        <f t="shared" si="57"/>
        <v/>
      </c>
      <c r="CN40" s="48" t="str">
        <f t="shared" si="58"/>
        <v/>
      </c>
      <c r="CO40" s="53">
        <f t="shared" si="59"/>
        <v>0</v>
      </c>
      <c r="CP40" s="53">
        <f t="shared" si="60"/>
        <v>0</v>
      </c>
      <c r="CQ40" s="53">
        <f t="shared" si="61"/>
        <v>0</v>
      </c>
      <c r="CR40" s="58">
        <f t="shared" si="62"/>
        <v>99999.004000000001</v>
      </c>
      <c r="CS40" s="2">
        <f t="shared" si="14"/>
        <v>36</v>
      </c>
      <c r="CT40" s="106" t="str">
        <f t="shared" si="63"/>
        <v/>
      </c>
      <c r="CU40" s="2">
        <f t="shared" si="64"/>
        <v>0</v>
      </c>
    </row>
    <row r="42" spans="2:99" x14ac:dyDescent="0.15">
      <c r="B42" s="2" t="s">
        <v>118</v>
      </c>
      <c r="C42" s="2">
        <f>BowlSplit(C5:C40,RunsConceded)</f>
        <v>128</v>
      </c>
      <c r="D42" s="2">
        <f t="shared" ref="D42:AH42" si="241">BowlSplit(D5:D40,RunsConceded)</f>
        <v>153</v>
      </c>
      <c r="E42" s="2">
        <f t="shared" si="241"/>
        <v>130</v>
      </c>
      <c r="F42" s="2">
        <f t="shared" si="241"/>
        <v>206</v>
      </c>
      <c r="G42" s="2">
        <f t="shared" si="241"/>
        <v>0</v>
      </c>
      <c r="H42" s="2">
        <f>BowlSplit(H5:H40,RunsConceded)</f>
        <v>174</v>
      </c>
      <c r="I42" s="2">
        <f t="shared" si="241"/>
        <v>172</v>
      </c>
      <c r="J42" s="2">
        <f t="shared" si="241"/>
        <v>154</v>
      </c>
      <c r="K42" s="2">
        <f t="shared" si="241"/>
        <v>177</v>
      </c>
      <c r="L42" s="2">
        <f t="shared" si="241"/>
        <v>0</v>
      </c>
      <c r="M42" s="2">
        <f t="shared" si="241"/>
        <v>220</v>
      </c>
      <c r="N42" s="2">
        <f t="shared" si="241"/>
        <v>178</v>
      </c>
      <c r="O42" s="2">
        <f t="shared" si="241"/>
        <v>168</v>
      </c>
      <c r="P42" s="2">
        <f t="shared" si="241"/>
        <v>218</v>
      </c>
      <c r="Q42" s="2">
        <f t="shared" si="241"/>
        <v>133</v>
      </c>
      <c r="R42" s="2">
        <f t="shared" si="241"/>
        <v>285</v>
      </c>
      <c r="S42" s="2">
        <f t="shared" si="241"/>
        <v>214</v>
      </c>
      <c r="T42" s="2">
        <f t="shared" si="241"/>
        <v>0</v>
      </c>
      <c r="U42" s="2">
        <f t="shared" si="241"/>
        <v>0</v>
      </c>
      <c r="V42" s="2">
        <f t="shared" si="241"/>
        <v>0</v>
      </c>
      <c r="W42" s="2">
        <f t="shared" si="241"/>
        <v>0</v>
      </c>
      <c r="X42" s="2">
        <f t="shared" si="241"/>
        <v>0</v>
      </c>
      <c r="Y42" s="2">
        <f t="shared" si="241"/>
        <v>0</v>
      </c>
      <c r="Z42" s="2">
        <f t="shared" si="241"/>
        <v>0</v>
      </c>
      <c r="AA42" s="2">
        <f t="shared" si="241"/>
        <v>0</v>
      </c>
      <c r="AB42" s="2">
        <f t="shared" si="241"/>
        <v>0</v>
      </c>
      <c r="AC42" s="2">
        <f t="shared" si="241"/>
        <v>0</v>
      </c>
      <c r="AD42" s="2">
        <f t="shared" si="241"/>
        <v>0</v>
      </c>
      <c r="AE42" s="2">
        <f t="shared" si="241"/>
        <v>0</v>
      </c>
      <c r="AF42" s="2">
        <f t="shared" si="241"/>
        <v>0</v>
      </c>
      <c r="AG42" s="2">
        <f t="shared" si="241"/>
        <v>0</v>
      </c>
      <c r="AH42" s="2">
        <f t="shared" si="241"/>
        <v>0</v>
      </c>
      <c r="AI42" s="2">
        <f t="shared" ref="AI42:BF42" si="242">BowlSplit(AI5:AI40,RunsConceded)</f>
        <v>0</v>
      </c>
      <c r="AJ42" s="2">
        <f t="shared" si="242"/>
        <v>0</v>
      </c>
      <c r="AK42" s="2">
        <f t="shared" si="242"/>
        <v>0</v>
      </c>
      <c r="AL42" s="2">
        <f t="shared" si="242"/>
        <v>0</v>
      </c>
      <c r="AM42" s="2">
        <f t="shared" si="242"/>
        <v>0</v>
      </c>
      <c r="AN42" s="2">
        <f t="shared" si="242"/>
        <v>0</v>
      </c>
      <c r="AO42" s="2">
        <f t="shared" si="242"/>
        <v>0</v>
      </c>
      <c r="AP42" s="2">
        <f t="shared" si="242"/>
        <v>0</v>
      </c>
      <c r="AQ42" s="2">
        <f t="shared" si="242"/>
        <v>0</v>
      </c>
      <c r="AR42" s="2">
        <f t="shared" si="242"/>
        <v>0</v>
      </c>
      <c r="AS42" s="2">
        <f t="shared" si="242"/>
        <v>0</v>
      </c>
      <c r="AT42" s="2">
        <f t="shared" si="242"/>
        <v>0</v>
      </c>
      <c r="AU42" s="2">
        <f t="shared" si="242"/>
        <v>0</v>
      </c>
      <c r="AV42" s="2">
        <f t="shared" si="242"/>
        <v>0</v>
      </c>
      <c r="AW42" s="2">
        <f t="shared" si="242"/>
        <v>0</v>
      </c>
      <c r="AX42" s="2">
        <f t="shared" si="242"/>
        <v>0</v>
      </c>
      <c r="AY42" s="2">
        <f t="shared" si="242"/>
        <v>0</v>
      </c>
      <c r="AZ42" s="2">
        <f t="shared" si="242"/>
        <v>0</v>
      </c>
      <c r="BA42" s="2">
        <f t="shared" si="242"/>
        <v>0</v>
      </c>
      <c r="BB42" s="2">
        <f t="shared" si="242"/>
        <v>0</v>
      </c>
      <c r="BC42" s="2">
        <f t="shared" si="242"/>
        <v>0</v>
      </c>
      <c r="BD42" s="2">
        <f t="shared" si="242"/>
        <v>0</v>
      </c>
      <c r="BE42" s="2">
        <f t="shared" si="242"/>
        <v>0</v>
      </c>
      <c r="BF42" s="2">
        <f t="shared" si="242"/>
        <v>0</v>
      </c>
      <c r="CE42" s="53">
        <f>SUM(C42:BF42)</f>
        <v>2710</v>
      </c>
      <c r="CF42" s="53">
        <f>SUM(CF5:CF40)</f>
        <v>3354.0000019073486</v>
      </c>
      <c r="CJ42" s="53">
        <f>SUM(CJ5:CJ40)</f>
        <v>89</v>
      </c>
    </row>
    <row r="43" spans="2:99" x14ac:dyDescent="0.15">
      <c r="B43" s="2" t="s">
        <v>119</v>
      </c>
      <c r="C43" s="2">
        <f t="array" ref="C43:BE44">TRANSPOSE(Matches!S5:T59)</f>
        <v>1</v>
      </c>
      <c r="D43" s="2">
        <v>3</v>
      </c>
      <c r="E43" s="2">
        <v>2</v>
      </c>
      <c r="F43" s="2">
        <v>3</v>
      </c>
      <c r="G43" s="2">
        <v>0</v>
      </c>
      <c r="H43" s="2">
        <v>4</v>
      </c>
      <c r="I43" s="2">
        <v>6</v>
      </c>
      <c r="J43" s="2">
        <v>5</v>
      </c>
      <c r="K43" s="2">
        <v>10</v>
      </c>
      <c r="L43" s="2">
        <v>0</v>
      </c>
      <c r="M43" s="2">
        <v>9</v>
      </c>
      <c r="N43" s="2">
        <v>9</v>
      </c>
      <c r="O43" s="2">
        <v>5</v>
      </c>
      <c r="P43" s="2">
        <v>2</v>
      </c>
      <c r="Q43" s="2">
        <v>2</v>
      </c>
      <c r="R43" s="2">
        <v>6</v>
      </c>
      <c r="S43" s="2">
        <v>11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CE43" s="53">
        <f>SUM(C43:BF43)</f>
        <v>78</v>
      </c>
    </row>
    <row r="44" spans="2:99" x14ac:dyDescent="0.15">
      <c r="B44" s="2" t="s">
        <v>120</v>
      </c>
      <c r="C44" s="2">
        <v>3</v>
      </c>
      <c r="D44" s="2">
        <v>0</v>
      </c>
      <c r="E44" s="2">
        <v>2</v>
      </c>
      <c r="F44" s="2">
        <v>0</v>
      </c>
      <c r="G44" s="2">
        <v>0</v>
      </c>
      <c r="H44" s="2">
        <v>1</v>
      </c>
      <c r="I44" s="2">
        <v>6</v>
      </c>
      <c r="J44" s="2">
        <v>2</v>
      </c>
      <c r="K44" s="2">
        <v>5</v>
      </c>
      <c r="L44" s="2">
        <v>0</v>
      </c>
      <c r="M44" s="2">
        <v>3</v>
      </c>
      <c r="N44" s="2">
        <v>3</v>
      </c>
      <c r="O44" s="2">
        <v>7</v>
      </c>
      <c r="P44" s="2">
        <v>1</v>
      </c>
      <c r="Q44" s="2">
        <v>0</v>
      </c>
      <c r="R44" s="2">
        <v>1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3">
        <f>SUM(C44:BF44)</f>
        <v>34</v>
      </c>
      <c r="CG44" s="53" t="s">
        <v>155</v>
      </c>
      <c r="CH44" s="53" t="s">
        <v>156</v>
      </c>
    </row>
    <row r="45" spans="2:99" s="54" customFormat="1" x14ac:dyDescent="0.15">
      <c r="B45" s="54" t="s">
        <v>117</v>
      </c>
      <c r="C45" s="54">
        <f>SUM(C42:C44)</f>
        <v>132</v>
      </c>
      <c r="D45" s="54">
        <f t="shared" ref="D45:BE45" si="243">SUM(D42:D44)</f>
        <v>156</v>
      </c>
      <c r="E45" s="54">
        <f t="shared" si="243"/>
        <v>134</v>
      </c>
      <c r="F45" s="54">
        <f t="shared" si="243"/>
        <v>209</v>
      </c>
      <c r="G45" s="54">
        <f t="shared" si="243"/>
        <v>0</v>
      </c>
      <c r="H45" s="54">
        <f t="shared" si="243"/>
        <v>179</v>
      </c>
      <c r="I45" s="54">
        <f t="shared" si="243"/>
        <v>184</v>
      </c>
      <c r="J45" s="54">
        <f t="shared" si="243"/>
        <v>161</v>
      </c>
      <c r="K45" s="54">
        <f t="shared" si="243"/>
        <v>192</v>
      </c>
      <c r="L45" s="54">
        <f t="shared" si="243"/>
        <v>0</v>
      </c>
      <c r="M45" s="54">
        <f t="shared" si="243"/>
        <v>232</v>
      </c>
      <c r="N45" s="54">
        <f t="shared" si="243"/>
        <v>190</v>
      </c>
      <c r="O45" s="54">
        <f t="shared" si="243"/>
        <v>180</v>
      </c>
      <c r="P45" s="54">
        <f t="shared" si="243"/>
        <v>221</v>
      </c>
      <c r="Q45" s="54">
        <f t="shared" si="243"/>
        <v>135</v>
      </c>
      <c r="R45" s="54">
        <f t="shared" si="243"/>
        <v>292</v>
      </c>
      <c r="S45" s="54">
        <f t="shared" si="243"/>
        <v>225</v>
      </c>
      <c r="T45" s="54">
        <f t="shared" si="243"/>
        <v>0</v>
      </c>
      <c r="U45" s="54">
        <f t="shared" si="243"/>
        <v>0</v>
      </c>
      <c r="V45" s="54">
        <f t="shared" si="243"/>
        <v>0</v>
      </c>
      <c r="W45" s="54">
        <f t="shared" si="243"/>
        <v>0</v>
      </c>
      <c r="X45" s="54">
        <f t="shared" si="243"/>
        <v>0</v>
      </c>
      <c r="Y45" s="54">
        <f t="shared" si="243"/>
        <v>0</v>
      </c>
      <c r="Z45" s="54">
        <f t="shared" si="243"/>
        <v>0</v>
      </c>
      <c r="AA45" s="54">
        <f t="shared" si="243"/>
        <v>0</v>
      </c>
      <c r="AB45" s="54">
        <f t="shared" si="243"/>
        <v>0</v>
      </c>
      <c r="AC45" s="54">
        <f t="shared" si="243"/>
        <v>0</v>
      </c>
      <c r="AD45" s="54">
        <f t="shared" si="243"/>
        <v>0</v>
      </c>
      <c r="AE45" s="54">
        <f t="shared" si="243"/>
        <v>0</v>
      </c>
      <c r="AF45" s="54">
        <f t="shared" si="243"/>
        <v>0</v>
      </c>
      <c r="AG45" s="54">
        <f t="shared" si="243"/>
        <v>0</v>
      </c>
      <c r="AH45" s="54">
        <f t="shared" si="243"/>
        <v>0</v>
      </c>
      <c r="AI45" s="54">
        <f t="shared" si="243"/>
        <v>0</v>
      </c>
      <c r="AJ45" s="54">
        <f t="shared" si="243"/>
        <v>0</v>
      </c>
      <c r="AK45" s="54">
        <f t="shared" si="243"/>
        <v>0</v>
      </c>
      <c r="AL45" s="54">
        <f t="shared" si="243"/>
        <v>0</v>
      </c>
      <c r="AM45" s="54">
        <f t="shared" si="243"/>
        <v>0</v>
      </c>
      <c r="AN45" s="54">
        <f t="shared" si="243"/>
        <v>0</v>
      </c>
      <c r="AO45" s="54">
        <f t="shared" si="243"/>
        <v>0</v>
      </c>
      <c r="AP45" s="54">
        <f t="shared" si="243"/>
        <v>0</v>
      </c>
      <c r="AQ45" s="54">
        <f t="shared" si="243"/>
        <v>0</v>
      </c>
      <c r="AR45" s="54">
        <f t="shared" si="243"/>
        <v>0</v>
      </c>
      <c r="AS45" s="54">
        <f t="shared" si="243"/>
        <v>0</v>
      </c>
      <c r="AT45" s="54">
        <f t="shared" si="243"/>
        <v>0</v>
      </c>
      <c r="AU45" s="54">
        <f t="shared" si="243"/>
        <v>0</v>
      </c>
      <c r="AV45" s="54">
        <f t="shared" si="243"/>
        <v>0</v>
      </c>
      <c r="AW45" s="54">
        <f t="shared" si="243"/>
        <v>0</v>
      </c>
      <c r="AX45" s="54">
        <f t="shared" si="243"/>
        <v>0</v>
      </c>
      <c r="AY45" s="54">
        <f t="shared" si="243"/>
        <v>0</v>
      </c>
      <c r="AZ45" s="54">
        <f t="shared" si="243"/>
        <v>0</v>
      </c>
      <c r="BA45" s="54">
        <f t="shared" si="243"/>
        <v>0</v>
      </c>
      <c r="BB45" s="54">
        <f t="shared" si="243"/>
        <v>0</v>
      </c>
      <c r="BC45" s="54">
        <f t="shared" si="243"/>
        <v>0</v>
      </c>
      <c r="BD45" s="54">
        <f t="shared" si="243"/>
        <v>0</v>
      </c>
      <c r="BE45" s="54">
        <f t="shared" si="243"/>
        <v>0</v>
      </c>
      <c r="CE45" s="54">
        <f>SUM(C45:BF45)</f>
        <v>2822</v>
      </c>
      <c r="CG45" s="54">
        <f>MAX(C45:CB45)</f>
        <v>292</v>
      </c>
      <c r="CH45" s="54">
        <f t="array" ref="CH45">MIN(IF(C45:CB45&gt;0,C45:CB45,9999))</f>
        <v>132</v>
      </c>
      <c r="CN45" s="59"/>
    </row>
    <row r="46" spans="2:99" x14ac:dyDescent="0.15">
      <c r="B46" s="2" t="s">
        <v>32</v>
      </c>
      <c r="C46" s="2">
        <f t="shared" ref="C46:AH46" si="244">BowlSplit(C5:C40,OversBowled)</f>
        <v>40</v>
      </c>
      <c r="D46" s="2">
        <f t="shared" si="244"/>
        <v>40</v>
      </c>
      <c r="E46" s="2">
        <f t="shared" si="244"/>
        <v>27.4</v>
      </c>
      <c r="F46" s="2">
        <f t="shared" si="244"/>
        <v>33.200000000000003</v>
      </c>
      <c r="G46" s="2">
        <f t="shared" si="244"/>
        <v>0</v>
      </c>
      <c r="H46" s="2">
        <f>BowlSplit(H5:H40,OversBowled)</f>
        <v>38.299999999999997</v>
      </c>
      <c r="I46" s="2">
        <f t="shared" si="244"/>
        <v>40</v>
      </c>
      <c r="J46" s="2">
        <f t="shared" si="244"/>
        <v>35</v>
      </c>
      <c r="K46" s="2">
        <f t="shared" si="244"/>
        <v>39.1</v>
      </c>
      <c r="L46" s="2">
        <f t="shared" si="244"/>
        <v>0</v>
      </c>
      <c r="M46" s="2">
        <f t="shared" si="244"/>
        <v>40</v>
      </c>
      <c r="N46" s="2">
        <f t="shared" si="244"/>
        <v>38</v>
      </c>
      <c r="O46" s="2">
        <f t="shared" si="244"/>
        <v>40</v>
      </c>
      <c r="P46" s="2">
        <f t="shared" si="244"/>
        <v>40</v>
      </c>
      <c r="Q46" s="2">
        <f t="shared" si="244"/>
        <v>32.200000000000003</v>
      </c>
      <c r="R46" s="2">
        <f t="shared" si="244"/>
        <v>40</v>
      </c>
      <c r="S46" s="2">
        <f t="shared" si="244"/>
        <v>35</v>
      </c>
      <c r="T46" s="2">
        <f t="shared" si="244"/>
        <v>0</v>
      </c>
      <c r="U46" s="2">
        <f t="shared" si="244"/>
        <v>0</v>
      </c>
      <c r="V46" s="2">
        <f t="shared" si="244"/>
        <v>0</v>
      </c>
      <c r="W46" s="2">
        <f t="shared" si="244"/>
        <v>0</v>
      </c>
      <c r="X46" s="2">
        <f t="shared" si="244"/>
        <v>0</v>
      </c>
      <c r="Y46" s="2">
        <f t="shared" si="244"/>
        <v>0</v>
      </c>
      <c r="Z46" s="2">
        <f t="shared" si="244"/>
        <v>0</v>
      </c>
      <c r="AA46" s="2">
        <f t="shared" si="244"/>
        <v>0</v>
      </c>
      <c r="AB46" s="2">
        <f t="shared" si="244"/>
        <v>0</v>
      </c>
      <c r="AC46" s="2">
        <f t="shared" si="244"/>
        <v>0</v>
      </c>
      <c r="AD46" s="2">
        <f t="shared" si="244"/>
        <v>0</v>
      </c>
      <c r="AE46" s="2">
        <f t="shared" si="244"/>
        <v>0</v>
      </c>
      <c r="AF46" s="2">
        <f t="shared" si="244"/>
        <v>0</v>
      </c>
      <c r="AG46" s="2">
        <f t="shared" si="244"/>
        <v>0</v>
      </c>
      <c r="AH46" s="2">
        <f t="shared" si="244"/>
        <v>0</v>
      </c>
      <c r="AI46" s="2">
        <f t="shared" ref="AI46:BF46" si="245">BowlSplit(AI5:AI40,OversBowled)</f>
        <v>0</v>
      </c>
      <c r="AJ46" s="2">
        <f t="shared" si="245"/>
        <v>0</v>
      </c>
      <c r="AK46" s="2">
        <f t="shared" si="245"/>
        <v>0</v>
      </c>
      <c r="AL46" s="2">
        <f t="shared" si="245"/>
        <v>0</v>
      </c>
      <c r="AM46" s="2">
        <f t="shared" si="245"/>
        <v>0</v>
      </c>
      <c r="AN46" s="2">
        <f t="shared" si="245"/>
        <v>0</v>
      </c>
      <c r="AO46" s="2">
        <f t="shared" si="245"/>
        <v>0</v>
      </c>
      <c r="AP46" s="2">
        <f t="shared" si="245"/>
        <v>0</v>
      </c>
      <c r="AQ46" s="2">
        <f t="shared" si="245"/>
        <v>0</v>
      </c>
      <c r="AR46" s="2">
        <f t="shared" si="245"/>
        <v>0</v>
      </c>
      <c r="AS46" s="2">
        <f t="shared" si="245"/>
        <v>0</v>
      </c>
      <c r="AT46" s="2">
        <f t="shared" si="245"/>
        <v>0</v>
      </c>
      <c r="AU46" s="2">
        <f t="shared" si="245"/>
        <v>0</v>
      </c>
      <c r="AV46" s="2">
        <f t="shared" si="245"/>
        <v>0</v>
      </c>
      <c r="AW46" s="2">
        <f t="shared" si="245"/>
        <v>0</v>
      </c>
      <c r="AX46" s="2">
        <f t="shared" si="245"/>
        <v>0</v>
      </c>
      <c r="AY46" s="2">
        <f t="shared" si="245"/>
        <v>0</v>
      </c>
      <c r="AZ46" s="2">
        <f t="shared" si="245"/>
        <v>0</v>
      </c>
      <c r="BA46" s="2">
        <f t="shared" si="245"/>
        <v>0</v>
      </c>
      <c r="BB46" s="2">
        <f t="shared" si="245"/>
        <v>0</v>
      </c>
      <c r="BC46" s="2">
        <f t="shared" si="245"/>
        <v>0</v>
      </c>
      <c r="BD46" s="2">
        <f t="shared" si="245"/>
        <v>0</v>
      </c>
      <c r="BE46" s="2">
        <f t="shared" si="245"/>
        <v>0</v>
      </c>
      <c r="BF46" s="2">
        <f t="shared" si="245"/>
        <v>0</v>
      </c>
      <c r="CE46" s="53">
        <f>MAX(C46:CC46)</f>
        <v>40</v>
      </c>
    </row>
    <row r="47" spans="2:99" x14ac:dyDescent="0.15">
      <c r="B47" s="2" t="s">
        <v>31</v>
      </c>
      <c r="C47" s="2">
        <f t="shared" ref="C47:N47" si="246">BowlSplit(C5:C40,BallsBowled)</f>
        <v>240</v>
      </c>
      <c r="D47" s="2">
        <f t="shared" si="246"/>
        <v>240</v>
      </c>
      <c r="E47" s="2">
        <f t="shared" si="246"/>
        <v>166</v>
      </c>
      <c r="F47" s="2">
        <f t="shared" si="246"/>
        <v>200</v>
      </c>
      <c r="G47" s="2">
        <f t="shared" si="246"/>
        <v>0</v>
      </c>
      <c r="H47" s="2">
        <f>BowlSplit(H5:H40,BallsBowled)</f>
        <v>231</v>
      </c>
      <c r="I47" s="2">
        <f t="shared" si="246"/>
        <v>240</v>
      </c>
      <c r="J47" s="2">
        <f t="shared" si="246"/>
        <v>210</v>
      </c>
      <c r="K47" s="2">
        <f t="shared" si="246"/>
        <v>235</v>
      </c>
      <c r="L47" s="2">
        <f t="shared" si="246"/>
        <v>0</v>
      </c>
      <c r="M47" s="2">
        <f t="shared" si="246"/>
        <v>240</v>
      </c>
      <c r="N47" s="2">
        <f t="shared" si="246"/>
        <v>228</v>
      </c>
      <c r="O47" s="2">
        <f>BowlSplit(T5:T40,BallsBowled)</f>
        <v>0</v>
      </c>
      <c r="P47" s="2">
        <f t="shared" ref="P47:BF47" si="247">BowlSplit(P5:P40,BallsBowled)</f>
        <v>240</v>
      </c>
      <c r="Q47" s="2">
        <f t="shared" si="247"/>
        <v>194</v>
      </c>
      <c r="R47" s="2">
        <f t="shared" si="247"/>
        <v>240</v>
      </c>
      <c r="S47" s="2">
        <f t="shared" si="247"/>
        <v>210</v>
      </c>
      <c r="T47" s="2">
        <f t="shared" si="247"/>
        <v>0</v>
      </c>
      <c r="U47" s="2">
        <f t="shared" si="247"/>
        <v>0</v>
      </c>
      <c r="V47" s="2">
        <f t="shared" si="247"/>
        <v>0</v>
      </c>
      <c r="W47" s="2">
        <f t="shared" si="247"/>
        <v>0</v>
      </c>
      <c r="X47" s="2">
        <f t="shared" si="247"/>
        <v>0</v>
      </c>
      <c r="Y47" s="2">
        <f t="shared" si="247"/>
        <v>0</v>
      </c>
      <c r="Z47" s="2">
        <f t="shared" si="247"/>
        <v>0</v>
      </c>
      <c r="AA47" s="2">
        <f t="shared" si="247"/>
        <v>0</v>
      </c>
      <c r="AB47" s="2">
        <f t="shared" si="247"/>
        <v>0</v>
      </c>
      <c r="AC47" s="2">
        <f t="shared" si="247"/>
        <v>0</v>
      </c>
      <c r="AD47" s="2">
        <f t="shared" si="247"/>
        <v>0</v>
      </c>
      <c r="AE47" s="2">
        <f t="shared" si="247"/>
        <v>0</v>
      </c>
      <c r="AF47" s="2">
        <f t="shared" si="247"/>
        <v>0</v>
      </c>
      <c r="AG47" s="2">
        <f t="shared" si="247"/>
        <v>0</v>
      </c>
      <c r="AH47" s="2">
        <f t="shared" si="247"/>
        <v>0</v>
      </c>
      <c r="AI47" s="2">
        <f t="shared" si="247"/>
        <v>0</v>
      </c>
      <c r="AJ47" s="2">
        <f t="shared" si="247"/>
        <v>0</v>
      </c>
      <c r="AK47" s="2">
        <f t="shared" si="247"/>
        <v>0</v>
      </c>
      <c r="AL47" s="2">
        <f t="shared" si="247"/>
        <v>0</v>
      </c>
      <c r="AM47" s="2">
        <f t="shared" si="247"/>
        <v>0</v>
      </c>
      <c r="AN47" s="2">
        <f t="shared" si="247"/>
        <v>0</v>
      </c>
      <c r="AO47" s="2">
        <f t="shared" si="247"/>
        <v>0</v>
      </c>
      <c r="AP47" s="2">
        <f t="shared" si="247"/>
        <v>0</v>
      </c>
      <c r="AQ47" s="2">
        <f t="shared" si="247"/>
        <v>0</v>
      </c>
      <c r="AR47" s="2">
        <f t="shared" si="247"/>
        <v>0</v>
      </c>
      <c r="AS47" s="2">
        <f t="shared" si="247"/>
        <v>0</v>
      </c>
      <c r="AT47" s="2">
        <f t="shared" si="247"/>
        <v>0</v>
      </c>
      <c r="AU47" s="2">
        <f t="shared" si="247"/>
        <v>0</v>
      </c>
      <c r="AV47" s="2">
        <f t="shared" si="247"/>
        <v>0</v>
      </c>
      <c r="AW47" s="2">
        <f t="shared" si="247"/>
        <v>0</v>
      </c>
      <c r="AX47" s="2">
        <f t="shared" si="247"/>
        <v>0</v>
      </c>
      <c r="AY47" s="2">
        <f t="shared" si="247"/>
        <v>0</v>
      </c>
      <c r="AZ47" s="2">
        <f t="shared" si="247"/>
        <v>0</v>
      </c>
      <c r="BA47" s="2">
        <f t="shared" si="247"/>
        <v>0</v>
      </c>
      <c r="BB47" s="2">
        <f t="shared" si="247"/>
        <v>0</v>
      </c>
      <c r="BC47" s="2">
        <f t="shared" si="247"/>
        <v>0</v>
      </c>
      <c r="BD47" s="2">
        <f t="shared" si="247"/>
        <v>0</v>
      </c>
      <c r="BE47" s="2">
        <f t="shared" si="247"/>
        <v>0</v>
      </c>
      <c r="BF47" s="2">
        <f t="shared" si="247"/>
        <v>0</v>
      </c>
      <c r="CE47" s="53">
        <f>SUM(C47:BF47)</f>
        <v>3114</v>
      </c>
      <c r="CF47" s="53">
        <f>INT(CE47/6)</f>
        <v>519</v>
      </c>
      <c r="CG47" s="53">
        <f>CE47-CF47*6</f>
        <v>0</v>
      </c>
      <c r="CH47" s="53">
        <f>CF47+CG47/10</f>
        <v>519</v>
      </c>
    </row>
    <row r="48" spans="2:99" x14ac:dyDescent="0.15">
      <c r="B48" s="2" t="s">
        <v>163</v>
      </c>
      <c r="C48" s="2">
        <f t="array" ref="C48:CC48">TRANSPOSE(Matches!P5:P59)</f>
        <v>40</v>
      </c>
      <c r="D48" s="2">
        <v>40</v>
      </c>
      <c r="E48" s="2">
        <v>27.4</v>
      </c>
      <c r="F48" s="2">
        <v>33.200000000000003</v>
      </c>
      <c r="G48" s="2">
        <v>0</v>
      </c>
      <c r="H48" s="2">
        <v>38.299999999999997</v>
      </c>
      <c r="I48" s="2">
        <v>40</v>
      </c>
      <c r="J48" s="2">
        <v>35</v>
      </c>
      <c r="K48" s="2">
        <v>39.1</v>
      </c>
      <c r="L48" s="2">
        <v>0</v>
      </c>
      <c r="M48" s="2">
        <v>40</v>
      </c>
      <c r="N48" s="2">
        <v>38</v>
      </c>
      <c r="O48" s="2">
        <v>40</v>
      </c>
      <c r="P48" s="2">
        <v>40</v>
      </c>
      <c r="Q48" s="2">
        <v>32.200000000000003</v>
      </c>
      <c r="R48" s="2">
        <v>40</v>
      </c>
      <c r="S48" s="2">
        <v>35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 t="e">
        <v>#N/A</v>
      </c>
      <c r="BG48" s="2" t="e">
        <v>#N/A</v>
      </c>
      <c r="BH48" s="2" t="e">
        <v>#N/A</v>
      </c>
      <c r="BI48" s="2" t="e">
        <v>#N/A</v>
      </c>
      <c r="BJ48" s="2" t="e">
        <v>#N/A</v>
      </c>
      <c r="BK48" s="2" t="e">
        <v>#N/A</v>
      </c>
      <c r="BL48" s="2" t="e">
        <v>#N/A</v>
      </c>
      <c r="BM48" s="2" t="e">
        <v>#N/A</v>
      </c>
      <c r="BN48" s="2" t="e">
        <v>#N/A</v>
      </c>
      <c r="BO48" s="2" t="e">
        <v>#N/A</v>
      </c>
      <c r="BP48" s="2" t="e">
        <v>#N/A</v>
      </c>
      <c r="BQ48" s="2" t="e">
        <v>#N/A</v>
      </c>
      <c r="BR48" s="2" t="e">
        <v>#N/A</v>
      </c>
      <c r="BS48" s="2" t="e">
        <v>#N/A</v>
      </c>
      <c r="BT48" s="2" t="e">
        <v>#N/A</v>
      </c>
      <c r="BU48" s="2" t="e">
        <v>#N/A</v>
      </c>
      <c r="BV48" s="2" t="e">
        <v>#N/A</v>
      </c>
      <c r="BW48" s="2" t="e">
        <v>#N/A</v>
      </c>
      <c r="BX48" s="2" t="e">
        <v>#N/A</v>
      </c>
      <c r="BY48" s="2" t="e">
        <v>#N/A</v>
      </c>
      <c r="BZ48" s="2" t="e">
        <v>#N/A</v>
      </c>
      <c r="CA48" s="2" t="e">
        <v>#N/A</v>
      </c>
      <c r="CB48" s="2" t="e">
        <v>#N/A</v>
      </c>
      <c r="CC48" s="2" t="e">
        <v>#N/A</v>
      </c>
    </row>
    <row r="50" spans="2:24" x14ac:dyDescent="0.15">
      <c r="B50" s="2">
        <f>MAX(C50:X85)</f>
        <v>65</v>
      </c>
      <c r="C50" s="2">
        <f t="shared" ref="C50:E69" si="248">BowlSplit(C5,RunsConceded)</f>
        <v>0</v>
      </c>
      <c r="D50" s="2">
        <f t="shared" si="248"/>
        <v>0</v>
      </c>
      <c r="E50" s="2">
        <f t="shared" si="248"/>
        <v>0</v>
      </c>
      <c r="F50" s="2">
        <f t="shared" ref="F50:X50" si="249">BowlSplit(F5,RunsConceded)</f>
        <v>19</v>
      </c>
      <c r="G50" s="2">
        <f t="shared" ref="G50:H69" si="250">BowlSplit(H5,RunsConceded)</f>
        <v>0</v>
      </c>
      <c r="H50" s="2">
        <f t="shared" si="250"/>
        <v>0</v>
      </c>
      <c r="I50" s="2">
        <f t="shared" si="249"/>
        <v>0</v>
      </c>
      <c r="J50" s="2">
        <f t="shared" si="249"/>
        <v>0</v>
      </c>
      <c r="K50" s="2">
        <f t="shared" si="249"/>
        <v>0</v>
      </c>
      <c r="L50" s="2">
        <f t="shared" si="249"/>
        <v>0</v>
      </c>
      <c r="M50" s="2">
        <f t="shared" si="249"/>
        <v>0</v>
      </c>
      <c r="N50" s="2">
        <f t="shared" si="249"/>
        <v>0</v>
      </c>
      <c r="O50" s="2">
        <f t="shared" si="249"/>
        <v>0</v>
      </c>
      <c r="P50" s="2">
        <f t="shared" si="249"/>
        <v>0</v>
      </c>
      <c r="Q50" s="2">
        <f t="shared" si="249"/>
        <v>0</v>
      </c>
      <c r="R50" s="2">
        <f t="shared" si="249"/>
        <v>0</v>
      </c>
      <c r="S50" s="2">
        <f t="shared" si="249"/>
        <v>0</v>
      </c>
      <c r="T50" s="2">
        <f t="shared" si="249"/>
        <v>0</v>
      </c>
      <c r="U50" s="2">
        <f t="shared" si="249"/>
        <v>0</v>
      </c>
      <c r="V50" s="2">
        <f t="shared" si="249"/>
        <v>0</v>
      </c>
      <c r="W50" s="2">
        <f t="shared" si="249"/>
        <v>0</v>
      </c>
      <c r="X50" s="2">
        <f t="shared" si="249"/>
        <v>0</v>
      </c>
    </row>
    <row r="51" spans="2:24" x14ac:dyDescent="0.15">
      <c r="C51" s="2">
        <f t="shared" si="248"/>
        <v>0</v>
      </c>
      <c r="D51" s="2">
        <f t="shared" si="248"/>
        <v>0</v>
      </c>
      <c r="E51" s="2">
        <f t="shared" si="248"/>
        <v>0</v>
      </c>
      <c r="F51" s="2">
        <f t="shared" ref="F51" si="251">BowlSplit(F6,RunsConceded)</f>
        <v>0</v>
      </c>
      <c r="G51" s="2">
        <f t="shared" si="250"/>
        <v>20</v>
      </c>
      <c r="H51" s="2">
        <f t="shared" si="250"/>
        <v>0</v>
      </c>
      <c r="I51" s="2">
        <f t="shared" ref="I51:X51" si="252">BowlSplit(I6,RunsConceded)</f>
        <v>0</v>
      </c>
      <c r="J51" s="2">
        <f t="shared" si="252"/>
        <v>0</v>
      </c>
      <c r="K51" s="2">
        <f t="shared" si="252"/>
        <v>0</v>
      </c>
      <c r="L51" s="2">
        <f t="shared" si="252"/>
        <v>0</v>
      </c>
      <c r="M51" s="2">
        <f t="shared" si="252"/>
        <v>0</v>
      </c>
      <c r="N51" s="2">
        <f t="shared" si="252"/>
        <v>0</v>
      </c>
      <c r="O51" s="2">
        <f t="shared" si="252"/>
        <v>0</v>
      </c>
      <c r="P51" s="2">
        <f t="shared" si="252"/>
        <v>0</v>
      </c>
      <c r="Q51" s="2">
        <f t="shared" si="252"/>
        <v>0</v>
      </c>
      <c r="R51" s="2">
        <f t="shared" si="252"/>
        <v>0</v>
      </c>
      <c r="S51" s="2">
        <f t="shared" si="252"/>
        <v>0</v>
      </c>
      <c r="T51" s="2">
        <f t="shared" si="252"/>
        <v>0</v>
      </c>
      <c r="U51" s="2">
        <f t="shared" si="252"/>
        <v>0</v>
      </c>
      <c r="V51" s="2">
        <f t="shared" si="252"/>
        <v>0</v>
      </c>
      <c r="W51" s="2">
        <f t="shared" si="252"/>
        <v>0</v>
      </c>
      <c r="X51" s="2">
        <f t="shared" si="252"/>
        <v>0</v>
      </c>
    </row>
    <row r="52" spans="2:24" x14ac:dyDescent="0.15">
      <c r="C52" s="2">
        <f t="shared" si="248"/>
        <v>0</v>
      </c>
      <c r="D52" s="2">
        <f t="shared" si="248"/>
        <v>0</v>
      </c>
      <c r="E52" s="2">
        <f t="shared" si="248"/>
        <v>0</v>
      </c>
      <c r="F52" s="2">
        <f t="shared" ref="F52" si="253">BowlSplit(F7,RunsConceded)</f>
        <v>0</v>
      </c>
      <c r="G52" s="2">
        <f t="shared" si="250"/>
        <v>0</v>
      </c>
      <c r="H52" s="2">
        <f t="shared" si="250"/>
        <v>0</v>
      </c>
      <c r="I52" s="2">
        <f t="shared" ref="I52:X52" si="254">BowlSplit(I7,RunsConceded)</f>
        <v>0</v>
      </c>
      <c r="J52" s="2">
        <f t="shared" si="254"/>
        <v>0</v>
      </c>
      <c r="K52" s="2">
        <f t="shared" si="254"/>
        <v>0</v>
      </c>
      <c r="L52" s="2">
        <f t="shared" si="254"/>
        <v>0</v>
      </c>
      <c r="M52" s="2">
        <f t="shared" si="254"/>
        <v>0</v>
      </c>
      <c r="N52" s="2">
        <f t="shared" si="254"/>
        <v>18</v>
      </c>
      <c r="O52" s="2">
        <f t="shared" si="254"/>
        <v>0</v>
      </c>
      <c r="P52" s="2">
        <f t="shared" si="254"/>
        <v>0</v>
      </c>
      <c r="Q52" s="2">
        <f t="shared" si="254"/>
        <v>0</v>
      </c>
      <c r="R52" s="2">
        <f t="shared" si="254"/>
        <v>0</v>
      </c>
      <c r="S52" s="2">
        <f t="shared" si="254"/>
        <v>0</v>
      </c>
      <c r="T52" s="2">
        <f t="shared" si="254"/>
        <v>0</v>
      </c>
      <c r="U52" s="2">
        <f t="shared" si="254"/>
        <v>0</v>
      </c>
      <c r="V52" s="2">
        <f t="shared" si="254"/>
        <v>0</v>
      </c>
      <c r="W52" s="2">
        <f t="shared" si="254"/>
        <v>0</v>
      </c>
      <c r="X52" s="2">
        <f t="shared" si="254"/>
        <v>0</v>
      </c>
    </row>
    <row r="53" spans="2:24" x14ac:dyDescent="0.15">
      <c r="C53" s="2">
        <f t="shared" si="248"/>
        <v>11</v>
      </c>
      <c r="D53" s="2">
        <f t="shared" si="248"/>
        <v>0</v>
      </c>
      <c r="E53" s="2">
        <f t="shared" si="248"/>
        <v>0</v>
      </c>
      <c r="F53" s="2">
        <f t="shared" ref="F53" si="255">BowlSplit(F8,RunsConceded)</f>
        <v>0</v>
      </c>
      <c r="G53" s="2">
        <f t="shared" si="250"/>
        <v>0</v>
      </c>
      <c r="H53" s="2">
        <f t="shared" si="250"/>
        <v>19</v>
      </c>
      <c r="I53" s="2">
        <f t="shared" ref="I53:X53" si="256">BowlSplit(I8,RunsConceded)</f>
        <v>19</v>
      </c>
      <c r="J53" s="2">
        <f t="shared" si="256"/>
        <v>0</v>
      </c>
      <c r="K53" s="2">
        <f t="shared" si="256"/>
        <v>0</v>
      </c>
      <c r="L53" s="2">
        <f t="shared" si="256"/>
        <v>0</v>
      </c>
      <c r="M53" s="2">
        <f t="shared" si="256"/>
        <v>0</v>
      </c>
      <c r="N53" s="2">
        <f t="shared" si="256"/>
        <v>0</v>
      </c>
      <c r="O53" s="2">
        <f t="shared" si="256"/>
        <v>0</v>
      </c>
      <c r="P53" s="2">
        <f t="shared" si="256"/>
        <v>0</v>
      </c>
      <c r="Q53" s="2">
        <f t="shared" si="256"/>
        <v>0</v>
      </c>
      <c r="R53" s="2">
        <f t="shared" si="256"/>
        <v>0</v>
      </c>
      <c r="S53" s="2">
        <f t="shared" si="256"/>
        <v>0</v>
      </c>
      <c r="T53" s="2">
        <f t="shared" si="256"/>
        <v>0</v>
      </c>
      <c r="U53" s="2">
        <f t="shared" si="256"/>
        <v>0</v>
      </c>
      <c r="V53" s="2">
        <f t="shared" si="256"/>
        <v>0</v>
      </c>
      <c r="W53" s="2">
        <f t="shared" si="256"/>
        <v>0</v>
      </c>
      <c r="X53" s="2">
        <f t="shared" si="256"/>
        <v>0</v>
      </c>
    </row>
    <row r="54" spans="2:24" x14ac:dyDescent="0.15">
      <c r="C54" s="2">
        <f t="shared" si="248"/>
        <v>0</v>
      </c>
      <c r="D54" s="2">
        <f t="shared" si="248"/>
        <v>15</v>
      </c>
      <c r="E54" s="2">
        <f t="shared" si="248"/>
        <v>0</v>
      </c>
      <c r="F54" s="2">
        <f t="shared" ref="F54" si="257">BowlSplit(F9,RunsConceded)</f>
        <v>0</v>
      </c>
      <c r="G54" s="2">
        <f t="shared" si="250"/>
        <v>10</v>
      </c>
      <c r="H54" s="2">
        <f t="shared" si="250"/>
        <v>22</v>
      </c>
      <c r="I54" s="2">
        <f t="shared" ref="I54:X54" si="258">BowlSplit(I9,RunsConceded)</f>
        <v>22</v>
      </c>
      <c r="J54" s="2">
        <f t="shared" si="258"/>
        <v>19</v>
      </c>
      <c r="K54" s="2">
        <f t="shared" si="258"/>
        <v>0</v>
      </c>
      <c r="L54" s="2">
        <f t="shared" si="258"/>
        <v>0</v>
      </c>
      <c r="M54" s="2">
        <f t="shared" si="258"/>
        <v>43</v>
      </c>
      <c r="N54" s="2">
        <f t="shared" si="258"/>
        <v>44</v>
      </c>
      <c r="O54" s="2">
        <f t="shared" si="258"/>
        <v>29</v>
      </c>
      <c r="P54" s="2">
        <f t="shared" si="258"/>
        <v>0</v>
      </c>
      <c r="Q54" s="2">
        <f t="shared" si="258"/>
        <v>0</v>
      </c>
      <c r="R54" s="2">
        <f t="shared" si="258"/>
        <v>0</v>
      </c>
      <c r="S54" s="2">
        <f t="shared" si="258"/>
        <v>32</v>
      </c>
      <c r="T54" s="2">
        <f t="shared" si="258"/>
        <v>0</v>
      </c>
      <c r="U54" s="2">
        <f t="shared" si="258"/>
        <v>0</v>
      </c>
      <c r="V54" s="2">
        <f t="shared" si="258"/>
        <v>0</v>
      </c>
      <c r="W54" s="2">
        <f t="shared" si="258"/>
        <v>0</v>
      </c>
      <c r="X54" s="2">
        <f t="shared" si="258"/>
        <v>0</v>
      </c>
    </row>
    <row r="55" spans="2:24" x14ac:dyDescent="0.15">
      <c r="C55" s="2">
        <f t="shared" si="248"/>
        <v>18</v>
      </c>
      <c r="D55" s="2">
        <f t="shared" si="248"/>
        <v>21</v>
      </c>
      <c r="E55" s="2">
        <f t="shared" si="248"/>
        <v>0</v>
      </c>
      <c r="F55" s="2">
        <f t="shared" ref="F55" si="259">BowlSplit(F10,RunsConceded)</f>
        <v>24</v>
      </c>
      <c r="G55" s="2">
        <f t="shared" si="250"/>
        <v>0</v>
      </c>
      <c r="H55" s="2">
        <f t="shared" si="250"/>
        <v>0</v>
      </c>
      <c r="I55" s="2">
        <f t="shared" ref="I55:X55" si="260">BowlSplit(I10,RunsConceded)</f>
        <v>0</v>
      </c>
      <c r="J55" s="2">
        <f t="shared" si="260"/>
        <v>0</v>
      </c>
      <c r="K55" s="2">
        <f t="shared" si="260"/>
        <v>0</v>
      </c>
      <c r="L55" s="2">
        <f t="shared" si="260"/>
        <v>0</v>
      </c>
      <c r="M55" s="2">
        <f t="shared" si="260"/>
        <v>0</v>
      </c>
      <c r="N55" s="2">
        <f t="shared" si="260"/>
        <v>0</v>
      </c>
      <c r="O55" s="2">
        <f t="shared" si="260"/>
        <v>0</v>
      </c>
      <c r="P55" s="2">
        <f t="shared" si="260"/>
        <v>0</v>
      </c>
      <c r="Q55" s="2">
        <f t="shared" si="260"/>
        <v>0</v>
      </c>
      <c r="R55" s="2">
        <f t="shared" si="260"/>
        <v>0</v>
      </c>
      <c r="S55" s="2">
        <f t="shared" si="260"/>
        <v>0</v>
      </c>
      <c r="T55" s="2">
        <f t="shared" si="260"/>
        <v>0</v>
      </c>
      <c r="U55" s="2">
        <f t="shared" si="260"/>
        <v>0</v>
      </c>
      <c r="V55" s="2">
        <f t="shared" si="260"/>
        <v>0</v>
      </c>
      <c r="W55" s="2">
        <f t="shared" si="260"/>
        <v>0</v>
      </c>
      <c r="X55" s="2">
        <f t="shared" si="260"/>
        <v>0</v>
      </c>
    </row>
    <row r="56" spans="2:24" x14ac:dyDescent="0.15">
      <c r="C56" s="2">
        <f t="shared" si="248"/>
        <v>0</v>
      </c>
      <c r="D56" s="2">
        <f t="shared" si="248"/>
        <v>0</v>
      </c>
      <c r="E56" s="2">
        <f t="shared" si="248"/>
        <v>0</v>
      </c>
      <c r="F56" s="2">
        <f t="shared" ref="F56" si="261">BowlSplit(F11,RunsConceded)</f>
        <v>0</v>
      </c>
      <c r="G56" s="2">
        <f t="shared" si="250"/>
        <v>0</v>
      </c>
      <c r="H56" s="2">
        <f t="shared" si="250"/>
        <v>0</v>
      </c>
      <c r="I56" s="2">
        <f t="shared" ref="I56:X56" si="262">BowlSplit(I11,RunsConceded)</f>
        <v>0</v>
      </c>
      <c r="J56" s="2">
        <f t="shared" si="262"/>
        <v>0</v>
      </c>
      <c r="K56" s="2">
        <f t="shared" si="262"/>
        <v>0</v>
      </c>
      <c r="L56" s="2">
        <f t="shared" si="262"/>
        <v>0</v>
      </c>
      <c r="M56" s="2">
        <f t="shared" si="262"/>
        <v>0</v>
      </c>
      <c r="N56" s="2">
        <f t="shared" si="262"/>
        <v>0</v>
      </c>
      <c r="O56" s="2">
        <f t="shared" si="262"/>
        <v>0</v>
      </c>
      <c r="P56" s="2">
        <f t="shared" si="262"/>
        <v>0</v>
      </c>
      <c r="Q56" s="2">
        <f t="shared" si="262"/>
        <v>0</v>
      </c>
      <c r="R56" s="2">
        <f t="shared" si="262"/>
        <v>0</v>
      </c>
      <c r="S56" s="2">
        <f t="shared" si="262"/>
        <v>0</v>
      </c>
      <c r="T56" s="2">
        <f t="shared" si="262"/>
        <v>0</v>
      </c>
      <c r="U56" s="2">
        <f t="shared" si="262"/>
        <v>0</v>
      </c>
      <c r="V56" s="2">
        <f t="shared" si="262"/>
        <v>0</v>
      </c>
      <c r="W56" s="2">
        <f t="shared" si="262"/>
        <v>0</v>
      </c>
      <c r="X56" s="2">
        <f t="shared" si="262"/>
        <v>0</v>
      </c>
    </row>
    <row r="57" spans="2:24" x14ac:dyDescent="0.15">
      <c r="C57" s="2">
        <f t="shared" si="248"/>
        <v>29</v>
      </c>
      <c r="D57" s="2">
        <f t="shared" si="248"/>
        <v>0</v>
      </c>
      <c r="E57" s="2">
        <f t="shared" si="248"/>
        <v>0</v>
      </c>
      <c r="F57" s="2">
        <f t="shared" ref="F57" si="263">BowlSplit(F12,RunsConceded)</f>
        <v>0</v>
      </c>
      <c r="G57" s="2">
        <f t="shared" si="250"/>
        <v>0</v>
      </c>
      <c r="H57" s="2">
        <f t="shared" si="250"/>
        <v>0</v>
      </c>
      <c r="I57" s="2">
        <f t="shared" ref="I57:X57" si="264">BowlSplit(I12,RunsConceded)</f>
        <v>0</v>
      </c>
      <c r="J57" s="2">
        <f t="shared" si="264"/>
        <v>0</v>
      </c>
      <c r="K57" s="2">
        <f t="shared" si="264"/>
        <v>0</v>
      </c>
      <c r="L57" s="2">
        <f t="shared" si="264"/>
        <v>0</v>
      </c>
      <c r="M57" s="2">
        <f t="shared" si="264"/>
        <v>0</v>
      </c>
      <c r="N57" s="2">
        <f t="shared" si="264"/>
        <v>0</v>
      </c>
      <c r="O57" s="2">
        <f t="shared" si="264"/>
        <v>0</v>
      </c>
      <c r="P57" s="2">
        <f t="shared" si="264"/>
        <v>0</v>
      </c>
      <c r="Q57" s="2">
        <f t="shared" si="264"/>
        <v>4</v>
      </c>
      <c r="R57" s="2">
        <f t="shared" si="264"/>
        <v>0</v>
      </c>
      <c r="S57" s="2">
        <f t="shared" si="264"/>
        <v>0</v>
      </c>
      <c r="T57" s="2">
        <f t="shared" si="264"/>
        <v>0</v>
      </c>
      <c r="U57" s="2">
        <f t="shared" si="264"/>
        <v>0</v>
      </c>
      <c r="V57" s="2">
        <f t="shared" si="264"/>
        <v>0</v>
      </c>
      <c r="W57" s="2">
        <f t="shared" si="264"/>
        <v>0</v>
      </c>
      <c r="X57" s="2">
        <f t="shared" si="264"/>
        <v>0</v>
      </c>
    </row>
    <row r="58" spans="2:24" x14ac:dyDescent="0.15">
      <c r="C58" s="2">
        <f t="shared" si="248"/>
        <v>0</v>
      </c>
      <c r="D58" s="2">
        <f t="shared" si="248"/>
        <v>0</v>
      </c>
      <c r="E58" s="2">
        <f t="shared" si="248"/>
        <v>0</v>
      </c>
      <c r="F58" s="2">
        <f t="shared" ref="F58" si="265">BowlSplit(F13,RunsConceded)</f>
        <v>0</v>
      </c>
      <c r="G58" s="2">
        <f t="shared" si="250"/>
        <v>0</v>
      </c>
      <c r="H58" s="2">
        <f t="shared" si="250"/>
        <v>0</v>
      </c>
      <c r="I58" s="2">
        <f t="shared" ref="I58:X58" si="266">BowlSplit(I13,RunsConceded)</f>
        <v>0</v>
      </c>
      <c r="J58" s="2">
        <f t="shared" si="266"/>
        <v>13</v>
      </c>
      <c r="K58" s="2">
        <f t="shared" si="266"/>
        <v>0</v>
      </c>
      <c r="L58" s="2">
        <f t="shared" si="266"/>
        <v>0</v>
      </c>
      <c r="M58" s="2">
        <f t="shared" si="266"/>
        <v>0</v>
      </c>
      <c r="N58" s="2">
        <f t="shared" si="266"/>
        <v>0</v>
      </c>
      <c r="O58" s="2">
        <f t="shared" si="266"/>
        <v>0</v>
      </c>
      <c r="P58" s="2">
        <f t="shared" si="266"/>
        <v>0</v>
      </c>
      <c r="Q58" s="2">
        <f t="shared" si="266"/>
        <v>0</v>
      </c>
      <c r="R58" s="2">
        <f t="shared" si="266"/>
        <v>0</v>
      </c>
      <c r="S58" s="2">
        <f t="shared" si="266"/>
        <v>0</v>
      </c>
      <c r="T58" s="2">
        <f t="shared" si="266"/>
        <v>0</v>
      </c>
      <c r="U58" s="2">
        <f t="shared" si="266"/>
        <v>0</v>
      </c>
      <c r="V58" s="2">
        <f t="shared" si="266"/>
        <v>0</v>
      </c>
      <c r="W58" s="2">
        <f t="shared" si="266"/>
        <v>0</v>
      </c>
      <c r="X58" s="2">
        <f t="shared" si="266"/>
        <v>0</v>
      </c>
    </row>
    <row r="59" spans="2:24" x14ac:dyDescent="0.15">
      <c r="C59" s="2">
        <f t="shared" si="248"/>
        <v>0</v>
      </c>
      <c r="D59" s="2">
        <f t="shared" si="248"/>
        <v>0</v>
      </c>
      <c r="E59" s="2">
        <f t="shared" si="248"/>
        <v>0</v>
      </c>
      <c r="F59" s="2">
        <f t="shared" ref="F59" si="267">BowlSplit(F14,RunsConceded)</f>
        <v>0</v>
      </c>
      <c r="G59" s="2">
        <f t="shared" si="250"/>
        <v>0</v>
      </c>
      <c r="H59" s="2">
        <f t="shared" si="250"/>
        <v>0</v>
      </c>
      <c r="I59" s="2">
        <f t="shared" ref="I59:X59" si="268">BowlSplit(I14,RunsConceded)</f>
        <v>0</v>
      </c>
      <c r="J59" s="2">
        <f t="shared" si="268"/>
        <v>0</v>
      </c>
      <c r="K59" s="2">
        <f t="shared" si="268"/>
        <v>0</v>
      </c>
      <c r="L59" s="2">
        <f t="shared" si="268"/>
        <v>0</v>
      </c>
      <c r="M59" s="2">
        <f t="shared" si="268"/>
        <v>0</v>
      </c>
      <c r="N59" s="2">
        <f t="shared" si="268"/>
        <v>0</v>
      </c>
      <c r="O59" s="2">
        <f t="shared" si="268"/>
        <v>0</v>
      </c>
      <c r="P59" s="2">
        <f t="shared" si="268"/>
        <v>18</v>
      </c>
      <c r="Q59" s="2">
        <f t="shared" si="268"/>
        <v>0</v>
      </c>
      <c r="R59" s="2">
        <f t="shared" si="268"/>
        <v>0</v>
      </c>
      <c r="S59" s="2">
        <f t="shared" si="268"/>
        <v>0</v>
      </c>
      <c r="T59" s="2">
        <f t="shared" si="268"/>
        <v>0</v>
      </c>
      <c r="U59" s="2">
        <f t="shared" si="268"/>
        <v>0</v>
      </c>
      <c r="V59" s="2">
        <f t="shared" si="268"/>
        <v>0</v>
      </c>
      <c r="W59" s="2">
        <f t="shared" si="268"/>
        <v>0</v>
      </c>
      <c r="X59" s="2">
        <f t="shared" si="268"/>
        <v>0</v>
      </c>
    </row>
    <row r="60" spans="2:24" x14ac:dyDescent="0.15">
      <c r="C60" s="2">
        <f t="shared" si="248"/>
        <v>0</v>
      </c>
      <c r="D60" s="2">
        <f t="shared" si="248"/>
        <v>0</v>
      </c>
      <c r="E60" s="2">
        <f t="shared" si="248"/>
        <v>0</v>
      </c>
      <c r="F60" s="2">
        <f t="shared" ref="F60" si="269">BowlSplit(F15,RunsConceded)</f>
        <v>0</v>
      </c>
      <c r="G60" s="2">
        <f t="shared" si="250"/>
        <v>0</v>
      </c>
      <c r="H60" s="2">
        <f t="shared" si="250"/>
        <v>0</v>
      </c>
      <c r="I60" s="2">
        <f t="shared" ref="I60:X60" si="270">BowlSplit(I15,RunsConceded)</f>
        <v>0</v>
      </c>
      <c r="J60" s="2">
        <f t="shared" si="270"/>
        <v>0</v>
      </c>
      <c r="K60" s="2">
        <f t="shared" si="270"/>
        <v>0</v>
      </c>
      <c r="L60" s="2">
        <f t="shared" si="270"/>
        <v>0</v>
      </c>
      <c r="M60" s="2">
        <f t="shared" si="270"/>
        <v>38</v>
      </c>
      <c r="N60" s="2">
        <f t="shared" si="270"/>
        <v>0</v>
      </c>
      <c r="O60" s="2">
        <f t="shared" si="270"/>
        <v>0</v>
      </c>
      <c r="P60" s="2">
        <f t="shared" si="270"/>
        <v>0</v>
      </c>
      <c r="Q60" s="2">
        <f t="shared" si="270"/>
        <v>0</v>
      </c>
      <c r="R60" s="2">
        <f t="shared" si="270"/>
        <v>0</v>
      </c>
      <c r="S60" s="2">
        <f t="shared" si="270"/>
        <v>0</v>
      </c>
      <c r="T60" s="2">
        <f t="shared" si="270"/>
        <v>0</v>
      </c>
      <c r="U60" s="2">
        <f t="shared" si="270"/>
        <v>0</v>
      </c>
      <c r="V60" s="2">
        <f t="shared" si="270"/>
        <v>0</v>
      </c>
      <c r="W60" s="2">
        <f t="shared" si="270"/>
        <v>0</v>
      </c>
      <c r="X60" s="2">
        <f t="shared" si="270"/>
        <v>0</v>
      </c>
    </row>
    <row r="61" spans="2:24" x14ac:dyDescent="0.15">
      <c r="C61" s="2">
        <f t="shared" si="248"/>
        <v>0</v>
      </c>
      <c r="D61" s="2">
        <f t="shared" si="248"/>
        <v>10</v>
      </c>
      <c r="E61" s="2">
        <f t="shared" si="248"/>
        <v>0</v>
      </c>
      <c r="F61" s="2">
        <f t="shared" ref="F61" si="271">BowlSplit(F16,RunsConceded)</f>
        <v>0</v>
      </c>
      <c r="G61" s="2">
        <f t="shared" si="250"/>
        <v>0</v>
      </c>
      <c r="H61" s="2">
        <f t="shared" si="250"/>
        <v>0</v>
      </c>
      <c r="I61" s="2">
        <f t="shared" ref="I61:X61" si="272">BowlSplit(I16,RunsConceded)</f>
        <v>0</v>
      </c>
      <c r="J61" s="2">
        <f t="shared" si="272"/>
        <v>0</v>
      </c>
      <c r="K61" s="2">
        <f t="shared" si="272"/>
        <v>0</v>
      </c>
      <c r="L61" s="2">
        <f t="shared" si="272"/>
        <v>0</v>
      </c>
      <c r="M61" s="2">
        <f t="shared" si="272"/>
        <v>0</v>
      </c>
      <c r="N61" s="2">
        <f t="shared" si="272"/>
        <v>0</v>
      </c>
      <c r="O61" s="2">
        <f t="shared" si="272"/>
        <v>0</v>
      </c>
      <c r="P61" s="2">
        <f t="shared" si="272"/>
        <v>0</v>
      </c>
      <c r="Q61" s="2">
        <f t="shared" si="272"/>
        <v>0</v>
      </c>
      <c r="R61" s="2">
        <f t="shared" si="272"/>
        <v>0</v>
      </c>
      <c r="S61" s="2">
        <f t="shared" si="272"/>
        <v>0</v>
      </c>
      <c r="T61" s="2">
        <f t="shared" si="272"/>
        <v>0</v>
      </c>
      <c r="U61" s="2">
        <f t="shared" si="272"/>
        <v>0</v>
      </c>
      <c r="V61" s="2">
        <f t="shared" si="272"/>
        <v>0</v>
      </c>
      <c r="W61" s="2">
        <f t="shared" si="272"/>
        <v>0</v>
      </c>
      <c r="X61" s="2">
        <f t="shared" si="272"/>
        <v>0</v>
      </c>
    </row>
    <row r="62" spans="2:24" x14ac:dyDescent="0.15">
      <c r="C62" s="2">
        <f t="shared" si="248"/>
        <v>0</v>
      </c>
      <c r="D62" s="2">
        <f t="shared" si="248"/>
        <v>26</v>
      </c>
      <c r="E62" s="2">
        <f t="shared" si="248"/>
        <v>0</v>
      </c>
      <c r="F62" s="2">
        <f t="shared" ref="F62" si="273">BowlSplit(F17,RunsConceded)</f>
        <v>0</v>
      </c>
      <c r="G62" s="2">
        <f t="shared" si="250"/>
        <v>0</v>
      </c>
      <c r="H62" s="2">
        <f t="shared" si="250"/>
        <v>0</v>
      </c>
      <c r="I62" s="2">
        <f t="shared" ref="I62:X62" si="274">BowlSplit(I17,RunsConceded)</f>
        <v>0</v>
      </c>
      <c r="J62" s="2">
        <f t="shared" si="274"/>
        <v>0</v>
      </c>
      <c r="K62" s="2">
        <f t="shared" si="274"/>
        <v>0</v>
      </c>
      <c r="L62" s="2">
        <f t="shared" si="274"/>
        <v>0</v>
      </c>
      <c r="M62" s="2">
        <f t="shared" si="274"/>
        <v>0</v>
      </c>
      <c r="N62" s="2">
        <f t="shared" si="274"/>
        <v>0</v>
      </c>
      <c r="O62" s="2">
        <f t="shared" si="274"/>
        <v>0</v>
      </c>
      <c r="P62" s="2">
        <f t="shared" si="274"/>
        <v>0</v>
      </c>
      <c r="Q62" s="2">
        <f t="shared" si="274"/>
        <v>0</v>
      </c>
      <c r="R62" s="2">
        <f t="shared" si="274"/>
        <v>0</v>
      </c>
      <c r="S62" s="2">
        <f t="shared" si="274"/>
        <v>0</v>
      </c>
      <c r="T62" s="2">
        <f t="shared" si="274"/>
        <v>0</v>
      </c>
      <c r="U62" s="2">
        <f t="shared" si="274"/>
        <v>0</v>
      </c>
      <c r="V62" s="2">
        <f t="shared" si="274"/>
        <v>0</v>
      </c>
      <c r="W62" s="2">
        <f t="shared" si="274"/>
        <v>0</v>
      </c>
      <c r="X62" s="2">
        <f t="shared" si="274"/>
        <v>0</v>
      </c>
    </row>
    <row r="63" spans="2:24" x14ac:dyDescent="0.15">
      <c r="C63" s="2">
        <f t="shared" si="248"/>
        <v>0</v>
      </c>
      <c r="D63" s="2">
        <f t="shared" si="248"/>
        <v>0</v>
      </c>
      <c r="E63" s="2">
        <f t="shared" si="248"/>
        <v>0</v>
      </c>
      <c r="F63" s="2">
        <f t="shared" ref="F63" si="275">BowlSplit(F18,RunsConceded)</f>
        <v>0</v>
      </c>
      <c r="G63" s="2">
        <f t="shared" si="250"/>
        <v>0</v>
      </c>
      <c r="H63" s="2">
        <f t="shared" si="250"/>
        <v>0</v>
      </c>
      <c r="I63" s="2">
        <f t="shared" ref="I63:X63" si="276">BowlSplit(I18,RunsConceded)</f>
        <v>0</v>
      </c>
      <c r="J63" s="2">
        <f t="shared" si="276"/>
        <v>0</v>
      </c>
      <c r="K63" s="2">
        <f t="shared" si="276"/>
        <v>0</v>
      </c>
      <c r="L63" s="2">
        <f t="shared" si="276"/>
        <v>0</v>
      </c>
      <c r="M63" s="2">
        <f t="shared" si="276"/>
        <v>0</v>
      </c>
      <c r="N63" s="2">
        <f t="shared" si="276"/>
        <v>0</v>
      </c>
      <c r="O63" s="2">
        <f t="shared" si="276"/>
        <v>0</v>
      </c>
      <c r="P63" s="2">
        <f t="shared" si="276"/>
        <v>0</v>
      </c>
      <c r="Q63" s="2">
        <f t="shared" si="276"/>
        <v>31</v>
      </c>
      <c r="R63" s="2">
        <f t="shared" si="276"/>
        <v>0</v>
      </c>
      <c r="S63" s="2">
        <f t="shared" si="276"/>
        <v>0</v>
      </c>
      <c r="T63" s="2">
        <f t="shared" si="276"/>
        <v>0</v>
      </c>
      <c r="U63" s="2">
        <f t="shared" si="276"/>
        <v>0</v>
      </c>
      <c r="V63" s="2">
        <f t="shared" si="276"/>
        <v>0</v>
      </c>
      <c r="W63" s="2">
        <f t="shared" si="276"/>
        <v>0</v>
      </c>
      <c r="X63" s="2">
        <f t="shared" si="276"/>
        <v>0</v>
      </c>
    </row>
    <row r="64" spans="2:24" x14ac:dyDescent="0.15">
      <c r="C64" s="2">
        <f t="shared" si="248"/>
        <v>0</v>
      </c>
      <c r="D64" s="2">
        <f t="shared" si="248"/>
        <v>0</v>
      </c>
      <c r="E64" s="2">
        <f t="shared" si="248"/>
        <v>0</v>
      </c>
      <c r="F64" s="2">
        <f t="shared" ref="F64" si="277">BowlSplit(F19,RunsConceded)</f>
        <v>0</v>
      </c>
      <c r="G64" s="2">
        <f t="shared" si="250"/>
        <v>0</v>
      </c>
      <c r="H64" s="2">
        <f t="shared" si="250"/>
        <v>0</v>
      </c>
      <c r="I64" s="2">
        <f t="shared" ref="I64:X64" si="278">BowlSplit(I19,RunsConceded)</f>
        <v>0</v>
      </c>
      <c r="J64" s="2">
        <f t="shared" si="278"/>
        <v>0</v>
      </c>
      <c r="K64" s="2">
        <f t="shared" si="278"/>
        <v>0</v>
      </c>
      <c r="L64" s="2">
        <f t="shared" si="278"/>
        <v>0</v>
      </c>
      <c r="M64" s="2">
        <f t="shared" si="278"/>
        <v>0</v>
      </c>
      <c r="N64" s="2">
        <f t="shared" si="278"/>
        <v>0</v>
      </c>
      <c r="O64" s="2">
        <f t="shared" si="278"/>
        <v>0</v>
      </c>
      <c r="P64" s="2">
        <f t="shared" si="278"/>
        <v>0</v>
      </c>
      <c r="Q64" s="2">
        <f t="shared" si="278"/>
        <v>0</v>
      </c>
      <c r="R64" s="2">
        <f t="shared" si="278"/>
        <v>0</v>
      </c>
      <c r="S64" s="2">
        <f t="shared" si="278"/>
        <v>17</v>
      </c>
      <c r="T64" s="2">
        <f t="shared" si="278"/>
        <v>0</v>
      </c>
      <c r="U64" s="2">
        <f t="shared" si="278"/>
        <v>0</v>
      </c>
      <c r="V64" s="2">
        <f t="shared" si="278"/>
        <v>0</v>
      </c>
      <c r="W64" s="2">
        <f t="shared" si="278"/>
        <v>0</v>
      </c>
      <c r="X64" s="2">
        <f t="shared" si="278"/>
        <v>0</v>
      </c>
    </row>
    <row r="65" spans="3:24" x14ac:dyDescent="0.15">
      <c r="C65" s="2">
        <f t="shared" si="248"/>
        <v>0</v>
      </c>
      <c r="D65" s="2">
        <f t="shared" si="248"/>
        <v>0</v>
      </c>
      <c r="E65" s="2">
        <f t="shared" si="248"/>
        <v>0</v>
      </c>
      <c r="F65" s="2">
        <f t="shared" ref="F65" si="279">BowlSplit(F20,RunsConceded)</f>
        <v>0</v>
      </c>
      <c r="G65" s="2">
        <f t="shared" si="250"/>
        <v>0</v>
      </c>
      <c r="H65" s="2">
        <f t="shared" si="250"/>
        <v>0</v>
      </c>
      <c r="I65" s="2">
        <f t="shared" ref="I65:X65" si="280">BowlSplit(I20,RunsConceded)</f>
        <v>0</v>
      </c>
      <c r="J65" s="2">
        <f t="shared" si="280"/>
        <v>0</v>
      </c>
      <c r="K65" s="2">
        <f t="shared" si="280"/>
        <v>0</v>
      </c>
      <c r="L65" s="2">
        <f t="shared" si="280"/>
        <v>0</v>
      </c>
      <c r="M65" s="2">
        <f t="shared" si="280"/>
        <v>0</v>
      </c>
      <c r="N65" s="2">
        <f t="shared" si="280"/>
        <v>0</v>
      </c>
      <c r="O65" s="2">
        <f t="shared" si="280"/>
        <v>0</v>
      </c>
      <c r="P65" s="2">
        <f t="shared" si="280"/>
        <v>29</v>
      </c>
      <c r="Q65" s="2">
        <f t="shared" si="280"/>
        <v>0</v>
      </c>
      <c r="R65" s="2">
        <f t="shared" si="280"/>
        <v>0</v>
      </c>
      <c r="S65" s="2">
        <f t="shared" si="280"/>
        <v>0</v>
      </c>
      <c r="T65" s="2">
        <f t="shared" si="280"/>
        <v>0</v>
      </c>
      <c r="U65" s="2">
        <f t="shared" si="280"/>
        <v>0</v>
      </c>
      <c r="V65" s="2">
        <f t="shared" si="280"/>
        <v>0</v>
      </c>
      <c r="W65" s="2">
        <f t="shared" si="280"/>
        <v>0</v>
      </c>
      <c r="X65" s="2">
        <f t="shared" si="280"/>
        <v>0</v>
      </c>
    </row>
    <row r="66" spans="3:24" x14ac:dyDescent="0.15">
      <c r="C66" s="2">
        <f t="shared" si="248"/>
        <v>0</v>
      </c>
      <c r="D66" s="2">
        <f t="shared" si="248"/>
        <v>0</v>
      </c>
      <c r="E66" s="2">
        <f t="shared" si="248"/>
        <v>31</v>
      </c>
      <c r="F66" s="2">
        <f t="shared" ref="F66" si="281">BowlSplit(F21,RunsConceded)</f>
        <v>22</v>
      </c>
      <c r="G66" s="2">
        <f t="shared" si="250"/>
        <v>0</v>
      </c>
      <c r="H66" s="2">
        <f t="shared" si="250"/>
        <v>0</v>
      </c>
      <c r="I66" s="2">
        <f t="shared" ref="I66:X66" si="282">BowlSplit(I21,RunsConceded)</f>
        <v>0</v>
      </c>
      <c r="J66" s="2">
        <f t="shared" si="282"/>
        <v>0</v>
      </c>
      <c r="K66" s="2">
        <f t="shared" si="282"/>
        <v>0</v>
      </c>
      <c r="L66" s="2">
        <f t="shared" si="282"/>
        <v>0</v>
      </c>
      <c r="M66" s="2">
        <f t="shared" si="282"/>
        <v>46</v>
      </c>
      <c r="N66" s="2">
        <f t="shared" si="282"/>
        <v>0</v>
      </c>
      <c r="O66" s="2">
        <f t="shared" si="282"/>
        <v>26</v>
      </c>
      <c r="P66" s="2">
        <f t="shared" si="282"/>
        <v>13</v>
      </c>
      <c r="Q66" s="2">
        <f t="shared" si="282"/>
        <v>9</v>
      </c>
      <c r="R66" s="2">
        <f t="shared" si="282"/>
        <v>50</v>
      </c>
      <c r="S66" s="2">
        <f t="shared" si="282"/>
        <v>0</v>
      </c>
      <c r="T66" s="2">
        <f t="shared" si="282"/>
        <v>0</v>
      </c>
      <c r="U66" s="2">
        <f t="shared" si="282"/>
        <v>0</v>
      </c>
      <c r="V66" s="2">
        <f t="shared" si="282"/>
        <v>0</v>
      </c>
      <c r="W66" s="2">
        <f t="shared" si="282"/>
        <v>0</v>
      </c>
      <c r="X66" s="2">
        <f t="shared" si="282"/>
        <v>0</v>
      </c>
    </row>
    <row r="67" spans="3:24" x14ac:dyDescent="0.15">
      <c r="C67" s="2">
        <f t="shared" si="248"/>
        <v>15</v>
      </c>
      <c r="D67" s="2">
        <f t="shared" si="248"/>
        <v>7</v>
      </c>
      <c r="E67" s="2">
        <f t="shared" si="248"/>
        <v>0</v>
      </c>
      <c r="F67" s="2">
        <f t="shared" ref="F67" si="283">BowlSplit(F22,RunsConceded)</f>
        <v>25</v>
      </c>
      <c r="G67" s="2">
        <f t="shared" si="250"/>
        <v>18</v>
      </c>
      <c r="H67" s="2">
        <f t="shared" si="250"/>
        <v>28</v>
      </c>
      <c r="I67" s="2">
        <f t="shared" ref="I67:X67" si="284">BowlSplit(I22,RunsConceded)</f>
        <v>28</v>
      </c>
      <c r="J67" s="2">
        <f t="shared" si="284"/>
        <v>0</v>
      </c>
      <c r="K67" s="2">
        <f t="shared" si="284"/>
        <v>18</v>
      </c>
      <c r="L67" s="2">
        <f t="shared" si="284"/>
        <v>0</v>
      </c>
      <c r="M67" s="2">
        <f t="shared" si="284"/>
        <v>7</v>
      </c>
      <c r="N67" s="2">
        <f t="shared" si="284"/>
        <v>15</v>
      </c>
      <c r="O67" s="2">
        <f t="shared" si="284"/>
        <v>9</v>
      </c>
      <c r="P67" s="2">
        <f t="shared" si="284"/>
        <v>31</v>
      </c>
      <c r="Q67" s="2">
        <f t="shared" si="284"/>
        <v>0</v>
      </c>
      <c r="R67" s="2">
        <f t="shared" si="284"/>
        <v>31</v>
      </c>
      <c r="S67" s="2">
        <f t="shared" si="284"/>
        <v>0</v>
      </c>
      <c r="T67" s="2">
        <f t="shared" si="284"/>
        <v>0</v>
      </c>
      <c r="U67" s="2">
        <f t="shared" si="284"/>
        <v>0</v>
      </c>
      <c r="V67" s="2">
        <f t="shared" si="284"/>
        <v>0</v>
      </c>
      <c r="W67" s="2">
        <f t="shared" si="284"/>
        <v>0</v>
      </c>
      <c r="X67" s="2">
        <f t="shared" si="284"/>
        <v>0</v>
      </c>
    </row>
    <row r="68" spans="3:24" x14ac:dyDescent="0.15">
      <c r="C68" s="2">
        <f t="shared" si="248"/>
        <v>0</v>
      </c>
      <c r="D68" s="2">
        <f t="shared" si="248"/>
        <v>0</v>
      </c>
      <c r="E68" s="2">
        <f t="shared" si="248"/>
        <v>0</v>
      </c>
      <c r="F68" s="2">
        <f t="shared" ref="F68" si="285">BowlSplit(F23,RunsConceded)</f>
        <v>0</v>
      </c>
      <c r="G68" s="2">
        <f t="shared" si="250"/>
        <v>0</v>
      </c>
      <c r="H68" s="2">
        <f t="shared" si="250"/>
        <v>0</v>
      </c>
      <c r="I68" s="2">
        <f t="shared" ref="I68:X68" si="286">BowlSplit(I23,RunsConceded)</f>
        <v>0</v>
      </c>
      <c r="J68" s="2">
        <f t="shared" si="286"/>
        <v>0</v>
      </c>
      <c r="K68" s="2">
        <f t="shared" si="286"/>
        <v>0</v>
      </c>
      <c r="L68" s="2">
        <f t="shared" si="286"/>
        <v>0</v>
      </c>
      <c r="M68" s="2">
        <f t="shared" si="286"/>
        <v>0</v>
      </c>
      <c r="N68" s="2">
        <f t="shared" si="286"/>
        <v>0</v>
      </c>
      <c r="O68" s="2">
        <f t="shared" si="286"/>
        <v>0</v>
      </c>
      <c r="P68" s="2">
        <f t="shared" si="286"/>
        <v>0</v>
      </c>
      <c r="Q68" s="2">
        <f t="shared" si="286"/>
        <v>12</v>
      </c>
      <c r="R68" s="2">
        <f t="shared" si="286"/>
        <v>0</v>
      </c>
      <c r="S68" s="2">
        <f t="shared" si="286"/>
        <v>0</v>
      </c>
      <c r="T68" s="2">
        <f t="shared" si="286"/>
        <v>0</v>
      </c>
      <c r="U68" s="2">
        <f t="shared" si="286"/>
        <v>0</v>
      </c>
      <c r="V68" s="2">
        <f t="shared" si="286"/>
        <v>0</v>
      </c>
      <c r="W68" s="2">
        <f t="shared" si="286"/>
        <v>0</v>
      </c>
      <c r="X68" s="2">
        <f t="shared" si="286"/>
        <v>0</v>
      </c>
    </row>
    <row r="69" spans="3:24" x14ac:dyDescent="0.15">
      <c r="C69" s="2">
        <f t="shared" si="248"/>
        <v>0</v>
      </c>
      <c r="D69" s="2">
        <f t="shared" si="248"/>
        <v>0</v>
      </c>
      <c r="E69" s="2">
        <f t="shared" si="248"/>
        <v>0</v>
      </c>
      <c r="F69" s="2">
        <f t="shared" ref="F69" si="287">BowlSplit(F24,RunsConceded)</f>
        <v>0</v>
      </c>
      <c r="G69" s="2">
        <f t="shared" si="250"/>
        <v>0</v>
      </c>
      <c r="H69" s="2">
        <f t="shared" si="250"/>
        <v>0</v>
      </c>
      <c r="I69" s="2">
        <f t="shared" ref="I69:X69" si="288">BowlSplit(I24,RunsConceded)</f>
        <v>0</v>
      </c>
      <c r="J69" s="2">
        <f t="shared" si="288"/>
        <v>27</v>
      </c>
      <c r="K69" s="2">
        <f t="shared" si="288"/>
        <v>0</v>
      </c>
      <c r="L69" s="2">
        <f t="shared" si="288"/>
        <v>0</v>
      </c>
      <c r="M69" s="2">
        <f t="shared" si="288"/>
        <v>0</v>
      </c>
      <c r="N69" s="2">
        <f t="shared" si="288"/>
        <v>0</v>
      </c>
      <c r="O69" s="2">
        <f t="shared" si="288"/>
        <v>0</v>
      </c>
      <c r="P69" s="2">
        <f t="shared" si="288"/>
        <v>0</v>
      </c>
      <c r="Q69" s="2">
        <f t="shared" si="288"/>
        <v>0</v>
      </c>
      <c r="R69" s="2">
        <f t="shared" si="288"/>
        <v>0</v>
      </c>
      <c r="S69" s="2">
        <f t="shared" si="288"/>
        <v>0</v>
      </c>
      <c r="T69" s="2">
        <f t="shared" si="288"/>
        <v>0</v>
      </c>
      <c r="U69" s="2">
        <f t="shared" si="288"/>
        <v>0</v>
      </c>
      <c r="V69" s="2">
        <f t="shared" si="288"/>
        <v>0</v>
      </c>
      <c r="W69" s="2">
        <f t="shared" si="288"/>
        <v>0</v>
      </c>
      <c r="X69" s="2">
        <f t="shared" si="288"/>
        <v>0</v>
      </c>
    </row>
    <row r="70" spans="3:24" x14ac:dyDescent="0.15">
      <c r="C70" s="2">
        <f t="shared" ref="C70:E85" si="289">BowlSplit(C25,RunsConceded)</f>
        <v>0</v>
      </c>
      <c r="D70" s="2">
        <f t="shared" si="289"/>
        <v>0</v>
      </c>
      <c r="E70" s="2">
        <f t="shared" si="289"/>
        <v>0</v>
      </c>
      <c r="F70" s="2">
        <f t="shared" ref="F70" si="290">BowlSplit(F25,RunsConceded)</f>
        <v>0</v>
      </c>
      <c r="G70" s="2">
        <f t="shared" ref="G70:H85" si="291">BowlSplit(H25,RunsConceded)</f>
        <v>0</v>
      </c>
      <c r="H70" s="2">
        <f t="shared" si="291"/>
        <v>0</v>
      </c>
      <c r="I70" s="2">
        <f t="shared" ref="I70:X70" si="292">BowlSplit(I25,RunsConceded)</f>
        <v>0</v>
      </c>
      <c r="J70" s="2">
        <f t="shared" si="292"/>
        <v>0</v>
      </c>
      <c r="K70" s="2">
        <f t="shared" si="292"/>
        <v>23</v>
      </c>
      <c r="L70" s="2">
        <f t="shared" si="292"/>
        <v>0</v>
      </c>
      <c r="M70" s="2">
        <f t="shared" si="292"/>
        <v>0</v>
      </c>
      <c r="N70" s="2">
        <f t="shared" si="292"/>
        <v>0</v>
      </c>
      <c r="O70" s="2">
        <f t="shared" si="292"/>
        <v>19</v>
      </c>
      <c r="P70" s="2">
        <f t="shared" si="292"/>
        <v>0</v>
      </c>
      <c r="Q70" s="2">
        <f t="shared" si="292"/>
        <v>16</v>
      </c>
      <c r="R70" s="2">
        <f t="shared" si="292"/>
        <v>0</v>
      </c>
      <c r="S70" s="2">
        <f t="shared" si="292"/>
        <v>0</v>
      </c>
      <c r="T70" s="2">
        <f t="shared" si="292"/>
        <v>0</v>
      </c>
      <c r="U70" s="2">
        <f t="shared" si="292"/>
        <v>0</v>
      </c>
      <c r="V70" s="2">
        <f t="shared" si="292"/>
        <v>0</v>
      </c>
      <c r="W70" s="2">
        <f t="shared" si="292"/>
        <v>0</v>
      </c>
      <c r="X70" s="2">
        <f t="shared" si="292"/>
        <v>0</v>
      </c>
    </row>
    <row r="71" spans="3:24" x14ac:dyDescent="0.15">
      <c r="C71" s="2">
        <f t="shared" si="289"/>
        <v>0</v>
      </c>
      <c r="D71" s="2">
        <f t="shared" si="289"/>
        <v>0</v>
      </c>
      <c r="E71" s="2">
        <f t="shared" si="289"/>
        <v>0</v>
      </c>
      <c r="F71" s="2">
        <f t="shared" ref="F71" si="293">BowlSplit(F26,RunsConceded)</f>
        <v>0</v>
      </c>
      <c r="G71" s="2">
        <f t="shared" si="291"/>
        <v>0</v>
      </c>
      <c r="H71" s="2">
        <f t="shared" si="291"/>
        <v>0</v>
      </c>
      <c r="I71" s="2">
        <f t="shared" ref="I71:X71" si="294">BowlSplit(I26,RunsConceded)</f>
        <v>0</v>
      </c>
      <c r="J71" s="2">
        <f t="shared" si="294"/>
        <v>0</v>
      </c>
      <c r="K71" s="2">
        <f t="shared" si="294"/>
        <v>0</v>
      </c>
      <c r="L71" s="2">
        <f t="shared" si="294"/>
        <v>0</v>
      </c>
      <c r="M71" s="2">
        <f t="shared" si="294"/>
        <v>0</v>
      </c>
      <c r="N71" s="2">
        <f t="shared" si="294"/>
        <v>0</v>
      </c>
      <c r="O71" s="2">
        <f t="shared" si="294"/>
        <v>0</v>
      </c>
      <c r="P71" s="2">
        <f t="shared" si="294"/>
        <v>0</v>
      </c>
      <c r="Q71" s="2">
        <f t="shared" si="294"/>
        <v>0</v>
      </c>
      <c r="R71" s="2">
        <f t="shared" si="294"/>
        <v>0</v>
      </c>
      <c r="S71" s="2">
        <f t="shared" si="294"/>
        <v>0</v>
      </c>
      <c r="T71" s="2">
        <f t="shared" si="294"/>
        <v>0</v>
      </c>
      <c r="U71" s="2">
        <f t="shared" si="294"/>
        <v>0</v>
      </c>
      <c r="V71" s="2">
        <f t="shared" si="294"/>
        <v>0</v>
      </c>
      <c r="W71" s="2">
        <f t="shared" si="294"/>
        <v>0</v>
      </c>
      <c r="X71" s="2">
        <f t="shared" si="294"/>
        <v>0</v>
      </c>
    </row>
    <row r="72" spans="3:24" x14ac:dyDescent="0.15">
      <c r="C72" s="2">
        <f t="shared" si="289"/>
        <v>0</v>
      </c>
      <c r="D72" s="2">
        <f t="shared" si="289"/>
        <v>20</v>
      </c>
      <c r="E72" s="2">
        <f t="shared" si="289"/>
        <v>0</v>
      </c>
      <c r="F72" s="2">
        <f t="shared" ref="F72" si="295">BowlSplit(F27,RunsConceded)</f>
        <v>0</v>
      </c>
      <c r="G72" s="2">
        <f t="shared" si="291"/>
        <v>0</v>
      </c>
      <c r="H72" s="2">
        <f t="shared" si="291"/>
        <v>0</v>
      </c>
      <c r="I72" s="2">
        <f t="shared" ref="I72:X72" si="296">BowlSplit(I27,RunsConceded)</f>
        <v>0</v>
      </c>
      <c r="J72" s="2">
        <f t="shared" si="296"/>
        <v>0</v>
      </c>
      <c r="K72" s="2">
        <f t="shared" si="296"/>
        <v>0</v>
      </c>
      <c r="L72" s="2">
        <f t="shared" si="296"/>
        <v>0</v>
      </c>
      <c r="M72" s="2">
        <f t="shared" si="296"/>
        <v>0</v>
      </c>
      <c r="N72" s="2">
        <f t="shared" si="296"/>
        <v>0</v>
      </c>
      <c r="O72" s="2">
        <f t="shared" si="296"/>
        <v>0</v>
      </c>
      <c r="P72" s="2">
        <f t="shared" si="296"/>
        <v>0</v>
      </c>
      <c r="Q72" s="2">
        <f t="shared" si="296"/>
        <v>0</v>
      </c>
      <c r="R72" s="2">
        <f t="shared" si="296"/>
        <v>0</v>
      </c>
      <c r="S72" s="2">
        <f t="shared" si="296"/>
        <v>0</v>
      </c>
      <c r="T72" s="2">
        <f t="shared" si="296"/>
        <v>0</v>
      </c>
      <c r="U72" s="2">
        <f t="shared" si="296"/>
        <v>0</v>
      </c>
      <c r="V72" s="2">
        <f t="shared" si="296"/>
        <v>0</v>
      </c>
      <c r="W72" s="2">
        <f t="shared" si="296"/>
        <v>0</v>
      </c>
      <c r="X72" s="2">
        <f t="shared" si="296"/>
        <v>0</v>
      </c>
    </row>
    <row r="73" spans="3:24" x14ac:dyDescent="0.15">
      <c r="C73" s="2">
        <f t="shared" si="289"/>
        <v>15</v>
      </c>
      <c r="D73" s="2">
        <f t="shared" si="289"/>
        <v>0</v>
      </c>
      <c r="E73" s="2">
        <f t="shared" si="289"/>
        <v>9</v>
      </c>
      <c r="F73" s="2">
        <f t="shared" ref="F73" si="297">BowlSplit(F28,RunsConceded)</f>
        <v>22</v>
      </c>
      <c r="G73" s="2">
        <f t="shared" si="291"/>
        <v>0</v>
      </c>
      <c r="H73" s="2">
        <f t="shared" si="291"/>
        <v>0</v>
      </c>
      <c r="I73" s="2">
        <f t="shared" ref="I73:X73" si="298">BowlSplit(I28,RunsConceded)</f>
        <v>0</v>
      </c>
      <c r="J73" s="2">
        <f t="shared" si="298"/>
        <v>0</v>
      </c>
      <c r="K73" s="2">
        <f t="shared" si="298"/>
        <v>0</v>
      </c>
      <c r="L73" s="2">
        <f t="shared" si="298"/>
        <v>0</v>
      </c>
      <c r="M73" s="2">
        <f t="shared" si="298"/>
        <v>0</v>
      </c>
      <c r="N73" s="2">
        <f t="shared" si="298"/>
        <v>0</v>
      </c>
      <c r="O73" s="2">
        <f t="shared" si="298"/>
        <v>0</v>
      </c>
      <c r="P73" s="2">
        <f t="shared" si="298"/>
        <v>0</v>
      </c>
      <c r="Q73" s="2">
        <f t="shared" si="298"/>
        <v>0</v>
      </c>
      <c r="R73" s="2">
        <f t="shared" si="298"/>
        <v>27</v>
      </c>
      <c r="S73" s="2">
        <f t="shared" si="298"/>
        <v>0</v>
      </c>
      <c r="T73" s="2">
        <f t="shared" si="298"/>
        <v>0</v>
      </c>
      <c r="U73" s="2">
        <f t="shared" si="298"/>
        <v>0</v>
      </c>
      <c r="V73" s="2">
        <f t="shared" si="298"/>
        <v>0</v>
      </c>
      <c r="W73" s="2">
        <f t="shared" si="298"/>
        <v>0</v>
      </c>
      <c r="X73" s="2">
        <f t="shared" si="298"/>
        <v>0</v>
      </c>
    </row>
    <row r="74" spans="3:24" x14ac:dyDescent="0.15">
      <c r="C74" s="2">
        <f t="shared" si="289"/>
        <v>0</v>
      </c>
      <c r="D74" s="2">
        <f t="shared" si="289"/>
        <v>0</v>
      </c>
      <c r="E74" s="2">
        <f t="shared" si="289"/>
        <v>0</v>
      </c>
      <c r="F74" s="2">
        <f t="shared" ref="F74" si="299">BowlSplit(F29,RunsConceded)</f>
        <v>0</v>
      </c>
      <c r="G74" s="2">
        <f t="shared" si="291"/>
        <v>0</v>
      </c>
      <c r="H74" s="2">
        <f t="shared" si="291"/>
        <v>0</v>
      </c>
      <c r="I74" s="2">
        <f t="shared" ref="I74:X74" si="300">BowlSplit(I29,RunsConceded)</f>
        <v>0</v>
      </c>
      <c r="J74" s="2">
        <f t="shared" si="300"/>
        <v>0</v>
      </c>
      <c r="K74" s="2">
        <f t="shared" si="300"/>
        <v>0</v>
      </c>
      <c r="L74" s="2">
        <f t="shared" si="300"/>
        <v>0</v>
      </c>
      <c r="M74" s="2">
        <f t="shared" si="300"/>
        <v>0</v>
      </c>
      <c r="N74" s="2">
        <f t="shared" si="300"/>
        <v>0</v>
      </c>
      <c r="O74" s="2">
        <f t="shared" si="300"/>
        <v>0</v>
      </c>
      <c r="P74" s="2">
        <f t="shared" si="300"/>
        <v>0</v>
      </c>
      <c r="Q74" s="2">
        <f t="shared" si="300"/>
        <v>4</v>
      </c>
      <c r="R74" s="2">
        <f t="shared" si="300"/>
        <v>0</v>
      </c>
      <c r="S74" s="2">
        <f t="shared" si="300"/>
        <v>0</v>
      </c>
      <c r="T74" s="2">
        <f t="shared" si="300"/>
        <v>0</v>
      </c>
      <c r="U74" s="2">
        <f t="shared" si="300"/>
        <v>0</v>
      </c>
      <c r="V74" s="2">
        <f t="shared" si="300"/>
        <v>0</v>
      </c>
      <c r="W74" s="2">
        <f t="shared" si="300"/>
        <v>0</v>
      </c>
      <c r="X74" s="2">
        <f t="shared" si="300"/>
        <v>0</v>
      </c>
    </row>
    <row r="75" spans="3:24" x14ac:dyDescent="0.15">
      <c r="C75" s="2">
        <f t="shared" si="289"/>
        <v>22</v>
      </c>
      <c r="D75" s="2">
        <f t="shared" si="289"/>
        <v>18</v>
      </c>
      <c r="E75" s="2">
        <f t="shared" si="289"/>
        <v>37</v>
      </c>
      <c r="F75" s="2">
        <f t="shared" ref="F75" si="301">BowlSplit(F30,RunsConceded)</f>
        <v>41</v>
      </c>
      <c r="G75" s="2">
        <f t="shared" si="291"/>
        <v>44</v>
      </c>
      <c r="H75" s="2">
        <f t="shared" si="291"/>
        <v>33</v>
      </c>
      <c r="I75" s="2">
        <f t="shared" ref="I75:X75" si="302">BowlSplit(I30,RunsConceded)</f>
        <v>33</v>
      </c>
      <c r="J75" s="2">
        <f t="shared" si="302"/>
        <v>38</v>
      </c>
      <c r="K75" s="2">
        <f t="shared" si="302"/>
        <v>45</v>
      </c>
      <c r="L75" s="2">
        <f t="shared" si="302"/>
        <v>0</v>
      </c>
      <c r="M75" s="2">
        <f t="shared" si="302"/>
        <v>32</v>
      </c>
      <c r="N75" s="2">
        <f t="shared" si="302"/>
        <v>40</v>
      </c>
      <c r="O75" s="2">
        <f t="shared" si="302"/>
        <v>26</v>
      </c>
      <c r="P75" s="2">
        <f t="shared" si="302"/>
        <v>57</v>
      </c>
      <c r="Q75" s="2">
        <f t="shared" si="302"/>
        <v>17</v>
      </c>
      <c r="R75" s="2">
        <f t="shared" si="302"/>
        <v>55</v>
      </c>
      <c r="S75" s="2">
        <f t="shared" si="302"/>
        <v>50</v>
      </c>
      <c r="T75" s="2">
        <f t="shared" si="302"/>
        <v>0</v>
      </c>
      <c r="U75" s="2">
        <f t="shared" si="302"/>
        <v>0</v>
      </c>
      <c r="V75" s="2">
        <f t="shared" si="302"/>
        <v>0</v>
      </c>
      <c r="W75" s="2">
        <f t="shared" si="302"/>
        <v>0</v>
      </c>
      <c r="X75" s="2">
        <f t="shared" si="302"/>
        <v>0</v>
      </c>
    </row>
    <row r="76" spans="3:24" x14ac:dyDescent="0.15">
      <c r="C76" s="2">
        <f t="shared" si="289"/>
        <v>0</v>
      </c>
      <c r="D76" s="2">
        <f t="shared" si="289"/>
        <v>0</v>
      </c>
      <c r="E76" s="2">
        <f t="shared" si="289"/>
        <v>0</v>
      </c>
      <c r="F76" s="2">
        <f t="shared" ref="F76" si="303">BowlSplit(F31,RunsConceded)</f>
        <v>5</v>
      </c>
      <c r="G76" s="2">
        <f t="shared" si="291"/>
        <v>33</v>
      </c>
      <c r="H76" s="2">
        <f t="shared" si="291"/>
        <v>0</v>
      </c>
      <c r="I76" s="2">
        <f t="shared" ref="I76:X76" si="304">BowlSplit(I31,RunsConceded)</f>
        <v>0</v>
      </c>
      <c r="J76" s="2">
        <f t="shared" si="304"/>
        <v>24</v>
      </c>
      <c r="K76" s="2">
        <f t="shared" si="304"/>
        <v>36</v>
      </c>
      <c r="L76" s="2">
        <f t="shared" si="304"/>
        <v>0</v>
      </c>
      <c r="M76" s="2">
        <f t="shared" si="304"/>
        <v>10</v>
      </c>
      <c r="N76" s="2">
        <f t="shared" si="304"/>
        <v>15</v>
      </c>
      <c r="O76" s="2">
        <f t="shared" si="304"/>
        <v>0</v>
      </c>
      <c r="P76" s="2">
        <f t="shared" si="304"/>
        <v>33</v>
      </c>
      <c r="Q76" s="2">
        <f t="shared" si="304"/>
        <v>13</v>
      </c>
      <c r="R76" s="2">
        <f t="shared" si="304"/>
        <v>65</v>
      </c>
      <c r="S76" s="2">
        <f t="shared" si="304"/>
        <v>40</v>
      </c>
      <c r="T76" s="2">
        <f t="shared" si="304"/>
        <v>0</v>
      </c>
      <c r="U76" s="2">
        <f t="shared" si="304"/>
        <v>0</v>
      </c>
      <c r="V76" s="2">
        <f t="shared" si="304"/>
        <v>0</v>
      </c>
      <c r="W76" s="2">
        <f t="shared" si="304"/>
        <v>0</v>
      </c>
      <c r="X76" s="2">
        <f t="shared" si="304"/>
        <v>0</v>
      </c>
    </row>
    <row r="77" spans="3:24" x14ac:dyDescent="0.15">
      <c r="C77" s="2">
        <f t="shared" si="289"/>
        <v>0</v>
      </c>
      <c r="D77" s="2">
        <f t="shared" si="289"/>
        <v>11</v>
      </c>
      <c r="E77" s="2">
        <f t="shared" si="289"/>
        <v>21</v>
      </c>
      <c r="F77" s="2">
        <f t="shared" ref="F77" si="305">BowlSplit(F32,RunsConceded)</f>
        <v>0</v>
      </c>
      <c r="G77" s="2">
        <f t="shared" si="291"/>
        <v>0</v>
      </c>
      <c r="H77" s="2">
        <f t="shared" si="291"/>
        <v>0</v>
      </c>
      <c r="I77" s="2">
        <f t="shared" ref="I77:X77" si="306">BowlSplit(I32,RunsConceded)</f>
        <v>0</v>
      </c>
      <c r="J77" s="2">
        <f t="shared" si="306"/>
        <v>0</v>
      </c>
      <c r="K77" s="2">
        <f t="shared" si="306"/>
        <v>0</v>
      </c>
      <c r="L77" s="2">
        <f t="shared" si="306"/>
        <v>0</v>
      </c>
      <c r="M77" s="2">
        <f t="shared" si="306"/>
        <v>0</v>
      </c>
      <c r="N77" s="2">
        <f t="shared" si="306"/>
        <v>0</v>
      </c>
      <c r="O77" s="2">
        <f t="shared" si="306"/>
        <v>14</v>
      </c>
      <c r="P77" s="2">
        <f t="shared" si="306"/>
        <v>0</v>
      </c>
      <c r="Q77" s="2">
        <f t="shared" si="306"/>
        <v>8</v>
      </c>
      <c r="R77" s="2">
        <f t="shared" si="306"/>
        <v>0</v>
      </c>
      <c r="S77" s="2">
        <f t="shared" si="306"/>
        <v>0</v>
      </c>
      <c r="T77" s="2">
        <f t="shared" si="306"/>
        <v>0</v>
      </c>
      <c r="U77" s="2">
        <f t="shared" si="306"/>
        <v>0</v>
      </c>
      <c r="V77" s="2">
        <f t="shared" si="306"/>
        <v>0</v>
      </c>
      <c r="W77" s="2">
        <f t="shared" si="306"/>
        <v>0</v>
      </c>
      <c r="X77" s="2">
        <f t="shared" si="306"/>
        <v>0</v>
      </c>
    </row>
    <row r="78" spans="3:24" x14ac:dyDescent="0.15">
      <c r="C78" s="2">
        <f t="shared" si="289"/>
        <v>18</v>
      </c>
      <c r="D78" s="2">
        <f t="shared" si="289"/>
        <v>25</v>
      </c>
      <c r="E78" s="2">
        <f t="shared" si="289"/>
        <v>20</v>
      </c>
      <c r="F78" s="2">
        <f t="shared" ref="F78" si="307">BowlSplit(F33,RunsConceded)</f>
        <v>48</v>
      </c>
      <c r="G78" s="2">
        <f t="shared" si="291"/>
        <v>0</v>
      </c>
      <c r="H78" s="2">
        <f t="shared" si="291"/>
        <v>30</v>
      </c>
      <c r="I78" s="2">
        <f t="shared" ref="I78:X78" si="308">BowlSplit(I33,RunsConceded)</f>
        <v>30</v>
      </c>
      <c r="J78" s="2">
        <f t="shared" si="308"/>
        <v>0</v>
      </c>
      <c r="K78" s="2">
        <f t="shared" si="308"/>
        <v>27</v>
      </c>
      <c r="L78" s="2">
        <f t="shared" si="308"/>
        <v>0</v>
      </c>
      <c r="M78" s="2">
        <f t="shared" si="308"/>
        <v>44</v>
      </c>
      <c r="N78" s="2">
        <f t="shared" si="308"/>
        <v>17</v>
      </c>
      <c r="O78" s="2">
        <f t="shared" si="308"/>
        <v>15</v>
      </c>
      <c r="P78" s="2">
        <f t="shared" si="308"/>
        <v>0</v>
      </c>
      <c r="Q78" s="2">
        <f t="shared" si="308"/>
        <v>0</v>
      </c>
      <c r="R78" s="2">
        <f t="shared" si="308"/>
        <v>57</v>
      </c>
      <c r="S78" s="2">
        <f t="shared" si="308"/>
        <v>39</v>
      </c>
      <c r="T78" s="2">
        <f t="shared" si="308"/>
        <v>0</v>
      </c>
      <c r="U78" s="2">
        <f t="shared" si="308"/>
        <v>0</v>
      </c>
      <c r="V78" s="2">
        <f t="shared" si="308"/>
        <v>0</v>
      </c>
      <c r="W78" s="2">
        <f t="shared" si="308"/>
        <v>0</v>
      </c>
      <c r="X78" s="2">
        <f t="shared" si="308"/>
        <v>0</v>
      </c>
    </row>
    <row r="79" spans="3:24" x14ac:dyDescent="0.15">
      <c r="C79" s="2">
        <f t="shared" si="289"/>
        <v>0</v>
      </c>
      <c r="D79" s="2">
        <f t="shared" si="289"/>
        <v>0</v>
      </c>
      <c r="E79" s="2">
        <f t="shared" si="289"/>
        <v>12</v>
      </c>
      <c r="F79" s="2">
        <f t="shared" ref="F79" si="309">BowlSplit(F34,RunsConceded)</f>
        <v>0</v>
      </c>
      <c r="G79" s="2">
        <f t="shared" si="291"/>
        <v>0</v>
      </c>
      <c r="H79" s="2">
        <f t="shared" si="291"/>
        <v>0</v>
      </c>
      <c r="I79" s="2">
        <f t="shared" ref="I79:X79" si="310">BowlSplit(I34,RunsConceded)</f>
        <v>0</v>
      </c>
      <c r="J79" s="2">
        <f t="shared" si="310"/>
        <v>0</v>
      </c>
      <c r="K79" s="2">
        <f t="shared" si="310"/>
        <v>0</v>
      </c>
      <c r="L79" s="2">
        <f t="shared" si="310"/>
        <v>0</v>
      </c>
      <c r="M79" s="2">
        <f t="shared" si="310"/>
        <v>0</v>
      </c>
      <c r="N79" s="2">
        <f t="shared" si="310"/>
        <v>0</v>
      </c>
      <c r="O79" s="2">
        <f t="shared" si="310"/>
        <v>0</v>
      </c>
      <c r="P79" s="2">
        <f t="shared" si="310"/>
        <v>0</v>
      </c>
      <c r="Q79" s="2">
        <f t="shared" si="310"/>
        <v>0</v>
      </c>
      <c r="R79" s="2">
        <f t="shared" si="310"/>
        <v>0</v>
      </c>
      <c r="S79" s="2">
        <f t="shared" si="310"/>
        <v>0</v>
      </c>
      <c r="T79" s="2">
        <f t="shared" si="310"/>
        <v>0</v>
      </c>
      <c r="U79" s="2">
        <f t="shared" si="310"/>
        <v>0</v>
      </c>
      <c r="V79" s="2">
        <f t="shared" si="310"/>
        <v>0</v>
      </c>
      <c r="W79" s="2">
        <f t="shared" si="310"/>
        <v>0</v>
      </c>
      <c r="X79" s="2">
        <f t="shared" si="310"/>
        <v>0</v>
      </c>
    </row>
    <row r="80" spans="3:24" x14ac:dyDescent="0.15">
      <c r="C80" s="2">
        <f t="shared" si="289"/>
        <v>0</v>
      </c>
      <c r="D80" s="2">
        <f t="shared" si="289"/>
        <v>0</v>
      </c>
      <c r="E80" s="2">
        <f t="shared" si="289"/>
        <v>0</v>
      </c>
      <c r="F80" s="2">
        <f t="shared" ref="F80" si="311">BowlSplit(F35,RunsConceded)</f>
        <v>0</v>
      </c>
      <c r="G80" s="2">
        <f t="shared" si="291"/>
        <v>0</v>
      </c>
      <c r="H80" s="2">
        <f t="shared" si="291"/>
        <v>40</v>
      </c>
      <c r="I80" s="2">
        <f t="shared" ref="I80:X80" si="312">BowlSplit(I35,RunsConceded)</f>
        <v>40</v>
      </c>
      <c r="J80" s="2">
        <f t="shared" si="312"/>
        <v>0</v>
      </c>
      <c r="K80" s="2">
        <f t="shared" si="312"/>
        <v>0</v>
      </c>
      <c r="L80" s="2">
        <f t="shared" si="312"/>
        <v>0</v>
      </c>
      <c r="M80" s="2">
        <f t="shared" si="312"/>
        <v>0</v>
      </c>
      <c r="N80" s="2">
        <f t="shared" si="312"/>
        <v>0</v>
      </c>
      <c r="O80" s="2">
        <f t="shared" si="312"/>
        <v>0</v>
      </c>
      <c r="P80" s="2">
        <f t="shared" si="312"/>
        <v>0</v>
      </c>
      <c r="Q80" s="2">
        <f t="shared" si="312"/>
        <v>0</v>
      </c>
      <c r="R80" s="2">
        <f t="shared" si="312"/>
        <v>0</v>
      </c>
      <c r="S80" s="2">
        <f t="shared" si="312"/>
        <v>36</v>
      </c>
      <c r="T80" s="2">
        <f t="shared" si="312"/>
        <v>0</v>
      </c>
      <c r="U80" s="2">
        <f t="shared" si="312"/>
        <v>0</v>
      </c>
      <c r="V80" s="2">
        <f t="shared" si="312"/>
        <v>0</v>
      </c>
      <c r="W80" s="2">
        <f t="shared" si="312"/>
        <v>0</v>
      </c>
      <c r="X80" s="2">
        <f t="shared" si="312"/>
        <v>0</v>
      </c>
    </row>
    <row r="81" spans="3:24" x14ac:dyDescent="0.15">
      <c r="C81" s="2">
        <f t="shared" si="289"/>
        <v>0</v>
      </c>
      <c r="D81" s="2">
        <f t="shared" si="289"/>
        <v>0</v>
      </c>
      <c r="E81" s="2">
        <f t="shared" si="289"/>
        <v>0</v>
      </c>
      <c r="F81" s="2">
        <f t="shared" ref="F81" si="313">BowlSplit(F36,RunsConceded)</f>
        <v>0</v>
      </c>
      <c r="G81" s="2">
        <f t="shared" si="291"/>
        <v>0</v>
      </c>
      <c r="H81" s="2">
        <f t="shared" si="291"/>
        <v>0</v>
      </c>
      <c r="I81" s="2">
        <f t="shared" ref="I81:X81" si="314">BowlSplit(I36,RunsConceded)</f>
        <v>0</v>
      </c>
      <c r="J81" s="2">
        <f t="shared" si="314"/>
        <v>0</v>
      </c>
      <c r="K81" s="2">
        <f t="shared" si="314"/>
        <v>0</v>
      </c>
      <c r="L81" s="2">
        <f t="shared" si="314"/>
        <v>0</v>
      </c>
      <c r="M81" s="2">
        <f t="shared" si="314"/>
        <v>0</v>
      </c>
      <c r="N81" s="2">
        <f t="shared" si="314"/>
        <v>0</v>
      </c>
      <c r="O81" s="2">
        <f t="shared" si="314"/>
        <v>0</v>
      </c>
      <c r="P81" s="2">
        <f t="shared" si="314"/>
        <v>0</v>
      </c>
      <c r="Q81" s="2">
        <f t="shared" si="314"/>
        <v>19</v>
      </c>
      <c r="R81" s="2">
        <f t="shared" si="314"/>
        <v>0</v>
      </c>
      <c r="S81" s="2">
        <f t="shared" si="314"/>
        <v>0</v>
      </c>
      <c r="T81" s="2">
        <f t="shared" si="314"/>
        <v>0</v>
      </c>
      <c r="U81" s="2">
        <f t="shared" si="314"/>
        <v>0</v>
      </c>
      <c r="V81" s="2">
        <f t="shared" si="314"/>
        <v>0</v>
      </c>
      <c r="W81" s="2">
        <f t="shared" si="314"/>
        <v>0</v>
      </c>
      <c r="X81" s="2">
        <f t="shared" si="314"/>
        <v>0</v>
      </c>
    </row>
    <row r="82" spans="3:24" x14ac:dyDescent="0.15">
      <c r="C82" s="2">
        <f t="shared" si="289"/>
        <v>0</v>
      </c>
      <c r="D82" s="2">
        <f t="shared" si="289"/>
        <v>0</v>
      </c>
      <c r="E82" s="2">
        <f t="shared" si="289"/>
        <v>0</v>
      </c>
      <c r="F82" s="2">
        <f t="shared" ref="F82" si="315">BowlSplit(F37,RunsConceded)</f>
        <v>0</v>
      </c>
      <c r="G82" s="2">
        <f t="shared" si="291"/>
        <v>31</v>
      </c>
      <c r="H82" s="2">
        <f t="shared" si="291"/>
        <v>0</v>
      </c>
      <c r="I82" s="2">
        <f t="shared" ref="I82:X82" si="316">BowlSplit(I37,RunsConceded)</f>
        <v>0</v>
      </c>
      <c r="J82" s="2">
        <f t="shared" si="316"/>
        <v>33</v>
      </c>
      <c r="K82" s="2">
        <f t="shared" si="316"/>
        <v>0</v>
      </c>
      <c r="L82" s="2">
        <f t="shared" si="316"/>
        <v>0</v>
      </c>
      <c r="M82" s="2">
        <f t="shared" si="316"/>
        <v>0</v>
      </c>
      <c r="N82" s="2">
        <f t="shared" si="316"/>
        <v>0</v>
      </c>
      <c r="O82" s="2">
        <f t="shared" si="316"/>
        <v>20</v>
      </c>
      <c r="P82" s="2">
        <f t="shared" si="316"/>
        <v>0</v>
      </c>
      <c r="Q82" s="2">
        <f t="shared" si="316"/>
        <v>0</v>
      </c>
      <c r="R82" s="2">
        <f t="shared" si="316"/>
        <v>0</v>
      </c>
      <c r="S82" s="2">
        <f t="shared" si="316"/>
        <v>0</v>
      </c>
      <c r="T82" s="2">
        <f t="shared" si="316"/>
        <v>0</v>
      </c>
      <c r="U82" s="2">
        <f t="shared" si="316"/>
        <v>0</v>
      </c>
      <c r="V82" s="2">
        <f t="shared" si="316"/>
        <v>0</v>
      </c>
      <c r="W82" s="2">
        <f t="shared" si="316"/>
        <v>0</v>
      </c>
      <c r="X82" s="2">
        <f t="shared" si="316"/>
        <v>0</v>
      </c>
    </row>
    <row r="83" spans="3:24" x14ac:dyDescent="0.15">
      <c r="C83" s="2">
        <f t="shared" si="289"/>
        <v>0</v>
      </c>
      <c r="D83" s="2">
        <f t="shared" si="289"/>
        <v>0</v>
      </c>
      <c r="E83" s="2">
        <f t="shared" si="289"/>
        <v>0</v>
      </c>
      <c r="F83" s="2">
        <f t="shared" ref="F83" si="317">BowlSplit(F38,RunsConceded)</f>
        <v>0</v>
      </c>
      <c r="G83" s="2">
        <f t="shared" si="291"/>
        <v>18</v>
      </c>
      <c r="H83" s="2">
        <f t="shared" si="291"/>
        <v>0</v>
      </c>
      <c r="I83" s="2">
        <f t="shared" ref="I83:X83" si="318">BowlSplit(I38,RunsConceded)</f>
        <v>0</v>
      </c>
      <c r="J83" s="2">
        <f t="shared" si="318"/>
        <v>0</v>
      </c>
      <c r="K83" s="2">
        <f t="shared" si="318"/>
        <v>28</v>
      </c>
      <c r="L83" s="2">
        <f t="shared" si="318"/>
        <v>0</v>
      </c>
      <c r="M83" s="2">
        <f t="shared" si="318"/>
        <v>0</v>
      </c>
      <c r="N83" s="2">
        <f t="shared" si="318"/>
        <v>29</v>
      </c>
      <c r="O83" s="2">
        <f t="shared" si="318"/>
        <v>10</v>
      </c>
      <c r="P83" s="2">
        <f t="shared" si="318"/>
        <v>0</v>
      </c>
      <c r="Q83" s="2">
        <f t="shared" si="318"/>
        <v>0</v>
      </c>
      <c r="R83" s="2">
        <f t="shared" si="318"/>
        <v>0</v>
      </c>
      <c r="S83" s="2">
        <f t="shared" si="318"/>
        <v>0</v>
      </c>
      <c r="T83" s="2">
        <f t="shared" si="318"/>
        <v>0</v>
      </c>
      <c r="U83" s="2">
        <f t="shared" si="318"/>
        <v>0</v>
      </c>
      <c r="V83" s="2">
        <f t="shared" si="318"/>
        <v>0</v>
      </c>
      <c r="W83" s="2">
        <f t="shared" si="318"/>
        <v>0</v>
      </c>
      <c r="X83" s="2">
        <f t="shared" si="318"/>
        <v>0</v>
      </c>
    </row>
    <row r="84" spans="3:24" x14ac:dyDescent="0.15">
      <c r="C84" s="2">
        <f t="shared" si="289"/>
        <v>0</v>
      </c>
      <c r="D84" s="2">
        <f t="shared" si="289"/>
        <v>0</v>
      </c>
      <c r="E84" s="2">
        <f t="shared" si="289"/>
        <v>0</v>
      </c>
      <c r="F84" s="2">
        <f t="shared" ref="F84" si="319">BowlSplit(F39,RunsConceded)</f>
        <v>0</v>
      </c>
      <c r="G84" s="2">
        <f t="shared" si="291"/>
        <v>0</v>
      </c>
      <c r="H84" s="2">
        <f t="shared" si="291"/>
        <v>0</v>
      </c>
      <c r="I84" s="2">
        <f t="shared" ref="I84:X84" si="320">BowlSplit(I39,RunsConceded)</f>
        <v>0</v>
      </c>
      <c r="J84" s="2">
        <f t="shared" si="320"/>
        <v>0</v>
      </c>
      <c r="K84" s="2">
        <f t="shared" si="320"/>
        <v>0</v>
      </c>
      <c r="L84" s="2">
        <f t="shared" si="320"/>
        <v>0</v>
      </c>
      <c r="M84" s="2">
        <f t="shared" si="320"/>
        <v>0</v>
      </c>
      <c r="N84" s="2">
        <f t="shared" si="320"/>
        <v>0</v>
      </c>
      <c r="O84" s="2">
        <f t="shared" si="320"/>
        <v>0</v>
      </c>
      <c r="P84" s="2">
        <f t="shared" si="320"/>
        <v>37</v>
      </c>
      <c r="Q84" s="2">
        <f t="shared" si="320"/>
        <v>0</v>
      </c>
      <c r="R84" s="2">
        <f t="shared" si="320"/>
        <v>0</v>
      </c>
      <c r="S84" s="2">
        <f t="shared" si="320"/>
        <v>0</v>
      </c>
      <c r="T84" s="2">
        <f t="shared" si="320"/>
        <v>0</v>
      </c>
      <c r="U84" s="2">
        <f t="shared" si="320"/>
        <v>0</v>
      </c>
      <c r="V84" s="2">
        <f t="shared" si="320"/>
        <v>0</v>
      </c>
      <c r="W84" s="2">
        <f t="shared" si="320"/>
        <v>0</v>
      </c>
      <c r="X84" s="2">
        <f t="shared" si="320"/>
        <v>0</v>
      </c>
    </row>
    <row r="85" spans="3:24" x14ac:dyDescent="0.15">
      <c r="C85" s="2">
        <f t="shared" si="289"/>
        <v>0</v>
      </c>
      <c r="D85" s="2">
        <f t="shared" si="289"/>
        <v>0</v>
      </c>
      <c r="E85" s="2">
        <f t="shared" si="289"/>
        <v>0</v>
      </c>
      <c r="F85" s="2">
        <f t="shared" ref="F85" si="321">BowlSplit(F40,RunsConceded)</f>
        <v>0</v>
      </c>
      <c r="G85" s="2">
        <f t="shared" si="291"/>
        <v>0</v>
      </c>
      <c r="H85" s="2">
        <f t="shared" si="291"/>
        <v>0</v>
      </c>
      <c r="I85" s="2">
        <f t="shared" ref="I85:X85" si="322">BowlSplit(I40,RunsConceded)</f>
        <v>0</v>
      </c>
      <c r="J85" s="2">
        <f t="shared" si="322"/>
        <v>0</v>
      </c>
      <c r="K85" s="2">
        <f t="shared" si="322"/>
        <v>0</v>
      </c>
      <c r="L85" s="2">
        <f t="shared" si="322"/>
        <v>0</v>
      </c>
      <c r="M85" s="2">
        <f t="shared" si="322"/>
        <v>0</v>
      </c>
      <c r="N85" s="2">
        <f t="shared" si="322"/>
        <v>0</v>
      </c>
      <c r="O85" s="2">
        <f t="shared" si="322"/>
        <v>0</v>
      </c>
      <c r="P85" s="2">
        <f t="shared" si="322"/>
        <v>0</v>
      </c>
      <c r="Q85" s="2">
        <f t="shared" si="322"/>
        <v>0</v>
      </c>
      <c r="R85" s="2">
        <f t="shared" si="322"/>
        <v>0</v>
      </c>
      <c r="S85" s="2">
        <f t="shared" si="322"/>
        <v>0</v>
      </c>
      <c r="T85" s="2">
        <f t="shared" si="322"/>
        <v>0</v>
      </c>
      <c r="U85" s="2">
        <f t="shared" si="322"/>
        <v>0</v>
      </c>
      <c r="V85" s="2">
        <f t="shared" si="322"/>
        <v>0</v>
      </c>
      <c r="W85" s="2">
        <f t="shared" si="322"/>
        <v>0</v>
      </c>
      <c r="X85" s="2">
        <f t="shared" si="322"/>
        <v>0</v>
      </c>
    </row>
  </sheetData>
  <phoneticPr fontId="0" type="noConversion"/>
  <conditionalFormatting sqref="AG78:AG87 AU50:BB67 AS50:AT75 AT50:AT77">
    <cfRule type="cellIs" dxfId="1" priority="11" operator="greaterThan">
      <formula>5</formula>
    </cfRule>
  </conditionalFormatting>
  <conditionalFormatting sqref="C48:CC48">
    <cfRule type="cellIs" dxfId="0" priority="12" stopIfTrue="1" operator="notEqual">
      <formula>C46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N37" zoomScaleNormal="100" workbookViewId="0">
      <selection activeCell="W52" sqref="W52:W83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136</v>
      </c>
      <c r="C1" s="72" t="s">
        <v>5</v>
      </c>
      <c r="D1" s="72" t="s">
        <v>7</v>
      </c>
      <c r="E1" s="72" t="s">
        <v>8</v>
      </c>
      <c r="F1" s="72" t="s">
        <v>137</v>
      </c>
      <c r="G1" s="72" t="s">
        <v>9</v>
      </c>
      <c r="H1" s="77" t="s">
        <v>10</v>
      </c>
      <c r="J1" s="72"/>
      <c r="L1" s="68" t="s">
        <v>209</v>
      </c>
      <c r="M1" s="68">
        <f t="array" aca="1" ref="M1" ca="1">SUM(IF(NOT(ISNA(B2:B60)),1,0))</f>
        <v>45</v>
      </c>
      <c r="N1" s="128"/>
      <c r="O1" s="131" t="s">
        <v>79</v>
      </c>
      <c r="P1" s="129" t="s">
        <v>7</v>
      </c>
      <c r="Q1" s="129" t="s">
        <v>219</v>
      </c>
      <c r="R1" s="129" t="s">
        <v>137</v>
      </c>
      <c r="S1" s="129" t="s">
        <v>9</v>
      </c>
      <c r="T1" s="129" t="s">
        <v>35</v>
      </c>
    </row>
    <row r="2" spans="1:23" ht="12.75" x14ac:dyDescent="0.15">
      <c r="A2" s="68">
        <v>1</v>
      </c>
      <c r="B2" s="68" t="str">
        <f ca="1">OFFSET(Batting!$C$4,BatAves!$I2,0)</f>
        <v>Mati</v>
      </c>
      <c r="C2" s="72">
        <f ca="1">OFFSET(Batting!$CE$4,BatAves!$I2,0)</f>
        <v>1</v>
      </c>
      <c r="D2" s="72">
        <f ca="1">OFFSET(Batting!$CG$4,BatAves!$I2,0)</f>
        <v>1</v>
      </c>
      <c r="E2" s="72">
        <f ca="1">OFFSET(Batting!$CH$4,BatAves!$I2,0)</f>
        <v>0</v>
      </c>
      <c r="F2" s="72">
        <f ca="1">OFFSET(Batting!$CJ$4,BatAves!$I2,0)</f>
        <v>64</v>
      </c>
      <c r="G2" s="72">
        <f ca="1">OFFSET(Batting!$CK$4,BatAves!$I2,0)</f>
        <v>64</v>
      </c>
      <c r="H2" s="76">
        <f ca="1">OFFSET(Batting!$CL$4,BatAves!$I2,0)</f>
        <v>64</v>
      </c>
      <c r="I2" s="68">
        <f>MATCH(A2,Batting!$DG$5:$DG$49,0)</f>
        <v>23</v>
      </c>
      <c r="J2" s="68">
        <f ca="1">IF(D2&gt;=5,A2,1000+A2)</f>
        <v>1001</v>
      </c>
      <c r="K2" s="68">
        <f ca="1">RANK(J2,OFFSET($J$2,0,0,$M$1,1),-1)</f>
        <v>12</v>
      </c>
      <c r="L2" s="68" t="str">
        <f ca="1">IF(D2&lt;5,B2&amp;" "&amp;D2&amp;"-"&amp;E2&amp;"-"&amp;F2&amp;"-"&amp;G2,"")</f>
        <v>Mati 1-0-64-64</v>
      </c>
      <c r="M2" s="68">
        <f ca="1">MATCH(N2,OFFSET($K$2,0,0,$M$1,1),0)</f>
        <v>3</v>
      </c>
      <c r="N2" s="178">
        <v>1</v>
      </c>
      <c r="O2" s="178" t="str">
        <f ca="1">OFFSET(B$1,$M2,0)</f>
        <v>Springer T</v>
      </c>
      <c r="P2" s="178">
        <f ca="1">OFFSET(D$1,$M2,0)</f>
        <v>11</v>
      </c>
      <c r="Q2" s="178">
        <f ca="1">OFFSET(E$1,$M2,0)</f>
        <v>1</v>
      </c>
      <c r="R2" s="178">
        <f ca="1">OFFSET(F$1,$M2,0)</f>
        <v>116</v>
      </c>
      <c r="S2" s="178">
        <f ca="1">OFFSET(G$1,$M2,0)</f>
        <v>421</v>
      </c>
      <c r="T2" s="179">
        <f ca="1">OFFSET(H$1,$M2,0)</f>
        <v>42.1</v>
      </c>
      <c r="U2" s="72"/>
      <c r="V2" s="68" t="s">
        <v>208</v>
      </c>
      <c r="W2" s="68" t="s">
        <v>208</v>
      </c>
    </row>
    <row r="3" spans="1:23" ht="12.75" x14ac:dyDescent="0.15">
      <c r="A3" s="68">
        <v>2</v>
      </c>
      <c r="B3" s="68" t="str">
        <f ca="1">OFFSET(Batting!$C$4,BatAves!$I3,0)</f>
        <v>Worthington</v>
      </c>
      <c r="C3" s="72">
        <f ca="1">OFFSET(Batting!$CE$4,BatAves!$I3,0)</f>
        <v>2</v>
      </c>
      <c r="D3" s="72">
        <f ca="1">OFFSET(Batting!$CG$4,BatAves!$I3,0)</f>
        <v>2</v>
      </c>
      <c r="E3" s="72">
        <f ca="1">OFFSET(Batting!$CH$4,BatAves!$I3,0)</f>
        <v>1</v>
      </c>
      <c r="F3" s="72" t="str">
        <f ca="1">OFFSET(Batting!$CJ$4,BatAves!$I3,0)</f>
        <v>42*</v>
      </c>
      <c r="G3" s="72">
        <f ca="1">OFFSET(Batting!$CK$4,BatAves!$I3,0)</f>
        <v>53</v>
      </c>
      <c r="H3" s="76">
        <f ca="1">OFFSET(Batting!$CL$4,BatAves!$I3,0)</f>
        <v>53</v>
      </c>
      <c r="I3" s="68">
        <f>MATCH(A3,Batting!$DG$5:$DG$49,0)</f>
        <v>45</v>
      </c>
      <c r="J3" s="68">
        <f t="shared" ref="J3:J60" ca="1" si="0">IF(D3&gt;=5,A3,1000+A3)</f>
        <v>1002</v>
      </c>
      <c r="K3" s="68">
        <f t="shared" ref="K3:K60" ca="1" si="1">RANK(J3,OFFSET($J$2,0,0,$M$1,1),-1)</f>
        <v>13</v>
      </c>
      <c r="L3" s="68" t="str">
        <f t="shared" ref="L3:L60" ca="1" si="2">IF(D3&lt;5,B3&amp;" "&amp;D3&amp;"-"&amp;E3&amp;"-"&amp;F3&amp;"-"&amp;G3,"")</f>
        <v>Worthington 2-1-42*-53</v>
      </c>
      <c r="M3" s="68">
        <f ca="1">MATCH(N3,OFFSET($K$2,0,0,$M$1,1),0)</f>
        <v>6</v>
      </c>
      <c r="N3" s="178">
        <v>2</v>
      </c>
      <c r="O3" s="178" t="str">
        <f t="shared" ref="O3:O43" ca="1" si="3">OFFSET(B$1,$M3,0)</f>
        <v>Seymour C</v>
      </c>
      <c r="P3" s="178">
        <f t="shared" ref="P3:P43" ca="1" si="4">OFFSET(D$1,$M3,0)</f>
        <v>16</v>
      </c>
      <c r="Q3" s="178">
        <f t="shared" ref="Q3:Q43" ca="1" si="5">OFFSET(E$1,$M3,0)</f>
        <v>6</v>
      </c>
      <c r="R3" s="178">
        <f t="shared" ref="R3:R43" ca="1" si="6">OFFSET(F$1,$M3,0)</f>
        <v>59</v>
      </c>
      <c r="S3" s="178">
        <f t="shared" ref="S3:S43" ca="1" si="7">OFFSET(G$1,$M3,0)</f>
        <v>325</v>
      </c>
      <c r="T3" s="179">
        <f t="shared" ref="T3:T43" ca="1" si="8">OFFSET(H$1,$M3,0)</f>
        <v>32.5</v>
      </c>
      <c r="V3" s="68" t="s">
        <v>208</v>
      </c>
      <c r="W3" s="68" t="s">
        <v>208</v>
      </c>
    </row>
    <row r="4" spans="1:23" ht="12.75" x14ac:dyDescent="0.15">
      <c r="A4" s="68">
        <v>3</v>
      </c>
      <c r="B4" s="68" t="str">
        <f ca="1">OFFSET(Batting!$C$4,BatAves!$I4,0)</f>
        <v>Springer T</v>
      </c>
      <c r="C4" s="72">
        <f ca="1">OFFSET(Batting!$CE$4,BatAves!$I4,0)</f>
        <v>11</v>
      </c>
      <c r="D4" s="72">
        <f ca="1">OFFSET(Batting!$CG$4,BatAves!$I4,0)</f>
        <v>11</v>
      </c>
      <c r="E4" s="72">
        <f ca="1">OFFSET(Batting!$CH$4,BatAves!$I4,0)</f>
        <v>1</v>
      </c>
      <c r="F4" s="72">
        <f ca="1">OFFSET(Batting!$CJ$4,BatAves!$I4,0)</f>
        <v>116</v>
      </c>
      <c r="G4" s="72">
        <f ca="1">OFFSET(Batting!$CK$4,BatAves!$I4,0)</f>
        <v>421</v>
      </c>
      <c r="H4" s="76">
        <f ca="1">OFFSET(Batting!$CL$4,BatAves!$I4,0)</f>
        <v>42.1</v>
      </c>
      <c r="I4" s="68">
        <f>MATCH(A4,Batting!$DG$5:$DG$49,0)</f>
        <v>35</v>
      </c>
      <c r="J4" s="68">
        <f t="shared" ca="1" si="0"/>
        <v>3</v>
      </c>
      <c r="K4" s="68">
        <f t="shared" ca="1" si="1"/>
        <v>1</v>
      </c>
      <c r="L4" s="68" t="str">
        <f t="shared" ca="1" si="2"/>
        <v/>
      </c>
      <c r="M4" s="68">
        <f t="shared" ref="M4:M43" ca="1" si="9">MATCH(N4,OFFSET($K$2,0,0,$M$1,1),0)</f>
        <v>7</v>
      </c>
      <c r="N4" s="178">
        <v>3</v>
      </c>
      <c r="O4" s="178" t="str">
        <f t="shared" ca="1" si="3"/>
        <v>Sharpe D</v>
      </c>
      <c r="P4" s="178">
        <f t="shared" ca="1" si="4"/>
        <v>14</v>
      </c>
      <c r="Q4" s="178">
        <f t="shared" ca="1" si="5"/>
        <v>0</v>
      </c>
      <c r="R4" s="178">
        <f t="shared" ca="1" si="6"/>
        <v>80</v>
      </c>
      <c r="S4" s="178">
        <f t="shared" ca="1" si="7"/>
        <v>437</v>
      </c>
      <c r="T4" s="179">
        <f t="shared" ca="1" si="8"/>
        <v>31.214285714285715</v>
      </c>
      <c r="V4" s="68" t="s">
        <v>208</v>
      </c>
      <c r="W4" s="68" t="s">
        <v>208</v>
      </c>
    </row>
    <row r="5" spans="1:23" ht="12.75" x14ac:dyDescent="0.15">
      <c r="A5" s="68">
        <v>4</v>
      </c>
      <c r="B5" s="68" t="str">
        <f ca="1">OFFSET(Batting!$C$4,BatAves!$I5,0)</f>
        <v>Pascoe N</v>
      </c>
      <c r="C5" s="72">
        <f ca="1">OFFSET(Batting!$CE$4,BatAves!$I5,0)</f>
        <v>4</v>
      </c>
      <c r="D5" s="72">
        <f ca="1">OFFSET(Batting!$CG$4,BatAves!$I5,0)</f>
        <v>3</v>
      </c>
      <c r="E5" s="72">
        <f ca="1">OFFSET(Batting!$CH$4,BatAves!$I5,0)</f>
        <v>2</v>
      </c>
      <c r="F5" s="72" t="str">
        <f ca="1">OFFSET(Batting!$CJ$4,BatAves!$I5,0)</f>
        <v>29*</v>
      </c>
      <c r="G5" s="72">
        <f ca="1">OFFSET(Batting!$CK$4,BatAves!$I5,0)</f>
        <v>35</v>
      </c>
      <c r="H5" s="76">
        <f ca="1">OFFSET(Batting!$CL$4,BatAves!$I5,0)</f>
        <v>35</v>
      </c>
      <c r="I5" s="68">
        <f>MATCH(A5,Batting!$DG$5:$DG$49,0)</f>
        <v>29</v>
      </c>
      <c r="J5" s="68">
        <f t="shared" ca="1" si="0"/>
        <v>1004</v>
      </c>
      <c r="K5" s="68">
        <f t="shared" ca="1" si="1"/>
        <v>14</v>
      </c>
      <c r="L5" s="68" t="str">
        <f t="shared" ca="1" si="2"/>
        <v>Pascoe N 3-2-29*-35</v>
      </c>
      <c r="M5" s="68">
        <f t="shared" ca="1" si="9"/>
        <v>9</v>
      </c>
      <c r="N5" s="178">
        <v>4</v>
      </c>
      <c r="O5" s="178" t="str">
        <f t="shared" ca="1" si="3"/>
        <v>Mander A</v>
      </c>
      <c r="P5" s="178">
        <f t="shared" ca="1" si="4"/>
        <v>5</v>
      </c>
      <c r="Q5" s="178">
        <f t="shared" ca="1" si="5"/>
        <v>3</v>
      </c>
      <c r="R5" s="178" t="str">
        <f t="shared" ca="1" si="6"/>
        <v>21*</v>
      </c>
      <c r="S5" s="178">
        <f t="shared" ca="1" si="7"/>
        <v>51</v>
      </c>
      <c r="T5" s="179">
        <f t="shared" ca="1" si="8"/>
        <v>25.5</v>
      </c>
      <c r="V5" s="68" t="s">
        <v>208</v>
      </c>
      <c r="W5" s="68" t="s">
        <v>208</v>
      </c>
    </row>
    <row r="6" spans="1:23" ht="12.75" x14ac:dyDescent="0.15">
      <c r="A6" s="68">
        <v>5</v>
      </c>
      <c r="B6" s="68" t="str">
        <f ca="1">OFFSET(Batting!$C$4,BatAves!$I6,0)</f>
        <v>Barber J</v>
      </c>
      <c r="C6" s="72">
        <f ca="1">OFFSET(Batting!$CE$4,BatAves!$I6,0)</f>
        <v>1</v>
      </c>
      <c r="D6" s="72">
        <f ca="1">OFFSET(Batting!$CG$4,BatAves!$I6,0)</f>
        <v>1</v>
      </c>
      <c r="E6" s="72">
        <f ca="1">OFFSET(Batting!$CH$4,BatAves!$I6,0)</f>
        <v>0</v>
      </c>
      <c r="F6" s="72">
        <f ca="1">OFFSET(Batting!$CJ$4,BatAves!$I6,0)</f>
        <v>33</v>
      </c>
      <c r="G6" s="72">
        <f ca="1">OFFSET(Batting!$CK$4,BatAves!$I6,0)</f>
        <v>33</v>
      </c>
      <c r="H6" s="76">
        <f ca="1">OFFSET(Batting!$CL$4,BatAves!$I6,0)</f>
        <v>33</v>
      </c>
      <c r="I6" s="68">
        <f>MATCH(A6,Batting!$DG$5:$DG$49,0)</f>
        <v>4</v>
      </c>
      <c r="J6" s="68">
        <f t="shared" ca="1" si="0"/>
        <v>1005</v>
      </c>
      <c r="K6" s="68">
        <f t="shared" ca="1" si="1"/>
        <v>15</v>
      </c>
      <c r="L6" s="68" t="str">
        <f t="shared" ca="1" si="2"/>
        <v>Barber J 1-0-33-33</v>
      </c>
      <c r="M6" s="68">
        <f t="shared" ca="1" si="9"/>
        <v>11</v>
      </c>
      <c r="N6" s="178">
        <v>5</v>
      </c>
      <c r="O6" s="178" t="str">
        <f t="shared" ca="1" si="3"/>
        <v>Middleton J</v>
      </c>
      <c r="P6" s="178">
        <f t="shared" ca="1" si="4"/>
        <v>12</v>
      </c>
      <c r="Q6" s="178">
        <f t="shared" ca="1" si="5"/>
        <v>1</v>
      </c>
      <c r="R6" s="178">
        <f t="shared" ca="1" si="6"/>
        <v>52</v>
      </c>
      <c r="S6" s="178">
        <f t="shared" ca="1" si="7"/>
        <v>244</v>
      </c>
      <c r="T6" s="179">
        <f t="shared" ca="1" si="8"/>
        <v>22.181818181818183</v>
      </c>
      <c r="V6" s="68" t="s">
        <v>208</v>
      </c>
      <c r="W6" s="68" t="s">
        <v>208</v>
      </c>
    </row>
    <row r="7" spans="1:23" ht="12.75" x14ac:dyDescent="0.15">
      <c r="A7" s="68">
        <v>6</v>
      </c>
      <c r="B7" s="68" t="str">
        <f ca="1">OFFSET(Batting!$C$4,BatAves!$I7,0)</f>
        <v>Seymour C</v>
      </c>
      <c r="C7" s="72">
        <f ca="1">OFFSET(Batting!$CE$4,BatAves!$I7,0)</f>
        <v>16</v>
      </c>
      <c r="D7" s="72">
        <f ca="1">OFFSET(Batting!$CG$4,BatAves!$I7,0)</f>
        <v>16</v>
      </c>
      <c r="E7" s="72">
        <f ca="1">OFFSET(Batting!$CH$4,BatAves!$I7,0)</f>
        <v>6</v>
      </c>
      <c r="F7" s="72">
        <f ca="1">OFFSET(Batting!$CJ$4,BatAves!$I7,0)</f>
        <v>59</v>
      </c>
      <c r="G7" s="72">
        <f ca="1">OFFSET(Batting!$CK$4,BatAves!$I7,0)</f>
        <v>325</v>
      </c>
      <c r="H7" s="76">
        <f ca="1">OFFSET(Batting!$CL$4,BatAves!$I7,0)</f>
        <v>32.5</v>
      </c>
      <c r="I7" s="68">
        <f>MATCH(A7,Batting!$DG$5:$DG$49,0)</f>
        <v>30</v>
      </c>
      <c r="J7" s="68">
        <f t="shared" ca="1" si="0"/>
        <v>6</v>
      </c>
      <c r="K7" s="68">
        <f t="shared" ca="1" si="1"/>
        <v>2</v>
      </c>
      <c r="L7" s="68" t="str">
        <f t="shared" ca="1" si="2"/>
        <v/>
      </c>
      <c r="M7" s="68">
        <f t="shared" ca="1" si="9"/>
        <v>12</v>
      </c>
      <c r="N7" s="178">
        <v>6</v>
      </c>
      <c r="O7" s="178" t="str">
        <f t="shared" ca="1" si="3"/>
        <v>Vashisthta</v>
      </c>
      <c r="P7" s="178">
        <f t="shared" ca="1" si="4"/>
        <v>5</v>
      </c>
      <c r="Q7" s="178">
        <f t="shared" ca="1" si="5"/>
        <v>3</v>
      </c>
      <c r="R7" s="178">
        <f t="shared" ca="1" si="6"/>
        <v>28</v>
      </c>
      <c r="S7" s="178">
        <f t="shared" ca="1" si="7"/>
        <v>41</v>
      </c>
      <c r="T7" s="179">
        <f t="shared" ca="1" si="8"/>
        <v>20.5</v>
      </c>
      <c r="V7" s="68" t="s">
        <v>208</v>
      </c>
      <c r="W7" s="68" t="s">
        <v>208</v>
      </c>
    </row>
    <row r="8" spans="1:23" ht="12.75" x14ac:dyDescent="0.15">
      <c r="A8" s="68">
        <v>7</v>
      </c>
      <c r="B8" s="68" t="str">
        <f ca="1">OFFSET(Batting!$C$4,BatAves!$I8,0)</f>
        <v>Sharpe D</v>
      </c>
      <c r="C8" s="72">
        <f ca="1">OFFSET(Batting!$CE$4,BatAves!$I8,0)</f>
        <v>14</v>
      </c>
      <c r="D8" s="72">
        <f ca="1">OFFSET(Batting!$CG$4,BatAves!$I8,0)</f>
        <v>14</v>
      </c>
      <c r="E8" s="72">
        <f ca="1">OFFSET(Batting!$CH$4,BatAves!$I8,0)</f>
        <v>0</v>
      </c>
      <c r="F8" s="72">
        <f ca="1">OFFSET(Batting!$CJ$4,BatAves!$I8,0)</f>
        <v>80</v>
      </c>
      <c r="G8" s="72">
        <f ca="1">OFFSET(Batting!$CK$4,BatAves!$I8,0)</f>
        <v>437</v>
      </c>
      <c r="H8" s="76">
        <f ca="1">OFFSET(Batting!$CL$4,BatAves!$I8,0)</f>
        <v>31.214285714285715</v>
      </c>
      <c r="I8" s="68">
        <f>MATCH(A8,Batting!$DG$5:$DG$49,0)</f>
        <v>31</v>
      </c>
      <c r="J8" s="68">
        <f t="shared" ca="1" si="0"/>
        <v>7</v>
      </c>
      <c r="K8" s="68">
        <f t="shared" ca="1" si="1"/>
        <v>3</v>
      </c>
      <c r="L8" s="68" t="str">
        <f t="shared" ca="1" si="2"/>
        <v/>
      </c>
      <c r="M8" s="68">
        <f t="shared" ca="1" si="9"/>
        <v>14</v>
      </c>
      <c r="N8" s="178">
        <v>7</v>
      </c>
      <c r="O8" s="178" t="str">
        <f t="shared" ca="1" si="3"/>
        <v>Clarkson M</v>
      </c>
      <c r="P8" s="178">
        <f t="shared" ca="1" si="4"/>
        <v>8</v>
      </c>
      <c r="Q8" s="178">
        <f t="shared" ca="1" si="5"/>
        <v>1</v>
      </c>
      <c r="R8" s="178">
        <f t="shared" ca="1" si="6"/>
        <v>56</v>
      </c>
      <c r="S8" s="178">
        <f t="shared" ca="1" si="7"/>
        <v>117</v>
      </c>
      <c r="T8" s="179">
        <f t="shared" ca="1" si="8"/>
        <v>16.714285714285715</v>
      </c>
      <c r="V8" s="103" t="s">
        <v>208</v>
      </c>
      <c r="W8" s="68" t="s">
        <v>208</v>
      </c>
    </row>
    <row r="9" spans="1:23" ht="12.75" x14ac:dyDescent="0.15">
      <c r="A9" s="68">
        <v>8</v>
      </c>
      <c r="B9" s="68" t="str">
        <f ca="1">OFFSET(Batting!$C$4,BatAves!$I9,0)</f>
        <v>Driver S</v>
      </c>
      <c r="C9" s="72">
        <f ca="1">OFFSET(Batting!$CE$4,BatAves!$I9,0)</f>
        <v>2</v>
      </c>
      <c r="D9" s="72">
        <f ca="1">OFFSET(Batting!$CG$4,BatAves!$I9,0)</f>
        <v>2</v>
      </c>
      <c r="E9" s="72">
        <f ca="1">OFFSET(Batting!$CH$4,BatAves!$I9,0)</f>
        <v>0</v>
      </c>
      <c r="F9" s="72">
        <f ca="1">OFFSET(Batting!$CJ$4,BatAves!$I9,0)</f>
        <v>53</v>
      </c>
      <c r="G9" s="72">
        <f ca="1">OFFSET(Batting!$CK$4,BatAves!$I9,0)</f>
        <v>53</v>
      </c>
      <c r="H9" s="76">
        <f ca="1">OFFSET(Batting!$CL$4,BatAves!$I9,0)</f>
        <v>26.5</v>
      </c>
      <c r="I9" s="68">
        <f>MATCH(A9,Batting!$DG$5:$DG$49,0)</f>
        <v>13</v>
      </c>
      <c r="J9" s="68">
        <f t="shared" ca="1" si="0"/>
        <v>1008</v>
      </c>
      <c r="K9" s="68">
        <f t="shared" ca="1" si="1"/>
        <v>16</v>
      </c>
      <c r="L9" s="68" t="str">
        <f t="shared" ca="1" si="2"/>
        <v>Driver S 2-0-53-53</v>
      </c>
      <c r="M9" s="68">
        <f t="shared" ca="1" si="9"/>
        <v>15</v>
      </c>
      <c r="N9" s="178">
        <v>8</v>
      </c>
      <c r="O9" s="178" t="str">
        <f t="shared" ca="1" si="3"/>
        <v>Brocks D</v>
      </c>
      <c r="P9" s="178">
        <f t="shared" ca="1" si="4"/>
        <v>6</v>
      </c>
      <c r="Q9" s="178">
        <f t="shared" ca="1" si="5"/>
        <v>1</v>
      </c>
      <c r="R9" s="178">
        <f t="shared" ca="1" si="6"/>
        <v>38</v>
      </c>
      <c r="S9" s="178">
        <f t="shared" ca="1" si="7"/>
        <v>80</v>
      </c>
      <c r="T9" s="179">
        <f t="shared" ca="1" si="8"/>
        <v>16</v>
      </c>
      <c r="V9" s="103" t="s">
        <v>208</v>
      </c>
      <c r="W9" s="68" t="s">
        <v>208</v>
      </c>
    </row>
    <row r="10" spans="1:23" ht="12.75" x14ac:dyDescent="0.15">
      <c r="A10" s="68">
        <v>9</v>
      </c>
      <c r="B10" s="68" t="str">
        <f ca="1">OFFSET(Batting!$C$4,BatAves!$I10,0)</f>
        <v>Mander A</v>
      </c>
      <c r="C10" s="72">
        <f ca="1">OFFSET(Batting!$CE$4,BatAves!$I10,0)</f>
        <v>7</v>
      </c>
      <c r="D10" s="72">
        <f ca="1">OFFSET(Batting!$CG$4,BatAves!$I10,0)</f>
        <v>5</v>
      </c>
      <c r="E10" s="72">
        <f ca="1">OFFSET(Batting!$CH$4,BatAves!$I10,0)</f>
        <v>3</v>
      </c>
      <c r="F10" s="72" t="str">
        <f ca="1">OFFSET(Batting!$CJ$4,BatAves!$I10,0)</f>
        <v>21*</v>
      </c>
      <c r="G10" s="72">
        <f ca="1">OFFSET(Batting!$CK$4,BatAves!$I10,0)</f>
        <v>51</v>
      </c>
      <c r="H10" s="76">
        <f ca="1">OFFSET(Batting!$CL$4,BatAves!$I10,0)</f>
        <v>25.5</v>
      </c>
      <c r="I10" s="68">
        <f>MATCH(A10,Batting!$DG$5:$DG$49,0)</f>
        <v>22</v>
      </c>
      <c r="J10" s="68">
        <f t="shared" ca="1" si="0"/>
        <v>9</v>
      </c>
      <c r="K10" s="68">
        <f t="shared" ca="1" si="1"/>
        <v>4</v>
      </c>
      <c r="L10" s="68" t="str">
        <f t="shared" ca="1" si="2"/>
        <v/>
      </c>
      <c r="M10" s="68">
        <f t="shared" ca="1" si="9"/>
        <v>18</v>
      </c>
      <c r="N10" s="178">
        <v>9</v>
      </c>
      <c r="O10" s="178" t="str">
        <f t="shared" ca="1" si="3"/>
        <v>Edghill C</v>
      </c>
      <c r="P10" s="178">
        <f t="shared" ca="1" si="4"/>
        <v>6</v>
      </c>
      <c r="Q10" s="178">
        <f t="shared" ca="1" si="5"/>
        <v>2</v>
      </c>
      <c r="R10" s="178">
        <f t="shared" ca="1" si="6"/>
        <v>16</v>
      </c>
      <c r="S10" s="178">
        <f t="shared" ca="1" si="7"/>
        <v>40</v>
      </c>
      <c r="T10" s="179">
        <f t="shared" ca="1" si="8"/>
        <v>10</v>
      </c>
      <c r="V10" s="103" t="s">
        <v>208</v>
      </c>
    </row>
    <row r="11" spans="1:23" ht="12.75" x14ac:dyDescent="0.15">
      <c r="A11" s="68">
        <v>10</v>
      </c>
      <c r="B11" s="68" t="str">
        <f ca="1">OFFSET(Batting!$C$4,BatAves!$I11,0)</f>
        <v>Stevenson R</v>
      </c>
      <c r="C11" s="72">
        <f ca="1">OFFSET(Batting!$CE$4,BatAves!$I11,0)</f>
        <v>1</v>
      </c>
      <c r="D11" s="72">
        <f ca="1">OFFSET(Batting!$CG$4,BatAves!$I11,0)</f>
        <v>1</v>
      </c>
      <c r="E11" s="72">
        <f ca="1">OFFSET(Batting!$CH$4,BatAves!$I11,0)</f>
        <v>0</v>
      </c>
      <c r="F11" s="72">
        <f ca="1">OFFSET(Batting!$CJ$4,BatAves!$I11,0)</f>
        <v>25</v>
      </c>
      <c r="G11" s="72">
        <f ca="1">OFFSET(Batting!$CK$4,BatAves!$I11,0)</f>
        <v>25</v>
      </c>
      <c r="H11" s="76">
        <f ca="1">OFFSET(Batting!$CL$4,BatAves!$I11,0)</f>
        <v>25</v>
      </c>
      <c r="I11" s="68">
        <f>MATCH(A11,Batting!$DG$5:$DG$49,0)</f>
        <v>36</v>
      </c>
      <c r="J11" s="68">
        <f t="shared" ca="1" si="0"/>
        <v>1010</v>
      </c>
      <c r="K11" s="68">
        <f t="shared" ca="1" si="1"/>
        <v>17</v>
      </c>
      <c r="L11" s="68" t="str">
        <f t="shared" ca="1" si="2"/>
        <v>Stevenson R 1-0-25-25</v>
      </c>
      <c r="M11" s="68">
        <f t="shared" ca="1" si="9"/>
        <v>24</v>
      </c>
      <c r="N11" s="178">
        <v>10</v>
      </c>
      <c r="O11" s="178" t="str">
        <f t="shared" ca="1" si="3"/>
        <v>Smith C</v>
      </c>
      <c r="P11" s="178">
        <f t="shared" ca="1" si="4"/>
        <v>10</v>
      </c>
      <c r="Q11" s="178">
        <f t="shared" ca="1" si="5"/>
        <v>1</v>
      </c>
      <c r="R11" s="178">
        <f t="shared" ca="1" si="6"/>
        <v>12</v>
      </c>
      <c r="S11" s="178">
        <f t="shared" ca="1" si="7"/>
        <v>28</v>
      </c>
      <c r="T11" s="179">
        <f t="shared" ca="1" si="8"/>
        <v>3.1111111111111112</v>
      </c>
      <c r="V11" s="103" t="s">
        <v>208</v>
      </c>
    </row>
    <row r="12" spans="1:23" ht="12.75" x14ac:dyDescent="0.15">
      <c r="A12" s="68">
        <v>11</v>
      </c>
      <c r="B12" s="68" t="str">
        <f ca="1">OFFSET(Batting!$C$4,BatAves!$I12,0)</f>
        <v>Middleton J</v>
      </c>
      <c r="C12" s="72">
        <f ca="1">OFFSET(Batting!$CE$4,BatAves!$I12,0)</f>
        <v>14</v>
      </c>
      <c r="D12" s="72">
        <f ca="1">OFFSET(Batting!$CG$4,BatAves!$I12,0)</f>
        <v>12</v>
      </c>
      <c r="E12" s="72">
        <f ca="1">OFFSET(Batting!$CH$4,BatAves!$I12,0)</f>
        <v>1</v>
      </c>
      <c r="F12" s="72">
        <f ca="1">OFFSET(Batting!$CJ$4,BatAves!$I12,0)</f>
        <v>52</v>
      </c>
      <c r="G12" s="72">
        <f ca="1">OFFSET(Batting!$CK$4,BatAves!$I12,0)</f>
        <v>244</v>
      </c>
      <c r="H12" s="76">
        <f ca="1">OFFSET(Batting!$CL$4,BatAves!$I12,0)</f>
        <v>22.181818181818183</v>
      </c>
      <c r="I12" s="68">
        <f>MATCH(A12,Batting!$DG$5:$DG$49,0)</f>
        <v>24</v>
      </c>
      <c r="J12" s="68">
        <f t="shared" ca="1" si="0"/>
        <v>11</v>
      </c>
      <c r="K12" s="68">
        <f t="shared" ca="1" si="1"/>
        <v>5</v>
      </c>
      <c r="L12" s="68" t="str">
        <f t="shared" ca="1" si="2"/>
        <v/>
      </c>
      <c r="M12" s="68">
        <f t="shared" ca="1" si="9"/>
        <v>25</v>
      </c>
      <c r="N12" s="178">
        <v>11</v>
      </c>
      <c r="O12" s="178" t="str">
        <f t="shared" ca="1" si="3"/>
        <v>Tiyagi V</v>
      </c>
      <c r="P12" s="178">
        <f t="shared" ca="1" si="4"/>
        <v>5</v>
      </c>
      <c r="Q12" s="178">
        <f t="shared" ca="1" si="5"/>
        <v>0</v>
      </c>
      <c r="R12" s="178">
        <f t="shared" ca="1" si="6"/>
        <v>7</v>
      </c>
      <c r="S12" s="178">
        <f t="shared" ca="1" si="7"/>
        <v>14</v>
      </c>
      <c r="T12" s="179">
        <f t="shared" ca="1" si="8"/>
        <v>2.8</v>
      </c>
      <c r="V12" s="103" t="s">
        <v>208</v>
      </c>
    </row>
    <row r="13" spans="1:23" ht="12.75" x14ac:dyDescent="0.15">
      <c r="A13" s="68">
        <v>12</v>
      </c>
      <c r="B13" s="68" t="str">
        <f ca="1">OFFSET(Batting!$C$4,BatAves!$I13,0)</f>
        <v>Vashisthta</v>
      </c>
      <c r="C13" s="72">
        <f ca="1">OFFSET(Batting!$CE$4,BatAves!$I13,0)</f>
        <v>7</v>
      </c>
      <c r="D13" s="72">
        <f ca="1">OFFSET(Batting!$CG$4,BatAves!$I13,0)</f>
        <v>5</v>
      </c>
      <c r="E13" s="72">
        <f ca="1">OFFSET(Batting!$CH$4,BatAves!$I13,0)</f>
        <v>3</v>
      </c>
      <c r="F13" s="72">
        <f ca="1">OFFSET(Batting!$CJ$4,BatAves!$I13,0)</f>
        <v>28</v>
      </c>
      <c r="G13" s="72">
        <f ca="1">OFFSET(Batting!$CK$4,BatAves!$I13,0)</f>
        <v>41</v>
      </c>
      <c r="H13" s="76">
        <f ca="1">OFFSET(Batting!$CL$4,BatAves!$I13,0)</f>
        <v>20.5</v>
      </c>
      <c r="I13" s="68">
        <f>MATCH(A13,Batting!$DG$5:$DG$49,0)</f>
        <v>41</v>
      </c>
      <c r="J13" s="68">
        <f t="shared" ca="1" si="0"/>
        <v>12</v>
      </c>
      <c r="K13" s="68">
        <f t="shared" ca="1" si="1"/>
        <v>6</v>
      </c>
      <c r="L13" s="68" t="str">
        <f t="shared" ca="1" si="2"/>
        <v/>
      </c>
      <c r="M13" s="68">
        <f t="shared" ca="1" si="9"/>
        <v>1</v>
      </c>
      <c r="N13" s="128">
        <v>12</v>
      </c>
      <c r="O13" s="128" t="str">
        <f t="shared" ca="1" si="3"/>
        <v>Mati</v>
      </c>
      <c r="P13" s="128">
        <f t="shared" ca="1" si="4"/>
        <v>1</v>
      </c>
      <c r="Q13" s="128">
        <f t="shared" ca="1" si="5"/>
        <v>0</v>
      </c>
      <c r="R13" s="128">
        <f t="shared" ca="1" si="6"/>
        <v>64</v>
      </c>
      <c r="S13" s="128">
        <f t="shared" ca="1" si="7"/>
        <v>64</v>
      </c>
      <c r="T13" s="130">
        <f t="shared" ca="1" si="8"/>
        <v>64</v>
      </c>
      <c r="V13" s="103" t="s">
        <v>208</v>
      </c>
    </row>
    <row r="14" spans="1:23" ht="12.75" x14ac:dyDescent="0.15">
      <c r="A14" s="68">
        <v>13</v>
      </c>
      <c r="B14" s="68" t="str">
        <f ca="1">OFFSET(Batting!$C$4,BatAves!$I14,0)</f>
        <v>Goodacre C</v>
      </c>
      <c r="C14" s="72">
        <f ca="1">OFFSET(Batting!$CE$4,BatAves!$I14,0)</f>
        <v>1</v>
      </c>
      <c r="D14" s="72">
        <f ca="1">OFFSET(Batting!$CG$4,BatAves!$I14,0)</f>
        <v>1</v>
      </c>
      <c r="E14" s="72">
        <f ca="1">OFFSET(Batting!$CH$4,BatAves!$I14,0)</f>
        <v>0</v>
      </c>
      <c r="F14" s="72">
        <f ca="1">OFFSET(Batting!$CJ$4,BatAves!$I14,0)</f>
        <v>20</v>
      </c>
      <c r="G14" s="72">
        <f ca="1">OFFSET(Batting!$CK$4,BatAves!$I14,0)</f>
        <v>20</v>
      </c>
      <c r="H14" s="76">
        <f ca="1">OFFSET(Batting!$CL$4,BatAves!$I14,0)</f>
        <v>20</v>
      </c>
      <c r="I14" s="68">
        <f>MATCH(A14,Batting!$DG$5:$DG$49,0)</f>
        <v>19</v>
      </c>
      <c r="J14" s="68">
        <f t="shared" ca="1" si="0"/>
        <v>1013</v>
      </c>
      <c r="K14" s="68">
        <f t="shared" ca="1" si="1"/>
        <v>18</v>
      </c>
      <c r="L14" s="68" t="str">
        <f t="shared" ca="1" si="2"/>
        <v>Goodacre C 1-0-20-20</v>
      </c>
      <c r="M14" s="68">
        <f t="shared" ca="1" si="9"/>
        <v>2</v>
      </c>
      <c r="N14" s="128">
        <v>13</v>
      </c>
      <c r="O14" s="128" t="str">
        <f t="shared" ca="1" si="3"/>
        <v>Worthington</v>
      </c>
      <c r="P14" s="128">
        <f t="shared" ca="1" si="4"/>
        <v>2</v>
      </c>
      <c r="Q14" s="128">
        <f t="shared" ca="1" si="5"/>
        <v>1</v>
      </c>
      <c r="R14" s="128" t="str">
        <f t="shared" ca="1" si="6"/>
        <v>42*</v>
      </c>
      <c r="S14" s="128">
        <f t="shared" ca="1" si="7"/>
        <v>53</v>
      </c>
      <c r="T14" s="130">
        <f t="shared" ca="1" si="8"/>
        <v>53</v>
      </c>
      <c r="V14" s="103" t="s">
        <v>208</v>
      </c>
    </row>
    <row r="15" spans="1:23" ht="12.75" x14ac:dyDescent="0.15">
      <c r="A15" s="68">
        <v>14</v>
      </c>
      <c r="B15" s="68" t="str">
        <f ca="1">OFFSET(Batting!$C$4,BatAves!$I15,0)</f>
        <v>Clarkson M</v>
      </c>
      <c r="C15" s="72">
        <f ca="1">OFFSET(Batting!$CE$4,BatAves!$I15,0)</f>
        <v>9</v>
      </c>
      <c r="D15" s="72">
        <f ca="1">OFFSET(Batting!$CG$4,BatAves!$I15,0)</f>
        <v>8</v>
      </c>
      <c r="E15" s="72">
        <f ca="1">OFFSET(Batting!$CH$4,BatAves!$I15,0)</f>
        <v>1</v>
      </c>
      <c r="F15" s="72">
        <f ca="1">OFFSET(Batting!$CJ$4,BatAves!$I15,0)</f>
        <v>56</v>
      </c>
      <c r="G15" s="72">
        <f ca="1">OFFSET(Batting!$CK$4,BatAves!$I15,0)</f>
        <v>117</v>
      </c>
      <c r="H15" s="76">
        <f ca="1">OFFSET(Batting!$CL$4,BatAves!$I15,0)</f>
        <v>16.714285714285715</v>
      </c>
      <c r="I15" s="68">
        <f>MATCH(A15,Batting!$DG$5:$DG$49,0)</f>
        <v>9</v>
      </c>
      <c r="J15" s="68">
        <f t="shared" ca="1" si="0"/>
        <v>14</v>
      </c>
      <c r="K15" s="68">
        <f t="shared" ca="1" si="1"/>
        <v>7</v>
      </c>
      <c r="L15" s="68" t="str">
        <f t="shared" ca="1" si="2"/>
        <v/>
      </c>
      <c r="M15" s="68">
        <f t="shared" ca="1" si="9"/>
        <v>4</v>
      </c>
      <c r="N15" s="128">
        <v>14</v>
      </c>
      <c r="O15" s="128" t="str">
        <f t="shared" ca="1" si="3"/>
        <v>Pascoe N</v>
      </c>
      <c r="P15" s="128">
        <f t="shared" ca="1" si="4"/>
        <v>3</v>
      </c>
      <c r="Q15" s="128">
        <f t="shared" ca="1" si="5"/>
        <v>2</v>
      </c>
      <c r="R15" s="128" t="str">
        <f t="shared" ca="1" si="6"/>
        <v>29*</v>
      </c>
      <c r="S15" s="128">
        <f t="shared" ca="1" si="7"/>
        <v>35</v>
      </c>
      <c r="T15" s="130">
        <f t="shared" ca="1" si="8"/>
        <v>35</v>
      </c>
      <c r="V15" s="103" t="s">
        <v>208</v>
      </c>
      <c r="W15" s="136"/>
    </row>
    <row r="16" spans="1:23" ht="12.75" x14ac:dyDescent="0.15">
      <c r="A16" s="68">
        <v>15</v>
      </c>
      <c r="B16" s="68" t="str">
        <f ca="1">OFFSET(Batting!$C$4,BatAves!$I16,0)</f>
        <v>Brocks D</v>
      </c>
      <c r="C16" s="72">
        <f ca="1">OFFSET(Batting!$CE$4,BatAves!$I16,0)</f>
        <v>6</v>
      </c>
      <c r="D16" s="72">
        <f ca="1">OFFSET(Batting!$CG$4,BatAves!$I16,0)</f>
        <v>6</v>
      </c>
      <c r="E16" s="72">
        <f ca="1">OFFSET(Batting!$CH$4,BatAves!$I16,0)</f>
        <v>1</v>
      </c>
      <c r="F16" s="72">
        <f ca="1">OFFSET(Batting!$CJ$4,BatAves!$I16,0)</f>
        <v>38</v>
      </c>
      <c r="G16" s="72">
        <f ca="1">OFFSET(Batting!$CK$4,BatAves!$I16,0)</f>
        <v>80</v>
      </c>
      <c r="H16" s="76">
        <f ca="1">OFFSET(Batting!$CL$4,BatAves!$I16,0)</f>
        <v>16</v>
      </c>
      <c r="I16" s="68">
        <f>MATCH(A16,Batting!$DG$5:$DG$49,0)</f>
        <v>7</v>
      </c>
      <c r="J16" s="68">
        <f t="shared" ca="1" si="0"/>
        <v>15</v>
      </c>
      <c r="K16" s="68">
        <f t="shared" ca="1" si="1"/>
        <v>8</v>
      </c>
      <c r="L16" s="68" t="str">
        <f t="shared" ca="1" si="2"/>
        <v/>
      </c>
      <c r="M16" s="68">
        <f t="shared" ca="1" si="9"/>
        <v>5</v>
      </c>
      <c r="N16" s="128">
        <v>15</v>
      </c>
      <c r="O16" s="128" t="str">
        <f t="shared" ca="1" si="3"/>
        <v>Barber J</v>
      </c>
      <c r="P16" s="128">
        <f t="shared" ca="1" si="4"/>
        <v>1</v>
      </c>
      <c r="Q16" s="128">
        <f t="shared" ca="1" si="5"/>
        <v>0</v>
      </c>
      <c r="R16" s="128">
        <f t="shared" ca="1" si="6"/>
        <v>33</v>
      </c>
      <c r="S16" s="128">
        <f t="shared" ca="1" si="7"/>
        <v>33</v>
      </c>
      <c r="T16" s="130">
        <f t="shared" ca="1" si="8"/>
        <v>33</v>
      </c>
      <c r="V16" s="68" t="s">
        <v>208</v>
      </c>
      <c r="W16" s="136"/>
    </row>
    <row r="17" spans="1:23" ht="12.75" x14ac:dyDescent="0.15">
      <c r="A17" s="68">
        <v>16</v>
      </c>
      <c r="B17" s="68" t="str">
        <f ca="1">OFFSET(Batting!$C$4,BatAves!$I17,0)</f>
        <v xml:space="preserve">O'Rourke </v>
      </c>
      <c r="C17" s="72">
        <f ca="1">OFFSET(Batting!$CE$4,BatAves!$I17,0)</f>
        <v>1</v>
      </c>
      <c r="D17" s="72">
        <f ca="1">OFFSET(Batting!$CG$4,BatAves!$I17,0)</f>
        <v>1</v>
      </c>
      <c r="E17" s="72">
        <f ca="1">OFFSET(Batting!$CH$4,BatAves!$I17,0)</f>
        <v>0</v>
      </c>
      <c r="F17" s="72">
        <f ca="1">OFFSET(Batting!$CJ$4,BatAves!$I17,0)</f>
        <v>14</v>
      </c>
      <c r="G17" s="72">
        <f ca="1">OFFSET(Batting!$CK$4,BatAves!$I17,0)</f>
        <v>14</v>
      </c>
      <c r="H17" s="76">
        <f ca="1">OFFSET(Batting!$CL$4,BatAves!$I17,0)</f>
        <v>14</v>
      </c>
      <c r="I17" s="68">
        <f>MATCH(A17,Batting!$DG$5:$DG$49,0)</f>
        <v>26</v>
      </c>
      <c r="J17" s="68">
        <f t="shared" ca="1" si="0"/>
        <v>1016</v>
      </c>
      <c r="K17" s="68">
        <f t="shared" ca="1" si="1"/>
        <v>19</v>
      </c>
      <c r="L17" s="68" t="str">
        <f t="shared" ca="1" si="2"/>
        <v>O'Rourke  1-0-14-14</v>
      </c>
      <c r="M17" s="68">
        <f t="shared" ca="1" si="9"/>
        <v>8</v>
      </c>
      <c r="N17" s="128">
        <v>16</v>
      </c>
      <c r="O17" s="128" t="str">
        <f t="shared" ca="1" si="3"/>
        <v>Driver S</v>
      </c>
      <c r="P17" s="128">
        <f t="shared" ca="1" si="4"/>
        <v>2</v>
      </c>
      <c r="Q17" s="128">
        <f t="shared" ca="1" si="5"/>
        <v>0</v>
      </c>
      <c r="R17" s="128">
        <f t="shared" ca="1" si="6"/>
        <v>53</v>
      </c>
      <c r="S17" s="128">
        <f t="shared" ca="1" si="7"/>
        <v>53</v>
      </c>
      <c r="T17" s="130">
        <f t="shared" ca="1" si="8"/>
        <v>26.5</v>
      </c>
      <c r="V17" s="68" t="s">
        <v>208</v>
      </c>
      <c r="W17" s="136"/>
    </row>
    <row r="18" spans="1:23" ht="12.75" x14ac:dyDescent="0.15">
      <c r="A18" s="68">
        <v>17</v>
      </c>
      <c r="B18" s="68" t="str">
        <f ca="1">OFFSET(Batting!$C$4,BatAves!$I18,0)</f>
        <v>Azfar S</v>
      </c>
      <c r="C18" s="72">
        <f ca="1">OFFSET(Batting!$CE$4,BatAves!$I18,0)</f>
        <v>1</v>
      </c>
      <c r="D18" s="72">
        <f ca="1">OFFSET(Batting!$CG$4,BatAves!$I18,0)</f>
        <v>1</v>
      </c>
      <c r="E18" s="72">
        <f ca="1">OFFSET(Batting!$CH$4,BatAves!$I18,0)</f>
        <v>0</v>
      </c>
      <c r="F18" s="72">
        <f ca="1">OFFSET(Batting!$CJ$4,BatAves!$I18,0)</f>
        <v>11</v>
      </c>
      <c r="G18" s="72">
        <f ca="1">OFFSET(Batting!$CK$4,BatAves!$I18,0)</f>
        <v>11</v>
      </c>
      <c r="H18" s="76">
        <f ca="1">OFFSET(Batting!$CL$4,BatAves!$I18,0)</f>
        <v>11</v>
      </c>
      <c r="I18" s="68">
        <f>MATCH(A18,Batting!$DG$5:$DG$49,0)</f>
        <v>3</v>
      </c>
      <c r="J18" s="68">
        <f t="shared" ca="1" si="0"/>
        <v>1017</v>
      </c>
      <c r="K18" s="68">
        <f t="shared" ca="1" si="1"/>
        <v>20</v>
      </c>
      <c r="L18" s="68" t="str">
        <f t="shared" ca="1" si="2"/>
        <v>Azfar S 1-0-11-11</v>
      </c>
      <c r="M18" s="68">
        <f t="shared" ca="1" si="9"/>
        <v>10</v>
      </c>
      <c r="N18" s="128">
        <v>17</v>
      </c>
      <c r="O18" s="128" t="str">
        <f t="shared" ca="1" si="3"/>
        <v>Stevenson R</v>
      </c>
      <c r="P18" s="128">
        <f t="shared" ca="1" si="4"/>
        <v>1</v>
      </c>
      <c r="Q18" s="128">
        <f t="shared" ca="1" si="5"/>
        <v>0</v>
      </c>
      <c r="R18" s="128">
        <f t="shared" ca="1" si="6"/>
        <v>25</v>
      </c>
      <c r="S18" s="128">
        <f t="shared" ca="1" si="7"/>
        <v>25</v>
      </c>
      <c r="T18" s="130">
        <f t="shared" ca="1" si="8"/>
        <v>25</v>
      </c>
      <c r="V18" s="164"/>
      <c r="W18" s="136"/>
    </row>
    <row r="19" spans="1:23" ht="12.75" x14ac:dyDescent="0.15">
      <c r="A19" s="68">
        <v>18</v>
      </c>
      <c r="B19" s="68" t="str">
        <f ca="1">OFFSET(Batting!$C$4,BatAves!$I19,0)</f>
        <v>Edghill C</v>
      </c>
      <c r="C19" s="72">
        <f ca="1">OFFSET(Batting!$CE$4,BatAves!$I19,0)</f>
        <v>8</v>
      </c>
      <c r="D19" s="72">
        <f ca="1">OFFSET(Batting!$CG$4,BatAves!$I19,0)</f>
        <v>6</v>
      </c>
      <c r="E19" s="72">
        <f ca="1">OFFSET(Batting!$CH$4,BatAves!$I19,0)</f>
        <v>2</v>
      </c>
      <c r="F19" s="72">
        <f ca="1">OFFSET(Batting!$CJ$4,BatAves!$I19,0)</f>
        <v>16</v>
      </c>
      <c r="G19" s="72">
        <f ca="1">OFFSET(Batting!$CK$4,BatAves!$I19,0)</f>
        <v>40</v>
      </c>
      <c r="H19" s="76">
        <f ca="1">OFFSET(Batting!$CL$4,BatAves!$I19,0)</f>
        <v>10</v>
      </c>
      <c r="I19" s="68">
        <f>MATCH(A19,Batting!$DG$5:$DG$49,0)</f>
        <v>16</v>
      </c>
      <c r="J19" s="68">
        <f t="shared" ca="1" si="0"/>
        <v>18</v>
      </c>
      <c r="K19" s="68">
        <f t="shared" ca="1" si="1"/>
        <v>9</v>
      </c>
      <c r="L19" s="68" t="str">
        <f t="shared" ca="1" si="2"/>
        <v/>
      </c>
      <c r="M19" s="68">
        <f t="shared" ca="1" si="9"/>
        <v>13</v>
      </c>
      <c r="N19" s="128">
        <v>18</v>
      </c>
      <c r="O19" s="128" t="str">
        <f t="shared" ca="1" si="3"/>
        <v>Goodacre C</v>
      </c>
      <c r="P19" s="128">
        <f t="shared" ca="1" si="4"/>
        <v>1</v>
      </c>
      <c r="Q19" s="128">
        <f t="shared" ca="1" si="5"/>
        <v>0</v>
      </c>
      <c r="R19" s="128">
        <f t="shared" ca="1" si="6"/>
        <v>20</v>
      </c>
      <c r="S19" s="128">
        <f t="shared" ca="1" si="7"/>
        <v>20</v>
      </c>
      <c r="T19" s="130">
        <f t="shared" ca="1" si="8"/>
        <v>20</v>
      </c>
      <c r="V19" s="164"/>
      <c r="W19" s="136" t="s">
        <v>208</v>
      </c>
    </row>
    <row r="20" spans="1:23" ht="12.75" x14ac:dyDescent="0.15">
      <c r="A20" s="68">
        <v>19</v>
      </c>
      <c r="B20" s="68" t="str">
        <f ca="1">OFFSET(Batting!$C$4,BatAves!$I20,0)</f>
        <v>Castle I</v>
      </c>
      <c r="C20" s="72">
        <f ca="1">OFFSET(Batting!$CE$4,BatAves!$I20,0)</f>
        <v>1</v>
      </c>
      <c r="D20" s="72">
        <f ca="1">OFFSET(Batting!$CG$4,BatAves!$I20,0)</f>
        <v>1</v>
      </c>
      <c r="E20" s="72">
        <f ca="1">OFFSET(Batting!$CH$4,BatAves!$I20,0)</f>
        <v>0</v>
      </c>
      <c r="F20" s="72">
        <f ca="1">OFFSET(Batting!$CJ$4,BatAves!$I20,0)</f>
        <v>9</v>
      </c>
      <c r="G20" s="72">
        <f ca="1">OFFSET(Batting!$CK$4,BatAves!$I20,0)</f>
        <v>9</v>
      </c>
      <c r="H20" s="76">
        <f ca="1">OFFSET(Batting!$CL$4,BatAves!$I20,0)</f>
        <v>9</v>
      </c>
      <c r="I20" s="68">
        <f>MATCH(A20,Batting!$DG$5:$DG$49,0)</f>
        <v>8</v>
      </c>
      <c r="J20" s="68">
        <f t="shared" ca="1" si="0"/>
        <v>1019</v>
      </c>
      <c r="K20" s="68">
        <f t="shared" ca="1" si="1"/>
        <v>21</v>
      </c>
      <c r="L20" s="68" t="str">
        <f t="shared" ca="1" si="2"/>
        <v>Castle I 1-0-9-9</v>
      </c>
      <c r="M20" s="68">
        <f t="shared" ca="1" si="9"/>
        <v>16</v>
      </c>
      <c r="N20" s="128">
        <v>19</v>
      </c>
      <c r="O20" s="128" t="str">
        <f t="shared" ca="1" si="3"/>
        <v xml:space="preserve">O'Rourke </v>
      </c>
      <c r="P20" s="128">
        <f t="shared" ca="1" si="4"/>
        <v>1</v>
      </c>
      <c r="Q20" s="128">
        <f t="shared" ca="1" si="5"/>
        <v>0</v>
      </c>
      <c r="R20" s="128">
        <f t="shared" ca="1" si="6"/>
        <v>14</v>
      </c>
      <c r="S20" s="128">
        <f t="shared" ca="1" si="7"/>
        <v>14</v>
      </c>
      <c r="T20" s="130">
        <f t="shared" ca="1" si="8"/>
        <v>14</v>
      </c>
      <c r="V20" s="164"/>
      <c r="W20" s="68" t="s">
        <v>208</v>
      </c>
    </row>
    <row r="21" spans="1:23" ht="12.75" x14ac:dyDescent="0.15">
      <c r="A21" s="68">
        <v>20</v>
      </c>
      <c r="B21" s="68" t="str">
        <f ca="1">OFFSET(Batting!$C$4,BatAves!$I21,0)</f>
        <v>Dalrymple A</v>
      </c>
      <c r="C21" s="72">
        <f ca="1">OFFSET(Batting!$CE$4,BatAves!$I21,0)</f>
        <v>1</v>
      </c>
      <c r="D21" s="72">
        <f ca="1">OFFSET(Batting!$CG$4,BatAves!$I21,0)</f>
        <v>1</v>
      </c>
      <c r="E21" s="72">
        <f ca="1">OFFSET(Batting!$CH$4,BatAves!$I21,0)</f>
        <v>0</v>
      </c>
      <c r="F21" s="72">
        <f ca="1">OFFSET(Batting!$CJ$4,BatAves!$I21,0)</f>
        <v>8</v>
      </c>
      <c r="G21" s="72">
        <f ca="1">OFFSET(Batting!$CK$4,BatAves!$I21,0)</f>
        <v>8</v>
      </c>
      <c r="H21" s="76">
        <f ca="1">OFFSET(Batting!$CL$4,BatAves!$I21,0)</f>
        <v>8</v>
      </c>
      <c r="I21" s="68">
        <f>MATCH(A21,Batting!$DG$5:$DG$49,0)</f>
        <v>12</v>
      </c>
      <c r="J21" s="68">
        <f t="shared" ca="1" si="0"/>
        <v>1020</v>
      </c>
      <c r="K21" s="68">
        <f t="shared" ca="1" si="1"/>
        <v>22</v>
      </c>
      <c r="L21" s="68" t="str">
        <f t="shared" ca="1" si="2"/>
        <v>Dalrymple A 1-0-8-8</v>
      </c>
      <c r="M21" s="68">
        <f t="shared" ca="1" si="9"/>
        <v>17</v>
      </c>
      <c r="N21" s="128">
        <v>20</v>
      </c>
      <c r="O21" s="128" t="str">
        <f t="shared" ca="1" si="3"/>
        <v>Azfar S</v>
      </c>
      <c r="P21" s="128">
        <f t="shared" ca="1" si="4"/>
        <v>1</v>
      </c>
      <c r="Q21" s="128">
        <f t="shared" ca="1" si="5"/>
        <v>0</v>
      </c>
      <c r="R21" s="128">
        <f t="shared" ca="1" si="6"/>
        <v>11</v>
      </c>
      <c r="S21" s="128">
        <f t="shared" ca="1" si="7"/>
        <v>11</v>
      </c>
      <c r="T21" s="130">
        <f t="shared" ca="1" si="8"/>
        <v>11</v>
      </c>
      <c r="V21" s="164"/>
      <c r="W21" s="68" t="s">
        <v>208</v>
      </c>
    </row>
    <row r="22" spans="1:23" ht="12.75" x14ac:dyDescent="0.15">
      <c r="A22" s="68">
        <v>21</v>
      </c>
      <c r="B22" s="68" t="str">
        <f ca="1">OFFSET(Batting!$C$4,BatAves!$I22,0)</f>
        <v>Woodhouse M</v>
      </c>
      <c r="C22" s="72">
        <f ca="1">OFFSET(Batting!$CE$4,BatAves!$I22,0)</f>
        <v>3</v>
      </c>
      <c r="D22" s="72">
        <f ca="1">OFFSET(Batting!$CG$4,BatAves!$I22,0)</f>
        <v>3</v>
      </c>
      <c r="E22" s="72">
        <f ca="1">OFFSET(Batting!$CH$4,BatAves!$I22,0)</f>
        <v>0</v>
      </c>
      <c r="F22" s="72">
        <f ca="1">OFFSET(Batting!$CJ$4,BatAves!$I22,0)</f>
        <v>14</v>
      </c>
      <c r="G22" s="72">
        <f ca="1">OFFSET(Batting!$CK$4,BatAves!$I22,0)</f>
        <v>22</v>
      </c>
      <c r="H22" s="76">
        <f ca="1">OFFSET(Batting!$CL$4,BatAves!$I22,0)</f>
        <v>7.333333333333333</v>
      </c>
      <c r="I22" s="68">
        <f>MATCH(A22,Batting!$DG$5:$DG$49,0)</f>
        <v>44</v>
      </c>
      <c r="J22" s="68">
        <f t="shared" ca="1" si="0"/>
        <v>1021</v>
      </c>
      <c r="K22" s="68">
        <f t="shared" ca="1" si="1"/>
        <v>23</v>
      </c>
      <c r="L22" s="68" t="str">
        <f t="shared" ca="1" si="2"/>
        <v>Woodhouse M 3-0-14-22</v>
      </c>
      <c r="M22" s="68">
        <f t="shared" ca="1" si="9"/>
        <v>19</v>
      </c>
      <c r="N22" s="128">
        <v>21</v>
      </c>
      <c r="O22" s="128" t="str">
        <f t="shared" ca="1" si="3"/>
        <v>Castle I</v>
      </c>
      <c r="P22" s="128">
        <f t="shared" ca="1" si="4"/>
        <v>1</v>
      </c>
      <c r="Q22" s="128">
        <f t="shared" ca="1" si="5"/>
        <v>0</v>
      </c>
      <c r="R22" s="128">
        <f t="shared" ca="1" si="6"/>
        <v>9</v>
      </c>
      <c r="S22" s="128">
        <f t="shared" ca="1" si="7"/>
        <v>9</v>
      </c>
      <c r="T22" s="130">
        <f t="shared" ca="1" si="8"/>
        <v>9</v>
      </c>
      <c r="V22" s="164"/>
      <c r="W22" s="68" t="s">
        <v>208</v>
      </c>
    </row>
    <row r="23" spans="1:23" ht="12.75" x14ac:dyDescent="0.15">
      <c r="A23" s="68">
        <v>22</v>
      </c>
      <c r="B23" s="68" t="str">
        <f ca="1">OFFSET(Batting!$C$4,BatAves!$I23,0)</f>
        <v>Pascoe M</v>
      </c>
      <c r="C23" s="72">
        <f ca="1">OFFSET(Batting!$CE$4,BatAves!$I23,0)</f>
        <v>1</v>
      </c>
      <c r="D23" s="72">
        <f ca="1">OFFSET(Batting!$CG$4,BatAves!$I23,0)</f>
        <v>1</v>
      </c>
      <c r="E23" s="72">
        <f ca="1">OFFSET(Batting!$CH$4,BatAves!$I23,0)</f>
        <v>0</v>
      </c>
      <c r="F23" s="72">
        <f ca="1">OFFSET(Batting!$CJ$4,BatAves!$I23,0)</f>
        <v>5</v>
      </c>
      <c r="G23" s="72">
        <f ca="1">OFFSET(Batting!$CK$4,BatAves!$I23,0)</f>
        <v>5</v>
      </c>
      <c r="H23" s="76">
        <f ca="1">OFFSET(Batting!$CL$4,BatAves!$I23,0)</f>
        <v>5</v>
      </c>
      <c r="I23" s="68">
        <f>MATCH(A23,Batting!$DG$5:$DG$49,0)</f>
        <v>28</v>
      </c>
      <c r="J23" s="68">
        <f t="shared" ca="1" si="0"/>
        <v>1022</v>
      </c>
      <c r="K23" s="68">
        <f t="shared" ca="1" si="1"/>
        <v>24</v>
      </c>
      <c r="L23" s="68" t="str">
        <f t="shared" ca="1" si="2"/>
        <v>Pascoe M 1-0-5-5</v>
      </c>
      <c r="M23" s="68">
        <f t="shared" ca="1" si="9"/>
        <v>20</v>
      </c>
      <c r="N23" s="128">
        <v>22</v>
      </c>
      <c r="O23" s="128" t="str">
        <f t="shared" ca="1" si="3"/>
        <v>Dalrymple A</v>
      </c>
      <c r="P23" s="128">
        <f t="shared" ca="1" si="4"/>
        <v>1</v>
      </c>
      <c r="Q23" s="128">
        <f t="shared" ca="1" si="5"/>
        <v>0</v>
      </c>
      <c r="R23" s="128">
        <f t="shared" ca="1" si="6"/>
        <v>8</v>
      </c>
      <c r="S23" s="128">
        <f t="shared" ca="1" si="7"/>
        <v>8</v>
      </c>
      <c r="T23" s="130">
        <f t="shared" ca="1" si="8"/>
        <v>8</v>
      </c>
      <c r="V23" s="164"/>
      <c r="W23" s="136"/>
    </row>
    <row r="24" spans="1:23" ht="12.75" x14ac:dyDescent="0.15">
      <c r="A24" s="68">
        <v>23</v>
      </c>
      <c r="B24" s="68" t="str">
        <f ca="1">OFFSET(Batting!$C$4,BatAves!$I24,0)</f>
        <v>Morjada A</v>
      </c>
      <c r="C24" s="72">
        <f ca="1">OFFSET(Batting!$CE$4,BatAves!$I24,0)</f>
        <v>3</v>
      </c>
      <c r="D24" s="72">
        <f ca="1">OFFSET(Batting!$CG$4,BatAves!$I24,0)</f>
        <v>2</v>
      </c>
      <c r="E24" s="72">
        <f ca="1">OFFSET(Batting!$CH$4,BatAves!$I24,0)</f>
        <v>1</v>
      </c>
      <c r="F24" s="72" t="str">
        <f ca="1">OFFSET(Batting!$CJ$4,BatAves!$I24,0)</f>
        <v>3*</v>
      </c>
      <c r="G24" s="72">
        <f ca="1">OFFSET(Batting!$CK$4,BatAves!$I24,0)</f>
        <v>4</v>
      </c>
      <c r="H24" s="76">
        <f ca="1">OFFSET(Batting!$CL$4,BatAves!$I24,0)</f>
        <v>4</v>
      </c>
      <c r="I24" s="68">
        <f>MATCH(A24,Batting!$DG$5:$DG$49,0)</f>
        <v>2</v>
      </c>
      <c r="J24" s="68">
        <f t="shared" ca="1" si="0"/>
        <v>1023</v>
      </c>
      <c r="K24" s="68">
        <f t="shared" ca="1" si="1"/>
        <v>25</v>
      </c>
      <c r="L24" s="68" t="str">
        <f t="shared" ca="1" si="2"/>
        <v>Morjada A 2-1-3*-4</v>
      </c>
      <c r="M24" s="68">
        <f t="shared" ca="1" si="9"/>
        <v>21</v>
      </c>
      <c r="N24" s="128">
        <v>23</v>
      </c>
      <c r="O24" s="128" t="str">
        <f t="shared" ca="1" si="3"/>
        <v>Woodhouse M</v>
      </c>
      <c r="P24" s="128">
        <f t="shared" ca="1" si="4"/>
        <v>3</v>
      </c>
      <c r="Q24" s="128">
        <f t="shared" ca="1" si="5"/>
        <v>0</v>
      </c>
      <c r="R24" s="128">
        <f t="shared" ca="1" si="6"/>
        <v>14</v>
      </c>
      <c r="S24" s="128">
        <f t="shared" ca="1" si="7"/>
        <v>22</v>
      </c>
      <c r="T24" s="130">
        <f t="shared" ca="1" si="8"/>
        <v>7.333333333333333</v>
      </c>
      <c r="V24" s="164"/>
      <c r="W24" s="136"/>
    </row>
    <row r="25" spans="1:23" ht="12.75" x14ac:dyDescent="0.15">
      <c r="A25" s="68">
        <v>24</v>
      </c>
      <c r="B25" s="68" t="str">
        <f ca="1">OFFSET(Batting!$C$4,BatAves!$I25,0)</f>
        <v>Smith C</v>
      </c>
      <c r="C25" s="72">
        <f ca="1">OFFSET(Batting!$CE$4,BatAves!$I25,0)</f>
        <v>15</v>
      </c>
      <c r="D25" s="72">
        <f ca="1">OFFSET(Batting!$CG$4,BatAves!$I25,0)</f>
        <v>10</v>
      </c>
      <c r="E25" s="72">
        <f ca="1">OFFSET(Batting!$CH$4,BatAves!$I25,0)</f>
        <v>1</v>
      </c>
      <c r="F25" s="72">
        <f ca="1">OFFSET(Batting!$CJ$4,BatAves!$I25,0)</f>
        <v>12</v>
      </c>
      <c r="G25" s="72">
        <f ca="1">OFFSET(Batting!$CK$4,BatAves!$I25,0)</f>
        <v>28</v>
      </c>
      <c r="H25" s="76">
        <f ca="1">OFFSET(Batting!$CL$4,BatAves!$I25,0)</f>
        <v>3.1111111111111112</v>
      </c>
      <c r="I25" s="68">
        <f>MATCH(A25,Batting!$DG$5:$DG$49,0)</f>
        <v>32</v>
      </c>
      <c r="J25" s="68">
        <f t="shared" ca="1" si="0"/>
        <v>24</v>
      </c>
      <c r="K25" s="68">
        <f t="shared" ca="1" si="1"/>
        <v>10</v>
      </c>
      <c r="L25" s="68" t="str">
        <f t="shared" ca="1" si="2"/>
        <v/>
      </c>
      <c r="M25" s="68">
        <f t="shared" ca="1" si="9"/>
        <v>22</v>
      </c>
      <c r="N25" s="128">
        <v>24</v>
      </c>
      <c r="O25" s="128" t="str">
        <f t="shared" ca="1" si="3"/>
        <v>Pascoe M</v>
      </c>
      <c r="P25" s="128">
        <f t="shared" ca="1" si="4"/>
        <v>1</v>
      </c>
      <c r="Q25" s="128">
        <f t="shared" ca="1" si="5"/>
        <v>0</v>
      </c>
      <c r="R25" s="128">
        <f t="shared" ca="1" si="6"/>
        <v>5</v>
      </c>
      <c r="S25" s="128">
        <f t="shared" ca="1" si="7"/>
        <v>5</v>
      </c>
      <c r="T25" s="130">
        <f t="shared" ca="1" si="8"/>
        <v>5</v>
      </c>
      <c r="V25" s="164"/>
      <c r="W25" s="68" t="s">
        <v>208</v>
      </c>
    </row>
    <row r="26" spans="1:23" ht="12.75" x14ac:dyDescent="0.15">
      <c r="A26" s="68">
        <v>25</v>
      </c>
      <c r="B26" s="68" t="str">
        <f ca="1">OFFSET(Batting!$C$4,BatAves!$I26,0)</f>
        <v>Tiyagi V</v>
      </c>
      <c r="C26" s="72">
        <f ca="1">OFFSET(Batting!$CE$4,BatAves!$I26,0)</f>
        <v>6</v>
      </c>
      <c r="D26" s="72">
        <f ca="1">OFFSET(Batting!$CG$4,BatAves!$I26,0)</f>
        <v>5</v>
      </c>
      <c r="E26" s="72">
        <f ca="1">OFFSET(Batting!$CH$4,BatAves!$I26,0)</f>
        <v>0</v>
      </c>
      <c r="F26" s="72">
        <f ca="1">OFFSET(Batting!$CJ$4,BatAves!$I26,0)</f>
        <v>7</v>
      </c>
      <c r="G26" s="72">
        <f ca="1">OFFSET(Batting!$CK$4,BatAves!$I26,0)</f>
        <v>14</v>
      </c>
      <c r="H26" s="76">
        <f ca="1">OFFSET(Batting!$CL$4,BatAves!$I26,0)</f>
        <v>2.8</v>
      </c>
      <c r="I26" s="68">
        <f>MATCH(A26,Batting!$DG$5:$DG$49,0)</f>
        <v>40</v>
      </c>
      <c r="J26" s="68">
        <f t="shared" ca="1" si="0"/>
        <v>25</v>
      </c>
      <c r="K26" s="68">
        <f t="shared" ca="1" si="1"/>
        <v>11</v>
      </c>
      <c r="L26" s="68" t="str">
        <f t="shared" ca="1" si="2"/>
        <v/>
      </c>
      <c r="M26" s="68">
        <f t="shared" ca="1" si="9"/>
        <v>23</v>
      </c>
      <c r="N26" s="128">
        <v>25</v>
      </c>
      <c r="O26" s="128" t="str">
        <f t="shared" ca="1" si="3"/>
        <v>Morjada A</v>
      </c>
      <c r="P26" s="128">
        <f t="shared" ca="1" si="4"/>
        <v>2</v>
      </c>
      <c r="Q26" s="128">
        <f t="shared" ca="1" si="5"/>
        <v>1</v>
      </c>
      <c r="R26" s="128" t="str">
        <f t="shared" ca="1" si="6"/>
        <v>3*</v>
      </c>
      <c r="S26" s="128">
        <f t="shared" ca="1" si="7"/>
        <v>4</v>
      </c>
      <c r="T26" s="130">
        <f t="shared" ca="1" si="8"/>
        <v>4</v>
      </c>
      <c r="V26" s="164"/>
      <c r="W26" s="136"/>
    </row>
    <row r="27" spans="1:23" ht="12.75" x14ac:dyDescent="0.15">
      <c r="A27" s="68">
        <v>26</v>
      </c>
      <c r="B27" s="68" t="str">
        <f ca="1">OFFSET(Batting!$C$4,BatAves!$I27,0)</f>
        <v>Ottey A</v>
      </c>
      <c r="C27" s="72">
        <f ca="1">OFFSET(Batting!$CE$4,BatAves!$I27,0)</f>
        <v>4</v>
      </c>
      <c r="D27" s="72">
        <f ca="1">OFFSET(Batting!$CG$4,BatAves!$I27,0)</f>
        <v>4</v>
      </c>
      <c r="E27" s="72">
        <f ca="1">OFFSET(Batting!$CH$4,BatAves!$I27,0)</f>
        <v>1</v>
      </c>
      <c r="F27" s="72">
        <f ca="1">OFFSET(Batting!$CJ$4,BatAves!$I27,0)</f>
        <v>3</v>
      </c>
      <c r="G27" s="72">
        <f ca="1">OFFSET(Batting!$CK$4,BatAves!$I27,0)</f>
        <v>7</v>
      </c>
      <c r="H27" s="76">
        <f ca="1">OFFSET(Batting!$CL$4,BatAves!$I27,0)</f>
        <v>2.3333333333333335</v>
      </c>
      <c r="I27" s="68">
        <f>MATCH(A27,Batting!$DG$5:$DG$49,0)</f>
        <v>27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Ottey A 4-1-3-7</v>
      </c>
      <c r="M27" s="68">
        <f t="shared" ca="1" si="9"/>
        <v>26</v>
      </c>
      <c r="N27" s="128">
        <v>26</v>
      </c>
      <c r="O27" s="128" t="str">
        <f t="shared" ca="1" si="3"/>
        <v>Ottey A</v>
      </c>
      <c r="P27" s="128">
        <f t="shared" ca="1" si="4"/>
        <v>4</v>
      </c>
      <c r="Q27" s="128">
        <f t="shared" ca="1" si="5"/>
        <v>1</v>
      </c>
      <c r="R27" s="128">
        <f t="shared" ca="1" si="6"/>
        <v>3</v>
      </c>
      <c r="S27" s="128">
        <f t="shared" ca="1" si="7"/>
        <v>7</v>
      </c>
      <c r="T27" s="130">
        <f t="shared" ca="1" si="8"/>
        <v>2.3333333333333335</v>
      </c>
      <c r="V27" s="164"/>
      <c r="W27" s="68" t="s">
        <v>208</v>
      </c>
    </row>
    <row r="28" spans="1:23" ht="12.75" x14ac:dyDescent="0.15">
      <c r="A28" s="68">
        <v>27</v>
      </c>
      <c r="B28" s="68" t="str">
        <f ca="1">OFFSET(Batting!$C$4,BatAves!$I28,0)</f>
        <v>Wilson L</v>
      </c>
      <c r="C28" s="72">
        <f ca="1">OFFSET(Batting!$CE$4,BatAves!$I28,0)</f>
        <v>1</v>
      </c>
      <c r="D28" s="72">
        <f ca="1">OFFSET(Batting!$CG$4,BatAves!$I28,0)</f>
        <v>1</v>
      </c>
      <c r="E28" s="72">
        <f ca="1">OFFSET(Batting!$CH$4,BatAves!$I28,0)</f>
        <v>0</v>
      </c>
      <c r="F28" s="72">
        <f ca="1">OFFSET(Batting!$CJ$4,BatAves!$I28,0)</f>
        <v>2</v>
      </c>
      <c r="G28" s="72">
        <f ca="1">OFFSET(Batting!$CK$4,BatAves!$I28,0)</f>
        <v>2</v>
      </c>
      <c r="H28" s="76">
        <f ca="1">OFFSET(Batting!$CL$4,BatAves!$I28,0)</f>
        <v>2</v>
      </c>
      <c r="I28" s="68">
        <f>MATCH(A28,Batting!$DG$5:$DG$49,0)</f>
        <v>42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Wilson L 1-0-2-2</v>
      </c>
      <c r="M28" s="68">
        <f t="shared" ca="1" si="9"/>
        <v>27</v>
      </c>
      <c r="N28" s="128">
        <v>27</v>
      </c>
      <c r="O28" s="128" t="str">
        <f t="shared" ca="1" si="3"/>
        <v>Wilson L</v>
      </c>
      <c r="P28" s="128">
        <f t="shared" ca="1" si="4"/>
        <v>1</v>
      </c>
      <c r="Q28" s="128">
        <f t="shared" ca="1" si="5"/>
        <v>0</v>
      </c>
      <c r="R28" s="128">
        <f t="shared" ca="1" si="6"/>
        <v>2</v>
      </c>
      <c r="S28" s="128">
        <f t="shared" ca="1" si="7"/>
        <v>2</v>
      </c>
      <c r="T28" s="130">
        <f t="shared" ca="1" si="8"/>
        <v>2</v>
      </c>
      <c r="V28" s="164"/>
    </row>
    <row r="29" spans="1:23" ht="12.75" x14ac:dyDescent="0.15">
      <c r="A29" s="68">
        <v>28</v>
      </c>
      <c r="B29" s="68" t="str">
        <f ca="1">OFFSET(Batting!$C$4,BatAves!$I29,0)</f>
        <v>Edghill R</v>
      </c>
      <c r="C29" s="72">
        <f ca="1">OFFSET(Batting!$CE$4,BatAves!$I29,0)</f>
        <v>2</v>
      </c>
      <c r="D29" s="72">
        <f ca="1">OFFSET(Batting!$CG$4,BatAves!$I29,0)</f>
        <v>2</v>
      </c>
      <c r="E29" s="72">
        <f ca="1">OFFSET(Batting!$CH$4,BatAves!$I29,0)</f>
        <v>0</v>
      </c>
      <c r="F29" s="72">
        <f ca="1">OFFSET(Batting!$CJ$4,BatAves!$I29,0)</f>
        <v>2</v>
      </c>
      <c r="G29" s="72">
        <f ca="1">OFFSET(Batting!$CK$4,BatAves!$I29,0)</f>
        <v>3</v>
      </c>
      <c r="H29" s="76">
        <f ca="1">OFFSET(Batting!$CL$4,BatAves!$I29,0)</f>
        <v>1.5</v>
      </c>
      <c r="I29" s="68">
        <f>MATCH(A29,Batting!$DG$5:$DG$49,0)</f>
        <v>15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Edghill R 2-0-2-3</v>
      </c>
      <c r="M29" s="68">
        <f t="shared" ca="1" si="9"/>
        <v>28</v>
      </c>
      <c r="N29" s="128">
        <v>28</v>
      </c>
      <c r="O29" s="128" t="str">
        <f t="shared" ca="1" si="3"/>
        <v>Edghill R</v>
      </c>
      <c r="P29" s="128">
        <f t="shared" ca="1" si="4"/>
        <v>2</v>
      </c>
      <c r="Q29" s="128">
        <f t="shared" ca="1" si="5"/>
        <v>0</v>
      </c>
      <c r="R29" s="128">
        <f t="shared" ca="1" si="6"/>
        <v>2</v>
      </c>
      <c r="S29" s="128">
        <f t="shared" ca="1" si="7"/>
        <v>3</v>
      </c>
      <c r="T29" s="130">
        <f t="shared" ca="1" si="8"/>
        <v>1.5</v>
      </c>
      <c r="V29" s="164"/>
    </row>
    <row r="30" spans="1:23" ht="12.75" x14ac:dyDescent="0.15">
      <c r="A30" s="68">
        <v>29</v>
      </c>
      <c r="B30" s="68" t="str">
        <f ca="1">OFFSET(Batting!$C$4,BatAves!$I30,0)</f>
        <v>Snow D</v>
      </c>
      <c r="C30" s="72">
        <f ca="1">OFFSET(Batting!$CE$4,BatAves!$I30,0)</f>
        <v>1</v>
      </c>
      <c r="D30" s="72">
        <f ca="1">OFFSET(Batting!$CG$4,BatAves!$I30,0)</f>
        <v>1</v>
      </c>
      <c r="E30" s="72">
        <f ca="1">OFFSET(Batting!$CH$4,BatAves!$I30,0)</f>
        <v>0</v>
      </c>
      <c r="F30" s="72">
        <f ca="1">OFFSET(Batting!$CJ$4,BatAves!$I30,0)</f>
        <v>1</v>
      </c>
      <c r="G30" s="72">
        <f ca="1">OFFSET(Batting!$CK$4,BatAves!$I30,0)</f>
        <v>1</v>
      </c>
      <c r="H30" s="76">
        <f ca="1">OFFSET(Batting!$CL$4,BatAves!$I30,0)</f>
        <v>1</v>
      </c>
      <c r="I30" s="68">
        <f>MATCH(A30,Batting!$DG$5:$DG$49,0)</f>
        <v>33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Snow D 1-0-1-1</v>
      </c>
      <c r="M30" s="68">
        <f t="shared" ca="1" si="9"/>
        <v>29</v>
      </c>
      <c r="N30" s="128">
        <v>29</v>
      </c>
      <c r="O30" s="128" t="str">
        <f t="shared" ca="1" si="3"/>
        <v>Snow D</v>
      </c>
      <c r="P30" s="128">
        <f t="shared" ca="1" si="4"/>
        <v>1</v>
      </c>
      <c r="Q30" s="128">
        <f t="shared" ca="1" si="5"/>
        <v>0</v>
      </c>
      <c r="R30" s="128">
        <f t="shared" ca="1" si="6"/>
        <v>1</v>
      </c>
      <c r="S30" s="128">
        <f t="shared" ca="1" si="7"/>
        <v>1</v>
      </c>
      <c r="T30" s="130">
        <f t="shared" ca="1" si="8"/>
        <v>1</v>
      </c>
      <c r="V30" s="164"/>
      <c r="W30" s="68" t="s">
        <v>208</v>
      </c>
    </row>
    <row r="31" spans="1:23" ht="12.75" x14ac:dyDescent="0.15">
      <c r="A31" s="68">
        <v>30</v>
      </c>
      <c r="B31" s="68" t="str">
        <f ca="1">OFFSET(Batting!$C$4,BatAves!$I31,0)</f>
        <v>Cummins J</v>
      </c>
      <c r="C31" s="72">
        <f ca="1">OFFSET(Batting!$CE$4,BatAves!$I31,0)</f>
        <v>1</v>
      </c>
      <c r="D31" s="72">
        <f ca="1">OFFSET(Batting!$CG$4,BatAves!$I31,0)</f>
        <v>1</v>
      </c>
      <c r="E31" s="72">
        <f ca="1">OFFSET(Batting!$CH$4,BatAves!$I31,0)</f>
        <v>0</v>
      </c>
      <c r="F31" s="72">
        <f ca="1">OFFSET(Batting!$CJ$4,BatAves!$I31,0)</f>
        <v>1</v>
      </c>
      <c r="G31" s="72">
        <f ca="1">OFFSET(Batting!$CK$4,BatAves!$I31,0)</f>
        <v>1</v>
      </c>
      <c r="H31" s="76">
        <f ca="1">OFFSET(Batting!$CL$4,BatAves!$I31,0)</f>
        <v>1</v>
      </c>
      <c r="I31" s="68">
        <f>MATCH(A31,Batting!$DG$5:$DG$49,0)</f>
        <v>11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Cummins J 1-0-1-1</v>
      </c>
      <c r="M31" s="68">
        <f t="shared" ca="1" si="9"/>
        <v>30</v>
      </c>
      <c r="N31" s="128">
        <v>30</v>
      </c>
      <c r="O31" s="128" t="str">
        <f t="shared" ca="1" si="3"/>
        <v>Cummins J</v>
      </c>
      <c r="P31" s="128">
        <f t="shared" ca="1" si="4"/>
        <v>1</v>
      </c>
      <c r="Q31" s="128">
        <f t="shared" ca="1" si="5"/>
        <v>0</v>
      </c>
      <c r="R31" s="128">
        <f t="shared" ca="1" si="6"/>
        <v>1</v>
      </c>
      <c r="S31" s="128">
        <f t="shared" ca="1" si="7"/>
        <v>1</v>
      </c>
      <c r="T31" s="130">
        <f t="shared" ca="1" si="8"/>
        <v>1</v>
      </c>
      <c r="V31" s="164"/>
      <c r="W31" s="68" t="s">
        <v>208</v>
      </c>
    </row>
    <row r="32" spans="1:23" ht="12.75" x14ac:dyDescent="0.15">
      <c r="A32" s="68">
        <v>31</v>
      </c>
      <c r="B32" s="68" t="str">
        <f ca="1">OFFSET(Batting!$C$4,BatAves!$I32,0)</f>
        <v>Ahmed B</v>
      </c>
      <c r="C32" s="72">
        <f ca="1">OFFSET(Batting!$CE$4,BatAves!$I32,0)</f>
        <v>1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1</v>
      </c>
      <c r="G32" s="72">
        <f ca="1">OFFSET(Batting!$CK$4,BatAves!$I32,0)</f>
        <v>1</v>
      </c>
      <c r="H32" s="76">
        <f ca="1">OFFSET(Batting!$CL$4,BatAves!$I32,0)</f>
        <v>1</v>
      </c>
      <c r="I32" s="68">
        <f>MATCH(A32,Batting!$DG$5:$DG$49,0)</f>
        <v>1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Ahmed B 1-0-1-1</v>
      </c>
      <c r="M32" s="68">
        <f t="shared" ca="1" si="9"/>
        <v>31</v>
      </c>
      <c r="N32" s="128">
        <v>31</v>
      </c>
      <c r="O32" s="128" t="str">
        <f t="shared" ca="1" si="3"/>
        <v>Ahmed B</v>
      </c>
      <c r="P32" s="128">
        <f t="shared" ca="1" si="4"/>
        <v>1</v>
      </c>
      <c r="Q32" s="128">
        <f t="shared" ca="1" si="5"/>
        <v>0</v>
      </c>
      <c r="R32" s="128">
        <f t="shared" ca="1" si="6"/>
        <v>1</v>
      </c>
      <c r="S32" s="128">
        <f t="shared" ca="1" si="7"/>
        <v>1</v>
      </c>
      <c r="T32" s="130">
        <f t="shared" ca="1" si="8"/>
        <v>1</v>
      </c>
      <c r="V32" s="164"/>
    </row>
    <row r="33" spans="1:23" ht="12.75" x14ac:dyDescent="0.15">
      <c r="A33" s="68">
        <v>32</v>
      </c>
      <c r="B33" s="68" t="str">
        <f ca="1">OFFSET(Batting!$C$4,BatAves!$I33,0)</f>
        <v>Bowers M</v>
      </c>
      <c r="C33" s="72">
        <f ca="1">OFFSET(Batting!$CE$4,BatAves!$I33,0)</f>
        <v>9</v>
      </c>
      <c r="D33" s="72">
        <f ca="1">OFFSET(Batting!$CG$4,BatAves!$I33,0)</f>
        <v>1</v>
      </c>
      <c r="E33" s="72">
        <f ca="1">OFFSET(Batting!$CH$4,BatAves!$I33,0)</f>
        <v>0</v>
      </c>
      <c r="F33" s="72">
        <f ca="1">OFFSET(Batting!$CJ$4,BatAves!$I33,0)</f>
        <v>0</v>
      </c>
      <c r="G33" s="72">
        <f ca="1">OFFSET(Batting!$CK$4,BatAves!$I33,0)</f>
        <v>0</v>
      </c>
      <c r="H33" s="76">
        <f ca="1">OFFSET(Batting!$CL$4,BatAves!$I33,0)</f>
        <v>0</v>
      </c>
      <c r="I33" s="68">
        <f>MATCH(A33,Batting!$DG$5:$DG$49,0)</f>
        <v>6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Bowers M 1-0-0-0</v>
      </c>
      <c r="M33" s="68">
        <f t="shared" ca="1" si="9"/>
        <v>32</v>
      </c>
      <c r="N33" s="128">
        <v>32</v>
      </c>
      <c r="O33" s="128" t="str">
        <f t="shared" ca="1" si="3"/>
        <v>Bowers M</v>
      </c>
      <c r="P33" s="128">
        <f t="shared" ca="1" si="4"/>
        <v>1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4"/>
    </row>
    <row r="34" spans="1:23" ht="12.75" x14ac:dyDescent="0.15">
      <c r="A34" s="68">
        <v>33</v>
      </c>
      <c r="B34" s="68" t="str">
        <f ca="1">OFFSET(Batting!$C$4,BatAves!$I34,0)</f>
        <v>Sunkara C</v>
      </c>
      <c r="C34" s="72">
        <f ca="1">OFFSET(Batting!$CE$4,BatAves!$I34,0)</f>
        <v>2</v>
      </c>
      <c r="D34" s="72">
        <f ca="1">OFFSET(Batting!$CG$4,BatAves!$I34,0)</f>
        <v>1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MATCH(A34,Batting!$DG$5:$DG$49,0)</f>
        <v>38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Sunkara C 1-0-0-0</v>
      </c>
      <c r="M34" s="68">
        <f t="shared" ca="1" si="9"/>
        <v>33</v>
      </c>
      <c r="N34" s="128">
        <v>33</v>
      </c>
      <c r="O34" s="128" t="str">
        <f t="shared" ca="1" si="3"/>
        <v>Sunkara C</v>
      </c>
      <c r="P34" s="128">
        <f t="shared" ca="1" si="4"/>
        <v>1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4"/>
    </row>
    <row r="35" spans="1:23" ht="12.75" x14ac:dyDescent="0.15">
      <c r="A35" s="68">
        <v>34</v>
      </c>
      <c r="B35" s="68" t="str">
        <f ca="1">OFFSET(Batting!$C$4,BatAves!$I35,0)</f>
        <v>Edghill D</v>
      </c>
      <c r="C35" s="72">
        <f ca="1">OFFSET(Batting!$CE$4,BatAves!$I35,0)</f>
        <v>1</v>
      </c>
      <c r="D35" s="72">
        <f ca="1">OFFSET(Batting!$CG$4,BatAves!$I35,0)</f>
        <v>1</v>
      </c>
      <c r="E35" s="72">
        <f ca="1">OFFSET(Batting!$CH$4,BatAves!$I35,0)</f>
        <v>1</v>
      </c>
      <c r="F35" s="72" t="str">
        <f ca="1">OFFSET(Batting!$CJ$4,BatAves!$I35,0)</f>
        <v>51*</v>
      </c>
      <c r="G35" s="72">
        <f ca="1">OFFSET(Batting!$CK$4,BatAves!$I35,0)</f>
        <v>51</v>
      </c>
      <c r="H35" s="76">
        <f ca="1">OFFSET(Batting!$CL$4,BatAves!$I35,0)</f>
        <v>0</v>
      </c>
      <c r="I35" s="68">
        <f>MATCH(A35,Batting!$DG$5:$DG$49,0)</f>
        <v>14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Edghill D 1-1-51*-51</v>
      </c>
      <c r="M35" s="68">
        <f t="shared" ca="1" si="9"/>
        <v>34</v>
      </c>
      <c r="N35" s="128">
        <v>34</v>
      </c>
      <c r="O35" s="128" t="str">
        <f t="shared" ca="1" si="3"/>
        <v>Edghill D</v>
      </c>
      <c r="P35" s="128">
        <f t="shared" ca="1" si="4"/>
        <v>1</v>
      </c>
      <c r="Q35" s="128">
        <f t="shared" ca="1" si="5"/>
        <v>1</v>
      </c>
      <c r="R35" s="128" t="str">
        <f t="shared" ca="1" si="6"/>
        <v>51*</v>
      </c>
      <c r="S35" s="128">
        <f t="shared" ca="1" si="7"/>
        <v>51</v>
      </c>
      <c r="T35" s="130">
        <f t="shared" ca="1" si="8"/>
        <v>0</v>
      </c>
      <c r="V35" s="164"/>
    </row>
    <row r="36" spans="1:23" ht="12.75" x14ac:dyDescent="0.15">
      <c r="A36" s="68">
        <v>35</v>
      </c>
      <c r="B36" s="68" t="str">
        <f ca="1">OFFSET(Batting!$C$4,BatAves!$I36,0)</f>
        <v>Sturrock C</v>
      </c>
      <c r="C36" s="72">
        <f ca="1">OFFSET(Batting!$CE$4,BatAves!$I36,0)</f>
        <v>1</v>
      </c>
      <c r="D36" s="72">
        <f ca="1">OFFSET(Batting!$CG$4,BatAves!$I36,0)</f>
        <v>1</v>
      </c>
      <c r="E36" s="72">
        <f ca="1">OFFSET(Batting!$CH$4,BatAves!$I36,0)</f>
        <v>1</v>
      </c>
      <c r="F36" s="72" t="str">
        <f ca="1">OFFSET(Batting!$CJ$4,BatAves!$I36,0)</f>
        <v>20*</v>
      </c>
      <c r="G36" s="72">
        <f ca="1">OFFSET(Batting!$CK$4,BatAves!$I36,0)</f>
        <v>20</v>
      </c>
      <c r="H36" s="76">
        <f ca="1">OFFSET(Batting!$CL$4,BatAves!$I36,0)</f>
        <v>0</v>
      </c>
      <c r="I36" s="68">
        <f>MATCH(A36,Batting!$DG$5:$DG$49,0)</f>
        <v>37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Sturrock C 1-1-20*-20</v>
      </c>
      <c r="M36" s="68">
        <f t="shared" ca="1" si="9"/>
        <v>35</v>
      </c>
      <c r="N36" s="128">
        <v>35</v>
      </c>
      <c r="O36" s="128" t="str">
        <f t="shared" ca="1" si="3"/>
        <v>Sturrock C</v>
      </c>
      <c r="P36" s="128">
        <f t="shared" ca="1" si="4"/>
        <v>1</v>
      </c>
      <c r="Q36" s="128">
        <f t="shared" ca="1" si="5"/>
        <v>1</v>
      </c>
      <c r="R36" s="128" t="str">
        <f t="shared" ca="1" si="6"/>
        <v>20*</v>
      </c>
      <c r="S36" s="128">
        <f t="shared" ca="1" si="7"/>
        <v>20</v>
      </c>
      <c r="T36" s="130">
        <f t="shared" ca="1" si="8"/>
        <v>0</v>
      </c>
      <c r="V36" s="164"/>
      <c r="W36" s="136"/>
    </row>
    <row r="37" spans="1:23" ht="12.75" x14ac:dyDescent="0.15">
      <c r="A37" s="68">
        <v>36</v>
      </c>
      <c r="B37" s="68" t="str">
        <f ca="1">OFFSET(Batting!$C$4,BatAves!$I37,0)</f>
        <v>Kiernan M</v>
      </c>
      <c r="C37" s="72">
        <f ca="1">OFFSET(Batting!$CE$4,BatAves!$I37,0)</f>
        <v>1</v>
      </c>
      <c r="D37" s="72">
        <f ca="1">OFFSET(Batting!$CG$4,BatAves!$I37,0)</f>
        <v>1</v>
      </c>
      <c r="E37" s="72">
        <f ca="1">OFFSET(Batting!$CH$4,BatAves!$I37,0)</f>
        <v>1</v>
      </c>
      <c r="F37" s="72" t="str">
        <f ca="1">OFFSET(Batting!$CJ$4,BatAves!$I37,0)</f>
        <v>4*</v>
      </c>
      <c r="G37" s="72">
        <f ca="1">OFFSET(Batting!$CK$4,BatAves!$I37,0)</f>
        <v>4</v>
      </c>
      <c r="H37" s="76">
        <f ca="1">OFFSET(Batting!$CL$4,BatAves!$I37,0)</f>
        <v>0</v>
      </c>
      <c r="I37" s="68">
        <f>MATCH(A37,Batting!$DG$5:$DG$49,0)</f>
        <v>20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Kiernan M 1-1-4*-4</v>
      </c>
      <c r="M37" s="68">
        <f t="shared" ca="1" si="9"/>
        <v>36</v>
      </c>
      <c r="N37" s="128">
        <v>36</v>
      </c>
      <c r="O37" s="128" t="str">
        <f t="shared" ca="1" si="3"/>
        <v>Kiernan M</v>
      </c>
      <c r="P37" s="128">
        <f t="shared" ca="1" si="4"/>
        <v>1</v>
      </c>
      <c r="Q37" s="128">
        <f t="shared" ca="1" si="5"/>
        <v>1</v>
      </c>
      <c r="R37" s="128" t="str">
        <f t="shared" ca="1" si="6"/>
        <v>4*</v>
      </c>
      <c r="S37" s="128">
        <f t="shared" ca="1" si="7"/>
        <v>4</v>
      </c>
      <c r="T37" s="130">
        <f t="shared" ca="1" si="8"/>
        <v>0</v>
      </c>
      <c r="V37" s="164"/>
      <c r="W37" s="136"/>
    </row>
    <row r="38" spans="1:23" ht="12.75" x14ac:dyDescent="0.15">
      <c r="A38" s="68">
        <v>37</v>
      </c>
      <c r="B38" s="68" t="str">
        <f ca="1">OFFSET(Batting!$C$4,BatAves!$I38,0)</f>
        <v>Pearce R</v>
      </c>
      <c r="C38" s="72">
        <f ca="1">OFFSET(Batting!$CE$4,BatAves!$I38,0)</f>
        <v>1</v>
      </c>
      <c r="D38" s="72">
        <f ca="1">OFFSET(Batting!$CG$4,BatAves!$I38,0)</f>
        <v>1</v>
      </c>
      <c r="E38" s="72">
        <f ca="1">OFFSET(Batting!$CH$4,BatAves!$I38,0)</f>
        <v>1</v>
      </c>
      <c r="F38" s="72" t="str">
        <f ca="1">OFFSET(Batting!$CJ$4,BatAves!$I38,0)</f>
        <v>4*</v>
      </c>
      <c r="G38" s="72">
        <f ca="1">OFFSET(Batting!$CK$4,BatAves!$I38,0)</f>
        <v>4</v>
      </c>
      <c r="H38" s="76">
        <f ca="1">OFFSET(Batting!$CL$4,BatAves!$I38,0)</f>
        <v>0</v>
      </c>
      <c r="I38" s="68">
        <f>MATCH(A38,Batting!$DG$5:$DG$49,0)</f>
        <v>5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Pearce R 1-1-4*-4</v>
      </c>
      <c r="M38" s="68">
        <f t="shared" ca="1" si="9"/>
        <v>37</v>
      </c>
      <c r="N38" s="128">
        <v>37</v>
      </c>
      <c r="O38" s="128" t="str">
        <f t="shared" ca="1" si="3"/>
        <v>Pearce R</v>
      </c>
      <c r="P38" s="128">
        <f t="shared" ca="1" si="4"/>
        <v>1</v>
      </c>
      <c r="Q38" s="128">
        <f t="shared" ca="1" si="5"/>
        <v>1</v>
      </c>
      <c r="R38" s="128" t="str">
        <f t="shared" ca="1" si="6"/>
        <v>4*</v>
      </c>
      <c r="S38" s="128">
        <f t="shared" ca="1" si="7"/>
        <v>4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Winter T</v>
      </c>
      <c r="C39" s="72">
        <f ca="1">OFFSET(Batting!$CE$4,BatAves!$I39,0)</f>
        <v>1</v>
      </c>
      <c r="D39" s="72">
        <f ca="1">OFFSET(Batting!$CG$4,BatAves!$I39,0)</f>
        <v>1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MATCH(A39,Batting!$DG$5:$DG$49,0)</f>
        <v>43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Winter T 1-0-0-0</v>
      </c>
      <c r="M39" s="68">
        <f t="shared" ca="1" si="9"/>
        <v>38</v>
      </c>
      <c r="N39" s="128">
        <v>38</v>
      </c>
      <c r="O39" s="128" t="str">
        <f t="shared" ca="1" si="3"/>
        <v>Winter T</v>
      </c>
      <c r="P39" s="128">
        <f t="shared" ca="1" si="4"/>
        <v>1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Threlfall R</v>
      </c>
      <c r="C40" s="72">
        <f ca="1">OFFSET(Batting!$CE$4,BatAves!$I40,0)</f>
        <v>1</v>
      </c>
      <c r="D40" s="72">
        <f ca="1">OFFSET(Batting!$CG$4,BatAves!$I40,0)</f>
        <v>1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MATCH(A40,Batting!$DG$5:$DG$49,0)</f>
        <v>39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Threlfall R 1-0-0-0</v>
      </c>
      <c r="M40" s="68">
        <f t="shared" ca="1" si="9"/>
        <v>39</v>
      </c>
      <c r="N40" s="128">
        <v>39</v>
      </c>
      <c r="O40" s="128" t="str">
        <f t="shared" ca="1" si="3"/>
        <v>Threlfall R</v>
      </c>
      <c r="P40" s="128">
        <f t="shared" ca="1" si="4"/>
        <v>1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Snow M</v>
      </c>
      <c r="C41" s="72">
        <f ca="1">OFFSET(Batting!$CE$4,BatAves!$I41,0)</f>
        <v>1</v>
      </c>
      <c r="D41" s="72">
        <f ca="1">OFFSET(Batting!$CG$4,BatAves!$I41,0)</f>
        <v>1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MATCH(A41,Batting!$DG$5:$DG$49,0)</f>
        <v>34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Snow M 1-0-0-0</v>
      </c>
      <c r="M41" s="68">
        <f t="shared" ca="1" si="9"/>
        <v>40</v>
      </c>
      <c r="N41" s="128">
        <v>40</v>
      </c>
      <c r="O41" s="128" t="str">
        <f t="shared" ca="1" si="3"/>
        <v>Snow M</v>
      </c>
      <c r="P41" s="128">
        <f t="shared" ca="1" si="4"/>
        <v>1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  <c r="V41" s="68" t="s">
        <v>208</v>
      </c>
    </row>
    <row r="42" spans="1:23" x14ac:dyDescent="0.15">
      <c r="A42" s="68">
        <v>41</v>
      </c>
      <c r="B42" s="68" t="str">
        <f ca="1">OFFSET(Batting!$C$4,BatAves!$I42,0)</f>
        <v>Nair S</v>
      </c>
      <c r="C42" s="72">
        <f ca="1">OFFSET(Batting!$CE$4,BatAves!$I42,0)</f>
        <v>1</v>
      </c>
      <c r="D42" s="72">
        <f ca="1">OFFSET(Batting!$CG$4,BatAves!$I42,0)</f>
        <v>1</v>
      </c>
      <c r="E42" s="72">
        <f ca="1">OFFSET(Batting!$CH$4,BatAves!$I42,0)</f>
        <v>0</v>
      </c>
      <c r="F42" s="72">
        <f ca="1">OFFSET(Batting!$CJ$4,BatAves!$I42,0)</f>
        <v>0</v>
      </c>
      <c r="G42" s="72">
        <f ca="1">OFFSET(Batting!$CK$4,BatAves!$I42,0)</f>
        <v>0</v>
      </c>
      <c r="H42" s="76">
        <f ca="1">OFFSET(Batting!$CL$4,BatAves!$I42,0)</f>
        <v>0</v>
      </c>
      <c r="I42" s="68">
        <f>MATCH(A42,Batting!$DG$5:$DG$49,0)</f>
        <v>25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Nair S 1-0-0-0</v>
      </c>
      <c r="M42" s="68">
        <f t="shared" ca="1" si="9"/>
        <v>41</v>
      </c>
      <c r="N42" s="124">
        <v>41</v>
      </c>
      <c r="O42" s="124" t="str">
        <f t="shared" ca="1" si="3"/>
        <v>Nair S</v>
      </c>
      <c r="P42" s="124">
        <f t="shared" ca="1" si="4"/>
        <v>1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  <c r="V42" s="68" t="s">
        <v>208</v>
      </c>
    </row>
    <row r="43" spans="1:23" x14ac:dyDescent="0.15">
      <c r="A43" s="68">
        <v>42</v>
      </c>
      <c r="B43" s="68" t="str">
        <f ca="1">OFFSET(Batting!$C$4,BatAves!$I43,0)</f>
        <v>Giles M</v>
      </c>
      <c r="C43" s="72">
        <f ca="1">OFFSET(Batting!$CE$4,BatAves!$I43,0)</f>
        <v>1</v>
      </c>
      <c r="D43" s="72">
        <f ca="1">OFFSET(Batting!$CG$4,BatAves!$I43,0)</f>
        <v>1</v>
      </c>
      <c r="E43" s="72">
        <f ca="1">OFFSET(Batting!$CH$4,BatAves!$I43,0)</f>
        <v>0</v>
      </c>
      <c r="F43" s="72">
        <f ca="1">OFFSET(Batting!$CJ$4,BatAves!$I43,0)</f>
        <v>0</v>
      </c>
      <c r="G43" s="72">
        <f ca="1">OFFSET(Batting!$CK$4,BatAves!$I43,0)</f>
        <v>0</v>
      </c>
      <c r="H43" s="76">
        <f ca="1">OFFSET(Batting!$CL$4,BatAves!$I43,0)</f>
        <v>0</v>
      </c>
      <c r="I43" s="68">
        <f>MATCH(A43,Batting!$DG$5:$DG$49,0)</f>
        <v>18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Giles M 1-0-0-0</v>
      </c>
      <c r="M43" s="68">
        <f t="shared" ca="1" si="9"/>
        <v>42</v>
      </c>
      <c r="N43" s="124">
        <v>42</v>
      </c>
      <c r="O43" s="124" t="str">
        <f t="shared" ca="1" si="3"/>
        <v>Giles M</v>
      </c>
      <c r="P43" s="124">
        <f t="shared" ca="1" si="4"/>
        <v>1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  <c r="V43" s="68" t="s">
        <v>208</v>
      </c>
    </row>
    <row r="44" spans="1:23" x14ac:dyDescent="0.15">
      <c r="A44" s="68">
        <v>43</v>
      </c>
      <c r="B44" s="68" t="str">
        <f ca="1">OFFSET(Batting!$C$4,BatAves!$I44,0)</f>
        <v>Crawford S</v>
      </c>
      <c r="C44" s="72">
        <f ca="1">OFFSET(Batting!$CE$4,BatAves!$I44,0)</f>
        <v>1</v>
      </c>
      <c r="D44" s="72">
        <f ca="1">OFFSET(Batting!$CG$4,BatAves!$I44,0)</f>
        <v>1</v>
      </c>
      <c r="E44" s="72">
        <f ca="1">OFFSET(Batting!$CH$4,BatAves!$I44,0)</f>
        <v>0</v>
      </c>
      <c r="F44" s="72">
        <f ca="1">OFFSET(Batting!$CJ$4,BatAves!$I44,0)</f>
        <v>0</v>
      </c>
      <c r="G44" s="72">
        <f ca="1">OFFSET(Batting!$CK$4,BatAves!$I44,0)</f>
        <v>0</v>
      </c>
      <c r="H44" s="76">
        <f ca="1">OFFSET(Batting!$CL$4,BatAves!$I44,0)</f>
        <v>0</v>
      </c>
      <c r="I44" s="68">
        <f>MATCH(A44,Batting!$DG$5:$DG$49,0)</f>
        <v>10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Crawford S 1-0-0-0</v>
      </c>
      <c r="V44" s="68" t="s">
        <v>208</v>
      </c>
    </row>
    <row r="45" spans="1:23" x14ac:dyDescent="0.15">
      <c r="A45" s="68">
        <v>44</v>
      </c>
      <c r="B45" s="68" t="str">
        <f ca="1">OFFSET(Batting!$C$4,BatAves!$I45,0)</f>
        <v>Lestrelle A</v>
      </c>
      <c r="C45" s="72">
        <f ca="1">OFFSET(Batting!$CE$4,BatAves!$I45,0)</f>
        <v>1</v>
      </c>
      <c r="D45" s="72">
        <f ca="1">OFFSET(Batting!$CG$4,BatAves!$I45,0)</f>
        <v>0</v>
      </c>
      <c r="E45" s="72">
        <f ca="1">OFFSET(Batting!$CH$4,BatAves!$I45,0)</f>
        <v>0</v>
      </c>
      <c r="F45" s="72">
        <f ca="1">OFFSET(Batting!$CJ$4,BatAves!$I45,0)</f>
        <v>0</v>
      </c>
      <c r="G45" s="72">
        <f ca="1">OFFSET(Batting!$CK$4,BatAves!$I45,0)</f>
        <v>0</v>
      </c>
      <c r="H45" s="76">
        <f ca="1">OFFSET(Batting!$CL$4,BatAves!$I45,0)</f>
        <v>0</v>
      </c>
      <c r="I45" s="68">
        <f>MATCH(A45,Batting!$DG$5:$DG$49,0)</f>
        <v>21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Lestrelle A 0-0-0-0</v>
      </c>
      <c r="V45" s="68" t="s">
        <v>208</v>
      </c>
    </row>
    <row r="46" spans="1:23" x14ac:dyDescent="0.15">
      <c r="A46" s="68">
        <v>45</v>
      </c>
      <c r="B46" s="68" t="str">
        <f ca="1">OFFSET(Batting!$C$4,BatAves!$I46,0)</f>
        <v>Faherty E</v>
      </c>
      <c r="C46" s="72">
        <f ca="1">OFFSET(Batting!$CE$4,BatAves!$I46,0)</f>
        <v>1</v>
      </c>
      <c r="D46" s="72">
        <f ca="1">OFFSET(Batting!$CG$4,BatAves!$I46,0)</f>
        <v>0</v>
      </c>
      <c r="E46" s="72">
        <f ca="1">OFFSET(Batting!$CH$4,BatAves!$I46,0)</f>
        <v>0</v>
      </c>
      <c r="F46" s="72">
        <f ca="1">OFFSET(Batting!$CJ$4,BatAves!$I46,0)</f>
        <v>0</v>
      </c>
      <c r="G46" s="72">
        <f ca="1">OFFSET(Batting!$CK$4,BatAves!$I46,0)</f>
        <v>0</v>
      </c>
      <c r="H46" s="76">
        <f ca="1">OFFSET(Batting!$CL$4,BatAves!$I46,0)</f>
        <v>0</v>
      </c>
      <c r="I46" s="68">
        <f>MATCH(A46,Batting!$DG$5:$DG$49,0)</f>
        <v>17</v>
      </c>
      <c r="J46" s="68">
        <f t="shared" ca="1" si="0"/>
        <v>1045</v>
      </c>
      <c r="K46" s="68">
        <f t="shared" ca="1" si="1"/>
        <v>45</v>
      </c>
      <c r="L46" s="68" t="str">
        <f t="shared" ca="1" si="2"/>
        <v>Faherty E 0-0-0-0</v>
      </c>
      <c r="V46" s="68" t="s">
        <v>208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>MATCH(A47,Batting!$DG$5:$DG$49,0)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208</v>
      </c>
      <c r="V47" s="68" t="s">
        <v>208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>MATCH(A48,Batting!$DG$5:$DG$49,0)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208</v>
      </c>
      <c r="V48" s="68" t="s">
        <v>208</v>
      </c>
    </row>
    <row r="49" spans="1:23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>MATCH(A49,Batting!$DG$5:$DG$49,0)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208</v>
      </c>
      <c r="V49" s="68" t="s">
        <v>208</v>
      </c>
    </row>
    <row r="50" spans="1:23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>MATCH(A50,Batting!$DG$5:$DG$49,0)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208</v>
      </c>
      <c r="V50" s="68" t="s">
        <v>208</v>
      </c>
    </row>
    <row r="51" spans="1:23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MATCH(A51,Batting!$DG$5:$DG$49,0)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208</v>
      </c>
      <c r="V51" s="68" t="s">
        <v>208</v>
      </c>
    </row>
    <row r="52" spans="1:23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MATCH(A52,Batting!$DG$5:$DG$49,0)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208</v>
      </c>
      <c r="V52" s="68" t="s">
        <v>606</v>
      </c>
      <c r="W52" s="68" t="str">
        <f>V52&amp;","</f>
        <v>Ahmed B 1-0-1-1,</v>
      </c>
    </row>
    <row r="53" spans="1:23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MATCH(A53,Batting!$DG$5:$DG$49,0)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208</v>
      </c>
      <c r="V53" s="68" t="s">
        <v>595</v>
      </c>
      <c r="W53" s="68" t="str">
        <f t="shared" ref="W53:W83" si="10">V53&amp;","</f>
        <v>Azfar S 1-0-11-11,</v>
      </c>
    </row>
    <row r="54" spans="1:23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MATCH(A54,Batting!$DG$5:$DG$49,0)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208</v>
      </c>
      <c r="V54" s="68" t="s">
        <v>590</v>
      </c>
      <c r="W54" s="68" t="str">
        <f t="shared" si="10"/>
        <v>Barber J 1-0-33-33,</v>
      </c>
    </row>
    <row r="55" spans="1:23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MATCH(A55,Batting!$DG$5:$DG$49,0)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208</v>
      </c>
      <c r="V55" s="68" t="s">
        <v>607</v>
      </c>
      <c r="W55" s="68" t="str">
        <f t="shared" si="10"/>
        <v>Bowers M 1-0-0-0,</v>
      </c>
    </row>
    <row r="56" spans="1:23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MATCH(A56,Batting!$DG$5:$DG$49,0)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208</v>
      </c>
      <c r="V56" s="68" t="s">
        <v>596</v>
      </c>
      <c r="W56" s="68" t="str">
        <f t="shared" si="10"/>
        <v>Castle I 1-0-9-9,</v>
      </c>
    </row>
    <row r="57" spans="1:23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MATCH(A57,Batting!$DG$5:$DG$49,0)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208</v>
      </c>
      <c r="V57" s="68" t="s">
        <v>618</v>
      </c>
      <c r="W57" s="68" t="str">
        <f t="shared" si="10"/>
        <v>Crawford S 1-0-0-0,</v>
      </c>
    </row>
    <row r="58" spans="1:23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MATCH(A58,Batting!$DG$5:$DG$49,0)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208</v>
      </c>
      <c r="V58" s="68" t="s">
        <v>605</v>
      </c>
      <c r="W58" s="68" t="str">
        <f t="shared" si="10"/>
        <v>Cummins J 1-0-1-1,</v>
      </c>
    </row>
    <row r="59" spans="1:23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MATCH(A59,Batting!$DG$5:$DG$49,0)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208</v>
      </c>
      <c r="V59" s="68" t="s">
        <v>597</v>
      </c>
      <c r="W59" s="68" t="str">
        <f t="shared" si="10"/>
        <v>Dalrymple A 1-0-8-8,</v>
      </c>
    </row>
    <row r="60" spans="1:23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MATCH(A60,Batting!$DG$5:$DG$49,0)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208</v>
      </c>
      <c r="V60" s="68" t="s">
        <v>591</v>
      </c>
      <c r="W60" s="68" t="str">
        <f t="shared" si="10"/>
        <v>Driver S 2-0-53-53,</v>
      </c>
    </row>
    <row r="61" spans="1:23" x14ac:dyDescent="0.15">
      <c r="O61" s="126" t="s">
        <v>208</v>
      </c>
      <c r="V61" s="68" t="s">
        <v>609</v>
      </c>
      <c r="W61" s="68" t="str">
        <f t="shared" si="10"/>
        <v>Edghill D 1-1-51*-51,</v>
      </c>
    </row>
    <row r="62" spans="1:23" x14ac:dyDescent="0.15">
      <c r="O62" s="126" t="s">
        <v>208</v>
      </c>
      <c r="V62" s="68" t="s">
        <v>603</v>
      </c>
      <c r="W62" s="68" t="str">
        <f t="shared" si="10"/>
        <v>Edghill R 2-0-2-3,</v>
      </c>
    </row>
    <row r="63" spans="1:23" x14ac:dyDescent="0.15">
      <c r="O63" s="126" t="s">
        <v>208</v>
      </c>
      <c r="V63" s="68" t="s">
        <v>617</v>
      </c>
      <c r="W63" s="68" t="str">
        <f t="shared" si="10"/>
        <v>Giles M 1-0-0-0,</v>
      </c>
    </row>
    <row r="64" spans="1:23" x14ac:dyDescent="0.15">
      <c r="O64" s="126" t="s">
        <v>208</v>
      </c>
      <c r="V64" s="68" t="s">
        <v>593</v>
      </c>
      <c r="W64" s="68" t="str">
        <f t="shared" si="10"/>
        <v>Goodacre C 1-0-20-20,</v>
      </c>
    </row>
    <row r="65" spans="15:23" x14ac:dyDescent="0.15">
      <c r="O65" s="126" t="s">
        <v>208</v>
      </c>
      <c r="V65" s="68" t="s">
        <v>611</v>
      </c>
      <c r="W65" s="68" t="str">
        <f t="shared" si="10"/>
        <v>Kiernan M 1-1-4*-4,</v>
      </c>
    </row>
    <row r="66" spans="15:23" x14ac:dyDescent="0.15">
      <c r="O66" s="126" t="s">
        <v>208</v>
      </c>
      <c r="V66" s="68" t="s">
        <v>587</v>
      </c>
      <c r="W66" s="68" t="str">
        <f t="shared" si="10"/>
        <v>Mati 1-0-64-64,</v>
      </c>
    </row>
    <row r="67" spans="15:23" x14ac:dyDescent="0.15">
      <c r="O67" s="126" t="s">
        <v>208</v>
      </c>
      <c r="V67" s="68" t="s">
        <v>600</v>
      </c>
      <c r="W67" s="68" t="str">
        <f t="shared" si="10"/>
        <v>Morjada A 2-1-3*-4,</v>
      </c>
    </row>
    <row r="68" spans="15:23" x14ac:dyDescent="0.15">
      <c r="O68" s="126" t="s">
        <v>208</v>
      </c>
      <c r="V68" s="68" t="s">
        <v>616</v>
      </c>
      <c r="W68" s="68" t="str">
        <f t="shared" si="10"/>
        <v>Nair S 1-0-0-0,</v>
      </c>
    </row>
    <row r="69" spans="15:23" x14ac:dyDescent="0.15">
      <c r="O69" s="126" t="s">
        <v>208</v>
      </c>
      <c r="V69" s="68" t="s">
        <v>594</v>
      </c>
      <c r="W69" s="68" t="str">
        <f t="shared" si="10"/>
        <v>O'Rourke  1-0-14-14,</v>
      </c>
    </row>
    <row r="70" spans="15:23" x14ac:dyDescent="0.15">
      <c r="O70" s="126" t="s">
        <v>208</v>
      </c>
      <c r="V70" s="68" t="s">
        <v>601</v>
      </c>
      <c r="W70" s="68" t="str">
        <f t="shared" si="10"/>
        <v>Ottey A 4-1-3-7,</v>
      </c>
    </row>
    <row r="71" spans="15:23" x14ac:dyDescent="0.15">
      <c r="O71" s="126" t="s">
        <v>208</v>
      </c>
      <c r="V71" s="68" t="s">
        <v>599</v>
      </c>
      <c r="W71" s="68" t="str">
        <f t="shared" si="10"/>
        <v>Pascoe M 1-0-5-5,</v>
      </c>
    </row>
    <row r="72" spans="15:23" x14ac:dyDescent="0.15">
      <c r="O72" s="126" t="s">
        <v>208</v>
      </c>
      <c r="V72" s="68" t="s">
        <v>589</v>
      </c>
      <c r="W72" s="68" t="str">
        <f t="shared" si="10"/>
        <v>Pascoe N 3-2-29*-35,</v>
      </c>
    </row>
    <row r="73" spans="15:23" x14ac:dyDescent="0.15">
      <c r="O73" s="126" t="s">
        <v>208</v>
      </c>
      <c r="V73" s="68" t="s">
        <v>612</v>
      </c>
      <c r="W73" s="68" t="str">
        <f t="shared" si="10"/>
        <v>Pearce R 1-1-4*-4,</v>
      </c>
    </row>
    <row r="74" spans="15:23" x14ac:dyDescent="0.15">
      <c r="O74" s="126" t="s">
        <v>208</v>
      </c>
      <c r="V74" s="68" t="s">
        <v>604</v>
      </c>
      <c r="W74" s="68" t="str">
        <f t="shared" si="10"/>
        <v>Snow D 1-0-1-1,</v>
      </c>
    </row>
    <row r="75" spans="15:23" x14ac:dyDescent="0.15">
      <c r="O75" s="126" t="s">
        <v>208</v>
      </c>
      <c r="V75" s="68" t="s">
        <v>615</v>
      </c>
      <c r="W75" s="68" t="str">
        <f t="shared" si="10"/>
        <v>Snow M 1-0-0-0,</v>
      </c>
    </row>
    <row r="76" spans="15:23" x14ac:dyDescent="0.15">
      <c r="O76" s="126" t="s">
        <v>208</v>
      </c>
      <c r="V76" s="68" t="s">
        <v>592</v>
      </c>
      <c r="W76" s="68" t="str">
        <f t="shared" si="10"/>
        <v>Stevenson R 1-0-25-25,</v>
      </c>
    </row>
    <row r="77" spans="15:23" x14ac:dyDescent="0.15">
      <c r="O77" s="126" t="s">
        <v>208</v>
      </c>
      <c r="V77" s="68" t="s">
        <v>610</v>
      </c>
      <c r="W77" s="68" t="str">
        <f t="shared" si="10"/>
        <v>Sturrock C 1-1-20*-20,</v>
      </c>
    </row>
    <row r="78" spans="15:23" x14ac:dyDescent="0.15">
      <c r="O78" s="126" t="s">
        <v>208</v>
      </c>
      <c r="V78" s="68" t="s">
        <v>608</v>
      </c>
      <c r="W78" s="68" t="str">
        <f t="shared" si="10"/>
        <v>Sunkara C 1-0-0-0,</v>
      </c>
    </row>
    <row r="79" spans="15:23" x14ac:dyDescent="0.15">
      <c r="O79" s="126" t="s">
        <v>208</v>
      </c>
      <c r="V79" s="68" t="s">
        <v>614</v>
      </c>
      <c r="W79" s="68" t="str">
        <f t="shared" si="10"/>
        <v>Threlfall R 1-0-0-0,</v>
      </c>
    </row>
    <row r="80" spans="15:23" x14ac:dyDescent="0.15">
      <c r="O80" s="126" t="s">
        <v>208</v>
      </c>
      <c r="V80" s="68" t="s">
        <v>602</v>
      </c>
      <c r="W80" s="68" t="str">
        <f t="shared" si="10"/>
        <v>Wilson L 1-0-2-2,</v>
      </c>
    </row>
    <row r="81" spans="15:23" x14ac:dyDescent="0.15">
      <c r="O81" s="126" t="s">
        <v>208</v>
      </c>
      <c r="V81" s="68" t="s">
        <v>613</v>
      </c>
      <c r="W81" s="68" t="str">
        <f t="shared" si="10"/>
        <v>Winter T 1-0-0-0,</v>
      </c>
    </row>
    <row r="82" spans="15:23" x14ac:dyDescent="0.15">
      <c r="O82" s="126" t="s">
        <v>208</v>
      </c>
      <c r="V82" s="68" t="s">
        <v>598</v>
      </c>
      <c r="W82" s="68" t="str">
        <f t="shared" si="10"/>
        <v>Woodhouse M 3-0-14-22,</v>
      </c>
    </row>
    <row r="83" spans="15:23" x14ac:dyDescent="0.15">
      <c r="O83" s="126" t="s">
        <v>208</v>
      </c>
      <c r="V83" s="68" t="s">
        <v>588</v>
      </c>
      <c r="W83" s="68" t="str">
        <f t="shared" si="10"/>
        <v>Worthington 2-1-42*-53,</v>
      </c>
    </row>
    <row r="84" spans="15:23" x14ac:dyDescent="0.15">
      <c r="O84" s="126" t="s">
        <v>208</v>
      </c>
    </row>
    <row r="85" spans="15:23" x14ac:dyDescent="0.15">
      <c r="O85" s="126" t="s">
        <v>208</v>
      </c>
    </row>
  </sheetData>
  <sortState ref="V41:V83">
    <sortCondition ref="V41:V83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77"/>
  <sheetViews>
    <sheetView topLeftCell="Q22" workbookViewId="0">
      <selection activeCell="X45" sqref="X45:X77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4" bestFit="1" customWidth="1"/>
    <col min="5" max="5" width="5.140625" style="155" bestFit="1" customWidth="1"/>
    <col min="6" max="6" width="5" style="155" bestFit="1" customWidth="1"/>
    <col min="7" max="7" width="7.28515625" style="155" bestFit="1" customWidth="1"/>
    <col min="8" max="8" width="7.28515625" style="76" bestFit="1" customWidth="1"/>
    <col min="9" max="9" width="6.5703125" style="159" bestFit="1" customWidth="1"/>
    <col min="10" max="10" width="5.5703125" style="159" bestFit="1" customWidth="1"/>
    <col min="11" max="11" width="4.7109375" style="155" bestFit="1" customWidth="1"/>
    <col min="12" max="12" width="5.28515625" style="155" bestFit="1" customWidth="1"/>
    <col min="13" max="13" width="5.85546875" style="155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8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138</v>
      </c>
      <c r="D1" s="154" t="s">
        <v>32</v>
      </c>
      <c r="E1" s="155" t="s">
        <v>33</v>
      </c>
      <c r="F1" s="155" t="s">
        <v>9</v>
      </c>
      <c r="G1" s="155" t="s">
        <v>140</v>
      </c>
      <c r="H1" s="75" t="s">
        <v>35</v>
      </c>
      <c r="I1" s="156" t="s">
        <v>36</v>
      </c>
      <c r="J1" s="156" t="s">
        <v>37</v>
      </c>
      <c r="K1" s="157" t="s">
        <v>93</v>
      </c>
      <c r="L1" s="157"/>
      <c r="M1" s="157"/>
      <c r="O1" s="122" t="s">
        <v>206</v>
      </c>
      <c r="P1" s="122">
        <f t="array" aca="1" ref="P1" ca="1">SUM(IF(NOT(ISNA(C2:C51)),1,0))</f>
        <v>36</v>
      </c>
      <c r="Q1" s="122" t="s">
        <v>207</v>
      </c>
      <c r="R1" s="122">
        <f t="array" aca="1" ref="R1" ca="1">SUM(IF(OFFSET(G2,0,0,P1,1)&gt;=10,1,0))</f>
        <v>3</v>
      </c>
    </row>
    <row r="2" spans="1:28" x14ac:dyDescent="0.15">
      <c r="A2" s="122">
        <v>1</v>
      </c>
      <c r="B2" s="122">
        <f>MATCH(A2,Bowling!$CS$5:$CS$40,0)</f>
        <v>13</v>
      </c>
      <c r="C2" s="122" t="str">
        <f ca="1">OFFSET(Bowling!$B$4,BowlAves!B2,0)</f>
        <v>Edghill D</v>
      </c>
      <c r="D2" s="154">
        <f t="array" aca="1" ref="D2:K2" ca="1">OFFSET(Bowling!$CG$4,BowlAves!B2,0,1,8)</f>
        <v>6</v>
      </c>
      <c r="E2" s="155">
        <f ca="1"/>
        <v>1</v>
      </c>
      <c r="F2" s="155">
        <f ca="1"/>
        <v>26</v>
      </c>
      <c r="G2" s="155">
        <f ca="1"/>
        <v>3</v>
      </c>
      <c r="H2" s="76">
        <f ca="1"/>
        <v>8.67</v>
      </c>
      <c r="I2" s="159">
        <f ca="1"/>
        <v>12</v>
      </c>
      <c r="J2" s="159">
        <f ca="1"/>
        <v>4.333333333333333</v>
      </c>
      <c r="K2" s="160" t="str">
        <f ca="1"/>
        <v>3-26</v>
      </c>
      <c r="L2" s="160">
        <f ca="1">IF(G2&gt;=10,A2,1000+A2)</f>
        <v>1001</v>
      </c>
      <c r="M2" s="160">
        <f ca="1">RANK(L2,OFFSET($L$2,0,0,$P$1,1),-1)</f>
        <v>4</v>
      </c>
      <c r="N2" s="122" t="str">
        <f ca="1">IF(G2&gt;=10,"",C2&amp;" "&amp;D2&amp;"-"&amp;E2&amp;"-"&amp;F2&amp;"-"&amp;G2&amp;",")</f>
        <v>Edghill D 6-1-26-3,</v>
      </c>
      <c r="Q2" s="161" t="s">
        <v>79</v>
      </c>
      <c r="R2" s="162" t="s">
        <v>32</v>
      </c>
      <c r="S2" s="163" t="s">
        <v>33</v>
      </c>
      <c r="T2" s="162" t="s">
        <v>9</v>
      </c>
      <c r="U2" s="162" t="s">
        <v>140</v>
      </c>
      <c r="V2" s="162" t="s">
        <v>35</v>
      </c>
      <c r="W2" s="162" t="s">
        <v>36</v>
      </c>
      <c r="X2" s="162" t="s">
        <v>37</v>
      </c>
      <c r="Y2" s="162" t="s">
        <v>93</v>
      </c>
      <c r="Z2" s="162" t="s">
        <v>234</v>
      </c>
    </row>
    <row r="3" spans="1:28" ht="11.25" x14ac:dyDescent="0.2">
      <c r="A3" s="122">
        <v>2</v>
      </c>
      <c r="B3" s="122">
        <f>MATCH(A3,Bowling!$CS$5:$CS$40,0)</f>
        <v>3</v>
      </c>
      <c r="C3" s="122" t="str">
        <f ca="1">OFFSET(Bowling!$B$4,BowlAves!B3,0)</f>
        <v>Barber J</v>
      </c>
      <c r="D3" s="154">
        <f t="array" aca="1" ref="D3:K3" ca="1">OFFSET(Bowling!$CG$4,BowlAves!B3,0,1,8)</f>
        <v>4</v>
      </c>
      <c r="E3" s="155">
        <f ca="1"/>
        <v>0</v>
      </c>
      <c r="F3" s="155">
        <f ca="1"/>
        <v>18</v>
      </c>
      <c r="G3" s="155">
        <f ca="1"/>
        <v>2</v>
      </c>
      <c r="H3" s="76">
        <f ca="1"/>
        <v>9</v>
      </c>
      <c r="I3" s="159">
        <f ca="1"/>
        <v>12</v>
      </c>
      <c r="J3" s="159">
        <f ca="1"/>
        <v>4.5</v>
      </c>
      <c r="K3" s="160" t="str">
        <f ca="1"/>
        <v>2-18</v>
      </c>
      <c r="L3" s="160">
        <f t="shared" ref="L3:L51" ca="1" si="0">IF(G3&gt;=10,A3,1000+A3)</f>
        <v>1002</v>
      </c>
      <c r="M3" s="160">
        <f t="shared" ref="M3:M51" ca="1" si="1">RANK(L3,OFFSET($L$2,0,0,$P$1,1),-1)</f>
        <v>5</v>
      </c>
      <c r="N3" s="122" t="str">
        <f t="shared" ref="N3:N51" ca="1" si="2">IF(G3&gt;=10,"",C3&amp;" "&amp;D3&amp;"-"&amp;E3&amp;"-"&amp;F3&amp;"-"&amp;G3&amp;",")</f>
        <v>Barber J 4-0-18-2,</v>
      </c>
      <c r="P3" s="164">
        <v>1</v>
      </c>
      <c r="Q3" s="165" t="str">
        <f t="array" aca="1" ref="Q3:Y3" ca="1">OFFSET($C$2,MATCH(P3,$M$2:$M$51,0)-1,0,1,9)</f>
        <v>Sharpe D</v>
      </c>
      <c r="R3" s="166">
        <f ca="1"/>
        <v>57</v>
      </c>
      <c r="S3" s="167">
        <f ca="1"/>
        <v>5</v>
      </c>
      <c r="T3" s="166">
        <f ca="1"/>
        <v>274</v>
      </c>
      <c r="U3" s="166">
        <f ca="1"/>
        <v>13</v>
      </c>
      <c r="V3" s="168">
        <f ca="1"/>
        <v>21.08</v>
      </c>
      <c r="W3" s="169">
        <f ca="1"/>
        <v>26.307692307692307</v>
      </c>
      <c r="X3" s="169">
        <f ca="1"/>
        <v>4.807017543859649</v>
      </c>
      <c r="Y3" s="169" t="str">
        <f ca="1"/>
        <v>4-33</v>
      </c>
      <c r="Z3" s="170">
        <f ca="1">S3/R3</f>
        <v>8.771929824561403E-2</v>
      </c>
      <c r="AB3" s="122" t="s">
        <v>208</v>
      </c>
    </row>
    <row r="4" spans="1:28" ht="11.25" x14ac:dyDescent="0.2">
      <c r="A4" s="122">
        <v>3</v>
      </c>
      <c r="B4" s="122">
        <f>MATCH(A4,Bowling!$CS$5:$CS$40,0)</f>
        <v>30</v>
      </c>
      <c r="C4" s="122" t="str">
        <f ca="1">OFFSET(Bowling!$B$4,BowlAves!B4,0)</f>
        <v>Stevenson R</v>
      </c>
      <c r="D4" s="154">
        <f t="array" aca="1" ref="D4:K4" ca="1">OFFSET(Bowling!$CG$4,BowlAves!B4,0,1,8)</f>
        <v>3</v>
      </c>
      <c r="E4" s="155">
        <f ca="1"/>
        <v>0</v>
      </c>
      <c r="F4" s="155">
        <f ca="1"/>
        <v>12</v>
      </c>
      <c r="G4" s="155">
        <f ca="1"/>
        <v>1</v>
      </c>
      <c r="H4" s="76">
        <f ca="1"/>
        <v>12</v>
      </c>
      <c r="I4" s="159">
        <f ca="1"/>
        <v>18</v>
      </c>
      <c r="J4" s="159">
        <f ca="1"/>
        <v>4</v>
      </c>
      <c r="K4" s="160" t="str">
        <f ca="1"/>
        <v>1-12</v>
      </c>
      <c r="L4" s="160">
        <f t="shared" ca="1" si="0"/>
        <v>1003</v>
      </c>
      <c r="M4" s="160">
        <f t="shared" ca="1" si="1"/>
        <v>6</v>
      </c>
      <c r="N4" s="122" t="str">
        <f t="shared" ca="1" si="2"/>
        <v>Stevenson R 3-0-12-1,</v>
      </c>
      <c r="P4" s="164">
        <v>2</v>
      </c>
      <c r="Q4" s="165" t="str">
        <f t="array" aca="1" ref="Q4:Y4" ca="1">OFFSET($C$2,MATCH(P4,$M$2:$M$51,0)-1,0,1,9)</f>
        <v>Springer T</v>
      </c>
      <c r="R4" s="166">
        <f ca="1"/>
        <v>79</v>
      </c>
      <c r="S4" s="167">
        <f ca="1"/>
        <v>16</v>
      </c>
      <c r="T4" s="166">
        <f ca="1"/>
        <v>340</v>
      </c>
      <c r="U4" s="166">
        <f ca="1"/>
        <v>13</v>
      </c>
      <c r="V4" s="168">
        <f ca="1"/>
        <v>26.15</v>
      </c>
      <c r="W4" s="169">
        <f ca="1"/>
        <v>36.46153846153846</v>
      </c>
      <c r="X4" s="169">
        <f ca="1"/>
        <v>4.3037974683544302</v>
      </c>
      <c r="Y4" s="169" t="str">
        <f ca="1"/>
        <v>4-17</v>
      </c>
      <c r="Z4" s="170">
        <f t="shared" ref="Z4:Z25" ca="1" si="3">S4/R4</f>
        <v>0.20253164556962025</v>
      </c>
      <c r="AB4" s="122" t="s">
        <v>208</v>
      </c>
    </row>
    <row r="5" spans="1:28" ht="11.25" x14ac:dyDescent="0.2">
      <c r="A5" s="122">
        <v>4</v>
      </c>
      <c r="B5" s="122">
        <f>MATCH(A5,Bowling!$CS$5:$CS$40,0)</f>
        <v>21</v>
      </c>
      <c r="C5" s="122" t="str">
        <f ca="1">OFFSET(Bowling!$B$4,BowlAves!B5,0)</f>
        <v>Ottey A</v>
      </c>
      <c r="D5" s="154">
        <f t="array" aca="1" ref="D5:K5" ca="1">OFFSET(Bowling!$CG$4,BowlAves!B5,0,1,8)</f>
        <v>13.1</v>
      </c>
      <c r="E5" s="155">
        <f ca="1"/>
        <v>1</v>
      </c>
      <c r="F5" s="155">
        <f ca="1"/>
        <v>58</v>
      </c>
      <c r="G5" s="155">
        <f ca="1"/>
        <v>4</v>
      </c>
      <c r="H5" s="76">
        <f ca="1"/>
        <v>14.5</v>
      </c>
      <c r="I5" s="159">
        <f ca="1"/>
        <v>19.75</v>
      </c>
      <c r="J5" s="159">
        <f ca="1"/>
        <v>4.4050632911392409</v>
      </c>
      <c r="K5" s="160" t="str">
        <f ca="1"/>
        <v>2-19</v>
      </c>
      <c r="L5" s="160">
        <f t="shared" ca="1" si="0"/>
        <v>1004</v>
      </c>
      <c r="M5" s="160">
        <f t="shared" ca="1" si="1"/>
        <v>7</v>
      </c>
      <c r="N5" s="122" t="str">
        <f t="shared" ca="1" si="2"/>
        <v>Ottey A 13.1-1-58-4,</v>
      </c>
      <c r="P5" s="164">
        <v>3</v>
      </c>
      <c r="Q5" s="165" t="str">
        <f t="array" aca="1" ref="Q5:Y5" ca="1">OFFSET($C$2,MATCH(P5,$M$2:$M$51,0)-1,0,1,9)</f>
        <v>Seymour C</v>
      </c>
      <c r="R5" s="166">
        <f ca="1"/>
        <v>100</v>
      </c>
      <c r="S5" s="167">
        <f ca="1"/>
        <v>2</v>
      </c>
      <c r="T5" s="166">
        <f ca="1"/>
        <v>555</v>
      </c>
      <c r="U5" s="166">
        <f ca="1"/>
        <v>10</v>
      </c>
      <c r="V5" s="168">
        <f ca="1"/>
        <v>55.5</v>
      </c>
      <c r="W5" s="169">
        <f ca="1"/>
        <v>60</v>
      </c>
      <c r="X5" s="169">
        <f ca="1"/>
        <v>5.55</v>
      </c>
      <c r="Y5" s="169" t="str">
        <f ca="1"/>
        <v>3-37</v>
      </c>
      <c r="Z5" s="170">
        <f t="shared" ca="1" si="3"/>
        <v>0.02</v>
      </c>
      <c r="AB5" s="122" t="s">
        <v>208</v>
      </c>
    </row>
    <row r="6" spans="1:28" ht="11.25" x14ac:dyDescent="0.2">
      <c r="A6" s="122">
        <v>5</v>
      </c>
      <c r="B6" s="122">
        <f>MATCH(A6,Bowling!$CS$5:$CS$40,0)</f>
        <v>1</v>
      </c>
      <c r="C6" s="122" t="str">
        <f ca="1">OFFSET(Bowling!$B$4,BowlAves!B6,0)</f>
        <v>Azfar S</v>
      </c>
      <c r="D6" s="154">
        <f t="array" aca="1" ref="D6:K6" ca="1">OFFSET(Bowling!$CG$4,BowlAves!B6,0,1,8)</f>
        <v>1.2</v>
      </c>
      <c r="E6" s="155">
        <f ca="1"/>
        <v>0</v>
      </c>
      <c r="F6" s="155">
        <f ca="1"/>
        <v>19</v>
      </c>
      <c r="G6" s="155">
        <f ca="1"/>
        <v>1</v>
      </c>
      <c r="H6" s="76">
        <f ca="1"/>
        <v>19</v>
      </c>
      <c r="I6" s="159">
        <f ca="1"/>
        <v>8</v>
      </c>
      <c r="J6" s="159">
        <f ca="1"/>
        <v>14.25</v>
      </c>
      <c r="K6" s="160" t="str">
        <f ca="1"/>
        <v>1-19</v>
      </c>
      <c r="L6" s="160">
        <f t="shared" ca="1" si="0"/>
        <v>1005</v>
      </c>
      <c r="M6" s="160">
        <f t="shared" ca="1" si="1"/>
        <v>8</v>
      </c>
      <c r="N6" s="122" t="str">
        <f t="shared" ca="1" si="2"/>
        <v>Azfar S 1.2-0-19-1,</v>
      </c>
      <c r="P6" s="164">
        <v>4</v>
      </c>
      <c r="Q6" s="165" t="str">
        <f t="array" aca="1" ref="Q6:Y6" ca="1">OFFSET($C$2,MATCH(P6,$M$2:$M$51,0)-1,0,1,9)</f>
        <v>Edghill D</v>
      </c>
      <c r="R6" s="166">
        <f ca="1"/>
        <v>6</v>
      </c>
      <c r="S6" s="167">
        <f ca="1"/>
        <v>1</v>
      </c>
      <c r="T6" s="166">
        <f ca="1"/>
        <v>26</v>
      </c>
      <c r="U6" s="166">
        <f ca="1"/>
        <v>3</v>
      </c>
      <c r="V6" s="168">
        <f ca="1"/>
        <v>8.67</v>
      </c>
      <c r="W6" s="169">
        <f ca="1"/>
        <v>12</v>
      </c>
      <c r="X6" s="169">
        <f ca="1"/>
        <v>4.333333333333333</v>
      </c>
      <c r="Y6" s="169" t="str">
        <f ca="1"/>
        <v>3-26</v>
      </c>
      <c r="Z6" s="170">
        <f t="shared" ca="1" si="3"/>
        <v>0.16666666666666666</v>
      </c>
      <c r="AB6" s="122" t="s">
        <v>208</v>
      </c>
    </row>
    <row r="7" spans="1:28" ht="11.25" x14ac:dyDescent="0.2">
      <c r="A7" s="122">
        <v>6</v>
      </c>
      <c r="B7" s="122">
        <f>MATCH(A7,Bowling!$CS$5:$CS$40,0)</f>
        <v>11</v>
      </c>
      <c r="C7" s="122" t="str">
        <f ca="1">OFFSET(Bowling!$B$4,BowlAves!B7,0)</f>
        <v>Driver S</v>
      </c>
      <c r="D7" s="154">
        <f t="array" aca="1" ref="D7:K7" ca="1">OFFSET(Bowling!$CG$4,BowlAves!B7,0,1,8)</f>
        <v>8</v>
      </c>
      <c r="E7" s="155">
        <f ca="1"/>
        <v>1</v>
      </c>
      <c r="F7" s="155">
        <f ca="1"/>
        <v>38</v>
      </c>
      <c r="G7" s="155">
        <f ca="1"/>
        <v>2</v>
      </c>
      <c r="H7" s="76">
        <f ca="1"/>
        <v>19</v>
      </c>
      <c r="I7" s="159">
        <f ca="1"/>
        <v>24</v>
      </c>
      <c r="J7" s="159">
        <f ca="1"/>
        <v>4.75</v>
      </c>
      <c r="K7" s="160" t="str">
        <f ca="1"/>
        <v>2-38</v>
      </c>
      <c r="L7" s="160">
        <f t="shared" ca="1" si="0"/>
        <v>1006</v>
      </c>
      <c r="M7" s="160">
        <f t="shared" ca="1" si="1"/>
        <v>9</v>
      </c>
      <c r="N7" s="122" t="str">
        <f t="shared" ca="1" si="2"/>
        <v>Driver S 8-1-38-2,</v>
      </c>
      <c r="P7" s="164">
        <v>5</v>
      </c>
      <c r="Q7" s="165" t="str">
        <f t="array" aca="1" ref="Q7:Y7" ca="1">OFFSET($C$2,MATCH(P7,$M$2:$M$51,0)-1,0,1,9)</f>
        <v>Barber J</v>
      </c>
      <c r="R7" s="166">
        <f ca="1"/>
        <v>4</v>
      </c>
      <c r="S7" s="167">
        <f ca="1"/>
        <v>0</v>
      </c>
      <c r="T7" s="166">
        <f ca="1"/>
        <v>18</v>
      </c>
      <c r="U7" s="166">
        <f ca="1"/>
        <v>2</v>
      </c>
      <c r="V7" s="168">
        <f ca="1"/>
        <v>9</v>
      </c>
      <c r="W7" s="169">
        <f ca="1"/>
        <v>12</v>
      </c>
      <c r="X7" s="169">
        <f ca="1"/>
        <v>4.5</v>
      </c>
      <c r="Y7" s="169" t="str">
        <f ca="1"/>
        <v>2-18</v>
      </c>
      <c r="Z7" s="170">
        <f t="shared" ca="1" si="3"/>
        <v>0</v>
      </c>
      <c r="AB7" s="122" t="s">
        <v>208</v>
      </c>
    </row>
    <row r="8" spans="1:28" ht="12.75" x14ac:dyDescent="0.2">
      <c r="A8" s="122">
        <v>7</v>
      </c>
      <c r="B8" s="122">
        <f>MATCH(A8,Bowling!$CS$5:$CS$40,0)</f>
        <v>31</v>
      </c>
      <c r="C8" s="122" t="str">
        <f ca="1">OFFSET(Bowling!$B$4,BowlAves!B8,0)</f>
        <v>Sunkara C</v>
      </c>
      <c r="D8" s="154">
        <f t="array" aca="1" ref="D8:K8" ca="1">OFFSET(Bowling!$CG$4,BowlAves!B8,0,1,8)</f>
        <v>14</v>
      </c>
      <c r="E8" s="155">
        <f ca="1"/>
        <v>1</v>
      </c>
      <c r="F8" s="155">
        <f ca="1"/>
        <v>76</v>
      </c>
      <c r="G8" s="155">
        <f ca="1"/>
        <v>4</v>
      </c>
      <c r="H8" s="76">
        <f ca="1"/>
        <v>19</v>
      </c>
      <c r="I8" s="159">
        <f ca="1"/>
        <v>21</v>
      </c>
      <c r="J8" s="159">
        <f ca="1"/>
        <v>5.4285714285714288</v>
      </c>
      <c r="K8" s="160" t="str">
        <f ca="1"/>
        <v>3-40</v>
      </c>
      <c r="L8" s="160">
        <f t="shared" ca="1" si="0"/>
        <v>1007</v>
      </c>
      <c r="M8" s="160">
        <f t="shared" ca="1" si="1"/>
        <v>10</v>
      </c>
      <c r="N8" s="122" t="str">
        <f t="shared" ca="1" si="2"/>
        <v>Sunkara C 14-1-76-4,</v>
      </c>
      <c r="P8" s="164">
        <v>6</v>
      </c>
      <c r="Q8" s="165" t="str">
        <f t="array" aca="1" ref="Q8:Y8" ca="1">OFFSET($C$2,MATCH(P8,$M$2:$M$51,0)-1,0,1,9)</f>
        <v>Stevenson R</v>
      </c>
      <c r="R8" s="166">
        <f ca="1"/>
        <v>3</v>
      </c>
      <c r="S8" s="167">
        <f ca="1"/>
        <v>0</v>
      </c>
      <c r="T8" s="166">
        <f ca="1"/>
        <v>12</v>
      </c>
      <c r="U8" s="166">
        <f ca="1"/>
        <v>1</v>
      </c>
      <c r="V8" s="168">
        <f ca="1"/>
        <v>12</v>
      </c>
      <c r="W8" s="169">
        <f ca="1"/>
        <v>18</v>
      </c>
      <c r="X8" s="169">
        <f ca="1"/>
        <v>4</v>
      </c>
      <c r="Y8" s="169" t="str">
        <f ca="1"/>
        <v>1-12</v>
      </c>
      <c r="Z8" s="170">
        <f t="shared" ca="1" si="3"/>
        <v>0</v>
      </c>
      <c r="AB8" s="103"/>
    </row>
    <row r="9" spans="1:28" ht="12.75" x14ac:dyDescent="0.2">
      <c r="A9" s="122">
        <v>8</v>
      </c>
      <c r="B9" s="122">
        <f>MATCH(A9,Bowling!$CS$5:$CS$40,0)</f>
        <v>23</v>
      </c>
      <c r="C9" s="122" t="str">
        <f ca="1">OFFSET(Bowling!$B$4,BowlAves!B9,0)</f>
        <v>Pascoe M</v>
      </c>
      <c r="D9" s="154">
        <f t="array" aca="1" ref="D9:K9" ca="1">OFFSET(Bowling!$CG$4,BowlAves!B9,0,1,8)</f>
        <v>6</v>
      </c>
      <c r="E9" s="155">
        <f ca="1"/>
        <v>1</v>
      </c>
      <c r="F9" s="155">
        <f ca="1"/>
        <v>20</v>
      </c>
      <c r="G9" s="155">
        <f ca="1"/>
        <v>1</v>
      </c>
      <c r="H9" s="76">
        <f ca="1"/>
        <v>20</v>
      </c>
      <c r="I9" s="159">
        <f ca="1"/>
        <v>36</v>
      </c>
      <c r="J9" s="159">
        <f ca="1"/>
        <v>3.3333333333333335</v>
      </c>
      <c r="K9" s="160" t="str">
        <f ca="1"/>
        <v>1-20</v>
      </c>
      <c r="L9" s="160">
        <f t="shared" ca="1" si="0"/>
        <v>1008</v>
      </c>
      <c r="M9" s="160">
        <f t="shared" ca="1" si="1"/>
        <v>11</v>
      </c>
      <c r="N9" s="122" t="str">
        <f t="shared" ca="1" si="2"/>
        <v>Pascoe M 6-1-20-1,</v>
      </c>
      <c r="P9" s="164">
        <v>7</v>
      </c>
      <c r="Q9" s="165" t="str">
        <f t="array" aca="1" ref="Q9:Y9" ca="1">OFFSET($C$2,MATCH(P9,$M$2:$M$51,0)-1,0,1,9)</f>
        <v>Ottey A</v>
      </c>
      <c r="R9" s="166">
        <f ca="1"/>
        <v>13.1</v>
      </c>
      <c r="S9" s="167">
        <f ca="1"/>
        <v>1</v>
      </c>
      <c r="T9" s="166">
        <f ca="1"/>
        <v>58</v>
      </c>
      <c r="U9" s="166">
        <f ca="1"/>
        <v>4</v>
      </c>
      <c r="V9" s="168">
        <f ca="1"/>
        <v>14.5</v>
      </c>
      <c r="W9" s="169">
        <f ca="1"/>
        <v>19.75</v>
      </c>
      <c r="X9" s="169">
        <f ca="1"/>
        <v>4.4050632911392409</v>
      </c>
      <c r="Y9" s="169" t="str">
        <f ca="1"/>
        <v>2-19</v>
      </c>
      <c r="Z9" s="170">
        <f t="shared" ca="1" si="3"/>
        <v>7.6335877862595422E-2</v>
      </c>
      <c r="AB9" s="103"/>
    </row>
    <row r="10" spans="1:28" ht="12.75" x14ac:dyDescent="0.2">
      <c r="A10" s="122">
        <v>9</v>
      </c>
      <c r="B10" s="122">
        <f>MATCH(A10,Bowling!$CS$5:$CS$40,0)</f>
        <v>6</v>
      </c>
      <c r="C10" s="122" t="str">
        <f ca="1">OFFSET(Bowling!$B$4,BowlAves!B10,0)</f>
        <v>Brocks D</v>
      </c>
      <c r="D10" s="154">
        <f t="array" aca="1" ref="D10:K10" ca="1">OFFSET(Bowling!$CG$4,BowlAves!B10,0,1,8)</f>
        <v>16</v>
      </c>
      <c r="E10" s="155">
        <f ca="1"/>
        <v>2</v>
      </c>
      <c r="F10" s="155">
        <f ca="1"/>
        <v>63</v>
      </c>
      <c r="G10" s="155">
        <f ca="1"/>
        <v>3</v>
      </c>
      <c r="H10" s="76">
        <f ca="1"/>
        <v>21</v>
      </c>
      <c r="I10" s="159">
        <f ca="1"/>
        <v>32</v>
      </c>
      <c r="J10" s="159">
        <f ca="1"/>
        <v>3.9375</v>
      </c>
      <c r="K10" s="160" t="str">
        <f ca="1"/>
        <v>3-18</v>
      </c>
      <c r="L10" s="160">
        <f t="shared" ca="1" si="0"/>
        <v>1009</v>
      </c>
      <c r="M10" s="160">
        <f t="shared" ca="1" si="1"/>
        <v>12</v>
      </c>
      <c r="N10" s="122" t="str">
        <f t="shared" ca="1" si="2"/>
        <v>Brocks D 16-2-63-3,</v>
      </c>
      <c r="P10" s="164">
        <v>8</v>
      </c>
      <c r="Q10" s="165" t="str">
        <f t="array" aca="1" ref="Q10:Y10" ca="1">OFFSET($C$2,MATCH(P10,$M$2:$M$51,0)-1,0,1,9)</f>
        <v>Azfar S</v>
      </c>
      <c r="R10" s="166">
        <f ca="1"/>
        <v>1.2</v>
      </c>
      <c r="S10" s="167">
        <f ca="1"/>
        <v>0</v>
      </c>
      <c r="T10" s="166">
        <f ca="1"/>
        <v>19</v>
      </c>
      <c r="U10" s="166">
        <f ca="1"/>
        <v>1</v>
      </c>
      <c r="V10" s="168">
        <f ca="1"/>
        <v>19</v>
      </c>
      <c r="W10" s="169">
        <f ca="1"/>
        <v>8</v>
      </c>
      <c r="X10" s="169">
        <f ca="1"/>
        <v>14.25</v>
      </c>
      <c r="Y10" s="169" t="str">
        <f ca="1"/>
        <v>1-19</v>
      </c>
      <c r="Z10" s="170">
        <f t="shared" ca="1" si="3"/>
        <v>0</v>
      </c>
      <c r="AB10" s="103"/>
    </row>
    <row r="11" spans="1:28" ht="12.75" x14ac:dyDescent="0.2">
      <c r="A11" s="122">
        <v>10</v>
      </c>
      <c r="B11" s="122">
        <f>MATCH(A11,Bowling!$CS$5:$CS$40,0)</f>
        <v>27</v>
      </c>
      <c r="C11" s="122" t="str">
        <f ca="1">OFFSET(Bowling!$B$4,BowlAves!B11,0)</f>
        <v>Sharpe D</v>
      </c>
      <c r="D11" s="154">
        <f t="array" aca="1" ref="D11:K11" ca="1">OFFSET(Bowling!$CG$4,BowlAves!B11,0,1,8)</f>
        <v>57</v>
      </c>
      <c r="E11" s="155">
        <f ca="1"/>
        <v>5</v>
      </c>
      <c r="F11" s="155">
        <f ca="1"/>
        <v>274</v>
      </c>
      <c r="G11" s="155">
        <f ca="1"/>
        <v>13</v>
      </c>
      <c r="H11" s="76">
        <f ca="1"/>
        <v>21.08</v>
      </c>
      <c r="I11" s="159">
        <f ca="1"/>
        <v>26.307692307692307</v>
      </c>
      <c r="J11" s="159">
        <f ca="1"/>
        <v>4.807017543859649</v>
      </c>
      <c r="K11" s="160" t="str">
        <f ca="1"/>
        <v>4-33</v>
      </c>
      <c r="L11" s="160">
        <f t="shared" ca="1" si="0"/>
        <v>10</v>
      </c>
      <c r="M11" s="160">
        <f t="shared" ca="1" si="1"/>
        <v>1</v>
      </c>
      <c r="N11" s="122" t="str">
        <f t="shared" ca="1" si="2"/>
        <v/>
      </c>
      <c r="P11" s="164">
        <v>9</v>
      </c>
      <c r="Q11" s="165" t="str">
        <f t="array" aca="1" ref="Q11:Y11" ca="1">OFFSET($C$2,MATCH(P11,$M$2:$M$51,0)-1,0,1,9)</f>
        <v>Driver S</v>
      </c>
      <c r="R11" s="166">
        <f ca="1"/>
        <v>8</v>
      </c>
      <c r="S11" s="167">
        <f ca="1"/>
        <v>1</v>
      </c>
      <c r="T11" s="166">
        <f ca="1"/>
        <v>38</v>
      </c>
      <c r="U11" s="166">
        <f ca="1"/>
        <v>2</v>
      </c>
      <c r="V11" s="168">
        <f ca="1"/>
        <v>19</v>
      </c>
      <c r="W11" s="169">
        <f ca="1"/>
        <v>24</v>
      </c>
      <c r="X11" s="169">
        <f ca="1"/>
        <v>4.75</v>
      </c>
      <c r="Y11" s="169" t="str">
        <f ca="1"/>
        <v>2-38</v>
      </c>
      <c r="Z11" s="170">
        <f t="shared" ca="1" si="3"/>
        <v>0.125</v>
      </c>
      <c r="AB11" s="103"/>
    </row>
    <row r="12" spans="1:28" ht="12.75" x14ac:dyDescent="0.2">
      <c r="A12" s="122">
        <v>11</v>
      </c>
      <c r="B12" s="122">
        <f>MATCH(A12,Bowling!$CS$5:$CS$40,0)</f>
        <v>17</v>
      </c>
      <c r="C12" s="122" t="str">
        <f ca="1">OFFSET(Bowling!$B$4,BowlAves!B12,0)</f>
        <v>Mander A</v>
      </c>
      <c r="D12" s="154">
        <f t="array" aca="1" ref="D12:K12" ca="1">OFFSET(Bowling!$CG$4,BowlAves!B12,0,1,8)</f>
        <v>52</v>
      </c>
      <c r="E12" s="155">
        <f ca="1"/>
        <v>9</v>
      </c>
      <c r="F12" s="155">
        <f ca="1"/>
        <v>197</v>
      </c>
      <c r="G12" s="155">
        <f ca="1"/>
        <v>9</v>
      </c>
      <c r="H12" s="76">
        <f ca="1"/>
        <v>21.89</v>
      </c>
      <c r="I12" s="159">
        <f ca="1"/>
        <v>34.666666666666664</v>
      </c>
      <c r="J12" s="159">
        <f ca="1"/>
        <v>3.7884615384615383</v>
      </c>
      <c r="K12" s="160" t="str">
        <f ca="1"/>
        <v>3-31</v>
      </c>
      <c r="L12" s="160">
        <f t="shared" ca="1" si="0"/>
        <v>1011</v>
      </c>
      <c r="M12" s="160">
        <f t="shared" ca="1" si="1"/>
        <v>13</v>
      </c>
      <c r="N12" s="122" t="str">
        <f t="shared" ca="1" si="2"/>
        <v>Mander A 52-9-197-9,</v>
      </c>
      <c r="P12" s="164">
        <v>10</v>
      </c>
      <c r="Q12" s="165" t="str">
        <f t="array" aca="1" ref="Q12:Y12" ca="1">OFFSET($C$2,MATCH(P12,$M$2:$M$51,0)-1,0,1,9)</f>
        <v>Sunkara C</v>
      </c>
      <c r="R12" s="166">
        <f ca="1"/>
        <v>14</v>
      </c>
      <c r="S12" s="167">
        <f ca="1"/>
        <v>1</v>
      </c>
      <c r="T12" s="166">
        <f ca="1"/>
        <v>76</v>
      </c>
      <c r="U12" s="166">
        <f ca="1"/>
        <v>4</v>
      </c>
      <c r="V12" s="168">
        <f ca="1"/>
        <v>19</v>
      </c>
      <c r="W12" s="169">
        <f ca="1"/>
        <v>21</v>
      </c>
      <c r="X12" s="169">
        <f ca="1"/>
        <v>5.4285714285714288</v>
      </c>
      <c r="Y12" s="169" t="str">
        <f ca="1"/>
        <v>3-40</v>
      </c>
      <c r="Z12" s="170">
        <f t="shared" ca="1" si="3"/>
        <v>7.1428571428571425E-2</v>
      </c>
      <c r="AB12" s="103"/>
    </row>
    <row r="13" spans="1:28" ht="12.75" x14ac:dyDescent="0.2">
      <c r="A13" s="122">
        <v>12</v>
      </c>
      <c r="B13" s="122">
        <f>MATCH(A13,Bowling!$CS$5:$CS$40,0)</f>
        <v>29</v>
      </c>
      <c r="C13" s="122" t="str">
        <f ca="1">OFFSET(Bowling!$B$4,BowlAves!B13,0)</f>
        <v>Springer T</v>
      </c>
      <c r="D13" s="154">
        <f t="array" aca="1" ref="D13:K13" ca="1">OFFSET(Bowling!$CG$4,BowlAves!B13,0,1,8)</f>
        <v>79</v>
      </c>
      <c r="E13" s="155">
        <f ca="1"/>
        <v>16</v>
      </c>
      <c r="F13" s="155">
        <f ca="1"/>
        <v>340</v>
      </c>
      <c r="G13" s="155">
        <f ca="1"/>
        <v>13</v>
      </c>
      <c r="H13" s="76">
        <f ca="1"/>
        <v>26.15</v>
      </c>
      <c r="I13" s="159">
        <f ca="1"/>
        <v>36.46153846153846</v>
      </c>
      <c r="J13" s="159">
        <f ca="1"/>
        <v>4.3037974683544302</v>
      </c>
      <c r="K13" s="160" t="str">
        <f ca="1"/>
        <v>4-17</v>
      </c>
      <c r="L13" s="160">
        <f t="shared" ca="1" si="0"/>
        <v>12</v>
      </c>
      <c r="M13" s="160">
        <f t="shared" ca="1" si="1"/>
        <v>2</v>
      </c>
      <c r="N13" s="122" t="str">
        <f t="shared" ca="1" si="2"/>
        <v/>
      </c>
      <c r="P13" s="164">
        <v>11</v>
      </c>
      <c r="Q13" s="165" t="str">
        <f t="array" aca="1" ref="Q13:Y13" ca="1">OFFSET($C$2,MATCH(P13,$M$2:$M$51,0)-1,0,1,9)</f>
        <v>Pascoe M</v>
      </c>
      <c r="R13" s="166">
        <f ca="1"/>
        <v>6</v>
      </c>
      <c r="S13" s="167">
        <f ca="1"/>
        <v>1</v>
      </c>
      <c r="T13" s="166">
        <f ca="1"/>
        <v>20</v>
      </c>
      <c r="U13" s="166">
        <f ca="1"/>
        <v>1</v>
      </c>
      <c r="V13" s="168">
        <f ca="1"/>
        <v>20</v>
      </c>
      <c r="W13" s="169">
        <f ca="1"/>
        <v>36</v>
      </c>
      <c r="X13" s="169">
        <f ca="1"/>
        <v>3.3333333333333335</v>
      </c>
      <c r="Y13" s="169" t="str">
        <f ca="1"/>
        <v>1-20</v>
      </c>
      <c r="Z13" s="170">
        <f t="shared" ca="1" si="3"/>
        <v>0.16666666666666666</v>
      </c>
      <c r="AB13" s="103"/>
    </row>
    <row r="14" spans="1:28" ht="12.75" x14ac:dyDescent="0.2">
      <c r="A14" s="122">
        <v>13</v>
      </c>
      <c r="B14" s="122">
        <f>MATCH(A14,Bowling!$CS$5:$CS$40,0)</f>
        <v>5</v>
      </c>
      <c r="C14" s="122" t="str">
        <f ca="1">OFFSET(Bowling!$B$4,BowlAves!B14,0)</f>
        <v>Bowers M</v>
      </c>
      <c r="D14" s="154">
        <f t="array" aca="1" ref="D14:K14" ca="1">OFFSET(Bowling!$CG$4,BowlAves!B14,0,1,8)</f>
        <v>37</v>
      </c>
      <c r="E14" s="155">
        <f ca="1"/>
        <v>0</v>
      </c>
      <c r="F14" s="155">
        <f ca="1"/>
        <v>214</v>
      </c>
      <c r="G14" s="155">
        <f ca="1"/>
        <v>8</v>
      </c>
      <c r="H14" s="76">
        <f ca="1"/>
        <v>26.75</v>
      </c>
      <c r="I14" s="159">
        <f ca="1"/>
        <v>27.75</v>
      </c>
      <c r="J14" s="159">
        <f ca="1"/>
        <v>5.7837837837837842</v>
      </c>
      <c r="K14" s="160" t="str">
        <f ca="1"/>
        <v>2-32</v>
      </c>
      <c r="L14" s="160">
        <f t="shared" ca="1" si="0"/>
        <v>1013</v>
      </c>
      <c r="M14" s="160">
        <f t="shared" ca="1" si="1"/>
        <v>14</v>
      </c>
      <c r="N14" s="122" t="str">
        <f t="shared" ca="1" si="2"/>
        <v>Bowers M 37-0-214-8,</v>
      </c>
      <c r="P14" s="164">
        <v>12</v>
      </c>
      <c r="Q14" s="165" t="str">
        <f t="array" aca="1" ref="Q14:Y14" ca="1">OFFSET($C$2,MATCH(P14,$M$2:$M$51,0)-1,0,1,9)</f>
        <v>Brocks D</v>
      </c>
      <c r="R14" s="166">
        <f ca="1"/>
        <v>16</v>
      </c>
      <c r="S14" s="167">
        <f ca="1"/>
        <v>2</v>
      </c>
      <c r="T14" s="166">
        <f ca="1"/>
        <v>63</v>
      </c>
      <c r="U14" s="166">
        <f ca="1"/>
        <v>3</v>
      </c>
      <c r="V14" s="168">
        <f ca="1"/>
        <v>21</v>
      </c>
      <c r="W14" s="169">
        <f ca="1"/>
        <v>32</v>
      </c>
      <c r="X14" s="169">
        <f ca="1"/>
        <v>3.9375</v>
      </c>
      <c r="Y14" s="169" t="str">
        <f ca="1"/>
        <v>3-18</v>
      </c>
      <c r="Z14" s="170">
        <f t="shared" ca="1" si="3"/>
        <v>0.125</v>
      </c>
      <c r="AB14" s="103"/>
    </row>
    <row r="15" spans="1:28" ht="12.75" x14ac:dyDescent="0.2">
      <c r="A15" s="122">
        <v>14</v>
      </c>
      <c r="B15" s="122">
        <f>MATCH(A15,Bowling!$CS$5:$CS$40,0)</f>
        <v>20</v>
      </c>
      <c r="C15" s="122" t="str">
        <f ca="1">OFFSET(Bowling!$B$4,BowlAves!B15,0)</f>
        <v>O'Rourke P</v>
      </c>
      <c r="D15" s="154">
        <f t="array" aca="1" ref="D15:K15" ca="1">OFFSET(Bowling!$CG$4,BowlAves!B15,0,1,8)</f>
        <v>7</v>
      </c>
      <c r="E15" s="155">
        <f ca="1"/>
        <v>0</v>
      </c>
      <c r="F15" s="155">
        <f ca="1"/>
        <v>27</v>
      </c>
      <c r="G15" s="155">
        <f ca="1"/>
        <v>1</v>
      </c>
      <c r="H15" s="76">
        <f ca="1"/>
        <v>27</v>
      </c>
      <c r="I15" s="159">
        <f ca="1"/>
        <v>42</v>
      </c>
      <c r="J15" s="159">
        <f ca="1"/>
        <v>3.8571428571428572</v>
      </c>
      <c r="K15" s="160" t="str">
        <f ca="1"/>
        <v>1-27</v>
      </c>
      <c r="L15" s="160">
        <f t="shared" ca="1" si="0"/>
        <v>1014</v>
      </c>
      <c r="M15" s="160">
        <f t="shared" ca="1" si="1"/>
        <v>15</v>
      </c>
      <c r="N15" s="122" t="str">
        <f t="shared" ca="1" si="2"/>
        <v>O'Rourke P 7-0-27-1,</v>
      </c>
      <c r="P15" s="164">
        <v>13</v>
      </c>
      <c r="Q15" s="165" t="str">
        <f t="array" aca="1" ref="Q15:Y15" ca="1">OFFSET($C$2,MATCH(P15,$M$2:$M$51,0)-1,0,1,9)</f>
        <v>Mander A</v>
      </c>
      <c r="R15" s="166">
        <f ca="1"/>
        <v>52</v>
      </c>
      <c r="S15" s="167">
        <f ca="1"/>
        <v>9</v>
      </c>
      <c r="T15" s="166">
        <f ca="1"/>
        <v>197</v>
      </c>
      <c r="U15" s="166">
        <f ca="1"/>
        <v>9</v>
      </c>
      <c r="V15" s="168">
        <f ca="1"/>
        <v>21.89</v>
      </c>
      <c r="W15" s="169">
        <f ca="1"/>
        <v>34.666666666666664</v>
      </c>
      <c r="X15" s="169">
        <f ca="1"/>
        <v>3.7884615384615383</v>
      </c>
      <c r="Y15" s="169" t="str">
        <f ca="1"/>
        <v>3-31</v>
      </c>
      <c r="Z15" s="170">
        <f t="shared" ca="1" si="3"/>
        <v>0.17307692307692307</v>
      </c>
      <c r="AB15" s="103"/>
    </row>
    <row r="16" spans="1:28" ht="12.75" x14ac:dyDescent="0.2">
      <c r="A16" s="122">
        <v>15</v>
      </c>
      <c r="B16" s="122">
        <f>MATCH(A16,Bowling!$CS$5:$CS$40,0)</f>
        <v>28</v>
      </c>
      <c r="C16" s="122" t="str">
        <f ca="1">OFFSET(Bowling!$B$4,BowlAves!B16,0)</f>
        <v>Smith C</v>
      </c>
      <c r="D16" s="154">
        <f t="array" aca="1" ref="D16:K16" ca="1">OFFSET(Bowling!$CG$4,BowlAves!B16,0,1,8)</f>
        <v>9.1999999999999993</v>
      </c>
      <c r="E16" s="155">
        <f ca="1"/>
        <v>0</v>
      </c>
      <c r="F16" s="155">
        <f ca="1"/>
        <v>54</v>
      </c>
      <c r="G16" s="155">
        <f ca="1"/>
        <v>2</v>
      </c>
      <c r="H16" s="76">
        <f ca="1"/>
        <v>27</v>
      </c>
      <c r="I16" s="159">
        <f ca="1"/>
        <v>28</v>
      </c>
      <c r="J16" s="159">
        <f ca="1"/>
        <v>5.7857142857142856</v>
      </c>
      <c r="K16" s="160" t="str">
        <f ca="1"/>
        <v>2-21</v>
      </c>
      <c r="L16" s="160">
        <f t="shared" ca="1" si="0"/>
        <v>1015</v>
      </c>
      <c r="M16" s="160">
        <f t="shared" ca="1" si="1"/>
        <v>16</v>
      </c>
      <c r="N16" s="122" t="str">
        <f t="shared" ca="1" si="2"/>
        <v>Smith C 9.2-0-54-2,</v>
      </c>
      <c r="P16" s="164">
        <v>14</v>
      </c>
      <c r="Q16" s="165" t="str">
        <f t="array" aca="1" ref="Q16:Y16" ca="1">OFFSET($C$2,MATCH(P16,$M$2:$M$51,0)-1,0,1,9)</f>
        <v>Bowers M</v>
      </c>
      <c r="R16" s="166">
        <f ca="1"/>
        <v>37</v>
      </c>
      <c r="S16" s="167">
        <f ca="1"/>
        <v>0</v>
      </c>
      <c r="T16" s="166">
        <f ca="1"/>
        <v>214</v>
      </c>
      <c r="U16" s="166">
        <f ca="1"/>
        <v>8</v>
      </c>
      <c r="V16" s="168">
        <f ca="1"/>
        <v>26.75</v>
      </c>
      <c r="W16" s="169">
        <f ca="1"/>
        <v>27.75</v>
      </c>
      <c r="X16" s="169">
        <f ca="1"/>
        <v>5.7837837837837842</v>
      </c>
      <c r="Y16" s="169" t="str">
        <f ca="1"/>
        <v>2-32</v>
      </c>
      <c r="Z16" s="170">
        <f t="shared" ca="1" si="3"/>
        <v>0</v>
      </c>
      <c r="AB16" s="103"/>
    </row>
    <row r="17" spans="1:28" ht="12.75" x14ac:dyDescent="0.2">
      <c r="A17" s="122">
        <v>16</v>
      </c>
      <c r="B17" s="122">
        <f>MATCH(A17,Bowling!$CS$5:$CS$40,0)</f>
        <v>8</v>
      </c>
      <c r="C17" s="122" t="str">
        <f ca="1">OFFSET(Bowling!$B$4,BowlAves!B17,0)</f>
        <v>Clarkson M</v>
      </c>
      <c r="D17" s="154">
        <f t="array" aca="1" ref="D17:K17" ca="1">OFFSET(Bowling!$CG$4,BowlAves!B17,0,1,8)</f>
        <v>7</v>
      </c>
      <c r="E17" s="155">
        <f ca="1"/>
        <v>0</v>
      </c>
      <c r="F17" s="155">
        <f ca="1"/>
        <v>33</v>
      </c>
      <c r="G17" s="155">
        <f ca="1"/>
        <v>1</v>
      </c>
      <c r="H17" s="76">
        <f ca="1"/>
        <v>33</v>
      </c>
      <c r="I17" s="159">
        <f ca="1"/>
        <v>42</v>
      </c>
      <c r="J17" s="159">
        <f ca="1"/>
        <v>4.7142857142857144</v>
      </c>
      <c r="K17" s="160" t="str">
        <f ca="1"/>
        <v>1-29</v>
      </c>
      <c r="L17" s="160">
        <f t="shared" ca="1" si="0"/>
        <v>1016</v>
      </c>
      <c r="M17" s="160">
        <f t="shared" ca="1" si="1"/>
        <v>17</v>
      </c>
      <c r="N17" s="122" t="str">
        <f t="shared" ca="1" si="2"/>
        <v>Clarkson M 7-0-33-1,</v>
      </c>
      <c r="P17" s="164">
        <v>15</v>
      </c>
      <c r="Q17" s="165" t="str">
        <f t="array" aca="1" ref="Q17:Y17" ca="1">OFFSET($C$2,MATCH(P17,$M$2:$M$51,0)-1,0,1,9)</f>
        <v>O'Rourke P</v>
      </c>
      <c r="R17" s="166">
        <f ca="1"/>
        <v>7</v>
      </c>
      <c r="S17" s="167">
        <f ca="1"/>
        <v>0</v>
      </c>
      <c r="T17" s="166">
        <f ca="1"/>
        <v>27</v>
      </c>
      <c r="U17" s="166">
        <f ca="1"/>
        <v>1</v>
      </c>
      <c r="V17" s="168">
        <f ca="1"/>
        <v>27</v>
      </c>
      <c r="W17" s="169">
        <f ca="1"/>
        <v>42</v>
      </c>
      <c r="X17" s="169">
        <f ca="1"/>
        <v>3.8571428571428572</v>
      </c>
      <c r="Y17" s="169" t="str">
        <f ca="1"/>
        <v>1-27</v>
      </c>
      <c r="Z17" s="170">
        <f t="shared" ca="1" si="3"/>
        <v>0</v>
      </c>
      <c r="AB17" s="103"/>
    </row>
    <row r="18" spans="1:28" ht="12.75" x14ac:dyDescent="0.2">
      <c r="A18" s="122">
        <v>17</v>
      </c>
      <c r="B18" s="122">
        <f>MATCH(A18,Bowling!$CS$5:$CS$40,0)</f>
        <v>18</v>
      </c>
      <c r="C18" s="122" t="str">
        <f ca="1">OFFSET(Bowling!$B$4,BowlAves!B18,0)</f>
        <v>Middleton J</v>
      </c>
      <c r="D18" s="154">
        <f t="array" aca="1" ref="D18:K18" ca="1">OFFSET(Bowling!$CG$4,BowlAves!B18,0,1,8)</f>
        <v>46</v>
      </c>
      <c r="E18" s="155">
        <f ca="1"/>
        <v>3</v>
      </c>
      <c r="F18" s="155">
        <f ca="1"/>
        <v>204</v>
      </c>
      <c r="G18" s="155">
        <f ca="1"/>
        <v>6</v>
      </c>
      <c r="H18" s="76">
        <f ca="1"/>
        <v>34</v>
      </c>
      <c r="I18" s="159">
        <f ca="1"/>
        <v>46</v>
      </c>
      <c r="J18" s="159">
        <f ca="1"/>
        <v>4.4347826086956523</v>
      </c>
      <c r="K18" s="160" t="str">
        <f ca="1"/>
        <v>2-28</v>
      </c>
      <c r="L18" s="160">
        <f t="shared" ca="1" si="0"/>
        <v>1017</v>
      </c>
      <c r="M18" s="160">
        <f t="shared" ca="1" si="1"/>
        <v>18</v>
      </c>
      <c r="N18" s="122" t="str">
        <f t="shared" ca="1" si="2"/>
        <v>Middleton J 46-3-204-6,</v>
      </c>
      <c r="P18" s="164">
        <v>16</v>
      </c>
      <c r="Q18" s="165" t="str">
        <f t="array" aca="1" ref="Q18:Y18" ca="1">OFFSET($C$2,MATCH(P18,$M$2:$M$51,0)-1,0,1,9)</f>
        <v>Smith C</v>
      </c>
      <c r="R18" s="166">
        <f ca="1"/>
        <v>9.1999999999999993</v>
      </c>
      <c r="S18" s="167">
        <f ca="1"/>
        <v>0</v>
      </c>
      <c r="T18" s="166">
        <f ca="1"/>
        <v>54</v>
      </c>
      <c r="U18" s="166">
        <f ca="1"/>
        <v>2</v>
      </c>
      <c r="V18" s="168">
        <f ca="1"/>
        <v>27</v>
      </c>
      <c r="W18" s="169">
        <f ca="1"/>
        <v>28</v>
      </c>
      <c r="X18" s="169">
        <f ca="1"/>
        <v>5.7857142857142856</v>
      </c>
      <c r="Y18" s="169" t="str">
        <f ca="1"/>
        <v>2-21</v>
      </c>
      <c r="Z18" s="170">
        <f t="shared" ca="1" si="3"/>
        <v>0</v>
      </c>
      <c r="AB18" s="103"/>
    </row>
    <row r="19" spans="1:28" ht="12.75" x14ac:dyDescent="0.2">
      <c r="A19" s="122">
        <v>18</v>
      </c>
      <c r="B19" s="122">
        <f>MATCH(A19,Bowling!$CS$5:$CS$40,0)</f>
        <v>24</v>
      </c>
      <c r="C19" s="122" t="str">
        <f ca="1">OFFSET(Bowling!$B$4,BowlAves!B19,0)</f>
        <v>Pascoe N</v>
      </c>
      <c r="D19" s="154">
        <f t="array" aca="1" ref="D19:K19" ca="1">OFFSET(Bowling!$CG$4,BowlAves!B19,0,1,8)</f>
        <v>16.399999999999999</v>
      </c>
      <c r="E19" s="155">
        <f ca="1"/>
        <v>2</v>
      </c>
      <c r="F19" s="155">
        <f ca="1"/>
        <v>73</v>
      </c>
      <c r="G19" s="155">
        <f ca="1"/>
        <v>2</v>
      </c>
      <c r="H19" s="76">
        <f ca="1"/>
        <v>36.5</v>
      </c>
      <c r="I19" s="159">
        <f ca="1"/>
        <v>50</v>
      </c>
      <c r="J19" s="159">
        <f ca="1"/>
        <v>4.38</v>
      </c>
      <c r="K19" s="160" t="str">
        <f ca="1"/>
        <v>1-9</v>
      </c>
      <c r="L19" s="160">
        <f t="shared" ca="1" si="0"/>
        <v>1018</v>
      </c>
      <c r="M19" s="160">
        <f t="shared" ca="1" si="1"/>
        <v>19</v>
      </c>
      <c r="N19" s="122" t="str">
        <f t="shared" ca="1" si="2"/>
        <v>Pascoe N 16.4-2-73-2,</v>
      </c>
      <c r="P19" s="164">
        <v>17</v>
      </c>
      <c r="Q19" s="165" t="str">
        <f t="array" aca="1" ref="Q19:Y19" ca="1">OFFSET($C$2,MATCH(P19,$M$2:$M$51,0)-1,0,1,9)</f>
        <v>Clarkson M</v>
      </c>
      <c r="R19" s="166">
        <f ca="1"/>
        <v>7</v>
      </c>
      <c r="S19" s="167">
        <f ca="1"/>
        <v>0</v>
      </c>
      <c r="T19" s="166">
        <f ca="1"/>
        <v>33</v>
      </c>
      <c r="U19" s="166">
        <f ca="1"/>
        <v>1</v>
      </c>
      <c r="V19" s="168">
        <f ca="1"/>
        <v>33</v>
      </c>
      <c r="W19" s="169">
        <f ca="1"/>
        <v>42</v>
      </c>
      <c r="X19" s="169">
        <f ca="1"/>
        <v>4.7142857142857144</v>
      </c>
      <c r="Y19" s="169" t="str">
        <f ca="1"/>
        <v>1-29</v>
      </c>
      <c r="Z19" s="170">
        <f t="shared" ca="1" si="3"/>
        <v>0</v>
      </c>
      <c r="AB19" s="103"/>
    </row>
    <row r="20" spans="1:28" ht="12.75" x14ac:dyDescent="0.2">
      <c r="A20" s="122">
        <v>19</v>
      </c>
      <c r="B20" s="122">
        <f>MATCH(A20,Bowling!$CS$5:$CS$40,0)</f>
        <v>33</v>
      </c>
      <c r="C20" s="122" t="str">
        <f ca="1">OFFSET(Bowling!$B$4,BowlAves!B20,0)</f>
        <v>Tiyagi V</v>
      </c>
      <c r="D20" s="154">
        <f t="array" aca="1" ref="D20:K20" ca="1">OFFSET(Bowling!$CG$4,BowlAves!B20,0,1,8)</f>
        <v>13</v>
      </c>
      <c r="E20" s="155">
        <f ca="1"/>
        <v>0</v>
      </c>
      <c r="F20" s="155">
        <f ca="1"/>
        <v>84</v>
      </c>
      <c r="G20" s="155">
        <f ca="1"/>
        <v>2</v>
      </c>
      <c r="H20" s="76">
        <f ca="1"/>
        <v>42</v>
      </c>
      <c r="I20" s="159">
        <f ca="1"/>
        <v>39</v>
      </c>
      <c r="J20" s="159">
        <f ca="1"/>
        <v>6.4615384615384617</v>
      </c>
      <c r="K20" s="160" t="str">
        <f ca="1"/>
        <v>2-33</v>
      </c>
      <c r="L20" s="160">
        <f t="shared" ca="1" si="0"/>
        <v>1019</v>
      </c>
      <c r="M20" s="160">
        <f t="shared" ca="1" si="1"/>
        <v>20</v>
      </c>
      <c r="N20" s="122" t="str">
        <f t="shared" ca="1" si="2"/>
        <v>Tiyagi V 13-0-84-2,</v>
      </c>
      <c r="P20" s="164">
        <v>18</v>
      </c>
      <c r="Q20" s="165" t="str">
        <f t="array" aca="1" ref="Q20:Y20" ca="1">OFFSET($C$2,MATCH(P20,$M$2:$M$51,0)-1,0,1,9)</f>
        <v>Middleton J</v>
      </c>
      <c r="R20" s="166">
        <f ca="1"/>
        <v>46</v>
      </c>
      <c r="S20" s="167">
        <f ca="1"/>
        <v>3</v>
      </c>
      <c r="T20" s="166">
        <f ca="1"/>
        <v>204</v>
      </c>
      <c r="U20" s="166">
        <f ca="1"/>
        <v>6</v>
      </c>
      <c r="V20" s="168">
        <f ca="1"/>
        <v>34</v>
      </c>
      <c r="W20" s="169">
        <f ca="1"/>
        <v>46</v>
      </c>
      <c r="X20" s="169">
        <f ca="1"/>
        <v>4.4347826086956523</v>
      </c>
      <c r="Y20" s="169" t="str">
        <f ca="1"/>
        <v>2-28</v>
      </c>
      <c r="Z20" s="170">
        <f t="shared" ca="1" si="3"/>
        <v>6.5217391304347824E-2</v>
      </c>
      <c r="AB20" s="103"/>
    </row>
    <row r="21" spans="1:28" ht="12.75" x14ac:dyDescent="0.2">
      <c r="A21" s="122">
        <v>20</v>
      </c>
      <c r="B21" s="122">
        <f>MATCH(A21,Bowling!$CS$5:$CS$40,0)</f>
        <v>26</v>
      </c>
      <c r="C21" s="122" t="str">
        <f ca="1">OFFSET(Bowling!$B$4,BowlAves!B21,0)</f>
        <v>Seymour C</v>
      </c>
      <c r="D21" s="154">
        <f t="array" aca="1" ref="D21:K21" ca="1">OFFSET(Bowling!$CG$4,BowlAves!B21,0,1,8)</f>
        <v>100</v>
      </c>
      <c r="E21" s="155">
        <f ca="1"/>
        <v>2</v>
      </c>
      <c r="F21" s="155">
        <f ca="1"/>
        <v>555</v>
      </c>
      <c r="G21" s="155">
        <f ca="1"/>
        <v>10</v>
      </c>
      <c r="H21" s="76">
        <f ca="1"/>
        <v>55.5</v>
      </c>
      <c r="I21" s="159">
        <f ca="1"/>
        <v>60</v>
      </c>
      <c r="J21" s="159">
        <f ca="1"/>
        <v>5.55</v>
      </c>
      <c r="K21" s="160" t="str">
        <f ca="1"/>
        <v>3-37</v>
      </c>
      <c r="L21" s="160">
        <f t="shared" ca="1" si="0"/>
        <v>20</v>
      </c>
      <c r="M21" s="160">
        <f t="shared" ca="1" si="1"/>
        <v>3</v>
      </c>
      <c r="N21" s="122" t="str">
        <f t="shared" ca="1" si="2"/>
        <v/>
      </c>
      <c r="P21" s="164">
        <v>19</v>
      </c>
      <c r="Q21" s="165" t="str">
        <f t="array" aca="1" ref="Q21:Y21" ca="1">OFFSET($C$2,MATCH(P21,$M$2:$M$51,0)-1,0,1,9)</f>
        <v>Pascoe N</v>
      </c>
      <c r="R21" s="166">
        <f ca="1"/>
        <v>16.399999999999999</v>
      </c>
      <c r="S21" s="167">
        <f ca="1"/>
        <v>2</v>
      </c>
      <c r="T21" s="166">
        <f ca="1"/>
        <v>73</v>
      </c>
      <c r="U21" s="166">
        <f ca="1"/>
        <v>2</v>
      </c>
      <c r="V21" s="168">
        <f ca="1"/>
        <v>36.5</v>
      </c>
      <c r="W21" s="169">
        <f ca="1"/>
        <v>50</v>
      </c>
      <c r="X21" s="169">
        <f ca="1"/>
        <v>4.38</v>
      </c>
      <c r="Y21" s="169" t="str">
        <f ca="1"/>
        <v>1-9</v>
      </c>
      <c r="Z21" s="170">
        <f t="shared" ca="1" si="3"/>
        <v>0.12195121951219513</v>
      </c>
      <c r="AB21" s="103"/>
    </row>
    <row r="22" spans="1:28" ht="12.75" x14ac:dyDescent="0.2">
      <c r="A22" s="122">
        <v>21</v>
      </c>
      <c r="B22" s="122">
        <f>MATCH(A22,Bowling!$CS$5:$CS$40,0)</f>
        <v>34</v>
      </c>
      <c r="C22" s="122" t="str">
        <f ca="1">OFFSET(Bowling!$B$4,BowlAves!B22,0)</f>
        <v>Vashisthta V</v>
      </c>
      <c r="D22" s="154">
        <f t="array" aca="1" ref="D22:K22" ca="1">OFFSET(Bowling!$CG$4,BowlAves!B22,0,1,8)</f>
        <v>21</v>
      </c>
      <c r="E22" s="155">
        <f ca="1"/>
        <v>0</v>
      </c>
      <c r="F22" s="155">
        <f ca="1"/>
        <v>85</v>
      </c>
      <c r="G22" s="155">
        <f ca="1"/>
        <v>1</v>
      </c>
      <c r="H22" s="76">
        <f ca="1"/>
        <v>85</v>
      </c>
      <c r="I22" s="159">
        <f ca="1"/>
        <v>126</v>
      </c>
      <c r="J22" s="159">
        <f ca="1"/>
        <v>4.0476190476190474</v>
      </c>
      <c r="K22" s="160" t="str">
        <f ca="1"/>
        <v>1-18</v>
      </c>
      <c r="L22" s="160">
        <f t="shared" ca="1" si="0"/>
        <v>1021</v>
      </c>
      <c r="M22" s="160">
        <f t="shared" ca="1" si="1"/>
        <v>21</v>
      </c>
      <c r="N22" s="122" t="str">
        <f t="shared" ca="1" si="2"/>
        <v>Vashisthta V 21-0-85-1,</v>
      </c>
      <c r="P22" s="164">
        <v>20</v>
      </c>
      <c r="Q22" s="165" t="str">
        <f t="array" aca="1" ref="Q22:Y22" ca="1">OFFSET($C$2,MATCH(P22,$M$2:$M$51,0)-1,0,1,9)</f>
        <v>Tiyagi V</v>
      </c>
      <c r="R22" s="166">
        <f ca="1"/>
        <v>13</v>
      </c>
      <c r="S22" s="167">
        <f ca="1"/>
        <v>0</v>
      </c>
      <c r="T22" s="166">
        <f ca="1"/>
        <v>84</v>
      </c>
      <c r="U22" s="166">
        <f ca="1"/>
        <v>2</v>
      </c>
      <c r="V22" s="168">
        <f ca="1"/>
        <v>42</v>
      </c>
      <c r="W22" s="169">
        <f ca="1"/>
        <v>39</v>
      </c>
      <c r="X22" s="169">
        <f ca="1"/>
        <v>6.4615384615384617</v>
      </c>
      <c r="Y22" s="169" t="str">
        <f ca="1"/>
        <v>2-33</v>
      </c>
      <c r="Z22" s="170">
        <f t="shared" ca="1" si="3"/>
        <v>0</v>
      </c>
      <c r="AB22" s="103"/>
    </row>
    <row r="23" spans="1:28" ht="11.25" x14ac:dyDescent="0.2">
      <c r="A23" s="122">
        <v>22</v>
      </c>
      <c r="B23" s="122">
        <f>MATCH(A23,Bowling!$CS$5:$CS$40,0)</f>
        <v>10</v>
      </c>
      <c r="C23" s="122" t="str">
        <f ca="1">OFFSET(Bowling!$B$4,BowlAves!B23,0)</f>
        <v>Dalrymple A</v>
      </c>
      <c r="D23" s="154">
        <f t="array" aca="1" ref="D23:K23" ca="1">OFFSET(Bowling!$CG$4,BowlAves!B23,0,1,8)</f>
        <v>2</v>
      </c>
      <c r="E23" s="155">
        <f ca="1"/>
        <v>0</v>
      </c>
      <c r="F23" s="155">
        <f ca="1"/>
        <v>18</v>
      </c>
      <c r="G23" s="155">
        <f ca="1"/>
        <v>0</v>
      </c>
      <c r="H23" s="76" t="str">
        <f ca="1"/>
        <v/>
      </c>
      <c r="I23" s="159" t="str">
        <f ca="1"/>
        <v/>
      </c>
      <c r="J23" s="159">
        <f ca="1"/>
        <v>9</v>
      </c>
      <c r="K23" s="160" t="str">
        <f ca="1"/>
        <v>0-18</v>
      </c>
      <c r="L23" s="160">
        <f t="shared" ca="1" si="0"/>
        <v>1022</v>
      </c>
      <c r="M23" s="160">
        <f t="shared" ca="1" si="1"/>
        <v>22</v>
      </c>
      <c r="N23" s="122" t="str">
        <f t="shared" ca="1" si="2"/>
        <v>Dalrymple A 2-0-18-0,</v>
      </c>
      <c r="P23" s="164">
        <v>21</v>
      </c>
      <c r="Q23" s="165" t="str">
        <f t="array" aca="1" ref="Q23:Y23" ca="1">OFFSET($C$2,MATCH(P23,$M$2:$M$51,0)-1,0,1,9)</f>
        <v>Vashisthta V</v>
      </c>
      <c r="R23" s="166">
        <f ca="1"/>
        <v>21</v>
      </c>
      <c r="S23" s="167">
        <f ca="1"/>
        <v>0</v>
      </c>
      <c r="T23" s="166">
        <f ca="1"/>
        <v>85</v>
      </c>
      <c r="U23" s="166">
        <f ca="1"/>
        <v>1</v>
      </c>
      <c r="V23" s="168">
        <f ca="1"/>
        <v>85</v>
      </c>
      <c r="W23" s="169">
        <f ca="1"/>
        <v>126</v>
      </c>
      <c r="X23" s="169">
        <f ca="1"/>
        <v>4.0476190476190474</v>
      </c>
      <c r="Y23" s="169" t="str">
        <f ca="1"/>
        <v>1-18</v>
      </c>
      <c r="Z23" s="170">
        <f t="shared" ca="1" si="3"/>
        <v>0</v>
      </c>
    </row>
    <row r="24" spans="1:28" ht="11.25" x14ac:dyDescent="0.2">
      <c r="A24" s="122">
        <v>23</v>
      </c>
      <c r="B24" s="122">
        <f>MATCH(A24,Bowling!$CS$5:$CS$40,0)</f>
        <v>12</v>
      </c>
      <c r="C24" s="122" t="str">
        <f ca="1">OFFSET(Bowling!$B$4,BowlAves!B24,0)</f>
        <v>Edghill C</v>
      </c>
      <c r="D24" s="154">
        <f t="array" aca="1" ref="D24:K24" ca="1">OFFSET(Bowling!$CG$4,BowlAves!B24,0,1,8)</f>
        <v>2</v>
      </c>
      <c r="E24" s="155">
        <f ca="1"/>
        <v>0</v>
      </c>
      <c r="F24" s="155">
        <f ca="1"/>
        <v>10</v>
      </c>
      <c r="G24" s="155">
        <f ca="1"/>
        <v>0</v>
      </c>
      <c r="H24" s="76" t="str">
        <f ca="1"/>
        <v/>
      </c>
      <c r="I24" s="159" t="str">
        <f ca="1"/>
        <v/>
      </c>
      <c r="J24" s="159">
        <f ca="1"/>
        <v>5</v>
      </c>
      <c r="K24" s="160" t="str">
        <f ca="1"/>
        <v>0-10</v>
      </c>
      <c r="L24" s="160">
        <f t="shared" ca="1" si="0"/>
        <v>1023</v>
      </c>
      <c r="M24" s="160">
        <f t="shared" ca="1" si="1"/>
        <v>23</v>
      </c>
      <c r="N24" s="122" t="str">
        <f t="shared" ca="1" si="2"/>
        <v>Edghill C 2-0-10-0,</v>
      </c>
      <c r="P24" s="164">
        <v>22</v>
      </c>
      <c r="Q24" s="165" t="str">
        <f t="array" aca="1" ref="Q24:Y24" ca="1">OFFSET($C$2,MATCH(P24,$M$2:$M$51,0)-1,0,1,9)</f>
        <v>Dalrymple A</v>
      </c>
      <c r="R24" s="166">
        <f ca="1"/>
        <v>2</v>
      </c>
      <c r="S24" s="167">
        <f ca="1"/>
        <v>0</v>
      </c>
      <c r="T24" s="166">
        <f ca="1"/>
        <v>18</v>
      </c>
      <c r="U24" s="166">
        <f ca="1"/>
        <v>0</v>
      </c>
      <c r="V24" s="168" t="str">
        <f ca="1"/>
        <v/>
      </c>
      <c r="W24" s="169" t="str">
        <f ca="1"/>
        <v/>
      </c>
      <c r="X24" s="169">
        <f ca="1"/>
        <v>9</v>
      </c>
      <c r="Y24" s="169" t="str">
        <f ca="1"/>
        <v>0-18</v>
      </c>
      <c r="Z24" s="170">
        <f t="shared" ca="1" si="3"/>
        <v>0</v>
      </c>
    </row>
    <row r="25" spans="1:28" ht="11.25" x14ac:dyDescent="0.2">
      <c r="A25" s="122">
        <v>24</v>
      </c>
      <c r="B25" s="122">
        <f>MATCH(A25,Bowling!$CS$5:$CS$40,0)</f>
        <v>25</v>
      </c>
      <c r="C25" s="122" t="str">
        <f ca="1">OFFSET(Bowling!$B$4,BowlAves!B25,0)</f>
        <v>Pearce R</v>
      </c>
      <c r="D25" s="154">
        <f t="array" aca="1" ref="D25:K25" ca="1">OFFSET(Bowling!$CG$4,BowlAves!B25,0,1,8)</f>
        <v>2</v>
      </c>
      <c r="E25" s="155">
        <f ca="1"/>
        <v>1</v>
      </c>
      <c r="F25" s="155">
        <f ca="1"/>
        <v>4</v>
      </c>
      <c r="G25" s="155">
        <f ca="1"/>
        <v>0</v>
      </c>
      <c r="H25" s="76" t="str">
        <f ca="1"/>
        <v/>
      </c>
      <c r="I25" s="159" t="str">
        <f ca="1"/>
        <v/>
      </c>
      <c r="J25" s="159">
        <f ca="1"/>
        <v>2</v>
      </c>
      <c r="K25" s="160" t="str">
        <f ca="1"/>
        <v>0-4</v>
      </c>
      <c r="L25" s="160">
        <f t="shared" ca="1" si="0"/>
        <v>1024</v>
      </c>
      <c r="M25" s="160">
        <f t="shared" ca="1" si="1"/>
        <v>24</v>
      </c>
      <c r="N25" s="122" t="str">
        <f t="shared" ca="1" si="2"/>
        <v>Pearce R 2-1-4-0,</v>
      </c>
      <c r="P25" s="164">
        <v>23</v>
      </c>
      <c r="Q25" s="165" t="str">
        <f t="array" aca="1" ref="Q25:Y25" ca="1">OFFSET($C$2,MATCH(P25,$M$2:$M$51,0)-1,0,1,9)</f>
        <v>Edghill C</v>
      </c>
      <c r="R25" s="166">
        <f ca="1"/>
        <v>2</v>
      </c>
      <c r="S25" s="167">
        <f ca="1"/>
        <v>0</v>
      </c>
      <c r="T25" s="166">
        <f ca="1"/>
        <v>10</v>
      </c>
      <c r="U25" s="166">
        <f ca="1"/>
        <v>0</v>
      </c>
      <c r="V25" s="168" t="str">
        <f ca="1"/>
        <v/>
      </c>
      <c r="W25" s="169" t="str">
        <f ca="1"/>
        <v/>
      </c>
      <c r="X25" s="169">
        <f ca="1"/>
        <v>5</v>
      </c>
      <c r="Y25" s="169" t="str">
        <f ca="1"/>
        <v>0-10</v>
      </c>
      <c r="Z25" s="170">
        <f t="shared" ca="1" si="3"/>
        <v>0</v>
      </c>
    </row>
    <row r="26" spans="1:28" x14ac:dyDescent="0.15">
      <c r="A26" s="122">
        <v>25</v>
      </c>
      <c r="B26" s="122">
        <f>MATCH(A26,Bowling!$CS$5:$CS$40,0)</f>
        <v>32</v>
      </c>
      <c r="C26" s="122" t="str">
        <f ca="1">OFFSET(Bowling!$B$4,BowlAves!B26,0)</f>
        <v>Threlfall R</v>
      </c>
      <c r="D26" s="154">
        <f t="array" aca="1" ref="D26:K26" ca="1">OFFSET(Bowling!$CG$4,BowlAves!B26,0,1,8)</f>
        <v>2</v>
      </c>
      <c r="E26" s="155">
        <f ca="1"/>
        <v>0</v>
      </c>
      <c r="F26" s="155">
        <f ca="1"/>
        <v>19</v>
      </c>
      <c r="G26" s="155">
        <f ca="1"/>
        <v>0</v>
      </c>
      <c r="H26" s="76" t="str">
        <f ca="1"/>
        <v/>
      </c>
      <c r="I26" s="159" t="str">
        <f ca="1"/>
        <v/>
      </c>
      <c r="J26" s="159">
        <f ca="1"/>
        <v>9.5</v>
      </c>
      <c r="K26" s="160" t="str">
        <f ca="1"/>
        <v>0-19</v>
      </c>
      <c r="L26" s="160">
        <f t="shared" ca="1" si="0"/>
        <v>1025</v>
      </c>
      <c r="M26" s="160">
        <f t="shared" ca="1" si="1"/>
        <v>25</v>
      </c>
      <c r="N26" s="122" t="str">
        <f t="shared" ca="1" si="2"/>
        <v>Threlfall R 2-0-19-0,</v>
      </c>
      <c r="Q26" s="160"/>
      <c r="R26" s="160"/>
      <c r="S26" s="171"/>
      <c r="T26" s="160"/>
      <c r="U26" s="160"/>
      <c r="V26" s="133"/>
      <c r="W26" s="132"/>
      <c r="X26" s="132"/>
      <c r="Y26" s="132"/>
      <c r="Z26" s="160"/>
    </row>
    <row r="27" spans="1:28" x14ac:dyDescent="0.15">
      <c r="A27" s="122">
        <v>26</v>
      </c>
      <c r="B27" s="122">
        <f>MATCH(A27,Bowling!$CS$5:$CS$40,0)</f>
        <v>14</v>
      </c>
      <c r="C27" s="122" t="str">
        <f ca="1">OFFSET(Bowling!$B$4,BowlAves!B27,0)</f>
        <v>Edghill R</v>
      </c>
      <c r="D27" s="154">
        <f t="array" aca="1" ref="D27:K27" ca="1">OFFSET(Bowling!$CG$4,BowlAves!B27,0,1,8)</f>
        <v>3</v>
      </c>
      <c r="E27" s="155">
        <f ca="1"/>
        <v>0</v>
      </c>
      <c r="F27" s="155">
        <f ca="1"/>
        <v>31</v>
      </c>
      <c r="G27" s="155">
        <f ca="1"/>
        <v>0</v>
      </c>
      <c r="H27" s="76" t="str">
        <f ca="1"/>
        <v/>
      </c>
      <c r="I27" s="159" t="str">
        <f ca="1"/>
        <v/>
      </c>
      <c r="J27" s="159">
        <f ca="1"/>
        <v>10.333333333333334</v>
      </c>
      <c r="K27" s="160" t="str">
        <f ca="1"/>
        <v>0-31</v>
      </c>
      <c r="L27" s="160">
        <f t="shared" ca="1" si="0"/>
        <v>1026</v>
      </c>
      <c r="M27" s="160">
        <f t="shared" ca="1" si="1"/>
        <v>26</v>
      </c>
      <c r="N27" s="122" t="str">
        <f t="shared" ca="1" si="2"/>
        <v>Edghill R 3-0-31-0,</v>
      </c>
      <c r="Q27" s="160"/>
      <c r="R27" s="160"/>
      <c r="S27" s="171"/>
      <c r="T27" s="160"/>
      <c r="U27" s="160"/>
      <c r="V27" s="133"/>
      <c r="W27" s="132"/>
      <c r="X27" s="132"/>
      <c r="Y27" s="132"/>
      <c r="Z27" s="160"/>
    </row>
    <row r="28" spans="1:28" x14ac:dyDescent="0.15">
      <c r="A28" s="122">
        <v>27</v>
      </c>
      <c r="B28" s="122">
        <f>MATCH(A28,Bowling!$CS$5:$CS$40,0)</f>
        <v>15</v>
      </c>
      <c r="C28" s="122" t="str">
        <f ca="1">OFFSET(Bowling!$B$4,BowlAves!B28,0)</f>
        <v>Lestrelle A</v>
      </c>
      <c r="D28" s="154">
        <f t="array" aca="1" ref="D28:K28" ca="1">OFFSET(Bowling!$CG$4,BowlAves!B28,0,1,8)</f>
        <v>3</v>
      </c>
      <c r="E28" s="155">
        <f ca="1"/>
        <v>0</v>
      </c>
      <c r="F28" s="155">
        <f ca="1"/>
        <v>17</v>
      </c>
      <c r="G28" s="155">
        <f ca="1"/>
        <v>0</v>
      </c>
      <c r="H28" s="76" t="str">
        <f ca="1"/>
        <v/>
      </c>
      <c r="I28" s="159" t="str">
        <f ca="1"/>
        <v/>
      </c>
      <c r="J28" s="159">
        <f ca="1"/>
        <v>5.666666666666667</v>
      </c>
      <c r="K28" s="160" t="str">
        <f ca="1"/>
        <v>0-17</v>
      </c>
      <c r="L28" s="160">
        <f t="shared" ca="1" si="0"/>
        <v>1027</v>
      </c>
      <c r="M28" s="160">
        <f t="shared" ca="1" si="1"/>
        <v>27</v>
      </c>
      <c r="N28" s="122" t="str">
        <f t="shared" ca="1" si="2"/>
        <v>Lestrelle A 3-0-17-0,</v>
      </c>
      <c r="Q28" s="160"/>
      <c r="R28" s="160"/>
      <c r="S28" s="171"/>
      <c r="T28" s="160"/>
      <c r="U28" s="160"/>
      <c r="V28" s="133"/>
      <c r="W28" s="132"/>
      <c r="X28" s="132"/>
      <c r="Y28" s="132"/>
      <c r="Z28" s="160"/>
    </row>
    <row r="29" spans="1:28" x14ac:dyDescent="0.15">
      <c r="A29" s="122">
        <v>28</v>
      </c>
      <c r="B29" s="122">
        <f>MATCH(A29,Bowling!$CS$5:$CS$40,0)</f>
        <v>9</v>
      </c>
      <c r="C29" s="122" t="str">
        <f ca="1">OFFSET(Bowling!$B$4,BowlAves!B29,0)</f>
        <v>Crawford S</v>
      </c>
      <c r="D29" s="154">
        <f t="array" aca="1" ref="D29:K29" ca="1">OFFSET(Bowling!$CG$4,BowlAves!B29,0,1,8)</f>
        <v>4</v>
      </c>
      <c r="E29" s="155">
        <f ca="1"/>
        <v>1</v>
      </c>
      <c r="F29" s="155">
        <f ca="1"/>
        <v>13</v>
      </c>
      <c r="G29" s="155">
        <f ca="1"/>
        <v>0</v>
      </c>
      <c r="H29" s="76" t="str">
        <f ca="1"/>
        <v/>
      </c>
      <c r="I29" s="159" t="str">
        <f ca="1"/>
        <v/>
      </c>
      <c r="J29" s="159">
        <f ca="1"/>
        <v>3.25</v>
      </c>
      <c r="K29" s="160" t="str">
        <f ca="1"/>
        <v>0-13</v>
      </c>
      <c r="L29" s="160">
        <f t="shared" ca="1" si="0"/>
        <v>1028</v>
      </c>
      <c r="M29" s="160">
        <f t="shared" ca="1" si="1"/>
        <v>28</v>
      </c>
      <c r="N29" s="122" t="str">
        <f t="shared" ca="1" si="2"/>
        <v>Crawford S 4-1-13-0,</v>
      </c>
      <c r="Q29" s="160"/>
      <c r="R29" s="160"/>
      <c r="S29" s="171"/>
      <c r="T29" s="160"/>
      <c r="U29" s="160"/>
      <c r="V29" s="133"/>
      <c r="W29" s="132"/>
      <c r="X29" s="132"/>
      <c r="Y29" s="132"/>
      <c r="Z29" s="160"/>
    </row>
    <row r="30" spans="1:28" x14ac:dyDescent="0.15">
      <c r="A30" s="122">
        <v>29</v>
      </c>
      <c r="B30" s="122">
        <f>MATCH(A30,Bowling!$CS$5:$CS$40,0)</f>
        <v>19</v>
      </c>
      <c r="C30" s="122" t="str">
        <f ca="1">OFFSET(Bowling!$B$4,BowlAves!B30,0)</f>
        <v>Nair S</v>
      </c>
      <c r="D30" s="154">
        <f t="array" aca="1" ref="D30:K30" ca="1">OFFSET(Bowling!$CG$4,BowlAves!B30,0,1,8)</f>
        <v>4</v>
      </c>
      <c r="E30" s="155">
        <f ca="1"/>
        <v>1</v>
      </c>
      <c r="F30" s="155">
        <f ca="1"/>
        <v>12</v>
      </c>
      <c r="G30" s="155">
        <f ca="1"/>
        <v>0</v>
      </c>
      <c r="H30" s="76" t="str">
        <f ca="1"/>
        <v/>
      </c>
      <c r="I30" s="159" t="str">
        <f ca="1"/>
        <v/>
      </c>
      <c r="J30" s="159">
        <f ca="1"/>
        <v>3</v>
      </c>
      <c r="K30" s="160" t="str">
        <f ca="1"/>
        <v>0-12</v>
      </c>
      <c r="L30" s="160">
        <f t="shared" ca="1" si="0"/>
        <v>1029</v>
      </c>
      <c r="M30" s="160">
        <f t="shared" ca="1" si="1"/>
        <v>29</v>
      </c>
      <c r="N30" s="122" t="str">
        <f t="shared" ca="1" si="2"/>
        <v>Nair S 4-1-12-0,</v>
      </c>
    </row>
    <row r="31" spans="1:28" x14ac:dyDescent="0.15">
      <c r="A31" s="122">
        <v>30</v>
      </c>
      <c r="B31" s="122">
        <f>MATCH(A31,Bowling!$CS$5:$CS$40,0)</f>
        <v>2</v>
      </c>
      <c r="C31" s="122" t="str">
        <f ca="1">OFFSET(Bowling!$B$4,BowlAves!B31,0)</f>
        <v>Ahmed B</v>
      </c>
      <c r="D31" s="154">
        <f t="array" aca="1" ref="D31:K31" ca="1">OFFSET(Bowling!$CG$4,BowlAves!B31,0,1,8)</f>
        <v>4.3</v>
      </c>
      <c r="E31" s="155">
        <f ca="1"/>
        <v>0</v>
      </c>
      <c r="F31" s="155">
        <f ca="1"/>
        <v>20</v>
      </c>
      <c r="G31" s="155">
        <f ca="1"/>
        <v>0</v>
      </c>
      <c r="H31" s="76" t="str">
        <f ca="1"/>
        <v/>
      </c>
      <c r="I31" s="159" t="str">
        <f ca="1"/>
        <v/>
      </c>
      <c r="J31" s="159">
        <f ca="1"/>
        <v>4.4444441304776134</v>
      </c>
      <c r="K31" s="160" t="str">
        <f ca="1"/>
        <v>0-20</v>
      </c>
      <c r="L31" s="160">
        <f t="shared" ca="1" si="0"/>
        <v>1030</v>
      </c>
      <c r="M31" s="160">
        <f t="shared" ca="1" si="1"/>
        <v>30</v>
      </c>
      <c r="N31" s="122" t="str">
        <f t="shared" ca="1" si="2"/>
        <v>Ahmed B 4.3-0-20-0,</v>
      </c>
      <c r="W31" s="122" t="s">
        <v>208</v>
      </c>
    </row>
    <row r="32" spans="1:28" x14ac:dyDescent="0.15">
      <c r="A32" s="122">
        <v>31</v>
      </c>
      <c r="B32" s="122">
        <f>MATCH(A32,Bowling!$CS$5:$CS$40,0)</f>
        <v>16</v>
      </c>
      <c r="C32" s="122" t="str">
        <f ca="1">OFFSET(Bowling!$B$4,BowlAves!B32,0)</f>
        <v>Mati A</v>
      </c>
      <c r="D32" s="154">
        <f t="array" aca="1" ref="D32:K32" ca="1">OFFSET(Bowling!$CG$4,BowlAves!B32,0,1,8)</f>
        <v>5</v>
      </c>
      <c r="E32" s="155">
        <f ca="1"/>
        <v>1</v>
      </c>
      <c r="F32" s="155">
        <f ca="1"/>
        <v>29</v>
      </c>
      <c r="G32" s="155">
        <f ca="1"/>
        <v>0</v>
      </c>
      <c r="H32" s="76" t="str">
        <f ca="1"/>
        <v/>
      </c>
      <c r="I32" s="159" t="str">
        <f ca="1"/>
        <v/>
      </c>
      <c r="J32" s="159">
        <f ca="1"/>
        <v>5.8</v>
      </c>
      <c r="K32" s="160" t="str">
        <f ca="1"/>
        <v>0-29</v>
      </c>
      <c r="L32" s="160">
        <f t="shared" ca="1" si="0"/>
        <v>1031</v>
      </c>
      <c r="M32" s="160">
        <f t="shared" ca="1" si="1"/>
        <v>31</v>
      </c>
      <c r="N32" s="122" t="str">
        <f t="shared" ca="1" si="2"/>
        <v>Mati A 5-1-29-0,</v>
      </c>
      <c r="W32" s="122" t="s">
        <v>208</v>
      </c>
    </row>
    <row r="33" spans="1:24" x14ac:dyDescent="0.15">
      <c r="A33" s="122">
        <v>32</v>
      </c>
      <c r="B33" s="122">
        <f>MATCH(A33,Bowling!$CS$5:$CS$40,0)</f>
        <v>35</v>
      </c>
      <c r="C33" s="122" t="str">
        <f ca="1">OFFSET(Bowling!$B$4,BowlAves!B33,0)</f>
        <v>Wilson L</v>
      </c>
      <c r="D33" s="154">
        <f t="array" aca="1" ref="D33:K33" ca="1">OFFSET(Bowling!$CG$4,BowlAves!B33,0,1,8)</f>
        <v>5</v>
      </c>
      <c r="E33" s="155">
        <f ca="1"/>
        <v>0</v>
      </c>
      <c r="F33" s="155">
        <f ca="1"/>
        <v>37</v>
      </c>
      <c r="G33" s="155">
        <f ca="1"/>
        <v>0</v>
      </c>
      <c r="H33" s="76" t="str">
        <f ca="1"/>
        <v/>
      </c>
      <c r="I33" s="159" t="str">
        <f ca="1"/>
        <v/>
      </c>
      <c r="J33" s="159">
        <f ca="1"/>
        <v>7.4</v>
      </c>
      <c r="K33" s="160" t="str">
        <f ca="1"/>
        <v>0-37</v>
      </c>
      <c r="L33" s="160">
        <f t="shared" ca="1" si="0"/>
        <v>1032</v>
      </c>
      <c r="M33" s="160">
        <f t="shared" ca="1" si="1"/>
        <v>32</v>
      </c>
      <c r="N33" s="122" t="str">
        <f t="shared" ca="1" si="2"/>
        <v>Wilson L 5-0-37-0,</v>
      </c>
    </row>
    <row r="34" spans="1:24" x14ac:dyDescent="0.15">
      <c r="A34" s="122">
        <v>33</v>
      </c>
      <c r="B34" s="122">
        <f>MATCH(A34,Bowling!$CS$5:$CS$40,0)</f>
        <v>4</v>
      </c>
      <c r="C34" s="122" t="str">
        <f ca="1">OFFSET(Bowling!$B$4,BowlAves!B34,0)</f>
        <v>Morjada A</v>
      </c>
      <c r="D34" s="154">
        <f t="array" aca="1" ref="D34:K34" ca="1">OFFSET(Bowling!$CG$4,BowlAves!B34,0,1,8)</f>
        <v>6</v>
      </c>
      <c r="E34" s="155">
        <f ca="1"/>
        <v>0</v>
      </c>
      <c r="F34" s="155">
        <f ca="1"/>
        <v>30</v>
      </c>
      <c r="G34" s="155">
        <f ca="1"/>
        <v>0</v>
      </c>
      <c r="H34" s="76" t="str">
        <f ca="1"/>
        <v/>
      </c>
      <c r="I34" s="159" t="str">
        <f ca="1"/>
        <v/>
      </c>
      <c r="J34" s="159">
        <f ca="1"/>
        <v>5</v>
      </c>
      <c r="K34" s="160" t="str">
        <f ca="1"/>
        <v>0-11</v>
      </c>
      <c r="L34" s="160">
        <f t="shared" ca="1" si="0"/>
        <v>1033</v>
      </c>
      <c r="M34" s="160">
        <f t="shared" ca="1" si="1"/>
        <v>33</v>
      </c>
      <c r="N34" s="122" t="str">
        <f t="shared" ca="1" si="2"/>
        <v>Morjada A 6-0-30-0,</v>
      </c>
    </row>
    <row r="35" spans="1:24" x14ac:dyDescent="0.15">
      <c r="A35" s="122">
        <v>34</v>
      </c>
      <c r="B35" s="122">
        <f>MATCH(A35,Bowling!$CS$5:$CS$40,0)</f>
        <v>7</v>
      </c>
      <c r="C35" s="122" t="str">
        <f ca="1">OFFSET(Bowling!$B$4,BowlAves!B35,0)</f>
        <v>Clark C</v>
      </c>
      <c r="D35" s="154">
        <f t="array" aca="1" ref="D35:K35" ca="1">OFFSET(Bowling!$CG$4,BowlAves!B35,0,1,8)</f>
        <v>0</v>
      </c>
      <c r="E35" s="155">
        <f ca="1"/>
        <v>0</v>
      </c>
      <c r="F35" s="155">
        <f ca="1"/>
        <v>0</v>
      </c>
      <c r="G35" s="155">
        <f ca="1"/>
        <v>0</v>
      </c>
      <c r="H35" s="76" t="str">
        <f ca="1"/>
        <v/>
      </c>
      <c r="I35" s="159" t="str">
        <f ca="1"/>
        <v/>
      </c>
      <c r="J35" s="159" t="str">
        <f ca="1"/>
        <v/>
      </c>
      <c r="K35" s="160" t="str">
        <f ca="1"/>
        <v/>
      </c>
      <c r="L35" s="160">
        <f t="shared" ca="1" si="0"/>
        <v>1034</v>
      </c>
      <c r="M35" s="160">
        <f t="shared" ca="1" si="1"/>
        <v>34</v>
      </c>
      <c r="N35" s="122" t="str">
        <f t="shared" ca="1" si="2"/>
        <v>Clark C 0-0-0-0,</v>
      </c>
    </row>
    <row r="36" spans="1:24" x14ac:dyDescent="0.15">
      <c r="A36" s="122">
        <v>35</v>
      </c>
      <c r="B36" s="122">
        <f>MATCH(A36,Bowling!$CS$5:$CS$40,0)</f>
        <v>22</v>
      </c>
      <c r="C36" s="122" t="str">
        <f ca="1">OFFSET(Bowling!$B$4,BowlAves!B36,0)</f>
        <v>Pascoe T</v>
      </c>
      <c r="D36" s="154">
        <f t="array" aca="1" ref="D36:K36" ca="1">OFFSET(Bowling!$CG$4,BowlAves!B36,0,1,8)</f>
        <v>0</v>
      </c>
      <c r="E36" s="155">
        <f ca="1"/>
        <v>0</v>
      </c>
      <c r="F36" s="155">
        <f ca="1"/>
        <v>0</v>
      </c>
      <c r="G36" s="155">
        <f ca="1"/>
        <v>0</v>
      </c>
      <c r="H36" s="76" t="str">
        <f ca="1"/>
        <v/>
      </c>
      <c r="I36" s="159" t="str">
        <f ca="1"/>
        <v/>
      </c>
      <c r="J36" s="159" t="str">
        <f ca="1"/>
        <v/>
      </c>
      <c r="K36" s="160" t="str">
        <f ca="1"/>
        <v/>
      </c>
      <c r="L36" s="160">
        <f t="shared" ca="1" si="0"/>
        <v>1035</v>
      </c>
      <c r="M36" s="160">
        <f t="shared" ca="1" si="1"/>
        <v>35</v>
      </c>
      <c r="N36" s="122" t="str">
        <f t="shared" ca="1" si="2"/>
        <v>Pascoe T 0-0-0-0,</v>
      </c>
      <c r="Q36" s="122" t="s">
        <v>208</v>
      </c>
    </row>
    <row r="37" spans="1:24" ht="11.25" x14ac:dyDescent="0.15">
      <c r="A37" s="122">
        <v>36</v>
      </c>
      <c r="B37" s="122">
        <f>MATCH(A37,Bowling!$CS$5:$CS$40,0)</f>
        <v>36</v>
      </c>
      <c r="C37" s="122" t="str">
        <f ca="1">OFFSET(Bowling!$B$4,BowlAves!B37,0)</f>
        <v>Winter T</v>
      </c>
      <c r="D37" s="154">
        <f t="array" aca="1" ref="D37:K37" ca="1">OFFSET(Bowling!$CG$4,BowlAves!B37,0,1,8)</f>
        <v>0</v>
      </c>
      <c r="E37" s="155">
        <f ca="1"/>
        <v>0</v>
      </c>
      <c r="F37" s="155">
        <f ca="1"/>
        <v>0</v>
      </c>
      <c r="G37" s="155">
        <f ca="1"/>
        <v>0</v>
      </c>
      <c r="H37" s="76" t="str">
        <f ca="1"/>
        <v/>
      </c>
      <c r="I37" s="159" t="str">
        <f ca="1"/>
        <v/>
      </c>
      <c r="J37" s="159" t="str">
        <f ca="1"/>
        <v/>
      </c>
      <c r="K37" s="160" t="str">
        <f ca="1"/>
        <v/>
      </c>
      <c r="L37" s="160">
        <f t="shared" ca="1" si="0"/>
        <v>1036</v>
      </c>
      <c r="M37" s="160">
        <f t="shared" ca="1" si="1"/>
        <v>36</v>
      </c>
      <c r="N37" s="122" t="str">
        <f t="shared" ca="1" si="2"/>
        <v>Winter T 0-0-0-0,</v>
      </c>
      <c r="Q37" s="122" t="s">
        <v>208</v>
      </c>
      <c r="W37" s="164"/>
    </row>
    <row r="38" spans="1:24" ht="11.25" x14ac:dyDescent="0.15">
      <c r="A38" s="122">
        <v>37</v>
      </c>
      <c r="B38" s="122" t="e">
        <f>MATCH(A38,Bowling!$CS$5:$CS$40,0)</f>
        <v>#N/A</v>
      </c>
      <c r="C38" s="122" t="e">
        <f ca="1">OFFSET(Bowling!$B$4,BowlAves!B38,0)</f>
        <v>#N/A</v>
      </c>
      <c r="D38" s="154" t="e">
        <f t="array" aca="1" ref="D38:K38" ca="1">OFFSET(Bowling!$CG$4,BowlAves!B38,0,1,8)</f>
        <v>#N/A</v>
      </c>
      <c r="E38" s="155" t="e">
        <f ca="1"/>
        <v>#N/A</v>
      </c>
      <c r="F38" s="155" t="e">
        <f ca="1"/>
        <v>#N/A</v>
      </c>
      <c r="G38" s="155" t="e">
        <f ca="1"/>
        <v>#N/A</v>
      </c>
      <c r="H38" s="76" t="e">
        <f ca="1"/>
        <v>#N/A</v>
      </c>
      <c r="I38" s="159" t="e">
        <f ca="1"/>
        <v>#N/A</v>
      </c>
      <c r="J38" s="159" t="e">
        <f ca="1"/>
        <v>#N/A</v>
      </c>
      <c r="K38" s="160" t="e">
        <f ca="1"/>
        <v>#N/A</v>
      </c>
      <c r="L38" s="160" t="e">
        <f t="shared" ca="1" si="0"/>
        <v>#N/A</v>
      </c>
      <c r="M38" s="160" t="e">
        <f t="shared" ca="1" si="1"/>
        <v>#N/A</v>
      </c>
      <c r="N38" s="122" t="e">
        <f t="shared" ca="1" si="2"/>
        <v>#N/A</v>
      </c>
      <c r="Q38" s="122" t="s">
        <v>208</v>
      </c>
      <c r="W38" s="164"/>
    </row>
    <row r="39" spans="1:24" ht="11.25" x14ac:dyDescent="0.15">
      <c r="A39" s="122">
        <v>38</v>
      </c>
      <c r="B39" s="122" t="e">
        <f>MATCH(A39,Bowling!$CS$5:$CS$40,0)</f>
        <v>#N/A</v>
      </c>
      <c r="C39" s="122" t="e">
        <f ca="1">OFFSET(Bowling!$B$4,BowlAves!B39,0)</f>
        <v>#N/A</v>
      </c>
      <c r="D39" s="154" t="e">
        <f t="array" aca="1" ref="D39:K39" ca="1">OFFSET(Bowling!$CG$4,BowlAves!B39,0,1,8)</f>
        <v>#N/A</v>
      </c>
      <c r="E39" s="155" t="e">
        <f ca="1"/>
        <v>#N/A</v>
      </c>
      <c r="F39" s="155" t="e">
        <f ca="1"/>
        <v>#N/A</v>
      </c>
      <c r="G39" s="155" t="e">
        <f ca="1"/>
        <v>#N/A</v>
      </c>
      <c r="H39" s="76" t="e">
        <f ca="1"/>
        <v>#N/A</v>
      </c>
      <c r="I39" s="159" t="e">
        <f ca="1"/>
        <v>#N/A</v>
      </c>
      <c r="J39" s="159" t="e">
        <f ca="1"/>
        <v>#N/A</v>
      </c>
      <c r="K39" s="160" t="e">
        <f ca="1"/>
        <v>#N/A</v>
      </c>
      <c r="L39" s="160" t="e">
        <f t="shared" ca="1" si="0"/>
        <v>#N/A</v>
      </c>
      <c r="M39" s="160" t="e">
        <f t="shared" ca="1" si="1"/>
        <v>#N/A</v>
      </c>
      <c r="N39" s="122" t="e">
        <f t="shared" ca="1" si="2"/>
        <v>#N/A</v>
      </c>
      <c r="Q39" s="122" t="s">
        <v>208</v>
      </c>
      <c r="W39" s="164"/>
    </row>
    <row r="40" spans="1:24" ht="11.25" x14ac:dyDescent="0.15">
      <c r="A40" s="122">
        <v>39</v>
      </c>
      <c r="B40" s="122" t="e">
        <f>MATCH(A40,Bowling!$CS$5:$CS$40,0)</f>
        <v>#N/A</v>
      </c>
      <c r="C40" s="122" t="e">
        <f ca="1">OFFSET(Bowling!$B$4,BowlAves!B40,0)</f>
        <v>#N/A</v>
      </c>
      <c r="D40" s="154" t="e">
        <f t="array" aca="1" ref="D40:K40" ca="1">OFFSET(Bowling!$CG$4,BowlAves!B40,0,1,8)</f>
        <v>#N/A</v>
      </c>
      <c r="E40" s="155" t="e">
        <f ca="1"/>
        <v>#N/A</v>
      </c>
      <c r="F40" s="155" t="e">
        <f ca="1"/>
        <v>#N/A</v>
      </c>
      <c r="G40" s="155" t="e">
        <f ca="1"/>
        <v>#N/A</v>
      </c>
      <c r="H40" s="76" t="e">
        <f ca="1"/>
        <v>#N/A</v>
      </c>
      <c r="I40" s="159" t="e">
        <f ca="1"/>
        <v>#N/A</v>
      </c>
      <c r="J40" s="159" t="e">
        <f ca="1"/>
        <v>#N/A</v>
      </c>
      <c r="K40" s="160" t="e">
        <f ca="1"/>
        <v>#N/A</v>
      </c>
      <c r="L40" s="160" t="e">
        <f t="shared" ca="1" si="0"/>
        <v>#N/A</v>
      </c>
      <c r="M40" s="160" t="e">
        <f t="shared" ca="1" si="1"/>
        <v>#N/A</v>
      </c>
      <c r="N40" s="122" t="e">
        <f t="shared" ca="1" si="2"/>
        <v>#N/A</v>
      </c>
      <c r="Q40" s="122" t="s">
        <v>208</v>
      </c>
      <c r="W40" s="164"/>
    </row>
    <row r="41" spans="1:24" ht="11.25" x14ac:dyDescent="0.15">
      <c r="A41" s="122">
        <v>40</v>
      </c>
      <c r="B41" s="122" t="e">
        <f>MATCH(A41,Bowling!$CS$5:$CS$40,0)</f>
        <v>#N/A</v>
      </c>
      <c r="C41" s="122" t="e">
        <f ca="1">OFFSET(Bowling!$B$4,BowlAves!B41,0)</f>
        <v>#N/A</v>
      </c>
      <c r="D41" s="154" t="e">
        <f t="array" aca="1" ref="D41:K41" ca="1">OFFSET(Bowling!$CG$4,BowlAves!B41,0,1,8)</f>
        <v>#N/A</v>
      </c>
      <c r="E41" s="155" t="e">
        <f ca="1"/>
        <v>#N/A</v>
      </c>
      <c r="F41" s="155" t="e">
        <f ca="1"/>
        <v>#N/A</v>
      </c>
      <c r="G41" s="155" t="e">
        <f ca="1"/>
        <v>#N/A</v>
      </c>
      <c r="H41" s="76" t="e">
        <f ca="1"/>
        <v>#N/A</v>
      </c>
      <c r="I41" s="159" t="e">
        <f ca="1"/>
        <v>#N/A</v>
      </c>
      <c r="J41" s="159" t="e">
        <f ca="1"/>
        <v>#N/A</v>
      </c>
      <c r="K41" s="160" t="e">
        <f ca="1"/>
        <v>#N/A</v>
      </c>
      <c r="L41" s="160" t="e">
        <f t="shared" ca="1" si="0"/>
        <v>#N/A</v>
      </c>
      <c r="M41" s="160" t="e">
        <f t="shared" ca="1" si="1"/>
        <v>#N/A</v>
      </c>
      <c r="N41" s="122" t="e">
        <f t="shared" ca="1" si="2"/>
        <v>#N/A</v>
      </c>
      <c r="Q41" s="122" t="s">
        <v>208</v>
      </c>
      <c r="W41" s="164"/>
    </row>
    <row r="42" spans="1:24" ht="11.25" x14ac:dyDescent="0.15">
      <c r="A42" s="122">
        <v>41</v>
      </c>
      <c r="B42" s="122" t="e">
        <f>MATCH(A42,Bowling!$CS$5:$CS$40,0)</f>
        <v>#N/A</v>
      </c>
      <c r="C42" s="122" t="e">
        <f ca="1">OFFSET(Bowling!$B$4,BowlAves!B42,0)</f>
        <v>#N/A</v>
      </c>
      <c r="D42" s="154" t="e">
        <f t="array" aca="1" ref="D42:K42" ca="1">OFFSET(Bowling!$CG$4,BowlAves!B42,0,1,8)</f>
        <v>#N/A</v>
      </c>
      <c r="E42" s="155" t="e">
        <f ca="1"/>
        <v>#N/A</v>
      </c>
      <c r="F42" s="155" t="e">
        <f ca="1"/>
        <v>#N/A</v>
      </c>
      <c r="G42" s="155" t="e">
        <f ca="1"/>
        <v>#N/A</v>
      </c>
      <c r="H42" s="76" t="e">
        <f ca="1"/>
        <v>#N/A</v>
      </c>
      <c r="I42" s="159" t="e">
        <f ca="1"/>
        <v>#N/A</v>
      </c>
      <c r="J42" s="159" t="e">
        <f ca="1"/>
        <v>#N/A</v>
      </c>
      <c r="K42" s="160" t="e">
        <f ca="1"/>
        <v>#N/A</v>
      </c>
      <c r="L42" s="160" t="e">
        <f t="shared" ca="1" si="0"/>
        <v>#N/A</v>
      </c>
      <c r="M42" s="160" t="e">
        <f t="shared" ca="1" si="1"/>
        <v>#N/A</v>
      </c>
      <c r="N42" s="122" t="e">
        <f t="shared" ca="1" si="2"/>
        <v>#N/A</v>
      </c>
      <c r="Q42" s="122" t="s">
        <v>208</v>
      </c>
      <c r="W42" s="164"/>
      <c r="X42" s="122" t="s">
        <v>208</v>
      </c>
    </row>
    <row r="43" spans="1:24" ht="11.25" x14ac:dyDescent="0.15">
      <c r="A43" s="122">
        <v>42</v>
      </c>
      <c r="B43" s="122" t="e">
        <f>MATCH(A43,Bowling!$CS$5:$CS$40,0)</f>
        <v>#N/A</v>
      </c>
      <c r="C43" s="122" t="e">
        <f ca="1">OFFSET(Bowling!$B$4,BowlAves!B43,0)</f>
        <v>#N/A</v>
      </c>
      <c r="D43" s="154" t="e">
        <f t="array" aca="1" ref="D43:K43" ca="1">OFFSET(Bowling!$CG$4,BowlAves!B43,0,1,8)</f>
        <v>#N/A</v>
      </c>
      <c r="E43" s="155" t="e">
        <f ca="1"/>
        <v>#N/A</v>
      </c>
      <c r="F43" s="155" t="e">
        <f ca="1"/>
        <v>#N/A</v>
      </c>
      <c r="G43" s="155" t="e">
        <f ca="1"/>
        <v>#N/A</v>
      </c>
      <c r="H43" s="76" t="e">
        <f ca="1"/>
        <v>#N/A</v>
      </c>
      <c r="I43" s="159" t="e">
        <f ca="1"/>
        <v>#N/A</v>
      </c>
      <c r="J43" s="159" t="e">
        <f ca="1"/>
        <v>#N/A</v>
      </c>
      <c r="K43" s="160" t="e">
        <f ca="1"/>
        <v>#N/A</v>
      </c>
      <c r="L43" s="160" t="e">
        <f t="shared" ca="1" si="0"/>
        <v>#N/A</v>
      </c>
      <c r="M43" s="160" t="e">
        <f t="shared" ca="1" si="1"/>
        <v>#N/A</v>
      </c>
      <c r="N43" s="122" t="e">
        <f t="shared" ca="1" si="2"/>
        <v>#N/A</v>
      </c>
      <c r="Q43" s="122" t="s">
        <v>208</v>
      </c>
      <c r="W43" s="164"/>
      <c r="X43" s="122" t="s">
        <v>208</v>
      </c>
    </row>
    <row r="44" spans="1:24" ht="11.25" x14ac:dyDescent="0.15">
      <c r="A44" s="122">
        <v>43</v>
      </c>
      <c r="B44" s="122" t="e">
        <f>MATCH(A44,Bowling!$CS$5:$CS$40,0)</f>
        <v>#N/A</v>
      </c>
      <c r="C44" s="122" t="e">
        <f ca="1">OFFSET(Bowling!$B$4,BowlAves!B44,0)</f>
        <v>#N/A</v>
      </c>
      <c r="D44" s="154" t="e">
        <f t="array" aca="1" ref="D44:K44" ca="1">OFFSET(Bowling!$CG$4,BowlAves!B44,0,1,8)</f>
        <v>#N/A</v>
      </c>
      <c r="E44" s="155" t="e">
        <f ca="1"/>
        <v>#N/A</v>
      </c>
      <c r="F44" s="155" t="e">
        <f ca="1"/>
        <v>#N/A</v>
      </c>
      <c r="G44" s="155" t="e">
        <f ca="1"/>
        <v>#N/A</v>
      </c>
      <c r="H44" s="76" t="e">
        <f ca="1"/>
        <v>#N/A</v>
      </c>
      <c r="I44" s="159" t="e">
        <f ca="1"/>
        <v>#N/A</v>
      </c>
      <c r="J44" s="159" t="e">
        <f ca="1"/>
        <v>#N/A</v>
      </c>
      <c r="K44" s="160" t="e">
        <f ca="1"/>
        <v>#N/A</v>
      </c>
      <c r="L44" s="160" t="e">
        <f t="shared" ca="1" si="0"/>
        <v>#N/A</v>
      </c>
      <c r="M44" s="160" t="e">
        <f t="shared" ca="1" si="1"/>
        <v>#N/A</v>
      </c>
      <c r="N44" s="122" t="e">
        <f t="shared" ca="1" si="2"/>
        <v>#N/A</v>
      </c>
      <c r="Q44" s="122" t="s">
        <v>208</v>
      </c>
      <c r="W44" s="164"/>
      <c r="X44" s="122" t="s">
        <v>208</v>
      </c>
    </row>
    <row r="45" spans="1:24" ht="11.25" x14ac:dyDescent="0.15">
      <c r="A45" s="122">
        <v>44</v>
      </c>
      <c r="B45" s="122" t="e">
        <f>MATCH(A45,Bowling!$CS$5:$CS$40,0)</f>
        <v>#N/A</v>
      </c>
      <c r="C45" s="122" t="e">
        <f ca="1">OFFSET(Bowling!$B$4,BowlAves!B45,0)</f>
        <v>#N/A</v>
      </c>
      <c r="D45" s="154" t="e">
        <f t="array" aca="1" ref="D45:K45" ca="1">OFFSET(Bowling!$CG$4,BowlAves!B45,0,1,8)</f>
        <v>#N/A</v>
      </c>
      <c r="E45" s="155" t="e">
        <f ca="1"/>
        <v>#N/A</v>
      </c>
      <c r="F45" s="155" t="e">
        <f ca="1"/>
        <v>#N/A</v>
      </c>
      <c r="G45" s="155" t="e">
        <f ca="1"/>
        <v>#N/A</v>
      </c>
      <c r="H45" s="76" t="e">
        <f ca="1"/>
        <v>#N/A</v>
      </c>
      <c r="I45" s="159" t="e">
        <f ca="1"/>
        <v>#N/A</v>
      </c>
      <c r="J45" s="159" t="e">
        <f ca="1"/>
        <v>#N/A</v>
      </c>
      <c r="K45" s="160" t="e">
        <f ca="1"/>
        <v>#N/A</v>
      </c>
      <c r="L45" s="160" t="e">
        <f t="shared" ca="1" si="0"/>
        <v>#N/A</v>
      </c>
      <c r="M45" s="160" t="e">
        <f t="shared" ca="1" si="1"/>
        <v>#N/A</v>
      </c>
      <c r="N45" s="122" t="e">
        <f t="shared" ca="1" si="2"/>
        <v>#N/A</v>
      </c>
      <c r="Q45" s="122" t="s">
        <v>208</v>
      </c>
      <c r="W45" s="164"/>
      <c r="X45" s="122" t="s">
        <v>649</v>
      </c>
    </row>
    <row r="46" spans="1:24" ht="11.25" x14ac:dyDescent="0.15">
      <c r="A46" s="122">
        <v>45</v>
      </c>
      <c r="B46" s="122" t="e">
        <f>MATCH(A46,Bowling!$CS$5:$CS$40,0)</f>
        <v>#N/A</v>
      </c>
      <c r="C46" s="122" t="e">
        <f ca="1">OFFSET(Bowling!$B$4,BowlAves!B46,0)</f>
        <v>#N/A</v>
      </c>
      <c r="D46" s="154" t="e">
        <f t="array" aca="1" ref="D46:K46" ca="1">OFFSET(Bowling!$CG$4,BowlAves!B46,0,1,8)</f>
        <v>#N/A</v>
      </c>
      <c r="E46" s="155" t="e">
        <f ca="1"/>
        <v>#N/A</v>
      </c>
      <c r="F46" s="155" t="e">
        <f ca="1"/>
        <v>#N/A</v>
      </c>
      <c r="G46" s="155" t="e">
        <f ca="1"/>
        <v>#N/A</v>
      </c>
      <c r="H46" s="76" t="e">
        <f ca="1"/>
        <v>#N/A</v>
      </c>
      <c r="I46" s="159" t="e">
        <f ca="1"/>
        <v>#N/A</v>
      </c>
      <c r="J46" s="159" t="e">
        <f ca="1"/>
        <v>#N/A</v>
      </c>
      <c r="K46" s="160" t="e">
        <f ca="1"/>
        <v>#N/A</v>
      </c>
      <c r="L46" s="160" t="e">
        <f t="shared" ca="1" si="0"/>
        <v>#N/A</v>
      </c>
      <c r="M46" s="160" t="e">
        <f t="shared" ca="1" si="1"/>
        <v>#N/A</v>
      </c>
      <c r="N46" s="122" t="e">
        <f t="shared" ca="1" si="2"/>
        <v>#N/A</v>
      </c>
      <c r="W46" s="164"/>
      <c r="X46" s="122" t="s">
        <v>627</v>
      </c>
    </row>
    <row r="47" spans="1:24" ht="11.25" x14ac:dyDescent="0.15">
      <c r="A47" s="122">
        <v>46</v>
      </c>
      <c r="B47" s="122" t="e">
        <f>MATCH(A47,Bowling!$CS$5:$CS$40,0)</f>
        <v>#N/A</v>
      </c>
      <c r="C47" s="122" t="e">
        <f ca="1">OFFSET(Bowling!$B$4,BowlAves!B47,0)</f>
        <v>#N/A</v>
      </c>
      <c r="D47" s="154" t="e">
        <f t="array" aca="1" ref="D47:K47" ca="1">OFFSET(Bowling!$CG$4,BowlAves!B47,0,1,8)</f>
        <v>#N/A</v>
      </c>
      <c r="E47" s="155" t="e">
        <f ca="1"/>
        <v>#N/A</v>
      </c>
      <c r="F47" s="155" t="e">
        <f ca="1"/>
        <v>#N/A</v>
      </c>
      <c r="G47" s="155" t="e">
        <f ca="1"/>
        <v>#N/A</v>
      </c>
      <c r="H47" s="76" t="e">
        <f ca="1"/>
        <v>#N/A</v>
      </c>
      <c r="I47" s="159" t="e">
        <f ca="1"/>
        <v>#N/A</v>
      </c>
      <c r="J47" s="159" t="e">
        <f ca="1"/>
        <v>#N/A</v>
      </c>
      <c r="K47" s="160" t="e">
        <f ca="1"/>
        <v>#N/A</v>
      </c>
      <c r="L47" s="160" t="e">
        <f t="shared" ca="1" si="0"/>
        <v>#N/A</v>
      </c>
      <c r="M47" s="160" t="e">
        <f t="shared" ca="1" si="1"/>
        <v>#N/A</v>
      </c>
      <c r="N47" s="122" t="e">
        <f t="shared" ca="1" si="2"/>
        <v>#N/A</v>
      </c>
      <c r="W47" s="164"/>
      <c r="X47" s="122" t="s">
        <v>624</v>
      </c>
    </row>
    <row r="48" spans="1:24" ht="11.25" x14ac:dyDescent="0.15">
      <c r="A48" s="122">
        <v>47</v>
      </c>
      <c r="B48" s="122" t="e">
        <f>MATCH(A48,Bowling!$CS$5:$CS$40,0)</f>
        <v>#N/A</v>
      </c>
      <c r="C48" s="122" t="e">
        <f ca="1">OFFSET(Bowling!$B$4,BowlAves!B48,0)</f>
        <v>#N/A</v>
      </c>
      <c r="D48" s="154" t="e">
        <f t="array" aca="1" ref="D48:K48" ca="1">OFFSET(Bowling!$CG$4,BowlAves!B48,0,1,8)</f>
        <v>#N/A</v>
      </c>
      <c r="E48" s="155" t="e">
        <f ca="1"/>
        <v>#N/A</v>
      </c>
      <c r="F48" s="155" t="e">
        <f ca="1"/>
        <v>#N/A</v>
      </c>
      <c r="G48" s="155" t="e">
        <f ca="1"/>
        <v>#N/A</v>
      </c>
      <c r="H48" s="76" t="e">
        <f ca="1"/>
        <v>#N/A</v>
      </c>
      <c r="I48" s="159" t="e">
        <f ca="1"/>
        <v>#N/A</v>
      </c>
      <c r="J48" s="159" t="e">
        <f ca="1"/>
        <v>#N/A</v>
      </c>
      <c r="K48" s="160" t="e">
        <f ca="1"/>
        <v>#N/A</v>
      </c>
      <c r="L48" s="160" t="e">
        <f t="shared" ca="1" si="0"/>
        <v>#N/A</v>
      </c>
      <c r="M48" s="160" t="e">
        <f t="shared" ca="1" si="1"/>
        <v>#N/A</v>
      </c>
      <c r="N48" s="122" t="e">
        <f t="shared" ca="1" si="2"/>
        <v>#N/A</v>
      </c>
      <c r="W48" s="164"/>
      <c r="X48" s="122" t="s">
        <v>633</v>
      </c>
    </row>
    <row r="49" spans="1:24" ht="11.25" x14ac:dyDescent="0.15">
      <c r="A49" s="122">
        <v>48</v>
      </c>
      <c r="B49" s="122" t="e">
        <f>MATCH(A49,Bowling!$CS$5:$CS$40,0)</f>
        <v>#N/A</v>
      </c>
      <c r="C49" s="122" t="e">
        <f ca="1">OFFSET(Bowling!$B$4,BowlAves!B49,0)</f>
        <v>#N/A</v>
      </c>
      <c r="D49" s="154" t="e">
        <f t="array" aca="1" ref="D49:K49" ca="1">OFFSET(Bowling!$CG$4,BowlAves!B49,0,1,8)</f>
        <v>#N/A</v>
      </c>
      <c r="E49" s="155" t="e">
        <f ca="1"/>
        <v>#N/A</v>
      </c>
      <c r="F49" s="155" t="e">
        <f ca="1"/>
        <v>#N/A</v>
      </c>
      <c r="G49" s="155" t="e">
        <f ca="1"/>
        <v>#N/A</v>
      </c>
      <c r="H49" s="76" t="e">
        <f ca="1"/>
        <v>#N/A</v>
      </c>
      <c r="I49" s="159" t="e">
        <f ca="1"/>
        <v>#N/A</v>
      </c>
      <c r="J49" s="159" t="e">
        <f ca="1"/>
        <v>#N/A</v>
      </c>
      <c r="K49" s="160" t="e">
        <f ca="1"/>
        <v>#N/A</v>
      </c>
      <c r="L49" s="160" t="e">
        <f t="shared" ca="1" si="0"/>
        <v>#N/A</v>
      </c>
      <c r="M49" s="160" t="e">
        <f t="shared" ca="1" si="1"/>
        <v>#N/A</v>
      </c>
      <c r="N49" s="122" t="e">
        <f t="shared" ca="1" si="2"/>
        <v>#N/A</v>
      </c>
      <c r="W49" s="164"/>
      <c r="X49" s="122" t="s">
        <v>631</v>
      </c>
    </row>
    <row r="50" spans="1:24" ht="11.25" x14ac:dyDescent="0.15">
      <c r="A50" s="122">
        <v>49</v>
      </c>
      <c r="B50" s="122" t="e">
        <f>MATCH(A50,Bowling!$CS$5:$CS$40,0)</f>
        <v>#N/A</v>
      </c>
      <c r="C50" s="122" t="e">
        <f ca="1">OFFSET(Bowling!$B$4,BowlAves!B50,0)</f>
        <v>#N/A</v>
      </c>
      <c r="D50" s="154" t="e">
        <f t="array" aca="1" ref="D50:K50" ca="1">OFFSET(Bowling!$CG$4,BowlAves!B50,0,1,8)</f>
        <v>#N/A</v>
      </c>
      <c r="E50" s="155" t="e">
        <f ca="1"/>
        <v>#N/A</v>
      </c>
      <c r="F50" s="155" t="e">
        <f ca="1"/>
        <v>#N/A</v>
      </c>
      <c r="G50" s="155" t="e">
        <f ca="1"/>
        <v>#N/A</v>
      </c>
      <c r="H50" s="76" t="e">
        <f ca="1"/>
        <v>#N/A</v>
      </c>
      <c r="I50" s="159" t="e">
        <f ca="1"/>
        <v>#N/A</v>
      </c>
      <c r="J50" s="159" t="e">
        <f ca="1"/>
        <v>#N/A</v>
      </c>
      <c r="K50" s="160" t="e">
        <f ca="1"/>
        <v>#N/A</v>
      </c>
      <c r="L50" s="160" t="e">
        <f t="shared" ca="1" si="0"/>
        <v>#N/A</v>
      </c>
      <c r="M50" s="160" t="e">
        <f t="shared" ca="1" si="1"/>
        <v>#N/A</v>
      </c>
      <c r="N50" s="122" t="e">
        <f t="shared" ca="1" si="2"/>
        <v>#N/A</v>
      </c>
      <c r="W50" s="164"/>
      <c r="X50" s="122" t="s">
        <v>653</v>
      </c>
    </row>
    <row r="51" spans="1:24" ht="11.25" x14ac:dyDescent="0.15">
      <c r="A51" s="122">
        <v>50</v>
      </c>
      <c r="B51" s="122" t="e">
        <f>MATCH(A51,Bowling!$CS$5:$CS$40,0)</f>
        <v>#N/A</v>
      </c>
      <c r="C51" s="122" t="e">
        <f ca="1">OFFSET(Bowling!$B$4,BowlAves!B51,0)</f>
        <v>#N/A</v>
      </c>
      <c r="D51" s="154" t="e">
        <f t="array" aca="1" ref="D51:K51" ca="1">OFFSET(Bowling!$CG$4,BowlAves!B51,0,1,8)</f>
        <v>#N/A</v>
      </c>
      <c r="E51" s="155" t="e">
        <f ca="1"/>
        <v>#N/A</v>
      </c>
      <c r="F51" s="155" t="e">
        <f ca="1"/>
        <v>#N/A</v>
      </c>
      <c r="G51" s="155" t="e">
        <f ca="1"/>
        <v>#N/A</v>
      </c>
      <c r="H51" s="76" t="e">
        <f ca="1"/>
        <v>#N/A</v>
      </c>
      <c r="I51" s="159" t="e">
        <f ca="1"/>
        <v>#N/A</v>
      </c>
      <c r="J51" s="159" t="e">
        <f ca="1"/>
        <v>#N/A</v>
      </c>
      <c r="K51" s="160" t="e">
        <f ca="1"/>
        <v>#N/A</v>
      </c>
      <c r="L51" s="160" t="e">
        <f t="shared" ca="1" si="0"/>
        <v>#N/A</v>
      </c>
      <c r="M51" s="160" t="e">
        <f t="shared" ca="1" si="1"/>
        <v>#N/A</v>
      </c>
      <c r="N51" s="122" t="e">
        <f t="shared" ca="1" si="2"/>
        <v>#N/A</v>
      </c>
      <c r="W51" s="164"/>
      <c r="X51" s="122" t="s">
        <v>636</v>
      </c>
    </row>
    <row r="52" spans="1:24" ht="11.25" x14ac:dyDescent="0.15">
      <c r="W52" s="164"/>
      <c r="X52" s="122" t="s">
        <v>647</v>
      </c>
    </row>
    <row r="53" spans="1:24" x14ac:dyDescent="0.15">
      <c r="X53" s="122" t="s">
        <v>641</v>
      </c>
    </row>
    <row r="54" spans="1:24" x14ac:dyDescent="0.15">
      <c r="X54" s="122" t="s">
        <v>628</v>
      </c>
    </row>
    <row r="55" spans="1:24" x14ac:dyDescent="0.15">
      <c r="X55" s="122" t="s">
        <v>642</v>
      </c>
    </row>
    <row r="56" spans="1:24" x14ac:dyDescent="0.15">
      <c r="X56" s="122" t="s">
        <v>623</v>
      </c>
    </row>
    <row r="57" spans="1:24" x14ac:dyDescent="0.15">
      <c r="X57" s="122" t="s">
        <v>645</v>
      </c>
    </row>
    <row r="58" spans="1:24" x14ac:dyDescent="0.15">
      <c r="X58" s="122" t="s">
        <v>646</v>
      </c>
    </row>
    <row r="59" spans="1:24" x14ac:dyDescent="0.15">
      <c r="X59" s="122" t="s">
        <v>632</v>
      </c>
    </row>
    <row r="60" spans="1:24" x14ac:dyDescent="0.15">
      <c r="X60" s="122" t="s">
        <v>650</v>
      </c>
    </row>
    <row r="61" spans="1:24" x14ac:dyDescent="0.15">
      <c r="X61" s="122" t="s">
        <v>637</v>
      </c>
    </row>
    <row r="62" spans="1:24" x14ac:dyDescent="0.15">
      <c r="X62" s="122" t="s">
        <v>652</v>
      </c>
    </row>
    <row r="63" spans="1:24" x14ac:dyDescent="0.15">
      <c r="X63" s="122" t="s">
        <v>648</v>
      </c>
    </row>
    <row r="64" spans="1:24" x14ac:dyDescent="0.15">
      <c r="X64" s="122" t="s">
        <v>634</v>
      </c>
    </row>
    <row r="65" spans="24:24" x14ac:dyDescent="0.15">
      <c r="X65" s="122" t="s">
        <v>626</v>
      </c>
    </row>
    <row r="66" spans="24:24" x14ac:dyDescent="0.15">
      <c r="X66" s="122" t="s">
        <v>630</v>
      </c>
    </row>
    <row r="67" spans="24:24" x14ac:dyDescent="0.15">
      <c r="X67" s="122" t="s">
        <v>638</v>
      </c>
    </row>
    <row r="68" spans="24:24" x14ac:dyDescent="0.15">
      <c r="X68" s="122" t="s">
        <v>654</v>
      </c>
    </row>
    <row r="69" spans="24:24" x14ac:dyDescent="0.15">
      <c r="X69" s="122" t="s">
        <v>643</v>
      </c>
    </row>
    <row r="70" spans="24:24" x14ac:dyDescent="0.15">
      <c r="X70" s="122" t="s">
        <v>635</v>
      </c>
    </row>
    <row r="71" spans="24:24" x14ac:dyDescent="0.15">
      <c r="X71" s="122" t="s">
        <v>625</v>
      </c>
    </row>
    <row r="72" spans="24:24" x14ac:dyDescent="0.15">
      <c r="X72" s="122" t="s">
        <v>629</v>
      </c>
    </row>
    <row r="73" spans="24:24" x14ac:dyDescent="0.15">
      <c r="X73" s="122" t="s">
        <v>644</v>
      </c>
    </row>
    <row r="74" spans="24:24" x14ac:dyDescent="0.15">
      <c r="X74" s="122" t="s">
        <v>639</v>
      </c>
    </row>
    <row r="75" spans="24:24" x14ac:dyDescent="0.15">
      <c r="X75" s="122" t="s">
        <v>640</v>
      </c>
    </row>
    <row r="76" spans="24:24" x14ac:dyDescent="0.15">
      <c r="X76" s="122" t="s">
        <v>651</v>
      </c>
    </row>
    <row r="77" spans="24:24" x14ac:dyDescent="0.15">
      <c r="X77" s="122" t="s">
        <v>655</v>
      </c>
    </row>
  </sheetData>
  <sortState ref="X42:X77">
    <sortCondition ref="X42:X7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73</v>
      </c>
      <c r="D44" s="88" t="s">
        <v>150</v>
      </c>
      <c r="E44" s="88" t="s">
        <v>74</v>
      </c>
      <c r="F44" s="88" t="s">
        <v>75</v>
      </c>
      <c r="G44" s="86" t="s">
        <v>76</v>
      </c>
      <c r="H44" s="87">
        <f>COUNTA(1:1)</f>
        <v>0</v>
      </c>
    </row>
    <row r="45" spans="1:41" x14ac:dyDescent="0.15">
      <c r="A45" s="68" t="s">
        <v>178</v>
      </c>
      <c r="B45" t="s">
        <v>181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179</v>
      </c>
      <c r="B46" t="s">
        <v>187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126</v>
      </c>
      <c r="B47" t="s">
        <v>170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44</v>
      </c>
      <c r="B48" t="s">
        <v>67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54</v>
      </c>
      <c r="B49" t="s">
        <v>66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94</v>
      </c>
      <c r="B50" t="s">
        <v>153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130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177</v>
      </c>
      <c r="B51" t="s">
        <v>182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80</v>
      </c>
      <c r="G51" t="s">
        <v>129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45</v>
      </c>
      <c r="B52" t="s">
        <v>95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148</v>
      </c>
      <c r="B53" t="s">
        <v>165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46</v>
      </c>
      <c r="B54" t="s">
        <v>65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39</v>
      </c>
      <c r="B55" t="s">
        <v>96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48</v>
      </c>
      <c r="B56" t="s">
        <v>68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727</v>
      </c>
      <c r="G56" t="s">
        <v>131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50</v>
      </c>
      <c r="B57" t="s">
        <v>61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49</v>
      </c>
      <c r="B58" t="s">
        <v>63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40</v>
      </c>
      <c r="B59" t="s">
        <v>62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164</v>
      </c>
      <c r="B60" t="s">
        <v>183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70</v>
      </c>
      <c r="B61" t="s">
        <v>97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161</v>
      </c>
      <c r="B62" t="s">
        <v>160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132</v>
      </c>
      <c r="B63" t="s">
        <v>133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42</v>
      </c>
      <c r="B64" t="s">
        <v>98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43</v>
      </c>
      <c r="B65" t="s">
        <v>60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53</v>
      </c>
      <c r="B66" t="s">
        <v>99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180</v>
      </c>
      <c r="B67" t="s">
        <v>184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158</v>
      </c>
      <c r="B68" t="s">
        <v>159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56</v>
      </c>
      <c r="B69" t="s">
        <v>59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110</v>
      </c>
      <c r="G69" t="s">
        <v>130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72</v>
      </c>
      <c r="B70" t="s">
        <v>69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55</v>
      </c>
      <c r="B71" t="s">
        <v>64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32</v>
      </c>
      <c r="G71" t="s">
        <v>129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71</v>
      </c>
      <c r="B72" t="s">
        <v>166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127</v>
      </c>
      <c r="B73" t="s">
        <v>128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52</v>
      </c>
      <c r="B74" t="s">
        <v>100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169</v>
      </c>
      <c r="B75" t="s">
        <v>185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157</v>
      </c>
      <c r="B76" t="s">
        <v>167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168</v>
      </c>
      <c r="B77" t="s">
        <v>186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41</v>
      </c>
      <c r="B78" t="s">
        <v>57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51</v>
      </c>
      <c r="B79" t="s">
        <v>101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47</v>
      </c>
      <c r="B80" t="s">
        <v>58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131</v>
      </c>
      <c r="H89">
        <f t="array" ref="H89">SUM(IF($G$45:$G$87=G89,1,0))</f>
        <v>6</v>
      </c>
    </row>
    <row r="90" spans="1:15" x14ac:dyDescent="0.15">
      <c r="G90" t="s">
        <v>129</v>
      </c>
      <c r="H90">
        <f t="array" ref="H90">SUM(IF($G$45:$G$87=G90,1,0))</f>
        <v>14</v>
      </c>
    </row>
    <row r="91" spans="1:15" x14ac:dyDescent="0.15">
      <c r="G91" t="s">
        <v>130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77</v>
      </c>
      <c r="C1" s="9">
        <v>89</v>
      </c>
    </row>
    <row r="2" spans="1:20" x14ac:dyDescent="0.2">
      <c r="A2" s="5" t="s">
        <v>78</v>
      </c>
      <c r="C2" s="9">
        <v>91</v>
      </c>
    </row>
    <row r="4" spans="1:20" ht="22.5" x14ac:dyDescent="0.2">
      <c r="A4" s="8"/>
      <c r="B4" s="8" t="s">
        <v>79</v>
      </c>
      <c r="C4" s="8" t="s">
        <v>80</v>
      </c>
      <c r="D4" s="8" t="s">
        <v>162</v>
      </c>
      <c r="E4" s="8" t="s">
        <v>81</v>
      </c>
      <c r="F4" s="8" t="s">
        <v>82</v>
      </c>
      <c r="G4" s="8" t="s">
        <v>83</v>
      </c>
      <c r="H4" s="8" t="s">
        <v>84</v>
      </c>
      <c r="I4" s="8" t="s">
        <v>85</v>
      </c>
      <c r="J4" s="8" t="s">
        <v>73</v>
      </c>
      <c r="K4" s="8" t="s">
        <v>198</v>
      </c>
      <c r="M4" s="8" t="s">
        <v>86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MATCH(A5,Batting!$A$5:$A$61,0)</f>
        <v>#N/A</v>
      </c>
      <c r="F5" s="9">
        <f ca="1">IF(NOT(ISNA(E5)),OFFSET(Batting!$B$4,E5,$C$1,1,1),0)</f>
        <v>0</v>
      </c>
      <c r="G5" s="9" t="e">
        <f ca="1">MATCH(A5,Bowling!$A$5:$A$44,0)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242.333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 t="e">
        <f ca="1">MATCH(A6,Batting!$A$5:$A$61,0)</f>
        <v>#N/A</v>
      </c>
      <c r="F6" s="9">
        <f ca="1">IF(NOT(ISNA(E6)),OFFSET(Batting!$B$4,E6,$C$1,1,1),0)</f>
        <v>0</v>
      </c>
      <c r="G6" s="9" t="e">
        <f ca="1">MATCH(A6,Bowling!$A$5:$A$44,0)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40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 t="e">
        <f ca="1">MATCH(A7,Batting!$A$5:$A$61,0)</f>
        <v>#N/A</v>
      </c>
      <c r="F7" s="9">
        <f ca="1">IF(NOT(ISNA(E7)),OFFSET(Batting!$B$4,E7,$C$1,1,1),0)</f>
        <v>0</v>
      </c>
      <c r="G7" s="9" t="e">
        <f ca="1">MATCH(A7,Bowling!$A$5:$A$44,0)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25</v>
      </c>
      <c r="O7" s="5">
        <f t="shared" ref="O7:O46" si="8">O6+1</f>
        <v>3</v>
      </c>
      <c r="P7" s="5" t="str">
        <f t="shared" ca="1" si="1"/>
        <v>Mike Bowers</v>
      </c>
      <c r="Q7" s="7">
        <f t="shared" ca="1" si="2"/>
        <v>36.665999999999997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MATCH(A8,Batting!$A$5:$A$61,0)</f>
        <v>#N/A</v>
      </c>
      <c r="F8" s="9">
        <f ca="1">IF(NOT(ISNA(E8)),OFFSET(Batting!$B$4,E8,$C$1,1,1),0)</f>
        <v>0</v>
      </c>
      <c r="G8" s="9" t="e">
        <f ca="1">MATCH(A8,Bowling!$A$5:$A$44,0)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27</v>
      </c>
      <c r="O8" s="5">
        <f t="shared" si="8"/>
        <v>4</v>
      </c>
      <c r="P8" s="5" t="str">
        <f t="shared" ca="1" si="1"/>
        <v>Mike Woodhouse</v>
      </c>
      <c r="Q8" s="7">
        <f t="shared" ca="1" si="2"/>
        <v>6.4</v>
      </c>
      <c r="R8" s="5">
        <f t="shared" ca="1" si="3"/>
        <v>5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MATCH(A9,Batting!$A$5:$A$61,0)</f>
        <v>#N/A</v>
      </c>
      <c r="F9" s="9">
        <f ca="1">IF(NOT(ISNA(E9)),OFFSET(Batting!$B$4,E9,$C$1,1,1),0)</f>
        <v>0</v>
      </c>
      <c r="G9" s="9" t="e">
        <f ca="1">MATCH(A9,Bowling!$A$5:$A$44,0)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36</v>
      </c>
      <c r="O9" s="5">
        <f t="shared" si="8"/>
        <v>5</v>
      </c>
      <c r="P9" s="5" t="str">
        <f t="shared" ca="1" si="1"/>
        <v>Vince Reid</v>
      </c>
      <c r="Q9" s="7">
        <f t="shared" ca="1" si="2"/>
        <v>0</v>
      </c>
      <c r="R9" s="5">
        <f t="shared" ca="1" si="3"/>
        <v>4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IF(NOT(ISNA(E10)),5*OFFSET(Batting!$CE$4,E10,0,1,1),0)</f>
        <v>0</v>
      </c>
      <c r="E10" s="9" t="e">
        <f ca="1">MATCH(A10,Batting!$A$5:$A$61,0)</f>
        <v>#N/A</v>
      </c>
      <c r="F10" s="9">
        <f ca="1">IF(NOT(ISNA(E10)),OFFSET(Batting!$B$4,E10,$C$1,1,1),0)</f>
        <v>0</v>
      </c>
      <c r="G10" s="9">
        <f ca="1">MATCH(A10,Bowling!$A$5:$A$44,0)</f>
        <v>7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35</v>
      </c>
      <c r="O10" s="5">
        <f t="shared" si="8"/>
        <v>6</v>
      </c>
      <c r="P10" s="5" t="str">
        <f t="shared" ca="1" si="1"/>
        <v>Tony Springer</v>
      </c>
      <c r="Q10" s="7">
        <f t="shared" ca="1" si="2"/>
        <v>0</v>
      </c>
      <c r="R10" s="5">
        <f t="shared" ca="1" si="3"/>
        <v>13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80</v>
      </c>
      <c r="D11" s="9">
        <f ca="1">IF(NOT(ISNA(E11)),5*OFFSET(Batting!$CE$4,E11,0,1,1),0)</f>
        <v>40</v>
      </c>
      <c r="E11" s="9">
        <f ca="1">MATCH(A11,Batting!$A$5:$A$61,0)</f>
        <v>16</v>
      </c>
      <c r="F11" s="9">
        <f ca="1">IF(NOT(ISNA(E11)),OFFSET(Batting!$B$4,E11,$C$1,1,1),0)</f>
        <v>40</v>
      </c>
      <c r="G11" s="9" t="e">
        <f ca="1">MATCH(A11,Bowling!$A$5:$A$44,0)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40</v>
      </c>
      <c r="L11" s="5">
        <f t="shared" ca="1" si="5"/>
        <v>40.000109999999999</v>
      </c>
      <c r="M11" s="5">
        <f t="shared" ca="1" si="6"/>
        <v>2</v>
      </c>
      <c r="N11" s="5">
        <f t="shared" ca="1" si="7"/>
        <v>34</v>
      </c>
      <c r="O11" s="5">
        <f t="shared" si="8"/>
        <v>7</v>
      </c>
      <c r="P11" s="5" t="str">
        <f t="shared" ca="1" si="1"/>
        <v>Ted Dugdale</v>
      </c>
      <c r="Q11" s="7">
        <f t="shared" ca="1" si="2"/>
        <v>0</v>
      </c>
      <c r="R11" s="5">
        <f t="shared" ca="1" si="3"/>
        <v>3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MATCH(A12,Batting!$A$5:$A$61,0)</f>
        <v>#N/A</v>
      </c>
      <c r="F12" s="9">
        <f ca="1">IF(NOT(ISNA(E12)),OFFSET(Batting!$B$4,E12,$C$1,1,1),0)</f>
        <v>0</v>
      </c>
      <c r="G12" s="9" t="e">
        <f ca="1">MATCH(A12,Bowling!$A$5:$A$44,0)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30</v>
      </c>
      <c r="N12" s="5">
        <f t="shared" ca="1" si="7"/>
        <v>33</v>
      </c>
      <c r="O12" s="5">
        <f t="shared" si="8"/>
        <v>8</v>
      </c>
      <c r="P12" s="5" t="str">
        <f t="shared" ca="1" si="1"/>
        <v>Steve Barry</v>
      </c>
      <c r="Q12" s="7">
        <f t="shared" ca="1" si="2"/>
        <v>0</v>
      </c>
      <c r="R12" s="5">
        <f t="shared" ca="1" si="3"/>
        <v>2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MATCH(A13,Batting!$A$5:$A$61,0)</f>
        <v>#N/A</v>
      </c>
      <c r="F13" s="9">
        <f ca="1">IF(NOT(ISNA(E13)),OFFSET(Batting!$B$4,E13,$C$1,1,1),0)</f>
        <v>0</v>
      </c>
      <c r="G13" s="9" t="e">
        <f ca="1">MATCH(A13,Bowling!$A$5:$A$44,0)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29</v>
      </c>
      <c r="N13" s="5">
        <f t="shared" ca="1" si="7"/>
        <v>32</v>
      </c>
      <c r="O13" s="5">
        <f t="shared" si="8"/>
        <v>9</v>
      </c>
      <c r="P13" s="5" t="str">
        <f t="shared" ca="1" si="1"/>
        <v>Roy Odeneal</v>
      </c>
      <c r="Q13" s="7">
        <f t="shared" ca="1" si="2"/>
        <v>0</v>
      </c>
      <c r="R13" s="5">
        <f t="shared" ca="1" si="3"/>
        <v>2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MATCH(A14,Batting!$A$5:$A$61,0)</f>
        <v>#N/A</v>
      </c>
      <c r="F14" s="9">
        <f ca="1">IF(NOT(ISNA(E14)),OFFSET(Batting!$B$4,E14,$C$1,1,1),0)</f>
        <v>0</v>
      </c>
      <c r="G14" s="9" t="e">
        <f ca="1">MATCH(A14,Bowling!$A$5:$A$44,0)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28</v>
      </c>
      <c r="N14" s="5">
        <f t="shared" ca="1" si="7"/>
        <v>31</v>
      </c>
      <c r="O14" s="5">
        <f t="shared" si="8"/>
        <v>10</v>
      </c>
      <c r="P14" s="5" t="str">
        <f t="shared" ca="1" si="1"/>
        <v>Ron Morris</v>
      </c>
      <c r="Q14" s="7">
        <f t="shared" ca="1" si="2"/>
        <v>0</v>
      </c>
      <c r="R14" s="5">
        <f t="shared" ca="1" si="3"/>
        <v>2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MATCH(A15,Batting!$A$5:$A$61,0)</f>
        <v>#N/A</v>
      </c>
      <c r="F15" s="9">
        <f ca="1">IF(NOT(ISNA(E15)),OFFSET(Batting!$B$4,E15,$C$1,1,1),0)</f>
        <v>0</v>
      </c>
      <c r="G15" s="9" t="e">
        <f ca="1">MATCH(A15,Bowling!$A$5:$A$44,0)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27</v>
      </c>
      <c r="N15" s="5">
        <f t="shared" ca="1" si="7"/>
        <v>30</v>
      </c>
      <c r="O15" s="5">
        <f t="shared" si="8"/>
        <v>11</v>
      </c>
      <c r="P15" s="5" t="str">
        <f t="shared" ca="1" si="1"/>
        <v>Rick Worthington</v>
      </c>
      <c r="Q15" s="7">
        <f t="shared" ca="1" si="2"/>
        <v>0</v>
      </c>
      <c r="R15" s="5">
        <f t="shared" ca="1" si="3"/>
        <v>4</v>
      </c>
      <c r="S15" s="5">
        <f ca="1">SUM(R5:R15)</f>
        <v>43</v>
      </c>
      <c r="T15" s="104">
        <f t="array" aca="1" ref="T15" ca="1">SUM(Q5:Q15*R5:R15)</f>
        <v>948.99700000000007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727</v>
      </c>
      <c r="D16" s="9">
        <f ca="1">IF(NOT(ISNA(E16)),5*OFFSET(Batting!$CE$4,E16,0,1,1),0)</f>
        <v>70</v>
      </c>
      <c r="E16" s="9">
        <f ca="1">MATCH(A16,Batting!$A$5:$A$61,0)</f>
        <v>31</v>
      </c>
      <c r="F16" s="9">
        <f ca="1">IF(NOT(ISNA(E16)),OFFSET(Batting!$B$4,E16,$C$1,1,1),0)</f>
        <v>477</v>
      </c>
      <c r="G16" s="9">
        <f ca="1">MATCH(A16,Bowling!$A$5:$A$44,0)</f>
        <v>27</v>
      </c>
      <c r="H16" s="9">
        <f ca="1">IF(NOT(ISNA(G16)),OFFSET(Bowling!$CO$4,G16,0,1,1),0)</f>
        <v>140</v>
      </c>
      <c r="I16" s="9">
        <f ca="1">IF(NOT(ISNA(E16)),OFFSET(Batting!$B$4,E16,$C$1+1,1,1),0)</f>
        <v>40</v>
      </c>
      <c r="J16" s="9">
        <f ca="1">VLOOKUP(A16,'Fantasy Teams'!$A$45:$C$87,3,FALSE)</f>
        <v>3</v>
      </c>
      <c r="K16" s="10">
        <f t="shared" ca="1" si="4"/>
        <v>242.333</v>
      </c>
      <c r="L16" s="5">
        <f t="shared" ca="1" si="5"/>
        <v>242.33315999999999</v>
      </c>
      <c r="M16" s="5">
        <f t="shared" ca="1" si="6"/>
        <v>1</v>
      </c>
      <c r="N16" s="5">
        <f t="shared" ca="1" si="7"/>
        <v>29</v>
      </c>
      <c r="O16" s="5">
        <f t="shared" si="8"/>
        <v>12</v>
      </c>
      <c r="P16" s="5" t="str">
        <f t="shared" ca="1" si="1"/>
        <v>Neil Mander</v>
      </c>
      <c r="Q16" s="7">
        <f t="shared" ca="1" si="2"/>
        <v>0</v>
      </c>
      <c r="R16" s="5">
        <f t="shared" ca="1" si="3"/>
        <v>9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MATCH(A17,Batting!$A$5:$A$61,0)</f>
        <v>#N/A</v>
      </c>
      <c r="F17" s="9">
        <f ca="1">IF(NOT(ISNA(E17)),OFFSET(Batting!$B$4,E17,$C$1,1,1),0)</f>
        <v>0</v>
      </c>
      <c r="G17" s="9" t="e">
        <f ca="1">MATCH(A17,Bowling!$A$5:$A$44,0)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26</v>
      </c>
      <c r="N17" s="5">
        <f t="shared" ca="1" si="7"/>
        <v>28</v>
      </c>
      <c r="O17" s="5">
        <f t="shared" si="8"/>
        <v>13</v>
      </c>
      <c r="P17" s="5" t="str">
        <f t="shared" ca="1" si="1"/>
        <v>Naimish Patel</v>
      </c>
      <c r="Q17" s="7">
        <f t="shared" ca="1" si="2"/>
        <v>0</v>
      </c>
      <c r="R17" s="5">
        <f t="shared" ca="1" si="3"/>
        <v>3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MATCH(A18,Batting!$A$5:$A$61,0)</f>
        <v>#N/A</v>
      </c>
      <c r="F18" s="9">
        <f ca="1">IF(NOT(ISNA(E18)),OFFSET(Batting!$B$4,E18,$C$1,1,1),0)</f>
        <v>0</v>
      </c>
      <c r="G18" s="9" t="e">
        <f ca="1">MATCH(A18,Bowling!$A$5:$A$44,0)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25</v>
      </c>
      <c r="N18" s="5">
        <f t="shared" ca="1" si="7"/>
        <v>26</v>
      </c>
      <c r="O18" s="5">
        <f t="shared" si="8"/>
        <v>14</v>
      </c>
      <c r="P18" s="5" t="str">
        <f t="shared" ca="1" si="1"/>
        <v>Mike Hosking</v>
      </c>
      <c r="Q18" s="7">
        <f t="shared" ca="1" si="2"/>
        <v>0</v>
      </c>
      <c r="R18" s="5">
        <f t="shared" ca="1" si="3"/>
        <v>3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 t="e">
        <f ca="1">MATCH(A19,Batting!$A$5:$A$61,0)</f>
        <v>#N/A</v>
      </c>
      <c r="F19" s="9">
        <f ca="1">IF(NOT(ISNA(E19)),OFFSET(Batting!$B$4,E19,$C$1,1,1),0)</f>
        <v>0</v>
      </c>
      <c r="G19" s="9" t="e">
        <f ca="1">MATCH(A19,Bowling!$A$5:$A$44,0)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24</v>
      </c>
      <c r="N19" s="5">
        <f t="shared" ca="1" si="7"/>
        <v>24</v>
      </c>
      <c r="O19" s="5">
        <f t="shared" si="8"/>
        <v>15</v>
      </c>
      <c r="P19" s="5" t="str">
        <f t="shared" ca="1" si="1"/>
        <v>Mick Clark</v>
      </c>
      <c r="Q19" s="7">
        <f t="shared" ca="1" si="2"/>
        <v>0</v>
      </c>
      <c r="R19" s="5">
        <f t="shared" ca="1" si="3"/>
        <v>2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MATCH(A20,Batting!$A$5:$A$61,0)</f>
        <v>#N/A</v>
      </c>
      <c r="F20" s="9">
        <f ca="1">IF(NOT(ISNA(E20)),OFFSET(Batting!$B$4,E20,$C$1,1,1),0)</f>
        <v>0</v>
      </c>
      <c r="G20" s="9" t="e">
        <f ca="1">MATCH(A20,Bowling!$A$5:$A$44,0)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23</v>
      </c>
      <c r="N20" s="5">
        <f t="shared" ca="1" si="7"/>
        <v>23</v>
      </c>
      <c r="O20" s="5">
        <f t="shared" si="8"/>
        <v>16</v>
      </c>
      <c r="P20" s="5" t="str">
        <f t="shared" ca="1" si="1"/>
        <v>Kieran Moore</v>
      </c>
      <c r="Q20" s="7">
        <f t="shared" ca="1" si="2"/>
        <v>0</v>
      </c>
      <c r="R20" s="5">
        <f t="shared" ca="1" si="3"/>
        <v>2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MATCH(A21,Batting!$A$5:$A$61,0)</f>
        <v>#N/A</v>
      </c>
      <c r="F21" s="9">
        <f ca="1">IF(NOT(ISNA(E21)),OFFSET(Batting!$B$4,E21,$C$1,1,1),0)</f>
        <v>0</v>
      </c>
      <c r="G21" s="9" t="e">
        <f ca="1">MATCH(A21,Bowling!$A$5:$A$44,0)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22</v>
      </c>
      <c r="N21" s="5">
        <f t="shared" ca="1" si="7"/>
        <v>22</v>
      </c>
      <c r="O21" s="5">
        <f t="shared" si="8"/>
        <v>17</v>
      </c>
      <c r="P21" s="5" t="str">
        <f t="shared" ca="1" si="1"/>
        <v>Jon Worthy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MATCH(A22,Batting!$A$5:$A$61,0)</f>
        <v>#N/A</v>
      </c>
      <c r="F22" s="9">
        <f ca="1">IF(NOT(ISNA(E22)),OFFSET(Batting!$B$4,E22,$C$1,1,1),0)</f>
        <v>0</v>
      </c>
      <c r="G22" s="9" t="e">
        <f ca="1">MATCH(A22,Bowling!$A$5:$A$44,0)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21</v>
      </c>
      <c r="N22" s="5">
        <f t="shared" ca="1" si="7"/>
        <v>21</v>
      </c>
      <c r="O22" s="5">
        <f t="shared" si="8"/>
        <v>18</v>
      </c>
      <c r="P22" s="5" t="str">
        <f t="shared" ca="1" si="1"/>
        <v>John Leadley</v>
      </c>
      <c r="Q22" s="7">
        <f t="shared" ca="1" si="2"/>
        <v>0</v>
      </c>
      <c r="R22" s="5">
        <f t="shared" ca="1" si="3"/>
        <v>11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MATCH(A23,Batting!$A$5:$A$61,0)</f>
        <v>#N/A</v>
      </c>
      <c r="F23" s="9">
        <f ca="1">IF(NOT(ISNA(E23)),OFFSET(Batting!$B$4,E23,$C$1,1,1),0)</f>
        <v>0</v>
      </c>
      <c r="G23" s="9" t="e">
        <f ca="1">MATCH(A23,Bowling!$A$5:$A$44,0)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20</v>
      </c>
      <c r="N23" s="5">
        <f t="shared" ca="1" si="7"/>
        <v>20</v>
      </c>
      <c r="O23" s="5">
        <f t="shared" si="8"/>
        <v>19</v>
      </c>
      <c r="P23" s="5" t="str">
        <f t="shared" ca="1" si="1"/>
        <v>John Elliston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MATCH(A24,Batting!$A$5:$A$61,0)</f>
        <v>#N/A</v>
      </c>
      <c r="F24" s="9">
        <f ca="1">IF(NOT(ISNA(E24)),OFFSET(Batting!$B$4,E24,$C$1,1,1),0)</f>
        <v>0</v>
      </c>
      <c r="G24" s="9" t="e">
        <f ca="1">MATCH(A24,Bowling!$A$5:$A$44,0)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19</v>
      </c>
      <c r="N24" s="5">
        <f t="shared" ca="1" si="7"/>
        <v>19</v>
      </c>
      <c r="O24" s="5">
        <f t="shared" si="8"/>
        <v>20</v>
      </c>
      <c r="P24" s="5" t="str">
        <f t="shared" ca="1" si="1"/>
        <v>Jeff Lestrelle</v>
      </c>
      <c r="Q24" s="7">
        <f t="shared" ca="1" si="2"/>
        <v>0</v>
      </c>
      <c r="R24" s="5">
        <f t="shared" ca="1" si="3"/>
        <v>4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IF(NOT(ISNA(E25)),5*OFFSET(Batting!$CE$4,E25,0,1,1),0)</f>
        <v>0</v>
      </c>
      <c r="E25" s="9" t="e">
        <f ca="1">MATCH(A25,Batting!$A$5:$A$61,0)</f>
        <v>#N/A</v>
      </c>
      <c r="F25" s="9">
        <f ca="1">IF(NOT(ISNA(E25)),OFFSET(Batting!$B$4,E25,$C$1,1,1),0)</f>
        <v>0</v>
      </c>
      <c r="G25" s="9" t="e">
        <f ca="1">MATCH(A25,Bowling!$A$5:$A$44,0)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18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MATCH(A26,Batting!$A$5:$A$61,0)</f>
        <v>#N/A</v>
      </c>
      <c r="F26" s="9">
        <f ca="1">IF(NOT(ISNA(E26)),OFFSET(Batting!$B$4,E26,$C$1,1,1),0)</f>
        <v>0</v>
      </c>
      <c r="G26" s="9" t="e">
        <f ca="1">MATCH(A26,Bowling!$A$5:$A$44,0)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17</v>
      </c>
      <c r="N26" s="5">
        <f t="shared" ca="1" si="7"/>
        <v>17</v>
      </c>
      <c r="O26" s="5">
        <f t="shared" si="8"/>
        <v>22</v>
      </c>
      <c r="P26" s="5" t="str">
        <f t="shared" ca="1" si="1"/>
        <v>Glyn Angell</v>
      </c>
      <c r="Q26" s="7">
        <f t="shared" ca="1" si="2"/>
        <v>0</v>
      </c>
      <c r="R26" s="5">
        <f t="shared" ca="1" si="3"/>
        <v>1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MATCH(A27,Batting!$A$5:$A$61,0)</f>
        <v>#N/A</v>
      </c>
      <c r="F27" s="9">
        <f ca="1">IF(NOT(ISNA(E27)),OFFSET(Batting!$B$4,E27,$C$1,1,1),0)</f>
        <v>0</v>
      </c>
      <c r="G27" s="9" t="e">
        <f ca="1">MATCH(A27,Bowling!$A$5:$A$44,0)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16</v>
      </c>
      <c r="N27" s="5">
        <f t="shared" ca="1" si="7"/>
        <v>16</v>
      </c>
      <c r="O27" s="5">
        <f t="shared" si="8"/>
        <v>23</v>
      </c>
      <c r="P27" s="5" t="str">
        <f t="shared" ca="1" si="1"/>
        <v>Glen Lilley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MATCH(A28,Batting!$A$5:$A$61,0)</f>
        <v>#N/A</v>
      </c>
      <c r="F28" s="9">
        <f ca="1">IF(NOT(ISNA(E28)),OFFSET(Batting!$B$4,E28,$C$1,1,1),0)</f>
        <v>0</v>
      </c>
      <c r="G28" s="9" t="e">
        <f ca="1">MATCH(A28,Bowling!$A$5:$A$44,0)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15</v>
      </c>
      <c r="N28" s="5">
        <f t="shared" ca="1" si="7"/>
        <v>15</v>
      </c>
      <c r="O28" s="5">
        <f t="shared" si="8"/>
        <v>24</v>
      </c>
      <c r="P28" s="5" t="str">
        <f t="shared" ca="1" si="1"/>
        <v>Geoff Cooper</v>
      </c>
      <c r="Q28" s="7">
        <f t="shared" ca="1" si="2"/>
        <v>0</v>
      </c>
      <c r="R28" s="5">
        <f t="shared" ca="1" si="3"/>
        <v>6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110</v>
      </c>
      <c r="D29" s="9">
        <f ca="1">IF(NOT(ISNA(E29)),5*OFFSET(Batting!$CE$4,E29,0,1,1),0)</f>
        <v>45</v>
      </c>
      <c r="E29" s="9">
        <f ca="1">MATCH(A29,Batting!$A$5:$A$61,0)</f>
        <v>6</v>
      </c>
      <c r="F29" s="9">
        <f ca="1">IF(NOT(ISNA(E29)),OFFSET(Batting!$B$4,E29,$C$1,1,1),0)</f>
        <v>-5</v>
      </c>
      <c r="G29" s="9">
        <f ca="1">MATCH(A29,Bowling!$A$5:$A$44,0)</f>
        <v>5</v>
      </c>
      <c r="H29" s="9">
        <f ca="1">IF(NOT(ISNA(G29)),OFFSET(Bowling!$CO$4,G29,0,1,1),0)</f>
        <v>65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36.665999999999997</v>
      </c>
      <c r="L29" s="5">
        <f t="shared" ca="1" si="5"/>
        <v>36.666289999999996</v>
      </c>
      <c r="M29" s="5">
        <f t="shared" ca="1" si="6"/>
        <v>3</v>
      </c>
      <c r="N29" s="5">
        <f t="shared" ca="1" si="7"/>
        <v>14</v>
      </c>
      <c r="O29" s="5">
        <f t="shared" si="8"/>
        <v>25</v>
      </c>
      <c r="P29" s="5" t="str">
        <f t="shared" ca="1" si="1"/>
        <v>Del Shewan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MATCH(A30,Batting!$A$5:$A$61,0)</f>
        <v>#N/A</v>
      </c>
      <c r="F30" s="9">
        <f ca="1">IF(NOT(ISNA(E30)),OFFSET(Batting!$B$4,E30,$C$1,1,1),0)</f>
        <v>0</v>
      </c>
      <c r="G30" s="9" t="e">
        <f ca="1">MATCH(A30,Bowling!$A$5:$A$44,0)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14</v>
      </c>
      <c r="N30" s="5">
        <f t="shared" ca="1" si="7"/>
        <v>13</v>
      </c>
      <c r="O30" s="5">
        <f t="shared" si="8"/>
        <v>26</v>
      </c>
      <c r="P30" s="5" t="str">
        <f t="shared" ca="1" si="1"/>
        <v>David Snow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32</v>
      </c>
      <c r="D31" s="9">
        <f ca="1">IF(NOT(ISNA(E31)),5*OFFSET(Batting!$CE$4,E31,0,1,1),0)</f>
        <v>15</v>
      </c>
      <c r="E31" s="9">
        <f ca="1">MATCH(A31,Batting!$A$5:$A$61,0)</f>
        <v>44</v>
      </c>
      <c r="F31" s="9">
        <f ca="1">IF(NOT(ISNA(E31)),OFFSET(Batting!$B$4,E31,$C$1,1,1),0)</f>
        <v>17</v>
      </c>
      <c r="G31" s="9" t="e">
        <f ca="1">MATCH(A31,Bowling!$A$5:$A$44,0)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6.4</v>
      </c>
      <c r="L31" s="5">
        <f t="shared" ca="1" si="5"/>
        <v>6.4003100000000002</v>
      </c>
      <c r="M31" s="5">
        <f t="shared" ca="1" si="6"/>
        <v>4</v>
      </c>
      <c r="N31" s="5">
        <f t="shared" ca="1" si="7"/>
        <v>11</v>
      </c>
      <c r="O31" s="5">
        <f t="shared" si="8"/>
        <v>27</v>
      </c>
      <c r="P31" s="5" t="str">
        <f t="shared" ca="1" si="1"/>
        <v>David Brocks</v>
      </c>
      <c r="Q31" s="7">
        <f t="shared" ca="1" si="2"/>
        <v>0</v>
      </c>
      <c r="R31" s="5">
        <f t="shared" ca="1" si="3"/>
        <v>4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MATCH(A32,Batting!$A$5:$A$61,0)</f>
        <v>#N/A</v>
      </c>
      <c r="F32" s="9">
        <f ca="1">IF(NOT(ISNA(E32)),OFFSET(Batting!$B$4,E32,$C$1,1,1),0)</f>
        <v>0</v>
      </c>
      <c r="G32" s="9" t="e">
        <f ca="1">MATCH(A32,Bowling!$A$5:$A$44,0)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13</v>
      </c>
      <c r="N32" s="5">
        <f t="shared" ca="1" si="7"/>
        <v>10</v>
      </c>
      <c r="O32" s="5">
        <f t="shared" si="8"/>
        <v>28</v>
      </c>
      <c r="P32" s="5" t="str">
        <f t="shared" ref="P32:P46" ca="1" si="10">OFFSET($B$4,N32,0)</f>
        <v>Dave Morris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MATCH(A33,Batting!$A$5:$A$61,0)</f>
        <v>#N/A</v>
      </c>
      <c r="F33" s="9">
        <f ca="1">IF(NOT(ISNA(E33)),OFFSET(Batting!$B$4,E33,$C$1,1,1),0)</f>
        <v>0</v>
      </c>
      <c r="G33" s="9" t="e">
        <f ca="1">MATCH(A33,Bowling!$A$5:$A$44,0)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12</v>
      </c>
      <c r="N33" s="5">
        <f t="shared" ca="1" si="7"/>
        <v>9</v>
      </c>
      <c r="O33" s="5">
        <f t="shared" si="8"/>
        <v>29</v>
      </c>
      <c r="P33" s="5" t="str">
        <f t="shared" ca="1" si="10"/>
        <v>Daragh Corrigan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 t="e">
        <f ca="1">MATCH(A34,Batting!$A$5:$A$61,0)</f>
        <v>#N/A</v>
      </c>
      <c r="F34" s="9">
        <f ca="1">IF(NOT(ISNA(E34)),OFFSET(Batting!$B$4,E34,$C$1,1,1),0)</f>
        <v>0</v>
      </c>
      <c r="G34" s="9" t="e">
        <f ca="1">MATCH(A34,Bowling!$A$5:$A$44,0)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11</v>
      </c>
      <c r="N34" s="5">
        <f t="shared" ca="1" si="7"/>
        <v>8</v>
      </c>
      <c r="O34" s="5">
        <f t="shared" si="8"/>
        <v>30</v>
      </c>
      <c r="P34" s="5" t="str">
        <f t="shared" ca="1" si="10"/>
        <v>Colin Mander</v>
      </c>
      <c r="Q34" s="7">
        <f t="shared" ca="1" si="11"/>
        <v>0</v>
      </c>
      <c r="R34" s="5">
        <f t="shared" ca="1" si="3"/>
        <v>9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MATCH(A35,Batting!$A$5:$A$61,0)</f>
        <v>#N/A</v>
      </c>
      <c r="F35" s="9">
        <f ca="1">IF(NOT(ISNA(E35)),OFFSET(Batting!$B$4,E35,$C$1,1,1),0)</f>
        <v>0</v>
      </c>
      <c r="G35" s="9" t="e">
        <f ca="1">MATCH(A35,Bowling!$A$5:$A$44,0)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10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MATCH(A36,Batting!$A$5:$A$61,0)</f>
        <v>#N/A</v>
      </c>
      <c r="F36" s="9">
        <f ca="1">IF(NOT(ISNA(E36)),OFFSET(Batting!$B$4,E36,$C$1,1,1),0)</f>
        <v>0</v>
      </c>
      <c r="G36" s="9" t="e">
        <f ca="1">MATCH(A36,Bowling!$A$5:$A$44,0)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9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MATCH(A37,Batting!$A$5:$A$61,0)</f>
        <v>#N/A</v>
      </c>
      <c r="F37" s="9">
        <f ca="1">IF(NOT(ISNA(E37)),OFFSET(Batting!$B$4,E37,$C$1,1,1),0)</f>
        <v>0</v>
      </c>
      <c r="G37" s="9" t="e">
        <f ca="1">MATCH(A37,Bowling!$A$5:$A$44,0)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8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MATCH(A38,Batting!$A$5:$A$61,0)</f>
        <v>#N/A</v>
      </c>
      <c r="F38" s="9">
        <f ca="1">IF(NOT(ISNA(E38)),OFFSET(Batting!$B$4,E38,$C$1,1,1),0)</f>
        <v>0</v>
      </c>
      <c r="G38" s="9" t="e">
        <f ca="1">MATCH(A38,Bowling!$A$5:$A$44,0)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7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MATCH(A39,Batting!$A$5:$A$61,0)</f>
        <v>#N/A</v>
      </c>
      <c r="F39" s="9">
        <f ca="1">IF(NOT(ISNA(E39)),OFFSET(Batting!$B$4,E39,$C$1,1,1),0)</f>
        <v>0</v>
      </c>
      <c r="G39" s="9" t="e">
        <f ca="1">MATCH(A39,Bowling!$A$5:$A$44,0)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6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MATCH(A40,Batting!$A$5:$A$61,0)</f>
        <v>#N/A</v>
      </c>
      <c r="F40" s="9">
        <f ca="1">IF(NOT(ISNA(E40)),OFFSET(Batting!$B$4,E40,$C$1,1,1),0)</f>
        <v>0</v>
      </c>
      <c r="G40" s="9" t="e">
        <f ca="1">MATCH(A40,Bowling!$A$5:$A$44,0)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5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MATCH(A41,Batting!$A$5:$A$61,0)</f>
        <v>#N/A</v>
      </c>
      <c r="F41" s="9">
        <f ca="1">IF(NOT(ISNA(E41)),OFFSET(Batting!$B$4,E41,$C$1,1,1),0)</f>
        <v>0</v>
      </c>
      <c r="G41" s="9" t="e">
        <f ca="1">MATCH(A41,Bowling!$A$5:$A$44,0)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MATCH(A42,Batting!$A$5:$A$61,0)</f>
        <v>#N/A</v>
      </c>
      <c r="F42" s="9">
        <f ca="1">IF(NOT(ISNA(E42)),OFFSET(Batting!$B$4,E42,$C$1,1,1),0)</f>
        <v>0</v>
      </c>
      <c r="G42" s="9" t="e">
        <f ca="1">MATCH(A42,Bowling!$A$5:$A$44,0)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MATCH(A43,Batting!$A$5:$A$61,0)</f>
        <v>#N/A</v>
      </c>
      <c r="F43" s="9">
        <f ca="1">IF(NOT(ISNA(E43)),OFFSET(Batting!$B$4,E43,$C$1,1,1),0)</f>
        <v>0</v>
      </c>
      <c r="G43" s="9" t="e">
        <f ca="1">MATCH(A43,Bowling!$A$5:$A$44,0)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MATCH(A44,Batting!$A$5:$A$61,0)</f>
        <v>#N/A</v>
      </c>
      <c r="F44" s="9">
        <f ca="1">IF(NOT(ISNA(E44)),OFFSET(Batting!$B$4,E44,$C$1,1,1),0)</f>
        <v>0</v>
      </c>
      <c r="G44" s="9" t="e">
        <f ca="1">MATCH(A44,Bowling!$A$5:$A$44,0)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MATCH(A45,Batting!$A$5:$A$61,0)</f>
        <v>#N/A</v>
      </c>
      <c r="F45" s="9">
        <f ca="1">IF(NOT(ISNA(E45)),OFFSET(Batting!$B$4,E45,$C$1,1,1),0)</f>
        <v>0</v>
      </c>
      <c r="G45" s="9" t="e">
        <f ca="1">MATCH(A45,Bowling!$A$5:$A$44,0)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MATCH(A46,Batting!$A$5:$A$61,0)</f>
        <v>#N/A</v>
      </c>
      <c r="F46" s="9">
        <f ca="1">IF(NOT(ISNA(E46)),OFFSET(Batting!$B$4,E46,$C$1,1,1),0)</f>
        <v>0</v>
      </c>
      <c r="G46" s="9" t="e">
        <f ca="1">MATCH(A46,Bowling!$A$5:$A$44,0)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79</v>
      </c>
      <c r="B1" s="14" t="s">
        <v>87</v>
      </c>
      <c r="C1" s="14" t="s">
        <v>88</v>
      </c>
      <c r="D1" s="14" t="s">
        <v>82</v>
      </c>
      <c r="E1" s="14" t="s">
        <v>84</v>
      </c>
      <c r="F1" s="14" t="s">
        <v>85</v>
      </c>
      <c r="G1" s="14" t="s">
        <v>73</v>
      </c>
      <c r="H1" s="15" t="s">
        <v>89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80</v>
      </c>
      <c r="C8" s="18">
        <f ca="1">FantasyPts!D11</f>
        <v>40</v>
      </c>
      <c r="D8" s="18">
        <f ca="1">FantasyPts!F11</f>
        <v>40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40</v>
      </c>
      <c r="I8" s="16">
        <f t="shared" ca="1" si="0"/>
        <v>1</v>
      </c>
      <c r="J8" s="105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727</v>
      </c>
      <c r="C13" s="18">
        <f ca="1">FantasyPts!D16</f>
        <v>70</v>
      </c>
      <c r="D13" s="18">
        <f ca="1">FantasyPts!F16</f>
        <v>477</v>
      </c>
      <c r="E13" s="18">
        <f ca="1">FantasyPts!H16</f>
        <v>140</v>
      </c>
      <c r="F13" s="18">
        <f ca="1">FantasyPts!I16</f>
        <v>40</v>
      </c>
      <c r="G13" s="18">
        <f ca="1">FantasyPts!J16</f>
        <v>3</v>
      </c>
      <c r="H13" s="19">
        <f ca="1">FantasyPts!K16</f>
        <v>242.333</v>
      </c>
      <c r="I13" s="16">
        <f t="shared" ca="1" si="0"/>
        <v>7</v>
      </c>
      <c r="J13" s="105">
        <f t="shared" ca="1" si="1"/>
        <v>4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110</v>
      </c>
      <c r="C26" s="18">
        <f ca="1">FantasyPts!D29</f>
        <v>45</v>
      </c>
      <c r="D26" s="18">
        <f ca="1">FantasyPts!F29</f>
        <v>-5</v>
      </c>
      <c r="E26" s="18">
        <f ca="1">FantasyPts!H29</f>
        <v>65</v>
      </c>
      <c r="F26" s="18">
        <f ca="1">FantasyPts!I29</f>
        <v>5</v>
      </c>
      <c r="G26" s="18">
        <f ca="1">FantasyPts!J29</f>
        <v>3</v>
      </c>
      <c r="H26" s="19">
        <f ca="1">FantasyPts!K29</f>
        <v>36.665999999999997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32</v>
      </c>
      <c r="C28" s="18">
        <f ca="1">FantasyPts!D31</f>
        <v>15</v>
      </c>
      <c r="D28" s="18">
        <f ca="1">FantasyPts!F31</f>
        <v>17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6.4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197</v>
      </c>
    </row>
    <row r="2" spans="1:27" x14ac:dyDescent="0.25">
      <c r="A2" s="78"/>
    </row>
    <row r="3" spans="1:27" ht="15" x14ac:dyDescent="0.3">
      <c r="A3" s="11" t="s">
        <v>192</v>
      </c>
      <c r="B3" s="12" t="s">
        <v>90</v>
      </c>
      <c r="C3" s="12" t="s">
        <v>91</v>
      </c>
      <c r="D3" s="11" t="s">
        <v>92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4"/>
  <sheetViews>
    <sheetView workbookViewId="0">
      <selection activeCell="G2" activeCellId="1" sqref="D2:D12 G2:G12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384" width="9.140625" style="103"/>
  </cols>
  <sheetData>
    <row r="1" spans="1:14" x14ac:dyDescent="0.15">
      <c r="A1" s="103" t="s">
        <v>14</v>
      </c>
      <c r="B1" s="103" t="s">
        <v>80</v>
      </c>
      <c r="C1" s="103" t="s">
        <v>226</v>
      </c>
      <c r="D1" s="103" t="s">
        <v>227</v>
      </c>
      <c r="E1" s="103" t="s">
        <v>228</v>
      </c>
      <c r="F1" s="103" t="s">
        <v>229</v>
      </c>
      <c r="G1" s="103" t="s">
        <v>230</v>
      </c>
      <c r="H1" s="103" t="s">
        <v>231</v>
      </c>
      <c r="I1" s="103" t="s">
        <v>229</v>
      </c>
      <c r="J1" s="103" t="s">
        <v>1</v>
      </c>
      <c r="K1" s="138" t="s">
        <v>0</v>
      </c>
    </row>
    <row r="2" spans="1:14" x14ac:dyDescent="0.15">
      <c r="A2" s="103">
        <v>1</v>
      </c>
      <c r="B2" s="103">
        <v>93</v>
      </c>
      <c r="D2" s="103" t="s">
        <v>256</v>
      </c>
      <c r="E2" s="103">
        <v>116</v>
      </c>
      <c r="G2" s="103" t="s">
        <v>218</v>
      </c>
      <c r="H2" s="103">
        <v>33</v>
      </c>
      <c r="J2" s="103" t="s">
        <v>249</v>
      </c>
      <c r="K2" s="138">
        <v>41784</v>
      </c>
      <c r="N2"/>
    </row>
    <row r="3" spans="1:14" x14ac:dyDescent="0.15">
      <c r="A3" s="103">
        <v>1</v>
      </c>
      <c r="B3" s="103">
        <v>63</v>
      </c>
      <c r="D3" s="103" t="s">
        <v>144</v>
      </c>
      <c r="E3" s="103">
        <v>37</v>
      </c>
      <c r="G3" s="103" t="s">
        <v>256</v>
      </c>
      <c r="H3" s="103">
        <v>61</v>
      </c>
      <c r="J3" s="103" t="s">
        <v>479</v>
      </c>
      <c r="K3" s="138">
        <v>41833</v>
      </c>
      <c r="N3"/>
    </row>
    <row r="4" spans="1:14" x14ac:dyDescent="0.15">
      <c r="A4" s="103">
        <v>2</v>
      </c>
      <c r="B4" s="103">
        <v>70</v>
      </c>
      <c r="D4" s="103" t="s">
        <v>144</v>
      </c>
      <c r="E4" s="103">
        <v>37</v>
      </c>
      <c r="G4" s="103" t="s">
        <v>218</v>
      </c>
      <c r="H4" s="103">
        <v>35</v>
      </c>
      <c r="J4" s="103" t="s">
        <v>555</v>
      </c>
      <c r="K4" s="138">
        <v>41889</v>
      </c>
      <c r="N4"/>
    </row>
    <row r="5" spans="1:14" x14ac:dyDescent="0.15">
      <c r="A5" s="103">
        <v>2</v>
      </c>
      <c r="B5" s="103">
        <v>51</v>
      </c>
      <c r="D5" s="103" t="s">
        <v>144</v>
      </c>
      <c r="E5" s="103">
        <v>54</v>
      </c>
      <c r="G5" s="103" t="s">
        <v>172</v>
      </c>
      <c r="H5" s="103">
        <v>16</v>
      </c>
      <c r="J5" s="103" t="s">
        <v>239</v>
      </c>
      <c r="K5" s="138">
        <v>41791</v>
      </c>
      <c r="N5"/>
    </row>
    <row r="6" spans="1:14" s="180" customFormat="1" x14ac:dyDescent="0.15">
      <c r="A6" s="180">
        <v>3</v>
      </c>
      <c r="B6" s="180">
        <v>81</v>
      </c>
      <c r="D6" s="180" t="s">
        <v>144</v>
      </c>
      <c r="E6" s="180">
        <v>50</v>
      </c>
      <c r="G6" s="180" t="s">
        <v>256</v>
      </c>
      <c r="H6" s="180">
        <v>24</v>
      </c>
      <c r="J6" s="180" t="s">
        <v>331</v>
      </c>
      <c r="K6" s="181">
        <v>41756</v>
      </c>
      <c r="N6" s="182"/>
    </row>
    <row r="7" spans="1:14" s="180" customFormat="1" x14ac:dyDescent="0.15">
      <c r="A7" s="180">
        <v>3</v>
      </c>
      <c r="B7" s="180">
        <v>76</v>
      </c>
      <c r="D7" s="180" t="s">
        <v>144</v>
      </c>
      <c r="E7" s="180">
        <v>80</v>
      </c>
      <c r="G7" s="180" t="s">
        <v>221</v>
      </c>
      <c r="H7" s="180">
        <v>56</v>
      </c>
      <c r="J7" s="180" t="s">
        <v>573</v>
      </c>
      <c r="K7" s="181">
        <v>41902</v>
      </c>
      <c r="N7" s="182"/>
    </row>
    <row r="8" spans="1:14" x14ac:dyDescent="0.15">
      <c r="A8" s="103">
        <v>3</v>
      </c>
      <c r="B8" s="103">
        <v>62</v>
      </c>
      <c r="D8" s="103" t="s">
        <v>256</v>
      </c>
      <c r="E8" s="103">
        <v>55</v>
      </c>
      <c r="G8" s="103" t="s">
        <v>269</v>
      </c>
      <c r="H8" s="103">
        <v>38</v>
      </c>
      <c r="J8" s="103" t="s">
        <v>263</v>
      </c>
      <c r="K8" s="138">
        <v>41777</v>
      </c>
      <c r="N8"/>
    </row>
    <row r="9" spans="1:14" s="180" customFormat="1" x14ac:dyDescent="0.15">
      <c r="A9" s="180">
        <v>4</v>
      </c>
      <c r="B9" s="180">
        <v>65</v>
      </c>
      <c r="D9" s="180" t="s">
        <v>211</v>
      </c>
      <c r="E9" s="180">
        <v>30</v>
      </c>
      <c r="G9" s="180" t="s">
        <v>250</v>
      </c>
      <c r="H9" s="180">
        <v>51</v>
      </c>
      <c r="I9" s="180" t="s">
        <v>258</v>
      </c>
      <c r="J9" s="180" t="s">
        <v>249</v>
      </c>
      <c r="K9" s="181">
        <v>41763</v>
      </c>
      <c r="N9" s="182"/>
    </row>
    <row r="10" spans="1:14" x14ac:dyDescent="0.15">
      <c r="A10" s="103">
        <v>4</v>
      </c>
      <c r="B10" s="103">
        <v>64</v>
      </c>
      <c r="D10" s="103" t="s">
        <v>144</v>
      </c>
      <c r="E10" s="103">
        <v>80</v>
      </c>
      <c r="G10" s="103" t="s">
        <v>586</v>
      </c>
      <c r="H10" s="103">
        <v>28</v>
      </c>
      <c r="J10" s="103" t="s">
        <v>573</v>
      </c>
      <c r="K10" s="138">
        <v>41902</v>
      </c>
      <c r="N10"/>
    </row>
    <row r="11" spans="1:14" x14ac:dyDescent="0.15">
      <c r="A11" s="103">
        <v>4</v>
      </c>
      <c r="B11" s="103">
        <v>50</v>
      </c>
      <c r="D11" s="103" t="s">
        <v>256</v>
      </c>
      <c r="E11" s="103">
        <v>55</v>
      </c>
      <c r="G11" s="103" t="s">
        <v>271</v>
      </c>
      <c r="H11" s="103">
        <v>25</v>
      </c>
      <c r="J11" s="103" t="s">
        <v>263</v>
      </c>
      <c r="K11" s="138">
        <v>41777</v>
      </c>
      <c r="N11"/>
    </row>
    <row r="12" spans="1:14" s="180" customFormat="1" x14ac:dyDescent="0.15">
      <c r="A12" s="180">
        <v>6</v>
      </c>
      <c r="B12" s="180">
        <v>86</v>
      </c>
      <c r="C12" s="180" t="s">
        <v>258</v>
      </c>
      <c r="D12" s="180" t="s">
        <v>394</v>
      </c>
      <c r="E12" s="180">
        <v>42</v>
      </c>
      <c r="F12" s="180" t="s">
        <v>258</v>
      </c>
      <c r="G12" s="180" t="s">
        <v>211</v>
      </c>
      <c r="H12" s="180">
        <v>30</v>
      </c>
      <c r="I12" s="180" t="s">
        <v>258</v>
      </c>
      <c r="J12" s="180" t="s">
        <v>375</v>
      </c>
      <c r="K12" s="181">
        <v>41798</v>
      </c>
      <c r="N12" s="182"/>
    </row>
    <row r="13" spans="1:14" s="180" customFormat="1" x14ac:dyDescent="0.15">
      <c r="A13" s="180">
        <v>8</v>
      </c>
      <c r="B13" s="180">
        <v>42</v>
      </c>
      <c r="D13" s="180" t="s">
        <v>211</v>
      </c>
      <c r="E13" s="180">
        <v>57</v>
      </c>
      <c r="F13" s="180" t="s">
        <v>258</v>
      </c>
      <c r="G13" s="180" t="s">
        <v>203</v>
      </c>
      <c r="H13" s="180">
        <v>12</v>
      </c>
      <c r="J13" s="180" t="s">
        <v>239</v>
      </c>
      <c r="K13" s="181">
        <v>41882</v>
      </c>
      <c r="N13" s="182"/>
    </row>
    <row r="14" spans="1:14" x14ac:dyDescent="0.15">
      <c r="N14"/>
    </row>
    <row r="15" spans="1:14" x14ac:dyDescent="0.15">
      <c r="N15"/>
    </row>
    <row r="16" spans="1:14" x14ac:dyDescent="0.15">
      <c r="N16"/>
    </row>
    <row r="17" spans="6:14" x14ac:dyDescent="0.15">
      <c r="N17"/>
    </row>
    <row r="18" spans="6:14" x14ac:dyDescent="0.15">
      <c r="N18"/>
    </row>
    <row r="24" spans="6:14" x14ac:dyDescent="0.15">
      <c r="F24"/>
      <c r="G24"/>
      <c r="H24"/>
      <c r="I24"/>
    </row>
    <row r="25" spans="6:14" x14ac:dyDescent="0.15">
      <c r="F25"/>
      <c r="G25"/>
      <c r="H25"/>
      <c r="I25"/>
    </row>
    <row r="26" spans="6:14" x14ac:dyDescent="0.15">
      <c r="F26"/>
      <c r="G26"/>
      <c r="H26"/>
      <c r="I26"/>
    </row>
    <row r="27" spans="6:14" x14ac:dyDescent="0.15">
      <c r="F27"/>
      <c r="G27"/>
      <c r="H27"/>
      <c r="I27"/>
    </row>
    <row r="28" spans="6:14" x14ac:dyDescent="0.15">
      <c r="F28"/>
      <c r="G28"/>
      <c r="H28"/>
      <c r="I28"/>
    </row>
    <row r="29" spans="6:14" x14ac:dyDescent="0.15">
      <c r="F29"/>
      <c r="G29"/>
      <c r="H29"/>
      <c r="I29"/>
    </row>
    <row r="30" spans="6:14" x14ac:dyDescent="0.15">
      <c r="F30"/>
      <c r="G30"/>
      <c r="H30"/>
      <c r="I30"/>
    </row>
    <row r="31" spans="6:14" x14ac:dyDescent="0.15">
      <c r="F31"/>
      <c r="G31"/>
      <c r="H31"/>
      <c r="I31"/>
    </row>
    <row r="32" spans="6:14" x14ac:dyDescent="0.15">
      <c r="F32"/>
      <c r="G32"/>
      <c r="H32"/>
      <c r="I32"/>
    </row>
    <row r="33" spans="6:9" x14ac:dyDescent="0.15">
      <c r="F33"/>
      <c r="G33"/>
      <c r="H33"/>
      <c r="I33"/>
    </row>
    <row r="34" spans="6:9" x14ac:dyDescent="0.15">
      <c r="F34"/>
      <c r="G34"/>
      <c r="H34"/>
      <c r="I34"/>
    </row>
    <row r="35" spans="6:9" x14ac:dyDescent="0.15">
      <c r="F35"/>
      <c r="G35"/>
      <c r="H35"/>
      <c r="I35"/>
    </row>
    <row r="36" spans="6:9" x14ac:dyDescent="0.15">
      <c r="F36"/>
      <c r="G36"/>
      <c r="H36"/>
      <c r="I36"/>
    </row>
    <row r="37" spans="6:9" x14ac:dyDescent="0.15">
      <c r="F37"/>
      <c r="G37"/>
      <c r="H37"/>
      <c r="I37"/>
    </row>
    <row r="38" spans="6:9" x14ac:dyDescent="0.15">
      <c r="F38"/>
      <c r="G38"/>
      <c r="H38"/>
      <c r="I38"/>
    </row>
    <row r="39" spans="6:9" x14ac:dyDescent="0.15">
      <c r="F39"/>
      <c r="G39"/>
      <c r="H39"/>
      <c r="I39"/>
    </row>
    <row r="40" spans="6:9" x14ac:dyDescent="0.15">
      <c r="G40"/>
      <c r="H40"/>
      <c r="I40"/>
    </row>
    <row r="41" spans="6:9" x14ac:dyDescent="0.15">
      <c r="G41"/>
      <c r="H41"/>
      <c r="I41"/>
    </row>
    <row r="42" spans="6:9" x14ac:dyDescent="0.15">
      <c r="G42"/>
      <c r="H42"/>
      <c r="I42"/>
    </row>
    <row r="43" spans="6:9" x14ac:dyDescent="0.15">
      <c r="G43"/>
      <c r="H43"/>
      <c r="I43"/>
    </row>
    <row r="44" spans="6:9" x14ac:dyDescent="0.15">
      <c r="G44"/>
      <c r="H44"/>
      <c r="I44"/>
    </row>
  </sheetData>
  <sortState ref="A2:K14">
    <sortCondition ref="A2:A14"/>
    <sortCondition descending="1" ref="B2:B14"/>
  </sortState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G2" sqref="G2:K2"/>
    </sheetView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6" bestFit="1" customWidth="1"/>
    <col min="11" max="11" width="10.42578125" bestFit="1" customWidth="1"/>
  </cols>
  <sheetData>
    <row r="1" spans="1:12" x14ac:dyDescent="0.15">
      <c r="A1" t="s">
        <v>1</v>
      </c>
      <c r="G1" t="s">
        <v>215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2023-11-21T15:45:02Z</dcterms:modified>
</cp:coreProperties>
</file>
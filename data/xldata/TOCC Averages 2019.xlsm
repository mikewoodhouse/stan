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\\wsl.localhost\Ubuntu-24.04\home\mikew\stan\data\xldata\"/>
    </mc:Choice>
  </mc:AlternateContent>
  <bookViews>
    <workbookView xWindow="0" yWindow="720" windowWidth="36150" windowHeight="17100" activeTab="1"/>
  </bookViews>
  <sheets>
    <sheet name="Matches" sheetId="1" r:id="rId1"/>
    <sheet name="Batting" sheetId="2" r:id="rId2"/>
    <sheet name="Bowling" sheetId="3" r:id="rId3"/>
    <sheet name="Partnerships" sheetId="16" r:id="rId4"/>
    <sheet name="BatAves" sheetId="9" r:id="rId5"/>
    <sheet name="Sheet1" sheetId="18" r:id="rId6"/>
    <sheet name="BowlAves" sheetId="10" r:id="rId7"/>
    <sheet name="Fantasy Teams" sheetId="4" state="hidden" r:id="rId8"/>
    <sheet name="FantasyPts" sheetId="5" state="hidden" r:id="rId9"/>
    <sheet name="Player Stats" sheetId="6" state="hidden" r:id="rId10"/>
    <sheet name="League Table" sheetId="7" state="hidden" r:id="rId11"/>
    <sheet name="modFuncs" sheetId="8" state="veryHidden" r:id=""/>
    <sheet name="Capts" sheetId="17" r:id="rId12"/>
  </sheets>
  <functionGroups builtInGroupCount="18"/>
  <definedNames>
    <definedName name="BallsBowled">1</definedName>
    <definedName name="BatPts">7</definedName>
    <definedName name="BestBowling">8</definedName>
    <definedName name="BowlPts">7</definedName>
    <definedName name="Catches">8</definedName>
    <definedName name="CaughtWkt">13</definedName>
    <definedName name="Ducks">6</definedName>
    <definedName name="_xlnm.Extract">Batting!$D$81</definedName>
    <definedName name="FantasyPlayerCount">'Fantasy Teams'!$H$93</definedName>
    <definedName name="Fifties">15</definedName>
    <definedName name="FiveFors">11</definedName>
    <definedName name="FldPts">9</definedName>
    <definedName name="Fours">10</definedName>
    <definedName name="HighestScore">5</definedName>
    <definedName name="Hundreds">16</definedName>
    <definedName name="InnsBattedIn">1</definedName>
    <definedName name="InnsBowledIn">5</definedName>
    <definedName name="Maidens">2</definedName>
    <definedName name="MatchesPlayed">4</definedName>
    <definedName name="MinValue">Batting!$E$81</definedName>
    <definedName name="NoBalls">10</definedName>
    <definedName name="NotOuts">3</definedName>
    <definedName name="NumFantTeams">'Fantasy Teams'!$H$44</definedName>
    <definedName name="OversBowled">6</definedName>
    <definedName name="_xlnm.Print_Area" localSheetId="4">BatAves!$A$1:$H$45</definedName>
    <definedName name="_xlnm.Print_Area" localSheetId="6">BowlAves!$A$1:$K$31</definedName>
    <definedName name="_xlnm.Print_Area" localSheetId="2">Bowling!$A$1:$AR$47</definedName>
    <definedName name="_xlnm.Print_Area" localSheetId="10">'League Table'!$A$1:$D$36</definedName>
    <definedName name="_xlnm.Print_Area" localSheetId="0">Matches!$A$1:$AF$20</definedName>
    <definedName name="_xlnm.Print_Area" localSheetId="9">'Player Stats'!$A$1:$H$42</definedName>
    <definedName name="_xlnm.Print_Area" localSheetId="5">Sheet1!$A$46:$Y$135</definedName>
    <definedName name="_xlnm.Print_Titles" localSheetId="0">Matches!$4:$4</definedName>
    <definedName name="RunsConceded">3</definedName>
    <definedName name="RunsScored">2</definedName>
    <definedName name="Sixes">11</definedName>
    <definedName name="Stumpings">12</definedName>
    <definedName name="TwentyFives">14</definedName>
    <definedName name="WicketsTaken">4</definedName>
    <definedName name="Wides">9</definedName>
  </definedNames>
  <calcPr calcId="152511"/>
  <pivotCaches>
    <pivotCache cacheId="1" r:id="rId13"/>
    <pivotCache cacheId="2" r:id="rId14"/>
  </pivotCaches>
</workbook>
</file>

<file path=xl/calcChain.xml><?xml version="1.0" encoding="utf-8"?>
<calcChain xmlns="http://schemas.openxmlformats.org/spreadsheetml/2006/main">
  <c r="CX38" i="2" l="1" a="1"/>
  <c r="CX38" i="2" s="1"/>
  <c r="CW38" i="2" a="1"/>
  <c r="CW38" i="2" s="1"/>
  <c r="CV38" i="2" a="1"/>
  <c r="CV38" i="2" s="1"/>
  <c r="CU38" i="2" a="1"/>
  <c r="CU38" i="2" s="1"/>
  <c r="CT38" i="2" a="1"/>
  <c r="CT38" i="2" s="1"/>
  <c r="CS38" i="2" a="1"/>
  <c r="CS38" i="2" s="1"/>
  <c r="CR38" i="2" a="1"/>
  <c r="CR38" i="2" s="1"/>
  <c r="CP38" i="2"/>
  <c r="CP38" i="2" a="1"/>
  <c r="CO38" i="2" a="1"/>
  <c r="CO38" i="2" s="1"/>
  <c r="CX37" i="2" a="1"/>
  <c r="CX37" i="2" s="1"/>
  <c r="CW37" i="2" a="1"/>
  <c r="CW37" i="2" s="1"/>
  <c r="CV37" i="2" a="1"/>
  <c r="CV37" i="2" s="1"/>
  <c r="CU37" i="2" a="1"/>
  <c r="CU37" i="2" s="1"/>
  <c r="CT37" i="2" a="1"/>
  <c r="CT37" i="2" s="1"/>
  <c r="CS37" i="2" a="1"/>
  <c r="CS37" i="2" s="1"/>
  <c r="CR37" i="2" a="1"/>
  <c r="CR37" i="2" s="1"/>
  <c r="CP37" i="2" a="1"/>
  <c r="CP37" i="2" s="1"/>
  <c r="CO37" i="2"/>
  <c r="CO37" i="2" a="1"/>
  <c r="CE37" i="2"/>
  <c r="CE38" i="2"/>
  <c r="CO9" i="2" a="1"/>
  <c r="CO9" i="2" s="1"/>
  <c r="CP9" i="2" a="1"/>
  <c r="CP9" i="2" s="1"/>
  <c r="CR9" i="2" a="1"/>
  <c r="CR9" i="2"/>
  <c r="CS9" i="2" a="1"/>
  <c r="CS9" i="2" s="1"/>
  <c r="CT9" i="2" a="1"/>
  <c r="CT9" i="2" s="1"/>
  <c r="CU9" i="2" a="1"/>
  <c r="CU9" i="2" s="1"/>
  <c r="CV9" i="2" a="1"/>
  <c r="CV9" i="2" s="1"/>
  <c r="CW9" i="2" a="1"/>
  <c r="CW9" i="2" s="1"/>
  <c r="CX9" i="2" a="1"/>
  <c r="CX9" i="2" s="1"/>
  <c r="CO10" i="2" a="1"/>
  <c r="CO10" i="2" s="1"/>
  <c r="CP10" i="2" a="1"/>
  <c r="CP10" i="2" s="1"/>
  <c r="CR10" i="2" a="1"/>
  <c r="CR10" i="2" s="1"/>
  <c r="CS10" i="2" a="1"/>
  <c r="CS10" i="2" s="1"/>
  <c r="CT10" i="2" a="1"/>
  <c r="CT10" i="2"/>
  <c r="CU10" i="2" a="1"/>
  <c r="CU10" i="2" s="1"/>
  <c r="CV10" i="2" a="1"/>
  <c r="CV10" i="2" s="1"/>
  <c r="CW10" i="2" a="1"/>
  <c r="CW10" i="2" s="1"/>
  <c r="CX10" i="2" a="1"/>
  <c r="CX10" i="2" s="1"/>
  <c r="CO11" i="2" a="1"/>
  <c r="CO11" i="2" s="1"/>
  <c r="CP11" i="2" a="1"/>
  <c r="CP11" i="2" s="1"/>
  <c r="CR11" i="2" a="1"/>
  <c r="CR11" i="2" s="1"/>
  <c r="CS11" i="2" a="1"/>
  <c r="CS11" i="2" s="1"/>
  <c r="CT11" i="2" a="1"/>
  <c r="CT11" i="2" s="1"/>
  <c r="CU11" i="2" a="1"/>
  <c r="CU11" i="2" s="1"/>
  <c r="CV11" i="2" a="1"/>
  <c r="CV11" i="2"/>
  <c r="CW11" i="2" a="1"/>
  <c r="CW11" i="2" s="1"/>
  <c r="CX11" i="2" a="1"/>
  <c r="CX11" i="2" s="1"/>
  <c r="CO12" i="2" a="1"/>
  <c r="CO12" i="2"/>
  <c r="CP12" i="2" a="1"/>
  <c r="CP12" i="2" s="1"/>
  <c r="CR12" i="2" a="1"/>
  <c r="CR12" i="2" s="1"/>
  <c r="CS12" i="2" a="1"/>
  <c r="CS12" i="2" s="1"/>
  <c r="CT12" i="2" a="1"/>
  <c r="CT12" i="2" s="1"/>
  <c r="CU12" i="2" a="1"/>
  <c r="CU12" i="2" s="1"/>
  <c r="CV12" i="2" a="1"/>
  <c r="CV12" i="2" s="1"/>
  <c r="CW12" i="2" a="1"/>
  <c r="CW12" i="2" s="1"/>
  <c r="CX12" i="2" a="1"/>
  <c r="CX12" i="2" s="1"/>
  <c r="CO13" i="2" a="1"/>
  <c r="CO13" i="2" s="1"/>
  <c r="CP13" i="2" a="1"/>
  <c r="CP13" i="2" s="1"/>
  <c r="CR13" i="2" a="1"/>
  <c r="CR13" i="2" s="1"/>
  <c r="CS13" i="2" a="1"/>
  <c r="CS13" i="2" s="1"/>
  <c r="CT13" i="2" a="1"/>
  <c r="CT13" i="2" s="1"/>
  <c r="CU13" i="2" a="1"/>
  <c r="CU13" i="2" s="1"/>
  <c r="CV13" i="2" a="1"/>
  <c r="CV13" i="2" s="1"/>
  <c r="CW13" i="2" a="1"/>
  <c r="CW13" i="2" s="1"/>
  <c r="CX13" i="2" a="1"/>
  <c r="CX13" i="2" s="1"/>
  <c r="CO14" i="2" a="1"/>
  <c r="CO14" i="2" s="1"/>
  <c r="CP14" i="2" a="1"/>
  <c r="CP14" i="2" s="1"/>
  <c r="CR14" i="2" a="1"/>
  <c r="CR14" i="2" s="1"/>
  <c r="CS14" i="2" a="1"/>
  <c r="CS14" i="2" s="1"/>
  <c r="CT14" i="2" a="1"/>
  <c r="CT14" i="2" s="1"/>
  <c r="CU14" i="2" a="1"/>
  <c r="CU14" i="2" s="1"/>
  <c r="CV14" i="2" a="1"/>
  <c r="CV14" i="2" s="1"/>
  <c r="CW14" i="2" a="1"/>
  <c r="CW14" i="2" s="1"/>
  <c r="CX14" i="2" a="1"/>
  <c r="CX14" i="2"/>
  <c r="CO15" i="2" a="1"/>
  <c r="CO15" i="2"/>
  <c r="CP15" i="2" a="1"/>
  <c r="CP15" i="2" s="1"/>
  <c r="CR15" i="2" a="1"/>
  <c r="CR15" i="2" s="1"/>
  <c r="CS15" i="2" a="1"/>
  <c r="CS15" i="2" s="1"/>
  <c r="CT15" i="2" a="1"/>
  <c r="CT15" i="2" s="1"/>
  <c r="CU15" i="2" a="1"/>
  <c r="CU15" i="2" s="1"/>
  <c r="CV15" i="2" a="1"/>
  <c r="CV15" i="2" s="1"/>
  <c r="CW15" i="2" a="1"/>
  <c r="CW15" i="2" s="1"/>
  <c r="CX15" i="2" a="1"/>
  <c r="CX15" i="2" s="1"/>
  <c r="CO16" i="2" a="1"/>
  <c r="CO16" i="2" s="1"/>
  <c r="CP16" i="2" a="1"/>
  <c r="CP16" i="2" s="1"/>
  <c r="CR16" i="2" a="1"/>
  <c r="CR16" i="2" s="1"/>
  <c r="CS16" i="2" a="1"/>
  <c r="CS16" i="2" s="1"/>
  <c r="CT16" i="2" a="1"/>
  <c r="CT16" i="2" s="1"/>
  <c r="CU16" i="2" a="1"/>
  <c r="CU16" i="2" s="1"/>
  <c r="CV16" i="2" a="1"/>
  <c r="CV16" i="2" s="1"/>
  <c r="CW16" i="2" a="1"/>
  <c r="CW16" i="2" s="1"/>
  <c r="CX16" i="2" a="1"/>
  <c r="CX16" i="2" s="1"/>
  <c r="CO17" i="2" a="1"/>
  <c r="CO17" i="2" s="1"/>
  <c r="CP17" i="2" a="1"/>
  <c r="CP17" i="2" s="1"/>
  <c r="CR17" i="2" a="1"/>
  <c r="CR17" i="2" s="1"/>
  <c r="CS17" i="2" a="1"/>
  <c r="CS17" i="2" s="1"/>
  <c r="CT17" i="2" a="1"/>
  <c r="CT17" i="2" s="1"/>
  <c r="CU17" i="2" a="1"/>
  <c r="CU17" i="2" s="1"/>
  <c r="CV17" i="2" a="1"/>
  <c r="CV17" i="2" s="1"/>
  <c r="CW17" i="2" a="1"/>
  <c r="CW17" i="2" s="1"/>
  <c r="CX17" i="2" a="1"/>
  <c r="CX17" i="2"/>
  <c r="CO18" i="2" a="1"/>
  <c r="CO18" i="2" s="1"/>
  <c r="CP18" i="2" a="1"/>
  <c r="CP18" i="2" s="1"/>
  <c r="CR18" i="2" a="1"/>
  <c r="CR18" i="2"/>
  <c r="CS18" i="2" a="1"/>
  <c r="CS18" i="2" s="1"/>
  <c r="CT18" i="2" a="1"/>
  <c r="CT18" i="2" s="1"/>
  <c r="CU18" i="2" a="1"/>
  <c r="CU18" i="2" s="1"/>
  <c r="CV18" i="2" a="1"/>
  <c r="CV18" i="2"/>
  <c r="CW18" i="2" a="1"/>
  <c r="CW18" i="2" s="1"/>
  <c r="CX18" i="2" a="1"/>
  <c r="CX18" i="2" s="1"/>
  <c r="CO19" i="2" a="1"/>
  <c r="CO19" i="2" s="1"/>
  <c r="CP19" i="2" a="1"/>
  <c r="CP19" i="2" s="1"/>
  <c r="CR19" i="2" a="1"/>
  <c r="CR19" i="2"/>
  <c r="CS19" i="2" a="1"/>
  <c r="CS19" i="2" s="1"/>
  <c r="CT19" i="2" a="1"/>
  <c r="CT19" i="2" s="1"/>
  <c r="CU19" i="2" a="1"/>
  <c r="CU19" i="2" s="1"/>
  <c r="CV19" i="2" a="1"/>
  <c r="CV19" i="2"/>
  <c r="CW19" i="2" a="1"/>
  <c r="CW19" i="2" s="1"/>
  <c r="CX19" i="2" a="1"/>
  <c r="CX19" i="2" s="1"/>
  <c r="CO20" i="2" a="1"/>
  <c r="CO20" i="2" s="1"/>
  <c r="CP20" i="2" a="1"/>
  <c r="CP20" i="2" s="1"/>
  <c r="CR20" i="2" a="1"/>
  <c r="CR20" i="2"/>
  <c r="CS20" i="2" a="1"/>
  <c r="CS20" i="2" s="1"/>
  <c r="CT20" i="2" a="1"/>
  <c r="CT20" i="2" s="1"/>
  <c r="CU20" i="2" a="1"/>
  <c r="CU20" i="2" s="1"/>
  <c r="CV20" i="2" a="1"/>
  <c r="CV20" i="2" s="1"/>
  <c r="CW20" i="2" a="1"/>
  <c r="CW20" i="2" s="1"/>
  <c r="CX20" i="2" a="1"/>
  <c r="CX20" i="2" s="1"/>
  <c r="CO21" i="2" a="1"/>
  <c r="CO21" i="2" s="1"/>
  <c r="CP21" i="2" a="1"/>
  <c r="CP21" i="2" s="1"/>
  <c r="CR21" i="2" a="1"/>
  <c r="CR21" i="2" s="1"/>
  <c r="CS21" i="2" a="1"/>
  <c r="CS21" i="2" s="1"/>
  <c r="CT21" i="2" a="1"/>
  <c r="CT21" i="2" s="1"/>
  <c r="CU21" i="2" a="1"/>
  <c r="CU21" i="2" s="1"/>
  <c r="CV21" i="2" a="1"/>
  <c r="CV21" i="2" s="1"/>
  <c r="CW21" i="2" a="1"/>
  <c r="CW21" i="2" s="1"/>
  <c r="CX21" i="2" a="1"/>
  <c r="CX21" i="2" s="1"/>
  <c r="CO22" i="2" a="1"/>
  <c r="CO22" i="2" s="1"/>
  <c r="CP22" i="2" a="1"/>
  <c r="CP22" i="2" s="1"/>
  <c r="CR22" i="2" a="1"/>
  <c r="CR22" i="2" s="1"/>
  <c r="CS22" i="2" a="1"/>
  <c r="CS22" i="2" s="1"/>
  <c r="CT22" i="2" a="1"/>
  <c r="CT22" i="2" s="1"/>
  <c r="CU22" i="2" a="1"/>
  <c r="CU22" i="2" s="1"/>
  <c r="CV22" i="2" a="1"/>
  <c r="CV22" i="2" s="1"/>
  <c r="CW22" i="2" a="1"/>
  <c r="CW22" i="2" s="1"/>
  <c r="CX22" i="2" a="1"/>
  <c r="CX22" i="2" s="1"/>
  <c r="CO23" i="2" a="1"/>
  <c r="CO23" i="2"/>
  <c r="CP23" i="2" a="1"/>
  <c r="CP23" i="2"/>
  <c r="CR23" i="2" a="1"/>
  <c r="CR23" i="2" s="1"/>
  <c r="CS23" i="2" a="1"/>
  <c r="CS23" i="2" s="1"/>
  <c r="CT23" i="2" a="1"/>
  <c r="CT23" i="2" s="1"/>
  <c r="CU23" i="2" a="1"/>
  <c r="CU23" i="2" s="1"/>
  <c r="CV23" i="2" a="1"/>
  <c r="CV23" i="2" s="1"/>
  <c r="CW23" i="2" a="1"/>
  <c r="CW23" i="2" s="1"/>
  <c r="CX23" i="2" a="1"/>
  <c r="CX23" i="2" s="1"/>
  <c r="CO24" i="2" a="1"/>
  <c r="CO24" i="2" s="1"/>
  <c r="CP24" i="2" a="1"/>
  <c r="CP24" i="2" s="1"/>
  <c r="CR24" i="2" a="1"/>
  <c r="CR24" i="2" s="1"/>
  <c r="CS24" i="2" a="1"/>
  <c r="CS24" i="2" s="1"/>
  <c r="CT24" i="2" a="1"/>
  <c r="CT24" i="2" s="1"/>
  <c r="CU24" i="2" a="1"/>
  <c r="CU24" i="2" s="1"/>
  <c r="CV24" i="2" a="1"/>
  <c r="CV24" i="2" s="1"/>
  <c r="CW24" i="2" a="1"/>
  <c r="CW24" i="2" s="1"/>
  <c r="CX24" i="2" a="1"/>
  <c r="CX24" i="2" s="1"/>
  <c r="CO25" i="2" a="1"/>
  <c r="CO25" i="2"/>
  <c r="CP25" i="2" a="1"/>
  <c r="CP25" i="2"/>
  <c r="CR25" i="2" a="1"/>
  <c r="CR25" i="2" s="1"/>
  <c r="CS25" i="2" a="1"/>
  <c r="CS25" i="2" s="1"/>
  <c r="CT25" i="2" a="1"/>
  <c r="CT25" i="2"/>
  <c r="CU25" i="2" a="1"/>
  <c r="CU25" i="2" s="1"/>
  <c r="CV25" i="2" a="1"/>
  <c r="CV25" i="2" s="1"/>
  <c r="CW25" i="2" a="1"/>
  <c r="CW25" i="2" s="1"/>
  <c r="CX25" i="2" a="1"/>
  <c r="CX25" i="2" s="1"/>
  <c r="CO26" i="2" a="1"/>
  <c r="CO26" i="2" s="1"/>
  <c r="CP26" i="2" a="1"/>
  <c r="CP26" i="2" s="1"/>
  <c r="CR26" i="2" a="1"/>
  <c r="CR26" i="2" s="1"/>
  <c r="CS26" i="2" a="1"/>
  <c r="CS26" i="2" s="1"/>
  <c r="CT26" i="2" a="1"/>
  <c r="CT26" i="2" s="1"/>
  <c r="CU26" i="2" a="1"/>
  <c r="CU26" i="2" s="1"/>
  <c r="CV26" i="2" a="1"/>
  <c r="CV26" i="2" s="1"/>
  <c r="CW26" i="2" a="1"/>
  <c r="CW26" i="2" s="1"/>
  <c r="CX26" i="2" a="1"/>
  <c r="CX26" i="2" s="1"/>
  <c r="CO27" i="2" a="1"/>
  <c r="CO27" i="2" s="1"/>
  <c r="CP27" i="2" a="1"/>
  <c r="CP27" i="2" s="1"/>
  <c r="CR27" i="2" a="1"/>
  <c r="CR27" i="2"/>
  <c r="CS27" i="2" a="1"/>
  <c r="CS27" i="2" s="1"/>
  <c r="CT27" i="2" a="1"/>
  <c r="CT27" i="2" s="1"/>
  <c r="CU27" i="2" a="1"/>
  <c r="CU27" i="2" s="1"/>
  <c r="CV27" i="2" a="1"/>
  <c r="CV27" i="2" s="1"/>
  <c r="CW27" i="2" a="1"/>
  <c r="CW27" i="2" s="1"/>
  <c r="CX27" i="2" a="1"/>
  <c r="CX27" i="2" s="1"/>
  <c r="CO28" i="2" a="1"/>
  <c r="CO28" i="2" s="1"/>
  <c r="CP28" i="2" a="1"/>
  <c r="CP28" i="2" s="1"/>
  <c r="CR28" i="2" a="1"/>
  <c r="CR28" i="2" s="1"/>
  <c r="CS28" i="2" a="1"/>
  <c r="CS28" i="2" s="1"/>
  <c r="CT28" i="2" a="1"/>
  <c r="CT28" i="2"/>
  <c r="CU28" i="2" a="1"/>
  <c r="CU28" i="2" s="1"/>
  <c r="CV28" i="2" a="1"/>
  <c r="CV28" i="2" s="1"/>
  <c r="CW28" i="2" a="1"/>
  <c r="CW28" i="2" s="1"/>
  <c r="CX28" i="2" a="1"/>
  <c r="CX28" i="2" s="1"/>
  <c r="CO29" i="2" a="1"/>
  <c r="CO29" i="2"/>
  <c r="CP29" i="2" a="1"/>
  <c r="CP29" i="2"/>
  <c r="CR29" i="2" a="1"/>
  <c r="CR29" i="2" s="1"/>
  <c r="CS29" i="2" a="1"/>
  <c r="CS29" i="2" s="1"/>
  <c r="CT29" i="2" a="1"/>
  <c r="CT29" i="2"/>
  <c r="CU29" i="2" a="1"/>
  <c r="CU29" i="2" s="1"/>
  <c r="CV29" i="2" a="1"/>
  <c r="CV29" i="2" s="1"/>
  <c r="CW29" i="2" a="1"/>
  <c r="CW29" i="2" s="1"/>
  <c r="CX29" i="2" a="1"/>
  <c r="CX29" i="2" s="1"/>
  <c r="CO30" i="2" a="1"/>
  <c r="CO30" i="2" s="1"/>
  <c r="CP30" i="2" a="1"/>
  <c r="CP30" i="2" s="1"/>
  <c r="CR30" i="2" a="1"/>
  <c r="CR30" i="2" s="1"/>
  <c r="CS30" i="2" a="1"/>
  <c r="CS30" i="2" s="1"/>
  <c r="CT30" i="2" a="1"/>
  <c r="CT30" i="2" s="1"/>
  <c r="CU30" i="2" a="1"/>
  <c r="CU30" i="2" s="1"/>
  <c r="CV30" i="2" a="1"/>
  <c r="CV30" i="2" s="1"/>
  <c r="CW30" i="2" a="1"/>
  <c r="CW30" i="2" s="1"/>
  <c r="CX30" i="2" a="1"/>
  <c r="CX30" i="2" s="1"/>
  <c r="CO31" i="2" a="1"/>
  <c r="CO31" i="2" s="1"/>
  <c r="CP31" i="2" a="1"/>
  <c r="CP31" i="2" s="1"/>
  <c r="CR31" i="2" a="1"/>
  <c r="CR31" i="2" s="1"/>
  <c r="CS31" i="2" a="1"/>
  <c r="CS31" i="2" s="1"/>
  <c r="CT31" i="2" a="1"/>
  <c r="CT31" i="2"/>
  <c r="CU31" i="2" a="1"/>
  <c r="CU31" i="2" s="1"/>
  <c r="CV31" i="2" a="1"/>
  <c r="CV31" i="2" s="1"/>
  <c r="CW31" i="2" a="1"/>
  <c r="CW31" i="2" s="1"/>
  <c r="CX31" i="2" a="1"/>
  <c r="CX31" i="2" s="1"/>
  <c r="CO32" i="2" a="1"/>
  <c r="CO32" i="2" s="1"/>
  <c r="CP32" i="2" a="1"/>
  <c r="CP32" i="2" s="1"/>
  <c r="CR32" i="2" a="1"/>
  <c r="CR32" i="2" s="1"/>
  <c r="CS32" i="2" a="1"/>
  <c r="CS32" i="2" s="1"/>
  <c r="CT32" i="2" a="1"/>
  <c r="CT32" i="2" s="1"/>
  <c r="CU32" i="2" a="1"/>
  <c r="CU32" i="2" s="1"/>
  <c r="CV32" i="2" a="1"/>
  <c r="CV32" i="2" s="1"/>
  <c r="CW32" i="2" a="1"/>
  <c r="CW32" i="2" s="1"/>
  <c r="CX32" i="2" a="1"/>
  <c r="CX32" i="2" s="1"/>
  <c r="CO33" i="2" a="1"/>
  <c r="CO33" i="2" s="1"/>
  <c r="CP33" i="2" a="1"/>
  <c r="CP33" i="2" s="1"/>
  <c r="CR33" i="2" a="1"/>
  <c r="CR33" i="2"/>
  <c r="CS33" i="2" a="1"/>
  <c r="CS33" i="2" s="1"/>
  <c r="CT33" i="2" a="1"/>
  <c r="CT33" i="2" s="1"/>
  <c r="CU33" i="2" a="1"/>
  <c r="CU33" i="2" s="1"/>
  <c r="CV33" i="2" a="1"/>
  <c r="CV33" i="2" s="1"/>
  <c r="CW33" i="2" a="1"/>
  <c r="CW33" i="2" s="1"/>
  <c r="CX33" i="2" a="1"/>
  <c r="CX33" i="2"/>
  <c r="CO34" i="2" a="1"/>
  <c r="CO34" i="2" s="1"/>
  <c r="CP34" i="2" a="1"/>
  <c r="CP34" i="2" s="1"/>
  <c r="CR34" i="2" a="1"/>
  <c r="CR34" i="2" s="1"/>
  <c r="CS34" i="2" a="1"/>
  <c r="CS34" i="2" s="1"/>
  <c r="CT34" i="2" a="1"/>
  <c r="CT34" i="2" s="1"/>
  <c r="CU34" i="2" a="1"/>
  <c r="CU34" i="2" s="1"/>
  <c r="CV34" i="2" a="1"/>
  <c r="CV34" i="2" s="1"/>
  <c r="CW34" i="2" a="1"/>
  <c r="CW34" i="2" s="1"/>
  <c r="CX34" i="2" a="1"/>
  <c r="CX34" i="2" s="1"/>
  <c r="CO35" i="2" a="1"/>
  <c r="CO35" i="2" s="1"/>
  <c r="CP35" i="2" a="1"/>
  <c r="CP35" i="2" s="1"/>
  <c r="CR35" i="2" a="1"/>
  <c r="CR35" i="2" s="1"/>
  <c r="CS35" i="2" a="1"/>
  <c r="CS35" i="2" s="1"/>
  <c r="CT35" i="2" a="1"/>
  <c r="CT35" i="2" s="1"/>
  <c r="CU35" i="2" a="1"/>
  <c r="CU35" i="2" s="1"/>
  <c r="CV35" i="2" a="1"/>
  <c r="CV35" i="2" s="1"/>
  <c r="CW35" i="2" a="1"/>
  <c r="CW35" i="2" s="1"/>
  <c r="CX35" i="2" a="1"/>
  <c r="CX35" i="2" s="1"/>
  <c r="CO36" i="2" a="1"/>
  <c r="CO36" i="2" s="1"/>
  <c r="CP36" i="2" a="1"/>
  <c r="CP36" i="2" s="1"/>
  <c r="CR36" i="2" a="1"/>
  <c r="CR36" i="2" s="1"/>
  <c r="CS36" i="2" a="1"/>
  <c r="CS36" i="2" s="1"/>
  <c r="CT36" i="2" a="1"/>
  <c r="CT36" i="2" s="1"/>
  <c r="CU36" i="2" a="1"/>
  <c r="CU36" i="2" s="1"/>
  <c r="CV36" i="2" a="1"/>
  <c r="CV36" i="2" s="1"/>
  <c r="CW36" i="2" a="1"/>
  <c r="CW36" i="2" s="1"/>
  <c r="CX36" i="2" a="1"/>
  <c r="CX36" i="2" s="1"/>
  <c r="CO39" i="2" a="1"/>
  <c r="CO39" i="2" s="1"/>
  <c r="CP39" i="2" a="1"/>
  <c r="CP39" i="2" s="1"/>
  <c r="CR39" i="2" a="1"/>
  <c r="CR39" i="2" s="1"/>
  <c r="CS39" i="2" a="1"/>
  <c r="CS39" i="2" s="1"/>
  <c r="CT39" i="2" a="1"/>
  <c r="CT39" i="2" s="1"/>
  <c r="CU39" i="2" a="1"/>
  <c r="CU39" i="2" s="1"/>
  <c r="CV39" i="2" a="1"/>
  <c r="CV39" i="2" s="1"/>
  <c r="CW39" i="2" a="1"/>
  <c r="CW39" i="2" s="1"/>
  <c r="CX39" i="2" a="1"/>
  <c r="CX39" i="2" s="1"/>
  <c r="CO40" i="2" a="1"/>
  <c r="CO40" i="2" s="1"/>
  <c r="CP40" i="2" a="1"/>
  <c r="CP40" i="2" s="1"/>
  <c r="CR40" i="2" a="1"/>
  <c r="CR40" i="2" s="1"/>
  <c r="CS40" i="2" a="1"/>
  <c r="CS40" i="2" s="1"/>
  <c r="CT40" i="2" a="1"/>
  <c r="CT40" i="2" s="1"/>
  <c r="CU40" i="2" a="1"/>
  <c r="CU40" i="2" s="1"/>
  <c r="CV40" i="2" a="1"/>
  <c r="CV40" i="2" s="1"/>
  <c r="CW40" i="2" a="1"/>
  <c r="CW40" i="2" s="1"/>
  <c r="CX40" i="2" a="1"/>
  <c r="CX40" i="2" s="1"/>
  <c r="CO41" i="2" a="1"/>
  <c r="CO41" i="2" s="1"/>
  <c r="CP41" i="2" a="1"/>
  <c r="CP41" i="2" s="1"/>
  <c r="CR41" i="2" a="1"/>
  <c r="CR41" i="2" s="1"/>
  <c r="CS41" i="2" a="1"/>
  <c r="CS41" i="2" s="1"/>
  <c r="CT41" i="2" a="1"/>
  <c r="CT41" i="2" s="1"/>
  <c r="CU41" i="2" a="1"/>
  <c r="CU41" i="2" s="1"/>
  <c r="CV41" i="2" a="1"/>
  <c r="CV41" i="2" s="1"/>
  <c r="CW41" i="2" a="1"/>
  <c r="CW41" i="2" s="1"/>
  <c r="CX41" i="2" a="1"/>
  <c r="CX41" i="2" s="1"/>
  <c r="CO42" i="2" a="1"/>
  <c r="CO42" i="2" s="1"/>
  <c r="CP42" i="2" a="1"/>
  <c r="CP42" i="2" s="1"/>
  <c r="CR42" i="2" a="1"/>
  <c r="CR42" i="2" s="1"/>
  <c r="CS42" i="2" a="1"/>
  <c r="CS42" i="2" s="1"/>
  <c r="CT42" i="2" a="1"/>
  <c r="CT42" i="2" s="1"/>
  <c r="CU42" i="2" a="1"/>
  <c r="CU42" i="2" s="1"/>
  <c r="CV42" i="2" a="1"/>
  <c r="CV42" i="2" s="1"/>
  <c r="CW42" i="2" a="1"/>
  <c r="CW42" i="2" s="1"/>
  <c r="CX42" i="2" a="1"/>
  <c r="CX42" i="2" s="1"/>
  <c r="CO43" i="2" a="1"/>
  <c r="CO43" i="2"/>
  <c r="CP43" i="2" a="1"/>
  <c r="CP43" i="2"/>
  <c r="CR43" i="2" a="1"/>
  <c r="CR43" i="2" s="1"/>
  <c r="CS43" i="2" a="1"/>
  <c r="CS43" i="2" s="1"/>
  <c r="CT43" i="2" a="1"/>
  <c r="CT43" i="2" s="1"/>
  <c r="CU43" i="2" a="1"/>
  <c r="CU43" i="2" s="1"/>
  <c r="CV43" i="2" a="1"/>
  <c r="CV43" i="2" s="1"/>
  <c r="CW43" i="2" a="1"/>
  <c r="CW43" i="2" s="1"/>
  <c r="CX43" i="2" a="1"/>
  <c r="CX43" i="2" s="1"/>
  <c r="CO44" i="2" a="1"/>
  <c r="CO44" i="2" s="1"/>
  <c r="CP44" i="2" a="1"/>
  <c r="CP44" i="2" s="1"/>
  <c r="CR44" i="2" a="1"/>
  <c r="CR44" i="2" s="1"/>
  <c r="CS44" i="2" a="1"/>
  <c r="CS44" i="2" s="1"/>
  <c r="CT44" i="2" a="1"/>
  <c r="CT44" i="2" s="1"/>
  <c r="CU44" i="2" a="1"/>
  <c r="CU44" i="2" s="1"/>
  <c r="CV44" i="2" a="1"/>
  <c r="CV44" i="2" s="1"/>
  <c r="CW44" i="2" a="1"/>
  <c r="CW44" i="2" s="1"/>
  <c r="CX44" i="2" a="1"/>
  <c r="CX44" i="2" s="1"/>
  <c r="CO45" i="2" a="1"/>
  <c r="CO45" i="2"/>
  <c r="CP45" i="2" a="1"/>
  <c r="CP45" i="2"/>
  <c r="CR45" i="2" a="1"/>
  <c r="CR45" i="2" s="1"/>
  <c r="CS45" i="2" a="1"/>
  <c r="CS45" i="2" s="1"/>
  <c r="CT45" i="2" a="1"/>
  <c r="CT45" i="2" s="1"/>
  <c r="CU45" i="2" a="1"/>
  <c r="CU45" i="2" s="1"/>
  <c r="CV45" i="2" a="1"/>
  <c r="CV45" i="2" s="1"/>
  <c r="CW45" i="2" a="1"/>
  <c r="CW45" i="2" s="1"/>
  <c r="CX45" i="2" a="1"/>
  <c r="CX45" i="2" s="1"/>
  <c r="CO46" i="2" a="1"/>
  <c r="CO46" i="2" s="1"/>
  <c r="CP46" i="2" a="1"/>
  <c r="CP46" i="2" s="1"/>
  <c r="CR46" i="2" a="1"/>
  <c r="CR46" i="2" s="1"/>
  <c r="CS46" i="2" a="1"/>
  <c r="CS46" i="2" s="1"/>
  <c r="CT46" i="2" a="1"/>
  <c r="CT46" i="2" s="1"/>
  <c r="CU46" i="2" a="1"/>
  <c r="CU46" i="2" s="1"/>
  <c r="CV46" i="2" a="1"/>
  <c r="CV46" i="2" s="1"/>
  <c r="CW46" i="2" a="1"/>
  <c r="CW46" i="2" s="1"/>
  <c r="CX46" i="2" a="1"/>
  <c r="CX46" i="2" s="1"/>
  <c r="CO47" i="2" a="1"/>
  <c r="CO47" i="2"/>
  <c r="CP47" i="2" a="1"/>
  <c r="CP47" i="2"/>
  <c r="CR47" i="2" a="1"/>
  <c r="CR47" i="2" s="1"/>
  <c r="CS47" i="2" a="1"/>
  <c r="CS47" i="2" s="1"/>
  <c r="CT47" i="2" a="1"/>
  <c r="CT47" i="2" s="1"/>
  <c r="CU47" i="2" a="1"/>
  <c r="CU47" i="2" s="1"/>
  <c r="CV47" i="2" a="1"/>
  <c r="CV47" i="2" s="1"/>
  <c r="CW47" i="2" a="1"/>
  <c r="CW47" i="2" s="1"/>
  <c r="CX47" i="2" a="1"/>
  <c r="CX47" i="2" s="1"/>
  <c r="CO48" i="2" a="1"/>
  <c r="CO48" i="2" s="1"/>
  <c r="CP48" i="2" a="1"/>
  <c r="CP48" i="2" s="1"/>
  <c r="CR48" i="2" a="1"/>
  <c r="CR48" i="2" s="1"/>
  <c r="CS48" i="2" a="1"/>
  <c r="CS48" i="2" s="1"/>
  <c r="CT48" i="2" a="1"/>
  <c r="CT48" i="2" s="1"/>
  <c r="CU48" i="2" a="1"/>
  <c r="CU48" i="2" s="1"/>
  <c r="CV48" i="2" a="1"/>
  <c r="CV48" i="2" s="1"/>
  <c r="CW48" i="2" a="1"/>
  <c r="CW48" i="2" s="1"/>
  <c r="CX48" i="2" a="1"/>
  <c r="CX48" i="2" s="1"/>
  <c r="CO49" i="2" a="1"/>
  <c r="CO49" i="2" s="1"/>
  <c r="CP49" i="2" a="1"/>
  <c r="CP49" i="2" s="1"/>
  <c r="CR49" i="2" a="1"/>
  <c r="CR49" i="2" s="1"/>
  <c r="CS49" i="2" a="1"/>
  <c r="CS49" i="2"/>
  <c r="CT49" i="2" a="1"/>
  <c r="CT49" i="2" s="1"/>
  <c r="CU49" i="2" a="1"/>
  <c r="CU49" i="2" s="1"/>
  <c r="CV49" i="2" a="1"/>
  <c r="CV49" i="2" s="1"/>
  <c r="CW49" i="2" a="1"/>
  <c r="CW49" i="2" s="1"/>
  <c r="CX49" i="2" a="1"/>
  <c r="CX49" i="2" s="1"/>
  <c r="CO50" i="2" a="1"/>
  <c r="CO50" i="2" s="1"/>
  <c r="CP50" i="2" a="1"/>
  <c r="CP50" i="2"/>
  <c r="CR50" i="2" a="1"/>
  <c r="CR50" i="2" s="1"/>
  <c r="CS50" i="2" a="1"/>
  <c r="CS50" i="2" s="1"/>
  <c r="CT50" i="2" a="1"/>
  <c r="CT50" i="2" s="1"/>
  <c r="CU50" i="2" a="1"/>
  <c r="CU50" i="2" s="1"/>
  <c r="CV50" i="2" a="1"/>
  <c r="CV50" i="2" s="1"/>
  <c r="CW50" i="2" a="1"/>
  <c r="CW50" i="2" s="1"/>
  <c r="CX50" i="2" a="1"/>
  <c r="CX50" i="2" s="1"/>
  <c r="CO51" i="2" a="1"/>
  <c r="CO51" i="2" s="1"/>
  <c r="CP51" i="2" a="1"/>
  <c r="CP51" i="2" s="1"/>
  <c r="CR51" i="2" a="1"/>
  <c r="CR51" i="2" s="1"/>
  <c r="CS51" i="2" a="1"/>
  <c r="CS51" i="2" s="1"/>
  <c r="CT51" i="2" a="1"/>
  <c r="CT51" i="2" s="1"/>
  <c r="CU51" i="2" a="1"/>
  <c r="CU51" i="2" s="1"/>
  <c r="CV51" i="2" a="1"/>
  <c r="CV51" i="2" s="1"/>
  <c r="CW51" i="2" a="1"/>
  <c r="CW51" i="2" s="1"/>
  <c r="CX51" i="2" a="1"/>
  <c r="CX51" i="2" s="1"/>
  <c r="CO52" i="2" a="1"/>
  <c r="CO52" i="2"/>
  <c r="CP52" i="2" a="1"/>
  <c r="CP52" i="2" s="1"/>
  <c r="CR52" i="2" a="1"/>
  <c r="CR52" i="2" s="1"/>
  <c r="CS52" i="2" a="1"/>
  <c r="CS52" i="2" s="1"/>
  <c r="CT52" i="2" a="1"/>
  <c r="CT52" i="2"/>
  <c r="CU52" i="2" a="1"/>
  <c r="CU52" i="2" s="1"/>
  <c r="CV52" i="2" a="1"/>
  <c r="CV52" i="2" s="1"/>
  <c r="CW52" i="2" a="1"/>
  <c r="CW52" i="2" s="1"/>
  <c r="CX52" i="2" a="1"/>
  <c r="CX52" i="2"/>
  <c r="CO53" i="2" a="1"/>
  <c r="CO53" i="2" s="1"/>
  <c r="CP53" i="2" a="1"/>
  <c r="CP53" i="2" s="1"/>
  <c r="CR53" i="2" a="1"/>
  <c r="CR53" i="2" s="1"/>
  <c r="CS53" i="2" a="1"/>
  <c r="CS53" i="2" s="1"/>
  <c r="CT53" i="2" a="1"/>
  <c r="CT53" i="2" s="1"/>
  <c r="CU53" i="2" a="1"/>
  <c r="CU53" i="2" s="1"/>
  <c r="CV53" i="2" a="1"/>
  <c r="CV53" i="2" s="1"/>
  <c r="CW53" i="2" a="1"/>
  <c r="CW53" i="2" s="1"/>
  <c r="CX53" i="2" a="1"/>
  <c r="CX53" i="2" s="1"/>
  <c r="CO54" i="2" a="1"/>
  <c r="CO54" i="2" s="1"/>
  <c r="CP54" i="2" a="1"/>
  <c r="CP54" i="2" s="1"/>
  <c r="CR54" i="2" a="1"/>
  <c r="CR54" i="2"/>
  <c r="CS54" i="2" a="1"/>
  <c r="CS54" i="2" s="1"/>
  <c r="CT54" i="2" a="1"/>
  <c r="CT54" i="2" s="1"/>
  <c r="CU54" i="2" a="1"/>
  <c r="CU54" i="2" s="1"/>
  <c r="CV54" i="2" a="1"/>
  <c r="CV54" i="2"/>
  <c r="CW54" i="2" a="1"/>
  <c r="CW54" i="2" s="1"/>
  <c r="CX54" i="2" a="1"/>
  <c r="CX54" i="2" s="1"/>
  <c r="CO55" i="2" a="1"/>
  <c r="CO55" i="2" s="1"/>
  <c r="CP55" i="2" a="1"/>
  <c r="CP55" i="2" s="1"/>
  <c r="CR55" i="2" a="1"/>
  <c r="CR55" i="2" s="1"/>
  <c r="CS55" i="2" a="1"/>
  <c r="CS55" i="2" s="1"/>
  <c r="CT55" i="2" a="1"/>
  <c r="CT55" i="2" s="1"/>
  <c r="CU55" i="2" a="1"/>
  <c r="CU55" i="2" s="1"/>
  <c r="CV55" i="2" a="1"/>
  <c r="CV55" i="2"/>
  <c r="CW55" i="2" a="1"/>
  <c r="CW55" i="2" s="1"/>
  <c r="CX55" i="2" a="1"/>
  <c r="CX55" i="2" s="1"/>
  <c r="CO56" i="2" a="1"/>
  <c r="CO56" i="2" s="1"/>
  <c r="CP56" i="2" a="1"/>
  <c r="CP56" i="2" s="1"/>
  <c r="CR56" i="2" a="1"/>
  <c r="CR56" i="2" s="1"/>
  <c r="CS56" i="2" a="1"/>
  <c r="CS56" i="2" s="1"/>
  <c r="CT56" i="2" a="1"/>
  <c r="CT56" i="2" s="1"/>
  <c r="CU56" i="2" a="1"/>
  <c r="CU56" i="2" s="1"/>
  <c r="CV56" i="2" a="1"/>
  <c r="CV56" i="2" s="1"/>
  <c r="CW56" i="2" a="1"/>
  <c r="CW56" i="2" s="1"/>
  <c r="CX56" i="2" a="1"/>
  <c r="CX56" i="2"/>
  <c r="CO57" i="2" a="1"/>
  <c r="CO57" i="2"/>
  <c r="CP57" i="2" a="1"/>
  <c r="CP57" i="2" s="1"/>
  <c r="CR57" i="2" a="1"/>
  <c r="CR57" i="2"/>
  <c r="CS57" i="2" a="1"/>
  <c r="CS57" i="2" s="1"/>
  <c r="CT57" i="2" a="1"/>
  <c r="CT57" i="2"/>
  <c r="CU57" i="2" a="1"/>
  <c r="CU57" i="2" s="1"/>
  <c r="CV57" i="2" a="1"/>
  <c r="CV57" i="2" s="1"/>
  <c r="CW57" i="2" a="1"/>
  <c r="CW57" i="2" s="1"/>
  <c r="CX57" i="2" a="1"/>
  <c r="CX57" i="2"/>
  <c r="CO6" i="2" a="1"/>
  <c r="CO6" i="2"/>
  <c r="CP6" i="2" a="1"/>
  <c r="CP6" i="2" s="1"/>
  <c r="CR6" i="2" a="1"/>
  <c r="CR6" i="2" s="1"/>
  <c r="CS6" i="2" a="1"/>
  <c r="CS6" i="2"/>
  <c r="CT6" i="2" a="1"/>
  <c r="CT6" i="2" s="1"/>
  <c r="CU6" i="2" a="1"/>
  <c r="CU6" i="2"/>
  <c r="CV6" i="2" a="1"/>
  <c r="CV6" i="2" s="1"/>
  <c r="CW6" i="2" a="1"/>
  <c r="CW6" i="2"/>
  <c r="CX6" i="2" a="1"/>
  <c r="CX6" i="2" s="1"/>
  <c r="CO7" i="2" a="1"/>
  <c r="CO7" i="2" s="1"/>
  <c r="CP7" i="2" a="1"/>
  <c r="CP7" i="2" s="1"/>
  <c r="CR7" i="2" a="1"/>
  <c r="CR7" i="2" s="1"/>
  <c r="CS7" i="2" a="1"/>
  <c r="CS7" i="2" s="1"/>
  <c r="CT7" i="2" a="1"/>
  <c r="CT7" i="2" s="1"/>
  <c r="CU7" i="2" a="1"/>
  <c r="CU7" i="2" s="1"/>
  <c r="CV7" i="2" a="1"/>
  <c r="CV7" i="2" s="1"/>
  <c r="CW7" i="2" a="1"/>
  <c r="CW7" i="2" s="1"/>
  <c r="CX7" i="2" a="1"/>
  <c r="CX7" i="2" s="1"/>
  <c r="CO8" i="2" a="1"/>
  <c r="CO8" i="2"/>
  <c r="CP8" i="2" a="1"/>
  <c r="CP8" i="2" s="1"/>
  <c r="CR8" i="2" a="1"/>
  <c r="CR8" i="2"/>
  <c r="CS8" i="2" a="1"/>
  <c r="CS8" i="2" s="1"/>
  <c r="CT8" i="2" a="1"/>
  <c r="CT8" i="2"/>
  <c r="CU8" i="2" a="1"/>
  <c r="CU8" i="2" s="1"/>
  <c r="CV8" i="2" a="1"/>
  <c r="CV8" i="2"/>
  <c r="CW8" i="2" a="1"/>
  <c r="CW8" i="2" s="1"/>
  <c r="CX8" i="2" a="1"/>
  <c r="CX8" i="2"/>
  <c r="CE52" i="2"/>
  <c r="CE9" i="2"/>
  <c r="N40" i="16"/>
  <c r="N39" i="16"/>
  <c r="N38" i="16"/>
  <c r="N37" i="16"/>
  <c r="N36" i="16"/>
  <c r="N35" i="16"/>
  <c r="N34" i="16"/>
  <c r="N33" i="16"/>
  <c r="N32" i="16"/>
  <c r="N31" i="16"/>
  <c r="N30" i="16"/>
  <c r="N29" i="16"/>
  <c r="N28" i="16"/>
  <c r="N27" i="16"/>
  <c r="N26" i="16"/>
  <c r="N25" i="16"/>
  <c r="N24" i="16"/>
  <c r="N23" i="16"/>
  <c r="N22" i="16"/>
  <c r="N21" i="16"/>
  <c r="N20" i="16"/>
  <c r="N19" i="16"/>
  <c r="N18" i="16"/>
  <c r="N17" i="16"/>
  <c r="N16" i="16"/>
  <c r="N15" i="16"/>
  <c r="N14" i="16"/>
  <c r="N13" i="16"/>
  <c r="N12" i="16"/>
  <c r="N11" i="16"/>
  <c r="N10" i="16"/>
  <c r="N9" i="16"/>
  <c r="N8" i="16"/>
  <c r="N7" i="16"/>
  <c r="N6" i="16"/>
  <c r="N5" i="16"/>
  <c r="N4" i="16"/>
  <c r="N3" i="16"/>
  <c r="N2" i="16"/>
  <c r="CE48" i="2"/>
  <c r="O2" i="16" a="1"/>
  <c r="CE29" i="2"/>
  <c r="CZ51" i="2"/>
  <c r="CZ35" i="2"/>
  <c r="CZ19" i="2"/>
  <c r="CZ54" i="2"/>
  <c r="CZ38" i="2"/>
  <c r="CZ22" i="2"/>
  <c r="CZ6" i="2"/>
  <c r="CZ45" i="2"/>
  <c r="CZ29" i="2"/>
  <c r="CZ13" i="2"/>
  <c r="CZ52" i="2"/>
  <c r="CZ36" i="2"/>
  <c r="CZ20" i="2"/>
  <c r="V68" i="2"/>
  <c r="F68" i="2"/>
  <c r="I68" i="2"/>
  <c r="P68" i="2"/>
  <c r="S68" i="2"/>
  <c r="D68" i="2"/>
  <c r="CZ47" i="2"/>
  <c r="CZ31" i="2"/>
  <c r="CZ15" i="2"/>
  <c r="CZ50" i="2"/>
  <c r="CZ34" i="2"/>
  <c r="CZ18" i="2"/>
  <c r="CZ57" i="2"/>
  <c r="CZ41" i="2"/>
  <c r="CZ25" i="2"/>
  <c r="CZ9" i="2"/>
  <c r="CZ48" i="2"/>
  <c r="CZ32" i="2"/>
  <c r="CZ16" i="2"/>
  <c r="R68" i="2"/>
  <c r="U68" i="2"/>
  <c r="E68" i="2"/>
  <c r="O68" i="2"/>
  <c r="CZ43" i="2"/>
  <c r="CZ27" i="2"/>
  <c r="CZ11" i="2"/>
  <c r="CZ46" i="2"/>
  <c r="CZ30" i="2"/>
  <c r="CZ14" i="2"/>
  <c r="CZ53" i="2"/>
  <c r="CZ37" i="2"/>
  <c r="CZ21" i="2"/>
  <c r="CZ5" i="2"/>
  <c r="CZ28" i="2"/>
  <c r="CZ12" i="2"/>
  <c r="N68" i="2"/>
  <c r="Q68" i="2"/>
  <c r="X68" i="2"/>
  <c r="H68" i="2"/>
  <c r="K68" i="2"/>
  <c r="CZ55" i="2"/>
  <c r="CZ39" i="2"/>
  <c r="CZ23" i="2"/>
  <c r="CZ7" i="2"/>
  <c r="CZ42" i="2"/>
  <c r="CZ26" i="2"/>
  <c r="CZ10" i="2"/>
  <c r="CZ49" i="2"/>
  <c r="CZ33" i="2"/>
  <c r="CZ17" i="2"/>
  <c r="CZ56" i="2"/>
  <c r="CZ40" i="2"/>
  <c r="CZ24" i="2"/>
  <c r="CZ8" i="2"/>
  <c r="J68" i="2"/>
  <c r="T68" i="2"/>
  <c r="W68" i="2"/>
  <c r="G68" i="2"/>
  <c r="L68" i="2"/>
  <c r="CZ44" i="2"/>
  <c r="M68" i="2"/>
  <c r="O2" i="16" l="1"/>
  <c r="O37" i="16"/>
  <c r="O33" i="16"/>
  <c r="O29" i="16"/>
  <c r="O25" i="16"/>
  <c r="O21" i="16"/>
  <c r="O17" i="16"/>
  <c r="O13" i="16"/>
  <c r="O9" i="16"/>
  <c r="O5" i="16"/>
  <c r="O40" i="16"/>
  <c r="O36" i="16"/>
  <c r="O32" i="16"/>
  <c r="O28" i="16"/>
  <c r="O24" i="16"/>
  <c r="O20" i="16"/>
  <c r="O16" i="16"/>
  <c r="O12" i="16"/>
  <c r="O8" i="16"/>
  <c r="O4" i="16"/>
  <c r="O39" i="16"/>
  <c r="O35" i="16"/>
  <c r="O31" i="16"/>
  <c r="O27" i="16"/>
  <c r="O23" i="16"/>
  <c r="O19" i="16"/>
  <c r="O15" i="16"/>
  <c r="O11" i="16"/>
  <c r="O7" i="16"/>
  <c r="O3" i="16"/>
  <c r="O38" i="16"/>
  <c r="O34" i="16"/>
  <c r="O30" i="16"/>
  <c r="O26" i="16"/>
  <c r="O22" i="16"/>
  <c r="O18" i="16"/>
  <c r="O14" i="16"/>
  <c r="O10" i="16"/>
  <c r="O6" i="16"/>
  <c r="CE6" i="2"/>
  <c r="CE7" i="3"/>
  <c r="CI9" i="3"/>
  <c r="CG12" i="3"/>
  <c r="CE15" i="3"/>
  <c r="CI17" i="3"/>
  <c r="CG20" i="3"/>
  <c r="CE23" i="3"/>
  <c r="CI25" i="3"/>
  <c r="CG28" i="3"/>
  <c r="CE31" i="3"/>
  <c r="CI33" i="3"/>
  <c r="CN7" i="3"/>
  <c r="CR9" i="3"/>
  <c r="CH12" i="3"/>
  <c r="CH15" i="3"/>
  <c r="CG17" i="3"/>
  <c r="CF19" i="3"/>
  <c r="CF22" i="3"/>
  <c r="CJ24" i="3"/>
  <c r="CN26" i="3"/>
  <c r="CJ29" i="3"/>
  <c r="CE32" i="3"/>
  <c r="CI34" i="3"/>
  <c r="CG37" i="3"/>
  <c r="CE40" i="3"/>
  <c r="CI42" i="3"/>
  <c r="CF9" i="3"/>
  <c r="CN11" i="3"/>
  <c r="CN13" i="3"/>
  <c r="CH16" i="3"/>
  <c r="CH19" i="3"/>
  <c r="CJ23" i="3"/>
  <c r="CJ27" i="3"/>
  <c r="CJ30" i="3"/>
  <c r="CE34" i="3"/>
  <c r="CF37" i="3"/>
  <c r="CJ39" i="3"/>
  <c r="CN41" i="3"/>
  <c r="CI44" i="3"/>
  <c r="CH6" i="3"/>
  <c r="CN8" i="3"/>
  <c r="CI12" i="3"/>
  <c r="CI16" i="3"/>
  <c r="CR19" i="3"/>
  <c r="CR22" i="3"/>
  <c r="CR26" i="3"/>
  <c r="CF31" i="3"/>
  <c r="CF34" i="3"/>
  <c r="CF36" i="3"/>
  <c r="CF39" i="3"/>
  <c r="CJ41" i="3"/>
  <c r="CF44" i="3"/>
  <c r="CH45" i="3"/>
  <c r="CR46" i="3"/>
  <c r="CJ9" i="3"/>
  <c r="CJ12" i="3"/>
  <c r="CR15" i="3"/>
  <c r="CE20" i="3"/>
  <c r="CF24" i="3"/>
  <c r="CG27" i="3"/>
  <c r="CG29" i="3"/>
  <c r="CG31" i="3"/>
  <c r="CH34" i="3"/>
  <c r="CG36" i="3"/>
  <c r="CF38" i="3"/>
  <c r="CF41" i="3"/>
  <c r="CI43" i="3"/>
  <c r="CG46" i="3"/>
  <c r="CR8" i="3"/>
  <c r="CF13" i="3"/>
  <c r="CF17" i="3"/>
  <c r="CN19" i="3"/>
  <c r="CH24" i="3"/>
  <c r="CI32" i="3"/>
  <c r="CR41" i="3"/>
  <c r="CN24" i="3"/>
  <c r="CN43" i="3"/>
  <c r="CH25" i="3"/>
  <c r="CJ33" i="3"/>
  <c r="CN39" i="3"/>
  <c r="CH46" i="3"/>
  <c r="CF43" i="3"/>
  <c r="CG8" i="3"/>
  <c r="CE11" i="3"/>
  <c r="CI13" i="3"/>
  <c r="CG16" i="3"/>
  <c r="CE19" i="3"/>
  <c r="CI21" i="3"/>
  <c r="CG24" i="3"/>
  <c r="CE27" i="3"/>
  <c r="CI29" i="3"/>
  <c r="CG32" i="3"/>
  <c r="CF6" i="3"/>
  <c r="CJ8" i="3"/>
  <c r="CN10" i="3"/>
  <c r="CJ13" i="3"/>
  <c r="CE16" i="3"/>
  <c r="CI18" i="3"/>
  <c r="CR20" i="3"/>
  <c r="CN23" i="3"/>
  <c r="CR25" i="3"/>
  <c r="CH28" i="3"/>
  <c r="CH31" i="3"/>
  <c r="CG33" i="3"/>
  <c r="CE36" i="3"/>
  <c r="CI38" i="3"/>
  <c r="CG41" i="3"/>
  <c r="CF7" i="3"/>
  <c r="CF10" i="3"/>
  <c r="CN12" i="3"/>
  <c r="CN14" i="3"/>
  <c r="CH17" i="3"/>
  <c r="CH21" i="3"/>
  <c r="CJ25" i="3"/>
  <c r="CJ28" i="3"/>
  <c r="CR31" i="3"/>
  <c r="CR35" i="3"/>
  <c r="CN38" i="3"/>
  <c r="CR40" i="3"/>
  <c r="CG43" i="3"/>
  <c r="CE46" i="3"/>
  <c r="CG7" i="3"/>
  <c r="CH10" i="3"/>
  <c r="CI14" i="3"/>
  <c r="CJ18" i="3"/>
  <c r="CR21" i="3"/>
  <c r="CR24" i="3"/>
  <c r="CF29" i="3"/>
  <c r="CF33" i="3"/>
  <c r="CI35" i="3"/>
  <c r="CR37" i="3"/>
  <c r="CN40" i="3"/>
  <c r="CR42" i="3"/>
  <c r="CN44" i="3"/>
  <c r="CJ46" i="3"/>
  <c r="CJ7" i="3"/>
  <c r="CJ11" i="3"/>
  <c r="CJ14" i="3"/>
  <c r="CE18" i="3"/>
  <c r="CE22" i="3"/>
  <c r="CN25" i="3"/>
  <c r="CF28" i="3"/>
  <c r="CH30" i="3"/>
  <c r="CN32" i="3"/>
  <c r="CE35" i="3"/>
  <c r="CI37" i="3"/>
  <c r="CR39" i="3"/>
  <c r="CN42" i="3"/>
  <c r="CE45" i="3"/>
  <c r="CR6" i="3"/>
  <c r="CR10" i="3"/>
  <c r="CF15" i="3"/>
  <c r="CF18" i="3"/>
  <c r="CN20" i="3"/>
  <c r="CI28" i="3"/>
  <c r="CJ37" i="3"/>
  <c r="CN45" i="3"/>
  <c r="CI39" i="3"/>
  <c r="CG21" i="3"/>
  <c r="CH29" i="3"/>
  <c r="CN36" i="3"/>
  <c r="CR43" i="3"/>
  <c r="CE37" i="3"/>
  <c r="CJ45" i="3"/>
  <c r="CG6" i="3"/>
  <c r="CE9" i="3"/>
  <c r="CI11" i="3"/>
  <c r="CG14" i="3"/>
  <c r="CE17" i="3"/>
  <c r="CI19" i="3"/>
  <c r="CG22" i="3"/>
  <c r="CE25" i="3"/>
  <c r="CI27" i="3"/>
  <c r="CG30" i="3"/>
  <c r="CE33" i="3"/>
  <c r="CH7" i="3"/>
  <c r="CG9" i="3"/>
  <c r="CF11" i="3"/>
  <c r="CF14" i="3"/>
  <c r="CJ16" i="3"/>
  <c r="CN18" i="3"/>
  <c r="CJ21" i="3"/>
  <c r="CE24" i="3"/>
  <c r="CI26" i="3"/>
  <c r="CR28" i="3"/>
  <c r="CN31" i="3"/>
  <c r="CR33" i="3"/>
  <c r="CI36" i="3"/>
  <c r="CG39" i="3"/>
  <c r="CE42" i="3"/>
  <c r="CF8" i="3"/>
  <c r="CG11" i="3"/>
  <c r="CG13" i="3"/>
  <c r="CG15" i="3"/>
  <c r="CH18" i="3"/>
  <c r="CI22" i="3"/>
  <c r="CJ26" i="3"/>
  <c r="CR29" i="3"/>
  <c r="CR32" i="3"/>
  <c r="CJ36" i="3"/>
  <c r="CE39" i="3"/>
  <c r="CI41" i="3"/>
  <c r="CE44" i="3"/>
  <c r="CI46" i="3"/>
  <c r="CH8" i="3"/>
  <c r="CH11" i="3"/>
  <c r="CJ15" i="3"/>
  <c r="CJ19" i="3"/>
  <c r="CJ22" i="3"/>
  <c r="CE26" i="3"/>
  <c r="CE30" i="3"/>
  <c r="CN33" i="3"/>
  <c r="CN35" i="3"/>
  <c r="CJ38" i="3"/>
  <c r="CE41" i="3"/>
  <c r="CH43" i="3"/>
  <c r="CR44" i="3"/>
  <c r="CN46" i="3"/>
  <c r="CI8" i="3"/>
  <c r="CR11" i="3"/>
  <c r="CR14" i="3"/>
  <c r="CR18" i="3"/>
  <c r="CF23" i="3"/>
  <c r="CF26" i="3"/>
  <c r="CN28" i="3"/>
  <c r="CN30" i="3"/>
  <c r="CH33" i="3"/>
  <c r="CJ35" i="3"/>
  <c r="CN37" i="3"/>
  <c r="CJ40" i="3"/>
  <c r="CE43" i="3"/>
  <c r="CI45" i="3"/>
  <c r="CR7" i="3"/>
  <c r="CE12" i="3"/>
  <c r="CF16" i="3"/>
  <c r="CG19" i="3"/>
  <c r="CH22" i="3"/>
  <c r="CI30" i="3"/>
  <c r="CR38" i="3"/>
  <c r="CN22" i="3"/>
  <c r="CJ42" i="3"/>
  <c r="CG23" i="3"/>
  <c r="CJ31" i="3"/>
  <c r="CG38" i="3"/>
  <c r="CF45" i="3"/>
  <c r="CF40" i="3"/>
  <c r="CE13" i="3"/>
  <c r="CI23" i="3"/>
  <c r="CG34" i="3"/>
  <c r="CN15" i="3"/>
  <c r="CG25" i="3"/>
  <c r="CG35" i="3"/>
  <c r="CN9" i="3"/>
  <c r="CI20" i="3"/>
  <c r="CH35" i="3"/>
  <c r="CG45" i="3"/>
  <c r="CJ17" i="3"/>
  <c r="CF32" i="3"/>
  <c r="CG42" i="3"/>
  <c r="CJ10" i="3"/>
  <c r="CF25" i="3"/>
  <c r="CN34" i="3"/>
  <c r="CG44" i="3"/>
  <c r="CN17" i="3"/>
  <c r="CJ43" i="3"/>
  <c r="CF35" i="3"/>
  <c r="CI15" i="3"/>
  <c r="CG26" i="3"/>
  <c r="CE8" i="3"/>
  <c r="CR17" i="3"/>
  <c r="CF27" i="3"/>
  <c r="CE38" i="3"/>
  <c r="CF12" i="3"/>
  <c r="CI24" i="3"/>
  <c r="CH38" i="3"/>
  <c r="CN6" i="3"/>
  <c r="CJ20" i="3"/>
  <c r="CR34" i="3"/>
  <c r="CJ44" i="3"/>
  <c r="CR13" i="3"/>
  <c r="CN27" i="3"/>
  <c r="CR36" i="3"/>
  <c r="CJ6" i="3"/>
  <c r="CF20" i="3"/>
  <c r="CH36" i="3"/>
  <c r="CH41" i="3"/>
  <c r="CI7" i="3"/>
  <c r="CG18" i="3"/>
  <c r="CE29" i="3"/>
  <c r="CI10" i="3"/>
  <c r="CH20" i="3"/>
  <c r="CF30" i="3"/>
  <c r="CI40" i="3"/>
  <c r="CH14" i="3"/>
  <c r="CG10" i="3"/>
  <c r="CE21" i="3"/>
  <c r="CI31" i="3"/>
  <c r="CR12" i="3"/>
  <c r="CH23" i="3"/>
  <c r="CJ32" i="3"/>
  <c r="CE6" i="3"/>
  <c r="CN16" i="3"/>
  <c r="CR30" i="3"/>
  <c r="CF42" i="3"/>
  <c r="CH13" i="3"/>
  <c r="CE28" i="3"/>
  <c r="CH40" i="3"/>
  <c r="CI6" i="3"/>
  <c r="CF21" i="3"/>
  <c r="CH32" i="3"/>
  <c r="CH42" i="3"/>
  <c r="CE14" i="3"/>
  <c r="CJ34" i="3"/>
  <c r="CH27" i="3"/>
  <c r="CH44" i="3"/>
  <c r="CR27" i="3"/>
  <c r="CH37" i="3"/>
  <c r="CH39" i="3"/>
  <c r="CN21" i="3"/>
  <c r="CG40" i="3"/>
  <c r="CF46" i="3"/>
  <c r="CE10" i="3"/>
  <c r="CH9" i="3"/>
  <c r="CR16" i="3"/>
  <c r="CH26" i="3"/>
  <c r="CR23" i="3"/>
  <c r="CN29" i="3"/>
  <c r="CR45" i="3"/>
  <c r="CI38" i="2"/>
  <c r="CQ38" i="2"/>
  <c r="CQ9" i="2"/>
  <c r="DA14" i="2"/>
  <c r="DF10" i="2"/>
  <c r="CH15" i="2"/>
  <c r="CY19" i="2"/>
  <c r="CY11" i="2"/>
  <c r="CL17" i="2"/>
  <c r="DA22" i="2"/>
  <c r="DC37" i="2"/>
  <c r="DE38" i="2"/>
  <c r="CJ11" i="2"/>
  <c r="DE13" i="2"/>
  <c r="CL10" i="2"/>
  <c r="CY14" i="2"/>
  <c r="CJ19" i="2"/>
  <c r="CN22" i="2"/>
  <c r="DD16" i="2"/>
  <c r="DE21" i="2"/>
  <c r="CQ27" i="2"/>
  <c r="DC38" i="2"/>
  <c r="DA38" i="2"/>
  <c r="CN11" i="2"/>
  <c r="CQ14" i="2"/>
  <c r="DB10" i="2"/>
  <c r="DF14" i="2"/>
  <c r="CN19" i="2"/>
  <c r="CI11" i="2"/>
  <c r="DF37" i="2"/>
  <c r="CQ16" i="2"/>
  <c r="CL13" i="2"/>
  <c r="DA25" i="2"/>
  <c r="CJ10" i="2"/>
  <c r="DE37" i="2"/>
  <c r="CH11" i="2"/>
  <c r="CF17" i="2"/>
  <c r="DA27" i="2"/>
  <c r="DB15" i="2"/>
  <c r="CH20" i="2"/>
  <c r="CF15" i="2"/>
  <c r="CI22" i="2"/>
  <c r="CF27" i="2"/>
  <c r="CN23" i="2"/>
  <c r="CJ29" i="2"/>
  <c r="CN27" i="2"/>
  <c r="DA32" i="2"/>
  <c r="DD25" i="2"/>
  <c r="CH31" i="2"/>
  <c r="DD35" i="2"/>
  <c r="CF41" i="2"/>
  <c r="DA35" i="2"/>
  <c r="DE42" i="2"/>
  <c r="CQ48" i="2"/>
  <c r="CH36" i="2"/>
  <c r="CY31" i="2"/>
  <c r="CI41" i="2"/>
  <c r="CI49" i="2"/>
  <c r="CH47" i="2"/>
  <c r="DB52" i="2"/>
  <c r="DB56" i="2"/>
  <c r="CN21" i="2"/>
  <c r="CI12" i="2"/>
  <c r="CL19" i="2"/>
  <c r="DC15" i="2"/>
  <c r="DF23" i="2"/>
  <c r="CI32" i="2"/>
  <c r="CI30" i="2"/>
  <c r="DC29" i="2"/>
  <c r="CY24" i="2"/>
  <c r="CJ31" i="2"/>
  <c r="CJ39" i="2"/>
  <c r="DA34" i="2"/>
  <c r="DA43" i="2"/>
  <c r="CY33" i="2"/>
  <c r="CL41" i="2"/>
  <c r="CI42" i="2"/>
  <c r="DF42" i="2"/>
  <c r="DF51" i="2"/>
  <c r="CH57" i="2"/>
  <c r="DD45" i="2"/>
  <c r="DE50" i="2"/>
  <c r="DF45" i="2"/>
  <c r="DD51" i="2"/>
  <c r="CF55" i="2"/>
  <c r="CF43" i="2"/>
  <c r="CL49" i="2"/>
  <c r="DE54" i="2"/>
  <c r="CJ6" i="2"/>
  <c r="DE6" i="2"/>
  <c r="CL8" i="2"/>
  <c r="CY41" i="2"/>
  <c r="DE18" i="2"/>
  <c r="DC14" i="2"/>
  <c r="DF20" i="2"/>
  <c r="DC18" i="2"/>
  <c r="CH26" i="2"/>
  <c r="CL24" i="2"/>
  <c r="DD24" i="2"/>
  <c r="DE31" i="2"/>
  <c r="DC26" i="2"/>
  <c r="CJ34" i="2"/>
  <c r="CY40" i="2"/>
  <c r="DA36" i="2"/>
  <c r="DE45" i="2"/>
  <c r="DB35" i="2"/>
  <c r="CJ33" i="2"/>
  <c r="DC45" i="2"/>
  <c r="CL46" i="2"/>
  <c r="CL53" i="2"/>
  <c r="CI57" i="2"/>
  <c r="DD47" i="2"/>
  <c r="CI53" i="2"/>
  <c r="CJ50" i="2"/>
  <c r="CY53" i="2"/>
  <c r="CN43" i="2"/>
  <c r="CI15" i="2"/>
  <c r="CH13" i="2"/>
  <c r="DF19" i="2"/>
  <c r="CI17" i="2"/>
  <c r="CI25" i="2"/>
  <c r="CF23" i="2"/>
  <c r="DF22" i="2"/>
  <c r="DA30" i="2"/>
  <c r="CH38" i="2"/>
  <c r="DD38" i="2"/>
  <c r="CJ9" i="2"/>
  <c r="DA10" i="2"/>
  <c r="DE15" i="2"/>
  <c r="CI10" i="2"/>
  <c r="DC16" i="2"/>
  <c r="CN20" i="2"/>
  <c r="CF13" i="2"/>
  <c r="DA18" i="2"/>
  <c r="DE23" i="2"/>
  <c r="CI37" i="2"/>
  <c r="DA37" i="2"/>
  <c r="DE9" i="2"/>
  <c r="CQ15" i="2"/>
  <c r="CL11" i="2"/>
  <c r="CF16" i="2"/>
  <c r="CF20" i="2"/>
  <c r="CH12" i="2"/>
  <c r="DE17" i="2"/>
  <c r="CQ23" i="2"/>
  <c r="DA28" i="2"/>
  <c r="CL38" i="2"/>
  <c r="CQ37" i="2"/>
  <c r="CF9" i="2"/>
  <c r="CQ10" i="2"/>
  <c r="DA15" i="2"/>
  <c r="CI9" i="2"/>
  <c r="CL16" i="2"/>
  <c r="CJ20" i="2"/>
  <c r="DD12" i="2"/>
  <c r="CY38" i="2"/>
  <c r="DC10" i="2"/>
  <c r="DA17" i="2"/>
  <c r="DE27" i="2"/>
  <c r="CQ12" i="2"/>
  <c r="DD15" i="2"/>
  <c r="DA19" i="2"/>
  <c r="CQ29" i="2"/>
  <c r="DF16" i="2"/>
  <c r="CH21" i="2"/>
  <c r="DB16" i="2"/>
  <c r="CL22" i="2"/>
  <c r="DB28" i="2"/>
  <c r="DC24" i="2"/>
  <c r="DB21" i="2"/>
  <c r="DD28" i="2"/>
  <c r="DE33" i="2"/>
  <c r="CJ27" i="2"/>
  <c r="CL32" i="2"/>
  <c r="CY36" i="2"/>
  <c r="DD31" i="2"/>
  <c r="DE36" i="2"/>
  <c r="CQ44" i="2"/>
  <c r="DB32" i="2"/>
  <c r="CH39" i="2"/>
  <c r="DB33" i="2"/>
  <c r="CI43" i="2"/>
  <c r="CI51" i="2"/>
  <c r="DF48" i="2"/>
  <c r="DB53" i="2"/>
  <c r="DB57" i="2"/>
  <c r="CQ18" i="2"/>
  <c r="CL14" i="2"/>
  <c r="DB20" i="2"/>
  <c r="DC17" i="2"/>
  <c r="DF25" i="2"/>
  <c r="CF24" i="2"/>
  <c r="DB23" i="2"/>
  <c r="DA31" i="2"/>
  <c r="CL26" i="2"/>
  <c r="CL33" i="2"/>
  <c r="CN40" i="2"/>
  <c r="CQ36" i="2"/>
  <c r="CQ45" i="2"/>
  <c r="CL35" i="2"/>
  <c r="DC32" i="2"/>
  <c r="DC44" i="2"/>
  <c r="DB45" i="2"/>
  <c r="CH53" i="2"/>
  <c r="CI54" i="2"/>
  <c r="CJ47" i="2"/>
  <c r="DC52" i="2"/>
  <c r="DF47" i="2"/>
  <c r="CY52" i="2"/>
  <c r="DD55" i="2"/>
  <c r="DD44" i="2"/>
  <c r="CJ51" i="2"/>
  <c r="CQ56" i="2"/>
  <c r="CF7" i="2"/>
  <c r="CQ8" i="2"/>
  <c r="DC7" i="2"/>
  <c r="DD46" i="2"/>
  <c r="CF11" i="2"/>
  <c r="CQ24" i="2"/>
  <c r="CY16" i="2"/>
  <c r="DB12" i="2"/>
  <c r="CI21" i="2"/>
  <c r="CJ28" i="2"/>
  <c r="CY26" i="2"/>
  <c r="DB26" i="2"/>
  <c r="DA33" i="2"/>
  <c r="DF28" i="2"/>
  <c r="CN35" i="2"/>
  <c r="CN31" i="2"/>
  <c r="DA40" i="2"/>
  <c r="DA47" i="2"/>
  <c r="DF36" i="2"/>
  <c r="DC35" i="2"/>
  <c r="CI48" i="2"/>
  <c r="DA48" i="2"/>
  <c r="DF54" i="2"/>
  <c r="CY42" i="2"/>
  <c r="CJ49" i="2"/>
  <c r="CH42" i="2"/>
  <c r="CH51" i="2"/>
  <c r="CN54" i="2"/>
  <c r="CF45" i="2"/>
  <c r="DE20" i="2"/>
  <c r="CJ15" i="2"/>
  <c r="CL21" i="2"/>
  <c r="CI19" i="2"/>
  <c r="DD26" i="2"/>
  <c r="CJ25" i="2"/>
  <c r="CF25" i="2"/>
  <c r="CQ32" i="2"/>
  <c r="DB27" i="2"/>
  <c r="CH37" i="2"/>
  <c r="CF38" i="2"/>
  <c r="CF10" i="2"/>
  <c r="DE11" i="2"/>
  <c r="CQ17" i="2"/>
  <c r="CL12" i="2"/>
  <c r="CF18" i="2"/>
  <c r="CJ21" i="2"/>
  <c r="DB14" i="2"/>
  <c r="DE19" i="2"/>
  <c r="CQ25" i="2"/>
  <c r="DB37" i="2"/>
  <c r="CN38" i="2"/>
  <c r="CY9" i="2"/>
  <c r="CQ11" i="2"/>
  <c r="DA16" i="2"/>
  <c r="DD11" i="2"/>
  <c r="CY17" i="2"/>
  <c r="DD20" i="2"/>
  <c r="DC13" i="2"/>
  <c r="CQ19" i="2"/>
  <c r="DA24" i="2"/>
  <c r="DE29" i="2"/>
  <c r="CL37" i="2"/>
  <c r="CJ38" i="2"/>
  <c r="DD9" i="2"/>
  <c r="DA11" i="2"/>
  <c r="DE16" i="2"/>
  <c r="CF12" i="2"/>
  <c r="DD17" i="2"/>
  <c r="CF21" i="2"/>
  <c r="CJ14" i="2"/>
  <c r="CN9" i="2"/>
  <c r="CJ17" i="2"/>
  <c r="CQ20" i="2"/>
  <c r="CN37" i="2"/>
  <c r="CH9" i="2"/>
  <c r="DA9" i="2"/>
  <c r="DD19" i="2"/>
  <c r="CQ22" i="2"/>
  <c r="CN12" i="2"/>
  <c r="CH18" i="2"/>
  <c r="CJ12" i="2"/>
  <c r="CI18" i="2"/>
  <c r="CJ24" i="2"/>
  <c r="DF29" i="2"/>
  <c r="CN26" i="2"/>
  <c r="CH24" i="2"/>
  <c r="CJ30" i="2"/>
  <c r="CY22" i="2"/>
  <c r="CY28" i="2"/>
  <c r="DC33" i="2"/>
  <c r="CN39" i="2"/>
  <c r="DF32" i="2"/>
  <c r="CQ40" i="2"/>
  <c r="DA45" i="2"/>
  <c r="DF33" i="2"/>
  <c r="CH40" i="2"/>
  <c r="CI35" i="2"/>
  <c r="CI45" i="2"/>
  <c r="CH43" i="2"/>
  <c r="DE49" i="2"/>
  <c r="DB54" i="2"/>
  <c r="DC56" i="2"/>
  <c r="DA23" i="2"/>
  <c r="CN16" i="2"/>
  <c r="DC11" i="2"/>
  <c r="DC20" i="2"/>
  <c r="DC27" i="2"/>
  <c r="CI26" i="2"/>
  <c r="CJ26" i="2"/>
  <c r="CQ33" i="2"/>
  <c r="CN28" i="2"/>
  <c r="CJ35" i="2"/>
  <c r="CN41" i="2"/>
  <c r="DE39" i="2"/>
  <c r="CQ47" i="2"/>
  <c r="DB36" i="2"/>
  <c r="DC34" i="2"/>
  <c r="DD10" i="2"/>
  <c r="DD18" i="2"/>
  <c r="DA26" i="2"/>
  <c r="CJ13" i="2"/>
  <c r="DA20" i="2"/>
  <c r="DB9" i="2"/>
  <c r="CY15" i="2"/>
  <c r="DD37" i="2"/>
  <c r="DF11" i="2"/>
  <c r="CY13" i="2"/>
  <c r="DD27" i="2"/>
  <c r="CF30" i="2"/>
  <c r="DA41" i="2"/>
  <c r="CI39" i="2"/>
  <c r="DB55" i="2"/>
  <c r="DF13" i="2"/>
  <c r="DF27" i="2"/>
  <c r="CY32" i="2"/>
  <c r="DC39" i="2"/>
  <c r="CY49" i="2"/>
  <c r="CF44" i="2"/>
  <c r="DF43" i="2"/>
  <c r="CJ54" i="2"/>
  <c r="CY47" i="2"/>
  <c r="DC57" i="2"/>
  <c r="CL7" i="2"/>
  <c r="DE28" i="2"/>
  <c r="CH14" i="2"/>
  <c r="CH30" i="2"/>
  <c r="CH28" i="2"/>
  <c r="DB30" i="2"/>
  <c r="CH33" i="2"/>
  <c r="CH32" i="2"/>
  <c r="CI40" i="2"/>
  <c r="CL50" i="2"/>
  <c r="CN44" i="2"/>
  <c r="CH44" i="2"/>
  <c r="CJ55" i="2"/>
  <c r="CQ26" i="2"/>
  <c r="CI13" i="2"/>
  <c r="CI29" i="2"/>
  <c r="CI27" i="2"/>
  <c r="CH25" i="2"/>
  <c r="CY34" i="2"/>
  <c r="DD40" i="2"/>
  <c r="CQ39" i="2"/>
  <c r="CQ46" i="2"/>
  <c r="DA21" i="2"/>
  <c r="CI16" i="2"/>
  <c r="DC9" i="2"/>
  <c r="DC19" i="2"/>
  <c r="CL27" i="2"/>
  <c r="DB25" i="2"/>
  <c r="CL25" i="2"/>
  <c r="DE32" i="2"/>
  <c r="CI28" i="2"/>
  <c r="DD34" i="2"/>
  <c r="CJ41" i="2"/>
  <c r="DA39" i="2"/>
  <c r="DA46" i="2"/>
  <c r="CL36" i="2"/>
  <c r="CN34" i="2"/>
  <c r="DC46" i="2"/>
  <c r="DB47" i="2"/>
  <c r="CH54" i="2"/>
  <c r="CF42" i="2"/>
  <c r="CN48" i="2"/>
  <c r="CI55" i="2"/>
  <c r="CF49" i="2"/>
  <c r="CJ53" i="2"/>
  <c r="CN56" i="2"/>
  <c r="CY45" i="2"/>
  <c r="DE51" i="2"/>
  <c r="CQ57" i="2"/>
  <c r="CY7" i="2"/>
  <c r="CH6" i="2"/>
  <c r="CI7" i="2"/>
  <c r="DC48" i="2"/>
  <c r="CQ49" i="2"/>
  <c r="CF57" i="2"/>
  <c r="DA56" i="2"/>
  <c r="DA8" i="2"/>
  <c r="DB40" i="2"/>
  <c r="CL56" i="2"/>
  <c r="CN51" i="2"/>
  <c r="DA51" i="2"/>
  <c r="CN7" i="2"/>
  <c r="DC6" i="2"/>
  <c r="CL44" i="2"/>
  <c r="DC51" i="2"/>
  <c r="CY43" i="2"/>
  <c r="DE57" i="2"/>
  <c r="DB6" i="2"/>
  <c r="CI46" i="2"/>
  <c r="CF48" i="2"/>
  <c r="CJ56" i="2"/>
  <c r="DA55" i="2"/>
  <c r="DA7" i="2"/>
  <c r="CL9" i="2"/>
  <c r="DE22" i="2"/>
  <c r="CH19" i="2"/>
  <c r="CH41" i="2"/>
  <c r="DF17" i="2"/>
  <c r="CL48" i="2"/>
  <c r="CN53" i="2"/>
  <c r="CL6" i="2"/>
  <c r="DB19" i="2"/>
  <c r="DF24" i="2"/>
  <c r="DB43" i="2"/>
  <c r="DD52" i="2"/>
  <c r="DC28" i="2"/>
  <c r="CQ35" i="2"/>
  <c r="DD13" i="2"/>
  <c r="CN25" i="2"/>
  <c r="DE30" i="2"/>
  <c r="CF40" i="2"/>
  <c r="CJ32" i="2"/>
  <c r="DF52" i="2"/>
  <c r="CI52" i="2"/>
  <c r="CY55" i="2"/>
  <c r="DD6" i="2"/>
  <c r="CJ43" i="2"/>
  <c r="DD8" i="2"/>
  <c r="DB44" i="2"/>
  <c r="DC43" i="2"/>
  <c r="CQ55" i="2"/>
  <c r="DD41" i="2"/>
  <c r="DF38" i="2"/>
  <c r="CQ13" i="2"/>
  <c r="CF22" i="2"/>
  <c r="CJ37" i="2"/>
  <c r="CN10" i="2"/>
  <c r="CN18" i="2"/>
  <c r="DE25" i="2"/>
  <c r="DB13" i="2"/>
  <c r="DE10" i="2"/>
  <c r="DB38" i="2"/>
  <c r="DE24" i="2"/>
  <c r="CI20" i="2"/>
  <c r="DC25" i="2"/>
  <c r="CF35" i="2"/>
  <c r="DE46" i="2"/>
  <c r="CI47" i="2"/>
  <c r="DC12" i="2"/>
  <c r="CI23" i="2"/>
  <c r="CH22" i="2"/>
  <c r="DE41" i="2"/>
  <c r="DC47" i="2"/>
  <c r="CL54" i="2"/>
  <c r="DB48" i="2"/>
  <c r="DB49" i="2"/>
  <c r="CY56" i="2"/>
  <c r="CQ52" i="2"/>
  <c r="DD7" i="2"/>
  <c r="DC8" i="2"/>
  <c r="DF12" i="2"/>
  <c r="CJ16" i="2"/>
  <c r="DD22" i="2"/>
  <c r="CQ30" i="2"/>
  <c r="DB31" i="2"/>
  <c r="DE34" i="2"/>
  <c r="CH34" i="2"/>
  <c r="DC42" i="2"/>
  <c r="CH52" i="2"/>
  <c r="CF46" i="2"/>
  <c r="CH46" i="2"/>
  <c r="CF56" i="2"/>
  <c r="DA29" i="2"/>
  <c r="DD14" i="2"/>
  <c r="DC30" i="2"/>
  <c r="CF29" i="2"/>
  <c r="CH29" i="2"/>
  <c r="CY35" i="2"/>
  <c r="CF32" i="2"/>
  <c r="DE40" i="2"/>
  <c r="DE47" i="2"/>
  <c r="CH10" i="2"/>
  <c r="DE26" i="2"/>
  <c r="DB17" i="2"/>
  <c r="CN13" i="2"/>
  <c r="DC22" i="2"/>
  <c r="CN29" i="2"/>
  <c r="CH27" i="2"/>
  <c r="CY27" i="2"/>
  <c r="DF21" i="2"/>
  <c r="DD29" i="2"/>
  <c r="CF36" i="2"/>
  <c r="CN32" i="2"/>
  <c r="CQ41" i="2"/>
  <c r="CY30" i="2"/>
  <c r="DB39" i="2"/>
  <c r="DC36" i="2"/>
  <c r="DC49" i="2"/>
  <c r="CN49" i="2"/>
  <c r="CL55" i="2"/>
  <c r="DD43" i="2"/>
  <c r="DA49" i="2"/>
  <c r="CL43" i="2"/>
  <c r="DA50" i="2"/>
  <c r="CF54" i="2"/>
  <c r="CJ57" i="2"/>
  <c r="CN47" i="2"/>
  <c r="CQ53" i="2"/>
  <c r="CI56" i="2"/>
  <c r="CN8" i="2"/>
  <c r="CH7" i="2"/>
  <c r="DD56" i="2"/>
  <c r="CH49" i="2"/>
  <c r="DB42" i="2"/>
  <c r="CF47" i="2"/>
  <c r="DD57" i="2"/>
  <c r="DB7" i="2"/>
  <c r="DC40" i="2"/>
  <c r="CY44" i="2"/>
  <c r="CY54" i="2"/>
  <c r="CQ54" i="2"/>
  <c r="CQ6" i="2"/>
  <c r="DB34" i="2"/>
  <c r="CL52" i="2"/>
  <c r="DB46" i="2"/>
  <c r="DD49" i="2"/>
  <c r="CN6" i="2"/>
  <c r="DB8" i="2"/>
  <c r="DF46" i="2"/>
  <c r="DC54" i="2"/>
  <c r="CN45" i="2"/>
  <c r="DC55" i="2"/>
  <c r="DF6" i="2"/>
  <c r="CH55" i="2"/>
  <c r="CI8" i="2"/>
  <c r="CN50" i="2"/>
  <c r="DE56" i="2"/>
  <c r="CF31" i="2"/>
  <c r="DF57" i="2"/>
  <c r="DA52" i="2"/>
  <c r="DF35" i="2"/>
  <c r="DF53" i="2"/>
  <c r="CF50" i="2"/>
  <c r="CY6" i="2"/>
  <c r="CI14" i="2"/>
  <c r="CN15" i="2"/>
  <c r="DD21" i="2"/>
  <c r="DC31" i="2"/>
  <c r="CL34" i="2"/>
  <c r="DB51" i="2"/>
  <c r="CJ36" i="2"/>
  <c r="CN42" i="2"/>
  <c r="CJ46" i="2"/>
  <c r="CJ22" i="2"/>
  <c r="CN30" i="2"/>
  <c r="CY39" i="2"/>
  <c r="DD30" i="2"/>
  <c r="CL51" i="2"/>
  <c r="DB18" i="2"/>
  <c r="DB22" i="2"/>
  <c r="DD32" i="2"/>
  <c r="DA44" i="2"/>
  <c r="CH16" i="2"/>
  <c r="CN17" i="2"/>
  <c r="CH23" i="2"/>
  <c r="CF33" i="2"/>
  <c r="DE44" i="2"/>
  <c r="DF34" i="2"/>
  <c r="DF44" i="2"/>
  <c r="CY46" i="2"/>
  <c r="CN52" i="2"/>
  <c r="CJ44" i="2"/>
  <c r="DE55" i="2"/>
  <c r="CI6" i="2"/>
  <c r="DD53" i="2"/>
  <c r="CI33" i="2"/>
  <c r="CY48" i="2"/>
  <c r="DF7" i="2"/>
  <c r="CN55" i="2"/>
  <c r="CQ7" i="2"/>
  <c r="CF53" i="2"/>
  <c r="CJ8" i="2"/>
  <c r="DF9" i="2"/>
  <c r="DF15" i="2"/>
  <c r="CY37" i="2"/>
  <c r="DA12" i="2"/>
  <c r="CY21" i="2"/>
  <c r="CY12" i="2"/>
  <c r="CY10" i="2"/>
  <c r="CY18" i="2"/>
  <c r="CY20" i="2"/>
  <c r="CF14" i="2"/>
  <c r="CY25" i="2"/>
  <c r="CQ31" i="2"/>
  <c r="CJ40" i="2"/>
  <c r="CH35" i="2"/>
  <c r="CH45" i="2"/>
  <c r="CQ28" i="2"/>
  <c r="CY29" i="2"/>
  <c r="CL30" i="2"/>
  <c r="DF31" i="2"/>
  <c r="CI50" i="2"/>
  <c r="DF55" i="2"/>
  <c r="DF49" i="2"/>
  <c r="DF50" i="2"/>
  <c r="CN57" i="2"/>
  <c r="DA53" i="2"/>
  <c r="CY8" i="2"/>
  <c r="CH48" i="2"/>
  <c r="CN14" i="2"/>
  <c r="CL18" i="2"/>
  <c r="DC23" i="2"/>
  <c r="CL28" i="2"/>
  <c r="CJ23" i="2"/>
  <c r="CN36" i="2"/>
  <c r="CQ42" i="2"/>
  <c r="CL40" i="2"/>
  <c r="DC50" i="2"/>
  <c r="CH56" i="2"/>
  <c r="CH50" i="2"/>
  <c r="CF52" i="2"/>
  <c r="CJ48" i="2"/>
  <c r="DA13" i="2"/>
  <c r="CH17" i="2"/>
  <c r="DC21" i="2"/>
  <c r="DF26" i="2"/>
  <c r="CQ34" i="2"/>
  <c r="DF30" i="2"/>
  <c r="DD36" i="2"/>
  <c r="DD33" i="2"/>
  <c r="DA42" i="2"/>
  <c r="CF19" i="2"/>
  <c r="DB11" i="2"/>
  <c r="DF18" i="2"/>
  <c r="CL15" i="2"/>
  <c r="CL23" i="2"/>
  <c r="CI31" i="2"/>
  <c r="DB29" i="2"/>
  <c r="CL29" i="2"/>
  <c r="CI24" i="2"/>
  <c r="CL31" i="2"/>
  <c r="CF39" i="2"/>
  <c r="CF34" i="2"/>
  <c r="CQ43" i="2"/>
  <c r="CN33" i="2"/>
  <c r="DF40" i="2"/>
  <c r="DC41" i="2"/>
  <c r="CL42" i="2"/>
  <c r="CF51" i="2"/>
  <c r="DF56" i="2"/>
  <c r="CJ45" i="2"/>
  <c r="CY50" i="2"/>
  <c r="CL45" i="2"/>
  <c r="CY51" i="2"/>
  <c r="DD54" i="2"/>
  <c r="DD42" i="2"/>
  <c r="DE48" i="2"/>
  <c r="DA54" i="2"/>
  <c r="CF6" i="2"/>
  <c r="DA6" i="2"/>
  <c r="CH8" i="2"/>
  <c r="CL39" i="2"/>
  <c r="CQ50" i="2"/>
  <c r="CQ51" i="2"/>
  <c r="CJ7" i="2"/>
  <c r="DB41" i="2"/>
  <c r="CJ42" i="2"/>
  <c r="DE8" i="2"/>
  <c r="CJ52" i="2"/>
  <c r="CF8" i="2"/>
  <c r="DD48" i="2"/>
  <c r="DF8" i="2"/>
  <c r="CQ21" i="2"/>
  <c r="CF37" i="2"/>
  <c r="DE12" i="2"/>
  <c r="DE14" i="2"/>
  <c r="CN24" i="2"/>
  <c r="CF28" i="2"/>
  <c r="DF39" i="2"/>
  <c r="DF41" i="2"/>
  <c r="DA57" i="2"/>
  <c r="DB24" i="2"/>
  <c r="DE43" i="2"/>
  <c r="CL57" i="2"/>
  <c r="CJ18" i="2"/>
  <c r="DD23" i="2"/>
  <c r="DD39" i="2"/>
  <c r="CL20" i="2"/>
  <c r="CY23" i="2"/>
  <c r="CF26" i="2"/>
  <c r="DE35" i="2"/>
  <c r="CI44" i="2"/>
  <c r="DC53" i="2"/>
  <c r="CL47" i="2"/>
  <c r="DB50" i="2"/>
  <c r="DE7" i="2"/>
  <c r="CI36" i="2"/>
  <c r="DE53" i="2"/>
  <c r="DD50" i="2"/>
  <c r="CY57" i="2"/>
  <c r="CN46" i="2"/>
  <c r="CI34" i="2"/>
  <c r="DE52" i="2"/>
  <c r="DS8" i="2" l="1"/>
  <c r="DT8" i="2" s="1"/>
  <c r="DS6" i="2"/>
  <c r="DT6" i="2" s="1"/>
  <c r="DM7" i="2"/>
  <c r="DN7" i="2"/>
  <c r="DL7" i="2"/>
  <c r="CK8" i="2"/>
  <c r="DO55" i="2"/>
  <c r="DP55" i="2" s="1"/>
  <c r="DL55" i="2"/>
  <c r="DN55" i="2"/>
  <c r="DM55" i="2"/>
  <c r="CG50" i="2"/>
  <c r="CK56" i="2"/>
  <c r="CG53" i="2"/>
  <c r="DO54" i="2"/>
  <c r="DP54" i="2" s="1"/>
  <c r="CG48" i="2"/>
  <c r="DS53" i="2"/>
  <c r="DT53" i="2" s="1"/>
  <c r="DS46" i="2"/>
  <c r="DT46" i="2" s="1"/>
  <c r="DS35" i="2"/>
  <c r="DT35" i="2" s="1"/>
  <c r="DQ8" i="2"/>
  <c r="DR8" i="2" s="1"/>
  <c r="DQ6" i="2"/>
  <c r="DR6" i="2" s="1"/>
  <c r="DK7" i="2"/>
  <c r="CG8" i="2"/>
  <c r="DK55" i="2"/>
  <c r="DN52" i="2"/>
  <c r="DL52" i="2"/>
  <c r="DM52" i="2"/>
  <c r="CK52" i="2"/>
  <c r="DQ46" i="2"/>
  <c r="DR46" i="2" s="1"/>
  <c r="DO51" i="2"/>
  <c r="DP51" i="2" s="1"/>
  <c r="DS57" i="2"/>
  <c r="DT57" i="2" s="1"/>
  <c r="DJ52" i="2"/>
  <c r="DJ44" i="2"/>
  <c r="DO43" i="2"/>
  <c r="DP43" i="2" s="1"/>
  <c r="CG31" i="2"/>
  <c r="DQ34" i="2"/>
  <c r="DR34" i="2" s="1"/>
  <c r="DO6" i="2"/>
  <c r="DP6" i="2" s="1"/>
  <c r="DS7" i="2"/>
  <c r="DT7" i="2" s="1"/>
  <c r="DK6" i="2"/>
  <c r="DK54" i="2"/>
  <c r="DN51" i="2"/>
  <c r="DL51" i="2"/>
  <c r="DM51" i="2"/>
  <c r="CK42" i="2"/>
  <c r="DQ44" i="2"/>
  <c r="DR44" i="2" s="1"/>
  <c r="DJ56" i="2"/>
  <c r="DQ41" i="2"/>
  <c r="DR41" i="2" s="1"/>
  <c r="DO40" i="2"/>
  <c r="DP40" i="2" s="1"/>
  <c r="DQ40" i="2"/>
  <c r="DR40" i="2" s="1"/>
  <c r="DQ7" i="2"/>
  <c r="DR7" i="2" s="1"/>
  <c r="DM8" i="2"/>
  <c r="DN8" i="2"/>
  <c r="DL8" i="2"/>
  <c r="CK7" i="2"/>
  <c r="DN56" i="2"/>
  <c r="DL56" i="2"/>
  <c r="DM56" i="2"/>
  <c r="DK51" i="2"/>
  <c r="CG47" i="2"/>
  <c r="CG57" i="2"/>
  <c r="DK50" i="2"/>
  <c r="DQ42" i="2"/>
  <c r="DR42" i="2" s="1"/>
  <c r="DK49" i="2"/>
  <c r="CK43" i="2"/>
  <c r="CM55" i="2"/>
  <c r="DG55" i="2" s="1"/>
  <c r="CM49" i="2"/>
  <c r="DG49" i="2" s="1"/>
  <c r="DO48" i="2"/>
  <c r="DP48" i="2" s="1"/>
  <c r="DJ39" i="2"/>
  <c r="CM8" i="2"/>
  <c r="DG8" i="2" s="1"/>
  <c r="CM7" i="2"/>
  <c r="DG7" i="2" s="1"/>
  <c r="CM6" i="2"/>
  <c r="DG6" i="2" s="1"/>
  <c r="DM6" i="2"/>
  <c r="DN6" i="2"/>
  <c r="DL6" i="2"/>
  <c r="CG6" i="2"/>
  <c r="DK57" i="2"/>
  <c r="DN54" i="2"/>
  <c r="DL54" i="2"/>
  <c r="DM54" i="2"/>
  <c r="DK53" i="2"/>
  <c r="DQ50" i="2"/>
  <c r="DR50" i="2" s="1"/>
  <c r="CK44" i="2"/>
  <c r="CK57" i="2"/>
  <c r="CG54" i="2"/>
  <c r="CK53" i="2"/>
  <c r="DM50" i="2"/>
  <c r="DL50" i="2"/>
  <c r="DN50" i="2"/>
  <c r="CG49" i="2"/>
  <c r="DJ47" i="2"/>
  <c r="DJ45" i="2"/>
  <c r="DJ43" i="2"/>
  <c r="DN49" i="2"/>
  <c r="DL49" i="2"/>
  <c r="DM49" i="2"/>
  <c r="CK45" i="2"/>
  <c r="CG42" i="2"/>
  <c r="DO53" i="2"/>
  <c r="DP53" i="2" s="1"/>
  <c r="DS56" i="2"/>
  <c r="DT56" i="2" s="1"/>
  <c r="DJ55" i="2"/>
  <c r="CM54" i="2"/>
  <c r="DG54" i="2" s="1"/>
  <c r="DS52" i="2"/>
  <c r="DT52" i="2" s="1"/>
  <c r="CG51" i="2"/>
  <c r="DQ47" i="2"/>
  <c r="DR47" i="2" s="1"/>
  <c r="DS44" i="2"/>
  <c r="DT44" i="2" s="1"/>
  <c r="DJ42" i="2"/>
  <c r="DO49" i="2"/>
  <c r="DP49" i="2" s="1"/>
  <c r="DO46" i="2"/>
  <c r="DP46" i="2" s="1"/>
  <c r="DO41" i="2"/>
  <c r="DP41" i="2" s="1"/>
  <c r="DO36" i="2"/>
  <c r="DP36" i="2" s="1"/>
  <c r="CK32" i="2"/>
  <c r="DS40" i="2"/>
  <c r="DT40" i="2" s="1"/>
  <c r="DQ39" i="2"/>
  <c r="DR39" i="2" s="1"/>
  <c r="DJ36" i="2"/>
  <c r="DS34" i="2"/>
  <c r="DT34" i="2" s="1"/>
  <c r="DM46" i="2"/>
  <c r="DN46" i="2"/>
  <c r="DL46" i="2"/>
  <c r="DK43" i="2"/>
  <c r="DK41" i="2"/>
  <c r="DL39" i="2"/>
  <c r="DM39" i="2"/>
  <c r="DN39" i="2"/>
  <c r="CG34" i="2"/>
  <c r="CK41" i="2"/>
  <c r="CG40" i="2"/>
  <c r="CG39" i="2"/>
  <c r="CG36" i="2"/>
  <c r="CG33" i="2"/>
  <c r="DJ31" i="2"/>
  <c r="CG26" i="2"/>
  <c r="DS21" i="2"/>
  <c r="DT21" i="2" s="1"/>
  <c r="DJ29" i="2"/>
  <c r="DJ25" i="2"/>
  <c r="CM23" i="2"/>
  <c r="DG23" i="2" s="1"/>
  <c r="DQ29" i="2"/>
  <c r="DR29" i="2" s="1"/>
  <c r="CM27" i="2"/>
  <c r="DG27" i="2" s="1"/>
  <c r="DQ25" i="2"/>
  <c r="DR25" i="2" s="1"/>
  <c r="DJ27" i="2"/>
  <c r="DJ23" i="2"/>
  <c r="DO22" i="2"/>
  <c r="DP22" i="2" s="1"/>
  <c r="DO19" i="2"/>
  <c r="DP19" i="2" s="1"/>
  <c r="DJ15" i="2"/>
  <c r="DO9" i="2"/>
  <c r="DP9" i="2" s="1"/>
  <c r="DJ20" i="2"/>
  <c r="DS18" i="2"/>
  <c r="DT18" i="2" s="1"/>
  <c r="DQ17" i="2"/>
  <c r="DR17" i="2" s="1"/>
  <c r="DQ11" i="2"/>
  <c r="DR11" i="2" s="1"/>
  <c r="DM21" i="2"/>
  <c r="DN21" i="2"/>
  <c r="DL21" i="2"/>
  <c r="CM16" i="2"/>
  <c r="DG16" i="2" s="1"/>
  <c r="CG19" i="2"/>
  <c r="CM10" i="2"/>
  <c r="DG10" i="2" s="1"/>
  <c r="DK46" i="2"/>
  <c r="DM44" i="2"/>
  <c r="DN44" i="2"/>
  <c r="DL44" i="2"/>
  <c r="DM42" i="2"/>
  <c r="DN42" i="2"/>
  <c r="DL42" i="2"/>
  <c r="DK39" i="2"/>
  <c r="DK35" i="2"/>
  <c r="CG32" i="2"/>
  <c r="DS30" i="2"/>
  <c r="DT30" i="2" s="1"/>
  <c r="CM29" i="2"/>
  <c r="DG29" i="2" s="1"/>
  <c r="DQ27" i="2"/>
  <c r="DR27" i="2" s="1"/>
  <c r="CM25" i="2"/>
  <c r="DG25" i="2" s="1"/>
  <c r="DK34" i="2"/>
  <c r="DK32" i="2"/>
  <c r="DM30" i="2"/>
  <c r="DN30" i="2"/>
  <c r="DL30" i="2"/>
  <c r="CG29" i="2"/>
  <c r="CG25" i="2"/>
  <c r="DS22" i="2"/>
  <c r="DT22" i="2" s="1"/>
  <c r="DO28" i="2"/>
  <c r="DP28" i="2" s="1"/>
  <c r="DS26" i="2"/>
  <c r="DT26" i="2" s="1"/>
  <c r="CK25" i="2"/>
  <c r="CG23" i="2"/>
  <c r="DO30" i="2"/>
  <c r="DP30" i="2" s="1"/>
  <c r="DQ22" i="2"/>
  <c r="DR22" i="2" s="1"/>
  <c r="DO21" i="2"/>
  <c r="DP21" i="2" s="1"/>
  <c r="DJ21" i="2"/>
  <c r="DS19" i="2"/>
  <c r="DT19" i="2" s="1"/>
  <c r="DQ18" i="2"/>
  <c r="DR18" i="2" s="1"/>
  <c r="CM17" i="2"/>
  <c r="DG17" i="2" s="1"/>
  <c r="CK15" i="2"/>
  <c r="CM13" i="2"/>
  <c r="DG13" i="2" s="1"/>
  <c r="DN29" i="2"/>
  <c r="DL29" i="2"/>
  <c r="DM29" i="2"/>
  <c r="DK26" i="2"/>
  <c r="CK18" i="2"/>
  <c r="DN13" i="2"/>
  <c r="DM13" i="2"/>
  <c r="DL13" i="2"/>
  <c r="CK48" i="2"/>
  <c r="CG45" i="2"/>
  <c r="CG56" i="2"/>
  <c r="CK55" i="2"/>
  <c r="CG52" i="2"/>
  <c r="CM51" i="2"/>
  <c r="DG51" i="2" s="1"/>
  <c r="CK50" i="2"/>
  <c r="CM46" i="2"/>
  <c r="DG46" i="2" s="1"/>
  <c r="CM44" i="2"/>
  <c r="DG44" i="2" s="1"/>
  <c r="CM42" i="2"/>
  <c r="DG42" i="2" s="1"/>
  <c r="DJ51" i="2"/>
  <c r="CM50" i="2"/>
  <c r="DG50" i="2" s="1"/>
  <c r="CK49" i="2"/>
  <c r="CG46" i="2"/>
  <c r="DJ57" i="2"/>
  <c r="CM56" i="2"/>
  <c r="DG56" i="2" s="1"/>
  <c r="DS54" i="2"/>
  <c r="DT54" i="2" s="1"/>
  <c r="DJ53" i="2"/>
  <c r="CM52" i="2"/>
  <c r="DG52" i="2" s="1"/>
  <c r="DJ50" i="2"/>
  <c r="DM48" i="2"/>
  <c r="DL48" i="2"/>
  <c r="DN48" i="2"/>
  <c r="DJ46" i="2"/>
  <c r="DQ43" i="2"/>
  <c r="DR43" i="2" s="1"/>
  <c r="DO50" i="2"/>
  <c r="DP50" i="2" s="1"/>
  <c r="DO45" i="2"/>
  <c r="DP45" i="2" s="1"/>
  <c r="DO42" i="2"/>
  <c r="DP42" i="2" s="1"/>
  <c r="DO35" i="2"/>
  <c r="DP35" i="2" s="1"/>
  <c r="CK33" i="2"/>
  <c r="DJ40" i="2"/>
  <c r="DS36" i="2"/>
  <c r="DT36" i="2" s="1"/>
  <c r="DQ35" i="2"/>
  <c r="DR35" i="2" s="1"/>
  <c r="CM34" i="2"/>
  <c r="DG34" i="2" s="1"/>
  <c r="CM32" i="2"/>
  <c r="DG32" i="2" s="1"/>
  <c r="DM47" i="2"/>
  <c r="DN47" i="2"/>
  <c r="DL47" i="2"/>
  <c r="DK42" i="2"/>
  <c r="DL40" i="2"/>
  <c r="DM40" i="2"/>
  <c r="DN40" i="2"/>
  <c r="DL36" i="2"/>
  <c r="DM36" i="2"/>
  <c r="DN36" i="2"/>
  <c r="CM33" i="2"/>
  <c r="DG33" i="2" s="1"/>
  <c r="CK34" i="2"/>
  <c r="DQ31" i="2"/>
  <c r="DR31" i="2" s="1"/>
  <c r="DQ30" i="2"/>
  <c r="DR30" i="2" s="1"/>
  <c r="DS28" i="2"/>
  <c r="DT28" i="2" s="1"/>
  <c r="DO26" i="2"/>
  <c r="DP26" i="2" s="1"/>
  <c r="DS24" i="2"/>
  <c r="DT24" i="2" s="1"/>
  <c r="CK23" i="2"/>
  <c r="DM33" i="2"/>
  <c r="DN33" i="2"/>
  <c r="DL33" i="2"/>
  <c r="DK30" i="2"/>
  <c r="CM28" i="2"/>
  <c r="DG28" i="2" s="1"/>
  <c r="DQ26" i="2"/>
  <c r="DR26" i="2" s="1"/>
  <c r="DJ28" i="2"/>
  <c r="DJ24" i="2"/>
  <c r="CM30" i="2"/>
  <c r="DG30" i="2" s="1"/>
  <c r="CK28" i="2"/>
  <c r="CM26" i="2"/>
  <c r="DG26" i="2" s="1"/>
  <c r="DQ24" i="2"/>
  <c r="DR24" i="2" s="1"/>
  <c r="DO23" i="2"/>
  <c r="DP23" i="2" s="1"/>
  <c r="DO18" i="2"/>
  <c r="DP18" i="2" s="1"/>
  <c r="CK16" i="2"/>
  <c r="CM14" i="2"/>
  <c r="DG14" i="2" s="1"/>
  <c r="DQ12" i="2"/>
  <c r="DR12" i="2" s="1"/>
  <c r="DS20" i="2"/>
  <c r="DT20" i="2" s="1"/>
  <c r="DQ19" i="2"/>
  <c r="DR19" i="2" s="1"/>
  <c r="DJ18" i="2"/>
  <c r="DO14" i="2"/>
  <c r="DP14" i="2" s="1"/>
  <c r="DS12" i="2"/>
  <c r="DT12" i="2" s="1"/>
  <c r="DK24" i="2"/>
  <c r="CK22" i="2"/>
  <c r="CG11" i="2"/>
  <c r="CM46" i="3"/>
  <c r="CQ46" i="3"/>
  <c r="CM48" i="2"/>
  <c r="DG48" i="2" s="1"/>
  <c r="DO8" i="2"/>
  <c r="DP8" i="2" s="1"/>
  <c r="DO7" i="2"/>
  <c r="DP7" i="2" s="1"/>
  <c r="DJ8" i="2"/>
  <c r="DJ7" i="2"/>
  <c r="DJ6" i="2"/>
  <c r="DK8" i="2"/>
  <c r="CG7" i="2"/>
  <c r="CK6" i="2"/>
  <c r="DO57" i="2"/>
  <c r="DP57" i="2" s="1"/>
  <c r="DM57" i="2"/>
  <c r="DN57" i="2"/>
  <c r="DL57" i="2"/>
  <c r="DK56" i="2"/>
  <c r="DN53" i="2"/>
  <c r="DL53" i="2"/>
  <c r="DM53" i="2"/>
  <c r="DK52" i="2"/>
  <c r="CK51" i="2"/>
  <c r="DJ49" i="2"/>
  <c r="CK46" i="2"/>
  <c r="CG43" i="2"/>
  <c r="CG55" i="2"/>
  <c r="CK54" i="2"/>
  <c r="DS50" i="2"/>
  <c r="DT50" i="2" s="1"/>
  <c r="DQ49" i="2"/>
  <c r="DR49" i="2" s="1"/>
  <c r="DS47" i="2"/>
  <c r="DT47" i="2" s="1"/>
  <c r="DS45" i="2"/>
  <c r="DT45" i="2" s="1"/>
  <c r="DS43" i="2"/>
  <c r="DT43" i="2" s="1"/>
  <c r="DS41" i="2"/>
  <c r="DT41" i="2" s="1"/>
  <c r="DO52" i="2"/>
  <c r="DP52" i="2" s="1"/>
  <c r="DS49" i="2"/>
  <c r="DT49" i="2" s="1"/>
  <c r="DQ48" i="2"/>
  <c r="DR48" i="2" s="1"/>
  <c r="CK47" i="2"/>
  <c r="CG44" i="2"/>
  <c r="CM57" i="2"/>
  <c r="DG57" i="2" s="1"/>
  <c r="DS55" i="2"/>
  <c r="DT55" i="2" s="1"/>
  <c r="DJ54" i="2"/>
  <c r="CM53" i="2"/>
  <c r="DG53" i="2" s="1"/>
  <c r="DS51" i="2"/>
  <c r="DT51" i="2" s="1"/>
  <c r="DJ48" i="2"/>
  <c r="DQ45" i="2"/>
  <c r="DR45" i="2" s="1"/>
  <c r="DS42" i="2"/>
  <c r="DT42" i="2" s="1"/>
  <c r="DO47" i="2"/>
  <c r="DP47" i="2" s="1"/>
  <c r="DO44" i="2"/>
  <c r="DP44" i="2" s="1"/>
  <c r="DO39" i="2"/>
  <c r="DP39" i="2" s="1"/>
  <c r="DO34" i="2"/>
  <c r="DP34" i="2" s="1"/>
  <c r="DO32" i="2"/>
  <c r="DP32" i="2" s="1"/>
  <c r="DJ41" i="2"/>
  <c r="DS39" i="2"/>
  <c r="DT39" i="2" s="1"/>
  <c r="DQ36" i="2"/>
  <c r="DR36" i="2" s="1"/>
  <c r="DJ35" i="2"/>
  <c r="DS31" i="2"/>
  <c r="DT31" i="2" s="1"/>
  <c r="DK47" i="2"/>
  <c r="DK45" i="2"/>
  <c r="DM43" i="2"/>
  <c r="DN43" i="2"/>
  <c r="DL43" i="2"/>
  <c r="DK36" i="2"/>
  <c r="DL34" i="2"/>
  <c r="DM34" i="2"/>
  <c r="DN34" i="2"/>
  <c r="CK39" i="2"/>
  <c r="CK36" i="2"/>
  <c r="CK35" i="2"/>
  <c r="DJ33" i="2"/>
  <c r="CK31" i="2"/>
  <c r="DJ30" i="2"/>
  <c r="DJ26" i="2"/>
  <c r="CM22" i="2"/>
  <c r="DG22" i="2" s="1"/>
  <c r="DK33" i="2"/>
  <c r="DM31" i="2"/>
  <c r="DL31" i="2"/>
  <c r="DN31" i="2"/>
  <c r="DO29" i="2"/>
  <c r="DP29" i="2" s="1"/>
  <c r="DS27" i="2"/>
  <c r="DT27" i="2" s="1"/>
  <c r="CK26" i="2"/>
  <c r="DQ23" i="2"/>
  <c r="DR23" i="2" s="1"/>
  <c r="CG28" i="2"/>
  <c r="CG24" i="2"/>
  <c r="DO27" i="2"/>
  <c r="DP27" i="2" s="1"/>
  <c r="DS25" i="2"/>
  <c r="DT25" i="2" s="1"/>
  <c r="DS23" i="2"/>
  <c r="DT23" i="2" s="1"/>
  <c r="DO20" i="2"/>
  <c r="DP20" i="2" s="1"/>
  <c r="DO17" i="2"/>
  <c r="DP17" i="2" s="1"/>
  <c r="DO15" i="2"/>
  <c r="DP15" i="2" s="1"/>
  <c r="DS13" i="2"/>
  <c r="DT13" i="2" s="1"/>
  <c r="DO11" i="2"/>
  <c r="DP11" i="2" s="1"/>
  <c r="DQ20" i="2"/>
  <c r="DR20" i="2" s="1"/>
  <c r="DJ19" i="2"/>
  <c r="DS17" i="2"/>
  <c r="DT17" i="2" s="1"/>
  <c r="DJ14" i="2"/>
  <c r="DK28" i="2"/>
  <c r="DN23" i="2"/>
  <c r="DL23" i="2"/>
  <c r="DM23" i="2"/>
  <c r="DK18" i="2"/>
  <c r="DO12" i="2"/>
  <c r="DP12" i="2" s="1"/>
  <c r="DO56" i="2"/>
  <c r="DP56" i="2" s="1"/>
  <c r="DQ57" i="2"/>
  <c r="DR57" i="2" s="1"/>
  <c r="DQ56" i="2"/>
  <c r="DR56" i="2" s="1"/>
  <c r="DQ55" i="2"/>
  <c r="DR55" i="2" s="1"/>
  <c r="DQ54" i="2"/>
  <c r="DR54" i="2" s="1"/>
  <c r="DQ53" i="2"/>
  <c r="DR53" i="2" s="1"/>
  <c r="DQ52" i="2"/>
  <c r="DR52" i="2" s="1"/>
  <c r="DQ51" i="2"/>
  <c r="DR51" i="2" s="1"/>
  <c r="DS48" i="2"/>
  <c r="DT48" i="2" s="1"/>
  <c r="CM47" i="2"/>
  <c r="DG47" i="2" s="1"/>
  <c r="CM45" i="2"/>
  <c r="DG45" i="2" s="1"/>
  <c r="CM43" i="2"/>
  <c r="DG43" i="2" s="1"/>
  <c r="DQ33" i="2"/>
  <c r="DR33" i="2" s="1"/>
  <c r="CM41" i="2"/>
  <c r="DG41" i="2" s="1"/>
  <c r="CM40" i="2"/>
  <c r="DG40" i="2" s="1"/>
  <c r="CM39" i="2"/>
  <c r="DG39" i="2" s="1"/>
  <c r="CM36" i="2"/>
  <c r="DG36" i="2" s="1"/>
  <c r="CM35" i="2"/>
  <c r="DG35" i="2" s="1"/>
  <c r="DS33" i="2"/>
  <c r="DT33" i="2" s="1"/>
  <c r="DQ32" i="2"/>
  <c r="DR32" i="2" s="1"/>
  <c r="DK48" i="2"/>
  <c r="DM45" i="2"/>
  <c r="DL45" i="2"/>
  <c r="DN45" i="2"/>
  <c r="DK44" i="2"/>
  <c r="DM41" i="2"/>
  <c r="DN41" i="2"/>
  <c r="DL41" i="2"/>
  <c r="DK40" i="2"/>
  <c r="DL35" i="2"/>
  <c r="DN35" i="2"/>
  <c r="DM35" i="2"/>
  <c r="DJ34" i="2"/>
  <c r="DS32" i="2"/>
  <c r="DT32" i="2" s="1"/>
  <c r="CG41" i="2"/>
  <c r="CK40" i="2"/>
  <c r="CG35" i="2"/>
  <c r="DO33" i="2"/>
  <c r="DP33" i="2" s="1"/>
  <c r="DJ32" i="2"/>
  <c r="CM31" i="2"/>
  <c r="DG31" i="2" s="1"/>
  <c r="CG30" i="2"/>
  <c r="CK27" i="2"/>
  <c r="DM32" i="2"/>
  <c r="DN32" i="2"/>
  <c r="DL32" i="2"/>
  <c r="DK31" i="2"/>
  <c r="CK30" i="2"/>
  <c r="DO25" i="2"/>
  <c r="DP25" i="2" s="1"/>
  <c r="CM24" i="2"/>
  <c r="DG24" i="2" s="1"/>
  <c r="DQ21" i="2"/>
  <c r="DR21" i="2" s="1"/>
  <c r="CK29" i="2"/>
  <c r="DO24" i="2"/>
  <c r="DP24" i="2" s="1"/>
  <c r="DO31" i="2"/>
  <c r="DP31" i="2" s="1"/>
  <c r="DS29" i="2"/>
  <c r="DT29" i="2" s="1"/>
  <c r="DQ28" i="2"/>
  <c r="DR28" i="2" s="1"/>
  <c r="CG27" i="2"/>
  <c r="CK24" i="2"/>
  <c r="DJ22" i="2"/>
  <c r="DQ16" i="2"/>
  <c r="DR16" i="2" s="1"/>
  <c r="CG15" i="2"/>
  <c r="CK12" i="2"/>
  <c r="CM21" i="2"/>
  <c r="DG21" i="2" s="1"/>
  <c r="CM20" i="2"/>
  <c r="DG20" i="2" s="1"/>
  <c r="CM19" i="2"/>
  <c r="DG19" i="2" s="1"/>
  <c r="CM18" i="2"/>
  <c r="DG18" i="2" s="1"/>
  <c r="DS16" i="2"/>
  <c r="DT16" i="2" s="1"/>
  <c r="DQ15" i="2"/>
  <c r="DR15" i="2" s="1"/>
  <c r="CG14" i="2"/>
  <c r="DK29" i="2"/>
  <c r="DN27" i="2"/>
  <c r="DL27" i="2"/>
  <c r="DM27" i="2"/>
  <c r="DK22" i="2"/>
  <c r="DM19" i="2"/>
  <c r="DN19" i="2"/>
  <c r="DL19" i="2"/>
  <c r="CG17" i="2"/>
  <c r="DS11" i="2"/>
  <c r="DT11" i="2" s="1"/>
  <c r="CM11" i="2"/>
  <c r="DG11" i="2" s="1"/>
  <c r="DM9" i="2"/>
  <c r="DN9" i="2"/>
  <c r="DL9" i="2"/>
  <c r="CO34" i="3"/>
  <c r="CL34" i="3"/>
  <c r="CK34" i="3"/>
  <c r="CQ21" i="3"/>
  <c r="CM21" i="3"/>
  <c r="CQ42" i="3"/>
  <c r="CM42" i="3"/>
  <c r="CK32" i="3"/>
  <c r="CO32" i="3"/>
  <c r="CL32" i="3"/>
  <c r="CQ30" i="3"/>
  <c r="CM30" i="3"/>
  <c r="DQ38" i="2"/>
  <c r="DR38" i="2" s="1"/>
  <c r="CM9" i="2"/>
  <c r="DG9" i="2" s="1"/>
  <c r="DK12" i="2"/>
  <c r="CK10" i="2"/>
  <c r="CQ20" i="3"/>
  <c r="CM20" i="3"/>
  <c r="CK6" i="3"/>
  <c r="CO6" i="3" s="1"/>
  <c r="CL6" i="3"/>
  <c r="CK44" i="3"/>
  <c r="CO44" i="3" s="1"/>
  <c r="CL44" i="3"/>
  <c r="CK20" i="3"/>
  <c r="CO20" i="3"/>
  <c r="CL20" i="3"/>
  <c r="CQ12" i="3"/>
  <c r="CM12" i="3"/>
  <c r="CQ27" i="3"/>
  <c r="CM27" i="3"/>
  <c r="DN25" i="2"/>
  <c r="DL25" i="2"/>
  <c r="DM25" i="2"/>
  <c r="DK20" i="2"/>
  <c r="DM17" i="2"/>
  <c r="DN17" i="2"/>
  <c r="DL17" i="2"/>
  <c r="DJ13" i="2"/>
  <c r="CK17" i="2"/>
  <c r="DO10" i="2"/>
  <c r="DP10" i="2" s="1"/>
  <c r="DK16" i="2"/>
  <c r="CQ35" i="3"/>
  <c r="CM35" i="3"/>
  <c r="CK43" i="3"/>
  <c r="CL43" i="3"/>
  <c r="CO43" i="3"/>
  <c r="CM25" i="3"/>
  <c r="CQ25" i="3"/>
  <c r="CO10" i="3"/>
  <c r="CL10" i="3"/>
  <c r="CK10" i="3"/>
  <c r="CQ32" i="3"/>
  <c r="CM32" i="3"/>
  <c r="CO17" i="3"/>
  <c r="CK17" i="3"/>
  <c r="CL17" i="3"/>
  <c r="DS37" i="2"/>
  <c r="DT37" i="2" s="1"/>
  <c r="CK14" i="2"/>
  <c r="CG21" i="2"/>
  <c r="CK20" i="2"/>
  <c r="DJ16" i="2"/>
  <c r="DS14" i="2"/>
  <c r="DT14" i="2" s="1"/>
  <c r="DQ13" i="2"/>
  <c r="DR13" i="2" s="1"/>
  <c r="CG12" i="2"/>
  <c r="DQ10" i="2"/>
  <c r="DR10" i="2" s="1"/>
  <c r="DQ9" i="2"/>
  <c r="DR9" i="2" s="1"/>
  <c r="DN15" i="2"/>
  <c r="DL15" i="2"/>
  <c r="DM15" i="2"/>
  <c r="DK14" i="2"/>
  <c r="DN11" i="2"/>
  <c r="DL11" i="2"/>
  <c r="DM11" i="2"/>
  <c r="DK10" i="2"/>
  <c r="CG9" i="2"/>
  <c r="CQ40" i="3"/>
  <c r="CM40" i="3"/>
  <c r="CM45" i="3"/>
  <c r="CQ45" i="3"/>
  <c r="CL31" i="3"/>
  <c r="CK31" i="3"/>
  <c r="CO31" i="3"/>
  <c r="CL42" i="3"/>
  <c r="CK42" i="3"/>
  <c r="CO42" i="3" s="1"/>
  <c r="CM16" i="3"/>
  <c r="CQ16" i="3"/>
  <c r="CK40" i="3"/>
  <c r="CO40" i="3" s="1"/>
  <c r="CL40" i="3"/>
  <c r="CL35" i="3"/>
  <c r="CK35" i="3"/>
  <c r="CO35" i="3"/>
  <c r="CM26" i="3"/>
  <c r="CQ26" i="3"/>
  <c r="CM23" i="3"/>
  <c r="CQ23" i="3"/>
  <c r="CL38" i="3"/>
  <c r="CK38" i="3"/>
  <c r="CO38" i="3" s="1"/>
  <c r="CL22" i="3"/>
  <c r="CK22" i="3"/>
  <c r="CO22" i="3" s="1"/>
  <c r="CO19" i="3"/>
  <c r="CL19" i="3"/>
  <c r="CK19" i="3"/>
  <c r="CO15" i="3"/>
  <c r="CK15" i="3"/>
  <c r="CL15" i="3"/>
  <c r="CK36" i="3"/>
  <c r="CO36" i="3" s="1"/>
  <c r="CL36" i="3"/>
  <c r="CO26" i="3"/>
  <c r="CK26" i="3"/>
  <c r="CL26" i="3"/>
  <c r="CM8" i="3"/>
  <c r="CQ8" i="3"/>
  <c r="CK21" i="3"/>
  <c r="CO21" i="3" s="1"/>
  <c r="CL21" i="3"/>
  <c r="CK16" i="3"/>
  <c r="CO16" i="3"/>
  <c r="CL16" i="3"/>
  <c r="CQ14" i="3"/>
  <c r="CM14" i="3"/>
  <c r="CM11" i="3"/>
  <c r="CQ11" i="3"/>
  <c r="CK38" i="2"/>
  <c r="DK37" i="2"/>
  <c r="DN38" i="2"/>
  <c r="DL38" i="2"/>
  <c r="DM38" i="2"/>
  <c r="CG37" i="2"/>
  <c r="DJ37" i="2"/>
  <c r="DJ38" i="2"/>
  <c r="DO38" i="2"/>
  <c r="DP38" i="2" s="1"/>
  <c r="DN28" i="2"/>
  <c r="DM28" i="2"/>
  <c r="DL28" i="2"/>
  <c r="DK27" i="2"/>
  <c r="DN24" i="2"/>
  <c r="DM24" i="2"/>
  <c r="DL24" i="2"/>
  <c r="DK23" i="2"/>
  <c r="DM20" i="2"/>
  <c r="DN20" i="2"/>
  <c r="DL20" i="2"/>
  <c r="DK19" i="2"/>
  <c r="DO13" i="2"/>
  <c r="DP13" i="2" s="1"/>
  <c r="CM12" i="2"/>
  <c r="DG12" i="2" s="1"/>
  <c r="CG20" i="2"/>
  <c r="CK19" i="2"/>
  <c r="CG16" i="2"/>
  <c r="CK13" i="2"/>
  <c r="DJ11" i="2"/>
  <c r="DJ10" i="2"/>
  <c r="DJ9" i="2"/>
  <c r="DN16" i="2"/>
  <c r="DL16" i="2"/>
  <c r="DM16" i="2"/>
  <c r="DK15" i="2"/>
  <c r="DN12" i="2"/>
  <c r="DL12" i="2"/>
  <c r="DM12" i="2"/>
  <c r="DK11" i="2"/>
  <c r="CK11" i="2"/>
  <c r="CL45" i="3"/>
  <c r="CK45" i="3"/>
  <c r="CO45" i="3" s="1"/>
  <c r="CO37" i="3"/>
  <c r="CK37" i="3"/>
  <c r="CL37" i="3"/>
  <c r="CM18" i="3"/>
  <c r="CQ18" i="3"/>
  <c r="CQ15" i="3"/>
  <c r="CM15" i="3"/>
  <c r="CM28" i="3"/>
  <c r="CQ28" i="3"/>
  <c r="CK14" i="3"/>
  <c r="CO14" i="3"/>
  <c r="CL14" i="3"/>
  <c r="CL11" i="3"/>
  <c r="CK11" i="3"/>
  <c r="CO11" i="3" s="1"/>
  <c r="CK7" i="3"/>
  <c r="CO7" i="3"/>
  <c r="CL7" i="3"/>
  <c r="CK46" i="3"/>
  <c r="CO46" i="3"/>
  <c r="CL46" i="3"/>
  <c r="CM33" i="3"/>
  <c r="CQ33" i="3"/>
  <c r="CQ29" i="3"/>
  <c r="CM29" i="3"/>
  <c r="CL18" i="3"/>
  <c r="CK18" i="3"/>
  <c r="CO18" i="3"/>
  <c r="CL28" i="3"/>
  <c r="CK28" i="3"/>
  <c r="CO28" i="3" s="1"/>
  <c r="CL25" i="3"/>
  <c r="CK25" i="3"/>
  <c r="CO25" i="3" s="1"/>
  <c r="CQ10" i="3"/>
  <c r="CM10" i="3"/>
  <c r="CQ7" i="3"/>
  <c r="CM7" i="3"/>
  <c r="CL13" i="3"/>
  <c r="CK13" i="3"/>
  <c r="CO13" i="3"/>
  <c r="CO8" i="3"/>
  <c r="CK8" i="3"/>
  <c r="CL8" i="3"/>
  <c r="CQ6" i="3"/>
  <c r="CM6" i="3"/>
  <c r="DN37" i="2"/>
  <c r="DL37" i="2"/>
  <c r="DM37" i="2"/>
  <c r="CK37" i="2"/>
  <c r="DQ37" i="2"/>
  <c r="DR37" i="2" s="1"/>
  <c r="DO37" i="2"/>
  <c r="DP37" i="2" s="1"/>
  <c r="DN26" i="2"/>
  <c r="DM26" i="2"/>
  <c r="DL26" i="2"/>
  <c r="DK25" i="2"/>
  <c r="DN22" i="2"/>
  <c r="DM22" i="2"/>
  <c r="DL22" i="2"/>
  <c r="DK21" i="2"/>
  <c r="DM18" i="2"/>
  <c r="DL18" i="2"/>
  <c r="DN18" i="2"/>
  <c r="DJ17" i="2"/>
  <c r="DS15" i="2"/>
  <c r="DT15" i="2" s="1"/>
  <c r="DQ14" i="2"/>
  <c r="DR14" i="2" s="1"/>
  <c r="CG13" i="2"/>
  <c r="CG22" i="2"/>
  <c r="CK21" i="2"/>
  <c r="CG18" i="2"/>
  <c r="DO16" i="2"/>
  <c r="DP16" i="2" s="1"/>
  <c r="CM15" i="2"/>
  <c r="DG15" i="2" s="1"/>
  <c r="DJ12" i="2"/>
  <c r="DS10" i="2"/>
  <c r="DT10" i="2" s="1"/>
  <c r="DS9" i="2"/>
  <c r="DT9" i="2" s="1"/>
  <c r="DK17" i="2"/>
  <c r="DN14" i="2"/>
  <c r="DL14" i="2"/>
  <c r="DM14" i="2"/>
  <c r="DK13" i="2"/>
  <c r="DM10" i="2"/>
  <c r="DN10" i="2"/>
  <c r="DL10" i="2"/>
  <c r="DK9" i="2"/>
  <c r="CG10" i="2"/>
  <c r="CK9" i="2"/>
  <c r="CQ43" i="3"/>
  <c r="CM43" i="3"/>
  <c r="CK33" i="3"/>
  <c r="CO33" i="3" s="1"/>
  <c r="CL33" i="3"/>
  <c r="CM17" i="3"/>
  <c r="CQ17" i="3"/>
  <c r="CQ13" i="3"/>
  <c r="CM13" i="3"/>
  <c r="CM41" i="3"/>
  <c r="CQ41" i="3"/>
  <c r="CQ38" i="3"/>
  <c r="CM38" i="3"/>
  <c r="CM24" i="3"/>
  <c r="CQ24" i="3"/>
  <c r="CK12" i="3"/>
  <c r="CO12" i="3" s="1"/>
  <c r="CL12" i="3"/>
  <c r="CL9" i="3"/>
  <c r="CK9" i="3"/>
  <c r="CO9" i="3" s="1"/>
  <c r="CM44" i="3"/>
  <c r="CQ44" i="3"/>
  <c r="CL41" i="3"/>
  <c r="CK41" i="3"/>
  <c r="CO41" i="3" s="1"/>
  <c r="CQ39" i="3"/>
  <c r="CM39" i="3"/>
  <c r="CM36" i="3"/>
  <c r="CQ36" i="3"/>
  <c r="CQ34" i="3"/>
  <c r="CM34" i="3"/>
  <c r="CQ31" i="3"/>
  <c r="CM31" i="3"/>
  <c r="CK39" i="3"/>
  <c r="CO39" i="3" s="1"/>
  <c r="CL39" i="3"/>
  <c r="CQ37" i="3"/>
  <c r="CM37" i="3"/>
  <c r="CK30" i="3"/>
  <c r="CL30" i="3"/>
  <c r="CO30" i="3"/>
  <c r="CK27" i="3"/>
  <c r="CO27" i="3" s="1"/>
  <c r="CL27" i="3"/>
  <c r="CK23" i="3"/>
  <c r="CL23" i="3"/>
  <c r="CO23" i="3"/>
  <c r="CQ9" i="3"/>
  <c r="CM9" i="3"/>
  <c r="CL29" i="3"/>
  <c r="CO29" i="3"/>
  <c r="CK29" i="3"/>
  <c r="CO24" i="3"/>
  <c r="CK24" i="3"/>
  <c r="CL24" i="3"/>
  <c r="CM22" i="3"/>
  <c r="CQ22" i="3"/>
  <c r="CQ19" i="3"/>
  <c r="CM19" i="3"/>
  <c r="CG38" i="2"/>
  <c r="DK38" i="2"/>
  <c r="DS38" i="2"/>
  <c r="DT38" i="2" s="1"/>
  <c r="CM37" i="2"/>
  <c r="DG37" i="2" s="1"/>
  <c r="CM38" i="2"/>
  <c r="DG38" i="2" s="1"/>
  <c r="P3" i="16"/>
  <c r="P7" i="16"/>
  <c r="P11" i="16"/>
  <c r="P15" i="16"/>
  <c r="P19" i="16"/>
  <c r="P23" i="16"/>
  <c r="P27" i="16"/>
  <c r="P31" i="16"/>
  <c r="P35" i="16"/>
  <c r="P39" i="16"/>
  <c r="P8" i="16"/>
  <c r="P16" i="16"/>
  <c r="P24" i="16"/>
  <c r="P32" i="16"/>
  <c r="P40" i="16"/>
  <c r="P4" i="16"/>
  <c r="P12" i="16"/>
  <c r="P20" i="16"/>
  <c r="P28" i="16"/>
  <c r="P36" i="16"/>
  <c r="P5" i="16"/>
  <c r="P9" i="16"/>
  <c r="P13" i="16"/>
  <c r="P17" i="16"/>
  <c r="P21" i="16"/>
  <c r="P25" i="16"/>
  <c r="P29" i="16"/>
  <c r="P33" i="16"/>
  <c r="P37" i="16"/>
  <c r="P2" i="16"/>
  <c r="P6" i="16"/>
  <c r="P10" i="16"/>
  <c r="P14" i="16"/>
  <c r="P18" i="16"/>
  <c r="P22" i="16"/>
  <c r="P26" i="16"/>
  <c r="P30" i="16"/>
  <c r="P34" i="16"/>
  <c r="P38" i="16"/>
  <c r="CE20" i="2"/>
  <c r="CE25" i="2"/>
  <c r="CE49" i="2"/>
  <c r="CE19" i="2"/>
  <c r="CE46" i="2"/>
  <c r="CL64" i="3" l="1"/>
  <c r="CL63" i="3"/>
  <c r="CE57" i="2" l="1"/>
  <c r="CE56" i="2"/>
  <c r="CE55" i="2"/>
  <c r="CE54" i="2"/>
  <c r="CE53" i="2"/>
  <c r="CE51" i="2"/>
  <c r="CE50" i="2"/>
  <c r="CE47" i="2"/>
  <c r="CE45" i="2"/>
  <c r="CE44" i="2"/>
  <c r="CE43" i="2"/>
  <c r="CE42" i="2"/>
  <c r="CE41" i="2"/>
  <c r="CE40" i="2"/>
  <c r="CE39" i="2"/>
  <c r="CE36" i="2"/>
  <c r="CE35" i="2"/>
  <c r="CE14" i="2"/>
  <c r="CE24" i="2"/>
  <c r="CE22" i="2"/>
  <c r="CE17" i="2" l="1"/>
  <c r="CE32" i="2"/>
  <c r="CE28" i="2"/>
  <c r="CE34" i="2"/>
  <c r="CE33" i="2"/>
  <c r="CE31" i="2"/>
  <c r="CE30" i="2"/>
  <c r="CE27" i="2"/>
  <c r="CE26" i="2"/>
  <c r="CE23" i="2"/>
  <c r="CE21" i="2"/>
  <c r="CE18" i="2"/>
  <c r="CE16" i="2"/>
  <c r="CE15" i="2"/>
  <c r="CE13" i="2"/>
  <c r="CE12" i="2"/>
  <c r="CE11" i="2"/>
  <c r="CE10" i="2"/>
  <c r="CE8" i="2"/>
  <c r="CE7" i="2"/>
  <c r="CX5" i="2" a="1"/>
  <c r="CX5" i="2" s="1"/>
  <c r="CW5" i="2" a="1"/>
  <c r="CW5" i="2" s="1"/>
  <c r="CV5" i="2" a="1"/>
  <c r="CV5" i="2" s="1"/>
  <c r="CU5" i="2" a="1"/>
  <c r="CU5" i="2" s="1"/>
  <c r="CT5" i="2" a="1"/>
  <c r="CT5" i="2" s="1"/>
  <c r="CS5" i="2" a="1"/>
  <c r="CS5" i="2" s="1"/>
  <c r="CR5" i="2" a="1"/>
  <c r="CR5" i="2" s="1"/>
  <c r="CP5" i="2" a="1"/>
  <c r="CP5" i="2" s="1"/>
  <c r="CO5" i="2" a="1"/>
  <c r="CO5" i="2" s="1"/>
  <c r="CE5" i="2"/>
  <c r="X89" i="3"/>
  <c r="X67" i="3"/>
  <c r="X64" i="3"/>
  <c r="X63" i="3"/>
  <c r="V80" i="3"/>
  <c r="T67" i="3"/>
  <c r="M78" i="3"/>
  <c r="L88" i="3"/>
  <c r="P64" i="3"/>
  <c r="W82" i="3"/>
  <c r="I63" i="3"/>
  <c r="H84" i="3"/>
  <c r="H79" i="3"/>
  <c r="M88" i="3"/>
  <c r="U76" i="3"/>
  <c r="F85" i="3"/>
  <c r="R63" i="3"/>
  <c r="Q79" i="3"/>
  <c r="Q61" i="3"/>
  <c r="E88" i="3"/>
  <c r="T84" i="3"/>
  <c r="C76" i="3"/>
  <c r="J77" i="3"/>
  <c r="D59" i="3"/>
  <c r="W72" i="3"/>
  <c r="S61" i="3"/>
  <c r="J62" i="3"/>
  <c r="L77" i="3"/>
  <c r="O71" i="3"/>
  <c r="O84" i="3"/>
  <c r="G88" i="3"/>
  <c r="F66" i="3"/>
  <c r="X85" i="3"/>
  <c r="X74" i="3"/>
  <c r="X59" i="3"/>
  <c r="D75" i="3"/>
  <c r="Q80" i="3"/>
  <c r="D84" i="3"/>
  <c r="T58" i="3"/>
  <c r="M65" i="3"/>
  <c r="J81" i="3"/>
  <c r="F74" i="3"/>
  <c r="C79" i="3"/>
  <c r="H82" i="3"/>
  <c r="V57" i="3"/>
  <c r="U63" i="3"/>
  <c r="G85" i="3"/>
  <c r="P62" i="3"/>
  <c r="T86" i="3"/>
  <c r="L89" i="3"/>
  <c r="F89" i="3"/>
  <c r="X68" i="3"/>
  <c r="R78" i="3"/>
  <c r="O83" i="3"/>
  <c r="I68" i="3"/>
  <c r="L62" i="3"/>
  <c r="U69" i="3"/>
  <c r="F87" i="3"/>
  <c r="X69" i="3"/>
  <c r="M89" i="3"/>
  <c r="H85" i="3"/>
  <c r="N68" i="3"/>
  <c r="U74" i="3"/>
  <c r="L72" i="3"/>
  <c r="K84" i="3"/>
  <c r="Q59" i="3"/>
  <c r="J84" i="3"/>
  <c r="P67" i="3"/>
  <c r="G73" i="3"/>
  <c r="F69" i="3"/>
  <c r="E81" i="3"/>
  <c r="F84" i="3"/>
  <c r="O73" i="3"/>
  <c r="W78" i="3"/>
  <c r="P68" i="3"/>
  <c r="G76" i="3"/>
  <c r="G68" i="3"/>
  <c r="M67" i="3"/>
  <c r="I80" i="3"/>
  <c r="H58" i="3"/>
  <c r="P84" i="3"/>
  <c r="F58" i="3"/>
  <c r="K63" i="3"/>
  <c r="J69" i="3"/>
  <c r="V84" i="3"/>
  <c r="C83" i="3"/>
  <c r="H70" i="3"/>
  <c r="V60" i="3"/>
  <c r="R87" i="3"/>
  <c r="I69" i="3"/>
  <c r="D65" i="3"/>
  <c r="J64" i="3"/>
  <c r="D57" i="3"/>
  <c r="U70" i="3"/>
  <c r="C88" i="3"/>
  <c r="R73" i="3"/>
  <c r="N83" i="3"/>
  <c r="Q76" i="3"/>
  <c r="J72" i="3"/>
  <c r="X77" i="3"/>
  <c r="X62" i="3"/>
  <c r="V88" i="3"/>
  <c r="F72" i="3"/>
  <c r="S77" i="3"/>
  <c r="H78" i="3"/>
  <c r="M79" i="3"/>
  <c r="O62" i="3"/>
  <c r="H87" i="3"/>
  <c r="N70" i="3"/>
  <c r="E76" i="3"/>
  <c r="L76" i="3"/>
  <c r="W86" i="3"/>
  <c r="W60" i="3"/>
  <c r="K79" i="3"/>
  <c r="W88" i="3"/>
  <c r="V75" i="3"/>
  <c r="U67" i="3"/>
  <c r="E62" i="3"/>
  <c r="F60" i="3"/>
  <c r="E86" i="3"/>
  <c r="T64" i="3"/>
  <c r="I85" i="3"/>
  <c r="D61" i="3"/>
  <c r="G59" i="3"/>
  <c r="D82" i="3"/>
  <c r="L83" i="3"/>
  <c r="O81" i="3"/>
  <c r="H89" i="3"/>
  <c r="K89" i="3"/>
  <c r="U89" i="3"/>
  <c r="Q89" i="3"/>
  <c r="H77" i="3"/>
  <c r="G87" i="3"/>
  <c r="O75" i="3"/>
  <c r="F81" i="3"/>
  <c r="R61" i="3"/>
  <c r="E77" i="3"/>
  <c r="K60" i="3"/>
  <c r="L78" i="3"/>
  <c r="J76" i="3"/>
  <c r="O85" i="3"/>
  <c r="W73" i="3"/>
  <c r="J79" i="3"/>
  <c r="D60" i="3"/>
  <c r="U73" i="3"/>
  <c r="P85" i="3"/>
  <c r="I82" i="3"/>
  <c r="J71" i="3"/>
  <c r="Q65" i="3"/>
  <c r="D70" i="3"/>
  <c r="U79" i="3"/>
  <c r="I58" i="3"/>
  <c r="M77" i="3"/>
  <c r="E60" i="3"/>
  <c r="L69" i="3"/>
  <c r="L84" i="3"/>
  <c r="U77" i="3"/>
  <c r="L86" i="3"/>
  <c r="N62" i="3"/>
  <c r="X73" i="3"/>
  <c r="X60" i="3"/>
  <c r="F88" i="3"/>
  <c r="R70" i="3"/>
  <c r="C77" i="3"/>
  <c r="T76" i="3"/>
  <c r="I87" i="3"/>
  <c r="U61" i="3"/>
  <c r="N86" i="3"/>
  <c r="D69" i="3"/>
  <c r="K75" i="3"/>
  <c r="N73" i="3"/>
  <c r="C84" i="3"/>
  <c r="G60" i="3"/>
  <c r="W77" i="3"/>
  <c r="S84" i="3"/>
  <c r="L74" i="3"/>
  <c r="X81" i="3"/>
  <c r="X70" i="3"/>
  <c r="X57" i="3"/>
  <c r="P73" i="3"/>
  <c r="W79" i="3"/>
  <c r="P82" i="3"/>
  <c r="J57" i="3"/>
  <c r="S64" i="3"/>
  <c r="V79" i="3"/>
  <c r="G89" i="3"/>
  <c r="X84" i="3"/>
  <c r="P81" i="3"/>
  <c r="M86" i="3"/>
  <c r="G71" i="3"/>
  <c r="J65" i="3"/>
  <c r="Q75" i="3"/>
  <c r="K86" i="3"/>
  <c r="R80" i="3"/>
  <c r="U84" i="3"/>
  <c r="O69" i="3"/>
  <c r="L64" i="3"/>
  <c r="K72" i="3"/>
  <c r="F76" i="3"/>
  <c r="J87" i="3"/>
  <c r="G64" i="3"/>
  <c r="F64" i="3"/>
  <c r="S78" i="3"/>
  <c r="Q71" i="3"/>
  <c r="T87" i="3"/>
  <c r="C73" i="3"/>
  <c r="W74" i="3"/>
  <c r="D74" i="3"/>
  <c r="C78" i="3"/>
  <c r="U72" i="3"/>
  <c r="L59" i="3"/>
  <c r="F78" i="3"/>
  <c r="G77" i="3"/>
  <c r="V61" i="3"/>
  <c r="I73" i="3"/>
  <c r="E85" i="3"/>
  <c r="E71" i="3"/>
  <c r="S57" i="3"/>
  <c r="K57" i="3"/>
  <c r="D87" i="3"/>
  <c r="M61" i="3"/>
  <c r="H59" i="3"/>
  <c r="K61" i="3"/>
  <c r="Q77" i="3"/>
  <c r="W80" i="3"/>
  <c r="W61" i="3"/>
  <c r="W89" i="3"/>
  <c r="E89" i="3"/>
  <c r="N84" i="3"/>
  <c r="D67" i="3"/>
  <c r="E74" i="3"/>
  <c r="N69" i="3"/>
  <c r="M81" i="3"/>
  <c r="W58" i="3"/>
  <c r="P83" i="3"/>
  <c r="S87" i="3"/>
  <c r="M72" i="3"/>
  <c r="R67" i="3"/>
  <c r="G78" i="3"/>
  <c r="R82" i="3"/>
  <c r="E72" i="3"/>
  <c r="E73" i="3"/>
  <c r="F67" i="3"/>
  <c r="K70" i="3"/>
  <c r="I74" i="3"/>
  <c r="M58" i="3"/>
  <c r="U78" i="3"/>
  <c r="O86" i="3"/>
  <c r="L82" i="3"/>
  <c r="L57" i="3"/>
  <c r="C74" i="3"/>
  <c r="H65" i="3"/>
  <c r="V76" i="3"/>
  <c r="S75" i="3"/>
  <c r="X83" i="3"/>
  <c r="N89" i="3"/>
  <c r="R89" i="3"/>
  <c r="L87" i="3"/>
  <c r="J74" i="3"/>
  <c r="I84" i="3"/>
  <c r="Q72" i="3"/>
  <c r="J75" i="3"/>
  <c r="D58" i="3"/>
  <c r="I71" i="3"/>
  <c r="M57" i="3"/>
  <c r="T85" i="3"/>
  <c r="L73" i="3"/>
  <c r="Q82" i="3"/>
  <c r="C71" i="3"/>
  <c r="D72" i="3"/>
  <c r="F57" i="3"/>
  <c r="C68" i="3"/>
  <c r="V78" i="3"/>
  <c r="M76" i="3"/>
  <c r="F61" i="3"/>
  <c r="U59" i="3"/>
  <c r="P65" i="3"/>
  <c r="O61" i="3"/>
  <c r="M62" i="3"/>
  <c r="I59" i="3"/>
  <c r="K78" i="3"/>
  <c r="G83" i="3"/>
  <c r="F73" i="3"/>
  <c r="O66" i="3"/>
  <c r="T78" i="3"/>
  <c r="P59" i="3"/>
  <c r="S89" i="3"/>
  <c r="I89" i="3"/>
  <c r="D83" i="3"/>
  <c r="Q88" i="3"/>
  <c r="K73" i="3"/>
  <c r="T66" i="3"/>
  <c r="C80" i="3"/>
  <c r="G58" i="3"/>
  <c r="F82" i="3"/>
  <c r="C87" i="3"/>
  <c r="S71" i="3"/>
  <c r="V65" i="3"/>
  <c r="S76" i="3"/>
  <c r="H81" i="3"/>
  <c r="G69" i="3"/>
  <c r="G70" i="3"/>
  <c r="J66" i="3"/>
  <c r="X71" i="3"/>
  <c r="X58" i="3"/>
  <c r="R86" i="3"/>
  <c r="H69" i="3"/>
  <c r="I76" i="3"/>
  <c r="V73" i="3"/>
  <c r="U85" i="3"/>
  <c r="E61" i="3"/>
  <c r="D89" i="3"/>
  <c r="X86" i="3"/>
  <c r="X65" i="3"/>
  <c r="N76" i="3"/>
  <c r="U82" i="3"/>
  <c r="O67" i="3"/>
  <c r="H60" i="3"/>
  <c r="K68" i="3"/>
  <c r="R85" i="3"/>
  <c r="P75" i="3"/>
  <c r="G81" i="3"/>
  <c r="P86" i="3"/>
  <c r="J59" i="3"/>
  <c r="C66" i="3"/>
  <c r="F68" i="3"/>
  <c r="T68" i="3"/>
  <c r="U57" i="3"/>
  <c r="T59" i="3"/>
  <c r="M75" i="3"/>
  <c r="D86" i="3"/>
  <c r="J78" i="3"/>
  <c r="N81" i="3"/>
  <c r="Q63" i="3"/>
  <c r="V66" i="3"/>
  <c r="U60" i="3"/>
  <c r="S68" i="3"/>
  <c r="G57" i="3"/>
  <c r="P71" i="3"/>
  <c r="M68" i="3"/>
  <c r="K66" i="3"/>
  <c r="W63" i="3"/>
  <c r="E87" i="3"/>
  <c r="E78" i="3"/>
  <c r="M82" i="3"/>
  <c r="U86" i="3"/>
  <c r="O70" i="3"/>
  <c r="T57" i="3"/>
  <c r="I64" i="3"/>
  <c r="O79" i="3"/>
  <c r="I72" i="3"/>
  <c r="G75" i="3"/>
  <c r="T89" i="3"/>
  <c r="C89" i="3"/>
  <c r="X80" i="3"/>
  <c r="F80" i="3"/>
  <c r="S85" i="3"/>
  <c r="M70" i="3"/>
  <c r="V63" i="3"/>
  <c r="G74" i="3"/>
  <c r="U83" i="3"/>
  <c r="N78" i="3"/>
  <c r="E84" i="3"/>
  <c r="U68" i="3"/>
  <c r="H62" i="3"/>
  <c r="W70" i="3"/>
  <c r="R74" i="3"/>
  <c r="V81" i="3"/>
  <c r="S62" i="3"/>
  <c r="L63" i="3"/>
  <c r="E67" i="3"/>
  <c r="W64" i="3"/>
  <c r="J86" i="3"/>
  <c r="E70" i="3"/>
  <c r="C72" i="3"/>
  <c r="P72" i="3"/>
  <c r="G72" i="3"/>
  <c r="P60" i="3"/>
  <c r="S86" i="3"/>
  <c r="F70" i="3"/>
  <c r="C67" i="3"/>
  <c r="R58" i="3"/>
  <c r="I60" i="3"/>
  <c r="J88" i="3"/>
  <c r="W65" i="3"/>
  <c r="K82" i="3"/>
  <c r="F83" i="3"/>
  <c r="F59" i="3"/>
  <c r="W75" i="3"/>
  <c r="P80" i="3"/>
  <c r="Q64" i="3"/>
  <c r="N80" i="3"/>
  <c r="R65" i="3"/>
  <c r="P74" i="3"/>
  <c r="Q85" i="3"/>
  <c r="O68" i="3"/>
  <c r="X75" i="3"/>
  <c r="X78" i="3"/>
  <c r="X76" i="3"/>
  <c r="T83" i="3"/>
  <c r="L71" i="3"/>
  <c r="K81" i="3"/>
  <c r="S69" i="3"/>
  <c r="D68" i="3"/>
  <c r="S88" i="3"/>
  <c r="G66" i="3"/>
  <c r="E79" i="3"/>
  <c r="V82" i="3"/>
  <c r="T69" i="3"/>
  <c r="S79" i="3"/>
  <c r="E68" i="3"/>
  <c r="P66" i="3"/>
  <c r="M85" i="3"/>
  <c r="O64" i="3"/>
  <c r="H73" i="3"/>
  <c r="Q70" i="3"/>
  <c r="Q87" i="3"/>
  <c r="Q81" i="3"/>
  <c r="R62" i="3"/>
  <c r="S65" i="3"/>
  <c r="I66" i="3"/>
  <c r="F75" i="3"/>
  <c r="L85" i="3"/>
  <c r="K77" i="3"/>
  <c r="J63" i="3"/>
  <c r="S60" i="3"/>
  <c r="F71" i="3"/>
  <c r="P89" i="3"/>
  <c r="V89" i="3"/>
  <c r="X72" i="3"/>
  <c r="L79" i="3"/>
  <c r="C85" i="3"/>
  <c r="C69" i="3"/>
  <c r="F63" i="3"/>
  <c r="S72" i="3"/>
  <c r="P88" i="3"/>
  <c r="T77" i="3"/>
  <c r="K83" i="3"/>
  <c r="K67" i="3"/>
  <c r="N61" i="3"/>
  <c r="M69" i="3"/>
  <c r="V70" i="3"/>
  <c r="D76" i="3"/>
  <c r="I61" i="3"/>
  <c r="H61" i="3"/>
  <c r="O89" i="3"/>
  <c r="X88" i="3"/>
  <c r="J82" i="3"/>
  <c r="W87" i="3"/>
  <c r="W71" i="3"/>
  <c r="D66" i="3"/>
  <c r="O78" i="3"/>
  <c r="O88" i="3"/>
  <c r="X79" i="3"/>
  <c r="X66" i="3"/>
  <c r="J89" i="3"/>
  <c r="V72" i="3"/>
  <c r="G79" i="3"/>
  <c r="R79" i="3"/>
  <c r="E83" i="3"/>
  <c r="C64" i="3"/>
  <c r="R88" i="3"/>
  <c r="H71" i="3"/>
  <c r="O77" i="3"/>
  <c r="V77" i="3"/>
  <c r="K88" i="3"/>
  <c r="K62" i="3"/>
  <c r="U80" i="3"/>
  <c r="L58" i="3"/>
  <c r="F79" i="3"/>
  <c r="Q73" i="3"/>
  <c r="C57" i="3"/>
  <c r="N64" i="3"/>
  <c r="O87" i="3"/>
  <c r="H66" i="3"/>
  <c r="Q57" i="3"/>
  <c r="T61" i="3"/>
  <c r="C65" i="3"/>
  <c r="V87" i="3"/>
  <c r="O72" i="3"/>
  <c r="U88" i="3"/>
  <c r="J83" i="3"/>
  <c r="D78" i="3"/>
  <c r="K85" i="3"/>
  <c r="T65" i="3"/>
  <c r="G82" i="3"/>
  <c r="Q67" i="3"/>
  <c r="G80" i="3"/>
  <c r="G65" i="3"/>
  <c r="R84" i="3"/>
  <c r="J67" i="3"/>
  <c r="D80" i="3"/>
  <c r="V62" i="3"/>
  <c r="U65" i="3"/>
  <c r="T75" i="3"/>
  <c r="W66" i="3"/>
  <c r="R83" i="3"/>
  <c r="L66" i="3"/>
  <c r="H80" i="3"/>
  <c r="L65" i="3"/>
  <c r="K87" i="3"/>
  <c r="J80" i="3"/>
  <c r="E66" i="3"/>
  <c r="D64" i="3"/>
  <c r="E63" i="3"/>
  <c r="U62" i="3"/>
  <c r="T71" i="3"/>
  <c r="R64" i="3"/>
  <c r="D63" i="3"/>
  <c r="T88" i="3"/>
  <c r="R77" i="3"/>
  <c r="M66" i="3"/>
  <c r="V71" i="3"/>
  <c r="D85" i="3"/>
  <c r="O82" i="3"/>
  <c r="N71" i="3"/>
  <c r="G86" i="3"/>
  <c r="M74" i="3"/>
  <c r="N75" i="3"/>
  <c r="U58" i="3"/>
  <c r="P79" i="3"/>
  <c r="H64" i="3"/>
  <c r="L60" i="3"/>
  <c r="U71" i="3"/>
  <c r="C61" i="3"/>
  <c r="H67" i="3"/>
  <c r="I86" i="3"/>
  <c r="P77" i="3"/>
  <c r="M64" i="3"/>
  <c r="H57" i="3"/>
  <c r="D62" i="3"/>
  <c r="J60" i="3"/>
  <c r="P76" i="3"/>
  <c r="W85" i="3"/>
  <c r="R66" i="3"/>
  <c r="L61" i="3"/>
  <c r="H76" i="3"/>
  <c r="D79" i="3"/>
  <c r="N79" i="3"/>
  <c r="T60" i="3"/>
  <c r="S58" i="3"/>
  <c r="O57" i="3"/>
  <c r="S81" i="3"/>
  <c r="H88" i="3"/>
  <c r="M71" i="3"/>
  <c r="N72" i="3"/>
  <c r="K80" i="3"/>
  <c r="E59" i="3"/>
  <c r="H75" i="3"/>
  <c r="R71" i="3"/>
  <c r="E75" i="3"/>
  <c r="N87" i="3"/>
  <c r="T63" i="3"/>
  <c r="N66" i="3"/>
  <c r="N74" i="3"/>
  <c r="I75" i="3"/>
  <c r="K64" i="3"/>
  <c r="H74" i="3"/>
  <c r="S63" i="3"/>
  <c r="W67" i="3"/>
  <c r="N63" i="3"/>
  <c r="X87" i="3"/>
  <c r="E82" i="3"/>
  <c r="T82" i="3"/>
  <c r="P58" i="3"/>
  <c r="C86" i="3"/>
  <c r="D73" i="3"/>
  <c r="W57" i="3"/>
  <c r="L80" i="3"/>
  <c r="M73" i="3"/>
  <c r="E57" i="3"/>
  <c r="R72" i="3"/>
  <c r="S83" i="3"/>
  <c r="K65" i="3"/>
  <c r="R75" i="3"/>
  <c r="M87" i="3"/>
  <c r="U75" i="3"/>
  <c r="U87" i="3"/>
  <c r="Q60" i="3"/>
  <c r="K69" i="3"/>
  <c r="G63" i="3"/>
  <c r="J68" i="3"/>
  <c r="V86" i="3"/>
  <c r="G84" i="3"/>
  <c r="V67" i="3"/>
  <c r="L68" i="3"/>
  <c r="H63" i="3"/>
  <c r="W84" i="3"/>
  <c r="L67" i="3"/>
  <c r="V83" i="3"/>
  <c r="J73" i="3"/>
  <c r="J61" i="3"/>
  <c r="R60" i="3"/>
  <c r="C60" i="3"/>
  <c r="I70" i="3"/>
  <c r="S67" i="3"/>
  <c r="E64" i="3"/>
  <c r="D81" i="3"/>
  <c r="E69" i="3"/>
  <c r="Q66" i="3"/>
  <c r="O76" i="3"/>
  <c r="K71" i="3"/>
  <c r="C70" i="3"/>
  <c r="H83" i="3"/>
  <c r="T81" i="3"/>
  <c r="I79" i="3"/>
  <c r="D77" i="3"/>
  <c r="S66" i="3"/>
  <c r="N60" i="3"/>
  <c r="I57" i="3"/>
  <c r="G67" i="3"/>
  <c r="H68" i="3"/>
  <c r="O74" i="3"/>
  <c r="M84" i="3"/>
  <c r="N58" i="3"/>
  <c r="I88" i="3"/>
  <c r="N82" i="3"/>
  <c r="V64" i="3"/>
  <c r="I81" i="3"/>
  <c r="C81" i="3"/>
  <c r="E65" i="3"/>
  <c r="T72" i="3"/>
  <c r="K74" i="3"/>
  <c r="X82" i="3"/>
  <c r="N85" i="3"/>
  <c r="V74" i="3"/>
  <c r="I65" i="3"/>
  <c r="J58" i="3"/>
  <c r="P78" i="3"/>
  <c r="M63" i="3"/>
  <c r="R57" i="3"/>
  <c r="P63" i="3"/>
  <c r="K59" i="3"/>
  <c r="I78" i="3"/>
  <c r="V59" i="3"/>
  <c r="T70" i="3"/>
  <c r="Q83" i="3"/>
  <c r="S74" i="3"/>
  <c r="V68" i="3"/>
  <c r="C82" i="3"/>
  <c r="N65" i="3"/>
  <c r="N67" i="3"/>
  <c r="K76" i="3"/>
  <c r="Q74" i="3"/>
  <c r="C75" i="3"/>
  <c r="W59" i="3"/>
  <c r="U66" i="3"/>
  <c r="S80" i="3"/>
  <c r="M83" i="3"/>
  <c r="P61" i="3"/>
  <c r="Q78" i="3"/>
  <c r="C63" i="3"/>
  <c r="U64" i="3"/>
  <c r="C59" i="3"/>
  <c r="N57" i="3"/>
  <c r="W76" i="3"/>
  <c r="F65" i="3"/>
  <c r="I67" i="3"/>
  <c r="M60" i="3"/>
  <c r="Q84" i="3"/>
  <c r="O80" i="3"/>
  <c r="I77" i="3"/>
  <c r="P87" i="3"/>
  <c r="N77" i="3"/>
  <c r="S73" i="3"/>
  <c r="C58" i="3"/>
  <c r="T74" i="3"/>
  <c r="I62" i="3"/>
  <c r="W81" i="3"/>
  <c r="P69" i="3"/>
  <c r="Q58" i="3"/>
  <c r="S70" i="3"/>
  <c r="R59" i="3"/>
  <c r="V58" i="3"/>
  <c r="H72" i="3"/>
  <c r="W69" i="3"/>
  <c r="S59" i="3"/>
  <c r="R68" i="3"/>
  <c r="D71" i="3"/>
  <c r="J85" i="3"/>
  <c r="C62" i="3"/>
  <c r="L75" i="3"/>
  <c r="E58" i="3"/>
  <c r="D88" i="3"/>
  <c r="G61" i="3"/>
  <c r="F86" i="3"/>
  <c r="R81" i="3"/>
  <c r="X61" i="3"/>
  <c r="N59" i="3"/>
  <c r="M80" i="3"/>
  <c r="Q86" i="3"/>
  <c r="Q69" i="3"/>
  <c r="G62" i="3"/>
  <c r="N88" i="3"/>
  <c r="O60" i="3"/>
  <c r="W62" i="3"/>
  <c r="S82" i="3"/>
  <c r="T80" i="3"/>
  <c r="P57" i="3"/>
  <c r="O65" i="3"/>
  <c r="M59" i="3"/>
  <c r="K58" i="3"/>
  <c r="E80" i="3"/>
  <c r="R76" i="3"/>
  <c r="V85" i="3"/>
  <c r="F77" i="3"/>
  <c r="O63" i="3"/>
  <c r="P70" i="3"/>
  <c r="U81" i="3"/>
  <c r="O59" i="3"/>
  <c r="J70" i="3"/>
  <c r="O58" i="3"/>
  <c r="W68" i="3"/>
  <c r="Q62" i="3"/>
  <c r="H86" i="3"/>
  <c r="T73" i="3"/>
  <c r="T62" i="3"/>
  <c r="V69" i="3"/>
  <c r="F62" i="3"/>
  <c r="L81" i="3"/>
  <c r="Q68" i="3"/>
  <c r="R69" i="3"/>
  <c r="I83" i="3"/>
  <c r="W83" i="3"/>
  <c r="T79" i="3"/>
  <c r="L70" i="3"/>
  <c r="CN47" i="3"/>
  <c r="CH47" i="3"/>
  <c r="CG47" i="3"/>
  <c r="CJ47" i="3"/>
  <c r="CR47" i="3"/>
  <c r="CF47" i="3"/>
  <c r="CE47" i="3"/>
  <c r="CI47" i="3"/>
  <c r="CJ5" i="2"/>
  <c r="CL5" i="2"/>
  <c r="DC5" i="2"/>
  <c r="CQ5" i="2"/>
  <c r="CI5" i="2"/>
  <c r="DD5" i="2"/>
  <c r="CN5" i="2"/>
  <c r="DE5" i="2"/>
  <c r="CY5" i="2"/>
  <c r="DF5" i="2"/>
  <c r="CF5" i="2"/>
  <c r="DA5" i="2"/>
  <c r="CH5" i="2"/>
  <c r="DB5" i="2"/>
  <c r="CQ47" i="3" l="1"/>
  <c r="CM47" i="3"/>
  <c r="CK47" i="3"/>
  <c r="CL47" i="3"/>
  <c r="CO47" i="3"/>
  <c r="CG5" i="2"/>
  <c r="CK5" i="2"/>
  <c r="DO5" i="2"/>
  <c r="DP5" i="2" s="1"/>
  <c r="CM5" i="2"/>
  <c r="DG5" i="2" s="1"/>
  <c r="DJ5" i="2"/>
  <c r="DK5" i="2"/>
  <c r="DN5" i="2"/>
  <c r="DM5" i="2"/>
  <c r="DL5" i="2"/>
  <c r="DQ5" i="2"/>
  <c r="DR5" i="2" s="1"/>
  <c r="DS5" i="2"/>
  <c r="DT5" i="2" s="1"/>
  <c r="O36" i="1" a="1"/>
  <c r="O36" i="1" s="1"/>
  <c r="P36" i="1" a="1"/>
  <c r="P36" i="1" s="1"/>
  <c r="S37" i="1"/>
  <c r="W37" i="1"/>
  <c r="K2" i="16"/>
  <c r="V94" i="3" l="1"/>
  <c r="J94" i="3"/>
  <c r="C94" i="3"/>
  <c r="B57" i="3"/>
  <c r="E94" i="3"/>
  <c r="X94" i="3"/>
  <c r="I94" i="3"/>
  <c r="K94" i="3"/>
  <c r="F94" i="3"/>
  <c r="T94" i="3"/>
  <c r="M94" i="3"/>
  <c r="H94" i="3"/>
  <c r="P94" i="3"/>
  <c r="S94" i="3"/>
  <c r="R94" i="3"/>
  <c r="G94" i="3"/>
  <c r="L94" i="3"/>
  <c r="U94" i="3"/>
  <c r="Q94" i="3"/>
  <c r="W94" i="3"/>
  <c r="N94" i="3"/>
  <c r="O94" i="3"/>
  <c r="D94" i="3"/>
  <c r="I84" i="2"/>
  <c r="P99" i="2"/>
  <c r="J115" i="2"/>
  <c r="Y99" i="2"/>
  <c r="X113" i="2"/>
  <c r="Y105" i="2"/>
  <c r="R95" i="2"/>
  <c r="S97" i="2"/>
  <c r="V85" i="2"/>
  <c r="N92" i="2"/>
  <c r="W88" i="2"/>
  <c r="F86" i="2"/>
  <c r="D103" i="2"/>
  <c r="R79" i="2"/>
  <c r="W102" i="2"/>
  <c r="T99" i="2"/>
  <c r="T113" i="2"/>
  <c r="J98" i="2"/>
  <c r="K112" i="2"/>
  <c r="R106" i="2"/>
  <c r="T97" i="2"/>
  <c r="U78" i="2"/>
  <c r="V111" i="2"/>
  <c r="Z86" i="2"/>
  <c r="Q101" i="2"/>
  <c r="U106" i="2"/>
  <c r="K78" i="2"/>
  <c r="U104" i="2"/>
  <c r="W108" i="2"/>
  <c r="J100" i="2"/>
  <c r="O109" i="2"/>
  <c r="Y88" i="2"/>
  <c r="H113" i="2"/>
  <c r="K111" i="2"/>
  <c r="W113" i="2"/>
  <c r="M92" i="2"/>
  <c r="Z108" i="2"/>
  <c r="W86" i="2"/>
  <c r="S112" i="2"/>
  <c r="H86" i="2"/>
  <c r="T108" i="2"/>
  <c r="I90" i="2"/>
  <c r="U79" i="2"/>
  <c r="Z90" i="2"/>
  <c r="L90" i="2"/>
  <c r="P94" i="2"/>
  <c r="R111" i="2"/>
  <c r="D112" i="2"/>
  <c r="J112" i="2"/>
  <c r="U92" i="2"/>
  <c r="X110" i="2"/>
  <c r="H87" i="2"/>
  <c r="H111" i="2"/>
  <c r="T105" i="2"/>
  <c r="W97" i="2"/>
  <c r="F114" i="2"/>
  <c r="K114" i="2"/>
  <c r="O103" i="2"/>
  <c r="S116" i="2"/>
  <c r="G95" i="2"/>
  <c r="X105" i="2"/>
  <c r="U110" i="2"/>
  <c r="Y107" i="2"/>
  <c r="U91" i="2"/>
  <c r="X85" i="2"/>
  <c r="M82" i="2"/>
  <c r="E88" i="2"/>
  <c r="Y83" i="2"/>
  <c r="K80" i="2"/>
  <c r="T88" i="2"/>
  <c r="S80" i="2"/>
  <c r="Y109" i="2"/>
  <c r="L77" i="2"/>
  <c r="Y94" i="2"/>
  <c r="H109" i="2"/>
  <c r="J93" i="2"/>
  <c r="I111" i="2"/>
  <c r="X114" i="2"/>
  <c r="Y86" i="2"/>
  <c r="N114" i="2"/>
  <c r="G114" i="2"/>
  <c r="M83" i="2"/>
  <c r="P88" i="2"/>
  <c r="J111" i="2"/>
  <c r="E90" i="2"/>
  <c r="V89" i="2"/>
  <c r="N113" i="2"/>
  <c r="V116" i="2"/>
  <c r="H97" i="2"/>
  <c r="J90" i="2"/>
  <c r="M80" i="2"/>
  <c r="I104" i="2"/>
  <c r="W115" i="2"/>
  <c r="P78" i="2"/>
  <c r="P92" i="2"/>
  <c r="I105" i="2"/>
  <c r="U101" i="2"/>
  <c r="V90" i="2"/>
  <c r="S96" i="2"/>
  <c r="S89" i="2"/>
  <c r="X107" i="2"/>
  <c r="H88" i="2"/>
  <c r="X87" i="2"/>
  <c r="W79" i="2"/>
  <c r="T83" i="2"/>
  <c r="S110" i="2"/>
  <c r="H108" i="2"/>
  <c r="K115" i="2"/>
  <c r="H114" i="2"/>
  <c r="D107" i="2"/>
  <c r="Q96" i="2"/>
  <c r="I85" i="2"/>
  <c r="G84" i="2"/>
  <c r="X99" i="2"/>
  <c r="U80" i="2"/>
  <c r="U84" i="2"/>
  <c r="T116" i="2"/>
  <c r="D95" i="2"/>
  <c r="P98" i="2"/>
  <c r="P102" i="2"/>
  <c r="G102" i="2"/>
  <c r="Z96" i="2"/>
  <c r="T96" i="2"/>
  <c r="Q78" i="2"/>
  <c r="V88" i="2"/>
  <c r="M96" i="2"/>
  <c r="Q89" i="2"/>
  <c r="X95" i="2"/>
  <c r="Y89" i="2"/>
  <c r="N102" i="2"/>
  <c r="L89" i="2"/>
  <c r="X96" i="2"/>
  <c r="M77" i="2"/>
  <c r="E97" i="2"/>
  <c r="Y87" i="2"/>
  <c r="V83" i="2"/>
  <c r="H106" i="2"/>
  <c r="P115" i="2"/>
  <c r="R92" i="2"/>
  <c r="J84" i="2"/>
  <c r="O101" i="2"/>
  <c r="V97" i="2"/>
  <c r="L88" i="2"/>
  <c r="I102" i="2"/>
  <c r="K85" i="2"/>
  <c r="L100" i="2"/>
  <c r="D101" i="2"/>
  <c r="L113" i="2"/>
  <c r="G96" i="2"/>
  <c r="N91" i="2"/>
  <c r="Q83" i="2"/>
  <c r="V102" i="2"/>
  <c r="E83" i="2"/>
  <c r="I92" i="2"/>
  <c r="S104" i="2"/>
  <c r="U95" i="2"/>
  <c r="O88" i="2"/>
  <c r="G107" i="2"/>
  <c r="G80" i="2"/>
  <c r="Z95" i="2"/>
  <c r="V103" i="2"/>
  <c r="D108" i="2"/>
  <c r="O85" i="2"/>
  <c r="N104" i="2"/>
  <c r="Y79" i="2"/>
  <c r="K77" i="2"/>
  <c r="R78" i="2"/>
  <c r="Q85" i="2"/>
  <c r="S101" i="2"/>
  <c r="W111" i="2"/>
  <c r="G89" i="2"/>
  <c r="X104" i="2"/>
  <c r="U82" i="2"/>
  <c r="N99" i="2"/>
  <c r="K97" i="2"/>
  <c r="K107" i="2"/>
  <c r="W83" i="2"/>
  <c r="T112" i="2"/>
  <c r="J78" i="2"/>
  <c r="F77" i="2"/>
  <c r="E77" i="2"/>
  <c r="O79" i="2"/>
  <c r="F82" i="2"/>
  <c r="Z112" i="2"/>
  <c r="Z89" i="2"/>
  <c r="O114" i="2"/>
  <c r="R81" i="2"/>
  <c r="F113" i="2"/>
  <c r="J77" i="2"/>
  <c r="M105" i="2"/>
  <c r="G90" i="2"/>
  <c r="N109" i="2"/>
  <c r="E102" i="2"/>
  <c r="I99" i="2"/>
  <c r="J88" i="2"/>
  <c r="D106" i="2"/>
  <c r="U108" i="2"/>
  <c r="D104" i="2"/>
  <c r="Q107" i="2"/>
  <c r="J81" i="2"/>
  <c r="F109" i="2"/>
  <c r="S107" i="2"/>
  <c r="Y104" i="2"/>
  <c r="S100" i="2"/>
  <c r="G104" i="2"/>
  <c r="S81" i="2"/>
  <c r="E89" i="2"/>
  <c r="P107" i="2"/>
  <c r="R114" i="2"/>
  <c r="X90" i="2"/>
  <c r="G78" i="2"/>
  <c r="E109" i="2"/>
  <c r="N101" i="2"/>
  <c r="D96" i="2"/>
  <c r="M112" i="2"/>
  <c r="J101" i="2"/>
  <c r="X92" i="2"/>
  <c r="M84" i="2"/>
  <c r="U99" i="2"/>
  <c r="U83" i="2"/>
  <c r="H91" i="2"/>
  <c r="Y81" i="2"/>
  <c r="Z116" i="2"/>
  <c r="Y110" i="2"/>
  <c r="U105" i="2"/>
  <c r="R107" i="2"/>
  <c r="N94" i="2"/>
  <c r="S86" i="2"/>
  <c r="F103" i="2"/>
  <c r="F107" i="2"/>
  <c r="W116" i="2"/>
  <c r="F115" i="2"/>
  <c r="S115" i="2"/>
  <c r="W82" i="2"/>
  <c r="E84" i="2"/>
  <c r="U90" i="2"/>
  <c r="Z80" i="2"/>
  <c r="Z93" i="2"/>
  <c r="W92" i="2"/>
  <c r="X101" i="2"/>
  <c r="G91" i="2"/>
  <c r="N95" i="2"/>
  <c r="I87" i="2"/>
  <c r="W100" i="2"/>
  <c r="N93" i="2"/>
  <c r="M114" i="2"/>
  <c r="E115" i="2"/>
  <c r="S113" i="2"/>
  <c r="G113" i="2"/>
  <c r="J97" i="2"/>
  <c r="R115" i="2"/>
  <c r="Y85" i="2"/>
  <c r="U87" i="2"/>
  <c r="D100" i="2"/>
  <c r="U88" i="2"/>
  <c r="K82" i="2"/>
  <c r="Z78" i="2"/>
  <c r="K83" i="2"/>
  <c r="E81" i="2"/>
  <c r="U114" i="2"/>
  <c r="M106" i="2"/>
  <c r="O77" i="2"/>
  <c r="H77" i="2"/>
  <c r="G85" i="2"/>
  <c r="F79" i="2"/>
  <c r="V99" i="2"/>
  <c r="Y114" i="2"/>
  <c r="Q115" i="2"/>
  <c r="S83" i="2"/>
  <c r="G88" i="2"/>
  <c r="Q91" i="2"/>
  <c r="P86" i="2"/>
  <c r="I107" i="2"/>
  <c r="Y113" i="2"/>
  <c r="I98" i="2"/>
  <c r="Z97" i="2"/>
  <c r="X82" i="2"/>
  <c r="L116" i="2"/>
  <c r="F100" i="2"/>
  <c r="K87" i="2"/>
  <c r="N86" i="2"/>
  <c r="K84" i="2"/>
  <c r="M115" i="2"/>
  <c r="Y102" i="2"/>
  <c r="W99" i="2"/>
  <c r="W110" i="2"/>
  <c r="F95" i="2"/>
  <c r="G105" i="2"/>
  <c r="R109" i="2"/>
  <c r="M89" i="2"/>
  <c r="N78" i="2"/>
  <c r="Z88" i="2"/>
  <c r="W93" i="2"/>
  <c r="T115" i="2"/>
  <c r="E99" i="2"/>
  <c r="H103" i="2"/>
  <c r="Q111" i="2"/>
  <c r="U97" i="2"/>
  <c r="G77" i="2"/>
  <c r="K113" i="2"/>
  <c r="J82" i="2"/>
  <c r="Y96" i="2"/>
  <c r="R99" i="2"/>
  <c r="E110" i="2"/>
  <c r="S98" i="2"/>
  <c r="T92" i="2"/>
  <c r="J110" i="2"/>
  <c r="X78" i="2"/>
  <c r="R100" i="2"/>
  <c r="W84" i="2"/>
  <c r="S79" i="2"/>
  <c r="Z84" i="2"/>
  <c r="H90" i="2"/>
  <c r="S106" i="2"/>
  <c r="L95" i="2"/>
  <c r="I86" i="2"/>
  <c r="J107" i="2"/>
  <c r="N116" i="2"/>
  <c r="M109" i="2"/>
  <c r="I94" i="2"/>
  <c r="G79" i="2"/>
  <c r="E96" i="2"/>
  <c r="S105" i="2"/>
  <c r="Y111" i="2"/>
  <c r="L85" i="2"/>
  <c r="L79" i="2"/>
  <c r="I106" i="2"/>
  <c r="N111" i="2"/>
  <c r="K95" i="2"/>
  <c r="D83" i="2"/>
  <c r="I82" i="2"/>
  <c r="V92" i="2"/>
  <c r="I96" i="2"/>
  <c r="N85" i="2"/>
  <c r="I75" i="2"/>
  <c r="S76" i="2"/>
  <c r="L98" i="2"/>
  <c r="E98" i="2"/>
  <c r="K108" i="2"/>
  <c r="U75" i="2"/>
  <c r="P106" i="2"/>
  <c r="T103" i="2"/>
  <c r="Z103" i="2"/>
  <c r="O82" i="2"/>
  <c r="F108" i="2"/>
  <c r="E100" i="2"/>
  <c r="L105" i="2"/>
  <c r="M100" i="2"/>
  <c r="O108" i="2"/>
  <c r="L82" i="2"/>
  <c r="H112" i="2"/>
  <c r="F83" i="2"/>
  <c r="R89" i="2"/>
  <c r="S93" i="2"/>
  <c r="H85" i="2"/>
  <c r="G75" i="2"/>
  <c r="Q90" i="2"/>
  <c r="H101" i="2"/>
  <c r="G81" i="2"/>
  <c r="Q105" i="2"/>
  <c r="Q79" i="2"/>
  <c r="J79" i="2"/>
  <c r="E78" i="2"/>
  <c r="R82" i="2"/>
  <c r="L106" i="2"/>
  <c r="F78" i="2"/>
  <c r="O104" i="2"/>
  <c r="O92" i="2"/>
  <c r="N110" i="2"/>
  <c r="N106" i="2"/>
  <c r="O100" i="2"/>
  <c r="M93" i="2"/>
  <c r="P90" i="2"/>
  <c r="Q100" i="2"/>
  <c r="V106" i="2"/>
  <c r="F104" i="2"/>
  <c r="R86" i="2"/>
  <c r="K102" i="2"/>
  <c r="I100" i="2"/>
  <c r="L97" i="2"/>
  <c r="R80" i="2"/>
  <c r="M81" i="2"/>
  <c r="L81" i="2"/>
  <c r="Z92" i="2"/>
  <c r="T89" i="2"/>
  <c r="R105" i="2"/>
  <c r="E87" i="2"/>
  <c r="D77" i="2"/>
  <c r="M86" i="2"/>
  <c r="G103" i="2"/>
  <c r="V91" i="2"/>
  <c r="X112" i="2"/>
  <c r="P91" i="2"/>
  <c r="K91" i="2"/>
  <c r="N100" i="2"/>
  <c r="X80" i="2"/>
  <c r="P82" i="2"/>
  <c r="T90" i="2"/>
  <c r="U81" i="2"/>
  <c r="I114" i="2"/>
  <c r="P79" i="2"/>
  <c r="Q106" i="2"/>
  <c r="Z85" i="2"/>
  <c r="V77" i="2"/>
  <c r="L104" i="2"/>
  <c r="U77" i="2"/>
  <c r="V108" i="2"/>
  <c r="Y98" i="2"/>
  <c r="Q77" i="2"/>
  <c r="G86" i="2"/>
  <c r="S78" i="2"/>
  <c r="U102" i="2"/>
  <c r="W78" i="2"/>
  <c r="R94" i="2"/>
  <c r="V104" i="2"/>
  <c r="Z114" i="2"/>
  <c r="F98" i="2"/>
  <c r="S102" i="2"/>
  <c r="F93" i="2"/>
  <c r="D92" i="2"/>
  <c r="L86" i="2"/>
  <c r="G94" i="2"/>
  <c r="P109" i="2"/>
  <c r="R85" i="2"/>
  <c r="S109" i="2"/>
  <c r="O94" i="2"/>
  <c r="K86" i="2"/>
  <c r="V114" i="2"/>
  <c r="L101" i="2"/>
  <c r="R97" i="2"/>
  <c r="R90" i="2"/>
  <c r="X89" i="2"/>
  <c r="W101" i="2"/>
  <c r="P97" i="2"/>
  <c r="M78" i="2"/>
  <c r="Z106" i="2"/>
  <c r="H95" i="2"/>
  <c r="W106" i="2"/>
  <c r="W114" i="2"/>
  <c r="X88" i="2"/>
  <c r="T91" i="2"/>
  <c r="Z98" i="2"/>
  <c r="G83" i="2"/>
  <c r="I116" i="2"/>
  <c r="G92" i="2"/>
  <c r="H81" i="2"/>
  <c r="Q82" i="2"/>
  <c r="E92" i="2"/>
  <c r="I112" i="2"/>
  <c r="J116" i="2"/>
  <c r="K98" i="2"/>
  <c r="U116" i="2"/>
  <c r="D102" i="2"/>
  <c r="D105" i="2"/>
  <c r="M97" i="2"/>
  <c r="D94" i="2"/>
  <c r="P110" i="2"/>
  <c r="Y80" i="2"/>
  <c r="F99" i="2"/>
  <c r="M95" i="2"/>
  <c r="E95" i="2"/>
  <c r="P95" i="2"/>
  <c r="I88" i="2"/>
  <c r="L78" i="2"/>
  <c r="Z100" i="2"/>
  <c r="H105" i="2"/>
  <c r="D88" i="2"/>
  <c r="D90" i="2"/>
  <c r="H115" i="2"/>
  <c r="L94" i="2"/>
  <c r="X98" i="2"/>
  <c r="E104" i="2"/>
  <c r="S90" i="2"/>
  <c r="T80" i="2"/>
  <c r="Z77" i="2"/>
  <c r="I110" i="2"/>
  <c r="G115" i="2"/>
  <c r="S75" i="2"/>
  <c r="J76" i="2"/>
  <c r="X76" i="2"/>
  <c r="V112" i="2"/>
  <c r="K93" i="2"/>
  <c r="R84" i="2"/>
  <c r="N75" i="2"/>
  <c r="L114" i="2"/>
  <c r="V113" i="2"/>
  <c r="M79" i="2"/>
  <c r="Y108" i="2"/>
  <c r="J113" i="2"/>
  <c r="J95" i="2"/>
  <c r="R77" i="2"/>
  <c r="Y77" i="2"/>
  <c r="N84" i="2"/>
  <c r="S85" i="2"/>
  <c r="P112" i="2"/>
  <c r="Q109" i="2"/>
  <c r="F112" i="2"/>
  <c r="G110" i="2"/>
  <c r="J102" i="2"/>
  <c r="R76" i="2"/>
  <c r="Q92" i="2"/>
  <c r="I93" i="2"/>
  <c r="J103" i="2"/>
  <c r="I89" i="2"/>
  <c r="K100" i="2"/>
  <c r="L80" i="2"/>
  <c r="R116" i="2"/>
  <c r="H102" i="2"/>
  <c r="O81" i="2"/>
  <c r="O87" i="2"/>
  <c r="P108" i="2"/>
  <c r="V109" i="2"/>
  <c r="N107" i="2"/>
  <c r="R102" i="2"/>
  <c r="L99" i="2"/>
  <c r="Q114" i="2"/>
  <c r="O83" i="2"/>
  <c r="G99" i="2"/>
  <c r="P116" i="2"/>
  <c r="X109" i="2"/>
  <c r="K76" i="2"/>
  <c r="N76" i="2"/>
  <c r="E76" i="2"/>
  <c r="W91" i="2"/>
  <c r="L92" i="2"/>
  <c r="F91" i="2"/>
  <c r="X77" i="2"/>
  <c r="M116" i="2"/>
  <c r="W89" i="2"/>
  <c r="R96" i="2"/>
  <c r="X93" i="2"/>
  <c r="U85" i="2"/>
  <c r="X83" i="2"/>
  <c r="Y115" i="2"/>
  <c r="Q99" i="2"/>
  <c r="I83" i="2"/>
  <c r="J85" i="2"/>
  <c r="T87" i="2"/>
  <c r="R83" i="2"/>
  <c r="P93" i="2"/>
  <c r="T93" i="2"/>
  <c r="X108" i="2"/>
  <c r="I95" i="2"/>
  <c r="U76" i="2"/>
  <c r="X75" i="2"/>
  <c r="J75" i="2"/>
  <c r="O110" i="2"/>
  <c r="K105" i="2"/>
  <c r="D76" i="2"/>
  <c r="Q75" i="2"/>
  <c r="J105" i="2"/>
  <c r="F106" i="2"/>
  <c r="Q94" i="2"/>
  <c r="D86" i="2"/>
  <c r="I81" i="2"/>
  <c r="E94" i="2"/>
  <c r="P77" i="2"/>
  <c r="N81" i="2"/>
  <c r="O112" i="2"/>
  <c r="M110" i="2"/>
  <c r="L91" i="2"/>
  <c r="Z81" i="2"/>
  <c r="Z83" i="2"/>
  <c r="J89" i="2"/>
  <c r="Y106" i="2"/>
  <c r="X106" i="2"/>
  <c r="D93" i="2"/>
  <c r="M98" i="2"/>
  <c r="W90" i="2"/>
  <c r="W87" i="2"/>
  <c r="W98" i="2"/>
  <c r="J91" i="2"/>
  <c r="M111" i="2"/>
  <c r="T109" i="2"/>
  <c r="L110" i="2"/>
  <c r="O105" i="2"/>
  <c r="L111" i="2"/>
  <c r="L87" i="2"/>
  <c r="F110" i="2"/>
  <c r="R98" i="2"/>
  <c r="V96" i="2"/>
  <c r="P84" i="2"/>
  <c r="V101" i="2"/>
  <c r="J92" i="2"/>
  <c r="F84" i="2"/>
  <c r="M91" i="2"/>
  <c r="W112" i="2"/>
  <c r="T110" i="2"/>
  <c r="Y112" i="2"/>
  <c r="D113" i="2"/>
  <c r="R104" i="2"/>
  <c r="H80" i="2"/>
  <c r="X97" i="2"/>
  <c r="Z105" i="2"/>
  <c r="H92" i="2"/>
  <c r="Q98" i="2"/>
  <c r="P85" i="2"/>
  <c r="D78" i="2"/>
  <c r="D109" i="2"/>
  <c r="Q113" i="2"/>
  <c r="T84" i="2"/>
  <c r="K103" i="2"/>
  <c r="J86" i="2"/>
  <c r="Y84" i="2"/>
  <c r="T79" i="2"/>
  <c r="P100" i="2"/>
  <c r="N103" i="2"/>
  <c r="N98" i="2"/>
  <c r="Y101" i="2"/>
  <c r="Q93" i="2"/>
  <c r="N83" i="2"/>
  <c r="S88" i="2"/>
  <c r="M103" i="2"/>
  <c r="R91" i="2"/>
  <c r="O90" i="2"/>
  <c r="L107" i="2"/>
  <c r="Y103" i="2"/>
  <c r="E101" i="2"/>
  <c r="F90" i="2"/>
  <c r="O97" i="2"/>
  <c r="Z113" i="2"/>
  <c r="P87" i="2"/>
  <c r="F94" i="2"/>
  <c r="I78" i="2"/>
  <c r="L103" i="2"/>
  <c r="M94" i="2"/>
  <c r="K94" i="2"/>
  <c r="H84" i="2"/>
  <c r="W81" i="2"/>
  <c r="S77" i="2"/>
  <c r="N88" i="2"/>
  <c r="V110" i="2"/>
  <c r="D82" i="2"/>
  <c r="J106" i="2"/>
  <c r="Y91" i="2"/>
  <c r="T107" i="2"/>
  <c r="U107" i="2"/>
  <c r="F116" i="2"/>
  <c r="G106" i="2"/>
  <c r="J80" i="2"/>
  <c r="D84" i="2"/>
  <c r="Q86" i="2"/>
  <c r="P105" i="2"/>
  <c r="I77" i="2"/>
  <c r="E79" i="2"/>
  <c r="I80" i="2"/>
  <c r="D87" i="2"/>
  <c r="L112" i="2"/>
  <c r="S95" i="2"/>
  <c r="V107" i="2"/>
  <c r="Z87" i="2"/>
  <c r="Y93" i="2"/>
  <c r="R103" i="2"/>
  <c r="V95" i="2"/>
  <c r="O80" i="2"/>
  <c r="K96" i="2"/>
  <c r="T82" i="2"/>
  <c r="I115" i="2"/>
  <c r="O96" i="2"/>
  <c r="L84" i="2"/>
  <c r="F76" i="2"/>
  <c r="T76" i="2"/>
  <c r="D111" i="2"/>
  <c r="E75" i="2"/>
  <c r="K101" i="2"/>
  <c r="X103" i="2"/>
  <c r="M104" i="2"/>
  <c r="E93" i="2"/>
  <c r="R101" i="2"/>
  <c r="P114" i="2"/>
  <c r="R113" i="2"/>
  <c r="W105" i="2"/>
  <c r="S91" i="2"/>
  <c r="T95" i="2"/>
  <c r="Y82" i="2"/>
  <c r="J104" i="2"/>
  <c r="U103" i="2"/>
  <c r="G100" i="2"/>
  <c r="V98" i="2"/>
  <c r="G87" i="2"/>
  <c r="K109" i="2"/>
  <c r="Q84" i="2"/>
  <c r="L75" i="2"/>
  <c r="M76" i="2"/>
  <c r="Y75" i="2"/>
  <c r="F101" i="2"/>
  <c r="Q103" i="2"/>
  <c r="X116" i="2"/>
  <c r="H94" i="2"/>
  <c r="D89" i="2"/>
  <c r="K81" i="2"/>
  <c r="M88" i="2"/>
  <c r="K88" i="2"/>
  <c r="S99" i="2"/>
  <c r="F89" i="2"/>
  <c r="X115" i="2"/>
  <c r="P101" i="2"/>
  <c r="P80" i="2"/>
  <c r="U89" i="2"/>
  <c r="I91" i="2"/>
  <c r="I76" i="2"/>
  <c r="V76" i="2"/>
  <c r="T85" i="2"/>
  <c r="M87" i="2"/>
  <c r="D75" i="2"/>
  <c r="P75" i="2"/>
  <c r="D98" i="2"/>
  <c r="N79" i="2"/>
  <c r="E113" i="2"/>
  <c r="F80" i="2"/>
  <c r="Q102" i="2"/>
  <c r="V80" i="2"/>
  <c r="S92" i="2"/>
  <c r="K79" i="2"/>
  <c r="D79" i="2"/>
  <c r="H110" i="2"/>
  <c r="N96" i="2"/>
  <c r="F97" i="2"/>
  <c r="I97" i="2"/>
  <c r="E82" i="2"/>
  <c r="P111" i="2"/>
  <c r="O98" i="2"/>
  <c r="D114" i="2"/>
  <c r="U94" i="2"/>
  <c r="N97" i="2"/>
  <c r="F105" i="2"/>
  <c r="H116" i="2"/>
  <c r="E103" i="2"/>
  <c r="K90" i="2"/>
  <c r="P83" i="2"/>
  <c r="F96" i="2"/>
  <c r="Z101" i="2"/>
  <c r="U96" i="2"/>
  <c r="W85" i="2"/>
  <c r="J114" i="2"/>
  <c r="N105" i="2"/>
  <c r="Q116" i="2"/>
  <c r="X102" i="2"/>
  <c r="K116" i="2"/>
  <c r="F75" i="2"/>
  <c r="L76" i="2"/>
  <c r="E85" i="2"/>
  <c r="G76" i="2"/>
  <c r="R112" i="2"/>
  <c r="F85" i="2"/>
  <c r="F92" i="2"/>
  <c r="V100" i="2"/>
  <c r="Q95" i="2"/>
  <c r="O116" i="2"/>
  <c r="V115" i="2"/>
  <c r="D80" i="2"/>
  <c r="Z94" i="2"/>
  <c r="K104" i="2"/>
  <c r="O93" i="2"/>
  <c r="W104" i="2"/>
  <c r="Y90" i="2"/>
  <c r="V84" i="2"/>
  <c r="E106" i="2"/>
  <c r="N90" i="2"/>
  <c r="N77" i="2"/>
  <c r="Y97" i="2"/>
  <c r="Z76" i="2"/>
  <c r="Q76" i="2"/>
  <c r="Q104" i="2"/>
  <c r="E114" i="2"/>
  <c r="L115" i="2"/>
  <c r="H104" i="2"/>
  <c r="U86" i="2"/>
  <c r="O102" i="2"/>
  <c r="Y95" i="2"/>
  <c r="H89" i="2"/>
  <c r="Z104" i="2"/>
  <c r="R93" i="2"/>
  <c r="Z91" i="2"/>
  <c r="M113" i="2"/>
  <c r="W94" i="2"/>
  <c r="P113" i="2"/>
  <c r="Y78" i="2"/>
  <c r="Z109" i="2"/>
  <c r="R75" i="2"/>
  <c r="H75" i="2"/>
  <c r="D91" i="2"/>
  <c r="S94" i="2"/>
  <c r="O91" i="2"/>
  <c r="J87" i="2"/>
  <c r="U98" i="2"/>
  <c r="U113" i="2"/>
  <c r="Z79" i="2"/>
  <c r="N87" i="2"/>
  <c r="W107" i="2"/>
  <c r="U111" i="2"/>
  <c r="X94" i="2"/>
  <c r="T111" i="2"/>
  <c r="K92" i="2"/>
  <c r="P96" i="2"/>
  <c r="Z107" i="2"/>
  <c r="W95" i="2"/>
  <c r="U100" i="2"/>
  <c r="D85" i="2"/>
  <c r="D110" i="2"/>
  <c r="I109" i="2"/>
  <c r="K99" i="2"/>
  <c r="Y116" i="2"/>
  <c r="M90" i="2"/>
  <c r="X86" i="2"/>
  <c r="T98" i="2"/>
  <c r="E105" i="2"/>
  <c r="G98" i="2"/>
  <c r="V81" i="2"/>
  <c r="E91" i="2"/>
  <c r="M85" i="2"/>
  <c r="Z115" i="2"/>
  <c r="X100" i="2"/>
  <c r="O113" i="2"/>
  <c r="V105" i="2"/>
  <c r="P81" i="2"/>
  <c r="W76" i="2"/>
  <c r="H93" i="2"/>
  <c r="J99" i="2"/>
  <c r="I79" i="2"/>
  <c r="Z99" i="2"/>
  <c r="L83" i="2"/>
  <c r="O86" i="2"/>
  <c r="X79" i="2"/>
  <c r="S82" i="2"/>
  <c r="V94" i="2"/>
  <c r="T81" i="2"/>
  <c r="G82" i="2"/>
  <c r="G116" i="2"/>
  <c r="J96" i="2"/>
  <c r="F81" i="2"/>
  <c r="V79" i="2"/>
  <c r="J94" i="2"/>
  <c r="L102" i="2"/>
  <c r="T94" i="2"/>
  <c r="G97" i="2"/>
  <c r="Y92" i="2"/>
  <c r="S87" i="2"/>
  <c r="W75" i="2"/>
  <c r="K75" i="2"/>
  <c r="H99" i="2"/>
  <c r="T78" i="2"/>
  <c r="O78" i="2"/>
  <c r="D97" i="2"/>
  <c r="X84" i="2"/>
  <c r="J83" i="2"/>
  <c r="N82" i="2"/>
  <c r="W77" i="2"/>
  <c r="T77" i="2"/>
  <c r="Q110" i="2"/>
  <c r="E107" i="2"/>
  <c r="E80" i="2"/>
  <c r="D81" i="2"/>
  <c r="Q81" i="2"/>
  <c r="G93" i="2"/>
  <c r="T75" i="2"/>
  <c r="H76" i="2"/>
  <c r="R87" i="2"/>
  <c r="O84" i="2"/>
  <c r="Z75" i="2"/>
  <c r="I101" i="2"/>
  <c r="M99" i="2"/>
  <c r="L93" i="2"/>
  <c r="U93" i="2"/>
  <c r="Q87" i="2"/>
  <c r="V93" i="2"/>
  <c r="T100" i="2"/>
  <c r="X111" i="2"/>
  <c r="P104" i="2"/>
  <c r="K110" i="2"/>
  <c r="M101" i="2"/>
  <c r="O89" i="2"/>
  <c r="F102" i="2"/>
  <c r="Y100" i="2"/>
  <c r="Z102" i="2"/>
  <c r="S84" i="2"/>
  <c r="D115" i="2"/>
  <c r="T114" i="2"/>
  <c r="V87" i="2"/>
  <c r="Z110" i="2"/>
  <c r="H96" i="2"/>
  <c r="U109" i="2"/>
  <c r="L109" i="2"/>
  <c r="H100" i="2"/>
  <c r="D116" i="2"/>
  <c r="O115" i="2"/>
  <c r="V78" i="2"/>
  <c r="Q97" i="2"/>
  <c r="R110" i="2"/>
  <c r="H98" i="2"/>
  <c r="W103" i="2"/>
  <c r="H107" i="2"/>
  <c r="T86" i="2"/>
  <c r="O76" i="2"/>
  <c r="I113" i="2"/>
  <c r="O75" i="2"/>
  <c r="N80" i="2"/>
  <c r="M107" i="2"/>
  <c r="H79" i="2"/>
  <c r="W96" i="2"/>
  <c r="I103" i="2"/>
  <c r="H78" i="2"/>
  <c r="S114" i="2"/>
  <c r="N115" i="2"/>
  <c r="O95" i="2"/>
  <c r="X91" i="2"/>
  <c r="F87" i="2"/>
  <c r="E86" i="2"/>
  <c r="V86" i="2"/>
  <c r="E116" i="2"/>
  <c r="P103" i="2"/>
  <c r="Z111" i="2"/>
  <c r="M108" i="2"/>
  <c r="T104" i="2"/>
  <c r="X81" i="2"/>
  <c r="P76" i="2"/>
  <c r="Y76" i="2"/>
  <c r="W109" i="2"/>
  <c r="T101" i="2"/>
  <c r="K106" i="2"/>
  <c r="S108" i="2"/>
  <c r="W80" i="2"/>
  <c r="V82" i="2"/>
  <c r="G101" i="2"/>
  <c r="L96" i="2"/>
  <c r="U115" i="2"/>
  <c r="T106" i="2"/>
  <c r="K89" i="2"/>
  <c r="O106" i="2"/>
  <c r="G109" i="2"/>
  <c r="F88" i="2"/>
  <c r="Z82" i="2"/>
  <c r="V75" i="2"/>
  <c r="Q80" i="2"/>
  <c r="M75" i="2"/>
  <c r="L40" i="16" l="1"/>
  <c r="K40" i="16"/>
  <c r="L39" i="16"/>
  <c r="K39" i="16"/>
  <c r="L38" i="16"/>
  <c r="K38" i="16"/>
  <c r="L37" i="16"/>
  <c r="K37" i="16"/>
  <c r="L36" i="16"/>
  <c r="K36" i="16"/>
  <c r="L35" i="16"/>
  <c r="K35" i="16"/>
  <c r="L34" i="16"/>
  <c r="K34" i="16"/>
  <c r="L33" i="16"/>
  <c r="K33" i="16"/>
  <c r="L32" i="16"/>
  <c r="K32" i="16"/>
  <c r="L31" i="16"/>
  <c r="K31" i="16"/>
  <c r="L30" i="16"/>
  <c r="K30" i="16"/>
  <c r="L29" i="16"/>
  <c r="K29" i="16"/>
  <c r="L28" i="16"/>
  <c r="K28" i="16"/>
  <c r="L27" i="16"/>
  <c r="K27" i="16"/>
  <c r="L26" i="16"/>
  <c r="K26" i="16"/>
  <c r="L25" i="16"/>
  <c r="K25" i="16"/>
  <c r="L24" i="16"/>
  <c r="K24" i="16"/>
  <c r="L23" i="16"/>
  <c r="K23" i="16"/>
  <c r="L22" i="16"/>
  <c r="K22" i="16"/>
  <c r="L21" i="16"/>
  <c r="K21" i="16"/>
  <c r="L20" i="16"/>
  <c r="K20" i="16"/>
  <c r="L19" i="16"/>
  <c r="K19" i="16"/>
  <c r="L18" i="16"/>
  <c r="K18" i="16"/>
  <c r="L17" i="16"/>
  <c r="K17" i="16"/>
  <c r="L16" i="16"/>
  <c r="K16" i="16"/>
  <c r="L15" i="16"/>
  <c r="K15" i="16"/>
  <c r="L14" i="16"/>
  <c r="K14" i="16"/>
  <c r="L13" i="16"/>
  <c r="K13" i="16"/>
  <c r="L12" i="16"/>
  <c r="K12" i="16"/>
  <c r="L11" i="16"/>
  <c r="K11" i="16"/>
  <c r="L10" i="16"/>
  <c r="K10" i="16"/>
  <c r="L9" i="16"/>
  <c r="K9" i="16"/>
  <c r="L8" i="16"/>
  <c r="K8" i="16"/>
  <c r="L7" i="16"/>
  <c r="K7" i="16"/>
  <c r="R26" i="16" l="1" a="1"/>
  <c r="V26" i="16" s="1"/>
  <c r="R28" i="16" a="1"/>
  <c r="X28" i="16" s="1"/>
  <c r="R30" i="16" a="1"/>
  <c r="W30" i="16" s="1"/>
  <c r="R32" i="16" a="1"/>
  <c r="Z32" i="16" s="1"/>
  <c r="R34" i="16" a="1"/>
  <c r="R34" i="16" s="1"/>
  <c r="R36" i="16" a="1"/>
  <c r="V36" i="16" s="1"/>
  <c r="R38" i="16" a="1"/>
  <c r="T38" i="16" s="1"/>
  <c r="R40" i="16" a="1"/>
  <c r="Z40" i="16" s="1"/>
  <c r="R27" i="16" a="1"/>
  <c r="X27" i="16" s="1"/>
  <c r="R29" i="16" a="1"/>
  <c r="W29" i="16" s="1"/>
  <c r="R31" i="16" a="1"/>
  <c r="Y31" i="16" s="1"/>
  <c r="R33" i="16" a="1"/>
  <c r="U33" i="16" s="1"/>
  <c r="R35" i="16" a="1"/>
  <c r="Z35" i="16" s="1"/>
  <c r="R37" i="16" a="1"/>
  <c r="V37" i="16" s="1"/>
  <c r="R39" i="16" a="1"/>
  <c r="S39" i="16" s="1"/>
  <c r="L6" i="16"/>
  <c r="K6" i="16"/>
  <c r="L5" i="16"/>
  <c r="K5" i="16"/>
  <c r="R25" i="16" l="1" a="1"/>
  <c r="AB25" i="16" s="1"/>
  <c r="U32" i="16"/>
  <c r="S40" i="16"/>
  <c r="Y32" i="16"/>
  <c r="U40" i="16"/>
  <c r="W32" i="16"/>
  <c r="V40" i="16"/>
  <c r="AA40" i="16"/>
  <c r="X32" i="16"/>
  <c r="T32" i="16"/>
  <c r="Y40" i="16"/>
  <c r="R40" i="16"/>
  <c r="S32" i="16"/>
  <c r="AA27" i="16"/>
  <c r="R24" i="16" a="1"/>
  <c r="AB24" i="16" s="1"/>
  <c r="U27" i="16"/>
  <c r="U38" i="16"/>
  <c r="R23" i="16" a="1"/>
  <c r="W23" i="16" s="1"/>
  <c r="V27" i="16"/>
  <c r="Y27" i="16"/>
  <c r="T40" i="16"/>
  <c r="AB40" i="16"/>
  <c r="AB32" i="16"/>
  <c r="R32" i="16"/>
  <c r="S27" i="16"/>
  <c r="W40" i="16"/>
  <c r="X40" i="16"/>
  <c r="AA32" i="16"/>
  <c r="V32" i="16"/>
  <c r="Y30" i="16"/>
  <c r="AB30" i="16"/>
  <c r="W38" i="16"/>
  <c r="X30" i="16"/>
  <c r="U30" i="16"/>
  <c r="S33" i="16"/>
  <c r="AA38" i="16"/>
  <c r="Y38" i="16"/>
  <c r="AA30" i="16"/>
  <c r="Z33" i="16"/>
  <c r="X38" i="16"/>
  <c r="T30" i="16"/>
  <c r="AB38" i="16"/>
  <c r="V30" i="16"/>
  <c r="S30" i="16"/>
  <c r="Y33" i="16"/>
  <c r="S38" i="16"/>
  <c r="V38" i="16"/>
  <c r="S35" i="16"/>
  <c r="R22" i="16" a="1"/>
  <c r="V22" i="16" s="1"/>
  <c r="T34" i="16"/>
  <c r="AB34" i="16"/>
  <c r="T26" i="16"/>
  <c r="U26" i="16"/>
  <c r="Z34" i="16"/>
  <c r="X35" i="16"/>
  <c r="T39" i="16"/>
  <c r="R31" i="16"/>
  <c r="Z30" i="16"/>
  <c r="R30" i="16"/>
  <c r="R38" i="16"/>
  <c r="Z38" i="16"/>
  <c r="S34" i="16"/>
  <c r="V34" i="16"/>
  <c r="R26" i="16"/>
  <c r="Z26" i="16"/>
  <c r="Z31" i="16"/>
  <c r="U34" i="16"/>
  <c r="W26" i="16"/>
  <c r="AB31" i="16"/>
  <c r="R21" i="16" a="1"/>
  <c r="AA21" i="16" s="1"/>
  <c r="T36" i="16"/>
  <c r="T28" i="16"/>
  <c r="V29" i="16"/>
  <c r="Y36" i="16"/>
  <c r="V28" i="16"/>
  <c r="Z37" i="16"/>
  <c r="R36" i="16"/>
  <c r="S36" i="16"/>
  <c r="AB36" i="16"/>
  <c r="Z36" i="16"/>
  <c r="U28" i="16"/>
  <c r="W28" i="16"/>
  <c r="AB28" i="16"/>
  <c r="AB26" i="16"/>
  <c r="AB37" i="16"/>
  <c r="Y37" i="16"/>
  <c r="V35" i="16"/>
  <c r="AA35" i="16"/>
  <c r="AA29" i="16"/>
  <c r="T27" i="16"/>
  <c r="Z27" i="16"/>
  <c r="U36" i="16"/>
  <c r="W36" i="16"/>
  <c r="AA36" i="16"/>
  <c r="X34" i="16"/>
  <c r="AA34" i="16"/>
  <c r="Z28" i="16"/>
  <c r="S28" i="16"/>
  <c r="AA28" i="16"/>
  <c r="AA26" i="16"/>
  <c r="S26" i="16"/>
  <c r="X26" i="16"/>
  <c r="T37" i="16"/>
  <c r="Y35" i="16"/>
  <c r="T35" i="16"/>
  <c r="U29" i="16"/>
  <c r="R27" i="16"/>
  <c r="AB27" i="16"/>
  <c r="X36" i="16"/>
  <c r="Y34" i="16"/>
  <c r="W34" i="16"/>
  <c r="Y28" i="16"/>
  <c r="R28" i="16"/>
  <c r="Y26" i="16"/>
  <c r="U37" i="16"/>
  <c r="R35" i="16"/>
  <c r="U35" i="16"/>
  <c r="R29" i="16"/>
  <c r="AA33" i="16"/>
  <c r="R33" i="16"/>
  <c r="T33" i="16"/>
  <c r="S25" i="16"/>
  <c r="Z25" i="16"/>
  <c r="AB33" i="16"/>
  <c r="V33" i="16"/>
  <c r="W33" i="16"/>
  <c r="Y25" i="16"/>
  <c r="X33" i="16"/>
  <c r="U25" i="16"/>
  <c r="AA25" i="16"/>
  <c r="Y39" i="16"/>
  <c r="AA37" i="16"/>
  <c r="T29" i="16"/>
  <c r="W31" i="16"/>
  <c r="T31" i="16"/>
  <c r="U31" i="16"/>
  <c r="R39" i="16"/>
  <c r="U39" i="16"/>
  <c r="W39" i="16"/>
  <c r="X31" i="16"/>
  <c r="S31" i="16"/>
  <c r="V39" i="16"/>
  <c r="Z39" i="16"/>
  <c r="AA39" i="16"/>
  <c r="X37" i="16"/>
  <c r="R37" i="16"/>
  <c r="S37" i="16"/>
  <c r="Z29" i="16"/>
  <c r="Y29" i="16"/>
  <c r="S29" i="16"/>
  <c r="W27" i="16"/>
  <c r="AA31" i="16"/>
  <c r="V31" i="16"/>
  <c r="X39" i="16"/>
  <c r="AB39" i="16"/>
  <c r="W37" i="16"/>
  <c r="W35" i="16"/>
  <c r="AB35" i="16"/>
  <c r="AB29" i="16"/>
  <c r="X29" i="16"/>
  <c r="R19" i="16" a="1"/>
  <c r="R18" i="16" a="1"/>
  <c r="AA18" i="16" s="1"/>
  <c r="L4" i="16"/>
  <c r="K4" i="16"/>
  <c r="L3" i="16"/>
  <c r="K3" i="16"/>
  <c r="R17" i="16" s="1" a="1"/>
  <c r="L2" i="16"/>
  <c r="R4" i="16" s="1" a="1"/>
  <c r="AA4" i="16" s="1"/>
  <c r="X17" i="16" l="1"/>
  <c r="Y17" i="16"/>
  <c r="Z17" i="16"/>
  <c r="T17" i="16"/>
  <c r="S17" i="16"/>
  <c r="U17" i="16"/>
  <c r="AA17" i="16"/>
  <c r="W17" i="16"/>
  <c r="V17" i="16"/>
  <c r="R17" i="16"/>
  <c r="AB17" i="16"/>
  <c r="V25" i="16"/>
  <c r="W25" i="16"/>
  <c r="R25" i="16"/>
  <c r="T25" i="16"/>
  <c r="X25" i="16"/>
  <c r="X4" i="16"/>
  <c r="R4" i="16"/>
  <c r="R16" i="16" a="1"/>
  <c r="W16" i="16" s="1"/>
  <c r="V4" i="16"/>
  <c r="U4" i="16"/>
  <c r="U24" i="16"/>
  <c r="Z4" i="16"/>
  <c r="U23" i="16"/>
  <c r="Y4" i="16"/>
  <c r="W4" i="16"/>
  <c r="AB4" i="16"/>
  <c r="R24" i="16"/>
  <c r="Z23" i="16"/>
  <c r="V23" i="16"/>
  <c r="Y23" i="16"/>
  <c r="T4" i="16"/>
  <c r="S4" i="16"/>
  <c r="AA24" i="16"/>
  <c r="Y24" i="16"/>
  <c r="S24" i="16"/>
  <c r="T24" i="16"/>
  <c r="V24" i="16"/>
  <c r="W24" i="16"/>
  <c r="Z24" i="16"/>
  <c r="X24" i="16"/>
  <c r="R2" i="16" a="1"/>
  <c r="S2" i="16" s="1"/>
  <c r="R3" i="16" a="1"/>
  <c r="R15" i="16" a="1"/>
  <c r="AB23" i="16"/>
  <c r="T23" i="16"/>
  <c r="S23" i="16"/>
  <c r="X23" i="16"/>
  <c r="R23" i="16"/>
  <c r="AA23" i="16"/>
  <c r="R14" i="16" a="1"/>
  <c r="X14" i="16" s="1"/>
  <c r="Y22" i="16"/>
  <c r="R22" i="16"/>
  <c r="W22" i="16"/>
  <c r="S22" i="16"/>
  <c r="Z22" i="16"/>
  <c r="U22" i="16"/>
  <c r="AB22" i="16"/>
  <c r="AA22" i="16"/>
  <c r="T22" i="16"/>
  <c r="X22" i="16"/>
  <c r="R8" i="16" a="1"/>
  <c r="W8" i="16" s="1"/>
  <c r="R13" i="16" a="1"/>
  <c r="AB13" i="16" s="1"/>
  <c r="U21" i="16"/>
  <c r="W21" i="16"/>
  <c r="T21" i="16"/>
  <c r="AB21" i="16"/>
  <c r="S21" i="16"/>
  <c r="X21" i="16"/>
  <c r="Z21" i="16"/>
  <c r="R21" i="16"/>
  <c r="V21" i="16"/>
  <c r="Y21" i="16"/>
  <c r="R6" i="16" a="1"/>
  <c r="X6" i="16" s="1"/>
  <c r="R5" i="16" a="1"/>
  <c r="R20" i="16" a="1"/>
  <c r="U20" i="16" s="1"/>
  <c r="R12" i="16" a="1"/>
  <c r="R11" i="16" a="1"/>
  <c r="U11" i="16" s="1"/>
  <c r="Z18" i="16"/>
  <c r="AA19" i="16"/>
  <c r="X19" i="16"/>
  <c r="Z19" i="16"/>
  <c r="W19" i="16"/>
  <c r="Y19" i="16"/>
  <c r="V19" i="16"/>
  <c r="T19" i="16"/>
  <c r="U19" i="16"/>
  <c r="R19" i="16"/>
  <c r="S19" i="16"/>
  <c r="AB19" i="16"/>
  <c r="S18" i="16"/>
  <c r="T18" i="16"/>
  <c r="V18" i="16"/>
  <c r="X18" i="16"/>
  <c r="U18" i="16"/>
  <c r="Y18" i="16"/>
  <c r="AB18" i="16"/>
  <c r="W18" i="16"/>
  <c r="R18" i="16"/>
  <c r="R7" i="16" a="1"/>
  <c r="R9" i="16" a="1"/>
  <c r="AA9" i="16" s="1"/>
  <c r="R10" i="16" a="1"/>
  <c r="T2" i="16" l="1"/>
  <c r="T16" i="16"/>
  <c r="S16" i="16"/>
  <c r="AA16" i="16"/>
  <c r="U2" i="16"/>
  <c r="U16" i="16"/>
  <c r="Y2" i="16"/>
  <c r="Y16" i="16"/>
  <c r="AB16" i="16"/>
  <c r="X16" i="16"/>
  <c r="V16" i="16"/>
  <c r="Z16" i="16"/>
  <c r="R16" i="16"/>
  <c r="Z2" i="16"/>
  <c r="AA2" i="16"/>
  <c r="V2" i="16"/>
  <c r="AB2" i="16"/>
  <c r="W2" i="16"/>
  <c r="R2" i="16"/>
  <c r="X2" i="16"/>
  <c r="AA14" i="16"/>
  <c r="R6" i="16"/>
  <c r="T3" i="16"/>
  <c r="W3" i="16"/>
  <c r="X3" i="16"/>
  <c r="U3" i="16"/>
  <c r="Z3" i="16"/>
  <c r="R3" i="16"/>
  <c r="Y3" i="16"/>
  <c r="S3" i="16"/>
  <c r="AB3" i="16"/>
  <c r="AA3" i="16"/>
  <c r="V3" i="16"/>
  <c r="T13" i="16"/>
  <c r="AB6" i="16"/>
  <c r="Z14" i="16"/>
  <c r="V14" i="16"/>
  <c r="Y15" i="16"/>
  <c r="R15" i="16"/>
  <c r="S15" i="16"/>
  <c r="AA15" i="16"/>
  <c r="X15" i="16"/>
  <c r="W15" i="16"/>
  <c r="AB15" i="16"/>
  <c r="Z15" i="16"/>
  <c r="U15" i="16"/>
  <c r="T15" i="16"/>
  <c r="V15" i="16"/>
  <c r="R14" i="16"/>
  <c r="U8" i="16"/>
  <c r="S8" i="16"/>
  <c r="AB8" i="16"/>
  <c r="AB14" i="16"/>
  <c r="Y14" i="16"/>
  <c r="W14" i="16"/>
  <c r="S14" i="16"/>
  <c r="U14" i="16"/>
  <c r="T14" i="16"/>
  <c r="AA8" i="16"/>
  <c r="Z8" i="16"/>
  <c r="X8" i="16"/>
  <c r="V8" i="16"/>
  <c r="T8" i="16"/>
  <c r="R8" i="16"/>
  <c r="Y8" i="16"/>
  <c r="W6" i="16"/>
  <c r="Z6" i="16"/>
  <c r="AA6" i="16"/>
  <c r="AA13" i="16"/>
  <c r="X13" i="16"/>
  <c r="Y6" i="16"/>
  <c r="V6" i="16"/>
  <c r="T6" i="16"/>
  <c r="V13" i="16"/>
  <c r="Z13" i="16"/>
  <c r="U6" i="16"/>
  <c r="S6" i="16"/>
  <c r="W13" i="16"/>
  <c r="U13" i="16"/>
  <c r="S13" i="16"/>
  <c r="R13" i="16"/>
  <c r="Y13" i="16"/>
  <c r="AB20" i="16"/>
  <c r="S20" i="16"/>
  <c r="V20" i="16"/>
  <c r="W20" i="16"/>
  <c r="X20" i="16"/>
  <c r="R20" i="16"/>
  <c r="Y20" i="16"/>
  <c r="AA20" i="16"/>
  <c r="T20" i="16"/>
  <c r="T5" i="16"/>
  <c r="R5" i="16"/>
  <c r="Y5" i="16"/>
  <c r="AA5" i="16"/>
  <c r="U5" i="16"/>
  <c r="W5" i="16"/>
  <c r="Z5" i="16"/>
  <c r="X5" i="16"/>
  <c r="AB5" i="16"/>
  <c r="V5" i="16"/>
  <c r="S5" i="16"/>
  <c r="Z20" i="16"/>
  <c r="R11" i="16"/>
  <c r="V11" i="16"/>
  <c r="AA12" i="16"/>
  <c r="V12" i="16"/>
  <c r="AB12" i="16"/>
  <c r="W12" i="16"/>
  <c r="R12" i="16"/>
  <c r="X12" i="16"/>
  <c r="S12" i="16"/>
  <c r="Y12" i="16"/>
  <c r="T12" i="16"/>
  <c r="Z12" i="16"/>
  <c r="U12" i="16"/>
  <c r="AA11" i="16"/>
  <c r="S11" i="16"/>
  <c r="AB11" i="16"/>
  <c r="W11" i="16"/>
  <c r="Y11" i="16"/>
  <c r="T11" i="16"/>
  <c r="Z11" i="16"/>
  <c r="X11" i="16"/>
  <c r="Y9" i="16"/>
  <c r="S9" i="16"/>
  <c r="AB9" i="16"/>
  <c r="U9" i="16"/>
  <c r="W9" i="16"/>
  <c r="AB7" i="16"/>
  <c r="W7" i="16"/>
  <c r="R7" i="16"/>
  <c r="X7" i="16"/>
  <c r="S7" i="16"/>
  <c r="Y7" i="16"/>
  <c r="T7" i="16"/>
  <c r="Z7" i="16"/>
  <c r="U7" i="16"/>
  <c r="AA7" i="16"/>
  <c r="V7" i="16"/>
  <c r="R9" i="16"/>
  <c r="T9" i="16"/>
  <c r="Z9" i="16"/>
  <c r="X9" i="16"/>
  <c r="T10" i="16"/>
  <c r="Z10" i="16"/>
  <c r="U10" i="16"/>
  <c r="AA10" i="16"/>
  <c r="V10" i="16"/>
  <c r="AB10" i="16"/>
  <c r="W10" i="16"/>
  <c r="R10" i="16"/>
  <c r="X10" i="16"/>
  <c r="S10" i="16"/>
  <c r="Y10" i="16"/>
  <c r="V9" i="16"/>
  <c r="C49" i="3" l="1"/>
  <c r="DH37" i="2" l="1"/>
  <c r="DH38" i="2"/>
  <c r="DH9" i="2"/>
  <c r="DH21" i="2"/>
  <c r="DH33" i="2"/>
  <c r="DH42" i="2"/>
  <c r="DH10" i="2"/>
  <c r="DH30" i="2"/>
  <c r="DH36" i="2"/>
  <c r="DH49" i="2"/>
  <c r="DH14" i="2"/>
  <c r="DH34" i="2"/>
  <c r="DH52" i="2"/>
  <c r="DH56" i="2"/>
  <c r="DH7" i="2"/>
  <c r="DH6" i="2"/>
  <c r="DH20" i="2"/>
  <c r="DH22" i="2"/>
  <c r="DH48" i="2"/>
  <c r="DH35" i="2"/>
  <c r="DH12" i="2"/>
  <c r="DH47" i="2"/>
  <c r="DH18" i="2"/>
  <c r="DH27" i="2"/>
  <c r="DH32" i="2"/>
  <c r="DH44" i="2"/>
  <c r="DH11" i="2"/>
  <c r="DH24" i="2"/>
  <c r="DH39" i="2"/>
  <c r="DH51" i="2"/>
  <c r="DH26" i="2"/>
  <c r="DH43" i="2"/>
  <c r="DH53" i="2"/>
  <c r="DH57" i="2"/>
  <c r="DH13" i="2"/>
  <c r="DH31" i="2"/>
  <c r="DH8" i="2"/>
  <c r="DH19" i="2"/>
  <c r="DH23" i="2"/>
  <c r="DH17" i="2"/>
  <c r="DH46" i="2"/>
  <c r="DH16" i="2"/>
  <c r="DH29" i="2"/>
  <c r="DH40" i="2"/>
  <c r="DH15" i="2"/>
  <c r="DH25" i="2"/>
  <c r="DH45" i="2"/>
  <c r="DH54" i="2"/>
  <c r="DH50" i="2"/>
  <c r="DH28" i="2"/>
  <c r="DH41" i="2"/>
  <c r="DH55" i="2"/>
  <c r="DH5" i="2"/>
  <c r="A15" i="1"/>
  <c r="Q72" i="2"/>
  <c r="L72" i="2"/>
  <c r="U72" i="2"/>
  <c r="J72" i="2"/>
  <c r="W72" i="2"/>
  <c r="E63" i="2"/>
  <c r="K72" i="2"/>
  <c r="O72" i="2"/>
  <c r="I72" i="2"/>
  <c r="R72" i="2"/>
  <c r="G72" i="2"/>
  <c r="Y72" i="2"/>
  <c r="P72" i="2"/>
  <c r="D72" i="2"/>
  <c r="V72" i="2"/>
  <c r="H72" i="2"/>
  <c r="N72" i="2"/>
  <c r="E72" i="2"/>
  <c r="T72" i="2"/>
  <c r="F72" i="2"/>
  <c r="S72" i="2"/>
  <c r="Z72" i="2"/>
  <c r="M72" i="2"/>
  <c r="X72" i="2"/>
  <c r="Y5" i="1" l="1"/>
  <c r="Z5" i="1"/>
  <c r="Y6" i="1"/>
  <c r="Z6" i="1"/>
  <c r="Y7" i="1"/>
  <c r="Z7" i="1"/>
  <c r="Y8" i="1"/>
  <c r="Z8" i="1"/>
  <c r="Y9" i="1"/>
  <c r="Z9" i="1"/>
  <c r="Y10" i="1"/>
  <c r="Z10" i="1"/>
  <c r="Y11" i="1"/>
  <c r="Z11" i="1"/>
  <c r="Y12" i="1"/>
  <c r="Z12" i="1"/>
  <c r="Y13" i="1"/>
  <c r="Z13" i="1"/>
  <c r="Y14" i="1"/>
  <c r="Z14" i="1"/>
  <c r="Y15" i="1"/>
  <c r="Z15" i="1"/>
  <c r="Y16" i="1"/>
  <c r="Z16" i="1"/>
  <c r="Y17" i="1"/>
  <c r="Z17" i="1"/>
  <c r="Y18" i="1"/>
  <c r="Z18" i="1"/>
  <c r="Y19" i="1"/>
  <c r="Z19" i="1"/>
  <c r="Y20" i="1"/>
  <c r="Z20" i="1"/>
  <c r="Y21" i="1"/>
  <c r="Z21" i="1"/>
  <c r="Y22" i="1"/>
  <c r="Z22" i="1"/>
  <c r="Y23" i="1"/>
  <c r="Z23" i="1"/>
  <c r="Y24" i="1"/>
  <c r="Z24" i="1"/>
  <c r="Y25" i="1"/>
  <c r="Z25" i="1"/>
  <c r="Y26" i="1"/>
  <c r="Z26" i="1"/>
  <c r="Y27" i="1"/>
  <c r="Z27" i="1"/>
  <c r="CW59" i="2" l="1"/>
  <c r="CI5" i="3" l="1"/>
  <c r="CH5" i="3"/>
  <c r="CE5" i="3"/>
  <c r="CF5" i="3"/>
  <c r="CJ5" i="3"/>
  <c r="CG5" i="3"/>
  <c r="CN5" i="3"/>
  <c r="CR5" i="3"/>
  <c r="CQ5" i="3" l="1"/>
  <c r="CM5" i="3"/>
  <c r="CK5" i="3"/>
  <c r="CO5" i="3" s="1"/>
  <c r="CL5" i="3"/>
  <c r="A25" i="1"/>
  <c r="A24" i="1"/>
  <c r="A23" i="1"/>
  <c r="A22" i="1"/>
  <c r="A21" i="1"/>
  <c r="A20" i="1"/>
  <c r="A19" i="1"/>
  <c r="A18" i="1"/>
  <c r="A17" i="1"/>
  <c r="A16" i="1"/>
  <c r="A14" i="1"/>
  <c r="A13" i="1"/>
  <c r="A12" i="1"/>
  <c r="A11" i="1"/>
  <c r="A10" i="1"/>
  <c r="A9" i="1"/>
  <c r="A8" i="1"/>
  <c r="A7" i="1"/>
  <c r="A6" i="1"/>
  <c r="CP40" i="3" l="1"/>
  <c r="CP6" i="3"/>
  <c r="CP16" i="3"/>
  <c r="CP14" i="3"/>
  <c r="CP8" i="3"/>
  <c r="CP19" i="3"/>
  <c r="CP33" i="3"/>
  <c r="CP18" i="3"/>
  <c r="CP37" i="3"/>
  <c r="CP12" i="3"/>
  <c r="CP42" i="3"/>
  <c r="CP27" i="3"/>
  <c r="CP29" i="3"/>
  <c r="CP17" i="3"/>
  <c r="CP32" i="3"/>
  <c r="CP46" i="3"/>
  <c r="CP10" i="3"/>
  <c r="CP31" i="3"/>
  <c r="CP28" i="3"/>
  <c r="CP36" i="3"/>
  <c r="CP9" i="3"/>
  <c r="CP23" i="3"/>
  <c r="CP20" i="3"/>
  <c r="CP24" i="3"/>
  <c r="CP25" i="3"/>
  <c r="CP35" i="3"/>
  <c r="CP38" i="3"/>
  <c r="CP44" i="3"/>
  <c r="CP13" i="3"/>
  <c r="CP30" i="3"/>
  <c r="CP7" i="3"/>
  <c r="CP15" i="3"/>
  <c r="CP43" i="3"/>
  <c r="CP26" i="3"/>
  <c r="CP34" i="3"/>
  <c r="CP39" i="3"/>
  <c r="CP22" i="3"/>
  <c r="CP21" i="3"/>
  <c r="CP45" i="3"/>
  <c r="CP11" i="3"/>
  <c r="CP41" i="3"/>
  <c r="CP47" i="3"/>
  <c r="O3" i="1"/>
  <c r="P3" i="1"/>
  <c r="Z28" i="1" l="1"/>
  <c r="Z29" i="1"/>
  <c r="Z30" i="1"/>
  <c r="Z31" i="1"/>
  <c r="Y28" i="1"/>
  <c r="Y29" i="1"/>
  <c r="Y30" i="1"/>
  <c r="Y31" i="1"/>
  <c r="AG3" i="1" l="1"/>
  <c r="AF3" i="1"/>
  <c r="T73" i="2"/>
  <c r="R73" i="2"/>
  <c r="N73" i="2"/>
  <c r="W73" i="2"/>
  <c r="F73" i="2"/>
  <c r="J73" i="2"/>
  <c r="G73" i="2"/>
  <c r="O73" i="2"/>
  <c r="K73" i="2"/>
  <c r="H73" i="2"/>
  <c r="M73" i="2"/>
  <c r="Q73" i="2"/>
  <c r="L73" i="2"/>
  <c r="I73" i="2"/>
  <c r="V73" i="2"/>
  <c r="X73" i="2"/>
  <c r="P73" i="2"/>
  <c r="E73" i="2"/>
  <c r="Z73" i="2"/>
  <c r="U73" i="2"/>
  <c r="S73" i="2"/>
  <c r="Y73" i="2"/>
  <c r="D73" i="2"/>
  <c r="AD20" i="1" l="1"/>
  <c r="AC20" i="1"/>
  <c r="AB20" i="1"/>
  <c r="AA20" i="1"/>
  <c r="AD19" i="1"/>
  <c r="AC19" i="1"/>
  <c r="AB19" i="1"/>
  <c r="AA19" i="1"/>
  <c r="AD18" i="1"/>
  <c r="AC18" i="1"/>
  <c r="AB18" i="1"/>
  <c r="AA18" i="1"/>
  <c r="AD17" i="1"/>
  <c r="AC17" i="1"/>
  <c r="AB17" i="1"/>
  <c r="AA17" i="1"/>
  <c r="AD16" i="1"/>
  <c r="AC16" i="1"/>
  <c r="AB16" i="1"/>
  <c r="AA16" i="1"/>
  <c r="AD15" i="1"/>
  <c r="AC15" i="1"/>
  <c r="AB15" i="1"/>
  <c r="AA15" i="1"/>
  <c r="AD14" i="1"/>
  <c r="AC14" i="1"/>
  <c r="AB14" i="1"/>
  <c r="AA14" i="1"/>
  <c r="AD13" i="1"/>
  <c r="AC13" i="1"/>
  <c r="AB13" i="1"/>
  <c r="AA13" i="1"/>
  <c r="AD12" i="1"/>
  <c r="AC12" i="1"/>
  <c r="AB12" i="1"/>
  <c r="AA12" i="1"/>
  <c r="AD11" i="1"/>
  <c r="AC11" i="1"/>
  <c r="AB11" i="1"/>
  <c r="AA11" i="1"/>
  <c r="AD10" i="1"/>
  <c r="AC10" i="1"/>
  <c r="AB10" i="1"/>
  <c r="AA10" i="1"/>
  <c r="AD9" i="1"/>
  <c r="AC9" i="1"/>
  <c r="AB9" i="1"/>
  <c r="AA9" i="1"/>
  <c r="AD8" i="1"/>
  <c r="AC8" i="1"/>
  <c r="AB8" i="1"/>
  <c r="AA8" i="1"/>
  <c r="AD7" i="1"/>
  <c r="AC7" i="1"/>
  <c r="AB7" i="1"/>
  <c r="AA7" i="1"/>
  <c r="AD6" i="1"/>
  <c r="AC6" i="1"/>
  <c r="AB6" i="1"/>
  <c r="AA6" i="1"/>
  <c r="AD5" i="1"/>
  <c r="AC5" i="1"/>
  <c r="AB5" i="1"/>
  <c r="AA5" i="1"/>
  <c r="C1" i="2" a="1"/>
  <c r="C1" i="2" s="1"/>
  <c r="D60" i="2" a="1"/>
  <c r="D60" i="2" s="1"/>
  <c r="E60" i="2" a="1"/>
  <c r="E60" i="2" s="1"/>
  <c r="F60" i="2" a="1"/>
  <c r="F60" i="2" s="1"/>
  <c r="G60" i="2" a="1"/>
  <c r="G60" i="2" s="1"/>
  <c r="H60" i="2" a="1"/>
  <c r="H60" i="2" s="1"/>
  <c r="I60" i="2" a="1"/>
  <c r="I60" i="2" s="1"/>
  <c r="J60" i="2" a="1"/>
  <c r="J60" i="2" s="1"/>
  <c r="K60" i="2" a="1"/>
  <c r="K60" i="2" s="1"/>
  <c r="L60" i="2" a="1"/>
  <c r="L60" i="2" s="1"/>
  <c r="M60" i="2" a="1"/>
  <c r="M60" i="2" s="1"/>
  <c r="N60" i="2" a="1"/>
  <c r="N60" i="2" s="1"/>
  <c r="O60" i="2" a="1"/>
  <c r="O60" i="2" s="1"/>
  <c r="P60" i="2" a="1"/>
  <c r="P60" i="2" s="1"/>
  <c r="Q60" i="2" a="1"/>
  <c r="Q60" i="2" s="1"/>
  <c r="R60" i="2" a="1"/>
  <c r="R60" i="2" s="1"/>
  <c r="S60" i="2" a="1"/>
  <c r="S60" i="2" s="1"/>
  <c r="T60" i="2" a="1"/>
  <c r="T60" i="2" s="1"/>
  <c r="U60" i="2" a="1"/>
  <c r="U60" i="2" s="1"/>
  <c r="V60" i="2" a="1"/>
  <c r="V60" i="2" s="1"/>
  <c r="W60" i="2" a="1"/>
  <c r="W60" i="2" s="1"/>
  <c r="X60" i="2" a="1"/>
  <c r="X60" i="2" s="1"/>
  <c r="Y60" i="2" a="1"/>
  <c r="Y60" i="2" s="1"/>
  <c r="Z60" i="2" a="1"/>
  <c r="Z60" i="2" s="1"/>
  <c r="AA60" i="2" a="1"/>
  <c r="AA60" i="2" s="1"/>
  <c r="AB60" i="2" a="1"/>
  <c r="AB60" i="2" s="1"/>
  <c r="AC60" i="2" a="1"/>
  <c r="AC60" i="2" s="1"/>
  <c r="AD60" i="2" a="1"/>
  <c r="AD60" i="2" s="1"/>
  <c r="AE60" i="2" a="1"/>
  <c r="AE60" i="2" s="1"/>
  <c r="AF60" i="2" a="1"/>
  <c r="AF60" i="2" s="1"/>
  <c r="AG60" i="2" a="1"/>
  <c r="AG60" i="2" s="1"/>
  <c r="AH60" i="2" a="1"/>
  <c r="AH60" i="2" s="1"/>
  <c r="AI60" i="2" a="1"/>
  <c r="AI60" i="2" s="1"/>
  <c r="AJ60" i="2" a="1"/>
  <c r="AJ60" i="2" s="1"/>
  <c r="AK60" i="2" a="1"/>
  <c r="AK60" i="2" s="1"/>
  <c r="AL60" i="2" a="1"/>
  <c r="AL60" i="2" s="1"/>
  <c r="AM60" i="2" a="1"/>
  <c r="AM60" i="2" s="1"/>
  <c r="AN60" i="2" a="1"/>
  <c r="AN60" i="2" s="1"/>
  <c r="AO60" i="2" a="1"/>
  <c r="AO60" i="2" s="1"/>
  <c r="AP60" i="2" a="1"/>
  <c r="AP60" i="2" s="1"/>
  <c r="AQ60" i="2" a="1"/>
  <c r="AQ60" i="2" s="1"/>
  <c r="AR60" i="2" a="1"/>
  <c r="AR60" i="2" s="1"/>
  <c r="AS60" i="2" a="1"/>
  <c r="AS60" i="2" s="1"/>
  <c r="AT60" i="2" a="1"/>
  <c r="AT60" i="2" s="1"/>
  <c r="AU60" i="2" a="1"/>
  <c r="AU60" i="2" s="1"/>
  <c r="AV60" i="2" a="1"/>
  <c r="AV60" i="2" s="1"/>
  <c r="AW60" i="2" a="1"/>
  <c r="AW60" i="2" s="1"/>
  <c r="AX60" i="2" a="1"/>
  <c r="AX60" i="2" s="1"/>
  <c r="AY60" i="2" a="1"/>
  <c r="AY60" i="2" s="1"/>
  <c r="AZ60" i="2" a="1"/>
  <c r="AZ60" i="2" s="1"/>
  <c r="BA60" i="2" a="1"/>
  <c r="BA60" i="2" s="1"/>
  <c r="BB60" i="2" a="1"/>
  <c r="BB60" i="2" s="1"/>
  <c r="BC60" i="2" a="1"/>
  <c r="BC60" i="2" s="1"/>
  <c r="BD60" i="2" a="1"/>
  <c r="BD60" i="2" s="1"/>
  <c r="BE60" i="2" a="1"/>
  <c r="BE60" i="2" s="1"/>
  <c r="BF60" i="2" a="1"/>
  <c r="BF60" i="2" s="1"/>
  <c r="D61" i="2" a="1"/>
  <c r="D61" i="2" s="1"/>
  <c r="E61" i="2" a="1"/>
  <c r="E61" i="2" s="1"/>
  <c r="F61" i="2" a="1"/>
  <c r="F61" i="2" s="1"/>
  <c r="G61" i="2" a="1"/>
  <c r="G61" i="2" s="1"/>
  <c r="H61" i="2" a="1"/>
  <c r="H61" i="2" s="1"/>
  <c r="I61" i="2" a="1"/>
  <c r="I61" i="2" s="1"/>
  <c r="J61" i="2" a="1"/>
  <c r="J61" i="2" s="1"/>
  <c r="K61" i="2" a="1"/>
  <c r="K61" i="2" s="1"/>
  <c r="L61" i="2" a="1"/>
  <c r="L61" i="2" s="1"/>
  <c r="M61" i="2" a="1"/>
  <c r="M61" i="2" s="1"/>
  <c r="N61" i="2" a="1"/>
  <c r="N61" i="2" s="1"/>
  <c r="O61" i="2" a="1"/>
  <c r="O61" i="2" s="1"/>
  <c r="P61" i="2" a="1"/>
  <c r="P61" i="2" s="1"/>
  <c r="Q61" i="2" a="1"/>
  <c r="Q61" i="2" s="1"/>
  <c r="R61" i="2" a="1"/>
  <c r="R61" i="2" s="1"/>
  <c r="S61" i="2" a="1"/>
  <c r="S61" i="2" s="1"/>
  <c r="T61" i="2" a="1"/>
  <c r="T61" i="2" s="1"/>
  <c r="U61" i="2" a="1"/>
  <c r="U61" i="2" s="1"/>
  <c r="V61" i="2" a="1"/>
  <c r="V61" i="2" s="1"/>
  <c r="W61" i="2" a="1"/>
  <c r="W61" i="2" s="1"/>
  <c r="X61" i="2" a="1"/>
  <c r="X61" i="2" s="1"/>
  <c r="Y61" i="2" a="1"/>
  <c r="Y61" i="2" s="1"/>
  <c r="Z61" i="2" a="1"/>
  <c r="Z61" i="2" s="1"/>
  <c r="AA61" i="2" a="1"/>
  <c r="AA61" i="2" s="1"/>
  <c r="AB61" i="2" a="1"/>
  <c r="AB61" i="2" s="1"/>
  <c r="AC61" i="2" a="1"/>
  <c r="AC61" i="2" s="1"/>
  <c r="AD61" i="2" a="1"/>
  <c r="AD61" i="2" s="1"/>
  <c r="AE61" i="2" a="1"/>
  <c r="AE61" i="2" s="1"/>
  <c r="AF61" i="2" a="1"/>
  <c r="AF61" i="2" s="1"/>
  <c r="AG61" i="2" a="1"/>
  <c r="AG61" i="2" s="1"/>
  <c r="AH61" i="2" a="1"/>
  <c r="AH61" i="2" s="1"/>
  <c r="AI61" i="2" a="1"/>
  <c r="AI61" i="2" s="1"/>
  <c r="AJ61" i="2" a="1"/>
  <c r="AJ61" i="2" s="1"/>
  <c r="AK61" i="2" a="1"/>
  <c r="AK61" i="2" s="1"/>
  <c r="AL61" i="2" a="1"/>
  <c r="AL61" i="2" s="1"/>
  <c r="AM61" i="2" a="1"/>
  <c r="AM61" i="2" s="1"/>
  <c r="AN61" i="2" a="1"/>
  <c r="AN61" i="2" s="1"/>
  <c r="AO61" i="2" a="1"/>
  <c r="AO61" i="2" s="1"/>
  <c r="AP61" i="2" a="1"/>
  <c r="AP61" i="2" s="1"/>
  <c r="AQ61" i="2" a="1"/>
  <c r="AQ61" i="2" s="1"/>
  <c r="AR61" i="2" a="1"/>
  <c r="AR61" i="2" s="1"/>
  <c r="AS61" i="2" a="1"/>
  <c r="AS61" i="2" s="1"/>
  <c r="AT61" i="2" a="1"/>
  <c r="AT61" i="2" s="1"/>
  <c r="AU61" i="2" a="1"/>
  <c r="AU61" i="2" s="1"/>
  <c r="AV61" i="2" a="1"/>
  <c r="AV61" i="2" s="1"/>
  <c r="AW61" i="2" a="1"/>
  <c r="AW61" i="2" s="1"/>
  <c r="AX61" i="2" a="1"/>
  <c r="AX61" i="2" s="1"/>
  <c r="AY61" i="2" a="1"/>
  <c r="AY61" i="2" s="1"/>
  <c r="AZ61" i="2" a="1"/>
  <c r="AZ61" i="2" s="1"/>
  <c r="BA61" i="2" a="1"/>
  <c r="BA61" i="2" s="1"/>
  <c r="BB61" i="2" a="1"/>
  <c r="BB61" i="2" s="1"/>
  <c r="BC61" i="2" a="1"/>
  <c r="BC61" i="2" s="1"/>
  <c r="BD61" i="2" a="1"/>
  <c r="BD61" i="2" s="1"/>
  <c r="BE61" i="2" a="1"/>
  <c r="BE61" i="2" s="1"/>
  <c r="BF61" i="2" a="1"/>
  <c r="BF61" i="2" s="1"/>
  <c r="B1" i="3" a="1"/>
  <c r="B1" i="3" s="1"/>
  <c r="C50" i="3" a="1"/>
  <c r="C50" i="3" s="1"/>
  <c r="C55" i="3" a="1"/>
  <c r="C55" i="3" s="1"/>
  <c r="A16" i="4"/>
  <c r="B16" i="4"/>
  <c r="B15" i="4" s="1"/>
  <c r="C16" i="4"/>
  <c r="C15" i="4" s="1"/>
  <c r="D16" i="4"/>
  <c r="D15" i="4" s="1"/>
  <c r="E16" i="4"/>
  <c r="E15" i="4" s="1"/>
  <c r="F16" i="4"/>
  <c r="F15" i="4" s="1"/>
  <c r="G16" i="4"/>
  <c r="G15" i="4" s="1"/>
  <c r="H16" i="4"/>
  <c r="H15" i="4" s="1"/>
  <c r="I16" i="4"/>
  <c r="I15" i="4" s="1"/>
  <c r="J16" i="4"/>
  <c r="J15" i="4" s="1"/>
  <c r="K16" i="4"/>
  <c r="K15" i="4" s="1"/>
  <c r="L16" i="4"/>
  <c r="L15" i="4" s="1"/>
  <c r="M16" i="4"/>
  <c r="M15" i="4" s="1"/>
  <c r="N16" i="4"/>
  <c r="N15" i="4" s="1"/>
  <c r="O16" i="4"/>
  <c r="O15" i="4" s="1"/>
  <c r="Z16" i="4"/>
  <c r="Z15" i="4" s="1"/>
  <c r="AA16" i="4"/>
  <c r="AA15" i="4" s="1"/>
  <c r="AB16" i="4"/>
  <c r="AB15" i="4" s="1"/>
  <c r="AC16" i="4"/>
  <c r="AC15" i="4" s="1"/>
  <c r="AD16" i="4"/>
  <c r="AD15" i="4" s="1"/>
  <c r="AE16" i="4"/>
  <c r="AE15" i="4" s="1"/>
  <c r="AF16" i="4"/>
  <c r="AF15" i="4" s="1"/>
  <c r="AG16" i="4"/>
  <c r="AG15" i="4" s="1"/>
  <c r="AH16" i="4"/>
  <c r="AH15" i="4" s="1"/>
  <c r="AI16" i="4"/>
  <c r="AI15" i="4" s="1"/>
  <c r="AJ16" i="4"/>
  <c r="AJ15" i="4" s="1"/>
  <c r="AK16" i="4"/>
  <c r="AK15" i="4" s="1"/>
  <c r="AL16" i="4"/>
  <c r="AL15" i="4" s="1"/>
  <c r="AM16" i="4"/>
  <c r="AM15" i="4" s="1"/>
  <c r="AN16" i="4"/>
  <c r="AN15" i="4" s="1"/>
  <c r="AO16" i="4"/>
  <c r="AO15" i="4" s="1"/>
  <c r="A17" i="4"/>
  <c r="B17" i="4"/>
  <c r="C17" i="4"/>
  <c r="D17" i="4"/>
  <c r="E17" i="4"/>
  <c r="F17" i="4"/>
  <c r="G17" i="4"/>
  <c r="H17" i="4"/>
  <c r="I17" i="4"/>
  <c r="J17" i="4"/>
  <c r="K17" i="4"/>
  <c r="L17" i="4"/>
  <c r="M17" i="4"/>
  <c r="N17" i="4"/>
  <c r="O17" i="4"/>
  <c r="Z17" i="4"/>
  <c r="AA17" i="4"/>
  <c r="AB17" i="4"/>
  <c r="AC17" i="4"/>
  <c r="AD17" i="4"/>
  <c r="AE17" i="4"/>
  <c r="AF17" i="4"/>
  <c r="AG17" i="4"/>
  <c r="AH17" i="4"/>
  <c r="AI17" i="4"/>
  <c r="AJ17" i="4"/>
  <c r="AK17" i="4"/>
  <c r="AL17" i="4"/>
  <c r="AM17" i="4"/>
  <c r="AN17" i="4"/>
  <c r="AO17" i="4"/>
  <c r="A18" i="4"/>
  <c r="B18" i="4"/>
  <c r="C18" i="4"/>
  <c r="D18" i="4"/>
  <c r="E18" i="4"/>
  <c r="F18" i="4"/>
  <c r="G18" i="4"/>
  <c r="H18" i="4"/>
  <c r="I18" i="4"/>
  <c r="J18" i="4"/>
  <c r="K18" i="4"/>
  <c r="L18" i="4"/>
  <c r="M18" i="4"/>
  <c r="N18" i="4"/>
  <c r="O18" i="4"/>
  <c r="Z18" i="4"/>
  <c r="AA18" i="4"/>
  <c r="AB18" i="4"/>
  <c r="AC18" i="4"/>
  <c r="AD18" i="4"/>
  <c r="AE18" i="4"/>
  <c r="AF18" i="4"/>
  <c r="AG18" i="4"/>
  <c r="AH18" i="4"/>
  <c r="AI18" i="4"/>
  <c r="AJ18" i="4"/>
  <c r="AK18" i="4"/>
  <c r="AL18" i="4"/>
  <c r="AM18" i="4"/>
  <c r="AN18" i="4"/>
  <c r="AO18" i="4"/>
  <c r="A19" i="4"/>
  <c r="B19" i="4"/>
  <c r="C19" i="4"/>
  <c r="D19" i="4"/>
  <c r="E19" i="4"/>
  <c r="F19" i="4"/>
  <c r="G19" i="4"/>
  <c r="H19" i="4"/>
  <c r="I19" i="4"/>
  <c r="J19" i="4"/>
  <c r="K19" i="4"/>
  <c r="L19" i="4"/>
  <c r="M19" i="4"/>
  <c r="N19" i="4"/>
  <c r="O19" i="4"/>
  <c r="Z19" i="4"/>
  <c r="AA19" i="4"/>
  <c r="AB19" i="4"/>
  <c r="AC19" i="4"/>
  <c r="AD19" i="4"/>
  <c r="AE19" i="4"/>
  <c r="AF19" i="4"/>
  <c r="AG19" i="4"/>
  <c r="AH19" i="4"/>
  <c r="AI19" i="4"/>
  <c r="AJ19" i="4"/>
  <c r="AK19" i="4"/>
  <c r="AL19" i="4"/>
  <c r="AM19" i="4"/>
  <c r="AN19" i="4"/>
  <c r="AO19" i="4"/>
  <c r="A20" i="4"/>
  <c r="B20" i="4"/>
  <c r="C20" i="4"/>
  <c r="D20" i="4"/>
  <c r="E20" i="4"/>
  <c r="F20" i="4"/>
  <c r="G20" i="4"/>
  <c r="H20" i="4"/>
  <c r="I20" i="4"/>
  <c r="J20" i="4"/>
  <c r="K20" i="4"/>
  <c r="L20" i="4"/>
  <c r="M20" i="4"/>
  <c r="N20" i="4"/>
  <c r="O20" i="4"/>
  <c r="Z20" i="4"/>
  <c r="AA20" i="4"/>
  <c r="AB20" i="4"/>
  <c r="AC20" i="4"/>
  <c r="AD20" i="4"/>
  <c r="AE20" i="4"/>
  <c r="AF20" i="4"/>
  <c r="AG20" i="4"/>
  <c r="AH20" i="4"/>
  <c r="AI20" i="4"/>
  <c r="AJ20" i="4"/>
  <c r="AK20" i="4"/>
  <c r="AL20" i="4"/>
  <c r="AM20" i="4"/>
  <c r="AN20" i="4"/>
  <c r="AO20" i="4"/>
  <c r="A21" i="4"/>
  <c r="B21" i="4"/>
  <c r="C21" i="4"/>
  <c r="D21" i="4"/>
  <c r="E21" i="4"/>
  <c r="F21" i="4"/>
  <c r="G21" i="4"/>
  <c r="H21" i="4"/>
  <c r="I21" i="4"/>
  <c r="J21" i="4"/>
  <c r="K21" i="4"/>
  <c r="L21" i="4"/>
  <c r="M21" i="4"/>
  <c r="N21" i="4"/>
  <c r="O21" i="4"/>
  <c r="Z21" i="4"/>
  <c r="AA21" i="4"/>
  <c r="AB21" i="4"/>
  <c r="AC21" i="4"/>
  <c r="AD21" i="4"/>
  <c r="AE21" i="4"/>
  <c r="AF21" i="4"/>
  <c r="AG21" i="4"/>
  <c r="AH21" i="4"/>
  <c r="AI21" i="4"/>
  <c r="AJ21" i="4"/>
  <c r="AK21" i="4"/>
  <c r="AL21" i="4"/>
  <c r="AM21" i="4"/>
  <c r="AN21" i="4"/>
  <c r="AO21" i="4"/>
  <c r="A22" i="4"/>
  <c r="B22" i="4"/>
  <c r="C22" i="4"/>
  <c r="D22" i="4"/>
  <c r="E22" i="4"/>
  <c r="F22" i="4"/>
  <c r="G22" i="4"/>
  <c r="H22" i="4"/>
  <c r="I22" i="4"/>
  <c r="J22" i="4"/>
  <c r="K22" i="4"/>
  <c r="L22" i="4"/>
  <c r="M22" i="4"/>
  <c r="N22" i="4"/>
  <c r="O22" i="4"/>
  <c r="Z22" i="4"/>
  <c r="AA22" i="4"/>
  <c r="AB22" i="4"/>
  <c r="AC22" i="4"/>
  <c r="AD22" i="4"/>
  <c r="AE22" i="4"/>
  <c r="AF22" i="4"/>
  <c r="AG22" i="4"/>
  <c r="AH22" i="4"/>
  <c r="AI22" i="4"/>
  <c r="AJ22" i="4"/>
  <c r="AK22" i="4"/>
  <c r="AL22" i="4"/>
  <c r="AM22" i="4"/>
  <c r="AN22" i="4"/>
  <c r="AO22" i="4"/>
  <c r="A23" i="4"/>
  <c r="B23" i="4"/>
  <c r="C23" i="4"/>
  <c r="D23" i="4"/>
  <c r="E23" i="4"/>
  <c r="F23" i="4"/>
  <c r="G23" i="4"/>
  <c r="H23" i="4"/>
  <c r="I23" i="4"/>
  <c r="J23" i="4"/>
  <c r="K23" i="4"/>
  <c r="L23" i="4"/>
  <c r="M23" i="4"/>
  <c r="N23" i="4"/>
  <c r="O23" i="4"/>
  <c r="Z23" i="4"/>
  <c r="AA23" i="4"/>
  <c r="AB23" i="4"/>
  <c r="AC23" i="4"/>
  <c r="AD23" i="4"/>
  <c r="AE23" i="4"/>
  <c r="AF23" i="4"/>
  <c r="AG23" i="4"/>
  <c r="AH23" i="4"/>
  <c r="AI23" i="4"/>
  <c r="AJ23" i="4"/>
  <c r="AK23" i="4"/>
  <c r="AL23" i="4"/>
  <c r="AM23" i="4"/>
  <c r="AN23" i="4"/>
  <c r="AO23" i="4"/>
  <c r="A24" i="4"/>
  <c r="B24" i="4"/>
  <c r="C24" i="4"/>
  <c r="D24" i="4"/>
  <c r="E24" i="4"/>
  <c r="F24" i="4"/>
  <c r="G24" i="4"/>
  <c r="H24" i="4"/>
  <c r="I24" i="4"/>
  <c r="J24" i="4"/>
  <c r="K24" i="4"/>
  <c r="L24" i="4"/>
  <c r="M24" i="4"/>
  <c r="N24" i="4"/>
  <c r="O24" i="4"/>
  <c r="Z24" i="4"/>
  <c r="AA24" i="4"/>
  <c r="AB24" i="4"/>
  <c r="AC24" i="4"/>
  <c r="AD24" i="4"/>
  <c r="AE24" i="4"/>
  <c r="AF24" i="4"/>
  <c r="AG24" i="4"/>
  <c r="AH24" i="4"/>
  <c r="AI24" i="4"/>
  <c r="AJ24" i="4"/>
  <c r="AK24" i="4"/>
  <c r="AL24" i="4"/>
  <c r="AM24" i="4"/>
  <c r="AN24" i="4"/>
  <c r="AO24" i="4"/>
  <c r="A25" i="4"/>
  <c r="B25" i="4"/>
  <c r="C25" i="4"/>
  <c r="D25" i="4"/>
  <c r="E25" i="4"/>
  <c r="F25" i="4"/>
  <c r="G25" i="4"/>
  <c r="H25" i="4"/>
  <c r="I25" i="4"/>
  <c r="J25" i="4"/>
  <c r="K25" i="4"/>
  <c r="L25" i="4"/>
  <c r="M25" i="4"/>
  <c r="N25" i="4"/>
  <c r="O25" i="4"/>
  <c r="Z25" i="4"/>
  <c r="AA25" i="4"/>
  <c r="AB25" i="4"/>
  <c r="AC25" i="4"/>
  <c r="AD25" i="4"/>
  <c r="AE25" i="4"/>
  <c r="AF25" i="4"/>
  <c r="AG25" i="4"/>
  <c r="AH25" i="4"/>
  <c r="AI25" i="4"/>
  <c r="AJ25" i="4"/>
  <c r="AK25" i="4"/>
  <c r="AL25" i="4"/>
  <c r="AM25" i="4"/>
  <c r="AN25" i="4"/>
  <c r="AO25" i="4"/>
  <c r="A26" i="4"/>
  <c r="B26" i="4"/>
  <c r="C26" i="4"/>
  <c r="D26" i="4"/>
  <c r="E26" i="4"/>
  <c r="F26" i="4"/>
  <c r="G26" i="4"/>
  <c r="H26" i="4"/>
  <c r="I26" i="4"/>
  <c r="J26" i="4"/>
  <c r="K26" i="4"/>
  <c r="L26" i="4"/>
  <c r="M26" i="4"/>
  <c r="N26" i="4"/>
  <c r="O26" i="4"/>
  <c r="Z26" i="4"/>
  <c r="AA26" i="4"/>
  <c r="AB26" i="4"/>
  <c r="AC26" i="4"/>
  <c r="AD26" i="4"/>
  <c r="AE26" i="4"/>
  <c r="AF26" i="4"/>
  <c r="AG26" i="4"/>
  <c r="AH26" i="4"/>
  <c r="AI26" i="4"/>
  <c r="AJ26" i="4"/>
  <c r="AK26" i="4"/>
  <c r="AL26" i="4"/>
  <c r="AM26" i="4"/>
  <c r="AN26" i="4"/>
  <c r="AO26" i="4"/>
  <c r="A28" i="4"/>
  <c r="A29" i="4"/>
  <c r="B29" i="4"/>
  <c r="B41" i="4" s="1"/>
  <c r="B42" i="4" s="1"/>
  <c r="C29" i="4"/>
  <c r="C41" i="4" s="1"/>
  <c r="C42" i="4" s="1"/>
  <c r="C43" i="4" s="1"/>
  <c r="D29" i="4"/>
  <c r="D41" i="4" s="1"/>
  <c r="D42" i="4" s="1"/>
  <c r="E29" i="4"/>
  <c r="E41" i="4" s="1"/>
  <c r="E42" i="4" s="1"/>
  <c r="F29" i="4"/>
  <c r="F41" i="4" s="1"/>
  <c r="F42" i="4" s="1"/>
  <c r="G29" i="4"/>
  <c r="G41" i="4" s="1"/>
  <c r="G42" i="4" s="1"/>
  <c r="G43" i="4" s="1"/>
  <c r="H29" i="4"/>
  <c r="H41" i="4" s="1"/>
  <c r="H42" i="4" s="1"/>
  <c r="I29" i="4"/>
  <c r="I41" i="4" s="1"/>
  <c r="I42" i="4" s="1"/>
  <c r="J29" i="4"/>
  <c r="J41" i="4" s="1"/>
  <c r="J42" i="4" s="1"/>
  <c r="K29" i="4"/>
  <c r="K41" i="4" s="1"/>
  <c r="K42" i="4" s="1"/>
  <c r="K43" i="4" s="1"/>
  <c r="L29" i="4"/>
  <c r="L41" i="4" s="1"/>
  <c r="L42" i="4" s="1"/>
  <c r="M29" i="4"/>
  <c r="N29" i="4"/>
  <c r="N41" i="4" s="1"/>
  <c r="N42" i="4" s="1"/>
  <c r="O29" i="4"/>
  <c r="O41" i="4" s="1"/>
  <c r="O42" i="4" s="1"/>
  <c r="O43" i="4" s="1"/>
  <c r="Z29" i="4"/>
  <c r="Z41" i="4" s="1"/>
  <c r="Z42" i="4" s="1"/>
  <c r="AA29" i="4"/>
  <c r="AA41" i="4" s="1"/>
  <c r="AA42" i="4" s="1"/>
  <c r="AB29" i="4"/>
  <c r="AB41" i="4" s="1"/>
  <c r="AB42" i="4" s="1"/>
  <c r="AC29" i="4"/>
  <c r="AC41" i="4" s="1"/>
  <c r="AC42" i="4" s="1"/>
  <c r="AC43" i="4" s="1"/>
  <c r="AD29" i="4"/>
  <c r="AD41" i="4" s="1"/>
  <c r="AD42" i="4" s="1"/>
  <c r="AE29" i="4"/>
  <c r="AE41" i="4" s="1"/>
  <c r="AE42" i="4" s="1"/>
  <c r="AF29" i="4"/>
  <c r="AF41" i="4" s="1"/>
  <c r="AF42" i="4" s="1"/>
  <c r="AG29" i="4"/>
  <c r="AG41" i="4" s="1"/>
  <c r="AG42" i="4" s="1"/>
  <c r="AG43" i="4" s="1"/>
  <c r="AH29" i="4"/>
  <c r="AH41" i="4" s="1"/>
  <c r="AH42" i="4" s="1"/>
  <c r="AI29" i="4"/>
  <c r="AI41" i="4" s="1"/>
  <c r="AI42" i="4" s="1"/>
  <c r="AJ29" i="4"/>
  <c r="AJ41" i="4" s="1"/>
  <c r="AJ42" i="4" s="1"/>
  <c r="AK29" i="4"/>
  <c r="AK41" i="4" s="1"/>
  <c r="AK42" i="4" s="1"/>
  <c r="AK43" i="4" s="1"/>
  <c r="AL29" i="4"/>
  <c r="AL41" i="4" s="1"/>
  <c r="AL42" i="4" s="1"/>
  <c r="AM29" i="4"/>
  <c r="AN29" i="4"/>
  <c r="AN41" i="4" s="1"/>
  <c r="AN42" i="4" s="1"/>
  <c r="AO29" i="4"/>
  <c r="AO41" i="4" s="1"/>
  <c r="AO42" i="4" s="1"/>
  <c r="AO43" i="4" s="1"/>
  <c r="A30" i="4"/>
  <c r="B30" i="4"/>
  <c r="C30" i="4"/>
  <c r="D30" i="4"/>
  <c r="E30" i="4"/>
  <c r="F30" i="4"/>
  <c r="G30" i="4"/>
  <c r="H30" i="4"/>
  <c r="I30" i="4"/>
  <c r="J30" i="4"/>
  <c r="K30" i="4"/>
  <c r="L30" i="4"/>
  <c r="M30" i="4"/>
  <c r="N30" i="4"/>
  <c r="O30" i="4"/>
  <c r="Z30" i="4"/>
  <c r="AA30" i="4"/>
  <c r="AB30" i="4"/>
  <c r="AC30" i="4"/>
  <c r="AD30" i="4"/>
  <c r="AE30" i="4"/>
  <c r="AF30" i="4"/>
  <c r="AG30" i="4"/>
  <c r="AH30" i="4"/>
  <c r="AI30" i="4"/>
  <c r="AJ30" i="4"/>
  <c r="AK30" i="4"/>
  <c r="AL30" i="4"/>
  <c r="AM30" i="4"/>
  <c r="AN30" i="4"/>
  <c r="AO30" i="4"/>
  <c r="A31" i="4"/>
  <c r="B31" i="4"/>
  <c r="C31" i="4"/>
  <c r="D31" i="4"/>
  <c r="E31" i="4"/>
  <c r="F31" i="4"/>
  <c r="G31" i="4"/>
  <c r="H31" i="4"/>
  <c r="I31" i="4"/>
  <c r="J31" i="4"/>
  <c r="K31" i="4"/>
  <c r="L31" i="4"/>
  <c r="M31" i="4"/>
  <c r="N31" i="4"/>
  <c r="O31" i="4"/>
  <c r="Z31" i="4"/>
  <c r="AA31" i="4"/>
  <c r="AB31" i="4"/>
  <c r="AC31" i="4"/>
  <c r="AD31" i="4"/>
  <c r="AE31" i="4"/>
  <c r="AF31" i="4"/>
  <c r="AG31" i="4"/>
  <c r="AH31" i="4"/>
  <c r="AI31" i="4"/>
  <c r="AJ31" i="4"/>
  <c r="AK31" i="4"/>
  <c r="AL31" i="4"/>
  <c r="AM31" i="4"/>
  <c r="AN31" i="4"/>
  <c r="AO31" i="4"/>
  <c r="A32" i="4"/>
  <c r="B32" i="4"/>
  <c r="C32" i="4"/>
  <c r="D32" i="4"/>
  <c r="E32" i="4"/>
  <c r="F32" i="4"/>
  <c r="G32" i="4"/>
  <c r="H32" i="4"/>
  <c r="I32" i="4"/>
  <c r="J32" i="4"/>
  <c r="K32" i="4"/>
  <c r="L32" i="4"/>
  <c r="M32" i="4"/>
  <c r="N32" i="4"/>
  <c r="O32" i="4"/>
  <c r="Z32" i="4"/>
  <c r="AA32" i="4"/>
  <c r="AB32" i="4"/>
  <c r="AC32" i="4"/>
  <c r="AD32" i="4"/>
  <c r="AE32" i="4"/>
  <c r="AF32" i="4"/>
  <c r="AG32" i="4"/>
  <c r="AH32" i="4"/>
  <c r="AI32" i="4"/>
  <c r="AJ32" i="4"/>
  <c r="AK32" i="4"/>
  <c r="AL32" i="4"/>
  <c r="AM32" i="4"/>
  <c r="AN32" i="4"/>
  <c r="AO32" i="4"/>
  <c r="A33" i="4"/>
  <c r="B33" i="4"/>
  <c r="C33" i="4"/>
  <c r="D33" i="4"/>
  <c r="E33" i="4"/>
  <c r="F33" i="4"/>
  <c r="G33" i="4"/>
  <c r="H33" i="4"/>
  <c r="I33" i="4"/>
  <c r="J33" i="4"/>
  <c r="K33" i="4"/>
  <c r="L33" i="4"/>
  <c r="M33" i="4"/>
  <c r="N33" i="4"/>
  <c r="O33" i="4"/>
  <c r="Z33" i="4"/>
  <c r="AA33" i="4"/>
  <c r="AB33" i="4"/>
  <c r="AC33" i="4"/>
  <c r="AD33" i="4"/>
  <c r="AE33" i="4"/>
  <c r="AF33" i="4"/>
  <c r="AG33" i="4"/>
  <c r="AH33" i="4"/>
  <c r="AI33" i="4"/>
  <c r="AJ33" i="4"/>
  <c r="AK33" i="4"/>
  <c r="AL33" i="4"/>
  <c r="AM33" i="4"/>
  <c r="AN33" i="4"/>
  <c r="AO33" i="4"/>
  <c r="A34" i="4"/>
  <c r="B34" i="4"/>
  <c r="C34" i="4"/>
  <c r="D34" i="4"/>
  <c r="E34" i="4"/>
  <c r="F34" i="4"/>
  <c r="G34" i="4"/>
  <c r="H34" i="4"/>
  <c r="I34" i="4"/>
  <c r="J34" i="4"/>
  <c r="K34" i="4"/>
  <c r="L34" i="4"/>
  <c r="M34" i="4"/>
  <c r="N34" i="4"/>
  <c r="O34" i="4"/>
  <c r="Z34" i="4"/>
  <c r="AA34" i="4"/>
  <c r="AB34" i="4"/>
  <c r="AC34" i="4"/>
  <c r="AD34" i="4"/>
  <c r="AE34" i="4"/>
  <c r="AF34" i="4"/>
  <c r="AG34" i="4"/>
  <c r="AH34" i="4"/>
  <c r="AI34" i="4"/>
  <c r="AJ34" i="4"/>
  <c r="AK34" i="4"/>
  <c r="AL34" i="4"/>
  <c r="AM34" i="4"/>
  <c r="AN34" i="4"/>
  <c r="AO34" i="4"/>
  <c r="A35" i="4"/>
  <c r="B35" i="4"/>
  <c r="C35" i="4"/>
  <c r="D35" i="4"/>
  <c r="E35" i="4"/>
  <c r="F35" i="4"/>
  <c r="G35" i="4"/>
  <c r="H35" i="4"/>
  <c r="I35" i="4"/>
  <c r="J35" i="4"/>
  <c r="K35" i="4"/>
  <c r="L35" i="4"/>
  <c r="M35" i="4"/>
  <c r="N35" i="4"/>
  <c r="O35" i="4"/>
  <c r="Z35" i="4"/>
  <c r="AA35" i="4"/>
  <c r="AB35" i="4"/>
  <c r="AC35" i="4"/>
  <c r="AD35" i="4"/>
  <c r="AE35" i="4"/>
  <c r="AF35" i="4"/>
  <c r="AG35" i="4"/>
  <c r="AH35" i="4"/>
  <c r="AI35" i="4"/>
  <c r="AJ35" i="4"/>
  <c r="AK35" i="4"/>
  <c r="AL35" i="4"/>
  <c r="AM35" i="4"/>
  <c r="AN35" i="4"/>
  <c r="AO35" i="4"/>
  <c r="A36" i="4"/>
  <c r="B36" i="4"/>
  <c r="C36" i="4"/>
  <c r="D36" i="4"/>
  <c r="E36" i="4"/>
  <c r="F36" i="4"/>
  <c r="G36" i="4"/>
  <c r="H36" i="4"/>
  <c r="I36" i="4"/>
  <c r="J36" i="4"/>
  <c r="K36" i="4"/>
  <c r="L36" i="4"/>
  <c r="M36" i="4"/>
  <c r="N36" i="4"/>
  <c r="O36" i="4"/>
  <c r="Z36" i="4"/>
  <c r="AA36" i="4"/>
  <c r="AB36" i="4"/>
  <c r="AC36" i="4"/>
  <c r="AD36" i="4"/>
  <c r="AE36" i="4"/>
  <c r="AF36" i="4"/>
  <c r="AG36" i="4"/>
  <c r="AH36" i="4"/>
  <c r="AI36" i="4"/>
  <c r="AJ36" i="4"/>
  <c r="AK36" i="4"/>
  <c r="AL36" i="4"/>
  <c r="AM36" i="4"/>
  <c r="AN36" i="4"/>
  <c r="AO36" i="4"/>
  <c r="A37" i="4"/>
  <c r="B37" i="4"/>
  <c r="C37" i="4"/>
  <c r="D37" i="4"/>
  <c r="E37" i="4"/>
  <c r="F37" i="4"/>
  <c r="G37" i="4"/>
  <c r="H37" i="4"/>
  <c r="I37" i="4"/>
  <c r="J37" i="4"/>
  <c r="K37" i="4"/>
  <c r="L37" i="4"/>
  <c r="M37" i="4"/>
  <c r="N37" i="4"/>
  <c r="O37" i="4"/>
  <c r="Z37" i="4"/>
  <c r="AA37" i="4"/>
  <c r="AB37" i="4"/>
  <c r="AC37" i="4"/>
  <c r="AD37" i="4"/>
  <c r="AE37" i="4"/>
  <c r="AF37" i="4"/>
  <c r="AG37" i="4"/>
  <c r="AH37" i="4"/>
  <c r="AI37" i="4"/>
  <c r="AJ37" i="4"/>
  <c r="AK37" i="4"/>
  <c r="AL37" i="4"/>
  <c r="AM37" i="4"/>
  <c r="AN37" i="4"/>
  <c r="AO37" i="4"/>
  <c r="A38" i="4"/>
  <c r="B38" i="4"/>
  <c r="C38" i="4"/>
  <c r="D38" i="4"/>
  <c r="E38" i="4"/>
  <c r="F38" i="4"/>
  <c r="G38" i="4"/>
  <c r="H38" i="4"/>
  <c r="I38" i="4"/>
  <c r="J38" i="4"/>
  <c r="K38" i="4"/>
  <c r="L38" i="4"/>
  <c r="M38" i="4"/>
  <c r="N38" i="4"/>
  <c r="O38" i="4"/>
  <c r="Z38" i="4"/>
  <c r="AA38" i="4"/>
  <c r="AB38" i="4"/>
  <c r="AC38" i="4"/>
  <c r="AD38" i="4"/>
  <c r="AE38" i="4"/>
  <c r="AF38" i="4"/>
  <c r="AG38" i="4"/>
  <c r="AH38" i="4"/>
  <c r="AI38" i="4"/>
  <c r="AJ38" i="4"/>
  <c r="AK38" i="4"/>
  <c r="AL38" i="4"/>
  <c r="AM38" i="4"/>
  <c r="AN38" i="4"/>
  <c r="AO38" i="4"/>
  <c r="A39" i="4"/>
  <c r="B39" i="4"/>
  <c r="C39" i="4"/>
  <c r="D39" i="4"/>
  <c r="E39" i="4"/>
  <c r="F39" i="4"/>
  <c r="G39" i="4"/>
  <c r="H39" i="4"/>
  <c r="I39" i="4"/>
  <c r="J39" i="4"/>
  <c r="K39" i="4"/>
  <c r="L39" i="4"/>
  <c r="M39" i="4"/>
  <c r="N39" i="4"/>
  <c r="O39" i="4"/>
  <c r="Z39" i="4"/>
  <c r="AA39" i="4"/>
  <c r="AB39" i="4"/>
  <c r="AC39" i="4"/>
  <c r="AD39" i="4"/>
  <c r="AE39" i="4"/>
  <c r="AF39" i="4"/>
  <c r="AG39" i="4"/>
  <c r="AH39" i="4"/>
  <c r="AI39" i="4"/>
  <c r="AJ39" i="4"/>
  <c r="AK39" i="4"/>
  <c r="AL39" i="4"/>
  <c r="AM39" i="4"/>
  <c r="AN39" i="4"/>
  <c r="AO39" i="4"/>
  <c r="M41" i="4"/>
  <c r="M42" i="4" s="1"/>
  <c r="M43" i="4" s="1"/>
  <c r="AM41" i="4"/>
  <c r="AM42" i="4" s="1"/>
  <c r="AM43" i="4" s="1"/>
  <c r="H44" i="4"/>
  <c r="H45" i="4" s="1"/>
  <c r="K45" i="4" s="1"/>
  <c r="N45" i="4" s="1"/>
  <c r="C4" i="7" s="1"/>
  <c r="D45" i="4" a="1"/>
  <c r="D45" i="4" s="1"/>
  <c r="D46" i="4" a="1"/>
  <c r="D46" i="4" s="1"/>
  <c r="L46" i="4"/>
  <c r="H46" i="4" s="1"/>
  <c r="M46" i="4" s="1"/>
  <c r="B5" i="7" s="1"/>
  <c r="D47" i="4" a="1"/>
  <c r="D47" i="4" s="1"/>
  <c r="D48" i="4" a="1"/>
  <c r="D48" i="4" s="1"/>
  <c r="D49" i="4" a="1"/>
  <c r="D49" i="4" s="1"/>
  <c r="D50" i="4" a="1"/>
  <c r="D50" i="4" s="1"/>
  <c r="D51" i="4" a="1"/>
  <c r="D51" i="4" s="1"/>
  <c r="D52" i="4" a="1"/>
  <c r="D52" i="4" s="1"/>
  <c r="D53" i="4" a="1"/>
  <c r="D53" i="4" s="1"/>
  <c r="D54" i="4" a="1"/>
  <c r="D54" i="4" s="1"/>
  <c r="D55" i="4" a="1"/>
  <c r="D55" i="4" s="1"/>
  <c r="D56" i="4" a="1"/>
  <c r="D56" i="4" s="1"/>
  <c r="D57" i="4" a="1"/>
  <c r="D57" i="4" s="1"/>
  <c r="D58" i="4" a="1"/>
  <c r="D58" i="4" s="1"/>
  <c r="D59" i="4" a="1"/>
  <c r="D59" i="4" s="1"/>
  <c r="D60" i="4" a="1"/>
  <c r="D60" i="4" s="1"/>
  <c r="D61" i="4" a="1"/>
  <c r="D61" i="4" s="1"/>
  <c r="D62" i="4" a="1"/>
  <c r="D62" i="4" s="1"/>
  <c r="D63" i="4" a="1"/>
  <c r="D63" i="4" s="1"/>
  <c r="D64" i="4" a="1"/>
  <c r="D64" i="4" s="1"/>
  <c r="D65" i="4" a="1"/>
  <c r="D65" i="4" s="1"/>
  <c r="D66" i="4" a="1"/>
  <c r="D66" i="4" s="1"/>
  <c r="D67" i="4" a="1"/>
  <c r="D67" i="4" s="1"/>
  <c r="D68" i="4" a="1"/>
  <c r="D68" i="4" s="1"/>
  <c r="D69" i="4" a="1"/>
  <c r="D69" i="4" s="1"/>
  <c r="D70" i="4" a="1"/>
  <c r="D70" i="4" s="1"/>
  <c r="D71" i="4" a="1"/>
  <c r="D71" i="4" s="1"/>
  <c r="D72" i="4" a="1"/>
  <c r="D72" i="4" s="1"/>
  <c r="D73" i="4" a="1"/>
  <c r="D73" i="4" s="1"/>
  <c r="D74" i="4" a="1"/>
  <c r="D74" i="4" s="1"/>
  <c r="D75" i="4" a="1"/>
  <c r="D75" i="4" s="1"/>
  <c r="D76" i="4" a="1"/>
  <c r="D76" i="4" s="1"/>
  <c r="D77" i="4" a="1"/>
  <c r="D77" i="4" s="1"/>
  <c r="D78" i="4" a="1"/>
  <c r="D78" i="4" s="1"/>
  <c r="D79" i="4" a="1"/>
  <c r="D79" i="4" s="1"/>
  <c r="D80" i="4" a="1"/>
  <c r="D80" i="4" s="1"/>
  <c r="K86" i="4"/>
  <c r="N86" i="4" s="1"/>
  <c r="M86" i="4"/>
  <c r="O86" i="4"/>
  <c r="K87" i="4"/>
  <c r="N87" i="4" s="1"/>
  <c r="M87" i="4"/>
  <c r="O87" i="4"/>
  <c r="H89" i="4" a="1"/>
  <c r="H89" i="4" s="1"/>
  <c r="H90" i="4" a="1"/>
  <c r="H90" i="4" s="1"/>
  <c r="H91" i="4" a="1"/>
  <c r="H91" i="4" s="1"/>
  <c r="H92" i="4" a="1"/>
  <c r="H92" i="4" s="1"/>
  <c r="O6" i="5"/>
  <c r="O7" i="5" s="1"/>
  <c r="O8" i="5"/>
  <c r="O9" i="5" s="1"/>
  <c r="O10" i="5" s="1"/>
  <c r="O11" i="5" s="1"/>
  <c r="O12" i="5" s="1"/>
  <c r="O13" i="5" s="1"/>
  <c r="O14" i="5" s="1"/>
  <c r="O15" i="5" s="1"/>
  <c r="O16" i="5" s="1"/>
  <c r="A4" i="7"/>
  <c r="C1" i="1" a="1"/>
  <c r="C1" i="1" s="1"/>
  <c r="D1" i="1" a="1"/>
  <c r="D1" i="1" s="1"/>
  <c r="C2" i="1" a="1"/>
  <c r="C2" i="1" s="1"/>
  <c r="D2" i="1" a="1"/>
  <c r="D2" i="1" s="1"/>
  <c r="C3" i="1" a="1"/>
  <c r="C3" i="1" s="1"/>
  <c r="A5" i="1"/>
  <c r="AA21" i="1"/>
  <c r="AB21" i="1"/>
  <c r="AC21" i="1"/>
  <c r="AD21" i="1"/>
  <c r="AA22" i="1"/>
  <c r="AB22" i="1"/>
  <c r="AC22" i="1"/>
  <c r="AD22" i="1"/>
  <c r="AA23" i="1"/>
  <c r="AB23" i="1"/>
  <c r="AC23" i="1"/>
  <c r="AD23" i="1"/>
  <c r="AA24" i="1"/>
  <c r="AB24" i="1"/>
  <c r="AC24" i="1"/>
  <c r="AD24" i="1"/>
  <c r="AA25" i="1"/>
  <c r="AB25" i="1"/>
  <c r="AC25" i="1"/>
  <c r="AD25" i="1"/>
  <c r="A26" i="1"/>
  <c r="AA26" i="1"/>
  <c r="AB26" i="1"/>
  <c r="AC26" i="1"/>
  <c r="AD26" i="1"/>
  <c r="A27" i="1"/>
  <c r="AA27" i="1"/>
  <c r="AB27" i="1"/>
  <c r="AC27" i="1"/>
  <c r="AD27" i="1"/>
  <c r="A28" i="1"/>
  <c r="AA28" i="1"/>
  <c r="AB28" i="1"/>
  <c r="AC28" i="1"/>
  <c r="AD28" i="1"/>
  <c r="A29" i="1"/>
  <c r="AA29" i="1"/>
  <c r="AB29" i="1"/>
  <c r="AC29" i="1"/>
  <c r="AD29" i="1"/>
  <c r="A30" i="1"/>
  <c r="AA30" i="1"/>
  <c r="AB30" i="1"/>
  <c r="AC30" i="1"/>
  <c r="AD30" i="1"/>
  <c r="A31" i="1"/>
  <c r="AA31" i="1"/>
  <c r="AB31" i="1"/>
  <c r="AC31" i="1"/>
  <c r="AD31" i="1"/>
  <c r="O33" i="1"/>
  <c r="P33" i="1"/>
  <c r="O35" i="1" a="1"/>
  <c r="O35" i="1" s="1"/>
  <c r="O37" i="1" s="1"/>
  <c r="P35" i="1" a="1"/>
  <c r="P35" i="1" s="1"/>
  <c r="P37" i="1" s="1"/>
  <c r="Q35" i="1"/>
  <c r="R35" i="1"/>
  <c r="S35" i="1"/>
  <c r="T35" i="1"/>
  <c r="U35" i="1"/>
  <c r="V35" i="1"/>
  <c r="W35" i="1"/>
  <c r="X35" i="1"/>
  <c r="AV53" i="3"/>
  <c r="AN49" i="3"/>
  <c r="Z53" i="3"/>
  <c r="X53" i="3"/>
  <c r="BA53" i="3"/>
  <c r="K53" i="3"/>
  <c r="W53" i="3"/>
  <c r="E49" i="3"/>
  <c r="V49" i="3"/>
  <c r="AA49" i="3"/>
  <c r="L54" i="3"/>
  <c r="AS53" i="3"/>
  <c r="BA54" i="3"/>
  <c r="AX54" i="3"/>
  <c r="E53" i="3"/>
  <c r="S54" i="3"/>
  <c r="AQ49" i="3"/>
  <c r="AY53" i="3"/>
  <c r="BE54" i="3"/>
  <c r="BC49" i="3"/>
  <c r="AA53" i="3"/>
  <c r="O53" i="3"/>
  <c r="K49" i="3"/>
  <c r="J53" i="3"/>
  <c r="BE53" i="3"/>
  <c r="AP53" i="3"/>
  <c r="AO53" i="3"/>
  <c r="BF53" i="3"/>
  <c r="AO54" i="3"/>
  <c r="Y49" i="3"/>
  <c r="L49" i="3"/>
  <c r="R54" i="3"/>
  <c r="H53" i="3"/>
  <c r="AJ53" i="3"/>
  <c r="AJ49" i="3"/>
  <c r="AB54" i="3"/>
  <c r="U49" i="3"/>
  <c r="D54" i="3"/>
  <c r="O54" i="3"/>
  <c r="AV54" i="3"/>
  <c r="BD54" i="3"/>
  <c r="Y54" i="3"/>
  <c r="N53" i="3"/>
  <c r="AL54" i="3"/>
  <c r="Y53" i="3"/>
  <c r="AW53" i="3"/>
  <c r="AR53" i="3"/>
  <c r="AI54" i="3"/>
  <c r="AL53" i="3"/>
  <c r="C54" i="3"/>
  <c r="U53" i="3"/>
  <c r="Q53" i="3"/>
  <c r="P54" i="3"/>
  <c r="I53" i="3"/>
  <c r="S49" i="3"/>
  <c r="AL49" i="3"/>
  <c r="AC49" i="3"/>
  <c r="D53" i="3"/>
  <c r="I49" i="3"/>
  <c r="BC54" i="3"/>
  <c r="AQ53" i="3"/>
  <c r="AQ54" i="3"/>
  <c r="X54" i="3"/>
  <c r="AT53" i="3"/>
  <c r="AW54" i="3"/>
  <c r="AV49" i="3"/>
  <c r="M54" i="3"/>
  <c r="V54" i="3"/>
  <c r="BE49" i="3"/>
  <c r="AC53" i="3"/>
  <c r="AW49" i="3"/>
  <c r="AS54" i="3"/>
  <c r="AG53" i="3"/>
  <c r="BD53" i="3"/>
  <c r="AK54" i="3"/>
  <c r="AD49" i="3"/>
  <c r="S53" i="3"/>
  <c r="W49" i="3"/>
  <c r="G54" i="3"/>
  <c r="AC54" i="3"/>
  <c r="AP49" i="3"/>
  <c r="AH54" i="3"/>
  <c r="J54" i="3"/>
  <c r="T49" i="3"/>
  <c r="N54" i="3"/>
  <c r="X49" i="3"/>
  <c r="BF54" i="3"/>
  <c r="AM49" i="3"/>
  <c r="BA49" i="3"/>
  <c r="BD49" i="3"/>
  <c r="AB53" i="3"/>
  <c r="BB49" i="3"/>
  <c r="AK49" i="3"/>
  <c r="AE49" i="3"/>
  <c r="C53" i="3"/>
  <c r="P49" i="3"/>
  <c r="G53" i="3"/>
  <c r="Q54" i="3"/>
  <c r="O49" i="3"/>
  <c r="BF49" i="3"/>
  <c r="AM53" i="3"/>
  <c r="AF49" i="3"/>
  <c r="F49" i="3"/>
  <c r="AX49" i="3"/>
  <c r="BB54" i="3"/>
  <c r="BB53" i="3"/>
  <c r="BC53" i="3"/>
  <c r="AZ49" i="3"/>
  <c r="AO49" i="3"/>
  <c r="AH49" i="3"/>
  <c r="L53" i="3"/>
  <c r="F54" i="3"/>
  <c r="AK53" i="3"/>
  <c r="AU54" i="3"/>
  <c r="AT49" i="3"/>
  <c r="AZ54" i="3"/>
  <c r="AE53" i="3"/>
  <c r="AJ54" i="3"/>
  <c r="AN54" i="3"/>
  <c r="P53" i="3"/>
  <c r="E54" i="3"/>
  <c r="W54" i="3"/>
  <c r="Q49" i="3"/>
  <c r="AI49" i="3"/>
  <c r="AG54" i="3"/>
  <c r="AS49" i="3"/>
  <c r="H49" i="3"/>
  <c r="M49" i="3"/>
  <c r="N49" i="3"/>
  <c r="K54" i="3"/>
  <c r="H54" i="3"/>
  <c r="AU53" i="3"/>
  <c r="AY54" i="3"/>
  <c r="AE54" i="3"/>
  <c r="AP54" i="3"/>
  <c r="Z54" i="3"/>
  <c r="Z49" i="3"/>
  <c r="M53" i="3"/>
  <c r="T54" i="3"/>
  <c r="D49" i="3"/>
  <c r="I54" i="3"/>
  <c r="AD54" i="3"/>
  <c r="AU49" i="3"/>
  <c r="AF53" i="3"/>
  <c r="R53" i="3"/>
  <c r="R49" i="3"/>
  <c r="AR54" i="3"/>
  <c r="AF54" i="3"/>
  <c r="AY49" i="3"/>
  <c r="AM54" i="3"/>
  <c r="AT54" i="3"/>
  <c r="AB49" i="3"/>
  <c r="F53" i="3"/>
  <c r="U54" i="3"/>
  <c r="AH53" i="3"/>
  <c r="AA54" i="3"/>
  <c r="AN53" i="3"/>
  <c r="AX53" i="3"/>
  <c r="AR49" i="3"/>
  <c r="AZ53" i="3"/>
  <c r="AI53" i="3"/>
  <c r="G49" i="3"/>
  <c r="V53" i="3"/>
  <c r="T53" i="3"/>
  <c r="AD53" i="3"/>
  <c r="AG49" i="3"/>
  <c r="E70" i="2"/>
  <c r="Y63" i="2"/>
  <c r="I70" i="2"/>
  <c r="K70" i="2"/>
  <c r="AS63" i="2"/>
  <c r="AZ63" i="2"/>
  <c r="V71" i="2"/>
  <c r="AK63" i="2"/>
  <c r="AV63" i="2"/>
  <c r="U71" i="2"/>
  <c r="J71" i="2"/>
  <c r="F63" i="2"/>
  <c r="Z71" i="2"/>
  <c r="X70" i="2"/>
  <c r="AA70" i="2"/>
  <c r="AD70" i="2"/>
  <c r="BC63" i="2"/>
  <c r="M63" i="2"/>
  <c r="AH63" i="2"/>
  <c r="AW63" i="2"/>
  <c r="AC63" i="2"/>
  <c r="H71" i="2"/>
  <c r="AN63" i="2"/>
  <c r="L67" i="2"/>
  <c r="Q67" i="2"/>
  <c r="H67" i="2"/>
  <c r="V67" i="2"/>
  <c r="G67" i="2"/>
  <c r="U67" i="2"/>
  <c r="W67" i="2"/>
  <c r="AT63" i="2"/>
  <c r="K71" i="2"/>
  <c r="D63" i="2"/>
  <c r="Z63" i="2"/>
  <c r="T70" i="2"/>
  <c r="D70" i="2"/>
  <c r="AA71" i="2"/>
  <c r="AJ63" i="2"/>
  <c r="I71" i="2"/>
  <c r="U63" i="2"/>
  <c r="W63" i="2"/>
  <c r="N67" i="2"/>
  <c r="M67" i="2"/>
  <c r="O67" i="2"/>
  <c r="X67" i="2"/>
  <c r="M70" i="2"/>
  <c r="F70" i="2"/>
  <c r="AE70" i="2"/>
  <c r="X63" i="2"/>
  <c r="AD63" i="2"/>
  <c r="Y70" i="2"/>
  <c r="J63" i="2"/>
  <c r="AD71" i="2"/>
  <c r="L71" i="2"/>
  <c r="AO63" i="2"/>
  <c r="AB63" i="2"/>
  <c r="AB67" i="2"/>
  <c r="I67" i="2"/>
  <c r="AD67" i="2"/>
  <c r="AF63" i="2"/>
  <c r="AI63" i="2"/>
  <c r="AB70" i="2"/>
  <c r="G71" i="2"/>
  <c r="AX63" i="2"/>
  <c r="Z70" i="2"/>
  <c r="T63" i="2"/>
  <c r="O71" i="2"/>
  <c r="P70" i="2"/>
  <c r="Q70" i="2"/>
  <c r="AM63" i="2"/>
  <c r="Q63" i="2"/>
  <c r="J70" i="2"/>
  <c r="S71" i="2"/>
  <c r="Q71" i="2"/>
  <c r="W71" i="2"/>
  <c r="P71" i="2"/>
  <c r="AA63" i="2"/>
  <c r="BD63" i="2"/>
  <c r="N63" i="2"/>
  <c r="AQ63" i="2"/>
  <c r="BB63" i="2"/>
  <c r="H63" i="2"/>
  <c r="Y71" i="2"/>
  <c r="BA63" i="2"/>
  <c r="R71" i="2"/>
  <c r="F71" i="2"/>
  <c r="AE71" i="2"/>
  <c r="F67" i="2"/>
  <c r="J67" i="2"/>
  <c r="S67" i="2"/>
  <c r="D67" i="2"/>
  <c r="AA67" i="2"/>
  <c r="E67" i="2"/>
  <c r="Z67" i="2"/>
  <c r="AY63" i="2"/>
  <c r="X71" i="2"/>
  <c r="AG63" i="2"/>
  <c r="G63" i="2"/>
  <c r="N71" i="2"/>
  <c r="I63" i="2"/>
  <c r="P63" i="2"/>
  <c r="AC70" i="2"/>
  <c r="AL63" i="2"/>
  <c r="G70" i="2"/>
  <c r="W70" i="2"/>
  <c r="AB71" i="2"/>
  <c r="U70" i="2"/>
  <c r="AC71" i="2"/>
  <c r="E71" i="2"/>
  <c r="K67" i="2"/>
  <c r="R67" i="2"/>
  <c r="Y67" i="2"/>
  <c r="H70" i="2"/>
  <c r="AP63" i="2"/>
  <c r="K63" i="2"/>
  <c r="AR63" i="2"/>
  <c r="S63" i="2"/>
  <c r="O63" i="2"/>
  <c r="BE63" i="2"/>
  <c r="V70" i="2"/>
  <c r="BF63" i="2"/>
  <c r="S70" i="2"/>
  <c r="L63" i="2"/>
  <c r="AU63" i="2"/>
  <c r="O70" i="2"/>
  <c r="AE63" i="2"/>
  <c r="R70" i="2"/>
  <c r="R63" i="2"/>
  <c r="L70" i="2"/>
  <c r="T71" i="2"/>
  <c r="V63" i="2"/>
  <c r="AE67" i="2"/>
  <c r="P67" i="2"/>
  <c r="T67" i="2"/>
  <c r="AC67" i="2"/>
  <c r="B2" i="17" l="1" a="1"/>
  <c r="L47" i="4"/>
  <c r="AI43" i="4"/>
  <c r="AE43" i="4"/>
  <c r="AA43" i="4"/>
  <c r="I43" i="4"/>
  <c r="E43" i="4"/>
  <c r="A41" i="4"/>
  <c r="A42" i="4" s="1"/>
  <c r="Y35" i="1"/>
  <c r="A5" i="7"/>
  <c r="A43" i="4"/>
  <c r="AN43" i="4"/>
  <c r="AL43" i="4"/>
  <c r="AJ43" i="4"/>
  <c r="AH43" i="4"/>
  <c r="AF43" i="4"/>
  <c r="AD43" i="4"/>
  <c r="AB43" i="4"/>
  <c r="Z43" i="4"/>
  <c r="N43" i="4"/>
  <c r="L43" i="4"/>
  <c r="J43" i="4"/>
  <c r="H43" i="4"/>
  <c r="F43" i="4"/>
  <c r="D43" i="4"/>
  <c r="B43" i="4"/>
  <c r="A15" i="4" a="1"/>
  <c r="A15" i="4" s="1"/>
  <c r="AB2" i="1"/>
  <c r="CR59" i="2"/>
  <c r="CF61" i="2"/>
  <c r="AB3" i="1" a="1"/>
  <c r="AB3" i="1" s="1"/>
  <c r="AC35" i="1"/>
  <c r="BN55" i="3"/>
  <c r="AH55" i="3"/>
  <c r="AX55" i="3"/>
  <c r="R55" i="3"/>
  <c r="K51" i="3"/>
  <c r="BV55" i="3"/>
  <c r="BF55" i="3"/>
  <c r="AP55" i="3"/>
  <c r="Z55" i="3"/>
  <c r="J55" i="3"/>
  <c r="AQ51" i="3"/>
  <c r="AH50" i="3"/>
  <c r="K46" i="4"/>
  <c r="N46" i="4" s="1"/>
  <c r="C5" i="7" s="1"/>
  <c r="AA51" i="3"/>
  <c r="AX50" i="3"/>
  <c r="R50" i="3"/>
  <c r="BZ55" i="3"/>
  <c r="BR55" i="3"/>
  <c r="BJ55" i="3"/>
  <c r="BB55" i="3"/>
  <c r="AT55" i="3"/>
  <c r="AL55" i="3"/>
  <c r="AD55" i="3"/>
  <c r="V55" i="3"/>
  <c r="N55" i="3"/>
  <c r="F55" i="3"/>
  <c r="AY51" i="3"/>
  <c r="AI51" i="3"/>
  <c r="S51" i="3"/>
  <c r="C51" i="3"/>
  <c r="AP50" i="3"/>
  <c r="Z50" i="3"/>
  <c r="J50" i="3"/>
  <c r="BC51" i="3"/>
  <c r="AU51" i="3"/>
  <c r="AM51" i="3"/>
  <c r="AE51" i="3"/>
  <c r="W51" i="3"/>
  <c r="O51" i="3"/>
  <c r="G51" i="3"/>
  <c r="BB50" i="3"/>
  <c r="AT50" i="3"/>
  <c r="AL50" i="3"/>
  <c r="AD50" i="3"/>
  <c r="V50" i="3"/>
  <c r="N50" i="3"/>
  <c r="F50" i="3"/>
  <c r="CB55" i="3"/>
  <c r="BX55" i="3"/>
  <c r="BT55" i="3"/>
  <c r="BP55" i="3"/>
  <c r="BL55" i="3"/>
  <c r="BH55" i="3"/>
  <c r="BD55" i="3"/>
  <c r="AZ55" i="3"/>
  <c r="AV55" i="3"/>
  <c r="AR55" i="3"/>
  <c r="AN55" i="3"/>
  <c r="AJ55" i="3"/>
  <c r="AF55" i="3"/>
  <c r="AB55" i="3"/>
  <c r="X55" i="3"/>
  <c r="T55" i="3"/>
  <c r="P55" i="3"/>
  <c r="L55" i="3"/>
  <c r="H55" i="3"/>
  <c r="D55" i="3"/>
  <c r="BE51" i="3"/>
  <c r="BA51" i="3"/>
  <c r="AW51" i="3"/>
  <c r="AS51" i="3"/>
  <c r="AO51" i="3"/>
  <c r="AK51" i="3"/>
  <c r="AG51" i="3"/>
  <c r="AC51" i="3"/>
  <c r="Y51" i="3"/>
  <c r="U51" i="3"/>
  <c r="Q51" i="3"/>
  <c r="M51" i="3"/>
  <c r="I51" i="3"/>
  <c r="E51" i="3"/>
  <c r="BD50" i="3"/>
  <c r="AZ50" i="3"/>
  <c r="AV50" i="3"/>
  <c r="AR50" i="3"/>
  <c r="AN50" i="3"/>
  <c r="AJ50" i="3"/>
  <c r="AF50" i="3"/>
  <c r="AB50" i="3"/>
  <c r="X50" i="3"/>
  <c r="T50" i="3"/>
  <c r="P50" i="3"/>
  <c r="L50" i="3"/>
  <c r="H50" i="3"/>
  <c r="D50" i="3"/>
  <c r="BD51" i="3"/>
  <c r="BB51" i="3"/>
  <c r="AZ51" i="3"/>
  <c r="AX51" i="3"/>
  <c r="AV51" i="3"/>
  <c r="AT51" i="3"/>
  <c r="AR51" i="3"/>
  <c r="AP51" i="3"/>
  <c r="AN51" i="3"/>
  <c r="AL51" i="3"/>
  <c r="AJ51" i="3"/>
  <c r="AH51" i="3"/>
  <c r="AF51" i="3"/>
  <c r="AD51" i="3"/>
  <c r="AB51" i="3"/>
  <c r="Z51" i="3"/>
  <c r="X51" i="3"/>
  <c r="V51" i="3"/>
  <c r="T51" i="3"/>
  <c r="R51" i="3"/>
  <c r="P51" i="3"/>
  <c r="N51" i="3"/>
  <c r="L51" i="3"/>
  <c r="J51" i="3"/>
  <c r="H51" i="3"/>
  <c r="F51" i="3"/>
  <c r="D51" i="3"/>
  <c r="BE50" i="3"/>
  <c r="BC50" i="3"/>
  <c r="BA50" i="3"/>
  <c r="AY50" i="3"/>
  <c r="AW50" i="3"/>
  <c r="AU50" i="3"/>
  <c r="AS50" i="3"/>
  <c r="AQ50" i="3"/>
  <c r="AO50" i="3"/>
  <c r="AM50" i="3"/>
  <c r="AK50" i="3"/>
  <c r="AI50" i="3"/>
  <c r="AG50" i="3"/>
  <c r="AE50" i="3"/>
  <c r="AC50" i="3"/>
  <c r="AA50" i="3"/>
  <c r="Y50" i="3"/>
  <c r="W50" i="3"/>
  <c r="U50" i="3"/>
  <c r="S50" i="3"/>
  <c r="Q50" i="3"/>
  <c r="O50" i="3"/>
  <c r="M50" i="3"/>
  <c r="K50" i="3"/>
  <c r="I50" i="3"/>
  <c r="G50" i="3"/>
  <c r="E50" i="3"/>
  <c r="CC55" i="3"/>
  <c r="CA55" i="3"/>
  <c r="BY55" i="3"/>
  <c r="BW55" i="3"/>
  <c r="BU55" i="3"/>
  <c r="BS55" i="3"/>
  <c r="BQ55" i="3"/>
  <c r="BO55" i="3"/>
  <c r="BM55" i="3"/>
  <c r="BK55" i="3"/>
  <c r="BI55" i="3"/>
  <c r="BG55" i="3"/>
  <c r="BE55" i="3"/>
  <c r="BC55" i="3"/>
  <c r="BA55" i="3"/>
  <c r="AY55" i="3"/>
  <c r="AW55" i="3"/>
  <c r="AU55" i="3"/>
  <c r="AS55" i="3"/>
  <c r="AQ55" i="3"/>
  <c r="AO55" i="3"/>
  <c r="AM55" i="3"/>
  <c r="AK55" i="3"/>
  <c r="AI55" i="3"/>
  <c r="AG55" i="3"/>
  <c r="AE55" i="3"/>
  <c r="AC55" i="3"/>
  <c r="AA55" i="3"/>
  <c r="Y55" i="3"/>
  <c r="W55" i="3"/>
  <c r="U55" i="3"/>
  <c r="S55" i="3"/>
  <c r="Q55" i="3"/>
  <c r="O55" i="3"/>
  <c r="M55" i="3"/>
  <c r="K55" i="3"/>
  <c r="I55" i="3"/>
  <c r="G55" i="3"/>
  <c r="E55" i="3"/>
  <c r="O38" i="1"/>
  <c r="CC1" i="3"/>
  <c r="BM1" i="3"/>
  <c r="AW1" i="3"/>
  <c r="AG1" i="3"/>
  <c r="Q1" i="3"/>
  <c r="O46" i="4"/>
  <c r="D5" i="7" s="1"/>
  <c r="BU1" i="3"/>
  <c r="BE1" i="3"/>
  <c r="AO1" i="3"/>
  <c r="Y1" i="3"/>
  <c r="I1" i="3"/>
  <c r="R4" i="2"/>
  <c r="AX2" i="2"/>
  <c r="BU4" i="3"/>
  <c r="BE4" i="3"/>
  <c r="AO4" i="3"/>
  <c r="Y4" i="3"/>
  <c r="I4" i="3"/>
  <c r="BU3" i="3"/>
  <c r="BM3" i="3"/>
  <c r="BE3" i="3"/>
  <c r="AW3" i="3"/>
  <c r="AO3" i="3"/>
  <c r="AG3" i="3"/>
  <c r="Y3" i="3"/>
  <c r="Q3" i="3"/>
  <c r="I3" i="3"/>
  <c r="CC2" i="3"/>
  <c r="BU2" i="3"/>
  <c r="BM2" i="3"/>
  <c r="BE2" i="3"/>
  <c r="AW2" i="3"/>
  <c r="AO2" i="3"/>
  <c r="AG2" i="3"/>
  <c r="Y2" i="3"/>
  <c r="Q2" i="3"/>
  <c r="I2" i="3"/>
  <c r="CC4" i="3"/>
  <c r="BM4" i="3"/>
  <c r="AW4" i="3"/>
  <c r="AG4" i="3"/>
  <c r="Q4" i="3"/>
  <c r="CC3" i="3"/>
  <c r="BQ3" i="3"/>
  <c r="BI3" i="3"/>
  <c r="BA3" i="3"/>
  <c r="AS3" i="3"/>
  <c r="AK3" i="3"/>
  <c r="AC3" i="3"/>
  <c r="U3" i="3"/>
  <c r="M3" i="3"/>
  <c r="E3" i="3"/>
  <c r="BY2" i="3"/>
  <c r="BQ2" i="3"/>
  <c r="BI2" i="3"/>
  <c r="BA2" i="3"/>
  <c r="AS2" i="3"/>
  <c r="AK2" i="3"/>
  <c r="AC2" i="3"/>
  <c r="U2" i="3"/>
  <c r="M2" i="3"/>
  <c r="E2" i="3"/>
  <c r="BY1" i="3"/>
  <c r="BQ1" i="3"/>
  <c r="BI1" i="3"/>
  <c r="BA1" i="3"/>
  <c r="AS1" i="3"/>
  <c r="AK1" i="3"/>
  <c r="AC1" i="3"/>
  <c r="U1" i="3"/>
  <c r="M1" i="3"/>
  <c r="E1" i="3"/>
  <c r="CD4" i="2"/>
  <c r="AH3" i="2"/>
  <c r="BN1" i="2"/>
  <c r="AX4" i="2"/>
  <c r="BN3" i="2"/>
  <c r="CD2" i="2"/>
  <c r="R2" i="2"/>
  <c r="AH1" i="2"/>
  <c r="BN4" i="2"/>
  <c r="AH4" i="2"/>
  <c r="CD3" i="2"/>
  <c r="AX3" i="2"/>
  <c r="R3" i="2"/>
  <c r="BN2" i="2"/>
  <c r="AH2" i="2"/>
  <c r="CD1" i="2"/>
  <c r="AX1" i="2"/>
  <c r="R1" i="2"/>
  <c r="BY4" i="3"/>
  <c r="BQ4" i="3"/>
  <c r="BI4" i="3"/>
  <c r="BA4" i="3"/>
  <c r="AS4" i="3"/>
  <c r="AK4" i="3"/>
  <c r="AC4" i="3"/>
  <c r="U4" i="3"/>
  <c r="M4" i="3"/>
  <c r="E4" i="3"/>
  <c r="BY3" i="3"/>
  <c r="BV4" i="2"/>
  <c r="BF4" i="2"/>
  <c r="AP4" i="2"/>
  <c r="Z4" i="2"/>
  <c r="J4" i="2"/>
  <c r="BV3" i="2"/>
  <c r="BF3" i="2"/>
  <c r="AP3" i="2"/>
  <c r="Z3" i="2"/>
  <c r="J3" i="2"/>
  <c r="BV2" i="2"/>
  <c r="BF2" i="2"/>
  <c r="AP2" i="2"/>
  <c r="Z2" i="2"/>
  <c r="J2" i="2"/>
  <c r="BV1" i="2"/>
  <c r="BF1" i="2"/>
  <c r="AP1" i="2"/>
  <c r="Z1" i="2"/>
  <c r="J1" i="2"/>
  <c r="BZ4" i="2"/>
  <c r="BR4" i="2"/>
  <c r="BJ4" i="2"/>
  <c r="BB4" i="2"/>
  <c r="AT4" i="2"/>
  <c r="AL4" i="2"/>
  <c r="AD4" i="2"/>
  <c r="V4" i="2"/>
  <c r="N4" i="2"/>
  <c r="F4" i="2"/>
  <c r="BZ3" i="2"/>
  <c r="BR3" i="2"/>
  <c r="BJ3" i="2"/>
  <c r="BB3" i="2"/>
  <c r="AT3" i="2"/>
  <c r="AL3" i="2"/>
  <c r="AD3" i="2"/>
  <c r="V3" i="2"/>
  <c r="N3" i="2"/>
  <c r="F3" i="2"/>
  <c r="BZ2" i="2"/>
  <c r="BR2" i="2"/>
  <c r="BJ2" i="2"/>
  <c r="BB2" i="2"/>
  <c r="AT2" i="2"/>
  <c r="AL2" i="2"/>
  <c r="AD2" i="2"/>
  <c r="V2" i="2"/>
  <c r="N2" i="2"/>
  <c r="F2" i="2"/>
  <c r="BZ1" i="2"/>
  <c r="BR1" i="2"/>
  <c r="BJ1" i="2"/>
  <c r="BB1" i="2"/>
  <c r="AT1" i="2"/>
  <c r="AL1" i="2"/>
  <c r="AD1" i="2"/>
  <c r="V1" i="2"/>
  <c r="N1" i="2"/>
  <c r="F1" i="2"/>
  <c r="CB4" i="2"/>
  <c r="BX4" i="2"/>
  <c r="BT4" i="2"/>
  <c r="BP4" i="2"/>
  <c r="BL4" i="2"/>
  <c r="BH4" i="2"/>
  <c r="BD4" i="2"/>
  <c r="AZ4" i="2"/>
  <c r="AV4" i="2"/>
  <c r="AR4" i="2"/>
  <c r="AN4" i="2"/>
  <c r="AJ4" i="2"/>
  <c r="AF4" i="2"/>
  <c r="AB4" i="2"/>
  <c r="X4" i="2"/>
  <c r="T4" i="2"/>
  <c r="P4" i="2"/>
  <c r="L4" i="2"/>
  <c r="H4" i="2"/>
  <c r="D4" i="2"/>
  <c r="CB3" i="2"/>
  <c r="BX3" i="2"/>
  <c r="BT3" i="2"/>
  <c r="BP3" i="2"/>
  <c r="BL3" i="2"/>
  <c r="BH3" i="2"/>
  <c r="BD3" i="2"/>
  <c r="AZ3" i="2"/>
  <c r="AV3" i="2"/>
  <c r="AR3" i="2"/>
  <c r="AN3" i="2"/>
  <c r="AJ3" i="2"/>
  <c r="AF3" i="2"/>
  <c r="AB3" i="2"/>
  <c r="X3" i="2"/>
  <c r="T3" i="2"/>
  <c r="P3" i="2"/>
  <c r="L3" i="2"/>
  <c r="H3" i="2"/>
  <c r="D3" i="2"/>
  <c r="CB2" i="2"/>
  <c r="BX2" i="2"/>
  <c r="BT2" i="2"/>
  <c r="BP2" i="2"/>
  <c r="BL2" i="2"/>
  <c r="BH2" i="2"/>
  <c r="BD2" i="2"/>
  <c r="AZ2" i="2"/>
  <c r="AV2" i="2"/>
  <c r="AR2" i="2"/>
  <c r="AN2" i="2"/>
  <c r="AJ2" i="2"/>
  <c r="AF2" i="2"/>
  <c r="AB2" i="2"/>
  <c r="X2" i="2"/>
  <c r="T2" i="2"/>
  <c r="P2" i="2"/>
  <c r="L2" i="2"/>
  <c r="H2" i="2"/>
  <c r="D2" i="2"/>
  <c r="CB1" i="2"/>
  <c r="BX1" i="2"/>
  <c r="BT1" i="2"/>
  <c r="BP1" i="2"/>
  <c r="BL1" i="2"/>
  <c r="BH1" i="2"/>
  <c r="BD1" i="2"/>
  <c r="AZ1" i="2"/>
  <c r="AV1" i="2"/>
  <c r="AR1" i="2"/>
  <c r="AN1" i="2"/>
  <c r="AJ1" i="2"/>
  <c r="AF1" i="2"/>
  <c r="AB1" i="2"/>
  <c r="X1" i="2"/>
  <c r="T1" i="2"/>
  <c r="P1" i="2"/>
  <c r="L1" i="2"/>
  <c r="H1" i="2"/>
  <c r="D1" i="2"/>
  <c r="CU59" i="2"/>
  <c r="CS59" i="2"/>
  <c r="CP59" i="2"/>
  <c r="CF60" i="2"/>
  <c r="CV59" i="2"/>
  <c r="CT59" i="2"/>
  <c r="CO59" i="2"/>
  <c r="O45" i="4"/>
  <c r="D4" i="7" s="1"/>
  <c r="CA4" i="3"/>
  <c r="BW4" i="3"/>
  <c r="BS4" i="3"/>
  <c r="BO4" i="3"/>
  <c r="BK4" i="3"/>
  <c r="BG4" i="3"/>
  <c r="BC4" i="3"/>
  <c r="AY4" i="3"/>
  <c r="AU4" i="3"/>
  <c r="AQ4" i="3"/>
  <c r="AM4" i="3"/>
  <c r="AI4" i="3"/>
  <c r="AE4" i="3"/>
  <c r="AA4" i="3"/>
  <c r="W4" i="3"/>
  <c r="S4" i="3"/>
  <c r="O4" i="3"/>
  <c r="K4" i="3"/>
  <c r="G4" i="3"/>
  <c r="C4" i="3"/>
  <c r="CA3" i="3"/>
  <c r="BW3" i="3"/>
  <c r="BS3" i="3"/>
  <c r="BO3" i="3"/>
  <c r="BK3" i="3"/>
  <c r="BG3" i="3"/>
  <c r="BC3" i="3"/>
  <c r="AY3" i="3"/>
  <c r="AU3" i="3"/>
  <c r="AQ3" i="3"/>
  <c r="AM3" i="3"/>
  <c r="AI3" i="3"/>
  <c r="AE3" i="3"/>
  <c r="AA3" i="3"/>
  <c r="W3" i="3"/>
  <c r="S3" i="3"/>
  <c r="O3" i="3"/>
  <c r="K3" i="3"/>
  <c r="G3" i="3"/>
  <c r="C3" i="3"/>
  <c r="CA2" i="3"/>
  <c r="BW2" i="3"/>
  <c r="BS2" i="3"/>
  <c r="BO2" i="3"/>
  <c r="BK2" i="3"/>
  <c r="BG2" i="3"/>
  <c r="BC2" i="3"/>
  <c r="AY2" i="3"/>
  <c r="AU2" i="3"/>
  <c r="AQ2" i="3"/>
  <c r="AM2" i="3"/>
  <c r="AI2" i="3"/>
  <c r="AE2" i="3"/>
  <c r="AA2" i="3"/>
  <c r="W2" i="3"/>
  <c r="S2" i="3"/>
  <c r="O2" i="3"/>
  <c r="K2" i="3"/>
  <c r="G2" i="3"/>
  <c r="C2" i="3"/>
  <c r="CA1" i="3"/>
  <c r="BW1" i="3"/>
  <c r="BS1" i="3"/>
  <c r="BO1" i="3"/>
  <c r="BK1" i="3"/>
  <c r="BG1" i="3"/>
  <c r="BC1" i="3"/>
  <c r="AY1" i="3"/>
  <c r="AU1" i="3"/>
  <c r="AQ1" i="3"/>
  <c r="AM1" i="3"/>
  <c r="AI1" i="3"/>
  <c r="AE1" i="3"/>
  <c r="AA1" i="3"/>
  <c r="W1" i="3"/>
  <c r="S1" i="3"/>
  <c r="O1" i="3"/>
  <c r="K1" i="3"/>
  <c r="G1" i="3"/>
  <c r="C1" i="3"/>
  <c r="CC4" i="2"/>
  <c r="CA4" i="2"/>
  <c r="BY4" i="2"/>
  <c r="BW4" i="2"/>
  <c r="BU4" i="2"/>
  <c r="BS4" i="2"/>
  <c r="BQ4" i="2"/>
  <c r="BO4" i="2"/>
  <c r="BM4" i="2"/>
  <c r="BK4" i="2"/>
  <c r="BI4" i="2"/>
  <c r="BG4" i="2"/>
  <c r="BE4" i="2"/>
  <c r="BC4" i="2"/>
  <c r="BA4" i="2"/>
  <c r="AY4" i="2"/>
  <c r="AW4" i="2"/>
  <c r="AU4" i="2"/>
  <c r="AS4" i="2"/>
  <c r="AQ4" i="2"/>
  <c r="AO4" i="2"/>
  <c r="AM4" i="2"/>
  <c r="AK4" i="2"/>
  <c r="AI4" i="2"/>
  <c r="AG4" i="2"/>
  <c r="AE4" i="2"/>
  <c r="AC4" i="2"/>
  <c r="AA4" i="2"/>
  <c r="Y4" i="2"/>
  <c r="W4" i="2"/>
  <c r="U4" i="2"/>
  <c r="S4" i="2"/>
  <c r="Q4" i="2"/>
  <c r="O4" i="2"/>
  <c r="M4" i="2"/>
  <c r="K4" i="2"/>
  <c r="I4" i="2"/>
  <c r="G4" i="2"/>
  <c r="E4" i="2"/>
  <c r="C4" i="2"/>
  <c r="CC3" i="2"/>
  <c r="CA3" i="2"/>
  <c r="BY3" i="2"/>
  <c r="BW3" i="2"/>
  <c r="BU3" i="2"/>
  <c r="BS3" i="2"/>
  <c r="BQ3" i="2"/>
  <c r="BO3" i="2"/>
  <c r="BM3" i="2"/>
  <c r="BK3" i="2"/>
  <c r="BI3" i="2"/>
  <c r="BG3" i="2"/>
  <c r="BE3" i="2"/>
  <c r="BC3" i="2"/>
  <c r="BA3" i="2"/>
  <c r="AY3" i="2"/>
  <c r="AW3" i="2"/>
  <c r="AU3" i="2"/>
  <c r="AS3" i="2"/>
  <c r="AQ3" i="2"/>
  <c r="AO3" i="2"/>
  <c r="AM3" i="2"/>
  <c r="AK3" i="2"/>
  <c r="AI3" i="2"/>
  <c r="AG3" i="2"/>
  <c r="AE3" i="2"/>
  <c r="AC3" i="2"/>
  <c r="AA3" i="2"/>
  <c r="Y3" i="2"/>
  <c r="W3" i="2"/>
  <c r="U3" i="2"/>
  <c r="S3" i="2"/>
  <c r="Q3" i="2"/>
  <c r="O3" i="2"/>
  <c r="M3" i="2"/>
  <c r="K3" i="2"/>
  <c r="I3" i="2"/>
  <c r="G3" i="2"/>
  <c r="E3" i="2"/>
  <c r="C3" i="2"/>
  <c r="CC2" i="2"/>
  <c r="CA2" i="2"/>
  <c r="BY2" i="2"/>
  <c r="BW2" i="2"/>
  <c r="BU2" i="2"/>
  <c r="BS2" i="2"/>
  <c r="BQ2" i="2"/>
  <c r="BO2" i="2"/>
  <c r="BM2" i="2"/>
  <c r="BK2" i="2"/>
  <c r="BI2" i="2"/>
  <c r="BG2" i="2"/>
  <c r="BE2" i="2"/>
  <c r="BC2" i="2"/>
  <c r="BA2" i="2"/>
  <c r="AY2" i="2"/>
  <c r="AW2" i="2"/>
  <c r="AU2" i="2"/>
  <c r="AS2" i="2"/>
  <c r="AQ2" i="2"/>
  <c r="AO2" i="2"/>
  <c r="AM2" i="2"/>
  <c r="AK2" i="2"/>
  <c r="AI2" i="2"/>
  <c r="AG2" i="2"/>
  <c r="AE2" i="2"/>
  <c r="AC2" i="2"/>
  <c r="AA2" i="2"/>
  <c r="Y2" i="2"/>
  <c r="W2" i="2"/>
  <c r="U2" i="2"/>
  <c r="S2" i="2"/>
  <c r="Q2" i="2"/>
  <c r="O2" i="2"/>
  <c r="M2" i="2"/>
  <c r="K2" i="2"/>
  <c r="I2" i="2"/>
  <c r="G2" i="2"/>
  <c r="E2" i="2"/>
  <c r="C2" i="2"/>
  <c r="CC1" i="2"/>
  <c r="CA1" i="2"/>
  <c r="BY1" i="2"/>
  <c r="BW1" i="2"/>
  <c r="BU1" i="2"/>
  <c r="BS1" i="2"/>
  <c r="BQ1" i="2"/>
  <c r="BO1" i="2"/>
  <c r="BM1" i="2"/>
  <c r="BK1" i="2"/>
  <c r="BI1" i="2"/>
  <c r="BG1" i="2"/>
  <c r="BE1" i="2"/>
  <c r="BC1" i="2"/>
  <c r="BA1" i="2"/>
  <c r="AY1" i="2"/>
  <c r="AW1" i="2"/>
  <c r="AU1" i="2"/>
  <c r="AS1" i="2"/>
  <c r="AQ1" i="2"/>
  <c r="AO1" i="2"/>
  <c r="AM1" i="2"/>
  <c r="AK1" i="2"/>
  <c r="AI1" i="2"/>
  <c r="AG1" i="2"/>
  <c r="AE1" i="2"/>
  <c r="AC1" i="2"/>
  <c r="AA1" i="2"/>
  <c r="Y1" i="2"/>
  <c r="W1" i="2"/>
  <c r="U1" i="2"/>
  <c r="S1" i="2"/>
  <c r="Q1" i="2"/>
  <c r="O1" i="2"/>
  <c r="M1" i="2"/>
  <c r="K1" i="2"/>
  <c r="I1" i="2"/>
  <c r="G1" i="2"/>
  <c r="E1" i="2"/>
  <c r="M45" i="4"/>
  <c r="B4" i="7" s="1"/>
  <c r="DA59" i="2"/>
  <c r="CE54" i="3"/>
  <c r="CE53" i="3"/>
  <c r="CE49" i="3"/>
  <c r="CF63" i="2"/>
  <c r="CO63" i="2"/>
  <c r="DE59" i="2"/>
  <c r="CJ63" i="2"/>
  <c r="DC59" i="2"/>
  <c r="DF59" i="2"/>
  <c r="DD59" i="2"/>
  <c r="DB59" i="2"/>
  <c r="CQ59" i="2"/>
  <c r="CF49" i="3"/>
  <c r="CJ49" i="3"/>
  <c r="CL63" i="2"/>
  <c r="CH63" i="2"/>
  <c r="CI63" i="2"/>
  <c r="O17" i="5"/>
  <c r="Z35" i="1"/>
  <c r="D64" i="2" a="1"/>
  <c r="AA2" i="1"/>
  <c r="AA35" i="1"/>
  <c r="AA3" i="1" a="1"/>
  <c r="AA3" i="1" s="1"/>
  <c r="AD35" i="1"/>
  <c r="AB35" i="1"/>
  <c r="CO61" i="2"/>
  <c r="P38" i="1"/>
  <c r="H93" i="4"/>
  <c r="A5" i="5" s="1" a="1"/>
  <c r="CO60" i="2"/>
  <c r="CB4" i="3"/>
  <c r="BZ4" i="3"/>
  <c r="BX4" i="3"/>
  <c r="BV4" i="3"/>
  <c r="BT4" i="3"/>
  <c r="BR4" i="3"/>
  <c r="BP4" i="3"/>
  <c r="BN4" i="3"/>
  <c r="BL4" i="3"/>
  <c r="BJ4" i="3"/>
  <c r="BH4" i="3"/>
  <c r="BF4" i="3"/>
  <c r="BD4" i="3"/>
  <c r="BB4" i="3"/>
  <c r="AZ4" i="3"/>
  <c r="AX4" i="3"/>
  <c r="AV4" i="3"/>
  <c r="AT4" i="3"/>
  <c r="AR4" i="3"/>
  <c r="AP4" i="3"/>
  <c r="AN4" i="3"/>
  <c r="AL4" i="3"/>
  <c r="AJ4" i="3"/>
  <c r="AH4" i="3"/>
  <c r="AF4" i="3"/>
  <c r="AD4" i="3"/>
  <c r="AB4" i="3"/>
  <c r="Z4" i="3"/>
  <c r="X4" i="3"/>
  <c r="V4" i="3"/>
  <c r="T4" i="3"/>
  <c r="R4" i="3"/>
  <c r="P4" i="3"/>
  <c r="N4" i="3"/>
  <c r="L4" i="3"/>
  <c r="J4" i="3"/>
  <c r="H4" i="3"/>
  <c r="F4" i="3"/>
  <c r="D4" i="3"/>
  <c r="B4" i="3"/>
  <c r="CB3" i="3"/>
  <c r="BZ3" i="3"/>
  <c r="BX3" i="3"/>
  <c r="BV3" i="3"/>
  <c r="BT3" i="3"/>
  <c r="BR3" i="3"/>
  <c r="BP3" i="3"/>
  <c r="BN3" i="3"/>
  <c r="BL3" i="3"/>
  <c r="BJ3" i="3"/>
  <c r="BH3" i="3"/>
  <c r="BF3" i="3"/>
  <c r="BD3" i="3"/>
  <c r="BB3" i="3"/>
  <c r="AZ3" i="3"/>
  <c r="AX3" i="3"/>
  <c r="AV3" i="3"/>
  <c r="AT3" i="3"/>
  <c r="AR3" i="3"/>
  <c r="AP3" i="3"/>
  <c r="AN3" i="3"/>
  <c r="AL3" i="3"/>
  <c r="AJ3" i="3"/>
  <c r="AH3" i="3"/>
  <c r="AF3" i="3"/>
  <c r="AD3" i="3"/>
  <c r="AB3" i="3"/>
  <c r="Z3" i="3"/>
  <c r="X3" i="3"/>
  <c r="V3" i="3"/>
  <c r="T3" i="3"/>
  <c r="R3" i="3"/>
  <c r="P3" i="3"/>
  <c r="N3" i="3"/>
  <c r="L3" i="3"/>
  <c r="J3" i="3"/>
  <c r="H3" i="3"/>
  <c r="F3" i="3"/>
  <c r="D3" i="3"/>
  <c r="B3" i="3"/>
  <c r="CB2" i="3"/>
  <c r="BZ2" i="3"/>
  <c r="BX2" i="3"/>
  <c r="BV2" i="3"/>
  <c r="BT2" i="3"/>
  <c r="BR2" i="3"/>
  <c r="BP2" i="3"/>
  <c r="BN2" i="3"/>
  <c r="BL2" i="3"/>
  <c r="BJ2" i="3"/>
  <c r="BH2" i="3"/>
  <c r="BF2" i="3"/>
  <c r="BD2" i="3"/>
  <c r="BB2" i="3"/>
  <c r="AZ2" i="3"/>
  <c r="AX2" i="3"/>
  <c r="AV2" i="3"/>
  <c r="AT2" i="3"/>
  <c r="AR2" i="3"/>
  <c r="AP2" i="3"/>
  <c r="AN2" i="3"/>
  <c r="AL2" i="3"/>
  <c r="AJ2" i="3"/>
  <c r="AH2" i="3"/>
  <c r="AF2" i="3"/>
  <c r="AD2" i="3"/>
  <c r="AB2" i="3"/>
  <c r="Z2" i="3"/>
  <c r="X2" i="3"/>
  <c r="V2" i="3"/>
  <c r="T2" i="3"/>
  <c r="R2" i="3"/>
  <c r="P2" i="3"/>
  <c r="N2" i="3"/>
  <c r="L2" i="3"/>
  <c r="J2" i="3"/>
  <c r="H2" i="3"/>
  <c r="F2" i="3"/>
  <c r="D2" i="3"/>
  <c r="B2" i="3"/>
  <c r="CB1" i="3"/>
  <c r="BZ1" i="3"/>
  <c r="BX1" i="3"/>
  <c r="BV1" i="3"/>
  <c r="BT1" i="3"/>
  <c r="BR1" i="3"/>
  <c r="BP1" i="3"/>
  <c r="BN1" i="3"/>
  <c r="BL1" i="3"/>
  <c r="BJ1" i="3"/>
  <c r="BH1" i="3"/>
  <c r="BF1" i="3"/>
  <c r="BD1" i="3"/>
  <c r="BB1" i="3"/>
  <c r="AZ1" i="3"/>
  <c r="AX1" i="3"/>
  <c r="AV1" i="3"/>
  <c r="AT1" i="3"/>
  <c r="AR1" i="3"/>
  <c r="AP1" i="3"/>
  <c r="AN1" i="3"/>
  <c r="AL1" i="3"/>
  <c r="AJ1" i="3"/>
  <c r="AH1" i="3"/>
  <c r="AF1" i="3"/>
  <c r="AD1" i="3"/>
  <c r="AB1" i="3"/>
  <c r="Z1" i="3"/>
  <c r="X1" i="3"/>
  <c r="V1" i="3"/>
  <c r="T1" i="3"/>
  <c r="R1" i="3"/>
  <c r="P1" i="3"/>
  <c r="N1" i="3"/>
  <c r="L1" i="3"/>
  <c r="J1" i="3"/>
  <c r="H1" i="3"/>
  <c r="F1" i="3"/>
  <c r="D1" i="3"/>
  <c r="E112" i="2"/>
  <c r="D99" i="2"/>
  <c r="H82" i="2"/>
  <c r="G111" i="2"/>
  <c r="R108" i="2"/>
  <c r="M102" i="2"/>
  <c r="N89" i="2"/>
  <c r="T102" i="2"/>
  <c r="N112" i="2"/>
  <c r="O111" i="2"/>
  <c r="Q88" i="2"/>
  <c r="U112" i="2"/>
  <c r="I108" i="2"/>
  <c r="H83" i="2"/>
  <c r="R88" i="2"/>
  <c r="J109" i="2"/>
  <c r="Q112" i="2"/>
  <c r="G108" i="2"/>
  <c r="L108" i="2"/>
  <c r="Q108" i="2"/>
  <c r="S103" i="2"/>
  <c r="F111" i="2"/>
  <c r="P89" i="2"/>
  <c r="G112" i="2"/>
  <c r="E108" i="2"/>
  <c r="S111" i="2"/>
  <c r="J108" i="2"/>
  <c r="E111" i="2"/>
  <c r="O99" i="2"/>
  <c r="O107" i="2"/>
  <c r="N108" i="2"/>
  <c r="B3" i="17" l="1"/>
  <c r="B5" i="17"/>
  <c r="B13" i="17"/>
  <c r="B21" i="17"/>
  <c r="B29" i="17"/>
  <c r="B37" i="17"/>
  <c r="B45" i="17"/>
  <c r="B6" i="17"/>
  <c r="B14" i="17"/>
  <c r="B22" i="17"/>
  <c r="B30" i="17"/>
  <c r="B38" i="17"/>
  <c r="B46" i="17"/>
  <c r="B9" i="17"/>
  <c r="B17" i="17"/>
  <c r="B25" i="17"/>
  <c r="B33" i="17"/>
  <c r="B41" i="17"/>
  <c r="B49" i="17"/>
  <c r="B2" i="17"/>
  <c r="B10" i="17"/>
  <c r="B18" i="17"/>
  <c r="B26" i="17"/>
  <c r="B34" i="17"/>
  <c r="B42" i="17"/>
  <c r="B50" i="17"/>
  <c r="B52" i="17"/>
  <c r="B36" i="17"/>
  <c r="B20" i="17"/>
  <c r="B4" i="17"/>
  <c r="B39" i="17"/>
  <c r="B23" i="17"/>
  <c r="B7" i="17"/>
  <c r="B48" i="17"/>
  <c r="B32" i="17"/>
  <c r="B16" i="17"/>
  <c r="B51" i="17"/>
  <c r="B35" i="17"/>
  <c r="B19" i="17"/>
  <c r="B44" i="17"/>
  <c r="B28" i="17"/>
  <c r="B12" i="17"/>
  <c r="B47" i="17"/>
  <c r="B31" i="17"/>
  <c r="B15" i="17"/>
  <c r="B40" i="17"/>
  <c r="B24" i="17"/>
  <c r="B8" i="17"/>
  <c r="B43" i="17"/>
  <c r="B27" i="17"/>
  <c r="B11" i="17"/>
  <c r="A2" i="17" a="1"/>
  <c r="AA37" i="1"/>
  <c r="AB37" i="1"/>
  <c r="BA52" i="3"/>
  <c r="D71" i="2"/>
  <c r="M71" i="2"/>
  <c r="N70" i="2"/>
  <c r="A2" i="17" l="1"/>
  <c r="A17" i="17"/>
  <c r="A33" i="17"/>
  <c r="A49" i="17"/>
  <c r="A5" i="17"/>
  <c r="A21" i="17"/>
  <c r="A37" i="17"/>
  <c r="A9" i="17"/>
  <c r="A25" i="17"/>
  <c r="A41" i="17"/>
  <c r="A13" i="17"/>
  <c r="A29" i="17"/>
  <c r="A45" i="17"/>
  <c r="A40" i="17"/>
  <c r="A24" i="17"/>
  <c r="A8" i="17"/>
  <c r="A43" i="17"/>
  <c r="A27" i="17"/>
  <c r="A11" i="17"/>
  <c r="A46" i="17"/>
  <c r="A30" i="17"/>
  <c r="A14" i="17"/>
  <c r="A52" i="17"/>
  <c r="A36" i="17"/>
  <c r="A20" i="17"/>
  <c r="A4" i="17"/>
  <c r="A39" i="17"/>
  <c r="A23" i="17"/>
  <c r="A7" i="17"/>
  <c r="A42" i="17"/>
  <c r="A26" i="17"/>
  <c r="A10" i="17"/>
  <c r="A48" i="17"/>
  <c r="A32" i="17"/>
  <c r="A16" i="17"/>
  <c r="A51" i="17"/>
  <c r="A35" i="17"/>
  <c r="A19" i="17"/>
  <c r="A3" i="17"/>
  <c r="A38" i="17"/>
  <c r="A22" i="17"/>
  <c r="A6" i="17"/>
  <c r="A44" i="17"/>
  <c r="A28" i="17"/>
  <c r="A12" i="17"/>
  <c r="A47" i="17"/>
  <c r="A31" i="17"/>
  <c r="A15" i="17"/>
  <c r="A50" i="17"/>
  <c r="A34" i="17"/>
  <c r="A18" i="17"/>
  <c r="B71" i="2"/>
  <c r="B70" i="2"/>
  <c r="H47" i="4"/>
  <c r="A6" i="7"/>
  <c r="L48" i="4"/>
  <c r="CR60" i="2"/>
  <c r="CW61" i="2" s="1"/>
  <c r="CP5" i="3"/>
  <c r="AS52" i="3"/>
  <c r="T40" i="1"/>
  <c r="R40" i="1"/>
  <c r="S40" i="1"/>
  <c r="Q40" i="1"/>
  <c r="BC52" i="3"/>
  <c r="G52" i="3"/>
  <c r="W52" i="3"/>
  <c r="AA52" i="3"/>
  <c r="AI52" i="3"/>
  <c r="AM52" i="3"/>
  <c r="E52" i="3"/>
  <c r="M52" i="3"/>
  <c r="U52" i="3"/>
  <c r="AC52" i="3"/>
  <c r="AK52" i="3"/>
  <c r="C52" i="3"/>
  <c r="I52" i="3"/>
  <c r="AB52" i="3"/>
  <c r="L52" i="3"/>
  <c r="AR52" i="3"/>
  <c r="AO52" i="3"/>
  <c r="Y52" i="3"/>
  <c r="BE52" i="3"/>
  <c r="D52" i="3"/>
  <c r="T52" i="3"/>
  <c r="AJ52" i="3"/>
  <c r="AZ52" i="3"/>
  <c r="AY52" i="3"/>
  <c r="S52" i="3"/>
  <c r="H52" i="3"/>
  <c r="P52" i="3"/>
  <c r="X52" i="3"/>
  <c r="AF52" i="3"/>
  <c r="AN52" i="3"/>
  <c r="AV52" i="3"/>
  <c r="BD52" i="3"/>
  <c r="Q52" i="3"/>
  <c r="AG52" i="3"/>
  <c r="AW52" i="3"/>
  <c r="N52" i="3"/>
  <c r="R52" i="3"/>
  <c r="Z52" i="3"/>
  <c r="AD52" i="3"/>
  <c r="AH52" i="3"/>
  <c r="AT52" i="3"/>
  <c r="O52" i="3"/>
  <c r="AE52" i="3"/>
  <c r="AU52" i="3"/>
  <c r="AQ52" i="3"/>
  <c r="K52" i="3"/>
  <c r="F52" i="3"/>
  <c r="V52" i="3"/>
  <c r="AL52" i="3"/>
  <c r="BB52" i="3"/>
  <c r="J52" i="3"/>
  <c r="AP52" i="3"/>
  <c r="AX52" i="3"/>
  <c r="CE50" i="3"/>
  <c r="CE51" i="3"/>
  <c r="O39" i="1"/>
  <c r="D64" i="2"/>
  <c r="E64" i="2"/>
  <c r="E65" i="2" s="1"/>
  <c r="G64" i="2"/>
  <c r="G65" i="2" s="1"/>
  <c r="I64" i="2"/>
  <c r="I65" i="2" s="1"/>
  <c r="K64" i="2"/>
  <c r="K65" i="2" s="1"/>
  <c r="M64" i="2"/>
  <c r="M65" i="2" s="1"/>
  <c r="O64" i="2"/>
  <c r="O65" i="2" s="1"/>
  <c r="Q64" i="2"/>
  <c r="Q65" i="2" s="1"/>
  <c r="S64" i="2"/>
  <c r="S65" i="2" s="1"/>
  <c r="U64" i="2"/>
  <c r="U65" i="2" s="1"/>
  <c r="W64" i="2"/>
  <c r="W65" i="2" s="1"/>
  <c r="Y64" i="2"/>
  <c r="Y65" i="2" s="1"/>
  <c r="AA64" i="2"/>
  <c r="AA65" i="2" s="1"/>
  <c r="AC64" i="2"/>
  <c r="AC65" i="2" s="1"/>
  <c r="AE64" i="2"/>
  <c r="AE65" i="2" s="1"/>
  <c r="AG64" i="2"/>
  <c r="AG65" i="2" s="1"/>
  <c r="AI64" i="2"/>
  <c r="AI65" i="2" s="1"/>
  <c r="AK64" i="2"/>
  <c r="AK65" i="2" s="1"/>
  <c r="AM64" i="2"/>
  <c r="AM65" i="2" s="1"/>
  <c r="AO64" i="2"/>
  <c r="AO65" i="2" s="1"/>
  <c r="AQ64" i="2"/>
  <c r="AQ65" i="2" s="1"/>
  <c r="AS64" i="2"/>
  <c r="AS65" i="2" s="1"/>
  <c r="AU64" i="2"/>
  <c r="AU65" i="2" s="1"/>
  <c r="AV64" i="2"/>
  <c r="AV65" i="2" s="1"/>
  <c r="AW64" i="2"/>
  <c r="AW65" i="2" s="1"/>
  <c r="AX64" i="2"/>
  <c r="AX65" i="2" s="1"/>
  <c r="AY64" i="2"/>
  <c r="AY65" i="2" s="1"/>
  <c r="AZ64" i="2"/>
  <c r="AZ65" i="2" s="1"/>
  <c r="BA64" i="2"/>
  <c r="BA65" i="2" s="1"/>
  <c r="BB64" i="2"/>
  <c r="BB65" i="2" s="1"/>
  <c r="BC64" i="2"/>
  <c r="BC65" i="2" s="1"/>
  <c r="BD64" i="2"/>
  <c r="BD65" i="2" s="1"/>
  <c r="BE64" i="2"/>
  <c r="BE65" i="2" s="1"/>
  <c r="BF64" i="2"/>
  <c r="BF65" i="2" s="1"/>
  <c r="H64" i="2"/>
  <c r="H65" i="2" s="1"/>
  <c r="L64" i="2"/>
  <c r="L65" i="2" s="1"/>
  <c r="P64" i="2"/>
  <c r="P65" i="2" s="1"/>
  <c r="T64" i="2"/>
  <c r="T65" i="2" s="1"/>
  <c r="X64" i="2"/>
  <c r="X65" i="2" s="1"/>
  <c r="AB64" i="2"/>
  <c r="AB65" i="2" s="1"/>
  <c r="AF64" i="2"/>
  <c r="AF65" i="2" s="1"/>
  <c r="AJ64" i="2"/>
  <c r="AJ65" i="2" s="1"/>
  <c r="AN64" i="2"/>
  <c r="AN65" i="2" s="1"/>
  <c r="AR64" i="2"/>
  <c r="AR65" i="2" s="1"/>
  <c r="F64" i="2"/>
  <c r="F65" i="2" s="1"/>
  <c r="J64" i="2"/>
  <c r="J65" i="2" s="1"/>
  <c r="N64" i="2"/>
  <c r="N65" i="2" s="1"/>
  <c r="R64" i="2"/>
  <c r="R65" i="2" s="1"/>
  <c r="V64" i="2"/>
  <c r="V65" i="2" s="1"/>
  <c r="Z64" i="2"/>
  <c r="Z65" i="2" s="1"/>
  <c r="AD64" i="2"/>
  <c r="AD65" i="2" s="1"/>
  <c r="AH64" i="2"/>
  <c r="AH65" i="2" s="1"/>
  <c r="AL64" i="2"/>
  <c r="AL65" i="2" s="1"/>
  <c r="AP64" i="2"/>
  <c r="AP65" i="2" s="1"/>
  <c r="AT64" i="2"/>
  <c r="AT65" i="2" s="1"/>
  <c r="CF54" i="3"/>
  <c r="CG54" i="3" s="1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33" i="5"/>
  <c r="A34" i="5"/>
  <c r="A35" i="5"/>
  <c r="A36" i="5"/>
  <c r="A37" i="5"/>
  <c r="A38" i="5"/>
  <c r="A39" i="5"/>
  <c r="A40" i="5"/>
  <c r="A41" i="5"/>
  <c r="A42" i="5"/>
  <c r="A43" i="5"/>
  <c r="A44" i="5"/>
  <c r="A45" i="5"/>
  <c r="A46" i="5"/>
  <c r="B6" i="5"/>
  <c r="A3" i="6" s="1"/>
  <c r="B8" i="5"/>
  <c r="A5" i="6" s="1"/>
  <c r="B10" i="5"/>
  <c r="A7" i="6" s="1"/>
  <c r="B12" i="5"/>
  <c r="A9" i="6" s="1"/>
  <c r="B14" i="5"/>
  <c r="A11" i="6" s="1"/>
  <c r="B16" i="5"/>
  <c r="A13" i="6" s="1"/>
  <c r="B18" i="5"/>
  <c r="A15" i="6" s="1"/>
  <c r="B20" i="5"/>
  <c r="A17" i="6" s="1"/>
  <c r="B22" i="5"/>
  <c r="A19" i="6" s="1"/>
  <c r="B24" i="5"/>
  <c r="A21" i="6" s="1"/>
  <c r="B26" i="5"/>
  <c r="A23" i="6" s="1"/>
  <c r="B28" i="5"/>
  <c r="A25" i="6" s="1"/>
  <c r="B30" i="5"/>
  <c r="A27" i="6" s="1"/>
  <c r="B32" i="5"/>
  <c r="A29" i="6" s="1"/>
  <c r="B34" i="5"/>
  <c r="A31" i="6" s="1"/>
  <c r="B36" i="5"/>
  <c r="A33" i="6" s="1"/>
  <c r="B38" i="5"/>
  <c r="A35" i="6" s="1"/>
  <c r="B40" i="5"/>
  <c r="A37" i="6" s="1"/>
  <c r="B42" i="5"/>
  <c r="A39" i="6" s="1"/>
  <c r="B44" i="5"/>
  <c r="A41" i="6" s="1"/>
  <c r="B46" i="5"/>
  <c r="B7" i="5"/>
  <c r="A4" i="6" s="1"/>
  <c r="B11" i="5"/>
  <c r="A8" i="6" s="1"/>
  <c r="B15" i="5"/>
  <c r="A12" i="6" s="1"/>
  <c r="B19" i="5"/>
  <c r="A16" i="6" s="1"/>
  <c r="B23" i="5"/>
  <c r="A20" i="6" s="1"/>
  <c r="B27" i="5"/>
  <c r="A24" i="6" s="1"/>
  <c r="B31" i="5"/>
  <c r="A28" i="6" s="1"/>
  <c r="B35" i="5"/>
  <c r="A32" i="6" s="1"/>
  <c r="B39" i="5"/>
  <c r="A36" i="6" s="1"/>
  <c r="B43" i="5"/>
  <c r="A40" i="6" s="1"/>
  <c r="B5" i="5"/>
  <c r="A2" i="6" s="1"/>
  <c r="B9" i="5"/>
  <c r="A6" i="6" s="1"/>
  <c r="B13" i="5"/>
  <c r="A10" i="6" s="1"/>
  <c r="B17" i="5"/>
  <c r="A14" i="6" s="1"/>
  <c r="B21" i="5"/>
  <c r="A18" i="6" s="1"/>
  <c r="B25" i="5"/>
  <c r="A22" i="6" s="1"/>
  <c r="B29" i="5"/>
  <c r="A26" i="6" s="1"/>
  <c r="B33" i="5"/>
  <c r="A30" i="6" s="1"/>
  <c r="B37" i="5"/>
  <c r="A34" i="6" s="1"/>
  <c r="B41" i="5"/>
  <c r="A38" i="6" s="1"/>
  <c r="B45" i="5"/>
  <c r="A42" i="6" s="1"/>
  <c r="P39" i="1"/>
  <c r="O18" i="5"/>
  <c r="CI65" i="2"/>
  <c r="H48" i="4" l="1"/>
  <c r="L49" i="4"/>
  <c r="A7" i="7"/>
  <c r="K47" i="4"/>
  <c r="N47" i="4" s="1"/>
  <c r="C6" i="7" s="1"/>
  <c r="O47" i="4"/>
  <c r="D6" i="7" s="1"/>
  <c r="M47" i="4"/>
  <c r="B6" i="7" s="1"/>
  <c r="CR61" i="2"/>
  <c r="B19" i="10"/>
  <c r="D19" i="10" s="1" a="1"/>
  <c r="B51" i="10"/>
  <c r="D51" i="10" s="1" a="1"/>
  <c r="B12" i="10"/>
  <c r="D12" i="10" s="1" a="1"/>
  <c r="B11" i="10"/>
  <c r="C11" i="10" s="1"/>
  <c r="B44" i="10"/>
  <c r="D44" i="10" s="1" a="1"/>
  <c r="B30" i="10"/>
  <c r="C30" i="10" s="1"/>
  <c r="B35" i="10"/>
  <c r="D35" i="10" s="1" a="1"/>
  <c r="B3" i="10"/>
  <c r="D3" i="10" s="1" a="1"/>
  <c r="CE52" i="3"/>
  <c r="B28" i="10"/>
  <c r="D28" i="10" s="1" a="1"/>
  <c r="B46" i="10"/>
  <c r="C46" i="10" s="1"/>
  <c r="B14" i="10"/>
  <c r="D14" i="10" s="1" a="1"/>
  <c r="B43" i="10"/>
  <c r="D43" i="10" s="1" a="1"/>
  <c r="B27" i="10"/>
  <c r="D27" i="10" s="1" a="1"/>
  <c r="B15" i="10"/>
  <c r="D15" i="10" s="1" a="1"/>
  <c r="CG52" i="3"/>
  <c r="CH52" i="3" a="1"/>
  <c r="CH52" i="3" s="1"/>
  <c r="I40" i="9"/>
  <c r="E40" i="9" s="1"/>
  <c r="I21" i="9"/>
  <c r="B21" i="9" s="1"/>
  <c r="I16" i="9"/>
  <c r="C16" i="9" s="1"/>
  <c r="I53" i="9"/>
  <c r="D53" i="9" s="1"/>
  <c r="I8" i="9"/>
  <c r="E8" i="9" s="1"/>
  <c r="I32" i="9"/>
  <c r="D32" i="9" s="1"/>
  <c r="I48" i="9"/>
  <c r="C48" i="9" s="1"/>
  <c r="B7" i="10"/>
  <c r="D7" i="10" s="1" a="1"/>
  <c r="B36" i="10"/>
  <c r="D36" i="10" s="1" a="1"/>
  <c r="B20" i="10"/>
  <c r="D20" i="10" s="1" a="1"/>
  <c r="B4" i="10"/>
  <c r="D4" i="10" s="1" a="1"/>
  <c r="B38" i="10"/>
  <c r="C38" i="10" s="1"/>
  <c r="B22" i="10"/>
  <c r="D22" i="10" s="1" a="1"/>
  <c r="B6" i="10"/>
  <c r="C6" i="10" s="1"/>
  <c r="B47" i="10"/>
  <c r="D47" i="10" s="1" a="1"/>
  <c r="B39" i="10"/>
  <c r="D39" i="10" s="1" a="1"/>
  <c r="B31" i="10"/>
  <c r="D31" i="10" s="1" a="1"/>
  <c r="B23" i="10"/>
  <c r="D23" i="10" s="1" a="1"/>
  <c r="I24" i="9"/>
  <c r="E24" i="9" s="1"/>
  <c r="I5" i="9"/>
  <c r="D5" i="9" s="1"/>
  <c r="I37" i="9"/>
  <c r="F37" i="9" s="1"/>
  <c r="I29" i="9"/>
  <c r="B29" i="9" s="1"/>
  <c r="I56" i="9"/>
  <c r="C56" i="9" s="1"/>
  <c r="I13" i="9"/>
  <c r="D13" i="9" s="1"/>
  <c r="I45" i="9"/>
  <c r="C45" i="9" s="1"/>
  <c r="I57" i="9"/>
  <c r="C57" i="9" s="1"/>
  <c r="I4" i="9"/>
  <c r="D4" i="9" s="1"/>
  <c r="I12" i="9"/>
  <c r="E12" i="9" s="1"/>
  <c r="I20" i="9"/>
  <c r="D20" i="9" s="1"/>
  <c r="I28" i="9"/>
  <c r="E28" i="9" s="1"/>
  <c r="I36" i="9"/>
  <c r="D36" i="9" s="1"/>
  <c r="I44" i="9"/>
  <c r="C44" i="9" s="1"/>
  <c r="I52" i="9"/>
  <c r="D52" i="9" s="1"/>
  <c r="I60" i="9"/>
  <c r="C60" i="9" s="1"/>
  <c r="I9" i="9"/>
  <c r="D9" i="9" s="1"/>
  <c r="I17" i="9"/>
  <c r="C17" i="9" s="1"/>
  <c r="I25" i="9"/>
  <c r="C25" i="9" s="1"/>
  <c r="I33" i="9"/>
  <c r="F33" i="9" s="1"/>
  <c r="I41" i="9"/>
  <c r="B41" i="9" s="1"/>
  <c r="I49" i="9"/>
  <c r="C49" i="9" s="1"/>
  <c r="B5" i="10"/>
  <c r="C5" i="10" s="1"/>
  <c r="B48" i="10"/>
  <c r="C48" i="10" s="1"/>
  <c r="B40" i="10"/>
  <c r="D40" i="10" s="1" a="1"/>
  <c r="B32" i="10"/>
  <c r="C32" i="10" s="1"/>
  <c r="B24" i="10"/>
  <c r="D24" i="10" s="1" a="1"/>
  <c r="B16" i="10"/>
  <c r="C16" i="10" s="1"/>
  <c r="B8" i="10"/>
  <c r="D8" i="10" s="1" a="1"/>
  <c r="B50" i="10"/>
  <c r="C50" i="10" s="1"/>
  <c r="B42" i="10"/>
  <c r="D42" i="10" s="1" a="1"/>
  <c r="B34" i="10"/>
  <c r="C34" i="10" s="1"/>
  <c r="B26" i="10"/>
  <c r="D26" i="10" s="1" a="1"/>
  <c r="B18" i="10"/>
  <c r="C18" i="10" s="1"/>
  <c r="B10" i="10"/>
  <c r="D10" i="10" s="1" a="1"/>
  <c r="B2" i="10"/>
  <c r="C2" i="10" s="1"/>
  <c r="B49" i="10"/>
  <c r="D49" i="10" s="1" a="1"/>
  <c r="B45" i="10"/>
  <c r="C45" i="10" s="1"/>
  <c r="B41" i="10"/>
  <c r="D41" i="10" s="1" a="1"/>
  <c r="B37" i="10"/>
  <c r="D37" i="10" s="1" a="1"/>
  <c r="B33" i="10"/>
  <c r="D33" i="10" s="1" a="1"/>
  <c r="B29" i="10"/>
  <c r="D29" i="10" s="1" a="1"/>
  <c r="B25" i="10"/>
  <c r="D25" i="10" s="1" a="1"/>
  <c r="B21" i="10"/>
  <c r="C21" i="10" s="1"/>
  <c r="B17" i="10"/>
  <c r="D17" i="10" s="1" a="1"/>
  <c r="B13" i="10"/>
  <c r="C13" i="10" s="1"/>
  <c r="B9" i="10"/>
  <c r="D9" i="10" s="1" a="1"/>
  <c r="I59" i="9"/>
  <c r="D59" i="9" s="1"/>
  <c r="I2" i="9"/>
  <c r="E2" i="9" s="1"/>
  <c r="I6" i="9"/>
  <c r="D6" i="9" s="1"/>
  <c r="I10" i="9"/>
  <c r="E10" i="9" s="1"/>
  <c r="I14" i="9"/>
  <c r="D14" i="9" s="1"/>
  <c r="I18" i="9"/>
  <c r="C18" i="9" s="1"/>
  <c r="I22" i="9"/>
  <c r="D22" i="9" s="1"/>
  <c r="I26" i="9"/>
  <c r="C26" i="9" s="1"/>
  <c r="I30" i="9"/>
  <c r="D30" i="9" s="1"/>
  <c r="I34" i="9"/>
  <c r="E34" i="9" s="1"/>
  <c r="I38" i="9"/>
  <c r="D38" i="9" s="1"/>
  <c r="I42" i="9"/>
  <c r="C42" i="9" s="1"/>
  <c r="I46" i="9"/>
  <c r="D46" i="9" s="1"/>
  <c r="I50" i="9"/>
  <c r="C50" i="9" s="1"/>
  <c r="I54" i="9"/>
  <c r="D54" i="9" s="1"/>
  <c r="I58" i="9"/>
  <c r="C58" i="9" s="1"/>
  <c r="I3" i="9"/>
  <c r="B3" i="9" s="1"/>
  <c r="I7" i="9"/>
  <c r="C7" i="9" s="1"/>
  <c r="I11" i="9"/>
  <c r="D11" i="9" s="1"/>
  <c r="I15" i="9"/>
  <c r="F15" i="9" s="1"/>
  <c r="I19" i="9"/>
  <c r="B19" i="9" s="1"/>
  <c r="I23" i="9"/>
  <c r="F23" i="9" s="1"/>
  <c r="I27" i="9"/>
  <c r="B27" i="9" s="1"/>
  <c r="I31" i="9"/>
  <c r="F31" i="9" s="1"/>
  <c r="I35" i="9"/>
  <c r="B35" i="9" s="1"/>
  <c r="I39" i="9"/>
  <c r="F39" i="9" s="1"/>
  <c r="I43" i="9"/>
  <c r="D43" i="9" s="1"/>
  <c r="I47" i="9"/>
  <c r="C47" i="9" s="1"/>
  <c r="I51" i="9"/>
  <c r="D51" i="9" s="1"/>
  <c r="I55" i="9"/>
  <c r="C55" i="9" s="1"/>
  <c r="CS61" i="2"/>
  <c r="CT61" i="2"/>
  <c r="CV61" i="2"/>
  <c r="CU61" i="2"/>
  <c r="G45" i="5"/>
  <c r="H45" i="5" s="1"/>
  <c r="E42" i="6" s="1"/>
  <c r="E45" i="5"/>
  <c r="J45" i="5"/>
  <c r="G42" i="6" s="1"/>
  <c r="G43" i="5"/>
  <c r="H43" i="5" s="1"/>
  <c r="E40" i="6" s="1"/>
  <c r="E43" i="5"/>
  <c r="J43" i="5"/>
  <c r="G40" i="6" s="1"/>
  <c r="G41" i="5"/>
  <c r="H41" i="5" s="1"/>
  <c r="E38" i="6" s="1"/>
  <c r="E41" i="5"/>
  <c r="J41" i="5"/>
  <c r="G38" i="6" s="1"/>
  <c r="G39" i="5"/>
  <c r="H39" i="5" s="1"/>
  <c r="E36" i="6" s="1"/>
  <c r="E39" i="5"/>
  <c r="J39" i="5"/>
  <c r="G36" i="6" s="1"/>
  <c r="G37" i="5"/>
  <c r="H37" i="5" s="1"/>
  <c r="E34" i="6" s="1"/>
  <c r="E37" i="5"/>
  <c r="J37" i="5"/>
  <c r="G34" i="6" s="1"/>
  <c r="G35" i="5"/>
  <c r="H35" i="5" s="1"/>
  <c r="E32" i="6" s="1"/>
  <c r="E35" i="5"/>
  <c r="J35" i="5"/>
  <c r="G32" i="6" s="1"/>
  <c r="G33" i="5"/>
  <c r="H33" i="5" s="1"/>
  <c r="E30" i="6" s="1"/>
  <c r="E33" i="5"/>
  <c r="J33" i="5"/>
  <c r="G30" i="6" s="1"/>
  <c r="G31" i="5"/>
  <c r="H31" i="5" s="1"/>
  <c r="E28" i="6" s="1"/>
  <c r="E31" i="5"/>
  <c r="J31" i="5"/>
  <c r="G28" i="6" s="1"/>
  <c r="G29" i="5"/>
  <c r="H29" i="5" s="1"/>
  <c r="E26" i="6" s="1"/>
  <c r="E29" i="5"/>
  <c r="J29" i="5"/>
  <c r="G26" i="6" s="1"/>
  <c r="G27" i="5"/>
  <c r="H27" i="5" s="1"/>
  <c r="E24" i="6" s="1"/>
  <c r="E27" i="5"/>
  <c r="J27" i="5"/>
  <c r="G24" i="6" s="1"/>
  <c r="G25" i="5"/>
  <c r="H25" i="5" s="1"/>
  <c r="E22" i="6" s="1"/>
  <c r="E25" i="5"/>
  <c r="J25" i="5"/>
  <c r="G22" i="6" s="1"/>
  <c r="G23" i="5"/>
  <c r="H23" i="5" s="1"/>
  <c r="E20" i="6" s="1"/>
  <c r="E23" i="5"/>
  <c r="J23" i="5"/>
  <c r="G20" i="6" s="1"/>
  <c r="G21" i="5"/>
  <c r="H21" i="5" s="1"/>
  <c r="E18" i="6" s="1"/>
  <c r="E21" i="5"/>
  <c r="J21" i="5"/>
  <c r="G18" i="6" s="1"/>
  <c r="G19" i="5"/>
  <c r="H19" i="5" s="1"/>
  <c r="E16" i="6" s="1"/>
  <c r="E19" i="5"/>
  <c r="J19" i="5"/>
  <c r="G16" i="6" s="1"/>
  <c r="G17" i="5"/>
  <c r="H17" i="5" s="1"/>
  <c r="E14" i="6" s="1"/>
  <c r="E17" i="5"/>
  <c r="J17" i="5"/>
  <c r="G14" i="6" s="1"/>
  <c r="G15" i="5"/>
  <c r="H15" i="5" s="1"/>
  <c r="E12" i="6" s="1"/>
  <c r="E15" i="5"/>
  <c r="J15" i="5"/>
  <c r="G12" i="6" s="1"/>
  <c r="G13" i="5"/>
  <c r="H13" i="5" s="1"/>
  <c r="E10" i="6" s="1"/>
  <c r="E13" i="5"/>
  <c r="J13" i="5"/>
  <c r="G10" i="6" s="1"/>
  <c r="G11" i="5"/>
  <c r="H11" i="5" s="1"/>
  <c r="E8" i="6" s="1"/>
  <c r="E11" i="5"/>
  <c r="J11" i="5"/>
  <c r="G8" i="6" s="1"/>
  <c r="G9" i="5"/>
  <c r="H9" i="5" s="1"/>
  <c r="E6" i="6" s="1"/>
  <c r="E9" i="5"/>
  <c r="J9" i="5"/>
  <c r="G6" i="6" s="1"/>
  <c r="G7" i="5"/>
  <c r="H7" i="5" s="1"/>
  <c r="E4" i="6" s="1"/>
  <c r="E7" i="5"/>
  <c r="J7" i="5"/>
  <c r="G4" i="6" s="1"/>
  <c r="E46" i="4"/>
  <c r="E48" i="4"/>
  <c r="E50" i="4"/>
  <c r="E52" i="4"/>
  <c r="E54" i="4"/>
  <c r="E56" i="4"/>
  <c r="E58" i="4"/>
  <c r="E60" i="4"/>
  <c r="E62" i="4"/>
  <c r="E64" i="4"/>
  <c r="E66" i="4"/>
  <c r="E68" i="4"/>
  <c r="E70" i="4"/>
  <c r="E72" i="4"/>
  <c r="E74" i="4"/>
  <c r="E76" i="4"/>
  <c r="E78" i="4"/>
  <c r="E80" i="4"/>
  <c r="G5" i="5"/>
  <c r="H5" i="5" s="1"/>
  <c r="E2" i="6" s="1"/>
  <c r="E45" i="4"/>
  <c r="E49" i="4"/>
  <c r="E53" i="4"/>
  <c r="E57" i="4"/>
  <c r="E61" i="4"/>
  <c r="E65" i="4"/>
  <c r="E69" i="4"/>
  <c r="E73" i="4"/>
  <c r="E77" i="4"/>
  <c r="E5" i="5"/>
  <c r="J5" i="5"/>
  <c r="G2" i="6" s="1"/>
  <c r="E47" i="4"/>
  <c r="E51" i="4"/>
  <c r="E55" i="4"/>
  <c r="E59" i="4"/>
  <c r="E63" i="4"/>
  <c r="E67" i="4"/>
  <c r="E71" i="4"/>
  <c r="E75" i="4"/>
  <c r="E79" i="4"/>
  <c r="O19" i="5"/>
  <c r="G46" i="5"/>
  <c r="H46" i="5" s="1"/>
  <c r="J46" i="5"/>
  <c r="E46" i="5"/>
  <c r="G44" i="5"/>
  <c r="H44" i="5" s="1"/>
  <c r="E41" i="6" s="1"/>
  <c r="E44" i="5"/>
  <c r="J44" i="5"/>
  <c r="G41" i="6" s="1"/>
  <c r="G42" i="5"/>
  <c r="H42" i="5" s="1"/>
  <c r="E39" i="6" s="1"/>
  <c r="E42" i="5"/>
  <c r="J42" i="5"/>
  <c r="G39" i="6" s="1"/>
  <c r="G40" i="5"/>
  <c r="H40" i="5" s="1"/>
  <c r="E37" i="6" s="1"/>
  <c r="E40" i="5"/>
  <c r="J40" i="5"/>
  <c r="G37" i="6" s="1"/>
  <c r="G38" i="5"/>
  <c r="H38" i="5" s="1"/>
  <c r="E35" i="6" s="1"/>
  <c r="E38" i="5"/>
  <c r="J38" i="5"/>
  <c r="G35" i="6" s="1"/>
  <c r="G36" i="5"/>
  <c r="H36" i="5" s="1"/>
  <c r="E33" i="6" s="1"/>
  <c r="E36" i="5"/>
  <c r="J36" i="5"/>
  <c r="G33" i="6" s="1"/>
  <c r="G34" i="5"/>
  <c r="H34" i="5" s="1"/>
  <c r="E31" i="6" s="1"/>
  <c r="E34" i="5"/>
  <c r="J34" i="5"/>
  <c r="G31" i="6" s="1"/>
  <c r="G32" i="5"/>
  <c r="H32" i="5" s="1"/>
  <c r="E29" i="6" s="1"/>
  <c r="E32" i="5"/>
  <c r="J32" i="5"/>
  <c r="G29" i="6" s="1"/>
  <c r="G30" i="5"/>
  <c r="H30" i="5" s="1"/>
  <c r="E27" i="6" s="1"/>
  <c r="E30" i="5"/>
  <c r="J30" i="5"/>
  <c r="G27" i="6" s="1"/>
  <c r="G28" i="5"/>
  <c r="H28" i="5" s="1"/>
  <c r="E25" i="6" s="1"/>
  <c r="E28" i="5"/>
  <c r="J28" i="5"/>
  <c r="G25" i="6" s="1"/>
  <c r="G26" i="5"/>
  <c r="H26" i="5" s="1"/>
  <c r="E23" i="6" s="1"/>
  <c r="E26" i="5"/>
  <c r="J26" i="5"/>
  <c r="G23" i="6" s="1"/>
  <c r="G24" i="5"/>
  <c r="H24" i="5" s="1"/>
  <c r="E21" i="6" s="1"/>
  <c r="E24" i="5"/>
  <c r="J24" i="5"/>
  <c r="G21" i="6" s="1"/>
  <c r="G22" i="5"/>
  <c r="H22" i="5" s="1"/>
  <c r="E19" i="6" s="1"/>
  <c r="E22" i="5"/>
  <c r="J22" i="5"/>
  <c r="G19" i="6" s="1"/>
  <c r="G20" i="5"/>
  <c r="H20" i="5" s="1"/>
  <c r="E17" i="6" s="1"/>
  <c r="E20" i="5"/>
  <c r="J20" i="5"/>
  <c r="G17" i="6" s="1"/>
  <c r="G18" i="5"/>
  <c r="H18" i="5" s="1"/>
  <c r="E15" i="6" s="1"/>
  <c r="E18" i="5"/>
  <c r="J18" i="5"/>
  <c r="G15" i="6" s="1"/>
  <c r="G16" i="5"/>
  <c r="H16" i="5" s="1"/>
  <c r="E13" i="6" s="1"/>
  <c r="E16" i="5"/>
  <c r="J16" i="5"/>
  <c r="G13" i="6" s="1"/>
  <c r="G14" i="5"/>
  <c r="H14" i="5" s="1"/>
  <c r="E11" i="6" s="1"/>
  <c r="E14" i="5"/>
  <c r="J14" i="5"/>
  <c r="G11" i="6" s="1"/>
  <c r="G12" i="5"/>
  <c r="H12" i="5" s="1"/>
  <c r="E9" i="6" s="1"/>
  <c r="E12" i="5"/>
  <c r="J12" i="5"/>
  <c r="G9" i="6" s="1"/>
  <c r="G10" i="5"/>
  <c r="H10" i="5" s="1"/>
  <c r="E7" i="6" s="1"/>
  <c r="E10" i="5"/>
  <c r="J10" i="5"/>
  <c r="G7" i="6" s="1"/>
  <c r="G8" i="5"/>
  <c r="H8" i="5" s="1"/>
  <c r="E5" i="6" s="1"/>
  <c r="E8" i="5"/>
  <c r="J8" i="5"/>
  <c r="G5" i="6" s="1"/>
  <c r="G6" i="5"/>
  <c r="H6" i="5" s="1"/>
  <c r="E3" i="6" s="1"/>
  <c r="E6" i="5"/>
  <c r="J6" i="5"/>
  <c r="G3" i="6" s="1"/>
  <c r="CO64" i="2"/>
  <c r="D65" i="2"/>
  <c r="CF64" i="2"/>
  <c r="CH54" i="3"/>
  <c r="H49" i="4" l="1"/>
  <c r="A8" i="7"/>
  <c r="L50" i="4"/>
  <c r="M48" i="4"/>
  <c r="B7" i="7" s="1"/>
  <c r="O48" i="4"/>
  <c r="D7" i="7" s="1"/>
  <c r="K48" i="4"/>
  <c r="N48" i="4" s="1"/>
  <c r="C7" i="7" s="1"/>
  <c r="D45" i="9"/>
  <c r="J45" i="9" s="1"/>
  <c r="H20" i="9"/>
  <c r="G40" i="9"/>
  <c r="D25" i="9"/>
  <c r="J25" i="9" s="1"/>
  <c r="F26" i="9"/>
  <c r="B37" i="9"/>
  <c r="G8" i="9"/>
  <c r="C40" i="9"/>
  <c r="G58" i="9"/>
  <c r="D37" i="9"/>
  <c r="J37" i="9" s="1"/>
  <c r="C52" i="9"/>
  <c r="B20" i="9"/>
  <c r="C31" i="9"/>
  <c r="F45" i="9"/>
  <c r="F25" i="9"/>
  <c r="B40" i="9"/>
  <c r="F8" i="9"/>
  <c r="G26" i="9"/>
  <c r="B45" i="9"/>
  <c r="G37" i="9"/>
  <c r="B25" i="9"/>
  <c r="H52" i="9"/>
  <c r="F40" i="9"/>
  <c r="D40" i="9"/>
  <c r="C8" i="9"/>
  <c r="E47" i="9"/>
  <c r="G42" i="9"/>
  <c r="E45" i="9"/>
  <c r="C37" i="9"/>
  <c r="E25" i="9"/>
  <c r="B52" i="9"/>
  <c r="H40" i="9"/>
  <c r="C20" i="9"/>
  <c r="D8" i="9"/>
  <c r="J8" i="9" s="1"/>
  <c r="F58" i="9"/>
  <c r="C10" i="9"/>
  <c r="C41" i="10"/>
  <c r="C15" i="9"/>
  <c r="F42" i="9"/>
  <c r="G10" i="9"/>
  <c r="E57" i="9"/>
  <c r="B39" i="9"/>
  <c r="F21" i="9"/>
  <c r="C9" i="9"/>
  <c r="E18" i="9"/>
  <c r="E36" i="9"/>
  <c r="B4" i="9"/>
  <c r="E48" i="9"/>
  <c r="B36" i="9"/>
  <c r="D16" i="9"/>
  <c r="J16" i="9" s="1"/>
  <c r="F41" i="9"/>
  <c r="D56" i="9"/>
  <c r="J56" i="9" s="1"/>
  <c r="G16" i="9"/>
  <c r="G56" i="9"/>
  <c r="G24" i="9"/>
  <c r="B55" i="9"/>
  <c r="F34" i="9"/>
  <c r="B7" i="9"/>
  <c r="F2" i="9"/>
  <c r="G48" i="9"/>
  <c r="D24" i="9"/>
  <c r="J24" i="9" s="1"/>
  <c r="D55" i="9"/>
  <c r="J55" i="9" s="1"/>
  <c r="E50" i="9"/>
  <c r="H36" i="9"/>
  <c r="F24" i="9"/>
  <c r="F16" i="9"/>
  <c r="C4" i="9"/>
  <c r="G39" i="9"/>
  <c r="B23" i="9"/>
  <c r="D48" i="10" a="1"/>
  <c r="K48" i="10" s="1"/>
  <c r="E41" i="9"/>
  <c r="H9" i="9"/>
  <c r="F56" i="9"/>
  <c r="D48" i="9"/>
  <c r="J48" i="9" s="1"/>
  <c r="H41" i="9"/>
  <c r="G9" i="9"/>
  <c r="E56" i="9"/>
  <c r="F48" i="9"/>
  <c r="C24" i="9"/>
  <c r="E16" i="9"/>
  <c r="H4" i="9"/>
  <c r="G23" i="9"/>
  <c r="D7" i="9"/>
  <c r="J7" i="9" s="1"/>
  <c r="D50" i="9"/>
  <c r="D34" i="9"/>
  <c r="J34" i="9" s="1"/>
  <c r="D18" i="9"/>
  <c r="J18" i="9" s="1"/>
  <c r="D2" i="9"/>
  <c r="J2" i="9" s="1"/>
  <c r="C44" i="10"/>
  <c r="F47" i="9"/>
  <c r="D31" i="9"/>
  <c r="J31" i="9" s="1"/>
  <c r="D15" i="9"/>
  <c r="J15" i="9" s="1"/>
  <c r="C51" i="10"/>
  <c r="F49" i="9"/>
  <c r="G33" i="9"/>
  <c r="H3" i="9"/>
  <c r="G53" i="9"/>
  <c r="F29" i="9"/>
  <c r="H13" i="9"/>
  <c r="H5" i="9"/>
  <c r="B32" i="9"/>
  <c r="H30" i="9"/>
  <c r="H35" i="9"/>
  <c r="G51" i="9"/>
  <c r="H19" i="9"/>
  <c r="B46" i="9"/>
  <c r="B14" i="9"/>
  <c r="F57" i="9"/>
  <c r="C53" i="9"/>
  <c r="H29" i="9"/>
  <c r="H21" i="9"/>
  <c r="F17" i="9"/>
  <c r="E60" i="9"/>
  <c r="F44" i="9"/>
  <c r="F28" i="9"/>
  <c r="G12" i="9"/>
  <c r="C59" i="9"/>
  <c r="C43" i="9"/>
  <c r="F27" i="9"/>
  <c r="C11" i="9"/>
  <c r="C54" i="9"/>
  <c r="E38" i="9"/>
  <c r="E22" i="9"/>
  <c r="E6" i="9"/>
  <c r="E55" i="9"/>
  <c r="F55" i="9"/>
  <c r="B47" i="9"/>
  <c r="D47" i="9"/>
  <c r="C39" i="9"/>
  <c r="D39" i="9"/>
  <c r="J39" i="9" s="1"/>
  <c r="G31" i="9"/>
  <c r="B31" i="9"/>
  <c r="C23" i="9"/>
  <c r="D23" i="9"/>
  <c r="J23" i="9" s="1"/>
  <c r="G15" i="9"/>
  <c r="B15" i="9"/>
  <c r="E7" i="9"/>
  <c r="F7" i="9"/>
  <c r="E58" i="9"/>
  <c r="D58" i="9"/>
  <c r="G50" i="9"/>
  <c r="F50" i="9"/>
  <c r="E42" i="9"/>
  <c r="D42" i="9"/>
  <c r="J42" i="9" s="1"/>
  <c r="C34" i="9"/>
  <c r="G34" i="9"/>
  <c r="E26" i="9"/>
  <c r="D26" i="9"/>
  <c r="J26" i="9" s="1"/>
  <c r="G18" i="9"/>
  <c r="F18" i="9"/>
  <c r="F10" i="9"/>
  <c r="D10" i="9"/>
  <c r="J10" i="9" s="1"/>
  <c r="C2" i="9"/>
  <c r="G2" i="9"/>
  <c r="C20" i="10"/>
  <c r="D11" i="10" a="1"/>
  <c r="G11" i="10" s="1"/>
  <c r="D30" i="10" a="1"/>
  <c r="G30" i="10" s="1"/>
  <c r="C36" i="10"/>
  <c r="C24" i="10"/>
  <c r="G45" i="9"/>
  <c r="H45" i="9"/>
  <c r="C41" i="9"/>
  <c r="G41" i="9"/>
  <c r="D41" i="9"/>
  <c r="H37" i="9"/>
  <c r="E37" i="9"/>
  <c r="G25" i="9"/>
  <c r="H25" i="9"/>
  <c r="E9" i="9"/>
  <c r="B9" i="9"/>
  <c r="F9" i="9"/>
  <c r="B56" i="9"/>
  <c r="H56" i="9"/>
  <c r="G52" i="9"/>
  <c r="E52" i="9"/>
  <c r="F52" i="9"/>
  <c r="B48" i="9"/>
  <c r="H48" i="9"/>
  <c r="C36" i="9"/>
  <c r="F36" i="9"/>
  <c r="G36" i="9"/>
  <c r="H24" i="9"/>
  <c r="B24" i="9"/>
  <c r="G20" i="9"/>
  <c r="E20" i="9"/>
  <c r="F20" i="9"/>
  <c r="B16" i="9"/>
  <c r="H16" i="9"/>
  <c r="H8" i="9"/>
  <c r="B8" i="9"/>
  <c r="G4" i="9"/>
  <c r="E4" i="9"/>
  <c r="F4" i="9"/>
  <c r="G55" i="9"/>
  <c r="H55" i="9"/>
  <c r="G47" i="9"/>
  <c r="H47" i="9"/>
  <c r="H39" i="9"/>
  <c r="E39" i="9"/>
  <c r="H31" i="9"/>
  <c r="E31" i="9"/>
  <c r="H23" i="9"/>
  <c r="E23" i="9"/>
  <c r="H15" i="9"/>
  <c r="E15" i="9"/>
  <c r="G7" i="9"/>
  <c r="H7" i="9"/>
  <c r="B58" i="9"/>
  <c r="H58" i="9"/>
  <c r="B50" i="9"/>
  <c r="H50" i="9"/>
  <c r="B42" i="9"/>
  <c r="H42" i="9"/>
  <c r="H34" i="9"/>
  <c r="B34" i="9"/>
  <c r="B26" i="9"/>
  <c r="H26" i="9"/>
  <c r="B18" i="9"/>
  <c r="H18" i="9"/>
  <c r="H10" i="9"/>
  <c r="B10" i="9"/>
  <c r="H2" i="9"/>
  <c r="B2" i="9"/>
  <c r="C23" i="10"/>
  <c r="D38" i="10" a="1"/>
  <c r="E38" i="10" s="1"/>
  <c r="C19" i="10"/>
  <c r="C39" i="10"/>
  <c r="C12" i="10"/>
  <c r="C3" i="10"/>
  <c r="C22" i="10"/>
  <c r="C7" i="10"/>
  <c r="C15" i="10"/>
  <c r="C35" i="10"/>
  <c r="C43" i="10"/>
  <c r="D6" i="10" a="1"/>
  <c r="E6" i="10" s="1"/>
  <c r="D46" i="10" a="1"/>
  <c r="G46" i="10" s="1"/>
  <c r="N46" i="10" s="1"/>
  <c r="C10" i="10"/>
  <c r="C27" i="10"/>
  <c r="C47" i="10"/>
  <c r="C14" i="10"/>
  <c r="C4" i="10"/>
  <c r="C28" i="10"/>
  <c r="C42" i="10"/>
  <c r="B57" i="9"/>
  <c r="D57" i="9"/>
  <c r="J57" i="9" s="1"/>
  <c r="H53" i="9"/>
  <c r="E49" i="9"/>
  <c r="B33" i="9"/>
  <c r="E29" i="9"/>
  <c r="E21" i="9"/>
  <c r="E17" i="9"/>
  <c r="G13" i="9"/>
  <c r="C13" i="9"/>
  <c r="G5" i="9"/>
  <c r="C5" i="9"/>
  <c r="D60" i="9"/>
  <c r="J60" i="9" s="1"/>
  <c r="G44" i="9"/>
  <c r="H32" i="9"/>
  <c r="E32" i="9"/>
  <c r="D28" i="9"/>
  <c r="J28" i="9" s="1"/>
  <c r="C12" i="9"/>
  <c r="B49" i="9"/>
  <c r="D49" i="9"/>
  <c r="C33" i="9"/>
  <c r="D33" i="9"/>
  <c r="J33" i="9" s="1"/>
  <c r="B17" i="9"/>
  <c r="D17" i="9"/>
  <c r="J17" i="9" s="1"/>
  <c r="G60" i="9"/>
  <c r="F60" i="9"/>
  <c r="E44" i="9"/>
  <c r="D44" i="9"/>
  <c r="J44" i="9" s="1"/>
  <c r="C28" i="9"/>
  <c r="G28" i="9"/>
  <c r="F12" i="9"/>
  <c r="D12" i="9"/>
  <c r="J12" i="9" s="1"/>
  <c r="G59" i="9"/>
  <c r="C51" i="9"/>
  <c r="G43" i="9"/>
  <c r="F35" i="9"/>
  <c r="H27" i="9"/>
  <c r="F19" i="9"/>
  <c r="G11" i="9"/>
  <c r="F3" i="9"/>
  <c r="B54" i="9"/>
  <c r="C46" i="9"/>
  <c r="H38" i="9"/>
  <c r="E30" i="9"/>
  <c r="H22" i="9"/>
  <c r="C14" i="9"/>
  <c r="H6" i="9"/>
  <c r="G57" i="9"/>
  <c r="H57" i="9"/>
  <c r="E53" i="9"/>
  <c r="B53" i="9"/>
  <c r="F53" i="9"/>
  <c r="G49" i="9"/>
  <c r="H49" i="9"/>
  <c r="H33" i="9"/>
  <c r="E33" i="9"/>
  <c r="C29" i="9"/>
  <c r="G29" i="9"/>
  <c r="D29" i="9"/>
  <c r="J29" i="9" s="1"/>
  <c r="C21" i="9"/>
  <c r="G21" i="9"/>
  <c r="D21" i="9"/>
  <c r="J21" i="9" s="1"/>
  <c r="G17" i="9"/>
  <c r="H17" i="9"/>
  <c r="E13" i="9"/>
  <c r="B13" i="9"/>
  <c r="F13" i="9"/>
  <c r="E5" i="9"/>
  <c r="B5" i="9"/>
  <c r="F5" i="9"/>
  <c r="B60" i="9"/>
  <c r="H60" i="9"/>
  <c r="B44" i="9"/>
  <c r="H44" i="9"/>
  <c r="C32" i="9"/>
  <c r="F32" i="9"/>
  <c r="G32" i="9"/>
  <c r="H28" i="9"/>
  <c r="B28" i="9"/>
  <c r="H12" i="9"/>
  <c r="B12" i="9"/>
  <c r="H59" i="9"/>
  <c r="H51" i="9"/>
  <c r="H43" i="9"/>
  <c r="E35" i="9"/>
  <c r="E27" i="9"/>
  <c r="E19" i="9"/>
  <c r="H11" i="9"/>
  <c r="E3" i="9"/>
  <c r="H54" i="9"/>
  <c r="H46" i="9"/>
  <c r="B38" i="9"/>
  <c r="B30" i="9"/>
  <c r="B22" i="9"/>
  <c r="H14" i="9"/>
  <c r="B6" i="9"/>
  <c r="D18" i="10" a="1"/>
  <c r="G18" i="10" s="1"/>
  <c r="D16" i="10" a="1"/>
  <c r="E16" i="10" s="1"/>
  <c r="C31" i="10"/>
  <c r="C26" i="10"/>
  <c r="C8" i="10"/>
  <c r="C40" i="10"/>
  <c r="D5" i="10" a="1"/>
  <c r="G5" i="10" s="1"/>
  <c r="D50" i="10" a="1"/>
  <c r="E50" i="10" s="1"/>
  <c r="D32" i="10" a="1"/>
  <c r="G32" i="10" s="1"/>
  <c r="C37" i="10"/>
  <c r="D45" i="10" a="1"/>
  <c r="E45" i="10" s="1"/>
  <c r="D2" i="10" a="1"/>
  <c r="E2" i="10" s="1"/>
  <c r="D34" i="10" a="1"/>
  <c r="G34" i="10" s="1"/>
  <c r="E59" i="9"/>
  <c r="B59" i="9"/>
  <c r="F59" i="9"/>
  <c r="E51" i="9"/>
  <c r="B51" i="9"/>
  <c r="F51" i="9"/>
  <c r="E43" i="9"/>
  <c r="B43" i="9"/>
  <c r="F43" i="9"/>
  <c r="C35" i="9"/>
  <c r="G35" i="9"/>
  <c r="D35" i="9"/>
  <c r="J35" i="9" s="1"/>
  <c r="C27" i="9"/>
  <c r="G27" i="9"/>
  <c r="D27" i="9"/>
  <c r="J27" i="9" s="1"/>
  <c r="C19" i="9"/>
  <c r="G19" i="9"/>
  <c r="D19" i="9"/>
  <c r="J19" i="9" s="1"/>
  <c r="E11" i="9"/>
  <c r="B11" i="9"/>
  <c r="F11" i="9"/>
  <c r="C3" i="9"/>
  <c r="G3" i="9"/>
  <c r="D3" i="9"/>
  <c r="J3" i="9" s="1"/>
  <c r="G54" i="9"/>
  <c r="E54" i="9"/>
  <c r="F54" i="9"/>
  <c r="G46" i="9"/>
  <c r="E46" i="9"/>
  <c r="F46" i="9"/>
  <c r="C38" i="9"/>
  <c r="F38" i="9"/>
  <c r="G38" i="9"/>
  <c r="C30" i="9"/>
  <c r="F30" i="9"/>
  <c r="G30" i="9"/>
  <c r="C22" i="9"/>
  <c r="F22" i="9"/>
  <c r="G22" i="9"/>
  <c r="G14" i="9"/>
  <c r="E14" i="9"/>
  <c r="F14" i="9"/>
  <c r="C6" i="9"/>
  <c r="F6" i="9"/>
  <c r="G6" i="9"/>
  <c r="D21" i="10" a="1"/>
  <c r="G21" i="10" s="1"/>
  <c r="C9" i="10"/>
  <c r="C29" i="10"/>
  <c r="D13" i="10" a="1"/>
  <c r="E13" i="10" s="1"/>
  <c r="C25" i="10"/>
  <c r="C17" i="10"/>
  <c r="C33" i="10"/>
  <c r="C49" i="10"/>
  <c r="J13" i="9"/>
  <c r="I12" i="5"/>
  <c r="F9" i="6" s="1"/>
  <c r="D12" i="5"/>
  <c r="C9" i="6" s="1"/>
  <c r="F12" i="5"/>
  <c r="I16" i="5"/>
  <c r="F13" i="6" s="1"/>
  <c r="D16" i="5"/>
  <c r="C13" i="6" s="1"/>
  <c r="F16" i="5"/>
  <c r="I20" i="5"/>
  <c r="F17" i="6" s="1"/>
  <c r="D20" i="5"/>
  <c r="C17" i="6" s="1"/>
  <c r="F20" i="5"/>
  <c r="I24" i="5"/>
  <c r="F21" i="6" s="1"/>
  <c r="D24" i="5"/>
  <c r="C21" i="6" s="1"/>
  <c r="F24" i="5"/>
  <c r="I28" i="5"/>
  <c r="F25" i="6" s="1"/>
  <c r="D28" i="5"/>
  <c r="C25" i="6" s="1"/>
  <c r="F28" i="5"/>
  <c r="I32" i="5"/>
  <c r="F29" i="6" s="1"/>
  <c r="D32" i="5"/>
  <c r="C29" i="6" s="1"/>
  <c r="F32" i="5"/>
  <c r="I36" i="5"/>
  <c r="F33" i="6" s="1"/>
  <c r="D36" i="5"/>
  <c r="C33" i="6" s="1"/>
  <c r="F36" i="5"/>
  <c r="I40" i="5"/>
  <c r="F37" i="6" s="1"/>
  <c r="D40" i="5"/>
  <c r="C37" i="6" s="1"/>
  <c r="F40" i="5"/>
  <c r="I44" i="5"/>
  <c r="F41" i="6" s="1"/>
  <c r="D44" i="5"/>
  <c r="C41" i="6" s="1"/>
  <c r="F44" i="5"/>
  <c r="F46" i="5"/>
  <c r="I46" i="5"/>
  <c r="D46" i="5"/>
  <c r="O20" i="5"/>
  <c r="E3" i="10"/>
  <c r="G3" i="10"/>
  <c r="I3" i="10"/>
  <c r="K3" i="10"/>
  <c r="F3" i="10"/>
  <c r="J3" i="10"/>
  <c r="D3" i="10"/>
  <c r="H3" i="10"/>
  <c r="E7" i="10"/>
  <c r="G7" i="10"/>
  <c r="I7" i="10"/>
  <c r="K7" i="10"/>
  <c r="F7" i="10"/>
  <c r="J7" i="10"/>
  <c r="D7" i="10"/>
  <c r="H7" i="10"/>
  <c r="E15" i="10"/>
  <c r="G15" i="10"/>
  <c r="I15" i="10"/>
  <c r="K15" i="10"/>
  <c r="F15" i="10"/>
  <c r="J15" i="10"/>
  <c r="D15" i="10"/>
  <c r="H15" i="10"/>
  <c r="E19" i="10"/>
  <c r="G19" i="10"/>
  <c r="I19" i="10"/>
  <c r="K19" i="10"/>
  <c r="F19" i="10"/>
  <c r="J19" i="10"/>
  <c r="D19" i="10"/>
  <c r="H19" i="10"/>
  <c r="E23" i="10"/>
  <c r="G23" i="10"/>
  <c r="I23" i="10"/>
  <c r="K23" i="10"/>
  <c r="F23" i="10"/>
  <c r="J23" i="10"/>
  <c r="D23" i="10"/>
  <c r="H23" i="10"/>
  <c r="E27" i="10"/>
  <c r="G27" i="10"/>
  <c r="I27" i="10"/>
  <c r="K27" i="10"/>
  <c r="F27" i="10"/>
  <c r="J27" i="10"/>
  <c r="D27" i="10"/>
  <c r="H27" i="10"/>
  <c r="E31" i="10"/>
  <c r="G31" i="10"/>
  <c r="I31" i="10"/>
  <c r="K31" i="10"/>
  <c r="F31" i="10"/>
  <c r="J31" i="10"/>
  <c r="D31" i="10"/>
  <c r="H31" i="10"/>
  <c r="E35" i="10"/>
  <c r="G35" i="10"/>
  <c r="I35" i="10"/>
  <c r="K35" i="10"/>
  <c r="F35" i="10"/>
  <c r="J35" i="10"/>
  <c r="D35" i="10"/>
  <c r="H35" i="10"/>
  <c r="E39" i="10"/>
  <c r="G39" i="10"/>
  <c r="I39" i="10"/>
  <c r="K39" i="10"/>
  <c r="F39" i="10"/>
  <c r="J39" i="10"/>
  <c r="D39" i="10"/>
  <c r="H39" i="10"/>
  <c r="E43" i="10"/>
  <c r="G43" i="10"/>
  <c r="I43" i="10"/>
  <c r="K43" i="10"/>
  <c r="F43" i="10"/>
  <c r="J43" i="10"/>
  <c r="D43" i="10"/>
  <c r="H43" i="10"/>
  <c r="E47" i="10"/>
  <c r="G47" i="10"/>
  <c r="N47" i="10" s="1"/>
  <c r="I47" i="10"/>
  <c r="K47" i="10"/>
  <c r="F47" i="10"/>
  <c r="J47" i="10"/>
  <c r="D47" i="10"/>
  <c r="H47" i="10"/>
  <c r="E51" i="10"/>
  <c r="G51" i="10"/>
  <c r="N51" i="10" s="1"/>
  <c r="I51" i="10"/>
  <c r="K51" i="10"/>
  <c r="F51" i="10"/>
  <c r="J51" i="10"/>
  <c r="D51" i="10"/>
  <c r="H51" i="10"/>
  <c r="E14" i="10"/>
  <c r="G14" i="10"/>
  <c r="I14" i="10"/>
  <c r="K14" i="10"/>
  <c r="D14" i="10"/>
  <c r="H14" i="10"/>
  <c r="F14" i="10"/>
  <c r="J14" i="10"/>
  <c r="E22" i="10"/>
  <c r="G22" i="10"/>
  <c r="I22" i="10"/>
  <c r="K22" i="10"/>
  <c r="D22" i="10"/>
  <c r="H22" i="10"/>
  <c r="F22" i="10"/>
  <c r="J22" i="10"/>
  <c r="E4" i="10"/>
  <c r="G4" i="10"/>
  <c r="I4" i="10"/>
  <c r="K4" i="10"/>
  <c r="D4" i="10"/>
  <c r="H4" i="10"/>
  <c r="F4" i="10"/>
  <c r="J4" i="10"/>
  <c r="E12" i="10"/>
  <c r="G12" i="10"/>
  <c r="I12" i="10"/>
  <c r="K12" i="10"/>
  <c r="D12" i="10"/>
  <c r="H12" i="10"/>
  <c r="F12" i="10"/>
  <c r="J12" i="10"/>
  <c r="E20" i="10"/>
  <c r="G20" i="10"/>
  <c r="I20" i="10"/>
  <c r="K20" i="10"/>
  <c r="D20" i="10"/>
  <c r="H20" i="10"/>
  <c r="F20" i="10"/>
  <c r="J20" i="10"/>
  <c r="E28" i="10"/>
  <c r="G28" i="10"/>
  <c r="I28" i="10"/>
  <c r="K28" i="10"/>
  <c r="D28" i="10"/>
  <c r="H28" i="10"/>
  <c r="F28" i="10"/>
  <c r="J28" i="10"/>
  <c r="E36" i="10"/>
  <c r="G36" i="10"/>
  <c r="I36" i="10"/>
  <c r="K36" i="10"/>
  <c r="D36" i="10"/>
  <c r="H36" i="10"/>
  <c r="F36" i="10"/>
  <c r="J36" i="10"/>
  <c r="E44" i="10"/>
  <c r="G44" i="10"/>
  <c r="I44" i="10"/>
  <c r="K44" i="10"/>
  <c r="D44" i="10"/>
  <c r="H44" i="10"/>
  <c r="F44" i="10"/>
  <c r="J44" i="10"/>
  <c r="E10" i="10"/>
  <c r="G10" i="10"/>
  <c r="I10" i="10"/>
  <c r="K10" i="10"/>
  <c r="D10" i="10"/>
  <c r="H10" i="10"/>
  <c r="F10" i="10"/>
  <c r="J10" i="10"/>
  <c r="E26" i="10"/>
  <c r="G26" i="10"/>
  <c r="I26" i="10"/>
  <c r="K26" i="10"/>
  <c r="D26" i="10"/>
  <c r="H26" i="10"/>
  <c r="F26" i="10"/>
  <c r="J26" i="10"/>
  <c r="E42" i="10"/>
  <c r="G42" i="10"/>
  <c r="I42" i="10"/>
  <c r="K42" i="10"/>
  <c r="D42" i="10"/>
  <c r="H42" i="10"/>
  <c r="F42" i="10"/>
  <c r="J42" i="10"/>
  <c r="E8" i="10"/>
  <c r="G8" i="10"/>
  <c r="I8" i="10"/>
  <c r="K8" i="10"/>
  <c r="D8" i="10"/>
  <c r="H8" i="10"/>
  <c r="F8" i="10"/>
  <c r="J8" i="10"/>
  <c r="E24" i="10"/>
  <c r="G24" i="10"/>
  <c r="I24" i="10"/>
  <c r="K24" i="10"/>
  <c r="D24" i="10"/>
  <c r="H24" i="10"/>
  <c r="F24" i="10"/>
  <c r="J24" i="10"/>
  <c r="E40" i="10"/>
  <c r="G40" i="10"/>
  <c r="I40" i="10"/>
  <c r="K40" i="10"/>
  <c r="D40" i="10"/>
  <c r="H40" i="10"/>
  <c r="F40" i="10"/>
  <c r="J40" i="10"/>
  <c r="J59" i="9"/>
  <c r="J51" i="9"/>
  <c r="J43" i="9"/>
  <c r="J11" i="9"/>
  <c r="J54" i="9"/>
  <c r="J46" i="9"/>
  <c r="J38" i="9"/>
  <c r="J30" i="9"/>
  <c r="J22" i="9"/>
  <c r="J14" i="9"/>
  <c r="J6" i="9"/>
  <c r="D5" i="5"/>
  <c r="C2" i="6" s="1"/>
  <c r="F5" i="5"/>
  <c r="I5" i="5"/>
  <c r="F2" i="6" s="1"/>
  <c r="D7" i="5"/>
  <c r="C4" i="6" s="1"/>
  <c r="F7" i="5"/>
  <c r="I7" i="5"/>
  <c r="F4" i="6" s="1"/>
  <c r="D11" i="5"/>
  <c r="C8" i="6" s="1"/>
  <c r="F11" i="5"/>
  <c r="I11" i="5"/>
  <c r="F8" i="6" s="1"/>
  <c r="D15" i="5"/>
  <c r="C12" i="6" s="1"/>
  <c r="F15" i="5"/>
  <c r="I15" i="5"/>
  <c r="F12" i="6" s="1"/>
  <c r="D19" i="5"/>
  <c r="C16" i="6" s="1"/>
  <c r="F19" i="5"/>
  <c r="I19" i="5"/>
  <c r="F16" i="6" s="1"/>
  <c r="D23" i="5"/>
  <c r="C20" i="6" s="1"/>
  <c r="F23" i="5"/>
  <c r="I23" i="5"/>
  <c r="F20" i="6" s="1"/>
  <c r="D27" i="5"/>
  <c r="C24" i="6" s="1"/>
  <c r="F27" i="5"/>
  <c r="I27" i="5"/>
  <c r="F24" i="6" s="1"/>
  <c r="D31" i="5"/>
  <c r="C28" i="6" s="1"/>
  <c r="F31" i="5"/>
  <c r="I31" i="5"/>
  <c r="F28" i="6" s="1"/>
  <c r="D35" i="5"/>
  <c r="C32" i="6" s="1"/>
  <c r="F35" i="5"/>
  <c r="I35" i="5"/>
  <c r="F32" i="6" s="1"/>
  <c r="D39" i="5"/>
  <c r="C36" i="6" s="1"/>
  <c r="F39" i="5"/>
  <c r="I39" i="5"/>
  <c r="F36" i="6" s="1"/>
  <c r="D43" i="5"/>
  <c r="C40" i="6" s="1"/>
  <c r="F43" i="5"/>
  <c r="I43" i="5"/>
  <c r="F40" i="6" s="1"/>
  <c r="E9" i="10"/>
  <c r="G9" i="10"/>
  <c r="I9" i="10"/>
  <c r="K9" i="10"/>
  <c r="F9" i="10"/>
  <c r="J9" i="10"/>
  <c r="D9" i="10"/>
  <c r="H9" i="10"/>
  <c r="E17" i="10"/>
  <c r="G17" i="10"/>
  <c r="I17" i="10"/>
  <c r="K17" i="10"/>
  <c r="F17" i="10"/>
  <c r="J17" i="10"/>
  <c r="D17" i="10"/>
  <c r="H17" i="10"/>
  <c r="E25" i="10"/>
  <c r="G25" i="10"/>
  <c r="I25" i="10"/>
  <c r="K25" i="10"/>
  <c r="F25" i="10"/>
  <c r="J25" i="10"/>
  <c r="D25" i="10"/>
  <c r="H25" i="10"/>
  <c r="E29" i="10"/>
  <c r="G29" i="10"/>
  <c r="I29" i="10"/>
  <c r="K29" i="10"/>
  <c r="F29" i="10"/>
  <c r="J29" i="10"/>
  <c r="D29" i="10"/>
  <c r="H29" i="10"/>
  <c r="E33" i="10"/>
  <c r="G33" i="10"/>
  <c r="I33" i="10"/>
  <c r="K33" i="10"/>
  <c r="F33" i="10"/>
  <c r="J33" i="10"/>
  <c r="D33" i="10"/>
  <c r="H33" i="10"/>
  <c r="E37" i="10"/>
  <c r="G37" i="10"/>
  <c r="I37" i="10"/>
  <c r="K37" i="10"/>
  <c r="F37" i="10"/>
  <c r="J37" i="10"/>
  <c r="D37" i="10"/>
  <c r="H37" i="10"/>
  <c r="E41" i="10"/>
  <c r="G41" i="10"/>
  <c r="I41" i="10"/>
  <c r="K41" i="10"/>
  <c r="F41" i="10"/>
  <c r="J41" i="10"/>
  <c r="D41" i="10"/>
  <c r="H41" i="10"/>
  <c r="E49" i="10"/>
  <c r="G49" i="10"/>
  <c r="N49" i="10" s="1"/>
  <c r="I49" i="10"/>
  <c r="K49" i="10"/>
  <c r="F49" i="10"/>
  <c r="J49" i="10"/>
  <c r="D49" i="10"/>
  <c r="H49" i="10"/>
  <c r="J53" i="9"/>
  <c r="J5" i="9"/>
  <c r="J32" i="9"/>
  <c r="I8" i="5"/>
  <c r="F5" i="6" s="1"/>
  <c r="D8" i="5"/>
  <c r="C5" i="6" s="1"/>
  <c r="F8" i="5"/>
  <c r="CO65" i="2"/>
  <c r="CF65" i="2"/>
  <c r="CI66" i="2" s="1"/>
  <c r="J9" i="9"/>
  <c r="J52" i="9"/>
  <c r="J36" i="9"/>
  <c r="J20" i="9"/>
  <c r="J4" i="9"/>
  <c r="I6" i="5"/>
  <c r="F3" i="6" s="1"/>
  <c r="F6" i="5"/>
  <c r="D6" i="5"/>
  <c r="C3" i="6" s="1"/>
  <c r="I10" i="5"/>
  <c r="F7" i="6" s="1"/>
  <c r="F10" i="5"/>
  <c r="D10" i="5"/>
  <c r="C7" i="6" s="1"/>
  <c r="I14" i="5"/>
  <c r="F11" i="6" s="1"/>
  <c r="F14" i="5"/>
  <c r="D14" i="5"/>
  <c r="C11" i="6" s="1"/>
  <c r="I18" i="5"/>
  <c r="F15" i="6" s="1"/>
  <c r="F18" i="5"/>
  <c r="D18" i="5"/>
  <c r="C15" i="6" s="1"/>
  <c r="I22" i="5"/>
  <c r="F19" i="6" s="1"/>
  <c r="F22" i="5"/>
  <c r="D22" i="5"/>
  <c r="C19" i="6" s="1"/>
  <c r="I26" i="5"/>
  <c r="F23" i="6" s="1"/>
  <c r="F26" i="5"/>
  <c r="D26" i="5"/>
  <c r="C23" i="6" s="1"/>
  <c r="I30" i="5"/>
  <c r="F27" i="6" s="1"/>
  <c r="F30" i="5"/>
  <c r="D30" i="5"/>
  <c r="C27" i="6" s="1"/>
  <c r="I34" i="5"/>
  <c r="F31" i="6" s="1"/>
  <c r="F34" i="5"/>
  <c r="D34" i="5"/>
  <c r="C31" i="6" s="1"/>
  <c r="I38" i="5"/>
  <c r="F35" i="6" s="1"/>
  <c r="F38" i="5"/>
  <c r="D38" i="5"/>
  <c r="C35" i="6" s="1"/>
  <c r="I42" i="5"/>
  <c r="F39" i="6" s="1"/>
  <c r="F42" i="5"/>
  <c r="D42" i="5"/>
  <c r="C39" i="6" s="1"/>
  <c r="D9" i="5"/>
  <c r="C6" i="6" s="1"/>
  <c r="F9" i="5"/>
  <c r="I9" i="5"/>
  <c r="F6" i="6" s="1"/>
  <c r="D13" i="5"/>
  <c r="C10" i="6" s="1"/>
  <c r="F13" i="5"/>
  <c r="I13" i="5"/>
  <c r="F10" i="6" s="1"/>
  <c r="D17" i="5"/>
  <c r="C14" i="6" s="1"/>
  <c r="F17" i="5"/>
  <c r="I17" i="5"/>
  <c r="F14" i="6" s="1"/>
  <c r="D21" i="5"/>
  <c r="C18" i="6" s="1"/>
  <c r="F21" i="5"/>
  <c r="I21" i="5"/>
  <c r="F18" i="6" s="1"/>
  <c r="D25" i="5"/>
  <c r="C22" i="6" s="1"/>
  <c r="F25" i="5"/>
  <c r="I25" i="5"/>
  <c r="F22" i="6" s="1"/>
  <c r="D29" i="5"/>
  <c r="C26" i="6" s="1"/>
  <c r="F29" i="5"/>
  <c r="I29" i="5"/>
  <c r="F26" i="6" s="1"/>
  <c r="D33" i="5"/>
  <c r="C30" i="6" s="1"/>
  <c r="F33" i="5"/>
  <c r="I33" i="5"/>
  <c r="F30" i="6" s="1"/>
  <c r="D37" i="5"/>
  <c r="C34" i="6" s="1"/>
  <c r="F37" i="5"/>
  <c r="I37" i="5"/>
  <c r="F34" i="6" s="1"/>
  <c r="D41" i="5"/>
  <c r="C38" i="6" s="1"/>
  <c r="F41" i="5"/>
  <c r="I41" i="5"/>
  <c r="F38" i="6" s="1"/>
  <c r="D45" i="5"/>
  <c r="C42" i="6" s="1"/>
  <c r="F45" i="5"/>
  <c r="I45" i="5"/>
  <c r="F42" i="6" s="1"/>
  <c r="N44" i="10" l="1"/>
  <c r="N43" i="10"/>
  <c r="N42" i="10"/>
  <c r="N41" i="10"/>
  <c r="N40" i="10"/>
  <c r="N39" i="10"/>
  <c r="N37" i="10"/>
  <c r="N36" i="10"/>
  <c r="N35" i="10"/>
  <c r="N19" i="10"/>
  <c r="N7" i="10"/>
  <c r="N9" i="10"/>
  <c r="N33" i="10"/>
  <c r="N29" i="10"/>
  <c r="N24" i="10"/>
  <c r="N8" i="10"/>
  <c r="N26" i="10"/>
  <c r="N10" i="10"/>
  <c r="N28" i="10"/>
  <c r="N25" i="10"/>
  <c r="N17" i="10"/>
  <c r="N20" i="10"/>
  <c r="N12" i="10"/>
  <c r="N4" i="10"/>
  <c r="N22" i="10"/>
  <c r="N14" i="10"/>
  <c r="N31" i="10"/>
  <c r="N27" i="10"/>
  <c r="N23" i="10"/>
  <c r="N15" i="10"/>
  <c r="N3" i="10"/>
  <c r="L59" i="9"/>
  <c r="L58" i="9"/>
  <c r="A9" i="7"/>
  <c r="L51" i="4"/>
  <c r="H50" i="4"/>
  <c r="K49" i="4"/>
  <c r="N49" i="4" s="1"/>
  <c r="C8" i="7" s="1"/>
  <c r="M49" i="4"/>
  <c r="B8" i="7" s="1"/>
  <c r="O49" i="4"/>
  <c r="D8" i="7" s="1"/>
  <c r="L53" i="9"/>
  <c r="L54" i="9"/>
  <c r="L52" i="9"/>
  <c r="L51" i="9"/>
  <c r="L50" i="9"/>
  <c r="L49" i="9"/>
  <c r="L47" i="9"/>
  <c r="L46" i="9"/>
  <c r="L45" i="9"/>
  <c r="L25" i="9"/>
  <c r="L40" i="9"/>
  <c r="L8" i="9"/>
  <c r="L37" i="9"/>
  <c r="J40" i="9"/>
  <c r="L55" i="9"/>
  <c r="E48" i="10"/>
  <c r="L56" i="9"/>
  <c r="L48" i="9"/>
  <c r="D48" i="10"/>
  <c r="F48" i="10"/>
  <c r="I48" i="10"/>
  <c r="L16" i="9"/>
  <c r="H48" i="10"/>
  <c r="G48" i="10"/>
  <c r="J48" i="10"/>
  <c r="E30" i="10"/>
  <c r="J50" i="9"/>
  <c r="L24" i="9"/>
  <c r="J58" i="9"/>
  <c r="J47" i="9"/>
  <c r="L42" i="9"/>
  <c r="L39" i="9"/>
  <c r="L41" i="9"/>
  <c r="L2" i="9"/>
  <c r="L10" i="9"/>
  <c r="L34" i="9"/>
  <c r="L15" i="9"/>
  <c r="L23" i="9"/>
  <c r="L31" i="9"/>
  <c r="L18" i="9"/>
  <c r="L26" i="9"/>
  <c r="L7" i="9"/>
  <c r="L9" i="9"/>
  <c r="L4" i="9"/>
  <c r="L36" i="9"/>
  <c r="D30" i="10"/>
  <c r="F30" i="10"/>
  <c r="I30" i="10"/>
  <c r="E11" i="10"/>
  <c r="L20" i="9"/>
  <c r="J30" i="10"/>
  <c r="H30" i="10"/>
  <c r="K30" i="10"/>
  <c r="F11" i="10"/>
  <c r="D11" i="10"/>
  <c r="I11" i="10"/>
  <c r="H11" i="10"/>
  <c r="J11" i="10"/>
  <c r="K11" i="10"/>
  <c r="J41" i="9"/>
  <c r="J38" i="10"/>
  <c r="K38" i="10"/>
  <c r="H38" i="10"/>
  <c r="G38" i="10"/>
  <c r="F38" i="10"/>
  <c r="D38" i="10"/>
  <c r="I38" i="10"/>
  <c r="J49" i="9"/>
  <c r="J6" i="10"/>
  <c r="F46" i="10"/>
  <c r="I46" i="10"/>
  <c r="L60" i="9"/>
  <c r="D46" i="10"/>
  <c r="E46" i="10"/>
  <c r="K6" i="10"/>
  <c r="H6" i="10"/>
  <c r="G6" i="10"/>
  <c r="J46" i="10"/>
  <c r="H46" i="10"/>
  <c r="K46" i="10"/>
  <c r="L44" i="9"/>
  <c r="L57" i="9"/>
  <c r="G2" i="10"/>
  <c r="F6" i="10"/>
  <c r="D6" i="10"/>
  <c r="I6" i="10"/>
  <c r="L21" i="9"/>
  <c r="L12" i="9"/>
  <c r="L29" i="9"/>
  <c r="L33" i="9"/>
  <c r="J16" i="10"/>
  <c r="L28" i="9"/>
  <c r="L17" i="9"/>
  <c r="L32" i="9"/>
  <c r="L5" i="9"/>
  <c r="D18" i="10"/>
  <c r="E5" i="10"/>
  <c r="L13" i="9"/>
  <c r="D32" i="10"/>
  <c r="E34" i="10"/>
  <c r="E18" i="10"/>
  <c r="H45" i="10"/>
  <c r="F18" i="10"/>
  <c r="I18" i="10"/>
  <c r="E21" i="10"/>
  <c r="E32" i="10"/>
  <c r="D34" i="10"/>
  <c r="J18" i="10"/>
  <c r="H18" i="10"/>
  <c r="K18" i="10"/>
  <c r="K45" i="10"/>
  <c r="F5" i="10"/>
  <c r="J50" i="10"/>
  <c r="K16" i="10"/>
  <c r="K50" i="10"/>
  <c r="H16" i="10"/>
  <c r="G16" i="10"/>
  <c r="H50" i="10"/>
  <c r="G50" i="10"/>
  <c r="F16" i="10"/>
  <c r="D16" i="10"/>
  <c r="I16" i="10"/>
  <c r="F50" i="10"/>
  <c r="D50" i="10"/>
  <c r="I50" i="10"/>
  <c r="F32" i="10"/>
  <c r="I32" i="10"/>
  <c r="F34" i="10"/>
  <c r="I34" i="10"/>
  <c r="J45" i="10"/>
  <c r="G45" i="10"/>
  <c r="N45" i="10" s="1"/>
  <c r="D5" i="10"/>
  <c r="I5" i="10"/>
  <c r="J32" i="10"/>
  <c r="H32" i="10"/>
  <c r="K32" i="10"/>
  <c r="J34" i="10"/>
  <c r="H34" i="10"/>
  <c r="K34" i="10"/>
  <c r="D45" i="10"/>
  <c r="F45" i="10"/>
  <c r="I45" i="10"/>
  <c r="H5" i="10"/>
  <c r="J5" i="10"/>
  <c r="K5" i="10"/>
  <c r="J2" i="10"/>
  <c r="H2" i="10"/>
  <c r="K2" i="10"/>
  <c r="D2" i="10"/>
  <c r="F2" i="10"/>
  <c r="I2" i="10"/>
  <c r="K13" i="10"/>
  <c r="L22" i="9"/>
  <c r="P1" i="10" a="1"/>
  <c r="P1" i="10" s="1"/>
  <c r="L19" i="9"/>
  <c r="M1" i="9" a="1"/>
  <c r="M1" i="9" s="1"/>
  <c r="H13" i="10"/>
  <c r="L6" i="9"/>
  <c r="L14" i="9"/>
  <c r="J13" i="10"/>
  <c r="G13" i="10"/>
  <c r="L30" i="9"/>
  <c r="L38" i="9"/>
  <c r="L3" i="9"/>
  <c r="L11" i="9"/>
  <c r="L27" i="9"/>
  <c r="L35" i="9"/>
  <c r="L43" i="9"/>
  <c r="F21" i="10"/>
  <c r="D21" i="10"/>
  <c r="I21" i="10"/>
  <c r="H21" i="10"/>
  <c r="J21" i="10"/>
  <c r="K21" i="10"/>
  <c r="D13" i="10"/>
  <c r="F13" i="10"/>
  <c r="I13" i="10"/>
  <c r="C25" i="5"/>
  <c r="D22" i="6"/>
  <c r="C45" i="5"/>
  <c r="D42" i="6"/>
  <c r="C37" i="5"/>
  <c r="D34" i="6"/>
  <c r="C29" i="5"/>
  <c r="D26" i="6"/>
  <c r="C21" i="5"/>
  <c r="D18" i="6"/>
  <c r="C13" i="5"/>
  <c r="D10" i="6"/>
  <c r="C42" i="5"/>
  <c r="D39" i="6"/>
  <c r="C34" i="5"/>
  <c r="D31" i="6"/>
  <c r="C26" i="5"/>
  <c r="D23" i="6"/>
  <c r="C18" i="5"/>
  <c r="D15" i="6"/>
  <c r="C10" i="5"/>
  <c r="D7" i="6"/>
  <c r="L32" i="10"/>
  <c r="L34" i="10"/>
  <c r="L18" i="10"/>
  <c r="L49" i="10"/>
  <c r="L41" i="10"/>
  <c r="L37" i="10"/>
  <c r="L33" i="10"/>
  <c r="L29" i="10"/>
  <c r="L25" i="10"/>
  <c r="L21" i="10"/>
  <c r="L17" i="10"/>
  <c r="L9" i="10"/>
  <c r="L5" i="10"/>
  <c r="C39" i="5"/>
  <c r="D36" i="6"/>
  <c r="C31" i="5"/>
  <c r="D28" i="6"/>
  <c r="C23" i="5"/>
  <c r="D20" i="6"/>
  <c r="C15" i="5"/>
  <c r="D12" i="6"/>
  <c r="C7" i="5"/>
  <c r="D4" i="6"/>
  <c r="O21" i="5"/>
  <c r="C44" i="5"/>
  <c r="D41" i="6"/>
  <c r="C36" i="5"/>
  <c r="D33" i="6"/>
  <c r="C28" i="5"/>
  <c r="D25" i="6"/>
  <c r="C20" i="5"/>
  <c r="D17" i="6"/>
  <c r="C12" i="5"/>
  <c r="D9" i="6"/>
  <c r="C41" i="5"/>
  <c r="D38" i="6"/>
  <c r="C33" i="5"/>
  <c r="D30" i="6"/>
  <c r="C17" i="5"/>
  <c r="D14" i="6"/>
  <c r="C9" i="5"/>
  <c r="D6" i="6"/>
  <c r="C38" i="5"/>
  <c r="D35" i="6"/>
  <c r="C30" i="5"/>
  <c r="D27" i="6"/>
  <c r="C22" i="5"/>
  <c r="D19" i="6"/>
  <c r="C14" i="5"/>
  <c r="D11" i="6"/>
  <c r="C6" i="5"/>
  <c r="D3" i="6"/>
  <c r="C8" i="5"/>
  <c r="D5" i="6"/>
  <c r="C43" i="5"/>
  <c r="D40" i="6"/>
  <c r="C35" i="5"/>
  <c r="D32" i="6"/>
  <c r="C27" i="5"/>
  <c r="D24" i="6"/>
  <c r="C19" i="5"/>
  <c r="D16" i="6"/>
  <c r="C11" i="5"/>
  <c r="D8" i="6"/>
  <c r="C5" i="5"/>
  <c r="D2" i="6"/>
  <c r="L40" i="10"/>
  <c r="L24" i="10"/>
  <c r="L8" i="10"/>
  <c r="L42" i="10"/>
  <c r="L26" i="10"/>
  <c r="L10" i="10"/>
  <c r="L44" i="10"/>
  <c r="L36" i="10"/>
  <c r="L28" i="10"/>
  <c r="L20" i="10"/>
  <c r="L12" i="10"/>
  <c r="L4" i="10"/>
  <c r="L46" i="10"/>
  <c r="L30" i="10"/>
  <c r="L22" i="10"/>
  <c r="L14" i="10"/>
  <c r="L51" i="10"/>
  <c r="L47" i="10"/>
  <c r="L43" i="10"/>
  <c r="L39" i="10"/>
  <c r="L35" i="10"/>
  <c r="L31" i="10"/>
  <c r="L27" i="10"/>
  <c r="L23" i="10"/>
  <c r="L19" i="10"/>
  <c r="L15" i="10"/>
  <c r="L11" i="10"/>
  <c r="L7" i="10"/>
  <c r="L3" i="10"/>
  <c r="C40" i="5"/>
  <c r="D37" i="6"/>
  <c r="C32" i="5"/>
  <c r="D29" i="6"/>
  <c r="C24" i="5"/>
  <c r="D21" i="6"/>
  <c r="C16" i="5"/>
  <c r="D13" i="6"/>
  <c r="C46" i="5"/>
  <c r="K46" i="5" s="1"/>
  <c r="L46" i="5" s="1"/>
  <c r="M46" i="5" s="1"/>
  <c r="K12" i="9" l="1"/>
  <c r="K47" i="9"/>
  <c r="K40" i="9"/>
  <c r="K53" i="9"/>
  <c r="K54" i="9"/>
  <c r="K6" i="9"/>
  <c r="K24" i="9"/>
  <c r="K37" i="9"/>
  <c r="K58" i="9"/>
  <c r="K7" i="9"/>
  <c r="K10" i="9"/>
  <c r="K3" i="9"/>
  <c r="K32" i="9"/>
  <c r="K56" i="9"/>
  <c r="K11" i="9"/>
  <c r="K9" i="9"/>
  <c r="K34" i="9"/>
  <c r="K19" i="9"/>
  <c r="K22" i="9"/>
  <c r="K8" i="9"/>
  <c r="K18" i="9"/>
  <c r="K35" i="9"/>
  <c r="K2" i="9"/>
  <c r="K49" i="9"/>
  <c r="K41" i="9"/>
  <c r="K15" i="9"/>
  <c r="K60" i="9"/>
  <c r="K43" i="9"/>
  <c r="K36" i="9"/>
  <c r="K57" i="9"/>
  <c r="K30" i="9"/>
  <c r="K51" i="9"/>
  <c r="K39" i="9"/>
  <c r="K13" i="9"/>
  <c r="K4" i="9"/>
  <c r="K16" i="9"/>
  <c r="K31" i="9"/>
  <c r="K27" i="9"/>
  <c r="K25" i="9"/>
  <c r="K50" i="9"/>
  <c r="K42" i="9"/>
  <c r="K28" i="9"/>
  <c r="K38" i="9"/>
  <c r="K14" i="9"/>
  <c r="K33" i="9"/>
  <c r="K20" i="9"/>
  <c r="K45" i="9"/>
  <c r="K23" i="9"/>
  <c r="K59" i="9"/>
  <c r="K52" i="9"/>
  <c r="K55" i="9"/>
  <c r="K17" i="9"/>
  <c r="K46" i="9"/>
  <c r="K26" i="9"/>
  <c r="K21" i="9"/>
  <c r="K29" i="9"/>
  <c r="K48" i="9"/>
  <c r="K44" i="9"/>
  <c r="K5" i="9"/>
  <c r="N38" i="10"/>
  <c r="N34" i="10"/>
  <c r="N21" i="10"/>
  <c r="N11" i="10"/>
  <c r="N30" i="10"/>
  <c r="N5" i="10"/>
  <c r="N18" i="10"/>
  <c r="N32" i="10"/>
  <c r="L13" i="10"/>
  <c r="N13" i="10"/>
  <c r="L16" i="10"/>
  <c r="N16" i="10"/>
  <c r="L6" i="10"/>
  <c r="N6" i="10"/>
  <c r="L48" i="10"/>
  <c r="N48" i="10"/>
  <c r="L50" i="10"/>
  <c r="M50" i="10" s="1"/>
  <c r="N50" i="10"/>
  <c r="L2" i="10"/>
  <c r="N2" i="10"/>
  <c r="O50" i="4"/>
  <c r="D9" i="7" s="1"/>
  <c r="M50" i="4"/>
  <c r="B9" i="7" s="1"/>
  <c r="K50" i="4"/>
  <c r="N50" i="4" s="1"/>
  <c r="C9" i="7" s="1"/>
  <c r="A10" i="7"/>
  <c r="H51" i="4"/>
  <c r="L52" i="4"/>
  <c r="L38" i="10"/>
  <c r="L45" i="10"/>
  <c r="R1" i="10" a="1"/>
  <c r="R1" i="10" s="1"/>
  <c r="M51" i="10"/>
  <c r="M49" i="10"/>
  <c r="K24" i="5"/>
  <c r="B21" i="6"/>
  <c r="I21" i="6" s="1"/>
  <c r="J21" i="6" s="1"/>
  <c r="F64" i="4"/>
  <c r="K40" i="5"/>
  <c r="B37" i="6"/>
  <c r="I37" i="6" s="1"/>
  <c r="J37" i="6" s="1"/>
  <c r="F80" i="4"/>
  <c r="K10" i="5"/>
  <c r="B7" i="6"/>
  <c r="I7" i="6" s="1"/>
  <c r="J7" i="6" s="1"/>
  <c r="F50" i="4"/>
  <c r="K18" i="5"/>
  <c r="B15" i="6"/>
  <c r="I15" i="6" s="1"/>
  <c r="J15" i="6" s="1"/>
  <c r="F58" i="4"/>
  <c r="K26" i="5"/>
  <c r="B23" i="6"/>
  <c r="I23" i="6" s="1"/>
  <c r="J23" i="6" s="1"/>
  <c r="F66" i="4"/>
  <c r="K34" i="5"/>
  <c r="B31" i="6"/>
  <c r="I31" i="6" s="1"/>
  <c r="J31" i="6" s="1"/>
  <c r="F74" i="4"/>
  <c r="B39" i="6"/>
  <c r="I39" i="6" s="1"/>
  <c r="J39" i="6" s="1"/>
  <c r="K42" i="5"/>
  <c r="B10" i="6"/>
  <c r="I10" i="6" s="1"/>
  <c r="J10" i="6" s="1"/>
  <c r="K13" i="5"/>
  <c r="F53" i="4"/>
  <c r="B18" i="6"/>
  <c r="I18" i="6" s="1"/>
  <c r="J18" i="6" s="1"/>
  <c r="K21" i="5"/>
  <c r="F61" i="4"/>
  <c r="B26" i="6"/>
  <c r="I26" i="6" s="1"/>
  <c r="J26" i="6" s="1"/>
  <c r="K29" i="5"/>
  <c r="F69" i="4"/>
  <c r="B34" i="6"/>
  <c r="I34" i="6" s="1"/>
  <c r="J34" i="6" s="1"/>
  <c r="K37" i="5"/>
  <c r="F77" i="4"/>
  <c r="B42" i="6"/>
  <c r="I42" i="6" s="1"/>
  <c r="J42" i="6" s="1"/>
  <c r="K45" i="5"/>
  <c r="B22" i="6"/>
  <c r="I22" i="6" s="1"/>
  <c r="J22" i="6" s="1"/>
  <c r="K25" i="5"/>
  <c r="F65" i="4"/>
  <c r="K16" i="5"/>
  <c r="B13" i="6"/>
  <c r="I13" i="6" s="1"/>
  <c r="J13" i="6" s="1"/>
  <c r="F56" i="4"/>
  <c r="K32" i="5"/>
  <c r="B29" i="6"/>
  <c r="I29" i="6" s="1"/>
  <c r="J29" i="6" s="1"/>
  <c r="F72" i="4"/>
  <c r="B2" i="6"/>
  <c r="I2" i="6" s="1"/>
  <c r="J2" i="6" s="1"/>
  <c r="K5" i="5"/>
  <c r="F45" i="4"/>
  <c r="B8" i="6"/>
  <c r="I8" i="6" s="1"/>
  <c r="J8" i="6" s="1"/>
  <c r="K11" i="5"/>
  <c r="F51" i="4"/>
  <c r="B16" i="6"/>
  <c r="I16" i="6" s="1"/>
  <c r="J16" i="6" s="1"/>
  <c r="K19" i="5"/>
  <c r="F59" i="4"/>
  <c r="B24" i="6"/>
  <c r="I24" i="6" s="1"/>
  <c r="J24" i="6" s="1"/>
  <c r="K27" i="5"/>
  <c r="F67" i="4"/>
  <c r="B32" i="6"/>
  <c r="I32" i="6" s="1"/>
  <c r="J32" i="6" s="1"/>
  <c r="K35" i="5"/>
  <c r="F75" i="4"/>
  <c r="B40" i="6"/>
  <c r="I40" i="6" s="1"/>
  <c r="J40" i="6" s="1"/>
  <c r="K43" i="5"/>
  <c r="K8" i="5"/>
  <c r="B5" i="6"/>
  <c r="I5" i="6" s="1"/>
  <c r="J5" i="6" s="1"/>
  <c r="F48" i="4"/>
  <c r="K6" i="5"/>
  <c r="B3" i="6"/>
  <c r="I3" i="6" s="1"/>
  <c r="J3" i="6" s="1"/>
  <c r="F46" i="4"/>
  <c r="K14" i="5"/>
  <c r="B11" i="6"/>
  <c r="I11" i="6" s="1"/>
  <c r="J11" i="6" s="1"/>
  <c r="F54" i="4"/>
  <c r="K22" i="5"/>
  <c r="B19" i="6"/>
  <c r="I19" i="6" s="1"/>
  <c r="J19" i="6" s="1"/>
  <c r="F62" i="4"/>
  <c r="K30" i="5"/>
  <c r="B27" i="6"/>
  <c r="I27" i="6" s="1"/>
  <c r="J27" i="6" s="1"/>
  <c r="F70" i="4"/>
  <c r="K38" i="5"/>
  <c r="B35" i="6"/>
  <c r="I35" i="6" s="1"/>
  <c r="J35" i="6" s="1"/>
  <c r="F78" i="4"/>
  <c r="B6" i="6"/>
  <c r="I6" i="6" s="1"/>
  <c r="J6" i="6" s="1"/>
  <c r="K9" i="5"/>
  <c r="F49" i="4"/>
  <c r="B14" i="6"/>
  <c r="I14" i="6" s="1"/>
  <c r="J14" i="6" s="1"/>
  <c r="K17" i="5"/>
  <c r="F57" i="4"/>
  <c r="B30" i="6"/>
  <c r="I30" i="6" s="1"/>
  <c r="J30" i="6" s="1"/>
  <c r="K33" i="5"/>
  <c r="F73" i="4"/>
  <c r="B38" i="6"/>
  <c r="I38" i="6" s="1"/>
  <c r="J38" i="6" s="1"/>
  <c r="K41" i="5"/>
  <c r="K12" i="5"/>
  <c r="B9" i="6"/>
  <c r="I9" i="6" s="1"/>
  <c r="J9" i="6" s="1"/>
  <c r="F52" i="4"/>
  <c r="K20" i="5"/>
  <c r="B17" i="6"/>
  <c r="I17" i="6" s="1"/>
  <c r="J17" i="6" s="1"/>
  <c r="F60" i="4"/>
  <c r="K28" i="5"/>
  <c r="B25" i="6"/>
  <c r="I25" i="6" s="1"/>
  <c r="J25" i="6" s="1"/>
  <c r="F68" i="4"/>
  <c r="K36" i="5"/>
  <c r="B33" i="6"/>
  <c r="I33" i="6" s="1"/>
  <c r="J33" i="6" s="1"/>
  <c r="F76" i="4"/>
  <c r="B41" i="6"/>
  <c r="I41" i="6" s="1"/>
  <c r="J41" i="6" s="1"/>
  <c r="K44" i="5"/>
  <c r="O22" i="5"/>
  <c r="B4" i="6"/>
  <c r="I4" i="6" s="1"/>
  <c r="J4" i="6" s="1"/>
  <c r="K7" i="5"/>
  <c r="F47" i="4"/>
  <c r="B12" i="6"/>
  <c r="I12" i="6" s="1"/>
  <c r="J12" i="6" s="1"/>
  <c r="K15" i="5"/>
  <c r="F55" i="4"/>
  <c r="B20" i="6"/>
  <c r="I20" i="6" s="1"/>
  <c r="J20" i="6" s="1"/>
  <c r="K23" i="5"/>
  <c r="F63" i="4"/>
  <c r="B28" i="6"/>
  <c r="I28" i="6" s="1"/>
  <c r="J28" i="6" s="1"/>
  <c r="K31" i="5"/>
  <c r="F71" i="4"/>
  <c r="B36" i="6"/>
  <c r="I36" i="6" s="1"/>
  <c r="J36" i="6" s="1"/>
  <c r="K39" i="5"/>
  <c r="F79" i="4"/>
  <c r="M48" i="10" l="1"/>
  <c r="M47" i="10"/>
  <c r="M46" i="10"/>
  <c r="M45" i="10"/>
  <c r="M44" i="10"/>
  <c r="M42" i="10"/>
  <c r="M38" i="10"/>
  <c r="M43" i="10"/>
  <c r="M41" i="10"/>
  <c r="M40" i="10"/>
  <c r="L53" i="4"/>
  <c r="H52" i="4"/>
  <c r="A11" i="7"/>
  <c r="K51" i="4"/>
  <c r="N51" i="4" s="1"/>
  <c r="C10" i="7" s="1"/>
  <c r="M51" i="4"/>
  <c r="B10" i="7" s="1"/>
  <c r="O51" i="4"/>
  <c r="D10" i="7" s="1"/>
  <c r="M39" i="10"/>
  <c r="M21" i="10"/>
  <c r="M6" i="10"/>
  <c r="M11" i="10"/>
  <c r="M4" i="10"/>
  <c r="M27" i="10"/>
  <c r="M10" i="10"/>
  <c r="M16" i="10"/>
  <c r="M5" i="10"/>
  <c r="M34" i="10"/>
  <c r="M19" i="10"/>
  <c r="M13" i="10"/>
  <c r="M20" i="10"/>
  <c r="M32" i="10"/>
  <c r="M2" i="10"/>
  <c r="M29" i="10"/>
  <c r="M8" i="10"/>
  <c r="M22" i="10"/>
  <c r="M36" i="10"/>
  <c r="M18" i="10"/>
  <c r="M23" i="10"/>
  <c r="M7" i="10"/>
  <c r="M17" i="10"/>
  <c r="M24" i="10"/>
  <c r="M28" i="10"/>
  <c r="M30" i="10"/>
  <c r="M3" i="10"/>
  <c r="M35" i="10"/>
  <c r="M37" i="10"/>
  <c r="M31" i="10"/>
  <c r="M15" i="10"/>
  <c r="M25" i="10"/>
  <c r="M9" i="10"/>
  <c r="M26" i="10"/>
  <c r="M12" i="10"/>
  <c r="M14" i="10"/>
  <c r="M33" i="10"/>
  <c r="M3" i="9"/>
  <c r="S3" i="9" s="1"/>
  <c r="M2" i="9"/>
  <c r="T2" i="9" s="1"/>
  <c r="M7" i="9"/>
  <c r="Q7" i="9" s="1"/>
  <c r="M27" i="9"/>
  <c r="Q27" i="9" s="1"/>
  <c r="M16" i="9"/>
  <c r="T16" i="9" s="1"/>
  <c r="M32" i="9"/>
  <c r="T32" i="9" s="1"/>
  <c r="M19" i="9"/>
  <c r="Q19" i="9" s="1"/>
  <c r="M9" i="9"/>
  <c r="S9" i="9" s="1"/>
  <c r="M41" i="9"/>
  <c r="S41" i="9" s="1"/>
  <c r="M18" i="9"/>
  <c r="T18" i="9" s="1"/>
  <c r="M25" i="9"/>
  <c r="S25" i="9" s="1"/>
  <c r="M34" i="9"/>
  <c r="T34" i="9" s="1"/>
  <c r="M10" i="9"/>
  <c r="T10" i="9" s="1"/>
  <c r="M35" i="9"/>
  <c r="Q35" i="9" s="1"/>
  <c r="M40" i="9"/>
  <c r="R40" i="9" s="1"/>
  <c r="M24" i="9"/>
  <c r="T24" i="9" s="1"/>
  <c r="M8" i="9"/>
  <c r="T8" i="9" s="1"/>
  <c r="M33" i="9"/>
  <c r="S33" i="9" s="1"/>
  <c r="M17" i="9"/>
  <c r="S17" i="9" s="1"/>
  <c r="M42" i="9"/>
  <c r="T42" i="9" s="1"/>
  <c r="M26" i="9"/>
  <c r="Q26" i="9" s="1"/>
  <c r="M15" i="9"/>
  <c r="P15" i="9" s="1"/>
  <c r="M39" i="9"/>
  <c r="S39" i="9" s="1"/>
  <c r="M31" i="9"/>
  <c r="Q31" i="9" s="1"/>
  <c r="M23" i="9"/>
  <c r="S23" i="9" s="1"/>
  <c r="M11" i="9"/>
  <c r="Q11" i="9" s="1"/>
  <c r="M36" i="9"/>
  <c r="R36" i="9" s="1"/>
  <c r="M28" i="9"/>
  <c r="R28" i="9" s="1"/>
  <c r="M20" i="9"/>
  <c r="T20" i="9" s="1"/>
  <c r="M12" i="9"/>
  <c r="R12" i="9" s="1"/>
  <c r="M4" i="9"/>
  <c r="T4" i="9" s="1"/>
  <c r="M37" i="9"/>
  <c r="P37" i="9" s="1"/>
  <c r="M29" i="9"/>
  <c r="Q29" i="9" s="1"/>
  <c r="M21" i="9"/>
  <c r="Q21" i="9" s="1"/>
  <c r="M13" i="9"/>
  <c r="Q13" i="9" s="1"/>
  <c r="M5" i="9"/>
  <c r="Q5" i="9" s="1"/>
  <c r="M38" i="9"/>
  <c r="T38" i="9" s="1"/>
  <c r="M30" i="9"/>
  <c r="R30" i="9" s="1"/>
  <c r="M22" i="9"/>
  <c r="Q22" i="9" s="1"/>
  <c r="M14" i="9"/>
  <c r="R14" i="9" s="1"/>
  <c r="M6" i="9"/>
  <c r="Q6" i="9" s="1"/>
  <c r="M43" i="9"/>
  <c r="Q43" i="9" s="1"/>
  <c r="L31" i="5"/>
  <c r="H28" i="6"/>
  <c r="O23" i="5"/>
  <c r="L28" i="5"/>
  <c r="H25" i="6"/>
  <c r="L12" i="5"/>
  <c r="H9" i="6"/>
  <c r="L33" i="5"/>
  <c r="H30" i="6"/>
  <c r="L9" i="5"/>
  <c r="H6" i="6"/>
  <c r="L38" i="5"/>
  <c r="H35" i="6"/>
  <c r="L22" i="5"/>
  <c r="H19" i="6"/>
  <c r="L6" i="5"/>
  <c r="H3" i="6"/>
  <c r="L8" i="5"/>
  <c r="H5" i="6"/>
  <c r="L35" i="5"/>
  <c r="H32" i="6"/>
  <c r="L19" i="5"/>
  <c r="H16" i="6"/>
  <c r="L5" i="5"/>
  <c r="H2" i="6"/>
  <c r="L32" i="5"/>
  <c r="H29" i="6"/>
  <c r="L37" i="5"/>
  <c r="H34" i="6"/>
  <c r="L21" i="5"/>
  <c r="H18" i="6"/>
  <c r="L26" i="5"/>
  <c r="H23" i="6"/>
  <c r="L10" i="5"/>
  <c r="H7" i="6"/>
  <c r="L24" i="5"/>
  <c r="H21" i="6"/>
  <c r="L15" i="5"/>
  <c r="H12" i="6"/>
  <c r="L39" i="5"/>
  <c r="H36" i="6"/>
  <c r="L23" i="5"/>
  <c r="H20" i="6"/>
  <c r="L7" i="5"/>
  <c r="H4" i="6"/>
  <c r="L44" i="5"/>
  <c r="M44" i="5" s="1"/>
  <c r="H41" i="6"/>
  <c r="L36" i="5"/>
  <c r="H33" i="6"/>
  <c r="L20" i="5"/>
  <c r="H17" i="6"/>
  <c r="L41" i="5"/>
  <c r="M41" i="5" s="1"/>
  <c r="H38" i="6"/>
  <c r="L17" i="5"/>
  <c r="H14" i="6"/>
  <c r="L30" i="5"/>
  <c r="H27" i="6"/>
  <c r="L14" i="5"/>
  <c r="H11" i="6"/>
  <c r="L43" i="5"/>
  <c r="M43" i="5" s="1"/>
  <c r="H40" i="6"/>
  <c r="L27" i="5"/>
  <c r="H24" i="6"/>
  <c r="L11" i="5"/>
  <c r="H8" i="6"/>
  <c r="L16" i="5"/>
  <c r="H13" i="6"/>
  <c r="L25" i="5"/>
  <c r="H22" i="6"/>
  <c r="L45" i="5"/>
  <c r="M45" i="5" s="1"/>
  <c r="H42" i="6"/>
  <c r="L29" i="5"/>
  <c r="H26" i="6"/>
  <c r="L13" i="5"/>
  <c r="H10" i="6"/>
  <c r="L42" i="5"/>
  <c r="M42" i="5" s="1"/>
  <c r="H39" i="6"/>
  <c r="L34" i="5"/>
  <c r="H31" i="6"/>
  <c r="L18" i="5"/>
  <c r="H15" i="6"/>
  <c r="L40" i="5"/>
  <c r="H37" i="6"/>
  <c r="Q38" i="10" l="1" a="1"/>
  <c r="Q37" i="10" a="1"/>
  <c r="Q36" i="10" a="1"/>
  <c r="Q35" i="10" a="1"/>
  <c r="Q34" i="10" a="1"/>
  <c r="Q33" i="10" a="1"/>
  <c r="Q32" i="10" a="1"/>
  <c r="Q30" i="10" a="1"/>
  <c r="Q29" i="10" a="1"/>
  <c r="Q27" i="10" a="1"/>
  <c r="Q31" i="10" a="1"/>
  <c r="Q28" i="10" a="1"/>
  <c r="Q26" i="10" a="1"/>
  <c r="K52" i="4"/>
  <c r="N52" i="4" s="1"/>
  <c r="C11" i="7" s="1"/>
  <c r="O52" i="4"/>
  <c r="D11" i="7" s="1"/>
  <c r="M52" i="4"/>
  <c r="B11" i="7" s="1"/>
  <c r="L54" i="4"/>
  <c r="H53" i="4"/>
  <c r="A12" i="7"/>
  <c r="Q7" i="10" a="1"/>
  <c r="R7" i="10" s="1"/>
  <c r="Q3" i="10" a="1"/>
  <c r="Q3" i="10" s="1"/>
  <c r="Q4" i="10" a="1"/>
  <c r="W4" i="10" s="1"/>
  <c r="Q6" i="10" a="1"/>
  <c r="T6" i="10" s="1"/>
  <c r="Q19" i="10" a="1"/>
  <c r="T19" i="10" s="1"/>
  <c r="Q10" i="10" a="1"/>
  <c r="W10" i="10" s="1"/>
  <c r="Q14" i="10" a="1"/>
  <c r="T14" i="10" s="1"/>
  <c r="Q23" i="10" a="1"/>
  <c r="T23" i="10" s="1"/>
  <c r="Q8" i="10" a="1"/>
  <c r="U8" i="10" s="1"/>
  <c r="Q11" i="10" a="1"/>
  <c r="S11" i="10" s="1"/>
  <c r="Q12" i="10" a="1"/>
  <c r="Y12" i="10" s="1"/>
  <c r="Q9" i="10" a="1"/>
  <c r="T9" i="10" s="1"/>
  <c r="Q5" i="10" a="1"/>
  <c r="Y5" i="10" s="1"/>
  <c r="Q25" i="10" a="1"/>
  <c r="R25" i="10" s="1"/>
  <c r="Q13" i="10" a="1"/>
  <c r="W13" i="10" s="1"/>
  <c r="Q24" i="10" a="1"/>
  <c r="X24" i="10" s="1"/>
  <c r="Q18" i="10" a="1"/>
  <c r="X18" i="10" s="1"/>
  <c r="Q20" i="10" a="1"/>
  <c r="U20" i="10" s="1"/>
  <c r="Q17" i="10" a="1"/>
  <c r="V17" i="10" s="1"/>
  <c r="Q22" i="10" a="1"/>
  <c r="V22" i="10" s="1"/>
  <c r="Q15" i="10" a="1"/>
  <c r="W15" i="10" s="1"/>
  <c r="Q16" i="10" a="1"/>
  <c r="Y16" i="10" s="1"/>
  <c r="Q21" i="10" a="1"/>
  <c r="X21" i="10" s="1"/>
  <c r="T41" i="9"/>
  <c r="O10" i="9"/>
  <c r="Q9" i="9"/>
  <c r="S34" i="9"/>
  <c r="S2" i="9"/>
  <c r="O7" i="9"/>
  <c r="P34" i="9"/>
  <c r="R32" i="9"/>
  <c r="P2" i="9"/>
  <c r="Q32" i="9"/>
  <c r="R2" i="9"/>
  <c r="Q2" i="9"/>
  <c r="O9" i="9"/>
  <c r="P35" i="9"/>
  <c r="S35" i="9"/>
  <c r="O2" i="9"/>
  <c r="R41" i="9"/>
  <c r="P7" i="9"/>
  <c r="O16" i="9"/>
  <c r="Q40" i="9"/>
  <c r="P25" i="9"/>
  <c r="O17" i="9"/>
  <c r="Q16" i="9"/>
  <c r="S40" i="9"/>
  <c r="R7" i="9"/>
  <c r="S8" i="9"/>
  <c r="Q10" i="9"/>
  <c r="R25" i="9"/>
  <c r="P16" i="9"/>
  <c r="T7" i="9"/>
  <c r="P19" i="9"/>
  <c r="R16" i="9"/>
  <c r="S7" i="9"/>
  <c r="R19" i="9"/>
  <c r="S26" i="9"/>
  <c r="T17" i="9"/>
  <c r="Q41" i="9"/>
  <c r="S16" i="9"/>
  <c r="S12" i="9"/>
  <c r="P18" i="9"/>
  <c r="P42" i="9"/>
  <c r="O33" i="9"/>
  <c r="Q24" i="9"/>
  <c r="P27" i="9"/>
  <c r="P4" i="9"/>
  <c r="R24" i="9"/>
  <c r="S27" i="9"/>
  <c r="R18" i="9"/>
  <c r="O34" i="9"/>
  <c r="T33" i="9"/>
  <c r="S32" i="9"/>
  <c r="R15" i="9"/>
  <c r="T9" i="9"/>
  <c r="Q18" i="9"/>
  <c r="Q34" i="9"/>
  <c r="Q42" i="9"/>
  <c r="R9" i="9"/>
  <c r="R33" i="9"/>
  <c r="P24" i="9"/>
  <c r="P32" i="9"/>
  <c r="T27" i="9"/>
  <c r="T35" i="9"/>
  <c r="O39" i="9"/>
  <c r="O24" i="9"/>
  <c r="O32" i="9"/>
  <c r="R27" i="9"/>
  <c r="R35" i="9"/>
  <c r="O18" i="9"/>
  <c r="R34" i="9"/>
  <c r="S42" i="9"/>
  <c r="P9" i="9"/>
  <c r="O27" i="9"/>
  <c r="Q39" i="9"/>
  <c r="S15" i="9"/>
  <c r="P10" i="9"/>
  <c r="P26" i="9"/>
  <c r="O25" i="9"/>
  <c r="O41" i="9"/>
  <c r="P8" i="9"/>
  <c r="T19" i="9"/>
  <c r="O3" i="9"/>
  <c r="O8" i="9"/>
  <c r="S19" i="9"/>
  <c r="S10" i="9"/>
  <c r="Q25" i="9"/>
  <c r="P41" i="9"/>
  <c r="O19" i="9"/>
  <c r="R26" i="9"/>
  <c r="T25" i="9"/>
  <c r="T37" i="9"/>
  <c r="O38" i="9"/>
  <c r="S38" i="9"/>
  <c r="S28" i="9"/>
  <c r="O23" i="9"/>
  <c r="O42" i="9"/>
  <c r="T15" i="9"/>
  <c r="T39" i="9"/>
  <c r="Q33" i="9"/>
  <c r="Q15" i="9"/>
  <c r="S18" i="9"/>
  <c r="O12" i="9"/>
  <c r="O28" i="9"/>
  <c r="R3" i="9"/>
  <c r="R23" i="9"/>
  <c r="R39" i="9"/>
  <c r="P3" i="9"/>
  <c r="Q12" i="9"/>
  <c r="O37" i="9"/>
  <c r="P23" i="9"/>
  <c r="P39" i="9"/>
  <c r="Q28" i="9"/>
  <c r="T5" i="9"/>
  <c r="T23" i="9"/>
  <c r="Q3" i="9"/>
  <c r="Q23" i="9"/>
  <c r="T12" i="9"/>
  <c r="T28" i="9"/>
  <c r="T3" i="9"/>
  <c r="P28" i="9"/>
  <c r="T21" i="9"/>
  <c r="R37" i="9"/>
  <c r="P12" i="9"/>
  <c r="P5" i="9"/>
  <c r="P21" i="9"/>
  <c r="R10" i="9"/>
  <c r="R17" i="9"/>
  <c r="Q8" i="9"/>
  <c r="O40" i="9"/>
  <c r="R8" i="9"/>
  <c r="T40" i="9"/>
  <c r="P40" i="9"/>
  <c r="Q17" i="9"/>
  <c r="O20" i="9"/>
  <c r="P17" i="9"/>
  <c r="Q14" i="9"/>
  <c r="P30" i="9"/>
  <c r="T26" i="9"/>
  <c r="O26" i="9"/>
  <c r="T31" i="9"/>
  <c r="S24" i="9"/>
  <c r="O15" i="9"/>
  <c r="O35" i="9"/>
  <c r="P33" i="9"/>
  <c r="O31" i="9"/>
  <c r="R31" i="9"/>
  <c r="R42" i="9"/>
  <c r="S36" i="9"/>
  <c r="T36" i="9"/>
  <c r="R13" i="9"/>
  <c r="R29" i="9"/>
  <c r="R4" i="9"/>
  <c r="P20" i="9"/>
  <c r="T11" i="9"/>
  <c r="S20" i="9"/>
  <c r="R11" i="9"/>
  <c r="O6" i="9"/>
  <c r="O22" i="9"/>
  <c r="Q38" i="9"/>
  <c r="P29" i="9"/>
  <c r="O5" i="9"/>
  <c r="O21" i="9"/>
  <c r="P14" i="9"/>
  <c r="Q30" i="9"/>
  <c r="S21" i="9"/>
  <c r="S14" i="9"/>
  <c r="S5" i="9"/>
  <c r="S30" i="9"/>
  <c r="P43" i="9"/>
  <c r="R5" i="9"/>
  <c r="R21" i="9"/>
  <c r="R6" i="9"/>
  <c r="T6" i="9"/>
  <c r="R22" i="9"/>
  <c r="T22" i="9"/>
  <c r="S13" i="9"/>
  <c r="T13" i="9"/>
  <c r="T14" i="9"/>
  <c r="O14" i="9"/>
  <c r="T30" i="9"/>
  <c r="O30" i="9"/>
  <c r="S37" i="9"/>
  <c r="Q37" i="9"/>
  <c r="O36" i="9"/>
  <c r="Q4" i="9"/>
  <c r="Q20" i="9"/>
  <c r="Q36" i="9"/>
  <c r="P11" i="9"/>
  <c r="P31" i="9"/>
  <c r="O11" i="9"/>
  <c r="S4" i="9"/>
  <c r="S31" i="9"/>
  <c r="R20" i="9"/>
  <c r="S11" i="9"/>
  <c r="S6" i="9"/>
  <c r="S22" i="9"/>
  <c r="P38" i="9"/>
  <c r="O13" i="9"/>
  <c r="T29" i="9"/>
  <c r="O4" i="9"/>
  <c r="P36" i="9"/>
  <c r="P6" i="9"/>
  <c r="P22" i="9"/>
  <c r="R38" i="9"/>
  <c r="P13" i="9"/>
  <c r="S29" i="9"/>
  <c r="O29" i="9"/>
  <c r="O43" i="9"/>
  <c r="S43" i="9"/>
  <c r="T43" i="9"/>
  <c r="R43" i="9"/>
  <c r="M40" i="5"/>
  <c r="M18" i="5"/>
  <c r="M29" i="5"/>
  <c r="M25" i="5"/>
  <c r="M11" i="5"/>
  <c r="M30" i="5"/>
  <c r="M36" i="5"/>
  <c r="M7" i="5"/>
  <c r="M39" i="5"/>
  <c r="M24" i="5"/>
  <c r="M31" i="5"/>
  <c r="M34" i="5"/>
  <c r="M13" i="5"/>
  <c r="M16" i="5"/>
  <c r="M27" i="5"/>
  <c r="M14" i="5"/>
  <c r="M17" i="5"/>
  <c r="M20" i="5"/>
  <c r="M23" i="5"/>
  <c r="M15" i="5"/>
  <c r="M10" i="5"/>
  <c r="M26" i="5"/>
  <c r="M21" i="5"/>
  <c r="M37" i="5"/>
  <c r="M32" i="5"/>
  <c r="M5" i="5"/>
  <c r="M19" i="5"/>
  <c r="M8" i="5"/>
  <c r="M6" i="5"/>
  <c r="M33" i="5"/>
  <c r="M12" i="5"/>
  <c r="O24" i="5"/>
  <c r="M35" i="5"/>
  <c r="M22" i="5"/>
  <c r="M38" i="5"/>
  <c r="M9" i="5"/>
  <c r="M28" i="5"/>
  <c r="Y37" i="10" l="1"/>
  <c r="U37" i="10"/>
  <c r="Q37" i="10"/>
  <c r="X37" i="10"/>
  <c r="T37" i="10"/>
  <c r="W37" i="10"/>
  <c r="S37" i="10"/>
  <c r="V37" i="10"/>
  <c r="R37" i="10"/>
  <c r="AA37" i="10" s="1"/>
  <c r="Y38" i="10"/>
  <c r="U38" i="10"/>
  <c r="Q38" i="10"/>
  <c r="X38" i="10"/>
  <c r="T38" i="10"/>
  <c r="W38" i="10"/>
  <c r="S38" i="10"/>
  <c r="V38" i="10"/>
  <c r="R38" i="10"/>
  <c r="AA38" i="10" s="1"/>
  <c r="W33" i="10"/>
  <c r="S33" i="10"/>
  <c r="V33" i="10"/>
  <c r="R33" i="10"/>
  <c r="AA33" i="10" s="1"/>
  <c r="Y33" i="10"/>
  <c r="U33" i="10"/>
  <c r="Q33" i="10"/>
  <c r="X33" i="10"/>
  <c r="T33" i="10"/>
  <c r="W34" i="10"/>
  <c r="S34" i="10"/>
  <c r="V34" i="10"/>
  <c r="R34" i="10"/>
  <c r="AA34" i="10" s="1"/>
  <c r="Y34" i="10"/>
  <c r="U34" i="10"/>
  <c r="Q34" i="10"/>
  <c r="X34" i="10"/>
  <c r="T34" i="10"/>
  <c r="W35" i="10"/>
  <c r="S35" i="10"/>
  <c r="V35" i="10"/>
  <c r="R35" i="10"/>
  <c r="AA35" i="10" s="1"/>
  <c r="Y35" i="10"/>
  <c r="U35" i="10"/>
  <c r="Q35" i="10"/>
  <c r="X35" i="10"/>
  <c r="T35" i="10"/>
  <c r="W32" i="10"/>
  <c r="S32" i="10"/>
  <c r="V32" i="10"/>
  <c r="R32" i="10"/>
  <c r="AA32" i="10" s="1"/>
  <c r="Y32" i="10"/>
  <c r="U32" i="10"/>
  <c r="Q32" i="10"/>
  <c r="X32" i="10"/>
  <c r="T32" i="10"/>
  <c r="W36" i="10"/>
  <c r="S36" i="10"/>
  <c r="V36" i="10"/>
  <c r="R36" i="10"/>
  <c r="AA36" i="10" s="1"/>
  <c r="Y36" i="10"/>
  <c r="U36" i="10"/>
  <c r="Q36" i="10"/>
  <c r="X36" i="10"/>
  <c r="T36" i="10"/>
  <c r="W31" i="10"/>
  <c r="S31" i="10"/>
  <c r="V31" i="10"/>
  <c r="R31" i="10"/>
  <c r="AA31" i="10" s="1"/>
  <c r="Y31" i="10"/>
  <c r="U31" i="10"/>
  <c r="Q31" i="10"/>
  <c r="X31" i="10"/>
  <c r="T31" i="10"/>
  <c r="W27" i="10"/>
  <c r="S27" i="10"/>
  <c r="X27" i="10"/>
  <c r="T27" i="10"/>
  <c r="V27" i="10"/>
  <c r="R27" i="10"/>
  <c r="AA27" i="10" s="1"/>
  <c r="Y27" i="10"/>
  <c r="U27" i="10"/>
  <c r="Q27" i="10"/>
  <c r="W26" i="10"/>
  <c r="S26" i="10"/>
  <c r="V26" i="10"/>
  <c r="R26" i="10"/>
  <c r="AA26" i="10" s="1"/>
  <c r="Y26" i="10"/>
  <c r="U26" i="10"/>
  <c r="Q26" i="10"/>
  <c r="X26" i="10"/>
  <c r="T26" i="10"/>
  <c r="W29" i="10"/>
  <c r="S29" i="10"/>
  <c r="V29" i="10"/>
  <c r="R29" i="10"/>
  <c r="AA29" i="10" s="1"/>
  <c r="Y29" i="10"/>
  <c r="U29" i="10"/>
  <c r="Q29" i="10"/>
  <c r="X29" i="10"/>
  <c r="T29" i="10"/>
  <c r="W28" i="10"/>
  <c r="S28" i="10"/>
  <c r="V28" i="10"/>
  <c r="R28" i="10"/>
  <c r="AA28" i="10" s="1"/>
  <c r="Y28" i="10"/>
  <c r="U28" i="10"/>
  <c r="Q28" i="10"/>
  <c r="X28" i="10"/>
  <c r="T28" i="10"/>
  <c r="W30" i="10"/>
  <c r="S30" i="10"/>
  <c r="X30" i="10"/>
  <c r="T30" i="10"/>
  <c r="V30" i="10"/>
  <c r="R30" i="10"/>
  <c r="AA30" i="10" s="1"/>
  <c r="Y30" i="10"/>
  <c r="U30" i="10"/>
  <c r="Q30" i="10"/>
  <c r="A13" i="7"/>
  <c r="H54" i="4"/>
  <c r="L55" i="4"/>
  <c r="O53" i="4"/>
  <c r="D12" i="7" s="1"/>
  <c r="M53" i="4"/>
  <c r="B12" i="7" s="1"/>
  <c r="K53" i="4"/>
  <c r="N53" i="4" s="1"/>
  <c r="C12" i="7" s="1"/>
  <c r="X7" i="10"/>
  <c r="Q7" i="10"/>
  <c r="Y7" i="10"/>
  <c r="U7" i="10"/>
  <c r="T7" i="10"/>
  <c r="W7" i="10"/>
  <c r="V7" i="10"/>
  <c r="S7" i="10"/>
  <c r="Z7" i="10" s="1"/>
  <c r="AA7" i="10" s="1"/>
  <c r="V3" i="10"/>
  <c r="V15" i="10"/>
  <c r="T3" i="10"/>
  <c r="R3" i="10"/>
  <c r="Y3" i="10"/>
  <c r="S3" i="10"/>
  <c r="U3" i="10"/>
  <c r="W3" i="10"/>
  <c r="X3" i="10"/>
  <c r="S20" i="10"/>
  <c r="U10" i="10"/>
  <c r="U13" i="10"/>
  <c r="S21" i="10"/>
  <c r="S17" i="10"/>
  <c r="U4" i="10"/>
  <c r="V4" i="10"/>
  <c r="X12" i="10"/>
  <c r="W12" i="10"/>
  <c r="W14" i="10"/>
  <c r="R4" i="10"/>
  <c r="Q4" i="10"/>
  <c r="Y4" i="10"/>
  <c r="Q17" i="10"/>
  <c r="T4" i="10"/>
  <c r="S4" i="10"/>
  <c r="R21" i="10"/>
  <c r="S14" i="10"/>
  <c r="Y13" i="10"/>
  <c r="X4" i="10"/>
  <c r="R23" i="10"/>
  <c r="S6" i="10"/>
  <c r="R6" i="10"/>
  <c r="X6" i="10"/>
  <c r="Y9" i="10"/>
  <c r="Y19" i="10"/>
  <c r="W6" i="10"/>
  <c r="V6" i="10"/>
  <c r="S23" i="10"/>
  <c r="Q6" i="10"/>
  <c r="Y6" i="10"/>
  <c r="Q9" i="10"/>
  <c r="U6" i="10"/>
  <c r="T21" i="10"/>
  <c r="R17" i="10"/>
  <c r="V14" i="10"/>
  <c r="T13" i="10"/>
  <c r="X25" i="10"/>
  <c r="Q21" i="10"/>
  <c r="U12" i="10"/>
  <c r="T17" i="10"/>
  <c r="X14" i="10"/>
  <c r="V13" i="10"/>
  <c r="Y25" i="10"/>
  <c r="U21" i="10"/>
  <c r="R12" i="10"/>
  <c r="T12" i="10"/>
  <c r="U17" i="10"/>
  <c r="X17" i="10"/>
  <c r="Y14" i="10"/>
  <c r="Q11" i="10"/>
  <c r="W20" i="10"/>
  <c r="Q13" i="10"/>
  <c r="S10" i="10"/>
  <c r="Y21" i="10"/>
  <c r="S12" i="10"/>
  <c r="V12" i="10"/>
  <c r="Y17" i="10"/>
  <c r="Q14" i="10"/>
  <c r="R14" i="10"/>
  <c r="W11" i="10"/>
  <c r="R13" i="10"/>
  <c r="S13" i="10"/>
  <c r="S19" i="10"/>
  <c r="W25" i="10"/>
  <c r="T16" i="10"/>
  <c r="V10" i="10"/>
  <c r="Q19" i="10"/>
  <c r="X19" i="10"/>
  <c r="X11" i="10"/>
  <c r="R16" i="10"/>
  <c r="T10" i="10"/>
  <c r="R19" i="10"/>
  <c r="R11" i="10"/>
  <c r="Y11" i="10"/>
  <c r="Y23" i="10"/>
  <c r="R9" i="10"/>
  <c r="X9" i="10"/>
  <c r="W23" i="10"/>
  <c r="V23" i="10"/>
  <c r="U9" i="10"/>
  <c r="V9" i="10"/>
  <c r="W24" i="10"/>
  <c r="W19" i="10"/>
  <c r="V19" i="10"/>
  <c r="S8" i="10"/>
  <c r="Q23" i="10"/>
  <c r="X23" i="10"/>
  <c r="W9" i="10"/>
  <c r="U23" i="10"/>
  <c r="S9" i="10"/>
  <c r="U19" i="10"/>
  <c r="T8" i="10"/>
  <c r="W18" i="10"/>
  <c r="U5" i="10"/>
  <c r="R8" i="10"/>
  <c r="Q8" i="10"/>
  <c r="Y8" i="10"/>
  <c r="U25" i="10"/>
  <c r="V25" i="10"/>
  <c r="U18" i="10"/>
  <c r="W16" i="10"/>
  <c r="X5" i="10"/>
  <c r="R10" i="10"/>
  <c r="Q10" i="10"/>
  <c r="Y10" i="10"/>
  <c r="V11" i="10"/>
  <c r="U11" i="10"/>
  <c r="T20" i="10"/>
  <c r="X8" i="10"/>
  <c r="W8" i="10"/>
  <c r="Q25" i="10"/>
  <c r="T25" i="10"/>
  <c r="V21" i="10"/>
  <c r="W21" i="10"/>
  <c r="X16" i="10"/>
  <c r="Q12" i="10"/>
  <c r="S15" i="10"/>
  <c r="X10" i="10"/>
  <c r="W17" i="10"/>
  <c r="U14" i="10"/>
  <c r="T11" i="10"/>
  <c r="R20" i="10"/>
  <c r="X13" i="10"/>
  <c r="V8" i="10"/>
  <c r="V18" i="10"/>
  <c r="V5" i="10"/>
  <c r="T15" i="10"/>
  <c r="Y22" i="10"/>
  <c r="S25" i="10"/>
  <c r="Z25" i="10" s="1"/>
  <c r="AA25" i="10" s="1"/>
  <c r="T18" i="10"/>
  <c r="S16" i="10"/>
  <c r="W5" i="10"/>
  <c r="U15" i="10"/>
  <c r="V24" i="10"/>
  <c r="X20" i="10"/>
  <c r="U24" i="10"/>
  <c r="U22" i="10"/>
  <c r="S18" i="10"/>
  <c r="R18" i="10"/>
  <c r="T5" i="10"/>
  <c r="S5" i="10"/>
  <c r="R15" i="10"/>
  <c r="Q15" i="10"/>
  <c r="Y15" i="10"/>
  <c r="S24" i="10"/>
  <c r="R24" i="10"/>
  <c r="AA24" i="10" s="1"/>
  <c r="Q22" i="10"/>
  <c r="X22" i="10"/>
  <c r="T24" i="10"/>
  <c r="Q18" i="10"/>
  <c r="Y18" i="10"/>
  <c r="R5" i="10"/>
  <c r="Q5" i="10"/>
  <c r="X15" i="10"/>
  <c r="Q24" i="10"/>
  <c r="Y24" i="10"/>
  <c r="T22" i="10"/>
  <c r="V16" i="10"/>
  <c r="U16" i="10"/>
  <c r="S22" i="10"/>
  <c r="R22" i="10"/>
  <c r="Q20" i="10"/>
  <c r="Y20" i="10"/>
  <c r="Q16" i="10"/>
  <c r="W22" i="10"/>
  <c r="V20" i="10"/>
  <c r="N6" i="5"/>
  <c r="P6" i="5" s="1"/>
  <c r="N5" i="5"/>
  <c r="P5" i="5" s="1"/>
  <c r="N20" i="5"/>
  <c r="N14" i="5"/>
  <c r="N13" i="5"/>
  <c r="N9" i="5"/>
  <c r="N22" i="5"/>
  <c r="N23" i="5"/>
  <c r="N21" i="5"/>
  <c r="N19" i="5"/>
  <c r="N17" i="5"/>
  <c r="N16" i="5"/>
  <c r="N15" i="5"/>
  <c r="N11" i="5"/>
  <c r="N7" i="5"/>
  <c r="N8" i="5"/>
  <c r="O25" i="5"/>
  <c r="N24" i="5"/>
  <c r="N18" i="5"/>
  <c r="N12" i="5"/>
  <c r="N10" i="5"/>
  <c r="Z37" i="10" l="1"/>
  <c r="Z35" i="10"/>
  <c r="Z38" i="10"/>
  <c r="Z34" i="10"/>
  <c r="Z36" i="10"/>
  <c r="Z33" i="10"/>
  <c r="Z32" i="10"/>
  <c r="Z26" i="10"/>
  <c r="Z28" i="10"/>
  <c r="Z31" i="10"/>
  <c r="Z29" i="10"/>
  <c r="Z30" i="10"/>
  <c r="Z27" i="10"/>
  <c r="Z11" i="10"/>
  <c r="AA11" i="10" s="1"/>
  <c r="A14" i="7"/>
  <c r="H55" i="4"/>
  <c r="L56" i="4"/>
  <c r="M54" i="4"/>
  <c r="B13" i="7" s="1"/>
  <c r="K54" i="4"/>
  <c r="N54" i="4" s="1"/>
  <c r="C13" i="7" s="1"/>
  <c r="O54" i="4"/>
  <c r="D13" i="7" s="1"/>
  <c r="Z23" i="10"/>
  <c r="AA23" i="10" s="1"/>
  <c r="Z3" i="10"/>
  <c r="AA3" i="10" s="1"/>
  <c r="Z20" i="10"/>
  <c r="AA20" i="10" s="1"/>
  <c r="Z14" i="10"/>
  <c r="AA14" i="10" s="1"/>
  <c r="Z4" i="10"/>
  <c r="AA4" i="10" s="1"/>
  <c r="Z21" i="10"/>
  <c r="AA21" i="10" s="1"/>
  <c r="Z22" i="10"/>
  <c r="AA22" i="10" s="1"/>
  <c r="Z17" i="10"/>
  <c r="AA17" i="10" s="1"/>
  <c r="Z6" i="10"/>
  <c r="AA6" i="10" s="1"/>
  <c r="Z9" i="10"/>
  <c r="AA9" i="10" s="1"/>
  <c r="Z13" i="10"/>
  <c r="AA13" i="10" s="1"/>
  <c r="Z10" i="10"/>
  <c r="AA10" i="10" s="1"/>
  <c r="Z8" i="10"/>
  <c r="AA8" i="10" s="1"/>
  <c r="Z19" i="10"/>
  <c r="AA19" i="10" s="1"/>
  <c r="Z12" i="10"/>
  <c r="AA12" i="10" s="1"/>
  <c r="Z18" i="10"/>
  <c r="AA18" i="10" s="1"/>
  <c r="Z16" i="10"/>
  <c r="AA16" i="10" s="1"/>
  <c r="Z24" i="10"/>
  <c r="Z15" i="10"/>
  <c r="AA15" i="10" s="1"/>
  <c r="Z5" i="10"/>
  <c r="AA5" i="10" s="1"/>
  <c r="Q6" i="5"/>
  <c r="R6" i="5"/>
  <c r="Q5" i="5"/>
  <c r="R5" i="5"/>
  <c r="Q12" i="5"/>
  <c r="P12" i="5"/>
  <c r="R12" i="5"/>
  <c r="Q8" i="5"/>
  <c r="P8" i="5"/>
  <c r="R8" i="5"/>
  <c r="Q10" i="5"/>
  <c r="P10" i="5"/>
  <c r="R10" i="5"/>
  <c r="Q18" i="5"/>
  <c r="P18" i="5"/>
  <c r="R18" i="5"/>
  <c r="O26" i="5"/>
  <c r="N25" i="5"/>
  <c r="P7" i="5"/>
  <c r="R7" i="5"/>
  <c r="Q7" i="5"/>
  <c r="P15" i="5"/>
  <c r="R15" i="5"/>
  <c r="Q15" i="5"/>
  <c r="P17" i="5"/>
  <c r="R17" i="5"/>
  <c r="Q17" i="5"/>
  <c r="P21" i="5"/>
  <c r="R21" i="5"/>
  <c r="Q21" i="5"/>
  <c r="Q22" i="5"/>
  <c r="P22" i="5"/>
  <c r="R22" i="5"/>
  <c r="P13" i="5"/>
  <c r="R13" i="5"/>
  <c r="Q13" i="5"/>
  <c r="Q20" i="5"/>
  <c r="P20" i="5"/>
  <c r="R20" i="5"/>
  <c r="Q24" i="5"/>
  <c r="P24" i="5"/>
  <c r="R24" i="5"/>
  <c r="P11" i="5"/>
  <c r="R11" i="5"/>
  <c r="Q11" i="5"/>
  <c r="Q16" i="5"/>
  <c r="P16" i="5"/>
  <c r="R16" i="5"/>
  <c r="P19" i="5"/>
  <c r="R19" i="5"/>
  <c r="Q19" i="5"/>
  <c r="P23" i="5"/>
  <c r="R23" i="5"/>
  <c r="Q23" i="5"/>
  <c r="P9" i="5"/>
  <c r="R9" i="5"/>
  <c r="Q9" i="5"/>
  <c r="Q14" i="5"/>
  <c r="P14" i="5"/>
  <c r="R14" i="5"/>
  <c r="L57" i="4" l="1"/>
  <c r="A15" i="7"/>
  <c r="H56" i="4"/>
  <c r="K55" i="4"/>
  <c r="N55" i="4" s="1"/>
  <c r="C14" i="7" s="1"/>
  <c r="M55" i="4"/>
  <c r="B14" i="7" s="1"/>
  <c r="O55" i="4"/>
  <c r="D14" i="7" s="1"/>
  <c r="T15" i="5" a="1"/>
  <c r="T15" i="5" s="1"/>
  <c r="S15" i="5"/>
  <c r="O27" i="5"/>
  <c r="N26" i="5"/>
  <c r="P25" i="5"/>
  <c r="R25" i="5"/>
  <c r="Q25" i="5"/>
  <c r="O56" i="4" l="1"/>
  <c r="D15" i="7" s="1"/>
  <c r="M56" i="4"/>
  <c r="B15" i="7" s="1"/>
  <c r="K56" i="4"/>
  <c r="N56" i="4" s="1"/>
  <c r="C15" i="7" s="1"/>
  <c r="H57" i="4"/>
  <c r="A16" i="7"/>
  <c r="L58" i="4"/>
  <c r="Q26" i="5"/>
  <c r="P26" i="5"/>
  <c r="R26" i="5"/>
  <c r="O28" i="5"/>
  <c r="N27" i="5"/>
  <c r="H58" i="4" l="1"/>
  <c r="L59" i="4"/>
  <c r="A17" i="7"/>
  <c r="K57" i="4"/>
  <c r="N57" i="4" s="1"/>
  <c r="C16" i="7" s="1"/>
  <c r="O57" i="4"/>
  <c r="D16" i="7" s="1"/>
  <c r="M57" i="4"/>
  <c r="B16" i="7" s="1"/>
  <c r="O29" i="5"/>
  <c r="N28" i="5"/>
  <c r="P27" i="5"/>
  <c r="R27" i="5"/>
  <c r="Q27" i="5"/>
  <c r="H59" i="4" l="1"/>
  <c r="L60" i="4"/>
  <c r="A18" i="7"/>
  <c r="K58" i="4"/>
  <c r="N58" i="4" s="1"/>
  <c r="C17" i="7" s="1"/>
  <c r="O58" i="4"/>
  <c r="D17" i="7" s="1"/>
  <c r="M58" i="4"/>
  <c r="B17" i="7" s="1"/>
  <c r="Q28" i="5"/>
  <c r="P28" i="5"/>
  <c r="R28" i="5"/>
  <c r="O30" i="5"/>
  <c r="N29" i="5"/>
  <c r="H60" i="4" l="1"/>
  <c r="L61" i="4"/>
  <c r="A19" i="7"/>
  <c r="K59" i="4"/>
  <c r="N59" i="4" s="1"/>
  <c r="C18" i="7" s="1"/>
  <c r="M59" i="4"/>
  <c r="B18" i="7" s="1"/>
  <c r="O59" i="4"/>
  <c r="D18" i="7" s="1"/>
  <c r="P29" i="5"/>
  <c r="R29" i="5"/>
  <c r="Q29" i="5"/>
  <c r="O31" i="5"/>
  <c r="N30" i="5"/>
  <c r="A20" i="7" l="1"/>
  <c r="L62" i="4"/>
  <c r="H61" i="4"/>
  <c r="O60" i="4"/>
  <c r="D19" i="7" s="1"/>
  <c r="M60" i="4"/>
  <c r="B19" i="7" s="1"/>
  <c r="K60" i="4"/>
  <c r="N60" i="4" s="1"/>
  <c r="C19" i="7" s="1"/>
  <c r="O32" i="5"/>
  <c r="N31" i="5"/>
  <c r="Q30" i="5"/>
  <c r="P30" i="5"/>
  <c r="R30" i="5"/>
  <c r="H62" i="4" l="1"/>
  <c r="A21" i="7"/>
  <c r="L63" i="4"/>
  <c r="M61" i="4"/>
  <c r="B20" i="7" s="1"/>
  <c r="K61" i="4"/>
  <c r="N61" i="4" s="1"/>
  <c r="C20" i="7" s="1"/>
  <c r="O61" i="4"/>
  <c r="D20" i="7" s="1"/>
  <c r="P31" i="5"/>
  <c r="R31" i="5"/>
  <c r="Q31" i="5"/>
  <c r="O33" i="5"/>
  <c r="N32" i="5"/>
  <c r="A22" i="7" l="1"/>
  <c r="H63" i="4"/>
  <c r="L64" i="4"/>
  <c r="K62" i="4"/>
  <c r="N62" i="4" s="1"/>
  <c r="C21" i="7" s="1"/>
  <c r="M62" i="4"/>
  <c r="B21" i="7" s="1"/>
  <c r="O62" i="4"/>
  <c r="D21" i="7" s="1"/>
  <c r="Q32" i="5"/>
  <c r="P32" i="5"/>
  <c r="R32" i="5"/>
  <c r="O34" i="5"/>
  <c r="N33" i="5"/>
  <c r="H64" i="4" l="1"/>
  <c r="L65" i="4"/>
  <c r="A23" i="7"/>
  <c r="K63" i="4"/>
  <c r="N63" i="4" s="1"/>
  <c r="C22" i="7" s="1"/>
  <c r="O63" i="4"/>
  <c r="D22" i="7" s="1"/>
  <c r="M63" i="4"/>
  <c r="B22" i="7" s="1"/>
  <c r="P33" i="5"/>
  <c r="R33" i="5"/>
  <c r="Q33" i="5"/>
  <c r="O35" i="5"/>
  <c r="N34" i="5"/>
  <c r="H65" i="4" l="1"/>
  <c r="A24" i="7"/>
  <c r="L66" i="4"/>
  <c r="O64" i="4"/>
  <c r="D23" i="7" s="1"/>
  <c r="M64" i="4"/>
  <c r="B23" i="7" s="1"/>
  <c r="K64" i="4"/>
  <c r="N64" i="4" s="1"/>
  <c r="C23" i="7" s="1"/>
  <c r="O36" i="5"/>
  <c r="N35" i="5"/>
  <c r="Q34" i="5"/>
  <c r="P34" i="5"/>
  <c r="R34" i="5"/>
  <c r="H66" i="4" l="1"/>
  <c r="L67" i="4"/>
  <c r="A25" i="7"/>
  <c r="K65" i="4"/>
  <c r="N65" i="4" s="1"/>
  <c r="C24" i="7" s="1"/>
  <c r="O65" i="4"/>
  <c r="D24" i="7" s="1"/>
  <c r="M65" i="4"/>
  <c r="B24" i="7" s="1"/>
  <c r="O37" i="5"/>
  <c r="N36" i="5"/>
  <c r="P35" i="5"/>
  <c r="R35" i="5"/>
  <c r="Q35" i="5"/>
  <c r="H67" i="4" l="1"/>
  <c r="A26" i="7"/>
  <c r="L68" i="4"/>
  <c r="K66" i="4"/>
  <c r="N66" i="4" s="1"/>
  <c r="C25" i="7" s="1"/>
  <c r="M66" i="4"/>
  <c r="B25" i="7" s="1"/>
  <c r="O66" i="4"/>
  <c r="D25" i="7" s="1"/>
  <c r="Q36" i="5"/>
  <c r="P36" i="5"/>
  <c r="R36" i="5"/>
  <c r="O38" i="5"/>
  <c r="N37" i="5"/>
  <c r="H68" i="4" l="1"/>
  <c r="A27" i="7"/>
  <c r="L69" i="4"/>
  <c r="O67" i="4"/>
  <c r="D26" i="7" s="1"/>
  <c r="K67" i="4"/>
  <c r="N67" i="4" s="1"/>
  <c r="C26" i="7" s="1"/>
  <c r="M67" i="4"/>
  <c r="B26" i="7" s="1"/>
  <c r="P37" i="5"/>
  <c r="R37" i="5"/>
  <c r="Q37" i="5"/>
  <c r="O39" i="5"/>
  <c r="N38" i="5"/>
  <c r="L70" i="4" l="1"/>
  <c r="H69" i="4"/>
  <c r="A28" i="7"/>
  <c r="O68" i="4"/>
  <c r="D27" i="7" s="1"/>
  <c r="K68" i="4"/>
  <c r="N68" i="4" s="1"/>
  <c r="C27" i="7" s="1"/>
  <c r="M68" i="4"/>
  <c r="B27" i="7" s="1"/>
  <c r="O40" i="5"/>
  <c r="N39" i="5"/>
  <c r="Q38" i="5"/>
  <c r="P38" i="5"/>
  <c r="R38" i="5"/>
  <c r="K69" i="4" l="1"/>
  <c r="N69" i="4" s="1"/>
  <c r="C28" i="7" s="1"/>
  <c r="M69" i="4"/>
  <c r="B28" i="7" s="1"/>
  <c r="O69" i="4"/>
  <c r="D28" i="7" s="1"/>
  <c r="H70" i="4"/>
  <c r="A29" i="7"/>
  <c r="L71" i="4"/>
  <c r="P39" i="5"/>
  <c r="R39" i="5"/>
  <c r="Q39" i="5"/>
  <c r="O41" i="5"/>
  <c r="N40" i="5"/>
  <c r="K70" i="4" l="1"/>
  <c r="N70" i="4" s="1"/>
  <c r="C29" i="7" s="1"/>
  <c r="M70" i="4"/>
  <c r="B29" i="7" s="1"/>
  <c r="O70" i="4"/>
  <c r="D29" i="7" s="1"/>
  <c r="H71" i="4"/>
  <c r="A30" i="7"/>
  <c r="L72" i="4"/>
  <c r="Q40" i="5"/>
  <c r="P40" i="5"/>
  <c r="R40" i="5"/>
  <c r="O42" i="5"/>
  <c r="N41" i="5"/>
  <c r="H72" i="4" l="1"/>
  <c r="A31" i="7"/>
  <c r="L73" i="4"/>
  <c r="K71" i="4"/>
  <c r="N71" i="4" s="1"/>
  <c r="C30" i="7" s="1"/>
  <c r="O71" i="4"/>
  <c r="D30" i="7" s="1"/>
  <c r="M71" i="4"/>
  <c r="B30" i="7" s="1"/>
  <c r="P41" i="5"/>
  <c r="R41" i="5"/>
  <c r="Q41" i="5"/>
  <c r="O43" i="5"/>
  <c r="N42" i="5"/>
  <c r="H73" i="4" l="1"/>
  <c r="A32" i="7"/>
  <c r="L74" i="4"/>
  <c r="O72" i="4"/>
  <c r="D31" i="7" s="1"/>
  <c r="M72" i="4"/>
  <c r="B31" i="7" s="1"/>
  <c r="K72" i="4"/>
  <c r="N72" i="4" s="1"/>
  <c r="C31" i="7" s="1"/>
  <c r="O44" i="5"/>
  <c r="N43" i="5"/>
  <c r="Q42" i="5"/>
  <c r="P42" i="5"/>
  <c r="R42" i="5"/>
  <c r="H74" i="4" l="1"/>
  <c r="L75" i="4"/>
  <c r="A33" i="7"/>
  <c r="K73" i="4"/>
  <c r="N73" i="4" s="1"/>
  <c r="C32" i="7" s="1"/>
  <c r="O73" i="4"/>
  <c r="D32" i="7" s="1"/>
  <c r="M73" i="4"/>
  <c r="B32" i="7" s="1"/>
  <c r="P43" i="5"/>
  <c r="R43" i="5"/>
  <c r="Q43" i="5"/>
  <c r="O45" i="5"/>
  <c r="N44" i="5"/>
  <c r="H75" i="4" l="1"/>
  <c r="A34" i="7"/>
  <c r="L76" i="4"/>
  <c r="K74" i="4"/>
  <c r="N74" i="4" s="1"/>
  <c r="C33" i="7" s="1"/>
  <c r="M74" i="4"/>
  <c r="B33" i="7" s="1"/>
  <c r="O74" i="4"/>
  <c r="D33" i="7" s="1"/>
  <c r="O46" i="5"/>
  <c r="N46" i="5" s="1"/>
  <c r="N45" i="5"/>
  <c r="Q44" i="5"/>
  <c r="P44" i="5"/>
  <c r="R44" i="5"/>
  <c r="H76" i="4" l="1"/>
  <c r="L77" i="4"/>
  <c r="A35" i="7"/>
  <c r="M75" i="4"/>
  <c r="B34" i="7" s="1"/>
  <c r="K75" i="4"/>
  <c r="N75" i="4" s="1"/>
  <c r="C34" i="7" s="1"/>
  <c r="O75" i="4"/>
  <c r="D34" i="7" s="1"/>
  <c r="P45" i="5"/>
  <c r="R45" i="5"/>
  <c r="Q45" i="5"/>
  <c r="Q46" i="5"/>
  <c r="P46" i="5"/>
  <c r="R46" i="5"/>
  <c r="L78" i="4" l="1"/>
  <c r="A36" i="7"/>
  <c r="H77" i="4"/>
  <c r="O76" i="4"/>
  <c r="D35" i="7" s="1"/>
  <c r="M76" i="4"/>
  <c r="B35" i="7" s="1"/>
  <c r="K76" i="4"/>
  <c r="N76" i="4" s="1"/>
  <c r="C35" i="7" s="1"/>
  <c r="M77" i="4" l="1"/>
  <c r="B36" i="7" s="1"/>
  <c r="K77" i="4"/>
  <c r="N77" i="4" s="1"/>
  <c r="C36" i="7" s="1"/>
  <c r="O77" i="4"/>
  <c r="D36" i="7" s="1"/>
  <c r="H78" i="4"/>
  <c r="A37" i="7"/>
  <c r="L79" i="4"/>
  <c r="K78" i="4" l="1"/>
  <c r="N78" i="4" s="1"/>
  <c r="C37" i="7" s="1"/>
  <c r="O78" i="4"/>
  <c r="D37" i="7" s="1"/>
  <c r="M78" i="4"/>
  <c r="B37" i="7" s="1"/>
  <c r="A38" i="7"/>
  <c r="H79" i="4"/>
  <c r="L80" i="4"/>
  <c r="H80" i="4" l="1"/>
  <c r="L81" i="4"/>
  <c r="A39" i="7"/>
  <c r="O79" i="4"/>
  <c r="D38" i="7" s="1"/>
  <c r="K79" i="4"/>
  <c r="N79" i="4" s="1"/>
  <c r="C38" i="7" s="1"/>
  <c r="M79" i="4"/>
  <c r="B38" i="7" s="1"/>
  <c r="A40" i="7" l="1"/>
  <c r="H81" i="4"/>
  <c r="L82" i="4"/>
  <c r="O80" i="4"/>
  <c r="D39" i="7" s="1"/>
  <c r="K80" i="4"/>
  <c r="N80" i="4" s="1"/>
  <c r="C39" i="7" s="1"/>
  <c r="M80" i="4"/>
  <c r="B39" i="7" s="1"/>
  <c r="H82" i="4" l="1"/>
  <c r="L83" i="4"/>
  <c r="K81" i="4"/>
  <c r="N81" i="4" s="1"/>
  <c r="C40" i="7" s="1"/>
  <c r="M81" i="4"/>
  <c r="B40" i="7" s="1"/>
  <c r="O81" i="4"/>
  <c r="D40" i="7" s="1"/>
  <c r="H83" i="4" l="1"/>
  <c r="L84" i="4"/>
  <c r="O82" i="4"/>
  <c r="K82" i="4"/>
  <c r="N82" i="4" s="1"/>
  <c r="M82" i="4"/>
  <c r="L85" i="4" l="1"/>
  <c r="H84" i="4"/>
  <c r="M83" i="4"/>
  <c r="K83" i="4"/>
  <c r="N83" i="4" s="1"/>
  <c r="O83" i="4"/>
  <c r="O84" i="4" l="1"/>
  <c r="M84" i="4"/>
  <c r="K84" i="4"/>
  <c r="N84" i="4" s="1"/>
  <c r="H85" i="4"/>
  <c r="L86" i="4"/>
  <c r="L87" i="4" s="1"/>
  <c r="K85" i="4" l="1"/>
  <c r="N85" i="4" s="1"/>
  <c r="O85" i="4"/>
  <c r="M85" i="4"/>
</calcChain>
</file>

<file path=xl/sharedStrings.xml><?xml version="1.0" encoding="utf-8"?>
<sst xmlns="http://schemas.openxmlformats.org/spreadsheetml/2006/main" count="1665" uniqueCount="737">
  <si>
    <t>Date</t>
  </si>
  <si>
    <t>Opp</t>
  </si>
  <si>
    <t>Venue</t>
  </si>
  <si>
    <t>Result</t>
  </si>
  <si>
    <t xml:space="preserve"> </t>
  </si>
  <si>
    <t>Matches</t>
  </si>
  <si>
    <t>DNB</t>
  </si>
  <si>
    <t>Inns</t>
  </si>
  <si>
    <t>Not Out</t>
  </si>
  <si>
    <t>Runs</t>
  </si>
  <si>
    <t>Average</t>
  </si>
  <si>
    <t>FldPts</t>
  </si>
  <si>
    <t>Capt</t>
  </si>
  <si>
    <t>Wkt</t>
  </si>
  <si>
    <t>Ducks</t>
  </si>
  <si>
    <t>/b</t>
  </si>
  <si>
    <t>/c</t>
  </si>
  <si>
    <t>/lb</t>
  </si>
  <si>
    <t>/st</t>
  </si>
  <si>
    <t>/ro</t>
  </si>
  <si>
    <t>Catches</t>
  </si>
  <si>
    <t>Fours</t>
  </si>
  <si>
    <t>Sixes</t>
  </si>
  <si>
    <t>Stumpings</t>
  </si>
  <si>
    <t>David</t>
  </si>
  <si>
    <t>Andy</t>
  </si>
  <si>
    <t>Colin</t>
  </si>
  <si>
    <t>Jeff</t>
  </si>
  <si>
    <t>Chris</t>
  </si>
  <si>
    <t>Balls</t>
  </si>
  <si>
    <t>Overs</t>
  </si>
  <si>
    <t>Mdns</t>
  </si>
  <si>
    <t>Wkts</t>
  </si>
  <si>
    <t>Ave</t>
  </si>
  <si>
    <t>S/R</t>
  </si>
  <si>
    <t>Econ</t>
  </si>
  <si>
    <t>DABR</t>
  </si>
  <si>
    <t>GECO</t>
  </si>
  <si>
    <t>TEDU</t>
  </si>
  <si>
    <t>JOEL</t>
  </si>
  <si>
    <t>JOLE</t>
  </si>
  <si>
    <t>ANMA</t>
  </si>
  <si>
    <t>COMA</t>
  </si>
  <si>
    <t>DAMO</t>
  </si>
  <si>
    <t>VIRE</t>
  </si>
  <si>
    <t>DASH</t>
  </si>
  <si>
    <t>DESH</t>
  </si>
  <si>
    <t>DASN</t>
  </si>
  <si>
    <t>TOSP</t>
  </si>
  <si>
    <t>RIWO</t>
  </si>
  <si>
    <t>JOWO</t>
  </si>
  <si>
    <t>BOYO</t>
  </si>
  <si>
    <t>MIWO</t>
  </si>
  <si>
    <t>MIBO</t>
  </si>
  <si>
    <t>Ted Dugdale</t>
  </si>
  <si>
    <t>Vince Reid</t>
  </si>
  <si>
    <t>Mike Bowers</t>
  </si>
  <si>
    <t>John Leadley</t>
  </si>
  <si>
    <t>David Snow</t>
  </si>
  <si>
    <t>Geoff Cooper</t>
  </si>
  <si>
    <t>Del Shewan</t>
  </si>
  <si>
    <t>Mike Woodhouse</t>
  </si>
  <si>
    <t>Dave Morris</t>
  </si>
  <si>
    <t>Bob Young</t>
  </si>
  <si>
    <t>Andy Mander</t>
  </si>
  <si>
    <t>David Sharpe</t>
  </si>
  <si>
    <t>Mike Hosking</t>
  </si>
  <si>
    <t>GLAN</t>
  </si>
  <si>
    <t>NAPA</t>
  </si>
  <si>
    <t>MIHO</t>
  </si>
  <si>
    <t>Cost</t>
  </si>
  <si>
    <t>Fpts Loc</t>
  </si>
  <si>
    <t>FantPts</t>
  </si>
  <si>
    <t>No Teams:</t>
  </si>
  <si>
    <t>BatPtsLoc</t>
  </si>
  <si>
    <t>BowlPtsLoc</t>
  </si>
  <si>
    <t>Name</t>
  </si>
  <si>
    <t>Total</t>
  </si>
  <si>
    <t>BatLoc</t>
  </si>
  <si>
    <t>Batting</t>
  </si>
  <si>
    <t>BowlLoc</t>
  </si>
  <si>
    <t>Bowling</t>
  </si>
  <si>
    <t>Fielding</t>
  </si>
  <si>
    <t>Ranking</t>
  </si>
  <si>
    <t>Total Pts</t>
  </si>
  <si>
    <t>Match Pts</t>
  </si>
  <si>
    <t>Pts per £</t>
  </si>
  <si>
    <t>Manager</t>
  </si>
  <si>
    <t>Team</t>
  </si>
  <si>
    <t>Pts</t>
  </si>
  <si>
    <t>Best</t>
  </si>
  <si>
    <t>CHCL</t>
  </si>
  <si>
    <t>Colin Mander</t>
  </si>
  <si>
    <t>David Brocks</t>
  </si>
  <si>
    <t>Glyn Angell</t>
  </si>
  <si>
    <t>John Elliston</t>
  </si>
  <si>
    <t>Jon Worthy</t>
  </si>
  <si>
    <t>Rick Worthington</t>
  </si>
  <si>
    <t>Tony Springer</t>
  </si>
  <si>
    <t>All Out</t>
  </si>
  <si>
    <t>Y</t>
  </si>
  <si>
    <t>TOCC W</t>
  </si>
  <si>
    <t>TOCC NB</t>
  </si>
  <si>
    <t>TOCC B</t>
  </si>
  <si>
    <t>TOCC LB</t>
  </si>
  <si>
    <t>Opp W</t>
  </si>
  <si>
    <t>Opp NB</t>
  </si>
  <si>
    <t>Opp B</t>
  </si>
  <si>
    <t>Opp LB</t>
  </si>
  <si>
    <t>TOCC Extras</t>
  </si>
  <si>
    <t>Opp Extras</t>
  </si>
  <si>
    <t>Total Bat Runs</t>
  </si>
  <si>
    <t>Total Runs</t>
  </si>
  <si>
    <t>Total RunsConc</t>
  </si>
  <si>
    <t>TOCC Byes</t>
  </si>
  <si>
    <t>TOCC LBs</t>
  </si>
  <si>
    <t>HighRaw</t>
  </si>
  <si>
    <t>Ct Wkt</t>
  </si>
  <si>
    <t>25+s</t>
  </si>
  <si>
    <t>Day</t>
  </si>
  <si>
    <t>Captain</t>
  </si>
  <si>
    <t>AICO</t>
  </si>
  <si>
    <t>NEMA</t>
  </si>
  <si>
    <t>Neil Mander</t>
  </si>
  <si>
    <t>Bat</t>
  </si>
  <si>
    <t>Bowl</t>
  </si>
  <si>
    <t>AR</t>
  </si>
  <si>
    <t>JELE</t>
  </si>
  <si>
    <t>Jeff Lestrelle</t>
  </si>
  <si>
    <t>Rank</t>
  </si>
  <si>
    <t>Mod Ave</t>
  </si>
  <si>
    <t>Batting Averages</t>
  </si>
  <si>
    <t>High</t>
  </si>
  <si>
    <t>Bowling Averages</t>
  </si>
  <si>
    <t>ModAve</t>
  </si>
  <si>
    <t>Wickets</t>
  </si>
  <si>
    <t>Fives</t>
  </si>
  <si>
    <t>Bowers M</t>
  </si>
  <si>
    <t>Sharpe D</t>
  </si>
  <si>
    <t>Max Overs</t>
  </si>
  <si>
    <t>DACO</t>
  </si>
  <si>
    <t>Players</t>
  </si>
  <si>
    <t>times chosen</t>
  </si>
  <si>
    <t>1st Inns</t>
  </si>
  <si>
    <t>PctInBdries</t>
  </si>
  <si>
    <t>Chris Clark</t>
  </si>
  <si>
    <t>DuckPct</t>
  </si>
  <si>
    <t>max</t>
  </si>
  <si>
    <t>min</t>
  </si>
  <si>
    <t>ROOD</t>
  </si>
  <si>
    <t>MICL</t>
  </si>
  <si>
    <t>Mick Clark</t>
  </si>
  <si>
    <t>Jason Crisford</t>
  </si>
  <si>
    <t>JACR</t>
  </si>
  <si>
    <t>Apps</t>
  </si>
  <si>
    <t>x-Check TOCC overs</t>
  </si>
  <si>
    <t>GLLI</t>
  </si>
  <si>
    <t>Daragh Corrigan</t>
  </si>
  <si>
    <t>Naimish Patel</t>
  </si>
  <si>
    <t>Roy Odeneal</t>
  </si>
  <si>
    <t>STBA</t>
  </si>
  <si>
    <t>ROMO</t>
  </si>
  <si>
    <t>Aiden Coloe</t>
  </si>
  <si>
    <t>Clive</t>
  </si>
  <si>
    <t>Edghill C</t>
  </si>
  <si>
    <t>Lestrelle A</t>
  </si>
  <si>
    <t>Overs Opp</t>
  </si>
  <si>
    <t>Bowled TOCC</t>
  </si>
  <si>
    <t>CLED</t>
  </si>
  <si>
    <t>ADHA</t>
  </si>
  <si>
    <t>ADLE</t>
  </si>
  <si>
    <t>KIMO</t>
  </si>
  <si>
    <t>Adrian Hawksworth</t>
  </si>
  <si>
    <t>Clive Edghill</t>
  </si>
  <si>
    <t>Glen Lilley</t>
  </si>
  <si>
    <t>Kieran Moore</t>
  </si>
  <si>
    <t>Ron Morris</t>
  </si>
  <si>
    <t>Steve Barry</t>
  </si>
  <si>
    <t>Adam Lestrelle</t>
  </si>
  <si>
    <t>TOCC Runs</t>
  </si>
  <si>
    <t>Opp Runs</t>
  </si>
  <si>
    <t>TOCC Wkts</t>
  </si>
  <si>
    <t>Opp Wkts</t>
  </si>
  <si>
    <t>Pos</t>
  </si>
  <si>
    <t>Runs/100 balls</t>
  </si>
  <si>
    <t>High:</t>
  </si>
  <si>
    <t>Low:</t>
  </si>
  <si>
    <t>Table to end of season</t>
  </si>
  <si>
    <t>Pts/£</t>
  </si>
  <si>
    <t>Maiden %</t>
  </si>
  <si>
    <t>/hw</t>
  </si>
  <si>
    <t>Kiernan M</t>
  </si>
  <si>
    <t>Matt</t>
  </si>
  <si>
    <t>Smith C</t>
  </si>
  <si>
    <t>Sat</t>
  </si>
  <si>
    <t>Sun/Midweek</t>
  </si>
  <si>
    <t>Bowlers</t>
  </si>
  <si>
    <t>10+ wickets</t>
  </si>
  <si>
    <t/>
  </si>
  <si>
    <t>Capt Name</t>
  </si>
  <si>
    <t>Seymour C</t>
  </si>
  <si>
    <t>H</t>
  </si>
  <si>
    <t>Queries</t>
  </si>
  <si>
    <t>9/0/dnb/0/0</t>
  </si>
  <si>
    <t>TOCC</t>
  </si>
  <si>
    <t>L</t>
  </si>
  <si>
    <t>W</t>
  </si>
  <si>
    <t>Middleton J</t>
  </si>
  <si>
    <t>N/O</t>
  </si>
  <si>
    <t>Mark</t>
  </si>
  <si>
    <t>Clarkson M</t>
  </si>
  <si>
    <t>Sundip</t>
  </si>
  <si>
    <t>Nair S</t>
  </si>
  <si>
    <t>TOCC R/O</t>
  </si>
  <si>
    <t>Opp R/O</t>
  </si>
  <si>
    <t>Unbtn</t>
  </si>
  <si>
    <t>Bat1</t>
  </si>
  <si>
    <t>Sc1</t>
  </si>
  <si>
    <t>NO</t>
  </si>
  <si>
    <t>Bat2</t>
  </si>
  <si>
    <t>Sc2</t>
  </si>
  <si>
    <t>Highest Score</t>
  </si>
  <si>
    <t>Fifties</t>
  </si>
  <si>
    <t>mdn %</t>
  </si>
  <si>
    <t>Mander A</t>
  </si>
  <si>
    <t>11/0/dnb/0/0</t>
  </si>
  <si>
    <t>A</t>
  </si>
  <si>
    <t>10/0/dnb/0/0</t>
  </si>
  <si>
    <t>8/0/dnb/0/0</t>
  </si>
  <si>
    <t>Woodgreen</t>
  </si>
  <si>
    <t>FiveFors</t>
  </si>
  <si>
    <t>Tony</t>
  </si>
  <si>
    <t>Springer T</t>
  </si>
  <si>
    <t>*</t>
  </si>
  <si>
    <t>Brocks D</t>
  </si>
  <si>
    <t>Castle I</t>
  </si>
  <si>
    <t>/ret</t>
  </si>
  <si>
    <t>Match</t>
  </si>
  <si>
    <t>Total balls received</t>
  </si>
  <si>
    <t>Total Overs faced</t>
  </si>
  <si>
    <t>Nilesh</t>
  </si>
  <si>
    <t>Rathi N</t>
  </si>
  <si>
    <t>Raj</t>
  </si>
  <si>
    <t>Foxworthy P</t>
  </si>
  <si>
    <t>Wilson A</t>
  </si>
  <si>
    <t>Parboo R</t>
  </si>
  <si>
    <t>Ian</t>
  </si>
  <si>
    <t>Bhatt P</t>
  </si>
  <si>
    <t>Spencer</t>
  </si>
  <si>
    <t>Viveganandan M</t>
  </si>
  <si>
    <t>Other Batters</t>
  </si>
  <si>
    <t>Steeple Langford</t>
  </si>
  <si>
    <t>6/0/dnb/0/0</t>
  </si>
  <si>
    <t>7/0/dnb/0/0</t>
  </si>
  <si>
    <t>Richmond Legbreakers</t>
  </si>
  <si>
    <t>Darren</t>
  </si>
  <si>
    <t>Castle D</t>
  </si>
  <si>
    <t>Norwood Exiles</t>
  </si>
  <si>
    <t>Vs</t>
  </si>
  <si>
    <t>Catch Info</t>
  </si>
  <si>
    <t>Row Labels</t>
  </si>
  <si>
    <t>Grand Total</t>
  </si>
  <si>
    <t>25s</t>
  </si>
  <si>
    <t>Shome G</t>
  </si>
  <si>
    <t>Raminder</t>
  </si>
  <si>
    <t>Niran S</t>
  </si>
  <si>
    <t>7/0/b/0/0</t>
  </si>
  <si>
    <t>Chima R</t>
  </si>
  <si>
    <t>Lewis I</t>
  </si>
  <si>
    <t>Mike</t>
  </si>
  <si>
    <t>Adam</t>
  </si>
  <si>
    <t>Chaitanya</t>
  </si>
  <si>
    <t>Sunkara C</t>
  </si>
  <si>
    <t>Greenall D</t>
  </si>
  <si>
    <t>Damian</t>
  </si>
  <si>
    <t>Sharma R</t>
  </si>
  <si>
    <t>Dave</t>
  </si>
  <si>
    <t>Jenkins D</t>
  </si>
  <si>
    <t>Woodhouse M</t>
  </si>
  <si>
    <t>Joel</t>
  </si>
  <si>
    <t>Seev J</t>
  </si>
  <si>
    <t>Prash</t>
  </si>
  <si>
    <t>Dennis</t>
  </si>
  <si>
    <t>1/4/b/0/1.0</t>
  </si>
  <si>
    <t>Khan W</t>
  </si>
  <si>
    <t>Edd</t>
  </si>
  <si>
    <t>Foster E</t>
  </si>
  <si>
    <t>Jason</t>
  </si>
  <si>
    <t>Naish J</t>
  </si>
  <si>
    <t>Seymour D</t>
  </si>
  <si>
    <t>Gaurav</t>
  </si>
  <si>
    <t>Alex</t>
  </si>
  <si>
    <t>Jack</t>
  </si>
  <si>
    <t>Hayes J</t>
  </si>
  <si>
    <t>5/2/b/0/0</t>
  </si>
  <si>
    <t>Beddington</t>
  </si>
  <si>
    <t>Morden</t>
  </si>
  <si>
    <t>Catford Cyphers</t>
  </si>
  <si>
    <t>8/3/12/0</t>
  </si>
  <si>
    <t>Mahajan A</t>
  </si>
  <si>
    <t>Mubin</t>
  </si>
  <si>
    <t>Ahmed M</t>
  </si>
  <si>
    <t>11/1/no/0/0</t>
  </si>
  <si>
    <t>Crawford S</t>
  </si>
  <si>
    <t>11/0/dnb/1/0</t>
  </si>
  <si>
    <t>Pete</t>
  </si>
  <si>
    <t>O'Rourke</t>
  </si>
  <si>
    <t>O'Rourke P</t>
  </si>
  <si>
    <t>8/0/36/0</t>
  </si>
  <si>
    <t>Res</t>
  </si>
  <si>
    <t>Column Labels</t>
  </si>
  <si>
    <t>Count of Res</t>
  </si>
  <si>
    <t>Worcester Park</t>
  </si>
  <si>
    <t>Middleton 55, Lilley 4-24</t>
  </si>
  <si>
    <t>1/25/b/0/4.0</t>
  </si>
  <si>
    <t>2/48/b+/0/10.0</t>
  </si>
  <si>
    <t>3/23/b*/1/4.0</t>
  </si>
  <si>
    <t>4/24/st/0/3.0</t>
  </si>
  <si>
    <t>5/55/st/0/7.2</t>
  </si>
  <si>
    <t>6/5/b/0/0</t>
  </si>
  <si>
    <t>8/0/b/0/0</t>
  </si>
  <si>
    <t>7/8/no/0/0</t>
  </si>
  <si>
    <t>8/0/lb/0/0</t>
  </si>
  <si>
    <t>9/2/b/0/0</t>
  </si>
  <si>
    <t>10/10/b/0/2.0</t>
  </si>
  <si>
    <t>11/2/b/0/0</t>
  </si>
  <si>
    <t>6/0/34/1</t>
  </si>
  <si>
    <t>5/0/26/0</t>
  </si>
  <si>
    <t>5/1/33/2</t>
  </si>
  <si>
    <t>4/1/11/1</t>
  </si>
  <si>
    <t>3.3/0/16/3</t>
  </si>
  <si>
    <t>8/0/048/2</t>
  </si>
  <si>
    <t>Rivenell 57, Springer 3-16</t>
  </si>
  <si>
    <t>Lawrence 80*</t>
  </si>
  <si>
    <t>Springer 62</t>
  </si>
  <si>
    <t>1/30/c/0/4.0</t>
  </si>
  <si>
    <t>2/26/c+/2.0/6.0</t>
  </si>
  <si>
    <t>3/62/c*/1/8.0</t>
  </si>
  <si>
    <t>4/35/no/0/2.0</t>
  </si>
  <si>
    <t>Joshi</t>
  </si>
  <si>
    <t>5/6/no/0/0</t>
  </si>
  <si>
    <t>6/2/13/3</t>
  </si>
  <si>
    <t>7/0/20/2</t>
  </si>
  <si>
    <t>4/0/12/0</t>
  </si>
  <si>
    <t>3/0/23/0</t>
  </si>
  <si>
    <t>4/0/22/0</t>
  </si>
  <si>
    <t>4/0/28/0</t>
  </si>
  <si>
    <t>4/0/51/0</t>
  </si>
  <si>
    <t>3/0/37/0</t>
  </si>
  <si>
    <t>Streatham</t>
  </si>
  <si>
    <t>2/12/lb/0/3.0</t>
  </si>
  <si>
    <t>3/24/c*/1/5.0</t>
  </si>
  <si>
    <t>4/34/b/0/4.0</t>
  </si>
  <si>
    <t>5/6/c/0/1.0</t>
  </si>
  <si>
    <t>6/4/lb/0/1.0</t>
  </si>
  <si>
    <t>7/19/b/0/3.0</t>
  </si>
  <si>
    <t>8/0/c/1/0</t>
  </si>
  <si>
    <t>10/4/no/0/0</t>
  </si>
  <si>
    <t>1/16/c/0/3.0</t>
  </si>
  <si>
    <t>9/37/c+/1.0/7.0</t>
  </si>
  <si>
    <t>6/0/35/1</t>
  </si>
  <si>
    <t>7.1/1/36/2</t>
  </si>
  <si>
    <t>8/1/31/2</t>
  </si>
  <si>
    <t>3/0/19/0</t>
  </si>
  <si>
    <t>8/1/30/1</t>
  </si>
  <si>
    <t>3/0/29/1</t>
  </si>
  <si>
    <t>Fonthill Park</t>
  </si>
  <si>
    <t>Springer 90*</t>
  </si>
  <si>
    <t>1/30/b/0/3.2</t>
  </si>
  <si>
    <t>2/32/c/0/5.0</t>
  </si>
  <si>
    <t>3/90/no*/0/13.1</t>
  </si>
  <si>
    <t>4/5/c+/0/1.0</t>
  </si>
  <si>
    <t>5/2/b/1/0</t>
  </si>
  <si>
    <t>6/22/c/2/2.1</t>
  </si>
  <si>
    <t>Harry</t>
  </si>
  <si>
    <t>Sharpe H</t>
  </si>
  <si>
    <t>8/1/no/0/0</t>
  </si>
  <si>
    <t>Geghan</t>
  </si>
  <si>
    <t>8/1/17/1</t>
  </si>
  <si>
    <t>8/4/15/0</t>
  </si>
  <si>
    <t>4/0/32/1</t>
  </si>
  <si>
    <t>5/1/18/1</t>
  </si>
  <si>
    <t>6/0/16/2</t>
  </si>
  <si>
    <t>4/0/13/2</t>
  </si>
  <si>
    <t>2/0/4/0</t>
  </si>
  <si>
    <t>1/0/1/1</t>
  </si>
  <si>
    <t>Clarkson 63</t>
  </si>
  <si>
    <t>1/18/c/0/3.0</t>
  </si>
  <si>
    <t>2/12/b/0/3.0</t>
  </si>
  <si>
    <t>3/5/c+/0.1/1.0</t>
  </si>
  <si>
    <t>4/63/b/1/8.2</t>
  </si>
  <si>
    <t>5/8/ro/0/0</t>
  </si>
  <si>
    <t>6/38/c*/0/6.0</t>
  </si>
  <si>
    <t>7/26/no/0/3.0</t>
  </si>
  <si>
    <t>8/5/no/0/0</t>
  </si>
  <si>
    <t>7/5/6/2</t>
  </si>
  <si>
    <t>4/1/28/0</t>
  </si>
  <si>
    <t>7/1/29/1</t>
  </si>
  <si>
    <t>7/3/16/2</t>
  </si>
  <si>
    <t>4/0/8/0</t>
  </si>
  <si>
    <t>4/0/31/1</t>
  </si>
  <si>
    <t>2/0/7/0</t>
  </si>
  <si>
    <t>2/42/c/0/7.0</t>
  </si>
  <si>
    <t>3/19/ro/0/1.0</t>
  </si>
  <si>
    <t>4/1/b/0/0</t>
  </si>
  <si>
    <t>5/1/c/0/0</t>
  </si>
  <si>
    <t>7/11/lb*/0/2.0</t>
  </si>
  <si>
    <t>6/11/b/0/2.0</t>
  </si>
  <si>
    <t>8/21/b/0/3.0</t>
  </si>
  <si>
    <t>10/5/no/0/1.0</t>
  </si>
  <si>
    <t>11/0/c/0/0</t>
  </si>
  <si>
    <t>7/0/33/3</t>
  </si>
  <si>
    <t>7/0/30/1</t>
  </si>
  <si>
    <t>4.5/1/22/1</t>
  </si>
  <si>
    <t>7/1/32/3</t>
  </si>
  <si>
    <t>2/0/25/0</t>
  </si>
  <si>
    <t>Sharpe D 104</t>
  </si>
  <si>
    <t>1/27/c+/2.0/5.0</t>
  </si>
  <si>
    <t>2/104/c/0/13.3</t>
  </si>
  <si>
    <t>3/4/b/0/1.0</t>
  </si>
  <si>
    <t>4/13/c*/0/2.0</t>
  </si>
  <si>
    <t>6/8/b/0/1.0</t>
  </si>
  <si>
    <t>Deol R</t>
  </si>
  <si>
    <t>7/23/no/0/3.0</t>
  </si>
  <si>
    <t>8/13/no/0/2.0</t>
  </si>
  <si>
    <t>Mehra R</t>
  </si>
  <si>
    <t>8/0/40/2</t>
  </si>
  <si>
    <t>6/0/40/1</t>
  </si>
  <si>
    <t>8/0/31/0</t>
  </si>
  <si>
    <t>8/3/15/0</t>
  </si>
  <si>
    <t>4/0/30/0</t>
  </si>
  <si>
    <t>6/0/52/1</t>
  </si>
  <si>
    <t>1/8/c/0/2.0</t>
  </si>
  <si>
    <t>2/4/c*+/1.0/1.0</t>
  </si>
  <si>
    <t>3/0/b/1/0</t>
  </si>
  <si>
    <t>4/48/b/0/10.0</t>
  </si>
  <si>
    <t>5/35/b/0/8.0</t>
  </si>
  <si>
    <t>6/5/b/1/0</t>
  </si>
  <si>
    <t>7/39/b/0/6.0</t>
  </si>
  <si>
    <t>9/23/st/0/3.0</t>
  </si>
  <si>
    <t>10/17/no/1/3.0</t>
  </si>
  <si>
    <t>11/0/lb/1/0</t>
  </si>
  <si>
    <t>3W United (?)</t>
  </si>
  <si>
    <t>9/31/lb+/0/3.2</t>
  </si>
  <si>
    <t>1/19/lb+/0/3.0</t>
  </si>
  <si>
    <t>2/0/b/1/0</t>
  </si>
  <si>
    <t>3/0/ro/0/0</t>
  </si>
  <si>
    <t>Haris</t>
  </si>
  <si>
    <t>Siddiqui H</t>
  </si>
  <si>
    <t>4/11/c/0/0</t>
  </si>
  <si>
    <t>5/0/b/0/0</t>
  </si>
  <si>
    <t>Khalid M</t>
  </si>
  <si>
    <t>6/15/c/0/2.0</t>
  </si>
  <si>
    <t>7/1/lb*/0/0</t>
  </si>
  <si>
    <t>Giles M</t>
  </si>
  <si>
    <t>8/6/b/1/0</t>
  </si>
  <si>
    <t>9/22/c/0/4.0</t>
  </si>
  <si>
    <t>10/2/ro/0/0</t>
  </si>
  <si>
    <t>11/2/no/0/0</t>
  </si>
  <si>
    <t>8/3/14/2</t>
  </si>
  <si>
    <t>8/2/18/3</t>
  </si>
  <si>
    <t>5/1/20/0</t>
  </si>
  <si>
    <t>4/0/29/0</t>
  </si>
  <si>
    <t>7/0/39/0</t>
  </si>
  <si>
    <t>Churchleigh</t>
  </si>
  <si>
    <t>Mander 3-30</t>
  </si>
  <si>
    <t>Niran 54</t>
  </si>
  <si>
    <t>1/4/lb/0/0</t>
  </si>
  <si>
    <t>3/54/b+/0/10.1</t>
  </si>
  <si>
    <t>4/18/c/0/1.0</t>
  </si>
  <si>
    <t>5/4/b/1/1.0</t>
  </si>
  <si>
    <t>6/9/b*/0/2.0</t>
  </si>
  <si>
    <t>Rohan</t>
  </si>
  <si>
    <t>Rohan ???</t>
  </si>
  <si>
    <t>8/45/no/0/8.0</t>
  </si>
  <si>
    <t>9/6/c/1/0</t>
  </si>
  <si>
    <t>10/1/b/0/0</t>
  </si>
  <si>
    <t>8/1/30/3</t>
  </si>
  <si>
    <t>4/3/4/0</t>
  </si>
  <si>
    <t>6/1/20/1</t>
  </si>
  <si>
    <t>5/0/43/0</t>
  </si>
  <si>
    <t>5/1/17/1</t>
  </si>
  <si>
    <t>7/0/38/1</t>
  </si>
  <si>
    <t>1/0/14/0</t>
  </si>
  <si>
    <t>4/0/14/2</t>
  </si>
  <si>
    <t>5/2/17/2</t>
  </si>
  <si>
    <t>6/0/25/1</t>
  </si>
  <si>
    <t>8/1/33/3</t>
  </si>
  <si>
    <t>6/0/38/3</t>
  </si>
  <si>
    <t>2/0/8/1</t>
  </si>
  <si>
    <t>1.3/0/12/1</t>
  </si>
  <si>
    <t>Chessington</t>
  </si>
  <si>
    <t>1/53/c+/0/10.1</t>
  </si>
  <si>
    <t>2/1/c/0/0</t>
  </si>
  <si>
    <t>3/15/c/0/3.0</t>
  </si>
  <si>
    <t>4/74/c*/1/8.4</t>
  </si>
  <si>
    <t>5/0/c/0/0</t>
  </si>
  <si>
    <t>6/0/b/0/0</t>
  </si>
  <si>
    <t>7/30/b/1/3.2</t>
  </si>
  <si>
    <t>8/4/b/1/1.0</t>
  </si>
  <si>
    <t>9/0/no/0/0</t>
  </si>
  <si>
    <t>10/4/no/1/1.0</t>
  </si>
  <si>
    <t>7/0/40/3</t>
  </si>
  <si>
    <t>5/0/45/1</t>
  </si>
  <si>
    <t>7/0/36/1</t>
  </si>
  <si>
    <t>7/0/20/1</t>
  </si>
  <si>
    <t>5/0/35/3</t>
  </si>
  <si>
    <t>1/14/c+/1.1/2.0</t>
  </si>
  <si>
    <t>2/12/lb/0/2.0</t>
  </si>
  <si>
    <t>3/18/c/0/3.0</t>
  </si>
  <si>
    <t>4/20/b*/0/3.0</t>
  </si>
  <si>
    <t>5/3/c/0/0</t>
  </si>
  <si>
    <t>6/10/b/0/1.0</t>
  </si>
  <si>
    <t>7/1/lb/0/0</t>
  </si>
  <si>
    <t>8/1/c/0/0</t>
  </si>
  <si>
    <t>9/4/lb/1/0</t>
  </si>
  <si>
    <t>10/1/no/0/0</t>
  </si>
  <si>
    <t>Laskar T</t>
  </si>
  <si>
    <t>11/0/b/0/0</t>
  </si>
  <si>
    <t>8/1/27/1</t>
  </si>
  <si>
    <t>8/0/39/3</t>
  </si>
  <si>
    <t>8/0/47/1</t>
  </si>
  <si>
    <t>Sort</t>
  </si>
  <si>
    <t>Greenall 156*</t>
  </si>
  <si>
    <t>1/156/no+/0/16.3</t>
  </si>
  <si>
    <t>2/0/b/0/0</t>
  </si>
  <si>
    <t>3/2/b*/0/0</t>
  </si>
  <si>
    <t>Singh S</t>
  </si>
  <si>
    <t>4/15/lb/0/3.0</t>
  </si>
  <si>
    <t>5/1/b/0/0</t>
  </si>
  <si>
    <t>6/18/lb/1/2.0</t>
  </si>
  <si>
    <t>7/25/b/0/2.0</t>
  </si>
  <si>
    <t>8/17/b/0/1.1</t>
  </si>
  <si>
    <t>9/6/no/0/0</t>
  </si>
  <si>
    <t>Merton</t>
  </si>
  <si>
    <t>Springer 94</t>
  </si>
  <si>
    <t>1/6/c/0/1.0</t>
  </si>
  <si>
    <t>2/28/c/1/2.0</t>
  </si>
  <si>
    <t>3/94/b*/0/14.0</t>
  </si>
  <si>
    <t>4/24/c/0/2.0</t>
  </si>
  <si>
    <t>5/8/c/1/1.0</t>
  </si>
  <si>
    <t>6/32/lb+/2.0/5.1</t>
  </si>
  <si>
    <t>7/9/no/0/0</t>
  </si>
  <si>
    <t>8/5/no/0/1.0</t>
  </si>
  <si>
    <t>Satpal</t>
  </si>
  <si>
    <t>8/3/27/3</t>
  </si>
  <si>
    <t>8/4/9/0</t>
  </si>
  <si>
    <t>4/1/14/1</t>
  </si>
  <si>
    <t>4/1/8/0</t>
  </si>
  <si>
    <t>5/0/19/1</t>
  </si>
  <si>
    <t>2/0/6/0</t>
  </si>
  <si>
    <t>4/2/7/1</t>
  </si>
  <si>
    <t>1.1/0/1/3</t>
  </si>
  <si>
    <t>8/0/19/1</t>
  </si>
  <si>
    <t>4/0/17/0</t>
  </si>
  <si>
    <t>9/0/50/2</t>
  </si>
  <si>
    <t>3/0/17/0</t>
  </si>
  <si>
    <t>6/1/15/1</t>
  </si>
  <si>
    <t>3/1/5/0</t>
  </si>
  <si>
    <t>Verdayne Green</t>
  </si>
  <si>
    <t>1/36/b+/0/3.1</t>
  </si>
  <si>
    <t>2/6/b/0/0.1</t>
  </si>
  <si>
    <t>3/35/c*/1/6.0</t>
  </si>
  <si>
    <t>4/1/c/0/0</t>
  </si>
  <si>
    <t>5/5/c/0/0</t>
  </si>
  <si>
    <t>6/2/b/0/0</t>
  </si>
  <si>
    <t>7/1/c/0/0</t>
  </si>
  <si>
    <t>8/17/b/0/3.0</t>
  </si>
  <si>
    <t>10/2/no/0/0</t>
  </si>
  <si>
    <t>8/2/20/2</t>
  </si>
  <si>
    <t>4/0/20/2</t>
  </si>
  <si>
    <t>4.5/0/30/0</t>
  </si>
  <si>
    <t>2/0/19/0</t>
  </si>
  <si>
    <t>7/0/21/1</t>
  </si>
  <si>
    <t>4/0/9/0</t>
  </si>
  <si>
    <t>Southbank</t>
  </si>
  <si>
    <t>1/0/b+/1.0/0</t>
  </si>
  <si>
    <t>2/31/c/0/4.1</t>
  </si>
  <si>
    <t>3/14/c*/0/2.0</t>
  </si>
  <si>
    <t>4/2/c/0/0</t>
  </si>
  <si>
    <t>5/2/c/0/0</t>
  </si>
  <si>
    <t>6/1/c/0/0</t>
  </si>
  <si>
    <t>7/2/c/0/0</t>
  </si>
  <si>
    <t>8/6/c/0/1.0</t>
  </si>
  <si>
    <t>9/0/c/0/0</t>
  </si>
  <si>
    <t>3/0/54/0</t>
  </si>
  <si>
    <t>9/0/59/0</t>
  </si>
  <si>
    <t>8/4/9/1</t>
  </si>
  <si>
    <t>8/1/37/0</t>
  </si>
  <si>
    <t>5/0/39/1</t>
  </si>
  <si>
    <t>3/0/35/0</t>
  </si>
  <si>
    <t>4/0/39/0</t>
  </si>
  <si>
    <t>Surrey Ovalites</t>
  </si>
  <si>
    <t>1/17/c+/0/2.0</t>
  </si>
  <si>
    <t>2/5/c/0/1.0</t>
  </si>
  <si>
    <t>3/3/b*/0/0</t>
  </si>
  <si>
    <t>4/11/b/0/2.0</t>
  </si>
  <si>
    <t>5/10/c/0//0</t>
  </si>
  <si>
    <t>6/5/c/1/0</t>
  </si>
  <si>
    <t>7/1/st/2/0</t>
  </si>
  <si>
    <t>9/22/no/0/5.0</t>
  </si>
  <si>
    <t>Bowers P</t>
  </si>
  <si>
    <t>10/1/c/0/0</t>
  </si>
  <si>
    <t>Springer D</t>
  </si>
  <si>
    <t>11/1/b/0/0</t>
  </si>
  <si>
    <t>8/0/34/1</t>
  </si>
  <si>
    <t>5/0/28/1</t>
  </si>
  <si>
    <t>8/1/22/2</t>
  </si>
  <si>
    <t>7/0/28/1</t>
  </si>
  <si>
    <t>5.1/0/36/2</t>
  </si>
  <si>
    <t>4/0/36/3</t>
  </si>
  <si>
    <t>1/37/c/0/1.0</t>
  </si>
  <si>
    <t>Selva</t>
  </si>
  <si>
    <t>2/13/b+/0/2.0</t>
  </si>
  <si>
    <t>3/79/b*/0/11.1</t>
  </si>
  <si>
    <t>4/0/b/0/0</t>
  </si>
  <si>
    <t>Meena</t>
  </si>
  <si>
    <t>Niran M</t>
  </si>
  <si>
    <t>5/6/ro/0/0</t>
  </si>
  <si>
    <t>6/0/ro/0/0</t>
  </si>
  <si>
    <t>7/0/b/1/0</t>
  </si>
  <si>
    <t>8/4/b/1/0</t>
  </si>
  <si>
    <t>9/0/lb/0/0</t>
  </si>
  <si>
    <t>10/3/no/0/0</t>
  </si>
  <si>
    <t>11/4/no/0/1.0</t>
  </si>
  <si>
    <t>8/3/25/2</t>
  </si>
  <si>
    <t>8/3/16/0</t>
  </si>
  <si>
    <t>7/0/31/1</t>
  </si>
  <si>
    <t>6/2/24/2</t>
  </si>
  <si>
    <t>2/0/13/0</t>
  </si>
  <si>
    <t>5/0/25/2</t>
  </si>
  <si>
    <t>Sharpe 117</t>
  </si>
  <si>
    <t>Mander A 5-37</t>
  </si>
  <si>
    <t>1/117/c/1/16.5</t>
  </si>
  <si>
    <t>4/0/lb/0/0</t>
  </si>
  <si>
    <t>5/21/c/0/2.1</t>
  </si>
  <si>
    <t>7/2/st/1/0</t>
  </si>
  <si>
    <t>8/4/no/0/0</t>
  </si>
  <si>
    <t>9/1/b/0/0</t>
  </si>
  <si>
    <t>2/0/st+/0.0/0</t>
  </si>
  <si>
    <t>3/41/lb*/0/7.0</t>
  </si>
  <si>
    <t>6/1/32/1</t>
  </si>
  <si>
    <t>8/1/37/5</t>
  </si>
  <si>
    <t>3/0/9/1</t>
  </si>
  <si>
    <t>3/2/3/2</t>
  </si>
  <si>
    <t>3/0/29/0</t>
  </si>
  <si>
    <t>0.3/0/1/1</t>
  </si>
  <si>
    <t>1/62/c/0/7.2</t>
  </si>
  <si>
    <t>2/28/lb/0/5.0</t>
  </si>
  <si>
    <t>3/11/b+/1.0/2.0</t>
  </si>
  <si>
    <t>4/39/c*/1/6.0</t>
  </si>
  <si>
    <t>5/9/b/1/1.0</t>
  </si>
  <si>
    <t>6/5/ro/0/0</t>
  </si>
  <si>
    <t>7/16/b/0/0</t>
  </si>
  <si>
    <t>Aman</t>
  </si>
  <si>
    <t>Niran A</t>
  </si>
  <si>
    <t>8/0/54/0</t>
  </si>
  <si>
    <t>7/1/36/1</t>
  </si>
  <si>
    <t>5/0/22/2</t>
  </si>
  <si>
    <t>3/0/8/0</t>
  </si>
  <si>
    <t>2.5/0/29/1</t>
  </si>
  <si>
    <t>Sanderstead</t>
  </si>
  <si>
    <t>Ward T 105</t>
  </si>
  <si>
    <t>1/56/c/0/10.1</t>
  </si>
  <si>
    <t>2/38/lb+/1.0/7.1</t>
  </si>
  <si>
    <t>3/45/ro/0/5.1</t>
  </si>
  <si>
    <t>4/38/c*/0/6.0</t>
  </si>
  <si>
    <t>5/7/ro/0/1.0</t>
  </si>
  <si>
    <t>6/3/no/0/0</t>
  </si>
  <si>
    <t>7/3/no/0/0</t>
  </si>
  <si>
    <t>8/0/dnb/1/0</t>
  </si>
  <si>
    <t>7/2/17/2</t>
  </si>
  <si>
    <t>5/1/28/0</t>
  </si>
  <si>
    <t>7/2/30/0</t>
  </si>
  <si>
    <t>5/0/28/0</t>
  </si>
  <si>
    <t>2/0/32/1</t>
  </si>
  <si>
    <t>4/0/27/0</t>
  </si>
  <si>
    <t>5/0/35/0</t>
  </si>
  <si>
    <t>156*</t>
  </si>
  <si>
    <t>35*</t>
  </si>
  <si>
    <t>17*</t>
  </si>
  <si>
    <t>5*</t>
  </si>
  <si>
    <t>6*</t>
  </si>
  <si>
    <t>1*</t>
  </si>
  <si>
    <t>BATTING</t>
  </si>
  <si>
    <t>3-1</t>
  </si>
  <si>
    <t>5-37</t>
  </si>
  <si>
    <t>3-32</t>
  </si>
  <si>
    <t>3-38</t>
  </si>
  <si>
    <t>3-27</t>
  </si>
  <si>
    <t>3-18</t>
  </si>
  <si>
    <t>2-13</t>
  </si>
  <si>
    <t>1-7</t>
  </si>
  <si>
    <t>1-1</t>
  </si>
  <si>
    <t>2-17</t>
  </si>
  <si>
    <t>3-13</t>
  </si>
  <si>
    <t>3-33</t>
  </si>
  <si>
    <t>1-28</t>
  </si>
  <si>
    <t>2-36</t>
  </si>
  <si>
    <t>2-25</t>
  </si>
  <si>
    <t>1-29</t>
  </si>
  <si>
    <t>1-12</t>
  </si>
  <si>
    <t>1-17</t>
  </si>
  <si>
    <t>1-31</t>
  </si>
  <si>
    <t>2-33</t>
  </si>
  <si>
    <t>1-19</t>
  </si>
  <si>
    <t>0-4</t>
  </si>
  <si>
    <t>0-25</t>
  </si>
  <si>
    <t>0-28</t>
  </si>
  <si>
    <t>0-30</t>
  </si>
  <si>
    <t>0-26</t>
  </si>
  <si>
    <t>0-39</t>
  </si>
  <si>
    <t>BOWLING</t>
  </si>
  <si>
    <t>PARTNERSHIPS</t>
  </si>
  <si>
    <t>1</t>
  </si>
  <si>
    <t>1 (1)</t>
  </si>
  <si>
    <t>3</t>
  </si>
  <si>
    <t>2</t>
  </si>
  <si>
    <t>7 (7)</t>
  </si>
  <si>
    <t>6</t>
  </si>
  <si>
    <t>4 (3)</t>
  </si>
  <si>
    <t>4</t>
  </si>
  <si>
    <t>CATCHES</t>
  </si>
  <si>
    <t>SIXES</t>
  </si>
  <si>
    <t>FOURS</t>
  </si>
  <si>
    <t>25+</t>
  </si>
  <si>
    <t>APPEARANCES</t>
  </si>
  <si>
    <t>&gt;1 DUCK</t>
  </si>
  <si>
    <t>Hundreds</t>
  </si>
  <si>
    <t>Keeper</t>
  </si>
  <si>
    <t>50s</t>
  </si>
  <si>
    <t>stumped</t>
  </si>
  <si>
    <t>Brocks</t>
  </si>
  <si>
    <t>Greenall</t>
  </si>
  <si>
    <t>capt</t>
  </si>
  <si>
    <t>res</t>
  </si>
  <si>
    <t>Count of res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</si>
</sst>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ddd"/>
    <numFmt numFmtId="165" formatCode="0.0"/>
    <numFmt numFmtId="166" formatCode="0;0;&quot;&quot;"/>
    <numFmt numFmtId="167" formatCode="\+0;\-0"/>
    <numFmt numFmtId="168" formatCode="[Blue]\+0;[Red]\-0"/>
    <numFmt numFmtId="169" formatCode="0.0%"/>
  </numFmts>
  <fonts count="26" x14ac:knownFonts="1">
    <font>
      <sz val="8"/>
      <name val="Verdana"/>
      <family val="2"/>
    </font>
    <font>
      <sz val="10"/>
      <name val="Arial"/>
      <family val="2"/>
    </font>
    <font>
      <sz val="8"/>
      <name val="Arial"/>
      <family val="2"/>
    </font>
    <font>
      <sz val="10"/>
      <name val="Comic Sans MS"/>
      <family val="4"/>
    </font>
    <font>
      <b/>
      <sz val="9"/>
      <name val="Comic Sans MS"/>
      <family val="4"/>
    </font>
    <font>
      <sz val="9"/>
      <name val="Arial"/>
      <family val="2"/>
    </font>
    <font>
      <sz val="9"/>
      <name val="Comic Sans MS"/>
      <family val="4"/>
    </font>
    <font>
      <sz val="8"/>
      <name val="Verdana"/>
      <family val="2"/>
    </font>
    <font>
      <b/>
      <sz val="8"/>
      <name val="Verdana"/>
      <family val="2"/>
    </font>
    <font>
      <b/>
      <sz val="8"/>
      <name val="Arial"/>
      <family val="2"/>
    </font>
    <font>
      <sz val="8"/>
      <name val="Verdana"/>
      <family val="2"/>
    </font>
    <font>
      <sz val="8"/>
      <name val="Comic Sans MS"/>
      <family val="4"/>
    </font>
    <font>
      <sz val="8"/>
      <color indexed="9"/>
      <name val="Verdana"/>
      <family val="2"/>
    </font>
    <font>
      <sz val="8"/>
      <color indexed="12"/>
      <name val="Verdana"/>
      <family val="2"/>
    </font>
    <font>
      <sz val="10"/>
      <name val="Times New Roman"/>
      <family val="1"/>
    </font>
    <font>
      <b/>
      <sz val="8"/>
      <color indexed="9"/>
      <name val="Tahoma"/>
      <family val="2"/>
    </font>
    <font>
      <b/>
      <sz val="8"/>
      <name val="Tahoma"/>
      <family val="2"/>
    </font>
    <font>
      <sz val="8"/>
      <name val="Tahoma"/>
      <family val="2"/>
    </font>
    <font>
      <b/>
      <sz val="10"/>
      <name val="Times New Roman"/>
      <family val="1"/>
    </font>
    <font>
      <sz val="10"/>
      <name val="Times New Roman"/>
      <family val="1"/>
      <scheme val="minor"/>
    </font>
    <font>
      <b/>
      <sz val="8"/>
      <name val="Times New Roman"/>
      <family val="1"/>
    </font>
    <font>
      <sz val="8"/>
      <name val="Times New Roman"/>
      <family val="1"/>
    </font>
    <font>
      <b/>
      <sz val="9"/>
      <color rgb="FFFA7D00"/>
      <name val="Calibri"/>
      <family val="2"/>
    </font>
    <font>
      <b/>
      <i/>
      <sz val="22"/>
      <color theme="5" tint="-0.249977111117893"/>
      <name val="Verdana"/>
      <family val="2"/>
    </font>
    <font>
      <b/>
      <sz val="8"/>
      <name val="Calibri"/>
      <family val="2"/>
    </font>
    <font>
      <sz val="8"/>
      <name val="Calibri"/>
      <family val="2"/>
    </font>
  </fonts>
  <fills count="13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rgb="FFF2F2F2"/>
      </patternFill>
    </fill>
    <fill>
      <patternFill patternType="solid">
        <fgColor rgb="FFFFFF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CC"/>
      </patternFill>
    </fill>
    <fill>
      <patternFill patternType="solid">
        <fgColor theme="6" tint="0.79998168889431442"/>
        <bgColor indexed="64"/>
      </patternFill>
    </fill>
  </fills>
  <borders count="1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>
      <alignment vertical="top"/>
    </xf>
    <xf numFmtId="9" fontId="1" fillId="0" borderId="0" applyFont="0" applyFill="0" applyBorder="0" applyAlignment="0" applyProtection="0"/>
    <xf numFmtId="0" fontId="22" fillId="8" borderId="8" applyNumberFormat="0" applyAlignment="0" applyProtection="0"/>
    <xf numFmtId="0" fontId="7" fillId="11" borderId="10" applyNumberFormat="0" applyFont="0" applyAlignment="0" applyProtection="0"/>
  </cellStyleXfs>
  <cellXfs count="247">
    <xf numFmtId="0" fontId="0" fillId="0" borderId="0" xfId="0">
      <alignment vertical="top"/>
    </xf>
    <xf numFmtId="0" fontId="0" fillId="0" borderId="0" xfId="0" applyAlignment="1">
      <alignment textRotation="90"/>
    </xf>
    <xf numFmtId="0" fontId="0" fillId="0" borderId="0" xfId="0" applyAlignment="1"/>
    <xf numFmtId="15" fontId="0" fillId="0" borderId="0" xfId="0" applyNumberFormat="1" applyAlignment="1"/>
    <xf numFmtId="15" fontId="0" fillId="0" borderId="0" xfId="0" applyNumberFormat="1" applyAlignment="1">
      <alignment textRotation="90"/>
    </xf>
    <xf numFmtId="0" fontId="2" fillId="0" borderId="0" xfId="0" applyFont="1">
      <alignment vertical="top"/>
    </xf>
    <xf numFmtId="0" fontId="0" fillId="0" borderId="1" xfId="0" applyBorder="1">
      <alignment vertical="top"/>
    </xf>
    <xf numFmtId="2" fontId="2" fillId="0" borderId="0" xfId="0" applyNumberFormat="1" applyFont="1">
      <alignment vertical="top"/>
    </xf>
    <xf numFmtId="0" fontId="2" fillId="0" borderId="0" xfId="0" applyFont="1" applyAlignment="1">
      <alignment horizontal="center" wrapText="1"/>
    </xf>
    <xf numFmtId="0" fontId="2" fillId="0" borderId="0" xfId="0" applyFont="1" applyAlignment="1">
      <alignment horizontal="center"/>
    </xf>
    <xf numFmtId="2" fontId="2" fillId="0" borderId="0" xfId="0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>
      <alignment vertical="top"/>
    </xf>
    <xf numFmtId="0" fontId="4" fillId="0" borderId="0" xfId="0" applyFont="1">
      <alignment vertical="top"/>
    </xf>
    <xf numFmtId="0" fontId="4" fillId="0" borderId="0" xfId="0" applyFont="1" applyAlignment="1">
      <alignment horizontal="center"/>
    </xf>
    <xf numFmtId="2" fontId="4" fillId="0" borderId="0" xfId="0" applyNumberFormat="1" applyFont="1" applyAlignment="1">
      <alignment horizontal="center"/>
    </xf>
    <xf numFmtId="0" fontId="5" fillId="0" borderId="0" xfId="0" applyFont="1">
      <alignment vertical="top"/>
    </xf>
    <xf numFmtId="0" fontId="6" fillId="0" borderId="0" xfId="0" applyFont="1">
      <alignment vertical="top"/>
    </xf>
    <xf numFmtId="0" fontId="6" fillId="0" borderId="0" xfId="0" applyFont="1" applyAlignment="1">
      <alignment horizontal="center"/>
    </xf>
    <xf numFmtId="2" fontId="6" fillId="0" borderId="0" xfId="0" applyNumberFormat="1" applyFont="1" applyAlignment="1">
      <alignment horizontal="center"/>
    </xf>
    <xf numFmtId="0" fontId="5" fillId="0" borderId="0" xfId="0" applyFont="1" applyAlignment="1">
      <alignment horizontal="center"/>
    </xf>
    <xf numFmtId="2" fontId="5" fillId="0" borderId="0" xfId="0" applyNumberFormat="1" applyFont="1" applyAlignment="1">
      <alignment horizontal="center"/>
    </xf>
    <xf numFmtId="0" fontId="2" fillId="0" borderId="2" xfId="0" applyFont="1" applyBorder="1">
      <alignment vertical="top"/>
    </xf>
    <xf numFmtId="0" fontId="2" fillId="0" borderId="3" xfId="0" applyFont="1" applyBorder="1" applyAlignment="1">
      <alignment vertical="top"/>
    </xf>
    <xf numFmtId="0" fontId="2" fillId="0" borderId="3" xfId="0" applyFont="1" applyBorder="1" applyAlignment="1">
      <alignment horizontal="center" vertical="top"/>
    </xf>
    <xf numFmtId="0" fontId="2" fillId="0" borderId="3" xfId="0" applyFont="1" applyBorder="1" applyAlignment="1">
      <alignment vertical="top" wrapText="1"/>
    </xf>
    <xf numFmtId="0" fontId="2" fillId="0" borderId="3" xfId="0" applyFont="1" applyBorder="1">
      <alignment vertical="top"/>
    </xf>
    <xf numFmtId="15" fontId="2" fillId="0" borderId="3" xfId="0" applyNumberFormat="1" applyFont="1" applyBorder="1" applyAlignment="1">
      <alignment horizontal="center" vertical="top"/>
    </xf>
    <xf numFmtId="0" fontId="7" fillId="0" borderId="2" xfId="0" applyFont="1" applyBorder="1" applyAlignment="1">
      <alignment vertical="top"/>
    </xf>
    <xf numFmtId="0" fontId="7" fillId="0" borderId="2" xfId="0" applyFont="1" applyBorder="1" applyAlignment="1">
      <alignment horizontal="center" vertical="top"/>
    </xf>
    <xf numFmtId="0" fontId="7" fillId="0" borderId="2" xfId="0" applyFont="1" applyBorder="1" applyAlignment="1">
      <alignment vertical="top" wrapText="1"/>
    </xf>
    <xf numFmtId="0" fontId="7" fillId="0" borderId="2" xfId="0" applyFont="1" applyBorder="1">
      <alignment vertical="top"/>
    </xf>
    <xf numFmtId="0" fontId="7" fillId="0" borderId="3" xfId="0" applyFont="1" applyBorder="1" applyAlignment="1">
      <alignment vertical="top"/>
    </xf>
    <xf numFmtId="15" fontId="7" fillId="0" borderId="3" xfId="0" applyNumberFormat="1" applyFont="1" applyBorder="1" applyAlignment="1">
      <alignment horizontal="center" vertical="top"/>
    </xf>
    <xf numFmtId="0" fontId="7" fillId="0" borderId="3" xfId="0" applyFont="1" applyBorder="1" applyAlignment="1">
      <alignment horizontal="center" vertical="top"/>
    </xf>
    <xf numFmtId="0" fontId="7" fillId="0" borderId="3" xfId="0" applyFont="1" applyBorder="1" applyAlignment="1">
      <alignment vertical="top" wrapText="1"/>
    </xf>
    <xf numFmtId="0" fontId="7" fillId="0" borderId="3" xfId="0" applyFont="1" applyBorder="1">
      <alignment vertical="top"/>
    </xf>
    <xf numFmtId="164" fontId="7" fillId="0" borderId="3" xfId="0" applyNumberFormat="1" applyFont="1" applyBorder="1" applyAlignment="1">
      <alignment vertical="top"/>
    </xf>
    <xf numFmtId="0" fontId="8" fillId="0" borderId="2" xfId="0" applyFont="1" applyBorder="1" applyAlignment="1">
      <alignment vertical="top"/>
    </xf>
    <xf numFmtId="0" fontId="7" fillId="0" borderId="0" xfId="0" applyFont="1" applyBorder="1" applyAlignment="1">
      <alignment vertical="top"/>
    </xf>
    <xf numFmtId="0" fontId="7" fillId="0" borderId="0" xfId="0" applyFont="1" applyBorder="1" applyAlignment="1">
      <alignment horizontal="center" vertical="top"/>
    </xf>
    <xf numFmtId="0" fontId="7" fillId="0" borderId="0" xfId="0" applyFont="1" applyBorder="1" applyAlignment="1">
      <alignment vertical="top" wrapText="1"/>
    </xf>
    <xf numFmtId="0" fontId="7" fillId="0" borderId="0" xfId="0" applyFont="1" applyBorder="1">
      <alignment vertical="top"/>
    </xf>
    <xf numFmtId="0" fontId="2" fillId="0" borderId="0" xfId="0" applyFont="1" applyBorder="1">
      <alignment vertical="top"/>
    </xf>
    <xf numFmtId="0" fontId="8" fillId="0" borderId="0" xfId="0" applyFont="1" applyAlignment="1">
      <alignment horizontal="right"/>
    </xf>
    <xf numFmtId="15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0" fontId="10" fillId="0" borderId="0" xfId="0" applyFont="1" applyAlignment="1">
      <alignment horizontal="right"/>
    </xf>
    <xf numFmtId="15" fontId="7" fillId="0" borderId="0" xfId="0" applyNumberFormat="1" applyFont="1" applyAlignment="1"/>
    <xf numFmtId="15" fontId="8" fillId="0" borderId="0" xfId="0" applyNumberFormat="1" applyFont="1" applyAlignment="1"/>
    <xf numFmtId="15" fontId="10" fillId="0" borderId="0" xfId="0" applyNumberFormat="1" applyFont="1" applyAlignment="1"/>
    <xf numFmtId="0" fontId="10" fillId="0" borderId="0" xfId="0" applyFont="1" applyAlignment="1"/>
    <xf numFmtId="0" fontId="8" fillId="0" borderId="0" xfId="0" applyFont="1" applyAlignment="1"/>
    <xf numFmtId="2" fontId="8" fillId="0" borderId="0" xfId="0" applyNumberFormat="1" applyFont="1" applyAlignment="1"/>
    <xf numFmtId="2" fontId="10" fillId="0" borderId="0" xfId="0" applyNumberFormat="1" applyFont="1" applyAlignment="1"/>
    <xf numFmtId="2" fontId="0" fillId="0" borderId="0" xfId="0" applyNumberFormat="1" applyAlignment="1"/>
    <xf numFmtId="0" fontId="8" fillId="0" borderId="0" xfId="0" applyFont="1" applyAlignment="1">
      <alignment horizontal="center"/>
    </xf>
    <xf numFmtId="0" fontId="8" fillId="0" borderId="0" xfId="0" applyFont="1">
      <alignment vertical="top"/>
    </xf>
    <xf numFmtId="0" fontId="8" fillId="0" borderId="0" xfId="0" applyFont="1" applyBorder="1" applyAlignment="1">
      <alignment vertical="top"/>
    </xf>
    <xf numFmtId="0" fontId="2" fillId="0" borderId="2" xfId="0" applyFont="1" applyBorder="1" applyAlignment="1">
      <alignment horizontal="center" vertical="top"/>
    </xf>
    <xf numFmtId="0" fontId="8" fillId="0" borderId="0" xfId="0" applyFont="1" applyBorder="1" applyAlignment="1">
      <alignment horizontal="center" vertical="top"/>
    </xf>
    <xf numFmtId="15" fontId="7" fillId="0" borderId="0" xfId="0" applyNumberFormat="1" applyFont="1">
      <alignment vertical="top"/>
    </xf>
    <xf numFmtId="15" fontId="7" fillId="0" borderId="0" xfId="0" applyNumberFormat="1" applyFont="1" applyAlignment="1">
      <alignment textRotation="90"/>
    </xf>
    <xf numFmtId="15" fontId="8" fillId="0" borderId="0" xfId="0" applyNumberFormat="1" applyFont="1">
      <alignment vertical="top"/>
    </xf>
    <xf numFmtId="15" fontId="10" fillId="0" borderId="0" xfId="0" applyNumberFormat="1" applyFont="1">
      <alignment vertical="top"/>
    </xf>
    <xf numFmtId="0" fontId="10" fillId="0" borderId="0" xfId="0" applyFont="1">
      <alignment vertical="top"/>
    </xf>
    <xf numFmtId="0" fontId="10" fillId="0" borderId="0" xfId="0" applyFont="1" applyAlignment="1">
      <alignment textRotation="90"/>
    </xf>
    <xf numFmtId="2" fontId="8" fillId="0" borderId="0" xfId="0" applyNumberFormat="1" applyFont="1">
      <alignment vertical="top"/>
    </xf>
    <xf numFmtId="166" fontId="10" fillId="0" borderId="0" xfId="0" applyNumberFormat="1" applyFont="1">
      <alignment vertical="top"/>
    </xf>
    <xf numFmtId="0" fontId="10" fillId="0" borderId="0" xfId="0" applyFont="1" applyAlignment="1">
      <alignment horizontal="right" vertical="top"/>
    </xf>
    <xf numFmtId="166" fontId="8" fillId="0" borderId="0" xfId="0" applyNumberFormat="1" applyFont="1">
      <alignment vertical="top"/>
    </xf>
    <xf numFmtId="0" fontId="0" fillId="0" borderId="0" xfId="0" applyAlignment="1">
      <alignment horizontal="right"/>
    </xf>
    <xf numFmtId="2" fontId="8" fillId="0" borderId="0" xfId="0" applyNumberFormat="1" applyFont="1" applyAlignment="1">
      <alignment horizontal="right"/>
    </xf>
    <xf numFmtId="2" fontId="8" fillId="0" borderId="0" xfId="0" applyNumberFormat="1" applyFont="1" applyAlignment="1">
      <alignment horizontal="right" vertical="top"/>
    </xf>
    <xf numFmtId="0" fontId="8" fillId="0" borderId="0" xfId="0" applyFont="1" applyAlignment="1">
      <alignment horizontal="right" vertical="top"/>
    </xf>
    <xf numFmtId="15" fontId="11" fillId="0" borderId="0" xfId="0" applyNumberFormat="1" applyFont="1" applyAlignment="1">
      <alignment horizontal="left"/>
    </xf>
    <xf numFmtId="0" fontId="11" fillId="0" borderId="0" xfId="0" applyFont="1">
      <alignment vertical="top"/>
    </xf>
    <xf numFmtId="0" fontId="11" fillId="0" borderId="0" xfId="0" applyFont="1" applyAlignment="1">
      <alignment horizontal="center"/>
    </xf>
    <xf numFmtId="0" fontId="8" fillId="2" borderId="4" xfId="0" applyFont="1" applyFill="1" applyBorder="1">
      <alignment vertical="top"/>
    </xf>
    <xf numFmtId="0" fontId="0" fillId="3" borderId="1" xfId="0" applyFill="1" applyBorder="1">
      <alignment vertical="top"/>
    </xf>
    <xf numFmtId="0" fontId="0" fillId="4" borderId="1" xfId="0" applyFill="1" applyBorder="1">
      <alignment vertical="top"/>
    </xf>
    <xf numFmtId="0" fontId="12" fillId="0" borderId="0" xfId="0" applyFont="1">
      <alignment vertical="top"/>
    </xf>
    <xf numFmtId="167" fontId="12" fillId="5" borderId="0" xfId="0" applyNumberFormat="1" applyFont="1" applyFill="1">
      <alignment vertical="top"/>
    </xf>
    <xf numFmtId="0" fontId="7" fillId="4" borderId="5" xfId="0" applyFont="1" applyFill="1" applyBorder="1">
      <alignment vertical="top"/>
    </xf>
    <xf numFmtId="0" fontId="7" fillId="4" borderId="6" xfId="0" applyFont="1" applyFill="1" applyBorder="1">
      <alignment vertical="top"/>
    </xf>
    <xf numFmtId="0" fontId="0" fillId="2" borderId="0" xfId="0" applyFill="1" applyAlignment="1">
      <alignment horizontal="right" vertical="top"/>
    </xf>
    <xf numFmtId="10" fontId="10" fillId="0" borderId="0" xfId="1" applyNumberFormat="1" applyFont="1" applyAlignment="1">
      <alignment vertical="top"/>
    </xf>
    <xf numFmtId="166" fontId="8" fillId="6" borderId="0" xfId="0" applyNumberFormat="1" applyFont="1" applyFill="1">
      <alignment vertical="top"/>
    </xf>
    <xf numFmtId="0" fontId="8" fillId="2" borderId="0" xfId="0" applyFont="1" applyFill="1">
      <alignment vertical="top"/>
    </xf>
    <xf numFmtId="0" fontId="7" fillId="0" borderId="0" xfId="0" applyFont="1" applyBorder="1" applyAlignment="1">
      <alignment horizontal="left" vertical="top" wrapText="1"/>
    </xf>
    <xf numFmtId="0" fontId="7" fillId="0" borderId="3" xfId="0" applyFont="1" applyBorder="1" applyAlignment="1">
      <alignment horizontal="left" vertical="top" wrapText="1"/>
    </xf>
    <xf numFmtId="0" fontId="2" fillId="0" borderId="3" xfId="0" applyFont="1" applyBorder="1" applyAlignment="1">
      <alignment horizontal="left" vertical="top" wrapText="1"/>
    </xf>
    <xf numFmtId="0" fontId="2" fillId="0" borderId="2" xfId="0" applyFont="1" applyBorder="1" applyAlignment="1">
      <alignment horizontal="left" vertical="top" wrapText="1"/>
    </xf>
    <xf numFmtId="0" fontId="8" fillId="0" borderId="0" xfId="0" applyFont="1" applyBorder="1" applyAlignment="1">
      <alignment horizontal="left" vertical="top" wrapText="1"/>
    </xf>
    <xf numFmtId="9" fontId="10" fillId="0" borderId="0" xfId="1" applyFont="1" applyAlignment="1">
      <alignment vertical="top"/>
    </xf>
    <xf numFmtId="0" fontId="7" fillId="0" borderId="1" xfId="0" applyFont="1" applyBorder="1" applyAlignment="1">
      <alignment vertical="top" wrapText="1"/>
    </xf>
    <xf numFmtId="0" fontId="8" fillId="0" borderId="2" xfId="0" applyFont="1" applyBorder="1" applyAlignment="1">
      <alignment horizontal="center" vertical="top"/>
    </xf>
    <xf numFmtId="0" fontId="5" fillId="0" borderId="0" xfId="0" applyFont="1" applyAlignment="1">
      <alignment horizontal="center" vertical="top"/>
    </xf>
    <xf numFmtId="0" fontId="7" fillId="0" borderId="1" xfId="0" quotePrefix="1" applyFont="1" applyBorder="1" applyAlignment="1">
      <alignment vertical="top" wrapText="1"/>
    </xf>
    <xf numFmtId="0" fontId="14" fillId="0" borderId="0" xfId="0" applyFont="1">
      <alignment vertical="top"/>
    </xf>
    <xf numFmtId="1" fontId="2" fillId="0" borderId="0" xfId="0" applyNumberFormat="1" applyFont="1">
      <alignment vertical="top"/>
    </xf>
    <xf numFmtId="168" fontId="5" fillId="0" borderId="0" xfId="0" applyNumberFormat="1" applyFont="1" applyAlignment="1">
      <alignment horizontal="center" vertical="top"/>
    </xf>
    <xf numFmtId="10" fontId="0" fillId="0" borderId="0" xfId="0" applyNumberFormat="1" applyAlignment="1"/>
    <xf numFmtId="9" fontId="8" fillId="0" borderId="0" xfId="0" applyNumberFormat="1" applyFont="1">
      <alignment vertical="top"/>
    </xf>
    <xf numFmtId="164" fontId="17" fillId="0" borderId="2" xfId="0" applyNumberFormat="1" applyFont="1" applyBorder="1" applyAlignment="1">
      <alignment horizontal="center" vertical="top"/>
    </xf>
    <xf numFmtId="15" fontId="17" fillId="0" borderId="2" xfId="0" applyNumberFormat="1" applyFont="1" applyBorder="1" applyAlignment="1">
      <alignment horizontal="center" vertical="top"/>
    </xf>
    <xf numFmtId="0" fontId="17" fillId="0" borderId="2" xfId="0" applyFont="1" applyBorder="1" applyAlignment="1">
      <alignment vertical="top" wrapText="1"/>
    </xf>
    <xf numFmtId="0" fontId="17" fillId="0" borderId="2" xfId="0" applyFont="1" applyBorder="1" applyAlignment="1">
      <alignment horizontal="center" vertical="top"/>
    </xf>
    <xf numFmtId="0" fontId="17" fillId="0" borderId="2" xfId="0" applyFont="1" applyBorder="1" applyAlignment="1">
      <alignment vertical="top"/>
    </xf>
    <xf numFmtId="0" fontId="17" fillId="0" borderId="2" xfId="0" applyFont="1" applyBorder="1" applyAlignment="1">
      <alignment horizontal="left" vertical="top" wrapText="1"/>
    </xf>
    <xf numFmtId="165" fontId="17" fillId="0" borderId="2" xfId="0" applyNumberFormat="1" applyFont="1" applyBorder="1" applyAlignment="1">
      <alignment vertical="top" wrapText="1"/>
    </xf>
    <xf numFmtId="0" fontId="17" fillId="0" borderId="2" xfId="0" applyFont="1" applyBorder="1">
      <alignment vertical="top"/>
    </xf>
    <xf numFmtId="0" fontId="10" fillId="0" borderId="0" xfId="0" applyFont="1" applyFill="1">
      <alignment vertical="top"/>
    </xf>
    <xf numFmtId="0" fontId="10" fillId="0" borderId="0" xfId="0" applyFont="1" applyFill="1" applyAlignment="1"/>
    <xf numFmtId="0" fontId="8" fillId="0" borderId="0" xfId="0" applyFont="1" applyFill="1">
      <alignment vertical="top"/>
    </xf>
    <xf numFmtId="2" fontId="10" fillId="0" borderId="0" xfId="0" applyNumberFormat="1" applyFont="1" applyFill="1">
      <alignment vertical="top"/>
    </xf>
    <xf numFmtId="0" fontId="13" fillId="0" borderId="0" xfId="0" applyFont="1" applyFill="1" applyBorder="1">
      <alignment vertical="top"/>
    </xf>
    <xf numFmtId="0" fontId="0" fillId="0" borderId="0" xfId="0" applyFont="1">
      <alignment vertical="top"/>
    </xf>
    <xf numFmtId="14" fontId="0" fillId="0" borderId="0" xfId="0" applyNumberFormat="1" applyAlignment="1"/>
    <xf numFmtId="0" fontId="10" fillId="0" borderId="0" xfId="0" applyFont="1" applyAlignment="1">
      <alignment horizontal="center" vertical="top"/>
    </xf>
    <xf numFmtId="2" fontId="10" fillId="0" borderId="0" xfId="0" applyNumberFormat="1" applyFont="1" applyAlignment="1">
      <alignment horizontal="center" vertical="top"/>
    </xf>
    <xf numFmtId="0" fontId="10" fillId="0" borderId="0" xfId="0" applyFont="1" applyAlignment="1">
      <alignment horizontal="left" vertical="top"/>
    </xf>
    <xf numFmtId="1" fontId="10" fillId="0" borderId="0" xfId="0" applyNumberFormat="1" applyFont="1" applyAlignment="1">
      <alignment horizontal="center" vertical="top"/>
    </xf>
    <xf numFmtId="0" fontId="14" fillId="0" borderId="0" xfId="0" applyFont="1" applyAlignment="1">
      <alignment horizontal="center" vertical="top"/>
    </xf>
    <xf numFmtId="0" fontId="18" fillId="0" borderId="0" xfId="0" applyFont="1" applyAlignment="1">
      <alignment horizontal="center" vertical="top"/>
    </xf>
    <xf numFmtId="2" fontId="18" fillId="0" borderId="0" xfId="0" applyNumberFormat="1" applyFont="1" applyAlignment="1">
      <alignment horizontal="center" vertical="top"/>
    </xf>
    <xf numFmtId="0" fontId="18" fillId="0" borderId="0" xfId="0" applyFont="1" applyAlignment="1">
      <alignment horizontal="left" vertical="top"/>
    </xf>
    <xf numFmtId="0" fontId="19" fillId="0" borderId="0" xfId="0" applyFont="1">
      <alignment vertical="top"/>
    </xf>
    <xf numFmtId="0" fontId="0" fillId="0" borderId="0" xfId="0" applyFont="1" applyFill="1">
      <alignment vertical="top"/>
    </xf>
    <xf numFmtId="0" fontId="15" fillId="7" borderId="7" xfId="0" applyFont="1" applyFill="1" applyBorder="1" applyAlignment="1">
      <alignment horizontal="center" vertical="top" wrapText="1"/>
    </xf>
    <xf numFmtId="15" fontId="15" fillId="7" borderId="7" xfId="0" applyNumberFormat="1" applyFont="1" applyFill="1" applyBorder="1" applyAlignment="1">
      <alignment horizontal="center" vertical="top" wrapText="1"/>
    </xf>
    <xf numFmtId="0" fontId="15" fillId="7" borderId="7" xfId="0" applyFont="1" applyFill="1" applyBorder="1" applyAlignment="1">
      <alignment vertical="top" wrapText="1"/>
    </xf>
    <xf numFmtId="0" fontId="15" fillId="7" borderId="7" xfId="0" applyFont="1" applyFill="1" applyBorder="1" applyAlignment="1">
      <alignment horizontal="left" vertical="top" wrapText="1"/>
    </xf>
    <xf numFmtId="0" fontId="15" fillId="7" borderId="7" xfId="0" applyFont="1" applyFill="1" applyBorder="1" applyAlignment="1">
      <alignment horizontal="right" vertical="top" wrapText="1"/>
    </xf>
    <xf numFmtId="0" fontId="16" fillId="0" borderId="7" xfId="0" applyFont="1" applyBorder="1">
      <alignment vertical="top"/>
    </xf>
    <xf numFmtId="0" fontId="9" fillId="0" borderId="7" xfId="0" applyFont="1" applyBorder="1">
      <alignment vertical="top"/>
    </xf>
    <xf numFmtId="15" fontId="17" fillId="0" borderId="3" xfId="0" applyNumberFormat="1" applyFont="1" applyBorder="1" applyAlignment="1">
      <alignment horizontal="center" vertical="top"/>
    </xf>
    <xf numFmtId="0" fontId="17" fillId="0" borderId="3" xfId="0" applyFont="1" applyBorder="1" applyAlignment="1">
      <alignment vertical="top" wrapText="1"/>
    </xf>
    <xf numFmtId="0" fontId="17" fillId="0" borderId="3" xfId="0" applyFont="1" applyBorder="1" applyAlignment="1">
      <alignment horizontal="center" vertical="top"/>
    </xf>
    <xf numFmtId="0" fontId="17" fillId="0" borderId="3" xfId="0" applyFont="1" applyBorder="1" applyAlignment="1">
      <alignment vertical="top"/>
    </xf>
    <xf numFmtId="0" fontId="17" fillId="0" borderId="3" xfId="0" applyFont="1" applyBorder="1" applyAlignment="1">
      <alignment horizontal="left" vertical="top" wrapText="1"/>
    </xf>
    <xf numFmtId="165" fontId="17" fillId="0" borderId="3" xfId="0" applyNumberFormat="1" applyFont="1" applyBorder="1" applyAlignment="1">
      <alignment vertical="top" wrapText="1"/>
    </xf>
    <xf numFmtId="0" fontId="17" fillId="0" borderId="3" xfId="0" applyFont="1" applyBorder="1">
      <alignment vertical="top"/>
    </xf>
    <xf numFmtId="0" fontId="17" fillId="0" borderId="3" xfId="0" applyFont="1" applyBorder="1" applyAlignment="1">
      <alignment horizontal="left" vertical="top"/>
    </xf>
    <xf numFmtId="165" fontId="0" fillId="0" borderId="0" xfId="0" applyNumberFormat="1" applyFont="1" applyAlignment="1">
      <alignment horizontal="right" vertical="top"/>
    </xf>
    <xf numFmtId="0" fontId="0" fillId="0" borderId="0" xfId="0" applyFont="1" applyAlignment="1">
      <alignment horizontal="right" vertical="top"/>
    </xf>
    <xf numFmtId="2" fontId="0" fillId="0" borderId="0" xfId="0" applyNumberFormat="1" applyFont="1" applyAlignment="1">
      <alignment horizontal="right"/>
    </xf>
    <xf numFmtId="0" fontId="0" fillId="0" borderId="0" xfId="0" applyFont="1" applyAlignment="1">
      <alignment horizontal="right"/>
    </xf>
    <xf numFmtId="0" fontId="0" fillId="0" borderId="0" xfId="0" applyNumberFormat="1" applyFont="1">
      <alignment vertical="top"/>
    </xf>
    <xf numFmtId="2" fontId="0" fillId="0" borderId="0" xfId="0" applyNumberFormat="1" applyFont="1" applyAlignment="1">
      <alignment horizontal="right" vertical="top"/>
    </xf>
    <xf numFmtId="0" fontId="0" fillId="0" borderId="0" xfId="0" applyFont="1" applyAlignment="1">
      <alignment horizontal="center" vertical="top"/>
    </xf>
    <xf numFmtId="0" fontId="20" fillId="0" borderId="0" xfId="0" applyFont="1" applyAlignment="1">
      <alignment horizontal="left" vertical="top"/>
    </xf>
    <xf numFmtId="0" fontId="20" fillId="0" borderId="0" xfId="0" applyFont="1" applyAlignment="1">
      <alignment horizontal="center" vertical="top"/>
    </xf>
    <xf numFmtId="0" fontId="20" fillId="0" borderId="0" xfId="0" applyNumberFormat="1" applyFont="1" applyAlignment="1">
      <alignment horizontal="center" vertical="top"/>
    </xf>
    <xf numFmtId="0" fontId="21" fillId="0" borderId="0" xfId="0" applyFont="1">
      <alignment vertical="top"/>
    </xf>
    <xf numFmtId="0" fontId="21" fillId="0" borderId="0" xfId="0" applyFont="1" applyAlignment="1">
      <alignment horizontal="left" vertical="top"/>
    </xf>
    <xf numFmtId="0" fontId="21" fillId="0" borderId="0" xfId="0" applyFont="1" applyAlignment="1">
      <alignment horizontal="center" vertical="top"/>
    </xf>
    <xf numFmtId="0" fontId="21" fillId="0" borderId="0" xfId="0" applyNumberFormat="1" applyFont="1" applyAlignment="1">
      <alignment horizontal="center" vertical="top"/>
    </xf>
    <xf numFmtId="2" fontId="20" fillId="0" borderId="0" xfId="0" applyNumberFormat="1" applyFont="1" applyAlignment="1">
      <alignment horizontal="center" vertical="top"/>
    </xf>
    <xf numFmtId="2" fontId="21" fillId="0" borderId="0" xfId="0" applyNumberFormat="1" applyFont="1" applyAlignment="1">
      <alignment horizontal="center"/>
    </xf>
    <xf numFmtId="14" fontId="17" fillId="0" borderId="2" xfId="0" applyNumberFormat="1" applyFont="1" applyBorder="1" applyAlignment="1">
      <alignment vertical="top" wrapText="1"/>
    </xf>
    <xf numFmtId="165" fontId="7" fillId="0" borderId="0" xfId="0" applyNumberFormat="1" applyFont="1" applyBorder="1" applyAlignment="1">
      <alignment vertical="top" wrapText="1"/>
    </xf>
    <xf numFmtId="0" fontId="16" fillId="0" borderId="2" xfId="0" applyFont="1" applyBorder="1" applyAlignment="1">
      <alignment horizontal="left" vertical="top" wrapText="1"/>
    </xf>
    <xf numFmtId="169" fontId="2" fillId="0" borderId="3" xfId="1" applyNumberFormat="1" applyFont="1" applyBorder="1" applyAlignment="1">
      <alignment vertical="top"/>
    </xf>
    <xf numFmtId="0" fontId="22" fillId="8" borderId="8" xfId="2" applyAlignment="1">
      <alignment vertical="top"/>
    </xf>
    <xf numFmtId="16" fontId="22" fillId="8" borderId="8" xfId="2" applyNumberFormat="1" applyAlignment="1">
      <alignment horizontal="center" vertical="top"/>
    </xf>
    <xf numFmtId="0" fontId="0" fillId="0" borderId="3" xfId="0" applyFont="1" applyBorder="1" applyAlignment="1">
      <alignment vertical="top" wrapText="1"/>
    </xf>
    <xf numFmtId="0" fontId="0" fillId="0" borderId="0" xfId="0" applyFont="1" applyAlignment="1"/>
    <xf numFmtId="0" fontId="14" fillId="0" borderId="0" xfId="0" applyFont="1" applyFill="1" applyAlignment="1">
      <alignment horizontal="center" vertical="top"/>
    </xf>
    <xf numFmtId="2" fontId="18" fillId="0" borderId="0" xfId="0" applyNumberFormat="1" applyFont="1" applyFill="1" applyAlignment="1">
      <alignment horizontal="center" vertical="top"/>
    </xf>
    <xf numFmtId="169" fontId="0" fillId="0" borderId="0" xfId="1" applyNumberFormat="1" applyFont="1" applyAlignment="1">
      <alignment horizontal="center"/>
    </xf>
    <xf numFmtId="16" fontId="14" fillId="0" borderId="0" xfId="0" applyNumberFormat="1" applyFont="1">
      <alignment vertical="top"/>
    </xf>
    <xf numFmtId="166" fontId="10" fillId="0" borderId="0" xfId="1" applyNumberFormat="1" applyFont="1" applyAlignment="1">
      <alignment vertical="top"/>
    </xf>
    <xf numFmtId="0" fontId="0" fillId="0" borderId="0" xfId="0" pivotButton="1">
      <alignment vertical="top"/>
    </xf>
    <xf numFmtId="0" fontId="0" fillId="0" borderId="0" xfId="0" applyAlignment="1">
      <alignment horizontal="left" vertical="top"/>
    </xf>
    <xf numFmtId="0" fontId="0" fillId="0" borderId="0" xfId="0" applyNumberFormat="1">
      <alignment vertical="top"/>
    </xf>
    <xf numFmtId="0" fontId="0" fillId="0" borderId="0" xfId="0" quotePrefix="1" applyFont="1">
      <alignment vertical="top"/>
    </xf>
    <xf numFmtId="0" fontId="0" fillId="0" borderId="0" xfId="0" quotePrefix="1" applyAlignment="1"/>
    <xf numFmtId="0" fontId="0" fillId="0" borderId="0" xfId="0" applyFill="1">
      <alignment vertical="top"/>
    </xf>
    <xf numFmtId="15" fontId="7" fillId="10" borderId="0" xfId="0" applyNumberFormat="1" applyFont="1" applyFill="1" applyAlignment="1"/>
    <xf numFmtId="0" fontId="10" fillId="10" borderId="0" xfId="0" applyFont="1" applyFill="1" applyAlignment="1"/>
    <xf numFmtId="0" fontId="10" fillId="10" borderId="0" xfId="0" applyFont="1" applyFill="1" applyAlignment="1">
      <alignment horizontal="right"/>
    </xf>
    <xf numFmtId="165" fontId="10" fillId="10" borderId="0" xfId="0" applyNumberFormat="1" applyFont="1" applyFill="1" applyAlignment="1"/>
    <xf numFmtId="0" fontId="8" fillId="10" borderId="0" xfId="0" applyFont="1" applyFill="1" applyAlignment="1"/>
    <xf numFmtId="0" fontId="0" fillId="11" borderId="10" xfId="3" applyFont="1" applyAlignment="1">
      <alignment vertical="top"/>
    </xf>
    <xf numFmtId="16" fontId="0" fillId="0" borderId="0" xfId="0" applyNumberFormat="1" applyAlignment="1"/>
    <xf numFmtId="166" fontId="14" fillId="0" borderId="0" xfId="0" applyNumberFormat="1" applyFont="1">
      <alignment vertical="top"/>
    </xf>
    <xf numFmtId="166" fontId="0" fillId="0" borderId="0" xfId="0" applyNumberFormat="1">
      <alignment vertical="top"/>
    </xf>
    <xf numFmtId="0" fontId="24" fillId="9" borderId="0" xfId="0" applyFont="1" applyFill="1">
      <alignment vertical="top"/>
    </xf>
    <xf numFmtId="0" fontId="25" fillId="0" borderId="14" xfId="0" applyFont="1" applyBorder="1" applyAlignment="1">
      <alignment horizontal="center" vertical="top"/>
    </xf>
    <xf numFmtId="0" fontId="24" fillId="0" borderId="0" xfId="0" applyFont="1" applyBorder="1" applyAlignment="1">
      <alignment horizontal="left" vertical="top"/>
    </xf>
    <xf numFmtId="0" fontId="24" fillId="0" borderId="0" xfId="0" applyFont="1" applyBorder="1" applyAlignment="1">
      <alignment horizontal="center" vertical="top"/>
    </xf>
    <xf numFmtId="0" fontId="24" fillId="0" borderId="15" xfId="0" applyFont="1" applyBorder="1" applyAlignment="1">
      <alignment horizontal="center" vertical="top"/>
    </xf>
    <xf numFmtId="0" fontId="25" fillId="0" borderId="0" xfId="0" applyFont="1">
      <alignment vertical="top"/>
    </xf>
    <xf numFmtId="0" fontId="25" fillId="0" borderId="14" xfId="0" applyFont="1" applyBorder="1">
      <alignment vertical="top"/>
    </xf>
    <xf numFmtId="0" fontId="24" fillId="0" borderId="0" xfId="0" applyNumberFormat="1" applyFont="1" applyBorder="1" applyAlignment="1">
      <alignment horizontal="center" vertical="top"/>
    </xf>
    <xf numFmtId="0" fontId="24" fillId="0" borderId="14" xfId="0" applyFont="1" applyBorder="1">
      <alignment vertical="top"/>
    </xf>
    <xf numFmtId="0" fontId="24" fillId="0" borderId="0" xfId="0" applyFont="1" applyBorder="1">
      <alignment vertical="top"/>
    </xf>
    <xf numFmtId="0" fontId="25" fillId="0" borderId="15" xfId="0" applyFont="1" applyBorder="1">
      <alignment vertical="top"/>
    </xf>
    <xf numFmtId="0" fontId="25" fillId="12" borderId="14" xfId="0" applyFont="1" applyFill="1" applyBorder="1" applyAlignment="1">
      <alignment horizontal="center" vertical="top"/>
    </xf>
    <xf numFmtId="0" fontId="25" fillId="12" borderId="0" xfId="0" applyFont="1" applyFill="1" applyBorder="1" applyAlignment="1">
      <alignment horizontal="center" vertical="top"/>
    </xf>
    <xf numFmtId="2" fontId="24" fillId="12" borderId="15" xfId="0" applyNumberFormat="1" applyFont="1" applyFill="1" applyBorder="1" applyAlignment="1">
      <alignment horizontal="center" vertical="top"/>
    </xf>
    <xf numFmtId="0" fontId="25" fillId="12" borderId="14" xfId="0" applyFont="1" applyFill="1" applyBorder="1">
      <alignment vertical="top"/>
    </xf>
    <xf numFmtId="0" fontId="25" fillId="12" borderId="0" xfId="0" applyFont="1" applyFill="1" applyBorder="1" applyAlignment="1">
      <alignment horizontal="left" vertical="top"/>
    </xf>
    <xf numFmtId="0" fontId="25" fillId="12" borderId="0" xfId="0" applyNumberFormat="1" applyFont="1" applyFill="1" applyBorder="1" applyAlignment="1">
      <alignment horizontal="center" vertical="top"/>
    </xf>
    <xf numFmtId="2" fontId="24" fillId="12" borderId="0" xfId="0" applyNumberFormat="1" applyFont="1" applyFill="1" applyBorder="1" applyAlignment="1">
      <alignment horizontal="center" vertical="top"/>
    </xf>
    <xf numFmtId="2" fontId="25" fillId="12" borderId="0" xfId="0" applyNumberFormat="1" applyFont="1" applyFill="1" applyBorder="1" applyAlignment="1">
      <alignment horizontal="center"/>
    </xf>
    <xf numFmtId="2" fontId="25" fillId="12" borderId="15" xfId="0" applyNumberFormat="1" applyFont="1" applyFill="1" applyBorder="1" applyAlignment="1">
      <alignment horizontal="center"/>
    </xf>
    <xf numFmtId="0" fontId="25" fillId="0" borderId="0" xfId="0" applyFont="1" applyBorder="1">
      <alignment vertical="top"/>
    </xf>
    <xf numFmtId="166" fontId="25" fillId="0" borderId="0" xfId="0" applyNumberFormat="1" applyFont="1" applyBorder="1">
      <alignment vertical="top"/>
    </xf>
    <xf numFmtId="16" fontId="25" fillId="0" borderId="15" xfId="0" applyNumberFormat="1" applyFont="1" applyBorder="1" applyAlignment="1">
      <alignment horizontal="center" vertical="top"/>
    </xf>
    <xf numFmtId="0" fontId="25" fillId="0" borderId="16" xfId="0" applyFont="1" applyBorder="1">
      <alignment vertical="top"/>
    </xf>
    <xf numFmtId="0" fontId="25" fillId="0" borderId="17" xfId="0" applyFont="1" applyBorder="1">
      <alignment vertical="top"/>
    </xf>
    <xf numFmtId="0" fontId="25" fillId="0" borderId="12" xfId="0" applyFont="1" applyBorder="1">
      <alignment vertical="top"/>
    </xf>
    <xf numFmtId="0" fontId="25" fillId="0" borderId="11" xfId="0" applyFont="1" applyBorder="1" applyAlignment="1">
      <alignment horizontal="left" vertical="top"/>
    </xf>
    <xf numFmtId="0" fontId="25" fillId="0" borderId="11" xfId="0" applyFont="1" applyBorder="1" applyAlignment="1">
      <alignment horizontal="center" vertical="top"/>
    </xf>
    <xf numFmtId="0" fontId="25" fillId="0" borderId="11" xfId="0" applyNumberFormat="1" applyFont="1" applyBorder="1" applyAlignment="1">
      <alignment horizontal="center" vertical="top"/>
    </xf>
    <xf numFmtId="2" fontId="24" fillId="0" borderId="11" xfId="0" applyNumberFormat="1" applyFont="1" applyBorder="1" applyAlignment="1">
      <alignment horizontal="center" vertical="top"/>
    </xf>
    <xf numFmtId="2" fontId="25" fillId="0" borderId="11" xfId="0" applyNumberFormat="1" applyFont="1" applyBorder="1" applyAlignment="1">
      <alignment horizontal="center"/>
    </xf>
    <xf numFmtId="2" fontId="25" fillId="0" borderId="13" xfId="0" applyNumberFormat="1" applyFont="1" applyBorder="1" applyAlignment="1">
      <alignment horizontal="center"/>
    </xf>
    <xf numFmtId="0" fontId="25" fillId="0" borderId="0" xfId="0" applyFont="1" applyBorder="1" applyAlignment="1">
      <alignment horizontal="left" vertical="top"/>
    </xf>
    <xf numFmtId="0" fontId="25" fillId="0" borderId="0" xfId="0" applyFont="1" applyBorder="1" applyAlignment="1">
      <alignment horizontal="center" vertical="top"/>
    </xf>
    <xf numFmtId="0" fontId="25" fillId="0" borderId="0" xfId="0" applyNumberFormat="1" applyFont="1" applyBorder="1" applyAlignment="1">
      <alignment horizontal="center" vertical="top"/>
    </xf>
    <xf numFmtId="2" fontId="24" fillId="0" borderId="0" xfId="0" applyNumberFormat="1" applyFont="1" applyBorder="1" applyAlignment="1">
      <alignment horizontal="center" vertical="top"/>
    </xf>
    <xf numFmtId="2" fontId="25" fillId="0" borderId="0" xfId="0" applyNumberFormat="1" applyFont="1" applyBorder="1" applyAlignment="1">
      <alignment horizontal="center"/>
    </xf>
    <xf numFmtId="2" fontId="25" fillId="0" borderId="15" xfId="0" applyNumberFormat="1" applyFont="1" applyBorder="1" applyAlignment="1">
      <alignment horizontal="center"/>
    </xf>
    <xf numFmtId="0" fontId="25" fillId="0" borderId="12" xfId="0" applyFont="1" applyBorder="1" applyAlignment="1">
      <alignment horizontal="center" vertical="top"/>
    </xf>
    <xf numFmtId="2" fontId="24" fillId="0" borderId="13" xfId="0" applyNumberFormat="1" applyFont="1" applyBorder="1" applyAlignment="1">
      <alignment horizontal="center" vertical="top"/>
    </xf>
    <xf numFmtId="2" fontId="24" fillId="0" borderId="15" xfId="0" applyNumberFormat="1" applyFont="1" applyBorder="1" applyAlignment="1">
      <alignment horizontal="center" vertical="top"/>
    </xf>
    <xf numFmtId="0" fontId="25" fillId="0" borderId="1" xfId="0" applyFont="1" applyBorder="1">
      <alignment vertical="top"/>
    </xf>
    <xf numFmtId="166" fontId="25" fillId="0" borderId="1" xfId="0" applyNumberFormat="1" applyFont="1" applyBorder="1">
      <alignment vertical="top"/>
    </xf>
    <xf numFmtId="16" fontId="25" fillId="0" borderId="17" xfId="0" applyNumberFormat="1" applyFont="1" applyBorder="1" applyAlignment="1">
      <alignment horizontal="center" vertical="top"/>
    </xf>
    <xf numFmtId="0" fontId="25" fillId="0" borderId="0" xfId="0" applyFont="1" applyAlignment="1">
      <alignment horizontal="center" vertical="top"/>
    </xf>
    <xf numFmtId="0" fontId="25" fillId="0" borderId="1" xfId="0" applyFont="1" applyBorder="1" applyAlignment="1">
      <alignment horizontal="left" vertical="top"/>
    </xf>
    <xf numFmtId="0" fontId="25" fillId="0" borderId="1" xfId="0" applyFont="1" applyBorder="1" applyAlignment="1">
      <alignment horizontal="center" vertical="top"/>
    </xf>
    <xf numFmtId="0" fontId="25" fillId="0" borderId="1" xfId="0" applyNumberFormat="1" applyFont="1" applyBorder="1" applyAlignment="1">
      <alignment horizontal="center" vertical="top"/>
    </xf>
    <xf numFmtId="2" fontId="24" fillId="0" borderId="1" xfId="0" applyNumberFormat="1" applyFont="1" applyBorder="1" applyAlignment="1">
      <alignment horizontal="center" vertical="top"/>
    </xf>
    <xf numFmtId="2" fontId="25" fillId="0" borderId="1" xfId="0" applyNumberFormat="1" applyFont="1" applyBorder="1" applyAlignment="1">
      <alignment horizontal="center"/>
    </xf>
    <xf numFmtId="2" fontId="25" fillId="0" borderId="17" xfId="0" applyNumberFormat="1" applyFont="1" applyBorder="1" applyAlignment="1">
      <alignment horizontal="center"/>
    </xf>
    <xf numFmtId="0" fontId="25" fillId="0" borderId="16" xfId="0" applyFont="1" applyBorder="1" applyAlignment="1">
      <alignment horizontal="center" vertical="top"/>
    </xf>
    <xf numFmtId="2" fontId="24" fillId="0" borderId="17" xfId="0" applyNumberFormat="1" applyFont="1" applyBorder="1" applyAlignment="1">
      <alignment horizontal="center" vertical="top"/>
    </xf>
    <xf numFmtId="0" fontId="24" fillId="0" borderId="0" xfId="0" applyFont="1">
      <alignment vertical="top"/>
    </xf>
    <xf numFmtId="0" fontId="23" fillId="9" borderId="0" xfId="0" applyFont="1" applyFill="1" applyBorder="1" applyAlignment="1">
      <alignment horizontal="center" vertical="center"/>
    </xf>
    <xf numFmtId="0" fontId="23" fillId="9" borderId="9" xfId="0" applyFont="1" applyFill="1" applyBorder="1" applyAlignment="1">
      <alignment horizontal="center" vertical="center"/>
    </xf>
    <xf numFmtId="0" fontId="24" fillId="9" borderId="12" xfId="0" applyFont="1" applyFill="1" applyBorder="1" applyAlignment="1">
      <alignment horizontal="center" vertical="top"/>
    </xf>
    <xf numFmtId="0" fontId="24" fillId="9" borderId="13" xfId="0" applyFont="1" applyFill="1" applyBorder="1" applyAlignment="1">
      <alignment horizontal="center" vertical="top"/>
    </xf>
    <xf numFmtId="0" fontId="24" fillId="9" borderId="11" xfId="0" applyFont="1" applyFill="1" applyBorder="1" applyAlignment="1">
      <alignment horizontal="center" vertical="top"/>
    </xf>
  </cellXfs>
  <cellStyles count="4">
    <cellStyle name="Calculation" xfId="2" builtinId="22"/>
    <cellStyle name="Normal" xfId="0" builtinId="0"/>
    <cellStyle name="Note" xfId="3" builtinId="10"/>
    <cellStyle name="Percent" xfId="1" builtinId="5"/>
  </cellStyles>
  <dxfs count="7">
    <dxf>
      <font>
        <color rgb="FF9C0006"/>
      </font>
      <fill>
        <patternFill>
          <bgColor rgb="FFFFC7CE"/>
        </patternFill>
      </fill>
    </dxf>
    <dxf>
      <font>
        <b/>
        <i val="0"/>
        <condense val="0"/>
        <extend val="0"/>
        <color indexed="10"/>
      </font>
    </dxf>
    <dxf>
      <font>
        <condense val="0"/>
        <extend val="0"/>
        <color indexed="13"/>
      </font>
      <fill>
        <patternFill>
          <bgColor indexed="16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ont>
        <condense val="0"/>
        <extend val="0"/>
        <color indexed="13"/>
      </font>
      <fill>
        <patternFill>
          <bgColor indexed="16"/>
        </patternFill>
      </fill>
    </dxf>
    <dxf>
      <font>
        <condense val="0"/>
        <extend val="0"/>
        <color indexed="6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2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7.emf"/><Relationship Id="rId3" Type="http://schemas.openxmlformats.org/officeDocument/2006/relationships/image" Target="../media/image12.emf"/><Relationship Id="rId7" Type="http://schemas.openxmlformats.org/officeDocument/2006/relationships/image" Target="../media/image16.emf"/><Relationship Id="rId2" Type="http://schemas.openxmlformats.org/officeDocument/2006/relationships/image" Target="../media/image11.emf"/><Relationship Id="rId1" Type="http://schemas.openxmlformats.org/officeDocument/2006/relationships/image" Target="../media/image10.emf"/><Relationship Id="rId6" Type="http://schemas.openxmlformats.org/officeDocument/2006/relationships/image" Target="../media/image15.emf"/><Relationship Id="rId5" Type="http://schemas.openxmlformats.org/officeDocument/2006/relationships/image" Target="../media/image14.emf"/><Relationship Id="rId4" Type="http://schemas.openxmlformats.org/officeDocument/2006/relationships/image" Target="../media/image13.emf"/><Relationship Id="rId9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46</xdr:row>
          <xdr:rowOff>19050</xdr:rowOff>
        </xdr:from>
        <xdr:to>
          <xdr:col>7</xdr:col>
          <xdr:colOff>152400</xdr:colOff>
          <xdr:row>88</xdr:row>
          <xdr:rowOff>28575</xdr:rowOff>
        </xdr:to>
        <xdr:pic>
          <xdr:nvPicPr>
            <xdr:cNvPr id="2" name="Picture 1"/>
            <xdr:cNvPicPr>
              <a:picLocks noChangeAspect="1" noChangeArrowheads="1"/>
              <a:extLst>
                <a:ext uri="{84589F7E-364E-4C9E-8A38-B11213B215E9}">
                  <a14:cameraTool cellRange="$A$1:$G$42" spid="_x0000_s12559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42875" y="6591300"/>
              <a:ext cx="2874818" cy="5818909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209550</xdr:colOff>
          <xdr:row>46</xdr:row>
          <xdr:rowOff>85725</xdr:rowOff>
        </xdr:from>
        <xdr:to>
          <xdr:col>19</xdr:col>
          <xdr:colOff>238125</xdr:colOff>
          <xdr:row>76</xdr:row>
          <xdr:rowOff>95250</xdr:rowOff>
        </xdr:to>
        <xdr:pic>
          <xdr:nvPicPr>
            <xdr:cNvPr id="3" name="Picture 2"/>
            <xdr:cNvPicPr>
              <a:picLocks noChangeAspect="1" noChangeArrowheads="1"/>
              <a:extLst>
                <a:ext uri="{84589F7E-364E-4C9E-8A38-B11213B215E9}">
                  <a14:cameraTool cellRange="$I$1:$R$30" spid="_x0000_s12560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3448050" y="6657975"/>
              <a:ext cx="3962400" cy="4295775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91</xdr:row>
          <xdr:rowOff>47625</xdr:rowOff>
        </xdr:from>
        <xdr:to>
          <xdr:col>12</xdr:col>
          <xdr:colOff>304800</xdr:colOff>
          <xdr:row>117</xdr:row>
          <xdr:rowOff>57150</xdr:rowOff>
        </xdr:to>
        <xdr:pic>
          <xdr:nvPicPr>
            <xdr:cNvPr id="4" name="Picture 3"/>
            <xdr:cNvPicPr>
              <a:picLocks noChangeAspect="1" noChangeArrowheads="1"/>
              <a:extLst>
                <a:ext uri="{84589F7E-364E-4C9E-8A38-B11213B215E9}">
                  <a14:cameraTool cellRange="$T$1:$AD$26" spid="_x0000_s12561"/>
                </a:ext>
              </a:extLst>
            </xdr:cNvPicPr>
          </xdr:nvPicPr>
          <xdr:blipFill>
            <a:blip xmlns:r="http://schemas.openxmlformats.org/officeDocument/2006/relationships" r:embed="rId3"/>
            <a:srcRect/>
            <a:stretch>
              <a:fillRect/>
            </a:stretch>
          </xdr:blipFill>
          <xdr:spPr bwMode="auto">
            <a:xfrm>
              <a:off x="190500" y="13049250"/>
              <a:ext cx="4886325" cy="3724275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104775</xdr:colOff>
          <xdr:row>91</xdr:row>
          <xdr:rowOff>47625</xdr:rowOff>
        </xdr:from>
        <xdr:to>
          <xdr:col>15</xdr:col>
          <xdr:colOff>104775</xdr:colOff>
          <xdr:row>100</xdr:row>
          <xdr:rowOff>57150</xdr:rowOff>
        </xdr:to>
        <xdr:pic>
          <xdr:nvPicPr>
            <xdr:cNvPr id="5" name="Picture 4"/>
            <xdr:cNvPicPr>
              <a:picLocks noChangeAspect="1" noChangeArrowheads="1"/>
              <a:extLst>
                <a:ext uri="{84589F7E-364E-4C9E-8A38-B11213B215E9}">
                  <a14:cameraTool cellRange="$AI$1:$AJ$9" spid="_x0000_s12562"/>
                </a:ext>
              </a:extLst>
            </xdr:cNvPicPr>
          </xdr:nvPicPr>
          <xdr:blipFill>
            <a:blip xmlns:r="http://schemas.openxmlformats.org/officeDocument/2006/relationships" r:embed="rId4"/>
            <a:srcRect/>
            <a:stretch>
              <a:fillRect/>
            </a:stretch>
          </xdr:blipFill>
          <xdr:spPr bwMode="auto">
            <a:xfrm>
              <a:off x="5219700" y="13049250"/>
              <a:ext cx="866775" cy="129540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285750</xdr:colOff>
          <xdr:row>91</xdr:row>
          <xdr:rowOff>47625</xdr:rowOff>
        </xdr:from>
        <xdr:to>
          <xdr:col>20</xdr:col>
          <xdr:colOff>19050</xdr:colOff>
          <xdr:row>118</xdr:row>
          <xdr:rowOff>57150</xdr:rowOff>
        </xdr:to>
        <xdr:pic>
          <xdr:nvPicPr>
            <xdr:cNvPr id="6" name="Picture 5"/>
            <xdr:cNvPicPr>
              <a:picLocks noChangeAspect="1" noChangeArrowheads="1"/>
              <a:extLst>
                <a:ext uri="{84589F7E-364E-4C9E-8A38-B11213B215E9}">
                  <a14:cameraTool cellRange="$AL$1:$AM$27" spid="_x0000_s12563"/>
                </a:ext>
              </a:extLst>
            </xdr:cNvPicPr>
          </xdr:nvPicPr>
          <xdr:blipFill>
            <a:blip xmlns:r="http://schemas.openxmlformats.org/officeDocument/2006/relationships" r:embed="rId5"/>
            <a:srcRect/>
            <a:stretch>
              <a:fillRect/>
            </a:stretch>
          </xdr:blipFill>
          <xdr:spPr bwMode="auto">
            <a:xfrm>
              <a:off x="6267450" y="13049250"/>
              <a:ext cx="1190625" cy="386715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190500</xdr:colOff>
          <xdr:row>91</xdr:row>
          <xdr:rowOff>47625</xdr:rowOff>
        </xdr:from>
        <xdr:to>
          <xdr:col>22</xdr:col>
          <xdr:colOff>647700</xdr:colOff>
          <xdr:row>112</xdr:row>
          <xdr:rowOff>57150</xdr:rowOff>
        </xdr:to>
        <xdr:pic>
          <xdr:nvPicPr>
            <xdr:cNvPr id="7" name="Picture 6"/>
            <xdr:cNvPicPr>
              <a:picLocks noChangeAspect="1" noChangeArrowheads="1"/>
              <a:extLst>
                <a:ext uri="{84589F7E-364E-4C9E-8A38-B11213B215E9}">
                  <a14:cameraTool cellRange="$AF$1:$AG$21" spid="_x0000_s12564"/>
                </a:ext>
              </a:extLst>
            </xdr:cNvPicPr>
          </xdr:nvPicPr>
          <xdr:blipFill>
            <a:blip xmlns:r="http://schemas.openxmlformats.org/officeDocument/2006/relationships" r:embed="rId6"/>
            <a:srcRect/>
            <a:stretch>
              <a:fillRect/>
            </a:stretch>
          </xdr:blipFill>
          <xdr:spPr bwMode="auto">
            <a:xfrm>
              <a:off x="7629525" y="13049250"/>
              <a:ext cx="1114425" cy="300990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28575</xdr:colOff>
          <xdr:row>101</xdr:row>
          <xdr:rowOff>66675</xdr:rowOff>
        </xdr:from>
        <xdr:to>
          <xdr:col>15</xdr:col>
          <xdr:colOff>238125</xdr:colOff>
          <xdr:row>106</xdr:row>
          <xdr:rowOff>76200</xdr:rowOff>
        </xdr:to>
        <xdr:pic>
          <xdr:nvPicPr>
            <xdr:cNvPr id="8" name="Picture 7"/>
            <xdr:cNvPicPr>
              <a:picLocks noChangeAspect="1" noChangeArrowheads="1"/>
              <a:extLst>
                <a:ext uri="{84589F7E-364E-4C9E-8A38-B11213B215E9}">
                  <a14:cameraTool cellRange="$AR$1:$AS$5" spid="_x0000_s12565"/>
                </a:ext>
              </a:extLst>
            </xdr:cNvPicPr>
          </xdr:nvPicPr>
          <xdr:blipFill>
            <a:blip xmlns:r="http://schemas.openxmlformats.org/officeDocument/2006/relationships" r:embed="rId7"/>
            <a:srcRect/>
            <a:stretch>
              <a:fillRect/>
            </a:stretch>
          </xdr:blipFill>
          <xdr:spPr bwMode="auto">
            <a:xfrm>
              <a:off x="5143500" y="14497050"/>
              <a:ext cx="1076325" cy="72390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152400</xdr:colOff>
          <xdr:row>46</xdr:row>
          <xdr:rowOff>95250</xdr:rowOff>
        </xdr:from>
        <xdr:to>
          <xdr:col>22</xdr:col>
          <xdr:colOff>361950</xdr:colOff>
          <xdr:row>59</xdr:row>
          <xdr:rowOff>104775</xdr:rowOff>
        </xdr:to>
        <xdr:pic>
          <xdr:nvPicPr>
            <xdr:cNvPr id="9" name="Picture 8"/>
            <xdr:cNvPicPr>
              <a:picLocks noChangeAspect="1" noChangeArrowheads="1"/>
              <a:extLst>
                <a:ext uri="{84589F7E-364E-4C9E-8A38-B11213B215E9}">
                  <a14:cameraTool cellRange="$AO$1:$AP$13" spid="_x0000_s12566"/>
                </a:ext>
              </a:extLst>
            </xdr:cNvPicPr>
          </xdr:nvPicPr>
          <xdr:blipFill>
            <a:blip xmlns:r="http://schemas.openxmlformats.org/officeDocument/2006/relationships" r:embed="rId8"/>
            <a:srcRect/>
            <a:stretch>
              <a:fillRect/>
            </a:stretch>
          </xdr:blipFill>
          <xdr:spPr bwMode="auto">
            <a:xfrm>
              <a:off x="7591425" y="6667500"/>
              <a:ext cx="866775" cy="186690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257175</xdr:colOff>
          <xdr:row>70</xdr:row>
          <xdr:rowOff>95250</xdr:rowOff>
        </xdr:from>
        <xdr:to>
          <xdr:col>28</xdr:col>
          <xdr:colOff>371475</xdr:colOff>
          <xdr:row>86</xdr:row>
          <xdr:rowOff>104775</xdr:rowOff>
        </xdr:to>
        <xdr:pic>
          <xdr:nvPicPr>
            <xdr:cNvPr id="10" name="Picture 9"/>
            <xdr:cNvPicPr>
              <a:picLocks noChangeAspect="1" noChangeArrowheads="1"/>
              <a:extLst>
                <a:ext uri="{84589F7E-364E-4C9E-8A38-B11213B215E9}">
                  <a14:cameraTool cellRange="$AU$1:$AZ$16" spid="_x0000_s12567"/>
                </a:ext>
              </a:extLst>
            </xdr:cNvPicPr>
          </xdr:nvPicPr>
          <xdr:blipFill>
            <a:blip xmlns:r="http://schemas.openxmlformats.org/officeDocument/2006/relationships" r:embed="rId9"/>
            <a:srcRect/>
            <a:stretch>
              <a:fillRect/>
            </a:stretch>
          </xdr:blipFill>
          <xdr:spPr bwMode="auto">
            <a:xfrm>
              <a:off x="7696200" y="10096500"/>
              <a:ext cx="3038475" cy="2295525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Mike Woodhouse" refreshedDate="43770.497083680559" createdVersion="5" refreshedVersion="5" minRefreshableVersion="3" recordCount="17">
  <cacheSource type="worksheet">
    <worksheetSource ref="A1:B18" sheet="Capts"/>
  </cacheSource>
  <cacheFields count="2">
    <cacheField name="Res" numFmtId="0">
      <sharedItems containsMixedTypes="1" containsNumber="1" containsInteger="1" minValue="0" maxValue="0" count="3">
        <s v="W"/>
        <s v="L"/>
        <n v="0" u="1"/>
      </sharedItems>
    </cacheField>
    <cacheField name="Capt" numFmtId="0">
      <sharedItems count="6">
        <s v="Springer T"/>
        <s v="Brocks D"/>
        <s v="Sharpe D"/>
        <s v="Seymour C"/>
        <s v="Greenall D" u="1"/>
        <e v="#N/A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Mike Woodhouse" refreshedDate="45253.615818749997" createdVersion="5" refreshedVersion="5" minRefreshableVersion="3" recordCount="21">
  <cacheSource type="worksheet">
    <worksheetSource ref="I3:J24" sheet="Capts"/>
  </cacheSource>
  <cacheFields count="2">
    <cacheField name="capt" numFmtId="0">
      <sharedItems count="4">
        <s v="Springer T"/>
        <s v="Brocks D"/>
        <s v="Sharpe D"/>
        <s v="Seymour C"/>
      </sharedItems>
    </cacheField>
    <cacheField name="res" numFmtId="0">
      <sharedItems count="2">
        <s v="W"/>
        <s v="L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">
  <r>
    <x v="0"/>
    <x v="0"/>
  </r>
  <r>
    <x v="1"/>
    <x v="0"/>
  </r>
  <r>
    <x v="1"/>
    <x v="0"/>
  </r>
  <r>
    <x v="0"/>
    <x v="0"/>
  </r>
  <r>
    <x v="0"/>
    <x v="0"/>
  </r>
  <r>
    <x v="0"/>
    <x v="1"/>
  </r>
  <r>
    <x v="0"/>
    <x v="0"/>
  </r>
  <r>
    <x v="0"/>
    <x v="2"/>
  </r>
  <r>
    <x v="1"/>
    <x v="3"/>
  </r>
  <r>
    <x v="1"/>
    <x v="0"/>
  </r>
  <r>
    <x v="1"/>
    <x v="0"/>
  </r>
  <r>
    <x v="1"/>
    <x v="0"/>
  </r>
  <r>
    <x v="0"/>
    <x v="0"/>
  </r>
  <r>
    <x v="0"/>
    <x v="0"/>
  </r>
  <r>
    <x v="1"/>
    <x v="0"/>
  </r>
  <r>
    <x v="1"/>
    <x v="0"/>
  </r>
  <r>
    <x v="1"/>
    <x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1">
  <r>
    <x v="0"/>
    <x v="0"/>
  </r>
  <r>
    <x v="0"/>
    <x v="1"/>
  </r>
  <r>
    <x v="0"/>
    <x v="1"/>
  </r>
  <r>
    <x v="0"/>
    <x v="0"/>
  </r>
  <r>
    <x v="0"/>
    <x v="0"/>
  </r>
  <r>
    <x v="1"/>
    <x v="0"/>
  </r>
  <r>
    <x v="0"/>
    <x v="0"/>
  </r>
  <r>
    <x v="2"/>
    <x v="0"/>
  </r>
  <r>
    <x v="3"/>
    <x v="1"/>
  </r>
  <r>
    <x v="0"/>
    <x v="1"/>
  </r>
  <r>
    <x v="0"/>
    <x v="1"/>
  </r>
  <r>
    <x v="0"/>
    <x v="1"/>
  </r>
  <r>
    <x v="0"/>
    <x v="0"/>
  </r>
  <r>
    <x v="0"/>
    <x v="0"/>
  </r>
  <r>
    <x v="0"/>
    <x v="1"/>
  </r>
  <r>
    <x v="0"/>
    <x v="1"/>
  </r>
  <r>
    <x v="0"/>
    <x v="1"/>
  </r>
  <r>
    <x v="0"/>
    <x v="1"/>
  </r>
  <r>
    <x v="0"/>
    <x v="0"/>
  </r>
  <r>
    <x v="0"/>
    <x v="1"/>
  </r>
  <r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1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D9:G15" firstHeaderRow="1" firstDataRow="2" firstDataCol="1"/>
  <pivotFields count="2">
    <pivotField axis="axisCol" dataField="1" showAll="0">
      <items count="4">
        <item x="1"/>
        <item x="0"/>
        <item m="1" x="2"/>
        <item t="default"/>
      </items>
    </pivotField>
    <pivotField axis="axisRow" showAll="0">
      <items count="7">
        <item m="1" x="4"/>
        <item x="2"/>
        <item x="0"/>
        <item m="1" x="5"/>
        <item x="1"/>
        <item x="3"/>
        <item t="default"/>
      </items>
    </pivotField>
  </pivotFields>
  <rowFields count="1">
    <field x="1"/>
  </rowFields>
  <rowItems count="5">
    <i>
      <x v="1"/>
    </i>
    <i>
      <x v="2"/>
    </i>
    <i>
      <x v="4"/>
    </i>
    <i>
      <x v="5"/>
    </i>
    <i t="grand">
      <x/>
    </i>
  </rowItems>
  <colFields count="1">
    <field x="0"/>
  </colFields>
  <colItems count="3">
    <i>
      <x/>
    </i>
    <i>
      <x v="1"/>
    </i>
    <i t="grand">
      <x/>
    </i>
  </colItems>
  <dataFields count="1">
    <dataField name="Count of Res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M6:P12" firstHeaderRow="1" firstDataRow="2" firstDataCol="1"/>
  <pivotFields count="2">
    <pivotField axis="axisRow" showAll="0">
      <items count="5">
        <item x="1"/>
        <item x="3"/>
        <item x="2"/>
        <item x="0"/>
        <item t="default"/>
      </items>
    </pivotField>
    <pivotField axis="axisCol" dataField="1" showAll="0">
      <items count="3">
        <item x="1"/>
        <item x="0"/>
        <item t="default"/>
      </items>
    </pivotField>
  </pivotFields>
  <rowFields count="1">
    <field x="0"/>
  </rowFields>
  <rowItems count="5">
    <i>
      <x/>
    </i>
    <i>
      <x v="1"/>
    </i>
    <i>
      <x v="2"/>
    </i>
    <i>
      <x v="3"/>
    </i>
    <i t="grand">
      <x/>
    </i>
  </rowItems>
  <colFields count="1">
    <field x="1"/>
  </colFields>
  <colItems count="3">
    <i>
      <x/>
    </i>
    <i>
      <x v="1"/>
    </i>
    <i t="grand">
      <x/>
    </i>
  </colItems>
  <dataFields count="1">
    <dataField name="Count of res" fld="1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Classic">
      <a:majorFont>
        <a:latin typeface="Arial"/>
        <a:ea typeface=""/>
        <a:cs typeface=""/>
        <a:font script="Jpan" typeface="ＭＳ Ｐゴシック"/>
        <a:font script="Hang" typeface="돋움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ajorFont>
      <a:minorFont>
        <a:latin typeface="Times New Roman"/>
        <a:ea typeface=""/>
        <a:cs typeface=""/>
        <a:font script="Jpan" typeface="ＭＳ Ｐ明朝"/>
        <a:font script="Hang" typeface="바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AG57"/>
  <sheetViews>
    <sheetView workbookViewId="0">
      <selection activeCell="AA20" sqref="AA20"/>
    </sheetView>
  </sheetViews>
  <sheetFormatPr defaultRowHeight="11.25" x14ac:dyDescent="0.15"/>
  <cols>
    <col min="1" max="1" width="7" style="23" bestFit="1" customWidth="1"/>
    <col min="2" max="2" width="11.7109375" style="27" customWidth="1"/>
    <col min="3" max="3" width="19.85546875" style="25" bestFit="1" customWidth="1"/>
    <col min="4" max="4" width="6.42578125" style="24" customWidth="1"/>
    <col min="5" max="5" width="7.140625" style="24" customWidth="1"/>
    <col min="6" max="6" width="6.28515625" style="24" customWidth="1"/>
    <col min="7" max="7" width="5.42578125" style="23" bestFit="1" customWidth="1"/>
    <col min="8" max="8" width="5.5703125" style="24" bestFit="1" customWidth="1"/>
    <col min="9" max="9" width="9.7109375" style="24" hidden="1" customWidth="1"/>
    <col min="10" max="10" width="31.7109375" style="91" customWidth="1"/>
    <col min="11" max="11" width="5.42578125" style="23" bestFit="1" customWidth="1"/>
    <col min="12" max="12" width="5.5703125" style="24" bestFit="1" customWidth="1"/>
    <col min="13" max="13" width="6.42578125" style="24" hidden="1" customWidth="1"/>
    <col min="14" max="14" width="31.7109375" style="25" customWidth="1"/>
    <col min="15" max="16" width="7.42578125" style="25" customWidth="1"/>
    <col min="17" max="17" width="8" style="26" bestFit="1" customWidth="1"/>
    <col min="18" max="24" width="5.7109375" style="26" customWidth="1"/>
    <col min="25" max="26" width="6" style="26" customWidth="1"/>
    <col min="27" max="30" width="9.140625" style="26"/>
    <col min="31" max="31" width="14.7109375" style="26" bestFit="1" customWidth="1"/>
    <col min="32" max="16384" width="9.140625" style="26"/>
  </cols>
  <sheetData>
    <row r="1" spans="1:33" s="22" customFormat="1" ht="12.75" customHeight="1" x14ac:dyDescent="0.15">
      <c r="A1" s="242">
        <v>2019</v>
      </c>
      <c r="B1" s="242"/>
      <c r="C1" s="38" t="str">
        <f t="array" ref="C1">"Won:"&amp;SUM(IF($E$5:$E$39="W",1,0))</f>
        <v>Won:10</v>
      </c>
      <c r="D1" s="96" t="str">
        <f t="array" ref="D1">"N/D:"&amp;SUM(IF($E$5:$E$39="ND",1,0))</f>
        <v>N/D:0</v>
      </c>
      <c r="E1" s="29"/>
      <c r="F1" s="29"/>
      <c r="H1" s="59"/>
      <c r="J1" s="92"/>
      <c r="K1" s="28"/>
      <c r="L1" s="29"/>
      <c r="M1" s="29"/>
      <c r="N1" s="30"/>
      <c r="O1" s="30"/>
      <c r="P1" s="30"/>
      <c r="Q1" s="31"/>
      <c r="R1" s="31"/>
      <c r="S1" s="31"/>
      <c r="T1" s="31"/>
      <c r="U1" s="31"/>
      <c r="V1" s="31"/>
      <c r="W1" s="31"/>
      <c r="X1" s="31"/>
    </row>
    <row r="2" spans="1:33" s="43" customFormat="1" x14ac:dyDescent="0.15">
      <c r="A2" s="242"/>
      <c r="B2" s="242"/>
      <c r="C2" s="38" t="str">
        <f t="array" ref="C2">"Lost:"&amp;SUM(IF($E$5:$E$39="L",1,0))</f>
        <v>Lost:11</v>
      </c>
      <c r="D2" s="60" t="str">
        <f t="array" ref="D2">"Tied:"&amp;SUM(IF($E$5:$E$39="T",1,0))</f>
        <v>Tied:0</v>
      </c>
      <c r="E2" s="40"/>
      <c r="F2" s="40"/>
      <c r="G2" s="58"/>
      <c r="H2" s="60"/>
      <c r="J2" s="93"/>
      <c r="K2" s="39"/>
      <c r="L2" s="40"/>
      <c r="M2" s="40"/>
      <c r="N2" s="41" t="s">
        <v>194</v>
      </c>
      <c r="O2" s="41"/>
      <c r="P2" s="41"/>
      <c r="Q2" s="42"/>
      <c r="R2" s="42"/>
      <c r="S2" s="42"/>
      <c r="T2" s="42"/>
      <c r="U2" s="42"/>
      <c r="V2" s="42"/>
      <c r="W2" s="42"/>
      <c r="X2" s="42"/>
      <c r="Z2" s="43" t="s">
        <v>185</v>
      </c>
      <c r="AA2" s="43">
        <f>MAX(AA5:AA31)</f>
        <v>252</v>
      </c>
      <c r="AB2" s="43">
        <f>MAX(AB5:AB31)</f>
        <v>280</v>
      </c>
    </row>
    <row r="3" spans="1:33" s="43" customFormat="1" ht="12" thickBot="1" x14ac:dyDescent="0.2">
      <c r="A3" s="243"/>
      <c r="B3" s="243"/>
      <c r="C3" s="38" t="str">
        <f t="array" ref="C3">"Drawn:"&amp;SUM(IF($E$5:$E$39="D",1,0))</f>
        <v>Drawn:0</v>
      </c>
      <c r="D3" s="40"/>
      <c r="E3" s="40"/>
      <c r="F3" s="40"/>
      <c r="G3" s="39"/>
      <c r="H3" s="40"/>
      <c r="I3" s="39"/>
      <c r="J3" s="89"/>
      <c r="K3" s="39"/>
      <c r="L3" s="40"/>
      <c r="M3" s="40"/>
      <c r="N3" s="41" t="s">
        <v>195</v>
      </c>
      <c r="O3" s="161">
        <f>MAX(O5:O25)</f>
        <v>40</v>
      </c>
      <c r="P3" s="161">
        <f>MAX(P5:P25)</f>
        <v>40</v>
      </c>
      <c r="Q3" s="42"/>
      <c r="R3" s="42"/>
      <c r="S3" s="42"/>
      <c r="T3" s="42"/>
      <c r="U3" s="42"/>
      <c r="V3" s="42"/>
      <c r="W3" s="42"/>
      <c r="X3" s="42"/>
      <c r="Z3" s="43" t="s">
        <v>186</v>
      </c>
      <c r="AA3" s="43">
        <f t="array" ref="AA3">MIN(IF(AA5:AA31=0,99999,AA5:AA31))</f>
        <v>73</v>
      </c>
      <c r="AB3" s="43">
        <f t="array" ref="AB3">MIN(IF(AB5:AB31&lt;=0,99999,AB5:AB31))</f>
        <v>105</v>
      </c>
      <c r="AF3" s="43">
        <f>SUM(AF5:AF31)</f>
        <v>9</v>
      </c>
      <c r="AG3" s="43">
        <f>SUM(AG5:AG31)</f>
        <v>9</v>
      </c>
    </row>
    <row r="4" spans="1:33" s="135" customFormat="1" ht="31.5" x14ac:dyDescent="0.15">
      <c r="A4" s="129" t="s">
        <v>119</v>
      </c>
      <c r="B4" s="130" t="s">
        <v>0</v>
      </c>
      <c r="C4" s="131" t="s">
        <v>1</v>
      </c>
      <c r="D4" s="129" t="s">
        <v>2</v>
      </c>
      <c r="E4" s="129" t="s">
        <v>3</v>
      </c>
      <c r="F4" s="129" t="s">
        <v>143</v>
      </c>
      <c r="G4" s="131" t="s">
        <v>9</v>
      </c>
      <c r="H4" s="129" t="s">
        <v>32</v>
      </c>
      <c r="I4" s="129" t="s">
        <v>99</v>
      </c>
      <c r="J4" s="132"/>
      <c r="K4" s="131" t="s">
        <v>9</v>
      </c>
      <c r="L4" s="129" t="s">
        <v>32</v>
      </c>
      <c r="M4" s="129" t="s">
        <v>99</v>
      </c>
      <c r="N4" s="131"/>
      <c r="O4" s="131" t="s">
        <v>166</v>
      </c>
      <c r="P4" s="131" t="s">
        <v>167</v>
      </c>
      <c r="Q4" s="131" t="s">
        <v>101</v>
      </c>
      <c r="R4" s="133" t="s">
        <v>102</v>
      </c>
      <c r="S4" s="133" t="s">
        <v>103</v>
      </c>
      <c r="T4" s="133" t="s">
        <v>104</v>
      </c>
      <c r="U4" s="133" t="s">
        <v>105</v>
      </c>
      <c r="V4" s="133" t="s">
        <v>106</v>
      </c>
      <c r="W4" s="133" t="s">
        <v>107</v>
      </c>
      <c r="X4" s="133" t="s">
        <v>108</v>
      </c>
      <c r="Y4" s="133" t="s">
        <v>109</v>
      </c>
      <c r="Z4" s="133" t="s">
        <v>110</v>
      </c>
      <c r="AA4" s="134" t="s">
        <v>179</v>
      </c>
      <c r="AB4" s="134" t="s">
        <v>180</v>
      </c>
      <c r="AC4" s="134" t="s">
        <v>181</v>
      </c>
      <c r="AD4" s="134" t="s">
        <v>182</v>
      </c>
      <c r="AE4" s="135" t="s">
        <v>202</v>
      </c>
      <c r="AF4" s="135" t="s">
        <v>213</v>
      </c>
      <c r="AG4" s="135" t="s">
        <v>214</v>
      </c>
    </row>
    <row r="5" spans="1:33" s="22" customFormat="1" x14ac:dyDescent="0.15">
      <c r="A5" s="104" t="str">
        <f t="shared" ref="A5:A31" si="0">TEXT(WEEKDAY(B5),"ddd")</f>
        <v>Sun</v>
      </c>
      <c r="B5" s="105">
        <v>43583</v>
      </c>
      <c r="C5" s="106" t="s">
        <v>312</v>
      </c>
      <c r="D5" s="107" t="s">
        <v>201</v>
      </c>
      <c r="E5" s="107" t="s">
        <v>206</v>
      </c>
      <c r="F5" s="107" t="s">
        <v>204</v>
      </c>
      <c r="G5" s="108">
        <v>226</v>
      </c>
      <c r="H5" s="107">
        <v>10</v>
      </c>
      <c r="I5" s="107"/>
      <c r="J5" s="109" t="s">
        <v>313</v>
      </c>
      <c r="K5" s="108">
        <v>189</v>
      </c>
      <c r="L5" s="107">
        <v>10</v>
      </c>
      <c r="M5" s="107"/>
      <c r="N5" s="106" t="s">
        <v>332</v>
      </c>
      <c r="O5" s="110">
        <v>39.4</v>
      </c>
      <c r="P5" s="110">
        <v>39.299999999999997</v>
      </c>
      <c r="Q5" s="111">
        <v>1</v>
      </c>
      <c r="R5" s="111">
        <v>1</v>
      </c>
      <c r="S5" s="111">
        <v>8</v>
      </c>
      <c r="T5" s="111">
        <v>1</v>
      </c>
      <c r="U5" s="111">
        <v>9</v>
      </c>
      <c r="V5" s="111">
        <v>8</v>
      </c>
      <c r="W5" s="111">
        <v>5</v>
      </c>
      <c r="X5" s="111">
        <v>2</v>
      </c>
      <c r="Y5" s="111">
        <f t="shared" ref="Y5:Y27" si="1">SUM(Q5:T5)</f>
        <v>11</v>
      </c>
      <c r="Z5" s="111">
        <f t="shared" ref="Z5:Z27" si="2">SUM(U5:X5)</f>
        <v>24</v>
      </c>
      <c r="AA5" s="111">
        <f t="shared" ref="AA5:AA20" si="3">IF(F5="TOCC",G5,K5)</f>
        <v>226</v>
      </c>
      <c r="AB5" s="111">
        <f t="shared" ref="AB5:AB20" si="4">IF(F5&lt;&gt;"TOCC",G5,K5)</f>
        <v>189</v>
      </c>
      <c r="AC5" s="111">
        <f t="shared" ref="AC5:AC20" si="5">IF(F5="TOCC",H5,L5)</f>
        <v>10</v>
      </c>
      <c r="AD5" s="111">
        <f t="shared" ref="AD5:AD20" si="6">IF(F5&lt;&gt;"TOCC",H5,L5)</f>
        <v>10</v>
      </c>
      <c r="AE5" s="163"/>
      <c r="AF5" s="22">
        <v>0</v>
      </c>
      <c r="AG5" s="22">
        <v>0</v>
      </c>
    </row>
    <row r="6" spans="1:33" x14ac:dyDescent="0.15">
      <c r="A6" s="104" t="str">
        <f t="shared" si="0"/>
        <v>Sun</v>
      </c>
      <c r="B6" s="136">
        <v>43590</v>
      </c>
      <c r="C6" s="137" t="s">
        <v>229</v>
      </c>
      <c r="D6" s="138" t="s">
        <v>201</v>
      </c>
      <c r="E6" s="138" t="s">
        <v>205</v>
      </c>
      <c r="F6" s="138" t="s">
        <v>1</v>
      </c>
      <c r="G6" s="139">
        <v>209</v>
      </c>
      <c r="H6" s="138">
        <v>8</v>
      </c>
      <c r="I6" s="138"/>
      <c r="J6" s="140" t="s">
        <v>333</v>
      </c>
      <c r="K6" s="139">
        <v>170</v>
      </c>
      <c r="L6" s="138">
        <v>3</v>
      </c>
      <c r="M6" s="138"/>
      <c r="N6" s="137" t="s">
        <v>334</v>
      </c>
      <c r="O6" s="141">
        <v>35</v>
      </c>
      <c r="P6" s="141">
        <v>35</v>
      </c>
      <c r="Q6" s="142">
        <v>5</v>
      </c>
      <c r="R6" s="142">
        <v>3</v>
      </c>
      <c r="S6" s="142">
        <v>2</v>
      </c>
      <c r="T6" s="142">
        <v>1</v>
      </c>
      <c r="U6" s="142">
        <v>2</v>
      </c>
      <c r="V6" s="142">
        <v>1</v>
      </c>
      <c r="W6" s="142">
        <v>8</v>
      </c>
      <c r="X6" s="142">
        <v>0</v>
      </c>
      <c r="Y6" s="111">
        <f t="shared" si="1"/>
        <v>11</v>
      </c>
      <c r="Z6" s="111">
        <f t="shared" si="2"/>
        <v>11</v>
      </c>
      <c r="AA6" s="142">
        <f t="shared" si="3"/>
        <v>170</v>
      </c>
      <c r="AB6" s="142">
        <f t="shared" si="4"/>
        <v>209</v>
      </c>
      <c r="AC6" s="142">
        <f t="shared" si="5"/>
        <v>3</v>
      </c>
      <c r="AD6" s="142">
        <f t="shared" si="6"/>
        <v>8</v>
      </c>
      <c r="AE6" s="163"/>
      <c r="AF6" s="26">
        <v>0</v>
      </c>
      <c r="AG6" s="26">
        <v>1</v>
      </c>
    </row>
    <row r="7" spans="1:33" x14ac:dyDescent="0.15">
      <c r="A7" s="104" t="str">
        <f t="shared" si="0"/>
        <v>Sun</v>
      </c>
      <c r="B7" s="136">
        <v>43604</v>
      </c>
      <c r="C7" s="137" t="s">
        <v>349</v>
      </c>
      <c r="D7" s="138" t="s">
        <v>201</v>
      </c>
      <c r="E7" s="138" t="s">
        <v>205</v>
      </c>
      <c r="F7" s="138" t="s">
        <v>204</v>
      </c>
      <c r="G7" s="139">
        <v>185</v>
      </c>
      <c r="H7" s="138">
        <v>9</v>
      </c>
      <c r="I7" s="138"/>
      <c r="J7" s="140"/>
      <c r="K7" s="139">
        <v>186</v>
      </c>
      <c r="L7" s="138">
        <v>7</v>
      </c>
      <c r="M7" s="138"/>
      <c r="N7" s="137"/>
      <c r="O7" s="141">
        <v>40</v>
      </c>
      <c r="P7" s="141">
        <v>35.1</v>
      </c>
      <c r="Q7" s="142">
        <v>5</v>
      </c>
      <c r="R7" s="142">
        <v>1</v>
      </c>
      <c r="S7" s="142">
        <v>6</v>
      </c>
      <c r="T7" s="142">
        <v>0</v>
      </c>
      <c r="U7" s="142">
        <v>11</v>
      </c>
      <c r="V7" s="142">
        <v>2</v>
      </c>
      <c r="W7" s="142">
        <v>9</v>
      </c>
      <c r="X7" s="142">
        <v>6</v>
      </c>
      <c r="Y7" s="111">
        <f t="shared" si="1"/>
        <v>12</v>
      </c>
      <c r="Z7" s="111">
        <f t="shared" si="2"/>
        <v>28</v>
      </c>
      <c r="AA7" s="142">
        <f t="shared" si="3"/>
        <v>185</v>
      </c>
      <c r="AB7" s="142">
        <f t="shared" si="4"/>
        <v>186</v>
      </c>
      <c r="AC7" s="142">
        <f t="shared" si="5"/>
        <v>9</v>
      </c>
      <c r="AD7" s="142">
        <f t="shared" si="6"/>
        <v>7</v>
      </c>
      <c r="AE7" s="163"/>
      <c r="AF7" s="26">
        <v>0</v>
      </c>
      <c r="AG7" s="26">
        <v>0</v>
      </c>
    </row>
    <row r="8" spans="1:33" x14ac:dyDescent="0.15">
      <c r="A8" s="104" t="str">
        <f t="shared" si="0"/>
        <v>Sat</v>
      </c>
      <c r="B8" s="136">
        <v>43610</v>
      </c>
      <c r="C8" s="137" t="s">
        <v>366</v>
      </c>
      <c r="D8" s="138" t="s">
        <v>226</v>
      </c>
      <c r="E8" s="138" t="s">
        <v>206</v>
      </c>
      <c r="F8" s="138" t="s">
        <v>204</v>
      </c>
      <c r="G8" s="139">
        <v>213</v>
      </c>
      <c r="H8" s="138">
        <v>6</v>
      </c>
      <c r="I8" s="138"/>
      <c r="J8" s="143" t="s">
        <v>367</v>
      </c>
      <c r="K8" s="139">
        <v>120</v>
      </c>
      <c r="L8" s="138">
        <v>8</v>
      </c>
      <c r="M8" s="138"/>
      <c r="N8" s="137"/>
      <c r="O8" s="141">
        <v>40</v>
      </c>
      <c r="P8" s="141">
        <v>40</v>
      </c>
      <c r="Q8" s="142">
        <v>5</v>
      </c>
      <c r="R8" s="142">
        <v>1</v>
      </c>
      <c r="S8" s="142">
        <v>4</v>
      </c>
      <c r="T8" s="142">
        <v>0</v>
      </c>
      <c r="U8" s="142">
        <v>23</v>
      </c>
      <c r="V8" s="142">
        <v>1</v>
      </c>
      <c r="W8" s="142">
        <v>3</v>
      </c>
      <c r="X8" s="142">
        <v>3</v>
      </c>
      <c r="Y8" s="111">
        <f t="shared" si="1"/>
        <v>10</v>
      </c>
      <c r="Z8" s="111">
        <f t="shared" si="2"/>
        <v>30</v>
      </c>
      <c r="AA8" s="142">
        <f t="shared" si="3"/>
        <v>213</v>
      </c>
      <c r="AB8" s="142">
        <f t="shared" si="4"/>
        <v>120</v>
      </c>
      <c r="AC8" s="142">
        <f t="shared" si="5"/>
        <v>6</v>
      </c>
      <c r="AD8" s="142">
        <f t="shared" si="6"/>
        <v>8</v>
      </c>
      <c r="AE8" s="163"/>
      <c r="AF8" s="26">
        <v>0</v>
      </c>
      <c r="AG8" s="26">
        <v>0</v>
      </c>
    </row>
    <row r="9" spans="1:33" x14ac:dyDescent="0.15">
      <c r="A9" s="104" t="str">
        <f t="shared" si="0"/>
        <v>Sun</v>
      </c>
      <c r="B9" s="136">
        <v>43611</v>
      </c>
      <c r="C9" s="137" t="s">
        <v>229</v>
      </c>
      <c r="D9" s="138" t="s">
        <v>226</v>
      </c>
      <c r="E9" s="138" t="s">
        <v>206</v>
      </c>
      <c r="F9" s="138" t="s">
        <v>204</v>
      </c>
      <c r="G9" s="139">
        <v>198</v>
      </c>
      <c r="H9" s="138">
        <v>6</v>
      </c>
      <c r="I9" s="138"/>
      <c r="J9" s="140" t="s">
        <v>386</v>
      </c>
      <c r="K9" s="139">
        <v>126</v>
      </c>
      <c r="L9" s="138">
        <v>6</v>
      </c>
      <c r="M9" s="138"/>
      <c r="N9" s="137"/>
      <c r="O9" s="141">
        <v>35</v>
      </c>
      <c r="P9" s="141">
        <v>35</v>
      </c>
      <c r="Q9" s="142">
        <v>13</v>
      </c>
      <c r="R9" s="142">
        <v>1</v>
      </c>
      <c r="S9" s="142">
        <v>1</v>
      </c>
      <c r="T9" s="142">
        <v>0</v>
      </c>
      <c r="U9" s="142">
        <v>10</v>
      </c>
      <c r="V9" s="142">
        <v>0</v>
      </c>
      <c r="W9" s="142">
        <v>7</v>
      </c>
      <c r="X9" s="142">
        <v>6</v>
      </c>
      <c r="Y9" s="111">
        <f t="shared" si="1"/>
        <v>15</v>
      </c>
      <c r="Z9" s="111">
        <f t="shared" si="2"/>
        <v>23</v>
      </c>
      <c r="AA9" s="142">
        <f t="shared" si="3"/>
        <v>198</v>
      </c>
      <c r="AB9" s="142">
        <f t="shared" si="4"/>
        <v>126</v>
      </c>
      <c r="AC9" s="142">
        <f t="shared" si="5"/>
        <v>6</v>
      </c>
      <c r="AD9" s="142">
        <f t="shared" si="6"/>
        <v>6</v>
      </c>
      <c r="AE9" s="163"/>
      <c r="AF9" s="26">
        <v>1</v>
      </c>
      <c r="AG9" s="26">
        <v>0</v>
      </c>
    </row>
    <row r="10" spans="1:33" x14ac:dyDescent="0.15">
      <c r="A10" s="104" t="str">
        <f t="shared" si="0"/>
        <v>Mon</v>
      </c>
      <c r="B10" s="136">
        <v>43612</v>
      </c>
      <c r="C10" s="137" t="s">
        <v>251</v>
      </c>
      <c r="D10" s="138" t="s">
        <v>226</v>
      </c>
      <c r="E10" s="138" t="s">
        <v>206</v>
      </c>
      <c r="F10" s="138" t="s">
        <v>204</v>
      </c>
      <c r="G10" s="139">
        <v>172</v>
      </c>
      <c r="H10" s="138">
        <v>10</v>
      </c>
      <c r="I10" s="138"/>
      <c r="J10" s="140"/>
      <c r="K10" s="139">
        <v>149</v>
      </c>
      <c r="L10" s="138">
        <v>9</v>
      </c>
      <c r="M10" s="138"/>
      <c r="N10" s="137"/>
      <c r="O10" s="141">
        <v>34.5</v>
      </c>
      <c r="P10" s="141">
        <v>27.5</v>
      </c>
      <c r="Q10" s="142">
        <v>7</v>
      </c>
      <c r="R10" s="142">
        <v>0</v>
      </c>
      <c r="S10" s="142">
        <v>6</v>
      </c>
      <c r="T10" s="142">
        <v>1</v>
      </c>
      <c r="U10" s="142">
        <v>11</v>
      </c>
      <c r="V10" s="142">
        <v>2</v>
      </c>
      <c r="W10" s="142">
        <v>8</v>
      </c>
      <c r="X10" s="142">
        <v>5</v>
      </c>
      <c r="Y10" s="111">
        <f t="shared" si="1"/>
        <v>14</v>
      </c>
      <c r="Z10" s="111">
        <f t="shared" si="2"/>
        <v>26</v>
      </c>
      <c r="AA10" s="142">
        <f t="shared" si="3"/>
        <v>172</v>
      </c>
      <c r="AB10" s="142">
        <f t="shared" si="4"/>
        <v>149</v>
      </c>
      <c r="AC10" s="142">
        <f t="shared" si="5"/>
        <v>10</v>
      </c>
      <c r="AD10" s="142">
        <f t="shared" si="6"/>
        <v>9</v>
      </c>
      <c r="AE10" s="163"/>
      <c r="AF10" s="26">
        <v>1</v>
      </c>
      <c r="AG10" s="26">
        <v>1</v>
      </c>
    </row>
    <row r="11" spans="1:33" x14ac:dyDescent="0.15">
      <c r="A11" s="104" t="str">
        <f t="shared" si="0"/>
        <v>Sun</v>
      </c>
      <c r="B11" s="136">
        <v>43618</v>
      </c>
      <c r="C11" s="137" t="s">
        <v>248</v>
      </c>
      <c r="D11" s="138" t="s">
        <v>226</v>
      </c>
      <c r="E11" s="138" t="s">
        <v>206</v>
      </c>
      <c r="F11" s="138" t="s">
        <v>1</v>
      </c>
      <c r="G11" s="139">
        <v>210</v>
      </c>
      <c r="H11" s="138">
        <v>5</v>
      </c>
      <c r="I11" s="138"/>
      <c r="J11" s="140"/>
      <c r="K11" s="139">
        <v>211</v>
      </c>
      <c r="L11" s="138">
        <v>6</v>
      </c>
      <c r="M11" s="138"/>
      <c r="N11" s="137" t="s">
        <v>416</v>
      </c>
      <c r="O11" s="141">
        <v>39.5</v>
      </c>
      <c r="P11" s="141">
        <v>40</v>
      </c>
      <c r="Q11" s="142">
        <v>6</v>
      </c>
      <c r="R11" s="142">
        <v>2</v>
      </c>
      <c r="S11" s="142">
        <v>0</v>
      </c>
      <c r="T11" s="142">
        <v>2</v>
      </c>
      <c r="U11" s="142">
        <v>4</v>
      </c>
      <c r="V11" s="142">
        <v>2</v>
      </c>
      <c r="W11" s="142">
        <v>7</v>
      </c>
      <c r="X11" s="142">
        <v>4</v>
      </c>
      <c r="Y11" s="111">
        <f t="shared" si="1"/>
        <v>10</v>
      </c>
      <c r="Z11" s="111">
        <f t="shared" si="2"/>
        <v>17</v>
      </c>
      <c r="AA11" s="142">
        <f t="shared" si="3"/>
        <v>211</v>
      </c>
      <c r="AB11" s="142">
        <f t="shared" si="4"/>
        <v>210</v>
      </c>
      <c r="AC11" s="142">
        <f t="shared" si="5"/>
        <v>6</v>
      </c>
      <c r="AD11" s="142">
        <f t="shared" si="6"/>
        <v>5</v>
      </c>
      <c r="AE11" s="163"/>
      <c r="AF11" s="26">
        <v>0</v>
      </c>
      <c r="AG11" s="26">
        <v>1</v>
      </c>
    </row>
    <row r="12" spans="1:33" x14ac:dyDescent="0.15">
      <c r="A12" s="104" t="str">
        <f t="shared" si="0"/>
        <v>Sun</v>
      </c>
      <c r="B12" s="136">
        <v>43625</v>
      </c>
      <c r="C12" s="137" t="s">
        <v>442</v>
      </c>
      <c r="D12" s="138" t="s">
        <v>201</v>
      </c>
      <c r="E12" s="138" t="s">
        <v>206</v>
      </c>
      <c r="F12" s="138" t="s">
        <v>204</v>
      </c>
      <c r="G12" s="139">
        <v>207</v>
      </c>
      <c r="H12" s="138">
        <v>10</v>
      </c>
      <c r="I12" s="138"/>
      <c r="J12" s="140"/>
      <c r="K12" s="139">
        <v>139</v>
      </c>
      <c r="L12" s="138">
        <v>10</v>
      </c>
      <c r="M12" s="138"/>
      <c r="N12" s="140"/>
      <c r="O12" s="141">
        <v>35.200000000000003</v>
      </c>
      <c r="P12" s="141">
        <v>28.3</v>
      </c>
      <c r="Q12" s="142">
        <v>2</v>
      </c>
      <c r="R12" s="142">
        <v>0</v>
      </c>
      <c r="S12" s="142">
        <v>0</v>
      </c>
      <c r="T12" s="142">
        <v>0</v>
      </c>
      <c r="U12" s="142">
        <v>18</v>
      </c>
      <c r="V12" s="142">
        <v>1</v>
      </c>
      <c r="W12" s="142">
        <v>8</v>
      </c>
      <c r="X12" s="142">
        <v>0</v>
      </c>
      <c r="Y12" s="111">
        <f t="shared" si="1"/>
        <v>2</v>
      </c>
      <c r="Z12" s="111">
        <f t="shared" si="2"/>
        <v>27</v>
      </c>
      <c r="AA12" s="142">
        <f t="shared" si="3"/>
        <v>207</v>
      </c>
      <c r="AB12" s="142">
        <f t="shared" si="4"/>
        <v>139</v>
      </c>
      <c r="AC12" s="142">
        <f t="shared" si="5"/>
        <v>10</v>
      </c>
      <c r="AD12" s="142">
        <f t="shared" si="6"/>
        <v>10</v>
      </c>
      <c r="AE12" s="163"/>
      <c r="AF12" s="26">
        <v>0</v>
      </c>
      <c r="AG12" s="26">
        <v>0</v>
      </c>
    </row>
    <row r="13" spans="1:33" x14ac:dyDescent="0.15">
      <c r="A13" s="104" t="str">
        <f t="shared" si="0"/>
        <v>Sun</v>
      </c>
      <c r="B13" s="136">
        <v>43632</v>
      </c>
      <c r="C13" s="137" t="s">
        <v>295</v>
      </c>
      <c r="D13" s="138" t="s">
        <v>226</v>
      </c>
      <c r="E13" s="138" t="s">
        <v>205</v>
      </c>
      <c r="F13" s="138" t="s">
        <v>1</v>
      </c>
      <c r="G13" s="139">
        <v>162</v>
      </c>
      <c r="H13" s="138">
        <v>5</v>
      </c>
      <c r="I13" s="138"/>
      <c r="J13" s="140"/>
      <c r="K13" s="139">
        <v>84</v>
      </c>
      <c r="L13" s="138">
        <v>10</v>
      </c>
      <c r="M13" s="138"/>
      <c r="N13" s="137"/>
      <c r="O13" s="141">
        <v>26.4</v>
      </c>
      <c r="P13" s="141">
        <v>40</v>
      </c>
      <c r="Q13" s="142">
        <v>7</v>
      </c>
      <c r="R13" s="142">
        <v>0</v>
      </c>
      <c r="S13" s="142">
        <v>5</v>
      </c>
      <c r="T13" s="142">
        <v>1</v>
      </c>
      <c r="U13" s="142">
        <v>6</v>
      </c>
      <c r="V13" s="142">
        <v>0</v>
      </c>
      <c r="W13" s="142">
        <v>0</v>
      </c>
      <c r="X13" s="142">
        <v>0</v>
      </c>
      <c r="Y13" s="111">
        <f t="shared" si="1"/>
        <v>13</v>
      </c>
      <c r="Z13" s="111">
        <f t="shared" si="2"/>
        <v>6</v>
      </c>
      <c r="AA13" s="142">
        <f t="shared" si="3"/>
        <v>84</v>
      </c>
      <c r="AB13" s="142">
        <f t="shared" si="4"/>
        <v>162</v>
      </c>
      <c r="AC13" s="142">
        <f t="shared" si="5"/>
        <v>10</v>
      </c>
      <c r="AD13" s="142">
        <f t="shared" si="6"/>
        <v>5</v>
      </c>
      <c r="AE13" s="163"/>
      <c r="AF13" s="26">
        <v>2</v>
      </c>
      <c r="AG13" s="26">
        <v>0</v>
      </c>
    </row>
    <row r="14" spans="1:33" x14ac:dyDescent="0.15">
      <c r="A14" s="104" t="str">
        <f t="shared" si="0"/>
        <v>Sun</v>
      </c>
      <c r="B14" s="136">
        <v>43639</v>
      </c>
      <c r="C14" s="137" t="s">
        <v>464</v>
      </c>
      <c r="D14" s="138" t="s">
        <v>201</v>
      </c>
      <c r="E14" s="138" t="s">
        <v>205</v>
      </c>
      <c r="F14" s="138" t="s">
        <v>1</v>
      </c>
      <c r="G14" s="139">
        <v>194</v>
      </c>
      <c r="H14" s="138">
        <v>10</v>
      </c>
      <c r="I14" s="138"/>
      <c r="J14" s="140" t="s">
        <v>465</v>
      </c>
      <c r="K14" s="139">
        <v>157</v>
      </c>
      <c r="L14" s="138">
        <v>10</v>
      </c>
      <c r="M14" s="138"/>
      <c r="N14" s="137" t="s">
        <v>466</v>
      </c>
      <c r="O14" s="141">
        <v>29.4</v>
      </c>
      <c r="P14" s="141">
        <v>40</v>
      </c>
      <c r="Q14" s="142">
        <v>10</v>
      </c>
      <c r="R14" s="142">
        <v>3</v>
      </c>
      <c r="S14" s="142">
        <v>6</v>
      </c>
      <c r="T14" s="142">
        <v>9</v>
      </c>
      <c r="U14" s="142">
        <v>5</v>
      </c>
      <c r="V14" s="142">
        <v>0</v>
      </c>
      <c r="W14" s="142">
        <v>0</v>
      </c>
      <c r="X14" s="142">
        <v>0</v>
      </c>
      <c r="Y14" s="111">
        <f t="shared" si="1"/>
        <v>28</v>
      </c>
      <c r="Z14" s="111">
        <f t="shared" si="2"/>
        <v>5</v>
      </c>
      <c r="AA14" s="142">
        <f t="shared" si="3"/>
        <v>157</v>
      </c>
      <c r="AB14" s="142">
        <f t="shared" si="4"/>
        <v>194</v>
      </c>
      <c r="AC14" s="142">
        <f t="shared" si="5"/>
        <v>10</v>
      </c>
      <c r="AD14" s="142">
        <f t="shared" si="6"/>
        <v>10</v>
      </c>
      <c r="AE14" s="163"/>
      <c r="AF14" s="26">
        <v>0</v>
      </c>
      <c r="AG14" s="26">
        <v>1</v>
      </c>
    </row>
    <row r="15" spans="1:33" x14ac:dyDescent="0.15">
      <c r="A15" s="104" t="str">
        <f t="shared" si="0"/>
        <v>Sun</v>
      </c>
      <c r="B15" s="136">
        <v>43646</v>
      </c>
      <c r="C15" s="137" t="s">
        <v>491</v>
      </c>
      <c r="D15" s="138" t="s">
        <v>226</v>
      </c>
      <c r="E15" s="138" t="s">
        <v>205</v>
      </c>
      <c r="F15" s="138" t="s">
        <v>1</v>
      </c>
      <c r="G15" s="139">
        <v>215</v>
      </c>
      <c r="H15" s="138">
        <v>9</v>
      </c>
      <c r="I15" s="138"/>
      <c r="J15" s="140"/>
      <c r="K15" s="139">
        <v>197</v>
      </c>
      <c r="L15" s="138">
        <v>8</v>
      </c>
      <c r="M15" s="138"/>
      <c r="N15" s="137"/>
      <c r="O15" s="141">
        <v>35</v>
      </c>
      <c r="P15" s="141">
        <v>35</v>
      </c>
      <c r="Q15" s="142">
        <v>12</v>
      </c>
      <c r="R15" s="142">
        <v>1</v>
      </c>
      <c r="S15" s="142">
        <v>6</v>
      </c>
      <c r="T15" s="142">
        <v>4</v>
      </c>
      <c r="U15" s="142">
        <v>9</v>
      </c>
      <c r="V15" s="142">
        <v>2</v>
      </c>
      <c r="W15" s="142">
        <v>1</v>
      </c>
      <c r="X15" s="142">
        <v>0</v>
      </c>
      <c r="Y15" s="111">
        <f t="shared" si="1"/>
        <v>23</v>
      </c>
      <c r="Z15" s="111">
        <f t="shared" si="2"/>
        <v>12</v>
      </c>
      <c r="AA15" s="142">
        <f>IF(F15="TOCC",G15,K15)</f>
        <v>197</v>
      </c>
      <c r="AB15" s="142">
        <f>IF(F15&lt;&gt;"TOCC",G15,K15)</f>
        <v>215</v>
      </c>
      <c r="AC15" s="142">
        <f t="shared" si="5"/>
        <v>8</v>
      </c>
      <c r="AD15" s="142">
        <f t="shared" si="6"/>
        <v>9</v>
      </c>
      <c r="AE15" s="163"/>
      <c r="AF15" s="26">
        <v>0</v>
      </c>
      <c r="AG15" s="26">
        <v>0</v>
      </c>
    </row>
    <row r="16" spans="1:33" s="22" customFormat="1" x14ac:dyDescent="0.15">
      <c r="A16" s="104" t="str">
        <f t="shared" si="0"/>
        <v>Sun</v>
      </c>
      <c r="B16" s="105">
        <v>43653</v>
      </c>
      <c r="C16" s="106" t="s">
        <v>248</v>
      </c>
      <c r="D16" s="107" t="s">
        <v>226</v>
      </c>
      <c r="E16" s="107" t="s">
        <v>205</v>
      </c>
      <c r="F16" s="107" t="s">
        <v>1</v>
      </c>
      <c r="G16" s="108">
        <v>212</v>
      </c>
      <c r="H16" s="107">
        <v>8</v>
      </c>
      <c r="I16" s="107"/>
      <c r="J16" s="109"/>
      <c r="K16" s="108">
        <v>94</v>
      </c>
      <c r="L16" s="107">
        <v>10</v>
      </c>
      <c r="M16" s="107"/>
      <c r="N16" s="106"/>
      <c r="O16" s="110">
        <v>31</v>
      </c>
      <c r="P16" s="110">
        <v>40</v>
      </c>
      <c r="Q16" s="111">
        <v>11</v>
      </c>
      <c r="R16" s="111">
        <v>0</v>
      </c>
      <c r="S16" s="111">
        <v>2</v>
      </c>
      <c r="T16" s="111">
        <v>2</v>
      </c>
      <c r="U16" s="111">
        <v>1</v>
      </c>
      <c r="V16" s="111">
        <v>0</v>
      </c>
      <c r="W16" s="111">
        <v>7</v>
      </c>
      <c r="X16" s="111">
        <v>2</v>
      </c>
      <c r="Y16" s="111">
        <f t="shared" si="1"/>
        <v>15</v>
      </c>
      <c r="Z16" s="111">
        <f t="shared" si="2"/>
        <v>10</v>
      </c>
      <c r="AA16" s="111">
        <f t="shared" si="3"/>
        <v>94</v>
      </c>
      <c r="AB16" s="111">
        <f t="shared" si="4"/>
        <v>212</v>
      </c>
      <c r="AC16" s="111">
        <f t="shared" si="5"/>
        <v>10</v>
      </c>
      <c r="AD16" s="111">
        <f t="shared" si="6"/>
        <v>8</v>
      </c>
      <c r="AE16" s="163"/>
      <c r="AF16" s="22">
        <v>0</v>
      </c>
      <c r="AG16" s="22">
        <v>1</v>
      </c>
    </row>
    <row r="17" spans="1:33" x14ac:dyDescent="0.15">
      <c r="A17" s="104" t="str">
        <f t="shared" si="0"/>
        <v>Sun</v>
      </c>
      <c r="B17" s="105">
        <v>43660</v>
      </c>
      <c r="C17" s="137" t="s">
        <v>296</v>
      </c>
      <c r="D17" s="107" t="s">
        <v>226</v>
      </c>
      <c r="E17" s="107" t="s">
        <v>206</v>
      </c>
      <c r="F17" s="107" t="s">
        <v>204</v>
      </c>
      <c r="G17" s="108">
        <v>252</v>
      </c>
      <c r="H17" s="107">
        <v>7</v>
      </c>
      <c r="I17" s="107"/>
      <c r="J17" s="109" t="s">
        <v>523</v>
      </c>
      <c r="K17" s="108">
        <v>163</v>
      </c>
      <c r="L17" s="107">
        <v>5</v>
      </c>
      <c r="M17" s="107"/>
      <c r="N17" s="106"/>
      <c r="O17" s="110">
        <v>40</v>
      </c>
      <c r="P17" s="110">
        <v>40</v>
      </c>
      <c r="Q17" s="111">
        <v>8</v>
      </c>
      <c r="R17" s="111">
        <v>1</v>
      </c>
      <c r="S17" s="111">
        <v>1</v>
      </c>
      <c r="T17" s="111">
        <v>0</v>
      </c>
      <c r="U17" s="111">
        <v>9</v>
      </c>
      <c r="V17" s="111">
        <v>0</v>
      </c>
      <c r="W17" s="111">
        <v>3</v>
      </c>
      <c r="X17" s="111">
        <v>3</v>
      </c>
      <c r="Y17" s="111">
        <f t="shared" si="1"/>
        <v>10</v>
      </c>
      <c r="Z17" s="111">
        <f t="shared" si="2"/>
        <v>15</v>
      </c>
      <c r="AA17" s="111">
        <f t="shared" si="3"/>
        <v>252</v>
      </c>
      <c r="AB17" s="111">
        <f t="shared" si="4"/>
        <v>163</v>
      </c>
      <c r="AC17" s="111">
        <f t="shared" si="5"/>
        <v>7</v>
      </c>
      <c r="AD17" s="111">
        <f t="shared" si="6"/>
        <v>5</v>
      </c>
      <c r="AE17" s="163"/>
      <c r="AF17" s="26">
        <v>0</v>
      </c>
      <c r="AG17" s="26">
        <v>0</v>
      </c>
    </row>
    <row r="18" spans="1:33" x14ac:dyDescent="0.15">
      <c r="A18" s="104" t="str">
        <f t="shared" si="0"/>
        <v>Sun</v>
      </c>
      <c r="B18" s="105">
        <v>43667</v>
      </c>
      <c r="C18" s="137" t="s">
        <v>534</v>
      </c>
      <c r="D18" s="107" t="s">
        <v>201</v>
      </c>
      <c r="E18" s="107" t="s">
        <v>206</v>
      </c>
      <c r="F18" s="107" t="s">
        <v>204</v>
      </c>
      <c r="G18" s="108">
        <v>230</v>
      </c>
      <c r="H18" s="107">
        <v>6</v>
      </c>
      <c r="I18" s="107"/>
      <c r="J18" s="109" t="s">
        <v>535</v>
      </c>
      <c r="K18" s="108">
        <v>105</v>
      </c>
      <c r="L18" s="107">
        <v>10</v>
      </c>
      <c r="M18" s="107"/>
      <c r="N18" s="106"/>
      <c r="O18" s="110">
        <v>40</v>
      </c>
      <c r="P18" s="110">
        <v>36.1</v>
      </c>
      <c r="Q18" s="111">
        <v>12</v>
      </c>
      <c r="R18" s="111">
        <v>2</v>
      </c>
      <c r="S18" s="111">
        <v>12</v>
      </c>
      <c r="T18" s="111">
        <v>3</v>
      </c>
      <c r="U18" s="111">
        <v>8</v>
      </c>
      <c r="V18" s="111">
        <v>2</v>
      </c>
      <c r="W18" s="111">
        <v>11</v>
      </c>
      <c r="X18" s="111">
        <v>3</v>
      </c>
      <c r="Y18" s="111">
        <f t="shared" si="1"/>
        <v>29</v>
      </c>
      <c r="Z18" s="111">
        <f t="shared" si="2"/>
        <v>24</v>
      </c>
      <c r="AA18" s="111">
        <f t="shared" si="3"/>
        <v>230</v>
      </c>
      <c r="AB18" s="111">
        <f t="shared" si="4"/>
        <v>105</v>
      </c>
      <c r="AC18" s="111">
        <f t="shared" si="5"/>
        <v>6</v>
      </c>
      <c r="AD18" s="111">
        <f t="shared" si="6"/>
        <v>10</v>
      </c>
      <c r="AE18" s="163"/>
      <c r="AF18" s="26">
        <v>0</v>
      </c>
      <c r="AG18" s="26">
        <v>1</v>
      </c>
    </row>
    <row r="19" spans="1:33" x14ac:dyDescent="0.15">
      <c r="A19" s="104" t="str">
        <f t="shared" si="0"/>
        <v>Sun</v>
      </c>
      <c r="B19" s="105">
        <v>43674</v>
      </c>
      <c r="C19" s="160" t="s">
        <v>559</v>
      </c>
      <c r="D19" s="107" t="s">
        <v>226</v>
      </c>
      <c r="E19" s="107" t="s">
        <v>205</v>
      </c>
      <c r="F19" s="107" t="s">
        <v>204</v>
      </c>
      <c r="G19" s="108">
        <v>119</v>
      </c>
      <c r="H19" s="107">
        <v>10</v>
      </c>
      <c r="I19" s="107"/>
      <c r="J19" s="109"/>
      <c r="K19" s="108">
        <v>122</v>
      </c>
      <c r="L19" s="107">
        <v>5</v>
      </c>
      <c r="M19" s="107"/>
      <c r="N19" s="106"/>
      <c r="O19" s="110">
        <v>34.1</v>
      </c>
      <c r="P19" s="110">
        <v>29.5</v>
      </c>
      <c r="Q19" s="111">
        <v>5</v>
      </c>
      <c r="R19" s="111">
        <v>0</v>
      </c>
      <c r="S19" s="111">
        <v>4</v>
      </c>
      <c r="T19" s="111">
        <v>1</v>
      </c>
      <c r="U19" s="111">
        <v>5</v>
      </c>
      <c r="V19" s="111">
        <v>2</v>
      </c>
      <c r="W19" s="111">
        <v>4</v>
      </c>
      <c r="X19" s="111">
        <v>1</v>
      </c>
      <c r="Y19" s="111">
        <f t="shared" si="1"/>
        <v>10</v>
      </c>
      <c r="Z19" s="111">
        <f t="shared" si="2"/>
        <v>12</v>
      </c>
      <c r="AA19" s="111">
        <f t="shared" si="3"/>
        <v>119</v>
      </c>
      <c r="AB19" s="111">
        <f t="shared" si="4"/>
        <v>122</v>
      </c>
      <c r="AC19" s="111">
        <f t="shared" si="5"/>
        <v>10</v>
      </c>
      <c r="AD19" s="111">
        <f t="shared" si="6"/>
        <v>5</v>
      </c>
      <c r="AE19" s="163"/>
      <c r="AF19" s="26">
        <v>0</v>
      </c>
      <c r="AG19" s="26">
        <v>0</v>
      </c>
    </row>
    <row r="20" spans="1:33" x14ac:dyDescent="0.15">
      <c r="A20" s="104" t="str">
        <f t="shared" si="0"/>
        <v>Sun</v>
      </c>
      <c r="B20" s="105">
        <v>43681</v>
      </c>
      <c r="C20" s="106" t="s">
        <v>575</v>
      </c>
      <c r="D20" s="107" t="s">
        <v>226</v>
      </c>
      <c r="E20" s="107" t="s">
        <v>205</v>
      </c>
      <c r="F20" s="107" t="s">
        <v>1</v>
      </c>
      <c r="G20" s="108">
        <v>280</v>
      </c>
      <c r="H20" s="107">
        <v>3</v>
      </c>
      <c r="I20" s="107"/>
      <c r="J20" s="109"/>
      <c r="K20" s="108">
        <v>73</v>
      </c>
      <c r="L20" s="107">
        <v>10</v>
      </c>
      <c r="M20" s="107"/>
      <c r="N20" s="106"/>
      <c r="O20" s="110">
        <v>20.3</v>
      </c>
      <c r="P20" s="110">
        <v>40</v>
      </c>
      <c r="Q20" s="111">
        <v>10</v>
      </c>
      <c r="R20" s="111">
        <v>6</v>
      </c>
      <c r="S20" s="111">
        <v>8</v>
      </c>
      <c r="T20" s="111">
        <v>0</v>
      </c>
      <c r="U20" s="111">
        <v>10</v>
      </c>
      <c r="V20" s="111">
        <v>0</v>
      </c>
      <c r="W20" s="111">
        <v>1</v>
      </c>
      <c r="X20" s="111">
        <v>2</v>
      </c>
      <c r="Y20" s="111">
        <f t="shared" si="1"/>
        <v>24</v>
      </c>
      <c r="Z20" s="111">
        <f t="shared" si="2"/>
        <v>13</v>
      </c>
      <c r="AA20" s="111">
        <f t="shared" si="3"/>
        <v>73</v>
      </c>
      <c r="AB20" s="111">
        <f t="shared" si="4"/>
        <v>280</v>
      </c>
      <c r="AC20" s="111">
        <f t="shared" si="5"/>
        <v>10</v>
      </c>
      <c r="AD20" s="111">
        <f t="shared" si="6"/>
        <v>3</v>
      </c>
      <c r="AE20" s="163"/>
      <c r="AF20" s="26">
        <v>0</v>
      </c>
      <c r="AG20" s="26">
        <v>1</v>
      </c>
    </row>
    <row r="21" spans="1:33" x14ac:dyDescent="0.15">
      <c r="A21" s="104" t="str">
        <f t="shared" si="0"/>
        <v>Sun</v>
      </c>
      <c r="B21" s="105">
        <v>43688</v>
      </c>
      <c r="C21" s="106" t="s">
        <v>592</v>
      </c>
      <c r="D21" s="107" t="s">
        <v>226</v>
      </c>
      <c r="E21" s="107" t="s">
        <v>205</v>
      </c>
      <c r="F21" s="107" t="s">
        <v>1</v>
      </c>
      <c r="G21" s="108">
        <v>113</v>
      </c>
      <c r="H21" s="107">
        <v>10</v>
      </c>
      <c r="I21" s="107"/>
      <c r="J21" s="106"/>
      <c r="K21" s="108">
        <v>95</v>
      </c>
      <c r="L21" s="107">
        <v>10</v>
      </c>
      <c r="M21" s="107"/>
      <c r="N21" s="106"/>
      <c r="O21" s="110">
        <v>37.4</v>
      </c>
      <c r="P21" s="110">
        <v>37.1</v>
      </c>
      <c r="Q21" s="111">
        <v>1</v>
      </c>
      <c r="R21" s="111">
        <v>1</v>
      </c>
      <c r="S21" s="111">
        <v>0</v>
      </c>
      <c r="T21" s="111">
        <v>0</v>
      </c>
      <c r="U21" s="111">
        <v>2</v>
      </c>
      <c r="V21" s="111">
        <v>1</v>
      </c>
      <c r="W21" s="111">
        <v>6</v>
      </c>
      <c r="X21" s="111">
        <v>6</v>
      </c>
      <c r="Y21" s="111">
        <f t="shared" si="1"/>
        <v>2</v>
      </c>
      <c r="Z21" s="111">
        <f t="shared" si="2"/>
        <v>15</v>
      </c>
      <c r="AA21" s="111">
        <f t="shared" ref="AA21:AA31" si="7">IF(F21="TOCC",G21,K21)</f>
        <v>95</v>
      </c>
      <c r="AB21" s="111">
        <f t="shared" ref="AB21:AB31" si="8">IF(F21&lt;&gt;"TOCC",G21,K21)</f>
        <v>113</v>
      </c>
      <c r="AC21" s="111">
        <f t="shared" ref="AC21:AC31" si="9">IF(F21="TOCC",H21,L21)</f>
        <v>10</v>
      </c>
      <c r="AD21" s="111">
        <f t="shared" ref="AD21:AD31" si="10">IF(F21&lt;&gt;"TOCC",H21,L21)</f>
        <v>10</v>
      </c>
      <c r="AE21" s="163"/>
      <c r="AF21" s="26">
        <v>0</v>
      </c>
      <c r="AG21" s="26">
        <v>0</v>
      </c>
    </row>
    <row r="22" spans="1:33" x14ac:dyDescent="0.15">
      <c r="A22" s="104" t="str">
        <f t="shared" si="0"/>
        <v>Sun</v>
      </c>
      <c r="B22" s="105">
        <v>43695</v>
      </c>
      <c r="C22" s="106" t="s">
        <v>257</v>
      </c>
      <c r="D22" s="107" t="s">
        <v>201</v>
      </c>
      <c r="E22" s="107" t="s">
        <v>205</v>
      </c>
      <c r="F22" s="107" t="s">
        <v>204</v>
      </c>
      <c r="G22" s="108">
        <v>168</v>
      </c>
      <c r="H22" s="107">
        <v>9</v>
      </c>
      <c r="I22" s="107"/>
      <c r="J22" s="109"/>
      <c r="K22" s="108">
        <v>169</v>
      </c>
      <c r="L22" s="107">
        <v>8</v>
      </c>
      <c r="M22" s="107"/>
      <c r="N22" s="106"/>
      <c r="O22" s="110">
        <v>40</v>
      </c>
      <c r="P22" s="110">
        <v>40</v>
      </c>
      <c r="Q22" s="111">
        <v>0</v>
      </c>
      <c r="R22" s="111">
        <v>1</v>
      </c>
      <c r="S22" s="111">
        <v>5</v>
      </c>
      <c r="T22" s="111">
        <v>3</v>
      </c>
      <c r="U22" s="111">
        <v>5</v>
      </c>
      <c r="V22" s="111">
        <v>1</v>
      </c>
      <c r="W22" s="111">
        <v>15</v>
      </c>
      <c r="X22" s="111">
        <v>1</v>
      </c>
      <c r="Y22" s="111">
        <f t="shared" si="1"/>
        <v>9</v>
      </c>
      <c r="Z22" s="111">
        <f t="shared" si="2"/>
        <v>22</v>
      </c>
      <c r="AA22" s="111">
        <f t="shared" si="7"/>
        <v>168</v>
      </c>
      <c r="AB22" s="111">
        <f t="shared" si="8"/>
        <v>169</v>
      </c>
      <c r="AC22" s="111">
        <f t="shared" si="9"/>
        <v>9</v>
      </c>
      <c r="AD22" s="111">
        <f t="shared" si="10"/>
        <v>8</v>
      </c>
      <c r="AE22" s="163"/>
      <c r="AF22" s="26">
        <v>2</v>
      </c>
      <c r="AG22" s="26">
        <v>1</v>
      </c>
    </row>
    <row r="23" spans="1:33" x14ac:dyDescent="0.15">
      <c r="A23" s="104" t="str">
        <f t="shared" si="0"/>
        <v>Sun</v>
      </c>
      <c r="B23" s="105">
        <v>43716</v>
      </c>
      <c r="C23" s="106" t="s">
        <v>254</v>
      </c>
      <c r="D23" s="107" t="s">
        <v>201</v>
      </c>
      <c r="E23" s="107" t="s">
        <v>206</v>
      </c>
      <c r="F23" s="107" t="s">
        <v>204</v>
      </c>
      <c r="G23" s="108">
        <v>233</v>
      </c>
      <c r="H23" s="107">
        <v>8</v>
      </c>
      <c r="I23" s="107"/>
      <c r="J23" s="109" t="s">
        <v>631</v>
      </c>
      <c r="K23" s="108">
        <v>120</v>
      </c>
      <c r="L23" s="107">
        <v>10</v>
      </c>
      <c r="M23" s="107"/>
      <c r="N23" s="106" t="s">
        <v>632</v>
      </c>
      <c r="O23" s="110">
        <v>40</v>
      </c>
      <c r="P23" s="110">
        <v>23.3</v>
      </c>
      <c r="Q23" s="111">
        <v>5</v>
      </c>
      <c r="R23" s="111">
        <v>0</v>
      </c>
      <c r="S23" s="111">
        <v>9</v>
      </c>
      <c r="T23" s="111">
        <v>0</v>
      </c>
      <c r="U23" s="111">
        <v>16</v>
      </c>
      <c r="V23" s="111">
        <v>7</v>
      </c>
      <c r="W23" s="111">
        <v>14</v>
      </c>
      <c r="X23" s="111">
        <v>6</v>
      </c>
      <c r="Y23" s="111">
        <f t="shared" si="1"/>
        <v>14</v>
      </c>
      <c r="Z23" s="111">
        <f t="shared" si="2"/>
        <v>43</v>
      </c>
      <c r="AA23" s="111">
        <f t="shared" si="7"/>
        <v>233</v>
      </c>
      <c r="AB23" s="111">
        <f t="shared" si="8"/>
        <v>120</v>
      </c>
      <c r="AC23" s="111">
        <f t="shared" si="9"/>
        <v>8</v>
      </c>
      <c r="AD23" s="111">
        <f t="shared" si="10"/>
        <v>10</v>
      </c>
      <c r="AE23" s="163"/>
      <c r="AF23" s="26">
        <v>0</v>
      </c>
      <c r="AG23" s="26">
        <v>0</v>
      </c>
    </row>
    <row r="24" spans="1:33" x14ac:dyDescent="0.15">
      <c r="A24" s="104" t="str">
        <f t="shared" si="0"/>
        <v>Sun</v>
      </c>
      <c r="B24" s="105">
        <v>43723</v>
      </c>
      <c r="C24" s="106" t="s">
        <v>297</v>
      </c>
      <c r="D24" s="107" t="s">
        <v>226</v>
      </c>
      <c r="E24" s="107" t="s">
        <v>205</v>
      </c>
      <c r="F24" s="107" t="s">
        <v>204</v>
      </c>
      <c r="G24" s="108">
        <v>204</v>
      </c>
      <c r="H24" s="107">
        <v>8</v>
      </c>
      <c r="I24" s="107"/>
      <c r="J24" s="109"/>
      <c r="K24" s="108">
        <v>207</v>
      </c>
      <c r="L24" s="107">
        <v>5</v>
      </c>
      <c r="M24" s="107"/>
      <c r="N24" s="106"/>
      <c r="O24" s="110">
        <v>40</v>
      </c>
      <c r="P24" s="110">
        <v>31.5</v>
      </c>
      <c r="Q24" s="111">
        <v>5</v>
      </c>
      <c r="R24" s="111">
        <v>0</v>
      </c>
      <c r="S24" s="111">
        <v>19</v>
      </c>
      <c r="T24" s="111">
        <v>1</v>
      </c>
      <c r="U24" s="111">
        <v>14</v>
      </c>
      <c r="V24" s="111">
        <v>1</v>
      </c>
      <c r="W24" s="111">
        <v>18</v>
      </c>
      <c r="X24" s="111">
        <v>1</v>
      </c>
      <c r="Y24" s="111">
        <f t="shared" si="1"/>
        <v>25</v>
      </c>
      <c r="Z24" s="111">
        <f t="shared" si="2"/>
        <v>34</v>
      </c>
      <c r="AA24" s="111">
        <f t="shared" si="7"/>
        <v>204</v>
      </c>
      <c r="AB24" s="111">
        <f t="shared" si="8"/>
        <v>207</v>
      </c>
      <c r="AC24" s="111">
        <f t="shared" si="9"/>
        <v>8</v>
      </c>
      <c r="AD24" s="111">
        <f t="shared" si="10"/>
        <v>5</v>
      </c>
      <c r="AE24" s="163"/>
      <c r="AF24" s="26">
        <v>1</v>
      </c>
      <c r="AG24" s="26">
        <v>0</v>
      </c>
    </row>
    <row r="25" spans="1:33" x14ac:dyDescent="0.15">
      <c r="A25" s="104" t="str">
        <f t="shared" si="0"/>
        <v>Sun</v>
      </c>
      <c r="B25" s="105">
        <v>43730</v>
      </c>
      <c r="C25" s="106" t="s">
        <v>661</v>
      </c>
      <c r="D25" s="107" t="s">
        <v>201</v>
      </c>
      <c r="E25" s="107" t="s">
        <v>206</v>
      </c>
      <c r="F25" s="107" t="s">
        <v>1</v>
      </c>
      <c r="G25" s="108">
        <v>203</v>
      </c>
      <c r="H25" s="107">
        <v>5</v>
      </c>
      <c r="I25" s="107"/>
      <c r="J25" s="109" t="s">
        <v>662</v>
      </c>
      <c r="K25" s="108">
        <v>204</v>
      </c>
      <c r="L25" s="107">
        <v>5</v>
      </c>
      <c r="M25" s="107"/>
      <c r="N25" s="106"/>
      <c r="O25" s="110">
        <v>34.5</v>
      </c>
      <c r="P25" s="110">
        <v>35</v>
      </c>
      <c r="Q25" s="111">
        <v>1</v>
      </c>
      <c r="R25" s="111">
        <v>3</v>
      </c>
      <c r="S25" s="111">
        <v>8</v>
      </c>
      <c r="T25" s="111">
        <v>0</v>
      </c>
      <c r="U25" s="111">
        <v>4</v>
      </c>
      <c r="V25" s="111">
        <v>1</v>
      </c>
      <c r="W25" s="111">
        <v>8</v>
      </c>
      <c r="X25" s="111">
        <v>1</v>
      </c>
      <c r="Y25" s="111">
        <f t="shared" si="1"/>
        <v>12</v>
      </c>
      <c r="Z25" s="111">
        <f t="shared" si="2"/>
        <v>14</v>
      </c>
      <c r="AA25" s="111">
        <f t="shared" si="7"/>
        <v>204</v>
      </c>
      <c r="AB25" s="111">
        <f t="shared" si="8"/>
        <v>203</v>
      </c>
      <c r="AC25" s="111">
        <f t="shared" si="9"/>
        <v>5</v>
      </c>
      <c r="AD25" s="111">
        <f t="shared" si="10"/>
        <v>5</v>
      </c>
      <c r="AE25" s="163"/>
      <c r="AF25" s="26">
        <v>2</v>
      </c>
      <c r="AG25" s="26">
        <v>1</v>
      </c>
    </row>
    <row r="26" spans="1:33" x14ac:dyDescent="0.15">
      <c r="A26" s="104" t="str">
        <f t="shared" si="0"/>
        <v>Sat</v>
      </c>
      <c r="B26" s="105"/>
      <c r="C26" s="106"/>
      <c r="D26" s="107"/>
      <c r="E26" s="107"/>
      <c r="F26" s="107"/>
      <c r="G26" s="108"/>
      <c r="H26" s="107"/>
      <c r="I26" s="107"/>
      <c r="J26" s="109"/>
      <c r="K26" s="108"/>
      <c r="L26" s="107"/>
      <c r="M26" s="107"/>
      <c r="N26" s="106"/>
      <c r="O26" s="110"/>
      <c r="P26" s="110"/>
      <c r="Q26" s="111"/>
      <c r="R26" s="111"/>
      <c r="S26" s="111"/>
      <c r="T26" s="111"/>
      <c r="U26" s="111"/>
      <c r="V26" s="111"/>
      <c r="W26" s="111"/>
      <c r="X26" s="111"/>
      <c r="Y26" s="111">
        <f t="shared" si="1"/>
        <v>0</v>
      </c>
      <c r="Z26" s="111">
        <f t="shared" si="2"/>
        <v>0</v>
      </c>
      <c r="AA26" s="111">
        <f t="shared" si="7"/>
        <v>0</v>
      </c>
      <c r="AB26" s="111">
        <f t="shared" si="8"/>
        <v>0</v>
      </c>
      <c r="AC26" s="111">
        <f t="shared" si="9"/>
        <v>0</v>
      </c>
      <c r="AD26" s="111">
        <f t="shared" si="10"/>
        <v>0</v>
      </c>
      <c r="AE26" s="163"/>
    </row>
    <row r="27" spans="1:33" x14ac:dyDescent="0.15">
      <c r="A27" s="104" t="str">
        <f t="shared" si="0"/>
        <v>Sat</v>
      </c>
      <c r="B27" s="105"/>
      <c r="C27" s="106"/>
      <c r="D27" s="107"/>
      <c r="E27" s="107"/>
      <c r="F27" s="107"/>
      <c r="G27" s="108"/>
      <c r="H27" s="107"/>
      <c r="I27" s="107"/>
      <c r="J27" s="162"/>
      <c r="K27" s="108"/>
      <c r="L27" s="107"/>
      <c r="M27" s="107"/>
      <c r="N27" s="109"/>
      <c r="O27" s="110"/>
      <c r="P27" s="110"/>
      <c r="Q27" s="111"/>
      <c r="R27" s="111"/>
      <c r="S27" s="111"/>
      <c r="T27" s="111"/>
      <c r="U27" s="111"/>
      <c r="V27" s="111"/>
      <c r="W27" s="111"/>
      <c r="X27" s="111"/>
      <c r="Y27" s="111">
        <f t="shared" si="1"/>
        <v>0</v>
      </c>
      <c r="Z27" s="111">
        <f t="shared" si="2"/>
        <v>0</v>
      </c>
      <c r="AA27" s="111">
        <f t="shared" si="7"/>
        <v>0</v>
      </c>
      <c r="AB27" s="111">
        <f t="shared" si="8"/>
        <v>0</v>
      </c>
      <c r="AC27" s="111">
        <f t="shared" si="9"/>
        <v>0</v>
      </c>
      <c r="AD27" s="111">
        <f t="shared" si="10"/>
        <v>0</v>
      </c>
    </row>
    <row r="28" spans="1:33" x14ac:dyDescent="0.15">
      <c r="A28" s="104" t="str">
        <f t="shared" si="0"/>
        <v>Sat</v>
      </c>
      <c r="B28" s="105"/>
      <c r="C28" s="106"/>
      <c r="D28" s="107"/>
      <c r="E28" s="107"/>
      <c r="F28" s="107"/>
      <c r="G28" s="108"/>
      <c r="H28" s="107"/>
      <c r="I28" s="107"/>
      <c r="J28" s="109"/>
      <c r="K28" s="108"/>
      <c r="L28" s="107"/>
      <c r="M28" s="107"/>
      <c r="N28" s="106"/>
      <c r="O28" s="110"/>
      <c r="P28" s="110"/>
      <c r="Q28" s="111"/>
      <c r="R28" s="111"/>
      <c r="S28" s="111"/>
      <c r="T28" s="111"/>
      <c r="U28" s="111"/>
      <c r="V28" s="111"/>
      <c r="W28" s="111"/>
      <c r="X28" s="111"/>
      <c r="Y28" s="111">
        <f t="shared" ref="Y28:Y31" si="11">SUM(Q28:T28)</f>
        <v>0</v>
      </c>
      <c r="Z28" s="111">
        <f t="shared" ref="Z28:Z31" si="12">SUM(U28:X28)</f>
        <v>0</v>
      </c>
      <c r="AA28" s="111">
        <f t="shared" si="7"/>
        <v>0</v>
      </c>
      <c r="AB28" s="111">
        <f t="shared" si="8"/>
        <v>0</v>
      </c>
      <c r="AC28" s="111">
        <f t="shared" si="9"/>
        <v>0</v>
      </c>
      <c r="AD28" s="111">
        <f t="shared" si="10"/>
        <v>0</v>
      </c>
    </row>
    <row r="29" spans="1:33" x14ac:dyDescent="0.15">
      <c r="A29" s="104" t="str">
        <f t="shared" si="0"/>
        <v>Sat</v>
      </c>
      <c r="B29" s="105"/>
      <c r="C29" s="106"/>
      <c r="D29" s="107"/>
      <c r="E29" s="107"/>
      <c r="F29" s="107"/>
      <c r="G29" s="108"/>
      <c r="H29" s="107"/>
      <c r="I29" s="107"/>
      <c r="J29" s="109"/>
      <c r="K29" s="108"/>
      <c r="L29" s="107"/>
      <c r="M29" s="107"/>
      <c r="N29" s="106"/>
      <c r="O29" s="110"/>
      <c r="P29" s="110"/>
      <c r="Q29" s="111"/>
      <c r="R29" s="111"/>
      <c r="S29" s="111"/>
      <c r="T29" s="111"/>
      <c r="U29" s="111"/>
      <c r="V29" s="111"/>
      <c r="W29" s="111"/>
      <c r="X29" s="111"/>
      <c r="Y29" s="111">
        <f t="shared" si="11"/>
        <v>0</v>
      </c>
      <c r="Z29" s="111">
        <f t="shared" si="12"/>
        <v>0</v>
      </c>
      <c r="AA29" s="111">
        <f t="shared" si="7"/>
        <v>0</v>
      </c>
      <c r="AB29" s="111">
        <f t="shared" si="8"/>
        <v>0</v>
      </c>
      <c r="AC29" s="111">
        <f t="shared" si="9"/>
        <v>0</v>
      </c>
      <c r="AD29" s="111">
        <f t="shared" si="10"/>
        <v>0</v>
      </c>
    </row>
    <row r="30" spans="1:33" x14ac:dyDescent="0.15">
      <c r="A30" s="104" t="str">
        <f t="shared" si="0"/>
        <v>Sat</v>
      </c>
      <c r="B30" s="105"/>
      <c r="C30" s="106"/>
      <c r="D30" s="107"/>
      <c r="E30" s="107"/>
      <c r="F30" s="107"/>
      <c r="G30" s="108"/>
      <c r="H30" s="107"/>
      <c r="I30" s="107" t="s">
        <v>100</v>
      </c>
      <c r="J30" s="109"/>
      <c r="K30" s="108"/>
      <c r="L30" s="107"/>
      <c r="M30" s="107"/>
      <c r="N30" s="106"/>
      <c r="O30" s="110"/>
      <c r="P30" s="110"/>
      <c r="Q30" s="111"/>
      <c r="R30" s="111"/>
      <c r="S30" s="111"/>
      <c r="T30" s="111"/>
      <c r="U30" s="111"/>
      <c r="V30" s="111"/>
      <c r="W30" s="111"/>
      <c r="X30" s="111"/>
      <c r="Y30" s="111">
        <f t="shared" si="11"/>
        <v>0</v>
      </c>
      <c r="Z30" s="111">
        <f t="shared" si="12"/>
        <v>0</v>
      </c>
      <c r="AA30" s="111">
        <f t="shared" si="7"/>
        <v>0</v>
      </c>
      <c r="AB30" s="111">
        <f t="shared" si="8"/>
        <v>0</v>
      </c>
      <c r="AC30" s="111">
        <f t="shared" si="9"/>
        <v>0</v>
      </c>
      <c r="AD30" s="111">
        <f t="shared" si="10"/>
        <v>0</v>
      </c>
    </row>
    <row r="31" spans="1:33" x14ac:dyDescent="0.15">
      <c r="A31" s="104" t="str">
        <f t="shared" si="0"/>
        <v>Sat</v>
      </c>
      <c r="B31" s="105"/>
      <c r="C31" s="106"/>
      <c r="D31" s="107"/>
      <c r="E31" s="107"/>
      <c r="F31" s="107"/>
      <c r="G31" s="108"/>
      <c r="H31" s="107"/>
      <c r="I31" s="107" t="s">
        <v>100</v>
      </c>
      <c r="J31" s="109"/>
      <c r="K31" s="108"/>
      <c r="L31" s="107"/>
      <c r="M31" s="107"/>
      <c r="N31" s="106"/>
      <c r="O31" s="110"/>
      <c r="P31" s="110"/>
      <c r="Q31" s="111"/>
      <c r="R31" s="111"/>
      <c r="S31" s="111"/>
      <c r="T31" s="111"/>
      <c r="U31" s="111"/>
      <c r="V31" s="111"/>
      <c r="W31" s="111"/>
      <c r="X31" s="111"/>
      <c r="Y31" s="111">
        <f t="shared" si="11"/>
        <v>0</v>
      </c>
      <c r="Z31" s="111">
        <f t="shared" si="12"/>
        <v>0</v>
      </c>
      <c r="AA31" s="111">
        <f t="shared" si="7"/>
        <v>0</v>
      </c>
      <c r="AB31" s="111">
        <f t="shared" si="8"/>
        <v>0</v>
      </c>
      <c r="AC31" s="111">
        <f t="shared" si="9"/>
        <v>0</v>
      </c>
      <c r="AD31" s="111">
        <f t="shared" si="10"/>
        <v>0</v>
      </c>
    </row>
    <row r="32" spans="1:33" ht="12" thickBot="1" x14ac:dyDescent="0.2">
      <c r="A32" s="37"/>
      <c r="B32" s="33"/>
      <c r="C32" s="35"/>
      <c r="D32" s="34"/>
      <c r="E32" s="34"/>
      <c r="F32" s="34"/>
      <c r="G32" s="32"/>
      <c r="H32" s="34"/>
      <c r="I32" s="34"/>
      <c r="J32" s="90"/>
      <c r="K32" s="32"/>
      <c r="L32" s="34"/>
      <c r="M32" s="34"/>
      <c r="N32" s="35"/>
      <c r="O32" s="35"/>
      <c r="P32" s="35"/>
    </row>
    <row r="33" spans="1:30" ht="21" x14ac:dyDescent="0.15">
      <c r="A33" s="37"/>
      <c r="B33" s="33"/>
      <c r="C33" s="35"/>
      <c r="D33" s="34"/>
      <c r="E33" s="34"/>
      <c r="F33" s="34"/>
      <c r="G33" s="32"/>
      <c r="H33" s="34"/>
      <c r="I33" s="34"/>
      <c r="J33" s="90"/>
      <c r="K33" s="32"/>
      <c r="L33" s="34"/>
      <c r="M33" s="34"/>
      <c r="N33" s="35" t="s">
        <v>139</v>
      </c>
      <c r="O33" s="35">
        <f>MAX(O5:O31)</f>
        <v>40</v>
      </c>
      <c r="P33" s="35">
        <f>MAX(P5:P31)</f>
        <v>40</v>
      </c>
      <c r="Q33" s="131" t="s">
        <v>101</v>
      </c>
      <c r="R33" s="133" t="s">
        <v>102</v>
      </c>
      <c r="S33" s="133" t="s">
        <v>103</v>
      </c>
      <c r="T33" s="133" t="s">
        <v>104</v>
      </c>
      <c r="U33" s="133" t="s">
        <v>105</v>
      </c>
      <c r="V33" s="133" t="s">
        <v>106</v>
      </c>
      <c r="W33" s="133" t="s">
        <v>107</v>
      </c>
      <c r="X33" s="133" t="s">
        <v>108</v>
      </c>
    </row>
    <row r="34" spans="1:30" x14ac:dyDescent="0.15">
      <c r="A34" s="37"/>
      <c r="B34" s="33"/>
      <c r="C34" s="35"/>
      <c r="D34" s="34"/>
      <c r="E34" s="34"/>
      <c r="F34" s="34"/>
      <c r="G34" s="32"/>
      <c r="H34" s="34"/>
      <c r="I34" s="34"/>
      <c r="J34" s="90"/>
      <c r="K34" s="32"/>
      <c r="L34" s="34"/>
      <c r="M34" s="34"/>
      <c r="N34" s="35"/>
      <c r="O34" s="166" t="s">
        <v>204</v>
      </c>
      <c r="P34" s="166" t="s">
        <v>1</v>
      </c>
      <c r="Q34" s="36"/>
      <c r="R34" s="36"/>
      <c r="S34" s="36"/>
      <c r="T34" s="36"/>
      <c r="U34" s="36"/>
      <c r="V34" s="36"/>
      <c r="W34" s="36"/>
      <c r="X34" s="36"/>
    </row>
    <row r="35" spans="1:30" x14ac:dyDescent="0.15">
      <c r="A35" s="37"/>
      <c r="B35" s="33"/>
      <c r="C35" s="35"/>
      <c r="D35" s="34"/>
      <c r="E35" s="34"/>
      <c r="F35" s="34"/>
      <c r="G35" s="32"/>
      <c r="H35" s="34"/>
      <c r="I35" s="34"/>
      <c r="J35" s="90"/>
      <c r="K35" s="32"/>
      <c r="L35" s="34"/>
      <c r="M35" s="34"/>
      <c r="N35" s="35"/>
      <c r="O35" s="35">
        <f t="array" ref="O35">SUM(FLOOR(O5:O31,1))</f>
        <v>743</v>
      </c>
      <c r="P35" s="35">
        <f t="array" ref="P35">SUM(FLOOR(P5:P31,1))</f>
        <v>745</v>
      </c>
      <c r="Q35" s="36">
        <f t="shared" ref="Q35:AD35" si="13">SUM(Q5:Q31)</f>
        <v>131</v>
      </c>
      <c r="R35" s="36">
        <f t="shared" si="13"/>
        <v>27</v>
      </c>
      <c r="S35" s="36">
        <f t="shared" si="13"/>
        <v>112</v>
      </c>
      <c r="T35" s="36">
        <f t="shared" si="13"/>
        <v>29</v>
      </c>
      <c r="U35" s="36">
        <f t="shared" si="13"/>
        <v>182</v>
      </c>
      <c r="V35" s="36">
        <f t="shared" si="13"/>
        <v>34</v>
      </c>
      <c r="W35" s="36">
        <f t="shared" si="13"/>
        <v>143</v>
      </c>
      <c r="X35" s="36">
        <f t="shared" si="13"/>
        <v>52</v>
      </c>
      <c r="Y35" s="36">
        <f t="shared" si="13"/>
        <v>299</v>
      </c>
      <c r="Z35" s="36">
        <f t="shared" si="13"/>
        <v>411</v>
      </c>
      <c r="AA35" s="26">
        <f t="shared" si="13"/>
        <v>3692</v>
      </c>
      <c r="AB35" s="26">
        <f t="shared" si="13"/>
        <v>3593</v>
      </c>
      <c r="AC35" s="26">
        <f t="shared" si="13"/>
        <v>171</v>
      </c>
      <c r="AD35" s="26">
        <f t="shared" si="13"/>
        <v>156</v>
      </c>
    </row>
    <row r="36" spans="1:30" x14ac:dyDescent="0.15">
      <c r="A36" s="37"/>
      <c r="B36" s="33"/>
      <c r="C36" s="35"/>
      <c r="D36" s="34"/>
      <c r="E36" s="34"/>
      <c r="I36" s="34"/>
      <c r="J36" s="90"/>
      <c r="K36" s="32"/>
      <c r="L36" s="34"/>
      <c r="M36" s="34"/>
      <c r="N36" s="35"/>
      <c r="O36" s="35">
        <f t="array" ref="O36">SUM(O5:O31-FLOOR(O5:O31,1))*10</f>
        <v>36.999999999999993</v>
      </c>
      <c r="P36" s="35">
        <f t="array" ref="P36">SUM(P5:P31-FLOOR(P5:P31,1))*10</f>
        <v>27.000000000000028</v>
      </c>
      <c r="Q36" s="36"/>
      <c r="R36" s="36"/>
      <c r="S36" s="36"/>
      <c r="T36" s="36"/>
      <c r="U36" s="36"/>
      <c r="V36" s="36"/>
      <c r="W36" s="36"/>
      <c r="X36" s="36"/>
    </row>
    <row r="37" spans="1:30" x14ac:dyDescent="0.15">
      <c r="A37" s="37"/>
      <c r="B37" s="33"/>
      <c r="C37" s="35"/>
      <c r="D37" s="34"/>
      <c r="E37" s="34"/>
      <c r="I37" s="34"/>
      <c r="J37" s="90"/>
      <c r="K37" s="32"/>
      <c r="L37" s="34"/>
      <c r="M37" s="34"/>
      <c r="N37" s="166" t="s">
        <v>238</v>
      </c>
      <c r="O37" s="35">
        <f>O35*6+O36</f>
        <v>4495</v>
      </c>
      <c r="P37" s="35">
        <f>P35*6+P36</f>
        <v>4497</v>
      </c>
      <c r="Q37" s="36"/>
      <c r="R37" s="36"/>
      <c r="S37" s="36">
        <f>MAX(S7:S31)</f>
        <v>19</v>
      </c>
      <c r="T37" s="36"/>
      <c r="U37" s="36"/>
      <c r="V37" s="36"/>
      <c r="W37" s="36">
        <f>MAX(W7:W31)</f>
        <v>18</v>
      </c>
      <c r="X37" s="36"/>
      <c r="Z37" s="26" t="s">
        <v>33</v>
      </c>
      <c r="AA37" s="26">
        <f>AA35/AC35</f>
        <v>21.5906432748538</v>
      </c>
      <c r="AB37" s="26">
        <f>AB35/AD35</f>
        <v>23.032051282051281</v>
      </c>
    </row>
    <row r="38" spans="1:30" x14ac:dyDescent="0.15">
      <c r="A38" s="37"/>
      <c r="B38" s="33"/>
      <c r="C38" s="35"/>
      <c r="D38" s="34"/>
      <c r="E38" s="34"/>
      <c r="F38" s="34"/>
      <c r="G38" s="32"/>
      <c r="H38" s="34"/>
      <c r="I38" s="34"/>
      <c r="J38" s="90"/>
      <c r="K38" s="32"/>
      <c r="L38" s="34"/>
      <c r="M38" s="34"/>
      <c r="N38" s="166" t="s">
        <v>239</v>
      </c>
      <c r="O38" s="35">
        <f>INT(O37/6)+(O37-INT(O37/6)*6)/10</f>
        <v>749.1</v>
      </c>
      <c r="P38" s="35">
        <f>INT(P37/6)+(P37-INT(P37/6)*6)/10</f>
        <v>749.3</v>
      </c>
      <c r="Q38" s="36"/>
      <c r="R38" s="36"/>
      <c r="S38" s="36"/>
      <c r="T38" s="36"/>
      <c r="U38" s="36"/>
      <c r="V38" s="36"/>
      <c r="W38" s="36"/>
      <c r="X38" s="36"/>
    </row>
    <row r="39" spans="1:30" x14ac:dyDescent="0.15">
      <c r="A39" s="37"/>
      <c r="B39" s="33"/>
      <c r="C39" s="35"/>
      <c r="D39" s="34"/>
      <c r="E39" s="34"/>
      <c r="I39" s="34"/>
      <c r="J39" s="90"/>
      <c r="K39" s="32"/>
      <c r="L39" s="34"/>
      <c r="M39" s="34"/>
      <c r="N39" s="35" t="s">
        <v>184</v>
      </c>
      <c r="O39" s="35">
        <f>AA35/O37*100</f>
        <v>82.135706340378206</v>
      </c>
      <c r="P39" s="35">
        <f>AB35/P37*100</f>
        <v>79.897709584167217</v>
      </c>
      <c r="Q39" s="36"/>
      <c r="R39" s="36"/>
      <c r="S39" s="36"/>
      <c r="T39" s="36"/>
      <c r="U39" s="36"/>
      <c r="V39" s="36"/>
      <c r="W39" s="36"/>
      <c r="X39" s="36"/>
    </row>
    <row r="40" spans="1:30" x14ac:dyDescent="0.15">
      <c r="F40" s="34"/>
      <c r="G40" s="32"/>
      <c r="H40" s="34"/>
      <c r="Q40" s="26">
        <f>$Y$35*Q35/SUM($Q$35:$T$35)</f>
        <v>131</v>
      </c>
      <c r="R40" s="26">
        <f t="shared" ref="R40:T40" si="14">$Y$35*R35/SUM($Q$35:$T$35)</f>
        <v>27</v>
      </c>
      <c r="S40" s="26">
        <f t="shared" si="14"/>
        <v>112</v>
      </c>
      <c r="T40" s="26">
        <f t="shared" si="14"/>
        <v>29</v>
      </c>
    </row>
    <row r="41" spans="1:30" x14ac:dyDescent="0.15">
      <c r="Q41" s="26">
        <v>150</v>
      </c>
      <c r="R41" s="26">
        <v>40</v>
      </c>
      <c r="S41" s="26">
        <v>129</v>
      </c>
      <c r="T41" s="26">
        <v>60</v>
      </c>
    </row>
    <row r="45" spans="1:30" x14ac:dyDescent="0.15">
      <c r="F45" s="34"/>
      <c r="G45" s="32"/>
      <c r="H45" s="34"/>
    </row>
    <row r="57" spans="6:8" x14ac:dyDescent="0.15">
      <c r="F57" s="34"/>
      <c r="G57" s="32"/>
      <c r="H57" s="34"/>
    </row>
  </sheetData>
  <sortState ref="F64:H86">
    <sortCondition ref="F64:F86"/>
    <sortCondition ref="H64:H86"/>
  </sortState>
  <mergeCells count="1">
    <mergeCell ref="A1:B3"/>
  </mergeCells>
  <phoneticPr fontId="0" type="noConversion"/>
  <conditionalFormatting sqref="F5 F7:F31">
    <cfRule type="cellIs" dxfId="6" priority="3" stopIfTrue="1" operator="equal">
      <formula>"TOCC"</formula>
    </cfRule>
  </conditionalFormatting>
  <conditionalFormatting sqref="G5:G2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5:K2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rintOptions horizontalCentered="1"/>
  <pageMargins left="0.35433070866141736" right="0.35433070866141736" top="0.39370078740157483" bottom="0.39370078740157483" header="0" footer="0"/>
  <pageSetup paperSize="9" scale="56" orientation="landscape" horizontalDpi="300" verticalDpi="3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Z1562"/>
  <sheetViews>
    <sheetView tabSelected="1" workbookViewId="0">
      <selection activeCell="A5" sqref="A5:XFD5"/>
    </sheetView>
  </sheetViews>
  <sheetFormatPr defaultRowHeight="10.5" x14ac:dyDescent="0.15"/>
  <cols>
    <col min="1" max="1" width="6.28515625" style="65" bestFit="1" customWidth="1"/>
    <col min="2" max="2" width="7" style="65" bestFit="1" customWidth="1"/>
    <col min="3" max="3" width="14.5703125" style="65" bestFit="1" customWidth="1"/>
    <col min="4" max="4" width="16.7109375" style="65" customWidth="1"/>
    <col min="5" max="5" width="13.7109375" style="65" bestFit="1" customWidth="1"/>
    <col min="6" max="6" width="12.42578125" style="65" bestFit="1" customWidth="1"/>
    <col min="7" max="7" width="14.140625" style="65" bestFit="1" customWidth="1"/>
    <col min="8" max="8" width="11.85546875" style="65" bestFit="1" customWidth="1"/>
    <col min="9" max="9" width="13.5703125" style="65" bestFit="1" customWidth="1"/>
    <col min="10" max="10" width="12.28515625" style="65" bestFit="1" customWidth="1"/>
    <col min="11" max="11" width="12.42578125" style="65" bestFit="1" customWidth="1"/>
    <col min="12" max="12" width="13.42578125" style="65" bestFit="1" customWidth="1"/>
    <col min="13" max="14" width="14.7109375" style="65" bestFit="1" customWidth="1"/>
    <col min="15" max="15" width="12.85546875" style="65" bestFit="1" customWidth="1"/>
    <col min="16" max="16" width="13.140625" style="65" bestFit="1" customWidth="1"/>
    <col min="17" max="17" width="12.42578125" style="65" bestFit="1" customWidth="1"/>
    <col min="18" max="18" width="13.7109375" style="65" bestFit="1" customWidth="1"/>
    <col min="19" max="19" width="14.140625" style="65" bestFit="1" customWidth="1"/>
    <col min="20" max="21" width="13.42578125" style="65" bestFit="1" customWidth="1"/>
    <col min="22" max="22" width="15.28515625" style="65" bestFit="1" customWidth="1"/>
    <col min="23" max="23" width="13.42578125" style="65" customWidth="1"/>
    <col min="24" max="24" width="13.85546875" style="65" customWidth="1"/>
    <col min="25" max="25" width="14.28515625" style="65" customWidth="1"/>
    <col min="26" max="26" width="14.42578125" style="65" customWidth="1"/>
    <col min="27" max="27" width="13.85546875" style="65" customWidth="1"/>
    <col min="28" max="28" width="14.5703125" style="65" customWidth="1"/>
    <col min="29" max="29" width="12.42578125" style="65" customWidth="1"/>
    <col min="30" max="30" width="13.5703125" style="65" customWidth="1"/>
    <col min="31" max="31" width="14.28515625" style="65" customWidth="1"/>
    <col min="32" max="81" width="2.7109375" style="65" hidden="1" customWidth="1"/>
    <col min="82" max="82" width="2.7109375" style="65" customWidth="1"/>
    <col min="83" max="83" width="14.42578125" style="65" bestFit="1" customWidth="1"/>
    <col min="84" max="84" width="8.140625" style="65" bestFit="1" customWidth="1"/>
    <col min="85" max="85" width="8.140625" style="65" hidden="1" customWidth="1"/>
    <col min="86" max="86" width="8.140625" style="65" bestFit="1" customWidth="1"/>
    <col min="87" max="87" width="7.140625" style="65" bestFit="1" customWidth="1"/>
    <col min="88" max="88" width="8" style="65" hidden="1" customWidth="1"/>
    <col min="89" max="89" width="4.5703125" style="65" bestFit="1" customWidth="1"/>
    <col min="90" max="90" width="5" style="65" bestFit="1" customWidth="1"/>
    <col min="91" max="91" width="8.7109375" style="57" hidden="1" customWidth="1"/>
    <col min="92" max="92" width="5.7109375" style="65" hidden="1" customWidth="1"/>
    <col min="93" max="93" width="5.5703125" style="65" bestFit="1" customWidth="1"/>
    <col min="94" max="94" width="4.140625" style="65" bestFit="1" customWidth="1"/>
    <col min="95" max="95" width="6" style="65" bestFit="1" customWidth="1"/>
    <col min="96" max="98" width="5.28515625" style="65" bestFit="1" customWidth="1"/>
    <col min="99" max="101" width="4.140625" style="65" bestFit="1" customWidth="1"/>
    <col min="102" max="102" width="4" style="65" bestFit="1" customWidth="1"/>
    <col min="103" max="103" width="5.7109375" style="65" bestFit="1" customWidth="1"/>
    <col min="104" max="104" width="8.7109375" style="65" bestFit="1" customWidth="1"/>
    <col min="105" max="106" width="8.140625" style="65" bestFit="1" customWidth="1"/>
    <col min="107" max="107" width="5.42578125" style="65" bestFit="1" customWidth="1"/>
    <col min="108" max="108" width="9.5703125" style="65" bestFit="1" customWidth="1"/>
    <col min="109" max="109" width="6.5703125" style="65" bestFit="1" customWidth="1"/>
    <col min="110" max="110" width="5.140625" style="65" bestFit="1" customWidth="1"/>
    <col min="111" max="111" width="11" style="65" bestFit="1" customWidth="1"/>
    <col min="112" max="113" width="5.140625" style="65" bestFit="1" customWidth="1"/>
    <col min="114" max="116" width="9.140625" style="65"/>
    <col min="117" max="117" width="16.28515625" style="65" bestFit="1" customWidth="1"/>
    <col min="118" max="118" width="9.140625" style="65"/>
    <col min="119" max="119" width="14.42578125" style="65" bestFit="1" customWidth="1"/>
    <col min="120" max="120" width="12.85546875" style="65" bestFit="1" customWidth="1"/>
    <col min="121" max="121" width="16.28515625" style="65" bestFit="1" customWidth="1"/>
    <col min="122" max="16384" width="9.140625" style="65"/>
  </cols>
  <sheetData>
    <row r="1" spans="1:124" s="64" customFormat="1" ht="50.25" customHeight="1" x14ac:dyDescent="0.15">
      <c r="A1" s="61"/>
      <c r="B1" s="61"/>
      <c r="C1" s="48" t="str">
        <f t="array" ref="C1:CD4">TRANSPOSE(Matches!B4:E54)</f>
        <v>Date</v>
      </c>
      <c r="D1" s="62">
        <v>43583</v>
      </c>
      <c r="E1" s="62">
        <v>43590</v>
      </c>
      <c r="F1" s="62">
        <v>43604</v>
      </c>
      <c r="G1" s="62">
        <v>43610</v>
      </c>
      <c r="H1" s="62">
        <v>43611</v>
      </c>
      <c r="I1" s="62">
        <v>43612</v>
      </c>
      <c r="J1" s="62">
        <v>43618</v>
      </c>
      <c r="K1" s="62">
        <v>43625</v>
      </c>
      <c r="L1" s="62">
        <v>43632</v>
      </c>
      <c r="M1" s="62">
        <v>43639</v>
      </c>
      <c r="N1" s="62">
        <v>43646</v>
      </c>
      <c r="O1" s="62">
        <v>43653</v>
      </c>
      <c r="P1" s="62">
        <v>43660</v>
      </c>
      <c r="Q1" s="62">
        <v>43667</v>
      </c>
      <c r="R1" s="62">
        <v>43674</v>
      </c>
      <c r="S1" s="62">
        <v>43681</v>
      </c>
      <c r="T1" s="62">
        <v>43688</v>
      </c>
      <c r="U1" s="62">
        <v>43695</v>
      </c>
      <c r="V1" s="62">
        <v>43716</v>
      </c>
      <c r="W1" s="62">
        <v>43723</v>
      </c>
      <c r="X1" s="62">
        <v>43730</v>
      </c>
      <c r="Y1" s="62">
        <v>0</v>
      </c>
      <c r="Z1" s="62">
        <v>0</v>
      </c>
      <c r="AA1" s="62">
        <v>0</v>
      </c>
      <c r="AB1" s="62">
        <v>0</v>
      </c>
      <c r="AC1" s="62">
        <v>0</v>
      </c>
      <c r="AD1" s="62">
        <v>0</v>
      </c>
      <c r="AE1" s="62">
        <v>0</v>
      </c>
      <c r="AF1" s="62">
        <v>0</v>
      </c>
      <c r="AG1" s="62">
        <v>0</v>
      </c>
      <c r="AH1" s="62">
        <v>0</v>
      </c>
      <c r="AI1" s="62">
        <v>0</v>
      </c>
      <c r="AJ1" s="62">
        <v>0</v>
      </c>
      <c r="AK1" s="62">
        <v>0</v>
      </c>
      <c r="AL1" s="62">
        <v>0</v>
      </c>
      <c r="AM1" s="62">
        <v>0</v>
      </c>
      <c r="AN1" s="62">
        <v>0</v>
      </c>
      <c r="AO1" s="62">
        <v>0</v>
      </c>
      <c r="AP1" s="62">
        <v>0</v>
      </c>
      <c r="AQ1" s="62">
        <v>0</v>
      </c>
      <c r="AR1" s="62">
        <v>0</v>
      </c>
      <c r="AS1" s="62">
        <v>0</v>
      </c>
      <c r="AT1" s="62">
        <v>0</v>
      </c>
      <c r="AU1" s="62">
        <v>0</v>
      </c>
      <c r="AV1" s="62">
        <v>0</v>
      </c>
      <c r="AW1" s="62">
        <v>0</v>
      </c>
      <c r="AX1" s="62">
        <v>0</v>
      </c>
      <c r="AY1" s="62">
        <v>0</v>
      </c>
      <c r="AZ1" s="62">
        <v>0</v>
      </c>
      <c r="BA1" s="62">
        <v>0</v>
      </c>
      <c r="BB1" s="62" t="e">
        <v>#N/A</v>
      </c>
      <c r="BC1" s="62" t="e">
        <v>#N/A</v>
      </c>
      <c r="BD1" s="62" t="e">
        <v>#N/A</v>
      </c>
      <c r="BE1" s="62" t="e">
        <v>#N/A</v>
      </c>
      <c r="BF1" s="62" t="e">
        <v>#N/A</v>
      </c>
      <c r="BG1" s="62" t="e">
        <v>#N/A</v>
      </c>
      <c r="BH1" s="62" t="e">
        <v>#N/A</v>
      </c>
      <c r="BI1" s="62" t="e">
        <v>#N/A</v>
      </c>
      <c r="BJ1" s="62" t="e">
        <v>#N/A</v>
      </c>
      <c r="BK1" s="62" t="e">
        <v>#N/A</v>
      </c>
      <c r="BL1" s="62" t="e">
        <v>#N/A</v>
      </c>
      <c r="BM1" s="62" t="e">
        <v>#N/A</v>
      </c>
      <c r="BN1" s="62" t="e">
        <v>#N/A</v>
      </c>
      <c r="BO1" s="62" t="e">
        <v>#N/A</v>
      </c>
      <c r="BP1" s="62" t="e">
        <v>#N/A</v>
      </c>
      <c r="BQ1" s="62" t="e">
        <v>#N/A</v>
      </c>
      <c r="BR1" s="62" t="e">
        <v>#N/A</v>
      </c>
      <c r="BS1" s="62" t="e">
        <v>#N/A</v>
      </c>
      <c r="BT1" s="62" t="e">
        <v>#N/A</v>
      </c>
      <c r="BU1" s="62" t="e">
        <v>#N/A</v>
      </c>
      <c r="BV1" s="62" t="e">
        <v>#N/A</v>
      </c>
      <c r="BW1" s="62" t="e">
        <v>#N/A</v>
      </c>
      <c r="BX1" s="62" t="e">
        <v>#N/A</v>
      </c>
      <c r="BY1" s="62" t="e">
        <v>#N/A</v>
      </c>
      <c r="BZ1" s="62" t="e">
        <v>#N/A</v>
      </c>
      <c r="CA1" s="62" t="e">
        <v>#N/A</v>
      </c>
      <c r="CB1" s="62" t="e">
        <v>#N/A</v>
      </c>
      <c r="CC1" s="62" t="e">
        <v>#N/A</v>
      </c>
      <c r="CD1" s="62" t="e">
        <v>#N/A</v>
      </c>
      <c r="CE1" s="62"/>
      <c r="CF1" s="61"/>
      <c r="CG1" s="61"/>
      <c r="CH1" s="61"/>
      <c r="CI1" s="61"/>
      <c r="CJ1" s="61"/>
      <c r="CK1" s="61"/>
      <c r="CL1" s="61"/>
      <c r="CM1" s="63"/>
    </row>
    <row r="2" spans="1:124" ht="83.25" customHeight="1" x14ac:dyDescent="0.15">
      <c r="C2" s="51" t="str">
        <v>Opp</v>
      </c>
      <c r="D2" s="66" t="str">
        <v>Worcester Park</v>
      </c>
      <c r="E2" s="66" t="str">
        <v>Woodgreen</v>
      </c>
      <c r="F2" s="66" t="str">
        <v>Streatham</v>
      </c>
      <c r="G2" s="66" t="str">
        <v>Fonthill Park</v>
      </c>
      <c r="H2" s="66" t="str">
        <v>Woodgreen</v>
      </c>
      <c r="I2" s="66" t="str">
        <v>Steeple Langford</v>
      </c>
      <c r="J2" s="66" t="str">
        <v>Spencer</v>
      </c>
      <c r="K2" s="66" t="str">
        <v>3W United (?)</v>
      </c>
      <c r="L2" s="66" t="str">
        <v>Beddington</v>
      </c>
      <c r="M2" s="66" t="str">
        <v>Churchleigh</v>
      </c>
      <c r="N2" s="66" t="str">
        <v>Chessington</v>
      </c>
      <c r="O2" s="66" t="str">
        <v>Spencer</v>
      </c>
      <c r="P2" s="66" t="str">
        <v>Morden</v>
      </c>
      <c r="Q2" s="66" t="str">
        <v>Merton</v>
      </c>
      <c r="R2" s="66" t="str">
        <v>Verdayne Green</v>
      </c>
      <c r="S2" s="66" t="str">
        <v>Southbank</v>
      </c>
      <c r="T2" s="66" t="str">
        <v>Surrey Ovalites</v>
      </c>
      <c r="U2" s="66" t="str">
        <v>Norwood Exiles</v>
      </c>
      <c r="V2" s="66" t="str">
        <v>Richmond Legbreakers</v>
      </c>
      <c r="W2" s="66" t="str">
        <v>Catford Cyphers</v>
      </c>
      <c r="X2" s="66" t="str">
        <v>Sanderstead</v>
      </c>
      <c r="Y2" s="66">
        <v>0</v>
      </c>
      <c r="Z2" s="66">
        <v>0</v>
      </c>
      <c r="AA2" s="66">
        <v>0</v>
      </c>
      <c r="AB2" s="66">
        <v>0</v>
      </c>
      <c r="AC2" s="66">
        <v>0</v>
      </c>
      <c r="AD2" s="66">
        <v>0</v>
      </c>
      <c r="AE2" s="66">
        <v>0</v>
      </c>
      <c r="AF2" s="66">
        <v>0</v>
      </c>
      <c r="AG2" s="66">
        <v>0</v>
      </c>
      <c r="AH2" s="66">
        <v>0</v>
      </c>
      <c r="AI2" s="66">
        <v>0</v>
      </c>
      <c r="AJ2" s="66">
        <v>0</v>
      </c>
      <c r="AK2" s="66">
        <v>0</v>
      </c>
      <c r="AL2" s="66">
        <v>0</v>
      </c>
      <c r="AM2" s="66">
        <v>0</v>
      </c>
      <c r="AN2" s="66">
        <v>0</v>
      </c>
      <c r="AO2" s="66">
        <v>0</v>
      </c>
      <c r="AP2" s="66">
        <v>0</v>
      </c>
      <c r="AQ2" s="66">
        <v>0</v>
      </c>
      <c r="AR2" s="66">
        <v>0</v>
      </c>
      <c r="AS2" s="66">
        <v>0</v>
      </c>
      <c r="AT2" s="66">
        <v>0</v>
      </c>
      <c r="AU2" s="66">
        <v>0</v>
      </c>
      <c r="AV2" s="66">
        <v>0</v>
      </c>
      <c r="AW2" s="66">
        <v>0</v>
      </c>
      <c r="AX2" s="66">
        <v>0</v>
      </c>
      <c r="AY2" s="66">
        <v>0</v>
      </c>
      <c r="AZ2" s="66">
        <v>0</v>
      </c>
      <c r="BA2" s="66">
        <v>0</v>
      </c>
      <c r="BB2" s="66" t="e">
        <v>#N/A</v>
      </c>
      <c r="BC2" s="66" t="e">
        <v>#N/A</v>
      </c>
      <c r="BD2" s="66" t="e">
        <v>#N/A</v>
      </c>
      <c r="BE2" s="66" t="e">
        <v>#N/A</v>
      </c>
      <c r="BF2" s="66" t="e">
        <v>#N/A</v>
      </c>
      <c r="BG2" s="66" t="e">
        <v>#N/A</v>
      </c>
      <c r="BH2" s="66" t="e">
        <v>#N/A</v>
      </c>
      <c r="BI2" s="66" t="e">
        <v>#N/A</v>
      </c>
      <c r="BJ2" s="66" t="e">
        <v>#N/A</v>
      </c>
      <c r="BK2" s="66" t="e">
        <v>#N/A</v>
      </c>
      <c r="BL2" s="66" t="e">
        <v>#N/A</v>
      </c>
      <c r="BM2" s="66" t="e">
        <v>#N/A</v>
      </c>
      <c r="BN2" s="66" t="e">
        <v>#N/A</v>
      </c>
      <c r="BO2" s="66" t="e">
        <v>#N/A</v>
      </c>
      <c r="BP2" s="66" t="e">
        <v>#N/A</v>
      </c>
      <c r="BQ2" s="66" t="e">
        <v>#N/A</v>
      </c>
      <c r="BR2" s="66" t="e">
        <v>#N/A</v>
      </c>
      <c r="BS2" s="66" t="e">
        <v>#N/A</v>
      </c>
      <c r="BT2" s="66" t="e">
        <v>#N/A</v>
      </c>
      <c r="BU2" s="66" t="e">
        <v>#N/A</v>
      </c>
      <c r="BV2" s="66" t="e">
        <v>#N/A</v>
      </c>
      <c r="BW2" s="66" t="e">
        <v>#N/A</v>
      </c>
      <c r="BX2" s="66" t="e">
        <v>#N/A</v>
      </c>
      <c r="BY2" s="66" t="e">
        <v>#N/A</v>
      </c>
      <c r="BZ2" s="66" t="e">
        <v>#N/A</v>
      </c>
      <c r="CA2" s="66" t="e">
        <v>#N/A</v>
      </c>
      <c r="CB2" s="66" t="e">
        <v>#N/A</v>
      </c>
      <c r="CC2" s="66" t="e">
        <v>#N/A</v>
      </c>
      <c r="CD2" s="66" t="e">
        <v>#N/A</v>
      </c>
      <c r="CE2" s="66"/>
      <c r="CO2" s="65" t="s">
        <v>4</v>
      </c>
    </row>
    <row r="3" spans="1:124" x14ac:dyDescent="0.15">
      <c r="C3" s="51" t="str">
        <v>Venue</v>
      </c>
      <c r="D3" s="51" t="str">
        <v>H</v>
      </c>
      <c r="E3" s="51" t="str">
        <v>H</v>
      </c>
      <c r="F3" s="51" t="str">
        <v>H</v>
      </c>
      <c r="G3" s="51" t="str">
        <v>A</v>
      </c>
      <c r="H3" s="51" t="str">
        <v>A</v>
      </c>
      <c r="I3" s="51" t="str">
        <v>A</v>
      </c>
      <c r="J3" s="51" t="str">
        <v>A</v>
      </c>
      <c r="K3" s="51" t="str">
        <v>H</v>
      </c>
      <c r="L3" s="51" t="str">
        <v>A</v>
      </c>
      <c r="M3" s="51" t="str">
        <v>H</v>
      </c>
      <c r="N3" s="51" t="str">
        <v>A</v>
      </c>
      <c r="O3" s="51" t="str">
        <v>A</v>
      </c>
      <c r="P3" s="51" t="str">
        <v>A</v>
      </c>
      <c r="Q3" s="51" t="str">
        <v>H</v>
      </c>
      <c r="R3" s="51" t="str">
        <v>A</v>
      </c>
      <c r="S3" s="51" t="str">
        <v>A</v>
      </c>
      <c r="T3" s="51" t="str">
        <v>A</v>
      </c>
      <c r="U3" s="51" t="str">
        <v>H</v>
      </c>
      <c r="V3" s="51" t="str">
        <v>H</v>
      </c>
      <c r="W3" s="51" t="str">
        <v>A</v>
      </c>
      <c r="X3" s="51" t="str">
        <v>H</v>
      </c>
      <c r="Y3" s="51">
        <v>0</v>
      </c>
      <c r="Z3" s="51">
        <v>0</v>
      </c>
      <c r="AA3" s="51">
        <v>0</v>
      </c>
      <c r="AB3" s="51">
        <v>0</v>
      </c>
      <c r="AC3" s="51">
        <v>0</v>
      </c>
      <c r="AD3" s="51">
        <v>0</v>
      </c>
      <c r="AE3" s="51">
        <v>0</v>
      </c>
      <c r="AF3" s="51">
        <v>0</v>
      </c>
      <c r="AG3" s="51">
        <v>0</v>
      </c>
      <c r="AH3" s="51">
        <v>0</v>
      </c>
      <c r="AI3" s="51">
        <v>0</v>
      </c>
      <c r="AJ3" s="51">
        <v>0</v>
      </c>
      <c r="AK3" s="51">
        <v>0</v>
      </c>
      <c r="AL3" s="51">
        <v>0</v>
      </c>
      <c r="AM3" s="51">
        <v>0</v>
      </c>
      <c r="AN3" s="51">
        <v>0</v>
      </c>
      <c r="AO3" s="51">
        <v>0</v>
      </c>
      <c r="AP3" s="51">
        <v>0</v>
      </c>
      <c r="AQ3" s="51">
        <v>0</v>
      </c>
      <c r="AR3" s="51">
        <v>0</v>
      </c>
      <c r="AS3" s="51">
        <v>0</v>
      </c>
      <c r="AT3" s="51">
        <v>0</v>
      </c>
      <c r="AU3" s="51">
        <v>0</v>
      </c>
      <c r="AV3" s="51">
        <v>0</v>
      </c>
      <c r="AW3" s="51">
        <v>0</v>
      </c>
      <c r="AX3" s="51">
        <v>0</v>
      </c>
      <c r="AY3" s="51">
        <v>0</v>
      </c>
      <c r="AZ3" s="51">
        <v>0</v>
      </c>
      <c r="BA3" s="51">
        <v>0</v>
      </c>
      <c r="BB3" s="51" t="e">
        <v>#N/A</v>
      </c>
      <c r="BC3" s="51" t="e">
        <v>#N/A</v>
      </c>
      <c r="BD3" s="51" t="e">
        <v>#N/A</v>
      </c>
      <c r="BE3" s="51" t="e">
        <v>#N/A</v>
      </c>
      <c r="BF3" s="51" t="e">
        <v>#N/A</v>
      </c>
      <c r="BG3" s="51" t="e">
        <v>#N/A</v>
      </c>
      <c r="BH3" s="51" t="e">
        <v>#N/A</v>
      </c>
      <c r="BI3" s="51" t="e">
        <v>#N/A</v>
      </c>
      <c r="BJ3" s="51" t="e">
        <v>#N/A</v>
      </c>
      <c r="BK3" s="51" t="e">
        <v>#N/A</v>
      </c>
      <c r="BL3" s="51" t="e">
        <v>#N/A</v>
      </c>
      <c r="BM3" s="51" t="e">
        <v>#N/A</v>
      </c>
      <c r="BN3" s="51" t="e">
        <v>#N/A</v>
      </c>
      <c r="BO3" s="51" t="e">
        <v>#N/A</v>
      </c>
      <c r="BP3" s="51" t="e">
        <v>#N/A</v>
      </c>
      <c r="BQ3" s="51" t="e">
        <v>#N/A</v>
      </c>
      <c r="BR3" s="51" t="e">
        <v>#N/A</v>
      </c>
      <c r="BS3" s="51" t="e">
        <v>#N/A</v>
      </c>
      <c r="BT3" s="51" t="e">
        <v>#N/A</v>
      </c>
      <c r="BU3" s="51" t="e">
        <v>#N/A</v>
      </c>
      <c r="BV3" s="51" t="e">
        <v>#N/A</v>
      </c>
      <c r="BW3" s="51" t="e">
        <v>#N/A</v>
      </c>
      <c r="BX3" s="51" t="e">
        <v>#N/A</v>
      </c>
      <c r="BY3" s="51" t="e">
        <v>#N/A</v>
      </c>
      <c r="BZ3" s="51" t="e">
        <v>#N/A</v>
      </c>
      <c r="CA3" s="51" t="e">
        <v>#N/A</v>
      </c>
      <c r="CB3" s="51" t="e">
        <v>#N/A</v>
      </c>
      <c r="CC3" s="51" t="e">
        <v>#N/A</v>
      </c>
      <c r="CD3" s="51" t="e">
        <v>#N/A</v>
      </c>
      <c r="CE3" s="51"/>
    </row>
    <row r="4" spans="1:124" x14ac:dyDescent="0.15">
      <c r="C4" s="51" t="str">
        <v>Result</v>
      </c>
      <c r="D4" s="65" t="str">
        <v>W</v>
      </c>
      <c r="E4" s="51" t="str">
        <v>L</v>
      </c>
      <c r="F4" s="51" t="str">
        <v>L</v>
      </c>
      <c r="G4" s="51" t="str">
        <v>W</v>
      </c>
      <c r="H4" s="51" t="str">
        <v>W</v>
      </c>
      <c r="I4" s="51" t="str">
        <v>W</v>
      </c>
      <c r="J4" s="51" t="str">
        <v>W</v>
      </c>
      <c r="K4" s="51" t="str">
        <v>W</v>
      </c>
      <c r="L4" s="51" t="str">
        <v>L</v>
      </c>
      <c r="M4" s="51" t="str">
        <v>L</v>
      </c>
      <c r="N4" s="51" t="str">
        <v>L</v>
      </c>
      <c r="O4" s="51" t="str">
        <v>L</v>
      </c>
      <c r="P4" s="51" t="str">
        <v>W</v>
      </c>
      <c r="Q4" s="51" t="str">
        <v>W</v>
      </c>
      <c r="R4" s="51" t="str">
        <v>L</v>
      </c>
      <c r="S4" s="51" t="str">
        <v>L</v>
      </c>
      <c r="T4" s="51" t="str">
        <v>L</v>
      </c>
      <c r="U4" s="51" t="str">
        <v>L</v>
      </c>
      <c r="V4" s="51" t="str">
        <v>W</v>
      </c>
      <c r="W4" s="51" t="str">
        <v>L</v>
      </c>
      <c r="X4" s="51" t="str">
        <v>W</v>
      </c>
      <c r="Y4" s="51">
        <v>0</v>
      </c>
      <c r="Z4" s="51">
        <v>0</v>
      </c>
      <c r="AA4" s="51">
        <v>0</v>
      </c>
      <c r="AB4" s="51">
        <v>0</v>
      </c>
      <c r="AC4" s="51">
        <v>0</v>
      </c>
      <c r="AD4" s="51">
        <v>0</v>
      </c>
      <c r="AE4" s="51">
        <v>0</v>
      </c>
      <c r="AF4" s="51">
        <v>0</v>
      </c>
      <c r="AG4" s="51">
        <v>0</v>
      </c>
      <c r="AH4" s="51">
        <v>0</v>
      </c>
      <c r="AI4" s="51">
        <v>0</v>
      </c>
      <c r="AJ4" s="51">
        <v>0</v>
      </c>
      <c r="AK4" s="51">
        <v>0</v>
      </c>
      <c r="AL4" s="51">
        <v>0</v>
      </c>
      <c r="AM4" s="51">
        <v>0</v>
      </c>
      <c r="AN4" s="51">
        <v>0</v>
      </c>
      <c r="AO4" s="51">
        <v>0</v>
      </c>
      <c r="AP4" s="51">
        <v>0</v>
      </c>
      <c r="AQ4" s="51">
        <v>0</v>
      </c>
      <c r="AR4" s="51">
        <v>0</v>
      </c>
      <c r="AS4" s="51">
        <v>0</v>
      </c>
      <c r="AT4" s="51">
        <v>0</v>
      </c>
      <c r="AU4" s="51">
        <v>0</v>
      </c>
      <c r="AV4" s="51">
        <v>0</v>
      </c>
      <c r="AW4" s="51">
        <v>0</v>
      </c>
      <c r="AX4" s="51">
        <v>0</v>
      </c>
      <c r="AY4" s="51">
        <v>0</v>
      </c>
      <c r="AZ4" s="51">
        <v>0</v>
      </c>
      <c r="BA4" s="51">
        <v>0</v>
      </c>
      <c r="BB4" s="51" t="e">
        <v>#N/A</v>
      </c>
      <c r="BC4" s="51" t="e">
        <v>#N/A</v>
      </c>
      <c r="BD4" s="51" t="e">
        <v>#N/A</v>
      </c>
      <c r="BE4" s="51" t="e">
        <v>#N/A</v>
      </c>
      <c r="BF4" s="51" t="e">
        <v>#N/A</v>
      </c>
      <c r="BG4" s="51" t="e">
        <v>#N/A</v>
      </c>
      <c r="BH4" s="51" t="e">
        <v>#N/A</v>
      </c>
      <c r="BI4" s="51" t="e">
        <v>#N/A</v>
      </c>
      <c r="BJ4" s="51" t="e">
        <v>#N/A</v>
      </c>
      <c r="BK4" s="51" t="e">
        <v>#N/A</v>
      </c>
      <c r="BL4" s="51" t="e">
        <v>#N/A</v>
      </c>
      <c r="BM4" s="51" t="e">
        <v>#N/A</v>
      </c>
      <c r="BN4" s="51" t="e">
        <v>#N/A</v>
      </c>
      <c r="BO4" s="51" t="e">
        <v>#N/A</v>
      </c>
      <c r="BP4" s="51" t="e">
        <v>#N/A</v>
      </c>
      <c r="BQ4" s="51" t="e">
        <v>#N/A</v>
      </c>
      <c r="BR4" s="51" t="e">
        <v>#N/A</v>
      </c>
      <c r="BS4" s="51" t="e">
        <v>#N/A</v>
      </c>
      <c r="BT4" s="51" t="e">
        <v>#N/A</v>
      </c>
      <c r="BU4" s="51" t="e">
        <v>#N/A</v>
      </c>
      <c r="BV4" s="51" t="e">
        <v>#N/A</v>
      </c>
      <c r="BW4" s="51" t="e">
        <v>#N/A</v>
      </c>
      <c r="BX4" s="51" t="e">
        <v>#N/A</v>
      </c>
      <c r="BY4" s="51" t="e">
        <v>#N/A</v>
      </c>
      <c r="BZ4" s="51" t="e">
        <v>#N/A</v>
      </c>
      <c r="CA4" s="51" t="e">
        <v>#N/A</v>
      </c>
      <c r="CB4" s="51" t="e">
        <v>#N/A</v>
      </c>
      <c r="CC4" s="51" t="e">
        <v>#N/A</v>
      </c>
      <c r="CD4" s="51" t="e">
        <v>#N/A</v>
      </c>
      <c r="CE4" s="51"/>
      <c r="CF4" s="47" t="s">
        <v>5</v>
      </c>
      <c r="CG4" s="47" t="s">
        <v>6</v>
      </c>
      <c r="CH4" s="47" t="s">
        <v>7</v>
      </c>
      <c r="CI4" s="47" t="s">
        <v>8</v>
      </c>
      <c r="CJ4" s="47" t="s">
        <v>116</v>
      </c>
      <c r="CK4" s="47" t="s">
        <v>132</v>
      </c>
      <c r="CL4" s="47" t="s">
        <v>9</v>
      </c>
      <c r="CM4" s="44" t="s">
        <v>33</v>
      </c>
      <c r="CN4" s="65" t="s">
        <v>11</v>
      </c>
      <c r="CO4" s="47" t="s">
        <v>12</v>
      </c>
      <c r="CP4" s="47" t="s">
        <v>13</v>
      </c>
      <c r="CQ4" s="47" t="s">
        <v>14</v>
      </c>
      <c r="CR4" s="47" t="s">
        <v>15</v>
      </c>
      <c r="CS4" s="47" t="s">
        <v>16</v>
      </c>
      <c r="CT4" s="47" t="s">
        <v>17</v>
      </c>
      <c r="CU4" s="47" t="s">
        <v>18</v>
      </c>
      <c r="CV4" s="47" t="s">
        <v>19</v>
      </c>
      <c r="CW4" s="47" t="s">
        <v>190</v>
      </c>
      <c r="CX4" s="71" t="s">
        <v>236</v>
      </c>
      <c r="CY4" s="71" t="s">
        <v>222</v>
      </c>
      <c r="CZ4" s="71" t="s">
        <v>728</v>
      </c>
      <c r="DA4" s="47" t="s">
        <v>20</v>
      </c>
      <c r="DB4" s="47" t="s">
        <v>21</v>
      </c>
      <c r="DC4" s="47" t="s">
        <v>22</v>
      </c>
      <c r="DD4" s="47" t="s">
        <v>23</v>
      </c>
      <c r="DE4" s="65" t="s">
        <v>117</v>
      </c>
      <c r="DF4" s="65" t="s">
        <v>118</v>
      </c>
      <c r="DG4" s="65" t="s">
        <v>130</v>
      </c>
      <c r="DH4" s="65" t="s">
        <v>129</v>
      </c>
      <c r="DI4" s="65" t="s">
        <v>136</v>
      </c>
      <c r="DJ4" s="65" t="s">
        <v>144</v>
      </c>
      <c r="DK4" s="65" t="s">
        <v>146</v>
      </c>
      <c r="DM4" s="117" t="s">
        <v>259</v>
      </c>
      <c r="DO4" s="117" t="s">
        <v>22</v>
      </c>
      <c r="DQ4" s="117" t="s">
        <v>21</v>
      </c>
      <c r="DS4" s="117" t="s">
        <v>262</v>
      </c>
    </row>
    <row r="5" spans="1:124" x14ac:dyDescent="0.15">
      <c r="B5" t="s">
        <v>472</v>
      </c>
      <c r="C5" t="s">
        <v>473</v>
      </c>
      <c r="D5"/>
      <c r="E5"/>
      <c r="F5" s="117"/>
      <c r="G5"/>
      <c r="H5" s="117"/>
      <c r="I5" s="117"/>
      <c r="J5"/>
      <c r="K5" s="117"/>
      <c r="L5" s="117"/>
      <c r="M5" s="117" t="s">
        <v>266</v>
      </c>
      <c r="N5" s="117"/>
      <c r="O5" s="117"/>
      <c r="P5" s="117"/>
      <c r="Q5" s="117"/>
      <c r="R5" s="117"/>
      <c r="S5" s="117"/>
      <c r="T5" s="117"/>
      <c r="U5"/>
      <c r="V5"/>
      <c r="W5"/>
      <c r="X5"/>
      <c r="Y5"/>
      <c r="Z5"/>
      <c r="CE5" s="65" t="str">
        <f t="shared" ref="CE5:CE34" si="0">C5</f>
        <v>Rohan ???</v>
      </c>
      <c r="CF5" s="65">
        <f t="shared" ref="CF5" si="1">BatSplit(D5:CD5,MatchesPlayed)</f>
        <v>1</v>
      </c>
      <c r="CG5" s="65">
        <f t="shared" ref="CG5" si="2">CF5-CH5</f>
        <v>0</v>
      </c>
      <c r="CH5" s="65">
        <f t="shared" ref="CH5" si="3">BatSplit(D5:CD5,InnsBattedIn)</f>
        <v>1</v>
      </c>
      <c r="CI5" s="65">
        <f t="shared" ref="CI5" si="4">BatSplit(D5:CD5,NotOuts)</f>
        <v>0</v>
      </c>
      <c r="CJ5" s="65">
        <f t="shared" ref="CJ5" si="5">BatSplit(D5:CD5,HighestScore)</f>
        <v>0</v>
      </c>
      <c r="CK5" s="69">
        <f t="shared" ref="CK5" si="6">IF(CJ5&lt;0,-CJ5&amp;"*",CJ5)</f>
        <v>0</v>
      </c>
      <c r="CL5" s="65">
        <f t="shared" ref="CL5" si="7">BatSplit(D5:CD5,RunsScored)</f>
        <v>0</v>
      </c>
      <c r="CM5" s="67">
        <f t="shared" ref="CM5" si="8">IF(CH5=CI5,0,CL5/(CH5-CI5))</f>
        <v>0</v>
      </c>
      <c r="CN5" s="65">
        <f t="shared" ref="CN5" si="9">BatSplit(D5:CD5,FldPts)</f>
        <v>0</v>
      </c>
      <c r="CO5" s="68">
        <f t="array" ref="CO5">SUM(IF(ISERR(FIND("*",D5:CD5)),0,1))</f>
        <v>0</v>
      </c>
      <c r="CP5" s="68">
        <f t="array" ref="CP5">SUM(IF(ISERR(FIND("+",D5:CD5)),0,1))</f>
        <v>0</v>
      </c>
      <c r="CQ5" s="65">
        <f t="shared" ref="CQ5" si="10">BatSplit(D5:CD5,Ducks)</f>
        <v>1</v>
      </c>
      <c r="CR5" s="68">
        <f t="array" ref="CR5">SUM(IF(ISERR(FIND(CR$4,$D5:$CD5)),0,1))</f>
        <v>1</v>
      </c>
      <c r="CS5" s="68">
        <f t="array" ref="CS5">SUM(IF(ISERR(FIND(CS$4,$D5:$CD5)),0,1))</f>
        <v>0</v>
      </c>
      <c r="CT5" s="68">
        <f t="array" ref="CT5">SUM(IF(ISERR(FIND(CT$4,$D5:$CD5)),0,1))</f>
        <v>0</v>
      </c>
      <c r="CU5" s="68">
        <f t="array" ref="CU5">SUM(IF(ISERR(FIND(CU$4,$D5:$CD5)),0,1))</f>
        <v>0</v>
      </c>
      <c r="CV5" s="68">
        <f t="array" ref="CV5">SUM(IF(ISERR(FIND(CV$4,$D5:$CD5)),0,1))</f>
        <v>0</v>
      </c>
      <c r="CW5" s="68">
        <f t="array" ref="CW5">SUM(IF(ISERR(FIND(CW$4,$D5:$CD5)),0,1))</f>
        <v>0</v>
      </c>
      <c r="CX5" s="68">
        <f t="array" ref="CX5">SUM(IF(ISERR(FIND(CX$4,$D5:$CD5)),0,1))</f>
        <v>0</v>
      </c>
      <c r="CY5" s="68">
        <f t="shared" ref="CY5" si="11">BatSplit(D5:CD5,Fifties)</f>
        <v>0</v>
      </c>
      <c r="CZ5" s="68">
        <f t="shared" ref="CZ5:CZ35" si="12">BatSplit(D5:CD5,Hundreds)</f>
        <v>0</v>
      </c>
      <c r="DA5" s="68">
        <f t="shared" ref="DA5" si="13">BatSplit(D5:CD5,Catches)</f>
        <v>0</v>
      </c>
      <c r="DB5" s="68">
        <f t="shared" ref="DB5" si="14">BatSplit(D5:CD5,Fours)</f>
        <v>0</v>
      </c>
      <c r="DC5" s="68">
        <f t="shared" ref="DC5" si="15">BatSplit(D5:CD5,Sixes)</f>
        <v>0</v>
      </c>
      <c r="DD5" s="68">
        <f t="shared" ref="DD5" si="16">BatSplit(D5:CD5,Stumpings)</f>
        <v>0</v>
      </c>
      <c r="DE5" s="68">
        <f t="shared" ref="DE5" si="17">BatSplit(D5:CD5,CaughtWkt)</f>
        <v>0</v>
      </c>
      <c r="DF5" s="68">
        <f t="shared" ref="DF5" si="18">BatSplit(D5:CD5,TwentyFives)</f>
        <v>0</v>
      </c>
      <c r="DG5" s="65">
        <f t="shared" ref="DG5" si="19">ROUND(IF(ISERROR(CM5),0,CM5),2)*100000+CH5*100+CF5+CL5/100+ROW()/100000</f>
        <v>101.00005</v>
      </c>
      <c r="DH5" s="65">
        <f>RANK(DG5,$DG$5:$DG$57)</f>
        <v>40</v>
      </c>
      <c r="DI5" s="65">
        <v>0</v>
      </c>
      <c r="DJ5" s="86" t="str">
        <f t="shared" ref="DJ5" si="20">IF(CL5&gt;=50,(DB5*4+DC5*6+DI5*5)/CL5,"")</f>
        <v/>
      </c>
      <c r="DK5" s="94">
        <f t="shared" ref="DK5" si="21">CQ5/(CH5-CI5)</f>
        <v>1</v>
      </c>
      <c r="DL5" s="172">
        <f t="shared" ref="DL5" si="22">DA5</f>
        <v>0</v>
      </c>
      <c r="DM5" s="65" t="str">
        <f t="shared" ref="DM5" si="23">IF(DA5=0,"",DA5&amp;IF(DE5=0,""," ("&amp;DE5&amp;")"))</f>
        <v/>
      </c>
      <c r="DN5" s="65" t="str">
        <f t="shared" ref="DN5" si="24">IF(DA5=0,"",C5)</f>
        <v/>
      </c>
      <c r="DO5" s="68">
        <f t="shared" ref="DO5" si="25">DC5</f>
        <v>0</v>
      </c>
      <c r="DP5" s="65" t="str">
        <f t="shared" ref="DP5" si="26">IF(DO5=0,"",C5)</f>
        <v/>
      </c>
      <c r="DQ5" s="68">
        <f t="shared" ref="DQ5" si="27">DB5</f>
        <v>0</v>
      </c>
      <c r="DR5" s="65" t="str">
        <f t="shared" ref="DR5" si="28">IF(DQ5=0,"",C5)</f>
        <v/>
      </c>
      <c r="DS5" s="68">
        <f t="shared" ref="DS5" si="29">DF5</f>
        <v>0</v>
      </c>
      <c r="DT5" s="65" t="str">
        <f t="shared" ref="DT5" si="30">IF(DS5=0,"",C5)</f>
        <v/>
      </c>
    </row>
    <row r="6" spans="1:124" x14ac:dyDescent="0.15">
      <c r="B6" t="s">
        <v>300</v>
      </c>
      <c r="C6" t="s">
        <v>301</v>
      </c>
      <c r="D6"/>
      <c r="E6"/>
      <c r="F6" s="117"/>
      <c r="G6" s="117"/>
      <c r="H6" s="117"/>
      <c r="I6" s="117"/>
      <c r="J6" s="117"/>
      <c r="K6" s="117" t="s">
        <v>439</v>
      </c>
      <c r="L6" s="117" t="s">
        <v>450</v>
      </c>
      <c r="M6" s="117"/>
      <c r="N6" s="117"/>
      <c r="O6" s="117"/>
      <c r="P6" s="117"/>
      <c r="Q6" s="117"/>
      <c r="R6" s="117"/>
      <c r="S6" s="117"/>
      <c r="T6" s="117"/>
      <c r="U6"/>
      <c r="V6"/>
      <c r="W6"/>
      <c r="X6"/>
      <c r="Y6"/>
      <c r="Z6"/>
      <c r="CE6" s="65" t="str">
        <f t="shared" ref="CE6" si="31">C6</f>
        <v>Ahmed M</v>
      </c>
      <c r="CF6" s="65">
        <f t="shared" ref="CF6:CF9" si="32">BatSplit(D6:CD6,MatchesPlayed)</f>
        <v>2</v>
      </c>
      <c r="CG6" s="65">
        <f t="shared" ref="CG6:CG9" si="33">CF6-CH6</f>
        <v>0</v>
      </c>
      <c r="CH6" s="65">
        <f t="shared" ref="CH6:CH9" si="34">BatSplit(D6:CD6,InnsBattedIn)</f>
        <v>2</v>
      </c>
      <c r="CI6" s="65">
        <f t="shared" ref="CI6:CI9" si="35">BatSplit(D6:CD6,NotOuts)</f>
        <v>0</v>
      </c>
      <c r="CJ6" s="65">
        <f t="shared" ref="CJ6:CJ9" si="36">BatSplit(D6:CD6,HighestScore)</f>
        <v>23</v>
      </c>
      <c r="CK6" s="69">
        <f t="shared" ref="CK6:CK9" si="37">IF(CJ6&lt;0,-CJ6&amp;"*",CJ6)</f>
        <v>23</v>
      </c>
      <c r="CL6" s="65">
        <f t="shared" ref="CL6:CL9" si="38">BatSplit(D6:CD6,RunsScored)</f>
        <v>23</v>
      </c>
      <c r="CM6" s="67">
        <f t="shared" ref="CM6:CM9" si="39">IF(CH6=CI6,0,CL6/(CH6-CI6))</f>
        <v>11.5</v>
      </c>
      <c r="CN6" s="65">
        <f t="shared" ref="CN6:CN9" si="40">BatSplit(D6:CD6,FldPts)</f>
        <v>0</v>
      </c>
      <c r="CO6" s="68">
        <f t="array" ref="CO6">SUM(IF(ISERR(FIND("*",D6:CD6)),0,1))</f>
        <v>0</v>
      </c>
      <c r="CP6" s="68">
        <f t="array" ref="CP6">SUM(IF(ISERR(FIND("+",D6:CD6)),0,1))</f>
        <v>0</v>
      </c>
      <c r="CQ6" s="65">
        <f t="shared" ref="CQ6:CQ9" si="41">BatSplit(D6:CD6,Ducks)</f>
        <v>1</v>
      </c>
      <c r="CR6" s="68">
        <f t="array" ref="CR6">SUM(IF(ISERR(FIND(CR$4,$D6:$CD6)),0,1))</f>
        <v>1</v>
      </c>
      <c r="CS6" s="68">
        <f t="array" ref="CS6">SUM(IF(ISERR(FIND(CS$4,$D6:$CD6)),0,1))</f>
        <v>0</v>
      </c>
      <c r="CT6" s="68">
        <f t="array" ref="CT6">SUM(IF(ISERR(FIND(CT$4,$D6:$CD6)),0,1))</f>
        <v>0</v>
      </c>
      <c r="CU6" s="68">
        <f t="array" ref="CU6">SUM(IF(ISERR(FIND(CU$4,$D6:$CD6)),0,1))</f>
        <v>1</v>
      </c>
      <c r="CV6" s="68">
        <f t="array" ref="CV6">SUM(IF(ISERR(FIND(CV$4,$D6:$CD6)),0,1))</f>
        <v>0</v>
      </c>
      <c r="CW6" s="68">
        <f t="array" ref="CW6">SUM(IF(ISERR(FIND(CW$4,$D6:$CD6)),0,1))</f>
        <v>0</v>
      </c>
      <c r="CX6" s="68">
        <f t="array" ref="CX6">SUM(IF(ISERR(FIND(CX$4,$D6:$CD6)),0,1))</f>
        <v>0</v>
      </c>
      <c r="CY6" s="68">
        <f t="shared" ref="CY6:CY9" si="42">BatSplit(D6:CD6,Fifties)</f>
        <v>0</v>
      </c>
      <c r="CZ6" s="68">
        <f t="shared" si="12"/>
        <v>0</v>
      </c>
      <c r="DA6" s="68">
        <f t="shared" ref="DA6:DA9" si="43">BatSplit(D6:CD6,Catches)</f>
        <v>0</v>
      </c>
      <c r="DB6" s="68">
        <f t="shared" ref="DB6:DB9" si="44">BatSplit(D6:CD6,Fours)</f>
        <v>3</v>
      </c>
      <c r="DC6" s="68">
        <f t="shared" ref="DC6:DC9" si="45">BatSplit(D6:CD6,Sixes)</f>
        <v>0</v>
      </c>
      <c r="DD6" s="68">
        <f t="shared" ref="DD6:DD9" si="46">BatSplit(D6:CD6,Stumpings)</f>
        <v>0</v>
      </c>
      <c r="DE6" s="68">
        <f t="shared" ref="DE6:DE9" si="47">BatSplit(D6:CD6,CaughtWkt)</f>
        <v>0</v>
      </c>
      <c r="DF6" s="68">
        <f t="shared" ref="DF6:DF9" si="48">BatSplit(D6:CD6,TwentyFives)</f>
        <v>0</v>
      </c>
      <c r="DG6" s="65">
        <f t="shared" ref="DG6:DG9" si="49">ROUND(IF(ISERROR(CM6),0,CM6),2)*100000+CH6*100+CF6+CL6/100+ROW()/100000</f>
        <v>1150202.23006</v>
      </c>
      <c r="DH6" s="65">
        <f>RANK(DG6,$DG$5:$DG$57)</f>
        <v>15</v>
      </c>
      <c r="DI6" s="65">
        <v>1</v>
      </c>
      <c r="DJ6" s="86" t="str">
        <f t="shared" ref="DJ6:DJ9" si="50">IF(CL6&gt;=50,(DB6*4+DC6*6+DI6*5)/CL6,"")</f>
        <v/>
      </c>
      <c r="DK6" s="94">
        <f t="shared" ref="DK6:DK9" si="51">CQ6/(CH6-CI6)</f>
        <v>0.5</v>
      </c>
      <c r="DL6" s="172">
        <f t="shared" ref="DL6:DL9" si="52">DA6</f>
        <v>0</v>
      </c>
      <c r="DM6" s="65" t="str">
        <f t="shared" ref="DM6:DM9" si="53">IF(DA6=0,"",DA6&amp;IF(DE6=0,""," ("&amp;DE6&amp;")"))</f>
        <v/>
      </c>
      <c r="DN6" s="65" t="str">
        <f t="shared" ref="DN6:DN9" si="54">IF(DA6=0,"",C6)</f>
        <v/>
      </c>
      <c r="DO6" s="68">
        <f t="shared" ref="DO6:DO9" si="55">DC6</f>
        <v>0</v>
      </c>
      <c r="DP6" s="65" t="str">
        <f t="shared" ref="DP6:DP9" si="56">IF(DO6=0,"",C6)</f>
        <v/>
      </c>
      <c r="DQ6" s="68">
        <f t="shared" ref="DQ6:DQ9" si="57">DB6</f>
        <v>3</v>
      </c>
      <c r="DR6" s="65" t="str">
        <f t="shared" ref="DR6:DR9" si="58">IF(DQ6=0,"",C6)</f>
        <v>Ahmed M</v>
      </c>
      <c r="DS6" s="68">
        <f t="shared" ref="DS6:DS9" si="59">DF6</f>
        <v>0</v>
      </c>
      <c r="DT6" s="65" t="str">
        <f t="shared" ref="DT6:DT9" si="60">IF(DS6=0,"",C6)</f>
        <v/>
      </c>
    </row>
    <row r="7" spans="1:124" x14ac:dyDescent="0.15">
      <c r="B7" t="s">
        <v>281</v>
      </c>
      <c r="C7" t="s">
        <v>247</v>
      </c>
      <c r="D7" t="s">
        <v>317</v>
      </c>
      <c r="E7" t="s">
        <v>338</v>
      </c>
      <c r="F7" s="117" t="s">
        <v>355</v>
      </c>
      <c r="G7" s="117" t="s">
        <v>376</v>
      </c>
      <c r="H7" s="117" t="s">
        <v>393</v>
      </c>
      <c r="I7" s="117" t="s">
        <v>408</v>
      </c>
      <c r="J7" s="117" t="s">
        <v>225</v>
      </c>
      <c r="K7" s="117"/>
      <c r="L7" s="117"/>
      <c r="M7" s="117"/>
      <c r="N7" s="117" t="s">
        <v>225</v>
      </c>
      <c r="O7"/>
      <c r="P7" t="s">
        <v>533</v>
      </c>
      <c r="Q7" t="s">
        <v>539</v>
      </c>
      <c r="R7"/>
      <c r="S7"/>
      <c r="T7" t="s">
        <v>596</v>
      </c>
      <c r="U7" t="s">
        <v>615</v>
      </c>
      <c r="V7" t="s">
        <v>635</v>
      </c>
      <c r="W7" t="s">
        <v>651</v>
      </c>
      <c r="X7" t="s">
        <v>669</v>
      </c>
      <c r="Y7"/>
      <c r="Z7"/>
      <c r="CE7" s="65" t="str">
        <f t="shared" si="0"/>
        <v>Bhatt P</v>
      </c>
      <c r="CF7" s="65">
        <f t="shared" si="32"/>
        <v>15</v>
      </c>
      <c r="CG7" s="65">
        <f t="shared" si="33"/>
        <v>2</v>
      </c>
      <c r="CH7" s="65">
        <f t="shared" si="34"/>
        <v>13</v>
      </c>
      <c r="CI7" s="65">
        <f t="shared" si="35"/>
        <v>5</v>
      </c>
      <c r="CJ7" s="65">
        <f t="shared" si="36"/>
        <v>-35</v>
      </c>
      <c r="CK7" s="69" t="str">
        <f t="shared" si="37"/>
        <v>35*</v>
      </c>
      <c r="CL7" s="65">
        <f t="shared" si="38"/>
        <v>200</v>
      </c>
      <c r="CM7" s="67">
        <f t="shared" si="39"/>
        <v>25</v>
      </c>
      <c r="CN7" s="65">
        <f t="shared" si="40"/>
        <v>5</v>
      </c>
      <c r="CO7" s="68">
        <f t="array" ref="CO7">SUM(IF(ISERR(FIND("*",D7:CD7)),0,1))</f>
        <v>0</v>
      </c>
      <c r="CP7" s="68">
        <f t="array" ref="CP7">SUM(IF(ISERR(FIND("+",D7:CD7)),0,1))</f>
        <v>0</v>
      </c>
      <c r="CQ7" s="65">
        <f t="shared" si="41"/>
        <v>1</v>
      </c>
      <c r="CR7" s="68">
        <f t="array" ref="CR7">SUM(IF(ISERR(FIND(CR$4,$D7:$CD7)),0,1))</f>
        <v>5</v>
      </c>
      <c r="CS7" s="68">
        <f t="array" ref="CS7">SUM(IF(ISERR(FIND(CS$4,$D7:$CD7)),0,1))</f>
        <v>2</v>
      </c>
      <c r="CT7" s="68">
        <f t="array" ref="CT7">SUM(IF(ISERR(FIND(CT$4,$D7:$CD7)),0,1))</f>
        <v>0</v>
      </c>
      <c r="CU7" s="68">
        <f t="array" ref="CU7">SUM(IF(ISERR(FIND(CU$4,$D7:$CD7)),0,1))</f>
        <v>1</v>
      </c>
      <c r="CV7" s="68">
        <f t="array" ref="CV7">SUM(IF(ISERR(FIND(CV$4,$D7:$CD7)),0,1))</f>
        <v>0</v>
      </c>
      <c r="CW7" s="68">
        <f t="array" ref="CW7">SUM(IF(ISERR(FIND(CW$4,$D7:$CD7)),0,1))</f>
        <v>0</v>
      </c>
      <c r="CX7" s="68">
        <f t="array" ref="CX7">SUM(IF(ISERR(FIND(CX$4,$D7:$CD7)),0,1))</f>
        <v>0</v>
      </c>
      <c r="CY7" s="68">
        <f t="shared" si="42"/>
        <v>0</v>
      </c>
      <c r="CZ7" s="68">
        <f t="shared" si="12"/>
        <v>0</v>
      </c>
      <c r="DA7" s="68">
        <f t="shared" si="43"/>
        <v>1</v>
      </c>
      <c r="DB7" s="68">
        <f t="shared" si="44"/>
        <v>21</v>
      </c>
      <c r="DC7" s="68">
        <f t="shared" si="45"/>
        <v>1</v>
      </c>
      <c r="DD7" s="68">
        <f t="shared" si="46"/>
        <v>0</v>
      </c>
      <c r="DE7" s="68">
        <f t="shared" si="47"/>
        <v>0</v>
      </c>
      <c r="DF7" s="68">
        <f t="shared" si="48"/>
        <v>2</v>
      </c>
      <c r="DG7" s="65">
        <f t="shared" si="49"/>
        <v>2501317.0000700001</v>
      </c>
      <c r="DH7" s="65">
        <f>RANK(DG7,$DG$5:$DG$57)</f>
        <v>6</v>
      </c>
      <c r="DI7" s="65">
        <v>2</v>
      </c>
      <c r="DJ7" s="86">
        <f t="shared" si="50"/>
        <v>0.5</v>
      </c>
      <c r="DK7" s="94">
        <f t="shared" si="51"/>
        <v>0.125</v>
      </c>
      <c r="DL7" s="172">
        <f t="shared" si="52"/>
        <v>1</v>
      </c>
      <c r="DM7" s="65" t="str">
        <f t="shared" si="53"/>
        <v>1</v>
      </c>
      <c r="DN7" s="65" t="str">
        <f t="shared" si="54"/>
        <v>Bhatt P</v>
      </c>
      <c r="DO7" s="68">
        <f t="shared" si="55"/>
        <v>1</v>
      </c>
      <c r="DP7" s="65" t="str">
        <f t="shared" si="56"/>
        <v>Bhatt P</v>
      </c>
      <c r="DQ7" s="68">
        <f t="shared" si="57"/>
        <v>21</v>
      </c>
      <c r="DR7" s="65" t="str">
        <f t="shared" si="58"/>
        <v>Bhatt P</v>
      </c>
      <c r="DS7" s="68">
        <f t="shared" si="59"/>
        <v>2</v>
      </c>
      <c r="DT7" s="65" t="str">
        <f t="shared" si="60"/>
        <v>Bhatt P</v>
      </c>
    </row>
    <row r="8" spans="1:124" x14ac:dyDescent="0.15">
      <c r="B8" t="s">
        <v>269</v>
      </c>
      <c r="C8" t="s">
        <v>137</v>
      </c>
      <c r="D8"/>
      <c r="E8"/>
      <c r="F8" s="117"/>
      <c r="G8" s="117"/>
      <c r="H8" s="117"/>
      <c r="I8" s="117" t="s">
        <v>410</v>
      </c>
      <c r="J8" s="117"/>
      <c r="K8" s="117"/>
      <c r="L8" s="117"/>
      <c r="M8" s="117"/>
      <c r="N8" s="117"/>
      <c r="O8"/>
      <c r="P8"/>
      <c r="Q8"/>
      <c r="R8"/>
      <c r="S8"/>
      <c r="T8"/>
      <c r="U8"/>
      <c r="V8"/>
      <c r="W8"/>
      <c r="X8"/>
      <c r="Y8"/>
      <c r="Z8"/>
      <c r="CE8" s="65" t="str">
        <f t="shared" si="0"/>
        <v>Bowers M</v>
      </c>
      <c r="CF8" s="65">
        <f t="shared" si="32"/>
        <v>1</v>
      </c>
      <c r="CG8" s="65">
        <f t="shared" si="33"/>
        <v>0</v>
      </c>
      <c r="CH8" s="65">
        <f t="shared" si="34"/>
        <v>1</v>
      </c>
      <c r="CI8" s="65">
        <f t="shared" si="35"/>
        <v>0</v>
      </c>
      <c r="CJ8" s="65">
        <f t="shared" si="36"/>
        <v>0</v>
      </c>
      <c r="CK8" s="69">
        <f t="shared" si="37"/>
        <v>0</v>
      </c>
      <c r="CL8" s="65">
        <f t="shared" si="38"/>
        <v>0</v>
      </c>
      <c r="CM8" s="67">
        <f t="shared" si="39"/>
        <v>0</v>
      </c>
      <c r="CN8" s="65">
        <f t="shared" si="40"/>
        <v>0</v>
      </c>
      <c r="CO8" s="68">
        <f t="array" ref="CO8">SUM(IF(ISERR(FIND("*",D8:CD8)),0,1))</f>
        <v>0</v>
      </c>
      <c r="CP8" s="68">
        <f t="array" ref="CP8">SUM(IF(ISERR(FIND("+",D8:CD8)),0,1))</f>
        <v>0</v>
      </c>
      <c r="CQ8" s="65">
        <f t="shared" si="41"/>
        <v>1</v>
      </c>
      <c r="CR8" s="68">
        <f t="array" ref="CR8">SUM(IF(ISERR(FIND(CR$4,$D8:$CD8)),0,1))</f>
        <v>0</v>
      </c>
      <c r="CS8" s="68">
        <f t="array" ref="CS8">SUM(IF(ISERR(FIND(CS$4,$D8:$CD8)),0,1))</f>
        <v>1</v>
      </c>
      <c r="CT8" s="68">
        <f t="array" ref="CT8">SUM(IF(ISERR(FIND(CT$4,$D8:$CD8)),0,1))</f>
        <v>0</v>
      </c>
      <c r="CU8" s="68">
        <f t="array" ref="CU8">SUM(IF(ISERR(FIND(CU$4,$D8:$CD8)),0,1))</f>
        <v>0</v>
      </c>
      <c r="CV8" s="68">
        <f t="array" ref="CV8">SUM(IF(ISERR(FIND(CV$4,$D8:$CD8)),0,1))</f>
        <v>0</v>
      </c>
      <c r="CW8" s="68">
        <f t="array" ref="CW8">SUM(IF(ISERR(FIND(CW$4,$D8:$CD8)),0,1))</f>
        <v>0</v>
      </c>
      <c r="CX8" s="68">
        <f t="array" ref="CX8">SUM(IF(ISERR(FIND(CX$4,$D8:$CD8)),0,1))</f>
        <v>0</v>
      </c>
      <c r="CY8" s="68">
        <f t="shared" si="42"/>
        <v>0</v>
      </c>
      <c r="CZ8" s="68">
        <f t="shared" si="12"/>
        <v>0</v>
      </c>
      <c r="DA8" s="68">
        <f t="shared" si="43"/>
        <v>0</v>
      </c>
      <c r="DB8" s="68">
        <f t="shared" si="44"/>
        <v>0</v>
      </c>
      <c r="DC8" s="68">
        <f t="shared" si="45"/>
        <v>0</v>
      </c>
      <c r="DD8" s="68">
        <f t="shared" si="46"/>
        <v>0</v>
      </c>
      <c r="DE8" s="68">
        <f t="shared" si="47"/>
        <v>0</v>
      </c>
      <c r="DF8" s="68">
        <f t="shared" si="48"/>
        <v>0</v>
      </c>
      <c r="DG8" s="65">
        <f t="shared" si="49"/>
        <v>101.00008</v>
      </c>
      <c r="DH8" s="65">
        <f>RANK(DG8,$DG$5:$DG$57)</f>
        <v>39</v>
      </c>
      <c r="DI8" s="65">
        <v>3</v>
      </c>
      <c r="DJ8" s="86" t="str">
        <f t="shared" si="50"/>
        <v/>
      </c>
      <c r="DK8" s="94">
        <f t="shared" si="51"/>
        <v>1</v>
      </c>
      <c r="DL8" s="172">
        <f t="shared" si="52"/>
        <v>0</v>
      </c>
      <c r="DM8" s="65" t="str">
        <f t="shared" si="53"/>
        <v/>
      </c>
      <c r="DN8" s="65" t="str">
        <f t="shared" si="54"/>
        <v/>
      </c>
      <c r="DO8" s="68">
        <f t="shared" si="55"/>
        <v>0</v>
      </c>
      <c r="DP8" s="65" t="str">
        <f t="shared" si="56"/>
        <v/>
      </c>
      <c r="DQ8" s="68">
        <f t="shared" si="57"/>
        <v>0</v>
      </c>
      <c r="DR8" s="65" t="str">
        <f t="shared" si="58"/>
        <v/>
      </c>
      <c r="DS8" s="68">
        <f t="shared" si="59"/>
        <v>0</v>
      </c>
      <c r="DT8" s="65" t="str">
        <f t="shared" si="60"/>
        <v/>
      </c>
    </row>
    <row r="9" spans="1:124" x14ac:dyDescent="0.15">
      <c r="B9"/>
      <c r="C9" t="s">
        <v>601</v>
      </c>
      <c r="D9"/>
      <c r="E9"/>
      <c r="F9" s="117"/>
      <c r="G9" s="117"/>
      <c r="H9" s="117"/>
      <c r="I9" s="117"/>
      <c r="J9" s="117"/>
      <c r="K9" s="117"/>
      <c r="L9" s="117"/>
      <c r="M9" s="117"/>
      <c r="N9" s="117"/>
      <c r="O9"/>
      <c r="P9"/>
      <c r="Q9"/>
      <c r="R9"/>
      <c r="S9"/>
      <c r="T9" t="s">
        <v>602</v>
      </c>
      <c r="U9"/>
      <c r="V9"/>
      <c r="W9"/>
      <c r="X9"/>
      <c r="Y9"/>
      <c r="Z9"/>
      <c r="CE9" s="117" t="str">
        <f t="shared" si="0"/>
        <v>Bowers P</v>
      </c>
      <c r="CF9" s="65">
        <f t="shared" si="32"/>
        <v>1</v>
      </c>
      <c r="CG9" s="65">
        <f t="shared" si="33"/>
        <v>0</v>
      </c>
      <c r="CH9" s="65">
        <f t="shared" si="34"/>
        <v>1</v>
      </c>
      <c r="CI9" s="65">
        <f t="shared" si="35"/>
        <v>0</v>
      </c>
      <c r="CJ9" s="65">
        <f t="shared" si="36"/>
        <v>1</v>
      </c>
      <c r="CK9" s="69">
        <f t="shared" si="37"/>
        <v>1</v>
      </c>
      <c r="CL9" s="65">
        <f t="shared" si="38"/>
        <v>1</v>
      </c>
      <c r="CM9" s="67">
        <f t="shared" si="39"/>
        <v>1</v>
      </c>
      <c r="CN9" s="65">
        <f t="shared" si="40"/>
        <v>0</v>
      </c>
      <c r="CO9" s="68">
        <f t="array" ref="CO9">SUM(IF(ISERR(FIND("*",D9:CD9)),0,1))</f>
        <v>0</v>
      </c>
      <c r="CP9" s="68">
        <f t="array" ref="CP9">SUM(IF(ISERR(FIND("+",D9:CD9)),0,1))</f>
        <v>0</v>
      </c>
      <c r="CQ9" s="65">
        <f t="shared" si="41"/>
        <v>0</v>
      </c>
      <c r="CR9" s="68">
        <f t="array" ref="CR9">SUM(IF(ISERR(FIND(CR$4,$D9:$CD9)),0,1))</f>
        <v>0</v>
      </c>
      <c r="CS9" s="68">
        <f t="array" ref="CS9">SUM(IF(ISERR(FIND(CS$4,$D9:$CD9)),0,1))</f>
        <v>1</v>
      </c>
      <c r="CT9" s="68">
        <f t="array" ref="CT9">SUM(IF(ISERR(FIND(CT$4,$D9:$CD9)),0,1))</f>
        <v>0</v>
      </c>
      <c r="CU9" s="68">
        <f t="array" ref="CU9">SUM(IF(ISERR(FIND(CU$4,$D9:$CD9)),0,1))</f>
        <v>0</v>
      </c>
      <c r="CV9" s="68">
        <f t="array" ref="CV9">SUM(IF(ISERR(FIND(CV$4,$D9:$CD9)),0,1))</f>
        <v>0</v>
      </c>
      <c r="CW9" s="68">
        <f t="array" ref="CW9">SUM(IF(ISERR(FIND(CW$4,$D9:$CD9)),0,1))</f>
        <v>0</v>
      </c>
      <c r="CX9" s="68">
        <f t="array" ref="CX9">SUM(IF(ISERR(FIND(CX$4,$D9:$CD9)),0,1))</f>
        <v>0</v>
      </c>
      <c r="CY9" s="68">
        <f t="shared" si="42"/>
        <v>0</v>
      </c>
      <c r="CZ9" s="68">
        <f t="shared" si="12"/>
        <v>0</v>
      </c>
      <c r="DA9" s="68">
        <f t="shared" si="43"/>
        <v>0</v>
      </c>
      <c r="DB9" s="68">
        <f t="shared" si="44"/>
        <v>0</v>
      </c>
      <c r="DC9" s="68">
        <f t="shared" si="45"/>
        <v>0</v>
      </c>
      <c r="DD9" s="68">
        <f t="shared" si="46"/>
        <v>0</v>
      </c>
      <c r="DE9" s="68">
        <f t="shared" si="47"/>
        <v>0</v>
      </c>
      <c r="DF9" s="68">
        <f t="shared" si="48"/>
        <v>0</v>
      </c>
      <c r="DG9" s="65">
        <f t="shared" si="49"/>
        <v>100101.01009</v>
      </c>
      <c r="DH9" s="65">
        <f>RANK(DG9,$DG$5:$DG$57)</f>
        <v>33</v>
      </c>
      <c r="DI9" s="65">
        <v>4</v>
      </c>
      <c r="DJ9" s="86" t="str">
        <f t="shared" si="50"/>
        <v/>
      </c>
      <c r="DK9" s="94">
        <f t="shared" si="51"/>
        <v>0</v>
      </c>
      <c r="DL9" s="172">
        <f t="shared" si="52"/>
        <v>0</v>
      </c>
      <c r="DM9" s="65" t="str">
        <f t="shared" si="53"/>
        <v/>
      </c>
      <c r="DN9" s="65" t="str">
        <f t="shared" si="54"/>
        <v/>
      </c>
      <c r="DO9" s="68">
        <f t="shared" si="55"/>
        <v>0</v>
      </c>
      <c r="DP9" s="65" t="str">
        <f t="shared" si="56"/>
        <v/>
      </c>
      <c r="DQ9" s="68">
        <f t="shared" si="57"/>
        <v>0</v>
      </c>
      <c r="DR9" s="65" t="str">
        <f t="shared" si="58"/>
        <v/>
      </c>
      <c r="DS9" s="68">
        <f t="shared" si="59"/>
        <v>0</v>
      </c>
      <c r="DT9" s="65" t="str">
        <f t="shared" si="60"/>
        <v/>
      </c>
    </row>
    <row r="10" spans="1:124" x14ac:dyDescent="0.15">
      <c r="B10" t="s">
        <v>24</v>
      </c>
      <c r="C10" t="s">
        <v>234</v>
      </c>
      <c r="D10"/>
      <c r="E10"/>
      <c r="F10" s="117" t="s">
        <v>359</v>
      </c>
      <c r="G10" s="117"/>
      <c r="H10" s="117" t="s">
        <v>389</v>
      </c>
      <c r="I10" s="117" t="s">
        <v>406</v>
      </c>
      <c r="J10"/>
      <c r="K10" s="117"/>
      <c r="L10" s="117"/>
      <c r="M10" s="117"/>
      <c r="N10"/>
      <c r="O10"/>
      <c r="P10"/>
      <c r="Q10"/>
      <c r="R10"/>
      <c r="S10"/>
      <c r="T10"/>
      <c r="U10"/>
      <c r="V10"/>
      <c r="W10" t="s">
        <v>653</v>
      </c>
      <c r="X10"/>
      <c r="Y10"/>
      <c r="Z10"/>
      <c r="CE10" s="65" t="str">
        <f t="shared" si="0"/>
        <v>Brocks D</v>
      </c>
      <c r="CF10" s="65">
        <f t="shared" ref="CF10:CF57" si="61">BatSplit(D10:CD10,MatchesPlayed)</f>
        <v>4</v>
      </c>
      <c r="CG10" s="65">
        <f t="shared" ref="CG10:CG57" si="62">CF10-CH10</f>
        <v>0</v>
      </c>
      <c r="CH10" s="65">
        <f t="shared" ref="CH10:CH57" si="63">BatSplit(D10:CD10,InnsBattedIn)</f>
        <v>4</v>
      </c>
      <c r="CI10" s="65">
        <f t="shared" ref="CI10:CI57" si="64">BatSplit(D10:CD10,NotOuts)</f>
        <v>0</v>
      </c>
      <c r="CJ10" s="65">
        <f t="shared" ref="CJ10:CJ57" si="65">BatSplit(D10:CD10,HighestScore)</f>
        <v>37</v>
      </c>
      <c r="CK10" s="69">
        <f t="shared" ref="CK10:CK57" si="66">IF(CJ10&lt;0,-CJ10&amp;"*",CJ10)</f>
        <v>37</v>
      </c>
      <c r="CL10" s="65">
        <f t="shared" ref="CL10:CL57" si="67">BatSplit(D10:CD10,RunsScored)</f>
        <v>69</v>
      </c>
      <c r="CM10" s="67">
        <f t="shared" ref="CM10:CM57" si="68">IF(CH10=CI10,0,CL10/(CH10-CI10))</f>
        <v>17.25</v>
      </c>
      <c r="CN10" s="65">
        <f t="shared" ref="CN10:CN57" si="69">BatSplit(D10:CD10,FldPts)</f>
        <v>0</v>
      </c>
      <c r="CO10" s="68">
        <f t="array" ref="CO10">SUM(IF(ISERR(FIND("*",D10:CD10)),0,1))</f>
        <v>1</v>
      </c>
      <c r="CP10" s="68">
        <f t="array" ref="CP10">SUM(IF(ISERR(FIND("+",D10:CD10)),0,1))</f>
        <v>2</v>
      </c>
      <c r="CQ10" s="65">
        <f t="shared" ref="CQ10:CQ57" si="70">BatSplit(D10:CD10,Ducks)</f>
        <v>0</v>
      </c>
      <c r="CR10" s="68">
        <f t="array" ref="CR10">SUM(IF(ISERR(FIND(CR$4,$D10:$CD10)),0,1))</f>
        <v>1</v>
      </c>
      <c r="CS10" s="68">
        <f t="array" ref="CS10">SUM(IF(ISERR(FIND(CS$4,$D10:$CD10)),0,1))</f>
        <v>2</v>
      </c>
      <c r="CT10" s="68">
        <f t="array" ref="CT10">SUM(IF(ISERR(FIND(CT$4,$D10:$CD10)),0,1))</f>
        <v>1</v>
      </c>
      <c r="CU10" s="68">
        <f t="array" ref="CU10">SUM(IF(ISERR(FIND(CU$4,$D10:$CD10)),0,1))</f>
        <v>0</v>
      </c>
      <c r="CV10" s="68">
        <f t="array" ref="CV10">SUM(IF(ISERR(FIND(CV$4,$D10:$CD10)),0,1))</f>
        <v>0</v>
      </c>
      <c r="CW10" s="68">
        <f t="array" ref="CW10">SUM(IF(ISERR(FIND(CW$4,$D10:$CD10)),0,1))</f>
        <v>0</v>
      </c>
      <c r="CX10" s="68">
        <f t="array" ref="CX10">SUM(IF(ISERR(FIND(CX$4,$D10:$CD10)),0,1))</f>
        <v>0</v>
      </c>
      <c r="CY10" s="68">
        <f t="shared" ref="CY10:CY57" si="71">BatSplit(D10:CD10,Fifties)</f>
        <v>0</v>
      </c>
      <c r="CZ10" s="68">
        <f t="shared" si="12"/>
        <v>0</v>
      </c>
      <c r="DA10" s="68">
        <f t="shared" ref="DA10:DA57" si="72">BatSplit(D10:CD10,Catches)</f>
        <v>1</v>
      </c>
      <c r="DB10" s="68">
        <f t="shared" ref="DB10:DB57" si="73">BatSplit(D10:CD10,Fours)</f>
        <v>10</v>
      </c>
      <c r="DC10" s="68">
        <f t="shared" ref="DC10:DC57" si="74">BatSplit(D10:CD10,Sixes)</f>
        <v>0</v>
      </c>
      <c r="DD10" s="68">
        <f t="shared" ref="DD10:DD57" si="75">BatSplit(D10:CD10,Stumpings)</f>
        <v>1</v>
      </c>
      <c r="DE10" s="68">
        <f t="shared" ref="DE10:DE57" si="76">BatSplit(D10:CD10,CaughtWkt)</f>
        <v>1</v>
      </c>
      <c r="DF10" s="68">
        <f t="shared" ref="DF10:DF57" si="77">BatSplit(D10:CD10,TwentyFives)</f>
        <v>1</v>
      </c>
      <c r="DG10" s="65">
        <f t="shared" ref="DG10:DG57" si="78">ROUND(IF(ISERROR(CM10),0,CM10),2)*100000+CH10*100+CF10+CL10/100+ROW()/100000</f>
        <v>1725404.6901</v>
      </c>
      <c r="DH10" s="65">
        <f>RANK(DG10,$DG$5:$DG$57)</f>
        <v>11</v>
      </c>
      <c r="DI10" s="65">
        <v>5</v>
      </c>
      <c r="DJ10" s="86">
        <f t="shared" ref="DJ10:DJ57" si="79">IF(CL10&gt;=50,(DB10*4+DC10*6+DI10*5)/CL10,"")</f>
        <v>0.94202898550724634</v>
      </c>
      <c r="DK10" s="94">
        <f t="shared" ref="DK10:DK57" si="80">CQ10/(CH10-CI10)</f>
        <v>0</v>
      </c>
      <c r="DL10" s="172">
        <f t="shared" ref="DL10:DL57" si="81">DA10</f>
        <v>1</v>
      </c>
      <c r="DM10" s="65" t="str">
        <f t="shared" ref="DM10:DM57" si="82">IF(DA10=0,"",DA10&amp;IF(DE10=0,""," ("&amp;DE10&amp;")"))</f>
        <v>1 (1)</v>
      </c>
      <c r="DN10" s="65" t="str">
        <f t="shared" ref="DN10:DN57" si="83">IF(DA10=0,"",C10)</f>
        <v>Brocks D</v>
      </c>
      <c r="DO10" s="68">
        <f t="shared" ref="DO10:DO57" si="84">DC10</f>
        <v>0</v>
      </c>
      <c r="DP10" s="65" t="str">
        <f t="shared" ref="DP10:DP57" si="85">IF(DO10=0,"",C10)</f>
        <v/>
      </c>
      <c r="DQ10" s="68">
        <f t="shared" ref="DQ10:DQ57" si="86">DB10</f>
        <v>10</v>
      </c>
      <c r="DR10" s="65" t="str">
        <f t="shared" ref="DR10:DR57" si="87">IF(DQ10=0,"",C10)</f>
        <v>Brocks D</v>
      </c>
      <c r="DS10" s="68">
        <f t="shared" ref="DS10:DS57" si="88">DF10</f>
        <v>1</v>
      </c>
      <c r="DT10" s="65" t="str">
        <f t="shared" ref="DT10:DT57" si="89">IF(DS10=0,"",C10)</f>
        <v>Brocks D</v>
      </c>
    </row>
    <row r="11" spans="1:124" x14ac:dyDescent="0.15">
      <c r="B11" t="s">
        <v>255</v>
      </c>
      <c r="C11" t="s">
        <v>256</v>
      </c>
      <c r="D11"/>
      <c r="E11"/>
      <c r="F11"/>
      <c r="G11"/>
      <c r="H11"/>
      <c r="I11"/>
      <c r="J11"/>
      <c r="K11"/>
      <c r="L11" s="117"/>
      <c r="M11" s="117"/>
      <c r="N11"/>
      <c r="O11"/>
      <c r="P11"/>
      <c r="Q11"/>
      <c r="R11"/>
      <c r="S11"/>
      <c r="T11"/>
      <c r="U11"/>
      <c r="V11"/>
      <c r="W11"/>
      <c r="X11"/>
      <c r="Y11"/>
      <c r="Z11"/>
      <c r="CE11" s="65" t="str">
        <f t="shared" si="0"/>
        <v>Castle D</v>
      </c>
      <c r="CF11" s="65">
        <f t="shared" si="61"/>
        <v>0</v>
      </c>
      <c r="CG11" s="65">
        <f t="shared" si="62"/>
        <v>0</v>
      </c>
      <c r="CH11" s="65">
        <f t="shared" si="63"/>
        <v>0</v>
      </c>
      <c r="CI11" s="65">
        <f t="shared" si="64"/>
        <v>0</v>
      </c>
      <c r="CJ11" s="65">
        <f t="shared" si="65"/>
        <v>0</v>
      </c>
      <c r="CK11" s="69">
        <f t="shared" si="66"/>
        <v>0</v>
      </c>
      <c r="CL11" s="65">
        <f t="shared" si="67"/>
        <v>0</v>
      </c>
      <c r="CM11" s="67">
        <f t="shared" si="68"/>
        <v>0</v>
      </c>
      <c r="CN11" s="65">
        <f t="shared" si="69"/>
        <v>0</v>
      </c>
      <c r="CO11" s="68">
        <f t="array" ref="CO11">SUM(IF(ISERR(FIND("*",D11:CD11)),0,1))</f>
        <v>0</v>
      </c>
      <c r="CP11" s="68">
        <f t="array" ref="CP11">SUM(IF(ISERR(FIND("+",D11:CD11)),0,1))</f>
        <v>0</v>
      </c>
      <c r="CQ11" s="65">
        <f t="shared" si="70"/>
        <v>0</v>
      </c>
      <c r="CR11" s="68">
        <f t="array" ref="CR11">SUM(IF(ISERR(FIND(CR$4,$D11:$CD11)),0,1))</f>
        <v>0</v>
      </c>
      <c r="CS11" s="68">
        <f t="array" ref="CS11">SUM(IF(ISERR(FIND(CS$4,$D11:$CD11)),0,1))</f>
        <v>0</v>
      </c>
      <c r="CT11" s="68">
        <f t="array" ref="CT11">SUM(IF(ISERR(FIND(CT$4,$D11:$CD11)),0,1))</f>
        <v>0</v>
      </c>
      <c r="CU11" s="68">
        <f t="array" ref="CU11">SUM(IF(ISERR(FIND(CU$4,$D11:$CD11)),0,1))</f>
        <v>0</v>
      </c>
      <c r="CV11" s="68">
        <f t="array" ref="CV11">SUM(IF(ISERR(FIND(CV$4,$D11:$CD11)),0,1))</f>
        <v>0</v>
      </c>
      <c r="CW11" s="68">
        <f t="array" ref="CW11">SUM(IF(ISERR(FIND(CW$4,$D11:$CD11)),0,1))</f>
        <v>0</v>
      </c>
      <c r="CX11" s="68">
        <f t="array" ref="CX11">SUM(IF(ISERR(FIND(CX$4,$D11:$CD11)),0,1))</f>
        <v>0</v>
      </c>
      <c r="CY11" s="68">
        <f t="shared" si="71"/>
        <v>0</v>
      </c>
      <c r="CZ11" s="68">
        <f t="shared" si="12"/>
        <v>0</v>
      </c>
      <c r="DA11" s="68">
        <f t="shared" si="72"/>
        <v>0</v>
      </c>
      <c r="DB11" s="68">
        <f t="shared" si="73"/>
        <v>0</v>
      </c>
      <c r="DC11" s="68">
        <f t="shared" si="74"/>
        <v>0</v>
      </c>
      <c r="DD11" s="68">
        <f t="shared" si="75"/>
        <v>0</v>
      </c>
      <c r="DE11" s="68">
        <f t="shared" si="76"/>
        <v>0</v>
      </c>
      <c r="DF11" s="68">
        <f t="shared" si="77"/>
        <v>0</v>
      </c>
      <c r="DG11" s="65">
        <f t="shared" si="78"/>
        <v>1.1E-4</v>
      </c>
      <c r="DH11" s="65">
        <f>RANK(DG11,$DG$5:$DG$57)</f>
        <v>53</v>
      </c>
      <c r="DI11" s="65">
        <v>6</v>
      </c>
      <c r="DJ11" s="86" t="str">
        <f t="shared" si="79"/>
        <v/>
      </c>
      <c r="DK11" s="94" t="e">
        <f t="shared" si="80"/>
        <v>#DIV/0!</v>
      </c>
      <c r="DL11" s="172">
        <f t="shared" si="81"/>
        <v>0</v>
      </c>
      <c r="DM11" s="65" t="str">
        <f t="shared" si="82"/>
        <v/>
      </c>
      <c r="DN11" s="65" t="str">
        <f t="shared" si="83"/>
        <v/>
      </c>
      <c r="DO11" s="68">
        <f t="shared" si="84"/>
        <v>0</v>
      </c>
      <c r="DP11" s="65" t="str">
        <f t="shared" si="85"/>
        <v/>
      </c>
      <c r="DQ11" s="68">
        <f t="shared" si="86"/>
        <v>0</v>
      </c>
      <c r="DR11" s="65" t="str">
        <f t="shared" si="87"/>
        <v/>
      </c>
      <c r="DS11" s="68">
        <f t="shared" si="88"/>
        <v>0</v>
      </c>
      <c r="DT11" s="65" t="str">
        <f t="shared" si="89"/>
        <v/>
      </c>
    </row>
    <row r="12" spans="1:124" x14ac:dyDescent="0.15">
      <c r="B12" t="s">
        <v>246</v>
      </c>
      <c r="C12" t="s">
        <v>235</v>
      </c>
      <c r="D12"/>
      <c r="E12"/>
      <c r="F12" t="s">
        <v>352</v>
      </c>
      <c r="G12"/>
      <c r="H12"/>
      <c r="I12"/>
      <c r="J12"/>
      <c r="K12"/>
      <c r="L12" s="117"/>
      <c r="M12" s="117"/>
      <c r="N12"/>
      <c r="O12"/>
      <c r="P12"/>
      <c r="Q12"/>
      <c r="R12"/>
      <c r="S12"/>
      <c r="T12"/>
      <c r="U12"/>
      <c r="V12"/>
      <c r="W12"/>
      <c r="X12"/>
      <c r="Y12"/>
      <c r="Z12"/>
      <c r="CE12" s="65" t="str">
        <f t="shared" si="0"/>
        <v>Castle I</v>
      </c>
      <c r="CF12" s="65">
        <f t="shared" si="61"/>
        <v>1</v>
      </c>
      <c r="CG12" s="65">
        <f t="shared" si="62"/>
        <v>0</v>
      </c>
      <c r="CH12" s="65">
        <f t="shared" si="63"/>
        <v>1</v>
      </c>
      <c r="CI12" s="65">
        <f t="shared" si="64"/>
        <v>0</v>
      </c>
      <c r="CJ12" s="65">
        <f t="shared" si="65"/>
        <v>34</v>
      </c>
      <c r="CK12" s="69">
        <f t="shared" si="66"/>
        <v>34</v>
      </c>
      <c r="CL12" s="65">
        <f t="shared" si="67"/>
        <v>34</v>
      </c>
      <c r="CM12" s="67">
        <f t="shared" si="68"/>
        <v>34</v>
      </c>
      <c r="CN12" s="65">
        <f t="shared" si="69"/>
        <v>0</v>
      </c>
      <c r="CO12" s="68">
        <f t="array" ref="CO12">SUM(IF(ISERR(FIND("*",D12:CD12)),0,1))</f>
        <v>0</v>
      </c>
      <c r="CP12" s="68">
        <f t="array" ref="CP12">SUM(IF(ISERR(FIND("+",D12:CD12)),0,1))</f>
        <v>0</v>
      </c>
      <c r="CQ12" s="65">
        <f t="shared" si="70"/>
        <v>0</v>
      </c>
      <c r="CR12" s="68">
        <f t="array" ref="CR12">SUM(IF(ISERR(FIND(CR$4,$D12:$CD12)),0,1))</f>
        <v>1</v>
      </c>
      <c r="CS12" s="68">
        <f t="array" ref="CS12">SUM(IF(ISERR(FIND(CS$4,$D12:$CD12)),0,1))</f>
        <v>0</v>
      </c>
      <c r="CT12" s="68">
        <f t="array" ref="CT12">SUM(IF(ISERR(FIND(CT$4,$D12:$CD12)),0,1))</f>
        <v>0</v>
      </c>
      <c r="CU12" s="68">
        <f t="array" ref="CU12">SUM(IF(ISERR(FIND(CU$4,$D12:$CD12)),0,1))</f>
        <v>0</v>
      </c>
      <c r="CV12" s="68">
        <f t="array" ref="CV12">SUM(IF(ISERR(FIND(CV$4,$D12:$CD12)),0,1))</f>
        <v>0</v>
      </c>
      <c r="CW12" s="68">
        <f t="array" ref="CW12">SUM(IF(ISERR(FIND(CW$4,$D12:$CD12)),0,1))</f>
        <v>0</v>
      </c>
      <c r="CX12" s="68">
        <f t="array" ref="CX12">SUM(IF(ISERR(FIND(CX$4,$D12:$CD12)),0,1))</f>
        <v>0</v>
      </c>
      <c r="CY12" s="68">
        <f t="shared" si="71"/>
        <v>0</v>
      </c>
      <c r="CZ12" s="68">
        <f t="shared" si="12"/>
        <v>0</v>
      </c>
      <c r="DA12" s="68">
        <f t="shared" si="72"/>
        <v>0</v>
      </c>
      <c r="DB12" s="68">
        <f t="shared" si="73"/>
        <v>4</v>
      </c>
      <c r="DC12" s="68">
        <f t="shared" si="74"/>
        <v>0</v>
      </c>
      <c r="DD12" s="68">
        <f t="shared" si="75"/>
        <v>0</v>
      </c>
      <c r="DE12" s="68">
        <f t="shared" si="76"/>
        <v>0</v>
      </c>
      <c r="DF12" s="68">
        <f t="shared" si="77"/>
        <v>1</v>
      </c>
      <c r="DG12" s="65">
        <f t="shared" si="78"/>
        <v>3400101.3401199998</v>
      </c>
      <c r="DH12" s="65">
        <f>RANK(DG12,$DG$5:$DG$57)</f>
        <v>5</v>
      </c>
      <c r="DI12" s="65">
        <v>7</v>
      </c>
      <c r="DJ12" s="86" t="str">
        <f t="shared" si="79"/>
        <v/>
      </c>
      <c r="DK12" s="94">
        <f t="shared" si="80"/>
        <v>0</v>
      </c>
      <c r="DL12" s="172">
        <f t="shared" si="81"/>
        <v>0</v>
      </c>
      <c r="DM12" s="65" t="str">
        <f t="shared" si="82"/>
        <v/>
      </c>
      <c r="DN12" s="65" t="str">
        <f t="shared" si="83"/>
        <v/>
      </c>
      <c r="DO12" s="68">
        <f t="shared" si="84"/>
        <v>0</v>
      </c>
      <c r="DP12" s="65" t="str">
        <f t="shared" si="85"/>
        <v/>
      </c>
      <c r="DQ12" s="68">
        <f t="shared" si="86"/>
        <v>4</v>
      </c>
      <c r="DR12" s="65" t="str">
        <f t="shared" si="87"/>
        <v>Castle I</v>
      </c>
      <c r="DS12" s="68">
        <f t="shared" si="88"/>
        <v>1</v>
      </c>
      <c r="DT12" s="65" t="str">
        <f t="shared" si="89"/>
        <v>Castle I</v>
      </c>
    </row>
    <row r="13" spans="1:124" s="112" customFormat="1" x14ac:dyDescent="0.15">
      <c r="B13" t="s">
        <v>264</v>
      </c>
      <c r="C13" t="s">
        <v>267</v>
      </c>
      <c r="D13"/>
      <c r="E13"/>
      <c r="F13"/>
      <c r="G13" t="s">
        <v>203</v>
      </c>
      <c r="H13"/>
      <c r="I13"/>
      <c r="J13"/>
      <c r="K13" s="117"/>
      <c r="L13" s="117"/>
      <c r="M13" s="178"/>
      <c r="N13" s="178"/>
      <c r="O13" s="178"/>
      <c r="P13" s="178"/>
      <c r="Q13" s="178"/>
      <c r="R13" s="178"/>
      <c r="S13" s="178"/>
      <c r="T13" s="178"/>
      <c r="U13" s="178"/>
      <c r="V13" s="178"/>
      <c r="W13" s="178"/>
      <c r="X13" s="178"/>
      <c r="Y13" s="178"/>
      <c r="Z13" s="178"/>
      <c r="CE13" s="112" t="str">
        <f t="shared" si="0"/>
        <v>Chima R</v>
      </c>
      <c r="CF13" s="65">
        <f t="shared" si="61"/>
        <v>1</v>
      </c>
      <c r="CG13" s="65">
        <f t="shared" si="62"/>
        <v>1</v>
      </c>
      <c r="CH13" s="65">
        <f t="shared" si="63"/>
        <v>0</v>
      </c>
      <c r="CI13" s="65">
        <f t="shared" si="64"/>
        <v>0</v>
      </c>
      <c r="CJ13" s="65">
        <f t="shared" si="65"/>
        <v>0</v>
      </c>
      <c r="CK13" s="69">
        <f t="shared" si="66"/>
        <v>0</v>
      </c>
      <c r="CL13" s="65">
        <f t="shared" si="67"/>
        <v>0</v>
      </c>
      <c r="CM13" s="67">
        <f t="shared" si="68"/>
        <v>0</v>
      </c>
      <c r="CN13" s="65">
        <f t="shared" si="69"/>
        <v>0</v>
      </c>
      <c r="CO13" s="68">
        <f t="array" ref="CO13">SUM(IF(ISERR(FIND("*",D13:CD13)),0,1))</f>
        <v>0</v>
      </c>
      <c r="CP13" s="68">
        <f t="array" ref="CP13">SUM(IF(ISERR(FIND("+",D13:CD13)),0,1))</f>
        <v>0</v>
      </c>
      <c r="CQ13" s="65">
        <f t="shared" si="70"/>
        <v>0</v>
      </c>
      <c r="CR13" s="68">
        <f t="array" ref="CR13">SUM(IF(ISERR(FIND(CR$4,$D13:$CD13)),0,1))</f>
        <v>0</v>
      </c>
      <c r="CS13" s="68">
        <f t="array" ref="CS13">SUM(IF(ISERR(FIND(CS$4,$D13:$CD13)),0,1))</f>
        <v>0</v>
      </c>
      <c r="CT13" s="68">
        <f t="array" ref="CT13">SUM(IF(ISERR(FIND(CT$4,$D13:$CD13)),0,1))</f>
        <v>0</v>
      </c>
      <c r="CU13" s="68">
        <f t="array" ref="CU13">SUM(IF(ISERR(FIND(CU$4,$D13:$CD13)),0,1))</f>
        <v>0</v>
      </c>
      <c r="CV13" s="68">
        <f t="array" ref="CV13">SUM(IF(ISERR(FIND(CV$4,$D13:$CD13)),0,1))</f>
        <v>0</v>
      </c>
      <c r="CW13" s="68">
        <f t="array" ref="CW13">SUM(IF(ISERR(FIND(CW$4,$D13:$CD13)),0,1))</f>
        <v>0</v>
      </c>
      <c r="CX13" s="68">
        <f t="array" ref="CX13">SUM(IF(ISERR(FIND(CX$4,$D13:$CD13)),0,1))</f>
        <v>0</v>
      </c>
      <c r="CY13" s="68">
        <f t="shared" si="71"/>
        <v>0</v>
      </c>
      <c r="CZ13" s="68">
        <f t="shared" si="12"/>
        <v>0</v>
      </c>
      <c r="DA13" s="68">
        <f t="shared" si="72"/>
        <v>0</v>
      </c>
      <c r="DB13" s="68">
        <f t="shared" si="73"/>
        <v>0</v>
      </c>
      <c r="DC13" s="68">
        <f t="shared" si="74"/>
        <v>0</v>
      </c>
      <c r="DD13" s="68">
        <f t="shared" si="75"/>
        <v>0</v>
      </c>
      <c r="DE13" s="68">
        <f t="shared" si="76"/>
        <v>0</v>
      </c>
      <c r="DF13" s="68">
        <f t="shared" si="77"/>
        <v>0</v>
      </c>
      <c r="DG13" s="65">
        <f t="shared" si="78"/>
        <v>1.00013</v>
      </c>
      <c r="DH13" s="65">
        <f>RANK(DG13,$DG$5:$DG$57)</f>
        <v>43</v>
      </c>
      <c r="DI13" s="65">
        <v>8</v>
      </c>
      <c r="DJ13" s="86" t="str">
        <f t="shared" si="79"/>
        <v/>
      </c>
      <c r="DK13" s="94" t="e">
        <f t="shared" si="80"/>
        <v>#DIV/0!</v>
      </c>
      <c r="DL13" s="172">
        <f t="shared" si="81"/>
        <v>0</v>
      </c>
      <c r="DM13" s="65" t="str">
        <f t="shared" si="82"/>
        <v/>
      </c>
      <c r="DN13" s="65" t="str">
        <f t="shared" si="83"/>
        <v/>
      </c>
      <c r="DO13" s="68">
        <f t="shared" si="84"/>
        <v>0</v>
      </c>
      <c r="DP13" s="65" t="str">
        <f t="shared" si="85"/>
        <v/>
      </c>
      <c r="DQ13" s="68">
        <f t="shared" si="86"/>
        <v>0</v>
      </c>
      <c r="DR13" s="65" t="str">
        <f t="shared" si="87"/>
        <v/>
      </c>
      <c r="DS13" s="68">
        <f t="shared" si="88"/>
        <v>0</v>
      </c>
      <c r="DT13" s="65" t="str">
        <f t="shared" si="89"/>
        <v/>
      </c>
    </row>
    <row r="14" spans="1:124" x14ac:dyDescent="0.15">
      <c r="B14" s="128" t="s">
        <v>209</v>
      </c>
      <c r="C14" s="128" t="s">
        <v>210</v>
      </c>
      <c r="D14" s="178" t="s">
        <v>321</v>
      </c>
      <c r="E14" s="178" t="s">
        <v>228</v>
      </c>
      <c r="F14" s="178"/>
      <c r="G14" s="178" t="s">
        <v>373</v>
      </c>
      <c r="H14" s="178" t="s">
        <v>390</v>
      </c>
      <c r="I14" s="178" t="s">
        <v>443</v>
      </c>
      <c r="J14" s="178"/>
      <c r="K14" s="178" t="s">
        <v>436</v>
      </c>
      <c r="L14" s="178"/>
      <c r="M14" s="178" t="s">
        <v>474</v>
      </c>
      <c r="N14" s="178" t="s">
        <v>497</v>
      </c>
      <c r="O14"/>
      <c r="P14"/>
      <c r="Q14"/>
      <c r="R14"/>
      <c r="S14" t="s">
        <v>579</v>
      </c>
      <c r="T14"/>
      <c r="U14"/>
      <c r="V14"/>
      <c r="W14"/>
      <c r="X14"/>
      <c r="Y14"/>
      <c r="Z14"/>
      <c r="CE14" s="65" t="str">
        <f t="shared" ref="CE14" si="90">C14</f>
        <v>Clarkson M</v>
      </c>
      <c r="CF14" s="65">
        <f t="shared" si="61"/>
        <v>9</v>
      </c>
      <c r="CG14" s="65">
        <f t="shared" si="62"/>
        <v>1</v>
      </c>
      <c r="CH14" s="65">
        <f t="shared" si="63"/>
        <v>8</v>
      </c>
      <c r="CI14" s="65">
        <f t="shared" si="64"/>
        <v>2</v>
      </c>
      <c r="CJ14" s="65">
        <f t="shared" si="65"/>
        <v>63</v>
      </c>
      <c r="CK14" s="69">
        <f t="shared" si="66"/>
        <v>63</v>
      </c>
      <c r="CL14" s="65">
        <f t="shared" si="67"/>
        <v>206</v>
      </c>
      <c r="CM14" s="67">
        <f t="shared" si="68"/>
        <v>34.333333333333336</v>
      </c>
      <c r="CN14" s="65">
        <f t="shared" si="69"/>
        <v>15</v>
      </c>
      <c r="CO14" s="68">
        <f t="array" ref="CO14">SUM(IF(ISERR(FIND("*",D14:CD14)),0,1))</f>
        <v>0</v>
      </c>
      <c r="CP14" s="68">
        <f t="array" ref="CP14">SUM(IF(ISERR(FIND("+",D14:CD14)),0,1))</f>
        <v>1</v>
      </c>
      <c r="CQ14" s="65">
        <f t="shared" si="70"/>
        <v>1</v>
      </c>
      <c r="CR14" s="68">
        <f t="array" ref="CR14">SUM(IF(ISERR(FIND(CR$4,$D14:$CD14)),0,1))</f>
        <v>3</v>
      </c>
      <c r="CS14" s="68">
        <f t="array" ref="CS14">SUM(IF(ISERR(FIND(CS$4,$D14:$CD14)),0,1))</f>
        <v>2</v>
      </c>
      <c r="CT14" s="68">
        <f t="array" ref="CT14">SUM(IF(ISERR(FIND(CT$4,$D14:$CD14)),0,1))</f>
        <v>1</v>
      </c>
      <c r="CU14" s="68">
        <f t="array" ref="CU14">SUM(IF(ISERR(FIND(CU$4,$D14:$CD14)),0,1))</f>
        <v>0</v>
      </c>
      <c r="CV14" s="68">
        <f t="array" ref="CV14">SUM(IF(ISERR(FIND(CV$4,$D14:$CD14)),0,1))</f>
        <v>0</v>
      </c>
      <c r="CW14" s="68">
        <f t="array" ref="CW14">SUM(IF(ISERR(FIND(CW$4,$D14:$CD14)),0,1))</f>
        <v>0</v>
      </c>
      <c r="CX14" s="68">
        <f t="array" ref="CX14">SUM(IF(ISERR(FIND(CX$4,$D14:$CD14)),0,1))</f>
        <v>0</v>
      </c>
      <c r="CY14" s="68">
        <f t="shared" si="71"/>
        <v>1</v>
      </c>
      <c r="CZ14" s="68">
        <f t="shared" si="12"/>
        <v>0</v>
      </c>
      <c r="DA14" s="68">
        <f t="shared" si="72"/>
        <v>3</v>
      </c>
      <c r="DB14" s="68">
        <f t="shared" si="73"/>
        <v>29</v>
      </c>
      <c r="DC14" s="68">
        <f t="shared" si="74"/>
        <v>5</v>
      </c>
      <c r="DD14" s="68">
        <f t="shared" si="75"/>
        <v>0</v>
      </c>
      <c r="DE14" s="68">
        <f t="shared" si="76"/>
        <v>0</v>
      </c>
      <c r="DF14" s="68">
        <f t="shared" si="77"/>
        <v>4</v>
      </c>
      <c r="DG14" s="65">
        <f t="shared" si="78"/>
        <v>3433811.0601400002</v>
      </c>
      <c r="DH14" s="65">
        <f>RANK(DG14,$DG$5:$DG$57)</f>
        <v>4</v>
      </c>
      <c r="DI14" s="65">
        <v>9</v>
      </c>
      <c r="DJ14" s="86">
        <f t="shared" si="79"/>
        <v>0.92718446601941751</v>
      </c>
      <c r="DK14" s="94">
        <f t="shared" si="80"/>
        <v>0.16666666666666666</v>
      </c>
      <c r="DL14" s="172">
        <f t="shared" si="81"/>
        <v>3</v>
      </c>
      <c r="DM14" s="65" t="str">
        <f t="shared" si="82"/>
        <v>3</v>
      </c>
      <c r="DN14" s="65" t="str">
        <f t="shared" si="83"/>
        <v>Clarkson M</v>
      </c>
      <c r="DO14" s="68">
        <f t="shared" si="84"/>
        <v>5</v>
      </c>
      <c r="DP14" s="65" t="str">
        <f t="shared" si="85"/>
        <v>Clarkson M</v>
      </c>
      <c r="DQ14" s="68">
        <f t="shared" si="86"/>
        <v>29</v>
      </c>
      <c r="DR14" s="65" t="str">
        <f t="shared" si="87"/>
        <v>Clarkson M</v>
      </c>
      <c r="DS14" s="68">
        <f t="shared" si="88"/>
        <v>4</v>
      </c>
      <c r="DT14" s="65" t="str">
        <f t="shared" si="89"/>
        <v>Clarkson M</v>
      </c>
    </row>
    <row r="15" spans="1:124" x14ac:dyDescent="0.15">
      <c r="B15" s="117"/>
      <c r="C15" s="117" t="s">
        <v>303</v>
      </c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 s="117"/>
      <c r="Y15"/>
      <c r="CE15" s="65" t="str">
        <f t="shared" si="0"/>
        <v>Crawford S</v>
      </c>
      <c r="CF15" s="65">
        <f t="shared" si="61"/>
        <v>0</v>
      </c>
      <c r="CG15" s="65">
        <f t="shared" si="62"/>
        <v>0</v>
      </c>
      <c r="CH15" s="65">
        <f t="shared" si="63"/>
        <v>0</v>
      </c>
      <c r="CI15" s="65">
        <f t="shared" si="64"/>
        <v>0</v>
      </c>
      <c r="CJ15" s="65">
        <f t="shared" si="65"/>
        <v>0</v>
      </c>
      <c r="CK15" s="69">
        <f t="shared" si="66"/>
        <v>0</v>
      </c>
      <c r="CL15" s="65">
        <f t="shared" si="67"/>
        <v>0</v>
      </c>
      <c r="CM15" s="67">
        <f t="shared" si="68"/>
        <v>0</v>
      </c>
      <c r="CN15" s="65">
        <f t="shared" si="69"/>
        <v>0</v>
      </c>
      <c r="CO15" s="68">
        <f t="array" ref="CO15">SUM(IF(ISERR(FIND("*",D15:CD15)),0,1))</f>
        <v>0</v>
      </c>
      <c r="CP15" s="68">
        <f t="array" ref="CP15">SUM(IF(ISERR(FIND("+",D15:CD15)),0,1))</f>
        <v>0</v>
      </c>
      <c r="CQ15" s="65">
        <f t="shared" si="70"/>
        <v>0</v>
      </c>
      <c r="CR15" s="68">
        <f t="array" ref="CR15">SUM(IF(ISERR(FIND(CR$4,$D15:$CD15)),0,1))</f>
        <v>0</v>
      </c>
      <c r="CS15" s="68">
        <f t="array" ref="CS15">SUM(IF(ISERR(FIND(CS$4,$D15:$CD15)),0,1))</f>
        <v>0</v>
      </c>
      <c r="CT15" s="68">
        <f t="array" ref="CT15">SUM(IF(ISERR(FIND(CT$4,$D15:$CD15)),0,1))</f>
        <v>0</v>
      </c>
      <c r="CU15" s="68">
        <f t="array" ref="CU15">SUM(IF(ISERR(FIND(CU$4,$D15:$CD15)),0,1))</f>
        <v>0</v>
      </c>
      <c r="CV15" s="68">
        <f t="array" ref="CV15">SUM(IF(ISERR(FIND(CV$4,$D15:$CD15)),0,1))</f>
        <v>0</v>
      </c>
      <c r="CW15" s="68">
        <f t="array" ref="CW15">SUM(IF(ISERR(FIND(CW$4,$D15:$CD15)),0,1))</f>
        <v>0</v>
      </c>
      <c r="CX15" s="68">
        <f t="array" ref="CX15">SUM(IF(ISERR(FIND(CX$4,$D15:$CD15)),0,1))</f>
        <v>0</v>
      </c>
      <c r="CY15" s="68">
        <f t="shared" si="71"/>
        <v>0</v>
      </c>
      <c r="CZ15" s="68">
        <f t="shared" si="12"/>
        <v>0</v>
      </c>
      <c r="DA15" s="68">
        <f t="shared" si="72"/>
        <v>0</v>
      </c>
      <c r="DB15" s="68">
        <f t="shared" si="73"/>
        <v>0</v>
      </c>
      <c r="DC15" s="68">
        <f t="shared" si="74"/>
        <v>0</v>
      </c>
      <c r="DD15" s="68">
        <f t="shared" si="75"/>
        <v>0</v>
      </c>
      <c r="DE15" s="68">
        <f t="shared" si="76"/>
        <v>0</v>
      </c>
      <c r="DF15" s="68">
        <f t="shared" si="77"/>
        <v>0</v>
      </c>
      <c r="DG15" s="65">
        <f t="shared" si="78"/>
        <v>1.4999999999999999E-4</v>
      </c>
      <c r="DH15" s="65">
        <f>RANK(DG15,$DG$5:$DG$57)</f>
        <v>52</v>
      </c>
      <c r="DI15" s="65">
        <v>10</v>
      </c>
      <c r="DJ15" s="86" t="str">
        <f t="shared" si="79"/>
        <v/>
      </c>
      <c r="DK15" s="94" t="e">
        <f t="shared" si="80"/>
        <v>#DIV/0!</v>
      </c>
      <c r="DL15" s="172">
        <f t="shared" si="81"/>
        <v>0</v>
      </c>
      <c r="DM15" s="65" t="str">
        <f t="shared" si="82"/>
        <v/>
      </c>
      <c r="DN15" s="65" t="str">
        <f t="shared" si="83"/>
        <v/>
      </c>
      <c r="DO15" s="68">
        <f t="shared" si="84"/>
        <v>0</v>
      </c>
      <c r="DP15" s="65" t="str">
        <f t="shared" si="85"/>
        <v/>
      </c>
      <c r="DQ15" s="68">
        <f t="shared" si="86"/>
        <v>0</v>
      </c>
      <c r="DR15" s="65" t="str">
        <f t="shared" si="87"/>
        <v/>
      </c>
      <c r="DS15" s="68">
        <f t="shared" si="88"/>
        <v>0</v>
      </c>
      <c r="DT15" s="65" t="str">
        <f t="shared" si="89"/>
        <v/>
      </c>
    </row>
    <row r="16" spans="1:124" x14ac:dyDescent="0.15">
      <c r="B16" s="117" t="s">
        <v>242</v>
      </c>
      <c r="C16" s="117" t="s">
        <v>422</v>
      </c>
      <c r="G16" s="117"/>
      <c r="J16" s="117" t="s">
        <v>423</v>
      </c>
      <c r="K16" s="117" t="s">
        <v>438</v>
      </c>
      <c r="L16" t="s">
        <v>456</v>
      </c>
      <c r="M16" t="s">
        <v>445</v>
      </c>
      <c r="N16" t="s">
        <v>498</v>
      </c>
      <c r="O16" t="s">
        <v>511</v>
      </c>
      <c r="P16" t="s">
        <v>532</v>
      </c>
      <c r="Q16" t="s">
        <v>542</v>
      </c>
      <c r="R16" t="s">
        <v>563</v>
      </c>
      <c r="S16" t="s">
        <v>581</v>
      </c>
      <c r="T16" t="s">
        <v>600</v>
      </c>
      <c r="U16"/>
      <c r="V16"/>
      <c r="W16"/>
      <c r="X16" t="s">
        <v>668</v>
      </c>
      <c r="Y16"/>
      <c r="Z16"/>
      <c r="CE16" s="65" t="str">
        <f t="shared" si="0"/>
        <v>Deol R</v>
      </c>
      <c r="CF16" s="65">
        <f t="shared" si="61"/>
        <v>12</v>
      </c>
      <c r="CG16" s="65">
        <f t="shared" si="62"/>
        <v>0</v>
      </c>
      <c r="CH16" s="65">
        <f t="shared" si="63"/>
        <v>12</v>
      </c>
      <c r="CI16" s="65">
        <f t="shared" si="64"/>
        <v>4</v>
      </c>
      <c r="CJ16" s="65">
        <f t="shared" si="65"/>
        <v>39</v>
      </c>
      <c r="CK16" s="69">
        <f t="shared" si="66"/>
        <v>39</v>
      </c>
      <c r="CL16" s="65">
        <f t="shared" si="67"/>
        <v>170</v>
      </c>
      <c r="CM16" s="67">
        <f t="shared" si="68"/>
        <v>21.25</v>
      </c>
      <c r="CN16" s="65">
        <f t="shared" si="69"/>
        <v>10</v>
      </c>
      <c r="CO16" s="68">
        <f t="array" ref="CO16">SUM(IF(ISERR(FIND("*",D16:CD16)),0,1))</f>
        <v>0</v>
      </c>
      <c r="CP16" s="68">
        <f t="array" ref="CP16">SUM(IF(ISERR(FIND("+",D16:CD16)),0,1))</f>
        <v>0</v>
      </c>
      <c r="CQ16" s="65">
        <f t="shared" si="70"/>
        <v>1</v>
      </c>
      <c r="CR16" s="68">
        <f t="array" ref="CR16">SUM(IF(ISERR(FIND(CR$4,$D16:$CD16)),0,1))</f>
        <v>4</v>
      </c>
      <c r="CS16" s="68">
        <f t="array" ref="CS16">SUM(IF(ISERR(FIND(CS$4,$D16:$CD16)),0,1))</f>
        <v>4</v>
      </c>
      <c r="CT16" s="68">
        <f t="array" ref="CT16">SUM(IF(ISERR(FIND(CT$4,$D16:$CD16)),0,1))</f>
        <v>0</v>
      </c>
      <c r="CU16" s="68">
        <f t="array" ref="CU16">SUM(IF(ISERR(FIND(CU$4,$D16:$CD16)),0,1))</f>
        <v>0</v>
      </c>
      <c r="CV16" s="68">
        <f t="array" ref="CV16">SUM(IF(ISERR(FIND(CV$4,$D16:$CD16)),0,1))</f>
        <v>0</v>
      </c>
      <c r="CW16" s="68">
        <f t="array" ref="CW16">SUM(IF(ISERR(FIND(CW$4,$D16:$CD16)),0,1))</f>
        <v>0</v>
      </c>
      <c r="CX16" s="68">
        <f t="array" ref="CX16">SUM(IF(ISERR(FIND(CX$4,$D16:$CD16)),0,1))</f>
        <v>0</v>
      </c>
      <c r="CY16" s="68">
        <f t="shared" si="71"/>
        <v>0</v>
      </c>
      <c r="CZ16" s="68">
        <f t="shared" si="12"/>
        <v>0</v>
      </c>
      <c r="DA16" s="68">
        <f t="shared" si="72"/>
        <v>2</v>
      </c>
      <c r="DB16" s="68">
        <f t="shared" si="73"/>
        <v>22</v>
      </c>
      <c r="DC16" s="68">
        <f t="shared" si="74"/>
        <v>3</v>
      </c>
      <c r="DD16" s="68">
        <f t="shared" si="75"/>
        <v>0</v>
      </c>
      <c r="DE16" s="68">
        <f t="shared" si="76"/>
        <v>0</v>
      </c>
      <c r="DF16" s="68">
        <f t="shared" si="77"/>
        <v>2</v>
      </c>
      <c r="DG16" s="65">
        <f t="shared" si="78"/>
        <v>2126213.70016</v>
      </c>
      <c r="DH16" s="65">
        <f>RANK(DG16,$DG$5:$DG$57)</f>
        <v>9</v>
      </c>
      <c r="DI16" s="65">
        <v>11</v>
      </c>
      <c r="DJ16" s="86">
        <f t="shared" si="79"/>
        <v>0.94705882352941173</v>
      </c>
      <c r="DK16" s="94">
        <f t="shared" si="80"/>
        <v>0.125</v>
      </c>
      <c r="DL16" s="172">
        <f t="shared" si="81"/>
        <v>2</v>
      </c>
      <c r="DM16" s="65" t="str">
        <f t="shared" si="82"/>
        <v>2</v>
      </c>
      <c r="DN16" s="65" t="str">
        <f t="shared" si="83"/>
        <v>Deol R</v>
      </c>
      <c r="DO16" s="68">
        <f t="shared" si="84"/>
        <v>3</v>
      </c>
      <c r="DP16" s="65" t="str">
        <f t="shared" si="85"/>
        <v>Deol R</v>
      </c>
      <c r="DQ16" s="68">
        <f t="shared" si="86"/>
        <v>22</v>
      </c>
      <c r="DR16" s="65" t="str">
        <f t="shared" si="87"/>
        <v>Deol R</v>
      </c>
      <c r="DS16" s="68">
        <f t="shared" si="88"/>
        <v>2</v>
      </c>
      <c r="DT16" s="65" t="str">
        <f t="shared" si="89"/>
        <v>Deol R</v>
      </c>
    </row>
    <row r="17" spans="2:124" x14ac:dyDescent="0.15">
      <c r="B17" s="65" t="s">
        <v>163</v>
      </c>
      <c r="C17" s="65" t="s">
        <v>164</v>
      </c>
      <c r="D17" s="117"/>
      <c r="E17" s="117"/>
      <c r="F17" s="117"/>
      <c r="G17" s="117" t="s">
        <v>371</v>
      </c>
      <c r="H17" s="117"/>
      <c r="I17" s="1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CE17" s="65" t="str">
        <f t="shared" ref="CE17" si="91">C17</f>
        <v>Edghill C</v>
      </c>
      <c r="CF17" s="65">
        <f t="shared" si="61"/>
        <v>1</v>
      </c>
      <c r="CG17" s="65">
        <f t="shared" si="62"/>
        <v>0</v>
      </c>
      <c r="CH17" s="65">
        <f t="shared" si="63"/>
        <v>1</v>
      </c>
      <c r="CI17" s="65">
        <f t="shared" si="64"/>
        <v>0</v>
      </c>
      <c r="CJ17" s="65">
        <f t="shared" si="65"/>
        <v>5</v>
      </c>
      <c r="CK17" s="69">
        <f t="shared" si="66"/>
        <v>5</v>
      </c>
      <c r="CL17" s="65">
        <f t="shared" si="67"/>
        <v>5</v>
      </c>
      <c r="CM17" s="67">
        <f t="shared" si="68"/>
        <v>5</v>
      </c>
      <c r="CN17" s="65">
        <f t="shared" si="69"/>
        <v>0</v>
      </c>
      <c r="CO17" s="68">
        <f t="array" ref="CO17">SUM(IF(ISERR(FIND("*",D17:CD17)),0,1))</f>
        <v>0</v>
      </c>
      <c r="CP17" s="68">
        <f t="array" ref="CP17">SUM(IF(ISERR(FIND("+",D17:CD17)),0,1))</f>
        <v>1</v>
      </c>
      <c r="CQ17" s="65">
        <f t="shared" si="70"/>
        <v>0</v>
      </c>
      <c r="CR17" s="68">
        <f t="array" ref="CR17">SUM(IF(ISERR(FIND(CR$4,$D17:$CD17)),0,1))</f>
        <v>0</v>
      </c>
      <c r="CS17" s="68">
        <f t="array" ref="CS17">SUM(IF(ISERR(FIND(CS$4,$D17:$CD17)),0,1))</f>
        <v>1</v>
      </c>
      <c r="CT17" s="68">
        <f t="array" ref="CT17">SUM(IF(ISERR(FIND(CT$4,$D17:$CD17)),0,1))</f>
        <v>0</v>
      </c>
      <c r="CU17" s="68">
        <f t="array" ref="CU17">SUM(IF(ISERR(FIND(CU$4,$D17:$CD17)),0,1))</f>
        <v>0</v>
      </c>
      <c r="CV17" s="68">
        <f t="array" ref="CV17">SUM(IF(ISERR(FIND(CV$4,$D17:$CD17)),0,1))</f>
        <v>0</v>
      </c>
      <c r="CW17" s="68">
        <f t="array" ref="CW17">SUM(IF(ISERR(FIND(CW$4,$D17:$CD17)),0,1))</f>
        <v>0</v>
      </c>
      <c r="CX17" s="68">
        <f t="array" ref="CX17">SUM(IF(ISERR(FIND(CX$4,$D17:$CD17)),0,1))</f>
        <v>0</v>
      </c>
      <c r="CY17" s="68">
        <f t="shared" si="71"/>
        <v>0</v>
      </c>
      <c r="CZ17" s="68">
        <f t="shared" si="12"/>
        <v>0</v>
      </c>
      <c r="DA17" s="68">
        <f t="shared" si="72"/>
        <v>0</v>
      </c>
      <c r="DB17" s="68">
        <f t="shared" si="73"/>
        <v>1</v>
      </c>
      <c r="DC17" s="68">
        <f t="shared" si="74"/>
        <v>0</v>
      </c>
      <c r="DD17" s="68">
        <f t="shared" si="75"/>
        <v>0</v>
      </c>
      <c r="DE17" s="68">
        <f t="shared" si="76"/>
        <v>0</v>
      </c>
      <c r="DF17" s="68">
        <f t="shared" si="77"/>
        <v>0</v>
      </c>
      <c r="DG17" s="65">
        <f t="shared" si="78"/>
        <v>500101.05017</v>
      </c>
      <c r="DH17" s="65">
        <f>RANK(DG17,$DG$5:$DG$57)</f>
        <v>25</v>
      </c>
      <c r="DI17" s="65">
        <v>12</v>
      </c>
      <c r="DJ17" s="86" t="str">
        <f t="shared" si="79"/>
        <v/>
      </c>
      <c r="DK17" s="94">
        <f t="shared" si="80"/>
        <v>0</v>
      </c>
      <c r="DL17" s="172">
        <f t="shared" si="81"/>
        <v>0</v>
      </c>
      <c r="DM17" s="65" t="str">
        <f t="shared" si="82"/>
        <v/>
      </c>
      <c r="DN17" s="65" t="str">
        <f t="shared" si="83"/>
        <v/>
      </c>
      <c r="DO17" s="68">
        <f t="shared" si="84"/>
        <v>0</v>
      </c>
      <c r="DP17" s="65" t="str">
        <f t="shared" si="85"/>
        <v/>
      </c>
      <c r="DQ17" s="68">
        <f t="shared" si="86"/>
        <v>1</v>
      </c>
      <c r="DR17" s="65" t="str">
        <f t="shared" si="87"/>
        <v>Edghill C</v>
      </c>
      <c r="DS17" s="68">
        <f t="shared" si="88"/>
        <v>0</v>
      </c>
      <c r="DT17" s="65" t="str">
        <f t="shared" si="89"/>
        <v/>
      </c>
    </row>
    <row r="18" spans="2:124" x14ac:dyDescent="0.15">
      <c r="B18" s="117" t="s">
        <v>285</v>
      </c>
      <c r="C18" s="117" t="s">
        <v>286</v>
      </c>
      <c r="D18" s="117"/>
      <c r="E18" s="117"/>
      <c r="F18" s="117"/>
      <c r="G18" s="117"/>
      <c r="H18" s="117"/>
      <c r="I18" s="117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CE18" s="65" t="str">
        <f t="shared" si="0"/>
        <v>Foster E</v>
      </c>
      <c r="CF18" s="65">
        <f t="shared" si="61"/>
        <v>0</v>
      </c>
      <c r="CG18" s="65">
        <f t="shared" si="62"/>
        <v>0</v>
      </c>
      <c r="CH18" s="65">
        <f t="shared" si="63"/>
        <v>0</v>
      </c>
      <c r="CI18" s="65">
        <f t="shared" si="64"/>
        <v>0</v>
      </c>
      <c r="CJ18" s="65">
        <f t="shared" si="65"/>
        <v>0</v>
      </c>
      <c r="CK18" s="69">
        <f t="shared" si="66"/>
        <v>0</v>
      </c>
      <c r="CL18" s="65">
        <f t="shared" si="67"/>
        <v>0</v>
      </c>
      <c r="CM18" s="67">
        <f t="shared" si="68"/>
        <v>0</v>
      </c>
      <c r="CN18" s="65">
        <f t="shared" si="69"/>
        <v>0</v>
      </c>
      <c r="CO18" s="68">
        <f t="array" ref="CO18">SUM(IF(ISERR(FIND("*",D18:CD18)),0,1))</f>
        <v>0</v>
      </c>
      <c r="CP18" s="68">
        <f t="array" ref="CP18">SUM(IF(ISERR(FIND("+",D18:CD18)),0,1))</f>
        <v>0</v>
      </c>
      <c r="CQ18" s="65">
        <f t="shared" si="70"/>
        <v>0</v>
      </c>
      <c r="CR18" s="68">
        <f t="array" ref="CR18">SUM(IF(ISERR(FIND(CR$4,$D18:$CD18)),0,1))</f>
        <v>0</v>
      </c>
      <c r="CS18" s="68">
        <f t="array" ref="CS18">SUM(IF(ISERR(FIND(CS$4,$D18:$CD18)),0,1))</f>
        <v>0</v>
      </c>
      <c r="CT18" s="68">
        <f t="array" ref="CT18">SUM(IF(ISERR(FIND(CT$4,$D18:$CD18)),0,1))</f>
        <v>0</v>
      </c>
      <c r="CU18" s="68">
        <f t="array" ref="CU18">SUM(IF(ISERR(FIND(CU$4,$D18:$CD18)),0,1))</f>
        <v>0</v>
      </c>
      <c r="CV18" s="68">
        <f t="array" ref="CV18">SUM(IF(ISERR(FIND(CV$4,$D18:$CD18)),0,1))</f>
        <v>0</v>
      </c>
      <c r="CW18" s="68">
        <f t="array" ref="CW18">SUM(IF(ISERR(FIND(CW$4,$D18:$CD18)),0,1))</f>
        <v>0</v>
      </c>
      <c r="CX18" s="68">
        <f t="array" ref="CX18">SUM(IF(ISERR(FIND(CX$4,$D18:$CD18)),0,1))</f>
        <v>0</v>
      </c>
      <c r="CY18" s="68">
        <f t="shared" si="71"/>
        <v>0</v>
      </c>
      <c r="CZ18" s="68">
        <f t="shared" si="12"/>
        <v>0</v>
      </c>
      <c r="DA18" s="68">
        <f t="shared" si="72"/>
        <v>0</v>
      </c>
      <c r="DB18" s="68">
        <f t="shared" si="73"/>
        <v>0</v>
      </c>
      <c r="DC18" s="68">
        <f t="shared" si="74"/>
        <v>0</v>
      </c>
      <c r="DD18" s="68">
        <f t="shared" si="75"/>
        <v>0</v>
      </c>
      <c r="DE18" s="68">
        <f t="shared" si="76"/>
        <v>0</v>
      </c>
      <c r="DF18" s="68">
        <f t="shared" si="77"/>
        <v>0</v>
      </c>
      <c r="DG18" s="65">
        <f t="shared" si="78"/>
        <v>1.8000000000000001E-4</v>
      </c>
      <c r="DH18" s="65">
        <f>RANK(DG18,$DG$5:$DG$57)</f>
        <v>51</v>
      </c>
      <c r="DI18" s="65">
        <v>13</v>
      </c>
      <c r="DJ18" s="86" t="str">
        <f t="shared" si="79"/>
        <v/>
      </c>
      <c r="DK18" s="94" t="e">
        <f t="shared" si="80"/>
        <v>#DIV/0!</v>
      </c>
      <c r="DL18" s="172">
        <f t="shared" si="81"/>
        <v>0</v>
      </c>
      <c r="DM18" s="65" t="str">
        <f t="shared" si="82"/>
        <v/>
      </c>
      <c r="DN18" s="65" t="str">
        <f t="shared" si="83"/>
        <v/>
      </c>
      <c r="DO18" s="68">
        <f t="shared" si="84"/>
        <v>0</v>
      </c>
      <c r="DP18" s="65" t="str">
        <f t="shared" si="85"/>
        <v/>
      </c>
      <c r="DQ18" s="68">
        <f t="shared" si="86"/>
        <v>0</v>
      </c>
      <c r="DR18" s="65" t="str">
        <f t="shared" si="87"/>
        <v/>
      </c>
      <c r="DS18" s="68">
        <f t="shared" si="88"/>
        <v>0</v>
      </c>
      <c r="DT18" s="65" t="str">
        <f t="shared" si="89"/>
        <v/>
      </c>
    </row>
    <row r="19" spans="2:124" x14ac:dyDescent="0.15">
      <c r="C19" s="117" t="s">
        <v>243</v>
      </c>
      <c r="D19" s="117"/>
      <c r="E19" s="117"/>
      <c r="F19" s="117"/>
      <c r="G19" s="117"/>
      <c r="H19" s="117"/>
      <c r="I19" s="117"/>
      <c r="J19" s="117" t="s">
        <v>294</v>
      </c>
      <c r="K19" t="s">
        <v>434</v>
      </c>
      <c r="L19"/>
      <c r="M19" t="s">
        <v>470</v>
      </c>
      <c r="N19"/>
      <c r="O19"/>
      <c r="P19"/>
      <c r="Q19"/>
      <c r="R19"/>
      <c r="S19"/>
      <c r="T19"/>
      <c r="U19"/>
      <c r="V19"/>
      <c r="W19"/>
      <c r="X19"/>
      <c r="Y19"/>
      <c r="Z19"/>
      <c r="CE19" s="117" t="str">
        <f t="shared" si="0"/>
        <v>Foxworthy P</v>
      </c>
      <c r="CF19" s="65">
        <f t="shared" si="61"/>
        <v>3</v>
      </c>
      <c r="CG19" s="65">
        <f t="shared" si="62"/>
        <v>0</v>
      </c>
      <c r="CH19" s="65">
        <f t="shared" si="63"/>
        <v>3</v>
      </c>
      <c r="CI19" s="65">
        <f t="shared" si="64"/>
        <v>0</v>
      </c>
      <c r="CJ19" s="65">
        <f t="shared" si="65"/>
        <v>4</v>
      </c>
      <c r="CK19" s="69">
        <f t="shared" si="66"/>
        <v>4</v>
      </c>
      <c r="CL19" s="65">
        <f t="shared" si="67"/>
        <v>6</v>
      </c>
      <c r="CM19" s="67">
        <f t="shared" si="68"/>
        <v>2</v>
      </c>
      <c r="CN19" s="65">
        <f t="shared" si="69"/>
        <v>10</v>
      </c>
      <c r="CO19" s="68">
        <f t="array" ref="CO19">SUM(IF(ISERR(FIND("*",D19:CD19)),0,1))</f>
        <v>0</v>
      </c>
      <c r="CP19" s="68">
        <f t="array" ref="CP19">SUM(IF(ISERR(FIND("+",D19:CD19)),0,1))</f>
        <v>0</v>
      </c>
      <c r="CQ19" s="65">
        <f t="shared" si="70"/>
        <v>1</v>
      </c>
      <c r="CR19" s="68">
        <f t="array" ref="CR19">SUM(IF(ISERR(FIND(CR$4,$D19:$CD19)),0,1))</f>
        <v>3</v>
      </c>
      <c r="CS19" s="68">
        <f t="array" ref="CS19">SUM(IF(ISERR(FIND(CS$4,$D19:$CD19)),0,1))</f>
        <v>0</v>
      </c>
      <c r="CT19" s="68">
        <f t="array" ref="CT19">SUM(IF(ISERR(FIND(CT$4,$D19:$CD19)),0,1))</f>
        <v>0</v>
      </c>
      <c r="CU19" s="68">
        <f t="array" ref="CU19">SUM(IF(ISERR(FIND(CU$4,$D19:$CD19)),0,1))</f>
        <v>0</v>
      </c>
      <c r="CV19" s="68">
        <f t="array" ref="CV19">SUM(IF(ISERR(FIND(CV$4,$D19:$CD19)),0,1))</f>
        <v>0</v>
      </c>
      <c r="CW19" s="68">
        <f t="array" ref="CW19">SUM(IF(ISERR(FIND(CW$4,$D19:$CD19)),0,1))</f>
        <v>0</v>
      </c>
      <c r="CX19" s="68">
        <f t="array" ref="CX19">SUM(IF(ISERR(FIND(CX$4,$D19:$CD19)),0,1))</f>
        <v>0</v>
      </c>
      <c r="CY19" s="68">
        <f t="shared" si="71"/>
        <v>0</v>
      </c>
      <c r="CZ19" s="68">
        <f t="shared" si="12"/>
        <v>0</v>
      </c>
      <c r="DA19" s="68">
        <f t="shared" si="72"/>
        <v>2</v>
      </c>
      <c r="DB19" s="68">
        <f t="shared" si="73"/>
        <v>1</v>
      </c>
      <c r="DC19" s="68">
        <f t="shared" si="74"/>
        <v>0</v>
      </c>
      <c r="DD19" s="68">
        <f t="shared" si="75"/>
        <v>0</v>
      </c>
      <c r="DE19" s="68">
        <f t="shared" si="76"/>
        <v>0</v>
      </c>
      <c r="DF19" s="68">
        <f t="shared" si="77"/>
        <v>0</v>
      </c>
      <c r="DG19" s="65">
        <f t="shared" si="78"/>
        <v>200303.06018999999</v>
      </c>
      <c r="DH19" s="65">
        <f>RANK(DG19,$DG$5:$DG$57)</f>
        <v>29</v>
      </c>
      <c r="DI19" s="65">
        <v>14</v>
      </c>
      <c r="DJ19" s="86" t="str">
        <f t="shared" si="79"/>
        <v/>
      </c>
      <c r="DK19" s="94">
        <f t="shared" si="80"/>
        <v>0.33333333333333331</v>
      </c>
      <c r="DL19" s="172">
        <f t="shared" si="81"/>
        <v>2</v>
      </c>
      <c r="DM19" s="65" t="str">
        <f t="shared" si="82"/>
        <v>2</v>
      </c>
      <c r="DN19" s="65" t="str">
        <f t="shared" si="83"/>
        <v>Foxworthy P</v>
      </c>
      <c r="DO19" s="68">
        <f t="shared" si="84"/>
        <v>0</v>
      </c>
      <c r="DP19" s="65" t="str">
        <f t="shared" si="85"/>
        <v/>
      </c>
      <c r="DQ19" s="68">
        <f t="shared" si="86"/>
        <v>1</v>
      </c>
      <c r="DR19" s="65" t="str">
        <f t="shared" si="87"/>
        <v>Foxworthy P</v>
      </c>
      <c r="DS19" s="68">
        <f t="shared" si="88"/>
        <v>0</v>
      </c>
      <c r="DT19" s="65" t="str">
        <f t="shared" si="89"/>
        <v/>
      </c>
    </row>
    <row r="20" spans="2:124" x14ac:dyDescent="0.15">
      <c r="C20" s="117" t="s">
        <v>377</v>
      </c>
      <c r="D20" s="117"/>
      <c r="E20" s="117"/>
      <c r="F20" s="117"/>
      <c r="G20" s="117" t="s">
        <v>227</v>
      </c>
      <c r="H20" s="117"/>
      <c r="I20" s="117"/>
      <c r="J20" s="117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CE20" s="117" t="str">
        <f t="shared" si="0"/>
        <v>Geghan</v>
      </c>
      <c r="CF20" s="65">
        <f t="shared" si="61"/>
        <v>1</v>
      </c>
      <c r="CG20" s="65">
        <f t="shared" si="62"/>
        <v>1</v>
      </c>
      <c r="CH20" s="65">
        <f t="shared" si="63"/>
        <v>0</v>
      </c>
      <c r="CI20" s="65">
        <f t="shared" si="64"/>
        <v>0</v>
      </c>
      <c r="CJ20" s="65">
        <f t="shared" si="65"/>
        <v>0</v>
      </c>
      <c r="CK20" s="69">
        <f t="shared" si="66"/>
        <v>0</v>
      </c>
      <c r="CL20" s="65">
        <f t="shared" si="67"/>
        <v>0</v>
      </c>
      <c r="CM20" s="67">
        <f t="shared" si="68"/>
        <v>0</v>
      </c>
      <c r="CN20" s="65">
        <f t="shared" si="69"/>
        <v>0</v>
      </c>
      <c r="CO20" s="68">
        <f t="array" ref="CO20">SUM(IF(ISERR(FIND("*",D20:CD20)),0,1))</f>
        <v>0</v>
      </c>
      <c r="CP20" s="68">
        <f t="array" ref="CP20">SUM(IF(ISERR(FIND("+",D20:CD20)),0,1))</f>
        <v>0</v>
      </c>
      <c r="CQ20" s="65">
        <f t="shared" si="70"/>
        <v>0</v>
      </c>
      <c r="CR20" s="68">
        <f t="array" ref="CR20">SUM(IF(ISERR(FIND(CR$4,$D20:$CD20)),0,1))</f>
        <v>0</v>
      </c>
      <c r="CS20" s="68">
        <f t="array" ref="CS20">SUM(IF(ISERR(FIND(CS$4,$D20:$CD20)),0,1))</f>
        <v>0</v>
      </c>
      <c r="CT20" s="68">
        <f t="array" ref="CT20">SUM(IF(ISERR(FIND(CT$4,$D20:$CD20)),0,1))</f>
        <v>0</v>
      </c>
      <c r="CU20" s="68">
        <f t="array" ref="CU20">SUM(IF(ISERR(FIND(CU$4,$D20:$CD20)),0,1))</f>
        <v>0</v>
      </c>
      <c r="CV20" s="68">
        <f t="array" ref="CV20">SUM(IF(ISERR(FIND(CV$4,$D20:$CD20)),0,1))</f>
        <v>0</v>
      </c>
      <c r="CW20" s="68">
        <f t="array" ref="CW20">SUM(IF(ISERR(FIND(CW$4,$D20:$CD20)),0,1))</f>
        <v>0</v>
      </c>
      <c r="CX20" s="68">
        <f t="array" ref="CX20">SUM(IF(ISERR(FIND(CX$4,$D20:$CD20)),0,1))</f>
        <v>0</v>
      </c>
      <c r="CY20" s="68">
        <f t="shared" si="71"/>
        <v>0</v>
      </c>
      <c r="CZ20" s="68">
        <f t="shared" si="12"/>
        <v>0</v>
      </c>
      <c r="DA20" s="68">
        <f t="shared" si="72"/>
        <v>0</v>
      </c>
      <c r="DB20" s="68">
        <f t="shared" si="73"/>
        <v>0</v>
      </c>
      <c r="DC20" s="68">
        <f t="shared" si="74"/>
        <v>0</v>
      </c>
      <c r="DD20" s="68">
        <f t="shared" si="75"/>
        <v>0</v>
      </c>
      <c r="DE20" s="68">
        <f t="shared" si="76"/>
        <v>0</v>
      </c>
      <c r="DF20" s="68">
        <f t="shared" si="77"/>
        <v>0</v>
      </c>
      <c r="DG20" s="65">
        <f t="shared" si="78"/>
        <v>1.0002</v>
      </c>
      <c r="DH20" s="65">
        <f>RANK(DG20,$DG$5:$DG$57)</f>
        <v>42</v>
      </c>
      <c r="DI20" s="65">
        <v>15</v>
      </c>
      <c r="DJ20" s="86" t="str">
        <f t="shared" si="79"/>
        <v/>
      </c>
      <c r="DK20" s="94" t="e">
        <f t="shared" si="80"/>
        <v>#DIV/0!</v>
      </c>
      <c r="DL20" s="172">
        <f t="shared" si="81"/>
        <v>0</v>
      </c>
      <c r="DM20" s="65" t="str">
        <f t="shared" si="82"/>
        <v/>
      </c>
      <c r="DN20" s="65" t="str">
        <f t="shared" si="83"/>
        <v/>
      </c>
      <c r="DO20" s="68">
        <f t="shared" si="84"/>
        <v>0</v>
      </c>
      <c r="DP20" s="65" t="str">
        <f t="shared" si="85"/>
        <v/>
      </c>
      <c r="DQ20" s="68">
        <f t="shared" si="86"/>
        <v>0</v>
      </c>
      <c r="DR20" s="65" t="str">
        <f t="shared" si="87"/>
        <v/>
      </c>
      <c r="DS20" s="68">
        <f t="shared" si="88"/>
        <v>0</v>
      </c>
      <c r="DT20" s="65" t="str">
        <f t="shared" si="89"/>
        <v/>
      </c>
    </row>
    <row r="21" spans="2:124" x14ac:dyDescent="0.15">
      <c r="C21" s="117" t="s">
        <v>454</v>
      </c>
      <c r="D21" s="117"/>
      <c r="E21" s="117"/>
      <c r="F21" s="117"/>
      <c r="G21" s="117"/>
      <c r="H21" s="117"/>
      <c r="I21" s="117"/>
      <c r="J21" s="117"/>
      <c r="K21"/>
      <c r="L21" t="s">
        <v>455</v>
      </c>
      <c r="M21"/>
      <c r="N21"/>
      <c r="O21"/>
      <c r="P21"/>
      <c r="Q21"/>
      <c r="R21" s="117" t="s">
        <v>565</v>
      </c>
      <c r="S21"/>
      <c r="T21"/>
      <c r="U21"/>
      <c r="V21"/>
      <c r="W21"/>
      <c r="X21"/>
      <c r="Y21"/>
      <c r="Z21"/>
      <c r="CE21" s="65" t="str">
        <f t="shared" si="0"/>
        <v>Giles M</v>
      </c>
      <c r="CF21" s="65">
        <f t="shared" si="61"/>
        <v>2</v>
      </c>
      <c r="CG21" s="65">
        <f t="shared" si="62"/>
        <v>0</v>
      </c>
      <c r="CH21" s="65">
        <f t="shared" si="63"/>
        <v>2</v>
      </c>
      <c r="CI21" s="65">
        <f t="shared" si="64"/>
        <v>0</v>
      </c>
      <c r="CJ21" s="65">
        <f t="shared" si="65"/>
        <v>6</v>
      </c>
      <c r="CK21" s="69">
        <f t="shared" si="66"/>
        <v>6</v>
      </c>
      <c r="CL21" s="65">
        <f t="shared" si="67"/>
        <v>8</v>
      </c>
      <c r="CM21" s="67">
        <f t="shared" si="68"/>
        <v>4</v>
      </c>
      <c r="CN21" s="65">
        <f t="shared" si="69"/>
        <v>5</v>
      </c>
      <c r="CO21" s="68">
        <f t="array" ref="CO21">SUM(IF(ISERR(FIND("*",D21:CD21)),0,1))</f>
        <v>0</v>
      </c>
      <c r="CP21" s="68">
        <f t="array" ref="CP21">SUM(IF(ISERR(FIND("+",D21:CD21)),0,1))</f>
        <v>0</v>
      </c>
      <c r="CQ21" s="65">
        <f t="shared" si="70"/>
        <v>0</v>
      </c>
      <c r="CR21" s="68">
        <f t="array" ref="CR21">SUM(IF(ISERR(FIND(CR$4,$D21:$CD21)),0,1))</f>
        <v>2</v>
      </c>
      <c r="CS21" s="68">
        <f t="array" ref="CS21">SUM(IF(ISERR(FIND(CS$4,$D21:$CD21)),0,1))</f>
        <v>0</v>
      </c>
      <c r="CT21" s="68">
        <f t="array" ref="CT21">SUM(IF(ISERR(FIND(CT$4,$D21:$CD21)),0,1))</f>
        <v>0</v>
      </c>
      <c r="CU21" s="68">
        <f t="array" ref="CU21">SUM(IF(ISERR(FIND(CU$4,$D21:$CD21)),0,1))</f>
        <v>0</v>
      </c>
      <c r="CV21" s="68">
        <f t="array" ref="CV21">SUM(IF(ISERR(FIND(CV$4,$D21:$CD21)),0,1))</f>
        <v>0</v>
      </c>
      <c r="CW21" s="68">
        <f t="array" ref="CW21">SUM(IF(ISERR(FIND(CW$4,$D21:$CD21)),0,1))</f>
        <v>0</v>
      </c>
      <c r="CX21" s="68">
        <f t="array" ref="CX21">SUM(IF(ISERR(FIND(CX$4,$D21:$CD21)),0,1))</f>
        <v>0</v>
      </c>
      <c r="CY21" s="68">
        <f t="shared" si="71"/>
        <v>0</v>
      </c>
      <c r="CZ21" s="68">
        <f t="shared" si="12"/>
        <v>0</v>
      </c>
      <c r="DA21" s="68">
        <f t="shared" si="72"/>
        <v>1</v>
      </c>
      <c r="DB21" s="68">
        <f t="shared" si="73"/>
        <v>0</v>
      </c>
      <c r="DC21" s="68">
        <f t="shared" si="74"/>
        <v>0</v>
      </c>
      <c r="DD21" s="68">
        <f t="shared" si="75"/>
        <v>0</v>
      </c>
      <c r="DE21" s="68">
        <f t="shared" si="76"/>
        <v>0</v>
      </c>
      <c r="DF21" s="68">
        <f t="shared" si="77"/>
        <v>0</v>
      </c>
      <c r="DG21" s="65">
        <f t="shared" si="78"/>
        <v>400202.08021000004</v>
      </c>
      <c r="DH21" s="65">
        <f>RANK(DG21,$DG$5:$DG$57)</f>
        <v>26</v>
      </c>
      <c r="DI21" s="65">
        <v>16</v>
      </c>
      <c r="DJ21" s="86" t="str">
        <f t="shared" si="79"/>
        <v/>
      </c>
      <c r="DK21" s="94">
        <f t="shared" si="80"/>
        <v>0</v>
      </c>
      <c r="DL21" s="172">
        <f t="shared" si="81"/>
        <v>1</v>
      </c>
      <c r="DM21" s="65" t="str">
        <f t="shared" si="82"/>
        <v>1</v>
      </c>
      <c r="DN21" s="65" t="str">
        <f t="shared" si="83"/>
        <v>Giles M</v>
      </c>
      <c r="DO21" s="68">
        <f t="shared" si="84"/>
        <v>0</v>
      </c>
      <c r="DP21" s="65" t="str">
        <f t="shared" si="85"/>
        <v/>
      </c>
      <c r="DQ21" s="68">
        <f t="shared" si="86"/>
        <v>0</v>
      </c>
      <c r="DR21" s="65" t="str">
        <f t="shared" si="87"/>
        <v/>
      </c>
      <c r="DS21" s="68">
        <f t="shared" si="88"/>
        <v>0</v>
      </c>
      <c r="DT21" s="65" t="str">
        <f t="shared" si="89"/>
        <v/>
      </c>
    </row>
    <row r="22" spans="2:124" x14ac:dyDescent="0.15">
      <c r="B22" s="117" t="s">
        <v>274</v>
      </c>
      <c r="C22" s="117" t="s">
        <v>273</v>
      </c>
      <c r="D22" s="117" t="s">
        <v>315</v>
      </c>
      <c r="E22" s="117"/>
      <c r="F22" s="117"/>
      <c r="G22" s="117"/>
      <c r="H22" s="117"/>
      <c r="I22" s="117"/>
      <c r="J22" t="s">
        <v>417</v>
      </c>
      <c r="K22"/>
      <c r="L22" t="s">
        <v>444</v>
      </c>
      <c r="M22"/>
      <c r="N22" t="s">
        <v>492</v>
      </c>
      <c r="O22" t="s">
        <v>507</v>
      </c>
      <c r="P22" t="s">
        <v>524</v>
      </c>
      <c r="Q22" t="s">
        <v>541</v>
      </c>
      <c r="R22" s="117" t="s">
        <v>560</v>
      </c>
      <c r="S22" s="117" t="s">
        <v>576</v>
      </c>
      <c r="T22"/>
      <c r="U22"/>
      <c r="V22" t="s">
        <v>639</v>
      </c>
      <c r="W22"/>
      <c r="X22" t="s">
        <v>664</v>
      </c>
      <c r="Y22"/>
      <c r="Z22"/>
      <c r="CE22" s="117" t="str">
        <f t="shared" si="0"/>
        <v>Greenall D</v>
      </c>
      <c r="CF22" s="65">
        <f t="shared" si="61"/>
        <v>11</v>
      </c>
      <c r="CG22" s="65">
        <f t="shared" si="62"/>
        <v>0</v>
      </c>
      <c r="CH22" s="65">
        <f t="shared" si="63"/>
        <v>11</v>
      </c>
      <c r="CI22" s="65">
        <f t="shared" si="64"/>
        <v>1</v>
      </c>
      <c r="CJ22" s="65">
        <f t="shared" si="65"/>
        <v>-156</v>
      </c>
      <c r="CK22" s="69" t="str">
        <f t="shared" si="66"/>
        <v>156*</v>
      </c>
      <c r="CL22" s="65">
        <f t="shared" si="67"/>
        <v>423</v>
      </c>
      <c r="CM22" s="67">
        <f t="shared" si="68"/>
        <v>42.3</v>
      </c>
      <c r="CN22" s="65">
        <f t="shared" si="69"/>
        <v>0</v>
      </c>
      <c r="CO22" s="68">
        <f t="array" ref="CO22">SUM(IF(ISERR(FIND("*",D22:CD22)),0,1))</f>
        <v>0</v>
      </c>
      <c r="CP22" s="68">
        <f t="array" ref="CP22">SUM(IF(ISERR(FIND("+",D22:CD22)),0,1))</f>
        <v>11</v>
      </c>
      <c r="CQ22" s="65">
        <f t="shared" si="70"/>
        <v>2</v>
      </c>
      <c r="CR22" s="68">
        <f t="array" ref="CR22">SUM(IF(ISERR(FIND(CR$4,$D22:$CD22)),0,1))</f>
        <v>3</v>
      </c>
      <c r="CS22" s="68">
        <f t="array" ref="CS22">SUM(IF(ISERR(FIND(CS$4,$D22:$CD22)),0,1))</f>
        <v>3</v>
      </c>
      <c r="CT22" s="68">
        <f t="array" ref="CT22">SUM(IF(ISERR(FIND(CT$4,$D22:$CD22)),0,1))</f>
        <v>3</v>
      </c>
      <c r="CU22" s="68">
        <f t="array" ref="CU22">SUM(IF(ISERR(FIND(CU$4,$D22:$CD22)),0,1))</f>
        <v>1</v>
      </c>
      <c r="CV22" s="68">
        <f t="array" ref="CV22">SUM(IF(ISERR(FIND(CV$4,$D22:$CD22)),0,1))</f>
        <v>0</v>
      </c>
      <c r="CW22" s="68">
        <f t="array" ref="CW22">SUM(IF(ISERR(FIND(CW$4,$D22:$CD22)),0,1))</f>
        <v>0</v>
      </c>
      <c r="CX22" s="68">
        <f t="array" ref="CX22">SUM(IF(ISERR(FIND(CX$4,$D22:$CD22)),0,1))</f>
        <v>0</v>
      </c>
      <c r="CY22" s="68">
        <f t="shared" si="71"/>
        <v>2</v>
      </c>
      <c r="CZ22" s="68">
        <f t="shared" si="12"/>
        <v>1</v>
      </c>
      <c r="DA22" s="68">
        <f t="shared" si="72"/>
        <v>7</v>
      </c>
      <c r="DB22" s="68">
        <f t="shared" si="73"/>
        <v>61</v>
      </c>
      <c r="DC22" s="68">
        <f t="shared" si="74"/>
        <v>7</v>
      </c>
      <c r="DD22" s="68">
        <f t="shared" si="75"/>
        <v>1</v>
      </c>
      <c r="DE22" s="68">
        <f t="shared" si="76"/>
        <v>7</v>
      </c>
      <c r="DF22" s="68">
        <f t="shared" si="77"/>
        <v>7</v>
      </c>
      <c r="DG22" s="65">
        <f t="shared" si="78"/>
        <v>4231115.2302200003</v>
      </c>
      <c r="DH22" s="65">
        <f>RANK(DG22,$DG$5:$DG$57)</f>
        <v>1</v>
      </c>
      <c r="DI22" s="65">
        <v>17</v>
      </c>
      <c r="DJ22" s="86">
        <f t="shared" si="79"/>
        <v>0.87706855791962179</v>
      </c>
      <c r="DK22" s="94">
        <f t="shared" si="80"/>
        <v>0.2</v>
      </c>
      <c r="DL22" s="172">
        <f t="shared" si="81"/>
        <v>7</v>
      </c>
      <c r="DM22" s="65" t="str">
        <f t="shared" si="82"/>
        <v>7 (7)</v>
      </c>
      <c r="DN22" s="65" t="str">
        <f t="shared" si="83"/>
        <v>Greenall D</v>
      </c>
      <c r="DO22" s="68">
        <f t="shared" si="84"/>
        <v>7</v>
      </c>
      <c r="DP22" s="65" t="str">
        <f t="shared" si="85"/>
        <v>Greenall D</v>
      </c>
      <c r="DQ22" s="68">
        <f t="shared" si="86"/>
        <v>61</v>
      </c>
      <c r="DR22" s="65" t="str">
        <f t="shared" si="87"/>
        <v>Greenall D</v>
      </c>
      <c r="DS22" s="68">
        <f t="shared" si="88"/>
        <v>7</v>
      </c>
      <c r="DT22" s="65" t="str">
        <f t="shared" si="89"/>
        <v>Greenall D</v>
      </c>
    </row>
    <row r="23" spans="2:124" x14ac:dyDescent="0.15">
      <c r="B23" s="117" t="s">
        <v>292</v>
      </c>
      <c r="C23" s="117" t="s">
        <v>293</v>
      </c>
      <c r="D23" s="117"/>
      <c r="E23" s="117"/>
      <c r="F23" s="117"/>
      <c r="G23" s="117"/>
      <c r="H23" s="117"/>
      <c r="I23" s="117"/>
      <c r="J23"/>
      <c r="K23"/>
      <c r="L23"/>
      <c r="M23"/>
      <c r="N23"/>
      <c r="O23"/>
      <c r="P23"/>
      <c r="Q23"/>
      <c r="S23"/>
      <c r="T23"/>
      <c r="U23"/>
      <c r="V23"/>
      <c r="W23"/>
      <c r="X23"/>
      <c r="Y23"/>
      <c r="Z23"/>
      <c r="CE23" s="65" t="str">
        <f t="shared" si="0"/>
        <v>Hayes J</v>
      </c>
      <c r="CF23" s="65">
        <f t="shared" si="61"/>
        <v>0</v>
      </c>
      <c r="CG23" s="65">
        <f t="shared" si="62"/>
        <v>0</v>
      </c>
      <c r="CH23" s="65">
        <f t="shared" si="63"/>
        <v>0</v>
      </c>
      <c r="CI23" s="65">
        <f t="shared" si="64"/>
        <v>0</v>
      </c>
      <c r="CJ23" s="65">
        <f t="shared" si="65"/>
        <v>0</v>
      </c>
      <c r="CK23" s="69">
        <f t="shared" si="66"/>
        <v>0</v>
      </c>
      <c r="CL23" s="65">
        <f t="shared" si="67"/>
        <v>0</v>
      </c>
      <c r="CM23" s="67">
        <f t="shared" si="68"/>
        <v>0</v>
      </c>
      <c r="CN23" s="65">
        <f t="shared" si="69"/>
        <v>0</v>
      </c>
      <c r="CO23" s="68">
        <f t="array" ref="CO23">SUM(IF(ISERR(FIND("*",D23:CD23)),0,1))</f>
        <v>0</v>
      </c>
      <c r="CP23" s="68">
        <f t="array" ref="CP23">SUM(IF(ISERR(FIND("+",D23:CD23)),0,1))</f>
        <v>0</v>
      </c>
      <c r="CQ23" s="65">
        <f t="shared" si="70"/>
        <v>0</v>
      </c>
      <c r="CR23" s="68">
        <f t="array" ref="CR23">SUM(IF(ISERR(FIND(CR$4,$D23:$CD23)),0,1))</f>
        <v>0</v>
      </c>
      <c r="CS23" s="68">
        <f t="array" ref="CS23">SUM(IF(ISERR(FIND(CS$4,$D23:$CD23)),0,1))</f>
        <v>0</v>
      </c>
      <c r="CT23" s="68">
        <f t="array" ref="CT23">SUM(IF(ISERR(FIND(CT$4,$D23:$CD23)),0,1))</f>
        <v>0</v>
      </c>
      <c r="CU23" s="68">
        <f t="array" ref="CU23">SUM(IF(ISERR(FIND(CU$4,$D23:$CD23)),0,1))</f>
        <v>0</v>
      </c>
      <c r="CV23" s="68">
        <f t="array" ref="CV23">SUM(IF(ISERR(FIND(CV$4,$D23:$CD23)),0,1))</f>
        <v>0</v>
      </c>
      <c r="CW23" s="68">
        <f t="array" ref="CW23">SUM(IF(ISERR(FIND(CW$4,$D23:$CD23)),0,1))</f>
        <v>0</v>
      </c>
      <c r="CX23" s="68">
        <f t="array" ref="CX23">SUM(IF(ISERR(FIND(CX$4,$D23:$CD23)),0,1))</f>
        <v>0</v>
      </c>
      <c r="CY23" s="68">
        <f t="shared" si="71"/>
        <v>0</v>
      </c>
      <c r="CZ23" s="68">
        <f t="shared" si="12"/>
        <v>0</v>
      </c>
      <c r="DA23" s="68">
        <f t="shared" si="72"/>
        <v>0</v>
      </c>
      <c r="DB23" s="68">
        <f t="shared" si="73"/>
        <v>0</v>
      </c>
      <c r="DC23" s="68">
        <f t="shared" si="74"/>
        <v>0</v>
      </c>
      <c r="DD23" s="68">
        <f t="shared" si="75"/>
        <v>0</v>
      </c>
      <c r="DE23" s="68">
        <f t="shared" si="76"/>
        <v>0</v>
      </c>
      <c r="DF23" s="68">
        <f t="shared" si="77"/>
        <v>0</v>
      </c>
      <c r="DG23" s="65">
        <f t="shared" si="78"/>
        <v>2.3000000000000001E-4</v>
      </c>
      <c r="DH23" s="65">
        <f>RANK(DG23,$DG$5:$DG$57)</f>
        <v>50</v>
      </c>
      <c r="DI23" s="65">
        <v>18</v>
      </c>
      <c r="DJ23" s="86" t="str">
        <f t="shared" si="79"/>
        <v/>
      </c>
      <c r="DK23" s="94" t="e">
        <f t="shared" si="80"/>
        <v>#DIV/0!</v>
      </c>
      <c r="DL23" s="172">
        <f t="shared" si="81"/>
        <v>0</v>
      </c>
      <c r="DM23" s="65" t="str">
        <f t="shared" si="82"/>
        <v/>
      </c>
      <c r="DN23" s="65" t="str">
        <f t="shared" si="83"/>
        <v/>
      </c>
      <c r="DO23" s="68">
        <f t="shared" si="84"/>
        <v>0</v>
      </c>
      <c r="DP23" s="65" t="str">
        <f t="shared" si="85"/>
        <v/>
      </c>
      <c r="DQ23" s="68">
        <f t="shared" si="86"/>
        <v>0</v>
      </c>
      <c r="DR23" s="65" t="str">
        <f t="shared" si="87"/>
        <v/>
      </c>
      <c r="DS23" s="68">
        <f t="shared" si="88"/>
        <v>0</v>
      </c>
      <c r="DT23" s="65" t="str">
        <f t="shared" si="89"/>
        <v/>
      </c>
    </row>
    <row r="24" spans="2:124" x14ac:dyDescent="0.15">
      <c r="B24" s="117" t="s">
        <v>276</v>
      </c>
      <c r="C24" s="117" t="s">
        <v>277</v>
      </c>
      <c r="D24" s="117"/>
      <c r="E24" s="117"/>
      <c r="F24" s="117" t="s">
        <v>353</v>
      </c>
      <c r="G24" s="117"/>
      <c r="H24" s="117"/>
      <c r="I24" s="117" t="s">
        <v>403</v>
      </c>
      <c r="J24" t="s">
        <v>421</v>
      </c>
      <c r="K24"/>
      <c r="L24"/>
      <c r="M24"/>
      <c r="N24" t="s">
        <v>499</v>
      </c>
      <c r="O24" t="s">
        <v>515</v>
      </c>
      <c r="P24" t="s">
        <v>530</v>
      </c>
      <c r="Q24" t="s">
        <v>540</v>
      </c>
      <c r="S24"/>
      <c r="T24" t="s">
        <v>598</v>
      </c>
      <c r="U24" t="s">
        <v>620</v>
      </c>
      <c r="V24"/>
      <c r="W24"/>
      <c r="X24"/>
      <c r="Y24"/>
      <c r="Z24"/>
      <c r="CE24" s="117" t="str">
        <f t="shared" si="0"/>
        <v>Jenkins D</v>
      </c>
      <c r="CF24" s="65">
        <f t="shared" si="61"/>
        <v>9</v>
      </c>
      <c r="CG24" s="65">
        <f t="shared" si="62"/>
        <v>0</v>
      </c>
      <c r="CH24" s="65">
        <f t="shared" si="63"/>
        <v>9</v>
      </c>
      <c r="CI24" s="65">
        <f t="shared" si="64"/>
        <v>0</v>
      </c>
      <c r="CJ24" s="65">
        <f t="shared" si="65"/>
        <v>19</v>
      </c>
      <c r="CK24" s="69">
        <f t="shared" si="66"/>
        <v>19</v>
      </c>
      <c r="CL24" s="65">
        <f t="shared" si="67"/>
        <v>72</v>
      </c>
      <c r="CM24" s="67">
        <f t="shared" si="68"/>
        <v>8</v>
      </c>
      <c r="CN24" s="65">
        <f t="shared" si="69"/>
        <v>30</v>
      </c>
      <c r="CO24" s="68">
        <f t="array" ref="CO24">SUM(IF(ISERR(FIND("*",D24:CD24)),0,1))</f>
        <v>0</v>
      </c>
      <c r="CP24" s="68">
        <f t="array" ref="CP24">SUM(IF(ISERR(FIND("+",D24:CD24)),0,1))</f>
        <v>0</v>
      </c>
      <c r="CQ24" s="65">
        <f t="shared" si="70"/>
        <v>1</v>
      </c>
      <c r="CR24" s="68">
        <f t="array" ref="CR24">SUM(IF(ISERR(FIND(CR$4,$D24:$CD24)),0,1))</f>
        <v>3</v>
      </c>
      <c r="CS24" s="68">
        <f t="array" ref="CS24">SUM(IF(ISERR(FIND(CS$4,$D24:$CD24)),0,1))</f>
        <v>3</v>
      </c>
      <c r="CT24" s="68">
        <f t="array" ref="CT24">SUM(IF(ISERR(FIND(CT$4,$D24:$CD24)),0,1))</f>
        <v>2</v>
      </c>
      <c r="CU24" s="68">
        <f t="array" ref="CU24">SUM(IF(ISERR(FIND(CU$4,$D24:$CD24)),0,1))</f>
        <v>0</v>
      </c>
      <c r="CV24" s="68">
        <f t="array" ref="CV24">SUM(IF(ISERR(FIND(CV$4,$D24:$CD24)),0,1))</f>
        <v>1</v>
      </c>
      <c r="CW24" s="68">
        <f t="array" ref="CW24">SUM(IF(ISERR(FIND(CW$4,$D24:$CD24)),0,1))</f>
        <v>0</v>
      </c>
      <c r="CX24" s="68">
        <f t="array" ref="CX24">SUM(IF(ISERR(FIND(CX$4,$D24:$CD24)),0,1))</f>
        <v>0</v>
      </c>
      <c r="CY24" s="68">
        <f t="shared" si="71"/>
        <v>0</v>
      </c>
      <c r="CZ24" s="68">
        <f t="shared" si="12"/>
        <v>0</v>
      </c>
      <c r="DA24" s="68">
        <f t="shared" si="72"/>
        <v>6</v>
      </c>
      <c r="DB24" s="68">
        <f t="shared" si="73"/>
        <v>7</v>
      </c>
      <c r="DC24" s="68">
        <f t="shared" si="74"/>
        <v>0</v>
      </c>
      <c r="DD24" s="68">
        <f t="shared" si="75"/>
        <v>0</v>
      </c>
      <c r="DE24" s="68">
        <f t="shared" si="76"/>
        <v>0</v>
      </c>
      <c r="DF24" s="68">
        <f t="shared" si="77"/>
        <v>0</v>
      </c>
      <c r="DG24" s="65">
        <f t="shared" si="78"/>
        <v>800909.72023999994</v>
      </c>
      <c r="DH24" s="65">
        <f>RANK(DG24,$DG$5:$DG$57)</f>
        <v>18</v>
      </c>
      <c r="DI24" s="65">
        <v>19</v>
      </c>
      <c r="DJ24" s="86">
        <f t="shared" si="79"/>
        <v>1.7083333333333333</v>
      </c>
      <c r="DK24" s="94">
        <f t="shared" si="80"/>
        <v>0.1111111111111111</v>
      </c>
      <c r="DL24" s="172">
        <f t="shared" si="81"/>
        <v>6</v>
      </c>
      <c r="DM24" s="65" t="str">
        <f t="shared" si="82"/>
        <v>6</v>
      </c>
      <c r="DN24" s="65" t="str">
        <f t="shared" si="83"/>
        <v>Jenkins D</v>
      </c>
      <c r="DO24" s="68">
        <f t="shared" si="84"/>
        <v>0</v>
      </c>
      <c r="DP24" s="65" t="str">
        <f t="shared" si="85"/>
        <v/>
      </c>
      <c r="DQ24" s="68">
        <f t="shared" si="86"/>
        <v>7</v>
      </c>
      <c r="DR24" s="65" t="str">
        <f t="shared" si="87"/>
        <v>Jenkins D</v>
      </c>
      <c r="DS24" s="68">
        <f t="shared" si="88"/>
        <v>0</v>
      </c>
      <c r="DT24" s="65" t="str">
        <f t="shared" si="89"/>
        <v/>
      </c>
    </row>
    <row r="25" spans="2:124" x14ac:dyDescent="0.15">
      <c r="B25" s="117"/>
      <c r="C25" s="176" t="s">
        <v>339</v>
      </c>
      <c r="D25" s="117"/>
      <c r="E25" s="117" t="s">
        <v>340</v>
      </c>
      <c r="F25" s="117"/>
      <c r="G25" s="117"/>
      <c r="H25" s="117"/>
      <c r="I25" s="117"/>
      <c r="J25"/>
      <c r="K25"/>
      <c r="L25"/>
      <c r="M25"/>
      <c r="N25"/>
      <c r="O25"/>
      <c r="P25"/>
      <c r="Q25"/>
      <c r="S25"/>
      <c r="T25"/>
      <c r="U25"/>
      <c r="V25"/>
      <c r="W25"/>
      <c r="X25"/>
      <c r="Y25"/>
      <c r="Z25"/>
      <c r="CE25" s="117" t="str">
        <f t="shared" si="0"/>
        <v>Joshi</v>
      </c>
      <c r="CF25" s="65">
        <f t="shared" si="61"/>
        <v>1</v>
      </c>
      <c r="CG25" s="65">
        <f t="shared" si="62"/>
        <v>0</v>
      </c>
      <c r="CH25" s="65">
        <f t="shared" si="63"/>
        <v>1</v>
      </c>
      <c r="CI25" s="65">
        <f t="shared" si="64"/>
        <v>1</v>
      </c>
      <c r="CJ25" s="65">
        <f t="shared" si="65"/>
        <v>-6</v>
      </c>
      <c r="CK25" s="69" t="str">
        <f t="shared" si="66"/>
        <v>6*</v>
      </c>
      <c r="CL25" s="65">
        <f t="shared" si="67"/>
        <v>6</v>
      </c>
      <c r="CM25" s="67">
        <f t="shared" si="68"/>
        <v>0</v>
      </c>
      <c r="CN25" s="65">
        <f t="shared" si="69"/>
        <v>0</v>
      </c>
      <c r="CO25" s="68">
        <f t="array" ref="CO25">SUM(IF(ISERR(FIND("*",D25:CD25)),0,1))</f>
        <v>0</v>
      </c>
      <c r="CP25" s="68">
        <f t="array" ref="CP25">SUM(IF(ISERR(FIND("+",D25:CD25)),0,1))</f>
        <v>0</v>
      </c>
      <c r="CQ25" s="65">
        <f t="shared" si="70"/>
        <v>0</v>
      </c>
      <c r="CR25" s="68">
        <f t="array" ref="CR25">SUM(IF(ISERR(FIND(CR$4,$D25:$CD25)),0,1))</f>
        <v>0</v>
      </c>
      <c r="CS25" s="68">
        <f t="array" ref="CS25">SUM(IF(ISERR(FIND(CS$4,$D25:$CD25)),0,1))</f>
        <v>0</v>
      </c>
      <c r="CT25" s="68">
        <f t="array" ref="CT25">SUM(IF(ISERR(FIND(CT$4,$D25:$CD25)),0,1))</f>
        <v>0</v>
      </c>
      <c r="CU25" s="68">
        <f t="array" ref="CU25">SUM(IF(ISERR(FIND(CU$4,$D25:$CD25)),0,1))</f>
        <v>0</v>
      </c>
      <c r="CV25" s="68">
        <f t="array" ref="CV25">SUM(IF(ISERR(FIND(CV$4,$D25:$CD25)),0,1))</f>
        <v>0</v>
      </c>
      <c r="CW25" s="68">
        <f t="array" ref="CW25">SUM(IF(ISERR(FIND(CW$4,$D25:$CD25)),0,1))</f>
        <v>0</v>
      </c>
      <c r="CX25" s="68">
        <f t="array" ref="CX25">SUM(IF(ISERR(FIND(CX$4,$D25:$CD25)),0,1))</f>
        <v>0</v>
      </c>
      <c r="CY25" s="68">
        <f t="shared" si="71"/>
        <v>0</v>
      </c>
      <c r="CZ25" s="68">
        <f t="shared" si="12"/>
        <v>0</v>
      </c>
      <c r="DA25" s="68">
        <f t="shared" si="72"/>
        <v>0</v>
      </c>
      <c r="DB25" s="68">
        <f t="shared" si="73"/>
        <v>0</v>
      </c>
      <c r="DC25" s="68">
        <f t="shared" si="74"/>
        <v>0</v>
      </c>
      <c r="DD25" s="68">
        <f t="shared" si="75"/>
        <v>0</v>
      </c>
      <c r="DE25" s="68">
        <f t="shared" si="76"/>
        <v>0</v>
      </c>
      <c r="DF25" s="68">
        <f t="shared" si="77"/>
        <v>0</v>
      </c>
      <c r="DG25" s="65">
        <f t="shared" si="78"/>
        <v>101.06025</v>
      </c>
      <c r="DH25" s="65">
        <f>RANK(DG25,$DG$5:$DG$57)</f>
        <v>35</v>
      </c>
      <c r="DI25" s="65">
        <v>20</v>
      </c>
      <c r="DJ25" s="86" t="str">
        <f t="shared" si="79"/>
        <v/>
      </c>
      <c r="DK25" s="94" t="e">
        <f t="shared" si="80"/>
        <v>#DIV/0!</v>
      </c>
      <c r="DL25" s="172">
        <f t="shared" si="81"/>
        <v>0</v>
      </c>
      <c r="DM25" s="65" t="str">
        <f t="shared" si="82"/>
        <v/>
      </c>
      <c r="DN25" s="65" t="str">
        <f t="shared" si="83"/>
        <v/>
      </c>
      <c r="DO25" s="68">
        <f t="shared" si="84"/>
        <v>0</v>
      </c>
      <c r="DP25" s="65" t="str">
        <f t="shared" si="85"/>
        <v/>
      </c>
      <c r="DQ25" s="68">
        <f t="shared" si="86"/>
        <v>0</v>
      </c>
      <c r="DR25" s="65" t="str">
        <f t="shared" si="87"/>
        <v/>
      </c>
      <c r="DS25" s="68">
        <f t="shared" si="88"/>
        <v>0</v>
      </c>
      <c r="DT25" s="65" t="str">
        <f t="shared" si="89"/>
        <v/>
      </c>
    </row>
    <row r="26" spans="2:124" x14ac:dyDescent="0.15">
      <c r="B26" s="117"/>
      <c r="C26" s="176" t="s">
        <v>451</v>
      </c>
      <c r="D26" s="117"/>
      <c r="E26" s="117"/>
      <c r="F26" s="117"/>
      <c r="G26" s="117"/>
      <c r="H26" s="117"/>
      <c r="I26" s="117"/>
      <c r="J26"/>
      <c r="K26"/>
      <c r="L26" t="s">
        <v>452</v>
      </c>
      <c r="M26"/>
      <c r="N26"/>
      <c r="O26"/>
      <c r="P26"/>
      <c r="Q26"/>
      <c r="S26"/>
      <c r="T26"/>
      <c r="U26"/>
      <c r="V26"/>
      <c r="W26"/>
      <c r="X26"/>
      <c r="Y26"/>
      <c r="Z26"/>
      <c r="CE26" s="65" t="str">
        <f t="shared" si="0"/>
        <v>Khalid M</v>
      </c>
      <c r="CF26" s="65">
        <f t="shared" si="61"/>
        <v>1</v>
      </c>
      <c r="CG26" s="65">
        <f t="shared" si="62"/>
        <v>0</v>
      </c>
      <c r="CH26" s="65">
        <f t="shared" si="63"/>
        <v>1</v>
      </c>
      <c r="CI26" s="65">
        <f t="shared" si="64"/>
        <v>0</v>
      </c>
      <c r="CJ26" s="65">
        <f t="shared" si="65"/>
        <v>15</v>
      </c>
      <c r="CK26" s="69">
        <f t="shared" si="66"/>
        <v>15</v>
      </c>
      <c r="CL26" s="65">
        <f t="shared" si="67"/>
        <v>15</v>
      </c>
      <c r="CM26" s="67">
        <f t="shared" si="68"/>
        <v>15</v>
      </c>
      <c r="CN26" s="65">
        <f t="shared" si="69"/>
        <v>0</v>
      </c>
      <c r="CO26" s="68">
        <f t="array" ref="CO26">SUM(IF(ISERR(FIND("*",D26:CD26)),0,1))</f>
        <v>0</v>
      </c>
      <c r="CP26" s="68">
        <f t="array" ref="CP26">SUM(IF(ISERR(FIND("+",D26:CD26)),0,1))</f>
        <v>0</v>
      </c>
      <c r="CQ26" s="65">
        <f t="shared" si="70"/>
        <v>0</v>
      </c>
      <c r="CR26" s="68">
        <f t="array" ref="CR26">SUM(IF(ISERR(FIND(CR$4,$D26:$CD26)),0,1))</f>
        <v>0</v>
      </c>
      <c r="CS26" s="68">
        <f t="array" ref="CS26">SUM(IF(ISERR(FIND(CS$4,$D26:$CD26)),0,1))</f>
        <v>1</v>
      </c>
      <c r="CT26" s="68">
        <f t="array" ref="CT26">SUM(IF(ISERR(FIND(CT$4,$D26:$CD26)),0,1))</f>
        <v>0</v>
      </c>
      <c r="CU26" s="68">
        <f t="array" ref="CU26">SUM(IF(ISERR(FIND(CU$4,$D26:$CD26)),0,1))</f>
        <v>0</v>
      </c>
      <c r="CV26" s="68">
        <f t="array" ref="CV26">SUM(IF(ISERR(FIND(CV$4,$D26:$CD26)),0,1))</f>
        <v>0</v>
      </c>
      <c r="CW26" s="68">
        <f t="array" ref="CW26">SUM(IF(ISERR(FIND(CW$4,$D26:$CD26)),0,1))</f>
        <v>0</v>
      </c>
      <c r="CX26" s="68">
        <f t="array" ref="CX26">SUM(IF(ISERR(FIND(CX$4,$D26:$CD26)),0,1))</f>
        <v>0</v>
      </c>
      <c r="CY26" s="68">
        <f t="shared" si="71"/>
        <v>0</v>
      </c>
      <c r="CZ26" s="68">
        <f t="shared" si="12"/>
        <v>0</v>
      </c>
      <c r="DA26" s="68">
        <f t="shared" si="72"/>
        <v>0</v>
      </c>
      <c r="DB26" s="68">
        <f t="shared" si="73"/>
        <v>2</v>
      </c>
      <c r="DC26" s="68">
        <f t="shared" si="74"/>
        <v>0</v>
      </c>
      <c r="DD26" s="68">
        <f t="shared" si="75"/>
        <v>0</v>
      </c>
      <c r="DE26" s="68">
        <f t="shared" si="76"/>
        <v>0</v>
      </c>
      <c r="DF26" s="68">
        <f t="shared" si="77"/>
        <v>0</v>
      </c>
      <c r="DG26" s="65">
        <f t="shared" si="78"/>
        <v>1500101.1502599998</v>
      </c>
      <c r="DH26" s="65">
        <f>RANK(DG26,$DG$5:$DG$57)</f>
        <v>12</v>
      </c>
      <c r="DI26" s="65">
        <v>21</v>
      </c>
      <c r="DJ26" s="86" t="str">
        <f t="shared" si="79"/>
        <v/>
      </c>
      <c r="DK26" s="94">
        <f t="shared" si="80"/>
        <v>0</v>
      </c>
      <c r="DL26" s="172">
        <f t="shared" si="81"/>
        <v>0</v>
      </c>
      <c r="DM26" s="65" t="str">
        <f t="shared" si="82"/>
        <v/>
      </c>
      <c r="DN26" s="65" t="str">
        <f t="shared" si="83"/>
        <v/>
      </c>
      <c r="DO26" s="68">
        <f t="shared" si="84"/>
        <v>0</v>
      </c>
      <c r="DP26" s="65" t="str">
        <f t="shared" si="85"/>
        <v/>
      </c>
      <c r="DQ26" s="68">
        <f t="shared" si="86"/>
        <v>2</v>
      </c>
      <c r="DR26" s="65" t="str">
        <f t="shared" si="87"/>
        <v>Khalid M</v>
      </c>
      <c r="DS26" s="68">
        <f t="shared" si="88"/>
        <v>0</v>
      </c>
      <c r="DT26" s="65" t="str">
        <f t="shared" si="89"/>
        <v/>
      </c>
    </row>
    <row r="27" spans="2:124" x14ac:dyDescent="0.15">
      <c r="B27" s="117" t="s">
        <v>206</v>
      </c>
      <c r="C27" s="117" t="s">
        <v>284</v>
      </c>
      <c r="D27" s="117"/>
      <c r="E27" s="117"/>
      <c r="F27" s="117"/>
      <c r="G27" s="117"/>
      <c r="H27" s="117"/>
      <c r="I27" s="117"/>
      <c r="J27"/>
      <c r="K27" t="s">
        <v>320</v>
      </c>
      <c r="L27"/>
      <c r="M27"/>
      <c r="N27"/>
      <c r="O27"/>
      <c r="P27"/>
      <c r="Q27"/>
      <c r="R27"/>
      <c r="S27"/>
      <c r="T27"/>
      <c r="U27"/>
      <c r="V27"/>
      <c r="W27"/>
      <c r="X27"/>
      <c r="CE27" s="65" t="str">
        <f t="shared" si="0"/>
        <v>Khan W</v>
      </c>
      <c r="CF27" s="65">
        <f t="shared" si="61"/>
        <v>1</v>
      </c>
      <c r="CG27" s="65">
        <f t="shared" si="62"/>
        <v>0</v>
      </c>
      <c r="CH27" s="65">
        <f t="shared" si="63"/>
        <v>1</v>
      </c>
      <c r="CI27" s="65">
        <f t="shared" si="64"/>
        <v>0</v>
      </c>
      <c r="CJ27" s="65">
        <f t="shared" si="65"/>
        <v>0</v>
      </c>
      <c r="CK27" s="69">
        <f t="shared" si="66"/>
        <v>0</v>
      </c>
      <c r="CL27" s="65">
        <f t="shared" si="67"/>
        <v>0</v>
      </c>
      <c r="CM27" s="67">
        <f t="shared" si="68"/>
        <v>0</v>
      </c>
      <c r="CN27" s="65">
        <f t="shared" si="69"/>
        <v>0</v>
      </c>
      <c r="CO27" s="68">
        <f t="array" ref="CO27">SUM(IF(ISERR(FIND("*",D27:CD27)),0,1))</f>
        <v>0</v>
      </c>
      <c r="CP27" s="68">
        <f t="array" ref="CP27">SUM(IF(ISERR(FIND("+",D27:CD27)),0,1))</f>
        <v>0</v>
      </c>
      <c r="CQ27" s="65">
        <f t="shared" si="70"/>
        <v>1</v>
      </c>
      <c r="CR27" s="68">
        <f t="array" ref="CR27">SUM(IF(ISERR(FIND(CR$4,$D27:$CD27)),0,1))</f>
        <v>1</v>
      </c>
      <c r="CS27" s="68">
        <f t="array" ref="CS27">SUM(IF(ISERR(FIND(CS$4,$D27:$CD27)),0,1))</f>
        <v>0</v>
      </c>
      <c r="CT27" s="68">
        <f t="array" ref="CT27">SUM(IF(ISERR(FIND(CT$4,$D27:$CD27)),0,1))</f>
        <v>0</v>
      </c>
      <c r="CU27" s="68">
        <f t="array" ref="CU27">SUM(IF(ISERR(FIND(CU$4,$D27:$CD27)),0,1))</f>
        <v>0</v>
      </c>
      <c r="CV27" s="68">
        <f t="array" ref="CV27">SUM(IF(ISERR(FIND(CV$4,$D27:$CD27)),0,1))</f>
        <v>0</v>
      </c>
      <c r="CW27" s="68">
        <f t="array" ref="CW27">SUM(IF(ISERR(FIND(CW$4,$D27:$CD27)),0,1))</f>
        <v>0</v>
      </c>
      <c r="CX27" s="68">
        <f t="array" ref="CX27">SUM(IF(ISERR(FIND(CX$4,$D27:$CD27)),0,1))</f>
        <v>0</v>
      </c>
      <c r="CY27" s="68">
        <f t="shared" si="71"/>
        <v>0</v>
      </c>
      <c r="CZ27" s="68">
        <f t="shared" si="12"/>
        <v>0</v>
      </c>
      <c r="DA27" s="68">
        <f t="shared" si="72"/>
        <v>0</v>
      </c>
      <c r="DB27" s="68">
        <f t="shared" si="73"/>
        <v>0</v>
      </c>
      <c r="DC27" s="68">
        <f t="shared" si="74"/>
        <v>0</v>
      </c>
      <c r="DD27" s="68">
        <f t="shared" si="75"/>
        <v>0</v>
      </c>
      <c r="DE27" s="68">
        <f t="shared" si="76"/>
        <v>0</v>
      </c>
      <c r="DF27" s="68">
        <f t="shared" si="77"/>
        <v>0</v>
      </c>
      <c r="DG27" s="65">
        <f t="shared" si="78"/>
        <v>101.00027</v>
      </c>
      <c r="DH27" s="65">
        <f>RANK(DG27,$DG$5:$DG$57)</f>
        <v>38</v>
      </c>
      <c r="DI27" s="65">
        <v>22</v>
      </c>
      <c r="DJ27" s="86" t="str">
        <f t="shared" si="79"/>
        <v/>
      </c>
      <c r="DK27" s="94">
        <f t="shared" si="80"/>
        <v>1</v>
      </c>
      <c r="DL27" s="172">
        <f t="shared" si="81"/>
        <v>0</v>
      </c>
      <c r="DM27" s="65" t="str">
        <f t="shared" si="82"/>
        <v/>
      </c>
      <c r="DN27" s="65" t="str">
        <f t="shared" si="83"/>
        <v/>
      </c>
      <c r="DO27" s="68">
        <f t="shared" si="84"/>
        <v>0</v>
      </c>
      <c r="DP27" s="65" t="str">
        <f t="shared" si="85"/>
        <v/>
      </c>
      <c r="DQ27" s="68">
        <f t="shared" si="86"/>
        <v>0</v>
      </c>
      <c r="DR27" s="65" t="str">
        <f t="shared" si="87"/>
        <v/>
      </c>
      <c r="DS27" s="68">
        <f t="shared" si="88"/>
        <v>0</v>
      </c>
      <c r="DT27" s="65" t="str">
        <f t="shared" si="89"/>
        <v/>
      </c>
    </row>
    <row r="28" spans="2:124" x14ac:dyDescent="0.15">
      <c r="B28" s="65" t="s">
        <v>192</v>
      </c>
      <c r="C28" s="65" t="s">
        <v>191</v>
      </c>
      <c r="D28"/>
      <c r="F28"/>
      <c r="G28"/>
      <c r="H28"/>
      <c r="I28"/>
      <c r="J28"/>
      <c r="K28"/>
      <c r="L28" s="117"/>
      <c r="M28"/>
      <c r="N28"/>
      <c r="O28"/>
      <c r="P28"/>
      <c r="Q28"/>
      <c r="R28"/>
      <c r="S28"/>
      <c r="T28"/>
      <c r="U28"/>
      <c r="V28"/>
      <c r="W28"/>
      <c r="X28"/>
      <c r="CE28" s="65" t="str">
        <f t="shared" ref="CE28:CE29" si="92">C28</f>
        <v>Kiernan M</v>
      </c>
      <c r="CF28" s="65">
        <f t="shared" si="61"/>
        <v>0</v>
      </c>
      <c r="CG28" s="65">
        <f t="shared" si="62"/>
        <v>0</v>
      </c>
      <c r="CH28" s="65">
        <f t="shared" si="63"/>
        <v>0</v>
      </c>
      <c r="CI28" s="65">
        <f t="shared" si="64"/>
        <v>0</v>
      </c>
      <c r="CJ28" s="65">
        <f t="shared" si="65"/>
        <v>0</v>
      </c>
      <c r="CK28" s="69">
        <f t="shared" si="66"/>
        <v>0</v>
      </c>
      <c r="CL28" s="65">
        <f t="shared" si="67"/>
        <v>0</v>
      </c>
      <c r="CM28" s="67">
        <f t="shared" si="68"/>
        <v>0</v>
      </c>
      <c r="CN28" s="65">
        <f t="shared" si="69"/>
        <v>0</v>
      </c>
      <c r="CO28" s="68">
        <f t="array" ref="CO28">SUM(IF(ISERR(FIND("*",D28:CD28)),0,1))</f>
        <v>0</v>
      </c>
      <c r="CP28" s="68">
        <f t="array" ref="CP28">SUM(IF(ISERR(FIND("+",D28:CD28)),0,1))</f>
        <v>0</v>
      </c>
      <c r="CQ28" s="65">
        <f t="shared" si="70"/>
        <v>0</v>
      </c>
      <c r="CR28" s="68">
        <f t="array" ref="CR28">SUM(IF(ISERR(FIND(CR$4,$D28:$CD28)),0,1))</f>
        <v>0</v>
      </c>
      <c r="CS28" s="68">
        <f t="array" ref="CS28">SUM(IF(ISERR(FIND(CS$4,$D28:$CD28)),0,1))</f>
        <v>0</v>
      </c>
      <c r="CT28" s="68">
        <f t="array" ref="CT28">SUM(IF(ISERR(FIND(CT$4,$D28:$CD28)),0,1))</f>
        <v>0</v>
      </c>
      <c r="CU28" s="68">
        <f t="array" ref="CU28">SUM(IF(ISERR(FIND(CU$4,$D28:$CD28)),0,1))</f>
        <v>0</v>
      </c>
      <c r="CV28" s="68">
        <f t="array" ref="CV28">SUM(IF(ISERR(FIND(CV$4,$D28:$CD28)),0,1))</f>
        <v>0</v>
      </c>
      <c r="CW28" s="68">
        <f t="array" ref="CW28">SUM(IF(ISERR(FIND(CW$4,$D28:$CD28)),0,1))</f>
        <v>0</v>
      </c>
      <c r="CX28" s="68">
        <f t="array" ref="CX28">SUM(IF(ISERR(FIND(CX$4,$D28:$CD28)),0,1))</f>
        <v>0</v>
      </c>
      <c r="CY28" s="68">
        <f t="shared" si="71"/>
        <v>0</v>
      </c>
      <c r="CZ28" s="68">
        <f t="shared" si="12"/>
        <v>0</v>
      </c>
      <c r="DA28" s="68">
        <f t="shared" si="72"/>
        <v>0</v>
      </c>
      <c r="DB28" s="68">
        <f t="shared" si="73"/>
        <v>0</v>
      </c>
      <c r="DC28" s="68">
        <f t="shared" si="74"/>
        <v>0</v>
      </c>
      <c r="DD28" s="68">
        <f t="shared" si="75"/>
        <v>0</v>
      </c>
      <c r="DE28" s="68">
        <f t="shared" si="76"/>
        <v>0</v>
      </c>
      <c r="DF28" s="68">
        <f t="shared" si="77"/>
        <v>0</v>
      </c>
      <c r="DG28" s="65">
        <f t="shared" si="78"/>
        <v>2.7999999999999998E-4</v>
      </c>
      <c r="DH28" s="65">
        <f>RANK(DG28,$DG$5:$DG$57)</f>
        <v>49</v>
      </c>
      <c r="DI28" s="65">
        <v>23</v>
      </c>
      <c r="DJ28" s="86" t="str">
        <f t="shared" si="79"/>
        <v/>
      </c>
      <c r="DK28" s="94" t="e">
        <f t="shared" si="80"/>
        <v>#DIV/0!</v>
      </c>
      <c r="DL28" s="172">
        <f t="shared" si="81"/>
        <v>0</v>
      </c>
      <c r="DM28" s="65" t="str">
        <f t="shared" si="82"/>
        <v/>
      </c>
      <c r="DN28" s="65" t="str">
        <f t="shared" si="83"/>
        <v/>
      </c>
      <c r="DO28" s="68">
        <f t="shared" si="84"/>
        <v>0</v>
      </c>
      <c r="DP28" s="65" t="str">
        <f t="shared" si="85"/>
        <v/>
      </c>
      <c r="DQ28" s="68">
        <f t="shared" si="86"/>
        <v>0</v>
      </c>
      <c r="DR28" s="65" t="str">
        <f t="shared" si="87"/>
        <v/>
      </c>
      <c r="DS28" s="68">
        <f t="shared" si="88"/>
        <v>0</v>
      </c>
      <c r="DT28" s="65" t="str">
        <f t="shared" si="89"/>
        <v/>
      </c>
    </row>
    <row r="29" spans="2:124" x14ac:dyDescent="0.15">
      <c r="C29" s="117" t="s">
        <v>517</v>
      </c>
      <c r="D29"/>
      <c r="F29"/>
      <c r="G29"/>
      <c r="H29"/>
      <c r="I29"/>
      <c r="J29"/>
      <c r="K29"/>
      <c r="L29" s="117"/>
      <c r="M29"/>
      <c r="N29"/>
      <c r="O29" t="s">
        <v>518</v>
      </c>
      <c r="P29"/>
      <c r="Q29"/>
      <c r="R29"/>
      <c r="S29"/>
      <c r="T29"/>
      <c r="U29"/>
      <c r="V29"/>
      <c r="W29"/>
      <c r="X29"/>
      <c r="CE29" s="117" t="str">
        <f t="shared" si="92"/>
        <v>Laskar T</v>
      </c>
      <c r="CF29" s="65">
        <f t="shared" si="61"/>
        <v>1</v>
      </c>
      <c r="CG29" s="65">
        <f t="shared" si="62"/>
        <v>0</v>
      </c>
      <c r="CH29" s="65">
        <f t="shared" si="63"/>
        <v>1</v>
      </c>
      <c r="CI29" s="65">
        <f t="shared" si="64"/>
        <v>0</v>
      </c>
      <c r="CJ29" s="65">
        <f t="shared" si="65"/>
        <v>0</v>
      </c>
      <c r="CK29" s="69">
        <f t="shared" si="66"/>
        <v>0</v>
      </c>
      <c r="CL29" s="65">
        <f t="shared" si="67"/>
        <v>0</v>
      </c>
      <c r="CM29" s="67">
        <f t="shared" si="68"/>
        <v>0</v>
      </c>
      <c r="CN29" s="65">
        <f t="shared" si="69"/>
        <v>0</v>
      </c>
      <c r="CO29" s="68">
        <f t="array" ref="CO29">SUM(IF(ISERR(FIND("*",D29:CD29)),0,1))</f>
        <v>0</v>
      </c>
      <c r="CP29" s="68">
        <f t="array" ref="CP29">SUM(IF(ISERR(FIND("+",D29:CD29)),0,1))</f>
        <v>0</v>
      </c>
      <c r="CQ29" s="65">
        <f t="shared" si="70"/>
        <v>1</v>
      </c>
      <c r="CR29" s="68">
        <f t="array" ref="CR29">SUM(IF(ISERR(FIND(CR$4,$D29:$CD29)),0,1))</f>
        <v>1</v>
      </c>
      <c r="CS29" s="68">
        <f t="array" ref="CS29">SUM(IF(ISERR(FIND(CS$4,$D29:$CD29)),0,1))</f>
        <v>0</v>
      </c>
      <c r="CT29" s="68">
        <f t="array" ref="CT29">SUM(IF(ISERR(FIND(CT$4,$D29:$CD29)),0,1))</f>
        <v>0</v>
      </c>
      <c r="CU29" s="68">
        <f t="array" ref="CU29">SUM(IF(ISERR(FIND(CU$4,$D29:$CD29)),0,1))</f>
        <v>0</v>
      </c>
      <c r="CV29" s="68">
        <f t="array" ref="CV29">SUM(IF(ISERR(FIND(CV$4,$D29:$CD29)),0,1))</f>
        <v>0</v>
      </c>
      <c r="CW29" s="68">
        <f t="array" ref="CW29">SUM(IF(ISERR(FIND(CW$4,$D29:$CD29)),0,1))</f>
        <v>0</v>
      </c>
      <c r="CX29" s="68">
        <f t="array" ref="CX29">SUM(IF(ISERR(FIND(CX$4,$D29:$CD29)),0,1))</f>
        <v>0</v>
      </c>
      <c r="CY29" s="68">
        <f t="shared" si="71"/>
        <v>0</v>
      </c>
      <c r="CZ29" s="68">
        <f t="shared" si="12"/>
        <v>0</v>
      </c>
      <c r="DA29" s="68">
        <f t="shared" si="72"/>
        <v>0</v>
      </c>
      <c r="DB29" s="68">
        <f t="shared" si="73"/>
        <v>0</v>
      </c>
      <c r="DC29" s="68">
        <f t="shared" si="74"/>
        <v>0</v>
      </c>
      <c r="DD29" s="68">
        <f t="shared" si="75"/>
        <v>0</v>
      </c>
      <c r="DE29" s="68">
        <f t="shared" si="76"/>
        <v>0</v>
      </c>
      <c r="DF29" s="68">
        <f t="shared" si="77"/>
        <v>0</v>
      </c>
      <c r="DG29" s="65">
        <f t="shared" si="78"/>
        <v>101.00029000000001</v>
      </c>
      <c r="DH29" s="65">
        <f>RANK(DG29,$DG$5:$DG$57)</f>
        <v>37</v>
      </c>
      <c r="DI29" s="65">
        <v>24</v>
      </c>
      <c r="DJ29" s="86" t="str">
        <f t="shared" si="79"/>
        <v/>
      </c>
      <c r="DK29" s="94">
        <f t="shared" si="80"/>
        <v>1</v>
      </c>
      <c r="DL29" s="172">
        <f t="shared" si="81"/>
        <v>0</v>
      </c>
      <c r="DM29" s="65" t="str">
        <f t="shared" si="82"/>
        <v/>
      </c>
      <c r="DN29" s="65" t="str">
        <f t="shared" si="83"/>
        <v/>
      </c>
      <c r="DO29" s="68">
        <f t="shared" si="84"/>
        <v>0</v>
      </c>
      <c r="DP29" s="65" t="str">
        <f t="shared" si="85"/>
        <v/>
      </c>
      <c r="DQ29" s="68">
        <f t="shared" si="86"/>
        <v>0</v>
      </c>
      <c r="DR29" s="65" t="str">
        <f t="shared" si="87"/>
        <v/>
      </c>
      <c r="DS29" s="68">
        <f t="shared" si="88"/>
        <v>0</v>
      </c>
      <c r="DT29" s="65" t="str">
        <f t="shared" si="89"/>
        <v/>
      </c>
    </row>
    <row r="30" spans="2:124" x14ac:dyDescent="0.15">
      <c r="B30" s="117" t="s">
        <v>270</v>
      </c>
      <c r="C30" s="117" t="s">
        <v>165</v>
      </c>
      <c r="D30"/>
      <c r="E30" s="117" t="s">
        <v>253</v>
      </c>
      <c r="F30"/>
      <c r="G30"/>
      <c r="H30"/>
      <c r="I30"/>
      <c r="J30"/>
      <c r="K30"/>
      <c r="L30" s="117"/>
      <c r="M30" t="s">
        <v>476</v>
      </c>
      <c r="N30"/>
      <c r="O30"/>
      <c r="P30"/>
      <c r="Q30"/>
      <c r="R30"/>
      <c r="S30"/>
      <c r="T30"/>
      <c r="U30" t="s">
        <v>621</v>
      </c>
      <c r="V30"/>
      <c r="W30"/>
      <c r="X30" t="s">
        <v>227</v>
      </c>
      <c r="CE30" s="65" t="str">
        <f t="shared" si="0"/>
        <v>Lestrelle A</v>
      </c>
      <c r="CF30" s="65">
        <f t="shared" si="61"/>
        <v>4</v>
      </c>
      <c r="CG30" s="65">
        <f t="shared" si="62"/>
        <v>2</v>
      </c>
      <c r="CH30" s="65">
        <f t="shared" si="63"/>
        <v>2</v>
      </c>
      <c r="CI30" s="65">
        <f t="shared" si="64"/>
        <v>0</v>
      </c>
      <c r="CJ30" s="65">
        <f t="shared" si="65"/>
        <v>4</v>
      </c>
      <c r="CK30" s="69">
        <f t="shared" si="66"/>
        <v>4</v>
      </c>
      <c r="CL30" s="65">
        <f t="shared" si="67"/>
        <v>5</v>
      </c>
      <c r="CM30" s="67">
        <f t="shared" si="68"/>
        <v>2.5</v>
      </c>
      <c r="CN30" s="65">
        <f t="shared" si="69"/>
        <v>5</v>
      </c>
      <c r="CO30" s="68">
        <f t="array" ref="CO30">SUM(IF(ISERR(FIND("*",D30:CD30)),0,1))</f>
        <v>0</v>
      </c>
      <c r="CP30" s="68">
        <f t="array" ref="CP30">SUM(IF(ISERR(FIND("+",D30:CD30)),0,1))</f>
        <v>0</v>
      </c>
      <c r="CQ30" s="65">
        <f t="shared" si="70"/>
        <v>0</v>
      </c>
      <c r="CR30" s="68">
        <f t="array" ref="CR30">SUM(IF(ISERR(FIND(CR$4,$D30:$CD30)),0,1))</f>
        <v>2</v>
      </c>
      <c r="CS30" s="68">
        <f t="array" ref="CS30">SUM(IF(ISERR(FIND(CS$4,$D30:$CD30)),0,1))</f>
        <v>0</v>
      </c>
      <c r="CT30" s="68">
        <f t="array" ref="CT30">SUM(IF(ISERR(FIND(CT$4,$D30:$CD30)),0,1))</f>
        <v>0</v>
      </c>
      <c r="CU30" s="68">
        <f t="array" ref="CU30">SUM(IF(ISERR(FIND(CU$4,$D30:$CD30)),0,1))</f>
        <v>0</v>
      </c>
      <c r="CV30" s="68">
        <f t="array" ref="CV30">SUM(IF(ISERR(FIND(CV$4,$D30:$CD30)),0,1))</f>
        <v>0</v>
      </c>
      <c r="CW30" s="68">
        <f t="array" ref="CW30">SUM(IF(ISERR(FIND(CW$4,$D30:$CD30)),0,1))</f>
        <v>0</v>
      </c>
      <c r="CX30" s="68">
        <f t="array" ref="CX30">SUM(IF(ISERR(FIND(CX$4,$D30:$CD30)),0,1))</f>
        <v>0</v>
      </c>
      <c r="CY30" s="68">
        <f t="shared" si="71"/>
        <v>0</v>
      </c>
      <c r="CZ30" s="68">
        <f t="shared" si="12"/>
        <v>0</v>
      </c>
      <c r="DA30" s="68">
        <f t="shared" si="72"/>
        <v>1</v>
      </c>
      <c r="DB30" s="68">
        <f t="shared" si="73"/>
        <v>0</v>
      </c>
      <c r="DC30" s="68">
        <f t="shared" si="74"/>
        <v>0</v>
      </c>
      <c r="DD30" s="68">
        <f t="shared" si="75"/>
        <v>0</v>
      </c>
      <c r="DE30" s="68">
        <f t="shared" si="76"/>
        <v>0</v>
      </c>
      <c r="DF30" s="68">
        <f t="shared" si="77"/>
        <v>0</v>
      </c>
      <c r="DG30" s="65">
        <f t="shared" si="78"/>
        <v>250204.0503</v>
      </c>
      <c r="DH30" s="65">
        <f>RANK(DG30,$DG$5:$DG$57)</f>
        <v>28</v>
      </c>
      <c r="DI30" s="65">
        <v>25</v>
      </c>
      <c r="DJ30" s="86" t="str">
        <f t="shared" si="79"/>
        <v/>
      </c>
      <c r="DK30" s="94">
        <f t="shared" si="80"/>
        <v>0</v>
      </c>
      <c r="DL30" s="172">
        <f t="shared" si="81"/>
        <v>1</v>
      </c>
      <c r="DM30" s="65" t="str">
        <f t="shared" si="82"/>
        <v>1</v>
      </c>
      <c r="DN30" s="65" t="str">
        <f t="shared" si="83"/>
        <v>Lestrelle A</v>
      </c>
      <c r="DO30" s="68">
        <f t="shared" si="84"/>
        <v>0</v>
      </c>
      <c r="DP30" s="65" t="str">
        <f t="shared" si="85"/>
        <v/>
      </c>
      <c r="DQ30" s="68">
        <f t="shared" si="86"/>
        <v>0</v>
      </c>
      <c r="DR30" s="65" t="str">
        <f t="shared" si="87"/>
        <v/>
      </c>
      <c r="DS30" s="68">
        <f t="shared" si="88"/>
        <v>0</v>
      </c>
      <c r="DT30" s="65" t="str">
        <f t="shared" si="89"/>
        <v/>
      </c>
    </row>
    <row r="31" spans="2:124" x14ac:dyDescent="0.15">
      <c r="B31" s="117" t="s">
        <v>246</v>
      </c>
      <c r="C31" s="117" t="s">
        <v>268</v>
      </c>
      <c r="D31"/>
      <c r="F31" t="s">
        <v>302</v>
      </c>
      <c r="G31"/>
      <c r="H31"/>
      <c r="I31"/>
      <c r="J31"/>
      <c r="K31"/>
      <c r="L31" s="117"/>
      <c r="M31"/>
      <c r="N31"/>
      <c r="O31" t="s">
        <v>512</v>
      </c>
      <c r="P31"/>
      <c r="Q31"/>
      <c r="R31"/>
      <c r="S31"/>
      <c r="T31"/>
      <c r="U31"/>
      <c r="V31"/>
      <c r="W31"/>
      <c r="X31"/>
      <c r="CE31" s="65" t="str">
        <f t="shared" si="0"/>
        <v>Lewis I</v>
      </c>
      <c r="CF31" s="65">
        <f t="shared" si="61"/>
        <v>2</v>
      </c>
      <c r="CG31" s="65">
        <f t="shared" si="62"/>
        <v>0</v>
      </c>
      <c r="CH31" s="65">
        <f t="shared" si="63"/>
        <v>2</v>
      </c>
      <c r="CI31" s="65">
        <f t="shared" si="64"/>
        <v>1</v>
      </c>
      <c r="CJ31" s="65">
        <f t="shared" si="65"/>
        <v>10</v>
      </c>
      <c r="CK31" s="69">
        <f t="shared" si="66"/>
        <v>10</v>
      </c>
      <c r="CL31" s="65">
        <f t="shared" si="67"/>
        <v>11</v>
      </c>
      <c r="CM31" s="67">
        <f t="shared" si="68"/>
        <v>11</v>
      </c>
      <c r="CN31" s="65">
        <f t="shared" si="69"/>
        <v>0</v>
      </c>
      <c r="CO31" s="68">
        <f t="array" ref="CO31">SUM(IF(ISERR(FIND("*",D31:CD31)),0,1))</f>
        <v>0</v>
      </c>
      <c r="CP31" s="68">
        <f t="array" ref="CP31">SUM(IF(ISERR(FIND("+",D31:CD31)),0,1))</f>
        <v>0</v>
      </c>
      <c r="CQ31" s="65">
        <f t="shared" si="70"/>
        <v>0</v>
      </c>
      <c r="CR31" s="68">
        <f t="array" ref="CR31">SUM(IF(ISERR(FIND(CR$4,$D31:$CD31)),0,1))</f>
        <v>1</v>
      </c>
      <c r="CS31" s="68">
        <f t="array" ref="CS31">SUM(IF(ISERR(FIND(CS$4,$D31:$CD31)),0,1))</f>
        <v>0</v>
      </c>
      <c r="CT31" s="68">
        <f t="array" ref="CT31">SUM(IF(ISERR(FIND(CT$4,$D31:$CD31)),0,1))</f>
        <v>0</v>
      </c>
      <c r="CU31" s="68">
        <f t="array" ref="CU31">SUM(IF(ISERR(FIND(CU$4,$D31:$CD31)),0,1))</f>
        <v>0</v>
      </c>
      <c r="CV31" s="68">
        <f t="array" ref="CV31">SUM(IF(ISERR(FIND(CV$4,$D31:$CD31)),0,1))</f>
        <v>0</v>
      </c>
      <c r="CW31" s="68">
        <f t="array" ref="CW31">SUM(IF(ISERR(FIND(CW$4,$D31:$CD31)),0,1))</f>
        <v>0</v>
      </c>
      <c r="CX31" s="68">
        <f t="array" ref="CX31">SUM(IF(ISERR(FIND(CX$4,$D31:$CD31)),0,1))</f>
        <v>0</v>
      </c>
      <c r="CY31" s="68">
        <f t="shared" si="71"/>
        <v>0</v>
      </c>
      <c r="CZ31" s="68">
        <f t="shared" si="12"/>
        <v>0</v>
      </c>
      <c r="DA31" s="68">
        <f t="shared" si="72"/>
        <v>0</v>
      </c>
      <c r="DB31" s="68">
        <f t="shared" si="73"/>
        <v>1</v>
      </c>
      <c r="DC31" s="68">
        <f t="shared" si="74"/>
        <v>0</v>
      </c>
      <c r="DD31" s="68">
        <f t="shared" si="75"/>
        <v>0</v>
      </c>
      <c r="DE31" s="68">
        <f t="shared" si="76"/>
        <v>0</v>
      </c>
      <c r="DF31" s="68">
        <f t="shared" si="77"/>
        <v>0</v>
      </c>
      <c r="DG31" s="65">
        <f t="shared" si="78"/>
        <v>1100202.1103100001</v>
      </c>
      <c r="DH31" s="65">
        <f>RANK(DG31,$DG$5:$DG$57)</f>
        <v>16</v>
      </c>
      <c r="DI31" s="65">
        <v>26</v>
      </c>
      <c r="DJ31" s="86" t="str">
        <f t="shared" si="79"/>
        <v/>
      </c>
      <c r="DK31" s="94">
        <f t="shared" si="80"/>
        <v>0</v>
      </c>
      <c r="DL31" s="172">
        <f t="shared" si="81"/>
        <v>0</v>
      </c>
      <c r="DM31" s="65" t="str">
        <f t="shared" si="82"/>
        <v/>
      </c>
      <c r="DN31" s="65" t="str">
        <f t="shared" si="83"/>
        <v/>
      </c>
      <c r="DO31" s="68">
        <f t="shared" si="84"/>
        <v>0</v>
      </c>
      <c r="DP31" s="65" t="str">
        <f t="shared" si="85"/>
        <v/>
      </c>
      <c r="DQ31" s="68">
        <f t="shared" si="86"/>
        <v>1</v>
      </c>
      <c r="DR31" s="65" t="str">
        <f t="shared" si="87"/>
        <v>Lewis I</v>
      </c>
      <c r="DS31" s="68">
        <f t="shared" si="88"/>
        <v>0</v>
      </c>
      <c r="DT31" s="65" t="str">
        <f t="shared" si="89"/>
        <v/>
      </c>
    </row>
    <row r="32" spans="2:124" x14ac:dyDescent="0.15">
      <c r="B32" s="117" t="s">
        <v>25</v>
      </c>
      <c r="C32" t="s">
        <v>224</v>
      </c>
      <c r="D32" t="s">
        <v>325</v>
      </c>
      <c r="E32"/>
      <c r="F32"/>
      <c r="G32" t="s">
        <v>225</v>
      </c>
      <c r="H32" s="117" t="s">
        <v>304</v>
      </c>
      <c r="I32" s="117" t="s">
        <v>409</v>
      </c>
      <c r="J32" s="117"/>
      <c r="K32"/>
      <c r="L32" t="s">
        <v>458</v>
      </c>
      <c r="M32" t="s">
        <v>410</v>
      </c>
      <c r="N32"/>
      <c r="O32"/>
      <c r="P32" t="s">
        <v>225</v>
      </c>
      <c r="Q32"/>
      <c r="R32"/>
      <c r="S32"/>
      <c r="T32"/>
      <c r="U32" t="s">
        <v>624</v>
      </c>
      <c r="V32" t="s">
        <v>568</v>
      </c>
      <c r="W32" t="s">
        <v>225</v>
      </c>
      <c r="X32" t="s">
        <v>225</v>
      </c>
      <c r="CE32" s="65" t="str">
        <f t="shared" ref="CE32" si="93">C32</f>
        <v>Mander A</v>
      </c>
      <c r="CF32" s="65">
        <f t="shared" si="61"/>
        <v>11</v>
      </c>
      <c r="CG32" s="65">
        <f t="shared" si="62"/>
        <v>5</v>
      </c>
      <c r="CH32" s="65">
        <f t="shared" si="63"/>
        <v>6</v>
      </c>
      <c r="CI32" s="65">
        <f t="shared" si="64"/>
        <v>4</v>
      </c>
      <c r="CJ32" s="65">
        <f t="shared" si="65"/>
        <v>-5</v>
      </c>
      <c r="CK32" s="69" t="str">
        <f t="shared" si="66"/>
        <v>5*</v>
      </c>
      <c r="CL32" s="65">
        <f t="shared" si="67"/>
        <v>15</v>
      </c>
      <c r="CM32" s="67">
        <f t="shared" si="68"/>
        <v>7.5</v>
      </c>
      <c r="CN32" s="65">
        <f t="shared" si="69"/>
        <v>5</v>
      </c>
      <c r="CO32" s="68">
        <f t="array" ref="CO32">SUM(IF(ISERR(FIND("*",D32:CD32)),0,1))</f>
        <v>0</v>
      </c>
      <c r="CP32" s="68">
        <f t="array" ref="CP32">SUM(IF(ISERR(FIND("+",D32:CD32)),0,1))</f>
        <v>0</v>
      </c>
      <c r="CQ32" s="65">
        <f t="shared" si="70"/>
        <v>1</v>
      </c>
      <c r="CR32" s="68">
        <f t="array" ref="CR32">SUM(IF(ISERR(FIND(CR$4,$D32:$CD32)),0,1))</f>
        <v>1</v>
      </c>
      <c r="CS32" s="68">
        <f t="array" ref="CS32">SUM(IF(ISERR(FIND(CS$4,$D32:$CD32)),0,1))</f>
        <v>1</v>
      </c>
      <c r="CT32" s="68">
        <f t="array" ref="CT32">SUM(IF(ISERR(FIND(CT$4,$D32:$CD32)),0,1))</f>
        <v>0</v>
      </c>
      <c r="CU32" s="68">
        <f t="array" ref="CU32">SUM(IF(ISERR(FIND(CU$4,$D32:$CD32)),0,1))</f>
        <v>0</v>
      </c>
      <c r="CV32" s="68">
        <f t="array" ref="CV32">SUM(IF(ISERR(FIND(CV$4,$D32:$CD32)),0,1))</f>
        <v>0</v>
      </c>
      <c r="CW32" s="68">
        <f t="array" ref="CW32">SUM(IF(ISERR(FIND(CW$4,$D32:$CD32)),0,1))</f>
        <v>0</v>
      </c>
      <c r="CX32" s="68">
        <f t="array" ref="CX32">SUM(IF(ISERR(FIND(CX$4,$D32:$CD32)),0,1))</f>
        <v>0</v>
      </c>
      <c r="CY32" s="68">
        <f t="shared" si="71"/>
        <v>0</v>
      </c>
      <c r="CZ32" s="68">
        <f t="shared" si="12"/>
        <v>0</v>
      </c>
      <c r="DA32" s="68">
        <f t="shared" si="72"/>
        <v>1</v>
      </c>
      <c r="DB32" s="68">
        <f t="shared" si="73"/>
        <v>2</v>
      </c>
      <c r="DC32" s="68">
        <f t="shared" si="74"/>
        <v>0</v>
      </c>
      <c r="DD32" s="68">
        <f t="shared" si="75"/>
        <v>0</v>
      </c>
      <c r="DE32" s="68">
        <f t="shared" si="76"/>
        <v>0</v>
      </c>
      <c r="DF32" s="68">
        <f t="shared" si="77"/>
        <v>0</v>
      </c>
      <c r="DG32" s="65">
        <f t="shared" si="78"/>
        <v>750611.15032000002</v>
      </c>
      <c r="DH32" s="65">
        <f>RANK(DG32,$DG$5:$DG$57)</f>
        <v>21</v>
      </c>
      <c r="DI32" s="65">
        <v>27</v>
      </c>
      <c r="DJ32" s="86" t="str">
        <f t="shared" si="79"/>
        <v/>
      </c>
      <c r="DK32" s="94">
        <f t="shared" si="80"/>
        <v>0.5</v>
      </c>
      <c r="DL32" s="172">
        <f t="shared" si="81"/>
        <v>1</v>
      </c>
      <c r="DM32" s="65" t="str">
        <f t="shared" si="82"/>
        <v>1</v>
      </c>
      <c r="DN32" s="65" t="str">
        <f t="shared" si="83"/>
        <v>Mander A</v>
      </c>
      <c r="DO32" s="68">
        <f t="shared" si="84"/>
        <v>0</v>
      </c>
      <c r="DP32" s="65" t="str">
        <f t="shared" si="85"/>
        <v/>
      </c>
      <c r="DQ32" s="68">
        <f t="shared" si="86"/>
        <v>2</v>
      </c>
      <c r="DR32" s="65" t="str">
        <f t="shared" si="87"/>
        <v>Mander A</v>
      </c>
      <c r="DS32" s="68">
        <f t="shared" si="88"/>
        <v>0</v>
      </c>
      <c r="DT32" s="65" t="str">
        <f t="shared" si="89"/>
        <v/>
      </c>
    </row>
    <row r="33" spans="2:124" x14ac:dyDescent="0.15">
      <c r="B33" s="117"/>
      <c r="C33" s="117" t="s">
        <v>425</v>
      </c>
      <c r="D33"/>
      <c r="F33"/>
      <c r="G33"/>
      <c r="H33"/>
      <c r="I33"/>
      <c r="J33" t="s">
        <v>203</v>
      </c>
      <c r="K33"/>
      <c r="L33" s="117"/>
      <c r="M33"/>
      <c r="N33"/>
      <c r="O33"/>
      <c r="P33"/>
      <c r="Q33"/>
      <c r="R33"/>
      <c r="S33"/>
      <c r="T33"/>
      <c r="U33"/>
      <c r="V33"/>
      <c r="W33"/>
      <c r="X33" s="117"/>
      <c r="Y33" s="117"/>
      <c r="Z33" s="117"/>
      <c r="CE33" s="65" t="str">
        <f t="shared" si="0"/>
        <v>Mehra R</v>
      </c>
      <c r="CF33" s="65">
        <f t="shared" si="61"/>
        <v>1</v>
      </c>
      <c r="CG33" s="65">
        <f t="shared" si="62"/>
        <v>1</v>
      </c>
      <c r="CH33" s="65">
        <f t="shared" si="63"/>
        <v>0</v>
      </c>
      <c r="CI33" s="65">
        <f t="shared" si="64"/>
        <v>0</v>
      </c>
      <c r="CJ33" s="65">
        <f t="shared" si="65"/>
        <v>0</v>
      </c>
      <c r="CK33" s="69">
        <f t="shared" si="66"/>
        <v>0</v>
      </c>
      <c r="CL33" s="65">
        <f t="shared" si="67"/>
        <v>0</v>
      </c>
      <c r="CM33" s="67">
        <f t="shared" si="68"/>
        <v>0</v>
      </c>
      <c r="CN33" s="65">
        <f t="shared" si="69"/>
        <v>0</v>
      </c>
      <c r="CO33" s="68">
        <f t="array" ref="CO33">SUM(IF(ISERR(FIND("*",D33:CD33)),0,1))</f>
        <v>0</v>
      </c>
      <c r="CP33" s="68">
        <f t="array" ref="CP33">SUM(IF(ISERR(FIND("+",D33:CD33)),0,1))</f>
        <v>0</v>
      </c>
      <c r="CQ33" s="65">
        <f t="shared" si="70"/>
        <v>0</v>
      </c>
      <c r="CR33" s="68">
        <f t="array" ref="CR33">SUM(IF(ISERR(FIND(CR$4,$D33:$CD33)),0,1))</f>
        <v>0</v>
      </c>
      <c r="CS33" s="68">
        <f t="array" ref="CS33">SUM(IF(ISERR(FIND(CS$4,$D33:$CD33)),0,1))</f>
        <v>0</v>
      </c>
      <c r="CT33" s="68">
        <f t="array" ref="CT33">SUM(IF(ISERR(FIND(CT$4,$D33:$CD33)),0,1))</f>
        <v>0</v>
      </c>
      <c r="CU33" s="68">
        <f t="array" ref="CU33">SUM(IF(ISERR(FIND(CU$4,$D33:$CD33)),0,1))</f>
        <v>0</v>
      </c>
      <c r="CV33" s="68">
        <f t="array" ref="CV33">SUM(IF(ISERR(FIND(CV$4,$D33:$CD33)),0,1))</f>
        <v>0</v>
      </c>
      <c r="CW33" s="68">
        <f t="array" ref="CW33">SUM(IF(ISERR(FIND(CW$4,$D33:$CD33)),0,1))</f>
        <v>0</v>
      </c>
      <c r="CX33" s="68">
        <f t="array" ref="CX33">SUM(IF(ISERR(FIND(CX$4,$D33:$CD33)),0,1))</f>
        <v>0</v>
      </c>
      <c r="CY33" s="68">
        <f t="shared" si="71"/>
        <v>0</v>
      </c>
      <c r="CZ33" s="68">
        <f t="shared" si="12"/>
        <v>0</v>
      </c>
      <c r="DA33" s="68">
        <f t="shared" si="72"/>
        <v>0</v>
      </c>
      <c r="DB33" s="68">
        <f t="shared" si="73"/>
        <v>0</v>
      </c>
      <c r="DC33" s="68">
        <f t="shared" si="74"/>
        <v>0</v>
      </c>
      <c r="DD33" s="68">
        <f t="shared" si="75"/>
        <v>0</v>
      </c>
      <c r="DE33" s="68">
        <f t="shared" si="76"/>
        <v>0</v>
      </c>
      <c r="DF33" s="68">
        <f t="shared" si="77"/>
        <v>0</v>
      </c>
      <c r="DG33" s="65">
        <f t="shared" si="78"/>
        <v>1.0003299999999999</v>
      </c>
      <c r="DH33" s="65">
        <f>RANK(DG33,$DG$5:$DG$57)</f>
        <v>41</v>
      </c>
      <c r="DI33" s="65">
        <v>28</v>
      </c>
      <c r="DJ33" s="86" t="str">
        <f t="shared" si="79"/>
        <v/>
      </c>
      <c r="DK33" s="94" t="e">
        <f t="shared" si="80"/>
        <v>#DIV/0!</v>
      </c>
      <c r="DL33" s="172">
        <f t="shared" si="81"/>
        <v>0</v>
      </c>
      <c r="DM33" s="65" t="str">
        <f t="shared" si="82"/>
        <v/>
      </c>
      <c r="DN33" s="65" t="str">
        <f t="shared" si="83"/>
        <v/>
      </c>
      <c r="DO33" s="68">
        <f t="shared" si="84"/>
        <v>0</v>
      </c>
      <c r="DP33" s="65" t="str">
        <f t="shared" si="85"/>
        <v/>
      </c>
      <c r="DQ33" s="68">
        <f t="shared" si="86"/>
        <v>0</v>
      </c>
      <c r="DR33" s="65" t="str">
        <f t="shared" si="87"/>
        <v/>
      </c>
      <c r="DS33" s="68">
        <f t="shared" si="88"/>
        <v>0</v>
      </c>
      <c r="DT33" s="65" t="str">
        <f t="shared" si="89"/>
        <v/>
      </c>
    </row>
    <row r="34" spans="2:124" x14ac:dyDescent="0.15">
      <c r="B34" s="65" t="s">
        <v>27</v>
      </c>
      <c r="C34" s="65" t="s">
        <v>207</v>
      </c>
      <c r="D34" t="s">
        <v>318</v>
      </c>
      <c r="E34"/>
      <c r="F34" t="s">
        <v>354</v>
      </c>
      <c r="G34" t="s">
        <v>372</v>
      </c>
      <c r="H34" t="s">
        <v>203</v>
      </c>
      <c r="I34"/>
      <c r="J34" t="s">
        <v>424</v>
      </c>
      <c r="K34" t="s">
        <v>435</v>
      </c>
      <c r="L34" t="s">
        <v>446</v>
      </c>
      <c r="M34" t="s">
        <v>475</v>
      </c>
      <c r="N34"/>
      <c r="O34" t="s">
        <v>514</v>
      </c>
      <c r="P34" t="s">
        <v>529</v>
      </c>
      <c r="Q34"/>
      <c r="R34" t="s">
        <v>323</v>
      </c>
      <c r="S34"/>
      <c r="T34"/>
      <c r="U34"/>
      <c r="V34" t="s">
        <v>634</v>
      </c>
      <c r="W34" t="s">
        <v>584</v>
      </c>
      <c r="X34"/>
      <c r="Y34"/>
      <c r="Z34"/>
      <c r="CE34" s="65" t="str">
        <f t="shared" si="0"/>
        <v>Middleton J</v>
      </c>
      <c r="CF34" s="65">
        <f t="shared" si="61"/>
        <v>13</v>
      </c>
      <c r="CG34" s="65">
        <f t="shared" si="62"/>
        <v>1</v>
      </c>
      <c r="CH34" s="65">
        <f t="shared" si="63"/>
        <v>12</v>
      </c>
      <c r="CI34" s="65">
        <f t="shared" si="64"/>
        <v>1</v>
      </c>
      <c r="CJ34" s="65">
        <f t="shared" si="65"/>
        <v>55</v>
      </c>
      <c r="CK34" s="69">
        <f t="shared" si="66"/>
        <v>55</v>
      </c>
      <c r="CL34" s="65">
        <f t="shared" si="67"/>
        <v>132</v>
      </c>
      <c r="CM34" s="67">
        <f t="shared" si="68"/>
        <v>12</v>
      </c>
      <c r="CN34" s="65">
        <f t="shared" si="69"/>
        <v>10</v>
      </c>
      <c r="CO34" s="68">
        <f t="array" ref="CO34">SUM(IF(ISERR(FIND("*",D34:CD34)),0,1))</f>
        <v>0</v>
      </c>
      <c r="CP34" s="68">
        <f t="array" ref="CP34">SUM(IF(ISERR(FIND("+",D34:CD34)),0,1))</f>
        <v>0</v>
      </c>
      <c r="CQ34" s="65">
        <f t="shared" si="70"/>
        <v>3</v>
      </c>
      <c r="CR34" s="68">
        <f t="array" ref="CR34">SUM(IF(ISERR(FIND(CR$4,$D34:$CD34)),0,1))</f>
        <v>4</v>
      </c>
      <c r="CS34" s="68">
        <f t="array" ref="CS34">SUM(IF(ISERR(FIND(CS$4,$D34:$CD34)),0,1))</f>
        <v>3</v>
      </c>
      <c r="CT34" s="68">
        <f t="array" ref="CT34">SUM(IF(ISERR(FIND(CT$4,$D34:$CD34)),0,1))</f>
        <v>2</v>
      </c>
      <c r="CU34" s="68">
        <f t="array" ref="CU34">SUM(IF(ISERR(FIND(CU$4,$D34:$CD34)),0,1))</f>
        <v>1</v>
      </c>
      <c r="CV34" s="68">
        <f t="array" ref="CV34">SUM(IF(ISERR(FIND(CV$4,$D34:$CD34)),0,1))</f>
        <v>1</v>
      </c>
      <c r="CW34" s="68">
        <f t="array" ref="CW34">SUM(IF(ISERR(FIND(CW$4,$D34:$CD34)),0,1))</f>
        <v>0</v>
      </c>
      <c r="CX34" s="68">
        <f t="array" ref="CX34">SUM(IF(ISERR(FIND(CX$4,$D34:$CD34)),0,1))</f>
        <v>0</v>
      </c>
      <c r="CY34" s="68">
        <f t="shared" si="71"/>
        <v>1</v>
      </c>
      <c r="CZ34" s="68">
        <f t="shared" si="12"/>
        <v>0</v>
      </c>
      <c r="DA34" s="68">
        <f t="shared" si="72"/>
        <v>2</v>
      </c>
      <c r="DB34" s="68">
        <f t="shared" si="73"/>
        <v>20</v>
      </c>
      <c r="DC34" s="68">
        <f t="shared" si="74"/>
        <v>2</v>
      </c>
      <c r="DD34" s="68">
        <f t="shared" si="75"/>
        <v>0</v>
      </c>
      <c r="DE34" s="68">
        <f t="shared" si="76"/>
        <v>0</v>
      </c>
      <c r="DF34" s="68">
        <f t="shared" si="77"/>
        <v>2</v>
      </c>
      <c r="DG34" s="65">
        <f t="shared" si="78"/>
        <v>1201214.3203400001</v>
      </c>
      <c r="DH34" s="65">
        <f>RANK(DG34,$DG$5:$DG$57)</f>
        <v>13</v>
      </c>
      <c r="DI34" s="65">
        <v>29</v>
      </c>
      <c r="DJ34" s="86">
        <f t="shared" si="79"/>
        <v>1.7954545454545454</v>
      </c>
      <c r="DK34" s="94">
        <f t="shared" si="80"/>
        <v>0.27272727272727271</v>
      </c>
      <c r="DL34" s="172">
        <f t="shared" si="81"/>
        <v>2</v>
      </c>
      <c r="DM34" s="65" t="str">
        <f t="shared" si="82"/>
        <v>2</v>
      </c>
      <c r="DN34" s="65" t="str">
        <f t="shared" si="83"/>
        <v>Middleton J</v>
      </c>
      <c r="DO34" s="68">
        <f t="shared" si="84"/>
        <v>2</v>
      </c>
      <c r="DP34" s="65" t="str">
        <f t="shared" si="85"/>
        <v>Middleton J</v>
      </c>
      <c r="DQ34" s="68">
        <f t="shared" si="86"/>
        <v>20</v>
      </c>
      <c r="DR34" s="65" t="str">
        <f t="shared" si="87"/>
        <v>Middleton J</v>
      </c>
      <c r="DS34" s="68">
        <f t="shared" si="88"/>
        <v>2</v>
      </c>
      <c r="DT34" s="65" t="str">
        <f t="shared" si="89"/>
        <v>Middleton J</v>
      </c>
    </row>
    <row r="35" spans="2:124" x14ac:dyDescent="0.15">
      <c r="B35" t="s">
        <v>211</v>
      </c>
      <c r="C35" t="s">
        <v>212</v>
      </c>
      <c r="D35"/>
      <c r="E35" t="s">
        <v>227</v>
      </c>
      <c r="F35"/>
      <c r="G35"/>
      <c r="H35" t="s">
        <v>388</v>
      </c>
      <c r="I35" t="s">
        <v>405</v>
      </c>
      <c r="J35"/>
      <c r="K35" t="s">
        <v>440</v>
      </c>
      <c r="L35"/>
      <c r="M35"/>
      <c r="N35" t="s">
        <v>501</v>
      </c>
      <c r="O35"/>
      <c r="P35"/>
      <c r="Q35" s="117"/>
      <c r="R35"/>
      <c r="S35"/>
      <c r="T35"/>
      <c r="U35"/>
      <c r="V35" t="s">
        <v>638</v>
      </c>
      <c r="W35"/>
      <c r="X35"/>
      <c r="Y35"/>
      <c r="CE35" s="65" t="str">
        <f t="shared" ref="CE35:CE57" si="94">C35</f>
        <v>Nair S</v>
      </c>
      <c r="CF35" s="65">
        <f t="shared" si="61"/>
        <v>6</v>
      </c>
      <c r="CG35" s="65">
        <f t="shared" si="62"/>
        <v>1</v>
      </c>
      <c r="CH35" s="65">
        <f t="shared" si="63"/>
        <v>5</v>
      </c>
      <c r="CI35" s="65">
        <f t="shared" si="64"/>
        <v>2</v>
      </c>
      <c r="CJ35" s="65">
        <f t="shared" si="65"/>
        <v>-17</v>
      </c>
      <c r="CK35" s="69" t="str">
        <f t="shared" si="66"/>
        <v>17*</v>
      </c>
      <c r="CL35" s="65">
        <f t="shared" si="67"/>
        <v>35</v>
      </c>
      <c r="CM35" s="67">
        <f t="shared" si="68"/>
        <v>11.666666666666666</v>
      </c>
      <c r="CN35" s="65">
        <f t="shared" si="69"/>
        <v>10</v>
      </c>
      <c r="CO35" s="68">
        <f t="array" ref="CO35">SUM(IF(ISERR(FIND("*",D35:CD35)),0,1))</f>
        <v>0</v>
      </c>
      <c r="CP35" s="68">
        <f t="array" ref="CP35">SUM(IF(ISERR(FIND("+",D35:CD35)),0,1))</f>
        <v>0</v>
      </c>
      <c r="CQ35" s="65">
        <f t="shared" si="70"/>
        <v>0</v>
      </c>
      <c r="CR35" s="68">
        <f t="array" ref="CR35">SUM(IF(ISERR(FIND(CR$4,$D35:$CD35)),0,1))</f>
        <v>2</v>
      </c>
      <c r="CS35" s="68">
        <f t="array" ref="CS35">SUM(IF(ISERR(FIND(CS$4,$D35:$CD35)),0,1))</f>
        <v>1</v>
      </c>
      <c r="CT35" s="68">
        <f t="array" ref="CT35">SUM(IF(ISERR(FIND(CT$4,$D35:$CD35)),0,1))</f>
        <v>0</v>
      </c>
      <c r="CU35" s="68">
        <f t="array" ref="CU35">SUM(IF(ISERR(FIND(CU$4,$D35:$CD35)),0,1))</f>
        <v>0</v>
      </c>
      <c r="CV35" s="68">
        <f t="array" ref="CV35">SUM(IF(ISERR(FIND(CV$4,$D35:$CD35)),0,1))</f>
        <v>0</v>
      </c>
      <c r="CW35" s="68">
        <f t="array" ref="CW35">SUM(IF(ISERR(FIND(CW$4,$D35:$CD35)),0,1))</f>
        <v>0</v>
      </c>
      <c r="CX35" s="68">
        <f t="array" ref="CX35">SUM(IF(ISERR(FIND(CX$4,$D35:$CD35)),0,1))</f>
        <v>0</v>
      </c>
      <c r="CY35" s="68">
        <f t="shared" si="71"/>
        <v>0</v>
      </c>
      <c r="CZ35" s="68">
        <f t="shared" si="12"/>
        <v>0</v>
      </c>
      <c r="DA35" s="68">
        <f t="shared" si="72"/>
        <v>2</v>
      </c>
      <c r="DB35" s="68">
        <f t="shared" si="73"/>
        <v>7</v>
      </c>
      <c r="DC35" s="68">
        <f t="shared" si="74"/>
        <v>0</v>
      </c>
      <c r="DD35" s="68">
        <f t="shared" si="75"/>
        <v>0</v>
      </c>
      <c r="DE35" s="68">
        <f t="shared" si="76"/>
        <v>0</v>
      </c>
      <c r="DF35" s="68">
        <f t="shared" si="77"/>
        <v>0</v>
      </c>
      <c r="DG35" s="65">
        <f t="shared" si="78"/>
        <v>1167506.3503500002</v>
      </c>
      <c r="DH35" s="65">
        <f>RANK(DG35,$DG$5:$DG$57)</f>
        <v>14</v>
      </c>
      <c r="DI35" s="65">
        <v>30</v>
      </c>
      <c r="DJ35" s="86" t="str">
        <f t="shared" si="79"/>
        <v/>
      </c>
      <c r="DK35" s="94">
        <f t="shared" si="80"/>
        <v>0</v>
      </c>
      <c r="DL35" s="172">
        <f t="shared" si="81"/>
        <v>2</v>
      </c>
      <c r="DM35" s="65" t="str">
        <f t="shared" si="82"/>
        <v>2</v>
      </c>
      <c r="DN35" s="65" t="str">
        <f t="shared" si="83"/>
        <v>Nair S</v>
      </c>
      <c r="DO35" s="68">
        <f t="shared" si="84"/>
        <v>0</v>
      </c>
      <c r="DP35" s="65" t="str">
        <f t="shared" si="85"/>
        <v/>
      </c>
      <c r="DQ35" s="68">
        <f t="shared" si="86"/>
        <v>7</v>
      </c>
      <c r="DR35" s="65" t="str">
        <f t="shared" si="87"/>
        <v>Nair S</v>
      </c>
      <c r="DS35" s="68">
        <f t="shared" si="88"/>
        <v>0</v>
      </c>
      <c r="DT35" s="65" t="str">
        <f t="shared" si="89"/>
        <v/>
      </c>
    </row>
    <row r="36" spans="2:124" x14ac:dyDescent="0.15">
      <c r="B36" t="s">
        <v>287</v>
      </c>
      <c r="C36" t="s">
        <v>288</v>
      </c>
      <c r="D36"/>
      <c r="E36"/>
      <c r="F36"/>
      <c r="G36"/>
      <c r="H36"/>
      <c r="I36" t="s">
        <v>407</v>
      </c>
      <c r="J36"/>
      <c r="K36"/>
      <c r="L36"/>
      <c r="M36"/>
      <c r="N36"/>
      <c r="O36"/>
      <c r="P36"/>
      <c r="Q36" s="117"/>
      <c r="R36"/>
      <c r="S36"/>
      <c r="T36"/>
      <c r="U36"/>
      <c r="V36"/>
      <c r="W36"/>
      <c r="X36"/>
      <c r="Y36"/>
      <c r="CE36" s="65" t="str">
        <f t="shared" si="94"/>
        <v>Naish J</v>
      </c>
      <c r="CF36" s="65">
        <f t="shared" si="61"/>
        <v>1</v>
      </c>
      <c r="CG36" s="65">
        <f t="shared" si="62"/>
        <v>0</v>
      </c>
      <c r="CH36" s="65">
        <f t="shared" si="63"/>
        <v>1</v>
      </c>
      <c r="CI36" s="65">
        <f t="shared" si="64"/>
        <v>0</v>
      </c>
      <c r="CJ36" s="65">
        <f t="shared" si="65"/>
        <v>11</v>
      </c>
      <c r="CK36" s="69">
        <f t="shared" si="66"/>
        <v>11</v>
      </c>
      <c r="CL36" s="65">
        <f t="shared" si="67"/>
        <v>11</v>
      </c>
      <c r="CM36" s="67">
        <f t="shared" si="68"/>
        <v>11</v>
      </c>
      <c r="CN36" s="65">
        <f t="shared" si="69"/>
        <v>0</v>
      </c>
      <c r="CO36" s="68">
        <f t="array" ref="CO36">SUM(IF(ISERR(FIND("*",D36:CD36)),0,1))</f>
        <v>0</v>
      </c>
      <c r="CP36" s="68">
        <f t="array" ref="CP36">SUM(IF(ISERR(FIND("+",D36:CD36)),0,1))</f>
        <v>0</v>
      </c>
      <c r="CQ36" s="65">
        <f t="shared" si="70"/>
        <v>0</v>
      </c>
      <c r="CR36" s="68">
        <f t="array" ref="CR36">SUM(IF(ISERR(FIND(CR$4,$D36:$CD36)),0,1))</f>
        <v>1</v>
      </c>
      <c r="CS36" s="68">
        <f t="array" ref="CS36">SUM(IF(ISERR(FIND(CS$4,$D36:$CD36)),0,1))</f>
        <v>0</v>
      </c>
      <c r="CT36" s="68">
        <f t="array" ref="CT36">SUM(IF(ISERR(FIND(CT$4,$D36:$CD36)),0,1))</f>
        <v>0</v>
      </c>
      <c r="CU36" s="68">
        <f t="array" ref="CU36">SUM(IF(ISERR(FIND(CU$4,$D36:$CD36)),0,1))</f>
        <v>0</v>
      </c>
      <c r="CV36" s="68">
        <f t="array" ref="CV36">SUM(IF(ISERR(FIND(CV$4,$D36:$CD36)),0,1))</f>
        <v>0</v>
      </c>
      <c r="CW36" s="68">
        <f t="array" ref="CW36">SUM(IF(ISERR(FIND(CW$4,$D36:$CD36)),0,1))</f>
        <v>0</v>
      </c>
      <c r="CX36" s="68">
        <f t="array" ref="CX36">SUM(IF(ISERR(FIND(CX$4,$D36:$CD36)),0,1))</f>
        <v>0</v>
      </c>
      <c r="CY36" s="68">
        <f t="shared" si="71"/>
        <v>0</v>
      </c>
      <c r="CZ36" s="68">
        <f t="shared" ref="CZ36:CZ57" si="95">BatSplit(D36:CD36,Hundreds)</f>
        <v>0</v>
      </c>
      <c r="DA36" s="68">
        <f t="shared" si="72"/>
        <v>0</v>
      </c>
      <c r="DB36" s="68">
        <f t="shared" si="73"/>
        <v>2</v>
      </c>
      <c r="DC36" s="68">
        <f t="shared" si="74"/>
        <v>0</v>
      </c>
      <c r="DD36" s="68">
        <f t="shared" si="75"/>
        <v>0</v>
      </c>
      <c r="DE36" s="68">
        <f t="shared" si="76"/>
        <v>0</v>
      </c>
      <c r="DF36" s="68">
        <f t="shared" si="77"/>
        <v>0</v>
      </c>
      <c r="DG36" s="65">
        <f t="shared" si="78"/>
        <v>1100101.11036</v>
      </c>
      <c r="DH36" s="65">
        <f>RANK(DG36,$DG$5:$DG$57)</f>
        <v>17</v>
      </c>
      <c r="DI36" s="65">
        <v>31</v>
      </c>
      <c r="DJ36" s="86" t="str">
        <f t="shared" si="79"/>
        <v/>
      </c>
      <c r="DK36" s="94">
        <f t="shared" si="80"/>
        <v>0</v>
      </c>
      <c r="DL36" s="172">
        <f t="shared" si="81"/>
        <v>0</v>
      </c>
      <c r="DM36" s="65" t="str">
        <f t="shared" si="82"/>
        <v/>
      </c>
      <c r="DN36" s="65" t="str">
        <f t="shared" si="83"/>
        <v/>
      </c>
      <c r="DO36" s="68">
        <f t="shared" si="84"/>
        <v>0</v>
      </c>
      <c r="DP36" s="65" t="str">
        <f t="shared" si="85"/>
        <v/>
      </c>
      <c r="DQ36" s="68">
        <f t="shared" si="86"/>
        <v>2</v>
      </c>
      <c r="DR36" s="65" t="str">
        <f t="shared" si="87"/>
        <v>Naish J</v>
      </c>
      <c r="DS36" s="68">
        <f t="shared" si="88"/>
        <v>0</v>
      </c>
      <c r="DT36" s="65" t="str">
        <f t="shared" si="89"/>
        <v/>
      </c>
    </row>
    <row r="37" spans="2:124" x14ac:dyDescent="0.15">
      <c r="B37" t="s">
        <v>654</v>
      </c>
      <c r="C37" t="s">
        <v>655</v>
      </c>
      <c r="D37"/>
      <c r="E37"/>
      <c r="F37"/>
      <c r="G37"/>
      <c r="H37"/>
      <c r="I37"/>
      <c r="J37"/>
      <c r="K37"/>
      <c r="L37"/>
      <c r="M37"/>
      <c r="N37"/>
      <c r="O37"/>
      <c r="P37"/>
      <c r="Q37" s="117"/>
      <c r="R37"/>
      <c r="S37"/>
      <c r="T37"/>
      <c r="U37"/>
      <c r="V37"/>
      <c r="W37" t="s">
        <v>376</v>
      </c>
      <c r="X37"/>
      <c r="Y37"/>
      <c r="CE37" s="117" t="str">
        <f t="shared" si="94"/>
        <v>Niran A</v>
      </c>
      <c r="CF37" s="65">
        <f t="shared" ref="CF37:CF38" si="96">BatSplit(D37:CD37,MatchesPlayed)</f>
        <v>1</v>
      </c>
      <c r="CG37" s="65">
        <f t="shared" ref="CG37:CG38" si="97">CF37-CH37</f>
        <v>0</v>
      </c>
      <c r="CH37" s="65">
        <f t="shared" ref="CH37:CH38" si="98">BatSplit(D37:CD37,InnsBattedIn)</f>
        <v>1</v>
      </c>
      <c r="CI37" s="65">
        <f t="shared" ref="CI37:CI38" si="99">BatSplit(D37:CD37,NotOuts)</f>
        <v>1</v>
      </c>
      <c r="CJ37" s="65">
        <f t="shared" ref="CJ37:CJ38" si="100">BatSplit(D37:CD37,HighestScore)</f>
        <v>-1</v>
      </c>
      <c r="CK37" s="69" t="str">
        <f t="shared" ref="CK37:CK38" si="101">IF(CJ37&lt;0,-CJ37&amp;"*",CJ37)</f>
        <v>1*</v>
      </c>
      <c r="CL37" s="65">
        <f t="shared" ref="CL37:CL38" si="102">BatSplit(D37:CD37,RunsScored)</f>
        <v>1</v>
      </c>
      <c r="CM37" s="67">
        <f t="shared" ref="CM37:CM38" si="103">IF(CH37=CI37,0,CL37/(CH37-CI37))</f>
        <v>0</v>
      </c>
      <c r="CN37" s="65">
        <f t="shared" ref="CN37:CN38" si="104">BatSplit(D37:CD37,FldPts)</f>
        <v>0</v>
      </c>
      <c r="CO37" s="68">
        <f t="array" ref="CO37">SUM(IF(ISERR(FIND("*",D37:CD37)),0,1))</f>
        <v>0</v>
      </c>
      <c r="CP37" s="68">
        <f t="array" ref="CP37">SUM(IF(ISERR(FIND("+",D37:CD37)),0,1))</f>
        <v>0</v>
      </c>
      <c r="CQ37" s="65">
        <f t="shared" ref="CQ37:CQ38" si="105">BatSplit(D37:CD37,Ducks)</f>
        <v>0</v>
      </c>
      <c r="CR37" s="68">
        <f t="array" ref="CR37">SUM(IF(ISERR(FIND(CR$4,$D37:$CD37)),0,1))</f>
        <v>0</v>
      </c>
      <c r="CS37" s="68">
        <f t="array" ref="CS37">SUM(IF(ISERR(FIND(CS$4,$D37:$CD37)),0,1))</f>
        <v>0</v>
      </c>
      <c r="CT37" s="68">
        <f t="array" ref="CT37">SUM(IF(ISERR(FIND(CT$4,$D37:$CD37)),0,1))</f>
        <v>0</v>
      </c>
      <c r="CU37" s="68">
        <f t="array" ref="CU37">SUM(IF(ISERR(FIND(CU$4,$D37:$CD37)),0,1))</f>
        <v>0</v>
      </c>
      <c r="CV37" s="68">
        <f t="array" ref="CV37">SUM(IF(ISERR(FIND(CV$4,$D37:$CD37)),0,1))</f>
        <v>0</v>
      </c>
      <c r="CW37" s="68">
        <f t="array" ref="CW37">SUM(IF(ISERR(FIND(CW$4,$D37:$CD37)),0,1))</f>
        <v>0</v>
      </c>
      <c r="CX37" s="68">
        <f t="array" ref="CX37">SUM(IF(ISERR(FIND(CX$4,$D37:$CD37)),0,1))</f>
        <v>0</v>
      </c>
      <c r="CY37" s="68">
        <f t="shared" ref="CY37:CY38" si="106">BatSplit(D37:CD37,Fifties)</f>
        <v>0</v>
      </c>
      <c r="CZ37" s="68">
        <f t="shared" si="95"/>
        <v>0</v>
      </c>
      <c r="DA37" s="68">
        <f t="shared" ref="DA37:DA38" si="107">BatSplit(D37:CD37,Catches)</f>
        <v>0</v>
      </c>
      <c r="DB37" s="68">
        <f t="shared" ref="DB37:DB38" si="108">BatSplit(D37:CD37,Fours)</f>
        <v>0</v>
      </c>
      <c r="DC37" s="68">
        <f t="shared" ref="DC37:DC38" si="109">BatSplit(D37:CD37,Sixes)</f>
        <v>0</v>
      </c>
      <c r="DD37" s="68">
        <f t="shared" ref="DD37:DD38" si="110">BatSplit(D37:CD37,Stumpings)</f>
        <v>0</v>
      </c>
      <c r="DE37" s="68">
        <f t="shared" ref="DE37:DE38" si="111">BatSplit(D37:CD37,CaughtWkt)</f>
        <v>0</v>
      </c>
      <c r="DF37" s="68">
        <f t="shared" ref="DF37:DF38" si="112">BatSplit(D37:CD37,TwentyFives)</f>
        <v>0</v>
      </c>
      <c r="DG37" s="65">
        <f t="shared" ref="DG37:DG38" si="113">ROUND(IF(ISERROR(CM37),0,CM37),2)*100000+CH37*100+CF37+CL37/100+ROW()/100000</f>
        <v>101.01037000000001</v>
      </c>
      <c r="DH37" s="65">
        <f>RANK(DG37,$DG$5:$DG$57)</f>
        <v>36</v>
      </c>
      <c r="DI37" s="65">
        <v>31</v>
      </c>
      <c r="DJ37" s="86" t="str">
        <f t="shared" ref="DJ37:DJ38" si="114">IF(CL37&gt;=50,(DB37*4+DC37*6+DI37*5)/CL37,"")</f>
        <v/>
      </c>
      <c r="DK37" s="94" t="e">
        <f t="shared" ref="DK37:DK38" si="115">CQ37/(CH37-CI37)</f>
        <v>#DIV/0!</v>
      </c>
      <c r="DL37" s="172">
        <f t="shared" ref="DL37:DL38" si="116">DA37</f>
        <v>0</v>
      </c>
      <c r="DM37" s="65" t="str">
        <f t="shared" ref="DM37:DM38" si="117">IF(DA37=0,"",DA37&amp;IF(DE37=0,""," ("&amp;DE37&amp;")"))</f>
        <v/>
      </c>
      <c r="DN37" s="65" t="str">
        <f t="shared" ref="DN37:DN38" si="118">IF(DA37=0,"",C37)</f>
        <v/>
      </c>
      <c r="DO37" s="68">
        <f t="shared" ref="DO37:DO38" si="119">DC37</f>
        <v>0</v>
      </c>
      <c r="DP37" s="65" t="str">
        <f t="shared" ref="DP37:DP38" si="120">IF(DO37=0,"",C37)</f>
        <v/>
      </c>
      <c r="DQ37" s="68">
        <f t="shared" ref="DQ37:DQ38" si="121">DB37</f>
        <v>0</v>
      </c>
      <c r="DR37" s="65" t="str">
        <f t="shared" ref="DR37:DR38" si="122">IF(DQ37=0,"",C37)</f>
        <v/>
      </c>
      <c r="DS37" s="68">
        <f t="shared" ref="DS37:DS38" si="123">DF37</f>
        <v>0</v>
      </c>
      <c r="DT37" s="65" t="str">
        <f t="shared" ref="DT37:DT38" si="124">IF(DS37=0,"",C37)</f>
        <v/>
      </c>
    </row>
    <row r="38" spans="2:124" x14ac:dyDescent="0.15">
      <c r="B38" t="s">
        <v>616</v>
      </c>
      <c r="C38" t="s">
        <v>617</v>
      </c>
      <c r="D38"/>
      <c r="E38"/>
      <c r="F38"/>
      <c r="G38"/>
      <c r="H38"/>
      <c r="I38"/>
      <c r="J38"/>
      <c r="K38"/>
      <c r="L38"/>
      <c r="M38"/>
      <c r="N38"/>
      <c r="O38"/>
      <c r="P38"/>
      <c r="Q38" s="117"/>
      <c r="R38"/>
      <c r="S38"/>
      <c r="T38"/>
      <c r="U38" t="s">
        <v>618</v>
      </c>
      <c r="V38"/>
      <c r="W38"/>
      <c r="X38"/>
      <c r="Y38"/>
      <c r="CE38" s="117" t="str">
        <f t="shared" si="94"/>
        <v>Niran M</v>
      </c>
      <c r="CF38" s="65">
        <f t="shared" si="96"/>
        <v>1</v>
      </c>
      <c r="CG38" s="65">
        <f t="shared" si="97"/>
        <v>0</v>
      </c>
      <c r="CH38" s="65">
        <f t="shared" si="98"/>
        <v>1</v>
      </c>
      <c r="CI38" s="65">
        <f t="shared" si="99"/>
        <v>0</v>
      </c>
      <c r="CJ38" s="65">
        <f t="shared" si="100"/>
        <v>6</v>
      </c>
      <c r="CK38" s="69">
        <f t="shared" si="101"/>
        <v>6</v>
      </c>
      <c r="CL38" s="65">
        <f t="shared" si="102"/>
        <v>6</v>
      </c>
      <c r="CM38" s="67">
        <f t="shared" si="103"/>
        <v>6</v>
      </c>
      <c r="CN38" s="65">
        <f t="shared" si="104"/>
        <v>0</v>
      </c>
      <c r="CO38" s="68">
        <f t="array" ref="CO38">SUM(IF(ISERR(FIND("*",D38:CD38)),0,1))</f>
        <v>0</v>
      </c>
      <c r="CP38" s="68">
        <f t="array" ref="CP38">SUM(IF(ISERR(FIND("+",D38:CD38)),0,1))</f>
        <v>0</v>
      </c>
      <c r="CQ38" s="65">
        <f t="shared" si="105"/>
        <v>0</v>
      </c>
      <c r="CR38" s="68">
        <f t="array" ref="CR38">SUM(IF(ISERR(FIND(CR$4,$D38:$CD38)),0,1))</f>
        <v>0</v>
      </c>
      <c r="CS38" s="68">
        <f t="array" ref="CS38">SUM(IF(ISERR(FIND(CS$4,$D38:$CD38)),0,1))</f>
        <v>0</v>
      </c>
      <c r="CT38" s="68">
        <f t="array" ref="CT38">SUM(IF(ISERR(FIND(CT$4,$D38:$CD38)),0,1))</f>
        <v>0</v>
      </c>
      <c r="CU38" s="68">
        <f t="array" ref="CU38">SUM(IF(ISERR(FIND(CU$4,$D38:$CD38)),0,1))</f>
        <v>0</v>
      </c>
      <c r="CV38" s="68">
        <f t="array" ref="CV38">SUM(IF(ISERR(FIND(CV$4,$D38:$CD38)),0,1))</f>
        <v>1</v>
      </c>
      <c r="CW38" s="68">
        <f t="array" ref="CW38">SUM(IF(ISERR(FIND(CW$4,$D38:$CD38)),0,1))</f>
        <v>0</v>
      </c>
      <c r="CX38" s="68">
        <f t="array" ref="CX38">SUM(IF(ISERR(FIND(CX$4,$D38:$CD38)),0,1))</f>
        <v>0</v>
      </c>
      <c r="CY38" s="68">
        <f t="shared" si="106"/>
        <v>0</v>
      </c>
      <c r="CZ38" s="68">
        <f t="shared" si="95"/>
        <v>0</v>
      </c>
      <c r="DA38" s="68">
        <f t="shared" si="107"/>
        <v>0</v>
      </c>
      <c r="DB38" s="68">
        <f t="shared" si="108"/>
        <v>0</v>
      </c>
      <c r="DC38" s="68">
        <f t="shared" si="109"/>
        <v>0</v>
      </c>
      <c r="DD38" s="68">
        <f t="shared" si="110"/>
        <v>0</v>
      </c>
      <c r="DE38" s="68">
        <f t="shared" si="111"/>
        <v>0</v>
      </c>
      <c r="DF38" s="68">
        <f t="shared" si="112"/>
        <v>0</v>
      </c>
      <c r="DG38" s="65">
        <f t="shared" si="113"/>
        <v>600101.06038000004</v>
      </c>
      <c r="DH38" s="65">
        <f>RANK(DG38,$DG$5:$DG$57)</f>
        <v>24</v>
      </c>
      <c r="DI38" s="65">
        <v>31</v>
      </c>
      <c r="DJ38" s="86" t="str">
        <f t="shared" si="114"/>
        <v/>
      </c>
      <c r="DK38" s="94">
        <f t="shared" si="115"/>
        <v>0</v>
      </c>
      <c r="DL38" s="172">
        <f t="shared" si="116"/>
        <v>0</v>
      </c>
      <c r="DM38" s="65" t="str">
        <f t="shared" si="117"/>
        <v/>
      </c>
      <c r="DN38" s="65" t="str">
        <f t="shared" si="118"/>
        <v/>
      </c>
      <c r="DO38" s="68">
        <f t="shared" si="119"/>
        <v>0</v>
      </c>
      <c r="DP38" s="65" t="str">
        <f t="shared" si="120"/>
        <v/>
      </c>
      <c r="DQ38" s="68">
        <f t="shared" si="121"/>
        <v>0</v>
      </c>
      <c r="DR38" s="65" t="str">
        <f t="shared" si="122"/>
        <v/>
      </c>
      <c r="DS38" s="68">
        <f t="shared" si="123"/>
        <v>0</v>
      </c>
      <c r="DT38" s="65" t="str">
        <f t="shared" si="124"/>
        <v/>
      </c>
    </row>
    <row r="39" spans="2:124" x14ac:dyDescent="0.15">
      <c r="B39" t="s">
        <v>612</v>
      </c>
      <c r="C39" t="s">
        <v>265</v>
      </c>
      <c r="D39"/>
      <c r="E39"/>
      <c r="F39"/>
      <c r="G39"/>
      <c r="H39"/>
      <c r="I39"/>
      <c r="J39"/>
      <c r="K39"/>
      <c r="L39"/>
      <c r="M39" t="s">
        <v>468</v>
      </c>
      <c r="N39" t="s">
        <v>494</v>
      </c>
      <c r="O39" t="s">
        <v>509</v>
      </c>
      <c r="P39"/>
      <c r="Q39" s="117"/>
      <c r="R39" s="117"/>
      <c r="S39" s="117"/>
      <c r="T39" s="117" t="s">
        <v>593</v>
      </c>
      <c r="U39" t="s">
        <v>613</v>
      </c>
      <c r="V39"/>
      <c r="W39" t="s">
        <v>649</v>
      </c>
      <c r="X39" t="s">
        <v>665</v>
      </c>
      <c r="Y39"/>
      <c r="Z39" s="117"/>
      <c r="CE39" s="65" t="str">
        <f t="shared" si="94"/>
        <v>Niran S</v>
      </c>
      <c r="CF39" s="65">
        <f t="shared" si="61"/>
        <v>7</v>
      </c>
      <c r="CG39" s="65">
        <f t="shared" si="62"/>
        <v>0</v>
      </c>
      <c r="CH39" s="65">
        <f t="shared" si="63"/>
        <v>7</v>
      </c>
      <c r="CI39" s="65">
        <f t="shared" si="64"/>
        <v>0</v>
      </c>
      <c r="CJ39" s="65">
        <f t="shared" si="65"/>
        <v>54</v>
      </c>
      <c r="CK39" s="69">
        <f t="shared" si="66"/>
        <v>54</v>
      </c>
      <c r="CL39" s="65">
        <f t="shared" si="67"/>
        <v>173</v>
      </c>
      <c r="CM39" s="67">
        <f t="shared" si="68"/>
        <v>24.714285714285715</v>
      </c>
      <c r="CN39" s="65">
        <f t="shared" si="69"/>
        <v>0</v>
      </c>
      <c r="CO39" s="68">
        <f t="array" ref="CO39">SUM(IF(ISERR(FIND("*",D39:CD39)),0,1))</f>
        <v>0</v>
      </c>
      <c r="CP39" s="68">
        <f t="array" ref="CP39">SUM(IF(ISERR(FIND("+",D39:CD39)),0,1))</f>
        <v>4</v>
      </c>
      <c r="CQ39" s="65">
        <f t="shared" si="70"/>
        <v>0</v>
      </c>
      <c r="CR39" s="68">
        <f t="array" ref="CR39">SUM(IF(ISERR(FIND(CR$4,$D39:$CD39)),0,1))</f>
        <v>3</v>
      </c>
      <c r="CS39" s="68">
        <f t="array" ref="CS39">SUM(IF(ISERR(FIND(CS$4,$D39:$CD39)),0,1))</f>
        <v>3</v>
      </c>
      <c r="CT39" s="68">
        <f t="array" ref="CT39">SUM(IF(ISERR(FIND(CT$4,$D39:$CD39)),0,1))</f>
        <v>0</v>
      </c>
      <c r="CU39" s="68">
        <f t="array" ref="CU39">SUM(IF(ISERR(FIND(CU$4,$D39:$CD39)),0,1))</f>
        <v>0</v>
      </c>
      <c r="CV39" s="68">
        <f t="array" ref="CV39">SUM(IF(ISERR(FIND(CV$4,$D39:$CD39)),0,1))</f>
        <v>1</v>
      </c>
      <c r="CW39" s="68">
        <f t="array" ref="CW39">SUM(IF(ISERR(FIND(CW$4,$D39:$CD39)),0,1))</f>
        <v>0</v>
      </c>
      <c r="CX39" s="68">
        <f t="array" ref="CX39">SUM(IF(ISERR(FIND(CX$4,$D39:$CD39)),0,1))</f>
        <v>0</v>
      </c>
      <c r="CY39" s="68">
        <f t="shared" si="71"/>
        <v>1</v>
      </c>
      <c r="CZ39" s="68">
        <f t="shared" si="95"/>
        <v>0</v>
      </c>
      <c r="DA39" s="68">
        <f t="shared" si="72"/>
        <v>1</v>
      </c>
      <c r="DB39" s="68">
        <f t="shared" si="73"/>
        <v>27</v>
      </c>
      <c r="DC39" s="68">
        <f t="shared" si="74"/>
        <v>2</v>
      </c>
      <c r="DD39" s="68">
        <f t="shared" si="75"/>
        <v>0</v>
      </c>
      <c r="DE39" s="68">
        <f t="shared" si="76"/>
        <v>1</v>
      </c>
      <c r="DF39" s="68">
        <f t="shared" si="77"/>
        <v>2</v>
      </c>
      <c r="DG39" s="65">
        <f t="shared" si="78"/>
        <v>2471708.7303900002</v>
      </c>
      <c r="DH39" s="65">
        <f>RANK(DG39,$DG$5:$DG$57)</f>
        <v>7</v>
      </c>
      <c r="DI39" s="65">
        <v>32</v>
      </c>
      <c r="DJ39" s="86">
        <f t="shared" si="79"/>
        <v>1.6184971098265897</v>
      </c>
      <c r="DK39" s="94">
        <f t="shared" si="80"/>
        <v>0</v>
      </c>
      <c r="DL39" s="172">
        <f t="shared" si="81"/>
        <v>1</v>
      </c>
      <c r="DM39" s="65" t="str">
        <f t="shared" si="82"/>
        <v>1 (1)</v>
      </c>
      <c r="DN39" s="65" t="str">
        <f t="shared" si="83"/>
        <v>Niran S</v>
      </c>
      <c r="DO39" s="68">
        <f t="shared" si="84"/>
        <v>2</v>
      </c>
      <c r="DP39" s="65" t="str">
        <f t="shared" si="85"/>
        <v>Niran S</v>
      </c>
      <c r="DQ39" s="68">
        <f t="shared" si="86"/>
        <v>27</v>
      </c>
      <c r="DR39" s="65" t="str">
        <f t="shared" si="87"/>
        <v>Niran S</v>
      </c>
      <c r="DS39" s="68">
        <f t="shared" si="88"/>
        <v>2</v>
      </c>
      <c r="DT39" s="65" t="str">
        <f t="shared" si="89"/>
        <v>Niran S</v>
      </c>
    </row>
    <row r="40" spans="2:124" x14ac:dyDescent="0.15">
      <c r="B40" t="s">
        <v>305</v>
      </c>
      <c r="C40" t="s">
        <v>306</v>
      </c>
      <c r="D40"/>
      <c r="E40"/>
      <c r="F40"/>
      <c r="G40"/>
      <c r="H40"/>
      <c r="I40"/>
      <c r="J40"/>
      <c r="K40"/>
      <c r="L40"/>
      <c r="M40"/>
      <c r="N40"/>
      <c r="O40"/>
      <c r="P40"/>
      <c r="Q40" s="117"/>
      <c r="R40" s="117"/>
      <c r="S40" s="117"/>
      <c r="T40" s="117"/>
      <c r="U40"/>
      <c r="V40"/>
      <c r="W40"/>
      <c r="X40"/>
      <c r="Y40"/>
      <c r="Z40" s="117"/>
      <c r="CE40" s="65" t="str">
        <f t="shared" si="94"/>
        <v>O'Rourke</v>
      </c>
      <c r="CF40" s="65">
        <f t="shared" si="61"/>
        <v>0</v>
      </c>
      <c r="CG40" s="65">
        <f t="shared" si="62"/>
        <v>0</v>
      </c>
      <c r="CH40" s="65">
        <f t="shared" si="63"/>
        <v>0</v>
      </c>
      <c r="CI40" s="65">
        <f t="shared" si="64"/>
        <v>0</v>
      </c>
      <c r="CJ40" s="65">
        <f t="shared" si="65"/>
        <v>0</v>
      </c>
      <c r="CK40" s="69">
        <f t="shared" si="66"/>
        <v>0</v>
      </c>
      <c r="CL40" s="65">
        <f t="shared" si="67"/>
        <v>0</v>
      </c>
      <c r="CM40" s="67">
        <f t="shared" si="68"/>
        <v>0</v>
      </c>
      <c r="CN40" s="65">
        <f t="shared" si="69"/>
        <v>0</v>
      </c>
      <c r="CO40" s="68">
        <f t="array" ref="CO40">SUM(IF(ISERR(FIND("*",D40:CD40)),0,1))</f>
        <v>0</v>
      </c>
      <c r="CP40" s="68">
        <f t="array" ref="CP40">SUM(IF(ISERR(FIND("+",D40:CD40)),0,1))</f>
        <v>0</v>
      </c>
      <c r="CQ40" s="65">
        <f t="shared" si="70"/>
        <v>0</v>
      </c>
      <c r="CR40" s="68">
        <f t="array" ref="CR40">SUM(IF(ISERR(FIND(CR$4,$D40:$CD40)),0,1))</f>
        <v>0</v>
      </c>
      <c r="CS40" s="68">
        <f t="array" ref="CS40">SUM(IF(ISERR(FIND(CS$4,$D40:$CD40)),0,1))</f>
        <v>0</v>
      </c>
      <c r="CT40" s="68">
        <f t="array" ref="CT40">SUM(IF(ISERR(FIND(CT$4,$D40:$CD40)),0,1))</f>
        <v>0</v>
      </c>
      <c r="CU40" s="68">
        <f t="array" ref="CU40">SUM(IF(ISERR(FIND(CU$4,$D40:$CD40)),0,1))</f>
        <v>0</v>
      </c>
      <c r="CV40" s="68">
        <f t="array" ref="CV40">SUM(IF(ISERR(FIND(CV$4,$D40:$CD40)),0,1))</f>
        <v>0</v>
      </c>
      <c r="CW40" s="68">
        <f t="array" ref="CW40">SUM(IF(ISERR(FIND(CW$4,$D40:$CD40)),0,1))</f>
        <v>0</v>
      </c>
      <c r="CX40" s="68">
        <f t="array" ref="CX40">SUM(IF(ISERR(FIND(CX$4,$D40:$CD40)),0,1))</f>
        <v>0</v>
      </c>
      <c r="CY40" s="68">
        <f t="shared" si="71"/>
        <v>0</v>
      </c>
      <c r="CZ40" s="68">
        <f t="shared" si="95"/>
        <v>0</v>
      </c>
      <c r="DA40" s="68">
        <f t="shared" si="72"/>
        <v>0</v>
      </c>
      <c r="DB40" s="68">
        <f t="shared" si="73"/>
        <v>0</v>
      </c>
      <c r="DC40" s="68">
        <f t="shared" si="74"/>
        <v>0</v>
      </c>
      <c r="DD40" s="68">
        <f t="shared" si="75"/>
        <v>0</v>
      </c>
      <c r="DE40" s="68">
        <f t="shared" si="76"/>
        <v>0</v>
      </c>
      <c r="DF40" s="68">
        <f t="shared" si="77"/>
        <v>0</v>
      </c>
      <c r="DG40" s="65">
        <f t="shared" si="78"/>
        <v>4.0000000000000002E-4</v>
      </c>
      <c r="DH40" s="65">
        <f>RANK(DG40,$DG$5:$DG$57)</f>
        <v>48</v>
      </c>
      <c r="DI40" s="65">
        <v>33</v>
      </c>
      <c r="DJ40" s="86" t="str">
        <f t="shared" si="79"/>
        <v/>
      </c>
      <c r="DK40" s="94" t="e">
        <f t="shared" si="80"/>
        <v>#DIV/0!</v>
      </c>
      <c r="DL40" s="172">
        <f t="shared" si="81"/>
        <v>0</v>
      </c>
      <c r="DM40" s="65" t="str">
        <f t="shared" si="82"/>
        <v/>
      </c>
      <c r="DN40" s="65" t="str">
        <f t="shared" si="83"/>
        <v/>
      </c>
      <c r="DO40" s="68">
        <f t="shared" si="84"/>
        <v>0</v>
      </c>
      <c r="DP40" s="65" t="str">
        <f t="shared" si="85"/>
        <v/>
      </c>
      <c r="DQ40" s="68">
        <f t="shared" si="86"/>
        <v>0</v>
      </c>
      <c r="DR40" s="65" t="str">
        <f t="shared" si="87"/>
        <v/>
      </c>
      <c r="DS40" s="68">
        <f t="shared" si="88"/>
        <v>0</v>
      </c>
      <c r="DT40" s="65" t="str">
        <f t="shared" si="89"/>
        <v/>
      </c>
    </row>
    <row r="41" spans="2:124" x14ac:dyDescent="0.15">
      <c r="B41"/>
      <c r="C41" t="s">
        <v>245</v>
      </c>
      <c r="D41" t="s">
        <v>323</v>
      </c>
      <c r="E41" t="s">
        <v>252</v>
      </c>
      <c r="F41"/>
      <c r="G41"/>
      <c r="H41"/>
      <c r="I41"/>
      <c r="J41"/>
      <c r="K41"/>
      <c r="L41"/>
      <c r="M41"/>
      <c r="N41"/>
      <c r="O41"/>
      <c r="P41"/>
      <c r="Q41"/>
      <c r="R41" t="s">
        <v>568</v>
      </c>
      <c r="S41"/>
      <c r="T41"/>
      <c r="U41"/>
      <c r="V41" t="s">
        <v>637</v>
      </c>
      <c r="W41"/>
      <c r="X41" t="s">
        <v>667</v>
      </c>
      <c r="Y41"/>
      <c r="Z41" s="117"/>
      <c r="CE41" s="65" t="str">
        <f t="shared" si="94"/>
        <v>Parboo R</v>
      </c>
      <c r="CF41" s="65">
        <f t="shared" si="61"/>
        <v>5</v>
      </c>
      <c r="CG41" s="65">
        <f t="shared" si="62"/>
        <v>1</v>
      </c>
      <c r="CH41" s="65">
        <f t="shared" si="63"/>
        <v>4</v>
      </c>
      <c r="CI41" s="65">
        <f t="shared" si="64"/>
        <v>2</v>
      </c>
      <c r="CJ41" s="65">
        <f t="shared" si="65"/>
        <v>7</v>
      </c>
      <c r="CK41" s="69">
        <f t="shared" si="66"/>
        <v>7</v>
      </c>
      <c r="CL41" s="65">
        <f t="shared" si="67"/>
        <v>15</v>
      </c>
      <c r="CM41" s="67">
        <f t="shared" si="68"/>
        <v>7.5</v>
      </c>
      <c r="CN41" s="65">
        <f t="shared" si="69"/>
        <v>0</v>
      </c>
      <c r="CO41" s="68">
        <f t="array" ref="CO41">SUM(IF(ISERR(FIND("*",D41:CD41)),0,1))</f>
        <v>0</v>
      </c>
      <c r="CP41" s="68">
        <f t="array" ref="CP41">SUM(IF(ISERR(FIND("+",D41:CD41)),0,1))</f>
        <v>0</v>
      </c>
      <c r="CQ41" s="65">
        <f t="shared" si="70"/>
        <v>0</v>
      </c>
      <c r="CR41" s="68">
        <f t="array" ref="CR41">SUM(IF(ISERR(FIND(CR$4,$D41:$CD41)),0,1))</f>
        <v>1</v>
      </c>
      <c r="CS41" s="68">
        <f t="array" ref="CS41">SUM(IF(ISERR(FIND(CS$4,$D41:$CD41)),0,1))</f>
        <v>0</v>
      </c>
      <c r="CT41" s="68">
        <f t="array" ref="CT41">SUM(IF(ISERR(FIND(CT$4,$D41:$CD41)),0,1))</f>
        <v>0</v>
      </c>
      <c r="CU41" s="68">
        <f t="array" ref="CU41">SUM(IF(ISERR(FIND(CU$4,$D41:$CD41)),0,1))</f>
        <v>0</v>
      </c>
      <c r="CV41" s="68">
        <f t="array" ref="CV41">SUM(IF(ISERR(FIND(CV$4,$D41:$CD41)),0,1))</f>
        <v>1</v>
      </c>
      <c r="CW41" s="68">
        <f t="array" ref="CW41">SUM(IF(ISERR(FIND(CW$4,$D41:$CD41)),0,1))</f>
        <v>0</v>
      </c>
      <c r="CX41" s="68">
        <f t="array" ref="CX41">SUM(IF(ISERR(FIND(CX$4,$D41:$CD41)),0,1))</f>
        <v>0</v>
      </c>
      <c r="CY41" s="68">
        <f t="shared" si="71"/>
        <v>0</v>
      </c>
      <c r="CZ41" s="68">
        <f t="shared" si="95"/>
        <v>0</v>
      </c>
      <c r="DA41" s="68">
        <f t="shared" si="72"/>
        <v>0</v>
      </c>
      <c r="DB41" s="68">
        <f t="shared" si="73"/>
        <v>1</v>
      </c>
      <c r="DC41" s="68">
        <f t="shared" si="74"/>
        <v>0</v>
      </c>
      <c r="DD41" s="68">
        <f t="shared" si="75"/>
        <v>0</v>
      </c>
      <c r="DE41" s="68">
        <f t="shared" si="76"/>
        <v>0</v>
      </c>
      <c r="DF41" s="68">
        <f t="shared" si="77"/>
        <v>0</v>
      </c>
      <c r="DG41" s="65">
        <f t="shared" si="78"/>
        <v>750405.15041</v>
      </c>
      <c r="DH41" s="65">
        <f>RANK(DG41,$DG$5:$DG$57)</f>
        <v>22</v>
      </c>
      <c r="DI41" s="65">
        <v>34</v>
      </c>
      <c r="DJ41" s="86" t="str">
        <f t="shared" si="79"/>
        <v/>
      </c>
      <c r="DK41" s="94">
        <f t="shared" si="80"/>
        <v>0</v>
      </c>
      <c r="DL41" s="172">
        <f t="shared" si="81"/>
        <v>0</v>
      </c>
      <c r="DM41" s="65" t="str">
        <f t="shared" si="82"/>
        <v/>
      </c>
      <c r="DN41" s="65" t="str">
        <f t="shared" si="83"/>
        <v/>
      </c>
      <c r="DO41" s="68">
        <f t="shared" si="84"/>
        <v>0</v>
      </c>
      <c r="DP41" s="65" t="str">
        <f t="shared" si="85"/>
        <v/>
      </c>
      <c r="DQ41" s="68">
        <f t="shared" si="86"/>
        <v>1</v>
      </c>
      <c r="DR41" s="65" t="str">
        <f t="shared" si="87"/>
        <v>Parboo R</v>
      </c>
      <c r="DS41" s="68">
        <f t="shared" si="88"/>
        <v>0</v>
      </c>
      <c r="DT41" s="65" t="str">
        <f t="shared" si="89"/>
        <v/>
      </c>
    </row>
    <row r="42" spans="2:124" x14ac:dyDescent="0.15">
      <c r="B42" t="s">
        <v>240</v>
      </c>
      <c r="C42" t="s">
        <v>241</v>
      </c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 s="117"/>
      <c r="CE42" s="65" t="str">
        <f t="shared" si="94"/>
        <v>Rathi N</v>
      </c>
      <c r="CF42" s="65">
        <f t="shared" si="61"/>
        <v>0</v>
      </c>
      <c r="CG42" s="65">
        <f t="shared" si="62"/>
        <v>0</v>
      </c>
      <c r="CH42" s="65">
        <f t="shared" si="63"/>
        <v>0</v>
      </c>
      <c r="CI42" s="65">
        <f t="shared" si="64"/>
        <v>0</v>
      </c>
      <c r="CJ42" s="65">
        <f t="shared" si="65"/>
        <v>0</v>
      </c>
      <c r="CK42" s="69">
        <f t="shared" si="66"/>
        <v>0</v>
      </c>
      <c r="CL42" s="65">
        <f t="shared" si="67"/>
        <v>0</v>
      </c>
      <c r="CM42" s="67">
        <f t="shared" si="68"/>
        <v>0</v>
      </c>
      <c r="CN42" s="65">
        <f t="shared" si="69"/>
        <v>0</v>
      </c>
      <c r="CO42" s="68">
        <f t="array" ref="CO42">SUM(IF(ISERR(FIND("*",D42:CD42)),0,1))</f>
        <v>0</v>
      </c>
      <c r="CP42" s="68">
        <f t="array" ref="CP42">SUM(IF(ISERR(FIND("+",D42:CD42)),0,1))</f>
        <v>0</v>
      </c>
      <c r="CQ42" s="65">
        <f t="shared" si="70"/>
        <v>0</v>
      </c>
      <c r="CR42" s="68">
        <f t="array" ref="CR42">SUM(IF(ISERR(FIND(CR$4,$D42:$CD42)),0,1))</f>
        <v>0</v>
      </c>
      <c r="CS42" s="68">
        <f t="array" ref="CS42">SUM(IF(ISERR(FIND(CS$4,$D42:$CD42)),0,1))</f>
        <v>0</v>
      </c>
      <c r="CT42" s="68">
        <f t="array" ref="CT42">SUM(IF(ISERR(FIND(CT$4,$D42:$CD42)),0,1))</f>
        <v>0</v>
      </c>
      <c r="CU42" s="68">
        <f t="array" ref="CU42">SUM(IF(ISERR(FIND(CU$4,$D42:$CD42)),0,1))</f>
        <v>0</v>
      </c>
      <c r="CV42" s="68">
        <f t="array" ref="CV42">SUM(IF(ISERR(FIND(CV$4,$D42:$CD42)),0,1))</f>
        <v>0</v>
      </c>
      <c r="CW42" s="68">
        <f t="array" ref="CW42">SUM(IF(ISERR(FIND(CW$4,$D42:$CD42)),0,1))</f>
        <v>0</v>
      </c>
      <c r="CX42" s="68">
        <f t="array" ref="CX42">SUM(IF(ISERR(FIND(CX$4,$D42:$CD42)),0,1))</f>
        <v>0</v>
      </c>
      <c r="CY42" s="68">
        <f t="shared" si="71"/>
        <v>0</v>
      </c>
      <c r="CZ42" s="68">
        <f t="shared" si="95"/>
        <v>0</v>
      </c>
      <c r="DA42" s="68">
        <f t="shared" si="72"/>
        <v>0</v>
      </c>
      <c r="DB42" s="68">
        <f t="shared" si="73"/>
        <v>0</v>
      </c>
      <c r="DC42" s="68">
        <f t="shared" si="74"/>
        <v>0</v>
      </c>
      <c r="DD42" s="68">
        <f t="shared" si="75"/>
        <v>0</v>
      </c>
      <c r="DE42" s="68">
        <f t="shared" si="76"/>
        <v>0</v>
      </c>
      <c r="DF42" s="68">
        <f t="shared" si="77"/>
        <v>0</v>
      </c>
      <c r="DG42" s="65">
        <f t="shared" si="78"/>
        <v>4.2000000000000002E-4</v>
      </c>
      <c r="DH42" s="65">
        <f>RANK(DG42,$DG$5:$DG$57)</f>
        <v>47</v>
      </c>
      <c r="DI42" s="65">
        <v>35</v>
      </c>
      <c r="DJ42" s="86" t="str">
        <f t="shared" si="79"/>
        <v/>
      </c>
      <c r="DK42" s="94" t="e">
        <f t="shared" si="80"/>
        <v>#DIV/0!</v>
      </c>
      <c r="DL42" s="172">
        <f t="shared" si="81"/>
        <v>0</v>
      </c>
      <c r="DM42" s="65" t="str">
        <f t="shared" si="82"/>
        <v/>
      </c>
      <c r="DN42" s="65" t="str">
        <f t="shared" si="83"/>
        <v/>
      </c>
      <c r="DO42" s="68">
        <f t="shared" si="84"/>
        <v>0</v>
      </c>
      <c r="DP42" s="65" t="str">
        <f t="shared" si="85"/>
        <v/>
      </c>
      <c r="DQ42" s="68">
        <f t="shared" si="86"/>
        <v>0</v>
      </c>
      <c r="DR42" s="65" t="str">
        <f t="shared" si="87"/>
        <v/>
      </c>
      <c r="DS42" s="68">
        <f t="shared" si="88"/>
        <v>0</v>
      </c>
      <c r="DT42" s="65" t="str">
        <f t="shared" si="89"/>
        <v/>
      </c>
    </row>
    <row r="43" spans="2:124" x14ac:dyDescent="0.15">
      <c r="B43" s="117" t="s">
        <v>279</v>
      </c>
      <c r="C43" s="117" t="s">
        <v>280</v>
      </c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CE43" s="65" t="str">
        <f t="shared" si="94"/>
        <v>Seev J</v>
      </c>
      <c r="CF43" s="65">
        <f t="shared" si="61"/>
        <v>0</v>
      </c>
      <c r="CG43" s="65">
        <f t="shared" si="62"/>
        <v>0</v>
      </c>
      <c r="CH43" s="65">
        <f t="shared" si="63"/>
        <v>0</v>
      </c>
      <c r="CI43" s="65">
        <f t="shared" si="64"/>
        <v>0</v>
      </c>
      <c r="CJ43" s="65">
        <f t="shared" si="65"/>
        <v>0</v>
      </c>
      <c r="CK43" s="69">
        <f t="shared" si="66"/>
        <v>0</v>
      </c>
      <c r="CL43" s="65">
        <f t="shared" si="67"/>
        <v>0</v>
      </c>
      <c r="CM43" s="67">
        <f t="shared" si="68"/>
        <v>0</v>
      </c>
      <c r="CN43" s="65">
        <f t="shared" si="69"/>
        <v>0</v>
      </c>
      <c r="CO43" s="68">
        <f t="array" ref="CO43">SUM(IF(ISERR(FIND("*",D43:CD43)),0,1))</f>
        <v>0</v>
      </c>
      <c r="CP43" s="68">
        <f t="array" ref="CP43">SUM(IF(ISERR(FIND("+",D43:CD43)),0,1))</f>
        <v>0</v>
      </c>
      <c r="CQ43" s="65">
        <f t="shared" si="70"/>
        <v>0</v>
      </c>
      <c r="CR43" s="68">
        <f t="array" ref="CR43">SUM(IF(ISERR(FIND(CR$4,$D43:$CD43)),0,1))</f>
        <v>0</v>
      </c>
      <c r="CS43" s="68">
        <f t="array" ref="CS43">SUM(IF(ISERR(FIND(CS$4,$D43:$CD43)),0,1))</f>
        <v>0</v>
      </c>
      <c r="CT43" s="68">
        <f t="array" ref="CT43">SUM(IF(ISERR(FIND(CT$4,$D43:$CD43)),0,1))</f>
        <v>0</v>
      </c>
      <c r="CU43" s="68">
        <f t="array" ref="CU43">SUM(IF(ISERR(FIND(CU$4,$D43:$CD43)),0,1))</f>
        <v>0</v>
      </c>
      <c r="CV43" s="68">
        <f t="array" ref="CV43">SUM(IF(ISERR(FIND(CV$4,$D43:$CD43)),0,1))</f>
        <v>0</v>
      </c>
      <c r="CW43" s="68">
        <f t="array" ref="CW43">SUM(IF(ISERR(FIND(CW$4,$D43:$CD43)),0,1))</f>
        <v>0</v>
      </c>
      <c r="CX43" s="68">
        <f t="array" ref="CX43">SUM(IF(ISERR(FIND(CX$4,$D43:$CD43)),0,1))</f>
        <v>0</v>
      </c>
      <c r="CY43" s="68">
        <f t="shared" si="71"/>
        <v>0</v>
      </c>
      <c r="CZ43" s="68">
        <f t="shared" si="95"/>
        <v>0</v>
      </c>
      <c r="DA43" s="68">
        <f t="shared" si="72"/>
        <v>0</v>
      </c>
      <c r="DB43" s="68">
        <f t="shared" si="73"/>
        <v>0</v>
      </c>
      <c r="DC43" s="68">
        <f t="shared" si="74"/>
        <v>0</v>
      </c>
      <c r="DD43" s="68">
        <f t="shared" si="75"/>
        <v>0</v>
      </c>
      <c r="DE43" s="68">
        <f t="shared" si="76"/>
        <v>0</v>
      </c>
      <c r="DF43" s="68">
        <f t="shared" si="77"/>
        <v>0</v>
      </c>
      <c r="DG43" s="65">
        <f t="shared" si="78"/>
        <v>4.2999999999999999E-4</v>
      </c>
      <c r="DH43" s="65">
        <f>RANK(DG43,$DG$5:$DG$57)</f>
        <v>46</v>
      </c>
      <c r="DI43" s="65">
        <v>36</v>
      </c>
      <c r="DJ43" s="86" t="str">
        <f t="shared" si="79"/>
        <v/>
      </c>
      <c r="DK43" s="94" t="e">
        <f t="shared" si="80"/>
        <v>#DIV/0!</v>
      </c>
      <c r="DL43" s="172">
        <f t="shared" si="81"/>
        <v>0</v>
      </c>
      <c r="DM43" s="65" t="str">
        <f t="shared" si="82"/>
        <v/>
      </c>
      <c r="DN43" s="65" t="str">
        <f t="shared" si="83"/>
        <v/>
      </c>
      <c r="DO43" s="68">
        <f t="shared" si="84"/>
        <v>0</v>
      </c>
      <c r="DP43" s="65" t="str">
        <f t="shared" si="85"/>
        <v/>
      </c>
      <c r="DQ43" s="68">
        <f t="shared" si="86"/>
        <v>0</v>
      </c>
      <c r="DR43" s="65" t="str">
        <f t="shared" si="87"/>
        <v/>
      </c>
      <c r="DS43" s="68">
        <f t="shared" si="88"/>
        <v>0</v>
      </c>
      <c r="DT43" s="65" t="str">
        <f t="shared" si="89"/>
        <v/>
      </c>
    </row>
    <row r="44" spans="2:124" x14ac:dyDescent="0.15">
      <c r="B44" s="65" t="s">
        <v>28</v>
      </c>
      <c r="C44" s="65" t="s">
        <v>200</v>
      </c>
      <c r="D44" t="s">
        <v>314</v>
      </c>
      <c r="E44" t="s">
        <v>335</v>
      </c>
      <c r="F44" t="s">
        <v>350</v>
      </c>
      <c r="G44" t="s">
        <v>369</v>
      </c>
      <c r="H44" t="s">
        <v>394</v>
      </c>
      <c r="I44"/>
      <c r="J44" s="117" t="s">
        <v>227</v>
      </c>
      <c r="K44" s="117" t="s">
        <v>432</v>
      </c>
      <c r="L44" s="117" t="s">
        <v>453</v>
      </c>
      <c r="M44" s="117" t="s">
        <v>467</v>
      </c>
      <c r="N44" s="117" t="s">
        <v>493</v>
      </c>
      <c r="O44" s="117" t="s">
        <v>508</v>
      </c>
      <c r="P44" s="117" t="s">
        <v>531</v>
      </c>
      <c r="Q44" s="117" t="s">
        <v>537</v>
      </c>
      <c r="R44" s="117" t="s">
        <v>564</v>
      </c>
      <c r="S44" s="117" t="s">
        <v>302</v>
      </c>
      <c r="T44" s="117" t="s">
        <v>594</v>
      </c>
      <c r="U44" s="117" t="s">
        <v>611</v>
      </c>
      <c r="W44" s="117" t="s">
        <v>648</v>
      </c>
      <c r="X44" s="117" t="s">
        <v>670</v>
      </c>
      <c r="Y44"/>
      <c r="Z44"/>
      <c r="CE44" s="65" t="str">
        <f t="shared" si="94"/>
        <v>Seymour C</v>
      </c>
      <c r="CF44" s="65">
        <f t="shared" si="61"/>
        <v>19</v>
      </c>
      <c r="CG44" s="65">
        <f t="shared" si="62"/>
        <v>2</v>
      </c>
      <c r="CH44" s="65">
        <f t="shared" si="63"/>
        <v>17</v>
      </c>
      <c r="CI44" s="65">
        <f t="shared" si="64"/>
        <v>2</v>
      </c>
      <c r="CJ44" s="65">
        <f t="shared" si="65"/>
        <v>37</v>
      </c>
      <c r="CK44" s="69">
        <f t="shared" si="66"/>
        <v>37</v>
      </c>
      <c r="CL44" s="65">
        <f t="shared" si="67"/>
        <v>259</v>
      </c>
      <c r="CM44" s="67">
        <f t="shared" si="68"/>
        <v>17.266666666666666</v>
      </c>
      <c r="CN44" s="65">
        <f t="shared" si="69"/>
        <v>10</v>
      </c>
      <c r="CO44" s="68">
        <f t="array" ref="CO44">SUM(IF(ISERR(FIND("*",D44:CD44)),0,1))</f>
        <v>1</v>
      </c>
      <c r="CP44" s="68">
        <f t="array" ref="CP44">SUM(IF(ISERR(FIND("+",D44:CD44)),0,1))</f>
        <v>0</v>
      </c>
      <c r="CQ44" s="65">
        <f t="shared" si="70"/>
        <v>0</v>
      </c>
      <c r="CR44" s="68">
        <f t="array" ref="CR44">SUM(IF(ISERR(FIND(CR$4,$D44:$CD44)),0,1))</f>
        <v>2</v>
      </c>
      <c r="CS44" s="68">
        <f t="array" ref="CS44">SUM(IF(ISERR(FIND(CS$4,$D44:$CD44)),0,1))</f>
        <v>8</v>
      </c>
      <c r="CT44" s="68">
        <f t="array" ref="CT44">SUM(IF(ISERR(FIND(CT$4,$D44:$CD44)),0,1))</f>
        <v>5</v>
      </c>
      <c r="CU44" s="68">
        <f t="array" ref="CU44">SUM(IF(ISERR(FIND(CU$4,$D44:$CD44)),0,1))</f>
        <v>0</v>
      </c>
      <c r="CV44" s="68">
        <f t="array" ref="CV44">SUM(IF(ISERR(FIND(CV$4,$D44:$CD44)),0,1))</f>
        <v>0</v>
      </c>
      <c r="CW44" s="68">
        <f t="array" ref="CW44">SUM(IF(ISERR(FIND(CW$4,$D44:$CD44)),0,1))</f>
        <v>0</v>
      </c>
      <c r="CX44" s="68">
        <f t="array" ref="CX44">SUM(IF(ISERR(FIND(CX$4,$D44:$CD44)),0,1))</f>
        <v>0</v>
      </c>
      <c r="CY44" s="68">
        <f t="shared" si="71"/>
        <v>0</v>
      </c>
      <c r="CZ44" s="68">
        <f t="shared" si="95"/>
        <v>0</v>
      </c>
      <c r="DA44" s="68">
        <f t="shared" si="72"/>
        <v>2</v>
      </c>
      <c r="DB44" s="68">
        <f t="shared" si="73"/>
        <v>31</v>
      </c>
      <c r="DC44" s="68">
        <f t="shared" si="74"/>
        <v>0</v>
      </c>
      <c r="DD44" s="68">
        <f t="shared" si="75"/>
        <v>0</v>
      </c>
      <c r="DE44" s="68">
        <f t="shared" si="76"/>
        <v>0</v>
      </c>
      <c r="DF44" s="68">
        <f t="shared" si="77"/>
        <v>7</v>
      </c>
      <c r="DG44" s="65">
        <f t="shared" si="78"/>
        <v>1728721.5904400002</v>
      </c>
      <c r="DH44" s="65">
        <f>RANK(DG44,$DG$5:$DG$57)</f>
        <v>10</v>
      </c>
      <c r="DI44" s="65">
        <v>37</v>
      </c>
      <c r="DJ44" s="86">
        <f t="shared" si="79"/>
        <v>1.1930501930501931</v>
      </c>
      <c r="DK44" s="94">
        <f t="shared" si="80"/>
        <v>0</v>
      </c>
      <c r="DL44" s="172">
        <f t="shared" si="81"/>
        <v>2</v>
      </c>
      <c r="DM44" s="65" t="str">
        <f t="shared" si="82"/>
        <v>2</v>
      </c>
      <c r="DN44" s="65" t="str">
        <f t="shared" si="83"/>
        <v>Seymour C</v>
      </c>
      <c r="DO44" s="68">
        <f t="shared" si="84"/>
        <v>0</v>
      </c>
      <c r="DP44" s="65" t="str">
        <f t="shared" si="85"/>
        <v/>
      </c>
      <c r="DQ44" s="68">
        <f t="shared" si="86"/>
        <v>31</v>
      </c>
      <c r="DR44" s="65" t="str">
        <f t="shared" si="87"/>
        <v>Seymour C</v>
      </c>
      <c r="DS44" s="68">
        <f t="shared" si="88"/>
        <v>7</v>
      </c>
      <c r="DT44" s="65" t="str">
        <f t="shared" si="89"/>
        <v>Seymour C</v>
      </c>
    </row>
    <row r="45" spans="2:124" x14ac:dyDescent="0.15">
      <c r="B45" s="117" t="s">
        <v>282</v>
      </c>
      <c r="C45" s="117" t="s">
        <v>289</v>
      </c>
      <c r="D45"/>
      <c r="F45"/>
      <c r="G45"/>
      <c r="H45"/>
      <c r="I45"/>
      <c r="J45"/>
      <c r="K45"/>
      <c r="L45" s="117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CE45" s="65" t="str">
        <f t="shared" si="94"/>
        <v>Seymour D</v>
      </c>
      <c r="CF45" s="65">
        <f t="shared" si="61"/>
        <v>0</v>
      </c>
      <c r="CG45" s="65">
        <f t="shared" si="62"/>
        <v>0</v>
      </c>
      <c r="CH45" s="65">
        <f t="shared" si="63"/>
        <v>0</v>
      </c>
      <c r="CI45" s="65">
        <f t="shared" si="64"/>
        <v>0</v>
      </c>
      <c r="CJ45" s="65">
        <f t="shared" si="65"/>
        <v>0</v>
      </c>
      <c r="CK45" s="69">
        <f t="shared" si="66"/>
        <v>0</v>
      </c>
      <c r="CL45" s="65">
        <f t="shared" si="67"/>
        <v>0</v>
      </c>
      <c r="CM45" s="67">
        <f t="shared" si="68"/>
        <v>0</v>
      </c>
      <c r="CN45" s="65">
        <f t="shared" si="69"/>
        <v>0</v>
      </c>
      <c r="CO45" s="68">
        <f t="array" ref="CO45">SUM(IF(ISERR(FIND("*",D45:CD45)),0,1))</f>
        <v>0</v>
      </c>
      <c r="CP45" s="68">
        <f t="array" ref="CP45">SUM(IF(ISERR(FIND("+",D45:CD45)),0,1))</f>
        <v>0</v>
      </c>
      <c r="CQ45" s="65">
        <f t="shared" si="70"/>
        <v>0</v>
      </c>
      <c r="CR45" s="68">
        <f t="array" ref="CR45">SUM(IF(ISERR(FIND(CR$4,$D45:$CD45)),0,1))</f>
        <v>0</v>
      </c>
      <c r="CS45" s="68">
        <f t="array" ref="CS45">SUM(IF(ISERR(FIND(CS$4,$D45:$CD45)),0,1))</f>
        <v>0</v>
      </c>
      <c r="CT45" s="68">
        <f t="array" ref="CT45">SUM(IF(ISERR(FIND(CT$4,$D45:$CD45)),0,1))</f>
        <v>0</v>
      </c>
      <c r="CU45" s="68">
        <f t="array" ref="CU45">SUM(IF(ISERR(FIND(CU$4,$D45:$CD45)),0,1))</f>
        <v>0</v>
      </c>
      <c r="CV45" s="68">
        <f t="array" ref="CV45">SUM(IF(ISERR(FIND(CV$4,$D45:$CD45)),0,1))</f>
        <v>0</v>
      </c>
      <c r="CW45" s="68">
        <f t="array" ref="CW45">SUM(IF(ISERR(FIND(CW$4,$D45:$CD45)),0,1))</f>
        <v>0</v>
      </c>
      <c r="CX45" s="68">
        <f t="array" ref="CX45">SUM(IF(ISERR(FIND(CX$4,$D45:$CD45)),0,1))</f>
        <v>0</v>
      </c>
      <c r="CY45" s="68">
        <f t="shared" si="71"/>
        <v>0</v>
      </c>
      <c r="CZ45" s="68">
        <f t="shared" si="95"/>
        <v>0</v>
      </c>
      <c r="DA45" s="68">
        <f t="shared" si="72"/>
        <v>0</v>
      </c>
      <c r="DB45" s="68">
        <f t="shared" si="73"/>
        <v>0</v>
      </c>
      <c r="DC45" s="68">
        <f t="shared" si="74"/>
        <v>0</v>
      </c>
      <c r="DD45" s="68">
        <f t="shared" si="75"/>
        <v>0</v>
      </c>
      <c r="DE45" s="68">
        <f t="shared" si="76"/>
        <v>0</v>
      </c>
      <c r="DF45" s="68">
        <f t="shared" si="77"/>
        <v>0</v>
      </c>
      <c r="DG45" s="65">
        <f t="shared" si="78"/>
        <v>4.4999999999999999E-4</v>
      </c>
      <c r="DH45" s="65">
        <f>RANK(DG45,$DG$5:$DG$57)</f>
        <v>45</v>
      </c>
      <c r="DI45" s="65">
        <v>38</v>
      </c>
      <c r="DJ45" s="86" t="str">
        <f t="shared" si="79"/>
        <v/>
      </c>
      <c r="DK45" s="94" t="e">
        <f t="shared" si="80"/>
        <v>#DIV/0!</v>
      </c>
      <c r="DL45" s="172">
        <f t="shared" si="81"/>
        <v>0</v>
      </c>
      <c r="DM45" s="65" t="str">
        <f t="shared" si="82"/>
        <v/>
      </c>
      <c r="DN45" s="65" t="str">
        <f t="shared" si="83"/>
        <v/>
      </c>
      <c r="DO45" s="68">
        <f t="shared" si="84"/>
        <v>0</v>
      </c>
      <c r="DP45" s="65" t="str">
        <f t="shared" si="85"/>
        <v/>
      </c>
      <c r="DQ45" s="68">
        <f t="shared" si="86"/>
        <v>0</v>
      </c>
      <c r="DR45" s="65" t="str">
        <f t="shared" si="87"/>
        <v/>
      </c>
      <c r="DS45" s="68">
        <f t="shared" si="88"/>
        <v>0</v>
      </c>
      <c r="DT45" s="65" t="str">
        <f t="shared" si="89"/>
        <v/>
      </c>
    </row>
    <row r="46" spans="2:124" x14ac:dyDescent="0.15">
      <c r="B46" s="65" t="s">
        <v>24</v>
      </c>
      <c r="C46" s="65" t="s">
        <v>138</v>
      </c>
      <c r="D46"/>
      <c r="E46" t="s">
        <v>336</v>
      </c>
      <c r="F46" t="s">
        <v>358</v>
      </c>
      <c r="G46" t="s">
        <v>368</v>
      </c>
      <c r="H46" t="s">
        <v>387</v>
      </c>
      <c r="I46"/>
      <c r="J46" t="s">
        <v>418</v>
      </c>
      <c r="K46" t="s">
        <v>433</v>
      </c>
      <c r="L46"/>
      <c r="M46"/>
      <c r="N46"/>
      <c r="O46"/>
      <c r="P46" t="s">
        <v>525</v>
      </c>
      <c r="Q46" t="s">
        <v>536</v>
      </c>
      <c r="R46" t="s">
        <v>561</v>
      </c>
      <c r="S46" t="s">
        <v>577</v>
      </c>
      <c r="T46"/>
      <c r="U46"/>
      <c r="V46" t="s">
        <v>633</v>
      </c>
      <c r="W46" t="s">
        <v>647</v>
      </c>
      <c r="X46" t="s">
        <v>663</v>
      </c>
      <c r="Y46"/>
      <c r="Z46"/>
      <c r="CE46" s="117" t="str">
        <f t="shared" si="94"/>
        <v>Sharpe D</v>
      </c>
      <c r="CF46" s="65">
        <f t="shared" si="61"/>
        <v>13</v>
      </c>
      <c r="CG46" s="65">
        <f t="shared" si="62"/>
        <v>0</v>
      </c>
      <c r="CH46" s="65">
        <f t="shared" si="63"/>
        <v>13</v>
      </c>
      <c r="CI46" s="65">
        <f t="shared" si="64"/>
        <v>0</v>
      </c>
      <c r="CJ46" s="65">
        <f t="shared" si="65"/>
        <v>117</v>
      </c>
      <c r="CK46" s="69">
        <f t="shared" si="66"/>
        <v>117</v>
      </c>
      <c r="CL46" s="65">
        <f t="shared" si="67"/>
        <v>476</v>
      </c>
      <c r="CM46" s="67">
        <f t="shared" si="68"/>
        <v>36.615384615384613</v>
      </c>
      <c r="CN46" s="65">
        <f t="shared" si="69"/>
        <v>5</v>
      </c>
      <c r="CO46" s="68">
        <f t="array" ref="CO46">SUM(IF(ISERR(FIND("*",D46:CD46)),0,1))</f>
        <v>1</v>
      </c>
      <c r="CP46" s="68">
        <f t="array" ref="CP46">SUM(IF(ISERR(FIND("+",D46:CD46)),0,1))</f>
        <v>2</v>
      </c>
      <c r="CQ46" s="65">
        <f t="shared" si="70"/>
        <v>1</v>
      </c>
      <c r="CR46" s="68">
        <f t="array" ref="CR46">SUM(IF(ISERR(FIND(CR$4,$D46:$CD46)),0,1))</f>
        <v>3</v>
      </c>
      <c r="CS46" s="68">
        <f t="array" ref="CS46">SUM(IF(ISERR(FIND(CS$4,$D46:$CD46)),0,1))</f>
        <v>10</v>
      </c>
      <c r="CT46" s="68">
        <f t="array" ref="CT46">SUM(IF(ISERR(FIND(CT$4,$D46:$CD46)),0,1))</f>
        <v>0</v>
      </c>
      <c r="CU46" s="68">
        <f t="array" ref="CU46">SUM(IF(ISERR(FIND(CU$4,$D46:$CD46)),0,1))</f>
        <v>0</v>
      </c>
      <c r="CV46" s="68">
        <f t="array" ref="CV46">SUM(IF(ISERR(FIND(CV$4,$D46:$CD46)),0,1))</f>
        <v>0</v>
      </c>
      <c r="CW46" s="68">
        <f t="array" ref="CW46">SUM(IF(ISERR(FIND(CW$4,$D46:$CD46)),0,1))</f>
        <v>0</v>
      </c>
      <c r="CX46" s="68">
        <f t="array" ref="CX46">SUM(IF(ISERR(FIND(CX$4,$D46:$CD46)),0,1))</f>
        <v>0</v>
      </c>
      <c r="CY46" s="68">
        <f t="shared" si="71"/>
        <v>4</v>
      </c>
      <c r="CZ46" s="68">
        <f t="shared" si="95"/>
        <v>2</v>
      </c>
      <c r="DA46" s="68">
        <f t="shared" si="72"/>
        <v>4</v>
      </c>
      <c r="DB46" s="68">
        <f t="shared" si="73"/>
        <v>67</v>
      </c>
      <c r="DC46" s="68">
        <f t="shared" si="74"/>
        <v>15</v>
      </c>
      <c r="DD46" s="68">
        <f t="shared" si="75"/>
        <v>0</v>
      </c>
      <c r="DE46" s="68">
        <f t="shared" si="76"/>
        <v>3</v>
      </c>
      <c r="DF46" s="68">
        <f t="shared" si="77"/>
        <v>7</v>
      </c>
      <c r="DG46" s="65">
        <f t="shared" si="78"/>
        <v>3663317.7604599991</v>
      </c>
      <c r="DH46" s="65">
        <f>RANK(DG46,$DG$5:$DG$57)</f>
        <v>3</v>
      </c>
      <c r="DI46" s="65">
        <v>39</v>
      </c>
      <c r="DJ46" s="86">
        <f t="shared" si="79"/>
        <v>1.161764705882353</v>
      </c>
      <c r="DK46" s="94">
        <f t="shared" si="80"/>
        <v>7.6923076923076927E-2</v>
      </c>
      <c r="DL46" s="172">
        <f t="shared" si="81"/>
        <v>4</v>
      </c>
      <c r="DM46" s="65" t="str">
        <f t="shared" si="82"/>
        <v>4 (3)</v>
      </c>
      <c r="DN46" s="65" t="str">
        <f t="shared" si="83"/>
        <v>Sharpe D</v>
      </c>
      <c r="DO46" s="68">
        <f t="shared" si="84"/>
        <v>15</v>
      </c>
      <c r="DP46" s="65" t="str">
        <f t="shared" si="85"/>
        <v>Sharpe D</v>
      </c>
      <c r="DQ46" s="68">
        <f t="shared" si="86"/>
        <v>67</v>
      </c>
      <c r="DR46" s="65" t="str">
        <f t="shared" si="87"/>
        <v>Sharpe D</v>
      </c>
      <c r="DS46" s="68">
        <f t="shared" si="88"/>
        <v>7</v>
      </c>
      <c r="DT46" s="65" t="str">
        <f t="shared" si="89"/>
        <v>Sharpe D</v>
      </c>
    </row>
    <row r="47" spans="2:124" x14ac:dyDescent="0.15">
      <c r="B47" s="117" t="s">
        <v>374</v>
      </c>
      <c r="C47" s="117" t="s">
        <v>375</v>
      </c>
      <c r="D47"/>
      <c r="E47"/>
      <c r="F47"/>
      <c r="G47" t="s">
        <v>266</v>
      </c>
      <c r="H47" t="s">
        <v>227</v>
      </c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CE47" s="65" t="str">
        <f t="shared" si="94"/>
        <v>Sharpe H</v>
      </c>
      <c r="CF47" s="65">
        <f t="shared" si="61"/>
        <v>2</v>
      </c>
      <c r="CG47" s="65">
        <f t="shared" si="62"/>
        <v>1</v>
      </c>
      <c r="CH47" s="65">
        <f t="shared" si="63"/>
        <v>1</v>
      </c>
      <c r="CI47" s="65">
        <f t="shared" si="64"/>
        <v>0</v>
      </c>
      <c r="CJ47" s="65">
        <f t="shared" si="65"/>
        <v>0</v>
      </c>
      <c r="CK47" s="69">
        <f t="shared" si="66"/>
        <v>0</v>
      </c>
      <c r="CL47" s="65">
        <f t="shared" si="67"/>
        <v>0</v>
      </c>
      <c r="CM47" s="67">
        <f t="shared" si="68"/>
        <v>0</v>
      </c>
      <c r="CN47" s="65">
        <f t="shared" si="69"/>
        <v>0</v>
      </c>
      <c r="CO47" s="68">
        <f t="array" ref="CO47">SUM(IF(ISERR(FIND("*",D47:CD47)),0,1))</f>
        <v>0</v>
      </c>
      <c r="CP47" s="68">
        <f t="array" ref="CP47">SUM(IF(ISERR(FIND("+",D47:CD47)),0,1))</f>
        <v>0</v>
      </c>
      <c r="CQ47" s="65">
        <f t="shared" si="70"/>
        <v>1</v>
      </c>
      <c r="CR47" s="68">
        <f t="array" ref="CR47">SUM(IF(ISERR(FIND(CR$4,$D47:$CD47)),0,1))</f>
        <v>1</v>
      </c>
      <c r="CS47" s="68">
        <f t="array" ref="CS47">SUM(IF(ISERR(FIND(CS$4,$D47:$CD47)),0,1))</f>
        <v>0</v>
      </c>
      <c r="CT47" s="68">
        <f t="array" ref="CT47">SUM(IF(ISERR(FIND(CT$4,$D47:$CD47)),0,1))</f>
        <v>0</v>
      </c>
      <c r="CU47" s="68">
        <f t="array" ref="CU47">SUM(IF(ISERR(FIND(CU$4,$D47:$CD47)),0,1))</f>
        <v>0</v>
      </c>
      <c r="CV47" s="68">
        <f t="array" ref="CV47">SUM(IF(ISERR(FIND(CV$4,$D47:$CD47)),0,1))</f>
        <v>0</v>
      </c>
      <c r="CW47" s="68">
        <f t="array" ref="CW47">SUM(IF(ISERR(FIND(CW$4,$D47:$CD47)),0,1))</f>
        <v>0</v>
      </c>
      <c r="CX47" s="68">
        <f t="array" ref="CX47">SUM(IF(ISERR(FIND(CX$4,$D47:$CD47)),0,1))</f>
        <v>0</v>
      </c>
      <c r="CY47" s="68">
        <f t="shared" si="71"/>
        <v>0</v>
      </c>
      <c r="CZ47" s="68">
        <f t="shared" si="95"/>
        <v>0</v>
      </c>
      <c r="DA47" s="68">
        <f t="shared" si="72"/>
        <v>0</v>
      </c>
      <c r="DB47" s="68">
        <f t="shared" si="73"/>
        <v>0</v>
      </c>
      <c r="DC47" s="68">
        <f t="shared" si="74"/>
        <v>0</v>
      </c>
      <c r="DD47" s="68">
        <f t="shared" si="75"/>
        <v>0</v>
      </c>
      <c r="DE47" s="68">
        <f t="shared" si="76"/>
        <v>0</v>
      </c>
      <c r="DF47" s="68">
        <f t="shared" si="77"/>
        <v>0</v>
      </c>
      <c r="DG47" s="65">
        <f t="shared" si="78"/>
        <v>102.00047000000001</v>
      </c>
      <c r="DH47" s="65">
        <f>RANK(DG47,$DG$5:$DG$57)</f>
        <v>34</v>
      </c>
      <c r="DI47" s="65">
        <v>40</v>
      </c>
      <c r="DJ47" s="86" t="str">
        <f t="shared" si="79"/>
        <v/>
      </c>
      <c r="DK47" s="94">
        <f t="shared" si="80"/>
        <v>1</v>
      </c>
      <c r="DL47" s="172">
        <f t="shared" si="81"/>
        <v>0</v>
      </c>
      <c r="DM47" s="65" t="str">
        <f t="shared" si="82"/>
        <v/>
      </c>
      <c r="DN47" s="65" t="str">
        <f t="shared" si="83"/>
        <v/>
      </c>
      <c r="DO47" s="68">
        <f t="shared" si="84"/>
        <v>0</v>
      </c>
      <c r="DP47" s="65" t="str">
        <f t="shared" si="85"/>
        <v/>
      </c>
      <c r="DQ47" s="68">
        <f t="shared" si="86"/>
        <v>0</v>
      </c>
      <c r="DR47" s="65" t="str">
        <f t="shared" si="87"/>
        <v/>
      </c>
      <c r="DS47" s="68">
        <f t="shared" si="88"/>
        <v>0</v>
      </c>
      <c r="DT47" s="65" t="str">
        <f t="shared" si="89"/>
        <v/>
      </c>
    </row>
    <row r="48" spans="2:124" x14ac:dyDescent="0.15">
      <c r="B48" s="117" t="s">
        <v>544</v>
      </c>
      <c r="C48" s="117" t="s">
        <v>527</v>
      </c>
      <c r="D48"/>
      <c r="E48"/>
      <c r="F48"/>
      <c r="G48"/>
      <c r="H48"/>
      <c r="I48"/>
      <c r="J48"/>
      <c r="K48"/>
      <c r="L48"/>
      <c r="M48"/>
      <c r="N48"/>
      <c r="O48"/>
      <c r="P48" t="s">
        <v>528</v>
      </c>
      <c r="Q48" t="s">
        <v>543</v>
      </c>
      <c r="R48" t="s">
        <v>304</v>
      </c>
      <c r="S48" t="s">
        <v>582</v>
      </c>
      <c r="T48" t="s">
        <v>599</v>
      </c>
      <c r="U48"/>
      <c r="V48" t="s">
        <v>636</v>
      </c>
      <c r="W48" t="s">
        <v>516</v>
      </c>
      <c r="X48"/>
      <c r="Y48"/>
      <c r="Z48"/>
      <c r="CE48" s="117" t="str">
        <f t="shared" si="94"/>
        <v>Singh S</v>
      </c>
      <c r="CF48" s="65">
        <f t="shared" si="61"/>
        <v>7</v>
      </c>
      <c r="CG48" s="65">
        <f t="shared" si="62"/>
        <v>1</v>
      </c>
      <c r="CH48" s="65">
        <f t="shared" si="63"/>
        <v>6</v>
      </c>
      <c r="CI48" s="65">
        <f t="shared" si="64"/>
        <v>2</v>
      </c>
      <c r="CJ48" s="65">
        <f t="shared" si="65"/>
        <v>15</v>
      </c>
      <c r="CK48" s="69">
        <f t="shared" si="66"/>
        <v>15</v>
      </c>
      <c r="CL48" s="65">
        <f t="shared" si="67"/>
        <v>26</v>
      </c>
      <c r="CM48" s="67">
        <f t="shared" si="68"/>
        <v>6.5</v>
      </c>
      <c r="CN48" s="65">
        <f t="shared" si="69"/>
        <v>20</v>
      </c>
      <c r="CO48" s="68">
        <f t="array" ref="CO48">SUM(IF(ISERR(FIND("*",D48:CD48)),0,1))</f>
        <v>0</v>
      </c>
      <c r="CP48" s="68">
        <f t="array" ref="CP48">SUM(IF(ISERR(FIND("+",D48:CD48)),0,1))</f>
        <v>0</v>
      </c>
      <c r="CQ48" s="65">
        <f t="shared" si="70"/>
        <v>0</v>
      </c>
      <c r="CR48" s="68">
        <f t="array" ref="CR48">SUM(IF(ISERR(FIND(CR$4,$D48:$CD48)),0,1))</f>
        <v>0</v>
      </c>
      <c r="CS48" s="68">
        <f t="array" ref="CS48">SUM(IF(ISERR(FIND(CS$4,$D48:$CD48)),0,1))</f>
        <v>1</v>
      </c>
      <c r="CT48" s="68">
        <f t="array" ref="CT48">SUM(IF(ISERR(FIND(CT$4,$D48:$CD48)),0,1))</f>
        <v>1</v>
      </c>
      <c r="CU48" s="68">
        <f t="array" ref="CU48">SUM(IF(ISERR(FIND(CU$4,$D48:$CD48)),0,1))</f>
        <v>2</v>
      </c>
      <c r="CV48" s="68">
        <f t="array" ref="CV48">SUM(IF(ISERR(FIND(CV$4,$D48:$CD48)),0,1))</f>
        <v>0</v>
      </c>
      <c r="CW48" s="68">
        <f t="array" ref="CW48">SUM(IF(ISERR(FIND(CW$4,$D48:$CD48)),0,1))</f>
        <v>0</v>
      </c>
      <c r="CX48" s="68">
        <f t="array" ref="CX48">SUM(IF(ISERR(FIND(CX$4,$D48:$CD48)),0,1))</f>
        <v>0</v>
      </c>
      <c r="CY48" s="68">
        <f t="shared" si="71"/>
        <v>0</v>
      </c>
      <c r="CZ48" s="68">
        <f t="shared" si="95"/>
        <v>0</v>
      </c>
      <c r="DA48" s="68">
        <f t="shared" si="72"/>
        <v>4</v>
      </c>
      <c r="DB48" s="68">
        <f t="shared" si="73"/>
        <v>4</v>
      </c>
      <c r="DC48" s="68">
        <f t="shared" si="74"/>
        <v>0</v>
      </c>
      <c r="DD48" s="68">
        <f t="shared" si="75"/>
        <v>0</v>
      </c>
      <c r="DE48" s="68">
        <f t="shared" si="76"/>
        <v>0</v>
      </c>
      <c r="DF48" s="68">
        <f t="shared" si="77"/>
        <v>0</v>
      </c>
      <c r="DG48" s="65">
        <f t="shared" si="78"/>
        <v>650607.26048000006</v>
      </c>
      <c r="DH48" s="65">
        <f>RANK(DG48,$DG$5:$DG$57)</f>
        <v>23</v>
      </c>
      <c r="DI48" s="65">
        <v>41</v>
      </c>
      <c r="DJ48" s="86" t="str">
        <f t="shared" si="79"/>
        <v/>
      </c>
      <c r="DK48" s="94">
        <f t="shared" si="80"/>
        <v>0</v>
      </c>
      <c r="DL48" s="172">
        <f t="shared" si="81"/>
        <v>4</v>
      </c>
      <c r="DM48" s="65" t="str">
        <f t="shared" si="82"/>
        <v>4</v>
      </c>
      <c r="DN48" s="65" t="str">
        <f t="shared" si="83"/>
        <v>Singh S</v>
      </c>
      <c r="DO48" s="68">
        <f t="shared" si="84"/>
        <v>0</v>
      </c>
      <c r="DP48" s="65" t="str">
        <f t="shared" si="85"/>
        <v/>
      </c>
      <c r="DQ48" s="68">
        <f t="shared" si="86"/>
        <v>4</v>
      </c>
      <c r="DR48" s="65" t="str">
        <f t="shared" si="87"/>
        <v>Singh S</v>
      </c>
      <c r="DS48" s="68">
        <f t="shared" si="88"/>
        <v>0</v>
      </c>
      <c r="DT48" s="65" t="str">
        <f t="shared" si="89"/>
        <v/>
      </c>
    </row>
    <row r="49" spans="2:124" x14ac:dyDescent="0.15">
      <c r="B49" s="117" t="s">
        <v>290</v>
      </c>
      <c r="C49" s="117" t="s">
        <v>263</v>
      </c>
      <c r="D49"/>
      <c r="E49"/>
      <c r="F49"/>
      <c r="G49"/>
      <c r="H49"/>
      <c r="I49" t="s">
        <v>402</v>
      </c>
      <c r="J49" t="s">
        <v>419</v>
      </c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CE49" s="117" t="str">
        <f t="shared" si="94"/>
        <v>Shome G</v>
      </c>
      <c r="CF49" s="65">
        <f t="shared" si="61"/>
        <v>2</v>
      </c>
      <c r="CG49" s="65">
        <f t="shared" si="62"/>
        <v>0</v>
      </c>
      <c r="CH49" s="65">
        <f t="shared" si="63"/>
        <v>2</v>
      </c>
      <c r="CI49" s="65">
        <f t="shared" si="64"/>
        <v>0</v>
      </c>
      <c r="CJ49" s="65">
        <f t="shared" si="65"/>
        <v>42</v>
      </c>
      <c r="CK49" s="69">
        <f t="shared" si="66"/>
        <v>42</v>
      </c>
      <c r="CL49" s="65">
        <f t="shared" si="67"/>
        <v>46</v>
      </c>
      <c r="CM49" s="67">
        <f t="shared" si="68"/>
        <v>23</v>
      </c>
      <c r="CN49" s="65">
        <f t="shared" si="69"/>
        <v>0</v>
      </c>
      <c r="CO49" s="68">
        <f t="array" ref="CO49">SUM(IF(ISERR(FIND("*",D49:CD49)),0,1))</f>
        <v>0</v>
      </c>
      <c r="CP49" s="68">
        <f t="array" ref="CP49">SUM(IF(ISERR(FIND("+",D49:CD49)),0,1))</f>
        <v>0</v>
      </c>
      <c r="CQ49" s="65">
        <f t="shared" si="70"/>
        <v>0</v>
      </c>
      <c r="CR49" s="68">
        <f t="array" ref="CR49">SUM(IF(ISERR(FIND(CR$4,$D49:$CD49)),0,1))</f>
        <v>1</v>
      </c>
      <c r="CS49" s="68">
        <f t="array" ref="CS49">SUM(IF(ISERR(FIND(CS$4,$D49:$CD49)),0,1))</f>
        <v>1</v>
      </c>
      <c r="CT49" s="68">
        <f t="array" ref="CT49">SUM(IF(ISERR(FIND(CT$4,$D49:$CD49)),0,1))</f>
        <v>0</v>
      </c>
      <c r="CU49" s="68">
        <f t="array" ref="CU49">SUM(IF(ISERR(FIND(CU$4,$D49:$CD49)),0,1))</f>
        <v>0</v>
      </c>
      <c r="CV49" s="68">
        <f t="array" ref="CV49">SUM(IF(ISERR(FIND(CV$4,$D49:$CD49)),0,1))</f>
        <v>0</v>
      </c>
      <c r="CW49" s="68">
        <f t="array" ref="CW49">SUM(IF(ISERR(FIND(CW$4,$D49:$CD49)),0,1))</f>
        <v>0</v>
      </c>
      <c r="CX49" s="68">
        <f t="array" ref="CX49">SUM(IF(ISERR(FIND(CX$4,$D49:$CD49)),0,1))</f>
        <v>0</v>
      </c>
      <c r="CY49" s="68">
        <f t="shared" si="71"/>
        <v>0</v>
      </c>
      <c r="CZ49" s="68">
        <f t="shared" si="95"/>
        <v>0</v>
      </c>
      <c r="DA49" s="68">
        <f t="shared" si="72"/>
        <v>0</v>
      </c>
      <c r="DB49" s="68">
        <f t="shared" si="73"/>
        <v>8</v>
      </c>
      <c r="DC49" s="68">
        <f t="shared" si="74"/>
        <v>0</v>
      </c>
      <c r="DD49" s="68">
        <f t="shared" si="75"/>
        <v>0</v>
      </c>
      <c r="DE49" s="68">
        <f t="shared" si="76"/>
        <v>0</v>
      </c>
      <c r="DF49" s="68">
        <f t="shared" si="77"/>
        <v>1</v>
      </c>
      <c r="DG49" s="65">
        <f t="shared" si="78"/>
        <v>2300202.46049</v>
      </c>
      <c r="DH49" s="65">
        <f>RANK(DG49,$DG$5:$DG$57)</f>
        <v>8</v>
      </c>
      <c r="DI49" s="65">
        <v>42</v>
      </c>
      <c r="DJ49" s="86" t="str">
        <f t="shared" si="79"/>
        <v/>
      </c>
      <c r="DK49" s="94">
        <f t="shared" si="80"/>
        <v>0</v>
      </c>
      <c r="DL49" s="172">
        <f t="shared" si="81"/>
        <v>0</v>
      </c>
      <c r="DM49" s="65" t="str">
        <f t="shared" si="82"/>
        <v/>
      </c>
      <c r="DN49" s="65" t="str">
        <f t="shared" si="83"/>
        <v/>
      </c>
      <c r="DO49" s="68">
        <f t="shared" si="84"/>
        <v>0</v>
      </c>
      <c r="DP49" s="65" t="str">
        <f t="shared" si="85"/>
        <v/>
      </c>
      <c r="DQ49" s="68">
        <f t="shared" si="86"/>
        <v>8</v>
      </c>
      <c r="DR49" s="65" t="str">
        <f t="shared" si="87"/>
        <v>Shome G</v>
      </c>
      <c r="DS49" s="68">
        <f t="shared" si="88"/>
        <v>1</v>
      </c>
      <c r="DT49" s="65" t="str">
        <f t="shared" si="89"/>
        <v>Shome G</v>
      </c>
    </row>
    <row r="50" spans="2:124" x14ac:dyDescent="0.15">
      <c r="B50" s="117" t="s">
        <v>447</v>
      </c>
      <c r="C50" s="117" t="s">
        <v>448</v>
      </c>
      <c r="D50"/>
      <c r="E50"/>
      <c r="F50"/>
      <c r="G50"/>
      <c r="H50"/>
      <c r="I50"/>
      <c r="J50"/>
      <c r="K50"/>
      <c r="L50" t="s">
        <v>449</v>
      </c>
      <c r="M50" s="117" t="s">
        <v>469</v>
      </c>
      <c r="N50" s="117" t="s">
        <v>496</v>
      </c>
      <c r="O50" s="117" t="s">
        <v>513</v>
      </c>
      <c r="P50" s="117" t="s">
        <v>227</v>
      </c>
      <c r="Q50" s="117"/>
      <c r="R50" s="117"/>
      <c r="S50" s="117" t="s">
        <v>583</v>
      </c>
      <c r="T50" s="117"/>
      <c r="U50" s="117" t="s">
        <v>623</v>
      </c>
      <c r="V50" s="117"/>
      <c r="W50" s="117"/>
      <c r="X50" s="117"/>
      <c r="Y50" s="117"/>
      <c r="CE50" s="65" t="str">
        <f t="shared" si="94"/>
        <v>Siddiqui H</v>
      </c>
      <c r="CF50" s="65">
        <f t="shared" si="61"/>
        <v>7</v>
      </c>
      <c r="CG50" s="65">
        <f t="shared" si="62"/>
        <v>1</v>
      </c>
      <c r="CH50" s="65">
        <f t="shared" si="63"/>
        <v>6</v>
      </c>
      <c r="CI50" s="65">
        <f t="shared" si="64"/>
        <v>1</v>
      </c>
      <c r="CJ50" s="65">
        <f t="shared" si="65"/>
        <v>18</v>
      </c>
      <c r="CK50" s="69">
        <f t="shared" si="66"/>
        <v>18</v>
      </c>
      <c r="CL50" s="65">
        <f t="shared" si="67"/>
        <v>39</v>
      </c>
      <c r="CM50" s="67">
        <f t="shared" si="68"/>
        <v>7.8</v>
      </c>
      <c r="CN50" s="65">
        <f t="shared" si="69"/>
        <v>0</v>
      </c>
      <c r="CO50" s="68">
        <f t="array" ref="CO50">SUM(IF(ISERR(FIND("*",D50:CD50)),0,1))</f>
        <v>0</v>
      </c>
      <c r="CP50" s="68">
        <f t="array" ref="CP50">SUM(IF(ISERR(FIND("+",D50:CD50)),0,1))</f>
        <v>0</v>
      </c>
      <c r="CQ50" s="65">
        <f t="shared" si="70"/>
        <v>1</v>
      </c>
      <c r="CR50" s="68">
        <f t="array" ref="CR50">SUM(IF(ISERR(FIND(CR$4,$D50:$CD50)),0,1))</f>
        <v>0</v>
      </c>
      <c r="CS50" s="68">
        <f t="array" ref="CS50">SUM(IF(ISERR(FIND(CS$4,$D50:$CD50)),0,1))</f>
        <v>4</v>
      </c>
      <c r="CT50" s="68">
        <f t="array" ref="CT50">SUM(IF(ISERR(FIND(CT$4,$D50:$CD50)),0,1))</f>
        <v>1</v>
      </c>
      <c r="CU50" s="68">
        <f t="array" ref="CU50">SUM(IF(ISERR(FIND(CU$4,$D50:$CD50)),0,1))</f>
        <v>0</v>
      </c>
      <c r="CV50" s="68">
        <f t="array" ref="CV50">SUM(IF(ISERR(FIND(CV$4,$D50:$CD50)),0,1))</f>
        <v>0</v>
      </c>
      <c r="CW50" s="68">
        <f t="array" ref="CW50">SUM(IF(ISERR(FIND(CW$4,$D50:$CD50)),0,1))</f>
        <v>0</v>
      </c>
      <c r="CX50" s="68">
        <f t="array" ref="CX50">SUM(IF(ISERR(FIND(CX$4,$D50:$CD50)),0,1))</f>
        <v>0</v>
      </c>
      <c r="CY50" s="68">
        <f t="shared" si="71"/>
        <v>0</v>
      </c>
      <c r="CZ50" s="68">
        <f t="shared" si="95"/>
        <v>0</v>
      </c>
      <c r="DA50" s="68">
        <f t="shared" si="72"/>
        <v>0</v>
      </c>
      <c r="DB50" s="68">
        <f t="shared" si="73"/>
        <v>2</v>
      </c>
      <c r="DC50" s="68">
        <f t="shared" si="74"/>
        <v>0</v>
      </c>
      <c r="DD50" s="68">
        <f t="shared" si="75"/>
        <v>0</v>
      </c>
      <c r="DE50" s="68">
        <f t="shared" si="76"/>
        <v>0</v>
      </c>
      <c r="DF50" s="68">
        <f t="shared" si="77"/>
        <v>0</v>
      </c>
      <c r="DG50" s="65">
        <f t="shared" si="78"/>
        <v>780607.39049999998</v>
      </c>
      <c r="DH50" s="65">
        <f>RANK(DG50,$DG$5:$DG$57)</f>
        <v>19</v>
      </c>
      <c r="DI50" s="65">
        <v>43</v>
      </c>
      <c r="DJ50" s="86" t="str">
        <f t="shared" si="79"/>
        <v/>
      </c>
      <c r="DK50" s="94">
        <f t="shared" si="80"/>
        <v>0.2</v>
      </c>
      <c r="DL50" s="172">
        <f t="shared" si="81"/>
        <v>0</v>
      </c>
      <c r="DM50" s="65" t="str">
        <f t="shared" si="82"/>
        <v/>
      </c>
      <c r="DN50" s="65" t="str">
        <f t="shared" si="83"/>
        <v/>
      </c>
      <c r="DO50" s="68">
        <f t="shared" si="84"/>
        <v>0</v>
      </c>
      <c r="DP50" s="65" t="str">
        <f t="shared" si="85"/>
        <v/>
      </c>
      <c r="DQ50" s="68">
        <f t="shared" si="86"/>
        <v>2</v>
      </c>
      <c r="DR50" s="65" t="str">
        <f t="shared" si="87"/>
        <v>Siddiqui H</v>
      </c>
      <c r="DS50" s="68">
        <f t="shared" si="88"/>
        <v>0</v>
      </c>
      <c r="DT50" s="65" t="str">
        <f t="shared" si="89"/>
        <v/>
      </c>
    </row>
    <row r="51" spans="2:124" x14ac:dyDescent="0.15">
      <c r="B51" s="65" t="s">
        <v>26</v>
      </c>
      <c r="C51" s="65" t="s">
        <v>193</v>
      </c>
      <c r="D51" t="s">
        <v>319</v>
      </c>
      <c r="E51"/>
      <c r="F51" t="s">
        <v>357</v>
      </c>
      <c r="G51" s="117"/>
      <c r="H51" s="117" t="s">
        <v>391</v>
      </c>
      <c r="I51" s="117"/>
      <c r="J51" s="117"/>
      <c r="K51" s="117" t="s">
        <v>441</v>
      </c>
      <c r="L51" s="117" t="s">
        <v>457</v>
      </c>
      <c r="M51" s="117"/>
      <c r="N51" s="117" t="s">
        <v>500</v>
      </c>
      <c r="O51" s="117" t="s">
        <v>516</v>
      </c>
      <c r="P51" s="117"/>
      <c r="Q51" s="117"/>
      <c r="R51" s="117"/>
      <c r="S51" s="117" t="s">
        <v>476</v>
      </c>
      <c r="T51" s="117" t="s">
        <v>320</v>
      </c>
      <c r="U51" t="s">
        <v>622</v>
      </c>
      <c r="V51" t="s">
        <v>225</v>
      </c>
      <c r="W51" t="s">
        <v>652</v>
      </c>
      <c r="X51"/>
      <c r="Y51"/>
      <c r="Z51" s="117"/>
      <c r="CE51" s="65" t="str">
        <f t="shared" si="94"/>
        <v>Smith C</v>
      </c>
      <c r="CF51" s="65">
        <f t="shared" si="61"/>
        <v>12</v>
      </c>
      <c r="CG51" s="65">
        <f t="shared" si="62"/>
        <v>1</v>
      </c>
      <c r="CH51" s="65">
        <f t="shared" si="63"/>
        <v>11</v>
      </c>
      <c r="CI51" s="65">
        <f t="shared" si="64"/>
        <v>3</v>
      </c>
      <c r="CJ51" s="65">
        <f t="shared" si="65"/>
        <v>8</v>
      </c>
      <c r="CK51" s="69">
        <f t="shared" si="66"/>
        <v>8</v>
      </c>
      <c r="CL51" s="65">
        <f t="shared" si="67"/>
        <v>26</v>
      </c>
      <c r="CM51" s="67">
        <f t="shared" si="68"/>
        <v>3.25</v>
      </c>
      <c r="CN51" s="65">
        <f t="shared" si="69"/>
        <v>5</v>
      </c>
      <c r="CO51" s="68">
        <f t="array" ref="CO51">SUM(IF(ISERR(FIND("*",D51:CD51)),0,1))</f>
        <v>0</v>
      </c>
      <c r="CP51" s="68">
        <f t="array" ref="CP51">SUM(IF(ISERR(FIND("+",D51:CD51)),0,1))</f>
        <v>0</v>
      </c>
      <c r="CQ51" s="65">
        <f t="shared" si="70"/>
        <v>3</v>
      </c>
      <c r="CR51" s="68">
        <f t="array" ref="CR51">SUM(IF(ISERR(FIND(CR$4,$D51:$CD51)),0,1))</f>
        <v>3</v>
      </c>
      <c r="CS51" s="68">
        <f t="array" ref="CS51">SUM(IF(ISERR(FIND(CS$4,$D51:$CD51)),0,1))</f>
        <v>0</v>
      </c>
      <c r="CT51" s="68">
        <f t="array" ref="CT51">SUM(IF(ISERR(FIND(CT$4,$D51:$CD51)),0,1))</f>
        <v>2</v>
      </c>
      <c r="CU51" s="68">
        <f t="array" ref="CU51">SUM(IF(ISERR(FIND(CU$4,$D51:$CD51)),0,1))</f>
        <v>0</v>
      </c>
      <c r="CV51" s="68">
        <f t="array" ref="CV51">SUM(IF(ISERR(FIND(CV$4,$D51:$CD51)),0,1))</f>
        <v>3</v>
      </c>
      <c r="CW51" s="68">
        <f t="array" ref="CW51">SUM(IF(ISERR(FIND(CW$4,$D51:$CD51)),0,1))</f>
        <v>0</v>
      </c>
      <c r="CX51" s="68">
        <f t="array" ref="CX51">SUM(IF(ISERR(FIND(CX$4,$D51:$CD51)),0,1))</f>
        <v>0</v>
      </c>
      <c r="CY51" s="68">
        <f t="shared" si="71"/>
        <v>0</v>
      </c>
      <c r="CZ51" s="68">
        <f t="shared" si="95"/>
        <v>0</v>
      </c>
      <c r="DA51" s="68">
        <f t="shared" si="72"/>
        <v>1</v>
      </c>
      <c r="DB51" s="68">
        <f t="shared" si="73"/>
        <v>0</v>
      </c>
      <c r="DC51" s="68">
        <f t="shared" si="74"/>
        <v>0</v>
      </c>
      <c r="DD51" s="68">
        <f t="shared" si="75"/>
        <v>0</v>
      </c>
      <c r="DE51" s="68">
        <f t="shared" si="76"/>
        <v>0</v>
      </c>
      <c r="DF51" s="68">
        <f t="shared" si="77"/>
        <v>0</v>
      </c>
      <c r="DG51" s="65">
        <f t="shared" si="78"/>
        <v>326112.26050999999</v>
      </c>
      <c r="DH51" s="65">
        <f>RANK(DG51,$DG$5:$DG$57)</f>
        <v>27</v>
      </c>
      <c r="DI51" s="65">
        <v>44</v>
      </c>
      <c r="DJ51" s="86" t="str">
        <f t="shared" si="79"/>
        <v/>
      </c>
      <c r="DK51" s="94">
        <f t="shared" si="80"/>
        <v>0.375</v>
      </c>
      <c r="DL51" s="172">
        <f t="shared" si="81"/>
        <v>1</v>
      </c>
      <c r="DM51" s="65" t="str">
        <f t="shared" si="82"/>
        <v>1</v>
      </c>
      <c r="DN51" s="65" t="str">
        <f t="shared" si="83"/>
        <v>Smith C</v>
      </c>
      <c r="DO51" s="68">
        <f t="shared" si="84"/>
        <v>0</v>
      </c>
      <c r="DP51" s="65" t="str">
        <f t="shared" si="85"/>
        <v/>
      </c>
      <c r="DQ51" s="68">
        <f t="shared" si="86"/>
        <v>0</v>
      </c>
      <c r="DR51" s="65" t="str">
        <f t="shared" si="87"/>
        <v/>
      </c>
      <c r="DS51" s="68">
        <f t="shared" si="88"/>
        <v>0</v>
      </c>
      <c r="DT51" s="65" t="str">
        <f t="shared" si="89"/>
        <v/>
      </c>
    </row>
    <row r="52" spans="2:124" x14ac:dyDescent="0.15">
      <c r="C52" s="117" t="s">
        <v>603</v>
      </c>
      <c r="D52"/>
      <c r="E52"/>
      <c r="F52"/>
      <c r="G52" s="117"/>
      <c r="H52" s="117"/>
      <c r="I52" s="117"/>
      <c r="J52" s="117"/>
      <c r="K52" s="117"/>
      <c r="L52" s="117"/>
      <c r="M52" s="117"/>
      <c r="N52" s="117"/>
      <c r="O52" s="117"/>
      <c r="P52" s="117"/>
      <c r="Q52" s="117"/>
      <c r="R52" s="117"/>
      <c r="S52" s="117"/>
      <c r="T52" s="117" t="s">
        <v>604</v>
      </c>
      <c r="U52"/>
      <c r="V52"/>
      <c r="W52"/>
      <c r="X52"/>
      <c r="Y52"/>
      <c r="Z52" s="117"/>
      <c r="CE52" s="117" t="str">
        <f t="shared" si="94"/>
        <v>Springer D</v>
      </c>
      <c r="CF52" s="65">
        <f t="shared" si="61"/>
        <v>1</v>
      </c>
      <c r="CG52" s="65">
        <f t="shared" si="62"/>
        <v>0</v>
      </c>
      <c r="CH52" s="65">
        <f t="shared" si="63"/>
        <v>1</v>
      </c>
      <c r="CI52" s="65">
        <f t="shared" si="64"/>
        <v>0</v>
      </c>
      <c r="CJ52" s="65">
        <f t="shared" si="65"/>
        <v>1</v>
      </c>
      <c r="CK52" s="69">
        <f t="shared" si="66"/>
        <v>1</v>
      </c>
      <c r="CL52" s="65">
        <f t="shared" si="67"/>
        <v>1</v>
      </c>
      <c r="CM52" s="67">
        <f t="shared" si="68"/>
        <v>1</v>
      </c>
      <c r="CN52" s="65">
        <f t="shared" si="69"/>
        <v>0</v>
      </c>
      <c r="CO52" s="68">
        <f t="array" ref="CO52">SUM(IF(ISERR(FIND("*",D52:CD52)),0,1))</f>
        <v>0</v>
      </c>
      <c r="CP52" s="68">
        <f t="array" ref="CP52">SUM(IF(ISERR(FIND("+",D52:CD52)),0,1))</f>
        <v>0</v>
      </c>
      <c r="CQ52" s="65">
        <f t="shared" si="70"/>
        <v>0</v>
      </c>
      <c r="CR52" s="68">
        <f t="array" ref="CR52">SUM(IF(ISERR(FIND(CR$4,$D52:$CD52)),0,1))</f>
        <v>1</v>
      </c>
      <c r="CS52" s="68">
        <f t="array" ref="CS52">SUM(IF(ISERR(FIND(CS$4,$D52:$CD52)),0,1))</f>
        <v>0</v>
      </c>
      <c r="CT52" s="68">
        <f t="array" ref="CT52">SUM(IF(ISERR(FIND(CT$4,$D52:$CD52)),0,1))</f>
        <v>0</v>
      </c>
      <c r="CU52" s="68">
        <f t="array" ref="CU52">SUM(IF(ISERR(FIND(CU$4,$D52:$CD52)),0,1))</f>
        <v>0</v>
      </c>
      <c r="CV52" s="68">
        <f t="array" ref="CV52">SUM(IF(ISERR(FIND(CV$4,$D52:$CD52)),0,1))</f>
        <v>0</v>
      </c>
      <c r="CW52" s="68">
        <f t="array" ref="CW52">SUM(IF(ISERR(FIND(CW$4,$D52:$CD52)),0,1))</f>
        <v>0</v>
      </c>
      <c r="CX52" s="68">
        <f t="array" ref="CX52">SUM(IF(ISERR(FIND(CX$4,$D52:$CD52)),0,1))</f>
        <v>0</v>
      </c>
      <c r="CY52" s="68">
        <f t="shared" si="71"/>
        <v>0</v>
      </c>
      <c r="CZ52" s="68">
        <f t="shared" si="95"/>
        <v>0</v>
      </c>
      <c r="DA52" s="68">
        <f t="shared" si="72"/>
        <v>0</v>
      </c>
      <c r="DB52" s="68">
        <f t="shared" si="73"/>
        <v>0</v>
      </c>
      <c r="DC52" s="68">
        <f t="shared" si="74"/>
        <v>0</v>
      </c>
      <c r="DD52" s="68">
        <f t="shared" si="75"/>
        <v>0</v>
      </c>
      <c r="DE52" s="68">
        <f t="shared" si="76"/>
        <v>0</v>
      </c>
      <c r="DF52" s="68">
        <f t="shared" si="77"/>
        <v>0</v>
      </c>
      <c r="DG52" s="65">
        <f t="shared" si="78"/>
        <v>100101.01052</v>
      </c>
      <c r="DH52" s="65">
        <f>RANK(DG52,$DG$5:$DG$57)</f>
        <v>32</v>
      </c>
      <c r="DI52" s="65">
        <v>45</v>
      </c>
      <c r="DJ52" s="86" t="str">
        <f t="shared" si="79"/>
        <v/>
      </c>
      <c r="DK52" s="94">
        <f t="shared" si="80"/>
        <v>0</v>
      </c>
      <c r="DL52" s="172">
        <f t="shared" si="81"/>
        <v>0</v>
      </c>
      <c r="DM52" s="65" t="str">
        <f t="shared" si="82"/>
        <v/>
      </c>
      <c r="DN52" s="65" t="str">
        <f t="shared" si="83"/>
        <v/>
      </c>
      <c r="DO52" s="68">
        <f t="shared" si="84"/>
        <v>0</v>
      </c>
      <c r="DP52" s="65" t="str">
        <f t="shared" si="85"/>
        <v/>
      </c>
      <c r="DQ52" s="68">
        <f t="shared" si="86"/>
        <v>0</v>
      </c>
      <c r="DR52" s="65" t="str">
        <f t="shared" si="87"/>
        <v/>
      </c>
      <c r="DS52" s="68">
        <f t="shared" si="88"/>
        <v>0</v>
      </c>
      <c r="DT52" s="65" t="str">
        <f t="shared" si="89"/>
        <v/>
      </c>
    </row>
    <row r="53" spans="2:124" x14ac:dyDescent="0.15">
      <c r="B53" s="117" t="s">
        <v>231</v>
      </c>
      <c r="C53" s="117" t="s">
        <v>232</v>
      </c>
      <c r="D53" t="s">
        <v>316</v>
      </c>
      <c r="E53" t="s">
        <v>337</v>
      </c>
      <c r="F53" t="s">
        <v>351</v>
      </c>
      <c r="G53" s="117" t="s">
        <v>370</v>
      </c>
      <c r="H53" s="117" t="s">
        <v>392</v>
      </c>
      <c r="I53" s="117" t="s">
        <v>404</v>
      </c>
      <c r="J53" s="117" t="s">
        <v>420</v>
      </c>
      <c r="K53" s="117"/>
      <c r="L53" s="117"/>
      <c r="M53" s="117" t="s">
        <v>471</v>
      </c>
      <c r="N53" s="117" t="s">
        <v>495</v>
      </c>
      <c r="O53" s="117" t="s">
        <v>510</v>
      </c>
      <c r="P53" s="117" t="s">
        <v>526</v>
      </c>
      <c r="Q53" s="117" t="s">
        <v>538</v>
      </c>
      <c r="R53" s="117" t="s">
        <v>562</v>
      </c>
      <c r="S53" s="117" t="s">
        <v>578</v>
      </c>
      <c r="T53" s="117" t="s">
        <v>595</v>
      </c>
      <c r="U53" s="117" t="s">
        <v>614</v>
      </c>
      <c r="V53" s="117" t="s">
        <v>640</v>
      </c>
      <c r="W53" s="117" t="s">
        <v>650</v>
      </c>
      <c r="X53" s="117" t="s">
        <v>666</v>
      </c>
      <c r="Y53"/>
      <c r="Z53" s="117"/>
      <c r="CE53" s="65" t="str">
        <f t="shared" si="94"/>
        <v>Springer T</v>
      </c>
      <c r="CF53" s="65">
        <f t="shared" si="61"/>
        <v>19</v>
      </c>
      <c r="CG53" s="65">
        <f t="shared" si="62"/>
        <v>0</v>
      </c>
      <c r="CH53" s="65">
        <f t="shared" si="63"/>
        <v>19</v>
      </c>
      <c r="CI53" s="65">
        <f t="shared" si="64"/>
        <v>1</v>
      </c>
      <c r="CJ53" s="65">
        <f t="shared" si="65"/>
        <v>94</v>
      </c>
      <c r="CK53" s="69">
        <f t="shared" si="66"/>
        <v>94</v>
      </c>
      <c r="CL53" s="65">
        <f t="shared" si="67"/>
        <v>699</v>
      </c>
      <c r="CM53" s="67">
        <f t="shared" si="68"/>
        <v>38.833333333333336</v>
      </c>
      <c r="CN53" s="65">
        <f t="shared" si="69"/>
        <v>30</v>
      </c>
      <c r="CO53" s="68">
        <f t="array" ref="CO53">SUM(IF(ISERR(FIND("*",D53:CD53)),0,1))</f>
        <v>18</v>
      </c>
      <c r="CP53" s="68">
        <f t="array" ref="CP53">SUM(IF(ISERR(FIND("+",D53:CD53)),0,1))</f>
        <v>0</v>
      </c>
      <c r="CQ53" s="65">
        <f t="shared" si="70"/>
        <v>0</v>
      </c>
      <c r="CR53" s="68">
        <f t="array" ref="CR53">SUM(IF(ISERR(FIND(CR$4,$D53:$CD53)),0,1))</f>
        <v>8</v>
      </c>
      <c r="CS53" s="68">
        <f t="array" ref="CS53">SUM(IF(ISERR(FIND(CS$4,$D53:$CD53)),0,1))</f>
        <v>9</v>
      </c>
      <c r="CT53" s="68">
        <f t="array" ref="CT53">SUM(IF(ISERR(FIND(CT$4,$D53:$CD53)),0,1))</f>
        <v>1</v>
      </c>
      <c r="CU53" s="68">
        <f t="array" ref="CU53">SUM(IF(ISERR(FIND(CU$4,$D53:$CD53)),0,1))</f>
        <v>0</v>
      </c>
      <c r="CV53" s="68">
        <f t="array" ref="CV53">SUM(IF(ISERR(FIND(CV$4,$D53:$CD53)),0,1))</f>
        <v>0</v>
      </c>
      <c r="CW53" s="68">
        <f t="array" ref="CW53">SUM(IF(ISERR(FIND(CW$4,$D53:$CD53)),0,1))</f>
        <v>0</v>
      </c>
      <c r="CX53" s="68">
        <f t="array" ref="CX53">SUM(IF(ISERR(FIND(CX$4,$D53:$CD53)),0,1))</f>
        <v>0</v>
      </c>
      <c r="CY53" s="68">
        <f t="shared" si="71"/>
        <v>5</v>
      </c>
      <c r="CZ53" s="68">
        <f t="shared" si="95"/>
        <v>0</v>
      </c>
      <c r="DA53" s="68">
        <f t="shared" si="72"/>
        <v>6</v>
      </c>
      <c r="DB53" s="68">
        <f t="shared" si="73"/>
        <v>103</v>
      </c>
      <c r="DC53" s="68">
        <f t="shared" si="74"/>
        <v>6</v>
      </c>
      <c r="DD53" s="68">
        <f t="shared" si="75"/>
        <v>0</v>
      </c>
      <c r="DE53" s="68">
        <f t="shared" si="76"/>
        <v>0</v>
      </c>
      <c r="DF53" s="68">
        <f t="shared" si="77"/>
        <v>10</v>
      </c>
      <c r="DG53" s="65">
        <f t="shared" si="78"/>
        <v>3884925.9905300001</v>
      </c>
      <c r="DH53" s="65">
        <f>RANK(DG53,$DG$5:$DG$57)</f>
        <v>2</v>
      </c>
      <c r="DI53" s="65">
        <v>46</v>
      </c>
      <c r="DJ53" s="86">
        <f t="shared" si="79"/>
        <v>0.96995708154506433</v>
      </c>
      <c r="DK53" s="94">
        <f t="shared" si="80"/>
        <v>0</v>
      </c>
      <c r="DL53" s="172">
        <f t="shared" si="81"/>
        <v>6</v>
      </c>
      <c r="DM53" s="65" t="str">
        <f t="shared" si="82"/>
        <v>6</v>
      </c>
      <c r="DN53" s="65" t="str">
        <f t="shared" si="83"/>
        <v>Springer T</v>
      </c>
      <c r="DO53" s="68">
        <f t="shared" si="84"/>
        <v>6</v>
      </c>
      <c r="DP53" s="65" t="str">
        <f t="shared" si="85"/>
        <v>Springer T</v>
      </c>
      <c r="DQ53" s="68">
        <f t="shared" si="86"/>
        <v>103</v>
      </c>
      <c r="DR53" s="65" t="str">
        <f t="shared" si="87"/>
        <v>Springer T</v>
      </c>
      <c r="DS53" s="68">
        <f t="shared" si="88"/>
        <v>10</v>
      </c>
      <c r="DT53" s="65" t="str">
        <f t="shared" si="89"/>
        <v>Springer T</v>
      </c>
    </row>
    <row r="54" spans="2:124" x14ac:dyDescent="0.15">
      <c r="B54" s="117" t="s">
        <v>271</v>
      </c>
      <c r="C54" s="117" t="s">
        <v>272</v>
      </c>
      <c r="D54"/>
      <c r="E54"/>
      <c r="F54"/>
      <c r="G54"/>
      <c r="H54"/>
      <c r="I54"/>
      <c r="J54"/>
      <c r="K54" s="117"/>
      <c r="L54"/>
      <c r="M54"/>
      <c r="N54" s="117"/>
      <c r="O54" s="117"/>
      <c r="P54" s="117"/>
      <c r="Q54" s="117"/>
      <c r="R54" s="117"/>
      <c r="S54" s="117"/>
      <c r="T54" s="117"/>
      <c r="U54" s="117"/>
      <c r="V54" s="117"/>
      <c r="W54" s="117"/>
      <c r="X54" s="117"/>
      <c r="Z54" s="117"/>
      <c r="CE54" s="65" t="str">
        <f t="shared" si="94"/>
        <v>Sunkara C</v>
      </c>
      <c r="CF54" s="65">
        <f t="shared" si="61"/>
        <v>0</v>
      </c>
      <c r="CG54" s="65">
        <f t="shared" si="62"/>
        <v>0</v>
      </c>
      <c r="CH54" s="65">
        <f t="shared" si="63"/>
        <v>0</v>
      </c>
      <c r="CI54" s="65">
        <f t="shared" si="64"/>
        <v>0</v>
      </c>
      <c r="CJ54" s="65">
        <f t="shared" si="65"/>
        <v>0</v>
      </c>
      <c r="CK54" s="69">
        <f t="shared" si="66"/>
        <v>0</v>
      </c>
      <c r="CL54" s="65">
        <f t="shared" si="67"/>
        <v>0</v>
      </c>
      <c r="CM54" s="67">
        <f t="shared" si="68"/>
        <v>0</v>
      </c>
      <c r="CN54" s="65">
        <f t="shared" si="69"/>
        <v>0</v>
      </c>
      <c r="CO54" s="68">
        <f t="array" ref="CO54">SUM(IF(ISERR(FIND("*",D54:CD54)),0,1))</f>
        <v>0</v>
      </c>
      <c r="CP54" s="68">
        <f t="array" ref="CP54">SUM(IF(ISERR(FIND("+",D54:CD54)),0,1))</f>
        <v>0</v>
      </c>
      <c r="CQ54" s="65">
        <f t="shared" si="70"/>
        <v>0</v>
      </c>
      <c r="CR54" s="68">
        <f t="array" ref="CR54">SUM(IF(ISERR(FIND(CR$4,$D54:$CD54)),0,1))</f>
        <v>0</v>
      </c>
      <c r="CS54" s="68">
        <f t="array" ref="CS54">SUM(IF(ISERR(FIND(CS$4,$D54:$CD54)),0,1))</f>
        <v>0</v>
      </c>
      <c r="CT54" s="68">
        <f t="array" ref="CT54">SUM(IF(ISERR(FIND(CT$4,$D54:$CD54)),0,1))</f>
        <v>0</v>
      </c>
      <c r="CU54" s="68">
        <f t="array" ref="CU54">SUM(IF(ISERR(FIND(CU$4,$D54:$CD54)),0,1))</f>
        <v>0</v>
      </c>
      <c r="CV54" s="68">
        <f t="array" ref="CV54">SUM(IF(ISERR(FIND(CV$4,$D54:$CD54)),0,1))</f>
        <v>0</v>
      </c>
      <c r="CW54" s="68">
        <f t="array" ref="CW54">SUM(IF(ISERR(FIND(CW$4,$D54:$CD54)),0,1))</f>
        <v>0</v>
      </c>
      <c r="CX54" s="68">
        <f t="array" ref="CX54">SUM(IF(ISERR(FIND(CX$4,$D54:$CD54)),0,1))</f>
        <v>0</v>
      </c>
      <c r="CY54" s="68">
        <f t="shared" si="71"/>
        <v>0</v>
      </c>
      <c r="CZ54" s="68">
        <f t="shared" si="95"/>
        <v>0</v>
      </c>
      <c r="DA54" s="68">
        <f t="shared" si="72"/>
        <v>0</v>
      </c>
      <c r="DB54" s="68">
        <f t="shared" si="73"/>
        <v>0</v>
      </c>
      <c r="DC54" s="68">
        <f t="shared" si="74"/>
        <v>0</v>
      </c>
      <c r="DD54" s="68">
        <f t="shared" si="75"/>
        <v>0</v>
      </c>
      <c r="DE54" s="68">
        <f t="shared" si="76"/>
        <v>0</v>
      </c>
      <c r="DF54" s="68">
        <f t="shared" si="77"/>
        <v>0</v>
      </c>
      <c r="DG54" s="65">
        <f t="shared" si="78"/>
        <v>5.4000000000000001E-4</v>
      </c>
      <c r="DH54" s="65">
        <f>RANK(DG54,$DG$5:$DG$57)</f>
        <v>44</v>
      </c>
      <c r="DI54" s="65">
        <v>47</v>
      </c>
      <c r="DJ54" s="86" t="str">
        <f t="shared" si="79"/>
        <v/>
      </c>
      <c r="DK54" s="94" t="e">
        <f t="shared" si="80"/>
        <v>#DIV/0!</v>
      </c>
      <c r="DL54" s="172">
        <f t="shared" si="81"/>
        <v>0</v>
      </c>
      <c r="DM54" s="65" t="str">
        <f t="shared" si="82"/>
        <v/>
      </c>
      <c r="DN54" s="65" t="str">
        <f t="shared" si="83"/>
        <v/>
      </c>
      <c r="DO54" s="68">
        <f t="shared" si="84"/>
        <v>0</v>
      </c>
      <c r="DP54" s="65" t="str">
        <f t="shared" si="85"/>
        <v/>
      </c>
      <c r="DQ54" s="68">
        <f t="shared" si="86"/>
        <v>0</v>
      </c>
      <c r="DR54" s="65" t="str">
        <f t="shared" si="87"/>
        <v/>
      </c>
      <c r="DS54" s="68">
        <f t="shared" si="88"/>
        <v>0</v>
      </c>
      <c r="DT54" s="65" t="str">
        <f t="shared" si="89"/>
        <v/>
      </c>
    </row>
    <row r="55" spans="2:124" x14ac:dyDescent="0.15">
      <c r="B55" s="117" t="s">
        <v>242</v>
      </c>
      <c r="C55" s="117" t="s">
        <v>249</v>
      </c>
      <c r="D55" t="s">
        <v>324</v>
      </c>
      <c r="E55" t="s">
        <v>225</v>
      </c>
      <c r="F55"/>
      <c r="G55"/>
      <c r="H55"/>
      <c r="I55"/>
      <c r="J55"/>
      <c r="K55" s="117"/>
      <c r="L55" s="117"/>
      <c r="M55"/>
      <c r="N55" s="117"/>
      <c r="O55"/>
      <c r="P55"/>
      <c r="Q55"/>
      <c r="R55" s="117" t="s">
        <v>567</v>
      </c>
      <c r="S55" s="117" t="s">
        <v>580</v>
      </c>
      <c r="T55" s="117" t="s">
        <v>597</v>
      </c>
      <c r="U55" s="117" t="s">
        <v>619</v>
      </c>
      <c r="V55" s="117"/>
      <c r="W55" s="117"/>
      <c r="X55" s="117"/>
      <c r="Y55" s="117"/>
      <c r="Z55" s="117"/>
      <c r="CE55" s="65" t="str">
        <f t="shared" si="94"/>
        <v>Viveganandan M</v>
      </c>
      <c r="CF55" s="65">
        <f t="shared" si="61"/>
        <v>6</v>
      </c>
      <c r="CG55" s="65">
        <f t="shared" si="62"/>
        <v>1</v>
      </c>
      <c r="CH55" s="65">
        <f t="shared" si="63"/>
        <v>5</v>
      </c>
      <c r="CI55" s="65">
        <f t="shared" si="64"/>
        <v>0</v>
      </c>
      <c r="CJ55" s="65">
        <f t="shared" si="65"/>
        <v>17</v>
      </c>
      <c r="CK55" s="69">
        <f t="shared" si="66"/>
        <v>17</v>
      </c>
      <c r="CL55" s="65">
        <f t="shared" si="67"/>
        <v>39</v>
      </c>
      <c r="CM55" s="67">
        <f t="shared" si="68"/>
        <v>7.8</v>
      </c>
      <c r="CN55" s="65">
        <f t="shared" si="69"/>
        <v>0</v>
      </c>
      <c r="CO55" s="68">
        <f t="array" ref="CO55">SUM(IF(ISERR(FIND("*",D55:CD55)),0,1))</f>
        <v>0</v>
      </c>
      <c r="CP55" s="68">
        <f t="array" ref="CP55">SUM(IF(ISERR(FIND("+",D55:CD55)),0,1))</f>
        <v>0</v>
      </c>
      <c r="CQ55" s="65">
        <f t="shared" si="70"/>
        <v>1</v>
      </c>
      <c r="CR55" s="68">
        <f t="array" ref="CR55">SUM(IF(ISERR(FIND(CR$4,$D55:$CD55)),0,1))</f>
        <v>2</v>
      </c>
      <c r="CS55" s="68">
        <f t="array" ref="CS55">SUM(IF(ISERR(FIND(CS$4,$D55:$CD55)),0,1))</f>
        <v>2</v>
      </c>
      <c r="CT55" s="68">
        <f t="array" ref="CT55">SUM(IF(ISERR(FIND(CT$4,$D55:$CD55)),0,1))</f>
        <v>0</v>
      </c>
      <c r="CU55" s="68">
        <f t="array" ref="CU55">SUM(IF(ISERR(FIND(CU$4,$D55:$CD55)),0,1))</f>
        <v>0</v>
      </c>
      <c r="CV55" s="68">
        <f t="array" ref="CV55">SUM(IF(ISERR(FIND(CV$4,$D55:$CD55)),0,1))</f>
        <v>1</v>
      </c>
      <c r="CW55" s="68">
        <f t="array" ref="CW55">SUM(IF(ISERR(FIND(CW$4,$D55:$CD55)),0,1))</f>
        <v>0</v>
      </c>
      <c r="CX55" s="68">
        <f t="array" ref="CX55">SUM(IF(ISERR(FIND(CX$4,$D55:$CD55)),0,1))</f>
        <v>0</v>
      </c>
      <c r="CY55" s="68">
        <f t="shared" si="71"/>
        <v>0</v>
      </c>
      <c r="CZ55" s="68">
        <f t="shared" si="95"/>
        <v>0</v>
      </c>
      <c r="DA55" s="68">
        <f t="shared" si="72"/>
        <v>0</v>
      </c>
      <c r="DB55" s="68">
        <f t="shared" si="73"/>
        <v>5</v>
      </c>
      <c r="DC55" s="68">
        <f t="shared" si="74"/>
        <v>0</v>
      </c>
      <c r="DD55" s="68">
        <f t="shared" si="75"/>
        <v>0</v>
      </c>
      <c r="DE55" s="68">
        <f t="shared" si="76"/>
        <v>0</v>
      </c>
      <c r="DF55" s="68">
        <f t="shared" si="77"/>
        <v>0</v>
      </c>
      <c r="DG55" s="65">
        <f t="shared" si="78"/>
        <v>780506.39055000001</v>
      </c>
      <c r="DH55" s="65">
        <f>RANK(DG55,$DG$5:$DG$57)</f>
        <v>20</v>
      </c>
      <c r="DI55" s="65">
        <v>48</v>
      </c>
      <c r="DJ55" s="86" t="str">
        <f t="shared" si="79"/>
        <v/>
      </c>
      <c r="DK55" s="94">
        <f t="shared" si="80"/>
        <v>0.2</v>
      </c>
      <c r="DL55" s="172">
        <f t="shared" si="81"/>
        <v>0</v>
      </c>
      <c r="DM55" s="65" t="str">
        <f t="shared" si="82"/>
        <v/>
      </c>
      <c r="DN55" s="65" t="str">
        <f t="shared" si="83"/>
        <v/>
      </c>
      <c r="DO55" s="68">
        <f t="shared" si="84"/>
        <v>0</v>
      </c>
      <c r="DP55" s="65" t="str">
        <f t="shared" si="85"/>
        <v/>
      </c>
      <c r="DQ55" s="68">
        <f t="shared" si="86"/>
        <v>5</v>
      </c>
      <c r="DR55" s="65" t="str">
        <f t="shared" si="87"/>
        <v>Viveganandan M</v>
      </c>
      <c r="DS55" s="68">
        <f t="shared" si="88"/>
        <v>0</v>
      </c>
      <c r="DT55" s="65" t="str">
        <f t="shared" si="89"/>
        <v/>
      </c>
    </row>
    <row r="56" spans="2:124" x14ac:dyDescent="0.15">
      <c r="B56" s="117" t="s">
        <v>291</v>
      </c>
      <c r="C56" s="117" t="s">
        <v>244</v>
      </c>
      <c r="D56" t="s">
        <v>322</v>
      </c>
      <c r="E56" t="s">
        <v>203</v>
      </c>
      <c r="F56" t="s">
        <v>356</v>
      </c>
      <c r="G56"/>
      <c r="H56"/>
      <c r="I56"/>
      <c r="J56"/>
      <c r="K56" s="117" t="s">
        <v>437</v>
      </c>
      <c r="L56"/>
      <c r="M56"/>
      <c r="N56" s="117"/>
      <c r="O56" s="117"/>
      <c r="P56" s="117"/>
      <c r="Q56"/>
      <c r="R56" s="117" t="s">
        <v>566</v>
      </c>
      <c r="S56" s="117" t="s">
        <v>584</v>
      </c>
      <c r="T56" s="117"/>
      <c r="U56" s="117"/>
      <c r="V56" s="117" t="s">
        <v>497</v>
      </c>
      <c r="W56" s="117"/>
      <c r="X56" s="117" t="s">
        <v>203</v>
      </c>
      <c r="Y56" s="117"/>
      <c r="Z56" s="117"/>
      <c r="CE56" s="65" t="str">
        <f t="shared" si="94"/>
        <v>Wilson A</v>
      </c>
      <c r="CF56" s="65">
        <f t="shared" si="61"/>
        <v>8</v>
      </c>
      <c r="CG56" s="65">
        <f t="shared" si="62"/>
        <v>2</v>
      </c>
      <c r="CH56" s="65">
        <f t="shared" si="63"/>
        <v>6</v>
      </c>
      <c r="CI56" s="65">
        <f t="shared" si="64"/>
        <v>0</v>
      </c>
      <c r="CJ56" s="65">
        <f t="shared" si="65"/>
        <v>5</v>
      </c>
      <c r="CK56" s="69">
        <f t="shared" si="66"/>
        <v>5</v>
      </c>
      <c r="CL56" s="65">
        <f t="shared" si="67"/>
        <v>6</v>
      </c>
      <c r="CM56" s="67">
        <f t="shared" si="68"/>
        <v>1</v>
      </c>
      <c r="CN56" s="65">
        <f t="shared" si="69"/>
        <v>10</v>
      </c>
      <c r="CO56" s="68">
        <f t="array" ref="CO56">SUM(IF(ISERR(FIND("*",D56:CD56)),0,1))</f>
        <v>0</v>
      </c>
      <c r="CP56" s="68">
        <f t="array" ref="CP56">SUM(IF(ISERR(FIND("+",D56:CD56)),0,1))</f>
        <v>0</v>
      </c>
      <c r="CQ56" s="65">
        <f t="shared" si="70"/>
        <v>4</v>
      </c>
      <c r="CR56" s="68">
        <f t="array" ref="CR56">SUM(IF(ISERR(FIND(CR$4,$D56:$CD56)),0,1))</f>
        <v>2</v>
      </c>
      <c r="CS56" s="68">
        <f t="array" ref="CS56">SUM(IF(ISERR(FIND(CS$4,$D56:$CD56)),0,1))</f>
        <v>3</v>
      </c>
      <c r="CT56" s="68">
        <f t="array" ref="CT56">SUM(IF(ISERR(FIND(CT$4,$D56:$CD56)),0,1))</f>
        <v>1</v>
      </c>
      <c r="CU56" s="68">
        <f t="array" ref="CU56">SUM(IF(ISERR(FIND(CU$4,$D56:$CD56)),0,1))</f>
        <v>0</v>
      </c>
      <c r="CV56" s="68">
        <f t="array" ref="CV56">SUM(IF(ISERR(FIND(CV$4,$D56:$CD56)),0,1))</f>
        <v>0</v>
      </c>
      <c r="CW56" s="68">
        <f t="array" ref="CW56">SUM(IF(ISERR(FIND(CW$4,$D56:$CD56)),0,1))</f>
        <v>0</v>
      </c>
      <c r="CX56" s="68">
        <f t="array" ref="CX56">SUM(IF(ISERR(FIND(CX$4,$D56:$CD56)),0,1))</f>
        <v>0</v>
      </c>
      <c r="CY56" s="68">
        <f t="shared" si="71"/>
        <v>0</v>
      </c>
      <c r="CZ56" s="68">
        <f t="shared" si="95"/>
        <v>0</v>
      </c>
      <c r="DA56" s="68">
        <f t="shared" si="72"/>
        <v>2</v>
      </c>
      <c r="DB56" s="68">
        <f t="shared" si="73"/>
        <v>0</v>
      </c>
      <c r="DC56" s="68">
        <f t="shared" si="74"/>
        <v>0</v>
      </c>
      <c r="DD56" s="68">
        <f t="shared" si="75"/>
        <v>0</v>
      </c>
      <c r="DE56" s="68">
        <f t="shared" si="76"/>
        <v>0</v>
      </c>
      <c r="DF56" s="68">
        <f t="shared" si="77"/>
        <v>0</v>
      </c>
      <c r="DG56" s="65">
        <f t="shared" si="78"/>
        <v>100608.06056</v>
      </c>
      <c r="DH56" s="65">
        <f>RANK(DG56,$DG$5:$DG$57)</f>
        <v>31</v>
      </c>
      <c r="DI56" s="65">
        <v>49</v>
      </c>
      <c r="DJ56" s="86" t="str">
        <f t="shared" si="79"/>
        <v/>
      </c>
      <c r="DK56" s="94">
        <f t="shared" si="80"/>
        <v>0.66666666666666663</v>
      </c>
      <c r="DL56" s="172">
        <f t="shared" si="81"/>
        <v>2</v>
      </c>
      <c r="DM56" s="65" t="str">
        <f t="shared" si="82"/>
        <v>2</v>
      </c>
      <c r="DN56" s="65" t="str">
        <f t="shared" si="83"/>
        <v>Wilson A</v>
      </c>
      <c r="DO56" s="68">
        <f t="shared" si="84"/>
        <v>0</v>
      </c>
      <c r="DP56" s="65" t="str">
        <f t="shared" si="85"/>
        <v/>
      </c>
      <c r="DQ56" s="68">
        <f t="shared" si="86"/>
        <v>0</v>
      </c>
      <c r="DR56" s="65" t="str">
        <f t="shared" si="87"/>
        <v/>
      </c>
      <c r="DS56" s="68">
        <f t="shared" si="88"/>
        <v>0</v>
      </c>
      <c r="DT56" s="65" t="str">
        <f t="shared" si="89"/>
        <v/>
      </c>
    </row>
    <row r="57" spans="2:124" x14ac:dyDescent="0.15">
      <c r="B57" t="s">
        <v>269</v>
      </c>
      <c r="C57" t="s">
        <v>278</v>
      </c>
      <c r="D57" s="117"/>
      <c r="E57" s="117"/>
      <c r="F57" s="117"/>
      <c r="G57" s="117"/>
      <c r="H57" s="117"/>
      <c r="I57" s="117" t="s">
        <v>283</v>
      </c>
      <c r="J57"/>
      <c r="K57" s="117"/>
      <c r="L57" t="s">
        <v>445</v>
      </c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CE57" s="65" t="str">
        <f t="shared" si="94"/>
        <v>Woodhouse M</v>
      </c>
      <c r="CF57" s="65">
        <f t="shared" si="61"/>
        <v>2</v>
      </c>
      <c r="CG57" s="65">
        <f t="shared" si="62"/>
        <v>0</v>
      </c>
      <c r="CH57" s="65">
        <f t="shared" si="63"/>
        <v>2</v>
      </c>
      <c r="CI57" s="65">
        <f t="shared" si="64"/>
        <v>0</v>
      </c>
      <c r="CJ57" s="65">
        <f t="shared" si="65"/>
        <v>4</v>
      </c>
      <c r="CK57" s="69">
        <f t="shared" si="66"/>
        <v>4</v>
      </c>
      <c r="CL57" s="65">
        <f t="shared" si="67"/>
        <v>4</v>
      </c>
      <c r="CM57" s="67">
        <f t="shared" si="68"/>
        <v>2</v>
      </c>
      <c r="CN57" s="65">
        <f t="shared" si="69"/>
        <v>5</v>
      </c>
      <c r="CO57" s="68">
        <f t="array" ref="CO57">SUM(IF(ISERR(FIND("*",D57:CD57)),0,1))</f>
        <v>0</v>
      </c>
      <c r="CP57" s="68">
        <f t="array" ref="CP57">SUM(IF(ISERR(FIND("+",D57:CD57)),0,1))</f>
        <v>0</v>
      </c>
      <c r="CQ57" s="65">
        <f t="shared" si="70"/>
        <v>1</v>
      </c>
      <c r="CR57" s="68">
        <f t="array" ref="CR57">SUM(IF(ISERR(FIND(CR$4,$D57:$CD57)),0,1))</f>
        <v>2</v>
      </c>
      <c r="CS57" s="68">
        <f t="array" ref="CS57">SUM(IF(ISERR(FIND(CS$4,$D57:$CD57)),0,1))</f>
        <v>0</v>
      </c>
      <c r="CT57" s="68">
        <f t="array" ref="CT57">SUM(IF(ISERR(FIND(CT$4,$D57:$CD57)),0,1))</f>
        <v>0</v>
      </c>
      <c r="CU57" s="68">
        <f t="array" ref="CU57">SUM(IF(ISERR(FIND(CU$4,$D57:$CD57)),0,1))</f>
        <v>0</v>
      </c>
      <c r="CV57" s="68">
        <f t="array" ref="CV57">SUM(IF(ISERR(FIND(CV$4,$D57:$CD57)),0,1))</f>
        <v>0</v>
      </c>
      <c r="CW57" s="68">
        <f t="array" ref="CW57">SUM(IF(ISERR(FIND(CW$4,$D57:$CD57)),0,1))</f>
        <v>0</v>
      </c>
      <c r="CX57" s="68">
        <f t="array" ref="CX57">SUM(IF(ISERR(FIND(CX$4,$D57:$CD57)),0,1))</f>
        <v>0</v>
      </c>
      <c r="CY57" s="68">
        <f t="shared" si="71"/>
        <v>0</v>
      </c>
      <c r="CZ57" s="68">
        <f t="shared" si="95"/>
        <v>0</v>
      </c>
      <c r="DA57" s="68">
        <f t="shared" si="72"/>
        <v>1</v>
      </c>
      <c r="DB57" s="68">
        <f t="shared" si="73"/>
        <v>1</v>
      </c>
      <c r="DC57" s="68">
        <f t="shared" si="74"/>
        <v>0</v>
      </c>
      <c r="DD57" s="68">
        <f t="shared" si="75"/>
        <v>0</v>
      </c>
      <c r="DE57" s="68">
        <f t="shared" si="76"/>
        <v>0</v>
      </c>
      <c r="DF57" s="68">
        <f t="shared" si="77"/>
        <v>0</v>
      </c>
      <c r="DG57" s="65">
        <f t="shared" si="78"/>
        <v>200202.04057000001</v>
      </c>
      <c r="DH57" s="65">
        <f>RANK(DG57,$DG$5:$DG$57)</f>
        <v>30</v>
      </c>
      <c r="DI57" s="65">
        <v>50</v>
      </c>
      <c r="DJ57" s="86" t="str">
        <f t="shared" si="79"/>
        <v/>
      </c>
      <c r="DK57" s="94">
        <f t="shared" si="80"/>
        <v>0.5</v>
      </c>
      <c r="DL57" s="172">
        <f t="shared" si="81"/>
        <v>1</v>
      </c>
      <c r="DM57" s="65" t="str">
        <f t="shared" si="82"/>
        <v>1</v>
      </c>
      <c r="DN57" s="65" t="str">
        <f t="shared" si="83"/>
        <v>Woodhouse M</v>
      </c>
      <c r="DO57" s="68">
        <f t="shared" si="84"/>
        <v>0</v>
      </c>
      <c r="DP57" s="65" t="str">
        <f t="shared" si="85"/>
        <v/>
      </c>
      <c r="DQ57" s="68">
        <f t="shared" si="86"/>
        <v>1</v>
      </c>
      <c r="DR57" s="65" t="str">
        <f t="shared" si="87"/>
        <v>Woodhouse M</v>
      </c>
      <c r="DS57" s="68">
        <f t="shared" si="88"/>
        <v>0</v>
      </c>
      <c r="DT57" s="65" t="str">
        <f t="shared" si="89"/>
        <v/>
      </c>
    </row>
    <row r="58" spans="2:124" x14ac:dyDescent="0.15">
      <c r="CK58" s="69"/>
      <c r="CM58" s="67"/>
      <c r="CO58" s="68"/>
      <c r="CP58" s="68"/>
      <c r="CR58" s="68"/>
      <c r="CS58" s="68"/>
      <c r="CT58" s="68"/>
      <c r="CU58" s="68"/>
      <c r="CV58" s="68"/>
      <c r="CW58" s="68"/>
      <c r="CX58" s="68"/>
      <c r="CY58" s="68"/>
      <c r="CZ58" s="68"/>
    </row>
    <row r="59" spans="2:124" x14ac:dyDescent="0.15">
      <c r="CO59" s="87">
        <f>SUM(CO5:CO58)</f>
        <v>21</v>
      </c>
      <c r="CP59" s="87">
        <f>SUM(CP5:CP58)</f>
        <v>21</v>
      </c>
      <c r="CQ59" s="57">
        <f>SUM(CQ5:CQ58)</f>
        <v>28</v>
      </c>
      <c r="CR59" s="70">
        <f>SUM(CR5:CR58)</f>
        <v>69</v>
      </c>
      <c r="CS59" s="70">
        <f>SUM(CS5:CS58)</f>
        <v>66</v>
      </c>
      <c r="CT59" s="70">
        <f>SUM(CT5:CT58)</f>
        <v>20</v>
      </c>
      <c r="CU59" s="70">
        <f>SUM(CU5:CU58)</f>
        <v>6</v>
      </c>
      <c r="CV59" s="70">
        <f>SUM(CV5:CV58)</f>
        <v>9</v>
      </c>
      <c r="CW59" s="70">
        <f>SUM(CW5:CW58)</f>
        <v>0</v>
      </c>
      <c r="CX59" s="70"/>
      <c r="CY59" s="70"/>
      <c r="CZ59" s="70"/>
      <c r="DA59" s="57">
        <f>SUM(DA5:DA58)</f>
        <v>50</v>
      </c>
      <c r="DB59" s="57">
        <f>SUM(DB5:DB58)</f>
        <v>442</v>
      </c>
      <c r="DC59" s="57">
        <f>SUM(DC5:DC58)</f>
        <v>41</v>
      </c>
      <c r="DD59" s="57">
        <f>SUM(DD5:DD58)</f>
        <v>2</v>
      </c>
      <c r="DE59" s="57">
        <f>SUM(DE5:DE58)</f>
        <v>12</v>
      </c>
      <c r="DF59" s="57">
        <f>SUM(DF5:DF58)</f>
        <v>46</v>
      </c>
    </row>
    <row r="60" spans="2:124" x14ac:dyDescent="0.15">
      <c r="C60" s="65" t="s">
        <v>120</v>
      </c>
      <c r="D60" s="65">
        <f t="array" ref="D60">SUM(IF(NOT(ISERR(FIND("*",D5:D57))),1,0))</f>
        <v>1</v>
      </c>
      <c r="E60" s="65">
        <f t="array" ref="E60">SUM(IF(NOT(ISERR(FIND("*",E5:E57))),1,0))</f>
        <v>1</v>
      </c>
      <c r="F60" s="65">
        <f t="array" ref="F60">SUM(IF(NOT(ISERR(FIND("*",F5:F57))),1,0))</f>
        <v>1</v>
      </c>
      <c r="G60" s="65">
        <f t="array" ref="G60">SUM(IF(NOT(ISERR(FIND("*",G5:G57))),1,0))</f>
        <v>1</v>
      </c>
      <c r="H60" s="65">
        <f t="array" ref="H60">SUM(IF(NOT(ISERR(FIND("*",H5:H57))),1,0))</f>
        <v>1</v>
      </c>
      <c r="I60" s="65">
        <f t="array" ref="I60">SUM(IF(NOT(ISERR(FIND("*",I5:I57))),1,0))</f>
        <v>1</v>
      </c>
      <c r="J60" s="65">
        <f t="array" ref="J60">SUM(IF(NOT(ISERR(FIND("*",J5:J57))),1,0))</f>
        <v>1</v>
      </c>
      <c r="K60" s="65">
        <f t="array" ref="K60">SUM(IF(NOT(ISERR(FIND("*",K5:K57))),1,0))</f>
        <v>1</v>
      </c>
      <c r="L60" s="65">
        <f t="array" ref="L60">SUM(IF(NOT(ISERR(FIND("*",L5:L57))),1,0))</f>
        <v>1</v>
      </c>
      <c r="M60" s="65">
        <f t="array" ref="M60">SUM(IF(NOT(ISERR(FIND("*",M5:M57))),1,0))</f>
        <v>1</v>
      </c>
      <c r="N60" s="65">
        <f t="array" ref="N60">SUM(IF(NOT(ISERR(FIND("*",N5:N57))),1,0))</f>
        <v>1</v>
      </c>
      <c r="O60" s="65">
        <f t="array" ref="O60">SUM(IF(NOT(ISERR(FIND("*",O5:O57))),1,0))</f>
        <v>1</v>
      </c>
      <c r="P60" s="65">
        <f t="array" ref="P60">SUM(IF(NOT(ISERR(FIND("*",P5:P57))),1,0))</f>
        <v>1</v>
      </c>
      <c r="Q60" s="65">
        <f t="array" ref="Q60">SUM(IF(NOT(ISERR(FIND("*",Q5:Q57))),1,0))</f>
        <v>1</v>
      </c>
      <c r="R60" s="65">
        <f t="array" ref="R60">SUM(IF(NOT(ISERR(FIND("*",R5:R57))),1,0))</f>
        <v>1</v>
      </c>
      <c r="S60" s="65">
        <f t="array" ref="S60">SUM(IF(NOT(ISERR(FIND("*",S5:S57))),1,0))</f>
        <v>1</v>
      </c>
      <c r="T60" s="65">
        <f t="array" ref="T60">SUM(IF(NOT(ISERR(FIND("*",T5:T57))),1,0))</f>
        <v>1</v>
      </c>
      <c r="U60" s="65">
        <f t="array" ref="U60">SUM(IF(NOT(ISERR(FIND("*",U5:U57))),1,0))</f>
        <v>1</v>
      </c>
      <c r="V60" s="65">
        <f t="array" ref="V60">SUM(IF(NOT(ISERR(FIND("*",V5:V57))),1,0))</f>
        <v>1</v>
      </c>
      <c r="W60" s="65">
        <f t="array" ref="W60">SUM(IF(NOT(ISERR(FIND("*",W5:W57))),1,0))</f>
        <v>1</v>
      </c>
      <c r="X60" s="65">
        <f t="array" ref="X60">SUM(IF(NOT(ISERR(FIND("*",X5:X57))),1,0))</f>
        <v>1</v>
      </c>
      <c r="Y60" s="65">
        <f t="array" ref="Y60">SUM(IF(NOT(ISERR(FIND("*",Y5:Y57))),1,0))</f>
        <v>0</v>
      </c>
      <c r="Z60" s="65">
        <f t="array" ref="Z60">SUM(IF(NOT(ISERR(FIND("*",Z5:Z57))),1,0))</f>
        <v>0</v>
      </c>
      <c r="AA60" s="65">
        <f t="array" ref="AA60">SUM(IF(NOT(ISERR(FIND("*",AA5:AA57))),1,0))</f>
        <v>0</v>
      </c>
      <c r="AB60" s="65">
        <f t="array" ref="AB60">SUM(IF(NOT(ISERR(FIND("*",AB5:AB57))),1,0))</f>
        <v>0</v>
      </c>
      <c r="AC60" s="65">
        <f t="array" ref="AC60">SUM(IF(NOT(ISERR(FIND("*",AC5:AC57))),1,0))</f>
        <v>0</v>
      </c>
      <c r="AD60" s="65">
        <f t="array" ref="AD60">SUM(IF(NOT(ISERR(FIND("*",AD5:AD57))),1,0))</f>
        <v>0</v>
      </c>
      <c r="AE60" s="65">
        <f t="array" ref="AE60">SUM(IF(NOT(ISERR(FIND("*",AE5:AE57))),1,0))</f>
        <v>0</v>
      </c>
      <c r="AF60" s="65">
        <f t="array" ref="AF60">SUM(IF(NOT(ISERR(FIND("*",AF5:AF57))),1,0))</f>
        <v>0</v>
      </c>
      <c r="AG60" s="65">
        <f t="array" ref="AG60">SUM(IF(NOT(ISERR(FIND("*",AG5:AG57))),1,0))</f>
        <v>0</v>
      </c>
      <c r="AH60" s="65">
        <f t="array" ref="AH60">SUM(IF(NOT(ISERR(FIND("*",AH5:AH57))),1,0))</f>
        <v>0</v>
      </c>
      <c r="AI60" s="65">
        <f t="array" ref="AI60">SUM(IF(NOT(ISERR(FIND("*",AI5:AI57))),1,0))</f>
        <v>0</v>
      </c>
      <c r="AJ60" s="65">
        <f t="array" ref="AJ60">SUM(IF(NOT(ISERR(FIND("*",AJ5:AJ57))),1,0))</f>
        <v>0</v>
      </c>
      <c r="AK60" s="65">
        <f t="array" ref="AK60">SUM(IF(NOT(ISERR(FIND("*",AK5:AK57))),1,0))</f>
        <v>0</v>
      </c>
      <c r="AL60" s="65">
        <f t="array" ref="AL60">SUM(IF(NOT(ISERR(FIND("*",AL5:AL57))),1,0))</f>
        <v>0</v>
      </c>
      <c r="AM60" s="65">
        <f t="array" ref="AM60">SUM(IF(NOT(ISERR(FIND("*",AM5:AM57))),1,0))</f>
        <v>0</v>
      </c>
      <c r="AN60" s="65">
        <f t="array" ref="AN60">SUM(IF(NOT(ISERR(FIND("*",AN5:AN57))),1,0))</f>
        <v>0</v>
      </c>
      <c r="AO60" s="65">
        <f t="array" ref="AO60">SUM(IF(NOT(ISERR(FIND("*",AO5:AO57))),1,0))</f>
        <v>0</v>
      </c>
      <c r="AP60" s="65">
        <f t="array" ref="AP60">SUM(IF(NOT(ISERR(FIND("*",AP5:AP57))),1,0))</f>
        <v>0</v>
      </c>
      <c r="AQ60" s="65">
        <f t="array" ref="AQ60">SUM(IF(NOT(ISERR(FIND("*",AQ5:AQ57))),1,0))</f>
        <v>0</v>
      </c>
      <c r="AR60" s="65">
        <f t="array" ref="AR60">SUM(IF(NOT(ISERR(FIND("*",AR5:AR57))),1,0))</f>
        <v>0</v>
      </c>
      <c r="AS60" s="65">
        <f t="array" ref="AS60">SUM(IF(NOT(ISERR(FIND("*",AS5:AS57))),1,0))</f>
        <v>0</v>
      </c>
      <c r="AT60" s="65">
        <f t="array" ref="AT60">SUM(IF(NOT(ISERR(FIND("*",AT5:AT57))),1,0))</f>
        <v>0</v>
      </c>
      <c r="AU60" s="65">
        <f t="array" ref="AU60">SUM(IF(NOT(ISERR(FIND("*",AU5:AU57))),1,0))</f>
        <v>0</v>
      </c>
      <c r="AV60" s="65">
        <f t="array" ref="AV60">SUM(IF(NOT(ISERR(FIND("*",AV5:AV57))),1,0))</f>
        <v>0</v>
      </c>
      <c r="AW60" s="65">
        <f t="array" ref="AW60">SUM(IF(NOT(ISERR(FIND("*",AW5:AW57))),1,0))</f>
        <v>0</v>
      </c>
      <c r="AX60" s="65">
        <f t="array" ref="AX60">SUM(IF(NOT(ISERR(FIND("*",AX5:AX57))),1,0))</f>
        <v>0</v>
      </c>
      <c r="AY60" s="65">
        <f t="array" ref="AY60">SUM(IF(NOT(ISERR(FIND("*",AY5:AY57))),1,0))</f>
        <v>0</v>
      </c>
      <c r="AZ60" s="65">
        <f t="array" ref="AZ60">SUM(IF(NOT(ISERR(FIND("*",AZ5:AZ57))),1,0))</f>
        <v>0</v>
      </c>
      <c r="BA60" s="65">
        <f t="array" ref="BA60">SUM(IF(NOT(ISERR(FIND("*",BA5:BA57))),1,0))</f>
        <v>0</v>
      </c>
      <c r="BB60" s="65">
        <f t="array" ref="BB60">SUM(IF(NOT(ISERR(FIND("*",BB5:BB57))),1,0))</f>
        <v>0</v>
      </c>
      <c r="BC60" s="65">
        <f t="array" ref="BC60">SUM(IF(NOT(ISERR(FIND("*",BC5:BC57))),1,0))</f>
        <v>0</v>
      </c>
      <c r="BD60" s="65">
        <f t="array" ref="BD60">SUM(IF(NOT(ISERR(FIND("*",BD5:BD57))),1,0))</f>
        <v>0</v>
      </c>
      <c r="BE60" s="65">
        <f t="array" ref="BE60">SUM(IF(NOT(ISERR(FIND("*",BE5:BE57))),1,0))</f>
        <v>0</v>
      </c>
      <c r="BF60" s="65">
        <f t="array" ref="BF60">SUM(IF(NOT(ISERR(FIND("*",BF5:BF57))),1,0))</f>
        <v>0</v>
      </c>
      <c r="CF60" s="65">
        <f>SUM(D60:BF60)</f>
        <v>21</v>
      </c>
      <c r="CO60" s="88">
        <f>SUM(D60:BF60)</f>
        <v>21</v>
      </c>
      <c r="CP60" s="57"/>
      <c r="CQ60" s="57"/>
      <c r="CR60" s="70">
        <f>SUM(CR59:CW59)</f>
        <v>170</v>
      </c>
      <c r="CS60" s="57"/>
      <c r="CT60" s="57"/>
      <c r="CU60" s="57"/>
      <c r="CV60" s="57"/>
      <c r="CW60" s="57"/>
      <c r="CX60" s="57"/>
      <c r="CY60" s="57"/>
      <c r="CZ60" s="57"/>
      <c r="DA60" s="57"/>
      <c r="DB60" s="57"/>
      <c r="DC60" s="57"/>
      <c r="DD60" s="57"/>
      <c r="DE60" s="57"/>
      <c r="DF60" s="57"/>
      <c r="DL60"/>
      <c r="DM60"/>
      <c r="DP60" s="112"/>
      <c r="DQ60" s="112"/>
    </row>
    <row r="61" spans="2:124" x14ac:dyDescent="0.15">
      <c r="C61" s="65" t="s">
        <v>13</v>
      </c>
      <c r="D61" s="65">
        <f t="array" ref="D61">SUM(IF(NOT(ISERR(FIND("+",D5:D57))),1,0))</f>
        <v>1</v>
      </c>
      <c r="E61" s="65">
        <f t="array" ref="E61">SUM(IF(NOT(ISERR(FIND("+",E5:E57))),1,0))</f>
        <v>1</v>
      </c>
      <c r="F61" s="65">
        <f t="array" ref="F61">SUM(IF(NOT(ISERR(FIND("+",F5:F57))),1,0))</f>
        <v>1</v>
      </c>
      <c r="G61" s="65">
        <f t="array" ref="G61">SUM(IF(NOT(ISERR(FIND("+",G5:G57))),1,0))</f>
        <v>1</v>
      </c>
      <c r="H61" s="65">
        <f t="array" ref="H61">SUM(IF(NOT(ISERR(FIND("+",H5:H57))),1,0))</f>
        <v>1</v>
      </c>
      <c r="I61" s="65">
        <f t="array" ref="I61">SUM(IF(NOT(ISERR(FIND("+",I5:I57))),1,0))</f>
        <v>1</v>
      </c>
      <c r="J61" s="65">
        <f t="array" ref="J61">SUM(IF(NOT(ISERR(FIND("+",J5:J57))),1,0))</f>
        <v>1</v>
      </c>
      <c r="K61" s="65">
        <f t="array" ref="K61">SUM(IF(NOT(ISERR(FIND("+",K5:K57))),1,0))</f>
        <v>1</v>
      </c>
      <c r="L61" s="65">
        <f t="array" ref="L61">SUM(IF(NOT(ISERR(FIND("+",L5:L57))),1,0))</f>
        <v>1</v>
      </c>
      <c r="M61" s="65">
        <f t="array" ref="M61">SUM(IF(NOT(ISERR(FIND("+",M5:M57))),1,0))</f>
        <v>1</v>
      </c>
      <c r="N61" s="65">
        <f t="array" ref="N61">SUM(IF(NOT(ISERR(FIND("+",N5:N57))),1,0))</f>
        <v>1</v>
      </c>
      <c r="O61" s="65">
        <f t="array" ref="O61">SUM(IF(NOT(ISERR(FIND("+",O5:O57))),1,0))</f>
        <v>1</v>
      </c>
      <c r="P61" s="65">
        <f t="array" ref="P61">SUM(IF(NOT(ISERR(FIND("+",P5:P57))),1,0))</f>
        <v>1</v>
      </c>
      <c r="Q61" s="65">
        <f t="array" ref="Q61">SUM(IF(NOT(ISERR(FIND("+",Q5:Q57))),1,0))</f>
        <v>1</v>
      </c>
      <c r="R61" s="65">
        <f t="array" ref="R61">SUM(IF(NOT(ISERR(FIND("+",R5:R57))),1,0))</f>
        <v>1</v>
      </c>
      <c r="S61" s="65">
        <f t="array" ref="S61">SUM(IF(NOT(ISERR(FIND("+",S5:S57))),1,0))</f>
        <v>1</v>
      </c>
      <c r="T61" s="65">
        <f t="array" ref="T61">SUM(IF(NOT(ISERR(FIND("+",T5:T57))),1,0))</f>
        <v>1</v>
      </c>
      <c r="U61" s="65">
        <f t="array" ref="U61">SUM(IF(NOT(ISERR(FIND("+",U5:U57))),1,0))</f>
        <v>1</v>
      </c>
      <c r="V61" s="65">
        <f t="array" ref="V61">SUM(IF(NOT(ISERR(FIND("+",V5:V57))),1,0))</f>
        <v>1</v>
      </c>
      <c r="W61" s="65">
        <f t="array" ref="W61">SUM(IF(NOT(ISERR(FIND("+",W5:W57))),1,0))</f>
        <v>1</v>
      </c>
      <c r="X61" s="65">
        <f t="array" ref="X61">SUM(IF(NOT(ISERR(FIND("+",X5:X57))),1,0))</f>
        <v>1</v>
      </c>
      <c r="Y61" s="65">
        <f t="array" ref="Y61">SUM(IF(NOT(ISERR(FIND("+",Y5:Y57))),1,0))</f>
        <v>0</v>
      </c>
      <c r="Z61" s="65">
        <f t="array" ref="Z61">SUM(IF(NOT(ISERR(FIND("+",Z5:Z57))),1,0))</f>
        <v>0</v>
      </c>
      <c r="AA61" s="65">
        <f t="array" ref="AA61">SUM(IF(NOT(ISERR(FIND("+",AA5:AA57))),1,0))</f>
        <v>0</v>
      </c>
      <c r="AB61" s="65">
        <f t="array" ref="AB61">SUM(IF(NOT(ISERR(FIND("+",AB5:AB57))),1,0))</f>
        <v>0</v>
      </c>
      <c r="AC61" s="65">
        <f t="array" ref="AC61">SUM(IF(NOT(ISERR(FIND("+",AC5:AC57))),1,0))</f>
        <v>0</v>
      </c>
      <c r="AD61" s="65">
        <f t="array" ref="AD61">SUM(IF(NOT(ISERR(FIND("+",AD5:AD57))),1,0))</f>
        <v>0</v>
      </c>
      <c r="AE61" s="65">
        <f t="array" ref="AE61">SUM(IF(NOT(ISERR(FIND("+",AE5:AE57))),1,0))</f>
        <v>0</v>
      </c>
      <c r="AF61" s="65">
        <f t="array" ref="AF61">SUM(IF(NOT(ISERR(FIND("+",AF5:AF57))),1,0))</f>
        <v>0</v>
      </c>
      <c r="AG61" s="65">
        <f t="array" ref="AG61">SUM(IF(NOT(ISERR(FIND("+",AG5:AG57))),1,0))</f>
        <v>0</v>
      </c>
      <c r="AH61" s="65">
        <f t="array" ref="AH61">SUM(IF(NOT(ISERR(FIND("+",AH5:AH57))),1,0))</f>
        <v>0</v>
      </c>
      <c r="AI61" s="65">
        <f t="array" ref="AI61">SUM(IF(NOT(ISERR(FIND("+",AI5:AI57))),1,0))</f>
        <v>0</v>
      </c>
      <c r="AJ61" s="65">
        <f t="array" ref="AJ61">SUM(IF(NOT(ISERR(FIND("+",AJ5:AJ57))),1,0))</f>
        <v>0</v>
      </c>
      <c r="AK61" s="65">
        <f t="array" ref="AK61">SUM(IF(NOT(ISERR(FIND("+",AK5:AK57))),1,0))</f>
        <v>0</v>
      </c>
      <c r="AL61" s="65">
        <f t="array" ref="AL61">SUM(IF(NOT(ISERR(FIND("+",AL5:AL57))),1,0))</f>
        <v>0</v>
      </c>
      <c r="AM61" s="65">
        <f t="array" ref="AM61">SUM(IF(NOT(ISERR(FIND("+",AM5:AM57))),1,0))</f>
        <v>0</v>
      </c>
      <c r="AN61" s="65">
        <f t="array" ref="AN61">SUM(IF(NOT(ISERR(FIND("+",AN5:AN57))),1,0))</f>
        <v>0</v>
      </c>
      <c r="AO61" s="65">
        <f t="array" ref="AO61">SUM(IF(NOT(ISERR(FIND("+",AO5:AO57))),1,0))</f>
        <v>0</v>
      </c>
      <c r="AP61" s="65">
        <f t="array" ref="AP61">SUM(IF(NOT(ISERR(FIND("+",AP5:AP57))),1,0))</f>
        <v>0</v>
      </c>
      <c r="AQ61" s="65">
        <f t="array" ref="AQ61">SUM(IF(NOT(ISERR(FIND("+",AQ5:AQ57))),1,0))</f>
        <v>0</v>
      </c>
      <c r="AR61" s="65">
        <f t="array" ref="AR61">SUM(IF(NOT(ISERR(FIND("+",AR5:AR57))),1,0))</f>
        <v>0</v>
      </c>
      <c r="AS61" s="65">
        <f t="array" ref="AS61">SUM(IF(NOT(ISERR(FIND("+",AS5:AS57))),1,0))</f>
        <v>0</v>
      </c>
      <c r="AT61" s="65">
        <f t="array" ref="AT61">SUM(IF(NOT(ISERR(FIND("+",AT5:AT57))),1,0))</f>
        <v>0</v>
      </c>
      <c r="AU61" s="65">
        <f t="array" ref="AU61">SUM(IF(NOT(ISERR(FIND("+",AU5:AU57))),1,0))</f>
        <v>0</v>
      </c>
      <c r="AV61" s="65">
        <f t="array" ref="AV61">SUM(IF(NOT(ISERR(FIND("+",AV5:AV57))),1,0))</f>
        <v>0</v>
      </c>
      <c r="AW61" s="65">
        <f t="array" ref="AW61">SUM(IF(NOT(ISERR(FIND("+",AW5:AW57))),1,0))</f>
        <v>0</v>
      </c>
      <c r="AX61" s="65">
        <f t="array" ref="AX61">SUM(IF(NOT(ISERR(FIND("+",AX5:AX57))),1,0))</f>
        <v>0</v>
      </c>
      <c r="AY61" s="65">
        <f t="array" ref="AY61">SUM(IF(NOT(ISERR(FIND("+",AY5:AY57))),1,0))</f>
        <v>0</v>
      </c>
      <c r="AZ61" s="65">
        <f t="array" ref="AZ61">SUM(IF(NOT(ISERR(FIND("+",AZ5:AZ57))),1,0))</f>
        <v>0</v>
      </c>
      <c r="BA61" s="65">
        <f t="array" ref="BA61">SUM(IF(NOT(ISERR(FIND("+",BA5:BA57))),1,0))</f>
        <v>0</v>
      </c>
      <c r="BB61" s="65">
        <f t="array" ref="BB61">SUM(IF(NOT(ISERR(FIND("+",BB5:BB57))),1,0))</f>
        <v>0</v>
      </c>
      <c r="BC61" s="65">
        <f t="array" ref="BC61">SUM(IF(NOT(ISERR(FIND("+",BC5:BC57))),1,0))</f>
        <v>0</v>
      </c>
      <c r="BD61" s="65">
        <f t="array" ref="BD61">SUM(IF(NOT(ISERR(FIND("+",BD5:BD57))),1,0))</f>
        <v>0</v>
      </c>
      <c r="BE61" s="65">
        <f t="array" ref="BE61">SUM(IF(NOT(ISERR(FIND("+",BE5:BE57))),1,0))</f>
        <v>0</v>
      </c>
      <c r="BF61" s="65">
        <f t="array" ref="BF61">SUM(IF(NOT(ISERR(FIND("+",BF5:BF57))),1,0))</f>
        <v>0</v>
      </c>
      <c r="CF61" s="65">
        <f>SUM(D61:BF61)</f>
        <v>21</v>
      </c>
      <c r="CO61" s="88">
        <f>SUM(D61:BF61)</f>
        <v>21</v>
      </c>
      <c r="CP61" s="57"/>
      <c r="CQ61" s="57"/>
      <c r="CR61" s="103">
        <f t="shared" ref="CR61:CW61" si="125">CR59/$CR$60</f>
        <v>0.40588235294117647</v>
      </c>
      <c r="CS61" s="103">
        <f t="shared" si="125"/>
        <v>0.38823529411764707</v>
      </c>
      <c r="CT61" s="103">
        <f t="shared" si="125"/>
        <v>0.11764705882352941</v>
      </c>
      <c r="CU61" s="103">
        <f t="shared" si="125"/>
        <v>3.5294117647058823E-2</v>
      </c>
      <c r="CV61" s="103">
        <f t="shared" si="125"/>
        <v>5.2941176470588235E-2</v>
      </c>
      <c r="CW61" s="103">
        <f t="shared" si="125"/>
        <v>0</v>
      </c>
      <c r="CX61" s="103"/>
      <c r="CY61" s="103"/>
      <c r="CZ61" s="103"/>
      <c r="DA61" s="57"/>
      <c r="DB61" s="57"/>
      <c r="DC61" s="57"/>
      <c r="DD61" s="57"/>
      <c r="DE61" s="57"/>
      <c r="DF61" s="57"/>
      <c r="DL61"/>
      <c r="DM61"/>
      <c r="DP61" s="112"/>
      <c r="DQ61" s="112"/>
    </row>
    <row r="62" spans="2:124" x14ac:dyDescent="0.15">
      <c r="DL62"/>
      <c r="DM62"/>
      <c r="DP62" s="112"/>
      <c r="DQ62" s="112"/>
    </row>
    <row r="63" spans="2:124" x14ac:dyDescent="0.15">
      <c r="C63" s="65" t="s">
        <v>111</v>
      </c>
      <c r="D63" s="65">
        <f>BatSplit(D5:D57,RunsScored)</f>
        <v>202</v>
      </c>
      <c r="E63" s="65">
        <f>BatSplit(E5:E57,RunsScored)</f>
        <v>159</v>
      </c>
      <c r="F63" s="65">
        <f>BatSplit(F5:F57,RunsScored)</f>
        <v>157</v>
      </c>
      <c r="G63" s="65">
        <f>BatSplit(G5:G57,RunsScored)</f>
        <v>182</v>
      </c>
      <c r="H63" s="65">
        <f>BatSplit(H5:H57,RunsScored)</f>
        <v>175</v>
      </c>
      <c r="I63" s="65">
        <f>BatSplit(I5:I57,RunsScored)</f>
        <v>146</v>
      </c>
      <c r="J63" s="65">
        <f>BatSplit(J5:J57,RunsScored)</f>
        <v>194</v>
      </c>
      <c r="K63" s="65">
        <f>BatSplit(K5:K57,RunsScored)</f>
        <v>179</v>
      </c>
      <c r="L63" s="65">
        <f>BatSplit(L5:L57,RunsScored)</f>
        <v>78</v>
      </c>
      <c r="M63" s="65">
        <f>BatSplit(M5:M57,RunsScored)</f>
        <v>141</v>
      </c>
      <c r="N63" s="65">
        <f>BatSplit(N5:N57,RunsScored)</f>
        <v>181</v>
      </c>
      <c r="O63" s="65">
        <f>BatSplit(O5:O57,RunsScored)</f>
        <v>84</v>
      </c>
      <c r="P63" s="65">
        <f>BatSplit(P5:P57,RunsScored)</f>
        <v>240</v>
      </c>
      <c r="Q63" s="65">
        <f>BatSplit(Q5:Q57,RunsScored)</f>
        <v>206</v>
      </c>
      <c r="R63" s="65">
        <f>BatSplit(R5:R57,RunsScored)</f>
        <v>107</v>
      </c>
      <c r="S63" s="65">
        <f>BatSplit(S5:S57,RunsScored)</f>
        <v>60</v>
      </c>
      <c r="T63" s="65">
        <f>BatSplit(T5:T57,RunsScored)</f>
        <v>76</v>
      </c>
      <c r="U63" s="65">
        <f>BatSplit(U5:U57,RunsScored)</f>
        <v>146</v>
      </c>
      <c r="V63" s="65">
        <f>BatSplit(V5:V57,RunsScored)</f>
        <v>188</v>
      </c>
      <c r="W63" s="65">
        <f>BatSplit(W5:W57,RunsScored)</f>
        <v>172</v>
      </c>
      <c r="X63" s="65">
        <f>BatSplit(X5:X57,RunsScored)</f>
        <v>190</v>
      </c>
      <c r="Y63" s="65">
        <f>BatSplit(Y5:Y57,RunsScored)</f>
        <v>0</v>
      </c>
      <c r="Z63" s="65">
        <f>BatSplit(Z5:Z57,RunsScored)</f>
        <v>0</v>
      </c>
      <c r="AA63" s="65">
        <f>BatSplit(AA5:AA57,RunsScored)</f>
        <v>0</v>
      </c>
      <c r="AB63" s="65">
        <f>BatSplit(AB5:AB57,RunsScored)</f>
        <v>0</v>
      </c>
      <c r="AC63" s="65">
        <f>BatSplit(AC5:AC57,RunsScored)</f>
        <v>0</v>
      </c>
      <c r="AD63" s="65">
        <f>BatSplit(AD5:AD57,RunsScored)</f>
        <v>0</v>
      </c>
      <c r="AE63" s="65">
        <f>BatSplit(AE5:AE57,RunsScored)</f>
        <v>0</v>
      </c>
      <c r="AF63" s="65">
        <f>BatSplit(AF5:AF57,RunsScored)</f>
        <v>0</v>
      </c>
      <c r="AG63" s="65">
        <f>BatSplit(AG5:AG57,RunsScored)</f>
        <v>0</v>
      </c>
      <c r="AH63" s="65">
        <f>BatSplit(AH5:AH57,RunsScored)</f>
        <v>0</v>
      </c>
      <c r="AI63" s="65">
        <f>BatSplit(AI5:AI57,RunsScored)</f>
        <v>0</v>
      </c>
      <c r="AJ63" s="65">
        <f>BatSplit(AJ5:AJ57,RunsScored)</f>
        <v>0</v>
      </c>
      <c r="AK63" s="65">
        <f>BatSplit(AK5:AK57,RunsScored)</f>
        <v>0</v>
      </c>
      <c r="AL63" s="65">
        <f>BatSplit(AL5:AL57,RunsScored)</f>
        <v>0</v>
      </c>
      <c r="AM63" s="65">
        <f>BatSplit(AM5:AM57,RunsScored)</f>
        <v>0</v>
      </c>
      <c r="AN63" s="65">
        <f>BatSplit(AN5:AN57,RunsScored)</f>
        <v>0</v>
      </c>
      <c r="AO63" s="65">
        <f>BatSplit(AO5:AO57,RunsScored)</f>
        <v>0</v>
      </c>
      <c r="AP63" s="65">
        <f>BatSplit(AP5:AP57,RunsScored)</f>
        <v>0</v>
      </c>
      <c r="AQ63" s="65">
        <f>BatSplit(AQ5:AQ57,RunsScored)</f>
        <v>0</v>
      </c>
      <c r="AR63" s="65">
        <f>BatSplit(AR5:AR57,RunsScored)</f>
        <v>0</v>
      </c>
      <c r="AS63" s="65">
        <f>BatSplit(AS5:AS57,RunsScored)</f>
        <v>0</v>
      </c>
      <c r="AT63" s="65">
        <f>BatSplit(AT5:AT57,RunsScored)</f>
        <v>0</v>
      </c>
      <c r="AU63" s="65">
        <f>BatSplit(AU5:AU57,RunsScored)</f>
        <v>0</v>
      </c>
      <c r="AV63" s="65">
        <f>BatSplit(AV5:AV57,RunsScored)</f>
        <v>0</v>
      </c>
      <c r="AW63" s="65">
        <f>BatSplit(AW5:AW57,RunsScored)</f>
        <v>0</v>
      </c>
      <c r="AX63" s="65">
        <f>BatSplit(AX5:AX57,RunsScored)</f>
        <v>0</v>
      </c>
      <c r="AY63" s="65">
        <f>BatSplit(AY5:AY57,RunsScored)</f>
        <v>0</v>
      </c>
      <c r="AZ63" s="65">
        <f>BatSplit(AZ5:AZ57,RunsScored)</f>
        <v>0</v>
      </c>
      <c r="BA63" s="65">
        <f>BatSplit(BA5:BA57,RunsScored)</f>
        <v>0</v>
      </c>
      <c r="BB63" s="65">
        <f>BatSplit(BB5:BB57,RunsScored)</f>
        <v>0</v>
      </c>
      <c r="BC63" s="65">
        <f>BatSplit(BC5:BC57,RunsScored)</f>
        <v>0</v>
      </c>
      <c r="BD63" s="65">
        <f>BatSplit(BD5:BD57,RunsScored)</f>
        <v>0</v>
      </c>
      <c r="BE63" s="65">
        <f>BatSplit(BE5:BE57,RunsScored)</f>
        <v>0</v>
      </c>
      <c r="BF63" s="65">
        <f>BatSplit(BF5:BF57,RunsScored)</f>
        <v>0</v>
      </c>
      <c r="CF63" s="65">
        <f>SUM(D63:BD63)</f>
        <v>3263</v>
      </c>
      <c r="CH63" s="65">
        <f>SUM(CH5:CH58)</f>
        <v>203</v>
      </c>
      <c r="CI63" s="65">
        <f>SUM(CI5:CI58)</f>
        <v>33</v>
      </c>
      <c r="CJ63" s="65">
        <f>SUM(CJ5:CJ57)</f>
        <v>531</v>
      </c>
      <c r="CL63" s="65">
        <f>SUM(CL5:CL58)</f>
        <v>3263</v>
      </c>
      <c r="CO63" s="65">
        <f>SUM(D63:BF63)</f>
        <v>3263</v>
      </c>
      <c r="DL63"/>
      <c r="DM63"/>
      <c r="DP63" s="112"/>
      <c r="DQ63"/>
    </row>
    <row r="64" spans="2:124" x14ac:dyDescent="0.15">
      <c r="C64" s="65" t="s">
        <v>110</v>
      </c>
      <c r="D64" s="65">
        <f t="array" ref="D64:BF64">TRANSPOSE(Matches!Z5:Z31)</f>
        <v>24</v>
      </c>
      <c r="E64" s="65">
        <v>11</v>
      </c>
      <c r="F64" s="65">
        <v>28</v>
      </c>
      <c r="G64" s="65">
        <v>30</v>
      </c>
      <c r="H64" s="65">
        <v>23</v>
      </c>
      <c r="I64" s="65">
        <v>26</v>
      </c>
      <c r="J64" s="65">
        <v>17</v>
      </c>
      <c r="K64" s="65">
        <v>27</v>
      </c>
      <c r="L64" s="65">
        <v>6</v>
      </c>
      <c r="M64" s="65">
        <v>5</v>
      </c>
      <c r="N64" s="65">
        <v>12</v>
      </c>
      <c r="O64" s="65">
        <v>10</v>
      </c>
      <c r="P64" s="65">
        <v>15</v>
      </c>
      <c r="Q64" s="65">
        <v>24</v>
      </c>
      <c r="R64" s="65">
        <v>12</v>
      </c>
      <c r="S64" s="65">
        <v>13</v>
      </c>
      <c r="T64" s="65">
        <v>15</v>
      </c>
      <c r="U64" s="65">
        <v>22</v>
      </c>
      <c r="V64" s="65">
        <v>43</v>
      </c>
      <c r="W64" s="65">
        <v>34</v>
      </c>
      <c r="X64" s="65">
        <v>14</v>
      </c>
      <c r="Y64" s="65">
        <v>0</v>
      </c>
      <c r="Z64" s="65">
        <v>0</v>
      </c>
      <c r="AA64" s="65">
        <v>0</v>
      </c>
      <c r="AB64" s="65">
        <v>0</v>
      </c>
      <c r="AC64" s="65">
        <v>0</v>
      </c>
      <c r="AD64" s="65">
        <v>0</v>
      </c>
      <c r="AE64" s="65" t="e">
        <v>#N/A</v>
      </c>
      <c r="AF64" s="65" t="e">
        <v>#N/A</v>
      </c>
      <c r="AG64" s="65" t="e">
        <v>#N/A</v>
      </c>
      <c r="AH64" s="65" t="e">
        <v>#N/A</v>
      </c>
      <c r="AI64" s="65" t="e">
        <v>#N/A</v>
      </c>
      <c r="AJ64" s="65" t="e">
        <v>#N/A</v>
      </c>
      <c r="AK64" s="65" t="e">
        <v>#N/A</v>
      </c>
      <c r="AL64" s="65" t="e">
        <v>#N/A</v>
      </c>
      <c r="AM64" s="65" t="e">
        <v>#N/A</v>
      </c>
      <c r="AN64" s="65" t="e">
        <v>#N/A</v>
      </c>
      <c r="AO64" s="65" t="e">
        <v>#N/A</v>
      </c>
      <c r="AP64" s="65" t="e">
        <v>#N/A</v>
      </c>
      <c r="AQ64" s="65" t="e">
        <v>#N/A</v>
      </c>
      <c r="AR64" s="65" t="e">
        <v>#N/A</v>
      </c>
      <c r="AS64" s="65" t="e">
        <v>#N/A</v>
      </c>
      <c r="AT64" s="65" t="e">
        <v>#N/A</v>
      </c>
      <c r="AU64" s="65" t="e">
        <v>#N/A</v>
      </c>
      <c r="AV64" s="65" t="e">
        <v>#N/A</v>
      </c>
      <c r="AW64" s="65" t="e">
        <v>#N/A</v>
      </c>
      <c r="AX64" s="65" t="e">
        <v>#N/A</v>
      </c>
      <c r="AY64" s="65" t="e">
        <v>#N/A</v>
      </c>
      <c r="AZ64" s="65" t="e">
        <v>#N/A</v>
      </c>
      <c r="BA64" s="65" t="e">
        <v>#N/A</v>
      </c>
      <c r="BB64" s="65" t="e">
        <v>#N/A</v>
      </c>
      <c r="BC64" s="65" t="e">
        <v>#N/A</v>
      </c>
      <c r="BD64" s="65" t="e">
        <v>#N/A</v>
      </c>
      <c r="BE64" s="65" t="e">
        <v>#N/A</v>
      </c>
      <c r="BF64" s="65" t="e">
        <v>#N/A</v>
      </c>
      <c r="CF64" s="65" t="e">
        <f>SUM(D64:BD64)</f>
        <v>#N/A</v>
      </c>
      <c r="CO64" s="65" t="e">
        <f>SUM(D64:BF64)</f>
        <v>#N/A</v>
      </c>
      <c r="DL64" s="112"/>
      <c r="DM64" s="112"/>
      <c r="DN64"/>
      <c r="DO64"/>
      <c r="DR64" s="112"/>
    </row>
    <row r="65" spans="2:130" s="57" customFormat="1" x14ac:dyDescent="0.15">
      <c r="C65" s="57" t="s">
        <v>112</v>
      </c>
      <c r="D65" s="57">
        <f>D64+D63</f>
        <v>226</v>
      </c>
      <c r="E65" s="57">
        <f t="shared" ref="E65:BF65" si="126">E64+E63</f>
        <v>170</v>
      </c>
      <c r="F65" s="57">
        <f t="shared" si="126"/>
        <v>185</v>
      </c>
      <c r="G65" s="57">
        <f t="shared" si="126"/>
        <v>212</v>
      </c>
      <c r="H65" s="57">
        <f t="shared" si="126"/>
        <v>198</v>
      </c>
      <c r="I65" s="57">
        <f t="shared" si="126"/>
        <v>172</v>
      </c>
      <c r="J65" s="57">
        <f t="shared" si="126"/>
        <v>211</v>
      </c>
      <c r="K65" s="57">
        <f t="shared" si="126"/>
        <v>206</v>
      </c>
      <c r="L65" s="57">
        <f t="shared" si="126"/>
        <v>84</v>
      </c>
      <c r="M65" s="57">
        <f t="shared" si="126"/>
        <v>146</v>
      </c>
      <c r="N65" s="57">
        <f t="shared" si="126"/>
        <v>193</v>
      </c>
      <c r="O65" s="57">
        <f t="shared" si="126"/>
        <v>94</v>
      </c>
      <c r="P65" s="57">
        <f t="shared" si="126"/>
        <v>255</v>
      </c>
      <c r="Q65" s="57">
        <f t="shared" si="126"/>
        <v>230</v>
      </c>
      <c r="R65" s="57">
        <f t="shared" si="126"/>
        <v>119</v>
      </c>
      <c r="S65" s="57">
        <f t="shared" si="126"/>
        <v>73</v>
      </c>
      <c r="T65" s="57">
        <f t="shared" si="126"/>
        <v>91</v>
      </c>
      <c r="U65" s="57">
        <f t="shared" si="126"/>
        <v>168</v>
      </c>
      <c r="V65" s="57">
        <f t="shared" si="126"/>
        <v>231</v>
      </c>
      <c r="W65" s="57">
        <f t="shared" si="126"/>
        <v>206</v>
      </c>
      <c r="X65" s="57">
        <f t="shared" si="126"/>
        <v>204</v>
      </c>
      <c r="Y65" s="57">
        <f t="shared" si="126"/>
        <v>0</v>
      </c>
      <c r="Z65" s="57">
        <f t="shared" si="126"/>
        <v>0</v>
      </c>
      <c r="AA65" s="57">
        <f t="shared" si="126"/>
        <v>0</v>
      </c>
      <c r="AB65" s="57">
        <f t="shared" si="126"/>
        <v>0</v>
      </c>
      <c r="AC65" s="57">
        <f t="shared" si="126"/>
        <v>0</v>
      </c>
      <c r="AD65" s="57">
        <f t="shared" si="126"/>
        <v>0</v>
      </c>
      <c r="AE65" s="57" t="e">
        <f t="shared" si="126"/>
        <v>#N/A</v>
      </c>
      <c r="AF65" s="57" t="e">
        <f t="shared" si="126"/>
        <v>#N/A</v>
      </c>
      <c r="AG65" s="57" t="e">
        <f t="shared" si="126"/>
        <v>#N/A</v>
      </c>
      <c r="AH65" s="57" t="e">
        <f t="shared" si="126"/>
        <v>#N/A</v>
      </c>
      <c r="AI65" s="57" t="e">
        <f t="shared" si="126"/>
        <v>#N/A</v>
      </c>
      <c r="AJ65" s="57" t="e">
        <f t="shared" si="126"/>
        <v>#N/A</v>
      </c>
      <c r="AK65" s="57" t="e">
        <f t="shared" si="126"/>
        <v>#N/A</v>
      </c>
      <c r="AL65" s="57" t="e">
        <f t="shared" si="126"/>
        <v>#N/A</v>
      </c>
      <c r="AM65" s="57" t="e">
        <f t="shared" si="126"/>
        <v>#N/A</v>
      </c>
      <c r="AN65" s="57" t="e">
        <f t="shared" si="126"/>
        <v>#N/A</v>
      </c>
      <c r="AO65" s="57" t="e">
        <f t="shared" si="126"/>
        <v>#N/A</v>
      </c>
      <c r="AP65" s="57" t="e">
        <f t="shared" si="126"/>
        <v>#N/A</v>
      </c>
      <c r="AQ65" s="57" t="e">
        <f t="shared" si="126"/>
        <v>#N/A</v>
      </c>
      <c r="AR65" s="57" t="e">
        <f t="shared" si="126"/>
        <v>#N/A</v>
      </c>
      <c r="AS65" s="57" t="e">
        <f t="shared" si="126"/>
        <v>#N/A</v>
      </c>
      <c r="AT65" s="57" t="e">
        <f t="shared" si="126"/>
        <v>#N/A</v>
      </c>
      <c r="AU65" s="57" t="e">
        <f>AU64+AU63</f>
        <v>#N/A</v>
      </c>
      <c r="AV65" s="57" t="e">
        <f t="shared" si="126"/>
        <v>#N/A</v>
      </c>
      <c r="AW65" s="57" t="e">
        <f t="shared" si="126"/>
        <v>#N/A</v>
      </c>
      <c r="AX65" s="57" t="e">
        <f t="shared" si="126"/>
        <v>#N/A</v>
      </c>
      <c r="AY65" s="57" t="e">
        <f t="shared" si="126"/>
        <v>#N/A</v>
      </c>
      <c r="AZ65" s="57" t="e">
        <f t="shared" si="126"/>
        <v>#N/A</v>
      </c>
      <c r="BA65" s="57" t="e">
        <f t="shared" si="126"/>
        <v>#N/A</v>
      </c>
      <c r="BB65" s="57" t="e">
        <f t="shared" si="126"/>
        <v>#N/A</v>
      </c>
      <c r="BC65" s="57" t="e">
        <f t="shared" si="126"/>
        <v>#N/A</v>
      </c>
      <c r="BD65" s="57" t="e">
        <f t="shared" si="126"/>
        <v>#N/A</v>
      </c>
      <c r="BE65" s="57" t="e">
        <f t="shared" si="126"/>
        <v>#N/A</v>
      </c>
      <c r="BF65" s="57" t="e">
        <f t="shared" si="126"/>
        <v>#N/A</v>
      </c>
      <c r="CF65" s="65" t="e">
        <f>SUM(D65:BD65)</f>
        <v>#N/A</v>
      </c>
      <c r="CH65" s="65" t="s">
        <v>32</v>
      </c>
      <c r="CI65" s="65">
        <f>CH63-CI63</f>
        <v>170</v>
      </c>
      <c r="CJ65" s="65"/>
      <c r="CK65" s="65"/>
      <c r="CL65" s="65"/>
      <c r="CO65" s="57" t="e">
        <f>SUM(D65:BF65)</f>
        <v>#N/A</v>
      </c>
      <c r="DL65" s="112"/>
      <c r="DM65" s="112"/>
      <c r="DN65"/>
      <c r="DO65" s="65"/>
      <c r="DP65" s="112"/>
      <c r="DQ65" s="117"/>
      <c r="DR65" s="112"/>
    </row>
    <row r="66" spans="2:130" x14ac:dyDescent="0.15">
      <c r="D66" s="51"/>
      <c r="CH66" s="65" t="s">
        <v>33</v>
      </c>
      <c r="CI66" s="65" t="e">
        <f>CF65/CI65</f>
        <v>#N/A</v>
      </c>
      <c r="DN66"/>
      <c r="DO66" s="112"/>
      <c r="DP66" s="112"/>
      <c r="DQ66"/>
      <c r="DR66" s="112"/>
    </row>
    <row r="67" spans="2:130" s="112" customFormat="1" x14ac:dyDescent="0.15">
      <c r="C67" s="112" t="s">
        <v>199</v>
      </c>
      <c r="D67" s="113" t="str">
        <f>INDEX($C$5:$C$57,findcellcontaining("*",D5:D57))</f>
        <v>Springer T</v>
      </c>
      <c r="E67" s="113" t="str">
        <f>INDEX($C$5:$C$57,findcellcontaining("*",E5:E57))</f>
        <v>Springer T</v>
      </c>
      <c r="F67" s="113" t="str">
        <f>INDEX($C$5:$C$57,findcellcontaining("*",F5:F57))</f>
        <v>Springer T</v>
      </c>
      <c r="G67" s="113" t="str">
        <f>INDEX($C$5:$C$57,findcellcontaining("*",G5:G57))</f>
        <v>Springer T</v>
      </c>
      <c r="H67" s="113" t="str">
        <f>INDEX($C$5:$C$57,findcellcontaining("*",H5:H57))</f>
        <v>Springer T</v>
      </c>
      <c r="I67" s="113" t="str">
        <f>INDEX($C$5:$C$57,findcellcontaining("*",I5:I57))</f>
        <v>Brocks D</v>
      </c>
      <c r="J67" s="113" t="str">
        <f>INDEX($C$5:$C$57,findcellcontaining("*",J5:J57))</f>
        <v>Springer T</v>
      </c>
      <c r="K67" s="113" t="str">
        <f>INDEX($C$5:$C$57,findcellcontaining("*",K5:K57))</f>
        <v>Sharpe D</v>
      </c>
      <c r="L67" s="113" t="str">
        <f>INDEX($C$5:$C$57,findcellcontaining("*",L5:L57))</f>
        <v>Seymour C</v>
      </c>
      <c r="M67" s="113" t="str">
        <f>INDEX($C$5:$C$57,findcellcontaining("*",M5:M57))</f>
        <v>Springer T</v>
      </c>
      <c r="N67" s="113" t="str">
        <f>INDEX($C$5:$C$57,findcellcontaining("*",N5:N57))</f>
        <v>Springer T</v>
      </c>
      <c r="O67" s="113" t="str">
        <f>INDEX($C$5:$C$57,findcellcontaining("*",O5:O57))</f>
        <v>Springer T</v>
      </c>
      <c r="P67" s="113" t="str">
        <f>INDEX($C$5:$C$57,findcellcontaining("*",P5:P57))</f>
        <v>Springer T</v>
      </c>
      <c r="Q67" s="113" t="str">
        <f>INDEX($C$5:$C$57,findcellcontaining("*",Q5:Q57))</f>
        <v>Springer T</v>
      </c>
      <c r="R67" s="113" t="str">
        <f>INDEX($C$5:$C$57,findcellcontaining("*",R5:R57))</f>
        <v>Springer T</v>
      </c>
      <c r="S67" s="113" t="str">
        <f>INDEX($C$5:$C$57,findcellcontaining("*",S5:S57))</f>
        <v>Springer T</v>
      </c>
      <c r="T67" s="113" t="str">
        <f>INDEX($C$5:$C$57,findcellcontaining("*",T5:T57))</f>
        <v>Springer T</v>
      </c>
      <c r="U67" s="113" t="str">
        <f>INDEX($C$5:$C$57,findcellcontaining("*",U5:U57))</f>
        <v>Springer T</v>
      </c>
      <c r="V67" s="113" t="str">
        <f>INDEX($C$5:$C$57,findcellcontaining("*",V5:V57))</f>
        <v>Springer T</v>
      </c>
      <c r="W67" s="113" t="str">
        <f>INDEX($C$5:$C$57,findcellcontaining("*",W5:W57))</f>
        <v>Springer T</v>
      </c>
      <c r="X67" s="113" t="str">
        <f>INDEX($C$5:$C$57,findcellcontaining("*",X5:X57))</f>
        <v>Springer T</v>
      </c>
      <c r="Y67" s="113" t="e">
        <f>INDEX($C$5:$C$57,findcellcontaining("*",Y5:Y57))</f>
        <v>#N/A</v>
      </c>
      <c r="Z67" s="113" t="e">
        <f>INDEX($C$5:$C$57,findcellcontaining("*",Z5:Z57))</f>
        <v>#N/A</v>
      </c>
      <c r="AA67" s="113" t="e">
        <f>INDEX($C$5:$C$57,findcellcontaining("*",AA5:AA57))</f>
        <v>#N/A</v>
      </c>
      <c r="AB67" s="113" t="e">
        <f>INDEX($C$5:$C$57,findcellcontaining("*",AB5:AB57))</f>
        <v>#N/A</v>
      </c>
      <c r="AC67" s="113" t="e">
        <f>INDEX($C$5:$C$57,findcellcontaining("*",AC5:AC57))</f>
        <v>#N/A</v>
      </c>
      <c r="AD67" s="113" t="e">
        <f>INDEX($C$5:$C$57,findcellcontaining("*",AD5:AD57))</f>
        <v>#N/A</v>
      </c>
      <c r="AE67" s="113" t="e">
        <f>INDEX($C$5:$C$57,findcellcontaining("*",AE5:AE57))</f>
        <v>#N/A</v>
      </c>
      <c r="AF67" s="113"/>
      <c r="AG67" s="113"/>
      <c r="AH67" s="113"/>
      <c r="AI67" s="113"/>
      <c r="AJ67" s="113"/>
      <c r="AK67" s="113"/>
      <c r="AL67" s="113"/>
      <c r="AM67" s="113"/>
      <c r="AN67" s="113"/>
      <c r="AO67" s="113"/>
      <c r="AP67" s="113"/>
      <c r="AQ67" s="113"/>
      <c r="AR67" s="113"/>
      <c r="AS67" s="113"/>
      <c r="AT67" s="113"/>
      <c r="AU67" s="113"/>
      <c r="AV67" s="113"/>
      <c r="AW67" s="113"/>
      <c r="AX67" s="113"/>
      <c r="AY67" s="113"/>
      <c r="AZ67" s="113"/>
      <c r="BA67" s="113"/>
      <c r="BB67" s="113"/>
      <c r="BC67" s="113"/>
      <c r="BD67" s="113"/>
      <c r="BE67" s="113"/>
      <c r="BF67" s="113"/>
      <c r="BG67" s="113"/>
      <c r="BH67" s="113"/>
      <c r="BI67" s="113"/>
      <c r="BJ67" s="113"/>
      <c r="BK67" s="113"/>
      <c r="BL67" s="113"/>
      <c r="BM67" s="113"/>
      <c r="BN67" s="113"/>
      <c r="BO67" s="113"/>
      <c r="BP67" s="113"/>
      <c r="BQ67" s="113"/>
      <c r="BR67" s="113"/>
      <c r="BS67" s="113"/>
      <c r="BT67" s="113"/>
      <c r="BU67" s="113"/>
      <c r="BV67" s="113"/>
      <c r="BW67" s="113"/>
      <c r="BX67" s="113"/>
      <c r="BY67" s="113"/>
      <c r="BZ67" s="113"/>
      <c r="CA67" s="113"/>
      <c r="CB67" s="113"/>
      <c r="CC67" s="113"/>
      <c r="CD67" s="113"/>
      <c r="CE67" s="113"/>
      <c r="CM67" s="114"/>
      <c r="DN67"/>
    </row>
    <row r="68" spans="2:130" s="112" customFormat="1" x14ac:dyDescent="0.15">
      <c r="C68" s="128" t="s">
        <v>729</v>
      </c>
      <c r="D68" s="113" t="str">
        <f>INDEX($C$5:$C$57,findcellcontaining("+",D5:D58))</f>
        <v>Greenall D</v>
      </c>
      <c r="E68" s="113" t="str">
        <f>INDEX($C$5:$C$57,findcellcontaining("+",E5:E58))</f>
        <v>Sharpe D</v>
      </c>
      <c r="F68" s="113" t="str">
        <f>INDEX($C$5:$C$57,findcellcontaining("+",F5:F58))</f>
        <v>Brocks D</v>
      </c>
      <c r="G68" s="113" t="str">
        <f>INDEX($C$5:$C$57,findcellcontaining("+",G5:G58))</f>
        <v>Edghill C</v>
      </c>
      <c r="H68" s="113" t="str">
        <f>INDEX($C$5:$C$57,findcellcontaining("+",H5:H58))</f>
        <v>Brocks D</v>
      </c>
      <c r="I68" s="113" t="str">
        <f>INDEX($C$5:$C$57,findcellcontaining("+",I5:I58))</f>
        <v>Clarkson M</v>
      </c>
      <c r="J68" s="113" t="str">
        <f>INDEX($C$5:$C$57,findcellcontaining("+",J5:J58))</f>
        <v>Greenall D</v>
      </c>
      <c r="K68" s="113" t="str">
        <f>INDEX($C$5:$C$57,findcellcontaining("+",K5:K58))</f>
        <v>Sharpe D</v>
      </c>
      <c r="L68" s="113" t="str">
        <f>INDEX($C$5:$C$57,findcellcontaining("+",L5:L58))</f>
        <v>Greenall D</v>
      </c>
      <c r="M68" s="113" t="str">
        <f>INDEX($C$5:$C$57,findcellcontaining("+",M5:M58))</f>
        <v>Niran S</v>
      </c>
      <c r="N68" s="113" t="str">
        <f>INDEX($C$5:$C$57,findcellcontaining("+",N5:N58))</f>
        <v>Greenall D</v>
      </c>
      <c r="O68" s="113" t="str">
        <f>INDEX($C$5:$C$57,findcellcontaining("+",O5:O58))</f>
        <v>Greenall D</v>
      </c>
      <c r="P68" s="113" t="str">
        <f>INDEX($C$5:$C$57,findcellcontaining("+",P5:P58))</f>
        <v>Greenall D</v>
      </c>
      <c r="Q68" s="113" t="str">
        <f>INDEX($C$5:$C$57,findcellcontaining("+",Q5:Q58))</f>
        <v>Greenall D</v>
      </c>
      <c r="R68" s="113" t="str">
        <f>INDEX($C$5:$C$57,findcellcontaining("+",R5:R58))</f>
        <v>Greenall D</v>
      </c>
      <c r="S68" s="113" t="str">
        <f>INDEX($C$5:$C$57,findcellcontaining("+",S5:S58))</f>
        <v>Greenall D</v>
      </c>
      <c r="T68" s="113" t="str">
        <f>INDEX($C$5:$C$57,findcellcontaining("+",T5:T58))</f>
        <v>Niran S</v>
      </c>
      <c r="U68" s="113" t="str">
        <f>INDEX($C$5:$C$57,findcellcontaining("+",U5:U58))</f>
        <v>Niran S</v>
      </c>
      <c r="V68" s="113" t="str">
        <f>INDEX($C$5:$C$57,findcellcontaining("+",V5:V58))</f>
        <v>Greenall D</v>
      </c>
      <c r="W68" s="113" t="str">
        <f>INDEX($C$5:$C$57,findcellcontaining("+",W5:W58))</f>
        <v>Niran S</v>
      </c>
      <c r="X68" s="113" t="str">
        <f>INDEX($C$5:$C$57,findcellcontaining("+",X5:X58))</f>
        <v>Greenall D</v>
      </c>
      <c r="Y68" s="113"/>
      <c r="Z68" s="113"/>
      <c r="AA68" s="113"/>
      <c r="AB68" s="113"/>
      <c r="AC68" s="113"/>
      <c r="AD68" s="113"/>
      <c r="AE68" s="113"/>
      <c r="AF68" s="113"/>
      <c r="AG68" s="113"/>
      <c r="AH68" s="113"/>
      <c r="AI68" s="113"/>
      <c r="AJ68" s="113"/>
      <c r="AK68" s="113"/>
      <c r="AL68" s="113"/>
      <c r="AM68" s="113"/>
      <c r="AN68" s="113"/>
      <c r="AO68" s="113"/>
      <c r="AP68" s="113"/>
      <c r="AQ68" s="113"/>
      <c r="AR68" s="113"/>
      <c r="AS68" s="113"/>
      <c r="AT68" s="113"/>
      <c r="AU68" s="113"/>
      <c r="AV68" s="113"/>
      <c r="AW68" s="113"/>
      <c r="AX68" s="113"/>
      <c r="AY68" s="113"/>
      <c r="AZ68" s="113"/>
      <c r="BA68" s="113"/>
      <c r="BB68" s="113"/>
      <c r="BC68" s="113"/>
      <c r="BD68" s="113"/>
      <c r="BE68" s="113"/>
      <c r="BF68" s="113"/>
      <c r="BG68" s="113"/>
      <c r="BH68" s="113"/>
      <c r="BI68" s="113"/>
      <c r="BJ68" s="113"/>
      <c r="BK68" s="113"/>
      <c r="BL68" s="113"/>
      <c r="BM68" s="113"/>
      <c r="BN68" s="113"/>
      <c r="BO68" s="113"/>
      <c r="BP68" s="113"/>
      <c r="BQ68" s="113"/>
      <c r="BR68" s="113"/>
      <c r="BS68" s="113"/>
      <c r="BT68" s="113"/>
      <c r="BU68" s="113"/>
      <c r="BV68" s="113"/>
      <c r="BW68" s="113"/>
      <c r="BX68" s="113"/>
      <c r="BY68" s="113"/>
      <c r="BZ68" s="113"/>
      <c r="CA68" s="113"/>
      <c r="CB68" s="113"/>
      <c r="CC68" s="113"/>
      <c r="CD68" s="113"/>
      <c r="CE68" s="113"/>
      <c r="CM68" s="114"/>
      <c r="DN68"/>
    </row>
    <row r="69" spans="2:130" s="112" customFormat="1" x14ac:dyDescent="0.15">
      <c r="C69" s="116"/>
      <c r="CM69" s="114"/>
      <c r="CO69" s="115"/>
      <c r="DN69"/>
      <c r="DR69"/>
    </row>
    <row r="70" spans="2:130" s="112" customFormat="1" x14ac:dyDescent="0.15">
      <c r="B70" s="112">
        <f>MAX(D70:AE70)</f>
        <v>7</v>
      </c>
      <c r="C70" s="112" t="s">
        <v>22</v>
      </c>
      <c r="D70" s="112">
        <f>BatSplit(D5:D57,Sixes)</f>
        <v>2</v>
      </c>
      <c r="E70" s="112">
        <f>BatSplit(E5:E57,Sixes)</f>
        <v>0</v>
      </c>
      <c r="F70" s="112">
        <f>BatSplit(F5:F57,Sixes)</f>
        <v>0</v>
      </c>
      <c r="G70" s="112">
        <f>BatSplit(G5:G57,Sixes)</f>
        <v>4</v>
      </c>
      <c r="H70" s="112">
        <f>BatSplit(H5:H57,Sixes)</f>
        <v>2</v>
      </c>
      <c r="I70" s="112">
        <f>BatSplit(I5:I57,Sixes)</f>
        <v>2</v>
      </c>
      <c r="J70" s="112">
        <f>BatSplit(J5:J57,Sixes)</f>
        <v>3</v>
      </c>
      <c r="K70" s="112">
        <f>BatSplit(K5:K57,Sixes)</f>
        <v>0</v>
      </c>
      <c r="L70" s="112">
        <f>BatSplit(L5:L57,Sixes)</f>
        <v>0</v>
      </c>
      <c r="M70" s="112">
        <f>BatSplit(M5:M57,Sixes)</f>
        <v>1</v>
      </c>
      <c r="N70" s="112">
        <f>BatSplit(N5:N57,Sixes)</f>
        <v>7</v>
      </c>
      <c r="O70" s="112">
        <f>BatSplit(O5:O57,Sixes)</f>
        <v>0</v>
      </c>
      <c r="P70" s="112">
        <f>BatSplit(P5:P57,Sixes)</f>
        <v>4</v>
      </c>
      <c r="Q70" s="112">
        <f>BatSplit(Q5:Q57,Sixes)</f>
        <v>1</v>
      </c>
      <c r="R70" s="112">
        <f>BatSplit(R5:R57,Sixes)</f>
        <v>2</v>
      </c>
      <c r="S70" s="112">
        <f>BatSplit(S5:S57,Sixes)</f>
        <v>1</v>
      </c>
      <c r="T70" s="112">
        <f>BatSplit(T5:T57,Sixes)</f>
        <v>0</v>
      </c>
      <c r="U70" s="112">
        <f>BatSplit(U5:U57,Sixes)</f>
        <v>1</v>
      </c>
      <c r="V70" s="112">
        <f>BatSplit(V5:V57,Sixes)</f>
        <v>6</v>
      </c>
      <c r="W70" s="112">
        <f>BatSplit(W5:W57,Sixes)</f>
        <v>2</v>
      </c>
      <c r="X70" s="112">
        <f>BatSplit(X5:X57,Sixes)</f>
        <v>3</v>
      </c>
      <c r="Y70" s="112">
        <f>BatSplit(Y5:Y57,Sixes)</f>
        <v>0</v>
      </c>
      <c r="Z70" s="112">
        <f>BatSplit(Z5:Z57,Sixes)</f>
        <v>0</v>
      </c>
      <c r="AA70" s="112">
        <f>BatSplit(AA5:AA57,Sixes)</f>
        <v>0</v>
      </c>
      <c r="AB70" s="112">
        <f>BatSplit(AB5:AB57,Sixes)</f>
        <v>0</v>
      </c>
      <c r="AC70" s="112">
        <f>BatSplit(AC5:AC57,Sixes)</f>
        <v>0</v>
      </c>
      <c r="AD70" s="112">
        <f>BatSplit(AD5:AD57,Sixes)</f>
        <v>0</v>
      </c>
      <c r="AE70" s="112">
        <f>BatSplit(AE5:AE57,Sixes)</f>
        <v>0</v>
      </c>
      <c r="CM70" s="114"/>
      <c r="DL70"/>
      <c r="DM70"/>
      <c r="DN70"/>
      <c r="DP70"/>
      <c r="DQ70"/>
      <c r="DR70"/>
      <c r="DS70"/>
      <c r="DT70"/>
      <c r="DU70"/>
      <c r="DV70"/>
      <c r="DW70"/>
      <c r="DX70"/>
      <c r="DY70"/>
      <c r="DZ70"/>
    </row>
    <row r="71" spans="2:130" s="112" customFormat="1" x14ac:dyDescent="0.15">
      <c r="B71" s="112">
        <f>MAX(D71:AE71)</f>
        <v>33</v>
      </c>
      <c r="C71" s="112" t="s">
        <v>21</v>
      </c>
      <c r="D71" s="112">
        <f>BatSplit(D5:D57,Fours)</f>
        <v>30</v>
      </c>
      <c r="E71" s="112">
        <f>BatSplit(E5:E57,Fours)</f>
        <v>20</v>
      </c>
      <c r="F71" s="112">
        <f>BatSplit(F5:F57,Fours)</f>
        <v>27</v>
      </c>
      <c r="G71" s="112">
        <f>BatSplit(G5:G57,Fours)</f>
        <v>24</v>
      </c>
      <c r="H71" s="112">
        <f>BatSplit(H5:H57,Fours)</f>
        <v>24</v>
      </c>
      <c r="I71" s="112">
        <f>BatSplit(I5:I57,Fours)</f>
        <v>20</v>
      </c>
      <c r="J71" s="112">
        <f>BatSplit(J5:J57,Fours)</f>
        <v>27</v>
      </c>
      <c r="K71" s="112">
        <f>BatSplit(K5:K57,Fours)</f>
        <v>33</v>
      </c>
      <c r="L71" s="112">
        <f>BatSplit(L5:L57,Fours)</f>
        <v>9</v>
      </c>
      <c r="M71" s="112">
        <f>BatSplit(M5:M57,Fours)</f>
        <v>22</v>
      </c>
      <c r="N71" s="112">
        <f>BatSplit(N5:N57,Fours)</f>
        <v>26</v>
      </c>
      <c r="O71" s="112">
        <f>BatSplit(O5:O57,Fours)</f>
        <v>11</v>
      </c>
      <c r="P71" s="112">
        <f>BatSplit(P5:P57,Fours)</f>
        <v>24</v>
      </c>
      <c r="Q71" s="112">
        <f>BatSplit(Q5:Q57,Fours)</f>
        <v>26</v>
      </c>
      <c r="R71" s="112">
        <f>BatSplit(R5:R57,Fours)</f>
        <v>12</v>
      </c>
      <c r="S71" s="112">
        <f>BatSplit(S5:S57,Fours)</f>
        <v>7</v>
      </c>
      <c r="T71" s="112">
        <f>BatSplit(T5:T57,Fours)</f>
        <v>10</v>
      </c>
      <c r="U71" s="112">
        <f>BatSplit(U5:U57,Fours)</f>
        <v>15</v>
      </c>
      <c r="V71" s="112">
        <f>BatSplit(V5:V57,Fours)</f>
        <v>25</v>
      </c>
      <c r="W71" s="112">
        <f>BatSplit(W5:W57,Fours)</f>
        <v>21</v>
      </c>
      <c r="X71" s="112">
        <f>BatSplit(X5:X57,Fours)</f>
        <v>29</v>
      </c>
      <c r="Y71" s="112">
        <f>BatSplit(Y5:Y57,Fours)</f>
        <v>0</v>
      </c>
      <c r="Z71" s="112">
        <f>BatSplit(Z5:Z57,Fours)</f>
        <v>0</v>
      </c>
      <c r="AA71" s="112">
        <f>BatSplit(AA5:AA57,Fours)</f>
        <v>0</v>
      </c>
      <c r="AB71" s="112">
        <f>BatSplit(AB5:AB57,Fours)</f>
        <v>0</v>
      </c>
      <c r="AC71" s="112">
        <f>BatSplit(AC5:AC57,Fours)</f>
        <v>0</v>
      </c>
      <c r="AD71" s="112">
        <f>BatSplit(AD5:AD57,Fours)</f>
        <v>0</v>
      </c>
      <c r="AE71" s="112">
        <f>BatSplit(AE5:AE57,Fours)</f>
        <v>0</v>
      </c>
      <c r="CM71" s="114"/>
      <c r="CY71"/>
      <c r="CZ71"/>
      <c r="DA71"/>
      <c r="DL71"/>
      <c r="DM71"/>
      <c r="DN71"/>
      <c r="DO71"/>
      <c r="DP71" s="57"/>
      <c r="DQ71"/>
      <c r="DR71"/>
      <c r="DS71"/>
      <c r="DT71"/>
      <c r="DW71" s="65"/>
      <c r="DX71" s="65"/>
      <c r="DY71" s="65"/>
      <c r="DZ71" s="65"/>
    </row>
    <row r="72" spans="2:130" s="112" customFormat="1" x14ac:dyDescent="0.15">
      <c r="C72" s="128" t="s">
        <v>20</v>
      </c>
      <c r="D72" s="112">
        <f>BatSplit(D5:D57,Catches)</f>
        <v>1</v>
      </c>
      <c r="E72" s="112">
        <f>BatSplit(E5:E57,Catches)</f>
        <v>3</v>
      </c>
      <c r="F72" s="112">
        <f>BatSplit(F5:F57,Catches)</f>
        <v>3</v>
      </c>
      <c r="G72" s="112">
        <f>BatSplit(G5:G57,Catches)</f>
        <v>3</v>
      </c>
      <c r="H72" s="112">
        <f>BatSplit(H5:H57,Catches)</f>
        <v>2</v>
      </c>
      <c r="I72" s="112">
        <f>BatSplit(I5:I57,Catches)</f>
        <v>0</v>
      </c>
      <c r="J72" s="112">
        <f>BatSplit(J5:J57,Catches)</f>
        <v>2</v>
      </c>
      <c r="K72" s="112">
        <f>BatSplit(K5:K57,Catches)</f>
        <v>5</v>
      </c>
      <c r="L72" s="112">
        <f>BatSplit(L5:L57,Catches)</f>
        <v>2</v>
      </c>
      <c r="M72" s="112">
        <f>BatSplit(M5:M57,Catches)</f>
        <v>3</v>
      </c>
      <c r="N72" s="112">
        <f>BatSplit(N5:N57,Catches)</f>
        <v>4</v>
      </c>
      <c r="O72" s="112">
        <f>BatSplit(O5:O57,Catches)</f>
        <v>2</v>
      </c>
      <c r="P72" s="112">
        <f>BatSplit(P5:P57,Catches)</f>
        <v>1</v>
      </c>
      <c r="Q72" s="112">
        <f>BatSplit(Q5:Q57,Catches)</f>
        <v>4</v>
      </c>
      <c r="R72" s="112">
        <f>BatSplit(R5:R57,Catches)</f>
        <v>2</v>
      </c>
      <c r="S72" s="112">
        <f>BatSplit(S5:S57,Catches)</f>
        <v>1</v>
      </c>
      <c r="T72" s="112">
        <f>BatSplit(T5:T57,Catches)</f>
        <v>3</v>
      </c>
      <c r="U72" s="112">
        <f>BatSplit(U5:U57,Catches)</f>
        <v>2</v>
      </c>
      <c r="V72" s="112">
        <f>BatSplit(V5:V57,Catches)</f>
        <v>2</v>
      </c>
      <c r="W72" s="112">
        <f>BatSplit(W5:W57,Catches)</f>
        <v>3</v>
      </c>
      <c r="X72" s="112">
        <f>BatSplit(X5:X57,Catches)</f>
        <v>2</v>
      </c>
      <c r="Y72" s="112">
        <f>BatSplit(Y5:Y57,Catches)</f>
        <v>0</v>
      </c>
      <c r="Z72" s="112">
        <f>BatSplit(Z5:Z57,Catches)</f>
        <v>0</v>
      </c>
      <c r="CM72" s="114"/>
      <c r="DL72"/>
      <c r="DM72"/>
      <c r="DN72" s="65"/>
      <c r="DS72"/>
      <c r="DT72"/>
      <c r="DW72"/>
      <c r="DX72"/>
    </row>
    <row r="73" spans="2:130" s="112" customFormat="1" x14ac:dyDescent="0.15">
      <c r="C73" s="128" t="s">
        <v>221</v>
      </c>
      <c r="D73" s="112">
        <f>BatSplit(D5:D57,HighestScore)</f>
        <v>55</v>
      </c>
      <c r="E73" s="112">
        <f>BatSplit(E5:E57,HighestScore)</f>
        <v>62</v>
      </c>
      <c r="F73" s="112">
        <f>BatSplit(F5:F57,HighestScore)</f>
        <v>37</v>
      </c>
      <c r="G73" s="112">
        <f>BatSplit(G5:G57,HighestScore)</f>
        <v>-90</v>
      </c>
      <c r="H73" s="112">
        <f>BatSplit(H5:H57,HighestScore)</f>
        <v>63</v>
      </c>
      <c r="I73" s="112">
        <f>BatSplit(I5:I57,HighestScore)</f>
        <v>42</v>
      </c>
      <c r="J73" s="112">
        <f>BatSplit(J5:J57,HighestScore)</f>
        <v>104</v>
      </c>
      <c r="K73" s="112">
        <f>BatSplit(K5:K57,HighestScore)</f>
        <v>48</v>
      </c>
      <c r="L73" s="112">
        <f>BatSplit(L5:L57,HighestScore)</f>
        <v>22</v>
      </c>
      <c r="M73" s="112">
        <f>BatSplit(M5:M57,HighestScore)</f>
        <v>54</v>
      </c>
      <c r="N73" s="112">
        <f>BatSplit(N5:N57,HighestScore)</f>
        <v>74</v>
      </c>
      <c r="O73" s="112">
        <f>BatSplit(O5:O57,HighestScore)</f>
        <v>20</v>
      </c>
      <c r="P73" s="112">
        <f>BatSplit(P5:P57,HighestScore)</f>
        <v>-156</v>
      </c>
      <c r="Q73" s="112">
        <f>BatSplit(Q5:Q57,HighestScore)</f>
        <v>94</v>
      </c>
      <c r="R73" s="112">
        <f>BatSplit(R5:R57,HighestScore)</f>
        <v>36</v>
      </c>
      <c r="S73" s="112">
        <f>BatSplit(S5:S57,HighestScore)</f>
        <v>31</v>
      </c>
      <c r="T73" s="112">
        <f>BatSplit(T5:T57,HighestScore)</f>
        <v>-22</v>
      </c>
      <c r="U73" s="112">
        <f>BatSplit(U5:U57,HighestScore)</f>
        <v>79</v>
      </c>
      <c r="V73" s="112">
        <f>BatSplit(V5:V57,HighestScore)</f>
        <v>117</v>
      </c>
      <c r="W73" s="112">
        <f>BatSplit(W5:W57,HighestScore)</f>
        <v>62</v>
      </c>
      <c r="X73" s="112">
        <f>BatSplit(X5:X57,HighestScore)</f>
        <v>56</v>
      </c>
      <c r="Y73" s="112">
        <f>BatSplit(Y5:Y57,HighestScore)</f>
        <v>0</v>
      </c>
      <c r="Z73" s="112">
        <f>BatSplit(Z5:Z57,HighestScore)</f>
        <v>0</v>
      </c>
      <c r="CM73" s="114"/>
      <c r="CY73"/>
      <c r="CZ73"/>
      <c r="DA73"/>
      <c r="DL73" s="65"/>
      <c r="DM73" s="65"/>
      <c r="DS73"/>
      <c r="DT73"/>
      <c r="DW73"/>
      <c r="DX73"/>
    </row>
    <row r="74" spans="2:130" s="112" customFormat="1" x14ac:dyDescent="0.15">
      <c r="C74" s="128"/>
      <c r="CD74"/>
      <c r="CE74"/>
      <c r="CF74"/>
      <c r="CG74"/>
      <c r="CH74"/>
      <c r="CI74"/>
      <c r="CM74" s="114"/>
      <c r="CY74"/>
      <c r="CZ74"/>
      <c r="DA74"/>
    </row>
    <row r="75" spans="2:130" s="112" customFormat="1" x14ac:dyDescent="0.15">
      <c r="C75" s="128" t="s">
        <v>222</v>
      </c>
      <c r="D75" s="112" t="e">
        <f>IF(BatSplit(#REF!,RunsScored)&gt;=50,BatSplit(#REF!,RunsScored)&amp;IF(BatSplit(#REF!,NotOuts)=1,"*","")&amp;"|"&amp;#REF!&amp;"|"&amp;D$2&amp;"|"&amp;TEXT(D$1,"dd-mmm"),"x")</f>
        <v>#VALUE!</v>
      </c>
      <c r="E75" s="112" t="e">
        <f>IF(BatSplit(#REF!,RunsScored)&gt;=50,BatSplit(#REF!,RunsScored)&amp;IF(BatSplit(#REF!,NotOuts)=1,"*","")&amp;"|"&amp;#REF!&amp;"|"&amp;E$2&amp;"|"&amp;TEXT(E$1,"dd-mmm"),"x")</f>
        <v>#VALUE!</v>
      </c>
      <c r="F75" s="112" t="e">
        <f>IF(BatSplit(#REF!,RunsScored)&gt;=50,BatSplit(#REF!,RunsScored)&amp;IF(BatSplit(#REF!,NotOuts)=1,"*","")&amp;"|"&amp;#REF!&amp;"|"&amp;F$2&amp;"|"&amp;TEXT(F$1,"dd-mmm"),"x")</f>
        <v>#VALUE!</v>
      </c>
      <c r="G75" s="112" t="e">
        <f>IF(BatSplit(#REF!,RunsScored)&gt;=50,BatSplit(#REF!,RunsScored)&amp;IF(BatSplit(#REF!,NotOuts)=1,"*","")&amp;"|"&amp;#REF!&amp;"|"&amp;G$2&amp;"|"&amp;TEXT(G$1,"dd-mmm"),"x")</f>
        <v>#VALUE!</v>
      </c>
      <c r="H75" s="112" t="e">
        <f>IF(BatSplit(#REF!,RunsScored)&gt;=50,BatSplit(#REF!,RunsScored)&amp;IF(BatSplit(#REF!,NotOuts)=1,"*","")&amp;"|"&amp;#REF!&amp;"|"&amp;H$2&amp;"|"&amp;TEXT(H$1,"dd-mmm"),"x")</f>
        <v>#VALUE!</v>
      </c>
      <c r="I75" s="112" t="e">
        <f>IF(BatSplit(#REF!,RunsScored)&gt;=50,BatSplit(#REF!,RunsScored)&amp;IF(BatSplit(#REF!,NotOuts)=1,"*","")&amp;"|"&amp;#REF!&amp;"|"&amp;I$2&amp;"|"&amp;TEXT(I$1,"dd-mmm"),"x")</f>
        <v>#VALUE!</v>
      </c>
      <c r="J75" s="112" t="e">
        <f>IF(BatSplit(#REF!,RunsScored)&gt;=50,BatSplit(#REF!,RunsScored)&amp;IF(BatSplit(#REF!,NotOuts)=1,"*","")&amp;"|"&amp;#REF!&amp;"|"&amp;J$2&amp;"|"&amp;TEXT(J$1,"dd-mmm"),"x")</f>
        <v>#VALUE!</v>
      </c>
      <c r="K75" s="112" t="e">
        <f>IF(BatSplit(#REF!,RunsScored)&gt;=50,BatSplit(#REF!,RunsScored)&amp;IF(BatSplit(#REF!,NotOuts)=1,"*","")&amp;"|"&amp;#REF!&amp;"|"&amp;K$2&amp;"|"&amp;TEXT(K$1,"dd-mmm"),"x")</f>
        <v>#VALUE!</v>
      </c>
      <c r="L75" s="112" t="e">
        <f>IF(BatSplit(#REF!,RunsScored)&gt;=50,BatSplit(#REF!,RunsScored)&amp;IF(BatSplit(#REF!,NotOuts)=1,"*","")&amp;"|"&amp;#REF!&amp;"|"&amp;L$2&amp;"|"&amp;TEXT(L$1,"dd-mmm"),"x")</f>
        <v>#VALUE!</v>
      </c>
      <c r="M75" s="112" t="e">
        <f>IF(BatSplit(#REF!,RunsScored)&gt;=50,BatSplit(#REF!,RunsScored)&amp;IF(BatSplit(#REF!,NotOuts)=1,"*","")&amp;"|"&amp;#REF!&amp;"|"&amp;M$2&amp;"|"&amp;TEXT(M$1,"dd-mmm"),"x")</f>
        <v>#VALUE!</v>
      </c>
      <c r="N75" s="112" t="e">
        <f>IF(BatSplit(#REF!,RunsScored)&gt;=50,BatSplit(#REF!,RunsScored)&amp;IF(BatSplit(#REF!,NotOuts)=1,"*","")&amp;"|"&amp;#REF!&amp;"|"&amp;N$2&amp;"|"&amp;TEXT(N$1,"dd-mmm"),"x")</f>
        <v>#VALUE!</v>
      </c>
      <c r="O75" s="112" t="e">
        <f>IF(BatSplit(#REF!,RunsScored)&gt;=50,BatSplit(#REF!,RunsScored)&amp;IF(BatSplit(#REF!,NotOuts)=1,"*","")&amp;"|"&amp;#REF!&amp;"|"&amp;O$2&amp;"|"&amp;TEXT(O$1,"dd-mmm"),"x")</f>
        <v>#VALUE!</v>
      </c>
      <c r="P75" s="112" t="e">
        <f>IF(BatSplit(#REF!,RunsScored)&gt;=50,BatSplit(#REF!,RunsScored)&amp;IF(BatSplit(#REF!,NotOuts)=1,"*","")&amp;"|"&amp;#REF!&amp;"|"&amp;P$2&amp;"|"&amp;TEXT(P$1,"dd-mmm"),"x")</f>
        <v>#VALUE!</v>
      </c>
      <c r="Q75" s="112" t="e">
        <f>IF(BatSplit(#REF!,RunsScored)&gt;=50,BatSplit(#REF!,RunsScored)&amp;IF(BatSplit(#REF!,NotOuts)=1,"*","")&amp;"|"&amp;#REF!&amp;"|"&amp;Q$2&amp;"|"&amp;TEXT(Q$1,"dd-mmm"),"x")</f>
        <v>#VALUE!</v>
      </c>
      <c r="R75" s="112" t="e">
        <f>IF(BatSplit(#REF!,RunsScored)&gt;=50,BatSplit(#REF!,RunsScored)&amp;IF(BatSplit(#REF!,NotOuts)=1,"*","")&amp;"|"&amp;#REF!&amp;"|"&amp;R$2&amp;"|"&amp;TEXT(R$1,"dd-mmm"),"x")</f>
        <v>#VALUE!</v>
      </c>
      <c r="S75" s="112" t="e">
        <f>IF(BatSplit(#REF!,RunsScored)&gt;=50,BatSplit(#REF!,RunsScored)&amp;IF(BatSplit(#REF!,NotOuts)=1,"*","")&amp;"|"&amp;#REF!&amp;"|"&amp;S$2&amp;"|"&amp;TEXT(S$1,"dd-mmm"),"x")</f>
        <v>#VALUE!</v>
      </c>
      <c r="T75" s="112" t="e">
        <f>IF(BatSplit(#REF!,RunsScored)&gt;=50,BatSplit(#REF!,RunsScored)&amp;IF(BatSplit(#REF!,NotOuts)=1,"*","")&amp;"|"&amp;#REF!&amp;"|"&amp;T$2&amp;"|"&amp;TEXT(T$1,"dd-mmm"),"x")</f>
        <v>#VALUE!</v>
      </c>
      <c r="U75" s="112" t="e">
        <f>IF(BatSplit(#REF!,RunsScored)&gt;=50,BatSplit(#REF!,RunsScored)&amp;IF(BatSplit(#REF!,NotOuts)=1,"*","")&amp;"|"&amp;#REF!&amp;"|"&amp;U$2&amp;"|"&amp;TEXT(U$1,"dd-mmm"),"x")</f>
        <v>#VALUE!</v>
      </c>
      <c r="V75" s="112" t="e">
        <f>IF(BatSplit(#REF!,RunsScored)&gt;=50,BatSplit(#REF!,RunsScored)&amp;IF(BatSplit(#REF!,NotOuts)=1,"*","")&amp;"|"&amp;#REF!&amp;"|"&amp;V$2&amp;"|"&amp;TEXT(V$1,"dd-mmm"),"x")</f>
        <v>#VALUE!</v>
      </c>
      <c r="W75" s="112" t="e">
        <f>IF(BatSplit(#REF!,RunsScored)&gt;=50,BatSplit(#REF!,RunsScored)&amp;IF(BatSplit(#REF!,NotOuts)=1,"*","")&amp;"|"&amp;#REF!&amp;"|"&amp;W$2&amp;"|"&amp;TEXT(W$1,"dd-mmm"),"x")</f>
        <v>#VALUE!</v>
      </c>
      <c r="X75" s="112" t="e">
        <f>IF(BatSplit(#REF!,RunsScored)&gt;=50,BatSplit(#REF!,RunsScored)&amp;IF(BatSplit(#REF!,NotOuts)=1,"*","")&amp;"|"&amp;#REF!&amp;"|"&amp;X$2&amp;"|"&amp;TEXT(X$1,"dd-mmm"),"x")</f>
        <v>#VALUE!</v>
      </c>
      <c r="Y75" s="112" t="e">
        <f>IF(BatSplit(#REF!,RunsScored)&gt;=50,BatSplit(#REF!,RunsScored)&amp;IF(BatSplit(#REF!,NotOuts)=1,"*","")&amp;"|"&amp;#REF!&amp;"|"&amp;Y$2&amp;"|"&amp;TEXT(Y$1,"dd-mmm"),"x")</f>
        <v>#VALUE!</v>
      </c>
      <c r="Z75" s="112" t="e">
        <f>IF(BatSplit(#REF!,RunsScored)&gt;=50,BatSplit(#REF!,RunsScored)&amp;IF(BatSplit(#REF!,NotOuts)=1,"*","")&amp;"|"&amp;#REF!&amp;"|"&amp;Z$2&amp;"|"&amp;TEXT(Z$1,"dd-mmm"),"x")</f>
        <v>#VALUE!</v>
      </c>
      <c r="CD75"/>
      <c r="CE75"/>
      <c r="CF75"/>
      <c r="CG75"/>
      <c r="CH75"/>
      <c r="CI75"/>
      <c r="CM75" s="114"/>
      <c r="CY75"/>
      <c r="CZ75"/>
      <c r="DA75"/>
      <c r="DQ75"/>
      <c r="DR75"/>
    </row>
    <row r="76" spans="2:130" s="112" customFormat="1" x14ac:dyDescent="0.15">
      <c r="D76" s="112" t="str">
        <f t="shared" ref="D76:Z76" si="127">IF(BatSplit(D5,RunsScored)&gt;=50,BatSplit(D5,RunsScored)&amp;IF(BatSplit(D5,NotOuts)=1,"*","")&amp;"|"&amp;$C5&amp;"|"&amp;D$2&amp;"|"&amp;TEXT(D$1,"dd-mmm"),"x")</f>
        <v>x</v>
      </c>
      <c r="E76" s="112" t="str">
        <f t="shared" si="127"/>
        <v>x</v>
      </c>
      <c r="F76" s="112" t="str">
        <f t="shared" si="127"/>
        <v>x</v>
      </c>
      <c r="G76" s="112" t="str">
        <f t="shared" si="127"/>
        <v>x</v>
      </c>
      <c r="H76" s="112" t="str">
        <f t="shared" si="127"/>
        <v>x</v>
      </c>
      <c r="I76" s="112" t="str">
        <f t="shared" si="127"/>
        <v>x</v>
      </c>
      <c r="J76" s="112" t="str">
        <f t="shared" si="127"/>
        <v>x</v>
      </c>
      <c r="K76" s="112" t="str">
        <f t="shared" si="127"/>
        <v>x</v>
      </c>
      <c r="L76" s="112" t="str">
        <f t="shared" si="127"/>
        <v>x</v>
      </c>
      <c r="M76" s="112" t="str">
        <f t="shared" si="127"/>
        <v>x</v>
      </c>
      <c r="N76" s="112" t="str">
        <f t="shared" si="127"/>
        <v>x</v>
      </c>
      <c r="O76" s="112" t="str">
        <f t="shared" si="127"/>
        <v>x</v>
      </c>
      <c r="P76" s="112" t="str">
        <f t="shared" si="127"/>
        <v>x</v>
      </c>
      <c r="Q76" s="112" t="str">
        <f t="shared" si="127"/>
        <v>x</v>
      </c>
      <c r="R76" s="112" t="str">
        <f t="shared" si="127"/>
        <v>x</v>
      </c>
      <c r="S76" s="112" t="str">
        <f t="shared" si="127"/>
        <v>x</v>
      </c>
      <c r="T76" s="112" t="str">
        <f t="shared" si="127"/>
        <v>x</v>
      </c>
      <c r="U76" s="112" t="str">
        <f t="shared" si="127"/>
        <v>x</v>
      </c>
      <c r="V76" s="112" t="str">
        <f t="shared" si="127"/>
        <v>x</v>
      </c>
      <c r="W76" s="112" t="str">
        <f t="shared" si="127"/>
        <v>x</v>
      </c>
      <c r="X76" s="112" t="str">
        <f t="shared" si="127"/>
        <v>x</v>
      </c>
      <c r="Y76" s="112" t="str">
        <f t="shared" si="127"/>
        <v>x</v>
      </c>
      <c r="Z76" s="112" t="str">
        <f t="shared" si="127"/>
        <v>x</v>
      </c>
      <c r="CD76"/>
      <c r="CE76"/>
      <c r="CF76"/>
      <c r="CG76"/>
      <c r="CH76"/>
      <c r="CI76"/>
      <c r="CM76" s="114"/>
      <c r="DQ76"/>
      <c r="DR76"/>
    </row>
    <row r="77" spans="2:130" s="112" customFormat="1" x14ac:dyDescent="0.15">
      <c r="D77" s="112" t="str">
        <f t="shared" ref="D77:Z77" si="128">IF(BatSplit(D7,RunsScored)&gt;=50,BatSplit(D7,RunsScored)&amp;IF(BatSplit(D7,NotOuts)=1,"*","")&amp;"|"&amp;$C7&amp;"|"&amp;D$2&amp;"|"&amp;TEXT(D$1,"dd-mmm"),"x")</f>
        <v>x</v>
      </c>
      <c r="E77" s="112" t="str">
        <f t="shared" si="128"/>
        <v>x</v>
      </c>
      <c r="F77" s="112" t="str">
        <f t="shared" si="128"/>
        <v>x</v>
      </c>
      <c r="G77" s="112" t="str">
        <f t="shared" si="128"/>
        <v>x</v>
      </c>
      <c r="H77" s="112" t="str">
        <f t="shared" si="128"/>
        <v>x</v>
      </c>
      <c r="I77" s="112" t="str">
        <f t="shared" si="128"/>
        <v>x</v>
      </c>
      <c r="J77" s="112" t="str">
        <f t="shared" si="128"/>
        <v>x</v>
      </c>
      <c r="K77" s="112" t="str">
        <f t="shared" si="128"/>
        <v>x</v>
      </c>
      <c r="L77" s="112" t="str">
        <f t="shared" si="128"/>
        <v>x</v>
      </c>
      <c r="M77" s="112" t="str">
        <f t="shared" si="128"/>
        <v>x</v>
      </c>
      <c r="N77" s="112" t="str">
        <f t="shared" si="128"/>
        <v>x</v>
      </c>
      <c r="O77" s="112" t="str">
        <f t="shared" si="128"/>
        <v>x</v>
      </c>
      <c r="P77" s="112" t="str">
        <f t="shared" si="128"/>
        <v>x</v>
      </c>
      <c r="Q77" s="112" t="str">
        <f t="shared" si="128"/>
        <v>x</v>
      </c>
      <c r="R77" s="112" t="str">
        <f t="shared" si="128"/>
        <v>x</v>
      </c>
      <c r="S77" s="112" t="str">
        <f t="shared" si="128"/>
        <v>x</v>
      </c>
      <c r="T77" s="112" t="str">
        <f t="shared" si="128"/>
        <v>x</v>
      </c>
      <c r="U77" s="112" t="str">
        <f t="shared" si="128"/>
        <v>x</v>
      </c>
      <c r="V77" s="112" t="str">
        <f t="shared" si="128"/>
        <v>x</v>
      </c>
      <c r="W77" s="112" t="str">
        <f t="shared" si="128"/>
        <v>x</v>
      </c>
      <c r="X77" s="112" t="str">
        <f t="shared" si="128"/>
        <v>x</v>
      </c>
      <c r="Y77" s="112" t="str">
        <f t="shared" si="128"/>
        <v>x</v>
      </c>
      <c r="Z77" s="112" t="str">
        <f t="shared" si="128"/>
        <v>x</v>
      </c>
      <c r="CD77"/>
      <c r="CE77"/>
      <c r="CH77"/>
      <c r="CI77"/>
      <c r="CM77" s="114"/>
      <c r="DN77"/>
      <c r="DQ77"/>
      <c r="DR77"/>
    </row>
    <row r="78" spans="2:130" s="112" customFormat="1" x14ac:dyDescent="0.15">
      <c r="D78" s="112" t="str">
        <f t="shared" ref="D78:Z78" si="129">IF(BatSplit(D8,RunsScored)&gt;=50,BatSplit(D8,RunsScored)&amp;IF(BatSplit(D8,NotOuts)=1,"*","")&amp;"|"&amp;$C8&amp;"|"&amp;D$2&amp;"|"&amp;TEXT(D$1,"dd-mmm"),"x")</f>
        <v>x</v>
      </c>
      <c r="E78" s="112" t="str">
        <f t="shared" si="129"/>
        <v>x</v>
      </c>
      <c r="F78" s="112" t="str">
        <f t="shared" si="129"/>
        <v>x</v>
      </c>
      <c r="G78" s="112" t="str">
        <f t="shared" si="129"/>
        <v>x</v>
      </c>
      <c r="H78" s="112" t="str">
        <f t="shared" si="129"/>
        <v>x</v>
      </c>
      <c r="I78" s="112" t="str">
        <f t="shared" si="129"/>
        <v>x</v>
      </c>
      <c r="J78" s="112" t="str">
        <f t="shared" si="129"/>
        <v>x</v>
      </c>
      <c r="K78" s="112" t="str">
        <f t="shared" si="129"/>
        <v>x</v>
      </c>
      <c r="L78" s="112" t="str">
        <f t="shared" si="129"/>
        <v>x</v>
      </c>
      <c r="M78" s="112" t="str">
        <f t="shared" si="129"/>
        <v>x</v>
      </c>
      <c r="N78" s="112" t="str">
        <f t="shared" si="129"/>
        <v>x</v>
      </c>
      <c r="O78" s="112" t="str">
        <f t="shared" si="129"/>
        <v>x</v>
      </c>
      <c r="P78" s="112" t="str">
        <f t="shared" si="129"/>
        <v>x</v>
      </c>
      <c r="Q78" s="112" t="str">
        <f t="shared" si="129"/>
        <v>x</v>
      </c>
      <c r="R78" s="112" t="str">
        <f t="shared" si="129"/>
        <v>x</v>
      </c>
      <c r="S78" s="112" t="str">
        <f t="shared" si="129"/>
        <v>x</v>
      </c>
      <c r="T78" s="112" t="str">
        <f t="shared" si="129"/>
        <v>x</v>
      </c>
      <c r="U78" s="112" t="str">
        <f t="shared" si="129"/>
        <v>x</v>
      </c>
      <c r="V78" s="112" t="str">
        <f t="shared" si="129"/>
        <v>x</v>
      </c>
      <c r="W78" s="112" t="str">
        <f t="shared" si="129"/>
        <v>x</v>
      </c>
      <c r="X78" s="112" t="str">
        <f t="shared" si="129"/>
        <v>x</v>
      </c>
      <c r="Y78" s="112" t="str">
        <f t="shared" si="129"/>
        <v>x</v>
      </c>
      <c r="Z78" s="112" t="str">
        <f t="shared" si="129"/>
        <v>x</v>
      </c>
      <c r="CD78"/>
      <c r="CE78"/>
      <c r="CF78"/>
      <c r="CG78"/>
      <c r="CM78" s="114"/>
      <c r="DL78"/>
      <c r="DM78"/>
      <c r="DN78" s="57"/>
      <c r="DQ78"/>
      <c r="DR78"/>
    </row>
    <row r="79" spans="2:130" s="112" customFormat="1" x14ac:dyDescent="0.15">
      <c r="D79" s="112" t="str">
        <f t="shared" ref="D79:Z79" si="130">IF(BatSplit(D10,RunsScored)&gt;=50,BatSplit(D10,RunsScored)&amp;IF(BatSplit(D10,NotOuts)=1,"*","")&amp;"|"&amp;$C10&amp;"|"&amp;D$2&amp;"|"&amp;TEXT(D$1,"dd-mmm"),"x")</f>
        <v>x</v>
      </c>
      <c r="E79" s="112" t="str">
        <f t="shared" si="130"/>
        <v>x</v>
      </c>
      <c r="F79" s="112" t="str">
        <f t="shared" si="130"/>
        <v>x</v>
      </c>
      <c r="G79" s="112" t="str">
        <f t="shared" si="130"/>
        <v>x</v>
      </c>
      <c r="H79" s="112" t="str">
        <f t="shared" si="130"/>
        <v>x</v>
      </c>
      <c r="I79" s="112" t="str">
        <f t="shared" si="130"/>
        <v>x</v>
      </c>
      <c r="J79" s="112" t="str">
        <f t="shared" si="130"/>
        <v>x</v>
      </c>
      <c r="K79" s="112" t="str">
        <f t="shared" si="130"/>
        <v>x</v>
      </c>
      <c r="L79" s="112" t="str">
        <f t="shared" si="130"/>
        <v>x</v>
      </c>
      <c r="M79" s="112" t="str">
        <f t="shared" si="130"/>
        <v>x</v>
      </c>
      <c r="N79" s="112" t="str">
        <f t="shared" si="130"/>
        <v>x</v>
      </c>
      <c r="O79" s="112" t="str">
        <f t="shared" si="130"/>
        <v>x</v>
      </c>
      <c r="P79" s="112" t="str">
        <f t="shared" si="130"/>
        <v>x</v>
      </c>
      <c r="Q79" s="112" t="str">
        <f t="shared" si="130"/>
        <v>x</v>
      </c>
      <c r="R79" s="112" t="str">
        <f t="shared" si="130"/>
        <v>x</v>
      </c>
      <c r="S79" s="112" t="str">
        <f t="shared" si="130"/>
        <v>x</v>
      </c>
      <c r="T79" s="112" t="str">
        <f t="shared" si="130"/>
        <v>x</v>
      </c>
      <c r="U79" s="112" t="str">
        <f t="shared" si="130"/>
        <v>x</v>
      </c>
      <c r="V79" s="112" t="str">
        <f t="shared" si="130"/>
        <v>x</v>
      </c>
      <c r="W79" s="112" t="str">
        <f t="shared" si="130"/>
        <v>x</v>
      </c>
      <c r="X79" s="112" t="str">
        <f t="shared" si="130"/>
        <v>x</v>
      </c>
      <c r="Y79" s="112" t="str">
        <f t="shared" si="130"/>
        <v>x</v>
      </c>
      <c r="Z79" s="112" t="str">
        <f t="shared" si="130"/>
        <v>x</v>
      </c>
      <c r="CF79"/>
      <c r="CG79"/>
      <c r="CM79" s="114"/>
      <c r="DL79" s="65"/>
      <c r="DM79" s="65"/>
      <c r="DQ79"/>
      <c r="DR79"/>
    </row>
    <row r="80" spans="2:130" customFormat="1" x14ac:dyDescent="0.15">
      <c r="D80" s="112" t="str">
        <f t="shared" ref="D80:Z80" si="131">IF(BatSplit(D11,RunsScored)&gt;=50,BatSplit(D11,RunsScored)&amp;IF(BatSplit(D11,NotOuts)=1,"*","")&amp;"|"&amp;$C11&amp;"|"&amp;D$2&amp;"|"&amp;TEXT(D$1,"dd-mmm"),"x")</f>
        <v>x</v>
      </c>
      <c r="E80" s="112" t="str">
        <f t="shared" si="131"/>
        <v>x</v>
      </c>
      <c r="F80" s="112" t="str">
        <f t="shared" si="131"/>
        <v>x</v>
      </c>
      <c r="G80" s="112" t="str">
        <f t="shared" si="131"/>
        <v>x</v>
      </c>
      <c r="H80" s="112" t="str">
        <f t="shared" si="131"/>
        <v>x</v>
      </c>
      <c r="I80" s="112" t="str">
        <f t="shared" si="131"/>
        <v>x</v>
      </c>
      <c r="J80" s="112" t="str">
        <f t="shared" si="131"/>
        <v>x</v>
      </c>
      <c r="K80" s="112" t="str">
        <f t="shared" si="131"/>
        <v>x</v>
      </c>
      <c r="L80" s="112" t="str">
        <f t="shared" si="131"/>
        <v>x</v>
      </c>
      <c r="M80" s="112" t="str">
        <f t="shared" si="131"/>
        <v>x</v>
      </c>
      <c r="N80" s="112" t="str">
        <f t="shared" si="131"/>
        <v>x</v>
      </c>
      <c r="O80" s="112" t="str">
        <f t="shared" si="131"/>
        <v>x</v>
      </c>
      <c r="P80" s="112" t="str">
        <f t="shared" si="131"/>
        <v>x</v>
      </c>
      <c r="Q80" s="112" t="str">
        <f t="shared" si="131"/>
        <v>x</v>
      </c>
      <c r="R80" s="112" t="str">
        <f t="shared" si="131"/>
        <v>x</v>
      </c>
      <c r="S80" s="112" t="str">
        <f t="shared" si="131"/>
        <v>x</v>
      </c>
      <c r="T80" s="112" t="str">
        <f t="shared" si="131"/>
        <v>x</v>
      </c>
      <c r="U80" s="112" t="str">
        <f t="shared" si="131"/>
        <v>x</v>
      </c>
      <c r="V80" s="112" t="str">
        <f t="shared" si="131"/>
        <v>x</v>
      </c>
      <c r="W80" s="112" t="str">
        <f t="shared" si="131"/>
        <v>x</v>
      </c>
      <c r="X80" s="112" t="str">
        <f t="shared" si="131"/>
        <v>x</v>
      </c>
      <c r="Y80" s="112" t="str">
        <f t="shared" si="131"/>
        <v>x</v>
      </c>
      <c r="Z80" s="112" t="str">
        <f t="shared" si="131"/>
        <v>x</v>
      </c>
      <c r="CY80" s="112"/>
      <c r="CZ80" s="112"/>
      <c r="DA80" s="112"/>
      <c r="DB80" s="65"/>
      <c r="DL80" s="117"/>
      <c r="DM80" s="117"/>
      <c r="DN80" s="112"/>
      <c r="DO80" s="65"/>
      <c r="DQ80" s="112"/>
      <c r="DR80" s="112"/>
      <c r="DS80" s="65"/>
      <c r="DT80" s="65"/>
      <c r="DU80" s="112"/>
      <c r="DV80" s="112"/>
    </row>
    <row r="81" spans="4:124" customFormat="1" x14ac:dyDescent="0.15">
      <c r="D81" s="112" t="str">
        <f t="shared" ref="D81:Z81" si="132">IF(BatSplit(D12,RunsScored)&gt;=50,BatSplit(D12,RunsScored)&amp;IF(BatSplit(D12,NotOuts)=1,"*","")&amp;"|"&amp;$C12&amp;"|"&amp;D$2&amp;"|"&amp;TEXT(D$1,"dd-mmm"),"x")</f>
        <v>x</v>
      </c>
      <c r="E81" s="112" t="str">
        <f t="shared" si="132"/>
        <v>x</v>
      </c>
      <c r="F81" s="112" t="str">
        <f t="shared" si="132"/>
        <v>x</v>
      </c>
      <c r="G81" s="112" t="str">
        <f t="shared" si="132"/>
        <v>x</v>
      </c>
      <c r="H81" s="112" t="str">
        <f t="shared" si="132"/>
        <v>x</v>
      </c>
      <c r="I81" s="112" t="str">
        <f t="shared" si="132"/>
        <v>x</v>
      </c>
      <c r="J81" s="112" t="str">
        <f t="shared" si="132"/>
        <v>x</v>
      </c>
      <c r="K81" s="112" t="str">
        <f t="shared" si="132"/>
        <v>x</v>
      </c>
      <c r="L81" s="112" t="str">
        <f t="shared" si="132"/>
        <v>x</v>
      </c>
      <c r="M81" s="112" t="str">
        <f t="shared" si="132"/>
        <v>x</v>
      </c>
      <c r="N81" s="112" t="str">
        <f t="shared" si="132"/>
        <v>x</v>
      </c>
      <c r="O81" s="112" t="str">
        <f t="shared" si="132"/>
        <v>x</v>
      </c>
      <c r="P81" s="112" t="str">
        <f t="shared" si="132"/>
        <v>x</v>
      </c>
      <c r="Q81" s="112" t="str">
        <f t="shared" si="132"/>
        <v>x</v>
      </c>
      <c r="R81" s="112" t="str">
        <f t="shared" si="132"/>
        <v>x</v>
      </c>
      <c r="S81" s="112" t="str">
        <f t="shared" si="132"/>
        <v>x</v>
      </c>
      <c r="T81" s="112" t="str">
        <f t="shared" si="132"/>
        <v>x</v>
      </c>
      <c r="U81" s="112" t="str">
        <f t="shared" si="132"/>
        <v>x</v>
      </c>
      <c r="V81" s="112" t="str">
        <f t="shared" si="132"/>
        <v>x</v>
      </c>
      <c r="W81" s="112" t="str">
        <f t="shared" si="132"/>
        <v>x</v>
      </c>
      <c r="X81" s="112" t="str">
        <f t="shared" si="132"/>
        <v>x</v>
      </c>
      <c r="Y81" s="112" t="str">
        <f t="shared" si="132"/>
        <v>x</v>
      </c>
      <c r="Z81" s="112" t="str">
        <f t="shared" si="132"/>
        <v>x</v>
      </c>
      <c r="DB81" s="65"/>
      <c r="DN81" s="112"/>
      <c r="DO81" s="65"/>
      <c r="DS81" s="65"/>
      <c r="DT81" s="65"/>
    </row>
    <row r="82" spans="4:124" customFormat="1" x14ac:dyDescent="0.15">
      <c r="D82" s="112" t="str">
        <f t="shared" ref="D82:Z82" si="133">IF(BatSplit(D13,RunsScored)&gt;=50,BatSplit(D13,RunsScored)&amp;IF(BatSplit(D13,NotOuts)=1,"*","")&amp;"|"&amp;$C13&amp;"|"&amp;D$2&amp;"|"&amp;TEXT(D$1,"dd-mmm"),"x")</f>
        <v>x</v>
      </c>
      <c r="E82" s="112" t="str">
        <f t="shared" si="133"/>
        <v>x</v>
      </c>
      <c r="F82" s="112" t="str">
        <f t="shared" si="133"/>
        <v>x</v>
      </c>
      <c r="G82" s="112" t="str">
        <f t="shared" si="133"/>
        <v>x</v>
      </c>
      <c r="H82" s="112" t="str">
        <f t="shared" si="133"/>
        <v>x</v>
      </c>
      <c r="I82" s="112" t="str">
        <f t="shared" si="133"/>
        <v>x</v>
      </c>
      <c r="J82" s="112" t="str">
        <f t="shared" si="133"/>
        <v>x</v>
      </c>
      <c r="K82" s="112" t="str">
        <f t="shared" si="133"/>
        <v>x</v>
      </c>
      <c r="L82" s="112" t="str">
        <f t="shared" si="133"/>
        <v>x</v>
      </c>
      <c r="M82" s="112" t="str">
        <f t="shared" si="133"/>
        <v>x</v>
      </c>
      <c r="N82" s="112" t="str">
        <f t="shared" si="133"/>
        <v>x</v>
      </c>
      <c r="O82" s="112" t="str">
        <f t="shared" si="133"/>
        <v>x</v>
      </c>
      <c r="P82" s="112" t="str">
        <f t="shared" si="133"/>
        <v>x</v>
      </c>
      <c r="Q82" s="112" t="str">
        <f t="shared" si="133"/>
        <v>x</v>
      </c>
      <c r="R82" s="112" t="str">
        <f t="shared" si="133"/>
        <v>x</v>
      </c>
      <c r="S82" s="112" t="str">
        <f t="shared" si="133"/>
        <v>x</v>
      </c>
      <c r="T82" s="112" t="str">
        <f t="shared" si="133"/>
        <v>x</v>
      </c>
      <c r="U82" s="112" t="str">
        <f t="shared" si="133"/>
        <v>x</v>
      </c>
      <c r="V82" s="112" t="str">
        <f t="shared" si="133"/>
        <v>x</v>
      </c>
      <c r="W82" s="112" t="str">
        <f t="shared" si="133"/>
        <v>x</v>
      </c>
      <c r="X82" s="112" t="str">
        <f t="shared" si="133"/>
        <v>x</v>
      </c>
      <c r="Y82" s="112" t="str">
        <f t="shared" si="133"/>
        <v>x</v>
      </c>
      <c r="Z82" s="112" t="str">
        <f t="shared" si="133"/>
        <v>x</v>
      </c>
      <c r="DB82" s="65"/>
      <c r="DL82" s="112"/>
      <c r="DM82" s="112"/>
      <c r="DN82" s="112"/>
      <c r="DO82" s="65"/>
      <c r="DQ82" s="112"/>
      <c r="DR82" s="112"/>
      <c r="DS82" s="65"/>
      <c r="DT82" s="65"/>
    </row>
    <row r="83" spans="4:124" customFormat="1" x14ac:dyDescent="0.15">
      <c r="D83" s="112" t="str">
        <f t="shared" ref="D83:Z83" si="134">IF(BatSplit(D14,RunsScored)&gt;=50,BatSplit(D14,RunsScored)&amp;IF(BatSplit(D14,NotOuts)=1,"*","")&amp;"|"&amp;$C14&amp;"|"&amp;D$2&amp;"|"&amp;TEXT(D$1,"dd-mmm"),"x")</f>
        <v>x</v>
      </c>
      <c r="E83" s="112" t="str">
        <f t="shared" si="134"/>
        <v>x</v>
      </c>
      <c r="F83" s="112" t="str">
        <f t="shared" si="134"/>
        <v>x</v>
      </c>
      <c r="G83" s="112" t="str">
        <f t="shared" si="134"/>
        <v>x</v>
      </c>
      <c r="H83" s="112" t="str">
        <f t="shared" si="134"/>
        <v>63|Clarkson M|Woodgreen|26-May</v>
      </c>
      <c r="I83" s="112" t="str">
        <f t="shared" si="134"/>
        <v>x</v>
      </c>
      <c r="J83" s="112" t="str">
        <f t="shared" si="134"/>
        <v>x</v>
      </c>
      <c r="K83" s="112" t="str">
        <f t="shared" si="134"/>
        <v>x</v>
      </c>
      <c r="L83" s="112" t="str">
        <f t="shared" si="134"/>
        <v>x</v>
      </c>
      <c r="M83" s="112" t="str">
        <f t="shared" si="134"/>
        <v>x</v>
      </c>
      <c r="N83" s="112" t="str">
        <f t="shared" si="134"/>
        <v>x</v>
      </c>
      <c r="O83" s="112" t="str">
        <f t="shared" si="134"/>
        <v>x</v>
      </c>
      <c r="P83" s="112" t="str">
        <f t="shared" si="134"/>
        <v>x</v>
      </c>
      <c r="Q83" s="112" t="str">
        <f t="shared" si="134"/>
        <v>x</v>
      </c>
      <c r="R83" s="112" t="str">
        <f t="shared" si="134"/>
        <v>x</v>
      </c>
      <c r="S83" s="112" t="str">
        <f t="shared" si="134"/>
        <v>x</v>
      </c>
      <c r="T83" s="112" t="str">
        <f t="shared" si="134"/>
        <v>x</v>
      </c>
      <c r="U83" s="112" t="str">
        <f t="shared" si="134"/>
        <v>x</v>
      </c>
      <c r="V83" s="112" t="str">
        <f t="shared" si="134"/>
        <v>x</v>
      </c>
      <c r="W83" s="112" t="str">
        <f t="shared" si="134"/>
        <v>x</v>
      </c>
      <c r="X83" s="112" t="str">
        <f t="shared" si="134"/>
        <v>x</v>
      </c>
      <c r="Y83" s="112" t="str">
        <f t="shared" si="134"/>
        <v>x</v>
      </c>
      <c r="Z83" s="112" t="str">
        <f t="shared" si="134"/>
        <v>x</v>
      </c>
      <c r="CF83" s="112"/>
      <c r="CG83" s="112"/>
      <c r="DB83" s="65"/>
      <c r="DL83" s="112"/>
      <c r="DM83" s="112"/>
      <c r="DO83" s="65"/>
      <c r="DQ83" s="65"/>
      <c r="DR83" s="65"/>
      <c r="DS83" s="65"/>
      <c r="DT83" s="65"/>
    </row>
    <row r="84" spans="4:124" customFormat="1" x14ac:dyDescent="0.15">
      <c r="D84" s="112" t="str">
        <f t="shared" ref="D84:Z84" si="135">IF(BatSplit(D15,RunsScored)&gt;=50,BatSplit(D15,RunsScored)&amp;IF(BatSplit(D15,NotOuts)=1,"*","")&amp;"|"&amp;$C15&amp;"|"&amp;D$2&amp;"|"&amp;TEXT(D$1,"dd-mmm"),"x")</f>
        <v>x</v>
      </c>
      <c r="E84" s="112" t="str">
        <f t="shared" si="135"/>
        <v>x</v>
      </c>
      <c r="F84" s="112" t="str">
        <f t="shared" si="135"/>
        <v>x</v>
      </c>
      <c r="G84" s="112" t="str">
        <f t="shared" si="135"/>
        <v>x</v>
      </c>
      <c r="H84" s="112" t="str">
        <f t="shared" si="135"/>
        <v>x</v>
      </c>
      <c r="I84" s="112" t="str">
        <f t="shared" si="135"/>
        <v>x</v>
      </c>
      <c r="J84" s="112" t="str">
        <f t="shared" si="135"/>
        <v>x</v>
      </c>
      <c r="K84" s="112" t="str">
        <f t="shared" si="135"/>
        <v>x</v>
      </c>
      <c r="L84" s="112" t="str">
        <f t="shared" si="135"/>
        <v>x</v>
      </c>
      <c r="M84" s="112" t="str">
        <f t="shared" si="135"/>
        <v>x</v>
      </c>
      <c r="N84" s="112" t="str">
        <f t="shared" si="135"/>
        <v>x</v>
      </c>
      <c r="O84" s="112" t="str">
        <f t="shared" si="135"/>
        <v>x</v>
      </c>
      <c r="P84" s="112" t="str">
        <f t="shared" si="135"/>
        <v>x</v>
      </c>
      <c r="Q84" s="112" t="str">
        <f t="shared" si="135"/>
        <v>x</v>
      </c>
      <c r="R84" s="112" t="str">
        <f t="shared" si="135"/>
        <v>x</v>
      </c>
      <c r="S84" s="112" t="str">
        <f t="shared" si="135"/>
        <v>x</v>
      </c>
      <c r="T84" s="112" t="str">
        <f t="shared" si="135"/>
        <v>x</v>
      </c>
      <c r="U84" s="112" t="str">
        <f t="shared" si="135"/>
        <v>x</v>
      </c>
      <c r="V84" s="112" t="str">
        <f t="shared" si="135"/>
        <v>x</v>
      </c>
      <c r="W84" s="112" t="str">
        <f t="shared" si="135"/>
        <v>x</v>
      </c>
      <c r="X84" s="112" t="str">
        <f t="shared" si="135"/>
        <v>x</v>
      </c>
      <c r="Y84" s="112" t="str">
        <f t="shared" si="135"/>
        <v>x</v>
      </c>
      <c r="Z84" s="112" t="str">
        <f t="shared" si="135"/>
        <v>x</v>
      </c>
      <c r="DB84" s="65"/>
      <c r="DO84" s="65"/>
      <c r="DQ84" s="65"/>
      <c r="DR84" s="65"/>
      <c r="DS84" s="65"/>
      <c r="DT84" s="65"/>
    </row>
    <row r="85" spans="4:124" customFormat="1" x14ac:dyDescent="0.15">
      <c r="D85" s="112" t="str">
        <f t="shared" ref="D85:Z85" si="136">IF(BatSplit(D16,RunsScored)&gt;=50,BatSplit(D16,RunsScored)&amp;IF(BatSplit(D16,NotOuts)=1,"*","")&amp;"|"&amp;$C16&amp;"|"&amp;D$2&amp;"|"&amp;TEXT(D$1,"dd-mmm"),"x")</f>
        <v>x</v>
      </c>
      <c r="E85" s="112" t="str">
        <f t="shared" si="136"/>
        <v>x</v>
      </c>
      <c r="F85" s="112" t="str">
        <f t="shared" si="136"/>
        <v>x</v>
      </c>
      <c r="G85" s="112" t="str">
        <f t="shared" si="136"/>
        <v>x</v>
      </c>
      <c r="H85" s="112" t="str">
        <f t="shared" si="136"/>
        <v>x</v>
      </c>
      <c r="I85" s="112" t="str">
        <f t="shared" si="136"/>
        <v>x</v>
      </c>
      <c r="J85" s="112" t="str">
        <f t="shared" si="136"/>
        <v>x</v>
      </c>
      <c r="K85" s="112" t="str">
        <f t="shared" si="136"/>
        <v>x</v>
      </c>
      <c r="L85" s="112" t="str">
        <f t="shared" si="136"/>
        <v>x</v>
      </c>
      <c r="M85" s="112" t="str">
        <f t="shared" si="136"/>
        <v>x</v>
      </c>
      <c r="N85" s="112" t="str">
        <f t="shared" si="136"/>
        <v>x</v>
      </c>
      <c r="O85" s="112" t="str">
        <f t="shared" si="136"/>
        <v>x</v>
      </c>
      <c r="P85" s="112" t="str">
        <f t="shared" si="136"/>
        <v>x</v>
      </c>
      <c r="Q85" s="112" t="str">
        <f t="shared" si="136"/>
        <v>x</v>
      </c>
      <c r="R85" s="112" t="str">
        <f t="shared" si="136"/>
        <v>x</v>
      </c>
      <c r="S85" s="112" t="str">
        <f t="shared" si="136"/>
        <v>x</v>
      </c>
      <c r="T85" s="112" t="str">
        <f t="shared" si="136"/>
        <v>x</v>
      </c>
      <c r="U85" s="112" t="str">
        <f t="shared" si="136"/>
        <v>x</v>
      </c>
      <c r="V85" s="112" t="str">
        <f t="shared" si="136"/>
        <v>x</v>
      </c>
      <c r="W85" s="112" t="str">
        <f t="shared" si="136"/>
        <v>x</v>
      </c>
      <c r="X85" s="112" t="str">
        <f t="shared" si="136"/>
        <v>x</v>
      </c>
      <c r="Y85" s="112" t="str">
        <f t="shared" si="136"/>
        <v>x</v>
      </c>
      <c r="Z85" s="112" t="str">
        <f t="shared" si="136"/>
        <v>x</v>
      </c>
      <c r="CD85" s="112"/>
      <c r="CE85" s="112"/>
      <c r="DB85" s="65"/>
      <c r="DQ85" s="65"/>
      <c r="DR85" s="65"/>
      <c r="DS85" s="112"/>
      <c r="DT85" s="112"/>
    </row>
    <row r="86" spans="4:124" customFormat="1" x14ac:dyDescent="0.15">
      <c r="D86" s="112" t="str">
        <f t="shared" ref="D86:Z86" si="137">IF(BatSplit(D17,RunsScored)&gt;=50,BatSplit(D17,RunsScored)&amp;IF(BatSplit(D17,NotOuts)=1,"*","")&amp;"|"&amp;$C17&amp;"|"&amp;D$2&amp;"|"&amp;TEXT(D$1,"dd-mmm"),"x")</f>
        <v>x</v>
      </c>
      <c r="E86" s="112" t="str">
        <f t="shared" si="137"/>
        <v>x</v>
      </c>
      <c r="F86" s="112" t="str">
        <f t="shared" si="137"/>
        <v>x</v>
      </c>
      <c r="G86" s="112" t="str">
        <f t="shared" si="137"/>
        <v>x</v>
      </c>
      <c r="H86" s="112" t="str">
        <f t="shared" si="137"/>
        <v>x</v>
      </c>
      <c r="I86" s="112" t="str">
        <f t="shared" si="137"/>
        <v>x</v>
      </c>
      <c r="J86" s="112" t="str">
        <f t="shared" si="137"/>
        <v>x</v>
      </c>
      <c r="K86" s="112" t="str">
        <f t="shared" si="137"/>
        <v>x</v>
      </c>
      <c r="L86" s="112" t="str">
        <f t="shared" si="137"/>
        <v>x</v>
      </c>
      <c r="M86" s="112" t="str">
        <f t="shared" si="137"/>
        <v>x</v>
      </c>
      <c r="N86" s="112" t="str">
        <f t="shared" si="137"/>
        <v>x</v>
      </c>
      <c r="O86" s="112" t="str">
        <f t="shared" si="137"/>
        <v>x</v>
      </c>
      <c r="P86" s="112" t="str">
        <f t="shared" si="137"/>
        <v>x</v>
      </c>
      <c r="Q86" s="112" t="str">
        <f t="shared" si="137"/>
        <v>x</v>
      </c>
      <c r="R86" s="112" t="str">
        <f t="shared" si="137"/>
        <v>x</v>
      </c>
      <c r="S86" s="112" t="str">
        <f t="shared" si="137"/>
        <v>x</v>
      </c>
      <c r="T86" s="112" t="str">
        <f t="shared" si="137"/>
        <v>x</v>
      </c>
      <c r="U86" s="112" t="str">
        <f t="shared" si="137"/>
        <v>x</v>
      </c>
      <c r="V86" s="112" t="str">
        <f t="shared" si="137"/>
        <v>x</v>
      </c>
      <c r="W86" s="112" t="str">
        <f t="shared" si="137"/>
        <v>x</v>
      </c>
      <c r="X86" s="112" t="str">
        <f t="shared" si="137"/>
        <v>x</v>
      </c>
      <c r="Y86" s="112" t="str">
        <f t="shared" si="137"/>
        <v>x</v>
      </c>
      <c r="Z86" s="112" t="str">
        <f t="shared" si="137"/>
        <v>x</v>
      </c>
      <c r="CD86" s="65"/>
      <c r="CE86" s="65"/>
      <c r="CF86" s="65"/>
      <c r="CG86" s="65"/>
      <c r="DB86" s="65"/>
      <c r="DL86" s="65"/>
      <c r="DM86" s="65"/>
      <c r="DN86" s="65"/>
      <c r="DQ86" s="65"/>
      <c r="DR86" s="65"/>
    </row>
    <row r="87" spans="4:124" customFormat="1" x14ac:dyDescent="0.15">
      <c r="D87" s="112" t="str">
        <f t="shared" ref="D87:Z87" si="138">IF(BatSplit(D18,RunsScored)&gt;=50,BatSplit(D18,RunsScored)&amp;IF(BatSplit(D18,NotOuts)=1,"*","")&amp;"|"&amp;$C18&amp;"|"&amp;D$2&amp;"|"&amp;TEXT(D$1,"dd-mmm"),"x")</f>
        <v>x</v>
      </c>
      <c r="E87" s="112" t="str">
        <f t="shared" si="138"/>
        <v>x</v>
      </c>
      <c r="F87" s="112" t="str">
        <f t="shared" si="138"/>
        <v>x</v>
      </c>
      <c r="G87" s="112" t="str">
        <f t="shared" si="138"/>
        <v>x</v>
      </c>
      <c r="H87" s="112" t="str">
        <f t="shared" si="138"/>
        <v>x</v>
      </c>
      <c r="I87" s="112" t="str">
        <f t="shared" si="138"/>
        <v>x</v>
      </c>
      <c r="J87" s="112" t="str">
        <f t="shared" si="138"/>
        <v>x</v>
      </c>
      <c r="K87" s="112" t="str">
        <f t="shared" si="138"/>
        <v>x</v>
      </c>
      <c r="L87" s="112" t="str">
        <f t="shared" si="138"/>
        <v>x</v>
      </c>
      <c r="M87" s="112" t="str">
        <f t="shared" si="138"/>
        <v>x</v>
      </c>
      <c r="N87" s="112" t="str">
        <f t="shared" si="138"/>
        <v>x</v>
      </c>
      <c r="O87" s="112" t="str">
        <f t="shared" si="138"/>
        <v>x</v>
      </c>
      <c r="P87" s="112" t="str">
        <f t="shared" si="138"/>
        <v>x</v>
      </c>
      <c r="Q87" s="112" t="str">
        <f t="shared" si="138"/>
        <v>x</v>
      </c>
      <c r="R87" s="112" t="str">
        <f t="shared" si="138"/>
        <v>x</v>
      </c>
      <c r="S87" s="112" t="str">
        <f t="shared" si="138"/>
        <v>x</v>
      </c>
      <c r="T87" s="112" t="str">
        <f t="shared" si="138"/>
        <v>x</v>
      </c>
      <c r="U87" s="112" t="str">
        <f t="shared" si="138"/>
        <v>x</v>
      </c>
      <c r="V87" s="112" t="str">
        <f t="shared" si="138"/>
        <v>x</v>
      </c>
      <c r="W87" s="112" t="str">
        <f t="shared" si="138"/>
        <v>x</v>
      </c>
      <c r="X87" s="112" t="str">
        <f t="shared" si="138"/>
        <v>x</v>
      </c>
      <c r="Y87" s="112" t="str">
        <f t="shared" si="138"/>
        <v>x</v>
      </c>
      <c r="Z87" s="112" t="str">
        <f t="shared" si="138"/>
        <v>x</v>
      </c>
      <c r="CD87" s="65"/>
      <c r="CE87" s="65"/>
      <c r="CF87" s="65"/>
      <c r="CG87" s="65"/>
      <c r="DB87" s="65"/>
      <c r="DN87" s="112"/>
      <c r="DQ87" s="65"/>
      <c r="DR87" s="65"/>
    </row>
    <row r="88" spans="4:124" customFormat="1" x14ac:dyDescent="0.15">
      <c r="D88" s="112" t="str">
        <f t="shared" ref="D88:Z88" si="139">IF(BatSplit(D21,RunsScored)&gt;=50,BatSplit(D21,RunsScored)&amp;IF(BatSplit(D21,NotOuts)=1,"*","")&amp;"|"&amp;$C21&amp;"|"&amp;D$2&amp;"|"&amp;TEXT(D$1,"dd-mmm"),"x")</f>
        <v>x</v>
      </c>
      <c r="E88" s="112" t="str">
        <f t="shared" si="139"/>
        <v>x</v>
      </c>
      <c r="F88" s="112" t="str">
        <f t="shared" si="139"/>
        <v>x</v>
      </c>
      <c r="G88" s="112" t="str">
        <f t="shared" si="139"/>
        <v>x</v>
      </c>
      <c r="H88" s="112" t="str">
        <f t="shared" si="139"/>
        <v>x</v>
      </c>
      <c r="I88" s="112" t="str">
        <f t="shared" si="139"/>
        <v>x</v>
      </c>
      <c r="J88" s="112" t="str">
        <f t="shared" si="139"/>
        <v>x</v>
      </c>
      <c r="K88" s="112" t="str">
        <f t="shared" si="139"/>
        <v>x</v>
      </c>
      <c r="L88" s="112" t="str">
        <f t="shared" si="139"/>
        <v>x</v>
      </c>
      <c r="M88" s="112" t="str">
        <f t="shared" si="139"/>
        <v>x</v>
      </c>
      <c r="N88" s="112" t="str">
        <f t="shared" si="139"/>
        <v>x</v>
      </c>
      <c r="O88" s="112" t="str">
        <f t="shared" si="139"/>
        <v>x</v>
      </c>
      <c r="P88" s="112" t="str">
        <f t="shared" si="139"/>
        <v>x</v>
      </c>
      <c r="Q88" s="112" t="str">
        <f t="shared" si="139"/>
        <v>x</v>
      </c>
      <c r="R88" s="112" t="str">
        <f t="shared" si="139"/>
        <v>x</v>
      </c>
      <c r="S88" s="112" t="str">
        <f t="shared" si="139"/>
        <v>x</v>
      </c>
      <c r="T88" s="112" t="str">
        <f t="shared" si="139"/>
        <v>x</v>
      </c>
      <c r="U88" s="112" t="str">
        <f t="shared" si="139"/>
        <v>x</v>
      </c>
      <c r="V88" s="112" t="str">
        <f t="shared" si="139"/>
        <v>x</v>
      </c>
      <c r="W88" s="112" t="str">
        <f t="shared" si="139"/>
        <v>x</v>
      </c>
      <c r="X88" s="112" t="str">
        <f t="shared" si="139"/>
        <v>x</v>
      </c>
      <c r="Y88" s="112" t="str">
        <f t="shared" si="139"/>
        <v>x</v>
      </c>
      <c r="Z88" s="112" t="str">
        <f t="shared" si="139"/>
        <v>x</v>
      </c>
      <c r="CD88" s="65"/>
      <c r="CE88" s="65"/>
      <c r="CF88" s="65"/>
      <c r="CG88" s="65"/>
      <c r="DB88" s="65"/>
      <c r="DL88" s="65"/>
      <c r="DM88" s="65"/>
      <c r="DN88" s="112"/>
      <c r="DQ88" s="65"/>
      <c r="DR88" s="65"/>
      <c r="DS88" s="112"/>
      <c r="DT88" s="112"/>
    </row>
    <row r="89" spans="4:124" customFormat="1" x14ac:dyDescent="0.15">
      <c r="D89" s="112" t="str">
        <f t="shared" ref="D89:Z89" si="140">IF(BatSplit(D22,RunsScored)&gt;=50,BatSplit(D22,RunsScored)&amp;IF(BatSplit(D22,NotOuts)=1,"*","")&amp;"|"&amp;$C22&amp;"|"&amp;D$2&amp;"|"&amp;TEXT(D$1,"dd-mmm"),"x")</f>
        <v>x</v>
      </c>
      <c r="E89" s="112" t="str">
        <f t="shared" si="140"/>
        <v>x</v>
      </c>
      <c r="F89" s="112" t="str">
        <f t="shared" si="140"/>
        <v>x</v>
      </c>
      <c r="G89" s="112" t="str">
        <f t="shared" si="140"/>
        <v>x</v>
      </c>
      <c r="H89" s="112" t="str">
        <f t="shared" si="140"/>
        <v>x</v>
      </c>
      <c r="I89" s="112" t="str">
        <f t="shared" si="140"/>
        <v>x</v>
      </c>
      <c r="J89" s="112" t="str">
        <f t="shared" si="140"/>
        <v>x</v>
      </c>
      <c r="K89" s="112" t="str">
        <f t="shared" si="140"/>
        <v>x</v>
      </c>
      <c r="L89" s="112" t="str">
        <f t="shared" si="140"/>
        <v>x</v>
      </c>
      <c r="M89" s="112" t="str">
        <f t="shared" si="140"/>
        <v>x</v>
      </c>
      <c r="N89" s="112" t="str">
        <f t="shared" si="140"/>
        <v>53|Greenall D|Chessington|30-Jun</v>
      </c>
      <c r="O89" s="112" t="str">
        <f t="shared" si="140"/>
        <v>x</v>
      </c>
      <c r="P89" s="112" t="str">
        <f t="shared" si="140"/>
        <v>156*|Greenall D|Morden|14-Jul</v>
      </c>
      <c r="Q89" s="112" t="str">
        <f t="shared" si="140"/>
        <v>x</v>
      </c>
      <c r="R89" s="112" t="str">
        <f t="shared" si="140"/>
        <v>x</v>
      </c>
      <c r="S89" s="112" t="str">
        <f t="shared" si="140"/>
        <v>x</v>
      </c>
      <c r="T89" s="112" t="str">
        <f t="shared" si="140"/>
        <v>x</v>
      </c>
      <c r="U89" s="112" t="str">
        <f t="shared" si="140"/>
        <v>x</v>
      </c>
      <c r="V89" s="112" t="str">
        <f t="shared" si="140"/>
        <v>x</v>
      </c>
      <c r="W89" s="112" t="str">
        <f t="shared" si="140"/>
        <v>x</v>
      </c>
      <c r="X89" s="112" t="str">
        <f t="shared" si="140"/>
        <v>x</v>
      </c>
      <c r="Y89" s="112" t="str">
        <f t="shared" si="140"/>
        <v>x</v>
      </c>
      <c r="Z89" s="112" t="str">
        <f t="shared" si="140"/>
        <v>x</v>
      </c>
      <c r="CD89" s="65"/>
      <c r="CE89" s="65"/>
      <c r="CF89" s="65"/>
      <c r="CG89" s="65"/>
      <c r="DB89" s="65"/>
      <c r="DL89" s="112"/>
      <c r="DM89" s="112"/>
      <c r="DN89" s="112"/>
      <c r="DQ89" s="65"/>
      <c r="DR89" s="65"/>
    </row>
    <row r="90" spans="4:124" customFormat="1" x14ac:dyDescent="0.15">
      <c r="D90" s="112" t="str">
        <f t="shared" ref="D90:Z90" si="141">IF(BatSplit(D23,RunsScored)&gt;=50,BatSplit(D23,RunsScored)&amp;IF(BatSplit(D23,NotOuts)=1,"*","")&amp;"|"&amp;$C23&amp;"|"&amp;D$2&amp;"|"&amp;TEXT(D$1,"dd-mmm"),"x")</f>
        <v>x</v>
      </c>
      <c r="E90" s="112" t="str">
        <f t="shared" si="141"/>
        <v>x</v>
      </c>
      <c r="F90" s="112" t="str">
        <f t="shared" si="141"/>
        <v>x</v>
      </c>
      <c r="G90" s="112" t="str">
        <f t="shared" si="141"/>
        <v>x</v>
      </c>
      <c r="H90" s="112" t="str">
        <f t="shared" si="141"/>
        <v>x</v>
      </c>
      <c r="I90" s="112" t="str">
        <f t="shared" si="141"/>
        <v>x</v>
      </c>
      <c r="J90" s="112" t="str">
        <f t="shared" si="141"/>
        <v>x</v>
      </c>
      <c r="K90" s="112" t="str">
        <f t="shared" si="141"/>
        <v>x</v>
      </c>
      <c r="L90" s="112" t="str">
        <f t="shared" si="141"/>
        <v>x</v>
      </c>
      <c r="M90" s="112" t="str">
        <f t="shared" si="141"/>
        <v>x</v>
      </c>
      <c r="N90" s="112" t="str">
        <f t="shared" si="141"/>
        <v>x</v>
      </c>
      <c r="O90" s="112" t="str">
        <f t="shared" si="141"/>
        <v>x</v>
      </c>
      <c r="P90" s="112" t="str">
        <f t="shared" si="141"/>
        <v>x</v>
      </c>
      <c r="Q90" s="112" t="str">
        <f t="shared" si="141"/>
        <v>x</v>
      </c>
      <c r="R90" s="112" t="str">
        <f t="shared" si="141"/>
        <v>x</v>
      </c>
      <c r="S90" s="112" t="str">
        <f t="shared" si="141"/>
        <v>x</v>
      </c>
      <c r="T90" s="112" t="str">
        <f t="shared" si="141"/>
        <v>x</v>
      </c>
      <c r="U90" s="112" t="str">
        <f t="shared" si="141"/>
        <v>x</v>
      </c>
      <c r="V90" s="112" t="str">
        <f t="shared" si="141"/>
        <v>x</v>
      </c>
      <c r="W90" s="112" t="str">
        <f t="shared" si="141"/>
        <v>x</v>
      </c>
      <c r="X90" s="112" t="str">
        <f t="shared" si="141"/>
        <v>x</v>
      </c>
      <c r="Y90" s="112" t="str">
        <f t="shared" si="141"/>
        <v>x</v>
      </c>
      <c r="Z90" s="112" t="str">
        <f t="shared" si="141"/>
        <v>x</v>
      </c>
      <c r="CD90" s="65"/>
      <c r="CE90" s="65"/>
      <c r="CF90" s="65"/>
      <c r="CG90" s="65"/>
      <c r="DB90" s="65"/>
      <c r="DN90" s="112"/>
      <c r="DQ90" s="65"/>
      <c r="DR90" s="65"/>
    </row>
    <row r="91" spans="4:124" customFormat="1" x14ac:dyDescent="0.15">
      <c r="D91" s="112" t="str">
        <f t="shared" ref="D91:Z91" si="142">IF(BatSplit(D24,RunsScored)&gt;=50,BatSplit(D24,RunsScored)&amp;IF(BatSplit(D24,NotOuts)=1,"*","")&amp;"|"&amp;$C24&amp;"|"&amp;D$2&amp;"|"&amp;TEXT(D$1,"dd-mmm"),"x")</f>
        <v>x</v>
      </c>
      <c r="E91" s="112" t="str">
        <f t="shared" si="142"/>
        <v>x</v>
      </c>
      <c r="F91" s="112" t="str">
        <f t="shared" si="142"/>
        <v>x</v>
      </c>
      <c r="G91" s="112" t="str">
        <f t="shared" si="142"/>
        <v>x</v>
      </c>
      <c r="H91" s="112" t="str">
        <f t="shared" si="142"/>
        <v>x</v>
      </c>
      <c r="I91" s="112" t="str">
        <f t="shared" si="142"/>
        <v>x</v>
      </c>
      <c r="J91" s="112" t="str">
        <f t="shared" si="142"/>
        <v>x</v>
      </c>
      <c r="K91" s="112" t="str">
        <f t="shared" si="142"/>
        <v>x</v>
      </c>
      <c r="L91" s="112" t="str">
        <f t="shared" si="142"/>
        <v>x</v>
      </c>
      <c r="M91" s="112" t="str">
        <f t="shared" si="142"/>
        <v>x</v>
      </c>
      <c r="N91" s="112" t="str">
        <f t="shared" si="142"/>
        <v>x</v>
      </c>
      <c r="O91" s="112" t="str">
        <f t="shared" si="142"/>
        <v>x</v>
      </c>
      <c r="P91" s="112" t="str">
        <f t="shared" si="142"/>
        <v>x</v>
      </c>
      <c r="Q91" s="112" t="str">
        <f t="shared" si="142"/>
        <v>x</v>
      </c>
      <c r="R91" s="112" t="str">
        <f t="shared" si="142"/>
        <v>x</v>
      </c>
      <c r="S91" s="112" t="str">
        <f t="shared" si="142"/>
        <v>x</v>
      </c>
      <c r="T91" s="112" t="str">
        <f t="shared" si="142"/>
        <v>x</v>
      </c>
      <c r="U91" s="112" t="str">
        <f t="shared" si="142"/>
        <v>x</v>
      </c>
      <c r="V91" s="112" t="str">
        <f t="shared" si="142"/>
        <v>x</v>
      </c>
      <c r="W91" s="112" t="str">
        <f t="shared" si="142"/>
        <v>x</v>
      </c>
      <c r="X91" s="112" t="str">
        <f t="shared" si="142"/>
        <v>x</v>
      </c>
      <c r="Y91" s="112" t="str">
        <f t="shared" si="142"/>
        <v>x</v>
      </c>
      <c r="Z91" s="112" t="str">
        <f t="shared" si="142"/>
        <v>x</v>
      </c>
      <c r="CD91" s="65"/>
      <c r="CE91" s="65"/>
      <c r="CF91" s="65"/>
      <c r="CG91" s="65"/>
      <c r="CY91" s="112"/>
      <c r="CZ91" s="112"/>
      <c r="DA91" s="112"/>
      <c r="DB91" s="65"/>
      <c r="DQ91" s="65"/>
      <c r="DR91" s="65"/>
      <c r="DS91" s="65"/>
      <c r="DT91" s="65"/>
    </row>
    <row r="92" spans="4:124" customFormat="1" x14ac:dyDescent="0.15">
      <c r="D92" s="112" t="str">
        <f t="shared" ref="D92:Z92" si="143">IF(BatSplit(D26,RunsScored)&gt;=50,BatSplit(D26,RunsScored)&amp;IF(BatSplit(D26,NotOuts)=1,"*","")&amp;"|"&amp;$C26&amp;"|"&amp;D$2&amp;"|"&amp;TEXT(D$1,"dd-mmm"),"x")</f>
        <v>x</v>
      </c>
      <c r="E92" s="112" t="str">
        <f t="shared" si="143"/>
        <v>x</v>
      </c>
      <c r="F92" s="112" t="str">
        <f t="shared" si="143"/>
        <v>x</v>
      </c>
      <c r="G92" s="112" t="str">
        <f t="shared" si="143"/>
        <v>x</v>
      </c>
      <c r="H92" s="112" t="str">
        <f t="shared" si="143"/>
        <v>x</v>
      </c>
      <c r="I92" s="112" t="str">
        <f t="shared" si="143"/>
        <v>x</v>
      </c>
      <c r="J92" s="112" t="str">
        <f t="shared" si="143"/>
        <v>x</v>
      </c>
      <c r="K92" s="112" t="str">
        <f t="shared" si="143"/>
        <v>x</v>
      </c>
      <c r="L92" s="112" t="str">
        <f t="shared" si="143"/>
        <v>x</v>
      </c>
      <c r="M92" s="112" t="str">
        <f t="shared" si="143"/>
        <v>x</v>
      </c>
      <c r="N92" s="112" t="str">
        <f t="shared" si="143"/>
        <v>x</v>
      </c>
      <c r="O92" s="112" t="str">
        <f t="shared" si="143"/>
        <v>x</v>
      </c>
      <c r="P92" s="112" t="str">
        <f t="shared" si="143"/>
        <v>x</v>
      </c>
      <c r="Q92" s="112" t="str">
        <f t="shared" si="143"/>
        <v>x</v>
      </c>
      <c r="R92" s="112" t="str">
        <f t="shared" si="143"/>
        <v>x</v>
      </c>
      <c r="S92" s="112" t="str">
        <f t="shared" si="143"/>
        <v>x</v>
      </c>
      <c r="T92" s="112" t="str">
        <f t="shared" si="143"/>
        <v>x</v>
      </c>
      <c r="U92" s="112" t="str">
        <f t="shared" si="143"/>
        <v>x</v>
      </c>
      <c r="V92" s="112" t="str">
        <f t="shared" si="143"/>
        <v>x</v>
      </c>
      <c r="W92" s="112" t="str">
        <f t="shared" si="143"/>
        <v>x</v>
      </c>
      <c r="X92" s="112" t="str">
        <f t="shared" si="143"/>
        <v>x</v>
      </c>
      <c r="Y92" s="112" t="str">
        <f t="shared" si="143"/>
        <v>x</v>
      </c>
      <c r="Z92" s="112" t="str">
        <f t="shared" si="143"/>
        <v>x</v>
      </c>
      <c r="CD92" s="65"/>
      <c r="CE92" s="65"/>
      <c r="CF92" s="65"/>
      <c r="CG92" s="65"/>
      <c r="CY92" s="112"/>
      <c r="CZ92" s="112"/>
      <c r="DA92" s="112"/>
      <c r="DB92" s="65"/>
      <c r="DL92" s="65"/>
      <c r="DM92" s="65"/>
      <c r="DQ92" s="65"/>
      <c r="DR92" s="65"/>
      <c r="DS92" s="65"/>
      <c r="DT92" s="65"/>
    </row>
    <row r="93" spans="4:124" customFormat="1" x14ac:dyDescent="0.15">
      <c r="D93" s="112" t="str">
        <f t="shared" ref="D93:Z93" si="144">IF(BatSplit(D27,RunsScored)&gt;=50,BatSplit(D27,RunsScored)&amp;IF(BatSplit(D27,NotOuts)=1,"*","")&amp;"|"&amp;$C27&amp;"|"&amp;D$2&amp;"|"&amp;TEXT(D$1,"dd-mmm"),"x")</f>
        <v>x</v>
      </c>
      <c r="E93" s="112" t="str">
        <f t="shared" si="144"/>
        <v>x</v>
      </c>
      <c r="F93" s="112" t="str">
        <f t="shared" si="144"/>
        <v>x</v>
      </c>
      <c r="G93" s="112" t="str">
        <f t="shared" si="144"/>
        <v>x</v>
      </c>
      <c r="H93" s="112" t="str">
        <f t="shared" si="144"/>
        <v>x</v>
      </c>
      <c r="I93" s="112" t="str">
        <f t="shared" si="144"/>
        <v>x</v>
      </c>
      <c r="J93" s="112" t="str">
        <f t="shared" si="144"/>
        <v>x</v>
      </c>
      <c r="K93" s="112" t="str">
        <f t="shared" si="144"/>
        <v>x</v>
      </c>
      <c r="L93" s="112" t="str">
        <f t="shared" si="144"/>
        <v>x</v>
      </c>
      <c r="M93" s="112" t="str">
        <f t="shared" si="144"/>
        <v>x</v>
      </c>
      <c r="N93" s="112" t="str">
        <f t="shared" si="144"/>
        <v>x</v>
      </c>
      <c r="O93" s="112" t="str">
        <f t="shared" si="144"/>
        <v>x</v>
      </c>
      <c r="P93" s="112" t="str">
        <f t="shared" si="144"/>
        <v>x</v>
      </c>
      <c r="Q93" s="112" t="str">
        <f t="shared" si="144"/>
        <v>x</v>
      </c>
      <c r="R93" s="112" t="str">
        <f t="shared" si="144"/>
        <v>x</v>
      </c>
      <c r="S93" s="112" t="str">
        <f t="shared" si="144"/>
        <v>x</v>
      </c>
      <c r="T93" s="112" t="str">
        <f t="shared" si="144"/>
        <v>x</v>
      </c>
      <c r="U93" s="112" t="str">
        <f t="shared" si="144"/>
        <v>x</v>
      </c>
      <c r="V93" s="112" t="str">
        <f t="shared" si="144"/>
        <v>x</v>
      </c>
      <c r="W93" s="112" t="str">
        <f t="shared" si="144"/>
        <v>x</v>
      </c>
      <c r="X93" s="112" t="str">
        <f t="shared" si="144"/>
        <v>x</v>
      </c>
      <c r="Y93" s="112" t="str">
        <f t="shared" si="144"/>
        <v>x</v>
      </c>
      <c r="Z93" s="112" t="str">
        <f t="shared" si="144"/>
        <v>x</v>
      </c>
      <c r="CD93" s="65"/>
      <c r="CE93" s="65"/>
      <c r="CF93" s="65"/>
      <c r="CG93" s="65"/>
      <c r="CY93" s="112"/>
      <c r="CZ93" s="112"/>
      <c r="DA93" s="112"/>
      <c r="DB93" s="65"/>
      <c r="DL93" s="112"/>
      <c r="DM93" s="112"/>
      <c r="DQ93" s="65"/>
      <c r="DR93" s="65"/>
      <c r="DS93" s="65"/>
      <c r="DT93" s="65"/>
    </row>
    <row r="94" spans="4:124" customFormat="1" x14ac:dyDescent="0.15">
      <c r="D94" s="112" t="str">
        <f t="shared" ref="D94:Z94" si="145">IF(BatSplit(D28,RunsScored)&gt;=50,BatSplit(D28,RunsScored)&amp;IF(BatSplit(D28,NotOuts)=1,"*","")&amp;"|"&amp;$C28&amp;"|"&amp;D$2&amp;"|"&amp;TEXT(D$1,"dd-mmm"),"x")</f>
        <v>x</v>
      </c>
      <c r="E94" s="112" t="str">
        <f t="shared" si="145"/>
        <v>x</v>
      </c>
      <c r="F94" s="112" t="str">
        <f t="shared" si="145"/>
        <v>x</v>
      </c>
      <c r="G94" s="112" t="str">
        <f t="shared" si="145"/>
        <v>x</v>
      </c>
      <c r="H94" s="112" t="str">
        <f t="shared" si="145"/>
        <v>x</v>
      </c>
      <c r="I94" s="112" t="str">
        <f t="shared" si="145"/>
        <v>x</v>
      </c>
      <c r="J94" s="112" t="str">
        <f t="shared" si="145"/>
        <v>x</v>
      </c>
      <c r="K94" s="112" t="str">
        <f t="shared" si="145"/>
        <v>x</v>
      </c>
      <c r="L94" s="112" t="str">
        <f t="shared" si="145"/>
        <v>x</v>
      </c>
      <c r="M94" s="112" t="str">
        <f t="shared" si="145"/>
        <v>x</v>
      </c>
      <c r="N94" s="112" t="str">
        <f t="shared" si="145"/>
        <v>x</v>
      </c>
      <c r="O94" s="112" t="str">
        <f t="shared" si="145"/>
        <v>x</v>
      </c>
      <c r="P94" s="112" t="str">
        <f t="shared" si="145"/>
        <v>x</v>
      </c>
      <c r="Q94" s="112" t="str">
        <f t="shared" si="145"/>
        <v>x</v>
      </c>
      <c r="R94" s="112" t="str">
        <f t="shared" si="145"/>
        <v>x</v>
      </c>
      <c r="S94" s="112" t="str">
        <f t="shared" si="145"/>
        <v>x</v>
      </c>
      <c r="T94" s="112" t="str">
        <f t="shared" si="145"/>
        <v>x</v>
      </c>
      <c r="U94" s="112" t="str">
        <f t="shared" si="145"/>
        <v>x</v>
      </c>
      <c r="V94" s="112" t="str">
        <f t="shared" si="145"/>
        <v>x</v>
      </c>
      <c r="W94" s="112" t="str">
        <f t="shared" si="145"/>
        <v>x</v>
      </c>
      <c r="X94" s="112" t="str">
        <f t="shared" si="145"/>
        <v>x</v>
      </c>
      <c r="Y94" s="112" t="str">
        <f t="shared" si="145"/>
        <v>x</v>
      </c>
      <c r="Z94" s="112" t="str">
        <f t="shared" si="145"/>
        <v>x</v>
      </c>
      <c r="CD94" s="65"/>
      <c r="CE94" s="65"/>
      <c r="CF94" s="65"/>
      <c r="DB94" s="65"/>
      <c r="DQ94" s="65"/>
      <c r="DR94" s="65"/>
      <c r="DS94" s="65"/>
      <c r="DT94" s="65"/>
    </row>
    <row r="95" spans="4:124" customFormat="1" x14ac:dyDescent="0.15">
      <c r="D95" s="112" t="str">
        <f t="shared" ref="D95:Z95" si="146">IF(BatSplit(D30,RunsScored)&gt;=50,BatSplit(D30,RunsScored)&amp;IF(BatSplit(D30,NotOuts)=1,"*","")&amp;"|"&amp;$C30&amp;"|"&amp;D$2&amp;"|"&amp;TEXT(D$1,"dd-mmm"),"x")</f>
        <v>x</v>
      </c>
      <c r="E95" s="112" t="str">
        <f t="shared" si="146"/>
        <v>x</v>
      </c>
      <c r="F95" s="112" t="str">
        <f t="shared" si="146"/>
        <v>x</v>
      </c>
      <c r="G95" s="112" t="str">
        <f t="shared" si="146"/>
        <v>x</v>
      </c>
      <c r="H95" s="112" t="str">
        <f t="shared" si="146"/>
        <v>x</v>
      </c>
      <c r="I95" s="112" t="str">
        <f t="shared" si="146"/>
        <v>x</v>
      </c>
      <c r="J95" s="112" t="str">
        <f t="shared" si="146"/>
        <v>x</v>
      </c>
      <c r="K95" s="112" t="str">
        <f t="shared" si="146"/>
        <v>x</v>
      </c>
      <c r="L95" s="112" t="str">
        <f t="shared" si="146"/>
        <v>x</v>
      </c>
      <c r="M95" s="112" t="str">
        <f t="shared" si="146"/>
        <v>x</v>
      </c>
      <c r="N95" s="112" t="str">
        <f t="shared" si="146"/>
        <v>x</v>
      </c>
      <c r="O95" s="112" t="str">
        <f t="shared" si="146"/>
        <v>x</v>
      </c>
      <c r="P95" s="112" t="str">
        <f t="shared" si="146"/>
        <v>x</v>
      </c>
      <c r="Q95" s="112" t="str">
        <f t="shared" si="146"/>
        <v>x</v>
      </c>
      <c r="R95" s="112" t="str">
        <f t="shared" si="146"/>
        <v>x</v>
      </c>
      <c r="S95" s="112" t="str">
        <f t="shared" si="146"/>
        <v>x</v>
      </c>
      <c r="T95" s="112" t="str">
        <f t="shared" si="146"/>
        <v>x</v>
      </c>
      <c r="U95" s="112" t="str">
        <f t="shared" si="146"/>
        <v>x</v>
      </c>
      <c r="V95" s="112" t="str">
        <f t="shared" si="146"/>
        <v>x</v>
      </c>
      <c r="W95" s="112" t="str">
        <f t="shared" si="146"/>
        <v>x</v>
      </c>
      <c r="X95" s="112" t="str">
        <f t="shared" si="146"/>
        <v>x</v>
      </c>
      <c r="Y95" s="112" t="str">
        <f t="shared" si="146"/>
        <v>x</v>
      </c>
      <c r="Z95" s="112" t="str">
        <f t="shared" si="146"/>
        <v>x</v>
      </c>
      <c r="CD95" s="65"/>
      <c r="CE95" s="65"/>
      <c r="CF95" s="65"/>
      <c r="DB95" s="65"/>
      <c r="DQ95" s="65"/>
      <c r="DR95" s="65"/>
      <c r="DS95" s="65"/>
      <c r="DT95" s="65"/>
    </row>
    <row r="96" spans="4:124" customFormat="1" x14ac:dyDescent="0.15">
      <c r="D96" s="112" t="str">
        <f t="shared" ref="D96:Z96" si="147">IF(BatSplit(D31,RunsScored)&gt;=50,BatSplit(D31,RunsScored)&amp;IF(BatSplit(D31,NotOuts)=1,"*","")&amp;"|"&amp;$C31&amp;"|"&amp;D$2&amp;"|"&amp;TEXT(D$1,"dd-mmm"),"x")</f>
        <v>x</v>
      </c>
      <c r="E96" s="112" t="str">
        <f t="shared" si="147"/>
        <v>x</v>
      </c>
      <c r="F96" s="112" t="str">
        <f t="shared" si="147"/>
        <v>x</v>
      </c>
      <c r="G96" s="112" t="str">
        <f t="shared" si="147"/>
        <v>x</v>
      </c>
      <c r="H96" s="112" t="str">
        <f t="shared" si="147"/>
        <v>x</v>
      </c>
      <c r="I96" s="112" t="str">
        <f t="shared" si="147"/>
        <v>x</v>
      </c>
      <c r="J96" s="112" t="str">
        <f t="shared" si="147"/>
        <v>x</v>
      </c>
      <c r="K96" s="112" t="str">
        <f t="shared" si="147"/>
        <v>x</v>
      </c>
      <c r="L96" s="112" t="str">
        <f t="shared" si="147"/>
        <v>x</v>
      </c>
      <c r="M96" s="112" t="str">
        <f t="shared" si="147"/>
        <v>x</v>
      </c>
      <c r="N96" s="112" t="str">
        <f t="shared" si="147"/>
        <v>x</v>
      </c>
      <c r="O96" s="112" t="str">
        <f t="shared" si="147"/>
        <v>x</v>
      </c>
      <c r="P96" s="112" t="str">
        <f t="shared" si="147"/>
        <v>x</v>
      </c>
      <c r="Q96" s="112" t="str">
        <f t="shared" si="147"/>
        <v>x</v>
      </c>
      <c r="R96" s="112" t="str">
        <f t="shared" si="147"/>
        <v>x</v>
      </c>
      <c r="S96" s="112" t="str">
        <f t="shared" si="147"/>
        <v>x</v>
      </c>
      <c r="T96" s="112" t="str">
        <f t="shared" si="147"/>
        <v>x</v>
      </c>
      <c r="U96" s="112" t="str">
        <f t="shared" si="147"/>
        <v>x</v>
      </c>
      <c r="V96" s="112" t="str">
        <f t="shared" si="147"/>
        <v>x</v>
      </c>
      <c r="W96" s="112" t="str">
        <f t="shared" si="147"/>
        <v>x</v>
      </c>
      <c r="X96" s="112" t="str">
        <f t="shared" si="147"/>
        <v>x</v>
      </c>
      <c r="Y96" s="112" t="str">
        <f t="shared" si="147"/>
        <v>x</v>
      </c>
      <c r="Z96" s="112" t="str">
        <f t="shared" si="147"/>
        <v>x</v>
      </c>
      <c r="CD96" s="65"/>
      <c r="CE96" s="65"/>
      <c r="CF96" s="65"/>
      <c r="DB96" s="65"/>
      <c r="DQ96" s="65"/>
      <c r="DR96" s="65"/>
      <c r="DS96" s="65"/>
      <c r="DT96" s="65"/>
    </row>
    <row r="97" spans="4:122" customFormat="1" x14ac:dyDescent="0.15">
      <c r="D97" s="112" t="str">
        <f t="shared" ref="D97:Z97" si="148">IF(BatSplit(D32,RunsScored)&gt;=50,BatSplit(D32,RunsScored)&amp;IF(BatSplit(D32,NotOuts)=1,"*","")&amp;"|"&amp;$C32&amp;"|"&amp;D$2&amp;"|"&amp;TEXT(D$1,"dd-mmm"),"x")</f>
        <v>x</v>
      </c>
      <c r="E97" s="112" t="str">
        <f t="shared" si="148"/>
        <v>x</v>
      </c>
      <c r="F97" s="112" t="str">
        <f t="shared" si="148"/>
        <v>x</v>
      </c>
      <c r="G97" s="112" t="str">
        <f t="shared" si="148"/>
        <v>x</v>
      </c>
      <c r="H97" s="112" t="str">
        <f t="shared" si="148"/>
        <v>x</v>
      </c>
      <c r="I97" s="112" t="str">
        <f t="shared" si="148"/>
        <v>x</v>
      </c>
      <c r="J97" s="112" t="str">
        <f t="shared" si="148"/>
        <v>x</v>
      </c>
      <c r="K97" s="112" t="str">
        <f t="shared" si="148"/>
        <v>x</v>
      </c>
      <c r="L97" s="112" t="str">
        <f t="shared" si="148"/>
        <v>x</v>
      </c>
      <c r="M97" s="112" t="str">
        <f t="shared" si="148"/>
        <v>x</v>
      </c>
      <c r="N97" s="112" t="str">
        <f t="shared" si="148"/>
        <v>x</v>
      </c>
      <c r="O97" s="112" t="str">
        <f t="shared" si="148"/>
        <v>x</v>
      </c>
      <c r="P97" s="112" t="str">
        <f t="shared" si="148"/>
        <v>x</v>
      </c>
      <c r="Q97" s="112" t="str">
        <f t="shared" si="148"/>
        <v>x</v>
      </c>
      <c r="R97" s="112" t="str">
        <f t="shared" si="148"/>
        <v>x</v>
      </c>
      <c r="S97" s="112" t="str">
        <f t="shared" si="148"/>
        <v>x</v>
      </c>
      <c r="T97" s="112" t="str">
        <f t="shared" si="148"/>
        <v>x</v>
      </c>
      <c r="U97" s="112" t="str">
        <f t="shared" si="148"/>
        <v>x</v>
      </c>
      <c r="V97" s="112" t="str">
        <f t="shared" si="148"/>
        <v>x</v>
      </c>
      <c r="W97" s="112" t="str">
        <f t="shared" si="148"/>
        <v>x</v>
      </c>
      <c r="X97" s="112" t="str">
        <f t="shared" si="148"/>
        <v>x</v>
      </c>
      <c r="Y97" s="112" t="str">
        <f t="shared" si="148"/>
        <v>x</v>
      </c>
      <c r="Z97" s="112" t="str">
        <f t="shared" si="148"/>
        <v>x</v>
      </c>
      <c r="CD97" s="65"/>
      <c r="CE97" s="65"/>
      <c r="CF97" s="65"/>
      <c r="DB97" s="65"/>
      <c r="DQ97" s="65"/>
      <c r="DR97" s="65"/>
    </row>
    <row r="98" spans="4:122" customFormat="1" x14ac:dyDescent="0.15">
      <c r="D98" s="112" t="str">
        <f t="shared" ref="D98:Z98" si="149">IF(BatSplit(D33,RunsScored)&gt;=50,BatSplit(D33,RunsScored)&amp;IF(BatSplit(D33,NotOuts)=1,"*","")&amp;"|"&amp;$C33&amp;"|"&amp;D$2&amp;"|"&amp;TEXT(D$1,"dd-mmm"),"x")</f>
        <v>x</v>
      </c>
      <c r="E98" s="112" t="str">
        <f t="shared" si="149"/>
        <v>x</v>
      </c>
      <c r="F98" s="112" t="str">
        <f t="shared" si="149"/>
        <v>x</v>
      </c>
      <c r="G98" s="112" t="str">
        <f t="shared" si="149"/>
        <v>x</v>
      </c>
      <c r="H98" s="112" t="str">
        <f t="shared" si="149"/>
        <v>x</v>
      </c>
      <c r="I98" s="112" t="str">
        <f t="shared" si="149"/>
        <v>x</v>
      </c>
      <c r="J98" s="112" t="str">
        <f t="shared" si="149"/>
        <v>x</v>
      </c>
      <c r="K98" s="112" t="str">
        <f t="shared" si="149"/>
        <v>x</v>
      </c>
      <c r="L98" s="112" t="str">
        <f t="shared" si="149"/>
        <v>x</v>
      </c>
      <c r="M98" s="112" t="str">
        <f t="shared" si="149"/>
        <v>x</v>
      </c>
      <c r="N98" s="112" t="str">
        <f t="shared" si="149"/>
        <v>x</v>
      </c>
      <c r="O98" s="112" t="str">
        <f t="shared" si="149"/>
        <v>x</v>
      </c>
      <c r="P98" s="112" t="str">
        <f t="shared" si="149"/>
        <v>x</v>
      </c>
      <c r="Q98" s="112" t="str">
        <f t="shared" si="149"/>
        <v>x</v>
      </c>
      <c r="R98" s="112" t="str">
        <f t="shared" si="149"/>
        <v>x</v>
      </c>
      <c r="S98" s="112" t="str">
        <f t="shared" si="149"/>
        <v>x</v>
      </c>
      <c r="T98" s="112" t="str">
        <f t="shared" si="149"/>
        <v>x</v>
      </c>
      <c r="U98" s="112" t="str">
        <f t="shared" si="149"/>
        <v>x</v>
      </c>
      <c r="V98" s="112" t="str">
        <f t="shared" si="149"/>
        <v>x</v>
      </c>
      <c r="W98" s="112" t="str">
        <f t="shared" si="149"/>
        <v>x</v>
      </c>
      <c r="X98" s="112" t="str">
        <f t="shared" si="149"/>
        <v>x</v>
      </c>
      <c r="Y98" s="112" t="str">
        <f t="shared" si="149"/>
        <v>x</v>
      </c>
      <c r="Z98" s="112" t="str">
        <f t="shared" si="149"/>
        <v>x</v>
      </c>
      <c r="CD98" s="65"/>
      <c r="CE98" s="65"/>
      <c r="CF98" s="65"/>
      <c r="DB98" s="65"/>
      <c r="DQ98" s="65"/>
      <c r="DR98" s="65"/>
    </row>
    <row r="99" spans="4:122" customFormat="1" x14ac:dyDescent="0.15">
      <c r="D99" s="112" t="str">
        <f t="shared" ref="D99:Z99" si="150">IF(BatSplit(D34,RunsScored)&gt;=50,BatSplit(D34,RunsScored)&amp;IF(BatSplit(D34,NotOuts)=1,"*","")&amp;"|"&amp;$C34&amp;"|"&amp;D$2&amp;"|"&amp;TEXT(D$1,"dd-mmm"),"x")</f>
        <v>55|Middleton J|Worcester Park|28-Apr</v>
      </c>
      <c r="E99" s="112" t="str">
        <f t="shared" si="150"/>
        <v>x</v>
      </c>
      <c r="F99" s="112" t="str">
        <f t="shared" si="150"/>
        <v>x</v>
      </c>
      <c r="G99" s="112" t="str">
        <f t="shared" si="150"/>
        <v>x</v>
      </c>
      <c r="H99" s="112" t="str">
        <f t="shared" si="150"/>
        <v>x</v>
      </c>
      <c r="I99" s="112" t="str">
        <f t="shared" si="150"/>
        <v>x</v>
      </c>
      <c r="J99" s="112" t="str">
        <f t="shared" si="150"/>
        <v>x</v>
      </c>
      <c r="K99" s="112" t="str">
        <f t="shared" si="150"/>
        <v>x</v>
      </c>
      <c r="L99" s="112" t="str">
        <f t="shared" si="150"/>
        <v>x</v>
      </c>
      <c r="M99" s="112" t="str">
        <f t="shared" si="150"/>
        <v>x</v>
      </c>
      <c r="N99" s="112" t="str">
        <f t="shared" si="150"/>
        <v>x</v>
      </c>
      <c r="O99" s="112" t="str">
        <f t="shared" si="150"/>
        <v>x</v>
      </c>
      <c r="P99" s="112" t="str">
        <f t="shared" si="150"/>
        <v>x</v>
      </c>
      <c r="Q99" s="112" t="str">
        <f t="shared" si="150"/>
        <v>x</v>
      </c>
      <c r="R99" s="112" t="str">
        <f t="shared" si="150"/>
        <v>x</v>
      </c>
      <c r="S99" s="112" t="str">
        <f t="shared" si="150"/>
        <v>x</v>
      </c>
      <c r="T99" s="112" t="str">
        <f t="shared" si="150"/>
        <v>x</v>
      </c>
      <c r="U99" s="112" t="str">
        <f t="shared" si="150"/>
        <v>x</v>
      </c>
      <c r="V99" s="112" t="str">
        <f t="shared" si="150"/>
        <v>x</v>
      </c>
      <c r="W99" s="112" t="str">
        <f t="shared" si="150"/>
        <v>x</v>
      </c>
      <c r="X99" s="112" t="str">
        <f t="shared" si="150"/>
        <v>x</v>
      </c>
      <c r="Y99" s="112" t="str">
        <f t="shared" si="150"/>
        <v>x</v>
      </c>
      <c r="Z99" s="112" t="str">
        <f t="shared" si="150"/>
        <v>x</v>
      </c>
      <c r="CD99" s="65"/>
      <c r="CE99" s="65"/>
      <c r="CF99" s="65"/>
      <c r="DB99" s="65"/>
      <c r="DQ99" s="112"/>
      <c r="DR99" s="112"/>
    </row>
    <row r="100" spans="4:122" customFormat="1" x14ac:dyDescent="0.15">
      <c r="D100" s="112" t="str">
        <f t="shared" ref="D100:Z100" si="151">IF(BatSplit(D35,RunsScored)&gt;=50,BatSplit(D35,RunsScored)&amp;IF(BatSplit(D35,NotOuts)=1,"*","")&amp;"|"&amp;$C35&amp;"|"&amp;D$2&amp;"|"&amp;TEXT(D$1,"dd-mmm"),"x")</f>
        <v>x</v>
      </c>
      <c r="E100" s="112" t="str">
        <f t="shared" si="151"/>
        <v>x</v>
      </c>
      <c r="F100" s="112" t="str">
        <f t="shared" si="151"/>
        <v>x</v>
      </c>
      <c r="G100" s="112" t="str">
        <f t="shared" si="151"/>
        <v>x</v>
      </c>
      <c r="H100" s="112" t="str">
        <f t="shared" si="151"/>
        <v>x</v>
      </c>
      <c r="I100" s="112" t="str">
        <f t="shared" si="151"/>
        <v>x</v>
      </c>
      <c r="J100" s="112" t="str">
        <f t="shared" si="151"/>
        <v>x</v>
      </c>
      <c r="K100" s="112" t="str">
        <f t="shared" si="151"/>
        <v>x</v>
      </c>
      <c r="L100" s="112" t="str">
        <f t="shared" si="151"/>
        <v>x</v>
      </c>
      <c r="M100" s="112" t="str">
        <f t="shared" si="151"/>
        <v>x</v>
      </c>
      <c r="N100" s="112" t="str">
        <f t="shared" si="151"/>
        <v>x</v>
      </c>
      <c r="O100" s="112" t="str">
        <f t="shared" si="151"/>
        <v>x</v>
      </c>
      <c r="P100" s="112" t="str">
        <f t="shared" si="151"/>
        <v>x</v>
      </c>
      <c r="Q100" s="112" t="str">
        <f t="shared" si="151"/>
        <v>x</v>
      </c>
      <c r="R100" s="112" t="str">
        <f t="shared" si="151"/>
        <v>x</v>
      </c>
      <c r="S100" s="112" t="str">
        <f t="shared" si="151"/>
        <v>x</v>
      </c>
      <c r="T100" s="112" t="str">
        <f t="shared" si="151"/>
        <v>x</v>
      </c>
      <c r="U100" s="112" t="str">
        <f t="shared" si="151"/>
        <v>x</v>
      </c>
      <c r="V100" s="112" t="str">
        <f t="shared" si="151"/>
        <v>x</v>
      </c>
      <c r="W100" s="112" t="str">
        <f t="shared" si="151"/>
        <v>x</v>
      </c>
      <c r="X100" s="112" t="str">
        <f t="shared" si="151"/>
        <v>x</v>
      </c>
      <c r="Y100" s="112" t="str">
        <f t="shared" si="151"/>
        <v>x</v>
      </c>
      <c r="Z100" s="112" t="str">
        <f t="shared" si="151"/>
        <v>x</v>
      </c>
      <c r="CD100" s="65"/>
      <c r="CE100" s="65"/>
      <c r="CF100" s="65"/>
      <c r="DB100" s="65"/>
      <c r="DQ100" s="112"/>
      <c r="DR100" s="112"/>
    </row>
    <row r="101" spans="4:122" customFormat="1" x14ac:dyDescent="0.15">
      <c r="D101" s="112" t="str">
        <f t="shared" ref="D101:Z101" si="152">IF(BatSplit(D36,RunsScored)&gt;=50,BatSplit(D36,RunsScored)&amp;IF(BatSplit(D36,NotOuts)=1,"*","")&amp;"|"&amp;$C36&amp;"|"&amp;D$2&amp;"|"&amp;TEXT(D$1,"dd-mmm"),"x")</f>
        <v>x</v>
      </c>
      <c r="E101" s="112" t="str">
        <f t="shared" si="152"/>
        <v>x</v>
      </c>
      <c r="F101" s="112" t="str">
        <f t="shared" si="152"/>
        <v>x</v>
      </c>
      <c r="G101" s="112" t="str">
        <f t="shared" si="152"/>
        <v>x</v>
      </c>
      <c r="H101" s="112" t="str">
        <f t="shared" si="152"/>
        <v>x</v>
      </c>
      <c r="I101" s="112" t="str">
        <f t="shared" si="152"/>
        <v>x</v>
      </c>
      <c r="J101" s="112" t="str">
        <f t="shared" si="152"/>
        <v>x</v>
      </c>
      <c r="K101" s="112" t="str">
        <f t="shared" si="152"/>
        <v>x</v>
      </c>
      <c r="L101" s="112" t="str">
        <f t="shared" si="152"/>
        <v>x</v>
      </c>
      <c r="M101" s="112" t="str">
        <f t="shared" si="152"/>
        <v>x</v>
      </c>
      <c r="N101" s="112" t="str">
        <f t="shared" si="152"/>
        <v>x</v>
      </c>
      <c r="O101" s="112" t="str">
        <f t="shared" si="152"/>
        <v>x</v>
      </c>
      <c r="P101" s="112" t="str">
        <f t="shared" si="152"/>
        <v>x</v>
      </c>
      <c r="Q101" s="112" t="str">
        <f t="shared" si="152"/>
        <v>x</v>
      </c>
      <c r="R101" s="112" t="str">
        <f t="shared" si="152"/>
        <v>x</v>
      </c>
      <c r="S101" s="112" t="str">
        <f t="shared" si="152"/>
        <v>x</v>
      </c>
      <c r="T101" s="112" t="str">
        <f t="shared" si="152"/>
        <v>x</v>
      </c>
      <c r="U101" s="112" t="str">
        <f t="shared" si="152"/>
        <v>x</v>
      </c>
      <c r="V101" s="112" t="str">
        <f t="shared" si="152"/>
        <v>x</v>
      </c>
      <c r="W101" s="112" t="str">
        <f t="shared" si="152"/>
        <v>x</v>
      </c>
      <c r="X101" s="112" t="str">
        <f t="shared" si="152"/>
        <v>x</v>
      </c>
      <c r="Y101" s="112" t="str">
        <f t="shared" si="152"/>
        <v>x</v>
      </c>
      <c r="Z101" s="112" t="str">
        <f t="shared" si="152"/>
        <v>x</v>
      </c>
      <c r="CD101" s="65"/>
      <c r="CE101" s="65"/>
      <c r="CF101" s="65"/>
      <c r="DB101" s="65"/>
    </row>
    <row r="102" spans="4:122" customFormat="1" x14ac:dyDescent="0.15">
      <c r="D102" s="112" t="str">
        <f t="shared" ref="D102:Z102" si="153">IF(BatSplit(D39,RunsScored)&gt;=50,BatSplit(D39,RunsScored)&amp;IF(BatSplit(D39,NotOuts)=1,"*","")&amp;"|"&amp;$C39&amp;"|"&amp;D$2&amp;"|"&amp;TEXT(D$1,"dd-mmm"),"x")</f>
        <v>x</v>
      </c>
      <c r="E102" s="112" t="str">
        <f t="shared" si="153"/>
        <v>x</v>
      </c>
      <c r="F102" s="112" t="str">
        <f t="shared" si="153"/>
        <v>x</v>
      </c>
      <c r="G102" s="112" t="str">
        <f t="shared" si="153"/>
        <v>x</v>
      </c>
      <c r="H102" s="112" t="str">
        <f t="shared" si="153"/>
        <v>x</v>
      </c>
      <c r="I102" s="112" t="str">
        <f t="shared" si="153"/>
        <v>x</v>
      </c>
      <c r="J102" s="112" t="str">
        <f t="shared" si="153"/>
        <v>x</v>
      </c>
      <c r="K102" s="112" t="str">
        <f t="shared" si="153"/>
        <v>x</v>
      </c>
      <c r="L102" s="112" t="str">
        <f t="shared" si="153"/>
        <v>x</v>
      </c>
      <c r="M102" s="112" t="str">
        <f t="shared" si="153"/>
        <v>54|Niran S|Churchleigh|23-Jun</v>
      </c>
      <c r="N102" s="112" t="str">
        <f t="shared" si="153"/>
        <v>x</v>
      </c>
      <c r="O102" s="112" t="str">
        <f t="shared" si="153"/>
        <v>x</v>
      </c>
      <c r="P102" s="112" t="str">
        <f t="shared" si="153"/>
        <v>x</v>
      </c>
      <c r="Q102" s="112" t="str">
        <f t="shared" si="153"/>
        <v>x</v>
      </c>
      <c r="R102" s="112" t="str">
        <f t="shared" si="153"/>
        <v>x</v>
      </c>
      <c r="S102" s="112" t="str">
        <f t="shared" si="153"/>
        <v>x</v>
      </c>
      <c r="T102" s="112" t="str">
        <f t="shared" si="153"/>
        <v>x</v>
      </c>
      <c r="U102" s="112" t="str">
        <f t="shared" si="153"/>
        <v>x</v>
      </c>
      <c r="V102" s="112" t="str">
        <f t="shared" si="153"/>
        <v>x</v>
      </c>
      <c r="W102" s="112" t="str">
        <f t="shared" si="153"/>
        <v>x</v>
      </c>
      <c r="X102" s="112" t="str">
        <f t="shared" si="153"/>
        <v>x</v>
      </c>
      <c r="Y102" s="112" t="str">
        <f t="shared" si="153"/>
        <v>x</v>
      </c>
      <c r="Z102" s="112" t="str">
        <f t="shared" si="153"/>
        <v>x</v>
      </c>
      <c r="CD102" s="65"/>
      <c r="CE102" s="65"/>
      <c r="CF102" s="65"/>
      <c r="DB102" s="65"/>
    </row>
    <row r="103" spans="4:122" customFormat="1" x14ac:dyDescent="0.15">
      <c r="D103" s="112" t="str">
        <f t="shared" ref="D103:Z103" si="154">IF(BatSplit(D40,RunsScored)&gt;=50,BatSplit(D40,RunsScored)&amp;IF(BatSplit(D40,NotOuts)=1,"*","")&amp;"|"&amp;$C40&amp;"|"&amp;D$2&amp;"|"&amp;TEXT(D$1,"dd-mmm"),"x")</f>
        <v>x</v>
      </c>
      <c r="E103" s="112" t="str">
        <f t="shared" si="154"/>
        <v>x</v>
      </c>
      <c r="F103" s="112" t="str">
        <f t="shared" si="154"/>
        <v>x</v>
      </c>
      <c r="G103" s="112" t="str">
        <f t="shared" si="154"/>
        <v>x</v>
      </c>
      <c r="H103" s="112" t="str">
        <f t="shared" si="154"/>
        <v>x</v>
      </c>
      <c r="I103" s="112" t="str">
        <f t="shared" si="154"/>
        <v>x</v>
      </c>
      <c r="J103" s="112" t="str">
        <f t="shared" si="154"/>
        <v>x</v>
      </c>
      <c r="K103" s="112" t="str">
        <f t="shared" si="154"/>
        <v>x</v>
      </c>
      <c r="L103" s="112" t="str">
        <f t="shared" si="154"/>
        <v>x</v>
      </c>
      <c r="M103" s="112" t="str">
        <f t="shared" si="154"/>
        <v>x</v>
      </c>
      <c r="N103" s="112" t="str">
        <f t="shared" si="154"/>
        <v>x</v>
      </c>
      <c r="O103" s="112" t="str">
        <f t="shared" si="154"/>
        <v>x</v>
      </c>
      <c r="P103" s="112" t="str">
        <f t="shared" si="154"/>
        <v>x</v>
      </c>
      <c r="Q103" s="112" t="str">
        <f t="shared" si="154"/>
        <v>x</v>
      </c>
      <c r="R103" s="112" t="str">
        <f t="shared" si="154"/>
        <v>x</v>
      </c>
      <c r="S103" s="112" t="str">
        <f t="shared" si="154"/>
        <v>x</v>
      </c>
      <c r="T103" s="112" t="str">
        <f t="shared" si="154"/>
        <v>x</v>
      </c>
      <c r="U103" s="112" t="str">
        <f t="shared" si="154"/>
        <v>x</v>
      </c>
      <c r="V103" s="112" t="str">
        <f t="shared" si="154"/>
        <v>x</v>
      </c>
      <c r="W103" s="112" t="str">
        <f t="shared" si="154"/>
        <v>x</v>
      </c>
      <c r="X103" s="112" t="str">
        <f t="shared" si="154"/>
        <v>x</v>
      </c>
      <c r="Y103" s="112" t="str">
        <f t="shared" si="154"/>
        <v>x</v>
      </c>
      <c r="Z103" s="112" t="str">
        <f t="shared" si="154"/>
        <v>x</v>
      </c>
      <c r="CD103" s="65"/>
      <c r="CE103" s="65"/>
      <c r="CF103" s="65"/>
      <c r="DB103" s="65"/>
    </row>
    <row r="104" spans="4:122" customFormat="1" x14ac:dyDescent="0.15">
      <c r="D104" s="112" t="str">
        <f t="shared" ref="D104:Z104" si="155">IF(BatSplit(D41,RunsScored)&gt;=50,BatSplit(D41,RunsScored)&amp;IF(BatSplit(D41,NotOuts)=1,"*","")&amp;"|"&amp;$C41&amp;"|"&amp;D$2&amp;"|"&amp;TEXT(D$1,"dd-mmm"),"x")</f>
        <v>x</v>
      </c>
      <c r="E104" s="112" t="str">
        <f t="shared" si="155"/>
        <v>x</v>
      </c>
      <c r="F104" s="112" t="str">
        <f t="shared" si="155"/>
        <v>x</v>
      </c>
      <c r="G104" s="112" t="str">
        <f t="shared" si="155"/>
        <v>x</v>
      </c>
      <c r="H104" s="112" t="str">
        <f t="shared" si="155"/>
        <v>x</v>
      </c>
      <c r="I104" s="112" t="str">
        <f t="shared" si="155"/>
        <v>x</v>
      </c>
      <c r="J104" s="112" t="str">
        <f t="shared" si="155"/>
        <v>x</v>
      </c>
      <c r="K104" s="112" t="str">
        <f t="shared" si="155"/>
        <v>x</v>
      </c>
      <c r="L104" s="112" t="str">
        <f t="shared" si="155"/>
        <v>x</v>
      </c>
      <c r="M104" s="112" t="str">
        <f t="shared" si="155"/>
        <v>x</v>
      </c>
      <c r="N104" s="112" t="str">
        <f t="shared" si="155"/>
        <v>x</v>
      </c>
      <c r="O104" s="112" t="str">
        <f t="shared" si="155"/>
        <v>x</v>
      </c>
      <c r="P104" s="112" t="str">
        <f t="shared" si="155"/>
        <v>x</v>
      </c>
      <c r="Q104" s="112" t="str">
        <f t="shared" si="155"/>
        <v>x</v>
      </c>
      <c r="R104" s="112" t="str">
        <f t="shared" si="155"/>
        <v>x</v>
      </c>
      <c r="S104" s="112" t="str">
        <f t="shared" si="155"/>
        <v>x</v>
      </c>
      <c r="T104" s="112" t="str">
        <f t="shared" si="155"/>
        <v>x</v>
      </c>
      <c r="U104" s="112" t="str">
        <f t="shared" si="155"/>
        <v>x</v>
      </c>
      <c r="V104" s="112" t="str">
        <f t="shared" si="155"/>
        <v>x</v>
      </c>
      <c r="W104" s="112" t="str">
        <f t="shared" si="155"/>
        <v>x</v>
      </c>
      <c r="X104" s="112" t="str">
        <f t="shared" si="155"/>
        <v>x</v>
      </c>
      <c r="Y104" s="112" t="str">
        <f t="shared" si="155"/>
        <v>x</v>
      </c>
      <c r="Z104" s="112" t="str">
        <f t="shared" si="155"/>
        <v>x</v>
      </c>
      <c r="CD104" s="65"/>
      <c r="CE104" s="65"/>
      <c r="CF104" s="65"/>
      <c r="DB104" s="65"/>
    </row>
    <row r="105" spans="4:122" customFormat="1" x14ac:dyDescent="0.15">
      <c r="D105" s="112" t="str">
        <f t="shared" ref="D105:Z105" si="156">IF(BatSplit(D42,RunsScored)&gt;=50,BatSplit(D42,RunsScored)&amp;IF(BatSplit(D42,NotOuts)=1,"*","")&amp;"|"&amp;$C42&amp;"|"&amp;D$2&amp;"|"&amp;TEXT(D$1,"dd-mmm"),"x")</f>
        <v>x</v>
      </c>
      <c r="E105" s="112" t="str">
        <f t="shared" si="156"/>
        <v>x</v>
      </c>
      <c r="F105" s="112" t="str">
        <f t="shared" si="156"/>
        <v>x</v>
      </c>
      <c r="G105" s="112" t="str">
        <f t="shared" si="156"/>
        <v>x</v>
      </c>
      <c r="H105" s="112" t="str">
        <f t="shared" si="156"/>
        <v>x</v>
      </c>
      <c r="I105" s="112" t="str">
        <f t="shared" si="156"/>
        <v>x</v>
      </c>
      <c r="J105" s="112" t="str">
        <f t="shared" si="156"/>
        <v>x</v>
      </c>
      <c r="K105" s="112" t="str">
        <f t="shared" si="156"/>
        <v>x</v>
      </c>
      <c r="L105" s="112" t="str">
        <f t="shared" si="156"/>
        <v>x</v>
      </c>
      <c r="M105" s="112" t="str">
        <f t="shared" si="156"/>
        <v>x</v>
      </c>
      <c r="N105" s="112" t="str">
        <f t="shared" si="156"/>
        <v>x</v>
      </c>
      <c r="O105" s="112" t="str">
        <f t="shared" si="156"/>
        <v>x</v>
      </c>
      <c r="P105" s="112" t="str">
        <f t="shared" si="156"/>
        <v>x</v>
      </c>
      <c r="Q105" s="112" t="str">
        <f t="shared" si="156"/>
        <v>x</v>
      </c>
      <c r="R105" s="112" t="str">
        <f t="shared" si="156"/>
        <v>x</v>
      </c>
      <c r="S105" s="112" t="str">
        <f t="shared" si="156"/>
        <v>x</v>
      </c>
      <c r="T105" s="112" t="str">
        <f t="shared" si="156"/>
        <v>x</v>
      </c>
      <c r="U105" s="112" t="str">
        <f t="shared" si="156"/>
        <v>x</v>
      </c>
      <c r="V105" s="112" t="str">
        <f t="shared" si="156"/>
        <v>x</v>
      </c>
      <c r="W105" s="112" t="str">
        <f t="shared" si="156"/>
        <v>x</v>
      </c>
      <c r="X105" s="112" t="str">
        <f t="shared" si="156"/>
        <v>x</v>
      </c>
      <c r="Y105" s="112" t="str">
        <f t="shared" si="156"/>
        <v>x</v>
      </c>
      <c r="Z105" s="112" t="str">
        <f t="shared" si="156"/>
        <v>x</v>
      </c>
      <c r="CD105" s="65"/>
      <c r="CE105" s="65"/>
      <c r="CF105" s="65"/>
      <c r="DB105" s="65"/>
    </row>
    <row r="106" spans="4:122" customFormat="1" x14ac:dyDescent="0.15">
      <c r="D106" s="112" t="str">
        <f t="shared" ref="D106:Z106" si="157">IF(BatSplit(D43,RunsScored)&gt;=50,BatSplit(D43,RunsScored)&amp;IF(BatSplit(D43,NotOuts)=1,"*","")&amp;"|"&amp;$C43&amp;"|"&amp;D$2&amp;"|"&amp;TEXT(D$1,"dd-mmm"),"x")</f>
        <v>x</v>
      </c>
      <c r="E106" s="112" t="str">
        <f t="shared" si="157"/>
        <v>x</v>
      </c>
      <c r="F106" s="112" t="str">
        <f t="shared" si="157"/>
        <v>x</v>
      </c>
      <c r="G106" s="112" t="str">
        <f t="shared" si="157"/>
        <v>x</v>
      </c>
      <c r="H106" s="112" t="str">
        <f t="shared" si="157"/>
        <v>x</v>
      </c>
      <c r="I106" s="112" t="str">
        <f t="shared" si="157"/>
        <v>x</v>
      </c>
      <c r="J106" s="112" t="str">
        <f t="shared" si="157"/>
        <v>x</v>
      </c>
      <c r="K106" s="112" t="str">
        <f t="shared" si="157"/>
        <v>x</v>
      </c>
      <c r="L106" s="112" t="str">
        <f t="shared" si="157"/>
        <v>x</v>
      </c>
      <c r="M106" s="112" t="str">
        <f t="shared" si="157"/>
        <v>x</v>
      </c>
      <c r="N106" s="112" t="str">
        <f t="shared" si="157"/>
        <v>x</v>
      </c>
      <c r="O106" s="112" t="str">
        <f t="shared" si="157"/>
        <v>x</v>
      </c>
      <c r="P106" s="112" t="str">
        <f t="shared" si="157"/>
        <v>x</v>
      </c>
      <c r="Q106" s="112" t="str">
        <f t="shared" si="157"/>
        <v>x</v>
      </c>
      <c r="R106" s="112" t="str">
        <f t="shared" si="157"/>
        <v>x</v>
      </c>
      <c r="S106" s="112" t="str">
        <f t="shared" si="157"/>
        <v>x</v>
      </c>
      <c r="T106" s="112" t="str">
        <f t="shared" si="157"/>
        <v>x</v>
      </c>
      <c r="U106" s="112" t="str">
        <f t="shared" si="157"/>
        <v>x</v>
      </c>
      <c r="V106" s="112" t="str">
        <f t="shared" si="157"/>
        <v>x</v>
      </c>
      <c r="W106" s="112" t="str">
        <f t="shared" si="157"/>
        <v>x</v>
      </c>
      <c r="X106" s="112" t="str">
        <f t="shared" si="157"/>
        <v>x</v>
      </c>
      <c r="Y106" s="112" t="str">
        <f t="shared" si="157"/>
        <v>x</v>
      </c>
      <c r="Z106" s="112" t="str">
        <f t="shared" si="157"/>
        <v>x</v>
      </c>
      <c r="CD106" s="65"/>
      <c r="CE106" s="65"/>
      <c r="CF106" s="65"/>
    </row>
    <row r="107" spans="4:122" customFormat="1" x14ac:dyDescent="0.15">
      <c r="D107" s="112" t="str">
        <f t="shared" ref="D107:Z107" si="158">IF(BatSplit(D44,RunsScored)&gt;=50,BatSplit(D44,RunsScored)&amp;IF(BatSplit(D44,NotOuts)=1,"*","")&amp;"|"&amp;$C44&amp;"|"&amp;D$2&amp;"|"&amp;TEXT(D$1,"dd-mmm"),"x")</f>
        <v>x</v>
      </c>
      <c r="E107" s="112" t="str">
        <f t="shared" si="158"/>
        <v>x</v>
      </c>
      <c r="F107" s="112" t="str">
        <f t="shared" si="158"/>
        <v>x</v>
      </c>
      <c r="G107" s="112" t="str">
        <f t="shared" si="158"/>
        <v>x</v>
      </c>
      <c r="H107" s="112" t="str">
        <f t="shared" si="158"/>
        <v>x</v>
      </c>
      <c r="I107" s="112" t="str">
        <f t="shared" si="158"/>
        <v>x</v>
      </c>
      <c r="J107" s="112" t="str">
        <f t="shared" si="158"/>
        <v>x</v>
      </c>
      <c r="K107" s="112" t="str">
        <f t="shared" si="158"/>
        <v>x</v>
      </c>
      <c r="L107" s="112" t="str">
        <f t="shared" si="158"/>
        <v>x</v>
      </c>
      <c r="M107" s="112" t="str">
        <f t="shared" si="158"/>
        <v>x</v>
      </c>
      <c r="N107" s="112" t="str">
        <f t="shared" si="158"/>
        <v>x</v>
      </c>
      <c r="O107" s="112" t="str">
        <f t="shared" si="158"/>
        <v>x</v>
      </c>
      <c r="P107" s="112" t="str">
        <f t="shared" si="158"/>
        <v>x</v>
      </c>
      <c r="Q107" s="112" t="str">
        <f t="shared" si="158"/>
        <v>x</v>
      </c>
      <c r="R107" s="112" t="str">
        <f t="shared" si="158"/>
        <v>x</v>
      </c>
      <c r="S107" s="112" t="str">
        <f t="shared" si="158"/>
        <v>x</v>
      </c>
      <c r="T107" s="112" t="str">
        <f t="shared" si="158"/>
        <v>x</v>
      </c>
      <c r="U107" s="112" t="str">
        <f t="shared" si="158"/>
        <v>x</v>
      </c>
      <c r="V107" s="112" t="str">
        <f t="shared" si="158"/>
        <v>x</v>
      </c>
      <c r="W107" s="112" t="str">
        <f t="shared" si="158"/>
        <v>x</v>
      </c>
      <c r="X107" s="112" t="str">
        <f t="shared" si="158"/>
        <v>x</v>
      </c>
      <c r="Y107" s="112" t="str">
        <f t="shared" si="158"/>
        <v>x</v>
      </c>
      <c r="Z107" s="112" t="str">
        <f t="shared" si="158"/>
        <v>x</v>
      </c>
      <c r="CD107" s="65"/>
      <c r="CE107" s="65"/>
      <c r="CF107" s="65"/>
    </row>
    <row r="108" spans="4:122" customFormat="1" x14ac:dyDescent="0.15">
      <c r="D108" s="112" t="str">
        <f t="shared" ref="D108:Z108" si="159">IF(BatSplit(D45,RunsScored)&gt;=50,BatSplit(D45,RunsScored)&amp;IF(BatSplit(D45,NotOuts)=1,"*","")&amp;"|"&amp;$C45&amp;"|"&amp;D$2&amp;"|"&amp;TEXT(D$1,"dd-mmm"),"x")</f>
        <v>x</v>
      </c>
      <c r="E108" s="112" t="str">
        <f t="shared" si="159"/>
        <v>x</v>
      </c>
      <c r="F108" s="112" t="str">
        <f t="shared" si="159"/>
        <v>x</v>
      </c>
      <c r="G108" s="112" t="str">
        <f t="shared" si="159"/>
        <v>x</v>
      </c>
      <c r="H108" s="112" t="str">
        <f t="shared" si="159"/>
        <v>x</v>
      </c>
      <c r="I108" s="112" t="str">
        <f t="shared" si="159"/>
        <v>x</v>
      </c>
      <c r="J108" s="112" t="str">
        <f t="shared" si="159"/>
        <v>x</v>
      </c>
      <c r="K108" s="112" t="str">
        <f t="shared" si="159"/>
        <v>x</v>
      </c>
      <c r="L108" s="112" t="str">
        <f t="shared" si="159"/>
        <v>x</v>
      </c>
      <c r="M108" s="112" t="str">
        <f t="shared" si="159"/>
        <v>x</v>
      </c>
      <c r="N108" s="112" t="str">
        <f t="shared" si="159"/>
        <v>x</v>
      </c>
      <c r="O108" s="112" t="str">
        <f t="shared" si="159"/>
        <v>x</v>
      </c>
      <c r="P108" s="112" t="str">
        <f t="shared" si="159"/>
        <v>x</v>
      </c>
      <c r="Q108" s="112" t="str">
        <f t="shared" si="159"/>
        <v>x</v>
      </c>
      <c r="R108" s="112" t="str">
        <f t="shared" si="159"/>
        <v>x</v>
      </c>
      <c r="S108" s="112" t="str">
        <f t="shared" si="159"/>
        <v>x</v>
      </c>
      <c r="T108" s="112" t="str">
        <f t="shared" si="159"/>
        <v>x</v>
      </c>
      <c r="U108" s="112" t="str">
        <f t="shared" si="159"/>
        <v>x</v>
      </c>
      <c r="V108" s="112" t="str">
        <f t="shared" si="159"/>
        <v>x</v>
      </c>
      <c r="W108" s="112" t="str">
        <f t="shared" si="159"/>
        <v>x</v>
      </c>
      <c r="X108" s="112" t="str">
        <f t="shared" si="159"/>
        <v>x</v>
      </c>
      <c r="Y108" s="112" t="str">
        <f t="shared" si="159"/>
        <v>x</v>
      </c>
      <c r="Z108" s="112" t="str">
        <f t="shared" si="159"/>
        <v>x</v>
      </c>
      <c r="CF108" s="65"/>
    </row>
    <row r="109" spans="4:122" customFormat="1" x14ac:dyDescent="0.15">
      <c r="D109" s="112" t="str">
        <f t="shared" ref="D109:Z109" si="160">IF(BatSplit(D47,RunsScored)&gt;=50,BatSplit(D47,RunsScored)&amp;IF(BatSplit(D47,NotOuts)=1,"*","")&amp;"|"&amp;$C47&amp;"|"&amp;D$2&amp;"|"&amp;TEXT(D$1,"dd-mmm"),"x")</f>
        <v>x</v>
      </c>
      <c r="E109" s="112" t="str">
        <f t="shared" si="160"/>
        <v>x</v>
      </c>
      <c r="F109" s="112" t="str">
        <f t="shared" si="160"/>
        <v>x</v>
      </c>
      <c r="G109" s="112" t="str">
        <f t="shared" si="160"/>
        <v>x</v>
      </c>
      <c r="H109" s="112" t="str">
        <f t="shared" si="160"/>
        <v>x</v>
      </c>
      <c r="I109" s="112" t="str">
        <f t="shared" si="160"/>
        <v>x</v>
      </c>
      <c r="J109" s="112" t="str">
        <f t="shared" si="160"/>
        <v>x</v>
      </c>
      <c r="K109" s="112" t="str">
        <f t="shared" si="160"/>
        <v>x</v>
      </c>
      <c r="L109" s="112" t="str">
        <f t="shared" si="160"/>
        <v>x</v>
      </c>
      <c r="M109" s="112" t="str">
        <f t="shared" si="160"/>
        <v>x</v>
      </c>
      <c r="N109" s="112" t="str">
        <f t="shared" si="160"/>
        <v>x</v>
      </c>
      <c r="O109" s="112" t="str">
        <f t="shared" si="160"/>
        <v>x</v>
      </c>
      <c r="P109" s="112" t="str">
        <f t="shared" si="160"/>
        <v>x</v>
      </c>
      <c r="Q109" s="112" t="str">
        <f t="shared" si="160"/>
        <v>x</v>
      </c>
      <c r="R109" s="112" t="str">
        <f t="shared" si="160"/>
        <v>x</v>
      </c>
      <c r="S109" s="112" t="str">
        <f t="shared" si="160"/>
        <v>x</v>
      </c>
      <c r="T109" s="112" t="str">
        <f t="shared" si="160"/>
        <v>x</v>
      </c>
      <c r="U109" s="112" t="str">
        <f t="shared" si="160"/>
        <v>x</v>
      </c>
      <c r="V109" s="112" t="str">
        <f t="shared" si="160"/>
        <v>x</v>
      </c>
      <c r="W109" s="112" t="str">
        <f t="shared" si="160"/>
        <v>x</v>
      </c>
      <c r="X109" s="112" t="str">
        <f t="shared" si="160"/>
        <v>x</v>
      </c>
      <c r="Y109" s="112" t="str">
        <f t="shared" si="160"/>
        <v>x</v>
      </c>
      <c r="Z109" s="112" t="str">
        <f t="shared" si="160"/>
        <v>x</v>
      </c>
    </row>
    <row r="110" spans="4:122" customFormat="1" x14ac:dyDescent="0.15">
      <c r="D110" s="112" t="str">
        <f t="shared" ref="D110:Z110" si="161">IF(BatSplit(D50,RunsScored)&gt;=50,BatSplit(D50,RunsScored)&amp;IF(BatSplit(D50,NotOuts)=1,"*","")&amp;"|"&amp;$C50&amp;"|"&amp;D$2&amp;"|"&amp;TEXT(D$1,"dd-mmm"),"x")</f>
        <v>x</v>
      </c>
      <c r="E110" s="112" t="str">
        <f t="shared" si="161"/>
        <v>x</v>
      </c>
      <c r="F110" s="112" t="str">
        <f t="shared" si="161"/>
        <v>x</v>
      </c>
      <c r="G110" s="112" t="str">
        <f t="shared" si="161"/>
        <v>x</v>
      </c>
      <c r="H110" s="112" t="str">
        <f t="shared" si="161"/>
        <v>x</v>
      </c>
      <c r="I110" s="112" t="str">
        <f t="shared" si="161"/>
        <v>x</v>
      </c>
      <c r="J110" s="112" t="str">
        <f t="shared" si="161"/>
        <v>x</v>
      </c>
      <c r="K110" s="112" t="str">
        <f t="shared" si="161"/>
        <v>x</v>
      </c>
      <c r="L110" s="112" t="str">
        <f t="shared" si="161"/>
        <v>x</v>
      </c>
      <c r="M110" s="112" t="str">
        <f t="shared" si="161"/>
        <v>x</v>
      </c>
      <c r="N110" s="112" t="str">
        <f t="shared" si="161"/>
        <v>x</v>
      </c>
      <c r="O110" s="112" t="str">
        <f t="shared" si="161"/>
        <v>x</v>
      </c>
      <c r="P110" s="112" t="str">
        <f t="shared" si="161"/>
        <v>x</v>
      </c>
      <c r="Q110" s="112" t="str">
        <f t="shared" si="161"/>
        <v>x</v>
      </c>
      <c r="R110" s="112" t="str">
        <f t="shared" si="161"/>
        <v>x</v>
      </c>
      <c r="S110" s="112" t="str">
        <f t="shared" si="161"/>
        <v>x</v>
      </c>
      <c r="T110" s="112" t="str">
        <f t="shared" si="161"/>
        <v>x</v>
      </c>
      <c r="U110" s="112" t="str">
        <f t="shared" si="161"/>
        <v>x</v>
      </c>
      <c r="V110" s="112" t="str">
        <f t="shared" si="161"/>
        <v>x</v>
      </c>
      <c r="W110" s="112" t="str">
        <f t="shared" si="161"/>
        <v>x</v>
      </c>
      <c r="X110" s="112" t="str">
        <f t="shared" si="161"/>
        <v>x</v>
      </c>
      <c r="Y110" s="112" t="str">
        <f t="shared" si="161"/>
        <v>x</v>
      </c>
      <c r="Z110" s="112" t="str">
        <f t="shared" si="161"/>
        <v>x</v>
      </c>
    </row>
    <row r="111" spans="4:122" customFormat="1" x14ac:dyDescent="0.15">
      <c r="D111" s="112" t="str">
        <f t="shared" ref="D111:Z111" si="162">IF(BatSplit(D51,RunsScored)&gt;=50,BatSplit(D51,RunsScored)&amp;IF(BatSplit(D51,NotOuts)=1,"*","")&amp;"|"&amp;$C51&amp;"|"&amp;D$2&amp;"|"&amp;TEXT(D$1,"dd-mmm"),"x")</f>
        <v>x</v>
      </c>
      <c r="E111" s="112" t="str">
        <f t="shared" si="162"/>
        <v>x</v>
      </c>
      <c r="F111" s="112" t="str">
        <f t="shared" si="162"/>
        <v>x</v>
      </c>
      <c r="G111" s="112" t="str">
        <f t="shared" si="162"/>
        <v>x</v>
      </c>
      <c r="H111" s="112" t="str">
        <f t="shared" si="162"/>
        <v>x</v>
      </c>
      <c r="I111" s="112" t="str">
        <f t="shared" si="162"/>
        <v>x</v>
      </c>
      <c r="J111" s="112" t="str">
        <f t="shared" si="162"/>
        <v>x</v>
      </c>
      <c r="K111" s="112" t="str">
        <f t="shared" si="162"/>
        <v>x</v>
      </c>
      <c r="L111" s="112" t="str">
        <f t="shared" si="162"/>
        <v>x</v>
      </c>
      <c r="M111" s="112" t="str">
        <f t="shared" si="162"/>
        <v>x</v>
      </c>
      <c r="N111" s="112" t="str">
        <f t="shared" si="162"/>
        <v>x</v>
      </c>
      <c r="O111" s="112" t="str">
        <f t="shared" si="162"/>
        <v>x</v>
      </c>
      <c r="P111" s="112" t="str">
        <f t="shared" si="162"/>
        <v>x</v>
      </c>
      <c r="Q111" s="112" t="str">
        <f t="shared" si="162"/>
        <v>x</v>
      </c>
      <c r="R111" s="112" t="str">
        <f t="shared" si="162"/>
        <v>x</v>
      </c>
      <c r="S111" s="112" t="str">
        <f t="shared" si="162"/>
        <v>x</v>
      </c>
      <c r="T111" s="112" t="str">
        <f t="shared" si="162"/>
        <v>x</v>
      </c>
      <c r="U111" s="112" t="str">
        <f t="shared" si="162"/>
        <v>x</v>
      </c>
      <c r="V111" s="112" t="str">
        <f t="shared" si="162"/>
        <v>x</v>
      </c>
      <c r="W111" s="112" t="str">
        <f t="shared" si="162"/>
        <v>x</v>
      </c>
      <c r="X111" s="112" t="str">
        <f t="shared" si="162"/>
        <v>x</v>
      </c>
      <c r="Y111" s="112" t="str">
        <f t="shared" si="162"/>
        <v>x</v>
      </c>
      <c r="Z111" s="112" t="str">
        <f t="shared" si="162"/>
        <v>x</v>
      </c>
    </row>
    <row r="112" spans="4:122" customFormat="1" x14ac:dyDescent="0.15">
      <c r="D112" s="112" t="str">
        <f t="shared" ref="D112:Z112" si="163">IF(BatSplit(D53,RunsScored)&gt;=50,BatSplit(D53,RunsScored)&amp;IF(BatSplit(D53,NotOuts)=1,"*","")&amp;"|"&amp;$C53&amp;"|"&amp;D$2&amp;"|"&amp;TEXT(D$1,"dd-mmm"),"x")</f>
        <v>x</v>
      </c>
      <c r="E112" s="112" t="str">
        <f t="shared" si="163"/>
        <v>62|Springer T|Woodgreen|05-May</v>
      </c>
      <c r="F112" s="112" t="str">
        <f t="shared" si="163"/>
        <v>x</v>
      </c>
      <c r="G112" s="112" t="str">
        <f t="shared" si="163"/>
        <v>90*|Springer T|Fonthill Park|25-May</v>
      </c>
      <c r="H112" s="112" t="str">
        <f t="shared" si="163"/>
        <v>x</v>
      </c>
      <c r="I112" s="112" t="str">
        <f t="shared" si="163"/>
        <v>x</v>
      </c>
      <c r="J112" s="112" t="str">
        <f t="shared" si="163"/>
        <v>x</v>
      </c>
      <c r="K112" s="112" t="str">
        <f t="shared" si="163"/>
        <v>x</v>
      </c>
      <c r="L112" s="112" t="str">
        <f t="shared" si="163"/>
        <v>x</v>
      </c>
      <c r="M112" s="112" t="str">
        <f t="shared" si="163"/>
        <v>x</v>
      </c>
      <c r="N112" s="112" t="str">
        <f t="shared" si="163"/>
        <v>74|Springer T|Chessington|30-Jun</v>
      </c>
      <c r="O112" s="112" t="str">
        <f t="shared" si="163"/>
        <v>x</v>
      </c>
      <c r="P112" s="112" t="str">
        <f t="shared" si="163"/>
        <v>x</v>
      </c>
      <c r="Q112" s="112" t="str">
        <f t="shared" si="163"/>
        <v>94|Springer T|Merton|21-Jul</v>
      </c>
      <c r="R112" s="112" t="str">
        <f t="shared" si="163"/>
        <v>x</v>
      </c>
      <c r="S112" s="112" t="str">
        <f t="shared" si="163"/>
        <v>x</v>
      </c>
      <c r="T112" s="112" t="str">
        <f t="shared" si="163"/>
        <v>x</v>
      </c>
      <c r="U112" s="112" t="str">
        <f t="shared" si="163"/>
        <v>79|Springer T|Norwood Exiles|18-Aug</v>
      </c>
      <c r="V112" s="112" t="str">
        <f t="shared" si="163"/>
        <v>x</v>
      </c>
      <c r="W112" s="112" t="str">
        <f t="shared" si="163"/>
        <v>x</v>
      </c>
      <c r="X112" s="112" t="str">
        <f t="shared" si="163"/>
        <v>x</v>
      </c>
      <c r="Y112" s="112" t="str">
        <f t="shared" si="163"/>
        <v>x</v>
      </c>
      <c r="Z112" s="112" t="str">
        <f t="shared" si="163"/>
        <v>x</v>
      </c>
    </row>
    <row r="113" spans="4:26" customFormat="1" x14ac:dyDescent="0.15">
      <c r="D113" s="112" t="str">
        <f t="shared" ref="D113:Z113" si="164">IF(BatSplit(D54,RunsScored)&gt;=50,BatSplit(D54,RunsScored)&amp;IF(BatSplit(D54,NotOuts)=1,"*","")&amp;"|"&amp;$C54&amp;"|"&amp;D$2&amp;"|"&amp;TEXT(D$1,"dd-mmm"),"x")</f>
        <v>x</v>
      </c>
      <c r="E113" s="112" t="str">
        <f t="shared" si="164"/>
        <v>x</v>
      </c>
      <c r="F113" s="112" t="str">
        <f t="shared" si="164"/>
        <v>x</v>
      </c>
      <c r="G113" s="112" t="str">
        <f t="shared" si="164"/>
        <v>x</v>
      </c>
      <c r="H113" s="112" t="str">
        <f t="shared" si="164"/>
        <v>x</v>
      </c>
      <c r="I113" s="112" t="str">
        <f t="shared" si="164"/>
        <v>x</v>
      </c>
      <c r="J113" s="112" t="str">
        <f t="shared" si="164"/>
        <v>x</v>
      </c>
      <c r="K113" s="112" t="str">
        <f t="shared" si="164"/>
        <v>x</v>
      </c>
      <c r="L113" s="112" t="str">
        <f t="shared" si="164"/>
        <v>x</v>
      </c>
      <c r="M113" s="112" t="str">
        <f t="shared" si="164"/>
        <v>x</v>
      </c>
      <c r="N113" s="112" t="str">
        <f t="shared" si="164"/>
        <v>x</v>
      </c>
      <c r="O113" s="112" t="str">
        <f t="shared" si="164"/>
        <v>x</v>
      </c>
      <c r="P113" s="112" t="str">
        <f t="shared" si="164"/>
        <v>x</v>
      </c>
      <c r="Q113" s="112" t="str">
        <f t="shared" si="164"/>
        <v>x</v>
      </c>
      <c r="R113" s="112" t="str">
        <f t="shared" si="164"/>
        <v>x</v>
      </c>
      <c r="S113" s="112" t="str">
        <f t="shared" si="164"/>
        <v>x</v>
      </c>
      <c r="T113" s="112" t="str">
        <f t="shared" si="164"/>
        <v>x</v>
      </c>
      <c r="U113" s="112" t="str">
        <f t="shared" si="164"/>
        <v>x</v>
      </c>
      <c r="V113" s="112" t="str">
        <f t="shared" si="164"/>
        <v>x</v>
      </c>
      <c r="W113" s="112" t="str">
        <f t="shared" si="164"/>
        <v>x</v>
      </c>
      <c r="X113" s="112" t="str">
        <f t="shared" si="164"/>
        <v>x</v>
      </c>
      <c r="Y113" s="112" t="str">
        <f t="shared" si="164"/>
        <v>x</v>
      </c>
      <c r="Z113" s="112" t="str">
        <f t="shared" si="164"/>
        <v>x</v>
      </c>
    </row>
    <row r="114" spans="4:26" customFormat="1" x14ac:dyDescent="0.15">
      <c r="D114" s="112" t="str">
        <f t="shared" ref="D114:Z114" si="165">IF(BatSplit(D55,RunsScored)&gt;=50,BatSplit(D55,RunsScored)&amp;IF(BatSplit(D55,NotOuts)=1,"*","")&amp;"|"&amp;$C55&amp;"|"&amp;D$2&amp;"|"&amp;TEXT(D$1,"dd-mmm"),"x")</f>
        <v>x</v>
      </c>
      <c r="E114" s="112" t="str">
        <f t="shared" si="165"/>
        <v>x</v>
      </c>
      <c r="F114" s="112" t="str">
        <f t="shared" si="165"/>
        <v>x</v>
      </c>
      <c r="G114" s="112" t="str">
        <f t="shared" si="165"/>
        <v>x</v>
      </c>
      <c r="H114" s="112" t="str">
        <f t="shared" si="165"/>
        <v>x</v>
      </c>
      <c r="I114" s="112" t="str">
        <f t="shared" si="165"/>
        <v>x</v>
      </c>
      <c r="J114" s="112" t="str">
        <f t="shared" si="165"/>
        <v>x</v>
      </c>
      <c r="K114" s="112" t="str">
        <f t="shared" si="165"/>
        <v>x</v>
      </c>
      <c r="L114" s="112" t="str">
        <f t="shared" si="165"/>
        <v>x</v>
      </c>
      <c r="M114" s="112" t="str">
        <f t="shared" si="165"/>
        <v>x</v>
      </c>
      <c r="N114" s="112" t="str">
        <f t="shared" si="165"/>
        <v>x</v>
      </c>
      <c r="O114" s="112" t="str">
        <f t="shared" si="165"/>
        <v>x</v>
      </c>
      <c r="P114" s="112" t="str">
        <f t="shared" si="165"/>
        <v>x</v>
      </c>
      <c r="Q114" s="112" t="str">
        <f t="shared" si="165"/>
        <v>x</v>
      </c>
      <c r="R114" s="112" t="str">
        <f t="shared" si="165"/>
        <v>x</v>
      </c>
      <c r="S114" s="112" t="str">
        <f t="shared" si="165"/>
        <v>x</v>
      </c>
      <c r="T114" s="112" t="str">
        <f t="shared" si="165"/>
        <v>x</v>
      </c>
      <c r="U114" s="112" t="str">
        <f t="shared" si="165"/>
        <v>x</v>
      </c>
      <c r="V114" s="112" t="str">
        <f t="shared" si="165"/>
        <v>x</v>
      </c>
      <c r="W114" s="112" t="str">
        <f t="shared" si="165"/>
        <v>x</v>
      </c>
      <c r="X114" s="112" t="str">
        <f t="shared" si="165"/>
        <v>x</v>
      </c>
      <c r="Y114" s="112" t="str">
        <f t="shared" si="165"/>
        <v>x</v>
      </c>
      <c r="Z114" s="112" t="str">
        <f t="shared" si="165"/>
        <v>x</v>
      </c>
    </row>
    <row r="115" spans="4:26" customFormat="1" x14ac:dyDescent="0.15">
      <c r="D115" s="112" t="str">
        <f t="shared" ref="D115:Z116" si="166">IF(BatSplit(D56,RunsScored)&gt;=50,BatSplit(D56,RunsScored)&amp;IF(BatSplit(D56,NotOuts)=1,"*","")&amp;"|"&amp;$C56&amp;"|"&amp;D$2&amp;"|"&amp;TEXT(D$1,"dd-mmm"),"x")</f>
        <v>x</v>
      </c>
      <c r="E115" s="112" t="str">
        <f t="shared" si="166"/>
        <v>x</v>
      </c>
      <c r="F115" s="112" t="str">
        <f t="shared" si="166"/>
        <v>x</v>
      </c>
      <c r="G115" s="112" t="str">
        <f t="shared" si="166"/>
        <v>x</v>
      </c>
      <c r="H115" s="112" t="str">
        <f t="shared" si="166"/>
        <v>x</v>
      </c>
      <c r="I115" s="112" t="str">
        <f t="shared" si="166"/>
        <v>x</v>
      </c>
      <c r="J115" s="112" t="str">
        <f t="shared" si="166"/>
        <v>x</v>
      </c>
      <c r="K115" s="112" t="str">
        <f t="shared" si="166"/>
        <v>x</v>
      </c>
      <c r="L115" s="112" t="str">
        <f t="shared" si="166"/>
        <v>x</v>
      </c>
      <c r="M115" s="112" t="str">
        <f t="shared" si="166"/>
        <v>x</v>
      </c>
      <c r="N115" s="112" t="str">
        <f t="shared" si="166"/>
        <v>x</v>
      </c>
      <c r="O115" s="112" t="str">
        <f t="shared" si="166"/>
        <v>x</v>
      </c>
      <c r="P115" s="112" t="str">
        <f t="shared" si="166"/>
        <v>x</v>
      </c>
      <c r="Q115" s="112" t="str">
        <f t="shared" si="166"/>
        <v>x</v>
      </c>
      <c r="R115" s="112" t="str">
        <f t="shared" si="166"/>
        <v>x</v>
      </c>
      <c r="S115" s="112" t="str">
        <f t="shared" si="166"/>
        <v>x</v>
      </c>
      <c r="T115" s="112" t="str">
        <f t="shared" si="166"/>
        <v>x</v>
      </c>
      <c r="U115" s="112" t="str">
        <f t="shared" si="166"/>
        <v>x</v>
      </c>
      <c r="V115" s="112" t="str">
        <f t="shared" si="166"/>
        <v>x</v>
      </c>
      <c r="W115" s="112" t="str">
        <f t="shared" si="166"/>
        <v>x</v>
      </c>
      <c r="X115" s="112" t="str">
        <f t="shared" si="166"/>
        <v>x</v>
      </c>
      <c r="Y115" s="112" t="str">
        <f t="shared" si="166"/>
        <v>x</v>
      </c>
      <c r="Z115" s="112" t="str">
        <f t="shared" si="166"/>
        <v>x</v>
      </c>
    </row>
    <row r="116" spans="4:26" customFormat="1" x14ac:dyDescent="0.15">
      <c r="D116" s="112" t="str">
        <f t="shared" si="166"/>
        <v>x</v>
      </c>
      <c r="E116" s="112" t="str">
        <f t="shared" si="166"/>
        <v>x</v>
      </c>
      <c r="F116" s="112" t="str">
        <f t="shared" si="166"/>
        <v>x</v>
      </c>
      <c r="G116" s="112" t="str">
        <f t="shared" si="166"/>
        <v>x</v>
      </c>
      <c r="H116" s="112" t="str">
        <f t="shared" si="166"/>
        <v>x</v>
      </c>
      <c r="I116" s="112" t="str">
        <f t="shared" si="166"/>
        <v>x</v>
      </c>
      <c r="J116" s="112" t="str">
        <f t="shared" si="166"/>
        <v>x</v>
      </c>
      <c r="K116" s="112" t="str">
        <f t="shared" si="166"/>
        <v>x</v>
      </c>
      <c r="L116" s="112" t="str">
        <f t="shared" si="166"/>
        <v>x</v>
      </c>
      <c r="M116" s="112" t="str">
        <f t="shared" si="166"/>
        <v>x</v>
      </c>
      <c r="N116" s="112" t="str">
        <f t="shared" si="166"/>
        <v>x</v>
      </c>
      <c r="O116" s="112" t="str">
        <f t="shared" si="166"/>
        <v>x</v>
      </c>
      <c r="P116" s="112" t="str">
        <f t="shared" si="166"/>
        <v>x</v>
      </c>
      <c r="Q116" s="112" t="str">
        <f t="shared" si="166"/>
        <v>x</v>
      </c>
      <c r="R116" s="112" t="str">
        <f t="shared" si="166"/>
        <v>x</v>
      </c>
      <c r="S116" s="112" t="str">
        <f t="shared" si="166"/>
        <v>x</v>
      </c>
      <c r="T116" s="112" t="str">
        <f t="shared" si="166"/>
        <v>x</v>
      </c>
      <c r="U116" s="112" t="str">
        <f t="shared" si="166"/>
        <v>x</v>
      </c>
      <c r="V116" s="112" t="str">
        <f t="shared" si="166"/>
        <v>x</v>
      </c>
      <c r="W116" s="112" t="str">
        <f t="shared" si="166"/>
        <v>x</v>
      </c>
      <c r="X116" s="112" t="str">
        <f t="shared" si="166"/>
        <v>x</v>
      </c>
      <c r="Y116" s="112" t="str">
        <f t="shared" si="166"/>
        <v>x</v>
      </c>
      <c r="Z116" s="112" t="str">
        <f t="shared" si="166"/>
        <v>x</v>
      </c>
    </row>
    <row r="117" spans="4:26" customFormat="1" x14ac:dyDescent="0.15">
      <c r="D117" s="112"/>
      <c r="E117" s="112"/>
      <c r="F117" s="112"/>
      <c r="G117" s="112"/>
      <c r="H117" s="112"/>
      <c r="I117" s="112"/>
      <c r="J117" s="112"/>
      <c r="K117" s="112"/>
      <c r="L117" s="112"/>
      <c r="M117" s="112"/>
      <c r="N117" s="112"/>
      <c r="O117" s="112"/>
      <c r="P117" s="112"/>
      <c r="Q117" s="112"/>
      <c r="R117" s="112"/>
      <c r="S117" s="112"/>
      <c r="T117" s="112"/>
      <c r="U117" s="112"/>
      <c r="V117" s="112"/>
      <c r="W117" s="112"/>
      <c r="X117" s="112"/>
      <c r="Y117" s="112"/>
      <c r="Z117" s="112"/>
    </row>
    <row r="118" spans="4:26" customFormat="1" x14ac:dyDescent="0.15">
      <c r="D118" s="112"/>
      <c r="E118" s="112"/>
      <c r="F118" s="112"/>
      <c r="G118" s="112"/>
      <c r="H118" s="112"/>
      <c r="I118" s="112"/>
      <c r="J118" s="112"/>
      <c r="K118" s="112"/>
      <c r="L118" s="112"/>
      <c r="M118" s="112"/>
      <c r="N118" s="112"/>
      <c r="O118" s="112"/>
      <c r="P118" s="112"/>
      <c r="Q118" s="112"/>
      <c r="R118" s="112"/>
      <c r="S118" s="112"/>
      <c r="T118" s="112"/>
      <c r="U118" s="112"/>
      <c r="V118" s="112"/>
      <c r="W118" s="112"/>
      <c r="X118" s="112"/>
      <c r="Y118" s="112"/>
      <c r="Z118" s="112"/>
    </row>
    <row r="119" spans="4:26" customFormat="1" x14ac:dyDescent="0.15">
      <c r="D119" s="112"/>
      <c r="E119" s="112"/>
      <c r="F119" s="112"/>
      <c r="G119" s="112"/>
      <c r="H119" s="112"/>
      <c r="I119" s="112"/>
      <c r="J119" s="112"/>
      <c r="K119" s="112"/>
      <c r="L119" s="112"/>
      <c r="M119" s="112"/>
      <c r="N119" s="112"/>
      <c r="O119" s="112"/>
      <c r="P119" s="112"/>
      <c r="Q119" s="112"/>
      <c r="R119" s="112"/>
      <c r="S119" s="112"/>
      <c r="T119" s="112"/>
      <c r="U119" s="112"/>
      <c r="V119" s="112"/>
      <c r="W119" s="112"/>
      <c r="X119" s="112"/>
      <c r="Y119" s="112"/>
      <c r="Z119" s="112"/>
    </row>
    <row r="120" spans="4:26" customFormat="1" x14ac:dyDescent="0.15">
      <c r="D120" s="112"/>
      <c r="E120" s="112"/>
      <c r="F120" s="112"/>
      <c r="G120" s="112"/>
      <c r="H120" s="112"/>
      <c r="I120" s="112"/>
      <c r="J120" s="112"/>
      <c r="K120" s="112"/>
      <c r="L120" s="112"/>
      <c r="M120" s="112"/>
      <c r="N120" s="112"/>
      <c r="O120" s="112"/>
      <c r="P120" s="112"/>
      <c r="Q120" s="112"/>
      <c r="R120" s="112"/>
      <c r="S120" s="112"/>
      <c r="T120" s="112"/>
      <c r="U120" s="112"/>
      <c r="V120" s="112"/>
      <c r="W120" s="112"/>
      <c r="X120" s="112"/>
      <c r="Y120" s="112"/>
      <c r="Z120" s="112"/>
    </row>
    <row r="121" spans="4:26" customFormat="1" x14ac:dyDescent="0.15">
      <c r="D121" s="112"/>
      <c r="E121" s="112"/>
      <c r="F121" s="112"/>
      <c r="G121" s="112"/>
      <c r="H121" s="112"/>
      <c r="I121" s="112"/>
      <c r="J121" s="112"/>
      <c r="K121" s="112"/>
      <c r="L121" s="112"/>
      <c r="M121" s="112"/>
      <c r="N121" s="112"/>
      <c r="O121" s="112"/>
      <c r="P121" s="112"/>
      <c r="Q121" s="112"/>
      <c r="R121" s="112"/>
      <c r="S121" s="112"/>
      <c r="T121" s="112"/>
      <c r="U121" s="112"/>
      <c r="V121" s="112"/>
      <c r="W121" s="112"/>
      <c r="X121" s="112"/>
      <c r="Y121" s="112"/>
      <c r="Z121" s="112"/>
    </row>
    <row r="122" spans="4:26" customFormat="1" x14ac:dyDescent="0.15">
      <c r="D122" s="112"/>
      <c r="E122" s="112"/>
      <c r="F122" s="112"/>
      <c r="G122" s="112"/>
      <c r="H122" s="112"/>
      <c r="I122" s="112"/>
      <c r="J122" s="112"/>
      <c r="K122" s="112"/>
      <c r="L122" s="112"/>
      <c r="M122" s="112"/>
      <c r="N122" s="112"/>
      <c r="O122" s="112"/>
      <c r="P122" s="112"/>
      <c r="Q122" s="112"/>
      <c r="R122" s="112"/>
      <c r="S122" s="112"/>
      <c r="T122" s="112"/>
      <c r="U122" s="112"/>
      <c r="V122" s="112"/>
      <c r="W122" s="112"/>
      <c r="X122" s="112"/>
      <c r="Y122" s="112"/>
      <c r="Z122" s="112"/>
    </row>
    <row r="123" spans="4:26" customFormat="1" x14ac:dyDescent="0.15">
      <c r="D123" s="112"/>
      <c r="E123" s="112"/>
      <c r="F123" s="112"/>
      <c r="G123" s="112"/>
      <c r="H123" s="112"/>
      <c r="I123" s="112"/>
      <c r="J123" s="112"/>
      <c r="K123" s="112"/>
      <c r="L123" s="112"/>
      <c r="M123" s="112"/>
      <c r="N123" s="112"/>
      <c r="O123" s="112"/>
      <c r="P123" s="112"/>
      <c r="Q123" s="112"/>
      <c r="R123" s="112"/>
      <c r="S123" s="112"/>
      <c r="T123" s="112"/>
      <c r="U123" s="112"/>
      <c r="V123" s="112"/>
      <c r="W123" s="112"/>
      <c r="X123" s="112"/>
      <c r="Y123" s="112"/>
      <c r="Z123" s="112"/>
    </row>
    <row r="124" spans="4:26" customFormat="1" x14ac:dyDescent="0.15">
      <c r="D124" s="112"/>
      <c r="E124" s="112"/>
      <c r="F124" s="112"/>
      <c r="G124" s="112"/>
      <c r="H124" s="112"/>
      <c r="I124" s="112"/>
      <c r="J124" s="112"/>
      <c r="K124" s="112"/>
      <c r="L124" s="112"/>
      <c r="M124" s="112"/>
      <c r="N124" s="112"/>
      <c r="O124" s="112"/>
      <c r="P124" s="112"/>
      <c r="Q124" s="112"/>
      <c r="R124" s="112"/>
      <c r="S124" s="112"/>
      <c r="T124" s="112"/>
      <c r="U124" s="112"/>
      <c r="V124" s="112"/>
      <c r="W124" s="112"/>
      <c r="X124" s="112"/>
      <c r="Y124" s="112"/>
      <c r="Z124" s="112"/>
    </row>
    <row r="125" spans="4:26" customFormat="1" x14ac:dyDescent="0.15">
      <c r="D125" s="112"/>
      <c r="E125" s="112"/>
      <c r="F125" s="112"/>
      <c r="G125" s="112"/>
      <c r="H125" s="112"/>
      <c r="I125" s="112"/>
      <c r="J125" s="112"/>
      <c r="K125" s="112"/>
      <c r="L125" s="112"/>
      <c r="M125" s="112"/>
      <c r="N125" s="112"/>
      <c r="O125" s="112"/>
      <c r="P125" s="112"/>
      <c r="Q125" s="112"/>
      <c r="R125" s="112"/>
      <c r="S125" s="112"/>
      <c r="T125" s="112"/>
      <c r="U125" s="112"/>
      <c r="V125" s="112"/>
      <c r="W125" s="112"/>
      <c r="X125" s="112"/>
      <c r="Y125" s="112"/>
      <c r="Z125" s="112"/>
    </row>
    <row r="126" spans="4:26" customFormat="1" x14ac:dyDescent="0.15">
      <c r="D126" s="112"/>
      <c r="E126" s="112"/>
      <c r="F126" s="112"/>
      <c r="G126" s="112"/>
      <c r="H126" s="112"/>
      <c r="I126" s="112"/>
      <c r="J126" s="112"/>
      <c r="K126" s="112"/>
      <c r="L126" s="112"/>
      <c r="M126" s="112"/>
      <c r="N126" s="112"/>
      <c r="O126" s="112"/>
      <c r="P126" s="112"/>
      <c r="Q126" s="112"/>
      <c r="R126" s="112"/>
      <c r="S126" s="112"/>
      <c r="T126" s="112"/>
      <c r="U126" s="112"/>
      <c r="V126" s="112"/>
      <c r="W126" s="112"/>
      <c r="X126" s="112"/>
      <c r="Y126" s="112"/>
      <c r="Z126" s="112"/>
    </row>
    <row r="127" spans="4:26" customFormat="1" x14ac:dyDescent="0.15">
      <c r="D127" s="112"/>
      <c r="E127" s="112"/>
      <c r="F127" s="112"/>
      <c r="G127" s="112"/>
      <c r="H127" s="112"/>
      <c r="I127" s="112"/>
      <c r="J127" s="112"/>
      <c r="K127" s="112"/>
      <c r="L127" s="112"/>
      <c r="M127" s="112"/>
      <c r="N127" s="112"/>
      <c r="O127" s="112"/>
      <c r="P127" s="112"/>
      <c r="Q127" s="112"/>
      <c r="R127" s="112"/>
      <c r="S127" s="112"/>
      <c r="T127" s="112"/>
      <c r="U127" s="112"/>
      <c r="V127" s="112"/>
      <c r="W127" s="112"/>
      <c r="X127" s="112"/>
      <c r="Y127" s="112"/>
      <c r="Z127" s="112"/>
    </row>
    <row r="128" spans="4:26" customFormat="1" x14ac:dyDescent="0.15">
      <c r="D128" s="112"/>
      <c r="E128" s="112"/>
      <c r="F128" s="112"/>
      <c r="G128" s="112"/>
      <c r="H128" s="112"/>
      <c r="I128" s="112"/>
      <c r="J128" s="112"/>
      <c r="K128" s="112"/>
      <c r="L128" s="112"/>
      <c r="M128" s="112"/>
      <c r="N128" s="112"/>
      <c r="O128" s="112"/>
      <c r="P128" s="112"/>
      <c r="Q128" s="112"/>
      <c r="R128" s="112"/>
      <c r="S128" s="112"/>
      <c r="T128" s="112"/>
      <c r="U128" s="112"/>
      <c r="V128" s="112"/>
      <c r="W128" s="112"/>
      <c r="X128" s="112"/>
      <c r="Y128" s="112"/>
      <c r="Z128" s="112"/>
    </row>
    <row r="129" spans="4:26" customFormat="1" x14ac:dyDescent="0.15">
      <c r="D129" s="112"/>
      <c r="E129" s="112"/>
      <c r="F129" s="112"/>
      <c r="G129" s="112"/>
      <c r="H129" s="112"/>
      <c r="I129" s="112"/>
      <c r="J129" s="112"/>
      <c r="K129" s="112"/>
      <c r="L129" s="112"/>
      <c r="M129" s="112"/>
      <c r="N129" s="112"/>
      <c r="O129" s="112"/>
      <c r="P129" s="112"/>
      <c r="Q129" s="112"/>
      <c r="R129" s="112"/>
      <c r="S129" s="112"/>
      <c r="T129" s="112"/>
      <c r="U129" s="112"/>
      <c r="V129" s="112"/>
      <c r="W129" s="112"/>
      <c r="X129" s="112"/>
      <c r="Y129" s="112"/>
      <c r="Z129" s="112"/>
    </row>
    <row r="130" spans="4:26" customFormat="1" x14ac:dyDescent="0.15">
      <c r="D130" s="112"/>
      <c r="E130" s="112"/>
      <c r="F130" s="112"/>
      <c r="G130" s="112"/>
      <c r="H130" s="112"/>
      <c r="I130" s="112"/>
      <c r="J130" s="112"/>
      <c r="K130" s="112"/>
      <c r="L130" s="112"/>
      <c r="M130" s="112"/>
      <c r="N130" s="112"/>
      <c r="O130" s="112"/>
      <c r="P130" s="112"/>
      <c r="Q130" s="112"/>
      <c r="R130" s="112"/>
      <c r="S130" s="112"/>
      <c r="T130" s="112"/>
      <c r="U130" s="112"/>
      <c r="V130" s="112"/>
      <c r="W130" s="112"/>
      <c r="X130" s="112"/>
      <c r="Y130" s="112"/>
      <c r="Z130" s="112"/>
    </row>
    <row r="131" spans="4:26" customFormat="1" x14ac:dyDescent="0.15">
      <c r="D131" s="112"/>
      <c r="E131" s="112"/>
      <c r="F131" s="112"/>
      <c r="G131" s="112"/>
      <c r="H131" s="112"/>
      <c r="I131" s="112"/>
      <c r="J131" s="112"/>
      <c r="K131" s="112"/>
      <c r="L131" s="112"/>
      <c r="M131" s="112"/>
      <c r="N131" s="112"/>
      <c r="O131" s="112"/>
      <c r="P131" s="112"/>
      <c r="Q131" s="112"/>
      <c r="R131" s="112"/>
      <c r="S131" s="112"/>
      <c r="T131" s="112"/>
      <c r="U131" s="112"/>
      <c r="V131" s="112"/>
      <c r="W131" s="112"/>
      <c r="X131" s="112"/>
      <c r="Y131" s="112"/>
      <c r="Z131" s="112"/>
    </row>
    <row r="132" spans="4:26" customFormat="1" x14ac:dyDescent="0.15">
      <c r="D132" s="112"/>
      <c r="E132" s="112"/>
      <c r="F132" s="112"/>
      <c r="G132" s="112"/>
      <c r="H132" s="112"/>
      <c r="I132" s="112"/>
      <c r="J132" s="112"/>
      <c r="K132" s="112"/>
      <c r="L132" s="112"/>
      <c r="M132" s="112"/>
      <c r="N132" s="112"/>
      <c r="O132" s="112"/>
      <c r="P132" s="112"/>
      <c r="Q132" s="112"/>
      <c r="R132" s="112"/>
      <c r="S132" s="112"/>
      <c r="T132" s="112"/>
      <c r="U132" s="112"/>
      <c r="V132" s="112"/>
      <c r="W132" s="112"/>
      <c r="X132" s="112"/>
      <c r="Y132" s="112"/>
      <c r="Z132" s="112"/>
    </row>
    <row r="133" spans="4:26" customFormat="1" x14ac:dyDescent="0.15">
      <c r="D133" s="112"/>
      <c r="E133" s="112"/>
      <c r="F133" s="112"/>
      <c r="G133" s="112"/>
      <c r="H133" s="112"/>
      <c r="I133" s="112"/>
      <c r="J133" s="112"/>
      <c r="K133" s="112"/>
      <c r="L133" s="112"/>
      <c r="M133" s="112"/>
      <c r="N133" s="112"/>
      <c r="O133" s="112"/>
      <c r="P133" s="112"/>
      <c r="Q133" s="112"/>
      <c r="R133" s="112"/>
      <c r="S133" s="112"/>
      <c r="T133" s="112"/>
      <c r="U133" s="112"/>
      <c r="V133" s="112"/>
      <c r="W133" s="112"/>
      <c r="X133" s="112"/>
      <c r="Y133" s="112"/>
      <c r="Z133" s="112"/>
    </row>
    <row r="134" spans="4:26" customFormat="1" x14ac:dyDescent="0.15">
      <c r="D134" s="112"/>
      <c r="E134" s="112"/>
      <c r="F134" s="112"/>
      <c r="G134" s="112"/>
      <c r="H134" s="112"/>
      <c r="I134" s="112"/>
      <c r="J134" s="112"/>
      <c r="K134" s="112"/>
      <c r="L134" s="112"/>
      <c r="M134" s="112"/>
      <c r="N134" s="112"/>
      <c r="O134" s="112"/>
      <c r="P134" s="112"/>
      <c r="Q134" s="112"/>
      <c r="R134" s="112"/>
      <c r="S134" s="112"/>
      <c r="T134" s="112"/>
      <c r="U134" s="112"/>
      <c r="V134" s="112"/>
      <c r="W134" s="112"/>
      <c r="X134" s="112"/>
      <c r="Y134" s="112"/>
      <c r="Z134" s="112"/>
    </row>
    <row r="135" spans="4:26" customFormat="1" x14ac:dyDescent="0.15">
      <c r="D135" s="112"/>
      <c r="E135" s="112"/>
      <c r="F135" s="112"/>
      <c r="G135" s="112"/>
      <c r="H135" s="112"/>
      <c r="I135" s="112"/>
      <c r="J135" s="112"/>
      <c r="K135" s="112"/>
      <c r="L135" s="112"/>
      <c r="M135" s="112"/>
      <c r="N135" s="112"/>
      <c r="O135" s="112"/>
      <c r="P135" s="112"/>
      <c r="Q135" s="112"/>
      <c r="R135" s="112"/>
      <c r="S135" s="112"/>
      <c r="T135" s="112"/>
      <c r="U135" s="112"/>
      <c r="V135" s="112"/>
      <c r="W135" s="112"/>
      <c r="X135" s="112"/>
      <c r="Y135" s="112"/>
      <c r="Z135" s="112"/>
    </row>
    <row r="136" spans="4:26" customFormat="1" x14ac:dyDescent="0.15">
      <c r="D136" s="112"/>
      <c r="E136" s="112"/>
      <c r="F136" s="112"/>
      <c r="G136" s="112"/>
      <c r="H136" s="112"/>
      <c r="I136" s="112"/>
      <c r="J136" s="112"/>
      <c r="K136" s="112"/>
      <c r="L136" s="112"/>
      <c r="M136" s="112"/>
      <c r="N136" s="112"/>
      <c r="O136" s="112"/>
      <c r="P136" s="112"/>
      <c r="Q136" s="112"/>
      <c r="R136" s="112"/>
      <c r="S136" s="112"/>
      <c r="T136" s="112"/>
      <c r="U136" s="112"/>
      <c r="V136" s="112"/>
      <c r="W136" s="112"/>
      <c r="X136" s="112"/>
      <c r="Y136" s="112"/>
      <c r="Z136" s="112"/>
    </row>
    <row r="137" spans="4:26" customFormat="1" x14ac:dyDescent="0.15">
      <c r="D137" s="112"/>
      <c r="E137" s="112"/>
      <c r="F137" s="112"/>
      <c r="G137" s="112"/>
      <c r="H137" s="112"/>
      <c r="I137" s="112"/>
      <c r="J137" s="112"/>
      <c r="K137" s="112"/>
      <c r="L137" s="112"/>
      <c r="M137" s="112"/>
      <c r="N137" s="112"/>
      <c r="O137" s="112"/>
      <c r="P137" s="112"/>
      <c r="Q137" s="112"/>
      <c r="R137" s="112"/>
      <c r="S137" s="112"/>
      <c r="T137" s="112"/>
      <c r="U137" s="112"/>
      <c r="V137" s="112"/>
      <c r="W137" s="112"/>
      <c r="X137" s="112"/>
      <c r="Y137" s="112"/>
      <c r="Z137" s="112"/>
    </row>
    <row r="138" spans="4:26" customFormat="1" x14ac:dyDescent="0.15">
      <c r="D138" s="112"/>
      <c r="E138" s="112"/>
      <c r="F138" s="112"/>
      <c r="G138" s="112"/>
      <c r="H138" s="112"/>
      <c r="I138" s="112"/>
      <c r="J138" s="112"/>
      <c r="K138" s="112"/>
      <c r="L138" s="112"/>
      <c r="M138" s="112"/>
      <c r="N138" s="112"/>
      <c r="O138" s="112"/>
      <c r="P138" s="112"/>
      <c r="Q138" s="112"/>
      <c r="R138" s="112"/>
      <c r="S138" s="112"/>
      <c r="T138" s="112"/>
      <c r="U138" s="112"/>
      <c r="V138" s="112"/>
      <c r="W138" s="112"/>
      <c r="X138" s="112"/>
      <c r="Y138" s="112"/>
      <c r="Z138" s="112"/>
    </row>
    <row r="139" spans="4:26" customFormat="1" x14ac:dyDescent="0.15">
      <c r="D139" s="112"/>
      <c r="E139" s="112"/>
      <c r="F139" s="112"/>
      <c r="G139" s="112"/>
      <c r="H139" s="112"/>
      <c r="I139" s="112"/>
      <c r="J139" s="112"/>
      <c r="K139" s="112"/>
      <c r="L139" s="112"/>
      <c r="M139" s="112"/>
      <c r="N139" s="112"/>
      <c r="O139" s="112"/>
      <c r="P139" s="112"/>
      <c r="Q139" s="112"/>
      <c r="R139" s="112"/>
      <c r="S139" s="112"/>
      <c r="T139" s="112"/>
      <c r="U139" s="112"/>
      <c r="V139" s="112"/>
      <c r="W139" s="112"/>
      <c r="X139" s="112"/>
      <c r="Y139" s="112"/>
      <c r="Z139" s="112"/>
    </row>
    <row r="140" spans="4:26" customFormat="1" x14ac:dyDescent="0.15">
      <c r="D140" s="112"/>
      <c r="E140" s="112"/>
      <c r="F140" s="112"/>
      <c r="G140" s="112"/>
      <c r="H140" s="112"/>
      <c r="I140" s="112"/>
      <c r="J140" s="112"/>
      <c r="K140" s="112"/>
      <c r="L140" s="112"/>
      <c r="M140" s="112"/>
      <c r="N140" s="112"/>
      <c r="O140" s="112"/>
      <c r="P140" s="112"/>
      <c r="Q140" s="112"/>
      <c r="R140" s="112"/>
      <c r="S140" s="112"/>
      <c r="T140" s="112"/>
      <c r="U140" s="112"/>
      <c r="V140" s="112"/>
      <c r="W140" s="112"/>
      <c r="X140" s="112"/>
      <c r="Y140" s="112"/>
      <c r="Z140" s="112"/>
    </row>
    <row r="141" spans="4:26" customFormat="1" x14ac:dyDescent="0.15">
      <c r="D141" s="112"/>
      <c r="E141" s="112"/>
      <c r="F141" s="112"/>
      <c r="G141" s="112"/>
      <c r="H141" s="112"/>
      <c r="I141" s="112"/>
      <c r="J141" s="112"/>
      <c r="K141" s="112"/>
      <c r="L141" s="112"/>
      <c r="M141" s="112"/>
      <c r="N141" s="112"/>
      <c r="O141" s="112"/>
      <c r="P141" s="112"/>
      <c r="Q141" s="112"/>
      <c r="R141" s="112"/>
      <c r="S141" s="112"/>
      <c r="T141" s="112"/>
      <c r="U141" s="112"/>
      <c r="V141" s="112"/>
      <c r="W141" s="112"/>
      <c r="X141" s="112"/>
      <c r="Y141" s="112"/>
      <c r="Z141" s="112"/>
    </row>
    <row r="142" spans="4:26" customFormat="1" x14ac:dyDescent="0.15">
      <c r="D142" s="112"/>
      <c r="E142" s="112"/>
      <c r="F142" s="112"/>
      <c r="G142" s="112"/>
      <c r="H142" s="112"/>
      <c r="I142" s="112"/>
      <c r="J142" s="112"/>
      <c r="K142" s="112"/>
      <c r="L142" s="112"/>
      <c r="M142" s="112"/>
      <c r="N142" s="112"/>
      <c r="O142" s="112"/>
      <c r="P142" s="112"/>
      <c r="Q142" s="112"/>
      <c r="R142" s="112"/>
      <c r="S142" s="112"/>
      <c r="T142" s="112"/>
      <c r="U142" s="112"/>
      <c r="V142" s="112"/>
      <c r="W142" s="112"/>
      <c r="X142" s="112"/>
      <c r="Y142" s="112"/>
      <c r="Z142" s="112"/>
    </row>
    <row r="143" spans="4:26" customFormat="1" x14ac:dyDescent="0.15">
      <c r="D143" s="112"/>
      <c r="E143" s="112"/>
      <c r="F143" s="112"/>
      <c r="G143" s="112"/>
      <c r="H143" s="112"/>
      <c r="I143" s="112"/>
      <c r="J143" s="112"/>
      <c r="K143" s="112"/>
      <c r="L143" s="112"/>
      <c r="M143" s="112"/>
      <c r="N143" s="112"/>
      <c r="O143" s="112"/>
      <c r="P143" s="112"/>
      <c r="Q143" s="112"/>
      <c r="R143" s="112"/>
      <c r="S143" s="112"/>
      <c r="T143" s="112"/>
      <c r="U143" s="112"/>
      <c r="V143" s="112"/>
      <c r="W143" s="112"/>
      <c r="X143" s="112"/>
      <c r="Y143" s="112"/>
      <c r="Z143" s="112"/>
    </row>
    <row r="144" spans="4:26" customFormat="1" x14ac:dyDescent="0.15"/>
    <row r="145" customFormat="1" x14ac:dyDescent="0.15"/>
    <row r="146" customFormat="1" x14ac:dyDescent="0.15"/>
    <row r="147" customFormat="1" x14ac:dyDescent="0.15"/>
    <row r="148" customFormat="1" x14ac:dyDescent="0.15"/>
    <row r="149" customFormat="1" x14ac:dyDescent="0.15"/>
    <row r="150" customFormat="1" x14ac:dyDescent="0.15"/>
    <row r="151" customFormat="1" x14ac:dyDescent="0.15"/>
    <row r="152" customFormat="1" x14ac:dyDescent="0.15"/>
    <row r="153" customFormat="1" x14ac:dyDescent="0.15"/>
    <row r="154" customFormat="1" x14ac:dyDescent="0.15"/>
    <row r="155" customFormat="1" x14ac:dyDescent="0.15"/>
    <row r="156" customFormat="1" x14ac:dyDescent="0.15"/>
    <row r="157" customFormat="1" x14ac:dyDescent="0.15"/>
    <row r="158" customFormat="1" x14ac:dyDescent="0.15"/>
    <row r="159" customFormat="1" x14ac:dyDescent="0.15"/>
    <row r="160" customFormat="1" x14ac:dyDescent="0.15"/>
    <row r="161" customFormat="1" x14ac:dyDescent="0.15"/>
    <row r="162" customFormat="1" x14ac:dyDescent="0.15"/>
    <row r="163" customFormat="1" x14ac:dyDescent="0.15"/>
    <row r="164" customFormat="1" x14ac:dyDescent="0.15"/>
    <row r="165" customFormat="1" x14ac:dyDescent="0.15"/>
    <row r="166" customFormat="1" x14ac:dyDescent="0.15"/>
    <row r="167" customFormat="1" x14ac:dyDescent="0.15"/>
    <row r="168" customFormat="1" x14ac:dyDescent="0.15"/>
    <row r="169" customFormat="1" x14ac:dyDescent="0.15"/>
    <row r="170" customFormat="1" x14ac:dyDescent="0.15"/>
    <row r="171" customFormat="1" x14ac:dyDescent="0.15"/>
    <row r="172" customFormat="1" x14ac:dyDescent="0.15"/>
    <row r="173" customFormat="1" x14ac:dyDescent="0.15"/>
    <row r="174" customFormat="1" x14ac:dyDescent="0.15"/>
    <row r="175" customFormat="1" x14ac:dyDescent="0.15"/>
    <row r="176" customFormat="1" x14ac:dyDescent="0.15"/>
    <row r="177" customFormat="1" x14ac:dyDescent="0.15"/>
    <row r="178" customFormat="1" x14ac:dyDescent="0.15"/>
    <row r="179" customFormat="1" x14ac:dyDescent="0.15"/>
    <row r="180" customFormat="1" x14ac:dyDescent="0.15"/>
    <row r="181" customFormat="1" x14ac:dyDescent="0.15"/>
    <row r="182" customFormat="1" x14ac:dyDescent="0.15"/>
    <row r="183" customFormat="1" x14ac:dyDescent="0.15"/>
    <row r="184" customFormat="1" x14ac:dyDescent="0.15"/>
    <row r="185" customFormat="1" x14ac:dyDescent="0.15"/>
    <row r="186" customFormat="1" x14ac:dyDescent="0.15"/>
    <row r="187" customFormat="1" x14ac:dyDescent="0.15"/>
    <row r="188" customFormat="1" x14ac:dyDescent="0.15"/>
    <row r="189" customFormat="1" x14ac:dyDescent="0.15"/>
    <row r="190" customFormat="1" x14ac:dyDescent="0.15"/>
    <row r="191" customFormat="1" x14ac:dyDescent="0.15"/>
    <row r="192" customFormat="1" x14ac:dyDescent="0.15"/>
    <row r="193" customFormat="1" x14ac:dyDescent="0.15"/>
    <row r="194" customFormat="1" x14ac:dyDescent="0.15"/>
    <row r="195" customFormat="1" x14ac:dyDescent="0.15"/>
    <row r="196" customFormat="1" x14ac:dyDescent="0.15"/>
    <row r="197" customFormat="1" x14ac:dyDescent="0.15"/>
    <row r="198" customFormat="1" x14ac:dyDescent="0.15"/>
    <row r="199" customFormat="1" x14ac:dyDescent="0.15"/>
    <row r="200" customFormat="1" x14ac:dyDescent="0.15"/>
    <row r="201" customFormat="1" x14ac:dyDescent="0.15"/>
    <row r="202" customFormat="1" x14ac:dyDescent="0.15"/>
    <row r="203" customFormat="1" x14ac:dyDescent="0.15"/>
    <row r="204" customFormat="1" x14ac:dyDescent="0.15"/>
    <row r="205" customFormat="1" x14ac:dyDescent="0.15"/>
    <row r="206" customFormat="1" x14ac:dyDescent="0.15"/>
    <row r="207" customFormat="1" x14ac:dyDescent="0.15"/>
    <row r="208" customFormat="1" x14ac:dyDescent="0.15"/>
    <row r="209" customFormat="1" x14ac:dyDescent="0.15"/>
    <row r="210" customFormat="1" x14ac:dyDescent="0.15"/>
    <row r="211" customFormat="1" x14ac:dyDescent="0.15"/>
    <row r="212" customFormat="1" x14ac:dyDescent="0.15"/>
    <row r="213" customFormat="1" x14ac:dyDescent="0.15"/>
    <row r="214" customFormat="1" x14ac:dyDescent="0.15"/>
    <row r="215" customFormat="1" x14ac:dyDescent="0.15"/>
    <row r="216" customFormat="1" x14ac:dyDescent="0.15"/>
    <row r="217" customFormat="1" x14ac:dyDescent="0.15"/>
    <row r="218" customFormat="1" x14ac:dyDescent="0.15"/>
    <row r="219" customFormat="1" x14ac:dyDescent="0.15"/>
    <row r="220" customFormat="1" x14ac:dyDescent="0.15"/>
    <row r="221" customFormat="1" x14ac:dyDescent="0.15"/>
    <row r="222" customFormat="1" x14ac:dyDescent="0.15"/>
    <row r="223" customFormat="1" x14ac:dyDescent="0.15"/>
    <row r="224" customFormat="1" x14ac:dyDescent="0.15"/>
    <row r="225" customFormat="1" x14ac:dyDescent="0.15"/>
    <row r="226" customFormat="1" x14ac:dyDescent="0.15"/>
    <row r="227" customFormat="1" x14ac:dyDescent="0.15"/>
    <row r="228" customFormat="1" x14ac:dyDescent="0.15"/>
    <row r="229" customFormat="1" x14ac:dyDescent="0.15"/>
    <row r="230" customFormat="1" x14ac:dyDescent="0.15"/>
    <row r="231" customFormat="1" x14ac:dyDescent="0.15"/>
    <row r="232" customFormat="1" x14ac:dyDescent="0.15"/>
    <row r="233" customFormat="1" x14ac:dyDescent="0.15"/>
    <row r="234" customFormat="1" x14ac:dyDescent="0.15"/>
    <row r="235" customFormat="1" x14ac:dyDescent="0.15"/>
    <row r="236" customFormat="1" x14ac:dyDescent="0.15"/>
    <row r="237" customFormat="1" x14ac:dyDescent="0.15"/>
    <row r="238" customFormat="1" x14ac:dyDescent="0.15"/>
    <row r="239" customFormat="1" x14ac:dyDescent="0.15"/>
    <row r="240" customFormat="1" x14ac:dyDescent="0.15"/>
    <row r="241" customFormat="1" x14ac:dyDescent="0.15"/>
    <row r="242" customFormat="1" x14ac:dyDescent="0.15"/>
    <row r="243" customFormat="1" x14ac:dyDescent="0.15"/>
    <row r="244" customFormat="1" x14ac:dyDescent="0.15"/>
    <row r="245" customFormat="1" x14ac:dyDescent="0.15"/>
    <row r="246" customFormat="1" x14ac:dyDescent="0.15"/>
    <row r="247" customFormat="1" x14ac:dyDescent="0.15"/>
    <row r="248" customFormat="1" x14ac:dyDescent="0.15"/>
    <row r="249" customFormat="1" x14ac:dyDescent="0.15"/>
    <row r="250" customFormat="1" x14ac:dyDescent="0.15"/>
    <row r="251" customFormat="1" x14ac:dyDescent="0.15"/>
    <row r="252" customFormat="1" x14ac:dyDescent="0.15"/>
    <row r="253" customFormat="1" x14ac:dyDescent="0.15"/>
    <row r="254" customFormat="1" x14ac:dyDescent="0.15"/>
    <row r="255" customFormat="1" x14ac:dyDescent="0.15"/>
    <row r="256" customFormat="1" x14ac:dyDescent="0.15"/>
    <row r="257" customFormat="1" x14ac:dyDescent="0.15"/>
    <row r="258" customFormat="1" x14ac:dyDescent="0.15"/>
    <row r="259" customFormat="1" x14ac:dyDescent="0.15"/>
    <row r="260" customFormat="1" x14ac:dyDescent="0.15"/>
    <row r="261" customFormat="1" x14ac:dyDescent="0.15"/>
    <row r="262" customFormat="1" x14ac:dyDescent="0.15"/>
    <row r="263" customFormat="1" x14ac:dyDescent="0.15"/>
    <row r="264" customFormat="1" x14ac:dyDescent="0.15"/>
    <row r="265" customFormat="1" x14ac:dyDescent="0.15"/>
    <row r="266" customFormat="1" x14ac:dyDescent="0.15"/>
    <row r="267" customFormat="1" x14ac:dyDescent="0.15"/>
    <row r="268" customFormat="1" x14ac:dyDescent="0.15"/>
    <row r="269" customFormat="1" x14ac:dyDescent="0.15"/>
    <row r="270" customFormat="1" x14ac:dyDescent="0.15"/>
    <row r="271" customFormat="1" x14ac:dyDescent="0.15"/>
    <row r="272" customFormat="1" x14ac:dyDescent="0.15"/>
    <row r="273" customFormat="1" x14ac:dyDescent="0.15"/>
    <row r="274" customFormat="1" x14ac:dyDescent="0.15"/>
    <row r="275" customFormat="1" x14ac:dyDescent="0.15"/>
    <row r="276" customFormat="1" x14ac:dyDescent="0.15"/>
    <row r="277" customFormat="1" x14ac:dyDescent="0.15"/>
    <row r="278" customFormat="1" x14ac:dyDescent="0.15"/>
    <row r="279" customFormat="1" x14ac:dyDescent="0.15"/>
    <row r="280" customFormat="1" x14ac:dyDescent="0.15"/>
    <row r="281" customFormat="1" x14ac:dyDescent="0.15"/>
    <row r="282" customFormat="1" x14ac:dyDescent="0.15"/>
    <row r="283" customFormat="1" x14ac:dyDescent="0.15"/>
    <row r="284" customFormat="1" x14ac:dyDescent="0.15"/>
    <row r="285" customFormat="1" x14ac:dyDescent="0.15"/>
    <row r="286" customFormat="1" x14ac:dyDescent="0.15"/>
    <row r="287" customFormat="1" x14ac:dyDescent="0.15"/>
    <row r="288" customFormat="1" x14ac:dyDescent="0.15"/>
    <row r="289" customFormat="1" x14ac:dyDescent="0.15"/>
    <row r="290" customFormat="1" x14ac:dyDescent="0.15"/>
    <row r="291" customFormat="1" x14ac:dyDescent="0.15"/>
    <row r="292" customFormat="1" x14ac:dyDescent="0.15"/>
    <row r="293" customFormat="1" x14ac:dyDescent="0.15"/>
    <row r="294" customFormat="1" x14ac:dyDescent="0.15"/>
    <row r="295" customFormat="1" x14ac:dyDescent="0.15"/>
    <row r="296" customFormat="1" x14ac:dyDescent="0.15"/>
    <row r="297" customFormat="1" x14ac:dyDescent="0.15"/>
    <row r="298" customFormat="1" x14ac:dyDescent="0.15"/>
    <row r="299" customFormat="1" x14ac:dyDescent="0.15"/>
    <row r="300" customFormat="1" x14ac:dyDescent="0.15"/>
    <row r="301" customFormat="1" x14ac:dyDescent="0.15"/>
    <row r="302" customFormat="1" x14ac:dyDescent="0.15"/>
    <row r="303" customFormat="1" x14ac:dyDescent="0.15"/>
    <row r="304" customFormat="1" x14ac:dyDescent="0.15"/>
    <row r="305" customFormat="1" x14ac:dyDescent="0.15"/>
    <row r="306" customFormat="1" x14ac:dyDescent="0.15"/>
    <row r="307" customFormat="1" x14ac:dyDescent="0.15"/>
    <row r="308" customFormat="1" x14ac:dyDescent="0.15"/>
    <row r="309" customFormat="1" x14ac:dyDescent="0.15"/>
    <row r="310" customFormat="1" x14ac:dyDescent="0.15"/>
    <row r="311" customFormat="1" x14ac:dyDescent="0.15"/>
    <row r="312" customFormat="1" x14ac:dyDescent="0.15"/>
    <row r="313" customFormat="1" x14ac:dyDescent="0.15"/>
    <row r="314" customFormat="1" x14ac:dyDescent="0.15"/>
    <row r="315" customFormat="1" x14ac:dyDescent="0.15"/>
    <row r="316" customFormat="1" x14ac:dyDescent="0.15"/>
    <row r="317" customFormat="1" x14ac:dyDescent="0.15"/>
    <row r="318" customFormat="1" x14ac:dyDescent="0.15"/>
    <row r="319" customFormat="1" x14ac:dyDescent="0.15"/>
    <row r="320" customFormat="1" x14ac:dyDescent="0.15"/>
    <row r="321" customFormat="1" x14ac:dyDescent="0.15"/>
    <row r="322" customFormat="1" x14ac:dyDescent="0.15"/>
    <row r="323" customFormat="1" x14ac:dyDescent="0.15"/>
    <row r="324" customFormat="1" x14ac:dyDescent="0.15"/>
    <row r="325" customFormat="1" x14ac:dyDescent="0.15"/>
    <row r="326" customFormat="1" x14ac:dyDescent="0.15"/>
    <row r="327" customFormat="1" x14ac:dyDescent="0.15"/>
    <row r="328" customFormat="1" x14ac:dyDescent="0.15"/>
    <row r="329" customFormat="1" x14ac:dyDescent="0.15"/>
    <row r="330" customFormat="1" x14ac:dyDescent="0.15"/>
    <row r="331" customFormat="1" x14ac:dyDescent="0.15"/>
    <row r="332" customFormat="1" x14ac:dyDescent="0.15"/>
    <row r="333" customFormat="1" x14ac:dyDescent="0.15"/>
    <row r="334" customFormat="1" x14ac:dyDescent="0.15"/>
    <row r="335" customFormat="1" x14ac:dyDescent="0.15"/>
    <row r="336" customFormat="1" x14ac:dyDescent="0.15"/>
    <row r="337" customFormat="1" x14ac:dyDescent="0.15"/>
    <row r="338" customFormat="1" x14ac:dyDescent="0.15"/>
    <row r="339" customFormat="1" x14ac:dyDescent="0.15"/>
    <row r="340" customFormat="1" x14ac:dyDescent="0.15"/>
    <row r="341" customFormat="1" x14ac:dyDescent="0.15"/>
    <row r="342" customFormat="1" x14ac:dyDescent="0.15"/>
    <row r="343" customFormat="1" x14ac:dyDescent="0.15"/>
    <row r="344" customFormat="1" x14ac:dyDescent="0.15"/>
    <row r="345" customFormat="1" x14ac:dyDescent="0.15"/>
    <row r="346" customFormat="1" x14ac:dyDescent="0.15"/>
    <row r="347" customFormat="1" x14ac:dyDescent="0.15"/>
    <row r="348" customFormat="1" x14ac:dyDescent="0.15"/>
    <row r="349" customFormat="1" x14ac:dyDescent="0.15"/>
    <row r="350" customFormat="1" x14ac:dyDescent="0.15"/>
    <row r="351" customFormat="1" x14ac:dyDescent="0.15"/>
    <row r="352" customFormat="1" x14ac:dyDescent="0.15"/>
    <row r="353" customFormat="1" x14ac:dyDescent="0.15"/>
    <row r="354" customFormat="1" x14ac:dyDescent="0.15"/>
    <row r="355" customFormat="1" x14ac:dyDescent="0.15"/>
    <row r="356" customFormat="1" x14ac:dyDescent="0.15"/>
    <row r="357" customFormat="1" x14ac:dyDescent="0.15"/>
    <row r="358" customFormat="1" x14ac:dyDescent="0.15"/>
    <row r="359" customFormat="1" x14ac:dyDescent="0.15"/>
    <row r="360" customFormat="1" x14ac:dyDescent="0.15"/>
    <row r="361" customFormat="1" x14ac:dyDescent="0.15"/>
    <row r="362" customFormat="1" x14ac:dyDescent="0.15"/>
    <row r="363" customFormat="1" x14ac:dyDescent="0.15"/>
    <row r="364" customFormat="1" x14ac:dyDescent="0.15"/>
    <row r="365" customFormat="1" x14ac:dyDescent="0.15"/>
    <row r="366" customFormat="1" x14ac:dyDescent="0.15"/>
    <row r="367" customFormat="1" x14ac:dyDescent="0.15"/>
    <row r="368" customFormat="1" x14ac:dyDescent="0.15"/>
    <row r="369" customFormat="1" x14ac:dyDescent="0.15"/>
    <row r="370" customFormat="1" x14ac:dyDescent="0.15"/>
    <row r="371" customFormat="1" x14ac:dyDescent="0.15"/>
    <row r="372" customFormat="1" x14ac:dyDescent="0.15"/>
    <row r="373" customFormat="1" x14ac:dyDescent="0.15"/>
    <row r="374" customFormat="1" x14ac:dyDescent="0.15"/>
    <row r="375" customFormat="1" x14ac:dyDescent="0.15"/>
    <row r="376" customFormat="1" x14ac:dyDescent="0.15"/>
    <row r="377" customFormat="1" x14ac:dyDescent="0.15"/>
    <row r="378" customFormat="1" x14ac:dyDescent="0.15"/>
    <row r="379" customFormat="1" x14ac:dyDescent="0.15"/>
    <row r="380" customFormat="1" x14ac:dyDescent="0.15"/>
    <row r="381" customFormat="1" x14ac:dyDescent="0.15"/>
    <row r="382" customFormat="1" x14ac:dyDescent="0.15"/>
    <row r="383" customFormat="1" x14ac:dyDescent="0.15"/>
    <row r="384" customFormat="1" x14ac:dyDescent="0.15"/>
    <row r="385" customFormat="1" x14ac:dyDescent="0.15"/>
    <row r="386" customFormat="1" x14ac:dyDescent="0.15"/>
    <row r="387" customFormat="1" x14ac:dyDescent="0.15"/>
    <row r="388" customFormat="1" x14ac:dyDescent="0.15"/>
    <row r="389" customFormat="1" x14ac:dyDescent="0.15"/>
    <row r="390" customFormat="1" x14ac:dyDescent="0.15"/>
    <row r="391" customFormat="1" x14ac:dyDescent="0.15"/>
    <row r="392" customFormat="1" x14ac:dyDescent="0.15"/>
    <row r="393" customFormat="1" x14ac:dyDescent="0.15"/>
    <row r="394" customFormat="1" x14ac:dyDescent="0.15"/>
    <row r="395" customFormat="1" x14ac:dyDescent="0.15"/>
    <row r="396" customFormat="1" x14ac:dyDescent="0.15"/>
    <row r="397" customFormat="1" x14ac:dyDescent="0.15"/>
    <row r="398" customFormat="1" x14ac:dyDescent="0.15"/>
    <row r="399" customFormat="1" x14ac:dyDescent="0.15"/>
    <row r="400" customFormat="1" x14ac:dyDescent="0.15"/>
    <row r="401" customFormat="1" x14ac:dyDescent="0.15"/>
    <row r="402" customFormat="1" x14ac:dyDescent="0.15"/>
    <row r="403" customFormat="1" x14ac:dyDescent="0.15"/>
    <row r="404" customFormat="1" x14ac:dyDescent="0.15"/>
    <row r="405" customFormat="1" x14ac:dyDescent="0.15"/>
    <row r="406" customFormat="1" x14ac:dyDescent="0.15"/>
    <row r="407" customFormat="1" x14ac:dyDescent="0.15"/>
    <row r="408" customFormat="1" x14ac:dyDescent="0.15"/>
    <row r="409" customFormat="1" x14ac:dyDescent="0.15"/>
    <row r="410" customFormat="1" x14ac:dyDescent="0.15"/>
    <row r="411" customFormat="1" x14ac:dyDescent="0.15"/>
    <row r="412" customFormat="1" x14ac:dyDescent="0.15"/>
    <row r="413" customFormat="1" x14ac:dyDescent="0.15"/>
    <row r="414" customFormat="1" x14ac:dyDescent="0.15"/>
    <row r="415" customFormat="1" x14ac:dyDescent="0.15"/>
    <row r="416" customFormat="1" x14ac:dyDescent="0.15"/>
    <row r="417" customFormat="1" x14ac:dyDescent="0.15"/>
    <row r="418" customFormat="1" x14ac:dyDescent="0.15"/>
    <row r="419" customFormat="1" x14ac:dyDescent="0.15"/>
    <row r="420" customFormat="1" x14ac:dyDescent="0.15"/>
    <row r="421" customFormat="1" x14ac:dyDescent="0.15"/>
    <row r="422" customFormat="1" x14ac:dyDescent="0.15"/>
    <row r="423" customFormat="1" x14ac:dyDescent="0.15"/>
    <row r="424" customFormat="1" x14ac:dyDescent="0.15"/>
    <row r="425" customFormat="1" x14ac:dyDescent="0.15"/>
    <row r="426" customFormat="1" x14ac:dyDescent="0.15"/>
    <row r="427" customFormat="1" x14ac:dyDescent="0.15"/>
    <row r="428" customFormat="1" x14ac:dyDescent="0.15"/>
    <row r="429" customFormat="1" x14ac:dyDescent="0.15"/>
    <row r="430" customFormat="1" x14ac:dyDescent="0.15"/>
    <row r="431" customFormat="1" x14ac:dyDescent="0.15"/>
    <row r="432" customFormat="1" x14ac:dyDescent="0.15"/>
    <row r="433" customFormat="1" x14ac:dyDescent="0.15"/>
    <row r="434" customFormat="1" x14ac:dyDescent="0.15"/>
    <row r="435" customFormat="1" x14ac:dyDescent="0.15"/>
    <row r="436" customFormat="1" x14ac:dyDescent="0.15"/>
    <row r="437" customFormat="1" x14ac:dyDescent="0.15"/>
    <row r="438" customFormat="1" x14ac:dyDescent="0.15"/>
    <row r="439" customFormat="1" x14ac:dyDescent="0.15"/>
    <row r="440" customFormat="1" x14ac:dyDescent="0.15"/>
    <row r="441" customFormat="1" x14ac:dyDescent="0.15"/>
    <row r="442" customFormat="1" x14ac:dyDescent="0.15"/>
    <row r="443" customFormat="1" x14ac:dyDescent="0.15"/>
    <row r="444" customFormat="1" x14ac:dyDescent="0.15"/>
    <row r="445" customFormat="1" x14ac:dyDescent="0.15"/>
    <row r="446" customFormat="1" x14ac:dyDescent="0.15"/>
    <row r="447" customFormat="1" x14ac:dyDescent="0.15"/>
    <row r="448" customFormat="1" x14ac:dyDescent="0.15"/>
    <row r="449" customFormat="1" x14ac:dyDescent="0.15"/>
    <row r="450" customFormat="1" x14ac:dyDescent="0.15"/>
    <row r="451" customFormat="1" x14ac:dyDescent="0.15"/>
    <row r="452" customFormat="1" x14ac:dyDescent="0.15"/>
    <row r="453" customFormat="1" x14ac:dyDescent="0.15"/>
    <row r="454" customFormat="1" x14ac:dyDescent="0.15"/>
    <row r="455" customFormat="1" x14ac:dyDescent="0.15"/>
    <row r="456" customFormat="1" x14ac:dyDescent="0.15"/>
    <row r="457" customFormat="1" x14ac:dyDescent="0.15"/>
    <row r="458" customFormat="1" x14ac:dyDescent="0.15"/>
    <row r="459" customFormat="1" x14ac:dyDescent="0.15"/>
    <row r="460" customFormat="1" x14ac:dyDescent="0.15"/>
    <row r="461" customFormat="1" x14ac:dyDescent="0.15"/>
    <row r="462" customFormat="1" x14ac:dyDescent="0.15"/>
    <row r="463" customFormat="1" x14ac:dyDescent="0.15"/>
    <row r="464" customFormat="1" x14ac:dyDescent="0.15"/>
    <row r="465" customFormat="1" x14ac:dyDescent="0.15"/>
    <row r="466" customFormat="1" x14ac:dyDescent="0.15"/>
    <row r="467" customFormat="1" x14ac:dyDescent="0.15"/>
    <row r="468" customFormat="1" x14ac:dyDescent="0.15"/>
    <row r="469" customFormat="1" x14ac:dyDescent="0.15"/>
    <row r="470" customFormat="1" x14ac:dyDescent="0.15"/>
    <row r="471" customFormat="1" x14ac:dyDescent="0.15"/>
    <row r="472" customFormat="1" x14ac:dyDescent="0.15"/>
    <row r="473" customFormat="1" x14ac:dyDescent="0.15"/>
    <row r="474" customFormat="1" x14ac:dyDescent="0.15"/>
    <row r="475" customFormat="1" x14ac:dyDescent="0.15"/>
    <row r="476" customFormat="1" x14ac:dyDescent="0.15"/>
    <row r="477" customFormat="1" x14ac:dyDescent="0.15"/>
    <row r="478" customFormat="1" x14ac:dyDescent="0.15"/>
    <row r="479" customFormat="1" x14ac:dyDescent="0.15"/>
    <row r="480" customFormat="1" x14ac:dyDescent="0.15"/>
    <row r="481" customFormat="1" x14ac:dyDescent="0.15"/>
    <row r="482" customFormat="1" x14ac:dyDescent="0.15"/>
    <row r="483" customFormat="1" x14ac:dyDescent="0.15"/>
    <row r="484" customFormat="1" x14ac:dyDescent="0.15"/>
    <row r="485" customFormat="1" x14ac:dyDescent="0.15"/>
    <row r="486" customFormat="1" x14ac:dyDescent="0.15"/>
    <row r="487" customFormat="1" x14ac:dyDescent="0.15"/>
    <row r="488" customFormat="1" x14ac:dyDescent="0.15"/>
    <row r="489" customFormat="1" x14ac:dyDescent="0.15"/>
    <row r="490" customFormat="1" x14ac:dyDescent="0.15"/>
    <row r="491" customFormat="1" x14ac:dyDescent="0.15"/>
    <row r="492" customFormat="1" x14ac:dyDescent="0.15"/>
    <row r="493" customFormat="1" x14ac:dyDescent="0.15"/>
    <row r="494" customFormat="1" x14ac:dyDescent="0.15"/>
    <row r="495" customFormat="1" x14ac:dyDescent="0.15"/>
    <row r="496" customFormat="1" x14ac:dyDescent="0.15"/>
    <row r="497" customFormat="1" x14ac:dyDescent="0.15"/>
    <row r="498" customFormat="1" x14ac:dyDescent="0.15"/>
    <row r="499" customFormat="1" x14ac:dyDescent="0.15"/>
    <row r="500" customFormat="1" x14ac:dyDescent="0.15"/>
    <row r="501" customFormat="1" x14ac:dyDescent="0.15"/>
    <row r="502" customFormat="1" x14ac:dyDescent="0.15"/>
    <row r="503" customFormat="1" x14ac:dyDescent="0.15"/>
    <row r="504" customFormat="1" x14ac:dyDescent="0.15"/>
    <row r="505" customFormat="1" x14ac:dyDescent="0.15"/>
    <row r="506" customFormat="1" x14ac:dyDescent="0.15"/>
    <row r="507" customFormat="1" x14ac:dyDescent="0.15"/>
    <row r="508" customFormat="1" x14ac:dyDescent="0.15"/>
    <row r="509" customFormat="1" x14ac:dyDescent="0.15"/>
    <row r="510" customFormat="1" x14ac:dyDescent="0.15"/>
    <row r="511" customFormat="1" x14ac:dyDescent="0.15"/>
    <row r="512" customFormat="1" x14ac:dyDescent="0.15"/>
    <row r="513" customFormat="1" x14ac:dyDescent="0.15"/>
    <row r="514" customFormat="1" x14ac:dyDescent="0.15"/>
    <row r="515" customFormat="1" x14ac:dyDescent="0.15"/>
    <row r="516" customFormat="1" x14ac:dyDescent="0.15"/>
    <row r="517" customFormat="1" x14ac:dyDescent="0.15"/>
    <row r="518" customFormat="1" x14ac:dyDescent="0.15"/>
    <row r="519" customFormat="1" x14ac:dyDescent="0.15"/>
    <row r="520" customFormat="1" x14ac:dyDescent="0.15"/>
    <row r="521" customFormat="1" x14ac:dyDescent="0.15"/>
    <row r="522" customFormat="1" x14ac:dyDescent="0.15"/>
    <row r="523" customFormat="1" x14ac:dyDescent="0.15"/>
    <row r="524" customFormat="1" x14ac:dyDescent="0.15"/>
    <row r="525" customFormat="1" x14ac:dyDescent="0.15"/>
    <row r="526" customFormat="1" x14ac:dyDescent="0.15"/>
    <row r="527" customFormat="1" x14ac:dyDescent="0.15"/>
    <row r="528" customFormat="1" x14ac:dyDescent="0.15"/>
    <row r="529" customFormat="1" x14ac:dyDescent="0.15"/>
    <row r="530" customFormat="1" x14ac:dyDescent="0.15"/>
    <row r="531" customFormat="1" x14ac:dyDescent="0.15"/>
    <row r="532" customFormat="1" x14ac:dyDescent="0.15"/>
    <row r="533" customFormat="1" x14ac:dyDescent="0.15"/>
    <row r="534" customFormat="1" x14ac:dyDescent="0.15"/>
    <row r="535" customFormat="1" x14ac:dyDescent="0.15"/>
    <row r="536" customFormat="1" x14ac:dyDescent="0.15"/>
    <row r="537" customFormat="1" x14ac:dyDescent="0.15"/>
    <row r="538" customFormat="1" x14ac:dyDescent="0.15"/>
    <row r="539" customFormat="1" x14ac:dyDescent="0.15"/>
    <row r="540" customFormat="1" x14ac:dyDescent="0.15"/>
    <row r="541" customFormat="1" x14ac:dyDescent="0.15"/>
    <row r="542" customFormat="1" x14ac:dyDescent="0.15"/>
    <row r="543" customFormat="1" x14ac:dyDescent="0.15"/>
    <row r="544" customFormat="1" x14ac:dyDescent="0.15"/>
    <row r="545" customFormat="1" x14ac:dyDescent="0.15"/>
    <row r="546" customFormat="1" x14ac:dyDescent="0.15"/>
    <row r="547" customFormat="1" x14ac:dyDescent="0.15"/>
    <row r="548" customFormat="1" x14ac:dyDescent="0.15"/>
    <row r="549" customFormat="1" x14ac:dyDescent="0.15"/>
    <row r="550" customFormat="1" x14ac:dyDescent="0.15"/>
    <row r="551" customFormat="1" x14ac:dyDescent="0.15"/>
    <row r="552" customFormat="1" x14ac:dyDescent="0.15"/>
    <row r="553" customFormat="1" x14ac:dyDescent="0.15"/>
    <row r="554" customFormat="1" x14ac:dyDescent="0.15"/>
    <row r="555" customFormat="1" x14ac:dyDescent="0.15"/>
    <row r="556" customFormat="1" x14ac:dyDescent="0.15"/>
    <row r="557" customFormat="1" x14ac:dyDescent="0.15"/>
    <row r="558" customFormat="1" x14ac:dyDescent="0.15"/>
    <row r="559" customFormat="1" x14ac:dyDescent="0.15"/>
    <row r="560" customFormat="1" x14ac:dyDescent="0.15"/>
    <row r="561" customFormat="1" x14ac:dyDescent="0.15"/>
    <row r="562" customFormat="1" x14ac:dyDescent="0.15"/>
    <row r="563" customFormat="1" x14ac:dyDescent="0.15"/>
    <row r="564" customFormat="1" x14ac:dyDescent="0.15"/>
    <row r="565" customFormat="1" x14ac:dyDescent="0.15"/>
    <row r="566" customFormat="1" x14ac:dyDescent="0.15"/>
    <row r="567" customFormat="1" x14ac:dyDescent="0.15"/>
    <row r="568" customFormat="1" x14ac:dyDescent="0.15"/>
    <row r="569" customFormat="1" x14ac:dyDescent="0.15"/>
    <row r="570" customFormat="1" x14ac:dyDescent="0.15"/>
    <row r="571" customFormat="1" x14ac:dyDescent="0.15"/>
    <row r="572" customFormat="1" x14ac:dyDescent="0.15"/>
    <row r="573" customFormat="1" x14ac:dyDescent="0.15"/>
    <row r="574" customFormat="1" x14ac:dyDescent="0.15"/>
    <row r="575" customFormat="1" x14ac:dyDescent="0.15"/>
    <row r="576" customFormat="1" x14ac:dyDescent="0.15"/>
    <row r="577" customFormat="1" x14ac:dyDescent="0.15"/>
    <row r="578" customFormat="1" x14ac:dyDescent="0.15"/>
    <row r="579" customFormat="1" x14ac:dyDescent="0.15"/>
    <row r="580" customFormat="1" x14ac:dyDescent="0.15"/>
    <row r="581" customFormat="1" x14ac:dyDescent="0.15"/>
    <row r="582" customFormat="1" x14ac:dyDescent="0.15"/>
    <row r="583" customFormat="1" x14ac:dyDescent="0.15"/>
    <row r="584" customFormat="1" x14ac:dyDescent="0.15"/>
    <row r="585" customFormat="1" x14ac:dyDescent="0.15"/>
    <row r="586" customFormat="1" x14ac:dyDescent="0.15"/>
    <row r="587" customFormat="1" x14ac:dyDescent="0.15"/>
    <row r="588" customFormat="1" x14ac:dyDescent="0.15"/>
    <row r="589" customFormat="1" x14ac:dyDescent="0.15"/>
    <row r="590" customFormat="1" x14ac:dyDescent="0.15"/>
    <row r="591" customFormat="1" x14ac:dyDescent="0.15"/>
    <row r="592" customFormat="1" x14ac:dyDescent="0.15"/>
    <row r="593" customFormat="1" x14ac:dyDescent="0.15"/>
    <row r="594" customFormat="1" x14ac:dyDescent="0.15"/>
    <row r="595" customFormat="1" x14ac:dyDescent="0.15"/>
    <row r="596" customFormat="1" x14ac:dyDescent="0.15"/>
    <row r="597" customFormat="1" x14ac:dyDescent="0.15"/>
    <row r="598" customFormat="1" x14ac:dyDescent="0.15"/>
    <row r="599" customFormat="1" x14ac:dyDescent="0.15"/>
    <row r="600" customFormat="1" x14ac:dyDescent="0.15"/>
    <row r="601" customFormat="1" x14ac:dyDescent="0.15"/>
    <row r="602" customFormat="1" x14ac:dyDescent="0.15"/>
    <row r="603" customFormat="1" x14ac:dyDescent="0.15"/>
    <row r="604" customFormat="1" x14ac:dyDescent="0.15"/>
    <row r="605" customFormat="1" x14ac:dyDescent="0.15"/>
    <row r="606" customFormat="1" x14ac:dyDescent="0.15"/>
    <row r="607" customFormat="1" x14ac:dyDescent="0.15"/>
    <row r="608" customFormat="1" x14ac:dyDescent="0.15"/>
    <row r="609" customFormat="1" x14ac:dyDescent="0.15"/>
    <row r="610" customFormat="1" x14ac:dyDescent="0.15"/>
    <row r="611" customFormat="1" x14ac:dyDescent="0.15"/>
    <row r="612" customFormat="1" x14ac:dyDescent="0.15"/>
    <row r="613" customFormat="1" x14ac:dyDescent="0.15"/>
    <row r="614" customFormat="1" x14ac:dyDescent="0.15"/>
    <row r="615" customFormat="1" x14ac:dyDescent="0.15"/>
    <row r="616" customFormat="1" x14ac:dyDescent="0.15"/>
    <row r="617" customFormat="1" x14ac:dyDescent="0.15"/>
    <row r="618" customFormat="1" x14ac:dyDescent="0.15"/>
    <row r="619" customFormat="1" x14ac:dyDescent="0.15"/>
    <row r="620" customFormat="1" x14ac:dyDescent="0.15"/>
    <row r="621" customFormat="1" x14ac:dyDescent="0.15"/>
    <row r="622" customFormat="1" x14ac:dyDescent="0.15"/>
    <row r="623" customFormat="1" x14ac:dyDescent="0.15"/>
    <row r="624" customFormat="1" x14ac:dyDescent="0.15"/>
    <row r="625" customFormat="1" x14ac:dyDescent="0.15"/>
    <row r="626" customFormat="1" x14ac:dyDescent="0.15"/>
    <row r="627" customFormat="1" x14ac:dyDescent="0.15"/>
    <row r="628" customFormat="1" x14ac:dyDescent="0.15"/>
    <row r="629" customFormat="1" x14ac:dyDescent="0.15"/>
    <row r="630" customFormat="1" x14ac:dyDescent="0.15"/>
    <row r="631" customFormat="1" x14ac:dyDescent="0.15"/>
    <row r="632" customFormat="1" x14ac:dyDescent="0.15"/>
    <row r="633" customFormat="1" x14ac:dyDescent="0.15"/>
    <row r="634" customFormat="1" x14ac:dyDescent="0.15"/>
    <row r="635" customFormat="1" x14ac:dyDescent="0.15"/>
    <row r="636" customFormat="1" x14ac:dyDescent="0.15"/>
    <row r="637" customFormat="1" x14ac:dyDescent="0.15"/>
    <row r="638" customFormat="1" x14ac:dyDescent="0.15"/>
    <row r="639" customFormat="1" x14ac:dyDescent="0.15"/>
    <row r="640" customFormat="1" x14ac:dyDescent="0.15"/>
    <row r="641" customFormat="1" x14ac:dyDescent="0.15"/>
    <row r="642" customFormat="1" x14ac:dyDescent="0.15"/>
    <row r="643" customFormat="1" x14ac:dyDescent="0.15"/>
    <row r="644" customFormat="1" x14ac:dyDescent="0.15"/>
    <row r="645" customFormat="1" x14ac:dyDescent="0.15"/>
    <row r="646" customFormat="1" x14ac:dyDescent="0.15"/>
    <row r="647" customFormat="1" x14ac:dyDescent="0.15"/>
    <row r="648" customFormat="1" x14ac:dyDescent="0.15"/>
    <row r="649" customFormat="1" x14ac:dyDescent="0.15"/>
    <row r="650" customFormat="1" x14ac:dyDescent="0.15"/>
    <row r="651" customFormat="1" x14ac:dyDescent="0.15"/>
    <row r="652" customFormat="1" x14ac:dyDescent="0.15"/>
    <row r="653" customFormat="1" x14ac:dyDescent="0.15"/>
    <row r="654" customFormat="1" x14ac:dyDescent="0.15"/>
    <row r="655" customFormat="1" x14ac:dyDescent="0.15"/>
    <row r="656" customFormat="1" x14ac:dyDescent="0.15"/>
    <row r="657" customFormat="1" x14ac:dyDescent="0.15"/>
    <row r="658" customFormat="1" x14ac:dyDescent="0.15"/>
    <row r="659" customFormat="1" x14ac:dyDescent="0.15"/>
    <row r="660" customFormat="1" x14ac:dyDescent="0.15"/>
    <row r="661" customFormat="1" x14ac:dyDescent="0.15"/>
    <row r="662" customFormat="1" x14ac:dyDescent="0.15"/>
    <row r="663" customFormat="1" x14ac:dyDescent="0.15"/>
    <row r="664" customFormat="1" x14ac:dyDescent="0.15"/>
    <row r="665" customFormat="1" x14ac:dyDescent="0.15"/>
    <row r="666" customFormat="1" x14ac:dyDescent="0.15"/>
    <row r="667" customFormat="1" x14ac:dyDescent="0.15"/>
    <row r="668" customFormat="1" x14ac:dyDescent="0.15"/>
    <row r="669" customFormat="1" x14ac:dyDescent="0.15"/>
    <row r="670" customFormat="1" x14ac:dyDescent="0.15"/>
    <row r="671" customFormat="1" x14ac:dyDescent="0.15"/>
    <row r="672" customFormat="1" x14ac:dyDescent="0.15"/>
    <row r="673" customFormat="1" x14ac:dyDescent="0.15"/>
    <row r="674" customFormat="1" x14ac:dyDescent="0.15"/>
    <row r="675" customFormat="1" x14ac:dyDescent="0.15"/>
    <row r="676" customFormat="1" x14ac:dyDescent="0.15"/>
    <row r="677" customFormat="1" x14ac:dyDescent="0.15"/>
    <row r="678" customFormat="1" x14ac:dyDescent="0.15"/>
    <row r="679" customFormat="1" x14ac:dyDescent="0.15"/>
    <row r="680" customFormat="1" x14ac:dyDescent="0.15"/>
    <row r="681" customFormat="1" x14ac:dyDescent="0.15"/>
    <row r="682" customFormat="1" x14ac:dyDescent="0.15"/>
    <row r="683" customFormat="1" x14ac:dyDescent="0.15"/>
    <row r="684" customFormat="1" x14ac:dyDescent="0.15"/>
    <row r="685" customFormat="1" x14ac:dyDescent="0.15"/>
    <row r="686" customFormat="1" x14ac:dyDescent="0.15"/>
    <row r="687" customFormat="1" x14ac:dyDescent="0.15"/>
    <row r="688" customFormat="1" x14ac:dyDescent="0.15"/>
    <row r="689" customFormat="1" x14ac:dyDescent="0.15"/>
    <row r="690" customFormat="1" x14ac:dyDescent="0.15"/>
    <row r="691" customFormat="1" x14ac:dyDescent="0.15"/>
    <row r="692" customFormat="1" x14ac:dyDescent="0.15"/>
    <row r="693" customFormat="1" x14ac:dyDescent="0.15"/>
    <row r="694" customFormat="1" x14ac:dyDescent="0.15"/>
    <row r="695" customFormat="1" x14ac:dyDescent="0.15"/>
    <row r="696" customFormat="1" x14ac:dyDescent="0.15"/>
    <row r="697" customFormat="1" x14ac:dyDescent="0.15"/>
    <row r="698" customFormat="1" x14ac:dyDescent="0.15"/>
    <row r="699" customFormat="1" x14ac:dyDescent="0.15"/>
    <row r="700" customFormat="1" x14ac:dyDescent="0.15"/>
    <row r="701" customFormat="1" x14ac:dyDescent="0.15"/>
    <row r="702" customFormat="1" x14ac:dyDescent="0.15"/>
    <row r="703" customFormat="1" x14ac:dyDescent="0.15"/>
    <row r="704" customFormat="1" x14ac:dyDescent="0.15"/>
    <row r="705" customFormat="1" x14ac:dyDescent="0.15"/>
    <row r="706" customFormat="1" x14ac:dyDescent="0.15"/>
    <row r="707" customFormat="1" x14ac:dyDescent="0.15"/>
    <row r="708" customFormat="1" x14ac:dyDescent="0.15"/>
    <row r="709" customFormat="1" x14ac:dyDescent="0.15"/>
    <row r="710" customFormat="1" x14ac:dyDescent="0.15"/>
    <row r="711" customFormat="1" x14ac:dyDescent="0.15"/>
    <row r="712" customFormat="1" x14ac:dyDescent="0.15"/>
    <row r="713" customFormat="1" x14ac:dyDescent="0.15"/>
    <row r="714" customFormat="1" x14ac:dyDescent="0.15"/>
    <row r="715" customFormat="1" x14ac:dyDescent="0.15"/>
    <row r="716" customFormat="1" x14ac:dyDescent="0.15"/>
    <row r="717" customFormat="1" x14ac:dyDescent="0.15"/>
    <row r="718" customFormat="1" x14ac:dyDescent="0.15"/>
    <row r="719" customFormat="1" x14ac:dyDescent="0.15"/>
    <row r="720" customFormat="1" x14ac:dyDescent="0.15"/>
    <row r="721" customFormat="1" x14ac:dyDescent="0.15"/>
    <row r="722" customFormat="1" x14ac:dyDescent="0.15"/>
    <row r="723" customFormat="1" x14ac:dyDescent="0.15"/>
    <row r="724" customFormat="1" x14ac:dyDescent="0.15"/>
    <row r="725" customFormat="1" x14ac:dyDescent="0.15"/>
    <row r="726" customFormat="1" x14ac:dyDescent="0.15"/>
    <row r="727" customFormat="1" x14ac:dyDescent="0.15"/>
    <row r="728" customFormat="1" x14ac:dyDescent="0.15"/>
    <row r="729" customFormat="1" x14ac:dyDescent="0.15"/>
    <row r="730" customFormat="1" x14ac:dyDescent="0.15"/>
    <row r="731" customFormat="1" x14ac:dyDescent="0.15"/>
    <row r="732" customFormat="1" x14ac:dyDescent="0.15"/>
    <row r="733" customFormat="1" x14ac:dyDescent="0.15"/>
    <row r="734" customFormat="1" x14ac:dyDescent="0.15"/>
    <row r="735" customFormat="1" x14ac:dyDescent="0.15"/>
    <row r="736" customFormat="1" x14ac:dyDescent="0.15"/>
    <row r="737" customFormat="1" x14ac:dyDescent="0.15"/>
    <row r="738" customFormat="1" x14ac:dyDescent="0.15"/>
    <row r="739" customFormat="1" x14ac:dyDescent="0.15"/>
    <row r="740" customFormat="1" x14ac:dyDescent="0.15"/>
    <row r="741" customFormat="1" x14ac:dyDescent="0.15"/>
    <row r="742" customFormat="1" x14ac:dyDescent="0.15"/>
    <row r="743" customFormat="1" x14ac:dyDescent="0.15"/>
    <row r="744" customFormat="1" x14ac:dyDescent="0.15"/>
    <row r="745" customFormat="1" x14ac:dyDescent="0.15"/>
    <row r="746" customFormat="1" x14ac:dyDescent="0.15"/>
    <row r="747" customFormat="1" x14ac:dyDescent="0.15"/>
    <row r="748" customFormat="1" x14ac:dyDescent="0.15"/>
    <row r="749" customFormat="1" x14ac:dyDescent="0.15"/>
    <row r="750" customFormat="1" x14ac:dyDescent="0.15"/>
    <row r="751" customFormat="1" x14ac:dyDescent="0.15"/>
    <row r="752" customFormat="1" x14ac:dyDescent="0.15"/>
    <row r="753" customFormat="1" x14ac:dyDescent="0.15"/>
    <row r="754" customFormat="1" x14ac:dyDescent="0.15"/>
    <row r="755" customFormat="1" x14ac:dyDescent="0.15"/>
    <row r="756" customFormat="1" x14ac:dyDescent="0.15"/>
    <row r="757" customFormat="1" x14ac:dyDescent="0.15"/>
    <row r="758" customFormat="1" x14ac:dyDescent="0.15"/>
    <row r="759" customFormat="1" x14ac:dyDescent="0.15"/>
    <row r="760" customFormat="1" x14ac:dyDescent="0.15"/>
    <row r="761" customFormat="1" x14ac:dyDescent="0.15"/>
    <row r="762" customFormat="1" x14ac:dyDescent="0.15"/>
    <row r="763" customFormat="1" x14ac:dyDescent="0.15"/>
    <row r="764" customFormat="1" x14ac:dyDescent="0.15"/>
    <row r="765" customFormat="1" x14ac:dyDescent="0.15"/>
    <row r="766" customFormat="1" x14ac:dyDescent="0.15"/>
    <row r="767" customFormat="1" x14ac:dyDescent="0.15"/>
    <row r="768" customFormat="1" x14ac:dyDescent="0.15"/>
    <row r="769" customFormat="1" x14ac:dyDescent="0.15"/>
    <row r="770" customFormat="1" x14ac:dyDescent="0.15"/>
    <row r="771" customFormat="1" x14ac:dyDescent="0.15"/>
    <row r="772" customFormat="1" x14ac:dyDescent="0.15"/>
    <row r="773" customFormat="1" x14ac:dyDescent="0.15"/>
    <row r="774" customFormat="1" x14ac:dyDescent="0.15"/>
    <row r="775" customFormat="1" x14ac:dyDescent="0.15"/>
    <row r="776" customFormat="1" x14ac:dyDescent="0.15"/>
    <row r="777" customFormat="1" x14ac:dyDescent="0.15"/>
    <row r="778" customFormat="1" x14ac:dyDescent="0.15"/>
    <row r="779" customFormat="1" x14ac:dyDescent="0.15"/>
    <row r="780" customFormat="1" x14ac:dyDescent="0.15"/>
    <row r="781" customFormat="1" x14ac:dyDescent="0.15"/>
    <row r="782" customFormat="1" x14ac:dyDescent="0.15"/>
    <row r="783" customFormat="1" x14ac:dyDescent="0.15"/>
    <row r="784" customFormat="1" x14ac:dyDescent="0.15"/>
    <row r="785" customFormat="1" x14ac:dyDescent="0.15"/>
    <row r="786" customFormat="1" x14ac:dyDescent="0.15"/>
    <row r="787" customFormat="1" x14ac:dyDescent="0.15"/>
    <row r="788" customFormat="1" x14ac:dyDescent="0.15"/>
    <row r="789" customFormat="1" x14ac:dyDescent="0.15"/>
    <row r="790" customFormat="1" x14ac:dyDescent="0.15"/>
    <row r="791" customFormat="1" x14ac:dyDescent="0.15"/>
    <row r="792" customFormat="1" x14ac:dyDescent="0.15"/>
    <row r="793" customFormat="1" x14ac:dyDescent="0.15"/>
    <row r="794" customFormat="1" x14ac:dyDescent="0.15"/>
    <row r="795" customFormat="1" x14ac:dyDescent="0.15"/>
    <row r="796" customFormat="1" x14ac:dyDescent="0.15"/>
    <row r="797" customFormat="1" x14ac:dyDescent="0.15"/>
    <row r="798" customFormat="1" x14ac:dyDescent="0.15"/>
    <row r="799" customFormat="1" x14ac:dyDescent="0.15"/>
    <row r="800" customFormat="1" x14ac:dyDescent="0.15"/>
    <row r="801" customFormat="1" x14ac:dyDescent="0.15"/>
    <row r="802" customFormat="1" x14ac:dyDescent="0.15"/>
    <row r="803" customFormat="1" x14ac:dyDescent="0.15"/>
    <row r="804" customFormat="1" x14ac:dyDescent="0.15"/>
    <row r="805" customFormat="1" x14ac:dyDescent="0.15"/>
    <row r="806" customFormat="1" x14ac:dyDescent="0.15"/>
    <row r="807" customFormat="1" x14ac:dyDescent="0.15"/>
    <row r="808" customFormat="1" x14ac:dyDescent="0.15"/>
    <row r="809" customFormat="1" x14ac:dyDescent="0.15"/>
    <row r="810" customFormat="1" x14ac:dyDescent="0.15"/>
    <row r="811" customFormat="1" x14ac:dyDescent="0.15"/>
    <row r="812" customFormat="1" x14ac:dyDescent="0.15"/>
    <row r="813" customFormat="1" x14ac:dyDescent="0.15"/>
    <row r="814" customFormat="1" x14ac:dyDescent="0.15"/>
    <row r="815" customFormat="1" x14ac:dyDescent="0.15"/>
    <row r="816" customFormat="1" x14ac:dyDescent="0.15"/>
    <row r="817" customFormat="1" x14ac:dyDescent="0.15"/>
    <row r="818" customFormat="1" x14ac:dyDescent="0.15"/>
    <row r="819" customFormat="1" x14ac:dyDescent="0.15"/>
    <row r="820" customFormat="1" x14ac:dyDescent="0.15"/>
    <row r="821" customFormat="1" x14ac:dyDescent="0.15"/>
    <row r="822" customFormat="1" x14ac:dyDescent="0.15"/>
    <row r="823" customFormat="1" x14ac:dyDescent="0.15"/>
    <row r="824" customFormat="1" x14ac:dyDescent="0.15"/>
    <row r="825" customFormat="1" x14ac:dyDescent="0.15"/>
    <row r="826" customFormat="1" x14ac:dyDescent="0.15"/>
    <row r="827" customFormat="1" x14ac:dyDescent="0.15"/>
    <row r="828" customFormat="1" x14ac:dyDescent="0.15"/>
    <row r="829" customFormat="1" x14ac:dyDescent="0.15"/>
    <row r="830" customFormat="1" x14ac:dyDescent="0.15"/>
    <row r="831" customFormat="1" x14ac:dyDescent="0.15"/>
    <row r="832" customFormat="1" x14ac:dyDescent="0.15"/>
    <row r="833" customFormat="1" x14ac:dyDescent="0.15"/>
    <row r="834" customFormat="1" x14ac:dyDescent="0.15"/>
    <row r="835" customFormat="1" x14ac:dyDescent="0.15"/>
    <row r="836" customFormat="1" x14ac:dyDescent="0.15"/>
    <row r="837" customFormat="1" x14ac:dyDescent="0.15"/>
    <row r="838" customFormat="1" x14ac:dyDescent="0.15"/>
    <row r="839" customFormat="1" x14ac:dyDescent="0.15"/>
    <row r="840" customFormat="1" x14ac:dyDescent="0.15"/>
    <row r="841" customFormat="1" x14ac:dyDescent="0.15"/>
    <row r="842" customFormat="1" x14ac:dyDescent="0.15"/>
    <row r="843" customFormat="1" x14ac:dyDescent="0.15"/>
    <row r="844" customFormat="1" x14ac:dyDescent="0.15"/>
    <row r="845" customFormat="1" x14ac:dyDescent="0.15"/>
    <row r="846" customFormat="1" x14ac:dyDescent="0.15"/>
    <row r="847" customFormat="1" x14ac:dyDescent="0.15"/>
    <row r="848" customFormat="1" x14ac:dyDescent="0.15"/>
    <row r="849" customFormat="1" x14ac:dyDescent="0.15"/>
    <row r="850" customFormat="1" x14ac:dyDescent="0.15"/>
    <row r="851" customFormat="1" x14ac:dyDescent="0.15"/>
    <row r="852" customFormat="1" x14ac:dyDescent="0.15"/>
    <row r="853" customFormat="1" x14ac:dyDescent="0.15"/>
    <row r="854" customFormat="1" x14ac:dyDescent="0.15"/>
    <row r="855" customFormat="1" x14ac:dyDescent="0.15"/>
    <row r="856" customFormat="1" x14ac:dyDescent="0.15"/>
    <row r="857" customFormat="1" x14ac:dyDescent="0.15"/>
    <row r="858" customFormat="1" x14ac:dyDescent="0.15"/>
    <row r="859" customFormat="1" x14ac:dyDescent="0.15"/>
    <row r="860" customFormat="1" x14ac:dyDescent="0.15"/>
    <row r="861" customFormat="1" x14ac:dyDescent="0.15"/>
    <row r="862" customFormat="1" x14ac:dyDescent="0.15"/>
    <row r="863" customFormat="1" x14ac:dyDescent="0.15"/>
    <row r="864" customFormat="1" x14ac:dyDescent="0.15"/>
    <row r="865" customFormat="1" x14ac:dyDescent="0.15"/>
    <row r="866" customFormat="1" x14ac:dyDescent="0.15"/>
    <row r="867" customFormat="1" x14ac:dyDescent="0.15"/>
    <row r="868" customFormat="1" x14ac:dyDescent="0.15"/>
    <row r="869" customFormat="1" x14ac:dyDescent="0.15"/>
    <row r="870" customFormat="1" x14ac:dyDescent="0.15"/>
    <row r="871" customFormat="1" x14ac:dyDescent="0.15"/>
    <row r="872" customFormat="1" x14ac:dyDescent="0.15"/>
    <row r="873" customFormat="1" x14ac:dyDescent="0.15"/>
    <row r="874" customFormat="1" x14ac:dyDescent="0.15"/>
    <row r="875" customFormat="1" x14ac:dyDescent="0.15"/>
    <row r="876" customFormat="1" x14ac:dyDescent="0.15"/>
    <row r="877" customFormat="1" x14ac:dyDescent="0.15"/>
    <row r="878" customFormat="1" x14ac:dyDescent="0.15"/>
    <row r="879" customFormat="1" x14ac:dyDescent="0.15"/>
    <row r="880" customFormat="1" x14ac:dyDescent="0.15"/>
    <row r="881" customFormat="1" x14ac:dyDescent="0.15"/>
    <row r="882" customFormat="1" x14ac:dyDescent="0.15"/>
    <row r="883" customFormat="1" x14ac:dyDescent="0.15"/>
    <row r="884" customFormat="1" x14ac:dyDescent="0.15"/>
    <row r="885" customFormat="1" x14ac:dyDescent="0.15"/>
    <row r="886" customFormat="1" x14ac:dyDescent="0.15"/>
    <row r="887" customFormat="1" x14ac:dyDescent="0.15"/>
    <row r="888" customFormat="1" x14ac:dyDescent="0.15"/>
    <row r="889" customFormat="1" x14ac:dyDescent="0.15"/>
    <row r="890" customFormat="1" x14ac:dyDescent="0.15"/>
    <row r="891" customFormat="1" x14ac:dyDescent="0.15"/>
    <row r="892" customFormat="1" x14ac:dyDescent="0.15"/>
    <row r="893" customFormat="1" x14ac:dyDescent="0.15"/>
    <row r="894" customFormat="1" x14ac:dyDescent="0.15"/>
    <row r="895" customFormat="1" x14ac:dyDescent="0.15"/>
    <row r="896" customFormat="1" x14ac:dyDescent="0.15"/>
    <row r="897" customFormat="1" x14ac:dyDescent="0.15"/>
    <row r="898" customFormat="1" x14ac:dyDescent="0.15"/>
    <row r="899" customFormat="1" x14ac:dyDescent="0.15"/>
    <row r="900" customFormat="1" x14ac:dyDescent="0.15"/>
    <row r="901" customFormat="1" x14ac:dyDescent="0.15"/>
    <row r="902" customFormat="1" x14ac:dyDescent="0.15"/>
    <row r="903" customFormat="1" x14ac:dyDescent="0.15"/>
    <row r="904" customFormat="1" x14ac:dyDescent="0.15"/>
    <row r="905" customFormat="1" x14ac:dyDescent="0.15"/>
    <row r="906" customFormat="1" x14ac:dyDescent="0.15"/>
    <row r="907" customFormat="1" x14ac:dyDescent="0.15"/>
    <row r="908" customFormat="1" x14ac:dyDescent="0.15"/>
    <row r="909" customFormat="1" x14ac:dyDescent="0.15"/>
    <row r="910" customFormat="1" x14ac:dyDescent="0.15"/>
    <row r="911" customFormat="1" x14ac:dyDescent="0.15"/>
    <row r="912" customFormat="1" x14ac:dyDescent="0.15"/>
    <row r="913" customFormat="1" x14ac:dyDescent="0.15"/>
    <row r="914" customFormat="1" x14ac:dyDescent="0.15"/>
    <row r="915" customFormat="1" x14ac:dyDescent="0.15"/>
    <row r="916" customFormat="1" x14ac:dyDescent="0.15"/>
    <row r="917" customFormat="1" x14ac:dyDescent="0.15"/>
    <row r="918" customFormat="1" x14ac:dyDescent="0.15"/>
    <row r="919" customFormat="1" x14ac:dyDescent="0.15"/>
    <row r="920" customFormat="1" x14ac:dyDescent="0.15"/>
    <row r="921" customFormat="1" x14ac:dyDescent="0.15"/>
    <row r="922" customFormat="1" x14ac:dyDescent="0.15"/>
    <row r="923" customFormat="1" x14ac:dyDescent="0.15"/>
    <row r="924" customFormat="1" x14ac:dyDescent="0.15"/>
    <row r="925" customFormat="1" x14ac:dyDescent="0.15"/>
    <row r="926" customFormat="1" x14ac:dyDescent="0.15"/>
    <row r="927" customFormat="1" x14ac:dyDescent="0.15"/>
    <row r="928" customFormat="1" x14ac:dyDescent="0.15"/>
    <row r="929" customFormat="1" x14ac:dyDescent="0.15"/>
    <row r="930" customFormat="1" x14ac:dyDescent="0.15"/>
    <row r="931" customFormat="1" x14ac:dyDescent="0.15"/>
    <row r="932" customFormat="1" x14ac:dyDescent="0.15"/>
    <row r="933" customFormat="1" x14ac:dyDescent="0.15"/>
    <row r="934" customFormat="1" x14ac:dyDescent="0.15"/>
    <row r="935" customFormat="1" x14ac:dyDescent="0.15"/>
    <row r="936" customFormat="1" x14ac:dyDescent="0.15"/>
    <row r="937" customFormat="1" x14ac:dyDescent="0.15"/>
    <row r="938" customFormat="1" x14ac:dyDescent="0.15"/>
    <row r="939" customFormat="1" x14ac:dyDescent="0.15"/>
    <row r="940" customFormat="1" x14ac:dyDescent="0.15"/>
    <row r="941" customFormat="1" x14ac:dyDescent="0.15"/>
    <row r="942" customFormat="1" x14ac:dyDescent="0.15"/>
    <row r="943" customFormat="1" x14ac:dyDescent="0.15"/>
    <row r="944" customFormat="1" x14ac:dyDescent="0.15"/>
    <row r="945" customFormat="1" x14ac:dyDescent="0.15"/>
    <row r="946" customFormat="1" x14ac:dyDescent="0.15"/>
    <row r="947" customFormat="1" x14ac:dyDescent="0.15"/>
    <row r="948" customFormat="1" x14ac:dyDescent="0.15"/>
    <row r="949" customFormat="1" x14ac:dyDescent="0.15"/>
    <row r="950" customFormat="1" x14ac:dyDescent="0.15"/>
    <row r="951" customFormat="1" x14ac:dyDescent="0.15"/>
    <row r="952" customFormat="1" x14ac:dyDescent="0.15"/>
    <row r="953" customFormat="1" x14ac:dyDescent="0.15"/>
    <row r="954" customFormat="1" x14ac:dyDescent="0.15"/>
    <row r="955" customFormat="1" x14ac:dyDescent="0.15"/>
    <row r="956" customFormat="1" x14ac:dyDescent="0.15"/>
    <row r="957" customFormat="1" x14ac:dyDescent="0.15"/>
    <row r="958" customFormat="1" x14ac:dyDescent="0.15"/>
    <row r="959" customFormat="1" x14ac:dyDescent="0.15"/>
    <row r="960" customFormat="1" x14ac:dyDescent="0.15"/>
    <row r="961" customFormat="1" x14ac:dyDescent="0.15"/>
    <row r="962" customFormat="1" x14ac:dyDescent="0.15"/>
    <row r="963" customFormat="1" x14ac:dyDescent="0.15"/>
    <row r="964" customFormat="1" x14ac:dyDescent="0.15"/>
    <row r="965" customFormat="1" x14ac:dyDescent="0.15"/>
    <row r="966" customFormat="1" x14ac:dyDescent="0.15"/>
    <row r="967" customFormat="1" x14ac:dyDescent="0.15"/>
    <row r="968" customFormat="1" x14ac:dyDescent="0.15"/>
    <row r="969" customFormat="1" x14ac:dyDescent="0.15"/>
    <row r="970" customFormat="1" x14ac:dyDescent="0.15"/>
    <row r="971" customFormat="1" x14ac:dyDescent="0.15"/>
    <row r="972" customFormat="1" x14ac:dyDescent="0.15"/>
    <row r="973" customFormat="1" x14ac:dyDescent="0.15"/>
    <row r="974" customFormat="1" x14ac:dyDescent="0.15"/>
    <row r="975" customFormat="1" x14ac:dyDescent="0.15"/>
    <row r="976" customFormat="1" x14ac:dyDescent="0.15"/>
    <row r="977" customFormat="1" x14ac:dyDescent="0.15"/>
    <row r="978" customFormat="1" x14ac:dyDescent="0.15"/>
    <row r="979" customFormat="1" x14ac:dyDescent="0.15"/>
    <row r="980" customFormat="1" x14ac:dyDescent="0.15"/>
    <row r="981" customFormat="1" x14ac:dyDescent="0.15"/>
    <row r="982" customFormat="1" x14ac:dyDescent="0.15"/>
    <row r="983" customFormat="1" x14ac:dyDescent="0.15"/>
    <row r="984" customFormat="1" x14ac:dyDescent="0.15"/>
    <row r="985" customFormat="1" x14ac:dyDescent="0.15"/>
    <row r="986" customFormat="1" x14ac:dyDescent="0.15"/>
    <row r="987" customFormat="1" x14ac:dyDescent="0.15"/>
    <row r="988" customFormat="1" x14ac:dyDescent="0.15"/>
    <row r="989" customFormat="1" x14ac:dyDescent="0.15"/>
    <row r="990" customFormat="1" x14ac:dyDescent="0.15"/>
    <row r="991" customFormat="1" x14ac:dyDescent="0.15"/>
    <row r="992" customFormat="1" x14ac:dyDescent="0.15"/>
    <row r="993" customFormat="1" x14ac:dyDescent="0.15"/>
    <row r="994" customFormat="1" x14ac:dyDescent="0.15"/>
    <row r="995" customFormat="1" x14ac:dyDescent="0.15"/>
    <row r="996" customFormat="1" x14ac:dyDescent="0.15"/>
    <row r="997" customFormat="1" x14ac:dyDescent="0.15"/>
    <row r="998" customFormat="1" x14ac:dyDescent="0.15"/>
    <row r="999" customFormat="1" x14ac:dyDescent="0.15"/>
    <row r="1000" customFormat="1" x14ac:dyDescent="0.15"/>
    <row r="1001" customFormat="1" x14ac:dyDescent="0.15"/>
    <row r="1002" customFormat="1" x14ac:dyDescent="0.15"/>
    <row r="1003" customFormat="1" x14ac:dyDescent="0.15"/>
    <row r="1004" customFormat="1" x14ac:dyDescent="0.15"/>
    <row r="1005" customFormat="1" x14ac:dyDescent="0.15"/>
    <row r="1006" customFormat="1" x14ac:dyDescent="0.15"/>
    <row r="1007" customFormat="1" x14ac:dyDescent="0.15"/>
    <row r="1008" customFormat="1" x14ac:dyDescent="0.15"/>
    <row r="1009" customFormat="1" x14ac:dyDescent="0.15"/>
    <row r="1010" customFormat="1" x14ac:dyDescent="0.15"/>
    <row r="1011" customFormat="1" x14ac:dyDescent="0.15"/>
    <row r="1012" customFormat="1" x14ac:dyDescent="0.15"/>
    <row r="1013" customFormat="1" x14ac:dyDescent="0.15"/>
    <row r="1014" customFormat="1" x14ac:dyDescent="0.15"/>
    <row r="1015" customFormat="1" x14ac:dyDescent="0.15"/>
    <row r="1016" customFormat="1" x14ac:dyDescent="0.15"/>
    <row r="1017" customFormat="1" x14ac:dyDescent="0.15"/>
    <row r="1018" customFormat="1" x14ac:dyDescent="0.15"/>
    <row r="1019" customFormat="1" x14ac:dyDescent="0.15"/>
    <row r="1020" customFormat="1" x14ac:dyDescent="0.15"/>
    <row r="1021" customFormat="1" x14ac:dyDescent="0.15"/>
    <row r="1022" customFormat="1" x14ac:dyDescent="0.15"/>
    <row r="1023" customFormat="1" x14ac:dyDescent="0.15"/>
    <row r="1024" customFormat="1" x14ac:dyDescent="0.15"/>
    <row r="1025" customFormat="1" x14ac:dyDescent="0.15"/>
    <row r="1026" customFormat="1" x14ac:dyDescent="0.15"/>
    <row r="1027" customFormat="1" x14ac:dyDescent="0.15"/>
    <row r="1028" customFormat="1" x14ac:dyDescent="0.15"/>
    <row r="1029" customFormat="1" x14ac:dyDescent="0.15"/>
    <row r="1030" customFormat="1" x14ac:dyDescent="0.15"/>
    <row r="1031" customFormat="1" x14ac:dyDescent="0.15"/>
    <row r="1032" customFormat="1" x14ac:dyDescent="0.15"/>
    <row r="1033" customFormat="1" x14ac:dyDescent="0.15"/>
    <row r="1034" customFormat="1" x14ac:dyDescent="0.15"/>
    <row r="1035" customFormat="1" x14ac:dyDescent="0.15"/>
    <row r="1036" customFormat="1" x14ac:dyDescent="0.15"/>
    <row r="1037" customFormat="1" x14ac:dyDescent="0.15"/>
    <row r="1038" customFormat="1" x14ac:dyDescent="0.15"/>
    <row r="1039" customFormat="1" x14ac:dyDescent="0.15"/>
    <row r="1040" customFormat="1" x14ac:dyDescent="0.15"/>
    <row r="1041" customFormat="1" x14ac:dyDescent="0.15"/>
    <row r="1042" customFormat="1" x14ac:dyDescent="0.15"/>
    <row r="1043" customFormat="1" x14ac:dyDescent="0.15"/>
    <row r="1044" customFormat="1" x14ac:dyDescent="0.15"/>
    <row r="1045" customFormat="1" x14ac:dyDescent="0.15"/>
    <row r="1046" customFormat="1" x14ac:dyDescent="0.15"/>
    <row r="1047" customFormat="1" x14ac:dyDescent="0.15"/>
    <row r="1048" customFormat="1" x14ac:dyDescent="0.15"/>
    <row r="1049" customFormat="1" x14ac:dyDescent="0.15"/>
    <row r="1050" customFormat="1" x14ac:dyDescent="0.15"/>
    <row r="1051" customFormat="1" x14ac:dyDescent="0.15"/>
    <row r="1052" customFormat="1" x14ac:dyDescent="0.15"/>
    <row r="1053" customFormat="1" x14ac:dyDescent="0.15"/>
    <row r="1054" customFormat="1" x14ac:dyDescent="0.15"/>
    <row r="1055" customFormat="1" x14ac:dyDescent="0.15"/>
    <row r="1056" customFormat="1" x14ac:dyDescent="0.15"/>
    <row r="1057" customFormat="1" x14ac:dyDescent="0.15"/>
    <row r="1058" customFormat="1" x14ac:dyDescent="0.15"/>
    <row r="1059" customFormat="1" x14ac:dyDescent="0.15"/>
    <row r="1060" customFormat="1" x14ac:dyDescent="0.15"/>
    <row r="1061" customFormat="1" x14ac:dyDescent="0.15"/>
    <row r="1062" customFormat="1" x14ac:dyDescent="0.15"/>
    <row r="1063" customFormat="1" x14ac:dyDescent="0.15"/>
    <row r="1064" customFormat="1" x14ac:dyDescent="0.15"/>
    <row r="1065" customFormat="1" x14ac:dyDescent="0.15"/>
    <row r="1066" customFormat="1" x14ac:dyDescent="0.15"/>
    <row r="1067" customFormat="1" x14ac:dyDescent="0.15"/>
    <row r="1068" customFormat="1" x14ac:dyDescent="0.15"/>
    <row r="1069" customFormat="1" x14ac:dyDescent="0.15"/>
    <row r="1070" customFormat="1" x14ac:dyDescent="0.15"/>
    <row r="1071" customFormat="1" x14ac:dyDescent="0.15"/>
    <row r="1072" customFormat="1" x14ac:dyDescent="0.15"/>
    <row r="1073" customFormat="1" x14ac:dyDescent="0.15"/>
    <row r="1074" customFormat="1" x14ac:dyDescent="0.15"/>
    <row r="1075" customFormat="1" x14ac:dyDescent="0.15"/>
    <row r="1076" customFormat="1" x14ac:dyDescent="0.15"/>
    <row r="1077" customFormat="1" x14ac:dyDescent="0.15"/>
    <row r="1078" customFormat="1" x14ac:dyDescent="0.15"/>
    <row r="1079" customFormat="1" x14ac:dyDescent="0.15"/>
    <row r="1080" customFormat="1" x14ac:dyDescent="0.15"/>
    <row r="1081" customFormat="1" x14ac:dyDescent="0.15"/>
    <row r="1082" customFormat="1" x14ac:dyDescent="0.15"/>
    <row r="1083" customFormat="1" x14ac:dyDescent="0.15"/>
    <row r="1084" customFormat="1" x14ac:dyDescent="0.15"/>
    <row r="1085" customFormat="1" x14ac:dyDescent="0.15"/>
    <row r="1086" customFormat="1" x14ac:dyDescent="0.15"/>
    <row r="1087" customFormat="1" x14ac:dyDescent="0.15"/>
    <row r="1088" customFormat="1" x14ac:dyDescent="0.15"/>
    <row r="1089" customFormat="1" x14ac:dyDescent="0.15"/>
    <row r="1090" customFormat="1" x14ac:dyDescent="0.15"/>
    <row r="1091" customFormat="1" x14ac:dyDescent="0.15"/>
    <row r="1092" customFormat="1" x14ac:dyDescent="0.15"/>
    <row r="1093" customFormat="1" x14ac:dyDescent="0.15"/>
    <row r="1094" customFormat="1" x14ac:dyDescent="0.15"/>
    <row r="1095" customFormat="1" x14ac:dyDescent="0.15"/>
    <row r="1096" customFormat="1" x14ac:dyDescent="0.15"/>
    <row r="1097" customFormat="1" x14ac:dyDescent="0.15"/>
    <row r="1098" customFormat="1" x14ac:dyDescent="0.15"/>
    <row r="1099" customFormat="1" x14ac:dyDescent="0.15"/>
    <row r="1100" customFormat="1" x14ac:dyDescent="0.15"/>
    <row r="1101" customFormat="1" x14ac:dyDescent="0.15"/>
    <row r="1102" customFormat="1" x14ac:dyDescent="0.15"/>
    <row r="1103" customFormat="1" x14ac:dyDescent="0.15"/>
    <row r="1104" customFormat="1" x14ac:dyDescent="0.15"/>
    <row r="1105" customFormat="1" x14ac:dyDescent="0.15"/>
    <row r="1106" customFormat="1" x14ac:dyDescent="0.15"/>
    <row r="1107" customFormat="1" x14ac:dyDescent="0.15"/>
    <row r="1108" customFormat="1" x14ac:dyDescent="0.15"/>
    <row r="1109" customFormat="1" x14ac:dyDescent="0.15"/>
    <row r="1110" customFormat="1" x14ac:dyDescent="0.15"/>
    <row r="1111" customFormat="1" x14ac:dyDescent="0.15"/>
    <row r="1112" customFormat="1" x14ac:dyDescent="0.15"/>
    <row r="1113" customFormat="1" x14ac:dyDescent="0.15"/>
    <row r="1114" customFormat="1" x14ac:dyDescent="0.15"/>
    <row r="1115" customFormat="1" x14ac:dyDescent="0.15"/>
    <row r="1116" customFormat="1" x14ac:dyDescent="0.15"/>
    <row r="1117" customFormat="1" x14ac:dyDescent="0.15"/>
    <row r="1118" customFormat="1" x14ac:dyDescent="0.15"/>
    <row r="1119" customFormat="1" x14ac:dyDescent="0.15"/>
    <row r="1120" customFormat="1" x14ac:dyDescent="0.15"/>
    <row r="1121" customFormat="1" x14ac:dyDescent="0.15"/>
    <row r="1122" customFormat="1" x14ac:dyDescent="0.15"/>
    <row r="1123" customFormat="1" x14ac:dyDescent="0.15"/>
    <row r="1124" customFormat="1" x14ac:dyDescent="0.15"/>
    <row r="1125" customFormat="1" x14ac:dyDescent="0.15"/>
    <row r="1126" customFormat="1" x14ac:dyDescent="0.15"/>
    <row r="1127" customFormat="1" x14ac:dyDescent="0.15"/>
    <row r="1128" customFormat="1" x14ac:dyDescent="0.15"/>
    <row r="1129" customFormat="1" x14ac:dyDescent="0.15"/>
    <row r="1130" customFormat="1" x14ac:dyDescent="0.15"/>
    <row r="1131" customFormat="1" x14ac:dyDescent="0.15"/>
    <row r="1132" customFormat="1" x14ac:dyDescent="0.15"/>
    <row r="1133" customFormat="1" x14ac:dyDescent="0.15"/>
    <row r="1134" customFormat="1" x14ac:dyDescent="0.15"/>
    <row r="1135" customFormat="1" x14ac:dyDescent="0.15"/>
    <row r="1136" customFormat="1" x14ac:dyDescent="0.15"/>
    <row r="1137" customFormat="1" x14ac:dyDescent="0.15"/>
    <row r="1138" customFormat="1" x14ac:dyDescent="0.15"/>
    <row r="1139" customFormat="1" x14ac:dyDescent="0.15"/>
    <row r="1140" customFormat="1" x14ac:dyDescent="0.15"/>
    <row r="1141" customFormat="1" x14ac:dyDescent="0.15"/>
    <row r="1142" customFormat="1" x14ac:dyDescent="0.15"/>
    <row r="1143" customFormat="1" x14ac:dyDescent="0.15"/>
    <row r="1144" customFormat="1" x14ac:dyDescent="0.15"/>
    <row r="1145" customFormat="1" x14ac:dyDescent="0.15"/>
    <row r="1146" customFormat="1" x14ac:dyDescent="0.15"/>
    <row r="1147" customFormat="1" x14ac:dyDescent="0.15"/>
    <row r="1148" customFormat="1" x14ac:dyDescent="0.15"/>
    <row r="1149" customFormat="1" x14ac:dyDescent="0.15"/>
    <row r="1150" customFormat="1" x14ac:dyDescent="0.15"/>
    <row r="1151" customFormat="1" x14ac:dyDescent="0.15"/>
    <row r="1152" customFormat="1" x14ac:dyDescent="0.15"/>
    <row r="1153" customFormat="1" x14ac:dyDescent="0.15"/>
    <row r="1154" customFormat="1" x14ac:dyDescent="0.15"/>
    <row r="1155" customFormat="1" x14ac:dyDescent="0.15"/>
    <row r="1156" customFormat="1" x14ac:dyDescent="0.15"/>
    <row r="1157" customFormat="1" x14ac:dyDescent="0.15"/>
    <row r="1158" customFormat="1" x14ac:dyDescent="0.15"/>
    <row r="1159" customFormat="1" x14ac:dyDescent="0.15"/>
    <row r="1160" customFormat="1" x14ac:dyDescent="0.15"/>
    <row r="1161" customFormat="1" x14ac:dyDescent="0.15"/>
    <row r="1162" customFormat="1" x14ac:dyDescent="0.15"/>
    <row r="1163" customFormat="1" x14ac:dyDescent="0.15"/>
    <row r="1164" customFormat="1" x14ac:dyDescent="0.15"/>
    <row r="1165" customFormat="1" x14ac:dyDescent="0.15"/>
    <row r="1166" customFormat="1" x14ac:dyDescent="0.15"/>
    <row r="1167" customFormat="1" x14ac:dyDescent="0.15"/>
    <row r="1168" customFormat="1" x14ac:dyDescent="0.15"/>
    <row r="1169" customFormat="1" x14ac:dyDescent="0.15"/>
    <row r="1170" customFormat="1" x14ac:dyDescent="0.15"/>
    <row r="1171" customFormat="1" x14ac:dyDescent="0.15"/>
    <row r="1172" customFormat="1" x14ac:dyDescent="0.15"/>
    <row r="1173" customFormat="1" x14ac:dyDescent="0.15"/>
    <row r="1174" customFormat="1" x14ac:dyDescent="0.15"/>
    <row r="1175" customFormat="1" x14ac:dyDescent="0.15"/>
    <row r="1176" customFormat="1" x14ac:dyDescent="0.15"/>
    <row r="1177" customFormat="1" x14ac:dyDescent="0.15"/>
    <row r="1178" customFormat="1" x14ac:dyDescent="0.15"/>
    <row r="1179" customFormat="1" x14ac:dyDescent="0.15"/>
    <row r="1180" customFormat="1" x14ac:dyDescent="0.15"/>
    <row r="1181" customFormat="1" x14ac:dyDescent="0.15"/>
    <row r="1182" customFormat="1" x14ac:dyDescent="0.15"/>
    <row r="1183" customFormat="1" x14ac:dyDescent="0.15"/>
    <row r="1184" customFormat="1" x14ac:dyDescent="0.15"/>
    <row r="1185" customFormat="1" x14ac:dyDescent="0.15"/>
    <row r="1186" customFormat="1" x14ac:dyDescent="0.15"/>
    <row r="1187" customFormat="1" x14ac:dyDescent="0.15"/>
    <row r="1188" customFormat="1" x14ac:dyDescent="0.15"/>
    <row r="1189" customFormat="1" x14ac:dyDescent="0.15"/>
    <row r="1190" customFormat="1" x14ac:dyDescent="0.15"/>
    <row r="1191" customFormat="1" x14ac:dyDescent="0.15"/>
    <row r="1192" customFormat="1" x14ac:dyDescent="0.15"/>
    <row r="1193" customFormat="1" x14ac:dyDescent="0.15"/>
    <row r="1194" customFormat="1" x14ac:dyDescent="0.15"/>
    <row r="1195" customFormat="1" x14ac:dyDescent="0.15"/>
    <row r="1196" customFormat="1" x14ac:dyDescent="0.15"/>
    <row r="1197" customFormat="1" x14ac:dyDescent="0.15"/>
    <row r="1198" customFormat="1" x14ac:dyDescent="0.15"/>
    <row r="1199" customFormat="1" x14ac:dyDescent="0.15"/>
    <row r="1200" customFormat="1" x14ac:dyDescent="0.15"/>
    <row r="1201" customFormat="1" x14ac:dyDescent="0.15"/>
    <row r="1202" customFormat="1" x14ac:dyDescent="0.15"/>
    <row r="1203" customFormat="1" x14ac:dyDescent="0.15"/>
    <row r="1204" customFormat="1" x14ac:dyDescent="0.15"/>
    <row r="1205" customFormat="1" x14ac:dyDescent="0.15"/>
    <row r="1206" customFormat="1" x14ac:dyDescent="0.15"/>
    <row r="1207" customFormat="1" x14ac:dyDescent="0.15"/>
    <row r="1208" customFormat="1" x14ac:dyDescent="0.15"/>
    <row r="1209" customFormat="1" x14ac:dyDescent="0.15"/>
    <row r="1210" customFormat="1" x14ac:dyDescent="0.15"/>
    <row r="1211" customFormat="1" x14ac:dyDescent="0.15"/>
    <row r="1212" customFormat="1" x14ac:dyDescent="0.15"/>
    <row r="1213" customFormat="1" x14ac:dyDescent="0.15"/>
    <row r="1214" customFormat="1" x14ac:dyDescent="0.15"/>
    <row r="1215" customFormat="1" x14ac:dyDescent="0.15"/>
    <row r="1216" customFormat="1" x14ac:dyDescent="0.15"/>
    <row r="1217" customFormat="1" x14ac:dyDescent="0.15"/>
    <row r="1218" customFormat="1" x14ac:dyDescent="0.15"/>
    <row r="1219" customFormat="1" x14ac:dyDescent="0.15"/>
    <row r="1220" customFormat="1" x14ac:dyDescent="0.15"/>
    <row r="1221" customFormat="1" x14ac:dyDescent="0.15"/>
    <row r="1222" customFormat="1" x14ac:dyDescent="0.15"/>
    <row r="1223" customFormat="1" x14ac:dyDescent="0.15"/>
    <row r="1224" customFormat="1" x14ac:dyDescent="0.15"/>
    <row r="1225" customFormat="1" x14ac:dyDescent="0.15"/>
    <row r="1226" customFormat="1" x14ac:dyDescent="0.15"/>
    <row r="1227" customFormat="1" x14ac:dyDescent="0.15"/>
    <row r="1228" customFormat="1" x14ac:dyDescent="0.15"/>
    <row r="1229" customFormat="1" x14ac:dyDescent="0.15"/>
    <row r="1230" customFormat="1" x14ac:dyDescent="0.15"/>
    <row r="1231" customFormat="1" x14ac:dyDescent="0.15"/>
    <row r="1232" customFormat="1" x14ac:dyDescent="0.15"/>
    <row r="1233" customFormat="1" x14ac:dyDescent="0.15"/>
    <row r="1234" customFormat="1" x14ac:dyDescent="0.15"/>
    <row r="1235" customFormat="1" x14ac:dyDescent="0.15"/>
    <row r="1236" customFormat="1" x14ac:dyDescent="0.15"/>
    <row r="1237" customFormat="1" x14ac:dyDescent="0.15"/>
    <row r="1238" customFormat="1" x14ac:dyDescent="0.15"/>
    <row r="1239" customFormat="1" x14ac:dyDescent="0.15"/>
    <row r="1240" customFormat="1" x14ac:dyDescent="0.15"/>
    <row r="1241" customFormat="1" x14ac:dyDescent="0.15"/>
    <row r="1242" customFormat="1" x14ac:dyDescent="0.15"/>
    <row r="1243" customFormat="1" x14ac:dyDescent="0.15"/>
    <row r="1244" customFormat="1" x14ac:dyDescent="0.15"/>
    <row r="1245" customFormat="1" x14ac:dyDescent="0.15"/>
    <row r="1246" customFormat="1" x14ac:dyDescent="0.15"/>
    <row r="1247" customFormat="1" x14ac:dyDescent="0.15"/>
    <row r="1248" customFormat="1" x14ac:dyDescent="0.15"/>
    <row r="1249" customFormat="1" x14ac:dyDescent="0.15"/>
    <row r="1250" customFormat="1" x14ac:dyDescent="0.15"/>
    <row r="1251" customFormat="1" x14ac:dyDescent="0.15"/>
    <row r="1252" customFormat="1" x14ac:dyDescent="0.15"/>
    <row r="1253" customFormat="1" x14ac:dyDescent="0.15"/>
    <row r="1254" customFormat="1" x14ac:dyDescent="0.15"/>
    <row r="1255" customFormat="1" x14ac:dyDescent="0.15"/>
    <row r="1256" customFormat="1" x14ac:dyDescent="0.15"/>
    <row r="1257" customFormat="1" x14ac:dyDescent="0.15"/>
    <row r="1258" customFormat="1" x14ac:dyDescent="0.15"/>
    <row r="1259" customFormat="1" x14ac:dyDescent="0.15"/>
    <row r="1260" customFormat="1" x14ac:dyDescent="0.15"/>
    <row r="1261" customFormat="1" x14ac:dyDescent="0.15"/>
    <row r="1262" customFormat="1" x14ac:dyDescent="0.15"/>
    <row r="1263" customFormat="1" x14ac:dyDescent="0.15"/>
    <row r="1264" customFormat="1" x14ac:dyDescent="0.15"/>
    <row r="1265" customFormat="1" x14ac:dyDescent="0.15"/>
    <row r="1266" customFormat="1" x14ac:dyDescent="0.15"/>
    <row r="1267" customFormat="1" x14ac:dyDescent="0.15"/>
    <row r="1268" customFormat="1" x14ac:dyDescent="0.15"/>
    <row r="1269" customFormat="1" x14ac:dyDescent="0.15"/>
    <row r="1270" customFormat="1" x14ac:dyDescent="0.15"/>
    <row r="1271" customFormat="1" x14ac:dyDescent="0.15"/>
    <row r="1272" customFormat="1" x14ac:dyDescent="0.15"/>
    <row r="1273" customFormat="1" x14ac:dyDescent="0.15"/>
    <row r="1274" customFormat="1" x14ac:dyDescent="0.15"/>
    <row r="1275" customFormat="1" x14ac:dyDescent="0.15"/>
    <row r="1276" customFormat="1" x14ac:dyDescent="0.15"/>
    <row r="1277" customFormat="1" x14ac:dyDescent="0.15"/>
    <row r="1278" customFormat="1" x14ac:dyDescent="0.15"/>
    <row r="1279" customFormat="1" x14ac:dyDescent="0.15"/>
    <row r="1280" customFormat="1" x14ac:dyDescent="0.15"/>
    <row r="1281" customFormat="1" x14ac:dyDescent="0.15"/>
    <row r="1282" customFormat="1" x14ac:dyDescent="0.15"/>
    <row r="1283" customFormat="1" x14ac:dyDescent="0.15"/>
    <row r="1284" customFormat="1" x14ac:dyDescent="0.15"/>
    <row r="1285" customFormat="1" x14ac:dyDescent="0.15"/>
    <row r="1286" customFormat="1" x14ac:dyDescent="0.15"/>
    <row r="1287" customFormat="1" x14ac:dyDescent="0.15"/>
    <row r="1288" customFormat="1" x14ac:dyDescent="0.15"/>
    <row r="1289" customFormat="1" x14ac:dyDescent="0.15"/>
    <row r="1290" customFormat="1" x14ac:dyDescent="0.15"/>
    <row r="1291" customFormat="1" x14ac:dyDescent="0.15"/>
    <row r="1292" customFormat="1" x14ac:dyDescent="0.15"/>
    <row r="1293" customFormat="1" x14ac:dyDescent="0.15"/>
    <row r="1294" customFormat="1" x14ac:dyDescent="0.15"/>
    <row r="1295" customFormat="1" x14ac:dyDescent="0.15"/>
    <row r="1296" customFormat="1" x14ac:dyDescent="0.15"/>
    <row r="1297" customFormat="1" x14ac:dyDescent="0.15"/>
    <row r="1298" customFormat="1" x14ac:dyDescent="0.15"/>
    <row r="1299" customFormat="1" x14ac:dyDescent="0.15"/>
    <row r="1300" customFormat="1" x14ac:dyDescent="0.15"/>
    <row r="1301" customFormat="1" x14ac:dyDescent="0.15"/>
    <row r="1302" customFormat="1" x14ac:dyDescent="0.15"/>
    <row r="1303" customFormat="1" x14ac:dyDescent="0.15"/>
    <row r="1304" customFormat="1" x14ac:dyDescent="0.15"/>
    <row r="1305" customFormat="1" x14ac:dyDescent="0.15"/>
    <row r="1306" customFormat="1" x14ac:dyDescent="0.15"/>
    <row r="1307" customFormat="1" x14ac:dyDescent="0.15"/>
    <row r="1308" customFormat="1" x14ac:dyDescent="0.15"/>
    <row r="1309" customFormat="1" x14ac:dyDescent="0.15"/>
    <row r="1310" customFormat="1" x14ac:dyDescent="0.15"/>
    <row r="1311" customFormat="1" x14ac:dyDescent="0.15"/>
    <row r="1312" customFormat="1" x14ac:dyDescent="0.15"/>
    <row r="1313" customFormat="1" x14ac:dyDescent="0.15"/>
    <row r="1314" customFormat="1" x14ac:dyDescent="0.15"/>
    <row r="1315" customFormat="1" x14ac:dyDescent="0.15"/>
    <row r="1316" customFormat="1" x14ac:dyDescent="0.15"/>
    <row r="1317" customFormat="1" x14ac:dyDescent="0.15"/>
    <row r="1318" customFormat="1" x14ac:dyDescent="0.15"/>
    <row r="1319" customFormat="1" x14ac:dyDescent="0.15"/>
    <row r="1320" customFormat="1" x14ac:dyDescent="0.15"/>
    <row r="1321" customFormat="1" x14ac:dyDescent="0.15"/>
    <row r="1322" customFormat="1" x14ac:dyDescent="0.15"/>
    <row r="1323" customFormat="1" x14ac:dyDescent="0.15"/>
    <row r="1324" customFormat="1" x14ac:dyDescent="0.15"/>
    <row r="1325" customFormat="1" x14ac:dyDescent="0.15"/>
    <row r="1326" customFormat="1" x14ac:dyDescent="0.15"/>
    <row r="1327" customFormat="1" x14ac:dyDescent="0.15"/>
    <row r="1328" customFormat="1" x14ac:dyDescent="0.15"/>
    <row r="1329" customFormat="1" x14ac:dyDescent="0.15"/>
    <row r="1330" customFormat="1" x14ac:dyDescent="0.15"/>
    <row r="1331" customFormat="1" x14ac:dyDescent="0.15"/>
    <row r="1332" customFormat="1" x14ac:dyDescent="0.15"/>
    <row r="1333" customFormat="1" x14ac:dyDescent="0.15"/>
    <row r="1334" customFormat="1" x14ac:dyDescent="0.15"/>
    <row r="1335" customFormat="1" x14ac:dyDescent="0.15"/>
    <row r="1336" customFormat="1" x14ac:dyDescent="0.15"/>
    <row r="1337" customFormat="1" x14ac:dyDescent="0.15"/>
    <row r="1338" customFormat="1" x14ac:dyDescent="0.15"/>
    <row r="1339" customFormat="1" x14ac:dyDescent="0.15"/>
    <row r="1340" customFormat="1" x14ac:dyDescent="0.15"/>
    <row r="1341" customFormat="1" x14ac:dyDescent="0.15"/>
    <row r="1342" customFormat="1" x14ac:dyDescent="0.15"/>
    <row r="1343" customFormat="1" x14ac:dyDescent="0.15"/>
    <row r="1344" customFormat="1" x14ac:dyDescent="0.15"/>
    <row r="1345" customFormat="1" x14ac:dyDescent="0.15"/>
    <row r="1346" customFormat="1" x14ac:dyDescent="0.15"/>
    <row r="1347" customFormat="1" x14ac:dyDescent="0.15"/>
    <row r="1348" customFormat="1" x14ac:dyDescent="0.15"/>
    <row r="1349" customFormat="1" x14ac:dyDescent="0.15"/>
    <row r="1350" customFormat="1" x14ac:dyDescent="0.15"/>
    <row r="1351" customFormat="1" x14ac:dyDescent="0.15"/>
    <row r="1352" customFormat="1" x14ac:dyDescent="0.15"/>
    <row r="1353" customFormat="1" x14ac:dyDescent="0.15"/>
    <row r="1354" customFormat="1" x14ac:dyDescent="0.15"/>
    <row r="1355" customFormat="1" x14ac:dyDescent="0.15"/>
    <row r="1356" customFormat="1" x14ac:dyDescent="0.15"/>
    <row r="1357" customFormat="1" x14ac:dyDescent="0.15"/>
    <row r="1358" customFormat="1" x14ac:dyDescent="0.15"/>
    <row r="1359" customFormat="1" x14ac:dyDescent="0.15"/>
    <row r="1360" customFormat="1" x14ac:dyDescent="0.15"/>
    <row r="1361" customFormat="1" x14ac:dyDescent="0.15"/>
    <row r="1362" customFormat="1" x14ac:dyDescent="0.15"/>
    <row r="1363" customFormat="1" x14ac:dyDescent="0.15"/>
    <row r="1364" customFormat="1" x14ac:dyDescent="0.15"/>
    <row r="1365" customFormat="1" x14ac:dyDescent="0.15"/>
    <row r="1366" customFormat="1" x14ac:dyDescent="0.15"/>
    <row r="1367" customFormat="1" x14ac:dyDescent="0.15"/>
    <row r="1368" customFormat="1" x14ac:dyDescent="0.15"/>
    <row r="1369" customFormat="1" x14ac:dyDescent="0.15"/>
    <row r="1370" customFormat="1" x14ac:dyDescent="0.15"/>
    <row r="1371" customFormat="1" x14ac:dyDescent="0.15"/>
    <row r="1372" customFormat="1" x14ac:dyDescent="0.15"/>
    <row r="1373" customFormat="1" x14ac:dyDescent="0.15"/>
    <row r="1374" customFormat="1" x14ac:dyDescent="0.15"/>
    <row r="1375" customFormat="1" x14ac:dyDescent="0.15"/>
    <row r="1376" customFormat="1" x14ac:dyDescent="0.15"/>
    <row r="1377" customFormat="1" x14ac:dyDescent="0.15"/>
    <row r="1378" customFormat="1" x14ac:dyDescent="0.15"/>
    <row r="1379" customFormat="1" x14ac:dyDescent="0.15"/>
    <row r="1380" customFormat="1" x14ac:dyDescent="0.15"/>
    <row r="1381" customFormat="1" x14ac:dyDescent="0.15"/>
    <row r="1382" customFormat="1" x14ac:dyDescent="0.15"/>
    <row r="1383" customFormat="1" x14ac:dyDescent="0.15"/>
    <row r="1384" customFormat="1" x14ac:dyDescent="0.15"/>
    <row r="1385" customFormat="1" x14ac:dyDescent="0.15"/>
    <row r="1386" customFormat="1" x14ac:dyDescent="0.15"/>
    <row r="1387" customFormat="1" x14ac:dyDescent="0.15"/>
    <row r="1388" customFormat="1" x14ac:dyDescent="0.15"/>
    <row r="1389" customFormat="1" x14ac:dyDescent="0.15"/>
    <row r="1390" customFormat="1" x14ac:dyDescent="0.15"/>
    <row r="1391" customFormat="1" x14ac:dyDescent="0.15"/>
    <row r="1392" customFormat="1" x14ac:dyDescent="0.15"/>
    <row r="1393" customFormat="1" x14ac:dyDescent="0.15"/>
    <row r="1394" customFormat="1" x14ac:dyDescent="0.15"/>
    <row r="1395" customFormat="1" x14ac:dyDescent="0.15"/>
    <row r="1396" customFormat="1" x14ac:dyDescent="0.15"/>
    <row r="1397" customFormat="1" x14ac:dyDescent="0.15"/>
    <row r="1398" customFormat="1" x14ac:dyDescent="0.15"/>
    <row r="1399" customFormat="1" x14ac:dyDescent="0.15"/>
    <row r="1400" customFormat="1" x14ac:dyDescent="0.15"/>
    <row r="1401" customFormat="1" x14ac:dyDescent="0.15"/>
    <row r="1402" customFormat="1" x14ac:dyDescent="0.15"/>
    <row r="1403" customFormat="1" x14ac:dyDescent="0.15"/>
    <row r="1404" customFormat="1" x14ac:dyDescent="0.15"/>
    <row r="1405" customFormat="1" x14ac:dyDescent="0.15"/>
    <row r="1406" customFormat="1" x14ac:dyDescent="0.15"/>
    <row r="1407" customFormat="1" x14ac:dyDescent="0.15"/>
    <row r="1408" customFormat="1" x14ac:dyDescent="0.15"/>
    <row r="1409" customFormat="1" x14ac:dyDescent="0.15"/>
    <row r="1410" customFormat="1" x14ac:dyDescent="0.15"/>
    <row r="1411" customFormat="1" x14ac:dyDescent="0.15"/>
    <row r="1412" customFormat="1" x14ac:dyDescent="0.15"/>
    <row r="1413" customFormat="1" x14ac:dyDescent="0.15"/>
    <row r="1414" customFormat="1" x14ac:dyDescent="0.15"/>
    <row r="1415" customFormat="1" x14ac:dyDescent="0.15"/>
    <row r="1416" customFormat="1" x14ac:dyDescent="0.15"/>
    <row r="1417" customFormat="1" x14ac:dyDescent="0.15"/>
    <row r="1418" customFormat="1" x14ac:dyDescent="0.15"/>
    <row r="1419" customFormat="1" x14ac:dyDescent="0.15"/>
    <row r="1420" customFormat="1" x14ac:dyDescent="0.15"/>
    <row r="1421" customFormat="1" x14ac:dyDescent="0.15"/>
    <row r="1422" customFormat="1" x14ac:dyDescent="0.15"/>
    <row r="1423" customFormat="1" x14ac:dyDescent="0.15"/>
    <row r="1424" customFormat="1" x14ac:dyDescent="0.15"/>
    <row r="1425" customFormat="1" x14ac:dyDescent="0.15"/>
    <row r="1426" customFormat="1" x14ac:dyDescent="0.15"/>
    <row r="1427" customFormat="1" x14ac:dyDescent="0.15"/>
    <row r="1428" customFormat="1" x14ac:dyDescent="0.15"/>
    <row r="1429" customFormat="1" x14ac:dyDescent="0.15"/>
    <row r="1430" customFormat="1" x14ac:dyDescent="0.15"/>
    <row r="1431" customFormat="1" x14ac:dyDescent="0.15"/>
    <row r="1432" customFormat="1" x14ac:dyDescent="0.15"/>
    <row r="1433" customFormat="1" x14ac:dyDescent="0.15"/>
    <row r="1434" customFormat="1" x14ac:dyDescent="0.15"/>
    <row r="1435" customFormat="1" x14ac:dyDescent="0.15"/>
    <row r="1436" customFormat="1" x14ac:dyDescent="0.15"/>
    <row r="1437" customFormat="1" x14ac:dyDescent="0.15"/>
    <row r="1438" customFormat="1" x14ac:dyDescent="0.15"/>
    <row r="1439" customFormat="1" x14ac:dyDescent="0.15"/>
    <row r="1440" customFormat="1" x14ac:dyDescent="0.15"/>
    <row r="1441" customFormat="1" x14ac:dyDescent="0.15"/>
    <row r="1442" customFormat="1" x14ac:dyDescent="0.15"/>
    <row r="1443" customFormat="1" x14ac:dyDescent="0.15"/>
    <row r="1444" customFormat="1" x14ac:dyDescent="0.15"/>
    <row r="1445" customFormat="1" x14ac:dyDescent="0.15"/>
    <row r="1446" customFormat="1" x14ac:dyDescent="0.15"/>
    <row r="1447" customFormat="1" x14ac:dyDescent="0.15"/>
    <row r="1448" customFormat="1" x14ac:dyDescent="0.15"/>
    <row r="1449" customFormat="1" x14ac:dyDescent="0.15"/>
    <row r="1450" customFormat="1" x14ac:dyDescent="0.15"/>
    <row r="1451" customFormat="1" x14ac:dyDescent="0.15"/>
    <row r="1452" customFormat="1" x14ac:dyDescent="0.15"/>
    <row r="1453" customFormat="1" x14ac:dyDescent="0.15"/>
    <row r="1454" customFormat="1" x14ac:dyDescent="0.15"/>
    <row r="1455" customFormat="1" x14ac:dyDescent="0.15"/>
    <row r="1456" customFormat="1" x14ac:dyDescent="0.15"/>
    <row r="1457" customFormat="1" x14ac:dyDescent="0.15"/>
    <row r="1458" customFormat="1" x14ac:dyDescent="0.15"/>
    <row r="1459" customFormat="1" x14ac:dyDescent="0.15"/>
    <row r="1460" customFormat="1" x14ac:dyDescent="0.15"/>
    <row r="1461" customFormat="1" x14ac:dyDescent="0.15"/>
    <row r="1462" customFormat="1" x14ac:dyDescent="0.15"/>
    <row r="1463" customFormat="1" x14ac:dyDescent="0.15"/>
    <row r="1464" customFormat="1" x14ac:dyDescent="0.15"/>
    <row r="1465" customFormat="1" x14ac:dyDescent="0.15"/>
    <row r="1466" customFormat="1" x14ac:dyDescent="0.15"/>
    <row r="1467" customFormat="1" x14ac:dyDescent="0.15"/>
    <row r="1468" customFormat="1" x14ac:dyDescent="0.15"/>
    <row r="1469" customFormat="1" x14ac:dyDescent="0.15"/>
    <row r="1470" customFormat="1" x14ac:dyDescent="0.15"/>
    <row r="1471" customFormat="1" x14ac:dyDescent="0.15"/>
    <row r="1472" customFormat="1" x14ac:dyDescent="0.15"/>
    <row r="1473" customFormat="1" x14ac:dyDescent="0.15"/>
    <row r="1474" customFormat="1" x14ac:dyDescent="0.15"/>
    <row r="1475" customFormat="1" x14ac:dyDescent="0.15"/>
    <row r="1476" customFormat="1" x14ac:dyDescent="0.15"/>
    <row r="1477" customFormat="1" x14ac:dyDescent="0.15"/>
    <row r="1478" customFormat="1" x14ac:dyDescent="0.15"/>
    <row r="1479" customFormat="1" x14ac:dyDescent="0.15"/>
    <row r="1480" customFormat="1" x14ac:dyDescent="0.15"/>
    <row r="1481" customFormat="1" x14ac:dyDescent="0.15"/>
    <row r="1482" customFormat="1" x14ac:dyDescent="0.15"/>
    <row r="1483" customFormat="1" x14ac:dyDescent="0.15"/>
    <row r="1484" customFormat="1" x14ac:dyDescent="0.15"/>
    <row r="1485" customFormat="1" x14ac:dyDescent="0.15"/>
    <row r="1486" customFormat="1" x14ac:dyDescent="0.15"/>
    <row r="1487" customFormat="1" x14ac:dyDescent="0.15"/>
    <row r="1488" customFormat="1" x14ac:dyDescent="0.15"/>
    <row r="1489" customFormat="1" x14ac:dyDescent="0.15"/>
    <row r="1490" customFormat="1" x14ac:dyDescent="0.15"/>
    <row r="1491" customFormat="1" x14ac:dyDescent="0.15"/>
    <row r="1492" customFormat="1" x14ac:dyDescent="0.15"/>
    <row r="1493" customFormat="1" x14ac:dyDescent="0.15"/>
    <row r="1494" customFormat="1" x14ac:dyDescent="0.15"/>
    <row r="1495" customFormat="1" x14ac:dyDescent="0.15"/>
    <row r="1496" customFormat="1" x14ac:dyDescent="0.15"/>
    <row r="1497" customFormat="1" x14ac:dyDescent="0.15"/>
    <row r="1498" customFormat="1" x14ac:dyDescent="0.15"/>
    <row r="1499" customFormat="1" x14ac:dyDescent="0.15"/>
    <row r="1500" customFormat="1" x14ac:dyDescent="0.15"/>
    <row r="1501" customFormat="1" x14ac:dyDescent="0.15"/>
    <row r="1502" customFormat="1" x14ac:dyDescent="0.15"/>
    <row r="1503" customFormat="1" x14ac:dyDescent="0.15"/>
    <row r="1504" customFormat="1" x14ac:dyDescent="0.15"/>
    <row r="1505" customFormat="1" x14ac:dyDescent="0.15"/>
    <row r="1506" customFormat="1" x14ac:dyDescent="0.15"/>
    <row r="1507" customFormat="1" x14ac:dyDescent="0.15"/>
    <row r="1508" customFormat="1" x14ac:dyDescent="0.15"/>
    <row r="1509" customFormat="1" x14ac:dyDescent="0.15"/>
    <row r="1510" customFormat="1" x14ac:dyDescent="0.15"/>
    <row r="1511" customFormat="1" x14ac:dyDescent="0.15"/>
    <row r="1512" customFormat="1" x14ac:dyDescent="0.15"/>
    <row r="1513" customFormat="1" x14ac:dyDescent="0.15"/>
    <row r="1514" customFormat="1" x14ac:dyDescent="0.15"/>
    <row r="1515" customFormat="1" x14ac:dyDescent="0.15"/>
    <row r="1516" customFormat="1" x14ac:dyDescent="0.15"/>
    <row r="1517" customFormat="1" x14ac:dyDescent="0.15"/>
    <row r="1518" customFormat="1" x14ac:dyDescent="0.15"/>
    <row r="1519" customFormat="1" x14ac:dyDescent="0.15"/>
    <row r="1520" customFormat="1" x14ac:dyDescent="0.15"/>
    <row r="1521" customFormat="1" x14ac:dyDescent="0.15"/>
    <row r="1522" customFormat="1" x14ac:dyDescent="0.15"/>
    <row r="1523" customFormat="1" x14ac:dyDescent="0.15"/>
    <row r="1524" customFormat="1" x14ac:dyDescent="0.15"/>
    <row r="1525" customFormat="1" x14ac:dyDescent="0.15"/>
    <row r="1526" customFormat="1" x14ac:dyDescent="0.15"/>
    <row r="1527" customFormat="1" x14ac:dyDescent="0.15"/>
    <row r="1528" customFormat="1" x14ac:dyDescent="0.15"/>
    <row r="1529" customFormat="1" x14ac:dyDescent="0.15"/>
    <row r="1530" customFormat="1" x14ac:dyDescent="0.15"/>
    <row r="1531" customFormat="1" x14ac:dyDescent="0.15"/>
    <row r="1532" customFormat="1" x14ac:dyDescent="0.15"/>
    <row r="1533" customFormat="1" x14ac:dyDescent="0.15"/>
    <row r="1534" customFormat="1" x14ac:dyDescent="0.15"/>
    <row r="1535" customFormat="1" x14ac:dyDescent="0.15"/>
    <row r="1536" customFormat="1" x14ac:dyDescent="0.15"/>
    <row r="1537" customFormat="1" x14ac:dyDescent="0.15"/>
    <row r="1538" customFormat="1" x14ac:dyDescent="0.15"/>
    <row r="1539" customFormat="1" x14ac:dyDescent="0.15"/>
    <row r="1540" customFormat="1" x14ac:dyDescent="0.15"/>
    <row r="1541" customFormat="1" x14ac:dyDescent="0.15"/>
    <row r="1542" customFormat="1" x14ac:dyDescent="0.15"/>
    <row r="1543" customFormat="1" x14ac:dyDescent="0.15"/>
    <row r="1544" customFormat="1" x14ac:dyDescent="0.15"/>
    <row r="1545" customFormat="1" x14ac:dyDescent="0.15"/>
    <row r="1546" customFormat="1" x14ac:dyDescent="0.15"/>
    <row r="1547" customFormat="1" x14ac:dyDescent="0.15"/>
    <row r="1548" customFormat="1" x14ac:dyDescent="0.15"/>
    <row r="1549" customFormat="1" x14ac:dyDescent="0.15"/>
    <row r="1550" customFormat="1" x14ac:dyDescent="0.15"/>
    <row r="1551" customFormat="1" x14ac:dyDescent="0.15"/>
    <row r="1552" customFormat="1" x14ac:dyDescent="0.15"/>
    <row r="1553" customFormat="1" x14ac:dyDescent="0.15"/>
    <row r="1554" customFormat="1" x14ac:dyDescent="0.15"/>
    <row r="1555" customFormat="1" x14ac:dyDescent="0.15"/>
    <row r="1556" customFormat="1" x14ac:dyDescent="0.15"/>
    <row r="1557" customFormat="1" x14ac:dyDescent="0.15"/>
    <row r="1558" customFormat="1" x14ac:dyDescent="0.15"/>
    <row r="1559" customFormat="1" x14ac:dyDescent="0.15"/>
    <row r="1560" customFormat="1" x14ac:dyDescent="0.15"/>
    <row r="1561" customFormat="1" x14ac:dyDescent="0.15"/>
    <row r="1562" customFormat="1" x14ac:dyDescent="0.15"/>
  </sheetData>
  <sortState ref="B5:L52">
    <sortCondition ref="C5:C52"/>
  </sortState>
  <phoneticPr fontId="0" type="noConversion"/>
  <conditionalFormatting sqref="CF70:CF73 CD74:CD79">
    <cfRule type="cellIs" dxfId="5" priority="4" stopIfTrue="1" operator="greaterThanOrEqual">
      <formula>75</formula>
    </cfRule>
  </conditionalFormatting>
  <conditionalFormatting sqref="A5:CY57 DA5:XFD57">
    <cfRule type="expression" dxfId="4" priority="3">
      <formula>MOD(ROW(),2)=0</formula>
    </cfRule>
  </conditionalFormatting>
  <conditionalFormatting sqref="CZ5:CZ57">
    <cfRule type="expression" dxfId="3" priority="1">
      <formula>MOD(ROW(),2)=0</formula>
    </cfRule>
  </conditionalFormatting>
  <printOptions gridLines="1" gridLinesSet="0"/>
  <pageMargins left="0.75" right="0.75" top="1" bottom="1" header="0.5" footer="0.5"/>
  <pageSetup paperSize="9" orientation="portrait" horizontalDpi="300" verticalDpi="300" r:id="rId1"/>
  <headerFooter alignWithMargins="0">
    <oddHeader>&amp;A</oddHeader>
    <oddFooter>Page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XFA94"/>
  <sheetViews>
    <sheetView workbookViewId="0">
      <pane xSplit="2" ySplit="4" topLeftCell="F63" activePane="bottomRight" state="frozen"/>
      <selection pane="topRight" activeCell="C1" sqref="C1"/>
      <selection pane="bottomLeft" activeCell="A5" sqref="A5"/>
      <selection pane="bottomRight" activeCell="U25" sqref="U25"/>
    </sheetView>
  </sheetViews>
  <sheetFormatPr defaultRowHeight="10.5" x14ac:dyDescent="0.15"/>
  <cols>
    <col min="1" max="1" width="6" style="2" bestFit="1" customWidth="1"/>
    <col min="2" max="2" width="18.7109375" style="2" bestFit="1" customWidth="1"/>
    <col min="3" max="3" width="11.7109375" style="2" bestFit="1" customWidth="1"/>
    <col min="4" max="8" width="13.42578125" style="2" bestFit="1" customWidth="1"/>
    <col min="9" max="9" width="12.7109375" style="2" bestFit="1" customWidth="1"/>
    <col min="10" max="10" width="12.42578125" style="2" customWidth="1"/>
    <col min="11" max="11" width="13.42578125" style="2" bestFit="1" customWidth="1"/>
    <col min="12" max="13" width="12.28515625" style="2" bestFit="1" customWidth="1"/>
    <col min="14" max="14" width="12.7109375" style="2" bestFit="1" customWidth="1"/>
    <col min="15" max="15" width="13.28515625" style="2" bestFit="1" customWidth="1"/>
    <col min="16" max="16" width="11.7109375" style="2" bestFit="1" customWidth="1"/>
    <col min="17" max="17" width="12.7109375" style="2" bestFit="1" customWidth="1"/>
    <col min="18" max="18" width="13.42578125" style="2" bestFit="1" customWidth="1"/>
    <col min="19" max="19" width="12.7109375" style="2" bestFit="1" customWidth="1"/>
    <col min="20" max="20" width="12.28515625" style="2" bestFit="1" customWidth="1"/>
    <col min="21" max="21" width="13.42578125" style="2" bestFit="1" customWidth="1"/>
    <col min="22" max="22" width="11.5703125" style="2" bestFit="1" customWidth="1"/>
    <col min="23" max="23" width="11.7109375" style="2" bestFit="1" customWidth="1"/>
    <col min="24" max="24" width="12.7109375" style="2" bestFit="1" customWidth="1"/>
    <col min="25" max="25" width="11.7109375" style="2" customWidth="1"/>
    <col min="26" max="26" width="12.7109375" style="2" customWidth="1"/>
    <col min="27" max="27" width="11.7109375" style="2" customWidth="1"/>
    <col min="28" max="28" width="13.42578125" style="2" customWidth="1"/>
    <col min="29" max="29" width="11.7109375" style="2" customWidth="1"/>
    <col min="30" max="30" width="12.7109375" style="2" hidden="1" customWidth="1"/>
    <col min="31" max="45" width="2.140625" style="2" hidden="1" customWidth="1"/>
    <col min="46" max="57" width="2.85546875" style="2" hidden="1" customWidth="1"/>
    <col min="58" max="80" width="2.42578125" style="2" hidden="1" customWidth="1"/>
    <col min="81" max="81" width="2.42578125" style="2" customWidth="1"/>
    <col min="82" max="82" width="9.140625" style="2"/>
    <col min="83" max="83" width="5.5703125" style="51" bestFit="1" customWidth="1"/>
    <col min="84" max="84" width="5" style="51" bestFit="1" customWidth="1"/>
    <col min="85" max="85" width="5.85546875" style="180" bestFit="1" customWidth="1"/>
    <col min="86" max="86" width="7" style="180" bestFit="1" customWidth="1"/>
    <col min="87" max="88" width="5" style="180" bestFit="1" customWidth="1"/>
    <col min="89" max="89" width="7.28515625" style="52" bestFit="1" customWidth="1"/>
    <col min="90" max="90" width="7" style="51" customWidth="1"/>
    <col min="91" max="91" width="5.5703125" style="51" bestFit="1" customWidth="1"/>
    <col min="92" max="92" width="4.7109375" style="46" bestFit="1" customWidth="1"/>
    <col min="93" max="93" width="8.5703125" style="2" bestFit="1" customWidth="1"/>
    <col min="94" max="94" width="5.140625" style="2" bestFit="1" customWidth="1"/>
    <col min="95" max="16384" width="9.140625" style="2"/>
  </cols>
  <sheetData>
    <row r="1" spans="2:96" s="3" customFormat="1" ht="50.25" customHeight="1" x14ac:dyDescent="0.15">
      <c r="B1" s="3" t="str">
        <f t="array" ref="B1:CC4">TRANSPOSE(Matches!B4:E54)</f>
        <v>Date</v>
      </c>
      <c r="C1" s="4">
        <v>43583</v>
      </c>
      <c r="D1" s="4">
        <v>43590</v>
      </c>
      <c r="E1" s="4">
        <v>43604</v>
      </c>
      <c r="F1" s="4">
        <v>43610</v>
      </c>
      <c r="G1" s="4">
        <v>43611</v>
      </c>
      <c r="H1" s="4">
        <v>43612</v>
      </c>
      <c r="I1" s="4">
        <v>43618</v>
      </c>
      <c r="J1" s="4">
        <v>43625</v>
      </c>
      <c r="K1" s="4">
        <v>43632</v>
      </c>
      <c r="L1" s="4">
        <v>43639</v>
      </c>
      <c r="M1" s="4">
        <v>43646</v>
      </c>
      <c r="N1" s="4">
        <v>43653</v>
      </c>
      <c r="O1" s="4">
        <v>43660</v>
      </c>
      <c r="P1" s="4">
        <v>43667</v>
      </c>
      <c r="Q1" s="4">
        <v>43674</v>
      </c>
      <c r="R1" s="4">
        <v>43681</v>
      </c>
      <c r="S1" s="4">
        <v>43688</v>
      </c>
      <c r="T1" s="4">
        <v>43695</v>
      </c>
      <c r="U1" s="4">
        <v>43716</v>
      </c>
      <c r="V1" s="4">
        <v>43723</v>
      </c>
      <c r="W1" s="4">
        <v>43730</v>
      </c>
      <c r="X1" s="4">
        <v>0</v>
      </c>
      <c r="Y1" s="4">
        <v>0</v>
      </c>
      <c r="Z1" s="4">
        <v>0</v>
      </c>
      <c r="AA1" s="4">
        <v>0</v>
      </c>
      <c r="AB1" s="4">
        <v>0</v>
      </c>
      <c r="AC1" s="4">
        <v>0</v>
      </c>
      <c r="AD1" s="4">
        <v>0</v>
      </c>
      <c r="AE1" s="4">
        <v>0</v>
      </c>
      <c r="AF1" s="4">
        <v>0</v>
      </c>
      <c r="AG1" s="4">
        <v>0</v>
      </c>
      <c r="AH1" s="4">
        <v>0</v>
      </c>
      <c r="AI1" s="4">
        <v>0</v>
      </c>
      <c r="AJ1" s="4">
        <v>0</v>
      </c>
      <c r="AK1" s="4">
        <v>0</v>
      </c>
      <c r="AL1" s="4">
        <v>0</v>
      </c>
      <c r="AM1" s="4">
        <v>0</v>
      </c>
      <c r="AN1" s="4">
        <v>0</v>
      </c>
      <c r="AO1" s="4">
        <v>0</v>
      </c>
      <c r="AP1" s="4">
        <v>0</v>
      </c>
      <c r="AQ1" s="4">
        <v>0</v>
      </c>
      <c r="AR1" s="4">
        <v>0</v>
      </c>
      <c r="AS1" s="4">
        <v>0</v>
      </c>
      <c r="AT1" s="4">
        <v>0</v>
      </c>
      <c r="AU1" s="4">
        <v>0</v>
      </c>
      <c r="AV1" s="4">
        <v>0</v>
      </c>
      <c r="AW1" s="4">
        <v>0</v>
      </c>
      <c r="AX1" s="4">
        <v>0</v>
      </c>
      <c r="AY1" s="4">
        <v>0</v>
      </c>
      <c r="AZ1" s="4">
        <v>0</v>
      </c>
      <c r="BA1" s="4" t="e">
        <v>#N/A</v>
      </c>
      <c r="BB1" s="4" t="e">
        <v>#N/A</v>
      </c>
      <c r="BC1" s="4" t="e">
        <v>#N/A</v>
      </c>
      <c r="BD1" s="4" t="e">
        <v>#N/A</v>
      </c>
      <c r="BE1" s="4" t="e">
        <v>#N/A</v>
      </c>
      <c r="BF1" s="4" t="e">
        <v>#N/A</v>
      </c>
      <c r="BG1" s="4" t="e">
        <v>#N/A</v>
      </c>
      <c r="BH1" s="4" t="e">
        <v>#N/A</v>
      </c>
      <c r="BI1" s="4" t="e">
        <v>#N/A</v>
      </c>
      <c r="BJ1" s="4" t="e">
        <v>#N/A</v>
      </c>
      <c r="BK1" s="4" t="e">
        <v>#N/A</v>
      </c>
      <c r="BL1" s="4" t="e">
        <v>#N/A</v>
      </c>
      <c r="BM1" s="4" t="e">
        <v>#N/A</v>
      </c>
      <c r="BN1" s="4" t="e">
        <v>#N/A</v>
      </c>
      <c r="BO1" s="4" t="e">
        <v>#N/A</v>
      </c>
      <c r="BP1" s="4" t="e">
        <v>#N/A</v>
      </c>
      <c r="BQ1" s="4" t="e">
        <v>#N/A</v>
      </c>
      <c r="BR1" s="4" t="e">
        <v>#N/A</v>
      </c>
      <c r="BS1" s="4" t="e">
        <v>#N/A</v>
      </c>
      <c r="BT1" s="4" t="e">
        <v>#N/A</v>
      </c>
      <c r="BU1" s="4" t="e">
        <v>#N/A</v>
      </c>
      <c r="BV1" s="4" t="e">
        <v>#N/A</v>
      </c>
      <c r="BW1" s="4" t="e">
        <v>#N/A</v>
      </c>
      <c r="BX1" s="4" t="e">
        <v>#N/A</v>
      </c>
      <c r="BY1" s="4" t="e">
        <v>#N/A</v>
      </c>
      <c r="BZ1" s="4" t="e">
        <v>#N/A</v>
      </c>
      <c r="CA1" s="4" t="e">
        <v>#N/A</v>
      </c>
      <c r="CB1" s="4" t="e">
        <v>#N/A</v>
      </c>
      <c r="CC1" s="4" t="e">
        <v>#N/A</v>
      </c>
      <c r="CE1" s="48"/>
      <c r="CF1" s="48"/>
      <c r="CG1" s="179"/>
      <c r="CH1" s="179"/>
      <c r="CI1" s="179"/>
      <c r="CJ1" s="179"/>
      <c r="CK1" s="49"/>
      <c r="CL1" s="50"/>
      <c r="CM1" s="50"/>
      <c r="CN1" s="45"/>
    </row>
    <row r="2" spans="2:96" ht="87.75" customHeight="1" x14ac:dyDescent="0.15">
      <c r="B2" s="2" t="str">
        <v>Opp</v>
      </c>
      <c r="C2" s="1" t="str">
        <v>Worcester Park</v>
      </c>
      <c r="D2" s="1" t="str">
        <v>Woodgreen</v>
      </c>
      <c r="E2" s="1" t="str">
        <v>Streatham</v>
      </c>
      <c r="F2" s="1" t="str">
        <v>Fonthill Park</v>
      </c>
      <c r="G2" s="1" t="str">
        <v>Woodgreen</v>
      </c>
      <c r="H2" s="1" t="str">
        <v>Steeple Langford</v>
      </c>
      <c r="I2" s="1" t="str">
        <v>Spencer</v>
      </c>
      <c r="J2" s="1" t="str">
        <v>3W United (?)</v>
      </c>
      <c r="K2" s="1" t="str">
        <v>Beddington</v>
      </c>
      <c r="L2" s="1" t="str">
        <v>Churchleigh</v>
      </c>
      <c r="M2" s="1" t="str">
        <v>Chessington</v>
      </c>
      <c r="N2" s="1" t="str">
        <v>Spencer</v>
      </c>
      <c r="O2" s="1" t="str">
        <v>Morden</v>
      </c>
      <c r="P2" s="1" t="str">
        <v>Merton</v>
      </c>
      <c r="Q2" s="1" t="str">
        <v>Verdayne Green</v>
      </c>
      <c r="R2" s="1" t="str">
        <v>Southbank</v>
      </c>
      <c r="S2" s="1" t="str">
        <v>Surrey Ovalites</v>
      </c>
      <c r="T2" s="1" t="str">
        <v>Norwood Exiles</v>
      </c>
      <c r="U2" s="1" t="str">
        <v>Richmond Legbreakers</v>
      </c>
      <c r="V2" s="1" t="str">
        <v>Catford Cyphers</v>
      </c>
      <c r="W2" s="1" t="str">
        <v>Sanderstead</v>
      </c>
      <c r="X2" s="1">
        <v>0</v>
      </c>
      <c r="Y2" s="1">
        <v>0</v>
      </c>
      <c r="Z2" s="1">
        <v>0</v>
      </c>
      <c r="AA2" s="1">
        <v>0</v>
      </c>
      <c r="AB2" s="1">
        <v>0</v>
      </c>
      <c r="AC2" s="1">
        <v>0</v>
      </c>
      <c r="AD2" s="1">
        <v>0</v>
      </c>
      <c r="AE2" s="1">
        <v>0</v>
      </c>
      <c r="AF2" s="1">
        <v>0</v>
      </c>
      <c r="AG2" s="1">
        <v>0</v>
      </c>
      <c r="AH2" s="1">
        <v>0</v>
      </c>
      <c r="AI2" s="1">
        <v>0</v>
      </c>
      <c r="AJ2" s="1">
        <v>0</v>
      </c>
      <c r="AK2" s="1">
        <v>0</v>
      </c>
      <c r="AL2" s="1">
        <v>0</v>
      </c>
      <c r="AM2" s="1">
        <v>0</v>
      </c>
      <c r="AN2" s="1">
        <v>0</v>
      </c>
      <c r="AO2" s="1">
        <v>0</v>
      </c>
      <c r="AP2" s="1">
        <v>0</v>
      </c>
      <c r="AQ2" s="1">
        <v>0</v>
      </c>
      <c r="AR2" s="1">
        <v>0</v>
      </c>
      <c r="AS2" s="1">
        <v>0</v>
      </c>
      <c r="AT2" s="1">
        <v>0</v>
      </c>
      <c r="AU2" s="1">
        <v>0</v>
      </c>
      <c r="AV2" s="1">
        <v>0</v>
      </c>
      <c r="AW2" s="1">
        <v>0</v>
      </c>
      <c r="AX2" s="1">
        <v>0</v>
      </c>
      <c r="AY2" s="1">
        <v>0</v>
      </c>
      <c r="AZ2" s="1">
        <v>0</v>
      </c>
      <c r="BA2" s="1" t="e">
        <v>#N/A</v>
      </c>
      <c r="BB2" s="1" t="e">
        <v>#N/A</v>
      </c>
      <c r="BC2" s="1" t="e">
        <v>#N/A</v>
      </c>
      <c r="BD2" s="1" t="e">
        <v>#N/A</v>
      </c>
      <c r="BE2" s="1" t="e">
        <v>#N/A</v>
      </c>
      <c r="BF2" s="1" t="e">
        <v>#N/A</v>
      </c>
      <c r="BG2" s="1" t="e">
        <v>#N/A</v>
      </c>
      <c r="BH2" s="1" t="e">
        <v>#N/A</v>
      </c>
      <c r="BI2" s="1" t="e">
        <v>#N/A</v>
      </c>
      <c r="BJ2" s="1" t="e">
        <v>#N/A</v>
      </c>
      <c r="BK2" s="1" t="e">
        <v>#N/A</v>
      </c>
      <c r="BL2" s="1" t="e">
        <v>#N/A</v>
      </c>
      <c r="BM2" s="1" t="e">
        <v>#N/A</v>
      </c>
      <c r="BN2" s="1" t="e">
        <v>#N/A</v>
      </c>
      <c r="BO2" s="1" t="e">
        <v>#N/A</v>
      </c>
      <c r="BP2" s="1" t="e">
        <v>#N/A</v>
      </c>
      <c r="BQ2" s="1" t="e">
        <v>#N/A</v>
      </c>
      <c r="BR2" s="1" t="e">
        <v>#N/A</v>
      </c>
      <c r="BS2" s="1" t="e">
        <v>#N/A</v>
      </c>
      <c r="BT2" s="1" t="e">
        <v>#N/A</v>
      </c>
      <c r="BU2" s="1" t="e">
        <v>#N/A</v>
      </c>
      <c r="BV2" s="1" t="e">
        <v>#N/A</v>
      </c>
      <c r="BW2" s="1" t="e">
        <v>#N/A</v>
      </c>
      <c r="BX2" s="1" t="e">
        <v>#N/A</v>
      </c>
      <c r="BY2" s="1" t="e">
        <v>#N/A</v>
      </c>
      <c r="BZ2" s="1" t="e">
        <v>#N/A</v>
      </c>
      <c r="CA2" s="1" t="e">
        <v>#N/A</v>
      </c>
      <c r="CB2" s="1" t="e">
        <v>#N/A</v>
      </c>
      <c r="CC2" s="1" t="e">
        <v>#N/A</v>
      </c>
    </row>
    <row r="3" spans="2:96" ht="11.25" customHeight="1" x14ac:dyDescent="0.15">
      <c r="B3" s="2" t="str">
        <v>Venue</v>
      </c>
      <c r="C3" s="1" t="str">
        <v>H</v>
      </c>
      <c r="D3" s="1" t="str">
        <v>H</v>
      </c>
      <c r="E3" s="1" t="str">
        <v>H</v>
      </c>
      <c r="F3" s="1" t="str">
        <v>A</v>
      </c>
      <c r="G3" s="1" t="str">
        <v>A</v>
      </c>
      <c r="H3" s="1" t="str">
        <v>A</v>
      </c>
      <c r="I3" s="1" t="str">
        <v>A</v>
      </c>
      <c r="J3" s="1" t="str">
        <v>H</v>
      </c>
      <c r="K3" s="1" t="str">
        <v>A</v>
      </c>
      <c r="L3" s="1" t="str">
        <v>H</v>
      </c>
      <c r="M3" s="1" t="str">
        <v>A</v>
      </c>
      <c r="N3" s="1" t="str">
        <v>A</v>
      </c>
      <c r="O3" s="1" t="str">
        <v>A</v>
      </c>
      <c r="P3" s="1" t="str">
        <v>H</v>
      </c>
      <c r="Q3" s="1" t="str">
        <v>A</v>
      </c>
      <c r="R3" s="1" t="str">
        <v>A</v>
      </c>
      <c r="S3" s="1" t="str">
        <v>A</v>
      </c>
      <c r="T3" s="1" t="str">
        <v>H</v>
      </c>
      <c r="U3" s="1" t="str">
        <v>H</v>
      </c>
      <c r="V3" s="1" t="str">
        <v>A</v>
      </c>
      <c r="W3" s="1" t="str">
        <v>H</v>
      </c>
      <c r="X3" s="1">
        <v>0</v>
      </c>
      <c r="Y3" s="1">
        <v>0</v>
      </c>
      <c r="Z3" s="1">
        <v>0</v>
      </c>
      <c r="AA3" s="1">
        <v>0</v>
      </c>
      <c r="AB3" s="1">
        <v>0</v>
      </c>
      <c r="AC3" s="1">
        <v>0</v>
      </c>
      <c r="AD3" s="1">
        <v>0</v>
      </c>
      <c r="AE3" s="1">
        <v>0</v>
      </c>
      <c r="AF3" s="1">
        <v>0</v>
      </c>
      <c r="AG3" s="1">
        <v>0</v>
      </c>
      <c r="AH3" s="1">
        <v>0</v>
      </c>
      <c r="AI3" s="1">
        <v>0</v>
      </c>
      <c r="AJ3" s="1">
        <v>0</v>
      </c>
      <c r="AK3" s="1">
        <v>0</v>
      </c>
      <c r="AL3" s="1">
        <v>0</v>
      </c>
      <c r="AM3" s="1">
        <v>0</v>
      </c>
      <c r="AN3" s="1">
        <v>0</v>
      </c>
      <c r="AO3" s="1">
        <v>0</v>
      </c>
      <c r="AP3" s="1">
        <v>0</v>
      </c>
      <c r="AQ3" s="1">
        <v>0</v>
      </c>
      <c r="AR3" s="1">
        <v>0</v>
      </c>
      <c r="AS3" s="1">
        <v>0</v>
      </c>
      <c r="AT3" s="1">
        <v>0</v>
      </c>
      <c r="AU3" s="1">
        <v>0</v>
      </c>
      <c r="AV3" s="1">
        <v>0</v>
      </c>
      <c r="AW3" s="1">
        <v>0</v>
      </c>
      <c r="AX3" s="1">
        <v>0</v>
      </c>
      <c r="AY3" s="1">
        <v>0</v>
      </c>
      <c r="AZ3" s="1">
        <v>0</v>
      </c>
      <c r="BA3" s="1" t="e">
        <v>#N/A</v>
      </c>
      <c r="BB3" s="1" t="e">
        <v>#N/A</v>
      </c>
      <c r="BC3" s="1" t="e">
        <v>#N/A</v>
      </c>
      <c r="BD3" s="1" t="e">
        <v>#N/A</v>
      </c>
      <c r="BE3" s="1" t="e">
        <v>#N/A</v>
      </c>
      <c r="BF3" s="1" t="e">
        <v>#N/A</v>
      </c>
      <c r="BG3" s="1" t="e">
        <v>#N/A</v>
      </c>
      <c r="BH3" s="1" t="e">
        <v>#N/A</v>
      </c>
      <c r="BI3" s="1" t="e">
        <v>#N/A</v>
      </c>
      <c r="BJ3" s="1" t="e">
        <v>#N/A</v>
      </c>
      <c r="BK3" s="1" t="e">
        <v>#N/A</v>
      </c>
      <c r="BL3" s="1" t="e">
        <v>#N/A</v>
      </c>
      <c r="BM3" s="1" t="e">
        <v>#N/A</v>
      </c>
      <c r="BN3" s="1" t="e">
        <v>#N/A</v>
      </c>
      <c r="BO3" s="1" t="e">
        <v>#N/A</v>
      </c>
      <c r="BP3" s="1" t="e">
        <v>#N/A</v>
      </c>
      <c r="BQ3" s="1" t="e">
        <v>#N/A</v>
      </c>
      <c r="BR3" s="1" t="e">
        <v>#N/A</v>
      </c>
      <c r="BS3" s="1" t="e">
        <v>#N/A</v>
      </c>
      <c r="BT3" s="1" t="e">
        <v>#N/A</v>
      </c>
      <c r="BU3" s="1" t="e">
        <v>#N/A</v>
      </c>
      <c r="BV3" s="1" t="e">
        <v>#N/A</v>
      </c>
      <c r="BW3" s="1" t="e">
        <v>#N/A</v>
      </c>
      <c r="BX3" s="1" t="e">
        <v>#N/A</v>
      </c>
      <c r="BY3" s="1" t="e">
        <v>#N/A</v>
      </c>
      <c r="BZ3" s="1" t="e">
        <v>#N/A</v>
      </c>
      <c r="CA3" s="1" t="e">
        <v>#N/A</v>
      </c>
      <c r="CB3" s="1" t="e">
        <v>#N/A</v>
      </c>
      <c r="CC3" s="1" t="e">
        <v>#N/A</v>
      </c>
    </row>
    <row r="4" spans="2:96" ht="11.25" customHeight="1" x14ac:dyDescent="0.15">
      <c r="B4" s="2" t="str">
        <v>Result</v>
      </c>
      <c r="C4" s="1" t="str">
        <v>W</v>
      </c>
      <c r="D4" s="1" t="str">
        <v>L</v>
      </c>
      <c r="E4" s="1" t="str">
        <v>L</v>
      </c>
      <c r="F4" s="1" t="str">
        <v>W</v>
      </c>
      <c r="G4" s="1" t="str">
        <v>W</v>
      </c>
      <c r="H4" s="1" t="str">
        <v>W</v>
      </c>
      <c r="I4" s="1" t="str">
        <v>W</v>
      </c>
      <c r="J4" s="1" t="str">
        <v>W</v>
      </c>
      <c r="K4" s="1" t="str">
        <v>L</v>
      </c>
      <c r="L4" s="1" t="str">
        <v>L</v>
      </c>
      <c r="M4" s="1" t="str">
        <v>L</v>
      </c>
      <c r="N4" s="1" t="str">
        <v>L</v>
      </c>
      <c r="O4" s="1" t="str">
        <v>W</v>
      </c>
      <c r="P4" s="1" t="str">
        <v>W</v>
      </c>
      <c r="Q4" s="1" t="str">
        <v>L</v>
      </c>
      <c r="R4" s="1" t="str">
        <v>L</v>
      </c>
      <c r="S4" s="1" t="str">
        <v>L</v>
      </c>
      <c r="T4" s="1" t="str">
        <v>L</v>
      </c>
      <c r="U4" s="1" t="str">
        <v>W</v>
      </c>
      <c r="V4" s="1" t="str">
        <v>L</v>
      </c>
      <c r="W4" s="1" t="str">
        <v>W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0</v>
      </c>
      <c r="AD4" s="1">
        <v>0</v>
      </c>
      <c r="AE4" s="1">
        <v>0</v>
      </c>
      <c r="AF4" s="1">
        <v>0</v>
      </c>
      <c r="AG4" s="1">
        <v>0</v>
      </c>
      <c r="AH4" s="1">
        <v>0</v>
      </c>
      <c r="AI4" s="1">
        <v>0</v>
      </c>
      <c r="AJ4" s="1">
        <v>0</v>
      </c>
      <c r="AK4" s="1">
        <v>0</v>
      </c>
      <c r="AL4" s="1">
        <v>0</v>
      </c>
      <c r="AM4" s="1">
        <v>0</v>
      </c>
      <c r="AN4" s="1">
        <v>0</v>
      </c>
      <c r="AO4" s="1">
        <v>0</v>
      </c>
      <c r="AP4" s="1">
        <v>0</v>
      </c>
      <c r="AQ4" s="1">
        <v>0</v>
      </c>
      <c r="AR4" s="1">
        <v>0</v>
      </c>
      <c r="AS4" s="1">
        <v>0</v>
      </c>
      <c r="AT4" s="1">
        <v>0</v>
      </c>
      <c r="AU4" s="1">
        <v>0</v>
      </c>
      <c r="AV4" s="1">
        <v>0</v>
      </c>
      <c r="AW4" s="1">
        <v>0</v>
      </c>
      <c r="AX4" s="1">
        <v>0</v>
      </c>
      <c r="AY4" s="1">
        <v>0</v>
      </c>
      <c r="AZ4" s="1">
        <v>0</v>
      </c>
      <c r="BA4" s="1" t="e">
        <v>#N/A</v>
      </c>
      <c r="BB4" s="1" t="e">
        <v>#N/A</v>
      </c>
      <c r="BC4" s="1" t="e">
        <v>#N/A</v>
      </c>
      <c r="BD4" s="1" t="e">
        <v>#N/A</v>
      </c>
      <c r="BE4" s="1" t="e">
        <v>#N/A</v>
      </c>
      <c r="BF4" s="1" t="e">
        <v>#N/A</v>
      </c>
      <c r="BG4" s="1" t="e">
        <v>#N/A</v>
      </c>
      <c r="BH4" s="1" t="e">
        <v>#N/A</v>
      </c>
      <c r="BI4" s="1" t="e">
        <v>#N/A</v>
      </c>
      <c r="BJ4" s="1" t="e">
        <v>#N/A</v>
      </c>
      <c r="BK4" s="1" t="e">
        <v>#N/A</v>
      </c>
      <c r="BL4" s="1" t="e">
        <v>#N/A</v>
      </c>
      <c r="BM4" s="1" t="e">
        <v>#N/A</v>
      </c>
      <c r="BN4" s="1" t="e">
        <v>#N/A</v>
      </c>
      <c r="BO4" s="1" t="e">
        <v>#N/A</v>
      </c>
      <c r="BP4" s="1" t="e">
        <v>#N/A</v>
      </c>
      <c r="BQ4" s="1" t="e">
        <v>#N/A</v>
      </c>
      <c r="BR4" s="1" t="e">
        <v>#N/A</v>
      </c>
      <c r="BS4" s="1" t="e">
        <v>#N/A</v>
      </c>
      <c r="BT4" s="1" t="e">
        <v>#N/A</v>
      </c>
      <c r="BU4" s="1" t="e">
        <v>#N/A</v>
      </c>
      <c r="BV4" s="1" t="e">
        <v>#N/A</v>
      </c>
      <c r="BW4" s="1" t="e">
        <v>#N/A</v>
      </c>
      <c r="BX4" s="1" t="e">
        <v>#N/A</v>
      </c>
      <c r="BY4" s="1" t="e">
        <v>#N/A</v>
      </c>
      <c r="BZ4" s="1" t="e">
        <v>#N/A</v>
      </c>
      <c r="CA4" s="1" t="e">
        <v>#N/A</v>
      </c>
      <c r="CB4" s="1" t="e">
        <v>#N/A</v>
      </c>
      <c r="CC4" s="1" t="e">
        <v>#N/A</v>
      </c>
      <c r="CE4" s="47" t="s">
        <v>7</v>
      </c>
      <c r="CF4" s="47" t="s">
        <v>29</v>
      </c>
      <c r="CG4" s="181" t="s">
        <v>30</v>
      </c>
      <c r="CH4" s="181" t="s">
        <v>31</v>
      </c>
      <c r="CI4" s="181" t="s">
        <v>9</v>
      </c>
      <c r="CJ4" s="181" t="s">
        <v>32</v>
      </c>
      <c r="CK4" s="44" t="s">
        <v>33</v>
      </c>
      <c r="CL4" s="47" t="s">
        <v>34</v>
      </c>
      <c r="CM4" s="47" t="s">
        <v>35</v>
      </c>
      <c r="CN4" s="46" t="s">
        <v>90</v>
      </c>
      <c r="CO4" s="71" t="s">
        <v>134</v>
      </c>
      <c r="CP4" s="2" t="s">
        <v>129</v>
      </c>
      <c r="CQ4" s="2" t="s">
        <v>189</v>
      </c>
      <c r="CR4" s="2" t="s">
        <v>230</v>
      </c>
    </row>
    <row r="5" spans="2:96" ht="11.25" customHeight="1" x14ac:dyDescent="0.15">
      <c r="B5" s="2" t="s">
        <v>301</v>
      </c>
      <c r="J5" s="2" t="s">
        <v>490</v>
      </c>
      <c r="K5" s="2" t="s">
        <v>462</v>
      </c>
      <c r="CE5" s="51">
        <f t="shared" ref="CE5" si="0">BowlSplit(C5:BC5,InnsBowledIn)</f>
        <v>2</v>
      </c>
      <c r="CF5" s="51">
        <f t="shared" ref="CF5" si="1">BowlSplit(C5:CC5,BallsBowled)</f>
        <v>33</v>
      </c>
      <c r="CG5" s="182">
        <f t="shared" ref="CG5" si="2">BowlSplit(C5:CC5,OversBowled)</f>
        <v>5.3</v>
      </c>
      <c r="CH5" s="180">
        <f t="shared" ref="CH5" si="3">BowlSplit(C5:CC5,Maidens)</f>
        <v>0</v>
      </c>
      <c r="CI5" s="180">
        <f t="shared" ref="CI5" si="4">BowlSplit(C5:CC5,RunsConceded)</f>
        <v>41</v>
      </c>
      <c r="CJ5" s="180">
        <f t="shared" ref="CJ5" si="5">BowlSplit(C5:CC5,WicketsTaken)</f>
        <v>1</v>
      </c>
      <c r="CK5" s="53">
        <f t="shared" ref="CK5" si="6">IF(CJ5&gt;0,ROUND(CI5/CJ5,2),"")</f>
        <v>41</v>
      </c>
      <c r="CL5" s="54">
        <f t="shared" ref="CL5" si="7">IF(CJ5&gt;0,CF5/CJ5,"")</f>
        <v>33</v>
      </c>
      <c r="CM5" s="54">
        <f t="shared" ref="CM5" si="8">IF(CF5&gt;0,6*CI5/CF5,"")</f>
        <v>7.4545454545454541</v>
      </c>
      <c r="CN5" s="46" t="str">
        <f t="shared" ref="CN5" si="9">BowlSplit(C5:CC5,BestBowling)</f>
        <v>1-12</v>
      </c>
      <c r="CO5" s="55">
        <f t="shared" ref="CO5:CO47" si="10">IF(CJ5&gt;0,CK5,IF(CF5&gt;0,CF5+1000,99999))+ROW(CG5)/10000</f>
        <v>41.000500000000002</v>
      </c>
      <c r="CP5" s="2">
        <f>RANK(CO5,$CO$5:$CO$47,1)</f>
        <v>18</v>
      </c>
      <c r="CQ5" s="102" t="str">
        <f t="shared" ref="CQ5:CQ47" si="11">IF(CF5&gt;=120,CH5/CF5*6,"")</f>
        <v/>
      </c>
      <c r="CR5" s="2">
        <f t="shared" ref="CR5:CR47" si="12">BowlSplit(C5:CC5,FiveFors)</f>
        <v>0</v>
      </c>
    </row>
    <row r="6" spans="2:96" ht="11.25" customHeight="1" x14ac:dyDescent="0.15">
      <c r="B6" s="2" t="s">
        <v>247</v>
      </c>
      <c r="C6" s="2" t="s">
        <v>331</v>
      </c>
      <c r="D6" s="2" t="s">
        <v>345</v>
      </c>
      <c r="E6" s="2" t="s">
        <v>362</v>
      </c>
      <c r="F6" s="2" t="s">
        <v>379</v>
      </c>
      <c r="G6" s="2" t="s">
        <v>395</v>
      </c>
      <c r="H6" s="2" t="s">
        <v>414</v>
      </c>
      <c r="M6" s="2" t="s">
        <v>505</v>
      </c>
      <c r="O6" s="2" t="s">
        <v>554</v>
      </c>
      <c r="S6" s="2" t="s">
        <v>607</v>
      </c>
      <c r="T6" s="2" t="s">
        <v>626</v>
      </c>
      <c r="U6" s="2" t="s">
        <v>644</v>
      </c>
      <c r="V6" s="2" t="s">
        <v>427</v>
      </c>
      <c r="W6" s="2" t="s">
        <v>674</v>
      </c>
      <c r="CE6" s="51">
        <f t="shared" ref="CE6:CE46" si="13">BowlSplit(C6:BC6,InnsBowledIn)</f>
        <v>13</v>
      </c>
      <c r="CF6" s="51">
        <f t="shared" ref="CF6:CF46" si="14">BowlSplit(C6:CC6,BallsBowled)</f>
        <v>498</v>
      </c>
      <c r="CG6" s="182">
        <f t="shared" ref="CG6:CG46" si="15">BowlSplit(C6:CC6,OversBowled)</f>
        <v>83</v>
      </c>
      <c r="CH6" s="180">
        <f t="shared" ref="CH6:CH46" si="16">BowlSplit(C6:CC6,Maidens)</f>
        <v>17</v>
      </c>
      <c r="CI6" s="180">
        <f t="shared" ref="CI6:CI46" si="17">BowlSplit(C6:CC6,RunsConceded)</f>
        <v>300</v>
      </c>
      <c r="CJ6" s="180">
        <f t="shared" ref="CJ6:CJ46" si="18">BowlSplit(C6:CC6,WicketsTaken)</f>
        <v>15</v>
      </c>
      <c r="CK6" s="53">
        <f t="shared" ref="CK6:CK46" si="19">IF(CJ6&gt;0,ROUND(CI6/CJ6,2),"")</f>
        <v>20</v>
      </c>
      <c r="CL6" s="54">
        <f t="shared" ref="CL6:CL46" si="20">IF(CJ6&gt;0,CF6/CJ6,"")</f>
        <v>33.200000000000003</v>
      </c>
      <c r="CM6" s="54">
        <f t="shared" ref="CM6:CM46" si="21">IF(CF6&gt;0,6*CI6/CF6,"")</f>
        <v>3.6144578313253013</v>
      </c>
      <c r="CN6" s="46" t="str">
        <f t="shared" ref="CN6:CN46" si="22">BowlSplit(C6:CC6,BestBowling)</f>
        <v>3-32</v>
      </c>
      <c r="CO6" s="55">
        <f t="shared" ref="CO6:CO46" si="23">IF(CJ6&gt;0,CK6,IF(CF6&gt;0,CF6+1000,99999))+ROW(CG6)/10000</f>
        <v>20.000599999999999</v>
      </c>
      <c r="CP6" s="2">
        <f t="shared" ref="CP6:CP46" si="24">RANK(CO6,$CO$5:$CO$47,1)</f>
        <v>9</v>
      </c>
      <c r="CQ6" s="102">
        <f t="shared" ref="CQ6:CQ46" si="25">IF(CF6&gt;=120,CH6/CF6*6,"")</f>
        <v>0.20481927710843373</v>
      </c>
      <c r="CR6" s="2">
        <f t="shared" ref="CR6:CR46" si="26">BowlSplit(C6:CC6,FiveFors)</f>
        <v>0</v>
      </c>
    </row>
    <row r="7" spans="2:96" ht="11.25" customHeight="1" x14ac:dyDescent="0.15">
      <c r="B7" s="2" t="s">
        <v>137</v>
      </c>
      <c r="CE7" s="51">
        <f t="shared" si="13"/>
        <v>0</v>
      </c>
      <c r="CF7" s="51">
        <f t="shared" si="14"/>
        <v>0</v>
      </c>
      <c r="CG7" s="182">
        <f t="shared" si="15"/>
        <v>0</v>
      </c>
      <c r="CH7" s="180">
        <f t="shared" si="16"/>
        <v>0</v>
      </c>
      <c r="CI7" s="180">
        <f t="shared" si="17"/>
        <v>0</v>
      </c>
      <c r="CJ7" s="180">
        <f t="shared" si="18"/>
        <v>0</v>
      </c>
      <c r="CK7" s="53" t="str">
        <f t="shared" si="19"/>
        <v/>
      </c>
      <c r="CL7" s="54" t="str">
        <f t="shared" si="20"/>
        <v/>
      </c>
      <c r="CM7" s="54" t="str">
        <f t="shared" si="21"/>
        <v/>
      </c>
      <c r="CN7" s="46" t="str">
        <f t="shared" si="22"/>
        <v/>
      </c>
      <c r="CO7" s="55">
        <f t="shared" si="23"/>
        <v>99999.000700000004</v>
      </c>
      <c r="CP7" s="2">
        <f t="shared" si="24"/>
        <v>29</v>
      </c>
      <c r="CQ7" s="102" t="str">
        <f t="shared" si="25"/>
        <v/>
      </c>
      <c r="CR7" s="2">
        <f t="shared" si="26"/>
        <v>0</v>
      </c>
    </row>
    <row r="8" spans="2:96" ht="11.25" hidden="1" customHeight="1" x14ac:dyDescent="0.15">
      <c r="B8" s="2" t="s">
        <v>234</v>
      </c>
      <c r="CE8" s="51">
        <f t="shared" si="13"/>
        <v>0</v>
      </c>
      <c r="CF8" s="51">
        <f t="shared" si="14"/>
        <v>0</v>
      </c>
      <c r="CG8" s="182">
        <f t="shared" si="15"/>
        <v>0</v>
      </c>
      <c r="CH8" s="180">
        <f t="shared" si="16"/>
        <v>0</v>
      </c>
      <c r="CI8" s="180">
        <f t="shared" si="17"/>
        <v>0</v>
      </c>
      <c r="CJ8" s="180">
        <f t="shared" si="18"/>
        <v>0</v>
      </c>
      <c r="CK8" s="53" t="str">
        <f t="shared" si="19"/>
        <v/>
      </c>
      <c r="CL8" s="54" t="str">
        <f t="shared" si="20"/>
        <v/>
      </c>
      <c r="CM8" s="54" t="str">
        <f t="shared" si="21"/>
        <v/>
      </c>
      <c r="CN8" s="46" t="str">
        <f t="shared" si="22"/>
        <v/>
      </c>
      <c r="CO8" s="55">
        <f t="shared" si="23"/>
        <v>99999.000799999994</v>
      </c>
      <c r="CP8" s="2">
        <f t="shared" si="24"/>
        <v>30</v>
      </c>
      <c r="CQ8" s="102" t="str">
        <f t="shared" si="25"/>
        <v/>
      </c>
      <c r="CR8" s="2">
        <f t="shared" si="26"/>
        <v>0</v>
      </c>
    </row>
    <row r="9" spans="2:96" ht="11.25" customHeight="1" x14ac:dyDescent="0.15">
      <c r="B9" s="2" t="s">
        <v>601</v>
      </c>
      <c r="S9" s="2" t="s">
        <v>608</v>
      </c>
      <c r="CE9" s="51">
        <f t="shared" si="13"/>
        <v>1</v>
      </c>
      <c r="CF9" s="51">
        <f t="shared" si="14"/>
        <v>42</v>
      </c>
      <c r="CG9" s="182">
        <f t="shared" si="15"/>
        <v>7</v>
      </c>
      <c r="CH9" s="180">
        <f t="shared" si="16"/>
        <v>0</v>
      </c>
      <c r="CI9" s="180">
        <f t="shared" si="17"/>
        <v>28</v>
      </c>
      <c r="CJ9" s="180">
        <f t="shared" si="18"/>
        <v>1</v>
      </c>
      <c r="CK9" s="53">
        <f t="shared" si="19"/>
        <v>28</v>
      </c>
      <c r="CL9" s="54">
        <f t="shared" si="20"/>
        <v>42</v>
      </c>
      <c r="CM9" s="54">
        <f t="shared" si="21"/>
        <v>4</v>
      </c>
      <c r="CN9" s="46" t="str">
        <f t="shared" si="22"/>
        <v>1-28</v>
      </c>
      <c r="CO9" s="55">
        <f t="shared" si="23"/>
        <v>28.000900000000001</v>
      </c>
      <c r="CP9" s="2">
        <f t="shared" si="24"/>
        <v>14</v>
      </c>
      <c r="CQ9" s="102" t="str">
        <f t="shared" si="25"/>
        <v/>
      </c>
      <c r="CR9" s="2">
        <f t="shared" si="26"/>
        <v>0</v>
      </c>
    </row>
    <row r="10" spans="2:96" ht="11.25" customHeight="1" x14ac:dyDescent="0.15">
      <c r="B10" s="2" t="s">
        <v>267</v>
      </c>
      <c r="F10" s="2" t="s">
        <v>383</v>
      </c>
      <c r="CE10" s="51">
        <f t="shared" si="13"/>
        <v>1</v>
      </c>
      <c r="CF10" s="51">
        <f t="shared" si="14"/>
        <v>24</v>
      </c>
      <c r="CG10" s="182">
        <f t="shared" si="15"/>
        <v>4</v>
      </c>
      <c r="CH10" s="180">
        <f t="shared" si="16"/>
        <v>0</v>
      </c>
      <c r="CI10" s="180">
        <f t="shared" si="17"/>
        <v>13</v>
      </c>
      <c r="CJ10" s="180">
        <f t="shared" si="18"/>
        <v>2</v>
      </c>
      <c r="CK10" s="53">
        <f t="shared" si="19"/>
        <v>6.5</v>
      </c>
      <c r="CL10" s="54">
        <f t="shared" si="20"/>
        <v>12</v>
      </c>
      <c r="CM10" s="54">
        <f t="shared" si="21"/>
        <v>3.25</v>
      </c>
      <c r="CN10" s="46" t="str">
        <f t="shared" si="22"/>
        <v>2-13</v>
      </c>
      <c r="CO10" s="55">
        <f t="shared" si="23"/>
        <v>6.5010000000000003</v>
      </c>
      <c r="CP10" s="2">
        <f t="shared" si="24"/>
        <v>1</v>
      </c>
      <c r="CQ10" s="102" t="str">
        <f t="shared" si="25"/>
        <v/>
      </c>
      <c r="CR10" s="2">
        <f t="shared" si="26"/>
        <v>0</v>
      </c>
    </row>
    <row r="11" spans="2:96" ht="11.25" customHeight="1" x14ac:dyDescent="0.15">
      <c r="B11" s="2" t="s">
        <v>210</v>
      </c>
      <c r="C11" s="2" t="s">
        <v>328</v>
      </c>
      <c r="D11" s="118" t="s">
        <v>347</v>
      </c>
      <c r="F11" s="2" t="s">
        <v>380</v>
      </c>
      <c r="G11" s="2" t="s">
        <v>396</v>
      </c>
      <c r="L11" s="2" t="s">
        <v>482</v>
      </c>
      <c r="M11" s="55"/>
      <c r="P11" s="2" t="s">
        <v>550</v>
      </c>
      <c r="R11" s="2" t="s">
        <v>585</v>
      </c>
      <c r="CE11" s="51">
        <f t="shared" si="13"/>
        <v>7</v>
      </c>
      <c r="CF11" s="51">
        <f t="shared" si="14"/>
        <v>174</v>
      </c>
      <c r="CG11" s="182">
        <f t="shared" si="15"/>
        <v>29</v>
      </c>
      <c r="CH11" s="180">
        <f t="shared" si="16"/>
        <v>2</v>
      </c>
      <c r="CI11" s="180">
        <f t="shared" si="17"/>
        <v>242</v>
      </c>
      <c r="CJ11" s="180">
        <f t="shared" si="18"/>
        <v>4</v>
      </c>
      <c r="CK11" s="53">
        <f t="shared" si="19"/>
        <v>60.5</v>
      </c>
      <c r="CL11" s="54">
        <f t="shared" si="20"/>
        <v>43.5</v>
      </c>
      <c r="CM11" s="54">
        <f t="shared" si="21"/>
        <v>8.3448275862068968</v>
      </c>
      <c r="CN11" s="46" t="str">
        <f t="shared" si="22"/>
        <v>2-33</v>
      </c>
      <c r="CO11" s="55">
        <f t="shared" si="23"/>
        <v>60.501100000000001</v>
      </c>
      <c r="CP11" s="2">
        <f t="shared" si="24"/>
        <v>21</v>
      </c>
      <c r="CQ11" s="102">
        <f t="shared" si="25"/>
        <v>6.8965517241379309E-2</v>
      </c>
      <c r="CR11" s="2">
        <f t="shared" si="26"/>
        <v>0</v>
      </c>
    </row>
    <row r="12" spans="2:96" ht="11.25" customHeight="1" x14ac:dyDescent="0.15">
      <c r="B12" s="2" t="s">
        <v>422</v>
      </c>
      <c r="I12" s="2" t="s">
        <v>427</v>
      </c>
      <c r="J12" s="2" t="s">
        <v>487</v>
      </c>
      <c r="K12" s="2" t="s">
        <v>308</v>
      </c>
      <c r="L12" s="2" t="s">
        <v>479</v>
      </c>
      <c r="M12" s="55" t="s">
        <v>506</v>
      </c>
      <c r="N12" s="2" t="s">
        <v>482</v>
      </c>
      <c r="P12" s="2" t="s">
        <v>545</v>
      </c>
      <c r="Q12" s="2" t="s">
        <v>570</v>
      </c>
      <c r="R12" s="2" t="s">
        <v>586</v>
      </c>
      <c r="S12" s="2" t="s">
        <v>605</v>
      </c>
      <c r="W12" s="2" t="s">
        <v>672</v>
      </c>
      <c r="CE12" s="51">
        <f t="shared" si="13"/>
        <v>11</v>
      </c>
      <c r="CF12" s="51">
        <f t="shared" si="14"/>
        <v>444</v>
      </c>
      <c r="CG12" s="182">
        <f t="shared" si="15"/>
        <v>74</v>
      </c>
      <c r="CH12" s="180">
        <f t="shared" si="16"/>
        <v>6</v>
      </c>
      <c r="CI12" s="180">
        <f t="shared" si="17"/>
        <v>370</v>
      </c>
      <c r="CJ12" s="180">
        <f t="shared" si="18"/>
        <v>15</v>
      </c>
      <c r="CK12" s="53">
        <f t="shared" si="19"/>
        <v>24.67</v>
      </c>
      <c r="CL12" s="54">
        <f t="shared" si="20"/>
        <v>29.6</v>
      </c>
      <c r="CM12" s="54">
        <f t="shared" si="21"/>
        <v>5</v>
      </c>
      <c r="CN12" s="46" t="str">
        <f t="shared" si="22"/>
        <v>3-27</v>
      </c>
      <c r="CO12" s="55">
        <f t="shared" si="23"/>
        <v>24.671200000000002</v>
      </c>
      <c r="CP12" s="2">
        <f t="shared" si="24"/>
        <v>12</v>
      </c>
      <c r="CQ12" s="102">
        <f t="shared" si="25"/>
        <v>8.1081081081081086E-2</v>
      </c>
      <c r="CR12" s="2">
        <f t="shared" si="26"/>
        <v>0</v>
      </c>
    </row>
    <row r="13" spans="2:96" ht="11.25" hidden="1" customHeight="1" x14ac:dyDescent="0.15">
      <c r="B13" s="2" t="s">
        <v>164</v>
      </c>
      <c r="M13" s="55"/>
      <c r="CE13" s="51">
        <f t="shared" si="13"/>
        <v>0</v>
      </c>
      <c r="CF13" s="51">
        <f t="shared" si="14"/>
        <v>0</v>
      </c>
      <c r="CG13" s="182">
        <f t="shared" si="15"/>
        <v>0</v>
      </c>
      <c r="CH13" s="180">
        <f t="shared" si="16"/>
        <v>0</v>
      </c>
      <c r="CI13" s="180">
        <f t="shared" si="17"/>
        <v>0</v>
      </c>
      <c r="CJ13" s="180">
        <f t="shared" si="18"/>
        <v>0</v>
      </c>
      <c r="CK13" s="53" t="str">
        <f t="shared" si="19"/>
        <v/>
      </c>
      <c r="CL13" s="54" t="str">
        <f t="shared" si="20"/>
        <v/>
      </c>
      <c r="CM13" s="54" t="str">
        <f t="shared" si="21"/>
        <v/>
      </c>
      <c r="CN13" s="46" t="str">
        <f t="shared" si="22"/>
        <v/>
      </c>
      <c r="CO13" s="55">
        <f t="shared" si="23"/>
        <v>99999.001300000004</v>
      </c>
      <c r="CP13" s="2">
        <f t="shared" si="24"/>
        <v>31</v>
      </c>
      <c r="CQ13" s="102" t="str">
        <f t="shared" si="25"/>
        <v/>
      </c>
      <c r="CR13" s="2">
        <f t="shared" si="26"/>
        <v>0</v>
      </c>
    </row>
    <row r="14" spans="2:96" ht="11.25" customHeight="1" x14ac:dyDescent="0.15">
      <c r="B14" s="2" t="s">
        <v>286</v>
      </c>
      <c r="M14" s="55"/>
      <c r="CE14" s="51">
        <f t="shared" si="13"/>
        <v>0</v>
      </c>
      <c r="CF14" s="51">
        <f t="shared" si="14"/>
        <v>0</v>
      </c>
      <c r="CG14" s="182">
        <f t="shared" si="15"/>
        <v>0</v>
      </c>
      <c r="CH14" s="180">
        <f t="shared" si="16"/>
        <v>0</v>
      </c>
      <c r="CI14" s="180">
        <f t="shared" si="17"/>
        <v>0</v>
      </c>
      <c r="CJ14" s="180">
        <f t="shared" si="18"/>
        <v>0</v>
      </c>
      <c r="CK14" s="53" t="str">
        <f t="shared" si="19"/>
        <v/>
      </c>
      <c r="CL14" s="54" t="str">
        <f t="shared" si="20"/>
        <v/>
      </c>
      <c r="CM14" s="54" t="str">
        <f t="shared" si="21"/>
        <v/>
      </c>
      <c r="CN14" s="46" t="str">
        <f t="shared" si="22"/>
        <v/>
      </c>
      <c r="CO14" s="55">
        <f t="shared" si="23"/>
        <v>99999.001399999994</v>
      </c>
      <c r="CP14" s="2">
        <f t="shared" si="24"/>
        <v>32</v>
      </c>
      <c r="CQ14" s="102" t="str">
        <f t="shared" si="25"/>
        <v/>
      </c>
      <c r="CR14" s="2">
        <f t="shared" si="26"/>
        <v>0</v>
      </c>
    </row>
    <row r="15" spans="2:96" ht="11.25" customHeight="1" x14ac:dyDescent="0.15">
      <c r="B15" s="2" t="s">
        <v>243</v>
      </c>
      <c r="M15" s="55"/>
      <c r="CE15" s="51">
        <f t="shared" si="13"/>
        <v>0</v>
      </c>
      <c r="CF15" s="51">
        <f t="shared" si="14"/>
        <v>0</v>
      </c>
      <c r="CG15" s="182">
        <f t="shared" si="15"/>
        <v>0</v>
      </c>
      <c r="CH15" s="180">
        <f t="shared" si="16"/>
        <v>0</v>
      </c>
      <c r="CI15" s="180">
        <f t="shared" si="17"/>
        <v>0</v>
      </c>
      <c r="CJ15" s="180">
        <f t="shared" si="18"/>
        <v>0</v>
      </c>
      <c r="CK15" s="53" t="str">
        <f t="shared" si="19"/>
        <v/>
      </c>
      <c r="CL15" s="54" t="str">
        <f t="shared" si="20"/>
        <v/>
      </c>
      <c r="CM15" s="54" t="str">
        <f t="shared" si="21"/>
        <v/>
      </c>
      <c r="CN15" s="46" t="str">
        <f t="shared" si="22"/>
        <v/>
      </c>
      <c r="CO15" s="55">
        <f t="shared" si="23"/>
        <v>99999.001499999998</v>
      </c>
      <c r="CP15" s="2">
        <f t="shared" si="24"/>
        <v>33</v>
      </c>
      <c r="CQ15" s="102" t="str">
        <f t="shared" si="25"/>
        <v/>
      </c>
      <c r="CR15" s="2">
        <f t="shared" si="26"/>
        <v>0</v>
      </c>
    </row>
    <row r="16" spans="2:96" ht="11.25" customHeight="1" x14ac:dyDescent="0.15">
      <c r="B16" s="2" t="s">
        <v>377</v>
      </c>
      <c r="F16" s="2" t="s">
        <v>384</v>
      </c>
      <c r="M16" s="55"/>
      <c r="CE16" s="51">
        <f t="shared" si="13"/>
        <v>1</v>
      </c>
      <c r="CF16" s="51">
        <f t="shared" si="14"/>
        <v>12</v>
      </c>
      <c r="CG16" s="182">
        <f t="shared" si="15"/>
        <v>2</v>
      </c>
      <c r="CH16" s="180">
        <f t="shared" si="16"/>
        <v>0</v>
      </c>
      <c r="CI16" s="180">
        <f t="shared" si="17"/>
        <v>4</v>
      </c>
      <c r="CJ16" s="180">
        <f t="shared" si="18"/>
        <v>0</v>
      </c>
      <c r="CK16" s="53" t="str">
        <f t="shared" si="19"/>
        <v/>
      </c>
      <c r="CL16" s="54" t="str">
        <f t="shared" si="20"/>
        <v/>
      </c>
      <c r="CM16" s="54">
        <f t="shared" si="21"/>
        <v>2</v>
      </c>
      <c r="CN16" s="46" t="str">
        <f t="shared" si="22"/>
        <v>0-4</v>
      </c>
      <c r="CO16" s="55">
        <f t="shared" si="23"/>
        <v>1012.0016000000001</v>
      </c>
      <c r="CP16" s="2">
        <f t="shared" si="24"/>
        <v>23</v>
      </c>
      <c r="CQ16" s="102" t="str">
        <f t="shared" si="25"/>
        <v/>
      </c>
      <c r="CR16" s="2">
        <f t="shared" si="26"/>
        <v>0</v>
      </c>
    </row>
    <row r="17" spans="2:96" ht="11.25" customHeight="1" x14ac:dyDescent="0.15">
      <c r="B17" s="2" t="s">
        <v>293</v>
      </c>
      <c r="M17" s="55"/>
      <c r="CE17" s="51">
        <f t="shared" si="13"/>
        <v>0</v>
      </c>
      <c r="CF17" s="51">
        <f t="shared" si="14"/>
        <v>0</v>
      </c>
      <c r="CG17" s="182">
        <f t="shared" si="15"/>
        <v>0</v>
      </c>
      <c r="CH17" s="180">
        <f t="shared" si="16"/>
        <v>0</v>
      </c>
      <c r="CI17" s="180">
        <f t="shared" si="17"/>
        <v>0</v>
      </c>
      <c r="CJ17" s="180">
        <f t="shared" si="18"/>
        <v>0</v>
      </c>
      <c r="CK17" s="53" t="str">
        <f t="shared" si="19"/>
        <v/>
      </c>
      <c r="CL17" s="54" t="str">
        <f t="shared" si="20"/>
        <v/>
      </c>
      <c r="CM17" s="54" t="str">
        <f t="shared" si="21"/>
        <v/>
      </c>
      <c r="CN17" s="46" t="str">
        <f t="shared" si="22"/>
        <v/>
      </c>
      <c r="CO17" s="55">
        <f t="shared" si="23"/>
        <v>99999.001699999993</v>
      </c>
      <c r="CP17" s="2">
        <f t="shared" si="24"/>
        <v>34</v>
      </c>
      <c r="CQ17" s="102" t="str">
        <f t="shared" si="25"/>
        <v/>
      </c>
      <c r="CR17" s="2">
        <f t="shared" si="26"/>
        <v>0</v>
      </c>
    </row>
    <row r="18" spans="2:96" ht="11.25" customHeight="1" x14ac:dyDescent="0.15">
      <c r="B18" s="2" t="s">
        <v>277</v>
      </c>
      <c r="M18" s="55"/>
      <c r="P18" s="2" t="s">
        <v>551</v>
      </c>
      <c r="CE18" s="51">
        <f t="shared" si="13"/>
        <v>1</v>
      </c>
      <c r="CF18" s="51">
        <f t="shared" si="14"/>
        <v>24</v>
      </c>
      <c r="CG18" s="182">
        <f t="shared" si="15"/>
        <v>4</v>
      </c>
      <c r="CH18" s="180">
        <f t="shared" si="16"/>
        <v>2</v>
      </c>
      <c r="CI18" s="180">
        <f t="shared" si="17"/>
        <v>7</v>
      </c>
      <c r="CJ18" s="180">
        <f t="shared" si="18"/>
        <v>1</v>
      </c>
      <c r="CK18" s="53">
        <f t="shared" si="19"/>
        <v>7</v>
      </c>
      <c r="CL18" s="54">
        <f t="shared" si="20"/>
        <v>24</v>
      </c>
      <c r="CM18" s="54">
        <f t="shared" si="21"/>
        <v>1.75</v>
      </c>
      <c r="CN18" s="46" t="str">
        <f t="shared" si="22"/>
        <v>1-7</v>
      </c>
      <c r="CO18" s="55">
        <f t="shared" si="23"/>
        <v>7.0018000000000002</v>
      </c>
      <c r="CP18" s="2">
        <f t="shared" si="24"/>
        <v>2</v>
      </c>
      <c r="CQ18" s="102" t="str">
        <f t="shared" si="25"/>
        <v/>
      </c>
      <c r="CR18" s="2">
        <f t="shared" si="26"/>
        <v>0</v>
      </c>
    </row>
    <row r="19" spans="2:96" ht="11.25" customHeight="1" x14ac:dyDescent="0.15">
      <c r="B19" s="2" t="s">
        <v>339</v>
      </c>
      <c r="D19" s="2" t="s">
        <v>346</v>
      </c>
      <c r="M19" s="55"/>
      <c r="CE19" s="51">
        <f t="shared" si="13"/>
        <v>1</v>
      </c>
      <c r="CF19" s="51">
        <f t="shared" si="14"/>
        <v>24</v>
      </c>
      <c r="CG19" s="182">
        <f t="shared" si="15"/>
        <v>4</v>
      </c>
      <c r="CH19" s="180">
        <f t="shared" si="16"/>
        <v>0</v>
      </c>
      <c r="CI19" s="180">
        <f t="shared" si="17"/>
        <v>28</v>
      </c>
      <c r="CJ19" s="180">
        <f t="shared" si="18"/>
        <v>0</v>
      </c>
      <c r="CK19" s="53" t="str">
        <f t="shared" si="19"/>
        <v/>
      </c>
      <c r="CL19" s="54" t="str">
        <f t="shared" si="20"/>
        <v/>
      </c>
      <c r="CM19" s="54">
        <f t="shared" si="21"/>
        <v>7</v>
      </c>
      <c r="CN19" s="46" t="str">
        <f t="shared" si="22"/>
        <v>0-28</v>
      </c>
      <c r="CO19" s="55">
        <f t="shared" si="23"/>
        <v>1024.0019</v>
      </c>
      <c r="CP19" s="2">
        <f t="shared" si="24"/>
        <v>25</v>
      </c>
      <c r="CQ19" s="102" t="str">
        <f t="shared" si="25"/>
        <v/>
      </c>
      <c r="CR19" s="2">
        <f t="shared" si="26"/>
        <v>0</v>
      </c>
    </row>
    <row r="20" spans="2:96" ht="11.25" customHeight="1" x14ac:dyDescent="0.15">
      <c r="B20" s="177" t="s">
        <v>451</v>
      </c>
      <c r="K20" s="2" t="s">
        <v>463</v>
      </c>
      <c r="M20" s="55"/>
      <c r="CE20" s="51">
        <f t="shared" si="13"/>
        <v>1</v>
      </c>
      <c r="CF20" s="51">
        <f t="shared" si="14"/>
        <v>42</v>
      </c>
      <c r="CG20" s="182">
        <f t="shared" si="15"/>
        <v>7</v>
      </c>
      <c r="CH20" s="180">
        <f t="shared" si="16"/>
        <v>0</v>
      </c>
      <c r="CI20" s="180">
        <f t="shared" si="17"/>
        <v>39</v>
      </c>
      <c r="CJ20" s="180">
        <f t="shared" si="18"/>
        <v>0</v>
      </c>
      <c r="CK20" s="53" t="str">
        <f t="shared" si="19"/>
        <v/>
      </c>
      <c r="CL20" s="54" t="str">
        <f t="shared" si="20"/>
        <v/>
      </c>
      <c r="CM20" s="54">
        <f t="shared" si="21"/>
        <v>5.5714285714285712</v>
      </c>
      <c r="CN20" s="46" t="str">
        <f t="shared" si="22"/>
        <v>0-39</v>
      </c>
      <c r="CO20" s="55">
        <f t="shared" si="23"/>
        <v>1042.002</v>
      </c>
      <c r="CP20" s="2">
        <f t="shared" si="24"/>
        <v>28</v>
      </c>
      <c r="CQ20" s="102" t="str">
        <f t="shared" si="25"/>
        <v/>
      </c>
      <c r="CR20" s="2">
        <f t="shared" si="26"/>
        <v>0</v>
      </c>
    </row>
    <row r="21" spans="2:96" ht="11.25" customHeight="1" x14ac:dyDescent="0.15">
      <c r="B21" s="177" t="s">
        <v>284</v>
      </c>
      <c r="J21" s="2" t="s">
        <v>485</v>
      </c>
      <c r="M21" s="55"/>
      <c r="CE21" s="51">
        <f t="shared" si="13"/>
        <v>1</v>
      </c>
      <c r="CF21" s="51">
        <f t="shared" si="14"/>
        <v>30</v>
      </c>
      <c r="CG21" s="182">
        <f t="shared" si="15"/>
        <v>5</v>
      </c>
      <c r="CH21" s="180">
        <f t="shared" si="16"/>
        <v>2</v>
      </c>
      <c r="CI21" s="180">
        <f t="shared" si="17"/>
        <v>17</v>
      </c>
      <c r="CJ21" s="180">
        <f t="shared" si="18"/>
        <v>2</v>
      </c>
      <c r="CK21" s="53">
        <f t="shared" si="19"/>
        <v>8.5</v>
      </c>
      <c r="CL21" s="54">
        <f t="shared" si="20"/>
        <v>15</v>
      </c>
      <c r="CM21" s="54">
        <f t="shared" si="21"/>
        <v>3.4</v>
      </c>
      <c r="CN21" s="46" t="str">
        <f t="shared" si="22"/>
        <v>2-17</v>
      </c>
      <c r="CO21" s="55">
        <f t="shared" si="23"/>
        <v>8.5021000000000004</v>
      </c>
      <c r="CP21" s="2">
        <f t="shared" si="24"/>
        <v>4</v>
      </c>
      <c r="CQ21" s="102" t="str">
        <f t="shared" si="25"/>
        <v/>
      </c>
      <c r="CR21" s="2">
        <f t="shared" si="26"/>
        <v>0</v>
      </c>
    </row>
    <row r="22" spans="2:96" ht="11.25" customHeight="1" x14ac:dyDescent="0.15">
      <c r="B22" s="2" t="s">
        <v>165</v>
      </c>
      <c r="E22" s="2" t="s">
        <v>363</v>
      </c>
      <c r="L22" s="2" t="s">
        <v>480</v>
      </c>
      <c r="M22" s="55"/>
      <c r="P22" s="2" t="s">
        <v>549</v>
      </c>
      <c r="T22" s="2" t="s">
        <v>345</v>
      </c>
      <c r="W22" s="2" t="s">
        <v>675</v>
      </c>
      <c r="CE22" s="51">
        <f t="shared" si="13"/>
        <v>5</v>
      </c>
      <c r="CF22" s="51">
        <f t="shared" si="14"/>
        <v>114</v>
      </c>
      <c r="CG22" s="182">
        <f t="shared" si="15"/>
        <v>19</v>
      </c>
      <c r="CH22" s="180">
        <f t="shared" si="16"/>
        <v>0</v>
      </c>
      <c r="CI22" s="180">
        <f t="shared" si="17"/>
        <v>135</v>
      </c>
      <c r="CJ22" s="180">
        <f t="shared" si="18"/>
        <v>2</v>
      </c>
      <c r="CK22" s="53">
        <f t="shared" si="19"/>
        <v>67.5</v>
      </c>
      <c r="CL22" s="54">
        <f t="shared" si="20"/>
        <v>57</v>
      </c>
      <c r="CM22" s="54">
        <f t="shared" si="21"/>
        <v>7.1052631578947372</v>
      </c>
      <c r="CN22" s="46" t="str">
        <f t="shared" si="22"/>
        <v>1-19</v>
      </c>
      <c r="CO22" s="55">
        <f t="shared" si="23"/>
        <v>67.502200000000002</v>
      </c>
      <c r="CP22" s="2">
        <f t="shared" si="24"/>
        <v>22</v>
      </c>
      <c r="CQ22" s="102" t="str">
        <f t="shared" si="25"/>
        <v/>
      </c>
      <c r="CR22" s="2">
        <f t="shared" si="26"/>
        <v>0</v>
      </c>
    </row>
    <row r="23" spans="2:96" ht="11.25" customHeight="1" x14ac:dyDescent="0.15">
      <c r="B23" s="2" t="s">
        <v>299</v>
      </c>
      <c r="M23" s="55"/>
      <c r="CE23" s="51">
        <f t="shared" si="13"/>
        <v>0</v>
      </c>
      <c r="CF23" s="51">
        <f t="shared" si="14"/>
        <v>0</v>
      </c>
      <c r="CG23" s="182">
        <f t="shared" si="15"/>
        <v>0</v>
      </c>
      <c r="CH23" s="180">
        <f t="shared" si="16"/>
        <v>0</v>
      </c>
      <c r="CI23" s="180">
        <f t="shared" si="17"/>
        <v>0</v>
      </c>
      <c r="CJ23" s="180">
        <f t="shared" si="18"/>
        <v>0</v>
      </c>
      <c r="CK23" s="53" t="str">
        <f t="shared" si="19"/>
        <v/>
      </c>
      <c r="CL23" s="54" t="str">
        <f t="shared" si="20"/>
        <v/>
      </c>
      <c r="CM23" s="54" t="str">
        <f t="shared" si="21"/>
        <v/>
      </c>
      <c r="CN23" s="46" t="str">
        <f t="shared" si="22"/>
        <v/>
      </c>
      <c r="CO23" s="55">
        <f t="shared" si="23"/>
        <v>99999.002299999993</v>
      </c>
      <c r="CP23" s="2">
        <f t="shared" si="24"/>
        <v>35</v>
      </c>
      <c r="CQ23" s="102" t="str">
        <f t="shared" si="25"/>
        <v/>
      </c>
      <c r="CR23" s="2">
        <f t="shared" si="26"/>
        <v>0</v>
      </c>
    </row>
    <row r="24" spans="2:96" ht="11.25" hidden="1" customHeight="1" x14ac:dyDescent="0.15">
      <c r="B24" s="2" t="s">
        <v>268</v>
      </c>
      <c r="M24" s="55"/>
      <c r="CE24" s="51">
        <f t="shared" si="13"/>
        <v>0</v>
      </c>
      <c r="CF24" s="51">
        <f t="shared" si="14"/>
        <v>0</v>
      </c>
      <c r="CG24" s="182">
        <f t="shared" si="15"/>
        <v>0</v>
      </c>
      <c r="CH24" s="180">
        <f t="shared" si="16"/>
        <v>0</v>
      </c>
      <c r="CI24" s="180">
        <f t="shared" si="17"/>
        <v>0</v>
      </c>
      <c r="CJ24" s="180">
        <f t="shared" si="18"/>
        <v>0</v>
      </c>
      <c r="CK24" s="53" t="str">
        <f t="shared" si="19"/>
        <v/>
      </c>
      <c r="CL24" s="54" t="str">
        <f t="shared" si="20"/>
        <v/>
      </c>
      <c r="CM24" s="54" t="str">
        <f t="shared" si="21"/>
        <v/>
      </c>
      <c r="CN24" s="46" t="str">
        <f t="shared" si="22"/>
        <v/>
      </c>
      <c r="CO24" s="55">
        <f t="shared" si="23"/>
        <v>99999.002399999998</v>
      </c>
      <c r="CP24" s="2">
        <f t="shared" si="24"/>
        <v>36</v>
      </c>
      <c r="CQ24" s="102" t="str">
        <f t="shared" si="25"/>
        <v/>
      </c>
      <c r="CR24" s="2">
        <f t="shared" si="26"/>
        <v>0</v>
      </c>
    </row>
    <row r="25" spans="2:96" ht="11.25" customHeight="1" x14ac:dyDescent="0.15">
      <c r="B25" s="2" t="s">
        <v>224</v>
      </c>
      <c r="C25" s="2" t="s">
        <v>298</v>
      </c>
      <c r="F25" s="2" t="s">
        <v>378</v>
      </c>
      <c r="G25" s="2" t="s">
        <v>398</v>
      </c>
      <c r="H25" s="2" t="s">
        <v>412</v>
      </c>
      <c r="K25" s="2" t="s">
        <v>459</v>
      </c>
      <c r="L25" s="2" t="s">
        <v>477</v>
      </c>
      <c r="O25" s="2" t="s">
        <v>555</v>
      </c>
      <c r="P25" s="2" t="s">
        <v>546</v>
      </c>
      <c r="T25" s="2" t="s">
        <v>625</v>
      </c>
      <c r="U25" s="2" t="s">
        <v>642</v>
      </c>
      <c r="V25" s="2" t="s">
        <v>656</v>
      </c>
      <c r="W25" s="2" t="s">
        <v>673</v>
      </c>
      <c r="CE25" s="51">
        <f t="shared" si="13"/>
        <v>12</v>
      </c>
      <c r="CF25" s="51">
        <f t="shared" si="14"/>
        <v>564</v>
      </c>
      <c r="CG25" s="182">
        <f t="shared" si="15"/>
        <v>94</v>
      </c>
      <c r="CH25" s="180">
        <f t="shared" si="16"/>
        <v>21</v>
      </c>
      <c r="CI25" s="180">
        <f t="shared" si="17"/>
        <v>324</v>
      </c>
      <c r="CJ25" s="180">
        <f t="shared" si="18"/>
        <v>18</v>
      </c>
      <c r="CK25" s="53">
        <f t="shared" si="19"/>
        <v>18</v>
      </c>
      <c r="CL25" s="54">
        <f t="shared" si="20"/>
        <v>31.333333333333332</v>
      </c>
      <c r="CM25" s="54">
        <f t="shared" si="21"/>
        <v>3.4468085106382977</v>
      </c>
      <c r="CN25" s="46" t="str">
        <f t="shared" si="22"/>
        <v>5-37</v>
      </c>
      <c r="CO25" s="55">
        <f t="shared" si="23"/>
        <v>18.002500000000001</v>
      </c>
      <c r="CP25" s="2">
        <f t="shared" si="24"/>
        <v>8</v>
      </c>
      <c r="CQ25" s="102">
        <f t="shared" si="25"/>
        <v>0.22340425531914893</v>
      </c>
      <c r="CR25" s="2">
        <f t="shared" si="26"/>
        <v>1</v>
      </c>
    </row>
    <row r="26" spans="2:96" ht="11.25" customHeight="1" x14ac:dyDescent="0.15">
      <c r="B26" s="2" t="s">
        <v>425</v>
      </c>
      <c r="I26" s="2" t="s">
        <v>430</v>
      </c>
      <c r="M26" s="55"/>
      <c r="CE26" s="51">
        <f t="shared" si="13"/>
        <v>1</v>
      </c>
      <c r="CF26" s="51">
        <f t="shared" si="14"/>
        <v>24</v>
      </c>
      <c r="CG26" s="182">
        <f t="shared" si="15"/>
        <v>4</v>
      </c>
      <c r="CH26" s="180">
        <f t="shared" si="16"/>
        <v>0</v>
      </c>
      <c r="CI26" s="180">
        <f t="shared" si="17"/>
        <v>30</v>
      </c>
      <c r="CJ26" s="180">
        <f t="shared" si="18"/>
        <v>0</v>
      </c>
      <c r="CK26" s="53" t="str">
        <f t="shared" si="19"/>
        <v/>
      </c>
      <c r="CL26" s="54" t="str">
        <f t="shared" si="20"/>
        <v/>
      </c>
      <c r="CM26" s="54">
        <f t="shared" si="21"/>
        <v>7.5</v>
      </c>
      <c r="CN26" s="46" t="str">
        <f t="shared" si="22"/>
        <v>0-30</v>
      </c>
      <c r="CO26" s="55">
        <f t="shared" si="23"/>
        <v>1024.0026</v>
      </c>
      <c r="CP26" s="2">
        <f t="shared" si="24"/>
        <v>26</v>
      </c>
      <c r="CQ26" s="102" t="str">
        <f t="shared" si="25"/>
        <v/>
      </c>
      <c r="CR26" s="2">
        <f t="shared" si="26"/>
        <v>0</v>
      </c>
    </row>
    <row r="27" spans="2:96" ht="11.25" customHeight="1" x14ac:dyDescent="0.15">
      <c r="B27" s="2" t="s">
        <v>207</v>
      </c>
      <c r="C27" s="2" t="s">
        <v>329</v>
      </c>
      <c r="E27" s="2" t="s">
        <v>364</v>
      </c>
      <c r="F27" s="2" t="s">
        <v>382</v>
      </c>
      <c r="I27" s="2" t="s">
        <v>429</v>
      </c>
      <c r="J27" s="2" t="s">
        <v>488</v>
      </c>
      <c r="K27" s="2" t="s">
        <v>461</v>
      </c>
      <c r="L27" s="2" t="s">
        <v>484</v>
      </c>
      <c r="M27" s="55"/>
      <c r="N27" s="2" t="s">
        <v>521</v>
      </c>
      <c r="O27" s="2" t="s">
        <v>556</v>
      </c>
      <c r="V27" s="2" t="s">
        <v>660</v>
      </c>
      <c r="CE27" s="51">
        <f t="shared" si="13"/>
        <v>10</v>
      </c>
      <c r="CF27" s="51">
        <f t="shared" si="14"/>
        <v>329</v>
      </c>
      <c r="CG27" s="182">
        <f t="shared" si="15"/>
        <v>54.5</v>
      </c>
      <c r="CH27" s="180">
        <f t="shared" si="16"/>
        <v>6</v>
      </c>
      <c r="CI27" s="180">
        <f t="shared" si="17"/>
        <v>237</v>
      </c>
      <c r="CJ27" s="180">
        <f t="shared" si="18"/>
        <v>11</v>
      </c>
      <c r="CK27" s="53">
        <f t="shared" si="19"/>
        <v>21.55</v>
      </c>
      <c r="CL27" s="54">
        <f t="shared" si="20"/>
        <v>29.90909090909091</v>
      </c>
      <c r="CM27" s="54">
        <f t="shared" si="21"/>
        <v>4.3221884498480243</v>
      </c>
      <c r="CN27" s="46" t="str">
        <f t="shared" si="22"/>
        <v>3-38</v>
      </c>
      <c r="CO27" s="55">
        <f t="shared" si="23"/>
        <v>21.552700000000002</v>
      </c>
      <c r="CP27" s="2">
        <f t="shared" si="24"/>
        <v>10</v>
      </c>
      <c r="CQ27" s="102">
        <f t="shared" si="25"/>
        <v>0.10942249240121579</v>
      </c>
      <c r="CR27" s="2">
        <f t="shared" si="26"/>
        <v>0</v>
      </c>
    </row>
    <row r="28" spans="2:96" ht="11.25" customHeight="1" x14ac:dyDescent="0.15">
      <c r="B28" s="2" t="s">
        <v>212</v>
      </c>
      <c r="D28" s="2" t="s">
        <v>342</v>
      </c>
      <c r="G28" s="2" t="s">
        <v>397</v>
      </c>
      <c r="H28" s="2" t="s">
        <v>411</v>
      </c>
      <c r="J28" s="2" t="s">
        <v>486</v>
      </c>
      <c r="M28" s="55" t="s">
        <v>503</v>
      </c>
      <c r="U28" s="2" t="s">
        <v>643</v>
      </c>
      <c r="CE28" s="51">
        <f t="shared" si="13"/>
        <v>6</v>
      </c>
      <c r="CF28" s="51">
        <f t="shared" si="14"/>
        <v>210</v>
      </c>
      <c r="CG28" s="182">
        <f t="shared" si="15"/>
        <v>35</v>
      </c>
      <c r="CH28" s="180">
        <f t="shared" si="16"/>
        <v>1</v>
      </c>
      <c r="CI28" s="180">
        <f t="shared" si="17"/>
        <v>161</v>
      </c>
      <c r="CJ28" s="180">
        <f t="shared" si="18"/>
        <v>9</v>
      </c>
      <c r="CK28" s="53">
        <f t="shared" si="19"/>
        <v>17.89</v>
      </c>
      <c r="CL28" s="54">
        <f t="shared" si="20"/>
        <v>23.333333333333332</v>
      </c>
      <c r="CM28" s="54">
        <f t="shared" si="21"/>
        <v>4.5999999999999996</v>
      </c>
      <c r="CN28" s="46" t="str">
        <f t="shared" si="22"/>
        <v>3-33</v>
      </c>
      <c r="CO28" s="55">
        <f t="shared" si="23"/>
        <v>17.892800000000001</v>
      </c>
      <c r="CP28" s="2">
        <f t="shared" si="24"/>
        <v>7</v>
      </c>
      <c r="CQ28" s="102">
        <f t="shared" si="25"/>
        <v>2.8571428571428574E-2</v>
      </c>
      <c r="CR28" s="2">
        <f t="shared" si="26"/>
        <v>0</v>
      </c>
    </row>
    <row r="29" spans="2:96" ht="11.25" hidden="1" customHeight="1" x14ac:dyDescent="0.15">
      <c r="B29" s="2" t="s">
        <v>265</v>
      </c>
      <c r="M29" s="55"/>
      <c r="CE29" s="51">
        <f t="shared" si="13"/>
        <v>0</v>
      </c>
      <c r="CF29" s="51">
        <f t="shared" si="14"/>
        <v>0</v>
      </c>
      <c r="CG29" s="182">
        <f t="shared" si="15"/>
        <v>0</v>
      </c>
      <c r="CH29" s="180">
        <f t="shared" si="16"/>
        <v>0</v>
      </c>
      <c r="CI29" s="180">
        <f t="shared" si="17"/>
        <v>0</v>
      </c>
      <c r="CJ29" s="180">
        <f t="shared" si="18"/>
        <v>0</v>
      </c>
      <c r="CK29" s="53" t="str">
        <f t="shared" si="19"/>
        <v/>
      </c>
      <c r="CL29" s="54" t="str">
        <f t="shared" si="20"/>
        <v/>
      </c>
      <c r="CM29" s="54" t="str">
        <f t="shared" si="21"/>
        <v/>
      </c>
      <c r="CN29" s="46" t="str">
        <f t="shared" si="22"/>
        <v/>
      </c>
      <c r="CO29" s="55">
        <f t="shared" si="23"/>
        <v>99999.002900000007</v>
      </c>
      <c r="CP29" s="2">
        <f t="shared" si="24"/>
        <v>37</v>
      </c>
      <c r="CQ29" s="102" t="str">
        <f t="shared" si="25"/>
        <v/>
      </c>
      <c r="CR29" s="2">
        <f t="shared" si="26"/>
        <v>0</v>
      </c>
    </row>
    <row r="30" spans="2:96" ht="11.25" customHeight="1" x14ac:dyDescent="0.15">
      <c r="B30" s="2" t="s">
        <v>288</v>
      </c>
      <c r="H30" s="2" t="s">
        <v>415</v>
      </c>
      <c r="M30" s="55"/>
      <c r="CE30" s="51">
        <f t="shared" si="13"/>
        <v>1</v>
      </c>
      <c r="CF30" s="51">
        <f t="shared" si="14"/>
        <v>12</v>
      </c>
      <c r="CG30" s="182">
        <f t="shared" si="15"/>
        <v>2</v>
      </c>
      <c r="CH30" s="180">
        <f t="shared" si="16"/>
        <v>0</v>
      </c>
      <c r="CI30" s="180">
        <f t="shared" si="17"/>
        <v>25</v>
      </c>
      <c r="CJ30" s="180">
        <f t="shared" si="18"/>
        <v>0</v>
      </c>
      <c r="CK30" s="53" t="str">
        <f t="shared" si="19"/>
        <v/>
      </c>
      <c r="CL30" s="54" t="str">
        <f t="shared" si="20"/>
        <v/>
      </c>
      <c r="CM30" s="54">
        <f t="shared" si="21"/>
        <v>12.5</v>
      </c>
      <c r="CN30" s="46" t="str">
        <f t="shared" si="22"/>
        <v>0-25</v>
      </c>
      <c r="CO30" s="55">
        <f t="shared" si="23"/>
        <v>1012.003</v>
      </c>
      <c r="CP30" s="2">
        <f t="shared" si="24"/>
        <v>24</v>
      </c>
      <c r="CQ30" s="102" t="str">
        <f t="shared" si="25"/>
        <v/>
      </c>
      <c r="CR30" s="2">
        <f t="shared" si="26"/>
        <v>0</v>
      </c>
    </row>
    <row r="31" spans="2:96" ht="11.25" customHeight="1" x14ac:dyDescent="0.15">
      <c r="B31" s="2" t="s">
        <v>265</v>
      </c>
      <c r="M31" s="55"/>
      <c r="N31" s="2" t="s">
        <v>327</v>
      </c>
      <c r="CE31" s="51">
        <f t="shared" si="13"/>
        <v>1</v>
      </c>
      <c r="CF31" s="51">
        <f t="shared" si="14"/>
        <v>30</v>
      </c>
      <c r="CG31" s="182">
        <f t="shared" si="15"/>
        <v>5</v>
      </c>
      <c r="CH31" s="180">
        <f t="shared" si="16"/>
        <v>0</v>
      </c>
      <c r="CI31" s="180">
        <f t="shared" si="17"/>
        <v>26</v>
      </c>
      <c r="CJ31" s="180">
        <f t="shared" si="18"/>
        <v>0</v>
      </c>
      <c r="CK31" s="53" t="str">
        <f t="shared" si="19"/>
        <v/>
      </c>
      <c r="CL31" s="54" t="str">
        <f t="shared" si="20"/>
        <v/>
      </c>
      <c r="CM31" s="54">
        <f t="shared" si="21"/>
        <v>5.2</v>
      </c>
      <c r="CN31" s="46" t="str">
        <f t="shared" si="22"/>
        <v>0-26</v>
      </c>
      <c r="CO31" s="55">
        <f t="shared" si="23"/>
        <v>1030.0030999999999</v>
      </c>
      <c r="CP31" s="2">
        <f t="shared" si="24"/>
        <v>27</v>
      </c>
      <c r="CQ31" s="102" t="str">
        <f t="shared" si="25"/>
        <v/>
      </c>
      <c r="CR31" s="2">
        <f t="shared" si="26"/>
        <v>0</v>
      </c>
    </row>
    <row r="32" spans="2:96" ht="11.25" customHeight="1" x14ac:dyDescent="0.15">
      <c r="B32" s="2" t="s">
        <v>307</v>
      </c>
      <c r="M32" s="55"/>
      <c r="CE32" s="51">
        <f t="shared" si="13"/>
        <v>0</v>
      </c>
      <c r="CF32" s="51">
        <f t="shared" si="14"/>
        <v>0</v>
      </c>
      <c r="CG32" s="182">
        <f t="shared" si="15"/>
        <v>0</v>
      </c>
      <c r="CH32" s="180">
        <f t="shared" si="16"/>
        <v>0</v>
      </c>
      <c r="CI32" s="180">
        <f t="shared" si="17"/>
        <v>0</v>
      </c>
      <c r="CJ32" s="180">
        <f t="shared" si="18"/>
        <v>0</v>
      </c>
      <c r="CK32" s="53" t="str">
        <f t="shared" si="19"/>
        <v/>
      </c>
      <c r="CL32" s="54" t="str">
        <f t="shared" si="20"/>
        <v/>
      </c>
      <c r="CM32" s="54" t="str">
        <f t="shared" si="21"/>
        <v/>
      </c>
      <c r="CN32" s="46" t="str">
        <f t="shared" si="22"/>
        <v/>
      </c>
      <c r="CO32" s="55">
        <f t="shared" si="23"/>
        <v>99999.003200000006</v>
      </c>
      <c r="CP32" s="2">
        <f t="shared" si="24"/>
        <v>38</v>
      </c>
      <c r="CQ32" s="102" t="str">
        <f t="shared" si="25"/>
        <v/>
      </c>
      <c r="CR32" s="2">
        <f t="shared" si="26"/>
        <v>0</v>
      </c>
    </row>
    <row r="33" spans="1:16381" ht="11.25" customHeight="1" x14ac:dyDescent="0.15">
      <c r="B33" s="2" t="s">
        <v>245</v>
      </c>
      <c r="C33" s="2" t="s">
        <v>326</v>
      </c>
      <c r="D33" s="2" t="s">
        <v>341</v>
      </c>
      <c r="M33" s="55"/>
      <c r="Q33" s="2" t="s">
        <v>569</v>
      </c>
      <c r="U33" s="2" t="s">
        <v>641</v>
      </c>
      <c r="W33" s="2" t="s">
        <v>671</v>
      </c>
      <c r="CE33" s="51">
        <f t="shared" si="13"/>
        <v>5</v>
      </c>
      <c r="CF33" s="51">
        <f t="shared" si="14"/>
        <v>198</v>
      </c>
      <c r="CG33" s="182">
        <f t="shared" si="15"/>
        <v>33</v>
      </c>
      <c r="CH33" s="180">
        <f t="shared" si="16"/>
        <v>7</v>
      </c>
      <c r="CI33" s="180">
        <f t="shared" si="17"/>
        <v>116</v>
      </c>
      <c r="CJ33" s="180">
        <f t="shared" si="18"/>
        <v>9</v>
      </c>
      <c r="CK33" s="53">
        <f t="shared" si="19"/>
        <v>12.89</v>
      </c>
      <c r="CL33" s="54">
        <f t="shared" si="20"/>
        <v>22</v>
      </c>
      <c r="CM33" s="54">
        <f t="shared" si="21"/>
        <v>3.5151515151515151</v>
      </c>
      <c r="CN33" s="46" t="str">
        <f t="shared" si="22"/>
        <v>3-13</v>
      </c>
      <c r="CO33" s="55">
        <f t="shared" si="23"/>
        <v>12.8933</v>
      </c>
      <c r="CP33" s="2">
        <f t="shared" si="24"/>
        <v>5</v>
      </c>
      <c r="CQ33" s="102">
        <f t="shared" si="25"/>
        <v>0.2121212121212121</v>
      </c>
      <c r="CR33" s="2">
        <f t="shared" si="26"/>
        <v>0</v>
      </c>
    </row>
    <row r="34" spans="1:16381" ht="11.25" customHeight="1" x14ac:dyDescent="0.15">
      <c r="B34" s="2" t="s">
        <v>280</v>
      </c>
      <c r="M34" s="55"/>
      <c r="CE34" s="51">
        <f t="shared" si="13"/>
        <v>0</v>
      </c>
      <c r="CF34" s="51">
        <f t="shared" si="14"/>
        <v>0</v>
      </c>
      <c r="CG34" s="182">
        <f t="shared" si="15"/>
        <v>0</v>
      </c>
      <c r="CH34" s="180">
        <f t="shared" si="16"/>
        <v>0</v>
      </c>
      <c r="CI34" s="180">
        <f t="shared" si="17"/>
        <v>0</v>
      </c>
      <c r="CJ34" s="180">
        <f t="shared" si="18"/>
        <v>0</v>
      </c>
      <c r="CK34" s="53" t="str">
        <f t="shared" si="19"/>
        <v/>
      </c>
      <c r="CL34" s="54" t="str">
        <f t="shared" si="20"/>
        <v/>
      </c>
      <c r="CM34" s="54" t="str">
        <f t="shared" si="21"/>
        <v/>
      </c>
      <c r="CN34" s="46" t="str">
        <f t="shared" si="22"/>
        <v/>
      </c>
      <c r="CO34" s="55">
        <f t="shared" si="23"/>
        <v>99999.003400000001</v>
      </c>
      <c r="CP34" s="2">
        <f t="shared" si="24"/>
        <v>39</v>
      </c>
      <c r="CQ34" s="102" t="str">
        <f t="shared" si="25"/>
        <v/>
      </c>
      <c r="CR34" s="2">
        <f t="shared" si="26"/>
        <v>0</v>
      </c>
    </row>
    <row r="35" spans="1:16381" ht="11.25" hidden="1" customHeight="1" x14ac:dyDescent="0.15">
      <c r="B35" s="2" t="s">
        <v>275</v>
      </c>
      <c r="M35" s="55"/>
      <c r="CE35" s="51">
        <f t="shared" si="13"/>
        <v>0</v>
      </c>
      <c r="CF35" s="51">
        <f t="shared" si="14"/>
        <v>0</v>
      </c>
      <c r="CG35" s="182">
        <f t="shared" si="15"/>
        <v>0</v>
      </c>
      <c r="CH35" s="180">
        <f t="shared" si="16"/>
        <v>0</v>
      </c>
      <c r="CI35" s="180">
        <f t="shared" si="17"/>
        <v>0</v>
      </c>
      <c r="CJ35" s="180">
        <f t="shared" si="18"/>
        <v>0</v>
      </c>
      <c r="CK35" s="53" t="str">
        <f t="shared" si="19"/>
        <v/>
      </c>
      <c r="CL35" s="54" t="str">
        <f t="shared" si="20"/>
        <v/>
      </c>
      <c r="CM35" s="54" t="str">
        <f t="shared" si="21"/>
        <v/>
      </c>
      <c r="CN35" s="46" t="str">
        <f t="shared" si="22"/>
        <v/>
      </c>
      <c r="CO35" s="55">
        <f t="shared" si="23"/>
        <v>99999.003500000006</v>
      </c>
      <c r="CP35" s="2">
        <f t="shared" si="24"/>
        <v>40</v>
      </c>
      <c r="CQ35" s="102" t="str">
        <f t="shared" si="25"/>
        <v/>
      </c>
      <c r="CR35" s="2">
        <f t="shared" si="26"/>
        <v>0</v>
      </c>
    </row>
    <row r="36" spans="1:16381" ht="11.25" customHeight="1" x14ac:dyDescent="0.15">
      <c r="B36" s="2" t="s">
        <v>200</v>
      </c>
      <c r="C36" s="2" t="s">
        <v>327</v>
      </c>
      <c r="D36" s="2" t="s">
        <v>343</v>
      </c>
      <c r="E36" s="2" t="s">
        <v>360</v>
      </c>
      <c r="F36" s="2" t="s">
        <v>381</v>
      </c>
      <c r="G36" s="2" t="s">
        <v>399</v>
      </c>
      <c r="I36" s="2" t="s">
        <v>428</v>
      </c>
      <c r="J36" s="2" t="s">
        <v>489</v>
      </c>
      <c r="K36" s="2" t="s">
        <v>460</v>
      </c>
      <c r="L36" s="185" t="s">
        <v>483</v>
      </c>
      <c r="M36" s="55" t="s">
        <v>504</v>
      </c>
      <c r="N36" s="2" t="s">
        <v>520</v>
      </c>
      <c r="O36" s="2" t="s">
        <v>553</v>
      </c>
      <c r="P36" s="2" t="s">
        <v>547</v>
      </c>
      <c r="Q36" s="2" t="s">
        <v>572</v>
      </c>
      <c r="R36" s="2" t="s">
        <v>588</v>
      </c>
      <c r="S36" s="2" t="s">
        <v>606</v>
      </c>
      <c r="T36" s="2" t="s">
        <v>627</v>
      </c>
      <c r="V36" s="2" t="s">
        <v>658</v>
      </c>
      <c r="W36" s="2" t="s">
        <v>676</v>
      </c>
      <c r="CE36" s="51">
        <f t="shared" si="13"/>
        <v>19</v>
      </c>
      <c r="CF36" s="51">
        <f t="shared" si="14"/>
        <v>606</v>
      </c>
      <c r="CG36" s="182">
        <f t="shared" si="15"/>
        <v>101</v>
      </c>
      <c r="CH36" s="180">
        <f t="shared" si="16"/>
        <v>5</v>
      </c>
      <c r="CI36" s="180">
        <f t="shared" si="17"/>
        <v>442</v>
      </c>
      <c r="CJ36" s="180">
        <f t="shared" si="18"/>
        <v>16</v>
      </c>
      <c r="CK36" s="53">
        <f t="shared" si="19"/>
        <v>27.63</v>
      </c>
      <c r="CL36" s="54">
        <f t="shared" si="20"/>
        <v>37.875</v>
      </c>
      <c r="CM36" s="54">
        <f t="shared" si="21"/>
        <v>4.3762376237623766</v>
      </c>
      <c r="CN36" s="46" t="str">
        <f t="shared" si="22"/>
        <v>3-18</v>
      </c>
      <c r="CO36" s="55">
        <f t="shared" si="23"/>
        <v>27.633599999999998</v>
      </c>
      <c r="CP36" s="2">
        <f t="shared" si="24"/>
        <v>13</v>
      </c>
      <c r="CQ36" s="102">
        <f t="shared" si="25"/>
        <v>4.95049504950495E-2</v>
      </c>
      <c r="CR36" s="2">
        <f t="shared" si="26"/>
        <v>0</v>
      </c>
    </row>
    <row r="37" spans="1:16381" ht="11.25" hidden="1" customHeight="1" x14ac:dyDescent="0.15">
      <c r="B37" s="2" t="s">
        <v>263</v>
      </c>
      <c r="C37" s="55"/>
      <c r="M37" s="55"/>
      <c r="CE37" s="51">
        <f t="shared" si="13"/>
        <v>0</v>
      </c>
      <c r="CF37" s="51">
        <f t="shared" si="14"/>
        <v>0</v>
      </c>
      <c r="CG37" s="182">
        <f t="shared" si="15"/>
        <v>0</v>
      </c>
      <c r="CH37" s="180">
        <f t="shared" si="16"/>
        <v>0</v>
      </c>
      <c r="CI37" s="180">
        <f t="shared" si="17"/>
        <v>0</v>
      </c>
      <c r="CJ37" s="180">
        <f t="shared" si="18"/>
        <v>0</v>
      </c>
      <c r="CK37" s="53" t="str">
        <f t="shared" si="19"/>
        <v/>
      </c>
      <c r="CL37" s="54" t="str">
        <f t="shared" si="20"/>
        <v/>
      </c>
      <c r="CM37" s="54" t="str">
        <f t="shared" si="21"/>
        <v/>
      </c>
      <c r="CN37" s="46" t="str">
        <f t="shared" si="22"/>
        <v/>
      </c>
      <c r="CO37" s="55">
        <f t="shared" si="23"/>
        <v>99999.003700000001</v>
      </c>
      <c r="CP37" s="2">
        <f t="shared" si="24"/>
        <v>41</v>
      </c>
      <c r="CQ37" s="102" t="str">
        <f t="shared" si="25"/>
        <v/>
      </c>
      <c r="CR37" s="2">
        <f t="shared" si="26"/>
        <v>0</v>
      </c>
    </row>
    <row r="38" spans="1:16381" ht="11.25" customHeight="1" x14ac:dyDescent="0.15">
      <c r="B38" s="2" t="s">
        <v>138</v>
      </c>
      <c r="C38" s="55"/>
      <c r="E38" s="2" t="s">
        <v>365</v>
      </c>
      <c r="I38" s="2" t="s">
        <v>431</v>
      </c>
      <c r="M38" s="55"/>
      <c r="CE38" s="51">
        <f t="shared" si="13"/>
        <v>2</v>
      </c>
      <c r="CF38" s="51">
        <f t="shared" si="14"/>
        <v>54</v>
      </c>
      <c r="CG38" s="182">
        <f t="shared" si="15"/>
        <v>9</v>
      </c>
      <c r="CH38" s="180">
        <f t="shared" si="16"/>
        <v>0</v>
      </c>
      <c r="CI38" s="180">
        <f t="shared" si="17"/>
        <v>81</v>
      </c>
      <c r="CJ38" s="180">
        <f t="shared" si="18"/>
        <v>2</v>
      </c>
      <c r="CK38" s="53">
        <f t="shared" si="19"/>
        <v>40.5</v>
      </c>
      <c r="CL38" s="54">
        <f t="shared" si="20"/>
        <v>27</v>
      </c>
      <c r="CM38" s="54">
        <f t="shared" si="21"/>
        <v>9</v>
      </c>
      <c r="CN38" s="46" t="str">
        <f t="shared" si="22"/>
        <v>1-29</v>
      </c>
      <c r="CO38" s="55">
        <f t="shared" si="23"/>
        <v>40.503799999999998</v>
      </c>
      <c r="CP38" s="2">
        <f t="shared" si="24"/>
        <v>17</v>
      </c>
      <c r="CQ38" s="102" t="str">
        <f t="shared" si="25"/>
        <v/>
      </c>
      <c r="CR38" s="2">
        <f t="shared" si="26"/>
        <v>0</v>
      </c>
    </row>
    <row r="39" spans="1:16381" ht="11.25" customHeight="1" x14ac:dyDescent="0.15">
      <c r="B39" s="2" t="s">
        <v>375</v>
      </c>
      <c r="C39" s="55"/>
      <c r="F39" s="2" t="s">
        <v>385</v>
      </c>
      <c r="G39" s="2" t="s">
        <v>401</v>
      </c>
      <c r="M39" s="55"/>
      <c r="CE39" s="51">
        <f t="shared" si="13"/>
        <v>2</v>
      </c>
      <c r="CF39" s="51">
        <f t="shared" si="14"/>
        <v>18</v>
      </c>
      <c r="CG39" s="182">
        <f t="shared" si="15"/>
        <v>3</v>
      </c>
      <c r="CH39" s="180">
        <f t="shared" si="16"/>
        <v>0</v>
      </c>
      <c r="CI39" s="180">
        <f t="shared" si="17"/>
        <v>8</v>
      </c>
      <c r="CJ39" s="180">
        <f t="shared" si="18"/>
        <v>1</v>
      </c>
      <c r="CK39" s="53">
        <f t="shared" si="19"/>
        <v>8</v>
      </c>
      <c r="CL39" s="54">
        <f t="shared" si="20"/>
        <v>18</v>
      </c>
      <c r="CM39" s="54">
        <f t="shared" si="21"/>
        <v>2.6666666666666665</v>
      </c>
      <c r="CN39" s="46" t="str">
        <f t="shared" si="22"/>
        <v>1-1</v>
      </c>
      <c r="CO39" s="55">
        <f t="shared" si="23"/>
        <v>8.0038999999999998</v>
      </c>
      <c r="CP39" s="2">
        <f t="shared" si="24"/>
        <v>3</v>
      </c>
      <c r="CQ39" s="102" t="str">
        <f t="shared" si="25"/>
        <v/>
      </c>
      <c r="CR39" s="2">
        <f t="shared" si="26"/>
        <v>0</v>
      </c>
    </row>
    <row r="40" spans="1:16381" ht="11.25" customHeight="1" x14ac:dyDescent="0.15">
      <c r="B40" s="2" t="s">
        <v>448</v>
      </c>
      <c r="C40" s="55"/>
      <c r="L40" s="2" t="s">
        <v>481</v>
      </c>
      <c r="M40" s="55" t="s">
        <v>462</v>
      </c>
      <c r="N40" s="2" t="s">
        <v>400</v>
      </c>
      <c r="O40" s="2" t="s">
        <v>463</v>
      </c>
      <c r="R40" s="2" t="s">
        <v>589</v>
      </c>
      <c r="T40" s="2" t="s">
        <v>629</v>
      </c>
      <c r="CE40" s="51">
        <f t="shared" si="13"/>
        <v>6</v>
      </c>
      <c r="CF40" s="51">
        <f t="shared" si="14"/>
        <v>162</v>
      </c>
      <c r="CG40" s="182">
        <f t="shared" si="15"/>
        <v>27</v>
      </c>
      <c r="CH40" s="180">
        <f t="shared" si="16"/>
        <v>1</v>
      </c>
      <c r="CI40" s="180">
        <f t="shared" si="17"/>
        <v>168</v>
      </c>
      <c r="CJ40" s="180">
        <f t="shared" si="18"/>
        <v>3</v>
      </c>
      <c r="CK40" s="53">
        <f t="shared" si="19"/>
        <v>56</v>
      </c>
      <c r="CL40" s="54">
        <f t="shared" si="20"/>
        <v>54</v>
      </c>
      <c r="CM40" s="54">
        <f t="shared" si="21"/>
        <v>6.2222222222222223</v>
      </c>
      <c r="CN40" s="46" t="str">
        <f t="shared" si="22"/>
        <v>1-17</v>
      </c>
      <c r="CO40" s="55">
        <f t="shared" si="23"/>
        <v>56.003999999999998</v>
      </c>
      <c r="CP40" s="2">
        <f t="shared" si="24"/>
        <v>19</v>
      </c>
      <c r="CQ40" s="102">
        <f t="shared" si="25"/>
        <v>3.7037037037037035E-2</v>
      </c>
      <c r="CR40" s="2">
        <f t="shared" si="26"/>
        <v>0</v>
      </c>
    </row>
    <row r="41" spans="1:16381" ht="11.25" customHeight="1" x14ac:dyDescent="0.15">
      <c r="B41" s="2" t="s">
        <v>527</v>
      </c>
      <c r="C41" s="55"/>
      <c r="M41" s="55"/>
      <c r="O41" s="2" t="s">
        <v>558</v>
      </c>
      <c r="P41" s="2" t="s">
        <v>548</v>
      </c>
      <c r="Q41" s="2" t="s">
        <v>573</v>
      </c>
      <c r="R41" s="2" t="s">
        <v>590</v>
      </c>
      <c r="S41" s="2" t="s">
        <v>609</v>
      </c>
      <c r="V41" s="2" t="s">
        <v>657</v>
      </c>
      <c r="CE41" s="51">
        <f t="shared" si="13"/>
        <v>6</v>
      </c>
      <c r="CF41" s="51">
        <f t="shared" si="14"/>
        <v>175</v>
      </c>
      <c r="CG41" s="182">
        <f t="shared" si="15"/>
        <v>29.1</v>
      </c>
      <c r="CH41" s="180">
        <f t="shared" si="16"/>
        <v>3</v>
      </c>
      <c r="CI41" s="180">
        <f t="shared" si="17"/>
        <v>141</v>
      </c>
      <c r="CJ41" s="180">
        <f t="shared" si="18"/>
        <v>4</v>
      </c>
      <c r="CK41" s="53">
        <f t="shared" si="19"/>
        <v>35.25</v>
      </c>
      <c r="CL41" s="54">
        <f t="shared" si="20"/>
        <v>43.75</v>
      </c>
      <c r="CM41" s="54">
        <f t="shared" si="21"/>
        <v>4.8342857142857145</v>
      </c>
      <c r="CN41" s="46" t="str">
        <f t="shared" si="22"/>
        <v>2-36</v>
      </c>
      <c r="CO41" s="55">
        <f t="shared" si="23"/>
        <v>35.254100000000001</v>
      </c>
      <c r="CP41" s="2">
        <f t="shared" si="24"/>
        <v>15</v>
      </c>
      <c r="CQ41" s="102">
        <f t="shared" si="25"/>
        <v>0.10285714285714287</v>
      </c>
      <c r="CR41" s="2">
        <f t="shared" si="26"/>
        <v>0</v>
      </c>
    </row>
    <row r="42" spans="1:16381" ht="11.25" customHeight="1" x14ac:dyDescent="0.15">
      <c r="B42" s="2" t="s">
        <v>193</v>
      </c>
      <c r="G42" s="2" t="s">
        <v>400</v>
      </c>
      <c r="M42" s="55"/>
      <c r="U42" s="2" t="s">
        <v>645</v>
      </c>
      <c r="CE42" s="51">
        <f t="shared" si="13"/>
        <v>2</v>
      </c>
      <c r="CF42" s="51">
        <f t="shared" si="14"/>
        <v>42</v>
      </c>
      <c r="CG42" s="182">
        <f t="shared" si="15"/>
        <v>7</v>
      </c>
      <c r="CH42" s="180">
        <f t="shared" si="16"/>
        <v>0</v>
      </c>
      <c r="CI42" s="180">
        <f t="shared" si="17"/>
        <v>60</v>
      </c>
      <c r="CJ42" s="180">
        <f t="shared" si="18"/>
        <v>1</v>
      </c>
      <c r="CK42" s="53">
        <f t="shared" si="19"/>
        <v>60</v>
      </c>
      <c r="CL42" s="54">
        <f t="shared" si="20"/>
        <v>42</v>
      </c>
      <c r="CM42" s="54">
        <f t="shared" si="21"/>
        <v>8.5714285714285712</v>
      </c>
      <c r="CN42" s="46" t="str">
        <f t="shared" si="22"/>
        <v>1-31</v>
      </c>
      <c r="CO42" s="55">
        <f t="shared" si="23"/>
        <v>60.004199999999997</v>
      </c>
      <c r="CP42" s="2">
        <f t="shared" si="24"/>
        <v>20</v>
      </c>
      <c r="CQ42" s="102" t="str">
        <f t="shared" si="25"/>
        <v/>
      </c>
      <c r="CR42" s="2">
        <f t="shared" si="26"/>
        <v>0</v>
      </c>
    </row>
    <row r="43" spans="1:16381" ht="11.25" hidden="1" customHeight="1" x14ac:dyDescent="0.15">
      <c r="B43" s="2" t="s">
        <v>272</v>
      </c>
      <c r="M43" s="55"/>
      <c r="CE43" s="51">
        <f t="shared" si="13"/>
        <v>0</v>
      </c>
      <c r="CF43" s="51">
        <f t="shared" si="14"/>
        <v>0</v>
      </c>
      <c r="CG43" s="182">
        <f t="shared" si="15"/>
        <v>0</v>
      </c>
      <c r="CH43" s="180">
        <f t="shared" si="16"/>
        <v>0</v>
      </c>
      <c r="CI43" s="180">
        <f t="shared" si="17"/>
        <v>0</v>
      </c>
      <c r="CJ43" s="180">
        <f t="shared" si="18"/>
        <v>0</v>
      </c>
      <c r="CK43" s="53" t="str">
        <f t="shared" si="19"/>
        <v/>
      </c>
      <c r="CL43" s="54" t="str">
        <f t="shared" si="20"/>
        <v/>
      </c>
      <c r="CM43" s="54" t="str">
        <f t="shared" si="21"/>
        <v/>
      </c>
      <c r="CN43" s="46" t="str">
        <f t="shared" si="22"/>
        <v/>
      </c>
      <c r="CO43" s="55">
        <f t="shared" si="23"/>
        <v>99999.004300000001</v>
      </c>
      <c r="CP43" s="2">
        <f t="shared" si="24"/>
        <v>42</v>
      </c>
      <c r="CQ43" s="102" t="str">
        <f t="shared" si="25"/>
        <v/>
      </c>
      <c r="CR43" s="2">
        <f t="shared" si="26"/>
        <v>0</v>
      </c>
    </row>
    <row r="44" spans="1:16381" ht="11.25" customHeight="1" x14ac:dyDescent="0.15">
      <c r="B44" s="2" t="s">
        <v>232</v>
      </c>
      <c r="C44" s="2" t="s">
        <v>330</v>
      </c>
      <c r="D44" s="2" t="s">
        <v>348</v>
      </c>
      <c r="E44" s="2" t="s">
        <v>361</v>
      </c>
      <c r="F44" s="2" t="s">
        <v>384</v>
      </c>
      <c r="H44" s="2" t="s">
        <v>413</v>
      </c>
      <c r="I44" s="2" t="s">
        <v>426</v>
      </c>
      <c r="L44" s="2" t="s">
        <v>478</v>
      </c>
      <c r="M44" s="55" t="s">
        <v>502</v>
      </c>
      <c r="N44" s="2" t="s">
        <v>519</v>
      </c>
      <c r="O44" s="2" t="s">
        <v>557</v>
      </c>
      <c r="P44" s="2" t="s">
        <v>552</v>
      </c>
      <c r="Q44" s="2" t="s">
        <v>571</v>
      </c>
      <c r="R44" s="2" t="s">
        <v>587</v>
      </c>
      <c r="S44" s="2" t="s">
        <v>610</v>
      </c>
      <c r="T44" s="2" t="s">
        <v>628</v>
      </c>
      <c r="V44" s="2" t="s">
        <v>659</v>
      </c>
      <c r="W44" s="2" t="s">
        <v>677</v>
      </c>
      <c r="CE44" s="51">
        <f t="shared" si="13"/>
        <v>17</v>
      </c>
      <c r="CF44" s="51">
        <f t="shared" si="14"/>
        <v>513</v>
      </c>
      <c r="CG44" s="182">
        <f t="shared" si="15"/>
        <v>85.3</v>
      </c>
      <c r="CH44" s="180">
        <f t="shared" si="16"/>
        <v>13</v>
      </c>
      <c r="CI44" s="180">
        <f t="shared" si="17"/>
        <v>384</v>
      </c>
      <c r="CJ44" s="180">
        <f t="shared" si="18"/>
        <v>22</v>
      </c>
      <c r="CK44" s="53">
        <f t="shared" si="19"/>
        <v>17.45</v>
      </c>
      <c r="CL44" s="54">
        <f t="shared" si="20"/>
        <v>23.318181818181817</v>
      </c>
      <c r="CM44" s="54">
        <f t="shared" si="21"/>
        <v>4.4912280701754383</v>
      </c>
      <c r="CN44" s="46" t="str">
        <f t="shared" si="22"/>
        <v>3-1</v>
      </c>
      <c r="CO44" s="55">
        <f t="shared" si="23"/>
        <v>17.4544</v>
      </c>
      <c r="CP44" s="2">
        <f t="shared" si="24"/>
        <v>6</v>
      </c>
      <c r="CQ44" s="102">
        <f t="shared" si="25"/>
        <v>0.15204678362573099</v>
      </c>
      <c r="CR44" s="2">
        <f t="shared" si="26"/>
        <v>0</v>
      </c>
    </row>
    <row r="45" spans="1:16381" ht="11.25" customHeight="1" x14ac:dyDescent="0.15">
      <c r="B45" s="117" t="s">
        <v>249</v>
      </c>
      <c r="M45" s="55"/>
      <c r="Q45" s="2" t="s">
        <v>574</v>
      </c>
      <c r="R45" s="2" t="s">
        <v>591</v>
      </c>
      <c r="T45" s="2" t="s">
        <v>630</v>
      </c>
      <c r="CE45" s="51">
        <f t="shared" si="13"/>
        <v>3</v>
      </c>
      <c r="CF45" s="51">
        <f t="shared" si="14"/>
        <v>78</v>
      </c>
      <c r="CG45" s="182">
        <f t="shared" si="15"/>
        <v>13</v>
      </c>
      <c r="CH45" s="180">
        <f t="shared" si="16"/>
        <v>0</v>
      </c>
      <c r="CI45" s="180">
        <f t="shared" si="17"/>
        <v>73</v>
      </c>
      <c r="CJ45" s="180">
        <f t="shared" si="18"/>
        <v>2</v>
      </c>
      <c r="CK45" s="53">
        <f t="shared" si="19"/>
        <v>36.5</v>
      </c>
      <c r="CL45" s="54">
        <f t="shared" si="20"/>
        <v>39</v>
      </c>
      <c r="CM45" s="54">
        <f t="shared" si="21"/>
        <v>5.615384615384615</v>
      </c>
      <c r="CN45" s="46" t="str">
        <f t="shared" si="22"/>
        <v>2-25</v>
      </c>
      <c r="CO45" s="55">
        <f t="shared" si="23"/>
        <v>36.5045</v>
      </c>
      <c r="CP45" s="2">
        <f t="shared" si="24"/>
        <v>16</v>
      </c>
      <c r="CQ45" s="102" t="str">
        <f t="shared" si="25"/>
        <v/>
      </c>
      <c r="CR45" s="2">
        <f t="shared" si="26"/>
        <v>0</v>
      </c>
    </row>
    <row r="46" spans="1:16381" ht="11.25" customHeight="1" x14ac:dyDescent="0.15">
      <c r="A46" s="117"/>
      <c r="B46" s="117" t="s">
        <v>244</v>
      </c>
      <c r="C46" s="117"/>
      <c r="D46" s="117" t="s">
        <v>344</v>
      </c>
      <c r="E46" s="117"/>
      <c r="F46" s="117"/>
      <c r="G46" s="117"/>
      <c r="H46" s="117"/>
      <c r="I46" s="117"/>
      <c r="J46" s="117"/>
      <c r="K46" s="117"/>
      <c r="L46" s="117"/>
      <c r="M46" s="117"/>
      <c r="N46" s="117"/>
      <c r="O46" s="117"/>
      <c r="P46" s="117"/>
      <c r="Q46" s="117"/>
      <c r="R46" s="117"/>
      <c r="S46" s="117"/>
      <c r="T46" s="117"/>
      <c r="U46" s="117" t="s">
        <v>646</v>
      </c>
      <c r="V46" s="117"/>
      <c r="W46" s="117"/>
      <c r="X46" s="117"/>
      <c r="Y46" s="117"/>
      <c r="Z46" s="117"/>
      <c r="AA46" s="117"/>
      <c r="AB46" s="117"/>
      <c r="AC46" s="117"/>
      <c r="AD46" s="117"/>
      <c r="AE46" s="117"/>
      <c r="AF46" s="117"/>
      <c r="AG46" s="117"/>
      <c r="AH46" s="117"/>
      <c r="AI46" s="117"/>
      <c r="AJ46" s="117"/>
      <c r="AK46" s="117"/>
      <c r="AL46" s="117"/>
      <c r="AM46" s="117"/>
      <c r="AN46" s="117"/>
      <c r="AO46" s="117"/>
      <c r="AP46" s="117"/>
      <c r="AQ46" s="117"/>
      <c r="AR46" s="117"/>
      <c r="AS46" s="117"/>
      <c r="AT46" s="117"/>
      <c r="AU46" s="117"/>
      <c r="AV46" s="117"/>
      <c r="AW46" s="117"/>
      <c r="AX46" s="117"/>
      <c r="AY46" s="117"/>
      <c r="AZ46" s="117"/>
      <c r="BA46" s="117"/>
      <c r="BB46" s="117"/>
      <c r="BC46" s="117"/>
      <c r="BD46" s="117"/>
      <c r="BE46" s="117"/>
      <c r="BF46" s="117"/>
      <c r="BG46" s="117"/>
      <c r="BH46" s="117"/>
      <c r="BI46" s="117"/>
      <c r="BJ46" s="117"/>
      <c r="BK46" s="117"/>
      <c r="BL46" s="117"/>
      <c r="BM46" s="117"/>
      <c r="BN46" s="117"/>
      <c r="BO46" s="117"/>
      <c r="BP46" s="117"/>
      <c r="BQ46" s="117"/>
      <c r="BR46" s="117"/>
      <c r="BS46" s="117"/>
      <c r="BT46" s="117"/>
      <c r="BU46" s="117"/>
      <c r="BV46" s="117"/>
      <c r="BW46" s="117"/>
      <c r="BX46" s="117"/>
      <c r="BY46" s="117"/>
      <c r="BZ46" s="117"/>
      <c r="CA46" s="117"/>
      <c r="CB46" s="117"/>
      <c r="CC46" s="117"/>
      <c r="CD46" s="117"/>
      <c r="CE46" s="51">
        <f t="shared" si="13"/>
        <v>2</v>
      </c>
      <c r="CF46" s="51">
        <f t="shared" si="14"/>
        <v>21</v>
      </c>
      <c r="CG46" s="182">
        <f t="shared" si="15"/>
        <v>3.3</v>
      </c>
      <c r="CH46" s="180">
        <f t="shared" si="16"/>
        <v>0</v>
      </c>
      <c r="CI46" s="180">
        <f t="shared" si="17"/>
        <v>24</v>
      </c>
      <c r="CJ46" s="180">
        <f t="shared" si="18"/>
        <v>1</v>
      </c>
      <c r="CK46" s="53">
        <f t="shared" si="19"/>
        <v>24</v>
      </c>
      <c r="CL46" s="54">
        <f t="shared" si="20"/>
        <v>21</v>
      </c>
      <c r="CM46" s="54">
        <f t="shared" si="21"/>
        <v>6.8571428571428568</v>
      </c>
      <c r="CN46" s="46" t="str">
        <f t="shared" si="22"/>
        <v>1-1</v>
      </c>
      <c r="CO46" s="55">
        <f t="shared" si="23"/>
        <v>24.0046</v>
      </c>
      <c r="CP46" s="2">
        <f t="shared" si="24"/>
        <v>11</v>
      </c>
      <c r="CQ46" s="102" t="str">
        <f t="shared" si="25"/>
        <v/>
      </c>
      <c r="CR46" s="2">
        <f t="shared" si="26"/>
        <v>0</v>
      </c>
      <c r="CS46" s="117"/>
      <c r="CT46" s="117"/>
      <c r="CU46" s="117"/>
      <c r="CV46" s="117"/>
      <c r="CW46" s="117"/>
      <c r="CX46" s="117"/>
      <c r="CY46" s="117"/>
      <c r="CZ46" s="117"/>
      <c r="DA46" s="117"/>
      <c r="DB46" s="117"/>
      <c r="DC46" s="117"/>
      <c r="DD46" s="117"/>
      <c r="DE46" s="117"/>
      <c r="DF46" s="117"/>
      <c r="DG46" s="117"/>
      <c r="DH46" s="117"/>
      <c r="DI46" s="117"/>
      <c r="DJ46" s="117"/>
      <c r="DK46" s="117"/>
      <c r="DL46" s="117"/>
      <c r="DM46" s="117"/>
      <c r="DN46" s="117"/>
      <c r="DO46" s="117"/>
      <c r="DP46" s="117"/>
      <c r="DQ46" s="117"/>
      <c r="DR46" s="117"/>
      <c r="DS46" s="117"/>
      <c r="DT46" s="117"/>
      <c r="DU46" s="117"/>
      <c r="DV46" s="117"/>
      <c r="DW46" s="117"/>
      <c r="DX46" s="117"/>
      <c r="DY46" s="117"/>
      <c r="DZ46" s="117"/>
      <c r="EA46" s="117"/>
      <c r="EB46" s="117"/>
      <c r="EC46" s="117"/>
      <c r="ED46" s="117"/>
      <c r="EE46" s="117"/>
      <c r="EF46" s="117"/>
      <c r="EG46" s="117"/>
      <c r="EH46" s="117"/>
      <c r="EI46" s="117"/>
      <c r="EJ46" s="117"/>
      <c r="EK46" s="117"/>
      <c r="EL46" s="117"/>
      <c r="EM46" s="117"/>
      <c r="EN46" s="117"/>
      <c r="EO46" s="117"/>
      <c r="EP46" s="117"/>
      <c r="EQ46" s="117"/>
      <c r="ER46" s="117"/>
      <c r="ES46" s="117"/>
      <c r="ET46" s="117"/>
      <c r="EU46" s="117"/>
      <c r="EV46" s="117"/>
      <c r="EW46" s="117"/>
      <c r="EX46" s="117"/>
      <c r="EY46" s="117"/>
      <c r="EZ46" s="117"/>
      <c r="FA46" s="117"/>
      <c r="FB46" s="117"/>
      <c r="FC46" s="117"/>
      <c r="FD46" s="117"/>
      <c r="FE46" s="117"/>
      <c r="FF46" s="117"/>
      <c r="FG46" s="117"/>
      <c r="FH46" s="117"/>
      <c r="FI46" s="117"/>
      <c r="FJ46" s="117"/>
      <c r="FK46" s="117"/>
      <c r="FL46" s="117"/>
      <c r="FM46" s="117"/>
      <c r="FN46" s="117"/>
      <c r="FO46" s="117"/>
      <c r="FP46" s="117"/>
      <c r="FQ46" s="117"/>
      <c r="FR46" s="117"/>
      <c r="FS46" s="117"/>
      <c r="FT46" s="117"/>
      <c r="FU46" s="117"/>
      <c r="FV46" s="117"/>
      <c r="FW46" s="117"/>
      <c r="FX46" s="117"/>
      <c r="FY46" s="117"/>
      <c r="FZ46" s="117"/>
      <c r="GA46" s="117"/>
      <c r="GB46" s="117"/>
      <c r="GC46" s="117"/>
      <c r="GD46" s="117"/>
      <c r="GE46" s="117"/>
      <c r="GF46" s="117"/>
      <c r="GG46" s="117"/>
      <c r="GH46" s="117"/>
      <c r="GI46" s="117"/>
      <c r="GJ46" s="117"/>
      <c r="GK46" s="117"/>
      <c r="GL46" s="117"/>
      <c r="GM46" s="117"/>
      <c r="GN46" s="117"/>
      <c r="GO46" s="117"/>
      <c r="GP46" s="117"/>
      <c r="GQ46" s="117"/>
      <c r="GR46" s="117"/>
      <c r="GS46" s="117"/>
      <c r="GT46" s="117"/>
      <c r="GU46" s="117"/>
      <c r="GV46" s="117"/>
      <c r="GW46" s="117"/>
      <c r="GX46" s="117"/>
      <c r="GY46" s="117"/>
      <c r="GZ46" s="117"/>
      <c r="HA46" s="117"/>
      <c r="HB46" s="117"/>
      <c r="HC46" s="117"/>
      <c r="HD46" s="117"/>
      <c r="HE46" s="117"/>
      <c r="HF46" s="117"/>
      <c r="HG46" s="117"/>
      <c r="HH46" s="117"/>
      <c r="HI46" s="117"/>
      <c r="HJ46" s="117"/>
      <c r="HK46" s="117"/>
      <c r="HL46" s="117"/>
      <c r="HM46" s="117"/>
      <c r="HN46" s="117"/>
      <c r="HO46" s="117"/>
      <c r="HP46" s="117"/>
      <c r="HQ46" s="117"/>
      <c r="HR46" s="117"/>
      <c r="HS46" s="117"/>
      <c r="HT46" s="117"/>
      <c r="HU46" s="117"/>
      <c r="HV46" s="117"/>
      <c r="HW46" s="117"/>
      <c r="HX46" s="117"/>
      <c r="HY46" s="117"/>
      <c r="HZ46" s="117"/>
      <c r="IA46" s="117"/>
      <c r="IB46" s="117"/>
      <c r="IC46" s="117"/>
      <c r="ID46" s="117"/>
      <c r="IE46" s="117"/>
      <c r="IF46" s="117"/>
      <c r="IG46" s="117"/>
      <c r="IH46" s="117"/>
      <c r="II46" s="117"/>
      <c r="IJ46" s="117"/>
      <c r="IK46" s="117"/>
      <c r="IL46" s="117"/>
      <c r="IM46" s="117"/>
      <c r="IN46" s="117"/>
      <c r="IO46" s="117"/>
      <c r="IP46" s="117"/>
      <c r="IQ46" s="117"/>
      <c r="IR46" s="117"/>
      <c r="IS46" s="117"/>
      <c r="IT46" s="117"/>
      <c r="IU46" s="117"/>
      <c r="IV46" s="117"/>
      <c r="IW46" s="117"/>
      <c r="IX46" s="117"/>
      <c r="IY46" s="117"/>
      <c r="IZ46" s="117"/>
      <c r="JA46" s="117"/>
      <c r="JB46" s="117"/>
      <c r="JC46" s="117"/>
      <c r="JD46" s="117"/>
      <c r="JE46" s="117"/>
      <c r="JF46" s="117"/>
      <c r="JG46" s="117"/>
      <c r="JH46" s="117"/>
      <c r="JI46" s="117"/>
      <c r="JJ46" s="117"/>
      <c r="JK46" s="117"/>
      <c r="JL46" s="117"/>
      <c r="JM46" s="117"/>
      <c r="JN46" s="117"/>
      <c r="JO46" s="117"/>
      <c r="JP46" s="117"/>
      <c r="JQ46" s="117"/>
      <c r="JR46" s="117"/>
      <c r="JS46" s="117"/>
      <c r="JT46" s="117"/>
      <c r="JU46" s="117"/>
      <c r="JV46" s="117"/>
      <c r="JW46" s="117"/>
      <c r="JX46" s="117"/>
      <c r="JY46" s="117"/>
      <c r="JZ46" s="117"/>
      <c r="KA46" s="117"/>
      <c r="KB46" s="117"/>
      <c r="KC46" s="117"/>
      <c r="KD46" s="117"/>
      <c r="KE46" s="117"/>
      <c r="KF46" s="117"/>
      <c r="KG46" s="117"/>
      <c r="KH46" s="117"/>
      <c r="KI46" s="117"/>
      <c r="KJ46" s="117"/>
      <c r="KK46" s="117"/>
      <c r="KL46" s="117"/>
      <c r="KM46" s="117"/>
      <c r="KN46" s="117"/>
      <c r="KO46" s="117"/>
      <c r="KP46" s="117"/>
      <c r="KQ46" s="117"/>
      <c r="KR46" s="117"/>
      <c r="KS46" s="117"/>
      <c r="KT46" s="117"/>
      <c r="KU46" s="117"/>
      <c r="KV46" s="117"/>
      <c r="KW46" s="117"/>
      <c r="KX46" s="117"/>
      <c r="KY46" s="117"/>
      <c r="KZ46" s="117"/>
      <c r="LA46" s="117"/>
      <c r="LB46" s="117"/>
      <c r="LC46" s="117"/>
      <c r="LD46" s="117"/>
      <c r="LE46" s="117"/>
      <c r="LF46" s="117"/>
      <c r="LG46" s="117"/>
      <c r="LH46" s="117"/>
      <c r="LI46" s="117"/>
      <c r="LJ46" s="117"/>
      <c r="LK46" s="117"/>
      <c r="LL46" s="117"/>
      <c r="LM46" s="117"/>
      <c r="LN46" s="117"/>
      <c r="LO46" s="117"/>
      <c r="LP46" s="117"/>
      <c r="LQ46" s="117"/>
      <c r="LR46" s="117"/>
      <c r="LS46" s="117"/>
      <c r="LT46" s="117"/>
      <c r="LU46" s="117"/>
      <c r="LV46" s="117"/>
      <c r="LW46" s="117"/>
      <c r="LX46" s="117"/>
      <c r="LY46" s="117"/>
      <c r="LZ46" s="117"/>
      <c r="MA46" s="117"/>
      <c r="MB46" s="117"/>
      <c r="MC46" s="117"/>
      <c r="MD46" s="117"/>
      <c r="ME46" s="117"/>
      <c r="MF46" s="117"/>
      <c r="MG46" s="117"/>
      <c r="MH46" s="117"/>
      <c r="MI46" s="117"/>
      <c r="MJ46" s="117"/>
      <c r="MK46" s="117"/>
      <c r="ML46" s="117"/>
      <c r="MM46" s="117"/>
      <c r="MN46" s="117"/>
      <c r="MO46" s="117"/>
      <c r="MP46" s="117"/>
      <c r="MQ46" s="117"/>
      <c r="MR46" s="117"/>
      <c r="MS46" s="117"/>
      <c r="MT46" s="117"/>
      <c r="MU46" s="117"/>
      <c r="MV46" s="117"/>
      <c r="MW46" s="117"/>
      <c r="MX46" s="117"/>
      <c r="MY46" s="117"/>
      <c r="MZ46" s="117"/>
      <c r="NA46" s="117"/>
      <c r="NB46" s="117"/>
      <c r="NC46" s="117"/>
      <c r="ND46" s="117"/>
      <c r="NE46" s="117"/>
      <c r="NF46" s="117"/>
      <c r="NG46" s="117"/>
      <c r="NH46" s="117"/>
      <c r="NI46" s="117"/>
      <c r="NJ46" s="117"/>
      <c r="NK46" s="117"/>
      <c r="NL46" s="117"/>
      <c r="NM46" s="117"/>
      <c r="NN46" s="117"/>
      <c r="NO46" s="117"/>
      <c r="NP46" s="117"/>
      <c r="NQ46" s="117"/>
      <c r="NR46" s="117"/>
      <c r="NS46" s="117"/>
      <c r="NT46" s="117"/>
      <c r="NU46" s="117"/>
      <c r="NV46" s="117"/>
      <c r="NW46" s="117"/>
      <c r="NX46" s="117"/>
      <c r="NY46" s="117"/>
      <c r="NZ46" s="117"/>
      <c r="OA46" s="117"/>
      <c r="OB46" s="117"/>
      <c r="OC46" s="117"/>
      <c r="OD46" s="117"/>
      <c r="OE46" s="117"/>
      <c r="OF46" s="117"/>
      <c r="OG46" s="117"/>
      <c r="OH46" s="117"/>
      <c r="OI46" s="117"/>
      <c r="OJ46" s="117"/>
      <c r="OK46" s="117"/>
      <c r="OL46" s="117"/>
      <c r="OM46" s="117"/>
      <c r="ON46" s="117"/>
      <c r="OO46" s="117"/>
      <c r="OP46" s="117"/>
      <c r="OQ46" s="117"/>
      <c r="OR46" s="117"/>
      <c r="OS46" s="117"/>
      <c r="OT46" s="117"/>
      <c r="OU46" s="117"/>
      <c r="OV46" s="117"/>
      <c r="OW46" s="117"/>
      <c r="OX46" s="117"/>
      <c r="OY46" s="117"/>
      <c r="OZ46" s="117"/>
      <c r="PA46" s="117"/>
      <c r="PB46" s="117"/>
      <c r="PC46" s="117"/>
      <c r="PD46" s="117"/>
      <c r="PE46" s="117"/>
      <c r="PF46" s="117"/>
      <c r="PG46" s="117"/>
      <c r="PH46" s="117"/>
      <c r="PI46" s="117"/>
      <c r="PJ46" s="117"/>
      <c r="PK46" s="117"/>
      <c r="PL46" s="117"/>
      <c r="PM46" s="117"/>
      <c r="PN46" s="117"/>
      <c r="PO46" s="117"/>
      <c r="PP46" s="117"/>
      <c r="PQ46" s="117"/>
      <c r="PR46" s="117"/>
      <c r="PS46" s="117"/>
      <c r="PT46" s="117"/>
      <c r="PU46" s="117"/>
      <c r="PV46" s="117"/>
      <c r="PW46" s="117"/>
      <c r="PX46" s="117"/>
      <c r="PY46" s="117"/>
      <c r="PZ46" s="117"/>
      <c r="QA46" s="117"/>
      <c r="QB46" s="117"/>
      <c r="QC46" s="117"/>
      <c r="QD46" s="117"/>
      <c r="QE46" s="117"/>
      <c r="QF46" s="117"/>
      <c r="QG46" s="117"/>
      <c r="QH46" s="117"/>
      <c r="QI46" s="117"/>
      <c r="QJ46" s="117"/>
      <c r="QK46" s="117"/>
      <c r="QL46" s="117"/>
      <c r="QM46" s="117"/>
      <c r="QN46" s="117"/>
      <c r="QO46" s="117"/>
      <c r="QP46" s="117"/>
      <c r="QQ46" s="117"/>
      <c r="QR46" s="117"/>
      <c r="QS46" s="117"/>
      <c r="QT46" s="117"/>
      <c r="QU46" s="117"/>
      <c r="QV46" s="117"/>
      <c r="QW46" s="117"/>
      <c r="QX46" s="117"/>
      <c r="QY46" s="117"/>
      <c r="QZ46" s="117"/>
      <c r="RA46" s="117"/>
      <c r="RB46" s="117"/>
      <c r="RC46" s="117"/>
      <c r="RD46" s="117"/>
      <c r="RE46" s="117"/>
      <c r="RF46" s="117"/>
      <c r="RG46" s="117"/>
      <c r="RH46" s="117"/>
      <c r="RI46" s="117"/>
      <c r="RJ46" s="117"/>
      <c r="RK46" s="117"/>
      <c r="RL46" s="117"/>
      <c r="RM46" s="117"/>
      <c r="RN46" s="117"/>
      <c r="RO46" s="117"/>
      <c r="RP46" s="117"/>
      <c r="RQ46" s="117"/>
      <c r="RR46" s="117"/>
      <c r="RS46" s="117"/>
      <c r="RT46" s="117"/>
      <c r="RU46" s="117"/>
      <c r="RV46" s="117"/>
      <c r="RW46" s="117"/>
      <c r="RX46" s="117"/>
      <c r="RY46" s="117"/>
      <c r="RZ46" s="117"/>
      <c r="SA46" s="117"/>
      <c r="SB46" s="117"/>
      <c r="SC46" s="117"/>
      <c r="SD46" s="117"/>
      <c r="SE46" s="117"/>
      <c r="SF46" s="117"/>
      <c r="SG46" s="117"/>
      <c r="SH46" s="117"/>
      <c r="SI46" s="117"/>
      <c r="SJ46" s="117"/>
      <c r="SK46" s="117"/>
      <c r="SL46" s="117"/>
      <c r="SM46" s="117"/>
      <c r="SN46" s="117"/>
      <c r="SO46" s="117"/>
      <c r="SP46" s="117"/>
      <c r="SQ46" s="117"/>
      <c r="SR46" s="117"/>
      <c r="SS46" s="117"/>
      <c r="ST46" s="117"/>
      <c r="SU46" s="117"/>
      <c r="SV46" s="117"/>
      <c r="SW46" s="117"/>
      <c r="SX46" s="117"/>
      <c r="SY46" s="117"/>
      <c r="SZ46" s="117"/>
      <c r="TA46" s="117"/>
      <c r="TB46" s="117"/>
      <c r="TC46" s="117"/>
      <c r="TD46" s="117"/>
      <c r="TE46" s="117"/>
      <c r="TF46" s="117"/>
      <c r="TG46" s="117"/>
      <c r="TH46" s="117"/>
      <c r="TI46" s="117"/>
      <c r="TJ46" s="117"/>
      <c r="TK46" s="117"/>
      <c r="TL46" s="117"/>
      <c r="TM46" s="117"/>
      <c r="TN46" s="117"/>
      <c r="TO46" s="117"/>
      <c r="TP46" s="117"/>
      <c r="TQ46" s="117"/>
      <c r="TR46" s="117"/>
      <c r="TS46" s="117"/>
      <c r="TT46" s="117"/>
      <c r="TU46" s="117"/>
      <c r="TV46" s="117"/>
      <c r="TW46" s="117"/>
      <c r="TX46" s="117"/>
      <c r="TY46" s="117"/>
      <c r="TZ46" s="117"/>
      <c r="UA46" s="117"/>
      <c r="UB46" s="117"/>
      <c r="UC46" s="117"/>
      <c r="UD46" s="117"/>
      <c r="UE46" s="117"/>
      <c r="UF46" s="117"/>
      <c r="UG46" s="117"/>
      <c r="UH46" s="117"/>
      <c r="UI46" s="117"/>
      <c r="UJ46" s="117"/>
      <c r="UK46" s="117"/>
      <c r="UL46" s="117"/>
      <c r="UM46" s="117"/>
      <c r="UN46" s="117"/>
      <c r="UO46" s="117"/>
      <c r="UP46" s="117"/>
      <c r="UQ46" s="117"/>
      <c r="UR46" s="117"/>
      <c r="US46" s="117"/>
      <c r="UT46" s="117"/>
      <c r="UU46" s="117"/>
      <c r="UV46" s="117"/>
      <c r="UW46" s="117"/>
      <c r="UX46" s="117"/>
      <c r="UY46" s="117"/>
      <c r="UZ46" s="117"/>
      <c r="VA46" s="117"/>
      <c r="VB46" s="117"/>
      <c r="VC46" s="117"/>
      <c r="VD46" s="117"/>
      <c r="VE46" s="117"/>
      <c r="VF46" s="117"/>
      <c r="VG46" s="117"/>
      <c r="VH46" s="117"/>
      <c r="VI46" s="117"/>
      <c r="VJ46" s="117"/>
      <c r="VK46" s="117"/>
      <c r="VL46" s="117"/>
      <c r="VM46" s="117"/>
      <c r="VN46" s="117"/>
      <c r="VO46" s="117"/>
      <c r="VP46" s="117"/>
      <c r="VQ46" s="117"/>
      <c r="VR46" s="117"/>
      <c r="VS46" s="117"/>
      <c r="VT46" s="117"/>
      <c r="VU46" s="117"/>
      <c r="VV46" s="117"/>
      <c r="VW46" s="117"/>
      <c r="VX46" s="117"/>
      <c r="VY46" s="117"/>
      <c r="VZ46" s="117"/>
      <c r="WA46" s="117"/>
      <c r="WB46" s="117"/>
      <c r="WC46" s="117"/>
      <c r="WD46" s="117"/>
      <c r="WE46" s="117"/>
      <c r="WF46" s="117"/>
      <c r="WG46" s="117"/>
      <c r="WH46" s="117"/>
      <c r="WI46" s="117"/>
      <c r="WJ46" s="117"/>
      <c r="WK46" s="117"/>
      <c r="WL46" s="117"/>
      <c r="WM46" s="117"/>
      <c r="WN46" s="117"/>
      <c r="WO46" s="117"/>
      <c r="WP46" s="117"/>
      <c r="WQ46" s="117"/>
      <c r="WR46" s="117"/>
      <c r="WS46" s="117"/>
      <c r="WT46" s="117"/>
      <c r="WU46" s="117"/>
      <c r="WV46" s="117"/>
      <c r="WW46" s="117"/>
      <c r="WX46" s="117"/>
      <c r="WY46" s="117"/>
      <c r="WZ46" s="117"/>
      <c r="XA46" s="117"/>
      <c r="XB46" s="117"/>
      <c r="XC46" s="117"/>
      <c r="XD46" s="117"/>
      <c r="XE46" s="117"/>
      <c r="XF46" s="117"/>
      <c r="XG46" s="117"/>
      <c r="XH46" s="117"/>
      <c r="XI46" s="117"/>
      <c r="XJ46" s="117"/>
      <c r="XK46" s="117"/>
      <c r="XL46" s="117"/>
      <c r="XM46" s="117"/>
      <c r="XN46" s="117"/>
      <c r="XO46" s="117"/>
      <c r="XP46" s="117"/>
      <c r="XQ46" s="117"/>
      <c r="XR46" s="117"/>
      <c r="XS46" s="117"/>
      <c r="XT46" s="117"/>
      <c r="XU46" s="117"/>
      <c r="XV46" s="117"/>
      <c r="XW46" s="117"/>
      <c r="XX46" s="117"/>
      <c r="XY46" s="117"/>
      <c r="XZ46" s="117"/>
      <c r="YA46" s="117"/>
      <c r="YB46" s="117"/>
      <c r="YC46" s="117"/>
      <c r="YD46" s="117"/>
      <c r="YE46" s="117"/>
      <c r="YF46" s="117"/>
      <c r="YG46" s="117"/>
      <c r="YH46" s="117"/>
      <c r="YI46" s="117"/>
      <c r="YJ46" s="117"/>
      <c r="YK46" s="117"/>
      <c r="YL46" s="117"/>
      <c r="YM46" s="117"/>
      <c r="YN46" s="117"/>
      <c r="YO46" s="117"/>
      <c r="YP46" s="117"/>
      <c r="YQ46" s="117"/>
      <c r="YR46" s="117"/>
      <c r="YS46" s="117"/>
      <c r="YT46" s="117"/>
      <c r="YU46" s="117"/>
      <c r="YV46" s="117"/>
      <c r="YW46" s="117"/>
      <c r="YX46" s="117"/>
      <c r="YY46" s="117"/>
      <c r="YZ46" s="117"/>
      <c r="ZA46" s="117"/>
      <c r="ZB46" s="117"/>
      <c r="ZC46" s="117"/>
      <c r="ZD46" s="117"/>
      <c r="ZE46" s="117"/>
      <c r="ZF46" s="117"/>
      <c r="ZG46" s="117"/>
      <c r="ZH46" s="117"/>
      <c r="ZI46" s="117"/>
      <c r="ZJ46" s="117"/>
      <c r="ZK46" s="117"/>
      <c r="ZL46" s="117"/>
      <c r="ZM46" s="117"/>
      <c r="ZN46" s="117"/>
      <c r="ZO46" s="117"/>
      <c r="ZP46" s="117"/>
      <c r="ZQ46" s="117"/>
      <c r="ZR46" s="117"/>
      <c r="ZS46" s="117"/>
      <c r="ZT46" s="117"/>
      <c r="ZU46" s="117"/>
      <c r="ZV46" s="117"/>
      <c r="ZW46" s="117"/>
      <c r="ZX46" s="117"/>
      <c r="ZY46" s="117"/>
      <c r="ZZ46" s="117"/>
      <c r="AAA46" s="117"/>
      <c r="AAB46" s="117"/>
      <c r="AAC46" s="117"/>
      <c r="AAD46" s="117"/>
      <c r="AAE46" s="117"/>
      <c r="AAF46" s="117"/>
      <c r="AAG46" s="117"/>
      <c r="AAH46" s="117"/>
      <c r="AAI46" s="117"/>
      <c r="AAJ46" s="117"/>
      <c r="AAK46" s="117"/>
      <c r="AAL46" s="117"/>
      <c r="AAM46" s="117"/>
      <c r="AAN46" s="117"/>
      <c r="AAO46" s="117"/>
      <c r="AAP46" s="117"/>
      <c r="AAQ46" s="117"/>
      <c r="AAR46" s="117"/>
      <c r="AAS46" s="117"/>
      <c r="AAT46" s="117"/>
      <c r="AAU46" s="117"/>
      <c r="AAV46" s="117"/>
      <c r="AAW46" s="117"/>
      <c r="AAX46" s="117"/>
      <c r="AAY46" s="117"/>
      <c r="AAZ46" s="117"/>
      <c r="ABA46" s="117"/>
      <c r="ABB46" s="117"/>
      <c r="ABC46" s="117"/>
      <c r="ABD46" s="117"/>
      <c r="ABE46" s="117"/>
      <c r="ABF46" s="117"/>
      <c r="ABG46" s="117"/>
      <c r="ABH46" s="117"/>
      <c r="ABI46" s="117"/>
      <c r="ABJ46" s="117"/>
      <c r="ABK46" s="117"/>
      <c r="ABL46" s="117"/>
      <c r="ABM46" s="117"/>
      <c r="ABN46" s="117"/>
      <c r="ABO46" s="117"/>
      <c r="ABP46" s="117"/>
      <c r="ABQ46" s="117"/>
      <c r="ABR46" s="117"/>
      <c r="ABS46" s="117"/>
      <c r="ABT46" s="117"/>
      <c r="ABU46" s="117"/>
      <c r="ABV46" s="117"/>
      <c r="ABW46" s="117"/>
      <c r="ABX46" s="117"/>
      <c r="ABY46" s="117"/>
      <c r="ABZ46" s="117"/>
      <c r="ACA46" s="117"/>
      <c r="ACB46" s="117"/>
      <c r="ACC46" s="117"/>
      <c r="ACD46" s="117"/>
      <c r="ACE46" s="117"/>
      <c r="ACF46" s="117"/>
      <c r="ACG46" s="117"/>
      <c r="ACH46" s="117"/>
      <c r="ACI46" s="117"/>
      <c r="ACJ46" s="117"/>
      <c r="ACK46" s="117"/>
      <c r="ACL46" s="117"/>
      <c r="ACM46" s="117"/>
      <c r="ACN46" s="117"/>
      <c r="ACO46" s="117"/>
      <c r="ACP46" s="117"/>
      <c r="ACQ46" s="117"/>
      <c r="ACR46" s="117"/>
      <c r="ACS46" s="117"/>
      <c r="ACT46" s="117"/>
      <c r="ACU46" s="117"/>
      <c r="ACV46" s="117"/>
      <c r="ACW46" s="117"/>
      <c r="ACX46" s="117"/>
      <c r="ACY46" s="117"/>
      <c r="ACZ46" s="117"/>
      <c r="ADA46" s="117"/>
      <c r="ADB46" s="117"/>
      <c r="ADC46" s="117"/>
      <c r="ADD46" s="117"/>
      <c r="ADE46" s="117"/>
      <c r="ADF46" s="117"/>
      <c r="ADG46" s="117"/>
      <c r="ADH46" s="117"/>
      <c r="ADI46" s="117"/>
      <c r="ADJ46" s="117"/>
      <c r="ADK46" s="117"/>
      <c r="ADL46" s="117"/>
      <c r="ADM46" s="117"/>
      <c r="ADN46" s="117"/>
      <c r="ADO46" s="117"/>
      <c r="ADP46" s="117"/>
      <c r="ADQ46" s="117"/>
      <c r="ADR46" s="117"/>
      <c r="ADS46" s="117"/>
      <c r="ADT46" s="117"/>
      <c r="ADU46" s="117"/>
      <c r="ADV46" s="117"/>
      <c r="ADW46" s="117"/>
      <c r="ADX46" s="117"/>
      <c r="ADY46" s="117"/>
      <c r="ADZ46" s="117"/>
      <c r="AEA46" s="117"/>
      <c r="AEB46" s="117"/>
      <c r="AEC46" s="117"/>
      <c r="AED46" s="117"/>
      <c r="AEE46" s="117"/>
      <c r="AEF46" s="117"/>
      <c r="AEG46" s="117"/>
      <c r="AEH46" s="117"/>
      <c r="AEI46" s="117"/>
      <c r="AEJ46" s="117"/>
      <c r="AEK46" s="117"/>
      <c r="AEL46" s="117"/>
      <c r="AEM46" s="117"/>
      <c r="AEN46" s="117"/>
      <c r="AEO46" s="117"/>
      <c r="AEP46" s="117"/>
      <c r="AEQ46" s="117"/>
      <c r="AER46" s="117"/>
      <c r="AES46" s="117"/>
      <c r="AET46" s="117"/>
      <c r="AEU46" s="117"/>
      <c r="AEV46" s="117"/>
      <c r="AEW46" s="117"/>
      <c r="AEX46" s="117"/>
      <c r="AEY46" s="117"/>
      <c r="AEZ46" s="117"/>
      <c r="AFA46" s="117"/>
      <c r="AFB46" s="117"/>
      <c r="AFC46" s="117"/>
      <c r="AFD46" s="117"/>
      <c r="AFE46" s="117"/>
      <c r="AFF46" s="117"/>
      <c r="AFG46" s="117"/>
      <c r="AFH46" s="117"/>
      <c r="AFI46" s="117"/>
      <c r="AFJ46" s="117"/>
      <c r="AFK46" s="117"/>
      <c r="AFL46" s="117"/>
      <c r="AFM46" s="117"/>
      <c r="AFN46" s="117"/>
      <c r="AFO46" s="117"/>
      <c r="AFP46" s="117"/>
      <c r="AFQ46" s="117"/>
      <c r="AFR46" s="117"/>
      <c r="AFS46" s="117"/>
      <c r="AFT46" s="117"/>
      <c r="AFU46" s="117"/>
      <c r="AFV46" s="117"/>
      <c r="AFW46" s="117"/>
      <c r="AFX46" s="117"/>
      <c r="AFY46" s="117"/>
      <c r="AFZ46" s="117"/>
      <c r="AGA46" s="117"/>
      <c r="AGB46" s="117"/>
      <c r="AGC46" s="117"/>
      <c r="AGD46" s="117"/>
      <c r="AGE46" s="117"/>
      <c r="AGF46" s="117"/>
      <c r="AGG46" s="117"/>
      <c r="AGH46" s="117"/>
      <c r="AGI46" s="117"/>
      <c r="AGJ46" s="117"/>
      <c r="AGK46" s="117"/>
      <c r="AGL46" s="117"/>
      <c r="AGM46" s="117"/>
      <c r="AGN46" s="117"/>
      <c r="AGO46" s="117"/>
      <c r="AGP46" s="117"/>
      <c r="AGQ46" s="117"/>
      <c r="AGR46" s="117"/>
      <c r="AGS46" s="117"/>
      <c r="AGT46" s="117"/>
      <c r="AGU46" s="117"/>
      <c r="AGV46" s="117"/>
      <c r="AGW46" s="117"/>
      <c r="AGX46" s="117"/>
      <c r="AGY46" s="117"/>
      <c r="AGZ46" s="117"/>
      <c r="AHA46" s="117"/>
      <c r="AHB46" s="117"/>
      <c r="AHC46" s="117"/>
      <c r="AHD46" s="117"/>
      <c r="AHE46" s="117"/>
      <c r="AHF46" s="117"/>
      <c r="AHG46" s="117"/>
      <c r="AHH46" s="117"/>
      <c r="AHI46" s="117"/>
      <c r="AHJ46" s="117"/>
      <c r="AHK46" s="117"/>
      <c r="AHL46" s="117"/>
      <c r="AHM46" s="117"/>
      <c r="AHN46" s="117"/>
      <c r="AHO46" s="117"/>
      <c r="AHP46" s="117"/>
      <c r="AHQ46" s="117"/>
      <c r="AHR46" s="117"/>
      <c r="AHS46" s="117"/>
      <c r="AHT46" s="117"/>
      <c r="AHU46" s="117"/>
      <c r="AHV46" s="117"/>
      <c r="AHW46" s="117"/>
      <c r="AHX46" s="117"/>
      <c r="AHY46" s="117"/>
      <c r="AHZ46" s="117"/>
      <c r="AIA46" s="117"/>
      <c r="AIB46" s="117"/>
      <c r="AIC46" s="117"/>
      <c r="AID46" s="117"/>
      <c r="AIE46" s="117"/>
      <c r="AIF46" s="117"/>
      <c r="AIG46" s="117"/>
      <c r="AIH46" s="117"/>
      <c r="AII46" s="117"/>
      <c r="AIJ46" s="117"/>
      <c r="AIK46" s="117"/>
      <c r="AIL46" s="117"/>
      <c r="AIM46" s="117"/>
      <c r="AIN46" s="117"/>
      <c r="AIO46" s="117"/>
      <c r="AIP46" s="117"/>
      <c r="AIQ46" s="117"/>
      <c r="AIR46" s="117"/>
      <c r="AIS46" s="117"/>
      <c r="AIT46" s="117"/>
      <c r="AIU46" s="117"/>
      <c r="AIV46" s="117"/>
      <c r="AIW46" s="117"/>
      <c r="AIX46" s="117"/>
      <c r="AIY46" s="117"/>
      <c r="AIZ46" s="117"/>
      <c r="AJA46" s="117"/>
      <c r="AJB46" s="117"/>
      <c r="AJC46" s="117"/>
      <c r="AJD46" s="117"/>
      <c r="AJE46" s="117"/>
      <c r="AJF46" s="117"/>
      <c r="AJG46" s="117"/>
      <c r="AJH46" s="117"/>
      <c r="AJI46" s="117"/>
      <c r="AJJ46" s="117"/>
      <c r="AJK46" s="117"/>
      <c r="AJL46" s="117"/>
      <c r="AJM46" s="117"/>
      <c r="AJN46" s="117"/>
      <c r="AJO46" s="117"/>
      <c r="AJP46" s="117"/>
      <c r="AJQ46" s="117"/>
      <c r="AJR46" s="117"/>
      <c r="AJS46" s="117"/>
      <c r="AJT46" s="117"/>
      <c r="AJU46" s="117"/>
      <c r="AJV46" s="117"/>
      <c r="AJW46" s="117"/>
      <c r="AJX46" s="117"/>
      <c r="AJY46" s="117"/>
      <c r="AJZ46" s="117"/>
      <c r="AKA46" s="117"/>
      <c r="AKB46" s="117"/>
      <c r="AKC46" s="117"/>
      <c r="AKD46" s="117"/>
      <c r="AKE46" s="117"/>
      <c r="AKF46" s="117"/>
      <c r="AKG46" s="117"/>
      <c r="AKH46" s="117"/>
      <c r="AKI46" s="117"/>
      <c r="AKJ46" s="117"/>
      <c r="AKK46" s="117"/>
      <c r="AKL46" s="117"/>
      <c r="AKM46" s="117"/>
      <c r="AKN46" s="117"/>
      <c r="AKO46" s="117"/>
      <c r="AKP46" s="117"/>
      <c r="AKQ46" s="117"/>
      <c r="AKR46" s="117"/>
      <c r="AKS46" s="117"/>
      <c r="AKT46" s="117"/>
      <c r="AKU46" s="117"/>
      <c r="AKV46" s="117"/>
      <c r="AKW46" s="117"/>
      <c r="AKX46" s="117"/>
      <c r="AKY46" s="117"/>
      <c r="AKZ46" s="117"/>
      <c r="ALA46" s="117"/>
      <c r="ALB46" s="117"/>
      <c r="ALC46" s="117"/>
      <c r="ALD46" s="117"/>
      <c r="ALE46" s="117"/>
      <c r="ALF46" s="117"/>
      <c r="ALG46" s="117"/>
      <c r="ALH46" s="117"/>
      <c r="ALI46" s="117"/>
      <c r="ALJ46" s="117"/>
      <c r="ALK46" s="117"/>
      <c r="ALL46" s="117"/>
      <c r="ALM46" s="117"/>
      <c r="ALN46" s="117"/>
      <c r="ALO46" s="117"/>
      <c r="ALP46" s="117"/>
      <c r="ALQ46" s="117"/>
      <c r="ALR46" s="117"/>
      <c r="ALS46" s="117"/>
      <c r="ALT46" s="117"/>
      <c r="ALU46" s="117"/>
      <c r="ALV46" s="117"/>
      <c r="ALW46" s="117"/>
      <c r="ALX46" s="117"/>
      <c r="ALY46" s="117"/>
      <c r="ALZ46" s="117"/>
      <c r="AMA46" s="117"/>
      <c r="AMB46" s="117"/>
      <c r="AMC46" s="117"/>
      <c r="AMD46" s="117"/>
      <c r="AME46" s="117"/>
      <c r="AMF46" s="117"/>
      <c r="AMG46" s="117"/>
      <c r="AMH46" s="117"/>
      <c r="AMI46" s="117"/>
      <c r="AMJ46" s="117"/>
      <c r="AMK46" s="117"/>
      <c r="AML46" s="117"/>
      <c r="AMM46" s="117"/>
      <c r="AMN46" s="117"/>
      <c r="AMO46" s="117"/>
      <c r="AMP46" s="117"/>
      <c r="AMQ46" s="117"/>
      <c r="AMR46" s="117"/>
      <c r="AMS46" s="117"/>
      <c r="AMT46" s="117"/>
      <c r="AMU46" s="117"/>
      <c r="AMV46" s="117"/>
      <c r="AMW46" s="117"/>
      <c r="AMX46" s="117"/>
      <c r="AMY46" s="117"/>
      <c r="AMZ46" s="117"/>
      <c r="ANA46" s="117"/>
      <c r="ANB46" s="117"/>
      <c r="ANC46" s="117"/>
      <c r="AND46" s="117"/>
      <c r="ANE46" s="117"/>
      <c r="ANF46" s="117"/>
      <c r="ANG46" s="117"/>
      <c r="ANH46" s="117"/>
      <c r="ANI46" s="117"/>
      <c r="ANJ46" s="117"/>
      <c r="ANK46" s="117"/>
      <c r="ANL46" s="117"/>
      <c r="ANM46" s="117"/>
      <c r="ANN46" s="117"/>
      <c r="ANO46" s="117"/>
      <c r="ANP46" s="117"/>
      <c r="ANQ46" s="117"/>
      <c r="ANR46" s="117"/>
      <c r="ANS46" s="117"/>
      <c r="ANT46" s="117"/>
      <c r="ANU46" s="117"/>
      <c r="ANV46" s="117"/>
      <c r="ANW46" s="117"/>
      <c r="ANX46" s="117"/>
      <c r="ANY46" s="117"/>
      <c r="ANZ46" s="117"/>
      <c r="AOA46" s="117"/>
      <c r="AOB46" s="117"/>
      <c r="AOC46" s="117"/>
      <c r="AOD46" s="117"/>
      <c r="AOE46" s="117"/>
      <c r="AOF46" s="117"/>
      <c r="AOG46" s="117"/>
      <c r="AOH46" s="117"/>
      <c r="AOI46" s="117"/>
      <c r="AOJ46" s="117"/>
      <c r="AOK46" s="117"/>
      <c r="AOL46" s="117"/>
      <c r="AOM46" s="117"/>
      <c r="AON46" s="117"/>
      <c r="AOO46" s="117"/>
      <c r="AOP46" s="117"/>
      <c r="AOQ46" s="117"/>
      <c r="AOR46" s="117"/>
      <c r="AOS46" s="117"/>
      <c r="AOT46" s="117"/>
      <c r="AOU46" s="117"/>
      <c r="AOV46" s="117"/>
      <c r="AOW46" s="117"/>
      <c r="AOX46" s="117"/>
      <c r="AOY46" s="117"/>
      <c r="AOZ46" s="117"/>
      <c r="APA46" s="117"/>
      <c r="APB46" s="117"/>
      <c r="APC46" s="117"/>
      <c r="APD46" s="117"/>
      <c r="APE46" s="117"/>
      <c r="APF46" s="117"/>
      <c r="APG46" s="117"/>
      <c r="APH46" s="117"/>
      <c r="API46" s="117"/>
      <c r="APJ46" s="117"/>
      <c r="APK46" s="117"/>
      <c r="APL46" s="117"/>
      <c r="APM46" s="117"/>
      <c r="APN46" s="117"/>
      <c r="APO46" s="117"/>
      <c r="APP46" s="117"/>
      <c r="APQ46" s="117"/>
      <c r="APR46" s="117"/>
      <c r="APS46" s="117"/>
      <c r="APT46" s="117"/>
      <c r="APU46" s="117"/>
      <c r="APV46" s="117"/>
      <c r="APW46" s="117"/>
      <c r="APX46" s="117"/>
      <c r="APY46" s="117"/>
      <c r="APZ46" s="117"/>
      <c r="AQA46" s="117"/>
      <c r="AQB46" s="117"/>
      <c r="AQC46" s="117"/>
      <c r="AQD46" s="117"/>
      <c r="AQE46" s="117"/>
      <c r="AQF46" s="117"/>
      <c r="AQG46" s="117"/>
      <c r="AQH46" s="117"/>
      <c r="AQI46" s="117"/>
      <c r="AQJ46" s="117"/>
      <c r="AQK46" s="117"/>
      <c r="AQL46" s="117"/>
      <c r="AQM46" s="117"/>
      <c r="AQN46" s="117"/>
      <c r="AQO46" s="117"/>
      <c r="AQP46" s="117"/>
      <c r="AQQ46" s="117"/>
      <c r="AQR46" s="117"/>
      <c r="AQS46" s="117"/>
      <c r="AQT46" s="117"/>
      <c r="AQU46" s="117"/>
      <c r="AQV46" s="117"/>
      <c r="AQW46" s="117"/>
      <c r="AQX46" s="117"/>
      <c r="AQY46" s="117"/>
      <c r="AQZ46" s="117"/>
      <c r="ARA46" s="117"/>
      <c r="ARB46" s="117"/>
      <c r="ARC46" s="117"/>
      <c r="ARD46" s="117"/>
      <c r="ARE46" s="117"/>
      <c r="ARF46" s="117"/>
      <c r="ARG46" s="117"/>
      <c r="ARH46" s="117"/>
      <c r="ARI46" s="117"/>
      <c r="ARJ46" s="117"/>
      <c r="ARK46" s="117"/>
      <c r="ARL46" s="117"/>
      <c r="ARM46" s="117"/>
      <c r="ARN46" s="117"/>
      <c r="ARO46" s="117"/>
      <c r="ARP46" s="117"/>
      <c r="ARQ46" s="117"/>
      <c r="ARR46" s="117"/>
      <c r="ARS46" s="117"/>
      <c r="ART46" s="117"/>
      <c r="ARU46" s="117"/>
      <c r="ARV46" s="117"/>
      <c r="ARW46" s="117"/>
      <c r="ARX46" s="117"/>
      <c r="ARY46" s="117"/>
      <c r="ARZ46" s="117"/>
      <c r="ASA46" s="117"/>
      <c r="ASB46" s="117"/>
      <c r="ASC46" s="117"/>
      <c r="ASD46" s="117"/>
      <c r="ASE46" s="117"/>
      <c r="ASF46" s="117"/>
      <c r="ASG46" s="117"/>
      <c r="ASH46" s="117"/>
      <c r="ASI46" s="117"/>
      <c r="ASJ46" s="117"/>
      <c r="ASK46" s="117"/>
      <c r="ASL46" s="117"/>
      <c r="ASM46" s="117"/>
      <c r="ASN46" s="117"/>
      <c r="ASO46" s="117"/>
      <c r="ASP46" s="117"/>
      <c r="ASQ46" s="117"/>
      <c r="ASR46" s="117"/>
      <c r="ASS46" s="117"/>
      <c r="AST46" s="117"/>
      <c r="ASU46" s="117"/>
      <c r="ASV46" s="117"/>
      <c r="ASW46" s="117"/>
      <c r="ASX46" s="117"/>
      <c r="ASY46" s="117"/>
      <c r="ASZ46" s="117"/>
      <c r="ATA46" s="117"/>
      <c r="ATB46" s="117"/>
      <c r="ATC46" s="117"/>
      <c r="ATD46" s="117"/>
      <c r="ATE46" s="117"/>
      <c r="ATF46" s="117"/>
      <c r="ATG46" s="117"/>
      <c r="ATH46" s="117"/>
      <c r="ATI46" s="117"/>
      <c r="ATJ46" s="117"/>
      <c r="ATK46" s="117"/>
      <c r="ATL46" s="117"/>
      <c r="ATM46" s="117"/>
      <c r="ATN46" s="117"/>
      <c r="ATO46" s="117"/>
      <c r="ATP46" s="117"/>
      <c r="ATQ46" s="117"/>
      <c r="ATR46" s="117"/>
      <c r="ATS46" s="117"/>
      <c r="ATT46" s="117"/>
      <c r="ATU46" s="117"/>
      <c r="ATV46" s="117"/>
      <c r="ATW46" s="117"/>
      <c r="ATX46" s="117"/>
      <c r="ATY46" s="117"/>
      <c r="ATZ46" s="117"/>
      <c r="AUA46" s="117"/>
      <c r="AUB46" s="117"/>
      <c r="AUC46" s="117"/>
      <c r="AUD46" s="117"/>
      <c r="AUE46" s="117"/>
      <c r="AUF46" s="117"/>
      <c r="AUG46" s="117"/>
      <c r="AUH46" s="117"/>
      <c r="AUI46" s="117"/>
      <c r="AUJ46" s="117"/>
      <c r="AUK46" s="117"/>
      <c r="AUL46" s="117"/>
      <c r="AUM46" s="117"/>
      <c r="AUN46" s="117"/>
      <c r="AUO46" s="117"/>
      <c r="AUP46" s="117"/>
      <c r="AUQ46" s="117"/>
      <c r="AUR46" s="117"/>
      <c r="AUS46" s="117"/>
      <c r="AUT46" s="117"/>
      <c r="AUU46" s="117"/>
      <c r="AUV46" s="117"/>
      <c r="AUW46" s="117"/>
      <c r="AUX46" s="117"/>
      <c r="AUY46" s="117"/>
      <c r="AUZ46" s="117"/>
      <c r="AVA46" s="117"/>
      <c r="AVB46" s="117"/>
      <c r="AVC46" s="117"/>
      <c r="AVD46" s="117"/>
      <c r="AVE46" s="117"/>
      <c r="AVF46" s="117"/>
      <c r="AVG46" s="117"/>
      <c r="AVH46" s="117"/>
      <c r="AVI46" s="117"/>
      <c r="AVJ46" s="117"/>
      <c r="AVK46" s="117"/>
      <c r="AVL46" s="117"/>
      <c r="AVM46" s="117"/>
      <c r="AVN46" s="117"/>
      <c r="AVO46" s="117"/>
      <c r="AVP46" s="117"/>
      <c r="AVQ46" s="117"/>
      <c r="AVR46" s="117"/>
      <c r="AVS46" s="117"/>
      <c r="AVT46" s="117"/>
      <c r="AVU46" s="117"/>
      <c r="AVV46" s="117"/>
      <c r="AVW46" s="117"/>
      <c r="AVX46" s="117"/>
      <c r="AVY46" s="117"/>
      <c r="AVZ46" s="117"/>
      <c r="AWA46" s="117"/>
      <c r="AWB46" s="117"/>
      <c r="AWC46" s="117"/>
      <c r="AWD46" s="117"/>
      <c r="AWE46" s="117"/>
      <c r="AWF46" s="117"/>
      <c r="AWG46" s="117"/>
      <c r="AWH46" s="117"/>
      <c r="AWI46" s="117"/>
      <c r="AWJ46" s="117"/>
      <c r="AWK46" s="117"/>
      <c r="AWL46" s="117"/>
      <c r="AWM46" s="117"/>
      <c r="AWN46" s="117"/>
      <c r="AWO46" s="117"/>
      <c r="AWP46" s="117"/>
      <c r="AWQ46" s="117"/>
      <c r="AWR46" s="117"/>
      <c r="AWS46" s="117"/>
      <c r="AWT46" s="117"/>
      <c r="AWU46" s="117"/>
      <c r="AWV46" s="117"/>
      <c r="AWW46" s="117"/>
      <c r="AWX46" s="117"/>
      <c r="AWY46" s="117"/>
      <c r="AWZ46" s="117"/>
      <c r="AXA46" s="117"/>
      <c r="AXB46" s="117"/>
      <c r="AXC46" s="117"/>
      <c r="AXD46" s="117"/>
      <c r="AXE46" s="117"/>
      <c r="AXF46" s="117"/>
      <c r="AXG46" s="117"/>
      <c r="AXH46" s="117"/>
      <c r="AXI46" s="117"/>
      <c r="AXJ46" s="117"/>
      <c r="AXK46" s="117"/>
      <c r="AXL46" s="117"/>
      <c r="AXM46" s="117"/>
      <c r="AXN46" s="117"/>
      <c r="AXO46" s="117"/>
      <c r="AXP46" s="117"/>
      <c r="AXQ46" s="117"/>
      <c r="AXR46" s="117"/>
      <c r="AXS46" s="117"/>
      <c r="AXT46" s="117"/>
      <c r="AXU46" s="117"/>
      <c r="AXV46" s="117"/>
      <c r="AXW46" s="117"/>
      <c r="AXX46" s="117"/>
      <c r="AXY46" s="117"/>
      <c r="AXZ46" s="117"/>
      <c r="AYA46" s="117"/>
      <c r="AYB46" s="117"/>
      <c r="AYC46" s="117"/>
      <c r="AYD46" s="117"/>
      <c r="AYE46" s="117"/>
      <c r="AYF46" s="117"/>
      <c r="AYG46" s="117"/>
      <c r="AYH46" s="117"/>
      <c r="AYI46" s="117"/>
      <c r="AYJ46" s="117"/>
      <c r="AYK46" s="117"/>
      <c r="AYL46" s="117"/>
      <c r="AYM46" s="117"/>
      <c r="AYN46" s="117"/>
      <c r="AYO46" s="117"/>
      <c r="AYP46" s="117"/>
      <c r="AYQ46" s="117"/>
      <c r="AYR46" s="117"/>
      <c r="AYS46" s="117"/>
      <c r="AYT46" s="117"/>
      <c r="AYU46" s="117"/>
      <c r="AYV46" s="117"/>
      <c r="AYW46" s="117"/>
      <c r="AYX46" s="117"/>
      <c r="AYY46" s="117"/>
      <c r="AYZ46" s="117"/>
      <c r="AZA46" s="117"/>
      <c r="AZB46" s="117"/>
      <c r="AZC46" s="117"/>
      <c r="AZD46" s="117"/>
      <c r="AZE46" s="117"/>
      <c r="AZF46" s="117"/>
      <c r="AZG46" s="117"/>
      <c r="AZH46" s="117"/>
      <c r="AZI46" s="117"/>
      <c r="AZJ46" s="117"/>
      <c r="AZK46" s="117"/>
      <c r="AZL46" s="117"/>
      <c r="AZM46" s="117"/>
      <c r="AZN46" s="117"/>
      <c r="AZO46" s="117"/>
      <c r="AZP46" s="117"/>
      <c r="AZQ46" s="117"/>
      <c r="AZR46" s="117"/>
      <c r="AZS46" s="117"/>
      <c r="AZT46" s="117"/>
      <c r="AZU46" s="117"/>
      <c r="AZV46" s="117"/>
      <c r="AZW46" s="117"/>
      <c r="AZX46" s="117"/>
      <c r="AZY46" s="117"/>
      <c r="AZZ46" s="117"/>
      <c r="BAA46" s="117"/>
      <c r="BAB46" s="117"/>
      <c r="BAC46" s="117"/>
      <c r="BAD46" s="117"/>
      <c r="BAE46" s="117"/>
      <c r="BAF46" s="117"/>
      <c r="BAG46" s="117"/>
      <c r="BAH46" s="117"/>
      <c r="BAI46" s="117"/>
      <c r="BAJ46" s="117"/>
      <c r="BAK46" s="117"/>
      <c r="BAL46" s="117"/>
      <c r="BAM46" s="117"/>
      <c r="BAN46" s="117"/>
      <c r="BAO46" s="117"/>
      <c r="BAP46" s="117"/>
      <c r="BAQ46" s="117"/>
      <c r="BAR46" s="117"/>
      <c r="BAS46" s="117"/>
      <c r="BAT46" s="117"/>
      <c r="BAU46" s="117"/>
      <c r="BAV46" s="117"/>
      <c r="BAW46" s="117"/>
      <c r="BAX46" s="117"/>
      <c r="BAY46" s="117"/>
      <c r="BAZ46" s="117"/>
      <c r="BBA46" s="117"/>
      <c r="BBB46" s="117"/>
      <c r="BBC46" s="117"/>
      <c r="BBD46" s="117"/>
      <c r="BBE46" s="117"/>
      <c r="BBF46" s="117"/>
      <c r="BBG46" s="117"/>
      <c r="BBH46" s="117"/>
      <c r="BBI46" s="117"/>
      <c r="BBJ46" s="117"/>
      <c r="BBK46" s="117"/>
      <c r="BBL46" s="117"/>
      <c r="BBM46" s="117"/>
      <c r="BBN46" s="117"/>
      <c r="BBO46" s="117"/>
      <c r="BBP46" s="117"/>
      <c r="BBQ46" s="117"/>
      <c r="BBR46" s="117"/>
      <c r="BBS46" s="117"/>
      <c r="BBT46" s="117"/>
      <c r="BBU46" s="117"/>
      <c r="BBV46" s="117"/>
      <c r="BBW46" s="117"/>
      <c r="BBX46" s="117"/>
      <c r="BBY46" s="117"/>
      <c r="BBZ46" s="117"/>
      <c r="BCA46" s="117"/>
      <c r="BCB46" s="117"/>
      <c r="BCC46" s="117"/>
      <c r="BCD46" s="117"/>
      <c r="BCE46" s="117"/>
      <c r="BCF46" s="117"/>
      <c r="BCG46" s="117"/>
      <c r="BCH46" s="117"/>
      <c r="BCI46" s="117"/>
      <c r="BCJ46" s="117"/>
      <c r="BCK46" s="117"/>
      <c r="BCL46" s="117"/>
      <c r="BCM46" s="117"/>
      <c r="BCN46" s="117"/>
      <c r="BCO46" s="117"/>
      <c r="BCP46" s="117"/>
      <c r="BCQ46" s="117"/>
      <c r="BCR46" s="117"/>
      <c r="BCS46" s="117"/>
      <c r="BCT46" s="117"/>
      <c r="BCU46" s="117"/>
      <c r="BCV46" s="117"/>
      <c r="BCW46" s="117"/>
      <c r="BCX46" s="117"/>
      <c r="BCY46" s="117"/>
      <c r="BCZ46" s="117"/>
      <c r="BDA46" s="117"/>
      <c r="BDB46" s="117"/>
      <c r="BDC46" s="117"/>
      <c r="BDD46" s="117"/>
      <c r="BDE46" s="117"/>
      <c r="BDF46" s="117"/>
      <c r="BDG46" s="117"/>
      <c r="BDH46" s="117"/>
      <c r="BDI46" s="117"/>
      <c r="BDJ46" s="117"/>
      <c r="BDK46" s="117"/>
      <c r="BDL46" s="117"/>
      <c r="BDM46" s="117"/>
      <c r="BDN46" s="117"/>
      <c r="BDO46" s="117"/>
      <c r="BDP46" s="117"/>
      <c r="BDQ46" s="117"/>
      <c r="BDR46" s="117"/>
      <c r="BDS46" s="117"/>
      <c r="BDT46" s="117"/>
      <c r="BDU46" s="117"/>
      <c r="BDV46" s="117"/>
      <c r="BDW46" s="117"/>
      <c r="BDX46" s="117"/>
      <c r="BDY46" s="117"/>
      <c r="BDZ46" s="117"/>
      <c r="BEA46" s="117"/>
      <c r="BEB46" s="117"/>
      <c r="BEC46" s="117"/>
      <c r="BED46" s="117"/>
      <c r="BEE46" s="117"/>
      <c r="BEF46" s="117"/>
      <c r="BEG46" s="117"/>
      <c r="BEH46" s="117"/>
      <c r="BEI46" s="117"/>
      <c r="BEJ46" s="117"/>
      <c r="BEK46" s="117"/>
      <c r="BEL46" s="117"/>
      <c r="BEM46" s="117"/>
      <c r="BEN46" s="117"/>
      <c r="BEO46" s="117"/>
      <c r="BEP46" s="117"/>
      <c r="BEQ46" s="117"/>
      <c r="BER46" s="117"/>
      <c r="BES46" s="117"/>
      <c r="BET46" s="117"/>
      <c r="BEU46" s="117"/>
      <c r="BEV46" s="117"/>
      <c r="BEW46" s="117"/>
      <c r="BEX46" s="117"/>
      <c r="BEY46" s="117"/>
      <c r="BEZ46" s="117"/>
      <c r="BFA46" s="117"/>
      <c r="BFB46" s="117"/>
      <c r="BFC46" s="117"/>
      <c r="BFD46" s="117"/>
      <c r="BFE46" s="117"/>
      <c r="BFF46" s="117"/>
      <c r="BFG46" s="117"/>
      <c r="BFH46" s="117"/>
      <c r="BFI46" s="117"/>
      <c r="BFJ46" s="117"/>
      <c r="BFK46" s="117"/>
      <c r="BFL46" s="117"/>
      <c r="BFM46" s="117"/>
      <c r="BFN46" s="117"/>
      <c r="BFO46" s="117"/>
      <c r="BFP46" s="117"/>
      <c r="BFQ46" s="117"/>
      <c r="BFR46" s="117"/>
      <c r="BFS46" s="117"/>
      <c r="BFT46" s="117"/>
      <c r="BFU46" s="117"/>
      <c r="BFV46" s="117"/>
      <c r="BFW46" s="117"/>
      <c r="BFX46" s="117"/>
      <c r="BFY46" s="117"/>
      <c r="BFZ46" s="117"/>
      <c r="BGA46" s="117"/>
      <c r="BGB46" s="117"/>
      <c r="BGC46" s="117"/>
      <c r="BGD46" s="117"/>
      <c r="BGE46" s="117"/>
      <c r="BGF46" s="117"/>
      <c r="BGG46" s="117"/>
      <c r="BGH46" s="117"/>
      <c r="BGI46" s="117"/>
      <c r="BGJ46" s="117"/>
      <c r="BGK46" s="117"/>
      <c r="BGL46" s="117"/>
      <c r="BGM46" s="117"/>
      <c r="BGN46" s="117"/>
      <c r="BGO46" s="117"/>
      <c r="BGP46" s="117"/>
      <c r="BGQ46" s="117"/>
      <c r="BGR46" s="117"/>
      <c r="BGS46" s="117"/>
      <c r="BGT46" s="117"/>
      <c r="BGU46" s="117"/>
      <c r="BGV46" s="117"/>
      <c r="BGW46" s="117"/>
      <c r="BGX46" s="117"/>
      <c r="BGY46" s="117"/>
      <c r="BGZ46" s="117"/>
      <c r="BHA46" s="117"/>
      <c r="BHB46" s="117"/>
      <c r="BHC46" s="117"/>
      <c r="BHD46" s="117"/>
      <c r="BHE46" s="117"/>
      <c r="BHF46" s="117"/>
      <c r="BHG46" s="117"/>
      <c r="BHH46" s="117"/>
      <c r="BHI46" s="117"/>
      <c r="BHJ46" s="117"/>
      <c r="BHK46" s="117"/>
      <c r="BHL46" s="117"/>
      <c r="BHM46" s="117"/>
      <c r="BHN46" s="117"/>
      <c r="BHO46" s="117"/>
      <c r="BHP46" s="117"/>
      <c r="BHQ46" s="117"/>
      <c r="BHR46" s="117"/>
      <c r="BHS46" s="117"/>
      <c r="BHT46" s="117"/>
      <c r="BHU46" s="117"/>
      <c r="BHV46" s="117"/>
      <c r="BHW46" s="117"/>
      <c r="BHX46" s="117"/>
      <c r="BHY46" s="117"/>
      <c r="BHZ46" s="117"/>
      <c r="BIA46" s="117"/>
      <c r="BIB46" s="117"/>
      <c r="BIC46" s="117"/>
      <c r="BID46" s="117"/>
      <c r="BIE46" s="117"/>
      <c r="BIF46" s="117"/>
      <c r="BIG46" s="117"/>
      <c r="BIH46" s="117"/>
      <c r="BII46" s="117"/>
      <c r="BIJ46" s="117"/>
      <c r="BIK46" s="117"/>
      <c r="BIL46" s="117"/>
      <c r="BIM46" s="117"/>
      <c r="BIN46" s="117"/>
      <c r="BIO46" s="117"/>
      <c r="BIP46" s="117"/>
      <c r="BIQ46" s="117"/>
      <c r="BIR46" s="117"/>
      <c r="BIS46" s="117"/>
      <c r="BIT46" s="117"/>
      <c r="BIU46" s="117"/>
      <c r="BIV46" s="117"/>
      <c r="BIW46" s="117"/>
      <c r="BIX46" s="117"/>
      <c r="BIY46" s="117"/>
      <c r="BIZ46" s="117"/>
      <c r="BJA46" s="117"/>
      <c r="BJB46" s="117"/>
      <c r="BJC46" s="117"/>
      <c r="BJD46" s="117"/>
      <c r="BJE46" s="117"/>
      <c r="BJF46" s="117"/>
      <c r="BJG46" s="117"/>
      <c r="BJH46" s="117"/>
      <c r="BJI46" s="117"/>
      <c r="BJJ46" s="117"/>
      <c r="BJK46" s="117"/>
      <c r="BJL46" s="117"/>
      <c r="BJM46" s="117"/>
      <c r="BJN46" s="117"/>
      <c r="BJO46" s="117"/>
      <c r="BJP46" s="117"/>
      <c r="BJQ46" s="117"/>
      <c r="BJR46" s="117"/>
      <c r="BJS46" s="117"/>
      <c r="BJT46" s="117"/>
      <c r="BJU46" s="117"/>
      <c r="BJV46" s="117"/>
      <c r="BJW46" s="117"/>
      <c r="BJX46" s="117"/>
      <c r="BJY46" s="117"/>
      <c r="BJZ46" s="117"/>
      <c r="BKA46" s="117"/>
      <c r="BKB46" s="117"/>
      <c r="BKC46" s="117"/>
      <c r="BKD46" s="117"/>
      <c r="BKE46" s="117"/>
      <c r="BKF46" s="117"/>
      <c r="BKG46" s="117"/>
      <c r="BKH46" s="117"/>
      <c r="BKI46" s="117"/>
      <c r="BKJ46" s="117"/>
      <c r="BKK46" s="117"/>
      <c r="BKL46" s="117"/>
      <c r="BKM46" s="117"/>
      <c r="BKN46" s="117"/>
      <c r="BKO46" s="117"/>
      <c r="BKP46" s="117"/>
      <c r="BKQ46" s="117"/>
      <c r="BKR46" s="117"/>
      <c r="BKS46" s="117"/>
      <c r="BKT46" s="117"/>
      <c r="BKU46" s="117"/>
      <c r="BKV46" s="117"/>
      <c r="BKW46" s="117"/>
      <c r="BKX46" s="117"/>
      <c r="BKY46" s="117"/>
      <c r="BKZ46" s="117"/>
      <c r="BLA46" s="117"/>
      <c r="BLB46" s="117"/>
      <c r="BLC46" s="117"/>
      <c r="BLD46" s="117"/>
      <c r="BLE46" s="117"/>
      <c r="BLF46" s="117"/>
      <c r="BLG46" s="117"/>
      <c r="BLH46" s="117"/>
      <c r="BLI46" s="117"/>
      <c r="BLJ46" s="117"/>
      <c r="BLK46" s="117"/>
      <c r="BLL46" s="117"/>
      <c r="BLM46" s="117"/>
      <c r="BLN46" s="117"/>
      <c r="BLO46" s="117"/>
      <c r="BLP46" s="117"/>
      <c r="BLQ46" s="117"/>
      <c r="BLR46" s="117"/>
      <c r="BLS46" s="117"/>
      <c r="BLT46" s="117"/>
      <c r="BLU46" s="117"/>
      <c r="BLV46" s="117"/>
      <c r="BLW46" s="117"/>
      <c r="BLX46" s="117"/>
      <c r="BLY46" s="117"/>
      <c r="BLZ46" s="117"/>
      <c r="BMA46" s="117"/>
      <c r="BMB46" s="117"/>
      <c r="BMC46" s="117"/>
      <c r="BMD46" s="117"/>
      <c r="BME46" s="117"/>
      <c r="BMF46" s="117"/>
      <c r="BMG46" s="117"/>
      <c r="BMH46" s="117"/>
      <c r="BMI46" s="117"/>
      <c r="BMJ46" s="117"/>
      <c r="BMK46" s="117"/>
      <c r="BML46" s="117"/>
      <c r="BMM46" s="117"/>
      <c r="BMN46" s="117"/>
      <c r="BMO46" s="117"/>
      <c r="BMP46" s="117"/>
      <c r="BMQ46" s="117"/>
      <c r="BMR46" s="117"/>
      <c r="BMS46" s="117"/>
      <c r="BMT46" s="117"/>
      <c r="BMU46" s="117"/>
      <c r="BMV46" s="117"/>
      <c r="BMW46" s="117"/>
      <c r="BMX46" s="117"/>
      <c r="BMY46" s="117"/>
      <c r="BMZ46" s="117"/>
      <c r="BNA46" s="117"/>
      <c r="BNB46" s="117"/>
      <c r="BNC46" s="117"/>
      <c r="BND46" s="117"/>
      <c r="BNE46" s="117"/>
      <c r="BNF46" s="117"/>
      <c r="BNG46" s="117"/>
      <c r="BNH46" s="117"/>
      <c r="BNI46" s="117"/>
      <c r="BNJ46" s="117"/>
      <c r="BNK46" s="117"/>
      <c r="BNL46" s="117"/>
      <c r="BNM46" s="117"/>
      <c r="BNN46" s="117"/>
      <c r="BNO46" s="117"/>
      <c r="BNP46" s="117"/>
      <c r="BNQ46" s="117"/>
      <c r="BNR46" s="117"/>
      <c r="BNS46" s="117"/>
      <c r="BNT46" s="117"/>
      <c r="BNU46" s="117"/>
      <c r="BNV46" s="117"/>
      <c r="BNW46" s="117"/>
      <c r="BNX46" s="117"/>
      <c r="BNY46" s="117"/>
      <c r="BNZ46" s="117"/>
      <c r="BOA46" s="117"/>
      <c r="BOB46" s="117"/>
      <c r="BOC46" s="117"/>
      <c r="BOD46" s="117"/>
      <c r="BOE46" s="117"/>
      <c r="BOF46" s="117"/>
      <c r="BOG46" s="117"/>
      <c r="BOH46" s="117"/>
      <c r="BOI46" s="117"/>
      <c r="BOJ46" s="117"/>
      <c r="BOK46" s="117"/>
      <c r="BOL46" s="117"/>
      <c r="BOM46" s="117"/>
      <c r="BON46" s="117"/>
      <c r="BOO46" s="117"/>
      <c r="BOP46" s="117"/>
      <c r="BOQ46" s="117"/>
      <c r="BOR46" s="117"/>
      <c r="BOS46" s="117"/>
      <c r="BOT46" s="117"/>
      <c r="BOU46" s="117"/>
      <c r="BOV46" s="117"/>
      <c r="BOW46" s="117"/>
      <c r="BOX46" s="117"/>
      <c r="BOY46" s="117"/>
      <c r="BOZ46" s="117"/>
      <c r="BPA46" s="117"/>
      <c r="BPB46" s="117"/>
      <c r="BPC46" s="117"/>
      <c r="BPD46" s="117"/>
      <c r="BPE46" s="117"/>
      <c r="BPF46" s="117"/>
      <c r="BPG46" s="117"/>
      <c r="BPH46" s="117"/>
      <c r="BPI46" s="117"/>
      <c r="BPJ46" s="117"/>
      <c r="BPK46" s="117"/>
      <c r="BPL46" s="117"/>
      <c r="BPM46" s="117"/>
      <c r="BPN46" s="117"/>
      <c r="BPO46" s="117"/>
      <c r="BPP46" s="117"/>
      <c r="BPQ46" s="117"/>
      <c r="BPR46" s="117"/>
      <c r="BPS46" s="117"/>
      <c r="BPT46" s="117"/>
      <c r="BPU46" s="117"/>
      <c r="BPV46" s="117"/>
      <c r="BPW46" s="117"/>
      <c r="BPX46" s="117"/>
      <c r="BPY46" s="117"/>
      <c r="BPZ46" s="117"/>
      <c r="BQA46" s="117"/>
      <c r="BQB46" s="117"/>
      <c r="BQC46" s="117"/>
      <c r="BQD46" s="117"/>
      <c r="BQE46" s="117"/>
      <c r="BQF46" s="117"/>
      <c r="BQG46" s="117"/>
      <c r="BQH46" s="117"/>
      <c r="BQI46" s="117"/>
      <c r="BQJ46" s="117"/>
      <c r="BQK46" s="117"/>
      <c r="BQL46" s="117"/>
      <c r="BQM46" s="117"/>
      <c r="BQN46" s="117"/>
      <c r="BQO46" s="117"/>
      <c r="BQP46" s="117"/>
      <c r="BQQ46" s="117"/>
      <c r="BQR46" s="117"/>
      <c r="BQS46" s="117"/>
      <c r="BQT46" s="117"/>
      <c r="BQU46" s="117"/>
      <c r="BQV46" s="117"/>
      <c r="BQW46" s="117"/>
      <c r="BQX46" s="117"/>
      <c r="BQY46" s="117"/>
      <c r="BQZ46" s="117"/>
      <c r="BRA46" s="117"/>
      <c r="BRB46" s="117"/>
      <c r="BRC46" s="117"/>
      <c r="BRD46" s="117"/>
      <c r="BRE46" s="117"/>
      <c r="BRF46" s="117"/>
      <c r="BRG46" s="117"/>
      <c r="BRH46" s="117"/>
      <c r="BRI46" s="117"/>
      <c r="BRJ46" s="117"/>
      <c r="BRK46" s="117"/>
      <c r="BRL46" s="117"/>
      <c r="BRM46" s="117"/>
      <c r="BRN46" s="117"/>
      <c r="BRO46" s="117"/>
      <c r="BRP46" s="117"/>
      <c r="BRQ46" s="117"/>
      <c r="BRR46" s="117"/>
      <c r="BRS46" s="117"/>
      <c r="BRT46" s="117"/>
      <c r="BRU46" s="117"/>
      <c r="BRV46" s="117"/>
      <c r="BRW46" s="117"/>
      <c r="BRX46" s="117"/>
      <c r="BRY46" s="117"/>
      <c r="BRZ46" s="117"/>
      <c r="BSA46" s="117"/>
      <c r="BSB46" s="117"/>
      <c r="BSC46" s="117"/>
      <c r="BSD46" s="117"/>
      <c r="BSE46" s="117"/>
      <c r="BSF46" s="117"/>
      <c r="BSG46" s="117"/>
      <c r="BSH46" s="117"/>
      <c r="BSI46" s="117"/>
      <c r="BSJ46" s="117"/>
      <c r="BSK46" s="117"/>
      <c r="BSL46" s="117"/>
      <c r="BSM46" s="117"/>
      <c r="BSN46" s="117"/>
      <c r="BSO46" s="117"/>
      <c r="BSP46" s="117"/>
      <c r="BSQ46" s="117"/>
      <c r="BSR46" s="117"/>
      <c r="BSS46" s="117"/>
      <c r="BST46" s="117"/>
      <c r="BSU46" s="117"/>
      <c r="BSV46" s="117"/>
      <c r="BSW46" s="117"/>
      <c r="BSX46" s="117"/>
      <c r="BSY46" s="117"/>
      <c r="BSZ46" s="117"/>
      <c r="BTA46" s="117"/>
      <c r="BTB46" s="117"/>
      <c r="BTC46" s="117"/>
      <c r="BTD46" s="117"/>
      <c r="BTE46" s="117"/>
      <c r="BTF46" s="117"/>
      <c r="BTG46" s="117"/>
      <c r="BTH46" s="117"/>
      <c r="BTI46" s="117"/>
      <c r="BTJ46" s="117"/>
      <c r="BTK46" s="117"/>
      <c r="BTL46" s="117"/>
      <c r="BTM46" s="117"/>
      <c r="BTN46" s="117"/>
      <c r="BTO46" s="117"/>
      <c r="BTP46" s="117"/>
      <c r="BTQ46" s="117"/>
      <c r="BTR46" s="117"/>
      <c r="BTS46" s="117"/>
      <c r="BTT46" s="117"/>
      <c r="BTU46" s="117"/>
      <c r="BTV46" s="117"/>
      <c r="BTW46" s="117"/>
      <c r="BTX46" s="117"/>
      <c r="BTY46" s="117"/>
      <c r="BTZ46" s="117"/>
      <c r="BUA46" s="117"/>
      <c r="BUB46" s="117"/>
      <c r="BUC46" s="117"/>
      <c r="BUD46" s="117"/>
      <c r="BUE46" s="117"/>
      <c r="BUF46" s="117"/>
      <c r="BUG46" s="117"/>
      <c r="BUH46" s="117"/>
      <c r="BUI46" s="117"/>
      <c r="BUJ46" s="117"/>
      <c r="BUK46" s="117"/>
      <c r="BUL46" s="117"/>
      <c r="BUM46" s="117"/>
      <c r="BUN46" s="117"/>
      <c r="BUO46" s="117"/>
      <c r="BUP46" s="117"/>
      <c r="BUQ46" s="117"/>
      <c r="BUR46" s="117"/>
      <c r="BUS46" s="117"/>
      <c r="BUT46" s="117"/>
      <c r="BUU46" s="117"/>
      <c r="BUV46" s="117"/>
      <c r="BUW46" s="117"/>
      <c r="BUX46" s="117"/>
      <c r="BUY46" s="117"/>
      <c r="BUZ46" s="117"/>
      <c r="BVA46" s="117"/>
      <c r="BVB46" s="117"/>
      <c r="BVC46" s="117"/>
      <c r="BVD46" s="117"/>
      <c r="BVE46" s="117"/>
      <c r="BVF46" s="117"/>
      <c r="BVG46" s="117"/>
      <c r="BVH46" s="117"/>
      <c r="BVI46" s="117"/>
      <c r="BVJ46" s="117"/>
      <c r="BVK46" s="117"/>
      <c r="BVL46" s="117"/>
      <c r="BVM46" s="117"/>
      <c r="BVN46" s="117"/>
      <c r="BVO46" s="117"/>
      <c r="BVP46" s="117"/>
      <c r="BVQ46" s="117"/>
      <c r="BVR46" s="117"/>
      <c r="BVS46" s="117"/>
      <c r="BVT46" s="117"/>
      <c r="BVU46" s="117"/>
      <c r="BVV46" s="117"/>
      <c r="BVW46" s="117"/>
      <c r="BVX46" s="117"/>
      <c r="BVY46" s="117"/>
      <c r="BVZ46" s="117"/>
      <c r="BWA46" s="117"/>
      <c r="BWB46" s="117"/>
      <c r="BWC46" s="117"/>
      <c r="BWD46" s="117"/>
      <c r="BWE46" s="117"/>
      <c r="BWF46" s="117"/>
      <c r="BWG46" s="117"/>
      <c r="BWH46" s="117"/>
      <c r="BWI46" s="117"/>
      <c r="BWJ46" s="117"/>
      <c r="BWK46" s="117"/>
      <c r="BWL46" s="117"/>
      <c r="BWM46" s="117"/>
      <c r="BWN46" s="117"/>
      <c r="BWO46" s="117"/>
      <c r="BWP46" s="117"/>
      <c r="BWQ46" s="117"/>
      <c r="BWR46" s="117"/>
      <c r="BWS46" s="117"/>
      <c r="BWT46" s="117"/>
      <c r="BWU46" s="117"/>
      <c r="BWV46" s="117"/>
      <c r="BWW46" s="117"/>
      <c r="BWX46" s="117"/>
      <c r="BWY46" s="117"/>
      <c r="BWZ46" s="117"/>
      <c r="BXA46" s="117"/>
      <c r="BXB46" s="117"/>
      <c r="BXC46" s="117"/>
      <c r="BXD46" s="117"/>
      <c r="BXE46" s="117"/>
      <c r="BXF46" s="117"/>
      <c r="BXG46" s="117"/>
      <c r="BXH46" s="117"/>
      <c r="BXI46" s="117"/>
      <c r="BXJ46" s="117"/>
      <c r="BXK46" s="117"/>
      <c r="BXL46" s="117"/>
      <c r="BXM46" s="117"/>
      <c r="BXN46" s="117"/>
      <c r="BXO46" s="117"/>
      <c r="BXP46" s="117"/>
      <c r="BXQ46" s="117"/>
      <c r="BXR46" s="117"/>
      <c r="BXS46" s="117"/>
      <c r="BXT46" s="117"/>
      <c r="BXU46" s="117"/>
      <c r="BXV46" s="117"/>
      <c r="BXW46" s="117"/>
      <c r="BXX46" s="117"/>
      <c r="BXY46" s="117"/>
      <c r="BXZ46" s="117"/>
      <c r="BYA46" s="117"/>
      <c r="BYB46" s="117"/>
      <c r="BYC46" s="117"/>
      <c r="BYD46" s="117"/>
      <c r="BYE46" s="117"/>
      <c r="BYF46" s="117"/>
      <c r="BYG46" s="117"/>
      <c r="BYH46" s="117"/>
      <c r="BYI46" s="117"/>
      <c r="BYJ46" s="117"/>
      <c r="BYK46" s="117"/>
      <c r="BYL46" s="117"/>
      <c r="BYM46" s="117"/>
      <c r="BYN46" s="117"/>
      <c r="BYO46" s="117"/>
      <c r="BYP46" s="117"/>
      <c r="BYQ46" s="117"/>
      <c r="BYR46" s="117"/>
      <c r="BYS46" s="117"/>
      <c r="BYT46" s="117"/>
      <c r="BYU46" s="117"/>
      <c r="BYV46" s="117"/>
      <c r="BYW46" s="117"/>
      <c r="BYX46" s="117"/>
      <c r="BYY46" s="117"/>
      <c r="BYZ46" s="117"/>
      <c r="BZA46" s="117"/>
      <c r="BZB46" s="117"/>
      <c r="BZC46" s="117"/>
      <c r="BZD46" s="117"/>
      <c r="BZE46" s="117"/>
      <c r="BZF46" s="117"/>
      <c r="BZG46" s="117"/>
      <c r="BZH46" s="117"/>
      <c r="BZI46" s="117"/>
      <c r="BZJ46" s="117"/>
      <c r="BZK46" s="117"/>
      <c r="BZL46" s="117"/>
      <c r="BZM46" s="117"/>
      <c r="BZN46" s="117"/>
      <c r="BZO46" s="117"/>
      <c r="BZP46" s="117"/>
      <c r="BZQ46" s="117"/>
      <c r="BZR46" s="117"/>
      <c r="BZS46" s="117"/>
      <c r="BZT46" s="117"/>
      <c r="BZU46" s="117"/>
      <c r="BZV46" s="117"/>
      <c r="BZW46" s="117"/>
      <c r="BZX46" s="117"/>
      <c r="BZY46" s="117"/>
      <c r="BZZ46" s="117"/>
      <c r="CAA46" s="117"/>
      <c r="CAB46" s="117"/>
      <c r="CAC46" s="117"/>
      <c r="CAD46" s="117"/>
      <c r="CAE46" s="117"/>
      <c r="CAF46" s="117"/>
      <c r="CAG46" s="117"/>
      <c r="CAH46" s="117"/>
      <c r="CAI46" s="117"/>
      <c r="CAJ46" s="117"/>
      <c r="CAK46" s="117"/>
      <c r="CAL46" s="117"/>
      <c r="CAM46" s="117"/>
      <c r="CAN46" s="117"/>
      <c r="CAO46" s="117"/>
      <c r="CAP46" s="117"/>
      <c r="CAQ46" s="117"/>
      <c r="CAR46" s="117"/>
      <c r="CAS46" s="117"/>
      <c r="CAT46" s="117"/>
      <c r="CAU46" s="117"/>
      <c r="CAV46" s="117"/>
      <c r="CAW46" s="117"/>
      <c r="CAX46" s="117"/>
      <c r="CAY46" s="117"/>
      <c r="CAZ46" s="117"/>
      <c r="CBA46" s="117"/>
      <c r="CBB46" s="117"/>
      <c r="CBC46" s="117"/>
      <c r="CBD46" s="117"/>
      <c r="CBE46" s="117"/>
      <c r="CBF46" s="117"/>
      <c r="CBG46" s="117"/>
      <c r="CBH46" s="117"/>
      <c r="CBI46" s="117"/>
      <c r="CBJ46" s="117"/>
      <c r="CBK46" s="117"/>
      <c r="CBL46" s="117"/>
      <c r="CBM46" s="117"/>
      <c r="CBN46" s="117"/>
      <c r="CBO46" s="117"/>
      <c r="CBP46" s="117"/>
      <c r="CBQ46" s="117"/>
      <c r="CBR46" s="117"/>
      <c r="CBS46" s="117"/>
      <c r="CBT46" s="117"/>
      <c r="CBU46" s="117"/>
      <c r="CBV46" s="117"/>
      <c r="CBW46" s="117"/>
      <c r="CBX46" s="117"/>
      <c r="CBY46" s="117"/>
      <c r="CBZ46" s="117"/>
      <c r="CCA46" s="117"/>
      <c r="CCB46" s="117"/>
      <c r="CCC46" s="117"/>
      <c r="CCD46" s="117"/>
      <c r="CCE46" s="117"/>
      <c r="CCF46" s="117"/>
      <c r="CCG46" s="117"/>
      <c r="CCH46" s="117"/>
      <c r="CCI46" s="117"/>
      <c r="CCJ46" s="117"/>
      <c r="CCK46" s="117"/>
      <c r="CCL46" s="117"/>
      <c r="CCM46" s="117"/>
      <c r="CCN46" s="117"/>
      <c r="CCO46" s="117"/>
      <c r="CCP46" s="117"/>
      <c r="CCQ46" s="117"/>
      <c r="CCR46" s="117"/>
      <c r="CCS46" s="117"/>
      <c r="CCT46" s="117"/>
      <c r="CCU46" s="117"/>
      <c r="CCV46" s="117"/>
      <c r="CCW46" s="117"/>
      <c r="CCX46" s="117"/>
      <c r="CCY46" s="117"/>
      <c r="CCZ46" s="117"/>
      <c r="CDA46" s="117"/>
      <c r="CDB46" s="117"/>
      <c r="CDC46" s="117"/>
      <c r="CDD46" s="117"/>
      <c r="CDE46" s="117"/>
      <c r="CDF46" s="117"/>
      <c r="CDG46" s="117"/>
      <c r="CDH46" s="117"/>
      <c r="CDI46" s="117"/>
      <c r="CDJ46" s="117"/>
      <c r="CDK46" s="117"/>
      <c r="CDL46" s="117"/>
      <c r="CDM46" s="117"/>
      <c r="CDN46" s="117"/>
      <c r="CDO46" s="117"/>
      <c r="CDP46" s="117"/>
      <c r="CDQ46" s="117"/>
      <c r="CDR46" s="117"/>
      <c r="CDS46" s="117"/>
      <c r="CDT46" s="117"/>
      <c r="CDU46" s="117"/>
      <c r="CDV46" s="117"/>
      <c r="CDW46" s="117"/>
      <c r="CDX46" s="117"/>
      <c r="CDY46" s="117"/>
      <c r="CDZ46" s="117"/>
      <c r="CEA46" s="117"/>
      <c r="CEB46" s="117"/>
      <c r="CEC46" s="117"/>
      <c r="CED46" s="117"/>
      <c r="CEE46" s="117"/>
      <c r="CEF46" s="117"/>
      <c r="CEG46" s="117"/>
      <c r="CEH46" s="117"/>
      <c r="CEI46" s="117"/>
      <c r="CEJ46" s="117"/>
      <c r="CEK46" s="117"/>
      <c r="CEL46" s="117"/>
      <c r="CEM46" s="117"/>
      <c r="CEN46" s="117"/>
      <c r="CEO46" s="117"/>
      <c r="CEP46" s="117"/>
      <c r="CEQ46" s="117"/>
      <c r="CER46" s="117"/>
      <c r="CES46" s="117"/>
      <c r="CET46" s="117"/>
      <c r="CEU46" s="117"/>
      <c r="CEV46" s="117"/>
      <c r="CEW46" s="117"/>
      <c r="CEX46" s="117"/>
      <c r="CEY46" s="117"/>
      <c r="CEZ46" s="117"/>
      <c r="CFA46" s="117"/>
      <c r="CFB46" s="117"/>
      <c r="CFC46" s="117"/>
      <c r="CFD46" s="117"/>
      <c r="CFE46" s="117"/>
      <c r="CFF46" s="117"/>
      <c r="CFG46" s="117"/>
      <c r="CFH46" s="117"/>
      <c r="CFI46" s="117"/>
      <c r="CFJ46" s="117"/>
      <c r="CFK46" s="117"/>
      <c r="CFL46" s="117"/>
      <c r="CFM46" s="117"/>
      <c r="CFN46" s="117"/>
      <c r="CFO46" s="117"/>
      <c r="CFP46" s="117"/>
      <c r="CFQ46" s="117"/>
      <c r="CFR46" s="117"/>
      <c r="CFS46" s="117"/>
      <c r="CFT46" s="117"/>
      <c r="CFU46" s="117"/>
      <c r="CFV46" s="117"/>
      <c r="CFW46" s="117"/>
      <c r="CFX46" s="117"/>
      <c r="CFY46" s="117"/>
      <c r="CFZ46" s="117"/>
      <c r="CGA46" s="117"/>
      <c r="CGB46" s="117"/>
      <c r="CGC46" s="117"/>
      <c r="CGD46" s="117"/>
      <c r="CGE46" s="117"/>
      <c r="CGF46" s="117"/>
      <c r="CGG46" s="117"/>
      <c r="CGH46" s="117"/>
      <c r="CGI46" s="117"/>
      <c r="CGJ46" s="117"/>
      <c r="CGK46" s="117"/>
      <c r="CGL46" s="117"/>
      <c r="CGM46" s="117"/>
      <c r="CGN46" s="117"/>
      <c r="CGO46" s="117"/>
      <c r="CGP46" s="117"/>
      <c r="CGQ46" s="117"/>
      <c r="CGR46" s="117"/>
      <c r="CGS46" s="117"/>
      <c r="CGT46" s="117"/>
      <c r="CGU46" s="117"/>
      <c r="CGV46" s="117"/>
      <c r="CGW46" s="117"/>
      <c r="CGX46" s="117"/>
      <c r="CGY46" s="117"/>
      <c r="CGZ46" s="117"/>
      <c r="CHA46" s="117"/>
      <c r="CHB46" s="117"/>
      <c r="CHC46" s="117"/>
      <c r="CHD46" s="117"/>
      <c r="CHE46" s="117"/>
      <c r="CHF46" s="117"/>
      <c r="CHG46" s="117"/>
      <c r="CHH46" s="117"/>
      <c r="CHI46" s="117"/>
      <c r="CHJ46" s="117"/>
      <c r="CHK46" s="117"/>
      <c r="CHL46" s="117"/>
      <c r="CHM46" s="117"/>
      <c r="CHN46" s="117"/>
      <c r="CHO46" s="117"/>
      <c r="CHP46" s="117"/>
      <c r="CHQ46" s="117"/>
      <c r="CHR46" s="117"/>
      <c r="CHS46" s="117"/>
      <c r="CHT46" s="117"/>
      <c r="CHU46" s="117"/>
      <c r="CHV46" s="117"/>
      <c r="CHW46" s="117"/>
      <c r="CHX46" s="117"/>
      <c r="CHY46" s="117"/>
      <c r="CHZ46" s="117"/>
      <c r="CIA46" s="117"/>
      <c r="CIB46" s="117"/>
      <c r="CIC46" s="117"/>
      <c r="CID46" s="117"/>
      <c r="CIE46" s="117"/>
      <c r="CIF46" s="117"/>
      <c r="CIG46" s="117"/>
      <c r="CIH46" s="117"/>
      <c r="CII46" s="117"/>
      <c r="CIJ46" s="117"/>
      <c r="CIK46" s="117"/>
      <c r="CIL46" s="117"/>
      <c r="CIM46" s="117"/>
      <c r="CIN46" s="117"/>
      <c r="CIO46" s="117"/>
      <c r="CIP46" s="117"/>
      <c r="CIQ46" s="117"/>
      <c r="CIR46" s="117"/>
      <c r="CIS46" s="117"/>
      <c r="CIT46" s="117"/>
      <c r="CIU46" s="117"/>
      <c r="CIV46" s="117"/>
      <c r="CIW46" s="117"/>
      <c r="CIX46" s="117"/>
      <c r="CIY46" s="117"/>
      <c r="CIZ46" s="117"/>
      <c r="CJA46" s="117"/>
      <c r="CJB46" s="117"/>
      <c r="CJC46" s="117"/>
      <c r="CJD46" s="117"/>
      <c r="CJE46" s="117"/>
      <c r="CJF46" s="117"/>
      <c r="CJG46" s="117"/>
      <c r="CJH46" s="117"/>
      <c r="CJI46" s="117"/>
      <c r="CJJ46" s="117"/>
      <c r="CJK46" s="117"/>
      <c r="CJL46" s="117"/>
      <c r="CJM46" s="117"/>
      <c r="CJN46" s="117"/>
      <c r="CJO46" s="117"/>
      <c r="CJP46" s="117"/>
      <c r="CJQ46" s="117"/>
      <c r="CJR46" s="117"/>
      <c r="CJS46" s="117"/>
      <c r="CJT46" s="117"/>
      <c r="CJU46" s="117"/>
      <c r="CJV46" s="117"/>
      <c r="CJW46" s="117"/>
      <c r="CJX46" s="117"/>
      <c r="CJY46" s="117"/>
      <c r="CJZ46" s="117"/>
      <c r="CKA46" s="117"/>
      <c r="CKB46" s="117"/>
      <c r="CKC46" s="117"/>
      <c r="CKD46" s="117"/>
      <c r="CKE46" s="117"/>
      <c r="CKF46" s="117"/>
      <c r="CKG46" s="117"/>
      <c r="CKH46" s="117"/>
      <c r="CKI46" s="117"/>
      <c r="CKJ46" s="117"/>
      <c r="CKK46" s="117"/>
      <c r="CKL46" s="117"/>
      <c r="CKM46" s="117"/>
      <c r="CKN46" s="117"/>
      <c r="CKO46" s="117"/>
      <c r="CKP46" s="117"/>
      <c r="CKQ46" s="117"/>
      <c r="CKR46" s="117"/>
      <c r="CKS46" s="117"/>
      <c r="CKT46" s="117"/>
      <c r="CKU46" s="117"/>
      <c r="CKV46" s="117"/>
      <c r="CKW46" s="117"/>
      <c r="CKX46" s="117"/>
      <c r="CKY46" s="117"/>
      <c r="CKZ46" s="117"/>
      <c r="CLA46" s="117"/>
      <c r="CLB46" s="117"/>
      <c r="CLC46" s="117"/>
      <c r="CLD46" s="117"/>
      <c r="CLE46" s="117"/>
      <c r="CLF46" s="117"/>
      <c r="CLG46" s="117"/>
      <c r="CLH46" s="117"/>
      <c r="CLI46" s="117"/>
      <c r="CLJ46" s="117"/>
      <c r="CLK46" s="117"/>
      <c r="CLL46" s="117"/>
      <c r="CLM46" s="117"/>
      <c r="CLN46" s="117"/>
      <c r="CLO46" s="117"/>
      <c r="CLP46" s="117"/>
      <c r="CLQ46" s="117"/>
      <c r="CLR46" s="117"/>
      <c r="CLS46" s="117"/>
      <c r="CLT46" s="117"/>
      <c r="CLU46" s="117"/>
      <c r="CLV46" s="117"/>
      <c r="CLW46" s="117"/>
      <c r="CLX46" s="117"/>
      <c r="CLY46" s="117"/>
      <c r="CLZ46" s="117"/>
      <c r="CMA46" s="117"/>
      <c r="CMB46" s="117"/>
      <c r="CMC46" s="117"/>
      <c r="CMD46" s="117"/>
      <c r="CME46" s="117"/>
      <c r="CMF46" s="117"/>
      <c r="CMG46" s="117"/>
      <c r="CMH46" s="117"/>
      <c r="CMI46" s="117"/>
      <c r="CMJ46" s="117"/>
      <c r="CMK46" s="117"/>
      <c r="CML46" s="117"/>
      <c r="CMM46" s="117"/>
      <c r="CMN46" s="117"/>
      <c r="CMO46" s="117"/>
      <c r="CMP46" s="117"/>
      <c r="CMQ46" s="117"/>
      <c r="CMR46" s="117"/>
      <c r="CMS46" s="117"/>
      <c r="CMT46" s="117"/>
      <c r="CMU46" s="117"/>
      <c r="CMV46" s="117"/>
      <c r="CMW46" s="117"/>
      <c r="CMX46" s="117"/>
      <c r="CMY46" s="117"/>
      <c r="CMZ46" s="117"/>
      <c r="CNA46" s="117"/>
      <c r="CNB46" s="117"/>
      <c r="CNC46" s="117"/>
      <c r="CND46" s="117"/>
      <c r="CNE46" s="117"/>
      <c r="CNF46" s="117"/>
      <c r="CNG46" s="117"/>
      <c r="CNH46" s="117"/>
      <c r="CNI46" s="117"/>
      <c r="CNJ46" s="117"/>
      <c r="CNK46" s="117"/>
      <c r="CNL46" s="117"/>
      <c r="CNM46" s="117"/>
      <c r="CNN46" s="117"/>
      <c r="CNO46" s="117"/>
      <c r="CNP46" s="117"/>
      <c r="CNQ46" s="117"/>
      <c r="CNR46" s="117"/>
      <c r="CNS46" s="117"/>
      <c r="CNT46" s="117"/>
      <c r="CNU46" s="117"/>
      <c r="CNV46" s="117"/>
      <c r="CNW46" s="117"/>
      <c r="CNX46" s="117"/>
      <c r="CNY46" s="117"/>
      <c r="CNZ46" s="117"/>
      <c r="COA46" s="117"/>
      <c r="COB46" s="117"/>
      <c r="COC46" s="117"/>
      <c r="COD46" s="117"/>
      <c r="COE46" s="117"/>
      <c r="COF46" s="117"/>
      <c r="COG46" s="117"/>
      <c r="COH46" s="117"/>
      <c r="COI46" s="117"/>
      <c r="COJ46" s="117"/>
      <c r="COK46" s="117"/>
      <c r="COL46" s="117"/>
      <c r="COM46" s="117"/>
      <c r="CON46" s="117"/>
      <c r="COO46" s="117"/>
      <c r="COP46" s="117"/>
      <c r="COQ46" s="117"/>
      <c r="COR46" s="117"/>
      <c r="COS46" s="117"/>
      <c r="COT46" s="117"/>
      <c r="COU46" s="117"/>
      <c r="COV46" s="117"/>
      <c r="COW46" s="117"/>
      <c r="COX46" s="117"/>
      <c r="COY46" s="117"/>
      <c r="COZ46" s="117"/>
      <c r="CPA46" s="117"/>
      <c r="CPB46" s="117"/>
      <c r="CPC46" s="117"/>
      <c r="CPD46" s="117"/>
      <c r="CPE46" s="117"/>
      <c r="CPF46" s="117"/>
      <c r="CPG46" s="117"/>
      <c r="CPH46" s="117"/>
      <c r="CPI46" s="117"/>
      <c r="CPJ46" s="117"/>
      <c r="CPK46" s="117"/>
      <c r="CPL46" s="117"/>
      <c r="CPM46" s="117"/>
      <c r="CPN46" s="117"/>
      <c r="CPO46" s="117"/>
      <c r="CPP46" s="117"/>
      <c r="CPQ46" s="117"/>
      <c r="CPR46" s="117"/>
      <c r="CPS46" s="117"/>
      <c r="CPT46" s="117"/>
      <c r="CPU46" s="117"/>
      <c r="CPV46" s="117"/>
      <c r="CPW46" s="117"/>
      <c r="CPX46" s="117"/>
      <c r="CPY46" s="117"/>
      <c r="CPZ46" s="117"/>
      <c r="CQA46" s="117"/>
      <c r="CQB46" s="117"/>
      <c r="CQC46" s="117"/>
      <c r="CQD46" s="117"/>
      <c r="CQE46" s="117"/>
      <c r="CQF46" s="117"/>
      <c r="CQG46" s="117"/>
      <c r="CQH46" s="117"/>
      <c r="CQI46" s="117"/>
      <c r="CQJ46" s="117"/>
      <c r="CQK46" s="117"/>
      <c r="CQL46" s="117"/>
      <c r="CQM46" s="117"/>
      <c r="CQN46" s="117"/>
      <c r="CQO46" s="117"/>
      <c r="CQP46" s="117"/>
      <c r="CQQ46" s="117"/>
      <c r="CQR46" s="117"/>
      <c r="CQS46" s="117"/>
      <c r="CQT46" s="117"/>
      <c r="CQU46" s="117"/>
      <c r="CQV46" s="117"/>
      <c r="CQW46" s="117"/>
      <c r="CQX46" s="117"/>
      <c r="CQY46" s="117"/>
      <c r="CQZ46" s="117"/>
      <c r="CRA46" s="117"/>
      <c r="CRB46" s="117"/>
      <c r="CRC46" s="117"/>
      <c r="CRD46" s="117"/>
      <c r="CRE46" s="117"/>
      <c r="CRF46" s="117"/>
      <c r="CRG46" s="117"/>
      <c r="CRH46" s="117"/>
      <c r="CRI46" s="117"/>
      <c r="CRJ46" s="117"/>
      <c r="CRK46" s="117"/>
      <c r="CRL46" s="117"/>
      <c r="CRM46" s="117"/>
      <c r="CRN46" s="117"/>
      <c r="CRO46" s="117"/>
      <c r="CRP46" s="117"/>
      <c r="CRQ46" s="117"/>
      <c r="CRR46" s="117"/>
      <c r="CRS46" s="117"/>
      <c r="CRT46" s="117"/>
      <c r="CRU46" s="117"/>
      <c r="CRV46" s="117"/>
      <c r="CRW46" s="117"/>
      <c r="CRX46" s="117"/>
      <c r="CRY46" s="117"/>
      <c r="CRZ46" s="117"/>
      <c r="CSA46" s="117"/>
      <c r="CSB46" s="117"/>
      <c r="CSC46" s="117"/>
      <c r="CSD46" s="117"/>
      <c r="CSE46" s="117"/>
      <c r="CSF46" s="117"/>
      <c r="CSG46" s="117"/>
      <c r="CSH46" s="117"/>
      <c r="CSI46" s="117"/>
      <c r="CSJ46" s="117"/>
      <c r="CSK46" s="117"/>
      <c r="CSL46" s="117"/>
      <c r="CSM46" s="117"/>
      <c r="CSN46" s="117"/>
      <c r="CSO46" s="117"/>
      <c r="CSP46" s="117"/>
      <c r="CSQ46" s="117"/>
      <c r="CSR46" s="117"/>
      <c r="CSS46" s="117"/>
      <c r="CST46" s="117"/>
      <c r="CSU46" s="117"/>
      <c r="CSV46" s="117"/>
      <c r="CSW46" s="117"/>
      <c r="CSX46" s="117"/>
      <c r="CSY46" s="117"/>
      <c r="CSZ46" s="117"/>
      <c r="CTA46" s="117"/>
      <c r="CTB46" s="117"/>
      <c r="CTC46" s="117"/>
      <c r="CTD46" s="117"/>
      <c r="CTE46" s="117"/>
      <c r="CTF46" s="117"/>
      <c r="CTG46" s="117"/>
      <c r="CTH46" s="117"/>
      <c r="CTI46" s="117"/>
      <c r="CTJ46" s="117"/>
      <c r="CTK46" s="117"/>
      <c r="CTL46" s="117"/>
      <c r="CTM46" s="117"/>
      <c r="CTN46" s="117"/>
      <c r="CTO46" s="117"/>
      <c r="CTP46" s="117"/>
      <c r="CTQ46" s="117"/>
      <c r="CTR46" s="117"/>
      <c r="CTS46" s="117"/>
      <c r="CTT46" s="117"/>
      <c r="CTU46" s="117"/>
      <c r="CTV46" s="117"/>
      <c r="CTW46" s="117"/>
      <c r="CTX46" s="117"/>
      <c r="CTY46" s="117"/>
      <c r="CTZ46" s="117"/>
      <c r="CUA46" s="117"/>
      <c r="CUB46" s="117"/>
      <c r="CUC46" s="117"/>
      <c r="CUD46" s="117"/>
      <c r="CUE46" s="117"/>
      <c r="CUF46" s="117"/>
      <c r="CUG46" s="117"/>
      <c r="CUH46" s="117"/>
      <c r="CUI46" s="117"/>
      <c r="CUJ46" s="117"/>
      <c r="CUK46" s="117"/>
      <c r="CUL46" s="117"/>
      <c r="CUM46" s="117"/>
      <c r="CUN46" s="117"/>
      <c r="CUO46" s="117"/>
      <c r="CUP46" s="117"/>
      <c r="CUQ46" s="117"/>
      <c r="CUR46" s="117"/>
      <c r="CUS46" s="117"/>
      <c r="CUT46" s="117"/>
      <c r="CUU46" s="117"/>
      <c r="CUV46" s="117"/>
      <c r="CUW46" s="117"/>
      <c r="CUX46" s="117"/>
      <c r="CUY46" s="117"/>
      <c r="CUZ46" s="117"/>
      <c r="CVA46" s="117"/>
      <c r="CVB46" s="117"/>
      <c r="CVC46" s="117"/>
      <c r="CVD46" s="117"/>
      <c r="CVE46" s="117"/>
      <c r="CVF46" s="117"/>
      <c r="CVG46" s="117"/>
      <c r="CVH46" s="117"/>
      <c r="CVI46" s="117"/>
      <c r="CVJ46" s="117"/>
      <c r="CVK46" s="117"/>
      <c r="CVL46" s="117"/>
      <c r="CVM46" s="117"/>
      <c r="CVN46" s="117"/>
      <c r="CVO46" s="117"/>
      <c r="CVP46" s="117"/>
      <c r="CVQ46" s="117"/>
      <c r="CVR46" s="117"/>
      <c r="CVS46" s="117"/>
      <c r="CVT46" s="117"/>
      <c r="CVU46" s="117"/>
      <c r="CVV46" s="117"/>
      <c r="CVW46" s="117"/>
      <c r="CVX46" s="117"/>
      <c r="CVY46" s="117"/>
      <c r="CVZ46" s="117"/>
      <c r="CWA46" s="117"/>
      <c r="CWB46" s="117"/>
      <c r="CWC46" s="117"/>
      <c r="CWD46" s="117"/>
      <c r="CWE46" s="117"/>
      <c r="CWF46" s="117"/>
      <c r="CWG46" s="117"/>
      <c r="CWH46" s="117"/>
      <c r="CWI46" s="117"/>
      <c r="CWJ46" s="117"/>
      <c r="CWK46" s="117"/>
      <c r="CWL46" s="117"/>
      <c r="CWM46" s="117"/>
      <c r="CWN46" s="117"/>
      <c r="CWO46" s="117"/>
      <c r="CWP46" s="117"/>
      <c r="CWQ46" s="117"/>
      <c r="CWR46" s="117"/>
      <c r="CWS46" s="117"/>
      <c r="CWT46" s="117"/>
      <c r="CWU46" s="117"/>
      <c r="CWV46" s="117"/>
      <c r="CWW46" s="117"/>
      <c r="CWX46" s="117"/>
      <c r="CWY46" s="117"/>
      <c r="CWZ46" s="117"/>
      <c r="CXA46" s="117"/>
      <c r="CXB46" s="117"/>
      <c r="CXC46" s="117"/>
      <c r="CXD46" s="117"/>
      <c r="CXE46" s="117"/>
      <c r="CXF46" s="117"/>
      <c r="CXG46" s="117"/>
      <c r="CXH46" s="117"/>
      <c r="CXI46" s="117"/>
      <c r="CXJ46" s="117"/>
      <c r="CXK46" s="117"/>
      <c r="CXL46" s="117"/>
      <c r="CXM46" s="117"/>
      <c r="CXN46" s="117"/>
      <c r="CXO46" s="117"/>
      <c r="CXP46" s="117"/>
      <c r="CXQ46" s="117"/>
      <c r="CXR46" s="117"/>
      <c r="CXS46" s="117"/>
      <c r="CXT46" s="117"/>
      <c r="CXU46" s="117"/>
      <c r="CXV46" s="117"/>
      <c r="CXW46" s="117"/>
      <c r="CXX46" s="117"/>
      <c r="CXY46" s="117"/>
      <c r="CXZ46" s="117"/>
      <c r="CYA46" s="117"/>
      <c r="CYB46" s="117"/>
      <c r="CYC46" s="117"/>
      <c r="CYD46" s="117"/>
      <c r="CYE46" s="117"/>
      <c r="CYF46" s="117"/>
      <c r="CYG46" s="117"/>
      <c r="CYH46" s="117"/>
      <c r="CYI46" s="117"/>
      <c r="CYJ46" s="117"/>
      <c r="CYK46" s="117"/>
      <c r="CYL46" s="117"/>
      <c r="CYM46" s="117"/>
      <c r="CYN46" s="117"/>
      <c r="CYO46" s="117"/>
      <c r="CYP46" s="117"/>
      <c r="CYQ46" s="117"/>
      <c r="CYR46" s="117"/>
      <c r="CYS46" s="117"/>
      <c r="CYT46" s="117"/>
      <c r="CYU46" s="117"/>
      <c r="CYV46" s="117"/>
      <c r="CYW46" s="117"/>
      <c r="CYX46" s="117"/>
      <c r="CYY46" s="117"/>
      <c r="CYZ46" s="117"/>
      <c r="CZA46" s="117"/>
      <c r="CZB46" s="117"/>
      <c r="CZC46" s="117"/>
      <c r="CZD46" s="117"/>
      <c r="CZE46" s="117"/>
      <c r="CZF46" s="117"/>
      <c r="CZG46" s="117"/>
      <c r="CZH46" s="117"/>
      <c r="CZI46" s="117"/>
      <c r="CZJ46" s="117"/>
      <c r="CZK46" s="117"/>
      <c r="CZL46" s="117"/>
      <c r="CZM46" s="117"/>
      <c r="CZN46" s="117"/>
      <c r="CZO46" s="117"/>
      <c r="CZP46" s="117"/>
      <c r="CZQ46" s="117"/>
      <c r="CZR46" s="117"/>
      <c r="CZS46" s="117"/>
      <c r="CZT46" s="117"/>
      <c r="CZU46" s="117"/>
      <c r="CZV46" s="117"/>
      <c r="CZW46" s="117"/>
      <c r="CZX46" s="117"/>
      <c r="CZY46" s="117"/>
      <c r="CZZ46" s="117"/>
      <c r="DAA46" s="117"/>
      <c r="DAB46" s="117"/>
      <c r="DAC46" s="117"/>
      <c r="DAD46" s="117"/>
      <c r="DAE46" s="117"/>
      <c r="DAF46" s="117"/>
      <c r="DAG46" s="117"/>
      <c r="DAH46" s="117"/>
      <c r="DAI46" s="117"/>
      <c r="DAJ46" s="117"/>
      <c r="DAK46" s="117"/>
      <c r="DAL46" s="117"/>
      <c r="DAM46" s="117"/>
      <c r="DAN46" s="117"/>
      <c r="DAO46" s="117"/>
      <c r="DAP46" s="117"/>
      <c r="DAQ46" s="117"/>
      <c r="DAR46" s="117"/>
      <c r="DAS46" s="117"/>
      <c r="DAT46" s="117"/>
      <c r="DAU46" s="117"/>
      <c r="DAV46" s="117"/>
      <c r="DAW46" s="117"/>
      <c r="DAX46" s="117"/>
      <c r="DAY46" s="117"/>
      <c r="DAZ46" s="117"/>
      <c r="DBA46" s="117"/>
      <c r="DBB46" s="117"/>
      <c r="DBC46" s="117"/>
      <c r="DBD46" s="117"/>
      <c r="DBE46" s="117"/>
      <c r="DBF46" s="117"/>
      <c r="DBG46" s="117"/>
      <c r="DBH46" s="117"/>
      <c r="DBI46" s="117"/>
      <c r="DBJ46" s="117"/>
      <c r="DBK46" s="117"/>
      <c r="DBL46" s="117"/>
      <c r="DBM46" s="117"/>
      <c r="DBN46" s="117"/>
      <c r="DBO46" s="117"/>
      <c r="DBP46" s="117"/>
      <c r="DBQ46" s="117"/>
      <c r="DBR46" s="117"/>
      <c r="DBS46" s="117"/>
      <c r="DBT46" s="117"/>
      <c r="DBU46" s="117"/>
      <c r="DBV46" s="117"/>
      <c r="DBW46" s="117"/>
      <c r="DBX46" s="117"/>
      <c r="DBY46" s="117"/>
      <c r="DBZ46" s="117"/>
      <c r="DCA46" s="117"/>
      <c r="DCB46" s="117"/>
      <c r="DCC46" s="117"/>
      <c r="DCD46" s="117"/>
      <c r="DCE46" s="117"/>
      <c r="DCF46" s="117"/>
      <c r="DCG46" s="117"/>
      <c r="DCH46" s="117"/>
      <c r="DCI46" s="117"/>
      <c r="DCJ46" s="117"/>
      <c r="DCK46" s="117"/>
      <c r="DCL46" s="117"/>
      <c r="DCM46" s="117"/>
      <c r="DCN46" s="117"/>
      <c r="DCO46" s="117"/>
      <c r="DCP46" s="117"/>
      <c r="DCQ46" s="117"/>
      <c r="DCR46" s="117"/>
      <c r="DCS46" s="117"/>
      <c r="DCT46" s="117"/>
      <c r="DCU46" s="117"/>
      <c r="DCV46" s="117"/>
      <c r="DCW46" s="117"/>
      <c r="DCX46" s="117"/>
      <c r="DCY46" s="117"/>
      <c r="DCZ46" s="117"/>
      <c r="DDA46" s="117"/>
      <c r="DDB46" s="117"/>
      <c r="DDC46" s="117"/>
      <c r="DDD46" s="117"/>
      <c r="DDE46" s="117"/>
      <c r="DDF46" s="117"/>
      <c r="DDG46" s="117"/>
      <c r="DDH46" s="117"/>
      <c r="DDI46" s="117"/>
      <c r="DDJ46" s="117"/>
      <c r="DDK46" s="117"/>
      <c r="DDL46" s="117"/>
      <c r="DDM46" s="117"/>
      <c r="DDN46" s="117"/>
      <c r="DDO46" s="117"/>
      <c r="DDP46" s="117"/>
      <c r="DDQ46" s="117"/>
      <c r="DDR46" s="117"/>
      <c r="DDS46" s="117"/>
      <c r="DDT46" s="117"/>
      <c r="DDU46" s="117"/>
      <c r="DDV46" s="117"/>
      <c r="DDW46" s="117"/>
      <c r="DDX46" s="117"/>
      <c r="DDY46" s="117"/>
      <c r="DDZ46" s="117"/>
      <c r="DEA46" s="117"/>
      <c r="DEB46" s="117"/>
      <c r="DEC46" s="117"/>
      <c r="DED46" s="117"/>
      <c r="DEE46" s="117"/>
      <c r="DEF46" s="117"/>
      <c r="DEG46" s="117"/>
      <c r="DEH46" s="117"/>
      <c r="DEI46" s="117"/>
      <c r="DEJ46" s="117"/>
      <c r="DEK46" s="117"/>
      <c r="DEL46" s="117"/>
      <c r="DEM46" s="117"/>
      <c r="DEN46" s="117"/>
      <c r="DEO46" s="117"/>
      <c r="DEP46" s="117"/>
      <c r="DEQ46" s="117"/>
      <c r="DER46" s="117"/>
      <c r="DES46" s="117"/>
      <c r="DET46" s="117"/>
      <c r="DEU46" s="117"/>
      <c r="DEV46" s="117"/>
      <c r="DEW46" s="117"/>
      <c r="DEX46" s="117"/>
      <c r="DEY46" s="117"/>
      <c r="DEZ46" s="117"/>
      <c r="DFA46" s="117"/>
      <c r="DFB46" s="117"/>
      <c r="DFC46" s="117"/>
      <c r="DFD46" s="117"/>
      <c r="DFE46" s="117"/>
      <c r="DFF46" s="117"/>
      <c r="DFG46" s="117"/>
      <c r="DFH46" s="117"/>
      <c r="DFI46" s="117"/>
      <c r="DFJ46" s="117"/>
      <c r="DFK46" s="117"/>
      <c r="DFL46" s="117"/>
      <c r="DFM46" s="117"/>
      <c r="DFN46" s="117"/>
      <c r="DFO46" s="117"/>
      <c r="DFP46" s="117"/>
      <c r="DFQ46" s="117"/>
      <c r="DFR46" s="117"/>
      <c r="DFS46" s="117"/>
      <c r="DFT46" s="117"/>
      <c r="DFU46" s="117"/>
      <c r="DFV46" s="117"/>
      <c r="DFW46" s="117"/>
      <c r="DFX46" s="117"/>
      <c r="DFY46" s="117"/>
      <c r="DFZ46" s="117"/>
      <c r="DGA46" s="117"/>
      <c r="DGB46" s="117"/>
      <c r="DGC46" s="117"/>
      <c r="DGD46" s="117"/>
      <c r="DGE46" s="117"/>
      <c r="DGF46" s="117"/>
      <c r="DGG46" s="117"/>
      <c r="DGH46" s="117"/>
      <c r="DGI46" s="117"/>
      <c r="DGJ46" s="117"/>
      <c r="DGK46" s="117"/>
      <c r="DGL46" s="117"/>
      <c r="DGM46" s="117"/>
      <c r="DGN46" s="117"/>
      <c r="DGO46" s="117"/>
      <c r="DGP46" s="117"/>
      <c r="DGQ46" s="117"/>
      <c r="DGR46" s="117"/>
      <c r="DGS46" s="117"/>
      <c r="DGT46" s="117"/>
      <c r="DGU46" s="117"/>
      <c r="DGV46" s="117"/>
      <c r="DGW46" s="117"/>
      <c r="DGX46" s="117"/>
      <c r="DGY46" s="117"/>
      <c r="DGZ46" s="117"/>
      <c r="DHA46" s="117"/>
      <c r="DHB46" s="117"/>
      <c r="DHC46" s="117"/>
      <c r="DHD46" s="117"/>
      <c r="DHE46" s="117"/>
      <c r="DHF46" s="117"/>
      <c r="DHG46" s="117"/>
      <c r="DHH46" s="117"/>
      <c r="DHI46" s="117"/>
      <c r="DHJ46" s="117"/>
      <c r="DHK46" s="117"/>
      <c r="DHL46" s="117"/>
      <c r="DHM46" s="117"/>
      <c r="DHN46" s="117"/>
      <c r="DHO46" s="117"/>
      <c r="DHP46" s="117"/>
      <c r="DHQ46" s="117"/>
      <c r="DHR46" s="117"/>
      <c r="DHS46" s="117"/>
      <c r="DHT46" s="117"/>
      <c r="DHU46" s="117"/>
      <c r="DHV46" s="117"/>
      <c r="DHW46" s="117"/>
      <c r="DHX46" s="117"/>
      <c r="DHY46" s="117"/>
      <c r="DHZ46" s="117"/>
      <c r="DIA46" s="117"/>
      <c r="DIB46" s="117"/>
      <c r="DIC46" s="117"/>
      <c r="DID46" s="117"/>
      <c r="DIE46" s="117"/>
      <c r="DIF46" s="117"/>
      <c r="DIG46" s="117"/>
      <c r="DIH46" s="117"/>
      <c r="DII46" s="117"/>
      <c r="DIJ46" s="117"/>
      <c r="DIK46" s="117"/>
      <c r="DIL46" s="117"/>
      <c r="DIM46" s="117"/>
      <c r="DIN46" s="117"/>
      <c r="DIO46" s="117"/>
      <c r="DIP46" s="117"/>
      <c r="DIQ46" s="117"/>
      <c r="DIR46" s="117"/>
      <c r="DIS46" s="117"/>
      <c r="DIT46" s="117"/>
      <c r="DIU46" s="117"/>
      <c r="DIV46" s="117"/>
      <c r="DIW46" s="117"/>
      <c r="DIX46" s="117"/>
      <c r="DIY46" s="117"/>
      <c r="DIZ46" s="117"/>
      <c r="DJA46" s="117"/>
      <c r="DJB46" s="117"/>
      <c r="DJC46" s="117"/>
      <c r="DJD46" s="117"/>
      <c r="DJE46" s="117"/>
      <c r="DJF46" s="117"/>
      <c r="DJG46" s="117"/>
      <c r="DJH46" s="117"/>
      <c r="DJI46" s="117"/>
      <c r="DJJ46" s="117"/>
      <c r="DJK46" s="117"/>
      <c r="DJL46" s="117"/>
      <c r="DJM46" s="117"/>
      <c r="DJN46" s="117"/>
      <c r="DJO46" s="117"/>
      <c r="DJP46" s="117"/>
      <c r="DJQ46" s="117"/>
      <c r="DJR46" s="117"/>
      <c r="DJS46" s="117"/>
      <c r="DJT46" s="117"/>
      <c r="DJU46" s="117"/>
      <c r="DJV46" s="117"/>
      <c r="DJW46" s="117"/>
      <c r="DJX46" s="117"/>
      <c r="DJY46" s="117"/>
      <c r="DJZ46" s="117"/>
      <c r="DKA46" s="117"/>
      <c r="DKB46" s="117"/>
      <c r="DKC46" s="117"/>
      <c r="DKD46" s="117"/>
      <c r="DKE46" s="117"/>
      <c r="DKF46" s="117"/>
      <c r="DKG46" s="117"/>
      <c r="DKH46" s="117"/>
      <c r="DKI46" s="117"/>
      <c r="DKJ46" s="117"/>
      <c r="DKK46" s="117"/>
      <c r="DKL46" s="117"/>
      <c r="DKM46" s="117"/>
      <c r="DKN46" s="117"/>
      <c r="DKO46" s="117"/>
      <c r="DKP46" s="117"/>
      <c r="DKQ46" s="117"/>
      <c r="DKR46" s="117"/>
      <c r="DKS46" s="117"/>
      <c r="DKT46" s="117"/>
      <c r="DKU46" s="117"/>
      <c r="DKV46" s="117"/>
      <c r="DKW46" s="117"/>
      <c r="DKX46" s="117"/>
      <c r="DKY46" s="117"/>
      <c r="DKZ46" s="117"/>
      <c r="DLA46" s="117"/>
      <c r="DLB46" s="117"/>
      <c r="DLC46" s="117"/>
      <c r="DLD46" s="117"/>
      <c r="DLE46" s="117"/>
      <c r="DLF46" s="117"/>
      <c r="DLG46" s="117"/>
      <c r="DLH46" s="117"/>
      <c r="DLI46" s="117"/>
      <c r="DLJ46" s="117"/>
      <c r="DLK46" s="117"/>
      <c r="DLL46" s="117"/>
      <c r="DLM46" s="117"/>
      <c r="DLN46" s="117"/>
      <c r="DLO46" s="117"/>
      <c r="DLP46" s="117"/>
      <c r="DLQ46" s="117"/>
      <c r="DLR46" s="117"/>
      <c r="DLS46" s="117"/>
      <c r="DLT46" s="117"/>
      <c r="DLU46" s="117"/>
      <c r="DLV46" s="117"/>
      <c r="DLW46" s="117"/>
      <c r="DLX46" s="117"/>
      <c r="DLY46" s="117"/>
      <c r="DLZ46" s="117"/>
      <c r="DMA46" s="117"/>
      <c r="DMB46" s="117"/>
      <c r="DMC46" s="117"/>
      <c r="DMD46" s="117"/>
      <c r="DME46" s="117"/>
      <c r="DMF46" s="117"/>
      <c r="DMG46" s="117"/>
      <c r="DMH46" s="117"/>
      <c r="DMI46" s="117"/>
      <c r="DMJ46" s="117"/>
      <c r="DMK46" s="117"/>
      <c r="DML46" s="117"/>
      <c r="DMM46" s="117"/>
      <c r="DMN46" s="117"/>
      <c r="DMO46" s="117"/>
      <c r="DMP46" s="117"/>
      <c r="DMQ46" s="117"/>
      <c r="DMR46" s="117"/>
      <c r="DMS46" s="117"/>
      <c r="DMT46" s="117"/>
      <c r="DMU46" s="117"/>
      <c r="DMV46" s="117"/>
      <c r="DMW46" s="117"/>
      <c r="DMX46" s="117"/>
      <c r="DMY46" s="117"/>
      <c r="DMZ46" s="117"/>
      <c r="DNA46" s="117"/>
      <c r="DNB46" s="117"/>
      <c r="DNC46" s="117"/>
      <c r="DND46" s="117"/>
      <c r="DNE46" s="117"/>
      <c r="DNF46" s="117"/>
      <c r="DNG46" s="117"/>
      <c r="DNH46" s="117"/>
      <c r="DNI46" s="117"/>
      <c r="DNJ46" s="117"/>
      <c r="DNK46" s="117"/>
      <c r="DNL46" s="117"/>
      <c r="DNM46" s="117"/>
      <c r="DNN46" s="117"/>
      <c r="DNO46" s="117"/>
      <c r="DNP46" s="117"/>
      <c r="DNQ46" s="117"/>
      <c r="DNR46" s="117"/>
      <c r="DNS46" s="117"/>
      <c r="DNT46" s="117"/>
      <c r="DNU46" s="117"/>
      <c r="DNV46" s="117"/>
      <c r="DNW46" s="117"/>
      <c r="DNX46" s="117"/>
      <c r="DNY46" s="117"/>
      <c r="DNZ46" s="117"/>
      <c r="DOA46" s="117"/>
      <c r="DOB46" s="117"/>
      <c r="DOC46" s="117"/>
      <c r="DOD46" s="117"/>
      <c r="DOE46" s="117"/>
      <c r="DOF46" s="117"/>
      <c r="DOG46" s="117"/>
      <c r="DOH46" s="117"/>
      <c r="DOI46" s="117"/>
      <c r="DOJ46" s="117"/>
      <c r="DOK46" s="117"/>
      <c r="DOL46" s="117"/>
      <c r="DOM46" s="117"/>
      <c r="DON46" s="117"/>
      <c r="DOO46" s="117"/>
      <c r="DOP46" s="117"/>
      <c r="DOQ46" s="117"/>
      <c r="DOR46" s="117"/>
      <c r="DOS46" s="117"/>
      <c r="DOT46" s="117"/>
      <c r="DOU46" s="117"/>
      <c r="DOV46" s="117"/>
      <c r="DOW46" s="117"/>
      <c r="DOX46" s="117"/>
      <c r="DOY46" s="117"/>
      <c r="DOZ46" s="117"/>
      <c r="DPA46" s="117"/>
      <c r="DPB46" s="117"/>
      <c r="DPC46" s="117"/>
      <c r="DPD46" s="117"/>
      <c r="DPE46" s="117"/>
      <c r="DPF46" s="117"/>
      <c r="DPG46" s="117"/>
      <c r="DPH46" s="117"/>
      <c r="DPI46" s="117"/>
      <c r="DPJ46" s="117"/>
      <c r="DPK46" s="117"/>
      <c r="DPL46" s="117"/>
      <c r="DPM46" s="117"/>
      <c r="DPN46" s="117"/>
      <c r="DPO46" s="117"/>
      <c r="DPP46" s="117"/>
      <c r="DPQ46" s="117"/>
      <c r="DPR46" s="117"/>
      <c r="DPS46" s="117"/>
      <c r="DPT46" s="117"/>
      <c r="DPU46" s="117"/>
      <c r="DPV46" s="117"/>
      <c r="DPW46" s="117"/>
      <c r="DPX46" s="117"/>
      <c r="DPY46" s="117"/>
      <c r="DPZ46" s="117"/>
      <c r="DQA46" s="117"/>
      <c r="DQB46" s="117"/>
      <c r="DQC46" s="117"/>
      <c r="DQD46" s="117"/>
      <c r="DQE46" s="117"/>
      <c r="DQF46" s="117"/>
      <c r="DQG46" s="117"/>
      <c r="DQH46" s="117"/>
      <c r="DQI46" s="117"/>
      <c r="DQJ46" s="117"/>
      <c r="DQK46" s="117"/>
      <c r="DQL46" s="117"/>
      <c r="DQM46" s="117"/>
      <c r="DQN46" s="117"/>
      <c r="DQO46" s="117"/>
      <c r="DQP46" s="117"/>
      <c r="DQQ46" s="117"/>
      <c r="DQR46" s="117"/>
      <c r="DQS46" s="117"/>
      <c r="DQT46" s="117"/>
      <c r="DQU46" s="117"/>
      <c r="DQV46" s="117"/>
      <c r="DQW46" s="117"/>
      <c r="DQX46" s="117"/>
      <c r="DQY46" s="117"/>
      <c r="DQZ46" s="117"/>
      <c r="DRA46" s="117"/>
      <c r="DRB46" s="117"/>
      <c r="DRC46" s="117"/>
      <c r="DRD46" s="117"/>
      <c r="DRE46" s="117"/>
      <c r="DRF46" s="117"/>
      <c r="DRG46" s="117"/>
      <c r="DRH46" s="117"/>
      <c r="DRI46" s="117"/>
      <c r="DRJ46" s="117"/>
      <c r="DRK46" s="117"/>
      <c r="DRL46" s="117"/>
      <c r="DRM46" s="117"/>
      <c r="DRN46" s="117"/>
      <c r="DRO46" s="117"/>
      <c r="DRP46" s="117"/>
      <c r="DRQ46" s="117"/>
      <c r="DRR46" s="117"/>
      <c r="DRS46" s="117"/>
      <c r="DRT46" s="117"/>
      <c r="DRU46" s="117"/>
      <c r="DRV46" s="117"/>
      <c r="DRW46" s="117"/>
      <c r="DRX46" s="117"/>
      <c r="DRY46" s="117"/>
      <c r="DRZ46" s="117"/>
      <c r="DSA46" s="117"/>
      <c r="DSB46" s="117"/>
      <c r="DSC46" s="117"/>
      <c r="DSD46" s="117"/>
      <c r="DSE46" s="117"/>
      <c r="DSF46" s="117"/>
      <c r="DSG46" s="117"/>
      <c r="DSH46" s="117"/>
      <c r="DSI46" s="117"/>
      <c r="DSJ46" s="117"/>
      <c r="DSK46" s="117"/>
      <c r="DSL46" s="117"/>
      <c r="DSM46" s="117"/>
      <c r="DSN46" s="117"/>
      <c r="DSO46" s="117"/>
      <c r="DSP46" s="117"/>
      <c r="DSQ46" s="117"/>
      <c r="DSR46" s="117"/>
      <c r="DSS46" s="117"/>
      <c r="DST46" s="117"/>
      <c r="DSU46" s="117"/>
      <c r="DSV46" s="117"/>
      <c r="DSW46" s="117"/>
      <c r="DSX46" s="117"/>
      <c r="DSY46" s="117"/>
      <c r="DSZ46" s="117"/>
      <c r="DTA46" s="117"/>
      <c r="DTB46" s="117"/>
      <c r="DTC46" s="117"/>
      <c r="DTD46" s="117"/>
      <c r="DTE46" s="117"/>
      <c r="DTF46" s="117"/>
      <c r="DTG46" s="117"/>
      <c r="DTH46" s="117"/>
      <c r="DTI46" s="117"/>
      <c r="DTJ46" s="117"/>
      <c r="DTK46" s="117"/>
      <c r="DTL46" s="117"/>
      <c r="DTM46" s="117"/>
      <c r="DTN46" s="117"/>
      <c r="DTO46" s="117"/>
      <c r="DTP46" s="117"/>
      <c r="DTQ46" s="117"/>
      <c r="DTR46" s="117"/>
      <c r="DTS46" s="117"/>
      <c r="DTT46" s="117"/>
      <c r="DTU46" s="117"/>
      <c r="DTV46" s="117"/>
      <c r="DTW46" s="117"/>
      <c r="DTX46" s="117"/>
      <c r="DTY46" s="117"/>
      <c r="DTZ46" s="117"/>
      <c r="DUA46" s="117"/>
      <c r="DUB46" s="117"/>
      <c r="DUC46" s="117"/>
      <c r="DUD46" s="117"/>
      <c r="DUE46" s="117"/>
      <c r="DUF46" s="117"/>
      <c r="DUG46" s="117"/>
      <c r="DUH46" s="117"/>
      <c r="DUI46" s="117"/>
      <c r="DUJ46" s="117"/>
      <c r="DUK46" s="117"/>
      <c r="DUL46" s="117"/>
      <c r="DUM46" s="117"/>
      <c r="DUN46" s="117"/>
      <c r="DUO46" s="117"/>
      <c r="DUP46" s="117"/>
      <c r="DUQ46" s="117"/>
      <c r="DUR46" s="117"/>
      <c r="DUS46" s="117"/>
      <c r="DUT46" s="117"/>
      <c r="DUU46" s="117"/>
      <c r="DUV46" s="117"/>
      <c r="DUW46" s="117"/>
      <c r="DUX46" s="117"/>
      <c r="DUY46" s="117"/>
      <c r="DUZ46" s="117"/>
      <c r="DVA46" s="117"/>
      <c r="DVB46" s="117"/>
      <c r="DVC46" s="117"/>
      <c r="DVD46" s="117"/>
      <c r="DVE46" s="117"/>
      <c r="DVF46" s="117"/>
      <c r="DVG46" s="117"/>
      <c r="DVH46" s="117"/>
      <c r="DVI46" s="117"/>
      <c r="DVJ46" s="117"/>
      <c r="DVK46" s="117"/>
      <c r="DVL46" s="117"/>
      <c r="DVM46" s="117"/>
      <c r="DVN46" s="117"/>
      <c r="DVO46" s="117"/>
      <c r="DVP46" s="117"/>
      <c r="DVQ46" s="117"/>
      <c r="DVR46" s="117"/>
      <c r="DVS46" s="117"/>
      <c r="DVT46" s="117"/>
      <c r="DVU46" s="117"/>
      <c r="DVV46" s="117"/>
      <c r="DVW46" s="117"/>
      <c r="DVX46" s="117"/>
      <c r="DVY46" s="117"/>
      <c r="DVZ46" s="117"/>
      <c r="DWA46" s="117"/>
      <c r="DWB46" s="117"/>
      <c r="DWC46" s="117"/>
      <c r="DWD46" s="117"/>
      <c r="DWE46" s="117"/>
      <c r="DWF46" s="117"/>
      <c r="DWG46" s="117"/>
      <c r="DWH46" s="117"/>
      <c r="DWI46" s="117"/>
      <c r="DWJ46" s="117"/>
      <c r="DWK46" s="117"/>
      <c r="DWL46" s="117"/>
      <c r="DWM46" s="117"/>
      <c r="DWN46" s="117"/>
      <c r="DWO46" s="117"/>
      <c r="DWP46" s="117"/>
      <c r="DWQ46" s="117"/>
      <c r="DWR46" s="117"/>
      <c r="DWS46" s="117"/>
      <c r="DWT46" s="117"/>
      <c r="DWU46" s="117"/>
      <c r="DWV46" s="117"/>
      <c r="DWW46" s="117"/>
      <c r="DWX46" s="117"/>
      <c r="DWY46" s="117"/>
      <c r="DWZ46" s="117"/>
      <c r="DXA46" s="117"/>
      <c r="DXB46" s="117"/>
      <c r="DXC46" s="117"/>
      <c r="DXD46" s="117"/>
      <c r="DXE46" s="117"/>
      <c r="DXF46" s="117"/>
      <c r="DXG46" s="117"/>
      <c r="DXH46" s="117"/>
      <c r="DXI46" s="117"/>
      <c r="DXJ46" s="117"/>
      <c r="DXK46" s="117"/>
      <c r="DXL46" s="117"/>
      <c r="DXM46" s="117"/>
      <c r="DXN46" s="117"/>
      <c r="DXO46" s="117"/>
      <c r="DXP46" s="117"/>
      <c r="DXQ46" s="117"/>
      <c r="DXR46" s="117"/>
      <c r="DXS46" s="117"/>
      <c r="DXT46" s="117"/>
      <c r="DXU46" s="117"/>
      <c r="DXV46" s="117"/>
      <c r="DXW46" s="117"/>
      <c r="DXX46" s="117"/>
      <c r="DXY46" s="117"/>
      <c r="DXZ46" s="117"/>
      <c r="DYA46" s="117"/>
      <c r="DYB46" s="117"/>
      <c r="DYC46" s="117"/>
      <c r="DYD46" s="117"/>
      <c r="DYE46" s="117"/>
      <c r="DYF46" s="117"/>
      <c r="DYG46" s="117"/>
      <c r="DYH46" s="117"/>
      <c r="DYI46" s="117"/>
      <c r="DYJ46" s="117"/>
      <c r="DYK46" s="117"/>
      <c r="DYL46" s="117"/>
      <c r="DYM46" s="117"/>
      <c r="DYN46" s="117"/>
      <c r="DYO46" s="117"/>
      <c r="DYP46" s="117"/>
      <c r="DYQ46" s="117"/>
      <c r="DYR46" s="117"/>
      <c r="DYS46" s="117"/>
      <c r="DYT46" s="117"/>
      <c r="DYU46" s="117"/>
      <c r="DYV46" s="117"/>
      <c r="DYW46" s="117"/>
      <c r="DYX46" s="117"/>
      <c r="DYY46" s="117"/>
      <c r="DYZ46" s="117"/>
      <c r="DZA46" s="117"/>
      <c r="DZB46" s="117"/>
      <c r="DZC46" s="117"/>
      <c r="DZD46" s="117"/>
      <c r="DZE46" s="117"/>
      <c r="DZF46" s="117"/>
      <c r="DZG46" s="117"/>
      <c r="DZH46" s="117"/>
      <c r="DZI46" s="117"/>
      <c r="DZJ46" s="117"/>
      <c r="DZK46" s="117"/>
      <c r="DZL46" s="117"/>
      <c r="DZM46" s="117"/>
      <c r="DZN46" s="117"/>
      <c r="DZO46" s="117"/>
      <c r="DZP46" s="117"/>
      <c r="DZQ46" s="117"/>
      <c r="DZR46" s="117"/>
      <c r="DZS46" s="117"/>
      <c r="DZT46" s="117"/>
      <c r="DZU46" s="117"/>
      <c r="DZV46" s="117"/>
      <c r="DZW46" s="117"/>
      <c r="DZX46" s="117"/>
      <c r="DZY46" s="117"/>
      <c r="DZZ46" s="117"/>
      <c r="EAA46" s="117"/>
      <c r="EAB46" s="117"/>
      <c r="EAC46" s="117"/>
      <c r="EAD46" s="117"/>
      <c r="EAE46" s="117"/>
      <c r="EAF46" s="117"/>
      <c r="EAG46" s="117"/>
      <c r="EAH46" s="117"/>
      <c r="EAI46" s="117"/>
      <c r="EAJ46" s="117"/>
      <c r="EAK46" s="117"/>
      <c r="EAL46" s="117"/>
      <c r="EAM46" s="117"/>
      <c r="EAN46" s="117"/>
      <c r="EAO46" s="117"/>
      <c r="EAP46" s="117"/>
      <c r="EAQ46" s="117"/>
      <c r="EAR46" s="117"/>
      <c r="EAS46" s="117"/>
      <c r="EAT46" s="117"/>
      <c r="EAU46" s="117"/>
      <c r="EAV46" s="117"/>
      <c r="EAW46" s="117"/>
      <c r="EAX46" s="117"/>
      <c r="EAY46" s="117"/>
      <c r="EAZ46" s="117"/>
      <c r="EBA46" s="117"/>
      <c r="EBB46" s="117"/>
      <c r="EBC46" s="117"/>
      <c r="EBD46" s="117"/>
      <c r="EBE46" s="117"/>
      <c r="EBF46" s="117"/>
      <c r="EBG46" s="117"/>
      <c r="EBH46" s="117"/>
      <c r="EBI46" s="117"/>
      <c r="EBJ46" s="117"/>
      <c r="EBK46" s="117"/>
      <c r="EBL46" s="117"/>
      <c r="EBM46" s="117"/>
      <c r="EBN46" s="117"/>
      <c r="EBO46" s="117"/>
      <c r="EBP46" s="117"/>
      <c r="EBQ46" s="117"/>
      <c r="EBR46" s="117"/>
      <c r="EBS46" s="117"/>
      <c r="EBT46" s="117"/>
      <c r="EBU46" s="117"/>
      <c r="EBV46" s="117"/>
      <c r="EBW46" s="117"/>
      <c r="EBX46" s="117"/>
      <c r="EBY46" s="117"/>
      <c r="EBZ46" s="117"/>
      <c r="ECA46" s="117"/>
      <c r="ECB46" s="117"/>
      <c r="ECC46" s="117"/>
      <c r="ECD46" s="117"/>
      <c r="ECE46" s="117"/>
      <c r="ECF46" s="117"/>
      <c r="ECG46" s="117"/>
      <c r="ECH46" s="117"/>
      <c r="ECI46" s="117"/>
      <c r="ECJ46" s="117"/>
      <c r="ECK46" s="117"/>
      <c r="ECL46" s="117"/>
      <c r="ECM46" s="117"/>
      <c r="ECN46" s="117"/>
      <c r="ECO46" s="117"/>
      <c r="ECP46" s="117"/>
      <c r="ECQ46" s="117"/>
      <c r="ECR46" s="117"/>
      <c r="ECS46" s="117"/>
      <c r="ECT46" s="117"/>
      <c r="ECU46" s="117"/>
      <c r="ECV46" s="117"/>
      <c r="ECW46" s="117"/>
      <c r="ECX46" s="117"/>
      <c r="ECY46" s="117"/>
      <c r="ECZ46" s="117"/>
      <c r="EDA46" s="117"/>
      <c r="EDB46" s="117"/>
      <c r="EDC46" s="117"/>
      <c r="EDD46" s="117"/>
      <c r="EDE46" s="117"/>
      <c r="EDF46" s="117"/>
      <c r="EDG46" s="117"/>
      <c r="EDH46" s="117"/>
      <c r="EDI46" s="117"/>
      <c r="EDJ46" s="117"/>
      <c r="EDK46" s="117"/>
      <c r="EDL46" s="117"/>
      <c r="EDM46" s="117"/>
      <c r="EDN46" s="117"/>
      <c r="EDO46" s="117"/>
      <c r="EDP46" s="117"/>
      <c r="EDQ46" s="117"/>
      <c r="EDR46" s="117"/>
      <c r="EDS46" s="117"/>
      <c r="EDT46" s="117"/>
      <c r="EDU46" s="117"/>
      <c r="EDV46" s="117"/>
      <c r="EDW46" s="117"/>
      <c r="EDX46" s="117"/>
      <c r="EDY46" s="117"/>
      <c r="EDZ46" s="117"/>
      <c r="EEA46" s="117"/>
      <c r="EEB46" s="117"/>
      <c r="EEC46" s="117"/>
      <c r="EED46" s="117"/>
      <c r="EEE46" s="117"/>
      <c r="EEF46" s="117"/>
      <c r="EEG46" s="117"/>
      <c r="EEH46" s="117"/>
      <c r="EEI46" s="117"/>
      <c r="EEJ46" s="117"/>
      <c r="EEK46" s="117"/>
      <c r="EEL46" s="117"/>
      <c r="EEM46" s="117"/>
      <c r="EEN46" s="117"/>
      <c r="EEO46" s="117"/>
      <c r="EEP46" s="117"/>
      <c r="EEQ46" s="117"/>
      <c r="EER46" s="117"/>
      <c r="EES46" s="117"/>
      <c r="EET46" s="117"/>
      <c r="EEU46" s="117"/>
      <c r="EEV46" s="117"/>
      <c r="EEW46" s="117"/>
      <c r="EEX46" s="117"/>
      <c r="EEY46" s="117"/>
      <c r="EEZ46" s="117"/>
      <c r="EFA46" s="117"/>
      <c r="EFB46" s="117"/>
      <c r="EFC46" s="117"/>
      <c r="EFD46" s="117"/>
      <c r="EFE46" s="117"/>
      <c r="EFF46" s="117"/>
      <c r="EFG46" s="117"/>
      <c r="EFH46" s="117"/>
      <c r="EFI46" s="117"/>
      <c r="EFJ46" s="117"/>
      <c r="EFK46" s="117"/>
      <c r="EFL46" s="117"/>
      <c r="EFM46" s="117"/>
      <c r="EFN46" s="117"/>
      <c r="EFO46" s="117"/>
      <c r="EFP46" s="117"/>
      <c r="EFQ46" s="117"/>
      <c r="EFR46" s="117"/>
      <c r="EFS46" s="117"/>
      <c r="EFT46" s="117"/>
      <c r="EFU46" s="117"/>
      <c r="EFV46" s="117"/>
      <c r="EFW46" s="117"/>
      <c r="EFX46" s="117"/>
      <c r="EFY46" s="117"/>
      <c r="EFZ46" s="117"/>
      <c r="EGA46" s="117"/>
      <c r="EGB46" s="117"/>
      <c r="EGC46" s="117"/>
      <c r="EGD46" s="117"/>
      <c r="EGE46" s="117"/>
      <c r="EGF46" s="117"/>
      <c r="EGG46" s="117"/>
      <c r="EGH46" s="117"/>
      <c r="EGI46" s="117"/>
      <c r="EGJ46" s="117"/>
      <c r="EGK46" s="117"/>
      <c r="EGL46" s="117"/>
      <c r="EGM46" s="117"/>
      <c r="EGN46" s="117"/>
      <c r="EGO46" s="117"/>
      <c r="EGP46" s="117"/>
      <c r="EGQ46" s="117"/>
      <c r="EGR46" s="117"/>
      <c r="EGS46" s="117"/>
      <c r="EGT46" s="117"/>
      <c r="EGU46" s="117"/>
      <c r="EGV46" s="117"/>
      <c r="EGW46" s="117"/>
      <c r="EGX46" s="117"/>
      <c r="EGY46" s="117"/>
      <c r="EGZ46" s="117"/>
      <c r="EHA46" s="117"/>
      <c r="EHB46" s="117"/>
      <c r="EHC46" s="117"/>
      <c r="EHD46" s="117"/>
      <c r="EHE46" s="117"/>
      <c r="EHF46" s="117"/>
      <c r="EHG46" s="117"/>
      <c r="EHH46" s="117"/>
      <c r="EHI46" s="117"/>
      <c r="EHJ46" s="117"/>
      <c r="EHK46" s="117"/>
      <c r="EHL46" s="117"/>
      <c r="EHM46" s="117"/>
      <c r="EHN46" s="117"/>
      <c r="EHO46" s="117"/>
      <c r="EHP46" s="117"/>
      <c r="EHQ46" s="117"/>
      <c r="EHR46" s="117"/>
      <c r="EHS46" s="117"/>
      <c r="EHT46" s="117"/>
      <c r="EHU46" s="117"/>
      <c r="EHV46" s="117"/>
      <c r="EHW46" s="117"/>
      <c r="EHX46" s="117"/>
      <c r="EHY46" s="117"/>
      <c r="EHZ46" s="117"/>
      <c r="EIA46" s="117"/>
      <c r="EIB46" s="117"/>
      <c r="EIC46" s="117"/>
      <c r="EID46" s="117"/>
      <c r="EIE46" s="117"/>
      <c r="EIF46" s="117"/>
      <c r="EIG46" s="117"/>
      <c r="EIH46" s="117"/>
      <c r="EII46" s="117"/>
      <c r="EIJ46" s="117"/>
      <c r="EIK46" s="117"/>
      <c r="EIL46" s="117"/>
      <c r="EIM46" s="117"/>
      <c r="EIN46" s="117"/>
      <c r="EIO46" s="117"/>
      <c r="EIP46" s="117"/>
      <c r="EIQ46" s="117"/>
      <c r="EIR46" s="117"/>
      <c r="EIS46" s="117"/>
      <c r="EIT46" s="117"/>
      <c r="EIU46" s="117"/>
      <c r="EIV46" s="117"/>
      <c r="EIW46" s="117"/>
      <c r="EIX46" s="117"/>
      <c r="EIY46" s="117"/>
      <c r="EIZ46" s="117"/>
      <c r="EJA46" s="117"/>
      <c r="EJB46" s="117"/>
      <c r="EJC46" s="117"/>
      <c r="EJD46" s="117"/>
      <c r="EJE46" s="117"/>
      <c r="EJF46" s="117"/>
      <c r="EJG46" s="117"/>
      <c r="EJH46" s="117"/>
      <c r="EJI46" s="117"/>
      <c r="EJJ46" s="117"/>
      <c r="EJK46" s="117"/>
      <c r="EJL46" s="117"/>
      <c r="EJM46" s="117"/>
      <c r="EJN46" s="117"/>
      <c r="EJO46" s="117"/>
      <c r="EJP46" s="117"/>
      <c r="EJQ46" s="117"/>
      <c r="EJR46" s="117"/>
      <c r="EJS46" s="117"/>
      <c r="EJT46" s="117"/>
      <c r="EJU46" s="117"/>
      <c r="EJV46" s="117"/>
      <c r="EJW46" s="117"/>
      <c r="EJX46" s="117"/>
      <c r="EJY46" s="117"/>
      <c r="EJZ46" s="117"/>
      <c r="EKA46" s="117"/>
      <c r="EKB46" s="117"/>
      <c r="EKC46" s="117"/>
      <c r="EKD46" s="117"/>
      <c r="EKE46" s="117"/>
      <c r="EKF46" s="117"/>
      <c r="EKG46" s="117"/>
      <c r="EKH46" s="117"/>
      <c r="EKI46" s="117"/>
      <c r="EKJ46" s="117"/>
      <c r="EKK46" s="117"/>
      <c r="EKL46" s="117"/>
      <c r="EKM46" s="117"/>
      <c r="EKN46" s="117"/>
      <c r="EKO46" s="117"/>
      <c r="EKP46" s="117"/>
      <c r="EKQ46" s="117"/>
      <c r="EKR46" s="117"/>
      <c r="EKS46" s="117"/>
      <c r="EKT46" s="117"/>
      <c r="EKU46" s="117"/>
      <c r="EKV46" s="117"/>
      <c r="EKW46" s="117"/>
      <c r="EKX46" s="117"/>
      <c r="EKY46" s="117"/>
      <c r="EKZ46" s="117"/>
      <c r="ELA46" s="117"/>
      <c r="ELB46" s="117"/>
      <c r="ELC46" s="117"/>
      <c r="ELD46" s="117"/>
      <c r="ELE46" s="117"/>
      <c r="ELF46" s="117"/>
      <c r="ELG46" s="117"/>
      <c r="ELH46" s="117"/>
      <c r="ELI46" s="117"/>
      <c r="ELJ46" s="117"/>
      <c r="ELK46" s="117"/>
      <c r="ELL46" s="117"/>
      <c r="ELM46" s="117"/>
      <c r="ELN46" s="117"/>
      <c r="ELO46" s="117"/>
      <c r="ELP46" s="117"/>
      <c r="ELQ46" s="117"/>
      <c r="ELR46" s="117"/>
      <c r="ELS46" s="117"/>
      <c r="ELT46" s="117"/>
      <c r="ELU46" s="117"/>
      <c r="ELV46" s="117"/>
      <c r="ELW46" s="117"/>
      <c r="ELX46" s="117"/>
      <c r="ELY46" s="117"/>
      <c r="ELZ46" s="117"/>
      <c r="EMA46" s="117"/>
      <c r="EMB46" s="117"/>
      <c r="EMC46" s="117"/>
      <c r="EMD46" s="117"/>
      <c r="EME46" s="117"/>
      <c r="EMF46" s="117"/>
      <c r="EMG46" s="117"/>
      <c r="EMH46" s="117"/>
      <c r="EMI46" s="117"/>
      <c r="EMJ46" s="117"/>
      <c r="EMK46" s="117"/>
      <c r="EML46" s="117"/>
      <c r="EMM46" s="117"/>
      <c r="EMN46" s="117"/>
      <c r="EMO46" s="117"/>
      <c r="EMP46" s="117"/>
      <c r="EMQ46" s="117"/>
      <c r="EMR46" s="117"/>
      <c r="EMS46" s="117"/>
      <c r="EMT46" s="117"/>
      <c r="EMU46" s="117"/>
      <c r="EMV46" s="117"/>
      <c r="EMW46" s="117"/>
      <c r="EMX46" s="117"/>
      <c r="EMY46" s="117"/>
      <c r="EMZ46" s="117"/>
      <c r="ENA46" s="117"/>
      <c r="ENB46" s="117"/>
      <c r="ENC46" s="117"/>
      <c r="END46" s="117"/>
      <c r="ENE46" s="117"/>
      <c r="ENF46" s="117"/>
      <c r="ENG46" s="117"/>
      <c r="ENH46" s="117"/>
      <c r="ENI46" s="117"/>
      <c r="ENJ46" s="117"/>
      <c r="ENK46" s="117"/>
      <c r="ENL46" s="117"/>
      <c r="ENM46" s="117"/>
      <c r="ENN46" s="117"/>
      <c r="ENO46" s="117"/>
      <c r="ENP46" s="117"/>
      <c r="ENQ46" s="117"/>
      <c r="ENR46" s="117"/>
      <c r="ENS46" s="117"/>
      <c r="ENT46" s="117"/>
      <c r="ENU46" s="117"/>
      <c r="ENV46" s="117"/>
      <c r="ENW46" s="117"/>
      <c r="ENX46" s="117"/>
      <c r="ENY46" s="117"/>
      <c r="ENZ46" s="117"/>
      <c r="EOA46" s="117"/>
      <c r="EOB46" s="117"/>
      <c r="EOC46" s="117"/>
      <c r="EOD46" s="117"/>
      <c r="EOE46" s="117"/>
      <c r="EOF46" s="117"/>
      <c r="EOG46" s="117"/>
      <c r="EOH46" s="117"/>
      <c r="EOI46" s="117"/>
      <c r="EOJ46" s="117"/>
      <c r="EOK46" s="117"/>
      <c r="EOL46" s="117"/>
      <c r="EOM46" s="117"/>
      <c r="EON46" s="117"/>
      <c r="EOO46" s="117"/>
      <c r="EOP46" s="117"/>
      <c r="EOQ46" s="117"/>
      <c r="EOR46" s="117"/>
      <c r="EOS46" s="117"/>
      <c r="EOT46" s="117"/>
      <c r="EOU46" s="117"/>
      <c r="EOV46" s="117"/>
      <c r="EOW46" s="117"/>
      <c r="EOX46" s="117"/>
      <c r="EOY46" s="117"/>
      <c r="EOZ46" s="117"/>
      <c r="EPA46" s="117"/>
      <c r="EPB46" s="117"/>
      <c r="EPC46" s="117"/>
      <c r="EPD46" s="117"/>
      <c r="EPE46" s="117"/>
      <c r="EPF46" s="117"/>
      <c r="EPG46" s="117"/>
      <c r="EPH46" s="117"/>
      <c r="EPI46" s="117"/>
      <c r="EPJ46" s="117"/>
      <c r="EPK46" s="117"/>
      <c r="EPL46" s="117"/>
      <c r="EPM46" s="117"/>
      <c r="EPN46" s="117"/>
      <c r="EPO46" s="117"/>
      <c r="EPP46" s="117"/>
      <c r="EPQ46" s="117"/>
      <c r="EPR46" s="117"/>
      <c r="EPS46" s="117"/>
      <c r="EPT46" s="117"/>
      <c r="EPU46" s="117"/>
      <c r="EPV46" s="117"/>
      <c r="EPW46" s="117"/>
      <c r="EPX46" s="117"/>
      <c r="EPY46" s="117"/>
      <c r="EPZ46" s="117"/>
      <c r="EQA46" s="117"/>
      <c r="EQB46" s="117"/>
      <c r="EQC46" s="117"/>
      <c r="EQD46" s="117"/>
      <c r="EQE46" s="117"/>
      <c r="EQF46" s="117"/>
      <c r="EQG46" s="117"/>
      <c r="EQH46" s="117"/>
      <c r="EQI46" s="117"/>
      <c r="EQJ46" s="117"/>
      <c r="EQK46" s="117"/>
      <c r="EQL46" s="117"/>
      <c r="EQM46" s="117"/>
      <c r="EQN46" s="117"/>
      <c r="EQO46" s="117"/>
      <c r="EQP46" s="117"/>
      <c r="EQQ46" s="117"/>
      <c r="EQR46" s="117"/>
      <c r="EQS46" s="117"/>
      <c r="EQT46" s="117"/>
      <c r="EQU46" s="117"/>
      <c r="EQV46" s="117"/>
      <c r="EQW46" s="117"/>
      <c r="EQX46" s="117"/>
      <c r="EQY46" s="117"/>
      <c r="EQZ46" s="117"/>
      <c r="ERA46" s="117"/>
      <c r="ERB46" s="117"/>
      <c r="ERC46" s="117"/>
      <c r="ERD46" s="117"/>
      <c r="ERE46" s="117"/>
      <c r="ERF46" s="117"/>
      <c r="ERG46" s="117"/>
      <c r="ERH46" s="117"/>
      <c r="ERI46" s="117"/>
      <c r="ERJ46" s="117"/>
      <c r="ERK46" s="117"/>
      <c r="ERL46" s="117"/>
      <c r="ERM46" s="117"/>
      <c r="ERN46" s="117"/>
      <c r="ERO46" s="117"/>
      <c r="ERP46" s="117"/>
      <c r="ERQ46" s="117"/>
      <c r="ERR46" s="117"/>
      <c r="ERS46" s="117"/>
      <c r="ERT46" s="117"/>
      <c r="ERU46" s="117"/>
      <c r="ERV46" s="117"/>
      <c r="ERW46" s="117"/>
      <c r="ERX46" s="117"/>
      <c r="ERY46" s="117"/>
      <c r="ERZ46" s="117"/>
      <c r="ESA46" s="117"/>
      <c r="ESB46" s="117"/>
      <c r="ESC46" s="117"/>
      <c r="ESD46" s="117"/>
      <c r="ESE46" s="117"/>
      <c r="ESF46" s="117"/>
      <c r="ESG46" s="117"/>
      <c r="ESH46" s="117"/>
      <c r="ESI46" s="117"/>
      <c r="ESJ46" s="117"/>
      <c r="ESK46" s="117"/>
      <c r="ESL46" s="117"/>
      <c r="ESM46" s="117"/>
      <c r="ESN46" s="117"/>
      <c r="ESO46" s="117"/>
      <c r="ESP46" s="117"/>
      <c r="ESQ46" s="117"/>
      <c r="ESR46" s="117"/>
      <c r="ESS46" s="117"/>
      <c r="EST46" s="117"/>
      <c r="ESU46" s="117"/>
      <c r="ESV46" s="117"/>
      <c r="ESW46" s="117"/>
      <c r="ESX46" s="117"/>
      <c r="ESY46" s="117"/>
      <c r="ESZ46" s="117"/>
      <c r="ETA46" s="117"/>
      <c r="ETB46" s="117"/>
      <c r="ETC46" s="117"/>
      <c r="ETD46" s="117"/>
      <c r="ETE46" s="117"/>
      <c r="ETF46" s="117"/>
      <c r="ETG46" s="117"/>
      <c r="ETH46" s="117"/>
      <c r="ETI46" s="117"/>
      <c r="ETJ46" s="117"/>
      <c r="ETK46" s="117"/>
      <c r="ETL46" s="117"/>
      <c r="ETM46" s="117"/>
      <c r="ETN46" s="117"/>
      <c r="ETO46" s="117"/>
      <c r="ETP46" s="117"/>
      <c r="ETQ46" s="117"/>
      <c r="ETR46" s="117"/>
      <c r="ETS46" s="117"/>
      <c r="ETT46" s="117"/>
      <c r="ETU46" s="117"/>
      <c r="ETV46" s="117"/>
      <c r="ETW46" s="117"/>
      <c r="ETX46" s="117"/>
      <c r="ETY46" s="117"/>
      <c r="ETZ46" s="117"/>
      <c r="EUA46" s="117"/>
      <c r="EUB46" s="117"/>
      <c r="EUC46" s="117"/>
      <c r="EUD46" s="117"/>
      <c r="EUE46" s="117"/>
      <c r="EUF46" s="117"/>
      <c r="EUG46" s="117"/>
      <c r="EUH46" s="117"/>
      <c r="EUI46" s="117"/>
      <c r="EUJ46" s="117"/>
      <c r="EUK46" s="117"/>
      <c r="EUL46" s="117"/>
      <c r="EUM46" s="117"/>
      <c r="EUN46" s="117"/>
      <c r="EUO46" s="117"/>
      <c r="EUP46" s="117"/>
      <c r="EUQ46" s="117"/>
      <c r="EUR46" s="117"/>
      <c r="EUS46" s="117"/>
      <c r="EUT46" s="117"/>
      <c r="EUU46" s="117"/>
      <c r="EUV46" s="117"/>
      <c r="EUW46" s="117"/>
      <c r="EUX46" s="117"/>
      <c r="EUY46" s="117"/>
      <c r="EUZ46" s="117"/>
      <c r="EVA46" s="117"/>
      <c r="EVB46" s="117"/>
      <c r="EVC46" s="117"/>
      <c r="EVD46" s="117"/>
      <c r="EVE46" s="117"/>
      <c r="EVF46" s="117"/>
      <c r="EVG46" s="117"/>
      <c r="EVH46" s="117"/>
      <c r="EVI46" s="117"/>
      <c r="EVJ46" s="117"/>
      <c r="EVK46" s="117"/>
      <c r="EVL46" s="117"/>
      <c r="EVM46" s="117"/>
      <c r="EVN46" s="117"/>
      <c r="EVO46" s="117"/>
      <c r="EVP46" s="117"/>
      <c r="EVQ46" s="117"/>
      <c r="EVR46" s="117"/>
      <c r="EVS46" s="117"/>
      <c r="EVT46" s="117"/>
      <c r="EVU46" s="117"/>
      <c r="EVV46" s="117"/>
      <c r="EVW46" s="117"/>
      <c r="EVX46" s="117"/>
      <c r="EVY46" s="117"/>
      <c r="EVZ46" s="117"/>
      <c r="EWA46" s="117"/>
      <c r="EWB46" s="117"/>
      <c r="EWC46" s="117"/>
      <c r="EWD46" s="117"/>
      <c r="EWE46" s="117"/>
      <c r="EWF46" s="117"/>
      <c r="EWG46" s="117"/>
      <c r="EWH46" s="117"/>
      <c r="EWI46" s="117"/>
      <c r="EWJ46" s="117"/>
      <c r="EWK46" s="117"/>
      <c r="EWL46" s="117"/>
      <c r="EWM46" s="117"/>
      <c r="EWN46" s="117"/>
      <c r="EWO46" s="117"/>
      <c r="EWP46" s="117"/>
      <c r="EWQ46" s="117"/>
      <c r="EWR46" s="117"/>
      <c r="EWS46" s="117"/>
      <c r="EWT46" s="117"/>
      <c r="EWU46" s="117"/>
      <c r="EWV46" s="117"/>
      <c r="EWW46" s="117"/>
      <c r="EWX46" s="117"/>
      <c r="EWY46" s="117"/>
      <c r="EWZ46" s="117"/>
      <c r="EXA46" s="117"/>
      <c r="EXB46" s="117"/>
      <c r="EXC46" s="117"/>
      <c r="EXD46" s="117"/>
      <c r="EXE46" s="117"/>
      <c r="EXF46" s="117"/>
      <c r="EXG46" s="117"/>
      <c r="EXH46" s="117"/>
      <c r="EXI46" s="117"/>
      <c r="EXJ46" s="117"/>
      <c r="EXK46" s="117"/>
      <c r="EXL46" s="117"/>
      <c r="EXM46" s="117"/>
      <c r="EXN46" s="117"/>
      <c r="EXO46" s="117"/>
      <c r="EXP46" s="117"/>
      <c r="EXQ46" s="117"/>
      <c r="EXR46" s="117"/>
      <c r="EXS46" s="117"/>
      <c r="EXT46" s="117"/>
      <c r="EXU46" s="117"/>
      <c r="EXV46" s="117"/>
      <c r="EXW46" s="117"/>
      <c r="EXX46" s="117"/>
      <c r="EXY46" s="117"/>
      <c r="EXZ46" s="117"/>
      <c r="EYA46" s="117"/>
      <c r="EYB46" s="117"/>
      <c r="EYC46" s="117"/>
      <c r="EYD46" s="117"/>
      <c r="EYE46" s="117"/>
      <c r="EYF46" s="117"/>
      <c r="EYG46" s="117"/>
      <c r="EYH46" s="117"/>
      <c r="EYI46" s="117"/>
      <c r="EYJ46" s="117"/>
      <c r="EYK46" s="117"/>
      <c r="EYL46" s="117"/>
      <c r="EYM46" s="117"/>
      <c r="EYN46" s="117"/>
      <c r="EYO46" s="117"/>
      <c r="EYP46" s="117"/>
      <c r="EYQ46" s="117"/>
      <c r="EYR46" s="117"/>
      <c r="EYS46" s="117"/>
      <c r="EYT46" s="117"/>
      <c r="EYU46" s="117"/>
      <c r="EYV46" s="117"/>
      <c r="EYW46" s="117"/>
      <c r="EYX46" s="117"/>
      <c r="EYY46" s="117"/>
      <c r="EYZ46" s="117"/>
      <c r="EZA46" s="117"/>
      <c r="EZB46" s="117"/>
      <c r="EZC46" s="117"/>
      <c r="EZD46" s="117"/>
      <c r="EZE46" s="117"/>
      <c r="EZF46" s="117"/>
      <c r="EZG46" s="117"/>
      <c r="EZH46" s="117"/>
      <c r="EZI46" s="117"/>
      <c r="EZJ46" s="117"/>
      <c r="EZK46" s="117"/>
      <c r="EZL46" s="117"/>
      <c r="EZM46" s="117"/>
      <c r="EZN46" s="117"/>
      <c r="EZO46" s="117"/>
      <c r="EZP46" s="117"/>
      <c r="EZQ46" s="117"/>
      <c r="EZR46" s="117"/>
      <c r="EZS46" s="117"/>
      <c r="EZT46" s="117"/>
      <c r="EZU46" s="117"/>
      <c r="EZV46" s="117"/>
      <c r="EZW46" s="117"/>
      <c r="EZX46" s="117"/>
      <c r="EZY46" s="117"/>
      <c r="EZZ46" s="117"/>
      <c r="FAA46" s="117"/>
      <c r="FAB46" s="117"/>
      <c r="FAC46" s="117"/>
      <c r="FAD46" s="117"/>
      <c r="FAE46" s="117"/>
      <c r="FAF46" s="117"/>
      <c r="FAG46" s="117"/>
      <c r="FAH46" s="117"/>
      <c r="FAI46" s="117"/>
      <c r="FAJ46" s="117"/>
      <c r="FAK46" s="117"/>
      <c r="FAL46" s="117"/>
      <c r="FAM46" s="117"/>
      <c r="FAN46" s="117"/>
      <c r="FAO46" s="117"/>
      <c r="FAP46" s="117"/>
      <c r="FAQ46" s="117"/>
      <c r="FAR46" s="117"/>
      <c r="FAS46" s="117"/>
      <c r="FAT46" s="117"/>
      <c r="FAU46" s="117"/>
      <c r="FAV46" s="117"/>
      <c r="FAW46" s="117"/>
      <c r="FAX46" s="117"/>
      <c r="FAY46" s="117"/>
      <c r="FAZ46" s="117"/>
      <c r="FBA46" s="117"/>
      <c r="FBB46" s="117"/>
      <c r="FBC46" s="117"/>
      <c r="FBD46" s="117"/>
      <c r="FBE46" s="117"/>
      <c r="FBF46" s="117"/>
      <c r="FBG46" s="117"/>
      <c r="FBH46" s="117"/>
      <c r="FBI46" s="117"/>
      <c r="FBJ46" s="117"/>
      <c r="FBK46" s="117"/>
      <c r="FBL46" s="117"/>
      <c r="FBM46" s="117"/>
      <c r="FBN46" s="117"/>
      <c r="FBO46" s="117"/>
      <c r="FBP46" s="117"/>
      <c r="FBQ46" s="117"/>
      <c r="FBR46" s="117"/>
      <c r="FBS46" s="117"/>
      <c r="FBT46" s="117"/>
      <c r="FBU46" s="117"/>
      <c r="FBV46" s="117"/>
      <c r="FBW46" s="117"/>
      <c r="FBX46" s="117"/>
      <c r="FBY46" s="117"/>
      <c r="FBZ46" s="117"/>
      <c r="FCA46" s="117"/>
      <c r="FCB46" s="117"/>
      <c r="FCC46" s="117"/>
      <c r="FCD46" s="117"/>
      <c r="FCE46" s="117"/>
      <c r="FCF46" s="117"/>
      <c r="FCG46" s="117"/>
      <c r="FCH46" s="117"/>
      <c r="FCI46" s="117"/>
      <c r="FCJ46" s="117"/>
      <c r="FCK46" s="117"/>
      <c r="FCL46" s="117"/>
      <c r="FCM46" s="117"/>
      <c r="FCN46" s="117"/>
      <c r="FCO46" s="117"/>
      <c r="FCP46" s="117"/>
      <c r="FCQ46" s="117"/>
      <c r="FCR46" s="117"/>
      <c r="FCS46" s="117"/>
      <c r="FCT46" s="117"/>
      <c r="FCU46" s="117"/>
      <c r="FCV46" s="117"/>
      <c r="FCW46" s="117"/>
      <c r="FCX46" s="117"/>
      <c r="FCY46" s="117"/>
      <c r="FCZ46" s="117"/>
      <c r="FDA46" s="117"/>
      <c r="FDB46" s="117"/>
      <c r="FDC46" s="117"/>
      <c r="FDD46" s="117"/>
      <c r="FDE46" s="117"/>
      <c r="FDF46" s="117"/>
      <c r="FDG46" s="117"/>
      <c r="FDH46" s="117"/>
      <c r="FDI46" s="117"/>
      <c r="FDJ46" s="117"/>
      <c r="FDK46" s="117"/>
      <c r="FDL46" s="117"/>
      <c r="FDM46" s="117"/>
      <c r="FDN46" s="117"/>
      <c r="FDO46" s="117"/>
      <c r="FDP46" s="117"/>
      <c r="FDQ46" s="117"/>
      <c r="FDR46" s="117"/>
      <c r="FDS46" s="117"/>
      <c r="FDT46" s="117"/>
      <c r="FDU46" s="117"/>
      <c r="FDV46" s="117"/>
      <c r="FDW46" s="117"/>
      <c r="FDX46" s="117"/>
      <c r="FDY46" s="117"/>
      <c r="FDZ46" s="117"/>
      <c r="FEA46" s="117"/>
      <c r="FEB46" s="117"/>
      <c r="FEC46" s="117"/>
      <c r="FED46" s="117"/>
      <c r="FEE46" s="117"/>
      <c r="FEF46" s="117"/>
      <c r="FEG46" s="117"/>
      <c r="FEH46" s="117"/>
      <c r="FEI46" s="117"/>
      <c r="FEJ46" s="117"/>
      <c r="FEK46" s="117"/>
      <c r="FEL46" s="117"/>
      <c r="FEM46" s="117"/>
      <c r="FEN46" s="117"/>
      <c r="FEO46" s="117"/>
      <c r="FEP46" s="117"/>
      <c r="FEQ46" s="117"/>
      <c r="FER46" s="117"/>
      <c r="FES46" s="117"/>
      <c r="FET46" s="117"/>
      <c r="FEU46" s="117"/>
      <c r="FEV46" s="117"/>
      <c r="FEW46" s="117"/>
      <c r="FEX46" s="117"/>
      <c r="FEY46" s="117"/>
      <c r="FEZ46" s="117"/>
      <c r="FFA46" s="117"/>
      <c r="FFB46" s="117"/>
      <c r="FFC46" s="117"/>
      <c r="FFD46" s="117"/>
      <c r="FFE46" s="117"/>
      <c r="FFF46" s="117"/>
      <c r="FFG46" s="117"/>
      <c r="FFH46" s="117"/>
      <c r="FFI46" s="117"/>
      <c r="FFJ46" s="117"/>
      <c r="FFK46" s="117"/>
      <c r="FFL46" s="117"/>
      <c r="FFM46" s="117"/>
      <c r="FFN46" s="117"/>
      <c r="FFO46" s="117"/>
      <c r="FFP46" s="117"/>
      <c r="FFQ46" s="117"/>
      <c r="FFR46" s="117"/>
      <c r="FFS46" s="117"/>
      <c r="FFT46" s="117"/>
      <c r="FFU46" s="117"/>
      <c r="FFV46" s="117"/>
      <c r="FFW46" s="117"/>
      <c r="FFX46" s="117"/>
      <c r="FFY46" s="117"/>
      <c r="FFZ46" s="117"/>
      <c r="FGA46" s="117"/>
      <c r="FGB46" s="117"/>
      <c r="FGC46" s="117"/>
      <c r="FGD46" s="117"/>
      <c r="FGE46" s="117"/>
      <c r="FGF46" s="117"/>
      <c r="FGG46" s="117"/>
      <c r="FGH46" s="117"/>
      <c r="FGI46" s="117"/>
      <c r="FGJ46" s="117"/>
      <c r="FGK46" s="117"/>
      <c r="FGL46" s="117"/>
      <c r="FGM46" s="117"/>
      <c r="FGN46" s="117"/>
      <c r="FGO46" s="117"/>
      <c r="FGP46" s="117"/>
      <c r="FGQ46" s="117"/>
      <c r="FGR46" s="117"/>
      <c r="FGS46" s="117"/>
      <c r="FGT46" s="117"/>
      <c r="FGU46" s="117"/>
      <c r="FGV46" s="117"/>
      <c r="FGW46" s="117"/>
      <c r="FGX46" s="117"/>
      <c r="FGY46" s="117"/>
      <c r="FGZ46" s="117"/>
      <c r="FHA46" s="117"/>
      <c r="FHB46" s="117"/>
      <c r="FHC46" s="117"/>
      <c r="FHD46" s="117"/>
      <c r="FHE46" s="117"/>
      <c r="FHF46" s="117"/>
      <c r="FHG46" s="117"/>
      <c r="FHH46" s="117"/>
      <c r="FHI46" s="117"/>
      <c r="FHJ46" s="117"/>
      <c r="FHK46" s="117"/>
      <c r="FHL46" s="117"/>
      <c r="FHM46" s="117"/>
      <c r="FHN46" s="117"/>
      <c r="FHO46" s="117"/>
      <c r="FHP46" s="117"/>
      <c r="FHQ46" s="117"/>
      <c r="FHR46" s="117"/>
      <c r="FHS46" s="117"/>
      <c r="FHT46" s="117"/>
      <c r="FHU46" s="117"/>
      <c r="FHV46" s="117"/>
      <c r="FHW46" s="117"/>
      <c r="FHX46" s="117"/>
      <c r="FHY46" s="117"/>
      <c r="FHZ46" s="117"/>
      <c r="FIA46" s="117"/>
      <c r="FIB46" s="117"/>
      <c r="FIC46" s="117"/>
      <c r="FID46" s="117"/>
      <c r="FIE46" s="117"/>
      <c r="FIF46" s="117"/>
      <c r="FIG46" s="117"/>
      <c r="FIH46" s="117"/>
      <c r="FII46" s="117"/>
      <c r="FIJ46" s="117"/>
      <c r="FIK46" s="117"/>
      <c r="FIL46" s="117"/>
      <c r="FIM46" s="117"/>
      <c r="FIN46" s="117"/>
      <c r="FIO46" s="117"/>
      <c r="FIP46" s="117"/>
      <c r="FIQ46" s="117"/>
      <c r="FIR46" s="117"/>
      <c r="FIS46" s="117"/>
      <c r="FIT46" s="117"/>
      <c r="FIU46" s="117"/>
      <c r="FIV46" s="117"/>
      <c r="FIW46" s="117"/>
      <c r="FIX46" s="117"/>
      <c r="FIY46" s="117"/>
      <c r="FIZ46" s="117"/>
      <c r="FJA46" s="117"/>
      <c r="FJB46" s="117"/>
      <c r="FJC46" s="117"/>
      <c r="FJD46" s="117"/>
      <c r="FJE46" s="117"/>
      <c r="FJF46" s="117"/>
      <c r="FJG46" s="117"/>
      <c r="FJH46" s="117"/>
      <c r="FJI46" s="117"/>
      <c r="FJJ46" s="117"/>
      <c r="FJK46" s="117"/>
      <c r="FJL46" s="117"/>
      <c r="FJM46" s="117"/>
      <c r="FJN46" s="117"/>
      <c r="FJO46" s="117"/>
      <c r="FJP46" s="117"/>
      <c r="FJQ46" s="117"/>
      <c r="FJR46" s="117"/>
      <c r="FJS46" s="117"/>
      <c r="FJT46" s="117"/>
      <c r="FJU46" s="117"/>
      <c r="FJV46" s="117"/>
      <c r="FJW46" s="117"/>
      <c r="FJX46" s="117"/>
      <c r="FJY46" s="117"/>
      <c r="FJZ46" s="117"/>
      <c r="FKA46" s="117"/>
      <c r="FKB46" s="117"/>
      <c r="FKC46" s="117"/>
      <c r="FKD46" s="117"/>
      <c r="FKE46" s="117"/>
      <c r="FKF46" s="117"/>
      <c r="FKG46" s="117"/>
      <c r="FKH46" s="117"/>
      <c r="FKI46" s="117"/>
      <c r="FKJ46" s="117"/>
      <c r="FKK46" s="117"/>
      <c r="FKL46" s="117"/>
      <c r="FKM46" s="117"/>
      <c r="FKN46" s="117"/>
      <c r="FKO46" s="117"/>
      <c r="FKP46" s="117"/>
      <c r="FKQ46" s="117"/>
      <c r="FKR46" s="117"/>
      <c r="FKS46" s="117"/>
      <c r="FKT46" s="117"/>
      <c r="FKU46" s="117"/>
      <c r="FKV46" s="117"/>
      <c r="FKW46" s="117"/>
      <c r="FKX46" s="117"/>
      <c r="FKY46" s="117"/>
      <c r="FKZ46" s="117"/>
      <c r="FLA46" s="117"/>
      <c r="FLB46" s="117"/>
      <c r="FLC46" s="117"/>
      <c r="FLD46" s="117"/>
      <c r="FLE46" s="117"/>
      <c r="FLF46" s="117"/>
      <c r="FLG46" s="117"/>
      <c r="FLH46" s="117"/>
      <c r="FLI46" s="117"/>
      <c r="FLJ46" s="117"/>
      <c r="FLK46" s="117"/>
      <c r="FLL46" s="117"/>
      <c r="FLM46" s="117"/>
      <c r="FLN46" s="117"/>
      <c r="FLO46" s="117"/>
      <c r="FLP46" s="117"/>
      <c r="FLQ46" s="117"/>
      <c r="FLR46" s="117"/>
      <c r="FLS46" s="117"/>
      <c r="FLT46" s="117"/>
      <c r="FLU46" s="117"/>
      <c r="FLV46" s="117"/>
      <c r="FLW46" s="117"/>
      <c r="FLX46" s="117"/>
      <c r="FLY46" s="117"/>
      <c r="FLZ46" s="117"/>
      <c r="FMA46" s="117"/>
      <c r="FMB46" s="117"/>
      <c r="FMC46" s="117"/>
      <c r="FMD46" s="117"/>
      <c r="FME46" s="117"/>
      <c r="FMF46" s="117"/>
      <c r="FMG46" s="117"/>
      <c r="FMH46" s="117"/>
      <c r="FMI46" s="117"/>
      <c r="FMJ46" s="117"/>
      <c r="FMK46" s="117"/>
      <c r="FML46" s="117"/>
      <c r="FMM46" s="117"/>
      <c r="FMN46" s="117"/>
      <c r="FMO46" s="117"/>
      <c r="FMP46" s="117"/>
      <c r="FMQ46" s="117"/>
      <c r="FMR46" s="117"/>
      <c r="FMS46" s="117"/>
      <c r="FMT46" s="117"/>
      <c r="FMU46" s="117"/>
      <c r="FMV46" s="117"/>
      <c r="FMW46" s="117"/>
      <c r="FMX46" s="117"/>
      <c r="FMY46" s="117"/>
      <c r="FMZ46" s="117"/>
      <c r="FNA46" s="117"/>
      <c r="FNB46" s="117"/>
      <c r="FNC46" s="117"/>
      <c r="FND46" s="117"/>
      <c r="FNE46" s="117"/>
      <c r="FNF46" s="117"/>
      <c r="FNG46" s="117"/>
      <c r="FNH46" s="117"/>
      <c r="FNI46" s="117"/>
      <c r="FNJ46" s="117"/>
      <c r="FNK46" s="117"/>
      <c r="FNL46" s="117"/>
      <c r="FNM46" s="117"/>
      <c r="FNN46" s="117"/>
      <c r="FNO46" s="117"/>
      <c r="FNP46" s="117"/>
      <c r="FNQ46" s="117"/>
      <c r="FNR46" s="117"/>
      <c r="FNS46" s="117"/>
      <c r="FNT46" s="117"/>
      <c r="FNU46" s="117"/>
      <c r="FNV46" s="117"/>
      <c r="FNW46" s="117"/>
      <c r="FNX46" s="117"/>
      <c r="FNY46" s="117"/>
      <c r="FNZ46" s="117"/>
      <c r="FOA46" s="117"/>
      <c r="FOB46" s="117"/>
      <c r="FOC46" s="117"/>
      <c r="FOD46" s="117"/>
      <c r="FOE46" s="117"/>
      <c r="FOF46" s="117"/>
      <c r="FOG46" s="117"/>
      <c r="FOH46" s="117"/>
      <c r="FOI46" s="117"/>
      <c r="FOJ46" s="117"/>
      <c r="FOK46" s="117"/>
      <c r="FOL46" s="117"/>
      <c r="FOM46" s="117"/>
      <c r="FON46" s="117"/>
      <c r="FOO46" s="117"/>
      <c r="FOP46" s="117"/>
      <c r="FOQ46" s="117"/>
      <c r="FOR46" s="117"/>
      <c r="FOS46" s="117"/>
      <c r="FOT46" s="117"/>
      <c r="FOU46" s="117"/>
      <c r="FOV46" s="117"/>
      <c r="FOW46" s="117"/>
      <c r="FOX46" s="117"/>
      <c r="FOY46" s="117"/>
      <c r="FOZ46" s="117"/>
      <c r="FPA46" s="117"/>
      <c r="FPB46" s="117"/>
      <c r="FPC46" s="117"/>
      <c r="FPD46" s="117"/>
      <c r="FPE46" s="117"/>
      <c r="FPF46" s="117"/>
      <c r="FPG46" s="117"/>
      <c r="FPH46" s="117"/>
      <c r="FPI46" s="117"/>
      <c r="FPJ46" s="117"/>
      <c r="FPK46" s="117"/>
      <c r="FPL46" s="117"/>
      <c r="FPM46" s="117"/>
      <c r="FPN46" s="117"/>
      <c r="FPO46" s="117"/>
      <c r="FPP46" s="117"/>
      <c r="FPQ46" s="117"/>
      <c r="FPR46" s="117"/>
      <c r="FPS46" s="117"/>
      <c r="FPT46" s="117"/>
      <c r="FPU46" s="117"/>
      <c r="FPV46" s="117"/>
      <c r="FPW46" s="117"/>
      <c r="FPX46" s="117"/>
      <c r="FPY46" s="117"/>
      <c r="FPZ46" s="117"/>
      <c r="FQA46" s="117"/>
      <c r="FQB46" s="117"/>
      <c r="FQC46" s="117"/>
      <c r="FQD46" s="117"/>
      <c r="FQE46" s="117"/>
      <c r="FQF46" s="117"/>
      <c r="FQG46" s="117"/>
      <c r="FQH46" s="117"/>
      <c r="FQI46" s="117"/>
      <c r="FQJ46" s="117"/>
      <c r="FQK46" s="117"/>
      <c r="FQL46" s="117"/>
      <c r="FQM46" s="117"/>
      <c r="FQN46" s="117"/>
      <c r="FQO46" s="117"/>
      <c r="FQP46" s="117"/>
      <c r="FQQ46" s="117"/>
      <c r="FQR46" s="117"/>
      <c r="FQS46" s="117"/>
      <c r="FQT46" s="117"/>
      <c r="FQU46" s="117"/>
      <c r="FQV46" s="117"/>
      <c r="FQW46" s="117"/>
      <c r="FQX46" s="117"/>
      <c r="FQY46" s="117"/>
      <c r="FQZ46" s="117"/>
      <c r="FRA46" s="117"/>
      <c r="FRB46" s="117"/>
      <c r="FRC46" s="117"/>
      <c r="FRD46" s="117"/>
      <c r="FRE46" s="117"/>
      <c r="FRF46" s="117"/>
      <c r="FRG46" s="117"/>
      <c r="FRH46" s="117"/>
      <c r="FRI46" s="117"/>
      <c r="FRJ46" s="117"/>
      <c r="FRK46" s="117"/>
      <c r="FRL46" s="117"/>
      <c r="FRM46" s="117"/>
      <c r="FRN46" s="117"/>
      <c r="FRO46" s="117"/>
      <c r="FRP46" s="117"/>
      <c r="FRQ46" s="117"/>
      <c r="FRR46" s="117"/>
      <c r="FRS46" s="117"/>
      <c r="FRT46" s="117"/>
      <c r="FRU46" s="117"/>
      <c r="FRV46" s="117"/>
      <c r="FRW46" s="117"/>
      <c r="FRX46" s="117"/>
      <c r="FRY46" s="117"/>
      <c r="FRZ46" s="117"/>
      <c r="FSA46" s="117"/>
      <c r="FSB46" s="117"/>
      <c r="FSC46" s="117"/>
      <c r="FSD46" s="117"/>
      <c r="FSE46" s="117"/>
      <c r="FSF46" s="117"/>
      <c r="FSG46" s="117"/>
      <c r="FSH46" s="117"/>
      <c r="FSI46" s="117"/>
      <c r="FSJ46" s="117"/>
      <c r="FSK46" s="117"/>
      <c r="FSL46" s="117"/>
      <c r="FSM46" s="117"/>
      <c r="FSN46" s="117"/>
      <c r="FSO46" s="117"/>
      <c r="FSP46" s="117"/>
      <c r="FSQ46" s="117"/>
      <c r="FSR46" s="117"/>
      <c r="FSS46" s="117"/>
      <c r="FST46" s="117"/>
      <c r="FSU46" s="117"/>
      <c r="FSV46" s="117"/>
      <c r="FSW46" s="117"/>
      <c r="FSX46" s="117"/>
      <c r="FSY46" s="117"/>
      <c r="FSZ46" s="117"/>
      <c r="FTA46" s="117"/>
      <c r="FTB46" s="117"/>
      <c r="FTC46" s="117"/>
      <c r="FTD46" s="117"/>
      <c r="FTE46" s="117"/>
      <c r="FTF46" s="117"/>
      <c r="FTG46" s="117"/>
      <c r="FTH46" s="117"/>
      <c r="FTI46" s="117"/>
      <c r="FTJ46" s="117"/>
      <c r="FTK46" s="117"/>
      <c r="FTL46" s="117"/>
      <c r="FTM46" s="117"/>
      <c r="FTN46" s="117"/>
      <c r="FTO46" s="117"/>
      <c r="FTP46" s="117"/>
      <c r="FTQ46" s="117"/>
      <c r="FTR46" s="117"/>
      <c r="FTS46" s="117"/>
      <c r="FTT46" s="117"/>
      <c r="FTU46" s="117"/>
      <c r="FTV46" s="117"/>
      <c r="FTW46" s="117"/>
      <c r="FTX46" s="117"/>
      <c r="FTY46" s="117"/>
      <c r="FTZ46" s="117"/>
      <c r="FUA46" s="117"/>
      <c r="FUB46" s="117"/>
      <c r="FUC46" s="117"/>
      <c r="FUD46" s="117"/>
      <c r="FUE46" s="117"/>
      <c r="FUF46" s="117"/>
      <c r="FUG46" s="117"/>
      <c r="FUH46" s="117"/>
      <c r="FUI46" s="117"/>
      <c r="FUJ46" s="117"/>
      <c r="FUK46" s="117"/>
      <c r="FUL46" s="117"/>
      <c r="FUM46" s="117"/>
      <c r="FUN46" s="117"/>
      <c r="FUO46" s="117"/>
      <c r="FUP46" s="117"/>
      <c r="FUQ46" s="117"/>
      <c r="FUR46" s="117"/>
      <c r="FUS46" s="117"/>
      <c r="FUT46" s="117"/>
      <c r="FUU46" s="117"/>
      <c r="FUV46" s="117"/>
      <c r="FUW46" s="117"/>
      <c r="FUX46" s="117"/>
      <c r="FUY46" s="117"/>
      <c r="FUZ46" s="117"/>
      <c r="FVA46" s="117"/>
      <c r="FVB46" s="117"/>
      <c r="FVC46" s="117"/>
      <c r="FVD46" s="117"/>
      <c r="FVE46" s="117"/>
      <c r="FVF46" s="117"/>
      <c r="FVG46" s="117"/>
      <c r="FVH46" s="117"/>
      <c r="FVI46" s="117"/>
      <c r="FVJ46" s="117"/>
      <c r="FVK46" s="117"/>
      <c r="FVL46" s="117"/>
      <c r="FVM46" s="117"/>
      <c r="FVN46" s="117"/>
      <c r="FVO46" s="117"/>
      <c r="FVP46" s="117"/>
      <c r="FVQ46" s="117"/>
      <c r="FVR46" s="117"/>
      <c r="FVS46" s="117"/>
      <c r="FVT46" s="117"/>
      <c r="FVU46" s="117"/>
      <c r="FVV46" s="117"/>
      <c r="FVW46" s="117"/>
      <c r="FVX46" s="117"/>
      <c r="FVY46" s="117"/>
      <c r="FVZ46" s="117"/>
      <c r="FWA46" s="117"/>
      <c r="FWB46" s="117"/>
      <c r="FWC46" s="117"/>
      <c r="FWD46" s="117"/>
      <c r="FWE46" s="117"/>
      <c r="FWF46" s="117"/>
      <c r="FWG46" s="117"/>
      <c r="FWH46" s="117"/>
      <c r="FWI46" s="117"/>
      <c r="FWJ46" s="117"/>
      <c r="FWK46" s="117"/>
      <c r="FWL46" s="117"/>
      <c r="FWM46" s="117"/>
      <c r="FWN46" s="117"/>
      <c r="FWO46" s="117"/>
      <c r="FWP46" s="117"/>
      <c r="FWQ46" s="117"/>
      <c r="FWR46" s="117"/>
      <c r="FWS46" s="117"/>
      <c r="FWT46" s="117"/>
      <c r="FWU46" s="117"/>
      <c r="FWV46" s="117"/>
      <c r="FWW46" s="117"/>
      <c r="FWX46" s="117"/>
      <c r="FWY46" s="117"/>
      <c r="FWZ46" s="117"/>
      <c r="FXA46" s="117"/>
      <c r="FXB46" s="117"/>
      <c r="FXC46" s="117"/>
      <c r="FXD46" s="117"/>
      <c r="FXE46" s="117"/>
      <c r="FXF46" s="117"/>
      <c r="FXG46" s="117"/>
      <c r="FXH46" s="117"/>
      <c r="FXI46" s="117"/>
      <c r="FXJ46" s="117"/>
      <c r="FXK46" s="117"/>
      <c r="FXL46" s="117"/>
      <c r="FXM46" s="117"/>
      <c r="FXN46" s="117"/>
      <c r="FXO46" s="117"/>
      <c r="FXP46" s="117"/>
      <c r="FXQ46" s="117"/>
      <c r="FXR46" s="117"/>
      <c r="FXS46" s="117"/>
      <c r="FXT46" s="117"/>
      <c r="FXU46" s="117"/>
      <c r="FXV46" s="117"/>
      <c r="FXW46" s="117"/>
      <c r="FXX46" s="117"/>
      <c r="FXY46" s="117"/>
      <c r="FXZ46" s="117"/>
      <c r="FYA46" s="117"/>
      <c r="FYB46" s="117"/>
      <c r="FYC46" s="117"/>
      <c r="FYD46" s="117"/>
      <c r="FYE46" s="117"/>
      <c r="FYF46" s="117"/>
      <c r="FYG46" s="117"/>
      <c r="FYH46" s="117"/>
      <c r="FYI46" s="117"/>
      <c r="FYJ46" s="117"/>
      <c r="FYK46" s="117"/>
      <c r="FYL46" s="117"/>
      <c r="FYM46" s="117"/>
      <c r="FYN46" s="117"/>
      <c r="FYO46" s="117"/>
      <c r="FYP46" s="117"/>
      <c r="FYQ46" s="117"/>
      <c r="FYR46" s="117"/>
      <c r="FYS46" s="117"/>
      <c r="FYT46" s="117"/>
      <c r="FYU46" s="117"/>
      <c r="FYV46" s="117"/>
      <c r="FYW46" s="117"/>
      <c r="FYX46" s="117"/>
      <c r="FYY46" s="117"/>
      <c r="FYZ46" s="117"/>
      <c r="FZA46" s="117"/>
      <c r="FZB46" s="117"/>
      <c r="FZC46" s="117"/>
      <c r="FZD46" s="117"/>
      <c r="FZE46" s="117"/>
      <c r="FZF46" s="117"/>
      <c r="FZG46" s="117"/>
      <c r="FZH46" s="117"/>
      <c r="FZI46" s="117"/>
      <c r="FZJ46" s="117"/>
      <c r="FZK46" s="117"/>
      <c r="FZL46" s="117"/>
      <c r="FZM46" s="117"/>
      <c r="FZN46" s="117"/>
      <c r="FZO46" s="117"/>
      <c r="FZP46" s="117"/>
      <c r="FZQ46" s="117"/>
      <c r="FZR46" s="117"/>
      <c r="FZS46" s="117"/>
      <c r="FZT46" s="117"/>
      <c r="FZU46" s="117"/>
      <c r="FZV46" s="117"/>
      <c r="FZW46" s="117"/>
      <c r="FZX46" s="117"/>
      <c r="FZY46" s="117"/>
      <c r="FZZ46" s="117"/>
      <c r="GAA46" s="117"/>
      <c r="GAB46" s="117"/>
      <c r="GAC46" s="117"/>
      <c r="GAD46" s="117"/>
      <c r="GAE46" s="117"/>
      <c r="GAF46" s="117"/>
      <c r="GAG46" s="117"/>
      <c r="GAH46" s="117"/>
      <c r="GAI46" s="117"/>
      <c r="GAJ46" s="117"/>
      <c r="GAK46" s="117"/>
      <c r="GAL46" s="117"/>
      <c r="GAM46" s="117"/>
      <c r="GAN46" s="117"/>
      <c r="GAO46" s="117"/>
      <c r="GAP46" s="117"/>
      <c r="GAQ46" s="117"/>
      <c r="GAR46" s="117"/>
      <c r="GAS46" s="117"/>
      <c r="GAT46" s="117"/>
      <c r="GAU46" s="117"/>
      <c r="GAV46" s="117"/>
      <c r="GAW46" s="117"/>
      <c r="GAX46" s="117"/>
      <c r="GAY46" s="117"/>
      <c r="GAZ46" s="117"/>
      <c r="GBA46" s="117"/>
      <c r="GBB46" s="117"/>
      <c r="GBC46" s="117"/>
      <c r="GBD46" s="117"/>
      <c r="GBE46" s="117"/>
      <c r="GBF46" s="117"/>
      <c r="GBG46" s="117"/>
      <c r="GBH46" s="117"/>
      <c r="GBI46" s="117"/>
      <c r="GBJ46" s="117"/>
      <c r="GBK46" s="117"/>
      <c r="GBL46" s="117"/>
      <c r="GBM46" s="117"/>
      <c r="GBN46" s="117"/>
      <c r="GBO46" s="117"/>
      <c r="GBP46" s="117"/>
      <c r="GBQ46" s="117"/>
      <c r="GBR46" s="117"/>
      <c r="GBS46" s="117"/>
      <c r="GBT46" s="117"/>
      <c r="GBU46" s="117"/>
      <c r="GBV46" s="117"/>
      <c r="GBW46" s="117"/>
      <c r="GBX46" s="117"/>
      <c r="GBY46" s="117"/>
      <c r="GBZ46" s="117"/>
      <c r="GCA46" s="117"/>
      <c r="GCB46" s="117"/>
      <c r="GCC46" s="117"/>
      <c r="GCD46" s="117"/>
      <c r="GCE46" s="117"/>
      <c r="GCF46" s="117"/>
      <c r="GCG46" s="117"/>
      <c r="GCH46" s="117"/>
      <c r="GCI46" s="117"/>
      <c r="GCJ46" s="117"/>
      <c r="GCK46" s="117"/>
      <c r="GCL46" s="117"/>
      <c r="GCM46" s="117"/>
      <c r="GCN46" s="117"/>
      <c r="GCO46" s="117"/>
      <c r="GCP46" s="117"/>
      <c r="GCQ46" s="117"/>
      <c r="GCR46" s="117"/>
      <c r="GCS46" s="117"/>
      <c r="GCT46" s="117"/>
      <c r="GCU46" s="117"/>
      <c r="GCV46" s="117"/>
      <c r="GCW46" s="117"/>
      <c r="GCX46" s="117"/>
      <c r="GCY46" s="117"/>
      <c r="GCZ46" s="117"/>
      <c r="GDA46" s="117"/>
      <c r="GDB46" s="117"/>
      <c r="GDC46" s="117"/>
      <c r="GDD46" s="117"/>
      <c r="GDE46" s="117"/>
      <c r="GDF46" s="117"/>
      <c r="GDG46" s="117"/>
      <c r="GDH46" s="117"/>
      <c r="GDI46" s="117"/>
      <c r="GDJ46" s="117"/>
      <c r="GDK46" s="117"/>
      <c r="GDL46" s="117"/>
      <c r="GDM46" s="117"/>
      <c r="GDN46" s="117"/>
      <c r="GDO46" s="117"/>
      <c r="GDP46" s="117"/>
      <c r="GDQ46" s="117"/>
      <c r="GDR46" s="117"/>
      <c r="GDS46" s="117"/>
      <c r="GDT46" s="117"/>
      <c r="GDU46" s="117"/>
      <c r="GDV46" s="117"/>
      <c r="GDW46" s="117"/>
      <c r="GDX46" s="117"/>
      <c r="GDY46" s="117"/>
      <c r="GDZ46" s="117"/>
      <c r="GEA46" s="117"/>
      <c r="GEB46" s="117"/>
      <c r="GEC46" s="117"/>
      <c r="GED46" s="117"/>
      <c r="GEE46" s="117"/>
      <c r="GEF46" s="117"/>
      <c r="GEG46" s="117"/>
      <c r="GEH46" s="117"/>
      <c r="GEI46" s="117"/>
      <c r="GEJ46" s="117"/>
      <c r="GEK46" s="117"/>
      <c r="GEL46" s="117"/>
      <c r="GEM46" s="117"/>
      <c r="GEN46" s="117"/>
      <c r="GEO46" s="117"/>
      <c r="GEP46" s="117"/>
      <c r="GEQ46" s="117"/>
      <c r="GER46" s="117"/>
      <c r="GES46" s="117"/>
      <c r="GET46" s="117"/>
      <c r="GEU46" s="117"/>
      <c r="GEV46" s="117"/>
      <c r="GEW46" s="117"/>
      <c r="GEX46" s="117"/>
      <c r="GEY46" s="117"/>
      <c r="GEZ46" s="117"/>
      <c r="GFA46" s="117"/>
      <c r="GFB46" s="117"/>
      <c r="GFC46" s="117"/>
      <c r="GFD46" s="117"/>
      <c r="GFE46" s="117"/>
      <c r="GFF46" s="117"/>
      <c r="GFG46" s="117"/>
      <c r="GFH46" s="117"/>
      <c r="GFI46" s="117"/>
      <c r="GFJ46" s="117"/>
      <c r="GFK46" s="117"/>
      <c r="GFL46" s="117"/>
      <c r="GFM46" s="117"/>
      <c r="GFN46" s="117"/>
      <c r="GFO46" s="117"/>
      <c r="GFP46" s="117"/>
      <c r="GFQ46" s="117"/>
      <c r="GFR46" s="117"/>
      <c r="GFS46" s="117"/>
      <c r="GFT46" s="117"/>
      <c r="GFU46" s="117"/>
      <c r="GFV46" s="117"/>
      <c r="GFW46" s="117"/>
      <c r="GFX46" s="117"/>
      <c r="GFY46" s="117"/>
      <c r="GFZ46" s="117"/>
      <c r="GGA46" s="117"/>
      <c r="GGB46" s="117"/>
      <c r="GGC46" s="117"/>
      <c r="GGD46" s="117"/>
      <c r="GGE46" s="117"/>
      <c r="GGF46" s="117"/>
      <c r="GGG46" s="117"/>
      <c r="GGH46" s="117"/>
      <c r="GGI46" s="117"/>
      <c r="GGJ46" s="117"/>
      <c r="GGK46" s="117"/>
      <c r="GGL46" s="117"/>
      <c r="GGM46" s="117"/>
      <c r="GGN46" s="117"/>
      <c r="GGO46" s="117"/>
      <c r="GGP46" s="117"/>
      <c r="GGQ46" s="117"/>
      <c r="GGR46" s="117"/>
      <c r="GGS46" s="117"/>
      <c r="GGT46" s="117"/>
      <c r="GGU46" s="117"/>
      <c r="GGV46" s="117"/>
      <c r="GGW46" s="117"/>
      <c r="GGX46" s="117"/>
      <c r="GGY46" s="117"/>
      <c r="GGZ46" s="117"/>
      <c r="GHA46" s="117"/>
      <c r="GHB46" s="117"/>
      <c r="GHC46" s="117"/>
      <c r="GHD46" s="117"/>
      <c r="GHE46" s="117"/>
      <c r="GHF46" s="117"/>
      <c r="GHG46" s="117"/>
      <c r="GHH46" s="117"/>
      <c r="GHI46" s="117"/>
      <c r="GHJ46" s="117"/>
      <c r="GHK46" s="117"/>
      <c r="GHL46" s="117"/>
      <c r="GHM46" s="117"/>
      <c r="GHN46" s="117"/>
      <c r="GHO46" s="117"/>
      <c r="GHP46" s="117"/>
      <c r="GHQ46" s="117"/>
      <c r="GHR46" s="117"/>
      <c r="GHS46" s="117"/>
      <c r="GHT46" s="117"/>
      <c r="GHU46" s="117"/>
      <c r="GHV46" s="117"/>
      <c r="GHW46" s="117"/>
      <c r="GHX46" s="117"/>
      <c r="GHY46" s="117"/>
      <c r="GHZ46" s="117"/>
      <c r="GIA46" s="117"/>
      <c r="GIB46" s="117"/>
      <c r="GIC46" s="117"/>
      <c r="GID46" s="117"/>
      <c r="GIE46" s="117"/>
      <c r="GIF46" s="117"/>
      <c r="GIG46" s="117"/>
      <c r="GIH46" s="117"/>
      <c r="GII46" s="117"/>
      <c r="GIJ46" s="117"/>
      <c r="GIK46" s="117"/>
      <c r="GIL46" s="117"/>
      <c r="GIM46" s="117"/>
      <c r="GIN46" s="117"/>
      <c r="GIO46" s="117"/>
      <c r="GIP46" s="117"/>
      <c r="GIQ46" s="117"/>
      <c r="GIR46" s="117"/>
      <c r="GIS46" s="117"/>
      <c r="GIT46" s="117"/>
      <c r="GIU46" s="117"/>
      <c r="GIV46" s="117"/>
      <c r="GIW46" s="117"/>
      <c r="GIX46" s="117"/>
      <c r="GIY46" s="117"/>
      <c r="GIZ46" s="117"/>
      <c r="GJA46" s="117"/>
      <c r="GJB46" s="117"/>
      <c r="GJC46" s="117"/>
      <c r="GJD46" s="117"/>
      <c r="GJE46" s="117"/>
      <c r="GJF46" s="117"/>
      <c r="GJG46" s="117"/>
      <c r="GJH46" s="117"/>
      <c r="GJI46" s="117"/>
      <c r="GJJ46" s="117"/>
      <c r="GJK46" s="117"/>
      <c r="GJL46" s="117"/>
      <c r="GJM46" s="117"/>
      <c r="GJN46" s="117"/>
      <c r="GJO46" s="117"/>
      <c r="GJP46" s="117"/>
      <c r="GJQ46" s="117"/>
      <c r="GJR46" s="117"/>
      <c r="GJS46" s="117"/>
      <c r="GJT46" s="117"/>
      <c r="GJU46" s="117"/>
      <c r="GJV46" s="117"/>
      <c r="GJW46" s="117"/>
      <c r="GJX46" s="117"/>
      <c r="GJY46" s="117"/>
      <c r="GJZ46" s="117"/>
      <c r="GKA46" s="117"/>
      <c r="GKB46" s="117"/>
      <c r="GKC46" s="117"/>
      <c r="GKD46" s="117"/>
      <c r="GKE46" s="117"/>
      <c r="GKF46" s="117"/>
      <c r="GKG46" s="117"/>
      <c r="GKH46" s="117"/>
      <c r="GKI46" s="117"/>
      <c r="GKJ46" s="117"/>
      <c r="GKK46" s="117"/>
      <c r="GKL46" s="117"/>
      <c r="GKM46" s="117"/>
      <c r="GKN46" s="117"/>
      <c r="GKO46" s="117"/>
      <c r="GKP46" s="117"/>
      <c r="GKQ46" s="117"/>
      <c r="GKR46" s="117"/>
      <c r="GKS46" s="117"/>
      <c r="GKT46" s="117"/>
      <c r="GKU46" s="117"/>
      <c r="GKV46" s="117"/>
      <c r="GKW46" s="117"/>
      <c r="GKX46" s="117"/>
      <c r="GKY46" s="117"/>
      <c r="GKZ46" s="117"/>
      <c r="GLA46" s="117"/>
      <c r="GLB46" s="117"/>
      <c r="GLC46" s="117"/>
      <c r="GLD46" s="117"/>
      <c r="GLE46" s="117"/>
      <c r="GLF46" s="117"/>
      <c r="GLG46" s="117"/>
      <c r="GLH46" s="117"/>
      <c r="GLI46" s="117"/>
      <c r="GLJ46" s="117"/>
      <c r="GLK46" s="117"/>
      <c r="GLL46" s="117"/>
      <c r="GLM46" s="117"/>
      <c r="GLN46" s="117"/>
      <c r="GLO46" s="117"/>
      <c r="GLP46" s="117"/>
      <c r="GLQ46" s="117"/>
      <c r="GLR46" s="117"/>
      <c r="GLS46" s="117"/>
      <c r="GLT46" s="117"/>
      <c r="GLU46" s="117"/>
      <c r="GLV46" s="117"/>
      <c r="GLW46" s="117"/>
      <c r="GLX46" s="117"/>
      <c r="GLY46" s="117"/>
      <c r="GLZ46" s="117"/>
      <c r="GMA46" s="117"/>
      <c r="GMB46" s="117"/>
      <c r="GMC46" s="117"/>
      <c r="GMD46" s="117"/>
      <c r="GME46" s="117"/>
      <c r="GMF46" s="117"/>
      <c r="GMG46" s="117"/>
      <c r="GMH46" s="117"/>
      <c r="GMI46" s="117"/>
      <c r="GMJ46" s="117"/>
      <c r="GMK46" s="117"/>
      <c r="GML46" s="117"/>
      <c r="GMM46" s="117"/>
      <c r="GMN46" s="117"/>
      <c r="GMO46" s="117"/>
      <c r="GMP46" s="117"/>
      <c r="GMQ46" s="117"/>
      <c r="GMR46" s="117"/>
      <c r="GMS46" s="117"/>
      <c r="GMT46" s="117"/>
      <c r="GMU46" s="117"/>
      <c r="GMV46" s="117"/>
      <c r="GMW46" s="117"/>
      <c r="GMX46" s="117"/>
      <c r="GMY46" s="117"/>
      <c r="GMZ46" s="117"/>
      <c r="GNA46" s="117"/>
      <c r="GNB46" s="117"/>
      <c r="GNC46" s="117"/>
      <c r="GND46" s="117"/>
      <c r="GNE46" s="117"/>
      <c r="GNF46" s="117"/>
      <c r="GNG46" s="117"/>
      <c r="GNH46" s="117"/>
      <c r="GNI46" s="117"/>
      <c r="GNJ46" s="117"/>
      <c r="GNK46" s="117"/>
      <c r="GNL46" s="117"/>
      <c r="GNM46" s="117"/>
      <c r="GNN46" s="117"/>
      <c r="GNO46" s="117"/>
      <c r="GNP46" s="117"/>
      <c r="GNQ46" s="117"/>
      <c r="GNR46" s="117"/>
      <c r="GNS46" s="117"/>
      <c r="GNT46" s="117"/>
      <c r="GNU46" s="117"/>
      <c r="GNV46" s="117"/>
      <c r="GNW46" s="117"/>
      <c r="GNX46" s="117"/>
      <c r="GNY46" s="117"/>
      <c r="GNZ46" s="117"/>
      <c r="GOA46" s="117"/>
      <c r="GOB46" s="117"/>
      <c r="GOC46" s="117"/>
      <c r="GOD46" s="117"/>
      <c r="GOE46" s="117"/>
      <c r="GOF46" s="117"/>
      <c r="GOG46" s="117"/>
      <c r="GOH46" s="117"/>
      <c r="GOI46" s="117"/>
      <c r="GOJ46" s="117"/>
      <c r="GOK46" s="117"/>
      <c r="GOL46" s="117"/>
      <c r="GOM46" s="117"/>
      <c r="GON46" s="117"/>
      <c r="GOO46" s="117"/>
      <c r="GOP46" s="117"/>
      <c r="GOQ46" s="117"/>
      <c r="GOR46" s="117"/>
      <c r="GOS46" s="117"/>
      <c r="GOT46" s="117"/>
      <c r="GOU46" s="117"/>
      <c r="GOV46" s="117"/>
      <c r="GOW46" s="117"/>
      <c r="GOX46" s="117"/>
      <c r="GOY46" s="117"/>
      <c r="GOZ46" s="117"/>
      <c r="GPA46" s="117"/>
      <c r="GPB46" s="117"/>
      <c r="GPC46" s="117"/>
      <c r="GPD46" s="117"/>
      <c r="GPE46" s="117"/>
      <c r="GPF46" s="117"/>
      <c r="GPG46" s="117"/>
      <c r="GPH46" s="117"/>
      <c r="GPI46" s="117"/>
      <c r="GPJ46" s="117"/>
      <c r="GPK46" s="117"/>
      <c r="GPL46" s="117"/>
      <c r="GPM46" s="117"/>
      <c r="GPN46" s="117"/>
      <c r="GPO46" s="117"/>
      <c r="GPP46" s="117"/>
      <c r="GPQ46" s="117"/>
      <c r="GPR46" s="117"/>
      <c r="GPS46" s="117"/>
      <c r="GPT46" s="117"/>
      <c r="GPU46" s="117"/>
      <c r="GPV46" s="117"/>
      <c r="GPW46" s="117"/>
      <c r="GPX46" s="117"/>
      <c r="GPY46" s="117"/>
      <c r="GPZ46" s="117"/>
      <c r="GQA46" s="117"/>
      <c r="GQB46" s="117"/>
      <c r="GQC46" s="117"/>
      <c r="GQD46" s="117"/>
      <c r="GQE46" s="117"/>
      <c r="GQF46" s="117"/>
      <c r="GQG46" s="117"/>
      <c r="GQH46" s="117"/>
      <c r="GQI46" s="117"/>
      <c r="GQJ46" s="117"/>
      <c r="GQK46" s="117"/>
      <c r="GQL46" s="117"/>
      <c r="GQM46" s="117"/>
      <c r="GQN46" s="117"/>
      <c r="GQO46" s="117"/>
      <c r="GQP46" s="117"/>
      <c r="GQQ46" s="117"/>
      <c r="GQR46" s="117"/>
      <c r="GQS46" s="117"/>
      <c r="GQT46" s="117"/>
      <c r="GQU46" s="117"/>
      <c r="GQV46" s="117"/>
      <c r="GQW46" s="117"/>
      <c r="GQX46" s="117"/>
      <c r="GQY46" s="117"/>
      <c r="GQZ46" s="117"/>
      <c r="GRA46" s="117"/>
      <c r="GRB46" s="117"/>
      <c r="GRC46" s="117"/>
      <c r="GRD46" s="117"/>
      <c r="GRE46" s="117"/>
      <c r="GRF46" s="117"/>
      <c r="GRG46" s="117"/>
      <c r="GRH46" s="117"/>
      <c r="GRI46" s="117"/>
      <c r="GRJ46" s="117"/>
      <c r="GRK46" s="117"/>
      <c r="GRL46" s="117"/>
      <c r="GRM46" s="117"/>
      <c r="GRN46" s="117"/>
      <c r="GRO46" s="117"/>
      <c r="GRP46" s="117"/>
      <c r="GRQ46" s="117"/>
      <c r="GRR46" s="117"/>
      <c r="GRS46" s="117"/>
      <c r="GRT46" s="117"/>
      <c r="GRU46" s="117"/>
      <c r="GRV46" s="117"/>
      <c r="GRW46" s="117"/>
      <c r="GRX46" s="117"/>
      <c r="GRY46" s="117"/>
      <c r="GRZ46" s="117"/>
      <c r="GSA46" s="117"/>
      <c r="GSB46" s="117"/>
      <c r="GSC46" s="117"/>
      <c r="GSD46" s="117"/>
      <c r="GSE46" s="117"/>
      <c r="GSF46" s="117"/>
      <c r="GSG46" s="117"/>
      <c r="GSH46" s="117"/>
      <c r="GSI46" s="117"/>
      <c r="GSJ46" s="117"/>
      <c r="GSK46" s="117"/>
      <c r="GSL46" s="117"/>
      <c r="GSM46" s="117"/>
      <c r="GSN46" s="117"/>
      <c r="GSO46" s="117"/>
      <c r="GSP46" s="117"/>
      <c r="GSQ46" s="117"/>
      <c r="GSR46" s="117"/>
      <c r="GSS46" s="117"/>
      <c r="GST46" s="117"/>
      <c r="GSU46" s="117"/>
      <c r="GSV46" s="117"/>
      <c r="GSW46" s="117"/>
      <c r="GSX46" s="117"/>
      <c r="GSY46" s="117"/>
      <c r="GSZ46" s="117"/>
      <c r="GTA46" s="117"/>
      <c r="GTB46" s="117"/>
      <c r="GTC46" s="117"/>
      <c r="GTD46" s="117"/>
      <c r="GTE46" s="117"/>
      <c r="GTF46" s="117"/>
      <c r="GTG46" s="117"/>
      <c r="GTH46" s="117"/>
      <c r="GTI46" s="117"/>
      <c r="GTJ46" s="117"/>
      <c r="GTK46" s="117"/>
      <c r="GTL46" s="117"/>
      <c r="GTM46" s="117"/>
      <c r="GTN46" s="117"/>
      <c r="GTO46" s="117"/>
      <c r="GTP46" s="117"/>
      <c r="GTQ46" s="117"/>
      <c r="GTR46" s="117"/>
      <c r="GTS46" s="117"/>
      <c r="GTT46" s="117"/>
      <c r="GTU46" s="117"/>
      <c r="GTV46" s="117"/>
      <c r="GTW46" s="117"/>
      <c r="GTX46" s="117"/>
      <c r="GTY46" s="117"/>
      <c r="GTZ46" s="117"/>
      <c r="GUA46" s="117"/>
      <c r="GUB46" s="117"/>
      <c r="GUC46" s="117"/>
      <c r="GUD46" s="117"/>
      <c r="GUE46" s="117"/>
      <c r="GUF46" s="117"/>
      <c r="GUG46" s="117"/>
      <c r="GUH46" s="117"/>
      <c r="GUI46" s="117"/>
      <c r="GUJ46" s="117"/>
      <c r="GUK46" s="117"/>
      <c r="GUL46" s="117"/>
      <c r="GUM46" s="117"/>
      <c r="GUN46" s="117"/>
      <c r="GUO46" s="117"/>
      <c r="GUP46" s="117"/>
      <c r="GUQ46" s="117"/>
      <c r="GUR46" s="117"/>
      <c r="GUS46" s="117"/>
      <c r="GUT46" s="117"/>
      <c r="GUU46" s="117"/>
      <c r="GUV46" s="117"/>
      <c r="GUW46" s="117"/>
      <c r="GUX46" s="117"/>
      <c r="GUY46" s="117"/>
      <c r="GUZ46" s="117"/>
      <c r="GVA46" s="117"/>
      <c r="GVB46" s="117"/>
      <c r="GVC46" s="117"/>
      <c r="GVD46" s="117"/>
      <c r="GVE46" s="117"/>
      <c r="GVF46" s="117"/>
      <c r="GVG46" s="117"/>
      <c r="GVH46" s="117"/>
      <c r="GVI46" s="117"/>
      <c r="GVJ46" s="117"/>
      <c r="GVK46" s="117"/>
      <c r="GVL46" s="117"/>
      <c r="GVM46" s="117"/>
      <c r="GVN46" s="117"/>
      <c r="GVO46" s="117"/>
      <c r="GVP46" s="117"/>
      <c r="GVQ46" s="117"/>
      <c r="GVR46" s="117"/>
      <c r="GVS46" s="117"/>
      <c r="GVT46" s="117"/>
      <c r="GVU46" s="117"/>
      <c r="GVV46" s="117"/>
      <c r="GVW46" s="117"/>
      <c r="GVX46" s="117"/>
      <c r="GVY46" s="117"/>
      <c r="GVZ46" s="117"/>
      <c r="GWA46" s="117"/>
      <c r="GWB46" s="117"/>
      <c r="GWC46" s="117"/>
      <c r="GWD46" s="117"/>
      <c r="GWE46" s="117"/>
      <c r="GWF46" s="117"/>
      <c r="GWG46" s="117"/>
      <c r="GWH46" s="117"/>
      <c r="GWI46" s="117"/>
      <c r="GWJ46" s="117"/>
      <c r="GWK46" s="117"/>
      <c r="GWL46" s="117"/>
      <c r="GWM46" s="117"/>
      <c r="GWN46" s="117"/>
      <c r="GWO46" s="117"/>
      <c r="GWP46" s="117"/>
      <c r="GWQ46" s="117"/>
      <c r="GWR46" s="117"/>
      <c r="GWS46" s="117"/>
      <c r="GWT46" s="117"/>
      <c r="GWU46" s="117"/>
      <c r="GWV46" s="117"/>
      <c r="GWW46" s="117"/>
      <c r="GWX46" s="117"/>
      <c r="GWY46" s="117"/>
      <c r="GWZ46" s="117"/>
      <c r="GXA46" s="117"/>
      <c r="GXB46" s="117"/>
      <c r="GXC46" s="117"/>
      <c r="GXD46" s="117"/>
      <c r="GXE46" s="117"/>
      <c r="GXF46" s="117"/>
      <c r="GXG46" s="117"/>
      <c r="GXH46" s="117"/>
      <c r="GXI46" s="117"/>
      <c r="GXJ46" s="117"/>
      <c r="GXK46" s="117"/>
      <c r="GXL46" s="117"/>
      <c r="GXM46" s="117"/>
      <c r="GXN46" s="117"/>
      <c r="GXO46" s="117"/>
      <c r="GXP46" s="117"/>
      <c r="GXQ46" s="117"/>
      <c r="GXR46" s="117"/>
      <c r="GXS46" s="117"/>
      <c r="GXT46" s="117"/>
      <c r="GXU46" s="117"/>
      <c r="GXV46" s="117"/>
      <c r="GXW46" s="117"/>
      <c r="GXX46" s="117"/>
      <c r="GXY46" s="117"/>
      <c r="GXZ46" s="117"/>
      <c r="GYA46" s="117"/>
      <c r="GYB46" s="117"/>
      <c r="GYC46" s="117"/>
      <c r="GYD46" s="117"/>
      <c r="GYE46" s="117"/>
      <c r="GYF46" s="117"/>
      <c r="GYG46" s="117"/>
      <c r="GYH46" s="117"/>
      <c r="GYI46" s="117"/>
      <c r="GYJ46" s="117"/>
      <c r="GYK46" s="117"/>
      <c r="GYL46" s="117"/>
      <c r="GYM46" s="117"/>
      <c r="GYN46" s="117"/>
      <c r="GYO46" s="117"/>
      <c r="GYP46" s="117"/>
      <c r="GYQ46" s="117"/>
      <c r="GYR46" s="117"/>
      <c r="GYS46" s="117"/>
      <c r="GYT46" s="117"/>
      <c r="GYU46" s="117"/>
      <c r="GYV46" s="117"/>
      <c r="GYW46" s="117"/>
      <c r="GYX46" s="117"/>
      <c r="GYY46" s="117"/>
      <c r="GYZ46" s="117"/>
      <c r="GZA46" s="117"/>
      <c r="GZB46" s="117"/>
      <c r="GZC46" s="117"/>
      <c r="GZD46" s="117"/>
      <c r="GZE46" s="117"/>
      <c r="GZF46" s="117"/>
      <c r="GZG46" s="117"/>
      <c r="GZH46" s="117"/>
      <c r="GZI46" s="117"/>
      <c r="GZJ46" s="117"/>
      <c r="GZK46" s="117"/>
      <c r="GZL46" s="117"/>
      <c r="GZM46" s="117"/>
      <c r="GZN46" s="117"/>
      <c r="GZO46" s="117"/>
      <c r="GZP46" s="117"/>
      <c r="GZQ46" s="117"/>
      <c r="GZR46" s="117"/>
      <c r="GZS46" s="117"/>
      <c r="GZT46" s="117"/>
      <c r="GZU46" s="117"/>
      <c r="GZV46" s="117"/>
      <c r="GZW46" s="117"/>
      <c r="GZX46" s="117"/>
      <c r="GZY46" s="117"/>
      <c r="GZZ46" s="117"/>
      <c r="HAA46" s="117"/>
      <c r="HAB46" s="117"/>
      <c r="HAC46" s="117"/>
      <c r="HAD46" s="117"/>
      <c r="HAE46" s="117"/>
      <c r="HAF46" s="117"/>
      <c r="HAG46" s="117"/>
      <c r="HAH46" s="117"/>
      <c r="HAI46" s="117"/>
      <c r="HAJ46" s="117"/>
      <c r="HAK46" s="117"/>
      <c r="HAL46" s="117"/>
      <c r="HAM46" s="117"/>
      <c r="HAN46" s="117"/>
      <c r="HAO46" s="117"/>
      <c r="HAP46" s="117"/>
      <c r="HAQ46" s="117"/>
      <c r="HAR46" s="117"/>
      <c r="HAS46" s="117"/>
      <c r="HAT46" s="117"/>
      <c r="HAU46" s="117"/>
      <c r="HAV46" s="117"/>
      <c r="HAW46" s="117"/>
      <c r="HAX46" s="117"/>
      <c r="HAY46" s="117"/>
      <c r="HAZ46" s="117"/>
      <c r="HBA46" s="117"/>
      <c r="HBB46" s="117"/>
      <c r="HBC46" s="117"/>
      <c r="HBD46" s="117"/>
      <c r="HBE46" s="117"/>
      <c r="HBF46" s="117"/>
      <c r="HBG46" s="117"/>
      <c r="HBH46" s="117"/>
      <c r="HBI46" s="117"/>
      <c r="HBJ46" s="117"/>
      <c r="HBK46" s="117"/>
      <c r="HBL46" s="117"/>
      <c r="HBM46" s="117"/>
      <c r="HBN46" s="117"/>
      <c r="HBO46" s="117"/>
      <c r="HBP46" s="117"/>
      <c r="HBQ46" s="117"/>
      <c r="HBR46" s="117"/>
      <c r="HBS46" s="117"/>
      <c r="HBT46" s="117"/>
      <c r="HBU46" s="117"/>
      <c r="HBV46" s="117"/>
      <c r="HBW46" s="117"/>
      <c r="HBX46" s="117"/>
      <c r="HBY46" s="117"/>
      <c r="HBZ46" s="117"/>
      <c r="HCA46" s="117"/>
      <c r="HCB46" s="117"/>
      <c r="HCC46" s="117"/>
      <c r="HCD46" s="117"/>
      <c r="HCE46" s="117"/>
      <c r="HCF46" s="117"/>
      <c r="HCG46" s="117"/>
      <c r="HCH46" s="117"/>
      <c r="HCI46" s="117"/>
      <c r="HCJ46" s="117"/>
      <c r="HCK46" s="117"/>
      <c r="HCL46" s="117"/>
      <c r="HCM46" s="117"/>
      <c r="HCN46" s="117"/>
      <c r="HCO46" s="117"/>
      <c r="HCP46" s="117"/>
      <c r="HCQ46" s="117"/>
      <c r="HCR46" s="117"/>
      <c r="HCS46" s="117"/>
      <c r="HCT46" s="117"/>
      <c r="HCU46" s="117"/>
      <c r="HCV46" s="117"/>
      <c r="HCW46" s="117"/>
      <c r="HCX46" s="117"/>
      <c r="HCY46" s="117"/>
      <c r="HCZ46" s="117"/>
      <c r="HDA46" s="117"/>
      <c r="HDB46" s="117"/>
      <c r="HDC46" s="117"/>
      <c r="HDD46" s="117"/>
      <c r="HDE46" s="117"/>
      <c r="HDF46" s="117"/>
      <c r="HDG46" s="117"/>
      <c r="HDH46" s="117"/>
      <c r="HDI46" s="117"/>
      <c r="HDJ46" s="117"/>
      <c r="HDK46" s="117"/>
      <c r="HDL46" s="117"/>
      <c r="HDM46" s="117"/>
      <c r="HDN46" s="117"/>
      <c r="HDO46" s="117"/>
      <c r="HDP46" s="117"/>
      <c r="HDQ46" s="117"/>
      <c r="HDR46" s="117"/>
      <c r="HDS46" s="117"/>
      <c r="HDT46" s="117"/>
      <c r="HDU46" s="117"/>
      <c r="HDV46" s="117"/>
      <c r="HDW46" s="117"/>
      <c r="HDX46" s="117"/>
      <c r="HDY46" s="117"/>
      <c r="HDZ46" s="117"/>
      <c r="HEA46" s="117"/>
      <c r="HEB46" s="117"/>
      <c r="HEC46" s="117"/>
      <c r="HED46" s="117"/>
      <c r="HEE46" s="117"/>
      <c r="HEF46" s="117"/>
      <c r="HEG46" s="117"/>
      <c r="HEH46" s="117"/>
      <c r="HEI46" s="117"/>
      <c r="HEJ46" s="117"/>
      <c r="HEK46" s="117"/>
      <c r="HEL46" s="117"/>
      <c r="HEM46" s="117"/>
      <c r="HEN46" s="117"/>
      <c r="HEO46" s="117"/>
      <c r="HEP46" s="117"/>
      <c r="HEQ46" s="117"/>
      <c r="HER46" s="117"/>
      <c r="HES46" s="117"/>
      <c r="HET46" s="117"/>
      <c r="HEU46" s="117"/>
      <c r="HEV46" s="117"/>
      <c r="HEW46" s="117"/>
      <c r="HEX46" s="117"/>
      <c r="HEY46" s="117"/>
      <c r="HEZ46" s="117"/>
      <c r="HFA46" s="117"/>
      <c r="HFB46" s="117"/>
      <c r="HFC46" s="117"/>
      <c r="HFD46" s="117"/>
      <c r="HFE46" s="117"/>
      <c r="HFF46" s="117"/>
      <c r="HFG46" s="117"/>
      <c r="HFH46" s="117"/>
      <c r="HFI46" s="117"/>
      <c r="HFJ46" s="117"/>
      <c r="HFK46" s="117"/>
      <c r="HFL46" s="117"/>
      <c r="HFM46" s="117"/>
      <c r="HFN46" s="117"/>
      <c r="HFO46" s="117"/>
      <c r="HFP46" s="117"/>
      <c r="HFQ46" s="117"/>
      <c r="HFR46" s="117"/>
      <c r="HFS46" s="117"/>
      <c r="HFT46" s="117"/>
      <c r="HFU46" s="117"/>
      <c r="HFV46" s="117"/>
      <c r="HFW46" s="117"/>
      <c r="HFX46" s="117"/>
      <c r="HFY46" s="117"/>
      <c r="HFZ46" s="117"/>
      <c r="HGA46" s="117"/>
      <c r="HGB46" s="117"/>
      <c r="HGC46" s="117"/>
      <c r="HGD46" s="117"/>
      <c r="HGE46" s="117"/>
      <c r="HGF46" s="117"/>
      <c r="HGG46" s="117"/>
      <c r="HGH46" s="117"/>
      <c r="HGI46" s="117"/>
      <c r="HGJ46" s="117"/>
      <c r="HGK46" s="117"/>
      <c r="HGL46" s="117"/>
      <c r="HGM46" s="117"/>
      <c r="HGN46" s="117"/>
      <c r="HGO46" s="117"/>
      <c r="HGP46" s="117"/>
      <c r="HGQ46" s="117"/>
      <c r="HGR46" s="117"/>
      <c r="HGS46" s="117"/>
      <c r="HGT46" s="117"/>
      <c r="HGU46" s="117"/>
      <c r="HGV46" s="117"/>
      <c r="HGW46" s="117"/>
      <c r="HGX46" s="117"/>
      <c r="HGY46" s="117"/>
      <c r="HGZ46" s="117"/>
      <c r="HHA46" s="117"/>
      <c r="HHB46" s="117"/>
      <c r="HHC46" s="117"/>
      <c r="HHD46" s="117"/>
      <c r="HHE46" s="117"/>
      <c r="HHF46" s="117"/>
      <c r="HHG46" s="117"/>
      <c r="HHH46" s="117"/>
      <c r="HHI46" s="117"/>
      <c r="HHJ46" s="117"/>
      <c r="HHK46" s="117"/>
      <c r="HHL46" s="117"/>
      <c r="HHM46" s="117"/>
      <c r="HHN46" s="117"/>
      <c r="HHO46" s="117"/>
      <c r="HHP46" s="117"/>
      <c r="HHQ46" s="117"/>
      <c r="HHR46" s="117"/>
      <c r="HHS46" s="117"/>
      <c r="HHT46" s="117"/>
      <c r="HHU46" s="117"/>
      <c r="HHV46" s="117"/>
      <c r="HHW46" s="117"/>
      <c r="HHX46" s="117"/>
      <c r="HHY46" s="117"/>
      <c r="HHZ46" s="117"/>
      <c r="HIA46" s="117"/>
      <c r="HIB46" s="117"/>
      <c r="HIC46" s="117"/>
      <c r="HID46" s="117"/>
      <c r="HIE46" s="117"/>
      <c r="HIF46" s="117"/>
      <c r="HIG46" s="117"/>
      <c r="HIH46" s="117"/>
      <c r="HII46" s="117"/>
      <c r="HIJ46" s="117"/>
      <c r="HIK46" s="117"/>
      <c r="HIL46" s="117"/>
      <c r="HIM46" s="117"/>
      <c r="HIN46" s="117"/>
      <c r="HIO46" s="117"/>
      <c r="HIP46" s="117"/>
      <c r="HIQ46" s="117"/>
      <c r="HIR46" s="117"/>
      <c r="HIS46" s="117"/>
      <c r="HIT46" s="117"/>
      <c r="HIU46" s="117"/>
      <c r="HIV46" s="117"/>
      <c r="HIW46" s="117"/>
      <c r="HIX46" s="117"/>
      <c r="HIY46" s="117"/>
      <c r="HIZ46" s="117"/>
      <c r="HJA46" s="117"/>
      <c r="HJB46" s="117"/>
      <c r="HJC46" s="117"/>
      <c r="HJD46" s="117"/>
      <c r="HJE46" s="117"/>
      <c r="HJF46" s="117"/>
      <c r="HJG46" s="117"/>
      <c r="HJH46" s="117"/>
      <c r="HJI46" s="117"/>
      <c r="HJJ46" s="117"/>
      <c r="HJK46" s="117"/>
      <c r="HJL46" s="117"/>
      <c r="HJM46" s="117"/>
      <c r="HJN46" s="117"/>
      <c r="HJO46" s="117"/>
      <c r="HJP46" s="117"/>
      <c r="HJQ46" s="117"/>
      <c r="HJR46" s="117"/>
      <c r="HJS46" s="117"/>
      <c r="HJT46" s="117"/>
      <c r="HJU46" s="117"/>
      <c r="HJV46" s="117"/>
      <c r="HJW46" s="117"/>
      <c r="HJX46" s="117"/>
      <c r="HJY46" s="117"/>
      <c r="HJZ46" s="117"/>
      <c r="HKA46" s="117"/>
      <c r="HKB46" s="117"/>
      <c r="HKC46" s="117"/>
      <c r="HKD46" s="117"/>
      <c r="HKE46" s="117"/>
      <c r="HKF46" s="117"/>
      <c r="HKG46" s="117"/>
      <c r="HKH46" s="117"/>
      <c r="HKI46" s="117"/>
      <c r="HKJ46" s="117"/>
      <c r="HKK46" s="117"/>
      <c r="HKL46" s="117"/>
      <c r="HKM46" s="117"/>
      <c r="HKN46" s="117"/>
      <c r="HKO46" s="117"/>
      <c r="HKP46" s="117"/>
      <c r="HKQ46" s="117"/>
      <c r="HKR46" s="117"/>
      <c r="HKS46" s="117"/>
      <c r="HKT46" s="117"/>
      <c r="HKU46" s="117"/>
      <c r="HKV46" s="117"/>
      <c r="HKW46" s="117"/>
      <c r="HKX46" s="117"/>
      <c r="HKY46" s="117"/>
      <c r="HKZ46" s="117"/>
      <c r="HLA46" s="117"/>
      <c r="HLB46" s="117"/>
      <c r="HLC46" s="117"/>
      <c r="HLD46" s="117"/>
      <c r="HLE46" s="117"/>
      <c r="HLF46" s="117"/>
      <c r="HLG46" s="117"/>
      <c r="HLH46" s="117"/>
      <c r="HLI46" s="117"/>
      <c r="HLJ46" s="117"/>
      <c r="HLK46" s="117"/>
      <c r="HLL46" s="117"/>
      <c r="HLM46" s="117"/>
      <c r="HLN46" s="117"/>
      <c r="HLO46" s="117"/>
      <c r="HLP46" s="117"/>
      <c r="HLQ46" s="117"/>
      <c r="HLR46" s="117"/>
      <c r="HLS46" s="117"/>
      <c r="HLT46" s="117"/>
      <c r="HLU46" s="117"/>
      <c r="HLV46" s="117"/>
      <c r="HLW46" s="117"/>
      <c r="HLX46" s="117"/>
      <c r="HLY46" s="117"/>
      <c r="HLZ46" s="117"/>
      <c r="HMA46" s="117"/>
      <c r="HMB46" s="117"/>
      <c r="HMC46" s="117"/>
      <c r="HMD46" s="117"/>
      <c r="HME46" s="117"/>
      <c r="HMF46" s="117"/>
      <c r="HMG46" s="117"/>
      <c r="HMH46" s="117"/>
      <c r="HMI46" s="117"/>
      <c r="HMJ46" s="117"/>
      <c r="HMK46" s="117"/>
      <c r="HML46" s="117"/>
      <c r="HMM46" s="117"/>
      <c r="HMN46" s="117"/>
      <c r="HMO46" s="117"/>
      <c r="HMP46" s="117"/>
      <c r="HMQ46" s="117"/>
      <c r="HMR46" s="117"/>
      <c r="HMS46" s="117"/>
      <c r="HMT46" s="117"/>
      <c r="HMU46" s="117"/>
      <c r="HMV46" s="117"/>
      <c r="HMW46" s="117"/>
      <c r="HMX46" s="117"/>
      <c r="HMY46" s="117"/>
      <c r="HMZ46" s="117"/>
      <c r="HNA46" s="117"/>
      <c r="HNB46" s="117"/>
      <c r="HNC46" s="117"/>
      <c r="HND46" s="117"/>
      <c r="HNE46" s="117"/>
      <c r="HNF46" s="117"/>
      <c r="HNG46" s="117"/>
      <c r="HNH46" s="117"/>
      <c r="HNI46" s="117"/>
      <c r="HNJ46" s="117"/>
      <c r="HNK46" s="117"/>
      <c r="HNL46" s="117"/>
      <c r="HNM46" s="117"/>
      <c r="HNN46" s="117"/>
      <c r="HNO46" s="117"/>
      <c r="HNP46" s="117"/>
      <c r="HNQ46" s="117"/>
      <c r="HNR46" s="117"/>
      <c r="HNS46" s="117"/>
      <c r="HNT46" s="117"/>
      <c r="HNU46" s="117"/>
      <c r="HNV46" s="117"/>
      <c r="HNW46" s="117"/>
      <c r="HNX46" s="117"/>
      <c r="HNY46" s="117"/>
      <c r="HNZ46" s="117"/>
      <c r="HOA46" s="117"/>
      <c r="HOB46" s="117"/>
      <c r="HOC46" s="117"/>
      <c r="HOD46" s="117"/>
      <c r="HOE46" s="117"/>
      <c r="HOF46" s="117"/>
      <c r="HOG46" s="117"/>
      <c r="HOH46" s="117"/>
      <c r="HOI46" s="117"/>
      <c r="HOJ46" s="117"/>
      <c r="HOK46" s="117"/>
      <c r="HOL46" s="117"/>
      <c r="HOM46" s="117"/>
      <c r="HON46" s="117"/>
      <c r="HOO46" s="117"/>
      <c r="HOP46" s="117"/>
      <c r="HOQ46" s="117"/>
      <c r="HOR46" s="117"/>
      <c r="HOS46" s="117"/>
      <c r="HOT46" s="117"/>
      <c r="HOU46" s="117"/>
      <c r="HOV46" s="117"/>
      <c r="HOW46" s="117"/>
      <c r="HOX46" s="117"/>
      <c r="HOY46" s="117"/>
      <c r="HOZ46" s="117"/>
      <c r="HPA46" s="117"/>
      <c r="HPB46" s="117"/>
      <c r="HPC46" s="117"/>
      <c r="HPD46" s="117"/>
      <c r="HPE46" s="117"/>
      <c r="HPF46" s="117"/>
      <c r="HPG46" s="117"/>
      <c r="HPH46" s="117"/>
      <c r="HPI46" s="117"/>
      <c r="HPJ46" s="117"/>
      <c r="HPK46" s="117"/>
      <c r="HPL46" s="117"/>
      <c r="HPM46" s="117"/>
      <c r="HPN46" s="117"/>
      <c r="HPO46" s="117"/>
      <c r="HPP46" s="117"/>
      <c r="HPQ46" s="117"/>
      <c r="HPR46" s="117"/>
      <c r="HPS46" s="117"/>
      <c r="HPT46" s="117"/>
      <c r="HPU46" s="117"/>
      <c r="HPV46" s="117"/>
      <c r="HPW46" s="117"/>
      <c r="HPX46" s="117"/>
      <c r="HPY46" s="117"/>
      <c r="HPZ46" s="117"/>
      <c r="HQA46" s="117"/>
      <c r="HQB46" s="117"/>
      <c r="HQC46" s="117"/>
      <c r="HQD46" s="117"/>
      <c r="HQE46" s="117"/>
      <c r="HQF46" s="117"/>
      <c r="HQG46" s="117"/>
      <c r="HQH46" s="117"/>
      <c r="HQI46" s="117"/>
      <c r="HQJ46" s="117"/>
      <c r="HQK46" s="117"/>
      <c r="HQL46" s="117"/>
      <c r="HQM46" s="117"/>
      <c r="HQN46" s="117"/>
      <c r="HQO46" s="117"/>
      <c r="HQP46" s="117"/>
      <c r="HQQ46" s="117"/>
      <c r="HQR46" s="117"/>
      <c r="HQS46" s="117"/>
      <c r="HQT46" s="117"/>
      <c r="HQU46" s="117"/>
      <c r="HQV46" s="117"/>
      <c r="HQW46" s="117"/>
      <c r="HQX46" s="117"/>
      <c r="HQY46" s="117"/>
      <c r="HQZ46" s="117"/>
      <c r="HRA46" s="117"/>
      <c r="HRB46" s="117"/>
      <c r="HRC46" s="117"/>
      <c r="HRD46" s="117"/>
      <c r="HRE46" s="117"/>
      <c r="HRF46" s="117"/>
      <c r="HRG46" s="117"/>
      <c r="HRH46" s="117"/>
      <c r="HRI46" s="117"/>
      <c r="HRJ46" s="117"/>
      <c r="HRK46" s="117"/>
      <c r="HRL46" s="117"/>
      <c r="HRM46" s="117"/>
      <c r="HRN46" s="117"/>
      <c r="HRO46" s="117"/>
      <c r="HRP46" s="117"/>
      <c r="HRQ46" s="117"/>
      <c r="HRR46" s="117"/>
      <c r="HRS46" s="117"/>
      <c r="HRT46" s="117"/>
      <c r="HRU46" s="117"/>
      <c r="HRV46" s="117"/>
      <c r="HRW46" s="117"/>
      <c r="HRX46" s="117"/>
      <c r="HRY46" s="117"/>
      <c r="HRZ46" s="117"/>
      <c r="HSA46" s="117"/>
      <c r="HSB46" s="117"/>
      <c r="HSC46" s="117"/>
      <c r="HSD46" s="117"/>
      <c r="HSE46" s="117"/>
      <c r="HSF46" s="117"/>
      <c r="HSG46" s="117"/>
      <c r="HSH46" s="117"/>
      <c r="HSI46" s="117"/>
      <c r="HSJ46" s="117"/>
      <c r="HSK46" s="117"/>
      <c r="HSL46" s="117"/>
      <c r="HSM46" s="117"/>
      <c r="HSN46" s="117"/>
      <c r="HSO46" s="117"/>
      <c r="HSP46" s="117"/>
      <c r="HSQ46" s="117"/>
      <c r="HSR46" s="117"/>
      <c r="HSS46" s="117"/>
      <c r="HST46" s="117"/>
      <c r="HSU46" s="117"/>
      <c r="HSV46" s="117"/>
      <c r="HSW46" s="117"/>
      <c r="HSX46" s="117"/>
      <c r="HSY46" s="117"/>
      <c r="HSZ46" s="117"/>
      <c r="HTA46" s="117"/>
      <c r="HTB46" s="117"/>
      <c r="HTC46" s="117"/>
      <c r="HTD46" s="117"/>
      <c r="HTE46" s="117"/>
      <c r="HTF46" s="117"/>
      <c r="HTG46" s="117"/>
      <c r="HTH46" s="117"/>
      <c r="HTI46" s="117"/>
      <c r="HTJ46" s="117"/>
      <c r="HTK46" s="117"/>
      <c r="HTL46" s="117"/>
      <c r="HTM46" s="117"/>
      <c r="HTN46" s="117"/>
      <c r="HTO46" s="117"/>
      <c r="HTP46" s="117"/>
      <c r="HTQ46" s="117"/>
      <c r="HTR46" s="117"/>
      <c r="HTS46" s="117"/>
      <c r="HTT46" s="117"/>
      <c r="HTU46" s="117"/>
      <c r="HTV46" s="117"/>
      <c r="HTW46" s="117"/>
      <c r="HTX46" s="117"/>
      <c r="HTY46" s="117"/>
      <c r="HTZ46" s="117"/>
      <c r="HUA46" s="117"/>
      <c r="HUB46" s="117"/>
      <c r="HUC46" s="117"/>
      <c r="HUD46" s="117"/>
      <c r="HUE46" s="117"/>
      <c r="HUF46" s="117"/>
      <c r="HUG46" s="117"/>
      <c r="HUH46" s="117"/>
      <c r="HUI46" s="117"/>
      <c r="HUJ46" s="117"/>
      <c r="HUK46" s="117"/>
      <c r="HUL46" s="117"/>
      <c r="HUM46" s="117"/>
      <c r="HUN46" s="117"/>
      <c r="HUO46" s="117"/>
      <c r="HUP46" s="117"/>
      <c r="HUQ46" s="117"/>
      <c r="HUR46" s="117"/>
      <c r="HUS46" s="117"/>
      <c r="HUT46" s="117"/>
      <c r="HUU46" s="117"/>
      <c r="HUV46" s="117"/>
      <c r="HUW46" s="117"/>
      <c r="HUX46" s="117"/>
      <c r="HUY46" s="117"/>
      <c r="HUZ46" s="117"/>
      <c r="HVA46" s="117"/>
      <c r="HVB46" s="117"/>
      <c r="HVC46" s="117"/>
      <c r="HVD46" s="117"/>
      <c r="HVE46" s="117"/>
      <c r="HVF46" s="117"/>
      <c r="HVG46" s="117"/>
      <c r="HVH46" s="117"/>
      <c r="HVI46" s="117"/>
      <c r="HVJ46" s="117"/>
      <c r="HVK46" s="117"/>
      <c r="HVL46" s="117"/>
      <c r="HVM46" s="117"/>
      <c r="HVN46" s="117"/>
      <c r="HVO46" s="117"/>
      <c r="HVP46" s="117"/>
      <c r="HVQ46" s="117"/>
      <c r="HVR46" s="117"/>
      <c r="HVS46" s="117"/>
      <c r="HVT46" s="117"/>
      <c r="HVU46" s="117"/>
      <c r="HVV46" s="117"/>
      <c r="HVW46" s="117"/>
      <c r="HVX46" s="117"/>
      <c r="HVY46" s="117"/>
      <c r="HVZ46" s="117"/>
      <c r="HWA46" s="117"/>
      <c r="HWB46" s="117"/>
      <c r="HWC46" s="117"/>
      <c r="HWD46" s="117"/>
      <c r="HWE46" s="117"/>
      <c r="HWF46" s="117"/>
      <c r="HWG46" s="117"/>
      <c r="HWH46" s="117"/>
      <c r="HWI46" s="117"/>
      <c r="HWJ46" s="117"/>
      <c r="HWK46" s="117"/>
      <c r="HWL46" s="117"/>
      <c r="HWM46" s="117"/>
      <c r="HWN46" s="117"/>
      <c r="HWO46" s="117"/>
      <c r="HWP46" s="117"/>
      <c r="HWQ46" s="117"/>
      <c r="HWR46" s="117"/>
      <c r="HWS46" s="117"/>
      <c r="HWT46" s="117"/>
      <c r="HWU46" s="117"/>
      <c r="HWV46" s="117"/>
      <c r="HWW46" s="117"/>
      <c r="HWX46" s="117"/>
      <c r="HWY46" s="117"/>
      <c r="HWZ46" s="117"/>
      <c r="HXA46" s="117"/>
      <c r="HXB46" s="117"/>
      <c r="HXC46" s="117"/>
      <c r="HXD46" s="117"/>
      <c r="HXE46" s="117"/>
      <c r="HXF46" s="117"/>
      <c r="HXG46" s="117"/>
      <c r="HXH46" s="117"/>
      <c r="HXI46" s="117"/>
      <c r="HXJ46" s="117"/>
      <c r="HXK46" s="117"/>
      <c r="HXL46" s="117"/>
      <c r="HXM46" s="117"/>
      <c r="HXN46" s="117"/>
      <c r="HXO46" s="117"/>
      <c r="HXP46" s="117"/>
      <c r="HXQ46" s="117"/>
      <c r="HXR46" s="117"/>
      <c r="HXS46" s="117"/>
      <c r="HXT46" s="117"/>
      <c r="HXU46" s="117"/>
      <c r="HXV46" s="117"/>
      <c r="HXW46" s="117"/>
      <c r="HXX46" s="117"/>
      <c r="HXY46" s="117"/>
      <c r="HXZ46" s="117"/>
      <c r="HYA46" s="117"/>
      <c r="HYB46" s="117"/>
      <c r="HYC46" s="117"/>
      <c r="HYD46" s="117"/>
      <c r="HYE46" s="117"/>
      <c r="HYF46" s="117"/>
      <c r="HYG46" s="117"/>
      <c r="HYH46" s="117"/>
      <c r="HYI46" s="117"/>
      <c r="HYJ46" s="117"/>
      <c r="HYK46" s="117"/>
      <c r="HYL46" s="117"/>
      <c r="HYM46" s="117"/>
      <c r="HYN46" s="117"/>
      <c r="HYO46" s="117"/>
      <c r="HYP46" s="117"/>
      <c r="HYQ46" s="117"/>
      <c r="HYR46" s="117"/>
      <c r="HYS46" s="117"/>
      <c r="HYT46" s="117"/>
      <c r="HYU46" s="117"/>
      <c r="HYV46" s="117"/>
      <c r="HYW46" s="117"/>
      <c r="HYX46" s="117"/>
      <c r="HYY46" s="117"/>
      <c r="HYZ46" s="117"/>
      <c r="HZA46" s="117"/>
      <c r="HZB46" s="117"/>
      <c r="HZC46" s="117"/>
      <c r="HZD46" s="117"/>
      <c r="HZE46" s="117"/>
      <c r="HZF46" s="117"/>
      <c r="HZG46" s="117"/>
      <c r="HZH46" s="117"/>
      <c r="HZI46" s="117"/>
      <c r="HZJ46" s="117"/>
      <c r="HZK46" s="117"/>
      <c r="HZL46" s="117"/>
      <c r="HZM46" s="117"/>
      <c r="HZN46" s="117"/>
      <c r="HZO46" s="117"/>
      <c r="HZP46" s="117"/>
      <c r="HZQ46" s="117"/>
      <c r="HZR46" s="117"/>
      <c r="HZS46" s="117"/>
      <c r="HZT46" s="117"/>
      <c r="HZU46" s="117"/>
      <c r="HZV46" s="117"/>
      <c r="HZW46" s="117"/>
      <c r="HZX46" s="117"/>
      <c r="HZY46" s="117"/>
      <c r="HZZ46" s="117"/>
      <c r="IAA46" s="117"/>
      <c r="IAB46" s="117"/>
      <c r="IAC46" s="117"/>
      <c r="IAD46" s="117"/>
      <c r="IAE46" s="117"/>
      <c r="IAF46" s="117"/>
      <c r="IAG46" s="117"/>
      <c r="IAH46" s="117"/>
      <c r="IAI46" s="117"/>
      <c r="IAJ46" s="117"/>
      <c r="IAK46" s="117"/>
      <c r="IAL46" s="117"/>
      <c r="IAM46" s="117"/>
      <c r="IAN46" s="117"/>
      <c r="IAO46" s="117"/>
      <c r="IAP46" s="117"/>
      <c r="IAQ46" s="117"/>
      <c r="IAR46" s="117"/>
      <c r="IAS46" s="117"/>
      <c r="IAT46" s="117"/>
      <c r="IAU46" s="117"/>
      <c r="IAV46" s="117"/>
      <c r="IAW46" s="117"/>
      <c r="IAX46" s="117"/>
      <c r="IAY46" s="117"/>
      <c r="IAZ46" s="117"/>
      <c r="IBA46" s="117"/>
      <c r="IBB46" s="117"/>
      <c r="IBC46" s="117"/>
      <c r="IBD46" s="117"/>
      <c r="IBE46" s="117"/>
      <c r="IBF46" s="117"/>
      <c r="IBG46" s="117"/>
      <c r="IBH46" s="117"/>
      <c r="IBI46" s="117"/>
      <c r="IBJ46" s="117"/>
      <c r="IBK46" s="117"/>
      <c r="IBL46" s="117"/>
      <c r="IBM46" s="117"/>
      <c r="IBN46" s="117"/>
      <c r="IBO46" s="117"/>
      <c r="IBP46" s="117"/>
      <c r="IBQ46" s="117"/>
      <c r="IBR46" s="117"/>
      <c r="IBS46" s="117"/>
      <c r="IBT46" s="117"/>
      <c r="IBU46" s="117"/>
      <c r="IBV46" s="117"/>
      <c r="IBW46" s="117"/>
      <c r="IBX46" s="117"/>
      <c r="IBY46" s="117"/>
      <c r="IBZ46" s="117"/>
      <c r="ICA46" s="117"/>
      <c r="ICB46" s="117"/>
      <c r="ICC46" s="117"/>
      <c r="ICD46" s="117"/>
      <c r="ICE46" s="117"/>
      <c r="ICF46" s="117"/>
      <c r="ICG46" s="117"/>
      <c r="ICH46" s="117"/>
      <c r="ICI46" s="117"/>
      <c r="ICJ46" s="117"/>
      <c r="ICK46" s="117"/>
      <c r="ICL46" s="117"/>
      <c r="ICM46" s="117"/>
      <c r="ICN46" s="117"/>
      <c r="ICO46" s="117"/>
      <c r="ICP46" s="117"/>
      <c r="ICQ46" s="117"/>
      <c r="ICR46" s="117"/>
      <c r="ICS46" s="117"/>
      <c r="ICT46" s="117"/>
      <c r="ICU46" s="117"/>
      <c r="ICV46" s="117"/>
      <c r="ICW46" s="117"/>
      <c r="ICX46" s="117"/>
      <c r="ICY46" s="117"/>
      <c r="ICZ46" s="117"/>
      <c r="IDA46" s="117"/>
      <c r="IDB46" s="117"/>
      <c r="IDC46" s="117"/>
      <c r="IDD46" s="117"/>
      <c r="IDE46" s="117"/>
      <c r="IDF46" s="117"/>
      <c r="IDG46" s="117"/>
      <c r="IDH46" s="117"/>
      <c r="IDI46" s="117"/>
      <c r="IDJ46" s="117"/>
      <c r="IDK46" s="117"/>
      <c r="IDL46" s="117"/>
      <c r="IDM46" s="117"/>
      <c r="IDN46" s="117"/>
      <c r="IDO46" s="117"/>
      <c r="IDP46" s="117"/>
      <c r="IDQ46" s="117"/>
      <c r="IDR46" s="117"/>
      <c r="IDS46" s="117"/>
      <c r="IDT46" s="117"/>
      <c r="IDU46" s="117"/>
      <c r="IDV46" s="117"/>
      <c r="IDW46" s="117"/>
      <c r="IDX46" s="117"/>
      <c r="IDY46" s="117"/>
      <c r="IDZ46" s="117"/>
      <c r="IEA46" s="117"/>
      <c r="IEB46" s="117"/>
      <c r="IEC46" s="117"/>
      <c r="IED46" s="117"/>
      <c r="IEE46" s="117"/>
      <c r="IEF46" s="117"/>
      <c r="IEG46" s="117"/>
      <c r="IEH46" s="117"/>
      <c r="IEI46" s="117"/>
      <c r="IEJ46" s="117"/>
      <c r="IEK46" s="117"/>
      <c r="IEL46" s="117"/>
      <c r="IEM46" s="117"/>
      <c r="IEN46" s="117"/>
      <c r="IEO46" s="117"/>
      <c r="IEP46" s="117"/>
      <c r="IEQ46" s="117"/>
      <c r="IER46" s="117"/>
      <c r="IES46" s="117"/>
      <c r="IET46" s="117"/>
      <c r="IEU46" s="117"/>
      <c r="IEV46" s="117"/>
      <c r="IEW46" s="117"/>
      <c r="IEX46" s="117"/>
      <c r="IEY46" s="117"/>
      <c r="IEZ46" s="117"/>
      <c r="IFA46" s="117"/>
      <c r="IFB46" s="117"/>
      <c r="IFC46" s="117"/>
      <c r="IFD46" s="117"/>
      <c r="IFE46" s="117"/>
      <c r="IFF46" s="117"/>
      <c r="IFG46" s="117"/>
      <c r="IFH46" s="117"/>
      <c r="IFI46" s="117"/>
      <c r="IFJ46" s="117"/>
      <c r="IFK46" s="117"/>
      <c r="IFL46" s="117"/>
      <c r="IFM46" s="117"/>
      <c r="IFN46" s="117"/>
      <c r="IFO46" s="117"/>
      <c r="IFP46" s="117"/>
      <c r="IFQ46" s="117"/>
      <c r="IFR46" s="117"/>
      <c r="IFS46" s="117"/>
      <c r="IFT46" s="117"/>
      <c r="IFU46" s="117"/>
      <c r="IFV46" s="117"/>
      <c r="IFW46" s="117"/>
      <c r="IFX46" s="117"/>
      <c r="IFY46" s="117"/>
      <c r="IFZ46" s="117"/>
      <c r="IGA46" s="117"/>
      <c r="IGB46" s="117"/>
      <c r="IGC46" s="117"/>
      <c r="IGD46" s="117"/>
      <c r="IGE46" s="117"/>
      <c r="IGF46" s="117"/>
      <c r="IGG46" s="117"/>
      <c r="IGH46" s="117"/>
      <c r="IGI46" s="117"/>
      <c r="IGJ46" s="117"/>
      <c r="IGK46" s="117"/>
      <c r="IGL46" s="117"/>
      <c r="IGM46" s="117"/>
      <c r="IGN46" s="117"/>
      <c r="IGO46" s="117"/>
      <c r="IGP46" s="117"/>
      <c r="IGQ46" s="117"/>
      <c r="IGR46" s="117"/>
      <c r="IGS46" s="117"/>
      <c r="IGT46" s="117"/>
      <c r="IGU46" s="117"/>
      <c r="IGV46" s="117"/>
      <c r="IGW46" s="117"/>
      <c r="IGX46" s="117"/>
      <c r="IGY46" s="117"/>
      <c r="IGZ46" s="117"/>
      <c r="IHA46" s="117"/>
      <c r="IHB46" s="117"/>
      <c r="IHC46" s="117"/>
      <c r="IHD46" s="117"/>
      <c r="IHE46" s="117"/>
      <c r="IHF46" s="117"/>
      <c r="IHG46" s="117"/>
      <c r="IHH46" s="117"/>
      <c r="IHI46" s="117"/>
      <c r="IHJ46" s="117"/>
      <c r="IHK46" s="117"/>
      <c r="IHL46" s="117"/>
      <c r="IHM46" s="117"/>
      <c r="IHN46" s="117"/>
      <c r="IHO46" s="117"/>
      <c r="IHP46" s="117"/>
      <c r="IHQ46" s="117"/>
      <c r="IHR46" s="117"/>
      <c r="IHS46" s="117"/>
      <c r="IHT46" s="117"/>
      <c r="IHU46" s="117"/>
      <c r="IHV46" s="117"/>
      <c r="IHW46" s="117"/>
      <c r="IHX46" s="117"/>
      <c r="IHY46" s="117"/>
      <c r="IHZ46" s="117"/>
      <c r="IIA46" s="117"/>
      <c r="IIB46" s="117"/>
      <c r="IIC46" s="117"/>
      <c r="IID46" s="117"/>
      <c r="IIE46" s="117"/>
      <c r="IIF46" s="117"/>
      <c r="IIG46" s="117"/>
      <c r="IIH46" s="117"/>
      <c r="III46" s="117"/>
      <c r="IIJ46" s="117"/>
      <c r="IIK46" s="117"/>
      <c r="IIL46" s="117"/>
      <c r="IIM46" s="117"/>
      <c r="IIN46" s="117"/>
      <c r="IIO46" s="117"/>
      <c r="IIP46" s="117"/>
      <c r="IIQ46" s="117"/>
      <c r="IIR46" s="117"/>
      <c r="IIS46" s="117"/>
      <c r="IIT46" s="117"/>
      <c r="IIU46" s="117"/>
      <c r="IIV46" s="117"/>
      <c r="IIW46" s="117"/>
      <c r="IIX46" s="117"/>
      <c r="IIY46" s="117"/>
      <c r="IIZ46" s="117"/>
      <c r="IJA46" s="117"/>
      <c r="IJB46" s="117"/>
      <c r="IJC46" s="117"/>
      <c r="IJD46" s="117"/>
      <c r="IJE46" s="117"/>
      <c r="IJF46" s="117"/>
      <c r="IJG46" s="117"/>
      <c r="IJH46" s="117"/>
      <c r="IJI46" s="117"/>
      <c r="IJJ46" s="117"/>
      <c r="IJK46" s="117"/>
      <c r="IJL46" s="117"/>
      <c r="IJM46" s="117"/>
      <c r="IJN46" s="117"/>
      <c r="IJO46" s="117"/>
      <c r="IJP46" s="117"/>
      <c r="IJQ46" s="117"/>
      <c r="IJR46" s="117"/>
      <c r="IJS46" s="117"/>
      <c r="IJT46" s="117"/>
      <c r="IJU46" s="117"/>
      <c r="IJV46" s="117"/>
      <c r="IJW46" s="117"/>
      <c r="IJX46" s="117"/>
      <c r="IJY46" s="117"/>
      <c r="IJZ46" s="117"/>
      <c r="IKA46" s="117"/>
      <c r="IKB46" s="117"/>
      <c r="IKC46" s="117"/>
      <c r="IKD46" s="117"/>
      <c r="IKE46" s="117"/>
      <c r="IKF46" s="117"/>
      <c r="IKG46" s="117"/>
      <c r="IKH46" s="117"/>
      <c r="IKI46" s="117"/>
      <c r="IKJ46" s="117"/>
      <c r="IKK46" s="117"/>
      <c r="IKL46" s="117"/>
      <c r="IKM46" s="117"/>
      <c r="IKN46" s="117"/>
      <c r="IKO46" s="117"/>
      <c r="IKP46" s="117"/>
      <c r="IKQ46" s="117"/>
      <c r="IKR46" s="117"/>
      <c r="IKS46" s="117"/>
      <c r="IKT46" s="117"/>
      <c r="IKU46" s="117"/>
      <c r="IKV46" s="117"/>
      <c r="IKW46" s="117"/>
      <c r="IKX46" s="117"/>
      <c r="IKY46" s="117"/>
      <c r="IKZ46" s="117"/>
      <c r="ILA46" s="117"/>
      <c r="ILB46" s="117"/>
      <c r="ILC46" s="117"/>
      <c r="ILD46" s="117"/>
      <c r="ILE46" s="117"/>
      <c r="ILF46" s="117"/>
      <c r="ILG46" s="117"/>
      <c r="ILH46" s="117"/>
      <c r="ILI46" s="117"/>
      <c r="ILJ46" s="117"/>
      <c r="ILK46" s="117"/>
      <c r="ILL46" s="117"/>
      <c r="ILM46" s="117"/>
      <c r="ILN46" s="117"/>
      <c r="ILO46" s="117"/>
      <c r="ILP46" s="117"/>
      <c r="ILQ46" s="117"/>
      <c r="ILR46" s="117"/>
      <c r="ILS46" s="117"/>
      <c r="ILT46" s="117"/>
      <c r="ILU46" s="117"/>
      <c r="ILV46" s="117"/>
      <c r="ILW46" s="117"/>
      <c r="ILX46" s="117"/>
      <c r="ILY46" s="117"/>
      <c r="ILZ46" s="117"/>
      <c r="IMA46" s="117"/>
      <c r="IMB46" s="117"/>
      <c r="IMC46" s="117"/>
      <c r="IMD46" s="117"/>
      <c r="IME46" s="117"/>
      <c r="IMF46" s="117"/>
      <c r="IMG46" s="117"/>
      <c r="IMH46" s="117"/>
      <c r="IMI46" s="117"/>
      <c r="IMJ46" s="117"/>
      <c r="IMK46" s="117"/>
      <c r="IML46" s="117"/>
      <c r="IMM46" s="117"/>
      <c r="IMN46" s="117"/>
      <c r="IMO46" s="117"/>
      <c r="IMP46" s="117"/>
      <c r="IMQ46" s="117"/>
      <c r="IMR46" s="117"/>
      <c r="IMS46" s="117"/>
      <c r="IMT46" s="117"/>
      <c r="IMU46" s="117"/>
      <c r="IMV46" s="117"/>
      <c r="IMW46" s="117"/>
      <c r="IMX46" s="117"/>
      <c r="IMY46" s="117"/>
      <c r="IMZ46" s="117"/>
      <c r="INA46" s="117"/>
      <c r="INB46" s="117"/>
      <c r="INC46" s="117"/>
      <c r="IND46" s="117"/>
      <c r="INE46" s="117"/>
      <c r="INF46" s="117"/>
      <c r="ING46" s="117"/>
      <c r="INH46" s="117"/>
      <c r="INI46" s="117"/>
      <c r="INJ46" s="117"/>
      <c r="INK46" s="117"/>
      <c r="INL46" s="117"/>
      <c r="INM46" s="117"/>
      <c r="INN46" s="117"/>
      <c r="INO46" s="117"/>
      <c r="INP46" s="117"/>
      <c r="INQ46" s="117"/>
      <c r="INR46" s="117"/>
      <c r="INS46" s="117"/>
      <c r="INT46" s="117"/>
      <c r="INU46" s="117"/>
      <c r="INV46" s="117"/>
      <c r="INW46" s="117"/>
      <c r="INX46" s="117"/>
      <c r="INY46" s="117"/>
      <c r="INZ46" s="117"/>
      <c r="IOA46" s="117"/>
      <c r="IOB46" s="117"/>
      <c r="IOC46" s="117"/>
      <c r="IOD46" s="117"/>
      <c r="IOE46" s="117"/>
      <c r="IOF46" s="117"/>
      <c r="IOG46" s="117"/>
      <c r="IOH46" s="117"/>
      <c r="IOI46" s="117"/>
      <c r="IOJ46" s="117"/>
      <c r="IOK46" s="117"/>
      <c r="IOL46" s="117"/>
      <c r="IOM46" s="117"/>
      <c r="ION46" s="117"/>
      <c r="IOO46" s="117"/>
      <c r="IOP46" s="117"/>
      <c r="IOQ46" s="117"/>
      <c r="IOR46" s="117"/>
      <c r="IOS46" s="117"/>
      <c r="IOT46" s="117"/>
      <c r="IOU46" s="117"/>
      <c r="IOV46" s="117"/>
      <c r="IOW46" s="117"/>
      <c r="IOX46" s="117"/>
      <c r="IOY46" s="117"/>
      <c r="IOZ46" s="117"/>
      <c r="IPA46" s="117"/>
      <c r="IPB46" s="117"/>
      <c r="IPC46" s="117"/>
      <c r="IPD46" s="117"/>
      <c r="IPE46" s="117"/>
      <c r="IPF46" s="117"/>
      <c r="IPG46" s="117"/>
      <c r="IPH46" s="117"/>
      <c r="IPI46" s="117"/>
      <c r="IPJ46" s="117"/>
      <c r="IPK46" s="117"/>
      <c r="IPL46" s="117"/>
      <c r="IPM46" s="117"/>
      <c r="IPN46" s="117"/>
      <c r="IPO46" s="117"/>
      <c r="IPP46" s="117"/>
      <c r="IPQ46" s="117"/>
      <c r="IPR46" s="117"/>
      <c r="IPS46" s="117"/>
      <c r="IPT46" s="117"/>
      <c r="IPU46" s="117"/>
      <c r="IPV46" s="117"/>
      <c r="IPW46" s="117"/>
      <c r="IPX46" s="117"/>
      <c r="IPY46" s="117"/>
      <c r="IPZ46" s="117"/>
      <c r="IQA46" s="117"/>
      <c r="IQB46" s="117"/>
      <c r="IQC46" s="117"/>
      <c r="IQD46" s="117"/>
      <c r="IQE46" s="117"/>
      <c r="IQF46" s="117"/>
      <c r="IQG46" s="117"/>
      <c r="IQH46" s="117"/>
      <c r="IQI46" s="117"/>
      <c r="IQJ46" s="117"/>
      <c r="IQK46" s="117"/>
      <c r="IQL46" s="117"/>
      <c r="IQM46" s="117"/>
      <c r="IQN46" s="117"/>
      <c r="IQO46" s="117"/>
      <c r="IQP46" s="117"/>
      <c r="IQQ46" s="117"/>
      <c r="IQR46" s="117"/>
      <c r="IQS46" s="117"/>
      <c r="IQT46" s="117"/>
      <c r="IQU46" s="117"/>
      <c r="IQV46" s="117"/>
      <c r="IQW46" s="117"/>
      <c r="IQX46" s="117"/>
      <c r="IQY46" s="117"/>
      <c r="IQZ46" s="117"/>
      <c r="IRA46" s="117"/>
      <c r="IRB46" s="117"/>
      <c r="IRC46" s="117"/>
      <c r="IRD46" s="117"/>
      <c r="IRE46" s="117"/>
      <c r="IRF46" s="117"/>
      <c r="IRG46" s="117"/>
      <c r="IRH46" s="117"/>
      <c r="IRI46" s="117"/>
      <c r="IRJ46" s="117"/>
      <c r="IRK46" s="117"/>
      <c r="IRL46" s="117"/>
      <c r="IRM46" s="117"/>
      <c r="IRN46" s="117"/>
      <c r="IRO46" s="117"/>
      <c r="IRP46" s="117"/>
      <c r="IRQ46" s="117"/>
      <c r="IRR46" s="117"/>
      <c r="IRS46" s="117"/>
      <c r="IRT46" s="117"/>
      <c r="IRU46" s="117"/>
      <c r="IRV46" s="117"/>
      <c r="IRW46" s="117"/>
      <c r="IRX46" s="117"/>
      <c r="IRY46" s="117"/>
      <c r="IRZ46" s="117"/>
      <c r="ISA46" s="117"/>
      <c r="ISB46" s="117"/>
      <c r="ISC46" s="117"/>
      <c r="ISD46" s="117"/>
      <c r="ISE46" s="117"/>
      <c r="ISF46" s="117"/>
      <c r="ISG46" s="117"/>
      <c r="ISH46" s="117"/>
      <c r="ISI46" s="117"/>
      <c r="ISJ46" s="117"/>
      <c r="ISK46" s="117"/>
      <c r="ISL46" s="117"/>
      <c r="ISM46" s="117"/>
      <c r="ISN46" s="117"/>
      <c r="ISO46" s="117"/>
      <c r="ISP46" s="117"/>
      <c r="ISQ46" s="117"/>
      <c r="ISR46" s="117"/>
      <c r="ISS46" s="117"/>
      <c r="IST46" s="117"/>
      <c r="ISU46" s="117"/>
      <c r="ISV46" s="117"/>
      <c r="ISW46" s="117"/>
      <c r="ISX46" s="117"/>
      <c r="ISY46" s="117"/>
      <c r="ISZ46" s="117"/>
      <c r="ITA46" s="117"/>
      <c r="ITB46" s="117"/>
      <c r="ITC46" s="117"/>
      <c r="ITD46" s="117"/>
      <c r="ITE46" s="117"/>
      <c r="ITF46" s="117"/>
      <c r="ITG46" s="117"/>
      <c r="ITH46" s="117"/>
      <c r="ITI46" s="117"/>
      <c r="ITJ46" s="117"/>
      <c r="ITK46" s="117"/>
      <c r="ITL46" s="117"/>
      <c r="ITM46" s="117"/>
      <c r="ITN46" s="117"/>
      <c r="ITO46" s="117"/>
      <c r="ITP46" s="117"/>
      <c r="ITQ46" s="117"/>
      <c r="ITR46" s="117"/>
      <c r="ITS46" s="117"/>
      <c r="ITT46" s="117"/>
      <c r="ITU46" s="117"/>
      <c r="ITV46" s="117"/>
      <c r="ITW46" s="117"/>
      <c r="ITX46" s="117"/>
      <c r="ITY46" s="117"/>
      <c r="ITZ46" s="117"/>
      <c r="IUA46" s="117"/>
      <c r="IUB46" s="117"/>
      <c r="IUC46" s="117"/>
      <c r="IUD46" s="117"/>
      <c r="IUE46" s="117"/>
      <c r="IUF46" s="117"/>
      <c r="IUG46" s="117"/>
      <c r="IUH46" s="117"/>
      <c r="IUI46" s="117"/>
      <c r="IUJ46" s="117"/>
      <c r="IUK46" s="117"/>
      <c r="IUL46" s="117"/>
      <c r="IUM46" s="117"/>
      <c r="IUN46" s="117"/>
      <c r="IUO46" s="117"/>
      <c r="IUP46" s="117"/>
      <c r="IUQ46" s="117"/>
      <c r="IUR46" s="117"/>
      <c r="IUS46" s="117"/>
      <c r="IUT46" s="117"/>
      <c r="IUU46" s="117"/>
      <c r="IUV46" s="117"/>
      <c r="IUW46" s="117"/>
      <c r="IUX46" s="117"/>
      <c r="IUY46" s="117"/>
      <c r="IUZ46" s="117"/>
      <c r="IVA46" s="117"/>
      <c r="IVB46" s="117"/>
      <c r="IVC46" s="117"/>
      <c r="IVD46" s="117"/>
      <c r="IVE46" s="117"/>
      <c r="IVF46" s="117"/>
      <c r="IVG46" s="117"/>
      <c r="IVH46" s="117"/>
      <c r="IVI46" s="117"/>
      <c r="IVJ46" s="117"/>
      <c r="IVK46" s="117"/>
      <c r="IVL46" s="117"/>
      <c r="IVM46" s="117"/>
      <c r="IVN46" s="117"/>
      <c r="IVO46" s="117"/>
      <c r="IVP46" s="117"/>
      <c r="IVQ46" s="117"/>
      <c r="IVR46" s="117"/>
      <c r="IVS46" s="117"/>
      <c r="IVT46" s="117"/>
      <c r="IVU46" s="117"/>
      <c r="IVV46" s="117"/>
      <c r="IVW46" s="117"/>
      <c r="IVX46" s="117"/>
      <c r="IVY46" s="117"/>
      <c r="IVZ46" s="117"/>
      <c r="IWA46" s="117"/>
      <c r="IWB46" s="117"/>
      <c r="IWC46" s="117"/>
      <c r="IWD46" s="117"/>
      <c r="IWE46" s="117"/>
      <c r="IWF46" s="117"/>
      <c r="IWG46" s="117"/>
      <c r="IWH46" s="117"/>
      <c r="IWI46" s="117"/>
      <c r="IWJ46" s="117"/>
      <c r="IWK46" s="117"/>
      <c r="IWL46" s="117"/>
      <c r="IWM46" s="117"/>
      <c r="IWN46" s="117"/>
      <c r="IWO46" s="117"/>
      <c r="IWP46" s="117"/>
      <c r="IWQ46" s="117"/>
      <c r="IWR46" s="117"/>
      <c r="IWS46" s="117"/>
      <c r="IWT46" s="117"/>
      <c r="IWU46" s="117"/>
      <c r="IWV46" s="117"/>
      <c r="IWW46" s="117"/>
      <c r="IWX46" s="117"/>
      <c r="IWY46" s="117"/>
      <c r="IWZ46" s="117"/>
      <c r="IXA46" s="117"/>
      <c r="IXB46" s="117"/>
      <c r="IXC46" s="117"/>
      <c r="IXD46" s="117"/>
      <c r="IXE46" s="117"/>
      <c r="IXF46" s="117"/>
      <c r="IXG46" s="117"/>
      <c r="IXH46" s="117"/>
      <c r="IXI46" s="117"/>
      <c r="IXJ46" s="117"/>
      <c r="IXK46" s="117"/>
      <c r="IXL46" s="117"/>
      <c r="IXM46" s="117"/>
      <c r="IXN46" s="117"/>
      <c r="IXO46" s="117"/>
      <c r="IXP46" s="117"/>
      <c r="IXQ46" s="117"/>
      <c r="IXR46" s="117"/>
      <c r="IXS46" s="117"/>
      <c r="IXT46" s="117"/>
      <c r="IXU46" s="117"/>
      <c r="IXV46" s="117"/>
      <c r="IXW46" s="117"/>
      <c r="IXX46" s="117"/>
      <c r="IXY46" s="117"/>
      <c r="IXZ46" s="117"/>
      <c r="IYA46" s="117"/>
      <c r="IYB46" s="117"/>
      <c r="IYC46" s="117"/>
      <c r="IYD46" s="117"/>
      <c r="IYE46" s="117"/>
      <c r="IYF46" s="117"/>
      <c r="IYG46" s="117"/>
      <c r="IYH46" s="117"/>
      <c r="IYI46" s="117"/>
      <c r="IYJ46" s="117"/>
      <c r="IYK46" s="117"/>
      <c r="IYL46" s="117"/>
      <c r="IYM46" s="117"/>
      <c r="IYN46" s="117"/>
      <c r="IYO46" s="117"/>
      <c r="IYP46" s="117"/>
      <c r="IYQ46" s="117"/>
      <c r="IYR46" s="117"/>
      <c r="IYS46" s="117"/>
      <c r="IYT46" s="117"/>
      <c r="IYU46" s="117"/>
      <c r="IYV46" s="117"/>
      <c r="IYW46" s="117"/>
      <c r="IYX46" s="117"/>
      <c r="IYY46" s="117"/>
      <c r="IYZ46" s="117"/>
      <c r="IZA46" s="117"/>
      <c r="IZB46" s="117"/>
      <c r="IZC46" s="117"/>
      <c r="IZD46" s="117"/>
      <c r="IZE46" s="117"/>
      <c r="IZF46" s="117"/>
      <c r="IZG46" s="117"/>
      <c r="IZH46" s="117"/>
      <c r="IZI46" s="117"/>
      <c r="IZJ46" s="117"/>
      <c r="IZK46" s="117"/>
      <c r="IZL46" s="117"/>
      <c r="IZM46" s="117"/>
      <c r="IZN46" s="117"/>
      <c r="IZO46" s="117"/>
      <c r="IZP46" s="117"/>
      <c r="IZQ46" s="117"/>
      <c r="IZR46" s="117"/>
      <c r="IZS46" s="117"/>
      <c r="IZT46" s="117"/>
      <c r="IZU46" s="117"/>
      <c r="IZV46" s="117"/>
      <c r="IZW46" s="117"/>
      <c r="IZX46" s="117"/>
      <c r="IZY46" s="117"/>
      <c r="IZZ46" s="117"/>
      <c r="JAA46" s="117"/>
      <c r="JAB46" s="117"/>
      <c r="JAC46" s="117"/>
      <c r="JAD46" s="117"/>
      <c r="JAE46" s="117"/>
      <c r="JAF46" s="117"/>
      <c r="JAG46" s="117"/>
      <c r="JAH46" s="117"/>
      <c r="JAI46" s="117"/>
      <c r="JAJ46" s="117"/>
      <c r="JAK46" s="117"/>
      <c r="JAL46" s="117"/>
      <c r="JAM46" s="117"/>
      <c r="JAN46" s="117"/>
      <c r="JAO46" s="117"/>
      <c r="JAP46" s="117"/>
      <c r="JAQ46" s="117"/>
      <c r="JAR46" s="117"/>
      <c r="JAS46" s="117"/>
      <c r="JAT46" s="117"/>
      <c r="JAU46" s="117"/>
      <c r="JAV46" s="117"/>
      <c r="JAW46" s="117"/>
      <c r="JAX46" s="117"/>
      <c r="JAY46" s="117"/>
      <c r="JAZ46" s="117"/>
      <c r="JBA46" s="117"/>
      <c r="JBB46" s="117"/>
      <c r="JBC46" s="117"/>
      <c r="JBD46" s="117"/>
      <c r="JBE46" s="117"/>
      <c r="JBF46" s="117"/>
      <c r="JBG46" s="117"/>
      <c r="JBH46" s="117"/>
      <c r="JBI46" s="117"/>
      <c r="JBJ46" s="117"/>
      <c r="JBK46" s="117"/>
      <c r="JBL46" s="117"/>
      <c r="JBM46" s="117"/>
      <c r="JBN46" s="117"/>
      <c r="JBO46" s="117"/>
      <c r="JBP46" s="117"/>
      <c r="JBQ46" s="117"/>
      <c r="JBR46" s="117"/>
      <c r="JBS46" s="117"/>
      <c r="JBT46" s="117"/>
      <c r="JBU46" s="117"/>
      <c r="JBV46" s="117"/>
      <c r="JBW46" s="117"/>
      <c r="JBX46" s="117"/>
      <c r="JBY46" s="117"/>
      <c r="JBZ46" s="117"/>
      <c r="JCA46" s="117"/>
      <c r="JCB46" s="117"/>
      <c r="JCC46" s="117"/>
      <c r="JCD46" s="117"/>
      <c r="JCE46" s="117"/>
      <c r="JCF46" s="117"/>
      <c r="JCG46" s="117"/>
      <c r="JCH46" s="117"/>
      <c r="JCI46" s="117"/>
      <c r="JCJ46" s="117"/>
      <c r="JCK46" s="117"/>
      <c r="JCL46" s="117"/>
      <c r="JCM46" s="117"/>
      <c r="JCN46" s="117"/>
      <c r="JCO46" s="117"/>
      <c r="JCP46" s="117"/>
      <c r="JCQ46" s="117"/>
      <c r="JCR46" s="117"/>
      <c r="JCS46" s="117"/>
      <c r="JCT46" s="117"/>
      <c r="JCU46" s="117"/>
      <c r="JCV46" s="117"/>
      <c r="JCW46" s="117"/>
      <c r="JCX46" s="117"/>
      <c r="JCY46" s="117"/>
      <c r="JCZ46" s="117"/>
      <c r="JDA46" s="117"/>
      <c r="JDB46" s="117"/>
      <c r="JDC46" s="117"/>
      <c r="JDD46" s="117"/>
      <c r="JDE46" s="117"/>
      <c r="JDF46" s="117"/>
      <c r="JDG46" s="117"/>
      <c r="JDH46" s="117"/>
      <c r="JDI46" s="117"/>
      <c r="JDJ46" s="117"/>
      <c r="JDK46" s="117"/>
      <c r="JDL46" s="117"/>
      <c r="JDM46" s="117"/>
      <c r="JDN46" s="117"/>
      <c r="JDO46" s="117"/>
      <c r="JDP46" s="117"/>
      <c r="JDQ46" s="117"/>
      <c r="JDR46" s="117"/>
      <c r="JDS46" s="117"/>
      <c r="JDT46" s="117"/>
      <c r="JDU46" s="117"/>
      <c r="JDV46" s="117"/>
      <c r="JDW46" s="117"/>
      <c r="JDX46" s="117"/>
      <c r="JDY46" s="117"/>
      <c r="JDZ46" s="117"/>
      <c r="JEA46" s="117"/>
      <c r="JEB46" s="117"/>
      <c r="JEC46" s="117"/>
      <c r="JED46" s="117"/>
      <c r="JEE46" s="117"/>
      <c r="JEF46" s="117"/>
      <c r="JEG46" s="117"/>
      <c r="JEH46" s="117"/>
      <c r="JEI46" s="117"/>
      <c r="JEJ46" s="117"/>
      <c r="JEK46" s="117"/>
      <c r="JEL46" s="117"/>
      <c r="JEM46" s="117"/>
      <c r="JEN46" s="117"/>
      <c r="JEO46" s="117"/>
      <c r="JEP46" s="117"/>
      <c r="JEQ46" s="117"/>
      <c r="JER46" s="117"/>
      <c r="JES46" s="117"/>
      <c r="JET46" s="117"/>
      <c r="JEU46" s="117"/>
      <c r="JEV46" s="117"/>
      <c r="JEW46" s="117"/>
      <c r="JEX46" s="117"/>
      <c r="JEY46" s="117"/>
      <c r="JEZ46" s="117"/>
      <c r="JFA46" s="117"/>
      <c r="JFB46" s="117"/>
      <c r="JFC46" s="117"/>
      <c r="JFD46" s="117"/>
      <c r="JFE46" s="117"/>
      <c r="JFF46" s="117"/>
      <c r="JFG46" s="117"/>
      <c r="JFH46" s="117"/>
      <c r="JFI46" s="117"/>
      <c r="JFJ46" s="117"/>
      <c r="JFK46" s="117"/>
      <c r="JFL46" s="117"/>
      <c r="JFM46" s="117"/>
      <c r="JFN46" s="117"/>
      <c r="JFO46" s="117"/>
      <c r="JFP46" s="117"/>
      <c r="JFQ46" s="117"/>
      <c r="JFR46" s="117"/>
      <c r="JFS46" s="117"/>
      <c r="JFT46" s="117"/>
      <c r="JFU46" s="117"/>
      <c r="JFV46" s="117"/>
      <c r="JFW46" s="117"/>
      <c r="JFX46" s="117"/>
      <c r="JFY46" s="117"/>
      <c r="JFZ46" s="117"/>
      <c r="JGA46" s="117"/>
      <c r="JGB46" s="117"/>
      <c r="JGC46" s="117"/>
      <c r="JGD46" s="117"/>
      <c r="JGE46" s="117"/>
      <c r="JGF46" s="117"/>
      <c r="JGG46" s="117"/>
      <c r="JGH46" s="117"/>
      <c r="JGI46" s="117"/>
      <c r="JGJ46" s="117"/>
      <c r="JGK46" s="117"/>
      <c r="JGL46" s="117"/>
      <c r="JGM46" s="117"/>
      <c r="JGN46" s="117"/>
      <c r="JGO46" s="117"/>
      <c r="JGP46" s="117"/>
      <c r="JGQ46" s="117"/>
      <c r="JGR46" s="117"/>
      <c r="JGS46" s="117"/>
      <c r="JGT46" s="117"/>
      <c r="JGU46" s="117"/>
      <c r="JGV46" s="117"/>
      <c r="JGW46" s="117"/>
      <c r="JGX46" s="117"/>
      <c r="JGY46" s="117"/>
      <c r="JGZ46" s="117"/>
      <c r="JHA46" s="117"/>
      <c r="JHB46" s="117"/>
      <c r="JHC46" s="117"/>
      <c r="JHD46" s="117"/>
      <c r="JHE46" s="117"/>
      <c r="JHF46" s="117"/>
      <c r="JHG46" s="117"/>
      <c r="JHH46" s="117"/>
      <c r="JHI46" s="117"/>
      <c r="JHJ46" s="117"/>
      <c r="JHK46" s="117"/>
      <c r="JHL46" s="117"/>
      <c r="JHM46" s="117"/>
      <c r="JHN46" s="117"/>
      <c r="JHO46" s="117"/>
      <c r="JHP46" s="117"/>
      <c r="JHQ46" s="117"/>
      <c r="JHR46" s="117"/>
      <c r="JHS46" s="117"/>
      <c r="JHT46" s="117"/>
      <c r="JHU46" s="117"/>
      <c r="JHV46" s="117"/>
      <c r="JHW46" s="117"/>
      <c r="JHX46" s="117"/>
      <c r="JHY46" s="117"/>
      <c r="JHZ46" s="117"/>
      <c r="JIA46" s="117"/>
      <c r="JIB46" s="117"/>
      <c r="JIC46" s="117"/>
      <c r="JID46" s="117"/>
      <c r="JIE46" s="117"/>
      <c r="JIF46" s="117"/>
      <c r="JIG46" s="117"/>
      <c r="JIH46" s="117"/>
      <c r="JII46" s="117"/>
      <c r="JIJ46" s="117"/>
      <c r="JIK46" s="117"/>
      <c r="JIL46" s="117"/>
      <c r="JIM46" s="117"/>
      <c r="JIN46" s="117"/>
      <c r="JIO46" s="117"/>
      <c r="JIP46" s="117"/>
      <c r="JIQ46" s="117"/>
      <c r="JIR46" s="117"/>
      <c r="JIS46" s="117"/>
      <c r="JIT46" s="117"/>
      <c r="JIU46" s="117"/>
      <c r="JIV46" s="117"/>
      <c r="JIW46" s="117"/>
      <c r="JIX46" s="117"/>
      <c r="JIY46" s="117"/>
      <c r="JIZ46" s="117"/>
      <c r="JJA46" s="117"/>
      <c r="JJB46" s="117"/>
      <c r="JJC46" s="117"/>
      <c r="JJD46" s="117"/>
      <c r="JJE46" s="117"/>
      <c r="JJF46" s="117"/>
      <c r="JJG46" s="117"/>
      <c r="JJH46" s="117"/>
      <c r="JJI46" s="117"/>
      <c r="JJJ46" s="117"/>
      <c r="JJK46" s="117"/>
      <c r="JJL46" s="117"/>
      <c r="JJM46" s="117"/>
      <c r="JJN46" s="117"/>
      <c r="JJO46" s="117"/>
      <c r="JJP46" s="117"/>
      <c r="JJQ46" s="117"/>
      <c r="JJR46" s="117"/>
      <c r="JJS46" s="117"/>
      <c r="JJT46" s="117"/>
      <c r="JJU46" s="117"/>
      <c r="JJV46" s="117"/>
      <c r="JJW46" s="117"/>
      <c r="JJX46" s="117"/>
      <c r="JJY46" s="117"/>
      <c r="JJZ46" s="117"/>
      <c r="JKA46" s="117"/>
      <c r="JKB46" s="117"/>
      <c r="JKC46" s="117"/>
      <c r="JKD46" s="117"/>
      <c r="JKE46" s="117"/>
      <c r="JKF46" s="117"/>
      <c r="JKG46" s="117"/>
      <c r="JKH46" s="117"/>
      <c r="JKI46" s="117"/>
      <c r="JKJ46" s="117"/>
      <c r="JKK46" s="117"/>
      <c r="JKL46" s="117"/>
      <c r="JKM46" s="117"/>
      <c r="JKN46" s="117"/>
      <c r="JKO46" s="117"/>
      <c r="JKP46" s="117"/>
      <c r="JKQ46" s="117"/>
      <c r="JKR46" s="117"/>
      <c r="JKS46" s="117"/>
      <c r="JKT46" s="117"/>
      <c r="JKU46" s="117"/>
      <c r="JKV46" s="117"/>
      <c r="JKW46" s="117"/>
      <c r="JKX46" s="117"/>
      <c r="JKY46" s="117"/>
      <c r="JKZ46" s="117"/>
      <c r="JLA46" s="117"/>
      <c r="JLB46" s="117"/>
      <c r="JLC46" s="117"/>
      <c r="JLD46" s="117"/>
      <c r="JLE46" s="117"/>
      <c r="JLF46" s="117"/>
      <c r="JLG46" s="117"/>
      <c r="JLH46" s="117"/>
      <c r="JLI46" s="117"/>
      <c r="JLJ46" s="117"/>
      <c r="JLK46" s="117"/>
      <c r="JLL46" s="117"/>
      <c r="JLM46" s="117"/>
      <c r="JLN46" s="117"/>
      <c r="JLO46" s="117"/>
      <c r="JLP46" s="117"/>
      <c r="JLQ46" s="117"/>
      <c r="JLR46" s="117"/>
      <c r="JLS46" s="117"/>
      <c r="JLT46" s="117"/>
      <c r="JLU46" s="117"/>
      <c r="JLV46" s="117"/>
      <c r="JLW46" s="117"/>
      <c r="JLX46" s="117"/>
      <c r="JLY46" s="117"/>
      <c r="JLZ46" s="117"/>
      <c r="JMA46" s="117"/>
      <c r="JMB46" s="117"/>
      <c r="JMC46" s="117"/>
      <c r="JMD46" s="117"/>
      <c r="JME46" s="117"/>
      <c r="JMF46" s="117"/>
      <c r="JMG46" s="117"/>
      <c r="JMH46" s="117"/>
      <c r="JMI46" s="117"/>
      <c r="JMJ46" s="117"/>
      <c r="JMK46" s="117"/>
      <c r="JML46" s="117"/>
      <c r="JMM46" s="117"/>
      <c r="JMN46" s="117"/>
      <c r="JMO46" s="117"/>
      <c r="JMP46" s="117"/>
      <c r="JMQ46" s="117"/>
      <c r="JMR46" s="117"/>
      <c r="JMS46" s="117"/>
      <c r="JMT46" s="117"/>
      <c r="JMU46" s="117"/>
      <c r="JMV46" s="117"/>
      <c r="JMW46" s="117"/>
      <c r="JMX46" s="117"/>
      <c r="JMY46" s="117"/>
      <c r="JMZ46" s="117"/>
      <c r="JNA46" s="117"/>
      <c r="JNB46" s="117"/>
      <c r="JNC46" s="117"/>
      <c r="JND46" s="117"/>
      <c r="JNE46" s="117"/>
      <c r="JNF46" s="117"/>
      <c r="JNG46" s="117"/>
      <c r="JNH46" s="117"/>
      <c r="JNI46" s="117"/>
      <c r="JNJ46" s="117"/>
      <c r="JNK46" s="117"/>
      <c r="JNL46" s="117"/>
      <c r="JNM46" s="117"/>
      <c r="JNN46" s="117"/>
      <c r="JNO46" s="117"/>
      <c r="JNP46" s="117"/>
      <c r="JNQ46" s="117"/>
      <c r="JNR46" s="117"/>
      <c r="JNS46" s="117"/>
      <c r="JNT46" s="117"/>
      <c r="JNU46" s="117"/>
      <c r="JNV46" s="117"/>
      <c r="JNW46" s="117"/>
      <c r="JNX46" s="117"/>
      <c r="JNY46" s="117"/>
      <c r="JNZ46" s="117"/>
      <c r="JOA46" s="117"/>
      <c r="JOB46" s="117"/>
      <c r="JOC46" s="117"/>
      <c r="JOD46" s="117"/>
      <c r="JOE46" s="117"/>
      <c r="JOF46" s="117"/>
      <c r="JOG46" s="117"/>
      <c r="JOH46" s="117"/>
      <c r="JOI46" s="117"/>
      <c r="JOJ46" s="117"/>
      <c r="JOK46" s="117"/>
      <c r="JOL46" s="117"/>
      <c r="JOM46" s="117"/>
      <c r="JON46" s="117"/>
      <c r="JOO46" s="117"/>
      <c r="JOP46" s="117"/>
      <c r="JOQ46" s="117"/>
      <c r="JOR46" s="117"/>
      <c r="JOS46" s="117"/>
      <c r="JOT46" s="117"/>
      <c r="JOU46" s="117"/>
      <c r="JOV46" s="117"/>
      <c r="JOW46" s="117"/>
      <c r="JOX46" s="117"/>
      <c r="JOY46" s="117"/>
      <c r="JOZ46" s="117"/>
      <c r="JPA46" s="117"/>
      <c r="JPB46" s="117"/>
      <c r="JPC46" s="117"/>
      <c r="JPD46" s="117"/>
      <c r="JPE46" s="117"/>
      <c r="JPF46" s="117"/>
      <c r="JPG46" s="117"/>
      <c r="JPH46" s="117"/>
      <c r="JPI46" s="117"/>
      <c r="JPJ46" s="117"/>
      <c r="JPK46" s="117"/>
      <c r="JPL46" s="117"/>
      <c r="JPM46" s="117"/>
      <c r="JPN46" s="117"/>
      <c r="JPO46" s="117"/>
      <c r="JPP46" s="117"/>
      <c r="JPQ46" s="117"/>
      <c r="JPR46" s="117"/>
      <c r="JPS46" s="117"/>
      <c r="JPT46" s="117"/>
      <c r="JPU46" s="117"/>
      <c r="JPV46" s="117"/>
      <c r="JPW46" s="117"/>
      <c r="JPX46" s="117"/>
      <c r="JPY46" s="117"/>
      <c r="JPZ46" s="117"/>
      <c r="JQA46" s="117"/>
      <c r="JQB46" s="117"/>
      <c r="JQC46" s="117"/>
      <c r="JQD46" s="117"/>
      <c r="JQE46" s="117"/>
      <c r="JQF46" s="117"/>
      <c r="JQG46" s="117"/>
      <c r="JQH46" s="117"/>
      <c r="JQI46" s="117"/>
      <c r="JQJ46" s="117"/>
      <c r="JQK46" s="117"/>
      <c r="JQL46" s="117"/>
      <c r="JQM46" s="117"/>
      <c r="JQN46" s="117"/>
      <c r="JQO46" s="117"/>
      <c r="JQP46" s="117"/>
      <c r="JQQ46" s="117"/>
      <c r="JQR46" s="117"/>
      <c r="JQS46" s="117"/>
      <c r="JQT46" s="117"/>
      <c r="JQU46" s="117"/>
      <c r="JQV46" s="117"/>
      <c r="JQW46" s="117"/>
      <c r="JQX46" s="117"/>
      <c r="JQY46" s="117"/>
      <c r="JQZ46" s="117"/>
      <c r="JRA46" s="117"/>
      <c r="JRB46" s="117"/>
      <c r="JRC46" s="117"/>
      <c r="JRD46" s="117"/>
      <c r="JRE46" s="117"/>
      <c r="JRF46" s="117"/>
      <c r="JRG46" s="117"/>
      <c r="JRH46" s="117"/>
      <c r="JRI46" s="117"/>
      <c r="JRJ46" s="117"/>
      <c r="JRK46" s="117"/>
      <c r="JRL46" s="117"/>
      <c r="JRM46" s="117"/>
      <c r="JRN46" s="117"/>
      <c r="JRO46" s="117"/>
      <c r="JRP46" s="117"/>
      <c r="JRQ46" s="117"/>
      <c r="JRR46" s="117"/>
      <c r="JRS46" s="117"/>
      <c r="JRT46" s="117"/>
      <c r="JRU46" s="117"/>
      <c r="JRV46" s="117"/>
      <c r="JRW46" s="117"/>
      <c r="JRX46" s="117"/>
      <c r="JRY46" s="117"/>
      <c r="JRZ46" s="117"/>
      <c r="JSA46" s="117"/>
      <c r="JSB46" s="117"/>
      <c r="JSC46" s="117"/>
      <c r="JSD46" s="117"/>
      <c r="JSE46" s="117"/>
      <c r="JSF46" s="117"/>
      <c r="JSG46" s="117"/>
      <c r="JSH46" s="117"/>
      <c r="JSI46" s="117"/>
      <c r="JSJ46" s="117"/>
      <c r="JSK46" s="117"/>
      <c r="JSL46" s="117"/>
      <c r="JSM46" s="117"/>
      <c r="JSN46" s="117"/>
      <c r="JSO46" s="117"/>
      <c r="JSP46" s="117"/>
      <c r="JSQ46" s="117"/>
      <c r="JSR46" s="117"/>
      <c r="JSS46" s="117"/>
      <c r="JST46" s="117"/>
      <c r="JSU46" s="117"/>
      <c r="JSV46" s="117"/>
      <c r="JSW46" s="117"/>
      <c r="JSX46" s="117"/>
      <c r="JSY46" s="117"/>
      <c r="JSZ46" s="117"/>
      <c r="JTA46" s="117"/>
      <c r="JTB46" s="117"/>
      <c r="JTC46" s="117"/>
      <c r="JTD46" s="117"/>
      <c r="JTE46" s="117"/>
      <c r="JTF46" s="117"/>
      <c r="JTG46" s="117"/>
      <c r="JTH46" s="117"/>
      <c r="JTI46" s="117"/>
      <c r="JTJ46" s="117"/>
      <c r="JTK46" s="117"/>
      <c r="JTL46" s="117"/>
      <c r="JTM46" s="117"/>
      <c r="JTN46" s="117"/>
      <c r="JTO46" s="117"/>
      <c r="JTP46" s="117"/>
      <c r="JTQ46" s="117"/>
      <c r="JTR46" s="117"/>
      <c r="JTS46" s="117"/>
      <c r="JTT46" s="117"/>
      <c r="JTU46" s="117"/>
      <c r="JTV46" s="117"/>
      <c r="JTW46" s="117"/>
      <c r="JTX46" s="117"/>
      <c r="JTY46" s="117"/>
      <c r="JTZ46" s="117"/>
      <c r="JUA46" s="117"/>
      <c r="JUB46" s="117"/>
      <c r="JUC46" s="117"/>
      <c r="JUD46" s="117"/>
      <c r="JUE46" s="117"/>
      <c r="JUF46" s="117"/>
      <c r="JUG46" s="117"/>
      <c r="JUH46" s="117"/>
      <c r="JUI46" s="117"/>
      <c r="JUJ46" s="117"/>
      <c r="JUK46" s="117"/>
      <c r="JUL46" s="117"/>
      <c r="JUM46" s="117"/>
      <c r="JUN46" s="117"/>
      <c r="JUO46" s="117"/>
      <c r="JUP46" s="117"/>
      <c r="JUQ46" s="117"/>
      <c r="JUR46" s="117"/>
      <c r="JUS46" s="117"/>
      <c r="JUT46" s="117"/>
      <c r="JUU46" s="117"/>
      <c r="JUV46" s="117"/>
      <c r="JUW46" s="117"/>
      <c r="JUX46" s="117"/>
      <c r="JUY46" s="117"/>
      <c r="JUZ46" s="117"/>
      <c r="JVA46" s="117"/>
      <c r="JVB46" s="117"/>
      <c r="JVC46" s="117"/>
      <c r="JVD46" s="117"/>
      <c r="JVE46" s="117"/>
      <c r="JVF46" s="117"/>
      <c r="JVG46" s="117"/>
      <c r="JVH46" s="117"/>
      <c r="JVI46" s="117"/>
      <c r="JVJ46" s="117"/>
      <c r="JVK46" s="117"/>
      <c r="JVL46" s="117"/>
      <c r="JVM46" s="117"/>
      <c r="JVN46" s="117"/>
      <c r="JVO46" s="117"/>
      <c r="JVP46" s="117"/>
      <c r="JVQ46" s="117"/>
      <c r="JVR46" s="117"/>
      <c r="JVS46" s="117"/>
      <c r="JVT46" s="117"/>
      <c r="JVU46" s="117"/>
      <c r="JVV46" s="117"/>
      <c r="JVW46" s="117"/>
      <c r="JVX46" s="117"/>
      <c r="JVY46" s="117"/>
      <c r="JVZ46" s="117"/>
      <c r="JWA46" s="117"/>
      <c r="JWB46" s="117"/>
      <c r="JWC46" s="117"/>
      <c r="JWD46" s="117"/>
      <c r="JWE46" s="117"/>
      <c r="JWF46" s="117"/>
      <c r="JWG46" s="117"/>
      <c r="JWH46" s="117"/>
      <c r="JWI46" s="117"/>
      <c r="JWJ46" s="117"/>
      <c r="JWK46" s="117"/>
      <c r="JWL46" s="117"/>
      <c r="JWM46" s="117"/>
      <c r="JWN46" s="117"/>
      <c r="JWO46" s="117"/>
      <c r="JWP46" s="117"/>
      <c r="JWQ46" s="117"/>
      <c r="JWR46" s="117"/>
      <c r="JWS46" s="117"/>
      <c r="JWT46" s="117"/>
      <c r="JWU46" s="117"/>
      <c r="JWV46" s="117"/>
      <c r="JWW46" s="117"/>
      <c r="JWX46" s="117"/>
      <c r="JWY46" s="117"/>
      <c r="JWZ46" s="117"/>
      <c r="JXA46" s="117"/>
      <c r="JXB46" s="117"/>
      <c r="JXC46" s="117"/>
      <c r="JXD46" s="117"/>
      <c r="JXE46" s="117"/>
      <c r="JXF46" s="117"/>
      <c r="JXG46" s="117"/>
      <c r="JXH46" s="117"/>
      <c r="JXI46" s="117"/>
      <c r="JXJ46" s="117"/>
      <c r="JXK46" s="117"/>
      <c r="JXL46" s="117"/>
      <c r="JXM46" s="117"/>
      <c r="JXN46" s="117"/>
      <c r="JXO46" s="117"/>
      <c r="JXP46" s="117"/>
      <c r="JXQ46" s="117"/>
      <c r="JXR46" s="117"/>
      <c r="JXS46" s="117"/>
      <c r="JXT46" s="117"/>
      <c r="JXU46" s="117"/>
      <c r="JXV46" s="117"/>
      <c r="JXW46" s="117"/>
      <c r="JXX46" s="117"/>
      <c r="JXY46" s="117"/>
      <c r="JXZ46" s="117"/>
      <c r="JYA46" s="117"/>
      <c r="JYB46" s="117"/>
      <c r="JYC46" s="117"/>
      <c r="JYD46" s="117"/>
      <c r="JYE46" s="117"/>
      <c r="JYF46" s="117"/>
      <c r="JYG46" s="117"/>
      <c r="JYH46" s="117"/>
      <c r="JYI46" s="117"/>
      <c r="JYJ46" s="117"/>
      <c r="JYK46" s="117"/>
      <c r="JYL46" s="117"/>
      <c r="JYM46" s="117"/>
      <c r="JYN46" s="117"/>
      <c r="JYO46" s="117"/>
      <c r="JYP46" s="117"/>
      <c r="JYQ46" s="117"/>
      <c r="JYR46" s="117"/>
      <c r="JYS46" s="117"/>
      <c r="JYT46" s="117"/>
      <c r="JYU46" s="117"/>
      <c r="JYV46" s="117"/>
      <c r="JYW46" s="117"/>
      <c r="JYX46" s="117"/>
      <c r="JYY46" s="117"/>
      <c r="JYZ46" s="117"/>
      <c r="JZA46" s="117"/>
      <c r="JZB46" s="117"/>
      <c r="JZC46" s="117"/>
      <c r="JZD46" s="117"/>
      <c r="JZE46" s="117"/>
      <c r="JZF46" s="117"/>
      <c r="JZG46" s="117"/>
      <c r="JZH46" s="117"/>
      <c r="JZI46" s="117"/>
      <c r="JZJ46" s="117"/>
      <c r="JZK46" s="117"/>
      <c r="JZL46" s="117"/>
      <c r="JZM46" s="117"/>
      <c r="JZN46" s="117"/>
      <c r="JZO46" s="117"/>
      <c r="JZP46" s="117"/>
      <c r="JZQ46" s="117"/>
      <c r="JZR46" s="117"/>
      <c r="JZS46" s="117"/>
      <c r="JZT46" s="117"/>
      <c r="JZU46" s="117"/>
      <c r="JZV46" s="117"/>
      <c r="JZW46" s="117"/>
      <c r="JZX46" s="117"/>
      <c r="JZY46" s="117"/>
      <c r="JZZ46" s="117"/>
      <c r="KAA46" s="117"/>
      <c r="KAB46" s="117"/>
      <c r="KAC46" s="117"/>
      <c r="KAD46" s="117"/>
      <c r="KAE46" s="117"/>
      <c r="KAF46" s="117"/>
      <c r="KAG46" s="117"/>
      <c r="KAH46" s="117"/>
      <c r="KAI46" s="117"/>
      <c r="KAJ46" s="117"/>
      <c r="KAK46" s="117"/>
      <c r="KAL46" s="117"/>
      <c r="KAM46" s="117"/>
      <c r="KAN46" s="117"/>
      <c r="KAO46" s="117"/>
      <c r="KAP46" s="117"/>
      <c r="KAQ46" s="117"/>
      <c r="KAR46" s="117"/>
      <c r="KAS46" s="117"/>
      <c r="KAT46" s="117"/>
      <c r="KAU46" s="117"/>
      <c r="KAV46" s="117"/>
      <c r="KAW46" s="117"/>
      <c r="KAX46" s="117"/>
      <c r="KAY46" s="117"/>
      <c r="KAZ46" s="117"/>
      <c r="KBA46" s="117"/>
      <c r="KBB46" s="117"/>
      <c r="KBC46" s="117"/>
      <c r="KBD46" s="117"/>
      <c r="KBE46" s="117"/>
      <c r="KBF46" s="117"/>
      <c r="KBG46" s="117"/>
      <c r="KBH46" s="117"/>
      <c r="KBI46" s="117"/>
      <c r="KBJ46" s="117"/>
      <c r="KBK46" s="117"/>
      <c r="KBL46" s="117"/>
      <c r="KBM46" s="117"/>
      <c r="KBN46" s="117"/>
      <c r="KBO46" s="117"/>
      <c r="KBP46" s="117"/>
      <c r="KBQ46" s="117"/>
      <c r="KBR46" s="117"/>
      <c r="KBS46" s="117"/>
      <c r="KBT46" s="117"/>
      <c r="KBU46" s="117"/>
      <c r="KBV46" s="117"/>
      <c r="KBW46" s="117"/>
      <c r="KBX46" s="117"/>
      <c r="KBY46" s="117"/>
      <c r="KBZ46" s="117"/>
      <c r="KCA46" s="117"/>
      <c r="KCB46" s="117"/>
      <c r="KCC46" s="117"/>
      <c r="KCD46" s="117"/>
      <c r="KCE46" s="117"/>
      <c r="KCF46" s="117"/>
      <c r="KCG46" s="117"/>
      <c r="KCH46" s="117"/>
      <c r="KCI46" s="117"/>
      <c r="KCJ46" s="117"/>
      <c r="KCK46" s="117"/>
      <c r="KCL46" s="117"/>
      <c r="KCM46" s="117"/>
      <c r="KCN46" s="117"/>
      <c r="KCO46" s="117"/>
      <c r="KCP46" s="117"/>
      <c r="KCQ46" s="117"/>
      <c r="KCR46" s="117"/>
      <c r="KCS46" s="117"/>
      <c r="KCT46" s="117"/>
      <c r="KCU46" s="117"/>
      <c r="KCV46" s="117"/>
      <c r="KCW46" s="117"/>
      <c r="KCX46" s="117"/>
      <c r="KCY46" s="117"/>
      <c r="KCZ46" s="117"/>
      <c r="KDA46" s="117"/>
      <c r="KDB46" s="117"/>
      <c r="KDC46" s="117"/>
      <c r="KDD46" s="117"/>
      <c r="KDE46" s="117"/>
      <c r="KDF46" s="117"/>
      <c r="KDG46" s="117"/>
      <c r="KDH46" s="117"/>
      <c r="KDI46" s="117"/>
      <c r="KDJ46" s="117"/>
      <c r="KDK46" s="117"/>
      <c r="KDL46" s="117"/>
      <c r="KDM46" s="117"/>
      <c r="KDN46" s="117"/>
      <c r="KDO46" s="117"/>
      <c r="KDP46" s="117"/>
      <c r="KDQ46" s="117"/>
      <c r="KDR46" s="117"/>
      <c r="KDS46" s="117"/>
      <c r="KDT46" s="117"/>
      <c r="KDU46" s="117"/>
      <c r="KDV46" s="117"/>
      <c r="KDW46" s="117"/>
      <c r="KDX46" s="117"/>
      <c r="KDY46" s="117"/>
      <c r="KDZ46" s="117"/>
      <c r="KEA46" s="117"/>
      <c r="KEB46" s="117"/>
      <c r="KEC46" s="117"/>
      <c r="KED46" s="117"/>
      <c r="KEE46" s="117"/>
      <c r="KEF46" s="117"/>
      <c r="KEG46" s="117"/>
      <c r="KEH46" s="117"/>
      <c r="KEI46" s="117"/>
      <c r="KEJ46" s="117"/>
      <c r="KEK46" s="117"/>
      <c r="KEL46" s="117"/>
      <c r="KEM46" s="117"/>
      <c r="KEN46" s="117"/>
      <c r="KEO46" s="117"/>
      <c r="KEP46" s="117"/>
      <c r="KEQ46" s="117"/>
      <c r="KER46" s="117"/>
      <c r="KES46" s="117"/>
      <c r="KET46" s="117"/>
      <c r="KEU46" s="117"/>
      <c r="KEV46" s="117"/>
      <c r="KEW46" s="117"/>
      <c r="KEX46" s="117"/>
      <c r="KEY46" s="117"/>
      <c r="KEZ46" s="117"/>
      <c r="KFA46" s="117"/>
      <c r="KFB46" s="117"/>
      <c r="KFC46" s="117"/>
      <c r="KFD46" s="117"/>
      <c r="KFE46" s="117"/>
      <c r="KFF46" s="117"/>
      <c r="KFG46" s="117"/>
      <c r="KFH46" s="117"/>
      <c r="KFI46" s="117"/>
      <c r="KFJ46" s="117"/>
      <c r="KFK46" s="117"/>
      <c r="KFL46" s="117"/>
      <c r="KFM46" s="117"/>
      <c r="KFN46" s="117"/>
      <c r="KFO46" s="117"/>
      <c r="KFP46" s="117"/>
      <c r="KFQ46" s="117"/>
      <c r="KFR46" s="117"/>
      <c r="KFS46" s="117"/>
      <c r="KFT46" s="117"/>
      <c r="KFU46" s="117"/>
      <c r="KFV46" s="117"/>
      <c r="KFW46" s="117"/>
      <c r="KFX46" s="117"/>
      <c r="KFY46" s="117"/>
      <c r="KFZ46" s="117"/>
      <c r="KGA46" s="117"/>
      <c r="KGB46" s="117"/>
      <c r="KGC46" s="117"/>
      <c r="KGD46" s="117"/>
      <c r="KGE46" s="117"/>
      <c r="KGF46" s="117"/>
      <c r="KGG46" s="117"/>
      <c r="KGH46" s="117"/>
      <c r="KGI46" s="117"/>
      <c r="KGJ46" s="117"/>
      <c r="KGK46" s="117"/>
      <c r="KGL46" s="117"/>
      <c r="KGM46" s="117"/>
      <c r="KGN46" s="117"/>
      <c r="KGO46" s="117"/>
      <c r="KGP46" s="117"/>
      <c r="KGQ46" s="117"/>
      <c r="KGR46" s="117"/>
      <c r="KGS46" s="117"/>
      <c r="KGT46" s="117"/>
      <c r="KGU46" s="117"/>
      <c r="KGV46" s="117"/>
      <c r="KGW46" s="117"/>
      <c r="KGX46" s="117"/>
      <c r="KGY46" s="117"/>
      <c r="KGZ46" s="117"/>
      <c r="KHA46" s="117"/>
      <c r="KHB46" s="117"/>
      <c r="KHC46" s="117"/>
      <c r="KHD46" s="117"/>
      <c r="KHE46" s="117"/>
      <c r="KHF46" s="117"/>
      <c r="KHG46" s="117"/>
      <c r="KHH46" s="117"/>
      <c r="KHI46" s="117"/>
      <c r="KHJ46" s="117"/>
      <c r="KHK46" s="117"/>
      <c r="KHL46" s="117"/>
      <c r="KHM46" s="117"/>
      <c r="KHN46" s="117"/>
      <c r="KHO46" s="117"/>
      <c r="KHP46" s="117"/>
      <c r="KHQ46" s="117"/>
      <c r="KHR46" s="117"/>
      <c r="KHS46" s="117"/>
      <c r="KHT46" s="117"/>
      <c r="KHU46" s="117"/>
      <c r="KHV46" s="117"/>
      <c r="KHW46" s="117"/>
      <c r="KHX46" s="117"/>
      <c r="KHY46" s="117"/>
      <c r="KHZ46" s="117"/>
      <c r="KIA46" s="117"/>
      <c r="KIB46" s="117"/>
      <c r="KIC46" s="117"/>
      <c r="KID46" s="117"/>
      <c r="KIE46" s="117"/>
      <c r="KIF46" s="117"/>
      <c r="KIG46" s="117"/>
      <c r="KIH46" s="117"/>
      <c r="KII46" s="117"/>
      <c r="KIJ46" s="117"/>
      <c r="KIK46" s="117"/>
      <c r="KIL46" s="117"/>
      <c r="KIM46" s="117"/>
      <c r="KIN46" s="117"/>
      <c r="KIO46" s="117"/>
      <c r="KIP46" s="117"/>
      <c r="KIQ46" s="117"/>
      <c r="KIR46" s="117"/>
      <c r="KIS46" s="117"/>
      <c r="KIT46" s="117"/>
      <c r="KIU46" s="117"/>
      <c r="KIV46" s="117"/>
      <c r="KIW46" s="117"/>
      <c r="KIX46" s="117"/>
      <c r="KIY46" s="117"/>
      <c r="KIZ46" s="117"/>
      <c r="KJA46" s="117"/>
      <c r="KJB46" s="117"/>
      <c r="KJC46" s="117"/>
      <c r="KJD46" s="117"/>
      <c r="KJE46" s="117"/>
      <c r="KJF46" s="117"/>
      <c r="KJG46" s="117"/>
      <c r="KJH46" s="117"/>
      <c r="KJI46" s="117"/>
      <c r="KJJ46" s="117"/>
      <c r="KJK46" s="117"/>
      <c r="KJL46" s="117"/>
      <c r="KJM46" s="117"/>
      <c r="KJN46" s="117"/>
      <c r="KJO46" s="117"/>
      <c r="KJP46" s="117"/>
      <c r="KJQ46" s="117"/>
      <c r="KJR46" s="117"/>
      <c r="KJS46" s="117"/>
      <c r="KJT46" s="117"/>
      <c r="KJU46" s="117"/>
      <c r="KJV46" s="117"/>
      <c r="KJW46" s="117"/>
      <c r="KJX46" s="117"/>
      <c r="KJY46" s="117"/>
      <c r="KJZ46" s="117"/>
      <c r="KKA46" s="117"/>
      <c r="KKB46" s="117"/>
      <c r="KKC46" s="117"/>
      <c r="KKD46" s="117"/>
      <c r="KKE46" s="117"/>
      <c r="KKF46" s="117"/>
      <c r="KKG46" s="117"/>
      <c r="KKH46" s="117"/>
      <c r="KKI46" s="117"/>
      <c r="KKJ46" s="117"/>
      <c r="KKK46" s="117"/>
      <c r="KKL46" s="117"/>
      <c r="KKM46" s="117"/>
      <c r="KKN46" s="117"/>
      <c r="KKO46" s="117"/>
      <c r="KKP46" s="117"/>
      <c r="KKQ46" s="117"/>
      <c r="KKR46" s="117"/>
      <c r="KKS46" s="117"/>
      <c r="KKT46" s="117"/>
      <c r="KKU46" s="117"/>
      <c r="KKV46" s="117"/>
      <c r="KKW46" s="117"/>
      <c r="KKX46" s="117"/>
      <c r="KKY46" s="117"/>
      <c r="KKZ46" s="117"/>
      <c r="KLA46" s="117"/>
      <c r="KLB46" s="117"/>
      <c r="KLC46" s="117"/>
      <c r="KLD46" s="117"/>
      <c r="KLE46" s="117"/>
      <c r="KLF46" s="117"/>
      <c r="KLG46" s="117"/>
      <c r="KLH46" s="117"/>
      <c r="KLI46" s="117"/>
      <c r="KLJ46" s="117"/>
      <c r="KLK46" s="117"/>
      <c r="KLL46" s="117"/>
      <c r="KLM46" s="117"/>
      <c r="KLN46" s="117"/>
      <c r="KLO46" s="117"/>
      <c r="KLP46" s="117"/>
      <c r="KLQ46" s="117"/>
      <c r="KLR46" s="117"/>
      <c r="KLS46" s="117"/>
      <c r="KLT46" s="117"/>
      <c r="KLU46" s="117"/>
      <c r="KLV46" s="117"/>
      <c r="KLW46" s="117"/>
      <c r="KLX46" s="117"/>
      <c r="KLY46" s="117"/>
      <c r="KLZ46" s="117"/>
      <c r="KMA46" s="117"/>
      <c r="KMB46" s="117"/>
      <c r="KMC46" s="117"/>
      <c r="KMD46" s="117"/>
      <c r="KME46" s="117"/>
      <c r="KMF46" s="117"/>
      <c r="KMG46" s="117"/>
      <c r="KMH46" s="117"/>
      <c r="KMI46" s="117"/>
      <c r="KMJ46" s="117"/>
      <c r="KMK46" s="117"/>
      <c r="KML46" s="117"/>
      <c r="KMM46" s="117"/>
      <c r="KMN46" s="117"/>
      <c r="KMO46" s="117"/>
      <c r="KMP46" s="117"/>
      <c r="KMQ46" s="117"/>
      <c r="KMR46" s="117"/>
      <c r="KMS46" s="117"/>
      <c r="KMT46" s="117"/>
      <c r="KMU46" s="117"/>
      <c r="KMV46" s="117"/>
      <c r="KMW46" s="117"/>
      <c r="KMX46" s="117"/>
      <c r="KMY46" s="117"/>
      <c r="KMZ46" s="117"/>
      <c r="KNA46" s="117"/>
      <c r="KNB46" s="117"/>
      <c r="KNC46" s="117"/>
      <c r="KND46" s="117"/>
      <c r="KNE46" s="117"/>
      <c r="KNF46" s="117"/>
      <c r="KNG46" s="117"/>
      <c r="KNH46" s="117"/>
      <c r="KNI46" s="117"/>
      <c r="KNJ46" s="117"/>
      <c r="KNK46" s="117"/>
      <c r="KNL46" s="117"/>
      <c r="KNM46" s="117"/>
      <c r="KNN46" s="117"/>
      <c r="KNO46" s="117"/>
      <c r="KNP46" s="117"/>
      <c r="KNQ46" s="117"/>
      <c r="KNR46" s="117"/>
      <c r="KNS46" s="117"/>
      <c r="KNT46" s="117"/>
      <c r="KNU46" s="117"/>
      <c r="KNV46" s="117"/>
      <c r="KNW46" s="117"/>
      <c r="KNX46" s="117"/>
      <c r="KNY46" s="117"/>
      <c r="KNZ46" s="117"/>
      <c r="KOA46" s="117"/>
      <c r="KOB46" s="117"/>
      <c r="KOC46" s="117"/>
      <c r="KOD46" s="117"/>
      <c r="KOE46" s="117"/>
      <c r="KOF46" s="117"/>
      <c r="KOG46" s="117"/>
      <c r="KOH46" s="117"/>
      <c r="KOI46" s="117"/>
      <c r="KOJ46" s="117"/>
      <c r="KOK46" s="117"/>
      <c r="KOL46" s="117"/>
      <c r="KOM46" s="117"/>
      <c r="KON46" s="117"/>
      <c r="KOO46" s="117"/>
      <c r="KOP46" s="117"/>
      <c r="KOQ46" s="117"/>
      <c r="KOR46" s="117"/>
      <c r="KOS46" s="117"/>
      <c r="KOT46" s="117"/>
      <c r="KOU46" s="117"/>
      <c r="KOV46" s="117"/>
      <c r="KOW46" s="117"/>
      <c r="KOX46" s="117"/>
      <c r="KOY46" s="117"/>
      <c r="KOZ46" s="117"/>
      <c r="KPA46" s="117"/>
      <c r="KPB46" s="117"/>
      <c r="KPC46" s="117"/>
      <c r="KPD46" s="117"/>
      <c r="KPE46" s="117"/>
      <c r="KPF46" s="117"/>
      <c r="KPG46" s="117"/>
      <c r="KPH46" s="117"/>
      <c r="KPI46" s="117"/>
      <c r="KPJ46" s="117"/>
      <c r="KPK46" s="117"/>
      <c r="KPL46" s="117"/>
      <c r="KPM46" s="117"/>
      <c r="KPN46" s="117"/>
      <c r="KPO46" s="117"/>
      <c r="KPP46" s="117"/>
      <c r="KPQ46" s="117"/>
      <c r="KPR46" s="117"/>
      <c r="KPS46" s="117"/>
      <c r="KPT46" s="117"/>
      <c r="KPU46" s="117"/>
      <c r="KPV46" s="117"/>
      <c r="KPW46" s="117"/>
      <c r="KPX46" s="117"/>
      <c r="KPY46" s="117"/>
      <c r="KPZ46" s="117"/>
      <c r="KQA46" s="117"/>
      <c r="KQB46" s="117"/>
      <c r="KQC46" s="117"/>
      <c r="KQD46" s="117"/>
      <c r="KQE46" s="117"/>
      <c r="KQF46" s="117"/>
      <c r="KQG46" s="117"/>
      <c r="KQH46" s="117"/>
      <c r="KQI46" s="117"/>
      <c r="KQJ46" s="117"/>
      <c r="KQK46" s="117"/>
      <c r="KQL46" s="117"/>
      <c r="KQM46" s="117"/>
      <c r="KQN46" s="117"/>
      <c r="KQO46" s="117"/>
      <c r="KQP46" s="117"/>
      <c r="KQQ46" s="117"/>
      <c r="KQR46" s="117"/>
      <c r="KQS46" s="117"/>
      <c r="KQT46" s="117"/>
      <c r="KQU46" s="117"/>
      <c r="KQV46" s="117"/>
      <c r="KQW46" s="117"/>
      <c r="KQX46" s="117"/>
      <c r="KQY46" s="117"/>
      <c r="KQZ46" s="117"/>
      <c r="KRA46" s="117"/>
      <c r="KRB46" s="117"/>
      <c r="KRC46" s="117"/>
      <c r="KRD46" s="117"/>
      <c r="KRE46" s="117"/>
      <c r="KRF46" s="117"/>
      <c r="KRG46" s="117"/>
      <c r="KRH46" s="117"/>
      <c r="KRI46" s="117"/>
      <c r="KRJ46" s="117"/>
      <c r="KRK46" s="117"/>
      <c r="KRL46" s="117"/>
      <c r="KRM46" s="117"/>
      <c r="KRN46" s="117"/>
      <c r="KRO46" s="117"/>
      <c r="KRP46" s="117"/>
      <c r="KRQ46" s="117"/>
      <c r="KRR46" s="117"/>
      <c r="KRS46" s="117"/>
      <c r="KRT46" s="117"/>
      <c r="KRU46" s="117"/>
      <c r="KRV46" s="117"/>
      <c r="KRW46" s="117"/>
      <c r="KRX46" s="117"/>
      <c r="KRY46" s="117"/>
      <c r="KRZ46" s="117"/>
      <c r="KSA46" s="117"/>
      <c r="KSB46" s="117"/>
      <c r="KSC46" s="117"/>
      <c r="KSD46" s="117"/>
      <c r="KSE46" s="117"/>
      <c r="KSF46" s="117"/>
      <c r="KSG46" s="117"/>
      <c r="KSH46" s="117"/>
      <c r="KSI46" s="117"/>
      <c r="KSJ46" s="117"/>
      <c r="KSK46" s="117"/>
      <c r="KSL46" s="117"/>
      <c r="KSM46" s="117"/>
      <c r="KSN46" s="117"/>
      <c r="KSO46" s="117"/>
      <c r="KSP46" s="117"/>
      <c r="KSQ46" s="117"/>
      <c r="KSR46" s="117"/>
      <c r="KSS46" s="117"/>
      <c r="KST46" s="117"/>
      <c r="KSU46" s="117"/>
      <c r="KSV46" s="117"/>
      <c r="KSW46" s="117"/>
      <c r="KSX46" s="117"/>
      <c r="KSY46" s="117"/>
      <c r="KSZ46" s="117"/>
      <c r="KTA46" s="117"/>
      <c r="KTB46" s="117"/>
      <c r="KTC46" s="117"/>
      <c r="KTD46" s="117"/>
      <c r="KTE46" s="117"/>
      <c r="KTF46" s="117"/>
      <c r="KTG46" s="117"/>
      <c r="KTH46" s="117"/>
      <c r="KTI46" s="117"/>
      <c r="KTJ46" s="117"/>
      <c r="KTK46" s="117"/>
      <c r="KTL46" s="117"/>
      <c r="KTM46" s="117"/>
      <c r="KTN46" s="117"/>
      <c r="KTO46" s="117"/>
      <c r="KTP46" s="117"/>
      <c r="KTQ46" s="117"/>
      <c r="KTR46" s="117"/>
      <c r="KTS46" s="117"/>
      <c r="KTT46" s="117"/>
      <c r="KTU46" s="117"/>
      <c r="KTV46" s="117"/>
      <c r="KTW46" s="117"/>
      <c r="KTX46" s="117"/>
      <c r="KTY46" s="117"/>
      <c r="KTZ46" s="117"/>
      <c r="KUA46" s="117"/>
      <c r="KUB46" s="117"/>
      <c r="KUC46" s="117"/>
      <c r="KUD46" s="117"/>
      <c r="KUE46" s="117"/>
      <c r="KUF46" s="117"/>
      <c r="KUG46" s="117"/>
      <c r="KUH46" s="117"/>
      <c r="KUI46" s="117"/>
      <c r="KUJ46" s="117"/>
      <c r="KUK46" s="117"/>
      <c r="KUL46" s="117"/>
      <c r="KUM46" s="117"/>
      <c r="KUN46" s="117"/>
      <c r="KUO46" s="117"/>
      <c r="KUP46" s="117"/>
      <c r="KUQ46" s="117"/>
      <c r="KUR46" s="117"/>
      <c r="KUS46" s="117"/>
      <c r="KUT46" s="117"/>
      <c r="KUU46" s="117"/>
      <c r="KUV46" s="117"/>
      <c r="KUW46" s="117"/>
      <c r="KUX46" s="117"/>
      <c r="KUY46" s="117"/>
      <c r="KUZ46" s="117"/>
      <c r="KVA46" s="117"/>
      <c r="KVB46" s="117"/>
      <c r="KVC46" s="117"/>
      <c r="KVD46" s="117"/>
      <c r="KVE46" s="117"/>
      <c r="KVF46" s="117"/>
      <c r="KVG46" s="117"/>
      <c r="KVH46" s="117"/>
      <c r="KVI46" s="117"/>
      <c r="KVJ46" s="117"/>
      <c r="KVK46" s="117"/>
      <c r="KVL46" s="117"/>
      <c r="KVM46" s="117"/>
      <c r="KVN46" s="117"/>
      <c r="KVO46" s="117"/>
      <c r="KVP46" s="117"/>
      <c r="KVQ46" s="117"/>
      <c r="KVR46" s="117"/>
      <c r="KVS46" s="117"/>
      <c r="KVT46" s="117"/>
      <c r="KVU46" s="117"/>
      <c r="KVV46" s="117"/>
      <c r="KVW46" s="117"/>
      <c r="KVX46" s="117"/>
      <c r="KVY46" s="117"/>
      <c r="KVZ46" s="117"/>
      <c r="KWA46" s="117"/>
      <c r="KWB46" s="117"/>
      <c r="KWC46" s="117"/>
      <c r="KWD46" s="117"/>
      <c r="KWE46" s="117"/>
      <c r="KWF46" s="117"/>
      <c r="KWG46" s="117"/>
      <c r="KWH46" s="117"/>
      <c r="KWI46" s="117"/>
      <c r="KWJ46" s="117"/>
      <c r="KWK46" s="117"/>
      <c r="KWL46" s="117"/>
      <c r="KWM46" s="117"/>
      <c r="KWN46" s="117"/>
      <c r="KWO46" s="117"/>
      <c r="KWP46" s="117"/>
      <c r="KWQ46" s="117"/>
      <c r="KWR46" s="117"/>
      <c r="KWS46" s="117"/>
      <c r="KWT46" s="117"/>
      <c r="KWU46" s="117"/>
      <c r="KWV46" s="117"/>
      <c r="KWW46" s="117"/>
      <c r="KWX46" s="117"/>
      <c r="KWY46" s="117"/>
      <c r="KWZ46" s="117"/>
      <c r="KXA46" s="117"/>
      <c r="KXB46" s="117"/>
      <c r="KXC46" s="117"/>
      <c r="KXD46" s="117"/>
      <c r="KXE46" s="117"/>
      <c r="KXF46" s="117"/>
      <c r="KXG46" s="117"/>
      <c r="KXH46" s="117"/>
      <c r="KXI46" s="117"/>
      <c r="KXJ46" s="117"/>
      <c r="KXK46" s="117"/>
      <c r="KXL46" s="117"/>
      <c r="KXM46" s="117"/>
      <c r="KXN46" s="117"/>
      <c r="KXO46" s="117"/>
      <c r="KXP46" s="117"/>
      <c r="KXQ46" s="117"/>
      <c r="KXR46" s="117"/>
      <c r="KXS46" s="117"/>
      <c r="KXT46" s="117"/>
      <c r="KXU46" s="117"/>
      <c r="KXV46" s="117"/>
      <c r="KXW46" s="117"/>
      <c r="KXX46" s="117"/>
      <c r="KXY46" s="117"/>
      <c r="KXZ46" s="117"/>
      <c r="KYA46" s="117"/>
      <c r="KYB46" s="117"/>
      <c r="KYC46" s="117"/>
      <c r="KYD46" s="117"/>
      <c r="KYE46" s="117"/>
      <c r="KYF46" s="117"/>
      <c r="KYG46" s="117"/>
      <c r="KYH46" s="117"/>
      <c r="KYI46" s="117"/>
      <c r="KYJ46" s="117"/>
      <c r="KYK46" s="117"/>
      <c r="KYL46" s="117"/>
      <c r="KYM46" s="117"/>
      <c r="KYN46" s="117"/>
      <c r="KYO46" s="117"/>
      <c r="KYP46" s="117"/>
      <c r="KYQ46" s="117"/>
      <c r="KYR46" s="117"/>
      <c r="KYS46" s="117"/>
      <c r="KYT46" s="117"/>
      <c r="KYU46" s="117"/>
      <c r="KYV46" s="117"/>
      <c r="KYW46" s="117"/>
      <c r="KYX46" s="117"/>
      <c r="KYY46" s="117"/>
      <c r="KYZ46" s="117"/>
      <c r="KZA46" s="117"/>
      <c r="KZB46" s="117"/>
      <c r="KZC46" s="117"/>
      <c r="KZD46" s="117"/>
      <c r="KZE46" s="117"/>
      <c r="KZF46" s="117"/>
      <c r="KZG46" s="117"/>
      <c r="KZH46" s="117"/>
      <c r="KZI46" s="117"/>
      <c r="KZJ46" s="117"/>
      <c r="KZK46" s="117"/>
      <c r="KZL46" s="117"/>
      <c r="KZM46" s="117"/>
      <c r="KZN46" s="117"/>
      <c r="KZO46" s="117"/>
      <c r="KZP46" s="117"/>
      <c r="KZQ46" s="117"/>
      <c r="KZR46" s="117"/>
      <c r="KZS46" s="117"/>
      <c r="KZT46" s="117"/>
      <c r="KZU46" s="117"/>
      <c r="KZV46" s="117"/>
      <c r="KZW46" s="117"/>
      <c r="KZX46" s="117"/>
      <c r="KZY46" s="117"/>
      <c r="KZZ46" s="117"/>
      <c r="LAA46" s="117"/>
      <c r="LAB46" s="117"/>
      <c r="LAC46" s="117"/>
      <c r="LAD46" s="117"/>
      <c r="LAE46" s="117"/>
      <c r="LAF46" s="117"/>
      <c r="LAG46" s="117"/>
      <c r="LAH46" s="117"/>
      <c r="LAI46" s="117"/>
      <c r="LAJ46" s="117"/>
      <c r="LAK46" s="117"/>
      <c r="LAL46" s="117"/>
      <c r="LAM46" s="117"/>
      <c r="LAN46" s="117"/>
      <c r="LAO46" s="117"/>
      <c r="LAP46" s="117"/>
      <c r="LAQ46" s="117"/>
      <c r="LAR46" s="117"/>
      <c r="LAS46" s="117"/>
      <c r="LAT46" s="117"/>
      <c r="LAU46" s="117"/>
      <c r="LAV46" s="117"/>
      <c r="LAW46" s="117"/>
      <c r="LAX46" s="117"/>
      <c r="LAY46" s="117"/>
      <c r="LAZ46" s="117"/>
      <c r="LBA46" s="117"/>
      <c r="LBB46" s="117"/>
      <c r="LBC46" s="117"/>
      <c r="LBD46" s="117"/>
      <c r="LBE46" s="117"/>
      <c r="LBF46" s="117"/>
      <c r="LBG46" s="117"/>
      <c r="LBH46" s="117"/>
      <c r="LBI46" s="117"/>
      <c r="LBJ46" s="117"/>
      <c r="LBK46" s="117"/>
      <c r="LBL46" s="117"/>
      <c r="LBM46" s="117"/>
      <c r="LBN46" s="117"/>
      <c r="LBO46" s="117"/>
      <c r="LBP46" s="117"/>
      <c r="LBQ46" s="117"/>
      <c r="LBR46" s="117"/>
      <c r="LBS46" s="117"/>
      <c r="LBT46" s="117"/>
      <c r="LBU46" s="117"/>
      <c r="LBV46" s="117"/>
      <c r="LBW46" s="117"/>
      <c r="LBX46" s="117"/>
      <c r="LBY46" s="117"/>
      <c r="LBZ46" s="117"/>
      <c r="LCA46" s="117"/>
      <c r="LCB46" s="117"/>
      <c r="LCC46" s="117"/>
      <c r="LCD46" s="117"/>
      <c r="LCE46" s="117"/>
      <c r="LCF46" s="117"/>
      <c r="LCG46" s="117"/>
      <c r="LCH46" s="117"/>
      <c r="LCI46" s="117"/>
      <c r="LCJ46" s="117"/>
      <c r="LCK46" s="117"/>
      <c r="LCL46" s="117"/>
      <c r="LCM46" s="117"/>
      <c r="LCN46" s="117"/>
      <c r="LCO46" s="117"/>
      <c r="LCP46" s="117"/>
      <c r="LCQ46" s="117"/>
      <c r="LCR46" s="117"/>
      <c r="LCS46" s="117"/>
      <c r="LCT46" s="117"/>
      <c r="LCU46" s="117"/>
      <c r="LCV46" s="117"/>
      <c r="LCW46" s="117"/>
      <c r="LCX46" s="117"/>
      <c r="LCY46" s="117"/>
      <c r="LCZ46" s="117"/>
      <c r="LDA46" s="117"/>
      <c r="LDB46" s="117"/>
      <c r="LDC46" s="117"/>
      <c r="LDD46" s="117"/>
      <c r="LDE46" s="117"/>
      <c r="LDF46" s="117"/>
      <c r="LDG46" s="117"/>
      <c r="LDH46" s="117"/>
      <c r="LDI46" s="117"/>
      <c r="LDJ46" s="117"/>
      <c r="LDK46" s="117"/>
      <c r="LDL46" s="117"/>
      <c r="LDM46" s="117"/>
      <c r="LDN46" s="117"/>
      <c r="LDO46" s="117"/>
      <c r="LDP46" s="117"/>
      <c r="LDQ46" s="117"/>
      <c r="LDR46" s="117"/>
      <c r="LDS46" s="117"/>
      <c r="LDT46" s="117"/>
      <c r="LDU46" s="117"/>
      <c r="LDV46" s="117"/>
      <c r="LDW46" s="117"/>
      <c r="LDX46" s="117"/>
      <c r="LDY46" s="117"/>
      <c r="LDZ46" s="117"/>
      <c r="LEA46" s="117"/>
      <c r="LEB46" s="117"/>
      <c r="LEC46" s="117"/>
      <c r="LED46" s="117"/>
      <c r="LEE46" s="117"/>
      <c r="LEF46" s="117"/>
      <c r="LEG46" s="117"/>
      <c r="LEH46" s="117"/>
      <c r="LEI46" s="117"/>
      <c r="LEJ46" s="117"/>
      <c r="LEK46" s="117"/>
      <c r="LEL46" s="117"/>
      <c r="LEM46" s="117"/>
      <c r="LEN46" s="117"/>
      <c r="LEO46" s="117"/>
      <c r="LEP46" s="117"/>
      <c r="LEQ46" s="117"/>
      <c r="LER46" s="117"/>
      <c r="LES46" s="117"/>
      <c r="LET46" s="117"/>
      <c r="LEU46" s="117"/>
      <c r="LEV46" s="117"/>
      <c r="LEW46" s="117"/>
      <c r="LEX46" s="117"/>
      <c r="LEY46" s="117"/>
      <c r="LEZ46" s="117"/>
      <c r="LFA46" s="117"/>
      <c r="LFB46" s="117"/>
      <c r="LFC46" s="117"/>
      <c r="LFD46" s="117"/>
      <c r="LFE46" s="117"/>
      <c r="LFF46" s="117"/>
      <c r="LFG46" s="117"/>
      <c r="LFH46" s="117"/>
      <c r="LFI46" s="117"/>
      <c r="LFJ46" s="117"/>
      <c r="LFK46" s="117"/>
      <c r="LFL46" s="117"/>
      <c r="LFM46" s="117"/>
      <c r="LFN46" s="117"/>
      <c r="LFO46" s="117"/>
      <c r="LFP46" s="117"/>
      <c r="LFQ46" s="117"/>
      <c r="LFR46" s="117"/>
      <c r="LFS46" s="117"/>
      <c r="LFT46" s="117"/>
      <c r="LFU46" s="117"/>
      <c r="LFV46" s="117"/>
      <c r="LFW46" s="117"/>
      <c r="LFX46" s="117"/>
      <c r="LFY46" s="117"/>
      <c r="LFZ46" s="117"/>
      <c r="LGA46" s="117"/>
      <c r="LGB46" s="117"/>
      <c r="LGC46" s="117"/>
      <c r="LGD46" s="117"/>
      <c r="LGE46" s="117"/>
      <c r="LGF46" s="117"/>
      <c r="LGG46" s="117"/>
      <c r="LGH46" s="117"/>
      <c r="LGI46" s="117"/>
      <c r="LGJ46" s="117"/>
      <c r="LGK46" s="117"/>
      <c r="LGL46" s="117"/>
      <c r="LGM46" s="117"/>
      <c r="LGN46" s="117"/>
      <c r="LGO46" s="117"/>
      <c r="LGP46" s="117"/>
      <c r="LGQ46" s="117"/>
      <c r="LGR46" s="117"/>
      <c r="LGS46" s="117"/>
      <c r="LGT46" s="117"/>
      <c r="LGU46" s="117"/>
      <c r="LGV46" s="117"/>
      <c r="LGW46" s="117"/>
      <c r="LGX46" s="117"/>
      <c r="LGY46" s="117"/>
      <c r="LGZ46" s="117"/>
      <c r="LHA46" s="117"/>
      <c r="LHB46" s="117"/>
      <c r="LHC46" s="117"/>
      <c r="LHD46" s="117"/>
      <c r="LHE46" s="117"/>
      <c r="LHF46" s="117"/>
      <c r="LHG46" s="117"/>
      <c r="LHH46" s="117"/>
      <c r="LHI46" s="117"/>
      <c r="LHJ46" s="117"/>
      <c r="LHK46" s="117"/>
      <c r="LHL46" s="117"/>
      <c r="LHM46" s="117"/>
      <c r="LHN46" s="117"/>
      <c r="LHO46" s="117"/>
      <c r="LHP46" s="117"/>
      <c r="LHQ46" s="117"/>
      <c r="LHR46" s="117"/>
      <c r="LHS46" s="117"/>
      <c r="LHT46" s="117"/>
      <c r="LHU46" s="117"/>
      <c r="LHV46" s="117"/>
      <c r="LHW46" s="117"/>
      <c r="LHX46" s="117"/>
      <c r="LHY46" s="117"/>
      <c r="LHZ46" s="117"/>
      <c r="LIA46" s="117"/>
      <c r="LIB46" s="117"/>
      <c r="LIC46" s="117"/>
      <c r="LID46" s="117"/>
      <c r="LIE46" s="117"/>
      <c r="LIF46" s="117"/>
      <c r="LIG46" s="117"/>
      <c r="LIH46" s="117"/>
      <c r="LII46" s="117"/>
      <c r="LIJ46" s="117"/>
      <c r="LIK46" s="117"/>
      <c r="LIL46" s="117"/>
      <c r="LIM46" s="117"/>
      <c r="LIN46" s="117"/>
      <c r="LIO46" s="117"/>
      <c r="LIP46" s="117"/>
      <c r="LIQ46" s="117"/>
      <c r="LIR46" s="117"/>
      <c r="LIS46" s="117"/>
      <c r="LIT46" s="117"/>
      <c r="LIU46" s="117"/>
      <c r="LIV46" s="117"/>
      <c r="LIW46" s="117"/>
      <c r="LIX46" s="117"/>
      <c r="LIY46" s="117"/>
      <c r="LIZ46" s="117"/>
      <c r="LJA46" s="117"/>
      <c r="LJB46" s="117"/>
      <c r="LJC46" s="117"/>
      <c r="LJD46" s="117"/>
      <c r="LJE46" s="117"/>
      <c r="LJF46" s="117"/>
      <c r="LJG46" s="117"/>
      <c r="LJH46" s="117"/>
      <c r="LJI46" s="117"/>
      <c r="LJJ46" s="117"/>
      <c r="LJK46" s="117"/>
      <c r="LJL46" s="117"/>
      <c r="LJM46" s="117"/>
      <c r="LJN46" s="117"/>
      <c r="LJO46" s="117"/>
      <c r="LJP46" s="117"/>
      <c r="LJQ46" s="117"/>
      <c r="LJR46" s="117"/>
      <c r="LJS46" s="117"/>
      <c r="LJT46" s="117"/>
      <c r="LJU46" s="117"/>
      <c r="LJV46" s="117"/>
      <c r="LJW46" s="117"/>
      <c r="LJX46" s="117"/>
      <c r="LJY46" s="117"/>
      <c r="LJZ46" s="117"/>
      <c r="LKA46" s="117"/>
      <c r="LKB46" s="117"/>
      <c r="LKC46" s="117"/>
      <c r="LKD46" s="117"/>
      <c r="LKE46" s="117"/>
      <c r="LKF46" s="117"/>
      <c r="LKG46" s="117"/>
      <c r="LKH46" s="117"/>
      <c r="LKI46" s="117"/>
      <c r="LKJ46" s="117"/>
      <c r="LKK46" s="117"/>
      <c r="LKL46" s="117"/>
      <c r="LKM46" s="117"/>
      <c r="LKN46" s="117"/>
      <c r="LKO46" s="117"/>
      <c r="LKP46" s="117"/>
      <c r="LKQ46" s="117"/>
      <c r="LKR46" s="117"/>
      <c r="LKS46" s="117"/>
      <c r="LKT46" s="117"/>
      <c r="LKU46" s="117"/>
      <c r="LKV46" s="117"/>
      <c r="LKW46" s="117"/>
      <c r="LKX46" s="117"/>
      <c r="LKY46" s="117"/>
      <c r="LKZ46" s="117"/>
      <c r="LLA46" s="117"/>
      <c r="LLB46" s="117"/>
      <c r="LLC46" s="117"/>
      <c r="LLD46" s="117"/>
      <c r="LLE46" s="117"/>
      <c r="LLF46" s="117"/>
      <c r="LLG46" s="117"/>
      <c r="LLH46" s="117"/>
      <c r="LLI46" s="117"/>
      <c r="LLJ46" s="117"/>
      <c r="LLK46" s="117"/>
      <c r="LLL46" s="117"/>
      <c r="LLM46" s="117"/>
      <c r="LLN46" s="117"/>
      <c r="LLO46" s="117"/>
      <c r="LLP46" s="117"/>
      <c r="LLQ46" s="117"/>
      <c r="LLR46" s="117"/>
      <c r="LLS46" s="117"/>
      <c r="LLT46" s="117"/>
      <c r="LLU46" s="117"/>
      <c r="LLV46" s="117"/>
      <c r="LLW46" s="117"/>
      <c r="LLX46" s="117"/>
      <c r="LLY46" s="117"/>
      <c r="LLZ46" s="117"/>
      <c r="LMA46" s="117"/>
      <c r="LMB46" s="117"/>
      <c r="LMC46" s="117"/>
      <c r="LMD46" s="117"/>
      <c r="LME46" s="117"/>
      <c r="LMF46" s="117"/>
      <c r="LMG46" s="117"/>
      <c r="LMH46" s="117"/>
      <c r="LMI46" s="117"/>
      <c r="LMJ46" s="117"/>
      <c r="LMK46" s="117"/>
      <c r="LML46" s="117"/>
      <c r="LMM46" s="117"/>
      <c r="LMN46" s="117"/>
      <c r="LMO46" s="117"/>
      <c r="LMP46" s="117"/>
      <c r="LMQ46" s="117"/>
      <c r="LMR46" s="117"/>
      <c r="LMS46" s="117"/>
      <c r="LMT46" s="117"/>
      <c r="LMU46" s="117"/>
      <c r="LMV46" s="117"/>
      <c r="LMW46" s="117"/>
      <c r="LMX46" s="117"/>
      <c r="LMY46" s="117"/>
      <c r="LMZ46" s="117"/>
      <c r="LNA46" s="117"/>
      <c r="LNB46" s="117"/>
      <c r="LNC46" s="117"/>
      <c r="LND46" s="117"/>
      <c r="LNE46" s="117"/>
      <c r="LNF46" s="117"/>
      <c r="LNG46" s="117"/>
      <c r="LNH46" s="117"/>
      <c r="LNI46" s="117"/>
      <c r="LNJ46" s="117"/>
      <c r="LNK46" s="117"/>
      <c r="LNL46" s="117"/>
      <c r="LNM46" s="117"/>
      <c r="LNN46" s="117"/>
      <c r="LNO46" s="117"/>
      <c r="LNP46" s="117"/>
      <c r="LNQ46" s="117"/>
      <c r="LNR46" s="117"/>
      <c r="LNS46" s="117"/>
      <c r="LNT46" s="117"/>
      <c r="LNU46" s="117"/>
      <c r="LNV46" s="117"/>
      <c r="LNW46" s="117"/>
      <c r="LNX46" s="117"/>
      <c r="LNY46" s="117"/>
      <c r="LNZ46" s="117"/>
      <c r="LOA46" s="117"/>
      <c r="LOB46" s="117"/>
      <c r="LOC46" s="117"/>
      <c r="LOD46" s="117"/>
      <c r="LOE46" s="117"/>
      <c r="LOF46" s="117"/>
      <c r="LOG46" s="117"/>
      <c r="LOH46" s="117"/>
      <c r="LOI46" s="117"/>
      <c r="LOJ46" s="117"/>
      <c r="LOK46" s="117"/>
      <c r="LOL46" s="117"/>
      <c r="LOM46" s="117"/>
      <c r="LON46" s="117"/>
      <c r="LOO46" s="117"/>
      <c r="LOP46" s="117"/>
      <c r="LOQ46" s="117"/>
      <c r="LOR46" s="117"/>
      <c r="LOS46" s="117"/>
      <c r="LOT46" s="117"/>
      <c r="LOU46" s="117"/>
      <c r="LOV46" s="117"/>
      <c r="LOW46" s="117"/>
      <c r="LOX46" s="117"/>
      <c r="LOY46" s="117"/>
      <c r="LOZ46" s="117"/>
      <c r="LPA46" s="117"/>
      <c r="LPB46" s="117"/>
      <c r="LPC46" s="117"/>
      <c r="LPD46" s="117"/>
      <c r="LPE46" s="117"/>
      <c r="LPF46" s="117"/>
      <c r="LPG46" s="117"/>
      <c r="LPH46" s="117"/>
      <c r="LPI46" s="117"/>
      <c r="LPJ46" s="117"/>
      <c r="LPK46" s="117"/>
      <c r="LPL46" s="117"/>
      <c r="LPM46" s="117"/>
      <c r="LPN46" s="117"/>
      <c r="LPO46" s="117"/>
      <c r="LPP46" s="117"/>
      <c r="LPQ46" s="117"/>
      <c r="LPR46" s="117"/>
      <c r="LPS46" s="117"/>
      <c r="LPT46" s="117"/>
      <c r="LPU46" s="117"/>
      <c r="LPV46" s="117"/>
      <c r="LPW46" s="117"/>
      <c r="LPX46" s="117"/>
      <c r="LPY46" s="117"/>
      <c r="LPZ46" s="117"/>
      <c r="LQA46" s="117"/>
      <c r="LQB46" s="117"/>
      <c r="LQC46" s="117"/>
      <c r="LQD46" s="117"/>
      <c r="LQE46" s="117"/>
      <c r="LQF46" s="117"/>
      <c r="LQG46" s="117"/>
      <c r="LQH46" s="117"/>
      <c r="LQI46" s="117"/>
      <c r="LQJ46" s="117"/>
      <c r="LQK46" s="117"/>
      <c r="LQL46" s="117"/>
      <c r="LQM46" s="117"/>
      <c r="LQN46" s="117"/>
      <c r="LQO46" s="117"/>
      <c r="LQP46" s="117"/>
      <c r="LQQ46" s="117"/>
      <c r="LQR46" s="117"/>
      <c r="LQS46" s="117"/>
      <c r="LQT46" s="117"/>
      <c r="LQU46" s="117"/>
      <c r="LQV46" s="117"/>
      <c r="LQW46" s="117"/>
      <c r="LQX46" s="117"/>
      <c r="LQY46" s="117"/>
      <c r="LQZ46" s="117"/>
      <c r="LRA46" s="117"/>
      <c r="LRB46" s="117"/>
      <c r="LRC46" s="117"/>
      <c r="LRD46" s="117"/>
      <c r="LRE46" s="117"/>
      <c r="LRF46" s="117"/>
      <c r="LRG46" s="117"/>
      <c r="LRH46" s="117"/>
      <c r="LRI46" s="117"/>
      <c r="LRJ46" s="117"/>
      <c r="LRK46" s="117"/>
      <c r="LRL46" s="117"/>
      <c r="LRM46" s="117"/>
      <c r="LRN46" s="117"/>
      <c r="LRO46" s="117"/>
      <c r="LRP46" s="117"/>
      <c r="LRQ46" s="117"/>
      <c r="LRR46" s="117"/>
      <c r="LRS46" s="117"/>
      <c r="LRT46" s="117"/>
      <c r="LRU46" s="117"/>
      <c r="LRV46" s="117"/>
      <c r="LRW46" s="117"/>
      <c r="LRX46" s="117"/>
      <c r="LRY46" s="117"/>
      <c r="LRZ46" s="117"/>
      <c r="LSA46" s="117"/>
      <c r="LSB46" s="117"/>
      <c r="LSC46" s="117"/>
      <c r="LSD46" s="117"/>
      <c r="LSE46" s="117"/>
      <c r="LSF46" s="117"/>
      <c r="LSG46" s="117"/>
      <c r="LSH46" s="117"/>
      <c r="LSI46" s="117"/>
      <c r="LSJ46" s="117"/>
      <c r="LSK46" s="117"/>
      <c r="LSL46" s="117"/>
      <c r="LSM46" s="117"/>
      <c r="LSN46" s="117"/>
      <c r="LSO46" s="117"/>
      <c r="LSP46" s="117"/>
      <c r="LSQ46" s="117"/>
      <c r="LSR46" s="117"/>
      <c r="LSS46" s="117"/>
      <c r="LST46" s="117"/>
      <c r="LSU46" s="117"/>
      <c r="LSV46" s="117"/>
      <c r="LSW46" s="117"/>
      <c r="LSX46" s="117"/>
      <c r="LSY46" s="117"/>
      <c r="LSZ46" s="117"/>
      <c r="LTA46" s="117"/>
      <c r="LTB46" s="117"/>
      <c r="LTC46" s="117"/>
      <c r="LTD46" s="117"/>
      <c r="LTE46" s="117"/>
      <c r="LTF46" s="117"/>
      <c r="LTG46" s="117"/>
      <c r="LTH46" s="117"/>
      <c r="LTI46" s="117"/>
      <c r="LTJ46" s="117"/>
      <c r="LTK46" s="117"/>
      <c r="LTL46" s="117"/>
      <c r="LTM46" s="117"/>
      <c r="LTN46" s="117"/>
      <c r="LTO46" s="117"/>
      <c r="LTP46" s="117"/>
      <c r="LTQ46" s="117"/>
      <c r="LTR46" s="117"/>
      <c r="LTS46" s="117"/>
      <c r="LTT46" s="117"/>
      <c r="LTU46" s="117"/>
      <c r="LTV46" s="117"/>
      <c r="LTW46" s="117"/>
      <c r="LTX46" s="117"/>
      <c r="LTY46" s="117"/>
      <c r="LTZ46" s="117"/>
      <c r="LUA46" s="117"/>
      <c r="LUB46" s="117"/>
      <c r="LUC46" s="117"/>
      <c r="LUD46" s="117"/>
      <c r="LUE46" s="117"/>
      <c r="LUF46" s="117"/>
      <c r="LUG46" s="117"/>
      <c r="LUH46" s="117"/>
      <c r="LUI46" s="117"/>
      <c r="LUJ46" s="117"/>
      <c r="LUK46" s="117"/>
      <c r="LUL46" s="117"/>
      <c r="LUM46" s="117"/>
      <c r="LUN46" s="117"/>
      <c r="LUO46" s="117"/>
      <c r="LUP46" s="117"/>
      <c r="LUQ46" s="117"/>
      <c r="LUR46" s="117"/>
      <c r="LUS46" s="117"/>
      <c r="LUT46" s="117"/>
      <c r="LUU46" s="117"/>
      <c r="LUV46" s="117"/>
      <c r="LUW46" s="117"/>
      <c r="LUX46" s="117"/>
      <c r="LUY46" s="117"/>
      <c r="LUZ46" s="117"/>
      <c r="LVA46" s="117"/>
      <c r="LVB46" s="117"/>
      <c r="LVC46" s="117"/>
      <c r="LVD46" s="117"/>
      <c r="LVE46" s="117"/>
      <c r="LVF46" s="117"/>
      <c r="LVG46" s="117"/>
      <c r="LVH46" s="117"/>
      <c r="LVI46" s="117"/>
      <c r="LVJ46" s="117"/>
      <c r="LVK46" s="117"/>
      <c r="LVL46" s="117"/>
      <c r="LVM46" s="117"/>
      <c r="LVN46" s="117"/>
      <c r="LVO46" s="117"/>
      <c r="LVP46" s="117"/>
      <c r="LVQ46" s="117"/>
      <c r="LVR46" s="117"/>
      <c r="LVS46" s="117"/>
      <c r="LVT46" s="117"/>
      <c r="LVU46" s="117"/>
      <c r="LVV46" s="117"/>
      <c r="LVW46" s="117"/>
      <c r="LVX46" s="117"/>
      <c r="LVY46" s="117"/>
      <c r="LVZ46" s="117"/>
      <c r="LWA46" s="117"/>
      <c r="LWB46" s="117"/>
      <c r="LWC46" s="117"/>
      <c r="LWD46" s="117"/>
      <c r="LWE46" s="117"/>
      <c r="LWF46" s="117"/>
      <c r="LWG46" s="117"/>
      <c r="LWH46" s="117"/>
      <c r="LWI46" s="117"/>
      <c r="LWJ46" s="117"/>
      <c r="LWK46" s="117"/>
      <c r="LWL46" s="117"/>
      <c r="LWM46" s="117"/>
      <c r="LWN46" s="117"/>
      <c r="LWO46" s="117"/>
      <c r="LWP46" s="117"/>
      <c r="LWQ46" s="117"/>
      <c r="LWR46" s="117"/>
      <c r="LWS46" s="117"/>
      <c r="LWT46" s="117"/>
      <c r="LWU46" s="117"/>
      <c r="LWV46" s="117"/>
      <c r="LWW46" s="117"/>
      <c r="LWX46" s="117"/>
      <c r="LWY46" s="117"/>
      <c r="LWZ46" s="117"/>
      <c r="LXA46" s="117"/>
      <c r="LXB46" s="117"/>
      <c r="LXC46" s="117"/>
      <c r="LXD46" s="117"/>
      <c r="LXE46" s="117"/>
      <c r="LXF46" s="117"/>
      <c r="LXG46" s="117"/>
      <c r="LXH46" s="117"/>
      <c r="LXI46" s="117"/>
      <c r="LXJ46" s="117"/>
      <c r="LXK46" s="117"/>
      <c r="LXL46" s="117"/>
      <c r="LXM46" s="117"/>
      <c r="LXN46" s="117"/>
      <c r="LXO46" s="117"/>
      <c r="LXP46" s="117"/>
      <c r="LXQ46" s="117"/>
      <c r="LXR46" s="117"/>
      <c r="LXS46" s="117"/>
      <c r="LXT46" s="117"/>
      <c r="LXU46" s="117"/>
      <c r="LXV46" s="117"/>
      <c r="LXW46" s="117"/>
      <c r="LXX46" s="117"/>
      <c r="LXY46" s="117"/>
      <c r="LXZ46" s="117"/>
      <c r="LYA46" s="117"/>
      <c r="LYB46" s="117"/>
      <c r="LYC46" s="117"/>
      <c r="LYD46" s="117"/>
      <c r="LYE46" s="117"/>
      <c r="LYF46" s="117"/>
      <c r="LYG46" s="117"/>
      <c r="LYH46" s="117"/>
      <c r="LYI46" s="117"/>
      <c r="LYJ46" s="117"/>
      <c r="LYK46" s="117"/>
      <c r="LYL46" s="117"/>
      <c r="LYM46" s="117"/>
      <c r="LYN46" s="117"/>
      <c r="LYO46" s="117"/>
      <c r="LYP46" s="117"/>
      <c r="LYQ46" s="117"/>
      <c r="LYR46" s="117"/>
      <c r="LYS46" s="117"/>
      <c r="LYT46" s="117"/>
      <c r="LYU46" s="117"/>
      <c r="LYV46" s="117"/>
      <c r="LYW46" s="117"/>
      <c r="LYX46" s="117"/>
      <c r="LYY46" s="117"/>
      <c r="LYZ46" s="117"/>
      <c r="LZA46" s="117"/>
      <c r="LZB46" s="117"/>
      <c r="LZC46" s="117"/>
      <c r="LZD46" s="117"/>
      <c r="LZE46" s="117"/>
      <c r="LZF46" s="117"/>
      <c r="LZG46" s="117"/>
      <c r="LZH46" s="117"/>
      <c r="LZI46" s="117"/>
      <c r="LZJ46" s="117"/>
      <c r="LZK46" s="117"/>
      <c r="LZL46" s="117"/>
      <c r="LZM46" s="117"/>
      <c r="LZN46" s="117"/>
      <c r="LZO46" s="117"/>
      <c r="LZP46" s="117"/>
      <c r="LZQ46" s="117"/>
      <c r="LZR46" s="117"/>
      <c r="LZS46" s="117"/>
      <c r="LZT46" s="117"/>
      <c r="LZU46" s="117"/>
      <c r="LZV46" s="117"/>
      <c r="LZW46" s="117"/>
      <c r="LZX46" s="117"/>
      <c r="LZY46" s="117"/>
      <c r="LZZ46" s="117"/>
      <c r="MAA46" s="117"/>
      <c r="MAB46" s="117"/>
      <c r="MAC46" s="117"/>
      <c r="MAD46" s="117"/>
      <c r="MAE46" s="117"/>
      <c r="MAF46" s="117"/>
      <c r="MAG46" s="117"/>
      <c r="MAH46" s="117"/>
      <c r="MAI46" s="117"/>
      <c r="MAJ46" s="117"/>
      <c r="MAK46" s="117"/>
      <c r="MAL46" s="117"/>
      <c r="MAM46" s="117"/>
      <c r="MAN46" s="117"/>
      <c r="MAO46" s="117"/>
      <c r="MAP46" s="117"/>
      <c r="MAQ46" s="117"/>
      <c r="MAR46" s="117"/>
      <c r="MAS46" s="117"/>
      <c r="MAT46" s="117"/>
      <c r="MAU46" s="117"/>
      <c r="MAV46" s="117"/>
      <c r="MAW46" s="117"/>
      <c r="MAX46" s="117"/>
      <c r="MAY46" s="117"/>
      <c r="MAZ46" s="117"/>
      <c r="MBA46" s="117"/>
      <c r="MBB46" s="117"/>
      <c r="MBC46" s="117"/>
      <c r="MBD46" s="117"/>
      <c r="MBE46" s="117"/>
      <c r="MBF46" s="117"/>
      <c r="MBG46" s="117"/>
      <c r="MBH46" s="117"/>
      <c r="MBI46" s="117"/>
      <c r="MBJ46" s="117"/>
      <c r="MBK46" s="117"/>
      <c r="MBL46" s="117"/>
      <c r="MBM46" s="117"/>
      <c r="MBN46" s="117"/>
      <c r="MBO46" s="117"/>
      <c r="MBP46" s="117"/>
      <c r="MBQ46" s="117"/>
      <c r="MBR46" s="117"/>
      <c r="MBS46" s="117"/>
      <c r="MBT46" s="117"/>
      <c r="MBU46" s="117"/>
      <c r="MBV46" s="117"/>
      <c r="MBW46" s="117"/>
      <c r="MBX46" s="117"/>
      <c r="MBY46" s="117"/>
      <c r="MBZ46" s="117"/>
      <c r="MCA46" s="117"/>
      <c r="MCB46" s="117"/>
      <c r="MCC46" s="117"/>
      <c r="MCD46" s="117"/>
      <c r="MCE46" s="117"/>
      <c r="MCF46" s="117"/>
      <c r="MCG46" s="117"/>
      <c r="MCH46" s="117"/>
      <c r="MCI46" s="117"/>
      <c r="MCJ46" s="117"/>
      <c r="MCK46" s="117"/>
      <c r="MCL46" s="117"/>
      <c r="MCM46" s="117"/>
      <c r="MCN46" s="117"/>
      <c r="MCO46" s="117"/>
      <c r="MCP46" s="117"/>
      <c r="MCQ46" s="117"/>
      <c r="MCR46" s="117"/>
      <c r="MCS46" s="117"/>
      <c r="MCT46" s="117"/>
      <c r="MCU46" s="117"/>
      <c r="MCV46" s="117"/>
      <c r="MCW46" s="117"/>
      <c r="MCX46" s="117"/>
      <c r="MCY46" s="117"/>
      <c r="MCZ46" s="117"/>
      <c r="MDA46" s="117"/>
      <c r="MDB46" s="117"/>
      <c r="MDC46" s="117"/>
      <c r="MDD46" s="117"/>
      <c r="MDE46" s="117"/>
      <c r="MDF46" s="117"/>
      <c r="MDG46" s="117"/>
      <c r="MDH46" s="117"/>
      <c r="MDI46" s="117"/>
      <c r="MDJ46" s="117"/>
      <c r="MDK46" s="117"/>
      <c r="MDL46" s="117"/>
      <c r="MDM46" s="117"/>
      <c r="MDN46" s="117"/>
      <c r="MDO46" s="117"/>
      <c r="MDP46" s="117"/>
      <c r="MDQ46" s="117"/>
      <c r="MDR46" s="117"/>
      <c r="MDS46" s="117"/>
      <c r="MDT46" s="117"/>
      <c r="MDU46" s="117"/>
      <c r="MDV46" s="117"/>
      <c r="MDW46" s="117"/>
      <c r="MDX46" s="117"/>
      <c r="MDY46" s="117"/>
      <c r="MDZ46" s="117"/>
      <c r="MEA46" s="117"/>
      <c r="MEB46" s="117"/>
      <c r="MEC46" s="117"/>
      <c r="MED46" s="117"/>
      <c r="MEE46" s="117"/>
      <c r="MEF46" s="117"/>
      <c r="MEG46" s="117"/>
      <c r="MEH46" s="117"/>
      <c r="MEI46" s="117"/>
      <c r="MEJ46" s="117"/>
      <c r="MEK46" s="117"/>
      <c r="MEL46" s="117"/>
      <c r="MEM46" s="117"/>
      <c r="MEN46" s="117"/>
      <c r="MEO46" s="117"/>
      <c r="MEP46" s="117"/>
      <c r="MEQ46" s="117"/>
      <c r="MER46" s="117"/>
      <c r="MES46" s="117"/>
      <c r="MET46" s="117"/>
      <c r="MEU46" s="117"/>
      <c r="MEV46" s="117"/>
      <c r="MEW46" s="117"/>
      <c r="MEX46" s="117"/>
      <c r="MEY46" s="117"/>
      <c r="MEZ46" s="117"/>
      <c r="MFA46" s="117"/>
      <c r="MFB46" s="117"/>
      <c r="MFC46" s="117"/>
      <c r="MFD46" s="117"/>
      <c r="MFE46" s="117"/>
      <c r="MFF46" s="117"/>
      <c r="MFG46" s="117"/>
      <c r="MFH46" s="117"/>
      <c r="MFI46" s="117"/>
      <c r="MFJ46" s="117"/>
      <c r="MFK46" s="117"/>
      <c r="MFL46" s="117"/>
      <c r="MFM46" s="117"/>
      <c r="MFN46" s="117"/>
      <c r="MFO46" s="117"/>
      <c r="MFP46" s="117"/>
      <c r="MFQ46" s="117"/>
      <c r="MFR46" s="117"/>
      <c r="MFS46" s="117"/>
      <c r="MFT46" s="117"/>
      <c r="MFU46" s="117"/>
      <c r="MFV46" s="117"/>
      <c r="MFW46" s="117"/>
      <c r="MFX46" s="117"/>
      <c r="MFY46" s="117"/>
      <c r="MFZ46" s="117"/>
      <c r="MGA46" s="117"/>
      <c r="MGB46" s="117"/>
      <c r="MGC46" s="117"/>
      <c r="MGD46" s="117"/>
      <c r="MGE46" s="117"/>
      <c r="MGF46" s="117"/>
      <c r="MGG46" s="117"/>
      <c r="MGH46" s="117"/>
      <c r="MGI46" s="117"/>
      <c r="MGJ46" s="117"/>
      <c r="MGK46" s="117"/>
      <c r="MGL46" s="117"/>
      <c r="MGM46" s="117"/>
      <c r="MGN46" s="117"/>
      <c r="MGO46" s="117"/>
      <c r="MGP46" s="117"/>
      <c r="MGQ46" s="117"/>
      <c r="MGR46" s="117"/>
      <c r="MGS46" s="117"/>
      <c r="MGT46" s="117"/>
      <c r="MGU46" s="117"/>
      <c r="MGV46" s="117"/>
      <c r="MGW46" s="117"/>
      <c r="MGX46" s="117"/>
      <c r="MGY46" s="117"/>
      <c r="MGZ46" s="117"/>
      <c r="MHA46" s="117"/>
      <c r="MHB46" s="117"/>
      <c r="MHC46" s="117"/>
      <c r="MHD46" s="117"/>
      <c r="MHE46" s="117"/>
      <c r="MHF46" s="117"/>
      <c r="MHG46" s="117"/>
      <c r="MHH46" s="117"/>
      <c r="MHI46" s="117"/>
      <c r="MHJ46" s="117"/>
      <c r="MHK46" s="117"/>
      <c r="MHL46" s="117"/>
      <c r="MHM46" s="117"/>
      <c r="MHN46" s="117"/>
      <c r="MHO46" s="117"/>
      <c r="MHP46" s="117"/>
      <c r="MHQ46" s="117"/>
      <c r="MHR46" s="117"/>
      <c r="MHS46" s="117"/>
      <c r="MHT46" s="117"/>
      <c r="MHU46" s="117"/>
      <c r="MHV46" s="117"/>
      <c r="MHW46" s="117"/>
      <c r="MHX46" s="117"/>
      <c r="MHY46" s="117"/>
      <c r="MHZ46" s="117"/>
      <c r="MIA46" s="117"/>
      <c r="MIB46" s="117"/>
      <c r="MIC46" s="117"/>
      <c r="MID46" s="117"/>
      <c r="MIE46" s="117"/>
      <c r="MIF46" s="117"/>
      <c r="MIG46" s="117"/>
      <c r="MIH46" s="117"/>
      <c r="MII46" s="117"/>
      <c r="MIJ46" s="117"/>
      <c r="MIK46" s="117"/>
      <c r="MIL46" s="117"/>
      <c r="MIM46" s="117"/>
      <c r="MIN46" s="117"/>
      <c r="MIO46" s="117"/>
      <c r="MIP46" s="117"/>
      <c r="MIQ46" s="117"/>
      <c r="MIR46" s="117"/>
      <c r="MIS46" s="117"/>
      <c r="MIT46" s="117"/>
      <c r="MIU46" s="117"/>
      <c r="MIV46" s="117"/>
      <c r="MIW46" s="117"/>
      <c r="MIX46" s="117"/>
      <c r="MIY46" s="117"/>
      <c r="MIZ46" s="117"/>
      <c r="MJA46" s="117"/>
      <c r="MJB46" s="117"/>
      <c r="MJC46" s="117"/>
      <c r="MJD46" s="117"/>
      <c r="MJE46" s="117"/>
      <c r="MJF46" s="117"/>
      <c r="MJG46" s="117"/>
      <c r="MJH46" s="117"/>
      <c r="MJI46" s="117"/>
      <c r="MJJ46" s="117"/>
      <c r="MJK46" s="117"/>
      <c r="MJL46" s="117"/>
      <c r="MJM46" s="117"/>
      <c r="MJN46" s="117"/>
      <c r="MJO46" s="117"/>
      <c r="MJP46" s="117"/>
      <c r="MJQ46" s="117"/>
      <c r="MJR46" s="117"/>
      <c r="MJS46" s="117"/>
      <c r="MJT46" s="117"/>
      <c r="MJU46" s="117"/>
      <c r="MJV46" s="117"/>
      <c r="MJW46" s="117"/>
      <c r="MJX46" s="117"/>
      <c r="MJY46" s="117"/>
      <c r="MJZ46" s="117"/>
      <c r="MKA46" s="117"/>
      <c r="MKB46" s="117"/>
      <c r="MKC46" s="117"/>
      <c r="MKD46" s="117"/>
      <c r="MKE46" s="117"/>
      <c r="MKF46" s="117"/>
      <c r="MKG46" s="117"/>
      <c r="MKH46" s="117"/>
      <c r="MKI46" s="117"/>
      <c r="MKJ46" s="117"/>
      <c r="MKK46" s="117"/>
      <c r="MKL46" s="117"/>
      <c r="MKM46" s="117"/>
      <c r="MKN46" s="117"/>
      <c r="MKO46" s="117"/>
      <c r="MKP46" s="117"/>
      <c r="MKQ46" s="117"/>
      <c r="MKR46" s="117"/>
      <c r="MKS46" s="117"/>
      <c r="MKT46" s="117"/>
      <c r="MKU46" s="117"/>
      <c r="MKV46" s="117"/>
      <c r="MKW46" s="117"/>
      <c r="MKX46" s="117"/>
      <c r="MKY46" s="117"/>
      <c r="MKZ46" s="117"/>
      <c r="MLA46" s="117"/>
      <c r="MLB46" s="117"/>
      <c r="MLC46" s="117"/>
      <c r="MLD46" s="117"/>
      <c r="MLE46" s="117"/>
      <c r="MLF46" s="117"/>
      <c r="MLG46" s="117"/>
      <c r="MLH46" s="117"/>
      <c r="MLI46" s="117"/>
      <c r="MLJ46" s="117"/>
      <c r="MLK46" s="117"/>
      <c r="MLL46" s="117"/>
      <c r="MLM46" s="117"/>
      <c r="MLN46" s="117"/>
      <c r="MLO46" s="117"/>
      <c r="MLP46" s="117"/>
      <c r="MLQ46" s="117"/>
      <c r="MLR46" s="117"/>
      <c r="MLS46" s="117"/>
      <c r="MLT46" s="117"/>
      <c r="MLU46" s="117"/>
      <c r="MLV46" s="117"/>
      <c r="MLW46" s="117"/>
      <c r="MLX46" s="117"/>
      <c r="MLY46" s="117"/>
      <c r="MLZ46" s="117"/>
      <c r="MMA46" s="117"/>
      <c r="MMB46" s="117"/>
      <c r="MMC46" s="117"/>
      <c r="MMD46" s="117"/>
      <c r="MME46" s="117"/>
      <c r="MMF46" s="117"/>
      <c r="MMG46" s="117"/>
      <c r="MMH46" s="117"/>
      <c r="MMI46" s="117"/>
      <c r="MMJ46" s="117"/>
      <c r="MMK46" s="117"/>
      <c r="MML46" s="117"/>
      <c r="MMM46" s="117"/>
      <c r="MMN46" s="117"/>
      <c r="MMO46" s="117"/>
      <c r="MMP46" s="117"/>
      <c r="MMQ46" s="117"/>
      <c r="MMR46" s="117"/>
      <c r="MMS46" s="117"/>
      <c r="MMT46" s="117"/>
      <c r="MMU46" s="117"/>
      <c r="MMV46" s="117"/>
      <c r="MMW46" s="117"/>
      <c r="MMX46" s="117"/>
      <c r="MMY46" s="117"/>
      <c r="MMZ46" s="117"/>
      <c r="MNA46" s="117"/>
      <c r="MNB46" s="117"/>
      <c r="MNC46" s="117"/>
      <c r="MND46" s="117"/>
      <c r="MNE46" s="117"/>
      <c r="MNF46" s="117"/>
      <c r="MNG46" s="117"/>
      <c r="MNH46" s="117"/>
      <c r="MNI46" s="117"/>
      <c r="MNJ46" s="117"/>
      <c r="MNK46" s="117"/>
      <c r="MNL46" s="117"/>
      <c r="MNM46" s="117"/>
      <c r="MNN46" s="117"/>
      <c r="MNO46" s="117"/>
      <c r="MNP46" s="117"/>
      <c r="MNQ46" s="117"/>
      <c r="MNR46" s="117"/>
      <c r="MNS46" s="117"/>
      <c r="MNT46" s="117"/>
      <c r="MNU46" s="117"/>
      <c r="MNV46" s="117"/>
      <c r="MNW46" s="117"/>
      <c r="MNX46" s="117"/>
      <c r="MNY46" s="117"/>
      <c r="MNZ46" s="117"/>
      <c r="MOA46" s="117"/>
      <c r="MOB46" s="117"/>
      <c r="MOC46" s="117"/>
      <c r="MOD46" s="117"/>
      <c r="MOE46" s="117"/>
      <c r="MOF46" s="117"/>
      <c r="MOG46" s="117"/>
      <c r="MOH46" s="117"/>
      <c r="MOI46" s="117"/>
      <c r="MOJ46" s="117"/>
      <c r="MOK46" s="117"/>
      <c r="MOL46" s="117"/>
      <c r="MOM46" s="117"/>
      <c r="MON46" s="117"/>
      <c r="MOO46" s="117"/>
      <c r="MOP46" s="117"/>
      <c r="MOQ46" s="117"/>
      <c r="MOR46" s="117"/>
      <c r="MOS46" s="117"/>
      <c r="MOT46" s="117"/>
      <c r="MOU46" s="117"/>
      <c r="MOV46" s="117"/>
      <c r="MOW46" s="117"/>
      <c r="MOX46" s="117"/>
      <c r="MOY46" s="117"/>
      <c r="MOZ46" s="117"/>
      <c r="MPA46" s="117"/>
      <c r="MPB46" s="117"/>
      <c r="MPC46" s="117"/>
      <c r="MPD46" s="117"/>
      <c r="MPE46" s="117"/>
      <c r="MPF46" s="117"/>
      <c r="MPG46" s="117"/>
      <c r="MPH46" s="117"/>
      <c r="MPI46" s="117"/>
      <c r="MPJ46" s="117"/>
      <c r="MPK46" s="117"/>
      <c r="MPL46" s="117"/>
      <c r="MPM46" s="117"/>
      <c r="MPN46" s="117"/>
      <c r="MPO46" s="117"/>
      <c r="MPP46" s="117"/>
      <c r="MPQ46" s="117"/>
      <c r="MPR46" s="117"/>
      <c r="MPS46" s="117"/>
      <c r="MPT46" s="117"/>
      <c r="MPU46" s="117"/>
      <c r="MPV46" s="117"/>
      <c r="MPW46" s="117"/>
      <c r="MPX46" s="117"/>
      <c r="MPY46" s="117"/>
      <c r="MPZ46" s="117"/>
      <c r="MQA46" s="117"/>
      <c r="MQB46" s="117"/>
      <c r="MQC46" s="117"/>
      <c r="MQD46" s="117"/>
      <c r="MQE46" s="117"/>
      <c r="MQF46" s="117"/>
      <c r="MQG46" s="117"/>
      <c r="MQH46" s="117"/>
      <c r="MQI46" s="117"/>
      <c r="MQJ46" s="117"/>
      <c r="MQK46" s="117"/>
      <c r="MQL46" s="117"/>
      <c r="MQM46" s="117"/>
      <c r="MQN46" s="117"/>
      <c r="MQO46" s="117"/>
      <c r="MQP46" s="117"/>
      <c r="MQQ46" s="117"/>
      <c r="MQR46" s="117"/>
      <c r="MQS46" s="117"/>
      <c r="MQT46" s="117"/>
      <c r="MQU46" s="117"/>
      <c r="MQV46" s="117"/>
      <c r="MQW46" s="117"/>
      <c r="MQX46" s="117"/>
      <c r="MQY46" s="117"/>
      <c r="MQZ46" s="117"/>
      <c r="MRA46" s="117"/>
      <c r="MRB46" s="117"/>
      <c r="MRC46" s="117"/>
      <c r="MRD46" s="117"/>
      <c r="MRE46" s="117"/>
      <c r="MRF46" s="117"/>
      <c r="MRG46" s="117"/>
      <c r="MRH46" s="117"/>
      <c r="MRI46" s="117"/>
      <c r="MRJ46" s="117"/>
      <c r="MRK46" s="117"/>
      <c r="MRL46" s="117"/>
      <c r="MRM46" s="117"/>
      <c r="MRN46" s="117"/>
      <c r="MRO46" s="117"/>
      <c r="MRP46" s="117"/>
      <c r="MRQ46" s="117"/>
      <c r="MRR46" s="117"/>
      <c r="MRS46" s="117"/>
      <c r="MRT46" s="117"/>
      <c r="MRU46" s="117"/>
      <c r="MRV46" s="117"/>
      <c r="MRW46" s="117"/>
      <c r="MRX46" s="117"/>
      <c r="MRY46" s="117"/>
      <c r="MRZ46" s="117"/>
      <c r="MSA46" s="117"/>
      <c r="MSB46" s="117"/>
      <c r="MSC46" s="117"/>
      <c r="MSD46" s="117"/>
      <c r="MSE46" s="117"/>
      <c r="MSF46" s="117"/>
      <c r="MSG46" s="117"/>
      <c r="MSH46" s="117"/>
      <c r="MSI46" s="117"/>
      <c r="MSJ46" s="117"/>
      <c r="MSK46" s="117"/>
      <c r="MSL46" s="117"/>
      <c r="MSM46" s="117"/>
      <c r="MSN46" s="117"/>
      <c r="MSO46" s="117"/>
      <c r="MSP46" s="117"/>
      <c r="MSQ46" s="117"/>
      <c r="MSR46" s="117"/>
      <c r="MSS46" s="117"/>
      <c r="MST46" s="117"/>
      <c r="MSU46" s="117"/>
      <c r="MSV46" s="117"/>
      <c r="MSW46" s="117"/>
      <c r="MSX46" s="117"/>
      <c r="MSY46" s="117"/>
      <c r="MSZ46" s="117"/>
      <c r="MTA46" s="117"/>
      <c r="MTB46" s="117"/>
      <c r="MTC46" s="117"/>
      <c r="MTD46" s="117"/>
      <c r="MTE46" s="117"/>
      <c r="MTF46" s="117"/>
      <c r="MTG46" s="117"/>
      <c r="MTH46" s="117"/>
      <c r="MTI46" s="117"/>
      <c r="MTJ46" s="117"/>
      <c r="MTK46" s="117"/>
      <c r="MTL46" s="117"/>
      <c r="MTM46" s="117"/>
      <c r="MTN46" s="117"/>
      <c r="MTO46" s="117"/>
      <c r="MTP46" s="117"/>
      <c r="MTQ46" s="117"/>
      <c r="MTR46" s="117"/>
      <c r="MTS46" s="117"/>
      <c r="MTT46" s="117"/>
      <c r="MTU46" s="117"/>
      <c r="MTV46" s="117"/>
      <c r="MTW46" s="117"/>
      <c r="MTX46" s="117"/>
      <c r="MTY46" s="117"/>
      <c r="MTZ46" s="117"/>
      <c r="MUA46" s="117"/>
      <c r="MUB46" s="117"/>
      <c r="MUC46" s="117"/>
      <c r="MUD46" s="117"/>
      <c r="MUE46" s="117"/>
      <c r="MUF46" s="117"/>
      <c r="MUG46" s="117"/>
      <c r="MUH46" s="117"/>
      <c r="MUI46" s="117"/>
      <c r="MUJ46" s="117"/>
      <c r="MUK46" s="117"/>
      <c r="MUL46" s="117"/>
      <c r="MUM46" s="117"/>
      <c r="MUN46" s="117"/>
      <c r="MUO46" s="117"/>
      <c r="MUP46" s="117"/>
      <c r="MUQ46" s="117"/>
      <c r="MUR46" s="117"/>
      <c r="MUS46" s="117"/>
      <c r="MUT46" s="117"/>
      <c r="MUU46" s="117"/>
      <c r="MUV46" s="117"/>
      <c r="MUW46" s="117"/>
      <c r="MUX46" s="117"/>
      <c r="MUY46" s="117"/>
      <c r="MUZ46" s="117"/>
      <c r="MVA46" s="117"/>
      <c r="MVB46" s="117"/>
      <c r="MVC46" s="117"/>
      <c r="MVD46" s="117"/>
      <c r="MVE46" s="117"/>
      <c r="MVF46" s="117"/>
      <c r="MVG46" s="117"/>
      <c r="MVH46" s="117"/>
      <c r="MVI46" s="117"/>
      <c r="MVJ46" s="117"/>
      <c r="MVK46" s="117"/>
      <c r="MVL46" s="117"/>
      <c r="MVM46" s="117"/>
      <c r="MVN46" s="117"/>
      <c r="MVO46" s="117"/>
      <c r="MVP46" s="117"/>
      <c r="MVQ46" s="117"/>
      <c r="MVR46" s="117"/>
      <c r="MVS46" s="117"/>
      <c r="MVT46" s="117"/>
      <c r="MVU46" s="117"/>
      <c r="MVV46" s="117"/>
      <c r="MVW46" s="117"/>
      <c r="MVX46" s="117"/>
      <c r="MVY46" s="117"/>
      <c r="MVZ46" s="117"/>
      <c r="MWA46" s="117"/>
      <c r="MWB46" s="117"/>
      <c r="MWC46" s="117"/>
      <c r="MWD46" s="117"/>
      <c r="MWE46" s="117"/>
      <c r="MWF46" s="117"/>
      <c r="MWG46" s="117"/>
      <c r="MWH46" s="117"/>
      <c r="MWI46" s="117"/>
      <c r="MWJ46" s="117"/>
      <c r="MWK46" s="117"/>
      <c r="MWL46" s="117"/>
      <c r="MWM46" s="117"/>
      <c r="MWN46" s="117"/>
      <c r="MWO46" s="117"/>
      <c r="MWP46" s="117"/>
      <c r="MWQ46" s="117"/>
      <c r="MWR46" s="117"/>
      <c r="MWS46" s="117"/>
      <c r="MWT46" s="117"/>
      <c r="MWU46" s="117"/>
      <c r="MWV46" s="117"/>
      <c r="MWW46" s="117"/>
      <c r="MWX46" s="117"/>
      <c r="MWY46" s="117"/>
      <c r="MWZ46" s="117"/>
      <c r="MXA46" s="117"/>
      <c r="MXB46" s="117"/>
      <c r="MXC46" s="117"/>
      <c r="MXD46" s="117"/>
      <c r="MXE46" s="117"/>
      <c r="MXF46" s="117"/>
      <c r="MXG46" s="117"/>
      <c r="MXH46" s="117"/>
      <c r="MXI46" s="117"/>
      <c r="MXJ46" s="117"/>
      <c r="MXK46" s="117"/>
      <c r="MXL46" s="117"/>
      <c r="MXM46" s="117"/>
      <c r="MXN46" s="117"/>
      <c r="MXO46" s="117"/>
      <c r="MXP46" s="117"/>
      <c r="MXQ46" s="117"/>
      <c r="MXR46" s="117"/>
      <c r="MXS46" s="117"/>
      <c r="MXT46" s="117"/>
      <c r="MXU46" s="117"/>
      <c r="MXV46" s="117"/>
      <c r="MXW46" s="117"/>
      <c r="MXX46" s="117"/>
      <c r="MXY46" s="117"/>
      <c r="MXZ46" s="117"/>
      <c r="MYA46" s="117"/>
      <c r="MYB46" s="117"/>
      <c r="MYC46" s="117"/>
      <c r="MYD46" s="117"/>
      <c r="MYE46" s="117"/>
      <c r="MYF46" s="117"/>
      <c r="MYG46" s="117"/>
      <c r="MYH46" s="117"/>
      <c r="MYI46" s="117"/>
      <c r="MYJ46" s="117"/>
      <c r="MYK46" s="117"/>
      <c r="MYL46" s="117"/>
      <c r="MYM46" s="117"/>
      <c r="MYN46" s="117"/>
      <c r="MYO46" s="117"/>
      <c r="MYP46" s="117"/>
      <c r="MYQ46" s="117"/>
      <c r="MYR46" s="117"/>
      <c r="MYS46" s="117"/>
      <c r="MYT46" s="117"/>
      <c r="MYU46" s="117"/>
      <c r="MYV46" s="117"/>
      <c r="MYW46" s="117"/>
      <c r="MYX46" s="117"/>
      <c r="MYY46" s="117"/>
      <c r="MYZ46" s="117"/>
      <c r="MZA46" s="117"/>
      <c r="MZB46" s="117"/>
      <c r="MZC46" s="117"/>
      <c r="MZD46" s="117"/>
      <c r="MZE46" s="117"/>
      <c r="MZF46" s="117"/>
      <c r="MZG46" s="117"/>
      <c r="MZH46" s="117"/>
      <c r="MZI46" s="117"/>
      <c r="MZJ46" s="117"/>
      <c r="MZK46" s="117"/>
      <c r="MZL46" s="117"/>
      <c r="MZM46" s="117"/>
      <c r="MZN46" s="117"/>
      <c r="MZO46" s="117"/>
      <c r="MZP46" s="117"/>
      <c r="MZQ46" s="117"/>
      <c r="MZR46" s="117"/>
      <c r="MZS46" s="117"/>
      <c r="MZT46" s="117"/>
      <c r="MZU46" s="117"/>
      <c r="MZV46" s="117"/>
      <c r="MZW46" s="117"/>
      <c r="MZX46" s="117"/>
      <c r="MZY46" s="117"/>
      <c r="MZZ46" s="117"/>
      <c r="NAA46" s="117"/>
      <c r="NAB46" s="117"/>
      <c r="NAC46" s="117"/>
      <c r="NAD46" s="117"/>
      <c r="NAE46" s="117"/>
      <c r="NAF46" s="117"/>
      <c r="NAG46" s="117"/>
      <c r="NAH46" s="117"/>
      <c r="NAI46" s="117"/>
      <c r="NAJ46" s="117"/>
      <c r="NAK46" s="117"/>
      <c r="NAL46" s="117"/>
      <c r="NAM46" s="117"/>
      <c r="NAN46" s="117"/>
      <c r="NAO46" s="117"/>
      <c r="NAP46" s="117"/>
      <c r="NAQ46" s="117"/>
      <c r="NAR46" s="117"/>
      <c r="NAS46" s="117"/>
      <c r="NAT46" s="117"/>
      <c r="NAU46" s="117"/>
      <c r="NAV46" s="117"/>
      <c r="NAW46" s="117"/>
      <c r="NAX46" s="117"/>
      <c r="NAY46" s="117"/>
      <c r="NAZ46" s="117"/>
      <c r="NBA46" s="117"/>
      <c r="NBB46" s="117"/>
      <c r="NBC46" s="117"/>
      <c r="NBD46" s="117"/>
      <c r="NBE46" s="117"/>
      <c r="NBF46" s="117"/>
      <c r="NBG46" s="117"/>
      <c r="NBH46" s="117"/>
      <c r="NBI46" s="117"/>
      <c r="NBJ46" s="117"/>
      <c r="NBK46" s="117"/>
      <c r="NBL46" s="117"/>
      <c r="NBM46" s="117"/>
      <c r="NBN46" s="117"/>
      <c r="NBO46" s="117"/>
      <c r="NBP46" s="117"/>
      <c r="NBQ46" s="117"/>
      <c r="NBR46" s="117"/>
      <c r="NBS46" s="117"/>
      <c r="NBT46" s="117"/>
      <c r="NBU46" s="117"/>
      <c r="NBV46" s="117"/>
      <c r="NBW46" s="117"/>
      <c r="NBX46" s="117"/>
      <c r="NBY46" s="117"/>
      <c r="NBZ46" s="117"/>
      <c r="NCA46" s="117"/>
      <c r="NCB46" s="117"/>
      <c r="NCC46" s="117"/>
      <c r="NCD46" s="117"/>
      <c r="NCE46" s="117"/>
      <c r="NCF46" s="117"/>
      <c r="NCG46" s="117"/>
      <c r="NCH46" s="117"/>
      <c r="NCI46" s="117"/>
      <c r="NCJ46" s="117"/>
      <c r="NCK46" s="117"/>
      <c r="NCL46" s="117"/>
      <c r="NCM46" s="117"/>
      <c r="NCN46" s="117"/>
      <c r="NCO46" s="117"/>
      <c r="NCP46" s="117"/>
      <c r="NCQ46" s="117"/>
      <c r="NCR46" s="117"/>
      <c r="NCS46" s="117"/>
      <c r="NCT46" s="117"/>
      <c r="NCU46" s="117"/>
      <c r="NCV46" s="117"/>
      <c r="NCW46" s="117"/>
      <c r="NCX46" s="117"/>
      <c r="NCY46" s="117"/>
      <c r="NCZ46" s="117"/>
      <c r="NDA46" s="117"/>
      <c r="NDB46" s="117"/>
      <c r="NDC46" s="117"/>
      <c r="NDD46" s="117"/>
      <c r="NDE46" s="117"/>
      <c r="NDF46" s="117"/>
      <c r="NDG46" s="117"/>
      <c r="NDH46" s="117"/>
      <c r="NDI46" s="117"/>
      <c r="NDJ46" s="117"/>
      <c r="NDK46" s="117"/>
      <c r="NDL46" s="117"/>
      <c r="NDM46" s="117"/>
      <c r="NDN46" s="117"/>
      <c r="NDO46" s="117"/>
      <c r="NDP46" s="117"/>
      <c r="NDQ46" s="117"/>
      <c r="NDR46" s="117"/>
      <c r="NDS46" s="117"/>
      <c r="NDT46" s="117"/>
      <c r="NDU46" s="117"/>
      <c r="NDV46" s="117"/>
      <c r="NDW46" s="117"/>
      <c r="NDX46" s="117"/>
      <c r="NDY46" s="117"/>
      <c r="NDZ46" s="117"/>
      <c r="NEA46" s="117"/>
      <c r="NEB46" s="117"/>
      <c r="NEC46" s="117"/>
      <c r="NED46" s="117"/>
      <c r="NEE46" s="117"/>
      <c r="NEF46" s="117"/>
      <c r="NEG46" s="117"/>
      <c r="NEH46" s="117"/>
      <c r="NEI46" s="117"/>
      <c r="NEJ46" s="117"/>
      <c r="NEK46" s="117"/>
      <c r="NEL46" s="117"/>
      <c r="NEM46" s="117"/>
      <c r="NEN46" s="117"/>
      <c r="NEO46" s="117"/>
      <c r="NEP46" s="117"/>
      <c r="NEQ46" s="117"/>
      <c r="NER46" s="117"/>
      <c r="NES46" s="117"/>
      <c r="NET46" s="117"/>
      <c r="NEU46" s="117"/>
      <c r="NEV46" s="117"/>
      <c r="NEW46" s="117"/>
      <c r="NEX46" s="117"/>
      <c r="NEY46" s="117"/>
      <c r="NEZ46" s="117"/>
      <c r="NFA46" s="117"/>
      <c r="NFB46" s="117"/>
      <c r="NFC46" s="117"/>
      <c r="NFD46" s="117"/>
      <c r="NFE46" s="117"/>
      <c r="NFF46" s="117"/>
      <c r="NFG46" s="117"/>
      <c r="NFH46" s="117"/>
      <c r="NFI46" s="117"/>
      <c r="NFJ46" s="117"/>
      <c r="NFK46" s="117"/>
      <c r="NFL46" s="117"/>
      <c r="NFM46" s="117"/>
      <c r="NFN46" s="117"/>
      <c r="NFO46" s="117"/>
      <c r="NFP46" s="117"/>
      <c r="NFQ46" s="117"/>
      <c r="NFR46" s="117"/>
      <c r="NFS46" s="117"/>
      <c r="NFT46" s="117"/>
      <c r="NFU46" s="117"/>
      <c r="NFV46" s="117"/>
      <c r="NFW46" s="117"/>
      <c r="NFX46" s="117"/>
      <c r="NFY46" s="117"/>
      <c r="NFZ46" s="117"/>
      <c r="NGA46" s="117"/>
      <c r="NGB46" s="117"/>
      <c r="NGC46" s="117"/>
      <c r="NGD46" s="117"/>
      <c r="NGE46" s="117"/>
      <c r="NGF46" s="117"/>
      <c r="NGG46" s="117"/>
      <c r="NGH46" s="117"/>
      <c r="NGI46" s="117"/>
      <c r="NGJ46" s="117"/>
      <c r="NGK46" s="117"/>
      <c r="NGL46" s="117"/>
      <c r="NGM46" s="117"/>
      <c r="NGN46" s="117"/>
      <c r="NGO46" s="117"/>
      <c r="NGP46" s="117"/>
      <c r="NGQ46" s="117"/>
      <c r="NGR46" s="117"/>
      <c r="NGS46" s="117"/>
      <c r="NGT46" s="117"/>
      <c r="NGU46" s="117"/>
      <c r="NGV46" s="117"/>
      <c r="NGW46" s="117"/>
      <c r="NGX46" s="117"/>
      <c r="NGY46" s="117"/>
      <c r="NGZ46" s="117"/>
      <c r="NHA46" s="117"/>
      <c r="NHB46" s="117"/>
      <c r="NHC46" s="117"/>
      <c r="NHD46" s="117"/>
      <c r="NHE46" s="117"/>
      <c r="NHF46" s="117"/>
      <c r="NHG46" s="117"/>
      <c r="NHH46" s="117"/>
      <c r="NHI46" s="117"/>
      <c r="NHJ46" s="117"/>
      <c r="NHK46" s="117"/>
      <c r="NHL46" s="117"/>
      <c r="NHM46" s="117"/>
      <c r="NHN46" s="117"/>
      <c r="NHO46" s="117"/>
      <c r="NHP46" s="117"/>
      <c r="NHQ46" s="117"/>
      <c r="NHR46" s="117"/>
      <c r="NHS46" s="117"/>
      <c r="NHT46" s="117"/>
      <c r="NHU46" s="117"/>
      <c r="NHV46" s="117"/>
      <c r="NHW46" s="117"/>
      <c r="NHX46" s="117"/>
      <c r="NHY46" s="117"/>
      <c r="NHZ46" s="117"/>
      <c r="NIA46" s="117"/>
      <c r="NIB46" s="117"/>
      <c r="NIC46" s="117"/>
      <c r="NID46" s="117"/>
      <c r="NIE46" s="117"/>
      <c r="NIF46" s="117"/>
      <c r="NIG46" s="117"/>
      <c r="NIH46" s="117"/>
      <c r="NII46" s="117"/>
      <c r="NIJ46" s="117"/>
      <c r="NIK46" s="117"/>
      <c r="NIL46" s="117"/>
      <c r="NIM46" s="117"/>
      <c r="NIN46" s="117"/>
      <c r="NIO46" s="117"/>
      <c r="NIP46" s="117"/>
      <c r="NIQ46" s="117"/>
      <c r="NIR46" s="117"/>
      <c r="NIS46" s="117"/>
      <c r="NIT46" s="117"/>
      <c r="NIU46" s="117"/>
      <c r="NIV46" s="117"/>
      <c r="NIW46" s="117"/>
      <c r="NIX46" s="117"/>
      <c r="NIY46" s="117"/>
      <c r="NIZ46" s="117"/>
      <c r="NJA46" s="117"/>
      <c r="NJB46" s="117"/>
      <c r="NJC46" s="117"/>
      <c r="NJD46" s="117"/>
      <c r="NJE46" s="117"/>
      <c r="NJF46" s="117"/>
      <c r="NJG46" s="117"/>
      <c r="NJH46" s="117"/>
      <c r="NJI46" s="117"/>
      <c r="NJJ46" s="117"/>
      <c r="NJK46" s="117"/>
      <c r="NJL46" s="117"/>
      <c r="NJM46" s="117"/>
      <c r="NJN46" s="117"/>
      <c r="NJO46" s="117"/>
      <c r="NJP46" s="117"/>
      <c r="NJQ46" s="117"/>
      <c r="NJR46" s="117"/>
      <c r="NJS46" s="117"/>
      <c r="NJT46" s="117"/>
      <c r="NJU46" s="117"/>
      <c r="NJV46" s="117"/>
      <c r="NJW46" s="117"/>
      <c r="NJX46" s="117"/>
      <c r="NJY46" s="117"/>
      <c r="NJZ46" s="117"/>
      <c r="NKA46" s="117"/>
      <c r="NKB46" s="117"/>
      <c r="NKC46" s="117"/>
      <c r="NKD46" s="117"/>
      <c r="NKE46" s="117"/>
      <c r="NKF46" s="117"/>
      <c r="NKG46" s="117"/>
      <c r="NKH46" s="117"/>
      <c r="NKI46" s="117"/>
      <c r="NKJ46" s="117"/>
      <c r="NKK46" s="117"/>
      <c r="NKL46" s="117"/>
      <c r="NKM46" s="117"/>
      <c r="NKN46" s="117"/>
      <c r="NKO46" s="117"/>
      <c r="NKP46" s="117"/>
      <c r="NKQ46" s="117"/>
      <c r="NKR46" s="117"/>
      <c r="NKS46" s="117"/>
      <c r="NKT46" s="117"/>
      <c r="NKU46" s="117"/>
      <c r="NKV46" s="117"/>
      <c r="NKW46" s="117"/>
      <c r="NKX46" s="117"/>
      <c r="NKY46" s="117"/>
      <c r="NKZ46" s="117"/>
      <c r="NLA46" s="117"/>
      <c r="NLB46" s="117"/>
      <c r="NLC46" s="117"/>
      <c r="NLD46" s="117"/>
      <c r="NLE46" s="117"/>
      <c r="NLF46" s="117"/>
      <c r="NLG46" s="117"/>
      <c r="NLH46" s="117"/>
      <c r="NLI46" s="117"/>
      <c r="NLJ46" s="117"/>
      <c r="NLK46" s="117"/>
      <c r="NLL46" s="117"/>
      <c r="NLM46" s="117"/>
      <c r="NLN46" s="117"/>
      <c r="NLO46" s="117"/>
      <c r="NLP46" s="117"/>
      <c r="NLQ46" s="117"/>
      <c r="NLR46" s="117"/>
      <c r="NLS46" s="117"/>
      <c r="NLT46" s="117"/>
      <c r="NLU46" s="117"/>
      <c r="NLV46" s="117"/>
      <c r="NLW46" s="117"/>
      <c r="NLX46" s="117"/>
      <c r="NLY46" s="117"/>
      <c r="NLZ46" s="117"/>
      <c r="NMA46" s="117"/>
      <c r="NMB46" s="117"/>
      <c r="NMC46" s="117"/>
      <c r="NMD46" s="117"/>
      <c r="NME46" s="117"/>
      <c r="NMF46" s="117"/>
      <c r="NMG46" s="117"/>
      <c r="NMH46" s="117"/>
      <c r="NMI46" s="117"/>
      <c r="NMJ46" s="117"/>
      <c r="NMK46" s="117"/>
      <c r="NML46" s="117"/>
      <c r="NMM46" s="117"/>
      <c r="NMN46" s="117"/>
      <c r="NMO46" s="117"/>
      <c r="NMP46" s="117"/>
      <c r="NMQ46" s="117"/>
      <c r="NMR46" s="117"/>
      <c r="NMS46" s="117"/>
      <c r="NMT46" s="117"/>
      <c r="NMU46" s="117"/>
      <c r="NMV46" s="117"/>
      <c r="NMW46" s="117"/>
      <c r="NMX46" s="117"/>
      <c r="NMY46" s="117"/>
      <c r="NMZ46" s="117"/>
      <c r="NNA46" s="117"/>
      <c r="NNB46" s="117"/>
      <c r="NNC46" s="117"/>
      <c r="NND46" s="117"/>
      <c r="NNE46" s="117"/>
      <c r="NNF46" s="117"/>
      <c r="NNG46" s="117"/>
      <c r="NNH46" s="117"/>
      <c r="NNI46" s="117"/>
      <c r="NNJ46" s="117"/>
      <c r="NNK46" s="117"/>
      <c r="NNL46" s="117"/>
      <c r="NNM46" s="117"/>
      <c r="NNN46" s="117"/>
      <c r="NNO46" s="117"/>
      <c r="NNP46" s="117"/>
      <c r="NNQ46" s="117"/>
      <c r="NNR46" s="117"/>
      <c r="NNS46" s="117"/>
      <c r="NNT46" s="117"/>
      <c r="NNU46" s="117"/>
      <c r="NNV46" s="117"/>
      <c r="NNW46" s="117"/>
      <c r="NNX46" s="117"/>
      <c r="NNY46" s="117"/>
      <c r="NNZ46" s="117"/>
      <c r="NOA46" s="117"/>
      <c r="NOB46" s="117"/>
      <c r="NOC46" s="117"/>
      <c r="NOD46" s="117"/>
      <c r="NOE46" s="117"/>
      <c r="NOF46" s="117"/>
      <c r="NOG46" s="117"/>
      <c r="NOH46" s="117"/>
      <c r="NOI46" s="117"/>
      <c r="NOJ46" s="117"/>
      <c r="NOK46" s="117"/>
      <c r="NOL46" s="117"/>
      <c r="NOM46" s="117"/>
      <c r="NON46" s="117"/>
      <c r="NOO46" s="117"/>
      <c r="NOP46" s="117"/>
      <c r="NOQ46" s="117"/>
      <c r="NOR46" s="117"/>
      <c r="NOS46" s="117"/>
      <c r="NOT46" s="117"/>
      <c r="NOU46" s="117"/>
      <c r="NOV46" s="117"/>
      <c r="NOW46" s="117"/>
      <c r="NOX46" s="117"/>
      <c r="NOY46" s="117"/>
      <c r="NOZ46" s="117"/>
      <c r="NPA46" s="117"/>
      <c r="NPB46" s="117"/>
      <c r="NPC46" s="117"/>
      <c r="NPD46" s="117"/>
      <c r="NPE46" s="117"/>
      <c r="NPF46" s="117"/>
      <c r="NPG46" s="117"/>
      <c r="NPH46" s="117"/>
      <c r="NPI46" s="117"/>
      <c r="NPJ46" s="117"/>
      <c r="NPK46" s="117"/>
      <c r="NPL46" s="117"/>
      <c r="NPM46" s="117"/>
      <c r="NPN46" s="117"/>
      <c r="NPO46" s="117"/>
      <c r="NPP46" s="117"/>
      <c r="NPQ46" s="117"/>
      <c r="NPR46" s="117"/>
      <c r="NPS46" s="117"/>
      <c r="NPT46" s="117"/>
      <c r="NPU46" s="117"/>
      <c r="NPV46" s="117"/>
      <c r="NPW46" s="117"/>
      <c r="NPX46" s="117"/>
      <c r="NPY46" s="117"/>
      <c r="NPZ46" s="117"/>
      <c r="NQA46" s="117"/>
      <c r="NQB46" s="117"/>
      <c r="NQC46" s="117"/>
      <c r="NQD46" s="117"/>
      <c r="NQE46" s="117"/>
      <c r="NQF46" s="117"/>
      <c r="NQG46" s="117"/>
      <c r="NQH46" s="117"/>
      <c r="NQI46" s="117"/>
      <c r="NQJ46" s="117"/>
      <c r="NQK46" s="117"/>
      <c r="NQL46" s="117"/>
      <c r="NQM46" s="117"/>
      <c r="NQN46" s="117"/>
      <c r="NQO46" s="117"/>
      <c r="NQP46" s="117"/>
      <c r="NQQ46" s="117"/>
      <c r="NQR46" s="117"/>
      <c r="NQS46" s="117"/>
      <c r="NQT46" s="117"/>
      <c r="NQU46" s="117"/>
      <c r="NQV46" s="117"/>
      <c r="NQW46" s="117"/>
      <c r="NQX46" s="117"/>
      <c r="NQY46" s="117"/>
      <c r="NQZ46" s="117"/>
      <c r="NRA46" s="117"/>
      <c r="NRB46" s="117"/>
      <c r="NRC46" s="117"/>
      <c r="NRD46" s="117"/>
      <c r="NRE46" s="117"/>
      <c r="NRF46" s="117"/>
      <c r="NRG46" s="117"/>
      <c r="NRH46" s="117"/>
      <c r="NRI46" s="117"/>
      <c r="NRJ46" s="117"/>
      <c r="NRK46" s="117"/>
      <c r="NRL46" s="117"/>
      <c r="NRM46" s="117"/>
      <c r="NRN46" s="117"/>
      <c r="NRO46" s="117"/>
      <c r="NRP46" s="117"/>
      <c r="NRQ46" s="117"/>
      <c r="NRR46" s="117"/>
      <c r="NRS46" s="117"/>
      <c r="NRT46" s="117"/>
      <c r="NRU46" s="117"/>
      <c r="NRV46" s="117"/>
      <c r="NRW46" s="117"/>
      <c r="NRX46" s="117"/>
      <c r="NRY46" s="117"/>
      <c r="NRZ46" s="117"/>
      <c r="NSA46" s="117"/>
      <c r="NSB46" s="117"/>
      <c r="NSC46" s="117"/>
      <c r="NSD46" s="117"/>
      <c r="NSE46" s="117"/>
      <c r="NSF46" s="117"/>
      <c r="NSG46" s="117"/>
      <c r="NSH46" s="117"/>
      <c r="NSI46" s="117"/>
      <c r="NSJ46" s="117"/>
      <c r="NSK46" s="117"/>
      <c r="NSL46" s="117"/>
      <c r="NSM46" s="117"/>
      <c r="NSN46" s="117"/>
      <c r="NSO46" s="117"/>
      <c r="NSP46" s="117"/>
      <c r="NSQ46" s="117"/>
      <c r="NSR46" s="117"/>
      <c r="NSS46" s="117"/>
      <c r="NST46" s="117"/>
      <c r="NSU46" s="117"/>
      <c r="NSV46" s="117"/>
      <c r="NSW46" s="117"/>
      <c r="NSX46" s="117"/>
      <c r="NSY46" s="117"/>
      <c r="NSZ46" s="117"/>
      <c r="NTA46" s="117"/>
      <c r="NTB46" s="117"/>
      <c r="NTC46" s="117"/>
      <c r="NTD46" s="117"/>
      <c r="NTE46" s="117"/>
      <c r="NTF46" s="117"/>
      <c r="NTG46" s="117"/>
      <c r="NTH46" s="117"/>
      <c r="NTI46" s="117"/>
      <c r="NTJ46" s="117"/>
      <c r="NTK46" s="117"/>
      <c r="NTL46" s="117"/>
      <c r="NTM46" s="117"/>
      <c r="NTN46" s="117"/>
      <c r="NTO46" s="117"/>
      <c r="NTP46" s="117"/>
      <c r="NTQ46" s="117"/>
      <c r="NTR46" s="117"/>
      <c r="NTS46" s="117"/>
      <c r="NTT46" s="117"/>
      <c r="NTU46" s="117"/>
      <c r="NTV46" s="117"/>
      <c r="NTW46" s="117"/>
      <c r="NTX46" s="117"/>
      <c r="NTY46" s="117"/>
      <c r="NTZ46" s="117"/>
      <c r="NUA46" s="117"/>
      <c r="NUB46" s="117"/>
      <c r="NUC46" s="117"/>
      <c r="NUD46" s="117"/>
      <c r="NUE46" s="117"/>
      <c r="NUF46" s="117"/>
      <c r="NUG46" s="117"/>
      <c r="NUH46" s="117"/>
      <c r="NUI46" s="117"/>
      <c r="NUJ46" s="117"/>
      <c r="NUK46" s="117"/>
      <c r="NUL46" s="117"/>
      <c r="NUM46" s="117"/>
      <c r="NUN46" s="117"/>
      <c r="NUO46" s="117"/>
      <c r="NUP46" s="117"/>
      <c r="NUQ46" s="117"/>
      <c r="NUR46" s="117"/>
      <c r="NUS46" s="117"/>
      <c r="NUT46" s="117"/>
      <c r="NUU46" s="117"/>
      <c r="NUV46" s="117"/>
      <c r="NUW46" s="117"/>
      <c r="NUX46" s="117"/>
      <c r="NUY46" s="117"/>
      <c r="NUZ46" s="117"/>
      <c r="NVA46" s="117"/>
      <c r="NVB46" s="117"/>
      <c r="NVC46" s="117"/>
      <c r="NVD46" s="117"/>
      <c r="NVE46" s="117"/>
      <c r="NVF46" s="117"/>
      <c r="NVG46" s="117"/>
      <c r="NVH46" s="117"/>
      <c r="NVI46" s="117"/>
      <c r="NVJ46" s="117"/>
      <c r="NVK46" s="117"/>
      <c r="NVL46" s="117"/>
      <c r="NVM46" s="117"/>
      <c r="NVN46" s="117"/>
      <c r="NVO46" s="117"/>
      <c r="NVP46" s="117"/>
      <c r="NVQ46" s="117"/>
      <c r="NVR46" s="117"/>
      <c r="NVS46" s="117"/>
      <c r="NVT46" s="117"/>
      <c r="NVU46" s="117"/>
      <c r="NVV46" s="117"/>
      <c r="NVW46" s="117"/>
      <c r="NVX46" s="117"/>
      <c r="NVY46" s="117"/>
      <c r="NVZ46" s="117"/>
      <c r="NWA46" s="117"/>
      <c r="NWB46" s="117"/>
      <c r="NWC46" s="117"/>
      <c r="NWD46" s="117"/>
      <c r="NWE46" s="117"/>
      <c r="NWF46" s="117"/>
      <c r="NWG46" s="117"/>
      <c r="NWH46" s="117"/>
      <c r="NWI46" s="117"/>
      <c r="NWJ46" s="117"/>
      <c r="NWK46" s="117"/>
      <c r="NWL46" s="117"/>
      <c r="NWM46" s="117"/>
      <c r="NWN46" s="117"/>
      <c r="NWO46" s="117"/>
      <c r="NWP46" s="117"/>
      <c r="NWQ46" s="117"/>
      <c r="NWR46" s="117"/>
      <c r="NWS46" s="117"/>
      <c r="NWT46" s="117"/>
      <c r="NWU46" s="117"/>
      <c r="NWV46" s="117"/>
      <c r="NWW46" s="117"/>
      <c r="NWX46" s="117"/>
      <c r="NWY46" s="117"/>
      <c r="NWZ46" s="117"/>
      <c r="NXA46" s="117"/>
      <c r="NXB46" s="117"/>
      <c r="NXC46" s="117"/>
      <c r="NXD46" s="117"/>
      <c r="NXE46" s="117"/>
      <c r="NXF46" s="117"/>
      <c r="NXG46" s="117"/>
      <c r="NXH46" s="117"/>
      <c r="NXI46" s="117"/>
      <c r="NXJ46" s="117"/>
      <c r="NXK46" s="117"/>
      <c r="NXL46" s="117"/>
      <c r="NXM46" s="117"/>
      <c r="NXN46" s="117"/>
      <c r="NXO46" s="117"/>
      <c r="NXP46" s="117"/>
      <c r="NXQ46" s="117"/>
      <c r="NXR46" s="117"/>
      <c r="NXS46" s="117"/>
      <c r="NXT46" s="117"/>
      <c r="NXU46" s="117"/>
      <c r="NXV46" s="117"/>
      <c r="NXW46" s="117"/>
      <c r="NXX46" s="117"/>
      <c r="NXY46" s="117"/>
      <c r="NXZ46" s="117"/>
      <c r="NYA46" s="117"/>
      <c r="NYB46" s="117"/>
      <c r="NYC46" s="117"/>
      <c r="NYD46" s="117"/>
      <c r="NYE46" s="117"/>
      <c r="NYF46" s="117"/>
      <c r="NYG46" s="117"/>
      <c r="NYH46" s="117"/>
      <c r="NYI46" s="117"/>
      <c r="NYJ46" s="117"/>
      <c r="NYK46" s="117"/>
      <c r="NYL46" s="117"/>
      <c r="NYM46" s="117"/>
      <c r="NYN46" s="117"/>
      <c r="NYO46" s="117"/>
      <c r="NYP46" s="117"/>
      <c r="NYQ46" s="117"/>
      <c r="NYR46" s="117"/>
      <c r="NYS46" s="117"/>
      <c r="NYT46" s="117"/>
      <c r="NYU46" s="117"/>
      <c r="NYV46" s="117"/>
      <c r="NYW46" s="117"/>
      <c r="NYX46" s="117"/>
      <c r="NYY46" s="117"/>
      <c r="NYZ46" s="117"/>
      <c r="NZA46" s="117"/>
      <c r="NZB46" s="117"/>
      <c r="NZC46" s="117"/>
      <c r="NZD46" s="117"/>
      <c r="NZE46" s="117"/>
      <c r="NZF46" s="117"/>
      <c r="NZG46" s="117"/>
      <c r="NZH46" s="117"/>
      <c r="NZI46" s="117"/>
      <c r="NZJ46" s="117"/>
      <c r="NZK46" s="117"/>
      <c r="NZL46" s="117"/>
      <c r="NZM46" s="117"/>
      <c r="NZN46" s="117"/>
      <c r="NZO46" s="117"/>
      <c r="NZP46" s="117"/>
      <c r="NZQ46" s="117"/>
      <c r="NZR46" s="117"/>
      <c r="NZS46" s="117"/>
      <c r="NZT46" s="117"/>
      <c r="NZU46" s="117"/>
      <c r="NZV46" s="117"/>
      <c r="NZW46" s="117"/>
      <c r="NZX46" s="117"/>
      <c r="NZY46" s="117"/>
      <c r="NZZ46" s="117"/>
      <c r="OAA46" s="117"/>
      <c r="OAB46" s="117"/>
      <c r="OAC46" s="117"/>
      <c r="OAD46" s="117"/>
      <c r="OAE46" s="117"/>
      <c r="OAF46" s="117"/>
      <c r="OAG46" s="117"/>
      <c r="OAH46" s="117"/>
      <c r="OAI46" s="117"/>
      <c r="OAJ46" s="117"/>
      <c r="OAK46" s="117"/>
      <c r="OAL46" s="117"/>
      <c r="OAM46" s="117"/>
      <c r="OAN46" s="117"/>
      <c r="OAO46" s="117"/>
      <c r="OAP46" s="117"/>
      <c r="OAQ46" s="117"/>
      <c r="OAR46" s="117"/>
      <c r="OAS46" s="117"/>
      <c r="OAT46" s="117"/>
      <c r="OAU46" s="117"/>
      <c r="OAV46" s="117"/>
      <c r="OAW46" s="117"/>
      <c r="OAX46" s="117"/>
      <c r="OAY46" s="117"/>
      <c r="OAZ46" s="117"/>
      <c r="OBA46" s="117"/>
      <c r="OBB46" s="117"/>
      <c r="OBC46" s="117"/>
      <c r="OBD46" s="117"/>
      <c r="OBE46" s="117"/>
      <c r="OBF46" s="117"/>
      <c r="OBG46" s="117"/>
      <c r="OBH46" s="117"/>
      <c r="OBI46" s="117"/>
      <c r="OBJ46" s="117"/>
      <c r="OBK46" s="117"/>
      <c r="OBL46" s="117"/>
      <c r="OBM46" s="117"/>
      <c r="OBN46" s="117"/>
      <c r="OBO46" s="117"/>
      <c r="OBP46" s="117"/>
      <c r="OBQ46" s="117"/>
      <c r="OBR46" s="117"/>
      <c r="OBS46" s="117"/>
      <c r="OBT46" s="117"/>
      <c r="OBU46" s="117"/>
      <c r="OBV46" s="117"/>
      <c r="OBW46" s="117"/>
      <c r="OBX46" s="117"/>
      <c r="OBY46" s="117"/>
      <c r="OBZ46" s="117"/>
      <c r="OCA46" s="117"/>
      <c r="OCB46" s="117"/>
      <c r="OCC46" s="117"/>
      <c r="OCD46" s="117"/>
      <c r="OCE46" s="117"/>
      <c r="OCF46" s="117"/>
      <c r="OCG46" s="117"/>
      <c r="OCH46" s="117"/>
      <c r="OCI46" s="117"/>
      <c r="OCJ46" s="117"/>
      <c r="OCK46" s="117"/>
      <c r="OCL46" s="117"/>
      <c r="OCM46" s="117"/>
      <c r="OCN46" s="117"/>
      <c r="OCO46" s="117"/>
      <c r="OCP46" s="117"/>
      <c r="OCQ46" s="117"/>
      <c r="OCR46" s="117"/>
      <c r="OCS46" s="117"/>
      <c r="OCT46" s="117"/>
      <c r="OCU46" s="117"/>
      <c r="OCV46" s="117"/>
      <c r="OCW46" s="117"/>
      <c r="OCX46" s="117"/>
      <c r="OCY46" s="117"/>
      <c r="OCZ46" s="117"/>
      <c r="ODA46" s="117"/>
      <c r="ODB46" s="117"/>
      <c r="ODC46" s="117"/>
      <c r="ODD46" s="117"/>
      <c r="ODE46" s="117"/>
      <c r="ODF46" s="117"/>
      <c r="ODG46" s="117"/>
      <c r="ODH46" s="117"/>
      <c r="ODI46" s="117"/>
      <c r="ODJ46" s="117"/>
      <c r="ODK46" s="117"/>
      <c r="ODL46" s="117"/>
      <c r="ODM46" s="117"/>
      <c r="ODN46" s="117"/>
      <c r="ODO46" s="117"/>
      <c r="ODP46" s="117"/>
      <c r="ODQ46" s="117"/>
      <c r="ODR46" s="117"/>
      <c r="ODS46" s="117"/>
      <c r="ODT46" s="117"/>
      <c r="ODU46" s="117"/>
      <c r="ODV46" s="117"/>
      <c r="ODW46" s="117"/>
      <c r="ODX46" s="117"/>
      <c r="ODY46" s="117"/>
      <c r="ODZ46" s="117"/>
      <c r="OEA46" s="117"/>
      <c r="OEB46" s="117"/>
      <c r="OEC46" s="117"/>
      <c r="OED46" s="117"/>
      <c r="OEE46" s="117"/>
      <c r="OEF46" s="117"/>
      <c r="OEG46" s="117"/>
      <c r="OEH46" s="117"/>
      <c r="OEI46" s="117"/>
      <c r="OEJ46" s="117"/>
      <c r="OEK46" s="117"/>
      <c r="OEL46" s="117"/>
      <c r="OEM46" s="117"/>
      <c r="OEN46" s="117"/>
      <c r="OEO46" s="117"/>
      <c r="OEP46" s="117"/>
      <c r="OEQ46" s="117"/>
      <c r="OER46" s="117"/>
      <c r="OES46" s="117"/>
      <c r="OET46" s="117"/>
      <c r="OEU46" s="117"/>
      <c r="OEV46" s="117"/>
      <c r="OEW46" s="117"/>
      <c r="OEX46" s="117"/>
      <c r="OEY46" s="117"/>
      <c r="OEZ46" s="117"/>
      <c r="OFA46" s="117"/>
      <c r="OFB46" s="117"/>
      <c r="OFC46" s="117"/>
      <c r="OFD46" s="117"/>
      <c r="OFE46" s="117"/>
      <c r="OFF46" s="117"/>
      <c r="OFG46" s="117"/>
      <c r="OFH46" s="117"/>
      <c r="OFI46" s="117"/>
      <c r="OFJ46" s="117"/>
      <c r="OFK46" s="117"/>
      <c r="OFL46" s="117"/>
      <c r="OFM46" s="117"/>
      <c r="OFN46" s="117"/>
      <c r="OFO46" s="117"/>
      <c r="OFP46" s="117"/>
      <c r="OFQ46" s="117"/>
      <c r="OFR46" s="117"/>
      <c r="OFS46" s="117"/>
      <c r="OFT46" s="117"/>
      <c r="OFU46" s="117"/>
      <c r="OFV46" s="117"/>
      <c r="OFW46" s="117"/>
      <c r="OFX46" s="117"/>
      <c r="OFY46" s="117"/>
      <c r="OFZ46" s="117"/>
      <c r="OGA46" s="117"/>
      <c r="OGB46" s="117"/>
      <c r="OGC46" s="117"/>
      <c r="OGD46" s="117"/>
      <c r="OGE46" s="117"/>
      <c r="OGF46" s="117"/>
      <c r="OGG46" s="117"/>
      <c r="OGH46" s="117"/>
      <c r="OGI46" s="117"/>
      <c r="OGJ46" s="117"/>
      <c r="OGK46" s="117"/>
      <c r="OGL46" s="117"/>
      <c r="OGM46" s="117"/>
      <c r="OGN46" s="117"/>
      <c r="OGO46" s="117"/>
      <c r="OGP46" s="117"/>
      <c r="OGQ46" s="117"/>
      <c r="OGR46" s="117"/>
      <c r="OGS46" s="117"/>
      <c r="OGT46" s="117"/>
      <c r="OGU46" s="117"/>
      <c r="OGV46" s="117"/>
      <c r="OGW46" s="117"/>
      <c r="OGX46" s="117"/>
      <c r="OGY46" s="117"/>
      <c r="OGZ46" s="117"/>
      <c r="OHA46" s="117"/>
      <c r="OHB46" s="117"/>
      <c r="OHC46" s="117"/>
      <c r="OHD46" s="117"/>
      <c r="OHE46" s="117"/>
      <c r="OHF46" s="117"/>
      <c r="OHG46" s="117"/>
      <c r="OHH46" s="117"/>
      <c r="OHI46" s="117"/>
      <c r="OHJ46" s="117"/>
      <c r="OHK46" s="117"/>
      <c r="OHL46" s="117"/>
      <c r="OHM46" s="117"/>
      <c r="OHN46" s="117"/>
      <c r="OHO46" s="117"/>
      <c r="OHP46" s="117"/>
      <c r="OHQ46" s="117"/>
      <c r="OHR46" s="117"/>
      <c r="OHS46" s="117"/>
      <c r="OHT46" s="117"/>
      <c r="OHU46" s="117"/>
      <c r="OHV46" s="117"/>
      <c r="OHW46" s="117"/>
      <c r="OHX46" s="117"/>
      <c r="OHY46" s="117"/>
      <c r="OHZ46" s="117"/>
      <c r="OIA46" s="117"/>
      <c r="OIB46" s="117"/>
      <c r="OIC46" s="117"/>
      <c r="OID46" s="117"/>
      <c r="OIE46" s="117"/>
      <c r="OIF46" s="117"/>
      <c r="OIG46" s="117"/>
      <c r="OIH46" s="117"/>
      <c r="OII46" s="117"/>
      <c r="OIJ46" s="117"/>
      <c r="OIK46" s="117"/>
      <c r="OIL46" s="117"/>
      <c r="OIM46" s="117"/>
      <c r="OIN46" s="117"/>
      <c r="OIO46" s="117"/>
      <c r="OIP46" s="117"/>
      <c r="OIQ46" s="117"/>
      <c r="OIR46" s="117"/>
      <c r="OIS46" s="117"/>
      <c r="OIT46" s="117"/>
      <c r="OIU46" s="117"/>
      <c r="OIV46" s="117"/>
      <c r="OIW46" s="117"/>
      <c r="OIX46" s="117"/>
      <c r="OIY46" s="117"/>
      <c r="OIZ46" s="117"/>
      <c r="OJA46" s="117"/>
      <c r="OJB46" s="117"/>
      <c r="OJC46" s="117"/>
      <c r="OJD46" s="117"/>
      <c r="OJE46" s="117"/>
      <c r="OJF46" s="117"/>
      <c r="OJG46" s="117"/>
      <c r="OJH46" s="117"/>
      <c r="OJI46" s="117"/>
      <c r="OJJ46" s="117"/>
      <c r="OJK46" s="117"/>
      <c r="OJL46" s="117"/>
      <c r="OJM46" s="117"/>
      <c r="OJN46" s="117"/>
      <c r="OJO46" s="117"/>
      <c r="OJP46" s="117"/>
      <c r="OJQ46" s="117"/>
      <c r="OJR46" s="117"/>
      <c r="OJS46" s="117"/>
      <c r="OJT46" s="117"/>
      <c r="OJU46" s="117"/>
      <c r="OJV46" s="117"/>
      <c r="OJW46" s="117"/>
      <c r="OJX46" s="117"/>
      <c r="OJY46" s="117"/>
      <c r="OJZ46" s="117"/>
      <c r="OKA46" s="117"/>
      <c r="OKB46" s="117"/>
      <c r="OKC46" s="117"/>
      <c r="OKD46" s="117"/>
      <c r="OKE46" s="117"/>
      <c r="OKF46" s="117"/>
      <c r="OKG46" s="117"/>
      <c r="OKH46" s="117"/>
      <c r="OKI46" s="117"/>
      <c r="OKJ46" s="117"/>
      <c r="OKK46" s="117"/>
      <c r="OKL46" s="117"/>
      <c r="OKM46" s="117"/>
      <c r="OKN46" s="117"/>
      <c r="OKO46" s="117"/>
      <c r="OKP46" s="117"/>
      <c r="OKQ46" s="117"/>
      <c r="OKR46" s="117"/>
      <c r="OKS46" s="117"/>
      <c r="OKT46" s="117"/>
      <c r="OKU46" s="117"/>
      <c r="OKV46" s="117"/>
      <c r="OKW46" s="117"/>
      <c r="OKX46" s="117"/>
      <c r="OKY46" s="117"/>
      <c r="OKZ46" s="117"/>
      <c r="OLA46" s="117"/>
      <c r="OLB46" s="117"/>
      <c r="OLC46" s="117"/>
      <c r="OLD46" s="117"/>
      <c r="OLE46" s="117"/>
      <c r="OLF46" s="117"/>
      <c r="OLG46" s="117"/>
      <c r="OLH46" s="117"/>
      <c r="OLI46" s="117"/>
      <c r="OLJ46" s="117"/>
      <c r="OLK46" s="117"/>
      <c r="OLL46" s="117"/>
      <c r="OLM46" s="117"/>
      <c r="OLN46" s="117"/>
      <c r="OLO46" s="117"/>
      <c r="OLP46" s="117"/>
      <c r="OLQ46" s="117"/>
      <c r="OLR46" s="117"/>
      <c r="OLS46" s="117"/>
      <c r="OLT46" s="117"/>
      <c r="OLU46" s="117"/>
      <c r="OLV46" s="117"/>
      <c r="OLW46" s="117"/>
      <c r="OLX46" s="117"/>
      <c r="OLY46" s="117"/>
      <c r="OLZ46" s="117"/>
      <c r="OMA46" s="117"/>
      <c r="OMB46" s="117"/>
      <c r="OMC46" s="117"/>
      <c r="OMD46" s="117"/>
      <c r="OME46" s="117"/>
      <c r="OMF46" s="117"/>
      <c r="OMG46" s="117"/>
      <c r="OMH46" s="117"/>
      <c r="OMI46" s="117"/>
      <c r="OMJ46" s="117"/>
      <c r="OMK46" s="117"/>
      <c r="OML46" s="117"/>
      <c r="OMM46" s="117"/>
      <c r="OMN46" s="117"/>
      <c r="OMO46" s="117"/>
      <c r="OMP46" s="117"/>
      <c r="OMQ46" s="117"/>
      <c r="OMR46" s="117"/>
      <c r="OMS46" s="117"/>
      <c r="OMT46" s="117"/>
      <c r="OMU46" s="117"/>
      <c r="OMV46" s="117"/>
      <c r="OMW46" s="117"/>
      <c r="OMX46" s="117"/>
      <c r="OMY46" s="117"/>
      <c r="OMZ46" s="117"/>
      <c r="ONA46" s="117"/>
      <c r="ONB46" s="117"/>
      <c r="ONC46" s="117"/>
      <c r="OND46" s="117"/>
      <c r="ONE46" s="117"/>
      <c r="ONF46" s="117"/>
      <c r="ONG46" s="117"/>
      <c r="ONH46" s="117"/>
      <c r="ONI46" s="117"/>
      <c r="ONJ46" s="117"/>
      <c r="ONK46" s="117"/>
      <c r="ONL46" s="117"/>
      <c r="ONM46" s="117"/>
      <c r="ONN46" s="117"/>
      <c r="ONO46" s="117"/>
      <c r="ONP46" s="117"/>
      <c r="ONQ46" s="117"/>
      <c r="ONR46" s="117"/>
      <c r="ONS46" s="117"/>
      <c r="ONT46" s="117"/>
      <c r="ONU46" s="117"/>
      <c r="ONV46" s="117"/>
      <c r="ONW46" s="117"/>
      <c r="ONX46" s="117"/>
      <c r="ONY46" s="117"/>
      <c r="ONZ46" s="117"/>
      <c r="OOA46" s="117"/>
      <c r="OOB46" s="117"/>
      <c r="OOC46" s="117"/>
      <c r="OOD46" s="117"/>
      <c r="OOE46" s="117"/>
      <c r="OOF46" s="117"/>
      <c r="OOG46" s="117"/>
      <c r="OOH46" s="117"/>
      <c r="OOI46" s="117"/>
      <c r="OOJ46" s="117"/>
      <c r="OOK46" s="117"/>
      <c r="OOL46" s="117"/>
      <c r="OOM46" s="117"/>
      <c r="OON46" s="117"/>
      <c r="OOO46" s="117"/>
      <c r="OOP46" s="117"/>
      <c r="OOQ46" s="117"/>
      <c r="OOR46" s="117"/>
      <c r="OOS46" s="117"/>
      <c r="OOT46" s="117"/>
      <c r="OOU46" s="117"/>
      <c r="OOV46" s="117"/>
      <c r="OOW46" s="117"/>
      <c r="OOX46" s="117"/>
      <c r="OOY46" s="117"/>
      <c r="OOZ46" s="117"/>
      <c r="OPA46" s="117"/>
      <c r="OPB46" s="117"/>
      <c r="OPC46" s="117"/>
      <c r="OPD46" s="117"/>
      <c r="OPE46" s="117"/>
      <c r="OPF46" s="117"/>
      <c r="OPG46" s="117"/>
      <c r="OPH46" s="117"/>
      <c r="OPI46" s="117"/>
      <c r="OPJ46" s="117"/>
      <c r="OPK46" s="117"/>
      <c r="OPL46" s="117"/>
      <c r="OPM46" s="117"/>
      <c r="OPN46" s="117"/>
      <c r="OPO46" s="117"/>
      <c r="OPP46" s="117"/>
      <c r="OPQ46" s="117"/>
      <c r="OPR46" s="117"/>
      <c r="OPS46" s="117"/>
      <c r="OPT46" s="117"/>
      <c r="OPU46" s="117"/>
      <c r="OPV46" s="117"/>
      <c r="OPW46" s="117"/>
      <c r="OPX46" s="117"/>
      <c r="OPY46" s="117"/>
      <c r="OPZ46" s="117"/>
      <c r="OQA46" s="117"/>
      <c r="OQB46" s="117"/>
      <c r="OQC46" s="117"/>
      <c r="OQD46" s="117"/>
      <c r="OQE46" s="117"/>
      <c r="OQF46" s="117"/>
      <c r="OQG46" s="117"/>
      <c r="OQH46" s="117"/>
      <c r="OQI46" s="117"/>
      <c r="OQJ46" s="117"/>
      <c r="OQK46" s="117"/>
      <c r="OQL46" s="117"/>
      <c r="OQM46" s="117"/>
      <c r="OQN46" s="117"/>
      <c r="OQO46" s="117"/>
      <c r="OQP46" s="117"/>
      <c r="OQQ46" s="117"/>
      <c r="OQR46" s="117"/>
      <c r="OQS46" s="117"/>
      <c r="OQT46" s="117"/>
      <c r="OQU46" s="117"/>
      <c r="OQV46" s="117"/>
      <c r="OQW46" s="117"/>
      <c r="OQX46" s="117"/>
      <c r="OQY46" s="117"/>
      <c r="OQZ46" s="117"/>
      <c r="ORA46" s="117"/>
      <c r="ORB46" s="117"/>
      <c r="ORC46" s="117"/>
      <c r="ORD46" s="117"/>
      <c r="ORE46" s="117"/>
      <c r="ORF46" s="117"/>
      <c r="ORG46" s="117"/>
      <c r="ORH46" s="117"/>
      <c r="ORI46" s="117"/>
      <c r="ORJ46" s="117"/>
      <c r="ORK46" s="117"/>
      <c r="ORL46" s="117"/>
      <c r="ORM46" s="117"/>
      <c r="ORN46" s="117"/>
      <c r="ORO46" s="117"/>
      <c r="ORP46" s="117"/>
      <c r="ORQ46" s="117"/>
      <c r="ORR46" s="117"/>
      <c r="ORS46" s="117"/>
      <c r="ORT46" s="117"/>
      <c r="ORU46" s="117"/>
      <c r="ORV46" s="117"/>
      <c r="ORW46" s="117"/>
      <c r="ORX46" s="117"/>
      <c r="ORY46" s="117"/>
      <c r="ORZ46" s="117"/>
      <c r="OSA46" s="117"/>
      <c r="OSB46" s="117"/>
      <c r="OSC46" s="117"/>
      <c r="OSD46" s="117"/>
      <c r="OSE46" s="117"/>
      <c r="OSF46" s="117"/>
      <c r="OSG46" s="117"/>
      <c r="OSH46" s="117"/>
      <c r="OSI46" s="117"/>
      <c r="OSJ46" s="117"/>
      <c r="OSK46" s="117"/>
      <c r="OSL46" s="117"/>
      <c r="OSM46" s="117"/>
      <c r="OSN46" s="117"/>
      <c r="OSO46" s="117"/>
      <c r="OSP46" s="117"/>
      <c r="OSQ46" s="117"/>
      <c r="OSR46" s="117"/>
      <c r="OSS46" s="117"/>
      <c r="OST46" s="117"/>
      <c r="OSU46" s="117"/>
      <c r="OSV46" s="117"/>
      <c r="OSW46" s="117"/>
      <c r="OSX46" s="117"/>
      <c r="OSY46" s="117"/>
      <c r="OSZ46" s="117"/>
      <c r="OTA46" s="117"/>
      <c r="OTB46" s="117"/>
      <c r="OTC46" s="117"/>
      <c r="OTD46" s="117"/>
      <c r="OTE46" s="117"/>
      <c r="OTF46" s="117"/>
      <c r="OTG46" s="117"/>
      <c r="OTH46" s="117"/>
      <c r="OTI46" s="117"/>
      <c r="OTJ46" s="117"/>
      <c r="OTK46" s="117"/>
      <c r="OTL46" s="117"/>
      <c r="OTM46" s="117"/>
      <c r="OTN46" s="117"/>
      <c r="OTO46" s="117"/>
      <c r="OTP46" s="117"/>
      <c r="OTQ46" s="117"/>
      <c r="OTR46" s="117"/>
      <c r="OTS46" s="117"/>
      <c r="OTT46" s="117"/>
      <c r="OTU46" s="117"/>
      <c r="OTV46" s="117"/>
      <c r="OTW46" s="117"/>
      <c r="OTX46" s="117"/>
      <c r="OTY46" s="117"/>
      <c r="OTZ46" s="117"/>
      <c r="OUA46" s="117"/>
      <c r="OUB46" s="117"/>
      <c r="OUC46" s="117"/>
      <c r="OUD46" s="117"/>
      <c r="OUE46" s="117"/>
      <c r="OUF46" s="117"/>
      <c r="OUG46" s="117"/>
      <c r="OUH46" s="117"/>
      <c r="OUI46" s="117"/>
      <c r="OUJ46" s="117"/>
      <c r="OUK46" s="117"/>
      <c r="OUL46" s="117"/>
      <c r="OUM46" s="117"/>
      <c r="OUN46" s="117"/>
      <c r="OUO46" s="117"/>
      <c r="OUP46" s="117"/>
      <c r="OUQ46" s="117"/>
      <c r="OUR46" s="117"/>
      <c r="OUS46" s="117"/>
      <c r="OUT46" s="117"/>
      <c r="OUU46" s="117"/>
      <c r="OUV46" s="117"/>
      <c r="OUW46" s="117"/>
      <c r="OUX46" s="117"/>
      <c r="OUY46" s="117"/>
      <c r="OUZ46" s="117"/>
      <c r="OVA46" s="117"/>
      <c r="OVB46" s="117"/>
      <c r="OVC46" s="117"/>
      <c r="OVD46" s="117"/>
      <c r="OVE46" s="117"/>
      <c r="OVF46" s="117"/>
      <c r="OVG46" s="117"/>
      <c r="OVH46" s="117"/>
      <c r="OVI46" s="117"/>
      <c r="OVJ46" s="117"/>
      <c r="OVK46" s="117"/>
      <c r="OVL46" s="117"/>
      <c r="OVM46" s="117"/>
      <c r="OVN46" s="117"/>
      <c r="OVO46" s="117"/>
      <c r="OVP46" s="117"/>
      <c r="OVQ46" s="117"/>
      <c r="OVR46" s="117"/>
      <c r="OVS46" s="117"/>
      <c r="OVT46" s="117"/>
      <c r="OVU46" s="117"/>
      <c r="OVV46" s="117"/>
      <c r="OVW46" s="117"/>
      <c r="OVX46" s="117"/>
      <c r="OVY46" s="117"/>
      <c r="OVZ46" s="117"/>
      <c r="OWA46" s="117"/>
      <c r="OWB46" s="117"/>
      <c r="OWC46" s="117"/>
      <c r="OWD46" s="117"/>
      <c r="OWE46" s="117"/>
      <c r="OWF46" s="117"/>
      <c r="OWG46" s="117"/>
      <c r="OWH46" s="117"/>
      <c r="OWI46" s="117"/>
      <c r="OWJ46" s="117"/>
      <c r="OWK46" s="117"/>
      <c r="OWL46" s="117"/>
      <c r="OWM46" s="117"/>
      <c r="OWN46" s="117"/>
      <c r="OWO46" s="117"/>
      <c r="OWP46" s="117"/>
      <c r="OWQ46" s="117"/>
      <c r="OWR46" s="117"/>
      <c r="OWS46" s="117"/>
      <c r="OWT46" s="117"/>
      <c r="OWU46" s="117"/>
      <c r="OWV46" s="117"/>
      <c r="OWW46" s="117"/>
      <c r="OWX46" s="117"/>
      <c r="OWY46" s="117"/>
      <c r="OWZ46" s="117"/>
      <c r="OXA46" s="117"/>
      <c r="OXB46" s="117"/>
      <c r="OXC46" s="117"/>
      <c r="OXD46" s="117"/>
      <c r="OXE46" s="117"/>
      <c r="OXF46" s="117"/>
      <c r="OXG46" s="117"/>
      <c r="OXH46" s="117"/>
      <c r="OXI46" s="117"/>
      <c r="OXJ46" s="117"/>
      <c r="OXK46" s="117"/>
      <c r="OXL46" s="117"/>
      <c r="OXM46" s="117"/>
      <c r="OXN46" s="117"/>
      <c r="OXO46" s="117"/>
      <c r="OXP46" s="117"/>
      <c r="OXQ46" s="117"/>
      <c r="OXR46" s="117"/>
      <c r="OXS46" s="117"/>
      <c r="OXT46" s="117"/>
      <c r="OXU46" s="117"/>
      <c r="OXV46" s="117"/>
      <c r="OXW46" s="117"/>
      <c r="OXX46" s="117"/>
      <c r="OXY46" s="117"/>
      <c r="OXZ46" s="117"/>
      <c r="OYA46" s="117"/>
      <c r="OYB46" s="117"/>
      <c r="OYC46" s="117"/>
      <c r="OYD46" s="117"/>
      <c r="OYE46" s="117"/>
      <c r="OYF46" s="117"/>
      <c r="OYG46" s="117"/>
      <c r="OYH46" s="117"/>
      <c r="OYI46" s="117"/>
      <c r="OYJ46" s="117"/>
      <c r="OYK46" s="117"/>
      <c r="OYL46" s="117"/>
      <c r="OYM46" s="117"/>
      <c r="OYN46" s="117"/>
      <c r="OYO46" s="117"/>
      <c r="OYP46" s="117"/>
      <c r="OYQ46" s="117"/>
      <c r="OYR46" s="117"/>
      <c r="OYS46" s="117"/>
      <c r="OYT46" s="117"/>
      <c r="OYU46" s="117"/>
      <c r="OYV46" s="117"/>
      <c r="OYW46" s="117"/>
      <c r="OYX46" s="117"/>
      <c r="OYY46" s="117"/>
      <c r="OYZ46" s="117"/>
      <c r="OZA46" s="117"/>
      <c r="OZB46" s="117"/>
      <c r="OZC46" s="117"/>
      <c r="OZD46" s="117"/>
      <c r="OZE46" s="117"/>
      <c r="OZF46" s="117"/>
      <c r="OZG46" s="117"/>
      <c r="OZH46" s="117"/>
      <c r="OZI46" s="117"/>
      <c r="OZJ46" s="117"/>
      <c r="OZK46" s="117"/>
      <c r="OZL46" s="117"/>
      <c r="OZM46" s="117"/>
      <c r="OZN46" s="117"/>
      <c r="OZO46" s="117"/>
      <c r="OZP46" s="117"/>
      <c r="OZQ46" s="117"/>
      <c r="OZR46" s="117"/>
      <c r="OZS46" s="117"/>
      <c r="OZT46" s="117"/>
      <c r="OZU46" s="117"/>
      <c r="OZV46" s="117"/>
      <c r="OZW46" s="117"/>
      <c r="OZX46" s="117"/>
      <c r="OZY46" s="117"/>
      <c r="OZZ46" s="117"/>
      <c r="PAA46" s="117"/>
      <c r="PAB46" s="117"/>
      <c r="PAC46" s="117"/>
      <c r="PAD46" s="117"/>
      <c r="PAE46" s="117"/>
      <c r="PAF46" s="117"/>
      <c r="PAG46" s="117"/>
      <c r="PAH46" s="117"/>
      <c r="PAI46" s="117"/>
      <c r="PAJ46" s="117"/>
      <c r="PAK46" s="117"/>
      <c r="PAL46" s="117"/>
      <c r="PAM46" s="117"/>
      <c r="PAN46" s="117"/>
      <c r="PAO46" s="117"/>
      <c r="PAP46" s="117"/>
      <c r="PAQ46" s="117"/>
      <c r="PAR46" s="117"/>
      <c r="PAS46" s="117"/>
      <c r="PAT46" s="117"/>
      <c r="PAU46" s="117"/>
      <c r="PAV46" s="117"/>
      <c r="PAW46" s="117"/>
      <c r="PAX46" s="117"/>
      <c r="PAY46" s="117"/>
      <c r="PAZ46" s="117"/>
      <c r="PBA46" s="117"/>
      <c r="PBB46" s="117"/>
      <c r="PBC46" s="117"/>
      <c r="PBD46" s="117"/>
      <c r="PBE46" s="117"/>
      <c r="PBF46" s="117"/>
      <c r="PBG46" s="117"/>
      <c r="PBH46" s="117"/>
      <c r="PBI46" s="117"/>
      <c r="PBJ46" s="117"/>
      <c r="PBK46" s="117"/>
      <c r="PBL46" s="117"/>
      <c r="PBM46" s="117"/>
      <c r="PBN46" s="117"/>
      <c r="PBO46" s="117"/>
      <c r="PBP46" s="117"/>
      <c r="PBQ46" s="117"/>
      <c r="PBR46" s="117"/>
      <c r="PBS46" s="117"/>
      <c r="PBT46" s="117"/>
      <c r="PBU46" s="117"/>
      <c r="PBV46" s="117"/>
      <c r="PBW46" s="117"/>
      <c r="PBX46" s="117"/>
      <c r="PBY46" s="117"/>
      <c r="PBZ46" s="117"/>
      <c r="PCA46" s="117"/>
      <c r="PCB46" s="117"/>
      <c r="PCC46" s="117"/>
      <c r="PCD46" s="117"/>
      <c r="PCE46" s="117"/>
      <c r="PCF46" s="117"/>
      <c r="PCG46" s="117"/>
      <c r="PCH46" s="117"/>
      <c r="PCI46" s="117"/>
      <c r="PCJ46" s="117"/>
      <c r="PCK46" s="117"/>
      <c r="PCL46" s="117"/>
      <c r="PCM46" s="117"/>
      <c r="PCN46" s="117"/>
      <c r="PCO46" s="117"/>
      <c r="PCP46" s="117"/>
      <c r="PCQ46" s="117"/>
      <c r="PCR46" s="117"/>
      <c r="PCS46" s="117"/>
      <c r="PCT46" s="117"/>
      <c r="PCU46" s="117"/>
      <c r="PCV46" s="117"/>
      <c r="PCW46" s="117"/>
      <c r="PCX46" s="117"/>
      <c r="PCY46" s="117"/>
      <c r="PCZ46" s="117"/>
      <c r="PDA46" s="117"/>
      <c r="PDB46" s="117"/>
      <c r="PDC46" s="117"/>
      <c r="PDD46" s="117"/>
      <c r="PDE46" s="117"/>
      <c r="PDF46" s="117"/>
      <c r="PDG46" s="117"/>
      <c r="PDH46" s="117"/>
      <c r="PDI46" s="117"/>
      <c r="PDJ46" s="117"/>
      <c r="PDK46" s="117"/>
      <c r="PDL46" s="117"/>
      <c r="PDM46" s="117"/>
      <c r="PDN46" s="117"/>
      <c r="PDO46" s="117"/>
      <c r="PDP46" s="117"/>
      <c r="PDQ46" s="117"/>
      <c r="PDR46" s="117"/>
      <c r="PDS46" s="117"/>
      <c r="PDT46" s="117"/>
      <c r="PDU46" s="117"/>
      <c r="PDV46" s="117"/>
      <c r="PDW46" s="117"/>
      <c r="PDX46" s="117"/>
      <c r="PDY46" s="117"/>
      <c r="PDZ46" s="117"/>
      <c r="PEA46" s="117"/>
      <c r="PEB46" s="117"/>
      <c r="PEC46" s="117"/>
      <c r="PED46" s="117"/>
      <c r="PEE46" s="117"/>
      <c r="PEF46" s="117"/>
      <c r="PEG46" s="117"/>
      <c r="PEH46" s="117"/>
      <c r="PEI46" s="117"/>
      <c r="PEJ46" s="117"/>
      <c r="PEK46" s="117"/>
      <c r="PEL46" s="117"/>
      <c r="PEM46" s="117"/>
      <c r="PEN46" s="117"/>
      <c r="PEO46" s="117"/>
      <c r="PEP46" s="117"/>
      <c r="PEQ46" s="117"/>
      <c r="PER46" s="117"/>
      <c r="PES46" s="117"/>
      <c r="PET46" s="117"/>
      <c r="PEU46" s="117"/>
      <c r="PEV46" s="117"/>
      <c r="PEW46" s="117"/>
      <c r="PEX46" s="117"/>
      <c r="PEY46" s="117"/>
      <c r="PEZ46" s="117"/>
      <c r="PFA46" s="117"/>
      <c r="PFB46" s="117"/>
      <c r="PFC46" s="117"/>
      <c r="PFD46" s="117"/>
      <c r="PFE46" s="117"/>
      <c r="PFF46" s="117"/>
      <c r="PFG46" s="117"/>
      <c r="PFH46" s="117"/>
      <c r="PFI46" s="117"/>
      <c r="PFJ46" s="117"/>
      <c r="PFK46" s="117"/>
      <c r="PFL46" s="117"/>
      <c r="PFM46" s="117"/>
      <c r="PFN46" s="117"/>
      <c r="PFO46" s="117"/>
      <c r="PFP46" s="117"/>
      <c r="PFQ46" s="117"/>
      <c r="PFR46" s="117"/>
      <c r="PFS46" s="117"/>
      <c r="PFT46" s="117"/>
      <c r="PFU46" s="117"/>
      <c r="PFV46" s="117"/>
      <c r="PFW46" s="117"/>
      <c r="PFX46" s="117"/>
      <c r="PFY46" s="117"/>
      <c r="PFZ46" s="117"/>
      <c r="PGA46" s="117"/>
      <c r="PGB46" s="117"/>
      <c r="PGC46" s="117"/>
      <c r="PGD46" s="117"/>
      <c r="PGE46" s="117"/>
      <c r="PGF46" s="117"/>
      <c r="PGG46" s="117"/>
      <c r="PGH46" s="117"/>
      <c r="PGI46" s="117"/>
      <c r="PGJ46" s="117"/>
      <c r="PGK46" s="117"/>
      <c r="PGL46" s="117"/>
      <c r="PGM46" s="117"/>
      <c r="PGN46" s="117"/>
      <c r="PGO46" s="117"/>
      <c r="PGP46" s="117"/>
      <c r="PGQ46" s="117"/>
      <c r="PGR46" s="117"/>
      <c r="PGS46" s="117"/>
      <c r="PGT46" s="117"/>
      <c r="PGU46" s="117"/>
      <c r="PGV46" s="117"/>
      <c r="PGW46" s="117"/>
      <c r="PGX46" s="117"/>
      <c r="PGY46" s="117"/>
      <c r="PGZ46" s="117"/>
      <c r="PHA46" s="117"/>
      <c r="PHB46" s="117"/>
      <c r="PHC46" s="117"/>
      <c r="PHD46" s="117"/>
      <c r="PHE46" s="117"/>
      <c r="PHF46" s="117"/>
      <c r="PHG46" s="117"/>
      <c r="PHH46" s="117"/>
      <c r="PHI46" s="117"/>
      <c r="PHJ46" s="117"/>
      <c r="PHK46" s="117"/>
      <c r="PHL46" s="117"/>
      <c r="PHM46" s="117"/>
      <c r="PHN46" s="117"/>
      <c r="PHO46" s="117"/>
      <c r="PHP46" s="117"/>
      <c r="PHQ46" s="117"/>
      <c r="PHR46" s="117"/>
      <c r="PHS46" s="117"/>
      <c r="PHT46" s="117"/>
      <c r="PHU46" s="117"/>
      <c r="PHV46" s="117"/>
      <c r="PHW46" s="117"/>
      <c r="PHX46" s="117"/>
      <c r="PHY46" s="117"/>
      <c r="PHZ46" s="117"/>
      <c r="PIA46" s="117"/>
      <c r="PIB46" s="117"/>
      <c r="PIC46" s="117"/>
      <c r="PID46" s="117"/>
      <c r="PIE46" s="117"/>
      <c r="PIF46" s="117"/>
      <c r="PIG46" s="117"/>
      <c r="PIH46" s="117"/>
      <c r="PII46" s="117"/>
      <c r="PIJ46" s="117"/>
      <c r="PIK46" s="117"/>
      <c r="PIL46" s="117"/>
      <c r="PIM46" s="117"/>
      <c r="PIN46" s="117"/>
      <c r="PIO46" s="117"/>
      <c r="PIP46" s="117"/>
      <c r="PIQ46" s="117"/>
      <c r="PIR46" s="117"/>
      <c r="PIS46" s="117"/>
      <c r="PIT46" s="117"/>
      <c r="PIU46" s="117"/>
      <c r="PIV46" s="117"/>
      <c r="PIW46" s="117"/>
      <c r="PIX46" s="117"/>
      <c r="PIY46" s="117"/>
      <c r="PIZ46" s="117"/>
      <c r="PJA46" s="117"/>
      <c r="PJB46" s="117"/>
      <c r="PJC46" s="117"/>
      <c r="PJD46" s="117"/>
      <c r="PJE46" s="117"/>
      <c r="PJF46" s="117"/>
      <c r="PJG46" s="117"/>
      <c r="PJH46" s="117"/>
      <c r="PJI46" s="117"/>
      <c r="PJJ46" s="117"/>
      <c r="PJK46" s="117"/>
      <c r="PJL46" s="117"/>
      <c r="PJM46" s="117"/>
      <c r="PJN46" s="117"/>
      <c r="PJO46" s="117"/>
      <c r="PJP46" s="117"/>
      <c r="PJQ46" s="117"/>
      <c r="PJR46" s="117"/>
      <c r="PJS46" s="117"/>
      <c r="PJT46" s="117"/>
      <c r="PJU46" s="117"/>
      <c r="PJV46" s="117"/>
      <c r="PJW46" s="117"/>
      <c r="PJX46" s="117"/>
      <c r="PJY46" s="117"/>
      <c r="PJZ46" s="117"/>
      <c r="PKA46" s="117"/>
      <c r="PKB46" s="117"/>
      <c r="PKC46" s="117"/>
      <c r="PKD46" s="117"/>
      <c r="PKE46" s="117"/>
      <c r="PKF46" s="117"/>
      <c r="PKG46" s="117"/>
      <c r="PKH46" s="117"/>
      <c r="PKI46" s="117"/>
      <c r="PKJ46" s="117"/>
      <c r="PKK46" s="117"/>
      <c r="PKL46" s="117"/>
      <c r="PKM46" s="117"/>
      <c r="PKN46" s="117"/>
      <c r="PKO46" s="117"/>
      <c r="PKP46" s="117"/>
      <c r="PKQ46" s="117"/>
      <c r="PKR46" s="117"/>
      <c r="PKS46" s="117"/>
      <c r="PKT46" s="117"/>
      <c r="PKU46" s="117"/>
      <c r="PKV46" s="117"/>
      <c r="PKW46" s="117"/>
      <c r="PKX46" s="117"/>
      <c r="PKY46" s="117"/>
      <c r="PKZ46" s="117"/>
      <c r="PLA46" s="117"/>
      <c r="PLB46" s="117"/>
      <c r="PLC46" s="117"/>
      <c r="PLD46" s="117"/>
      <c r="PLE46" s="117"/>
      <c r="PLF46" s="117"/>
      <c r="PLG46" s="117"/>
      <c r="PLH46" s="117"/>
      <c r="PLI46" s="117"/>
      <c r="PLJ46" s="117"/>
      <c r="PLK46" s="117"/>
      <c r="PLL46" s="117"/>
      <c r="PLM46" s="117"/>
      <c r="PLN46" s="117"/>
      <c r="PLO46" s="117"/>
      <c r="PLP46" s="117"/>
      <c r="PLQ46" s="117"/>
      <c r="PLR46" s="117"/>
      <c r="PLS46" s="117"/>
      <c r="PLT46" s="117"/>
      <c r="PLU46" s="117"/>
      <c r="PLV46" s="117"/>
      <c r="PLW46" s="117"/>
      <c r="PLX46" s="117"/>
      <c r="PLY46" s="117"/>
      <c r="PLZ46" s="117"/>
      <c r="PMA46" s="117"/>
      <c r="PMB46" s="117"/>
      <c r="PMC46" s="117"/>
      <c r="PMD46" s="117"/>
      <c r="PME46" s="117"/>
      <c r="PMF46" s="117"/>
      <c r="PMG46" s="117"/>
      <c r="PMH46" s="117"/>
      <c r="PMI46" s="117"/>
      <c r="PMJ46" s="117"/>
      <c r="PMK46" s="117"/>
      <c r="PML46" s="117"/>
      <c r="PMM46" s="117"/>
      <c r="PMN46" s="117"/>
      <c r="PMO46" s="117"/>
      <c r="PMP46" s="117"/>
      <c r="PMQ46" s="117"/>
      <c r="PMR46" s="117"/>
      <c r="PMS46" s="117"/>
      <c r="PMT46" s="117"/>
      <c r="PMU46" s="117"/>
      <c r="PMV46" s="117"/>
      <c r="PMW46" s="117"/>
      <c r="PMX46" s="117"/>
      <c r="PMY46" s="117"/>
      <c r="PMZ46" s="117"/>
      <c r="PNA46" s="117"/>
      <c r="PNB46" s="117"/>
      <c r="PNC46" s="117"/>
      <c r="PND46" s="117"/>
      <c r="PNE46" s="117"/>
      <c r="PNF46" s="117"/>
      <c r="PNG46" s="117"/>
      <c r="PNH46" s="117"/>
      <c r="PNI46" s="117"/>
      <c r="PNJ46" s="117"/>
      <c r="PNK46" s="117"/>
      <c r="PNL46" s="117"/>
      <c r="PNM46" s="117"/>
      <c r="PNN46" s="117"/>
      <c r="PNO46" s="117"/>
      <c r="PNP46" s="117"/>
      <c r="PNQ46" s="117"/>
      <c r="PNR46" s="117"/>
      <c r="PNS46" s="117"/>
      <c r="PNT46" s="117"/>
      <c r="PNU46" s="117"/>
      <c r="PNV46" s="117"/>
      <c r="PNW46" s="117"/>
      <c r="PNX46" s="117"/>
      <c r="PNY46" s="117"/>
      <c r="PNZ46" s="117"/>
      <c r="POA46" s="117"/>
      <c r="POB46" s="117"/>
      <c r="POC46" s="117"/>
      <c r="POD46" s="117"/>
      <c r="POE46" s="117"/>
      <c r="POF46" s="117"/>
      <c r="POG46" s="117"/>
      <c r="POH46" s="117"/>
      <c r="POI46" s="117"/>
      <c r="POJ46" s="117"/>
      <c r="POK46" s="117"/>
      <c r="POL46" s="117"/>
      <c r="POM46" s="117"/>
      <c r="PON46" s="117"/>
      <c r="POO46" s="117"/>
      <c r="POP46" s="117"/>
      <c r="POQ46" s="117"/>
      <c r="POR46" s="117"/>
      <c r="POS46" s="117"/>
      <c r="POT46" s="117"/>
      <c r="POU46" s="117"/>
      <c r="POV46" s="117"/>
      <c r="POW46" s="117"/>
      <c r="POX46" s="117"/>
      <c r="POY46" s="117"/>
      <c r="POZ46" s="117"/>
      <c r="PPA46" s="117"/>
      <c r="PPB46" s="117"/>
      <c r="PPC46" s="117"/>
      <c r="PPD46" s="117"/>
      <c r="PPE46" s="117"/>
      <c r="PPF46" s="117"/>
      <c r="PPG46" s="117"/>
      <c r="PPH46" s="117"/>
      <c r="PPI46" s="117"/>
      <c r="PPJ46" s="117"/>
      <c r="PPK46" s="117"/>
      <c r="PPL46" s="117"/>
      <c r="PPM46" s="117"/>
      <c r="PPN46" s="117"/>
      <c r="PPO46" s="117"/>
      <c r="PPP46" s="117"/>
      <c r="PPQ46" s="117"/>
      <c r="PPR46" s="117"/>
      <c r="PPS46" s="117"/>
      <c r="PPT46" s="117"/>
      <c r="PPU46" s="117"/>
      <c r="PPV46" s="117"/>
      <c r="PPW46" s="117"/>
      <c r="PPX46" s="117"/>
      <c r="PPY46" s="117"/>
      <c r="PPZ46" s="117"/>
      <c r="PQA46" s="117"/>
      <c r="PQB46" s="117"/>
      <c r="PQC46" s="117"/>
      <c r="PQD46" s="117"/>
      <c r="PQE46" s="117"/>
      <c r="PQF46" s="117"/>
      <c r="PQG46" s="117"/>
      <c r="PQH46" s="117"/>
      <c r="PQI46" s="117"/>
      <c r="PQJ46" s="117"/>
      <c r="PQK46" s="117"/>
      <c r="PQL46" s="117"/>
      <c r="PQM46" s="117"/>
      <c r="PQN46" s="117"/>
      <c r="PQO46" s="117"/>
      <c r="PQP46" s="117"/>
      <c r="PQQ46" s="117"/>
      <c r="PQR46" s="117"/>
      <c r="PQS46" s="117"/>
      <c r="PQT46" s="117"/>
      <c r="PQU46" s="117"/>
      <c r="PQV46" s="117"/>
      <c r="PQW46" s="117"/>
      <c r="PQX46" s="117"/>
      <c r="PQY46" s="117"/>
      <c r="PQZ46" s="117"/>
      <c r="PRA46" s="117"/>
      <c r="PRB46" s="117"/>
      <c r="PRC46" s="117"/>
      <c r="PRD46" s="117"/>
      <c r="PRE46" s="117"/>
      <c r="PRF46" s="117"/>
      <c r="PRG46" s="117"/>
      <c r="PRH46" s="117"/>
      <c r="PRI46" s="117"/>
      <c r="PRJ46" s="117"/>
      <c r="PRK46" s="117"/>
      <c r="PRL46" s="117"/>
      <c r="PRM46" s="117"/>
      <c r="PRN46" s="117"/>
      <c r="PRO46" s="117"/>
      <c r="PRP46" s="117"/>
      <c r="PRQ46" s="117"/>
      <c r="PRR46" s="117"/>
      <c r="PRS46" s="117"/>
      <c r="PRT46" s="117"/>
      <c r="PRU46" s="117"/>
      <c r="PRV46" s="117"/>
      <c r="PRW46" s="117"/>
      <c r="PRX46" s="117"/>
      <c r="PRY46" s="117"/>
      <c r="PRZ46" s="117"/>
      <c r="PSA46" s="117"/>
      <c r="PSB46" s="117"/>
      <c r="PSC46" s="117"/>
      <c r="PSD46" s="117"/>
      <c r="PSE46" s="117"/>
      <c r="PSF46" s="117"/>
      <c r="PSG46" s="117"/>
      <c r="PSH46" s="117"/>
      <c r="PSI46" s="117"/>
      <c r="PSJ46" s="117"/>
      <c r="PSK46" s="117"/>
      <c r="PSL46" s="117"/>
      <c r="PSM46" s="117"/>
      <c r="PSN46" s="117"/>
      <c r="PSO46" s="117"/>
      <c r="PSP46" s="117"/>
      <c r="PSQ46" s="117"/>
      <c r="PSR46" s="117"/>
      <c r="PSS46" s="117"/>
      <c r="PST46" s="117"/>
      <c r="PSU46" s="117"/>
      <c r="PSV46" s="117"/>
      <c r="PSW46" s="117"/>
      <c r="PSX46" s="117"/>
      <c r="PSY46" s="117"/>
      <c r="PSZ46" s="117"/>
      <c r="PTA46" s="117"/>
      <c r="PTB46" s="117"/>
      <c r="PTC46" s="117"/>
      <c r="PTD46" s="117"/>
      <c r="PTE46" s="117"/>
      <c r="PTF46" s="117"/>
      <c r="PTG46" s="117"/>
      <c r="PTH46" s="117"/>
      <c r="PTI46" s="117"/>
      <c r="PTJ46" s="117"/>
      <c r="PTK46" s="117"/>
      <c r="PTL46" s="117"/>
      <c r="PTM46" s="117"/>
      <c r="PTN46" s="117"/>
      <c r="PTO46" s="117"/>
      <c r="PTP46" s="117"/>
      <c r="PTQ46" s="117"/>
      <c r="PTR46" s="117"/>
      <c r="PTS46" s="117"/>
      <c r="PTT46" s="117"/>
      <c r="PTU46" s="117"/>
      <c r="PTV46" s="117"/>
      <c r="PTW46" s="117"/>
      <c r="PTX46" s="117"/>
      <c r="PTY46" s="117"/>
      <c r="PTZ46" s="117"/>
      <c r="PUA46" s="117"/>
      <c r="PUB46" s="117"/>
      <c r="PUC46" s="117"/>
      <c r="PUD46" s="117"/>
      <c r="PUE46" s="117"/>
      <c r="PUF46" s="117"/>
      <c r="PUG46" s="117"/>
      <c r="PUH46" s="117"/>
      <c r="PUI46" s="117"/>
      <c r="PUJ46" s="117"/>
      <c r="PUK46" s="117"/>
      <c r="PUL46" s="117"/>
      <c r="PUM46" s="117"/>
      <c r="PUN46" s="117"/>
      <c r="PUO46" s="117"/>
      <c r="PUP46" s="117"/>
      <c r="PUQ46" s="117"/>
      <c r="PUR46" s="117"/>
      <c r="PUS46" s="117"/>
      <c r="PUT46" s="117"/>
      <c r="PUU46" s="117"/>
      <c r="PUV46" s="117"/>
      <c r="PUW46" s="117"/>
      <c r="PUX46" s="117"/>
      <c r="PUY46" s="117"/>
      <c r="PUZ46" s="117"/>
      <c r="PVA46" s="117"/>
      <c r="PVB46" s="117"/>
      <c r="PVC46" s="117"/>
      <c r="PVD46" s="117"/>
      <c r="PVE46" s="117"/>
      <c r="PVF46" s="117"/>
      <c r="PVG46" s="117"/>
      <c r="PVH46" s="117"/>
      <c r="PVI46" s="117"/>
      <c r="PVJ46" s="117"/>
      <c r="PVK46" s="117"/>
      <c r="PVL46" s="117"/>
      <c r="PVM46" s="117"/>
      <c r="PVN46" s="117"/>
      <c r="PVO46" s="117"/>
      <c r="PVP46" s="117"/>
      <c r="PVQ46" s="117"/>
      <c r="PVR46" s="117"/>
      <c r="PVS46" s="117"/>
      <c r="PVT46" s="117"/>
      <c r="PVU46" s="117"/>
      <c r="PVV46" s="117"/>
      <c r="PVW46" s="117"/>
      <c r="PVX46" s="117"/>
      <c r="PVY46" s="117"/>
      <c r="PVZ46" s="117"/>
      <c r="PWA46" s="117"/>
      <c r="PWB46" s="117"/>
      <c r="PWC46" s="117"/>
      <c r="PWD46" s="117"/>
      <c r="PWE46" s="117"/>
      <c r="PWF46" s="117"/>
      <c r="PWG46" s="117"/>
      <c r="PWH46" s="117"/>
      <c r="PWI46" s="117"/>
      <c r="PWJ46" s="117"/>
      <c r="PWK46" s="117"/>
      <c r="PWL46" s="117"/>
      <c r="PWM46" s="117"/>
      <c r="PWN46" s="117"/>
      <c r="PWO46" s="117"/>
      <c r="PWP46" s="117"/>
      <c r="PWQ46" s="117"/>
      <c r="PWR46" s="117"/>
      <c r="PWS46" s="117"/>
      <c r="PWT46" s="117"/>
      <c r="PWU46" s="117"/>
      <c r="PWV46" s="117"/>
      <c r="PWW46" s="117"/>
      <c r="PWX46" s="117"/>
      <c r="PWY46" s="117"/>
      <c r="PWZ46" s="117"/>
      <c r="PXA46" s="117"/>
      <c r="PXB46" s="117"/>
      <c r="PXC46" s="117"/>
      <c r="PXD46" s="117"/>
      <c r="PXE46" s="117"/>
      <c r="PXF46" s="117"/>
      <c r="PXG46" s="117"/>
      <c r="PXH46" s="117"/>
      <c r="PXI46" s="117"/>
      <c r="PXJ46" s="117"/>
      <c r="PXK46" s="117"/>
      <c r="PXL46" s="117"/>
      <c r="PXM46" s="117"/>
      <c r="PXN46" s="117"/>
      <c r="PXO46" s="117"/>
      <c r="PXP46" s="117"/>
      <c r="PXQ46" s="117"/>
      <c r="PXR46" s="117"/>
      <c r="PXS46" s="117"/>
      <c r="PXT46" s="117"/>
      <c r="PXU46" s="117"/>
      <c r="PXV46" s="117"/>
      <c r="PXW46" s="117"/>
      <c r="PXX46" s="117"/>
      <c r="PXY46" s="117"/>
      <c r="PXZ46" s="117"/>
      <c r="PYA46" s="117"/>
      <c r="PYB46" s="117"/>
      <c r="PYC46" s="117"/>
      <c r="PYD46" s="117"/>
      <c r="PYE46" s="117"/>
      <c r="PYF46" s="117"/>
      <c r="PYG46" s="117"/>
      <c r="PYH46" s="117"/>
      <c r="PYI46" s="117"/>
      <c r="PYJ46" s="117"/>
      <c r="PYK46" s="117"/>
      <c r="PYL46" s="117"/>
      <c r="PYM46" s="117"/>
      <c r="PYN46" s="117"/>
      <c r="PYO46" s="117"/>
      <c r="PYP46" s="117"/>
      <c r="PYQ46" s="117"/>
      <c r="PYR46" s="117"/>
      <c r="PYS46" s="117"/>
      <c r="PYT46" s="117"/>
      <c r="PYU46" s="117"/>
      <c r="PYV46" s="117"/>
      <c r="PYW46" s="117"/>
      <c r="PYX46" s="117"/>
      <c r="PYY46" s="117"/>
      <c r="PYZ46" s="117"/>
      <c r="PZA46" s="117"/>
      <c r="PZB46" s="117"/>
      <c r="PZC46" s="117"/>
      <c r="PZD46" s="117"/>
      <c r="PZE46" s="117"/>
      <c r="PZF46" s="117"/>
      <c r="PZG46" s="117"/>
      <c r="PZH46" s="117"/>
      <c r="PZI46" s="117"/>
      <c r="PZJ46" s="117"/>
      <c r="PZK46" s="117"/>
      <c r="PZL46" s="117"/>
      <c r="PZM46" s="117"/>
      <c r="PZN46" s="117"/>
      <c r="PZO46" s="117"/>
      <c r="PZP46" s="117"/>
      <c r="PZQ46" s="117"/>
      <c r="PZR46" s="117"/>
      <c r="PZS46" s="117"/>
      <c r="PZT46" s="117"/>
      <c r="PZU46" s="117"/>
      <c r="PZV46" s="117"/>
      <c r="PZW46" s="117"/>
      <c r="PZX46" s="117"/>
      <c r="PZY46" s="117"/>
      <c r="PZZ46" s="117"/>
      <c r="QAA46" s="117"/>
      <c r="QAB46" s="117"/>
      <c r="QAC46" s="117"/>
      <c r="QAD46" s="117"/>
      <c r="QAE46" s="117"/>
      <c r="QAF46" s="117"/>
      <c r="QAG46" s="117"/>
      <c r="QAH46" s="117"/>
      <c r="QAI46" s="117"/>
      <c r="QAJ46" s="117"/>
      <c r="QAK46" s="117"/>
      <c r="QAL46" s="117"/>
      <c r="QAM46" s="117"/>
      <c r="QAN46" s="117"/>
      <c r="QAO46" s="117"/>
      <c r="QAP46" s="117"/>
      <c r="QAQ46" s="117"/>
      <c r="QAR46" s="117"/>
      <c r="QAS46" s="117"/>
      <c r="QAT46" s="117"/>
      <c r="QAU46" s="117"/>
      <c r="QAV46" s="117"/>
      <c r="QAW46" s="117"/>
      <c r="QAX46" s="117"/>
      <c r="QAY46" s="117"/>
      <c r="QAZ46" s="117"/>
      <c r="QBA46" s="117"/>
      <c r="QBB46" s="117"/>
      <c r="QBC46" s="117"/>
      <c r="QBD46" s="117"/>
      <c r="QBE46" s="117"/>
      <c r="QBF46" s="117"/>
      <c r="QBG46" s="117"/>
      <c r="QBH46" s="117"/>
      <c r="QBI46" s="117"/>
      <c r="QBJ46" s="117"/>
      <c r="QBK46" s="117"/>
      <c r="QBL46" s="117"/>
      <c r="QBM46" s="117"/>
      <c r="QBN46" s="117"/>
      <c r="QBO46" s="117"/>
      <c r="QBP46" s="117"/>
      <c r="QBQ46" s="117"/>
      <c r="QBR46" s="117"/>
      <c r="QBS46" s="117"/>
      <c r="QBT46" s="117"/>
      <c r="QBU46" s="117"/>
      <c r="QBV46" s="117"/>
      <c r="QBW46" s="117"/>
      <c r="QBX46" s="117"/>
      <c r="QBY46" s="117"/>
      <c r="QBZ46" s="117"/>
      <c r="QCA46" s="117"/>
      <c r="QCB46" s="117"/>
      <c r="QCC46" s="117"/>
      <c r="QCD46" s="117"/>
      <c r="QCE46" s="117"/>
      <c r="QCF46" s="117"/>
      <c r="QCG46" s="117"/>
      <c r="QCH46" s="117"/>
      <c r="QCI46" s="117"/>
      <c r="QCJ46" s="117"/>
      <c r="QCK46" s="117"/>
      <c r="QCL46" s="117"/>
      <c r="QCM46" s="117"/>
      <c r="QCN46" s="117"/>
      <c r="QCO46" s="117"/>
      <c r="QCP46" s="117"/>
      <c r="QCQ46" s="117"/>
      <c r="QCR46" s="117"/>
      <c r="QCS46" s="117"/>
      <c r="QCT46" s="117"/>
      <c r="QCU46" s="117"/>
      <c r="QCV46" s="117"/>
      <c r="QCW46" s="117"/>
      <c r="QCX46" s="117"/>
      <c r="QCY46" s="117"/>
      <c r="QCZ46" s="117"/>
      <c r="QDA46" s="117"/>
      <c r="QDB46" s="117"/>
      <c r="QDC46" s="117"/>
      <c r="QDD46" s="117"/>
      <c r="QDE46" s="117"/>
      <c r="QDF46" s="117"/>
      <c r="QDG46" s="117"/>
      <c r="QDH46" s="117"/>
      <c r="QDI46" s="117"/>
      <c r="QDJ46" s="117"/>
      <c r="QDK46" s="117"/>
      <c r="QDL46" s="117"/>
      <c r="QDM46" s="117"/>
      <c r="QDN46" s="117"/>
      <c r="QDO46" s="117"/>
      <c r="QDP46" s="117"/>
      <c r="QDQ46" s="117"/>
      <c r="QDR46" s="117"/>
      <c r="QDS46" s="117"/>
      <c r="QDT46" s="117"/>
      <c r="QDU46" s="117"/>
      <c r="QDV46" s="117"/>
      <c r="QDW46" s="117"/>
      <c r="QDX46" s="117"/>
      <c r="QDY46" s="117"/>
      <c r="QDZ46" s="117"/>
      <c r="QEA46" s="117"/>
      <c r="QEB46" s="117"/>
      <c r="QEC46" s="117"/>
      <c r="QED46" s="117"/>
      <c r="QEE46" s="117"/>
      <c r="QEF46" s="117"/>
      <c r="QEG46" s="117"/>
      <c r="QEH46" s="117"/>
      <c r="QEI46" s="117"/>
      <c r="QEJ46" s="117"/>
      <c r="QEK46" s="117"/>
      <c r="QEL46" s="117"/>
      <c r="QEM46" s="117"/>
      <c r="QEN46" s="117"/>
      <c r="QEO46" s="117"/>
      <c r="QEP46" s="117"/>
      <c r="QEQ46" s="117"/>
      <c r="QER46" s="117"/>
      <c r="QES46" s="117"/>
      <c r="QET46" s="117"/>
      <c r="QEU46" s="117"/>
      <c r="QEV46" s="117"/>
      <c r="QEW46" s="117"/>
      <c r="QEX46" s="117"/>
      <c r="QEY46" s="117"/>
      <c r="QEZ46" s="117"/>
      <c r="QFA46" s="117"/>
      <c r="QFB46" s="117"/>
      <c r="QFC46" s="117"/>
      <c r="QFD46" s="117"/>
      <c r="QFE46" s="117"/>
      <c r="QFF46" s="117"/>
      <c r="QFG46" s="117"/>
      <c r="QFH46" s="117"/>
      <c r="QFI46" s="117"/>
      <c r="QFJ46" s="117"/>
      <c r="QFK46" s="117"/>
      <c r="QFL46" s="117"/>
      <c r="QFM46" s="117"/>
      <c r="QFN46" s="117"/>
      <c r="QFO46" s="117"/>
      <c r="QFP46" s="117"/>
      <c r="QFQ46" s="117"/>
      <c r="QFR46" s="117"/>
      <c r="QFS46" s="117"/>
      <c r="QFT46" s="117"/>
      <c r="QFU46" s="117"/>
      <c r="QFV46" s="117"/>
      <c r="QFW46" s="117"/>
      <c r="QFX46" s="117"/>
      <c r="QFY46" s="117"/>
      <c r="QFZ46" s="117"/>
      <c r="QGA46" s="117"/>
      <c r="QGB46" s="117"/>
      <c r="QGC46" s="117"/>
      <c r="QGD46" s="117"/>
      <c r="QGE46" s="117"/>
      <c r="QGF46" s="117"/>
      <c r="QGG46" s="117"/>
      <c r="QGH46" s="117"/>
      <c r="QGI46" s="117"/>
      <c r="QGJ46" s="117"/>
      <c r="QGK46" s="117"/>
      <c r="QGL46" s="117"/>
      <c r="QGM46" s="117"/>
      <c r="QGN46" s="117"/>
      <c r="QGO46" s="117"/>
      <c r="QGP46" s="117"/>
      <c r="QGQ46" s="117"/>
      <c r="QGR46" s="117"/>
      <c r="QGS46" s="117"/>
      <c r="QGT46" s="117"/>
      <c r="QGU46" s="117"/>
      <c r="QGV46" s="117"/>
      <c r="QGW46" s="117"/>
      <c r="QGX46" s="117"/>
      <c r="QGY46" s="117"/>
      <c r="QGZ46" s="117"/>
      <c r="QHA46" s="117"/>
      <c r="QHB46" s="117"/>
      <c r="QHC46" s="117"/>
      <c r="QHD46" s="117"/>
      <c r="QHE46" s="117"/>
      <c r="QHF46" s="117"/>
      <c r="QHG46" s="117"/>
      <c r="QHH46" s="117"/>
      <c r="QHI46" s="117"/>
      <c r="QHJ46" s="117"/>
      <c r="QHK46" s="117"/>
      <c r="QHL46" s="117"/>
      <c r="QHM46" s="117"/>
      <c r="QHN46" s="117"/>
      <c r="QHO46" s="117"/>
      <c r="QHP46" s="117"/>
      <c r="QHQ46" s="117"/>
      <c r="QHR46" s="117"/>
      <c r="QHS46" s="117"/>
      <c r="QHT46" s="117"/>
      <c r="QHU46" s="117"/>
      <c r="QHV46" s="117"/>
      <c r="QHW46" s="117"/>
      <c r="QHX46" s="117"/>
      <c r="QHY46" s="117"/>
      <c r="QHZ46" s="117"/>
      <c r="QIA46" s="117"/>
      <c r="QIB46" s="117"/>
      <c r="QIC46" s="117"/>
      <c r="QID46" s="117"/>
      <c r="QIE46" s="117"/>
      <c r="QIF46" s="117"/>
      <c r="QIG46" s="117"/>
      <c r="QIH46" s="117"/>
      <c r="QII46" s="117"/>
      <c r="QIJ46" s="117"/>
      <c r="QIK46" s="117"/>
      <c r="QIL46" s="117"/>
      <c r="QIM46" s="117"/>
      <c r="QIN46" s="117"/>
      <c r="QIO46" s="117"/>
      <c r="QIP46" s="117"/>
      <c r="QIQ46" s="117"/>
      <c r="QIR46" s="117"/>
      <c r="QIS46" s="117"/>
      <c r="QIT46" s="117"/>
      <c r="QIU46" s="117"/>
      <c r="QIV46" s="117"/>
      <c r="QIW46" s="117"/>
      <c r="QIX46" s="117"/>
      <c r="QIY46" s="117"/>
      <c r="QIZ46" s="117"/>
      <c r="QJA46" s="117"/>
      <c r="QJB46" s="117"/>
      <c r="QJC46" s="117"/>
      <c r="QJD46" s="117"/>
      <c r="QJE46" s="117"/>
      <c r="QJF46" s="117"/>
      <c r="QJG46" s="117"/>
      <c r="QJH46" s="117"/>
      <c r="QJI46" s="117"/>
      <c r="QJJ46" s="117"/>
      <c r="QJK46" s="117"/>
      <c r="QJL46" s="117"/>
      <c r="QJM46" s="117"/>
      <c r="QJN46" s="117"/>
      <c r="QJO46" s="117"/>
      <c r="QJP46" s="117"/>
      <c r="QJQ46" s="117"/>
      <c r="QJR46" s="117"/>
      <c r="QJS46" s="117"/>
      <c r="QJT46" s="117"/>
      <c r="QJU46" s="117"/>
      <c r="QJV46" s="117"/>
      <c r="QJW46" s="117"/>
      <c r="QJX46" s="117"/>
      <c r="QJY46" s="117"/>
      <c r="QJZ46" s="117"/>
      <c r="QKA46" s="117"/>
      <c r="QKB46" s="117"/>
      <c r="QKC46" s="117"/>
      <c r="QKD46" s="117"/>
      <c r="QKE46" s="117"/>
      <c r="QKF46" s="117"/>
      <c r="QKG46" s="117"/>
      <c r="QKH46" s="117"/>
      <c r="QKI46" s="117"/>
      <c r="QKJ46" s="117"/>
      <c r="QKK46" s="117"/>
      <c r="QKL46" s="117"/>
      <c r="QKM46" s="117"/>
      <c r="QKN46" s="117"/>
      <c r="QKO46" s="117"/>
      <c r="QKP46" s="117"/>
      <c r="QKQ46" s="117"/>
      <c r="QKR46" s="117"/>
      <c r="QKS46" s="117"/>
      <c r="QKT46" s="117"/>
      <c r="QKU46" s="117"/>
      <c r="QKV46" s="117"/>
      <c r="QKW46" s="117"/>
      <c r="QKX46" s="117"/>
      <c r="QKY46" s="117"/>
      <c r="QKZ46" s="117"/>
      <c r="QLA46" s="117"/>
      <c r="QLB46" s="117"/>
      <c r="QLC46" s="117"/>
      <c r="QLD46" s="117"/>
      <c r="QLE46" s="117"/>
      <c r="QLF46" s="117"/>
      <c r="QLG46" s="117"/>
      <c r="QLH46" s="117"/>
      <c r="QLI46" s="117"/>
      <c r="QLJ46" s="117"/>
      <c r="QLK46" s="117"/>
      <c r="QLL46" s="117"/>
      <c r="QLM46" s="117"/>
      <c r="QLN46" s="117"/>
      <c r="QLO46" s="117"/>
      <c r="QLP46" s="117"/>
      <c r="QLQ46" s="117"/>
      <c r="QLR46" s="117"/>
      <c r="QLS46" s="117"/>
      <c r="QLT46" s="117"/>
      <c r="QLU46" s="117"/>
      <c r="QLV46" s="117"/>
      <c r="QLW46" s="117"/>
      <c r="QLX46" s="117"/>
      <c r="QLY46" s="117"/>
      <c r="QLZ46" s="117"/>
      <c r="QMA46" s="117"/>
      <c r="QMB46" s="117"/>
      <c r="QMC46" s="117"/>
      <c r="QMD46" s="117"/>
      <c r="QME46" s="117"/>
      <c r="QMF46" s="117"/>
      <c r="QMG46" s="117"/>
      <c r="QMH46" s="117"/>
      <c r="QMI46" s="117"/>
      <c r="QMJ46" s="117"/>
      <c r="QMK46" s="117"/>
      <c r="QML46" s="117"/>
      <c r="QMM46" s="117"/>
      <c r="QMN46" s="117"/>
      <c r="QMO46" s="117"/>
      <c r="QMP46" s="117"/>
      <c r="QMQ46" s="117"/>
      <c r="QMR46" s="117"/>
      <c r="QMS46" s="117"/>
      <c r="QMT46" s="117"/>
      <c r="QMU46" s="117"/>
      <c r="QMV46" s="117"/>
      <c r="QMW46" s="117"/>
      <c r="QMX46" s="117"/>
      <c r="QMY46" s="117"/>
      <c r="QMZ46" s="117"/>
      <c r="QNA46" s="117"/>
      <c r="QNB46" s="117"/>
      <c r="QNC46" s="117"/>
      <c r="QND46" s="117"/>
      <c r="QNE46" s="117"/>
      <c r="QNF46" s="117"/>
      <c r="QNG46" s="117"/>
      <c r="QNH46" s="117"/>
      <c r="QNI46" s="117"/>
      <c r="QNJ46" s="117"/>
      <c r="QNK46" s="117"/>
      <c r="QNL46" s="117"/>
      <c r="QNM46" s="117"/>
      <c r="QNN46" s="117"/>
      <c r="QNO46" s="117"/>
      <c r="QNP46" s="117"/>
      <c r="QNQ46" s="117"/>
      <c r="QNR46" s="117"/>
      <c r="QNS46" s="117"/>
      <c r="QNT46" s="117"/>
      <c r="QNU46" s="117"/>
      <c r="QNV46" s="117"/>
      <c r="QNW46" s="117"/>
      <c r="QNX46" s="117"/>
      <c r="QNY46" s="117"/>
      <c r="QNZ46" s="117"/>
      <c r="QOA46" s="117"/>
      <c r="QOB46" s="117"/>
      <c r="QOC46" s="117"/>
      <c r="QOD46" s="117"/>
      <c r="QOE46" s="117"/>
      <c r="QOF46" s="117"/>
      <c r="QOG46" s="117"/>
      <c r="QOH46" s="117"/>
      <c r="QOI46" s="117"/>
      <c r="QOJ46" s="117"/>
      <c r="QOK46" s="117"/>
      <c r="QOL46" s="117"/>
      <c r="QOM46" s="117"/>
      <c r="QON46" s="117"/>
      <c r="QOO46" s="117"/>
      <c r="QOP46" s="117"/>
      <c r="QOQ46" s="117"/>
      <c r="QOR46" s="117"/>
      <c r="QOS46" s="117"/>
      <c r="QOT46" s="117"/>
      <c r="QOU46" s="117"/>
      <c r="QOV46" s="117"/>
      <c r="QOW46" s="117"/>
      <c r="QOX46" s="117"/>
      <c r="QOY46" s="117"/>
      <c r="QOZ46" s="117"/>
      <c r="QPA46" s="117"/>
      <c r="QPB46" s="117"/>
      <c r="QPC46" s="117"/>
      <c r="QPD46" s="117"/>
      <c r="QPE46" s="117"/>
      <c r="QPF46" s="117"/>
      <c r="QPG46" s="117"/>
      <c r="QPH46" s="117"/>
      <c r="QPI46" s="117"/>
      <c r="QPJ46" s="117"/>
      <c r="QPK46" s="117"/>
      <c r="QPL46" s="117"/>
      <c r="QPM46" s="117"/>
      <c r="QPN46" s="117"/>
      <c r="QPO46" s="117"/>
      <c r="QPP46" s="117"/>
      <c r="QPQ46" s="117"/>
      <c r="QPR46" s="117"/>
      <c r="QPS46" s="117"/>
      <c r="QPT46" s="117"/>
      <c r="QPU46" s="117"/>
      <c r="QPV46" s="117"/>
      <c r="QPW46" s="117"/>
      <c r="QPX46" s="117"/>
      <c r="QPY46" s="117"/>
      <c r="QPZ46" s="117"/>
      <c r="QQA46" s="117"/>
      <c r="QQB46" s="117"/>
      <c r="QQC46" s="117"/>
      <c r="QQD46" s="117"/>
      <c r="QQE46" s="117"/>
      <c r="QQF46" s="117"/>
      <c r="QQG46" s="117"/>
      <c r="QQH46" s="117"/>
      <c r="QQI46" s="117"/>
      <c r="QQJ46" s="117"/>
      <c r="QQK46" s="117"/>
      <c r="QQL46" s="117"/>
      <c r="QQM46" s="117"/>
      <c r="QQN46" s="117"/>
      <c r="QQO46" s="117"/>
      <c r="QQP46" s="117"/>
      <c r="QQQ46" s="117"/>
      <c r="QQR46" s="117"/>
      <c r="QQS46" s="117"/>
      <c r="QQT46" s="117"/>
      <c r="QQU46" s="117"/>
      <c r="QQV46" s="117"/>
      <c r="QQW46" s="117"/>
      <c r="QQX46" s="117"/>
      <c r="QQY46" s="117"/>
      <c r="QQZ46" s="117"/>
      <c r="QRA46" s="117"/>
      <c r="QRB46" s="117"/>
      <c r="QRC46" s="117"/>
      <c r="QRD46" s="117"/>
      <c r="QRE46" s="117"/>
      <c r="QRF46" s="117"/>
      <c r="QRG46" s="117"/>
      <c r="QRH46" s="117"/>
      <c r="QRI46" s="117"/>
      <c r="QRJ46" s="117"/>
      <c r="QRK46" s="117"/>
      <c r="QRL46" s="117"/>
      <c r="QRM46" s="117"/>
      <c r="QRN46" s="117"/>
      <c r="QRO46" s="117"/>
      <c r="QRP46" s="117"/>
      <c r="QRQ46" s="117"/>
      <c r="QRR46" s="117"/>
      <c r="QRS46" s="117"/>
      <c r="QRT46" s="117"/>
      <c r="QRU46" s="117"/>
      <c r="QRV46" s="117"/>
      <c r="QRW46" s="117"/>
      <c r="QRX46" s="117"/>
      <c r="QRY46" s="117"/>
      <c r="QRZ46" s="117"/>
      <c r="QSA46" s="117"/>
      <c r="QSB46" s="117"/>
      <c r="QSC46" s="117"/>
      <c r="QSD46" s="117"/>
      <c r="QSE46" s="117"/>
      <c r="QSF46" s="117"/>
      <c r="QSG46" s="117"/>
      <c r="QSH46" s="117"/>
      <c r="QSI46" s="117"/>
      <c r="QSJ46" s="117"/>
      <c r="QSK46" s="117"/>
      <c r="QSL46" s="117"/>
      <c r="QSM46" s="117"/>
      <c r="QSN46" s="117"/>
      <c r="QSO46" s="117"/>
      <c r="QSP46" s="117"/>
      <c r="QSQ46" s="117"/>
      <c r="QSR46" s="117"/>
      <c r="QSS46" s="117"/>
      <c r="QST46" s="117"/>
      <c r="QSU46" s="117"/>
      <c r="QSV46" s="117"/>
      <c r="QSW46" s="117"/>
      <c r="QSX46" s="117"/>
      <c r="QSY46" s="117"/>
      <c r="QSZ46" s="117"/>
      <c r="QTA46" s="117"/>
      <c r="QTB46" s="117"/>
      <c r="QTC46" s="117"/>
      <c r="QTD46" s="117"/>
      <c r="QTE46" s="117"/>
      <c r="QTF46" s="117"/>
      <c r="QTG46" s="117"/>
      <c r="QTH46" s="117"/>
      <c r="QTI46" s="117"/>
      <c r="QTJ46" s="117"/>
      <c r="QTK46" s="117"/>
      <c r="QTL46" s="117"/>
      <c r="QTM46" s="117"/>
      <c r="QTN46" s="117"/>
      <c r="QTO46" s="117"/>
      <c r="QTP46" s="117"/>
      <c r="QTQ46" s="117"/>
      <c r="QTR46" s="117"/>
      <c r="QTS46" s="117"/>
      <c r="QTT46" s="117"/>
      <c r="QTU46" s="117"/>
      <c r="QTV46" s="117"/>
      <c r="QTW46" s="117"/>
      <c r="QTX46" s="117"/>
      <c r="QTY46" s="117"/>
      <c r="QTZ46" s="117"/>
      <c r="QUA46" s="117"/>
      <c r="QUB46" s="117"/>
      <c r="QUC46" s="117"/>
      <c r="QUD46" s="117"/>
      <c r="QUE46" s="117"/>
      <c r="QUF46" s="117"/>
      <c r="QUG46" s="117"/>
      <c r="QUH46" s="117"/>
      <c r="QUI46" s="117"/>
      <c r="QUJ46" s="117"/>
      <c r="QUK46" s="117"/>
      <c r="QUL46" s="117"/>
      <c r="QUM46" s="117"/>
      <c r="QUN46" s="117"/>
      <c r="QUO46" s="117"/>
      <c r="QUP46" s="117"/>
      <c r="QUQ46" s="117"/>
      <c r="QUR46" s="117"/>
      <c r="QUS46" s="117"/>
      <c r="QUT46" s="117"/>
      <c r="QUU46" s="117"/>
      <c r="QUV46" s="117"/>
      <c r="QUW46" s="117"/>
      <c r="QUX46" s="117"/>
      <c r="QUY46" s="117"/>
      <c r="QUZ46" s="117"/>
      <c r="QVA46" s="117"/>
      <c r="QVB46" s="117"/>
      <c r="QVC46" s="117"/>
      <c r="QVD46" s="117"/>
      <c r="QVE46" s="117"/>
      <c r="QVF46" s="117"/>
      <c r="QVG46" s="117"/>
      <c r="QVH46" s="117"/>
      <c r="QVI46" s="117"/>
      <c r="QVJ46" s="117"/>
      <c r="QVK46" s="117"/>
      <c r="QVL46" s="117"/>
      <c r="QVM46" s="117"/>
      <c r="QVN46" s="117"/>
      <c r="QVO46" s="117"/>
      <c r="QVP46" s="117"/>
      <c r="QVQ46" s="117"/>
      <c r="QVR46" s="117"/>
      <c r="QVS46" s="117"/>
      <c r="QVT46" s="117"/>
      <c r="QVU46" s="117"/>
      <c r="QVV46" s="117"/>
      <c r="QVW46" s="117"/>
      <c r="QVX46" s="117"/>
      <c r="QVY46" s="117"/>
      <c r="QVZ46" s="117"/>
      <c r="QWA46" s="117"/>
      <c r="QWB46" s="117"/>
      <c r="QWC46" s="117"/>
      <c r="QWD46" s="117"/>
      <c r="QWE46" s="117"/>
      <c r="QWF46" s="117"/>
      <c r="QWG46" s="117"/>
      <c r="QWH46" s="117"/>
      <c r="QWI46" s="117"/>
      <c r="QWJ46" s="117"/>
      <c r="QWK46" s="117"/>
      <c r="QWL46" s="117"/>
      <c r="QWM46" s="117"/>
      <c r="QWN46" s="117"/>
      <c r="QWO46" s="117"/>
      <c r="QWP46" s="117"/>
      <c r="QWQ46" s="117"/>
      <c r="QWR46" s="117"/>
      <c r="QWS46" s="117"/>
      <c r="QWT46" s="117"/>
      <c r="QWU46" s="117"/>
      <c r="QWV46" s="117"/>
      <c r="QWW46" s="117"/>
      <c r="QWX46" s="117"/>
      <c r="QWY46" s="117"/>
      <c r="QWZ46" s="117"/>
      <c r="QXA46" s="117"/>
      <c r="QXB46" s="117"/>
      <c r="QXC46" s="117"/>
      <c r="QXD46" s="117"/>
      <c r="QXE46" s="117"/>
      <c r="QXF46" s="117"/>
      <c r="QXG46" s="117"/>
      <c r="QXH46" s="117"/>
      <c r="QXI46" s="117"/>
      <c r="QXJ46" s="117"/>
      <c r="QXK46" s="117"/>
      <c r="QXL46" s="117"/>
      <c r="QXM46" s="117"/>
      <c r="QXN46" s="117"/>
      <c r="QXO46" s="117"/>
      <c r="QXP46" s="117"/>
      <c r="QXQ46" s="117"/>
      <c r="QXR46" s="117"/>
      <c r="QXS46" s="117"/>
      <c r="QXT46" s="117"/>
      <c r="QXU46" s="117"/>
      <c r="QXV46" s="117"/>
      <c r="QXW46" s="117"/>
      <c r="QXX46" s="117"/>
      <c r="QXY46" s="117"/>
      <c r="QXZ46" s="117"/>
      <c r="QYA46" s="117"/>
      <c r="QYB46" s="117"/>
      <c r="QYC46" s="117"/>
      <c r="QYD46" s="117"/>
      <c r="QYE46" s="117"/>
      <c r="QYF46" s="117"/>
      <c r="QYG46" s="117"/>
      <c r="QYH46" s="117"/>
      <c r="QYI46" s="117"/>
      <c r="QYJ46" s="117"/>
      <c r="QYK46" s="117"/>
      <c r="QYL46" s="117"/>
      <c r="QYM46" s="117"/>
      <c r="QYN46" s="117"/>
      <c r="QYO46" s="117"/>
      <c r="QYP46" s="117"/>
      <c r="QYQ46" s="117"/>
      <c r="QYR46" s="117"/>
      <c r="QYS46" s="117"/>
      <c r="QYT46" s="117"/>
      <c r="QYU46" s="117"/>
      <c r="QYV46" s="117"/>
      <c r="QYW46" s="117"/>
      <c r="QYX46" s="117"/>
      <c r="QYY46" s="117"/>
      <c r="QYZ46" s="117"/>
      <c r="QZA46" s="117"/>
      <c r="QZB46" s="117"/>
      <c r="QZC46" s="117"/>
      <c r="QZD46" s="117"/>
      <c r="QZE46" s="117"/>
      <c r="QZF46" s="117"/>
      <c r="QZG46" s="117"/>
      <c r="QZH46" s="117"/>
      <c r="QZI46" s="117"/>
      <c r="QZJ46" s="117"/>
      <c r="QZK46" s="117"/>
      <c r="QZL46" s="117"/>
      <c r="QZM46" s="117"/>
      <c r="QZN46" s="117"/>
      <c r="QZO46" s="117"/>
      <c r="QZP46" s="117"/>
      <c r="QZQ46" s="117"/>
      <c r="QZR46" s="117"/>
      <c r="QZS46" s="117"/>
      <c r="QZT46" s="117"/>
      <c r="QZU46" s="117"/>
      <c r="QZV46" s="117"/>
      <c r="QZW46" s="117"/>
      <c r="QZX46" s="117"/>
      <c r="QZY46" s="117"/>
      <c r="QZZ46" s="117"/>
      <c r="RAA46" s="117"/>
      <c r="RAB46" s="117"/>
      <c r="RAC46" s="117"/>
      <c r="RAD46" s="117"/>
      <c r="RAE46" s="117"/>
      <c r="RAF46" s="117"/>
      <c r="RAG46" s="117"/>
      <c r="RAH46" s="117"/>
      <c r="RAI46" s="117"/>
      <c r="RAJ46" s="117"/>
      <c r="RAK46" s="117"/>
      <c r="RAL46" s="117"/>
      <c r="RAM46" s="117"/>
      <c r="RAN46" s="117"/>
      <c r="RAO46" s="117"/>
      <c r="RAP46" s="117"/>
      <c r="RAQ46" s="117"/>
      <c r="RAR46" s="117"/>
      <c r="RAS46" s="117"/>
      <c r="RAT46" s="117"/>
      <c r="RAU46" s="117"/>
      <c r="RAV46" s="117"/>
      <c r="RAW46" s="117"/>
      <c r="RAX46" s="117"/>
      <c r="RAY46" s="117"/>
      <c r="RAZ46" s="117"/>
      <c r="RBA46" s="117"/>
      <c r="RBB46" s="117"/>
      <c r="RBC46" s="117"/>
      <c r="RBD46" s="117"/>
      <c r="RBE46" s="117"/>
      <c r="RBF46" s="117"/>
      <c r="RBG46" s="117"/>
      <c r="RBH46" s="117"/>
      <c r="RBI46" s="117"/>
      <c r="RBJ46" s="117"/>
      <c r="RBK46" s="117"/>
      <c r="RBL46" s="117"/>
      <c r="RBM46" s="117"/>
      <c r="RBN46" s="117"/>
      <c r="RBO46" s="117"/>
      <c r="RBP46" s="117"/>
      <c r="RBQ46" s="117"/>
      <c r="RBR46" s="117"/>
      <c r="RBS46" s="117"/>
      <c r="RBT46" s="117"/>
      <c r="RBU46" s="117"/>
      <c r="RBV46" s="117"/>
      <c r="RBW46" s="117"/>
      <c r="RBX46" s="117"/>
      <c r="RBY46" s="117"/>
      <c r="RBZ46" s="117"/>
      <c r="RCA46" s="117"/>
      <c r="RCB46" s="117"/>
      <c r="RCC46" s="117"/>
      <c r="RCD46" s="117"/>
      <c r="RCE46" s="117"/>
      <c r="RCF46" s="117"/>
      <c r="RCG46" s="117"/>
      <c r="RCH46" s="117"/>
      <c r="RCI46" s="117"/>
      <c r="RCJ46" s="117"/>
      <c r="RCK46" s="117"/>
      <c r="RCL46" s="117"/>
      <c r="RCM46" s="117"/>
      <c r="RCN46" s="117"/>
      <c r="RCO46" s="117"/>
      <c r="RCP46" s="117"/>
      <c r="RCQ46" s="117"/>
      <c r="RCR46" s="117"/>
      <c r="RCS46" s="117"/>
      <c r="RCT46" s="117"/>
      <c r="RCU46" s="117"/>
      <c r="RCV46" s="117"/>
      <c r="RCW46" s="117"/>
      <c r="RCX46" s="117"/>
      <c r="RCY46" s="117"/>
      <c r="RCZ46" s="117"/>
      <c r="RDA46" s="117"/>
      <c r="RDB46" s="117"/>
      <c r="RDC46" s="117"/>
      <c r="RDD46" s="117"/>
      <c r="RDE46" s="117"/>
      <c r="RDF46" s="117"/>
      <c r="RDG46" s="117"/>
      <c r="RDH46" s="117"/>
      <c r="RDI46" s="117"/>
      <c r="RDJ46" s="117"/>
      <c r="RDK46" s="117"/>
      <c r="RDL46" s="117"/>
      <c r="RDM46" s="117"/>
      <c r="RDN46" s="117"/>
      <c r="RDO46" s="117"/>
      <c r="RDP46" s="117"/>
      <c r="RDQ46" s="117"/>
      <c r="RDR46" s="117"/>
      <c r="RDS46" s="117"/>
      <c r="RDT46" s="117"/>
      <c r="RDU46" s="117"/>
      <c r="RDV46" s="117"/>
      <c r="RDW46" s="117"/>
      <c r="RDX46" s="117"/>
      <c r="RDY46" s="117"/>
      <c r="RDZ46" s="117"/>
      <c r="REA46" s="117"/>
      <c r="REB46" s="117"/>
      <c r="REC46" s="117"/>
      <c r="RED46" s="117"/>
      <c r="REE46" s="117"/>
      <c r="REF46" s="117"/>
      <c r="REG46" s="117"/>
      <c r="REH46" s="117"/>
      <c r="REI46" s="117"/>
      <c r="REJ46" s="117"/>
      <c r="REK46" s="117"/>
      <c r="REL46" s="117"/>
      <c r="REM46" s="117"/>
      <c r="REN46" s="117"/>
      <c r="REO46" s="117"/>
      <c r="REP46" s="117"/>
      <c r="REQ46" s="117"/>
      <c r="RER46" s="117"/>
      <c r="RES46" s="117"/>
      <c r="RET46" s="117"/>
      <c r="REU46" s="117"/>
      <c r="REV46" s="117"/>
      <c r="REW46" s="117"/>
      <c r="REX46" s="117"/>
      <c r="REY46" s="117"/>
      <c r="REZ46" s="117"/>
      <c r="RFA46" s="117"/>
      <c r="RFB46" s="117"/>
      <c r="RFC46" s="117"/>
      <c r="RFD46" s="117"/>
      <c r="RFE46" s="117"/>
      <c r="RFF46" s="117"/>
      <c r="RFG46" s="117"/>
      <c r="RFH46" s="117"/>
      <c r="RFI46" s="117"/>
      <c r="RFJ46" s="117"/>
      <c r="RFK46" s="117"/>
      <c r="RFL46" s="117"/>
      <c r="RFM46" s="117"/>
      <c r="RFN46" s="117"/>
      <c r="RFO46" s="117"/>
      <c r="RFP46" s="117"/>
      <c r="RFQ46" s="117"/>
      <c r="RFR46" s="117"/>
      <c r="RFS46" s="117"/>
      <c r="RFT46" s="117"/>
      <c r="RFU46" s="117"/>
      <c r="RFV46" s="117"/>
      <c r="RFW46" s="117"/>
      <c r="RFX46" s="117"/>
      <c r="RFY46" s="117"/>
      <c r="RFZ46" s="117"/>
      <c r="RGA46" s="117"/>
      <c r="RGB46" s="117"/>
      <c r="RGC46" s="117"/>
      <c r="RGD46" s="117"/>
      <c r="RGE46" s="117"/>
      <c r="RGF46" s="117"/>
      <c r="RGG46" s="117"/>
      <c r="RGH46" s="117"/>
      <c r="RGI46" s="117"/>
      <c r="RGJ46" s="117"/>
      <c r="RGK46" s="117"/>
      <c r="RGL46" s="117"/>
      <c r="RGM46" s="117"/>
      <c r="RGN46" s="117"/>
      <c r="RGO46" s="117"/>
      <c r="RGP46" s="117"/>
      <c r="RGQ46" s="117"/>
      <c r="RGR46" s="117"/>
      <c r="RGS46" s="117"/>
      <c r="RGT46" s="117"/>
      <c r="RGU46" s="117"/>
      <c r="RGV46" s="117"/>
      <c r="RGW46" s="117"/>
      <c r="RGX46" s="117"/>
      <c r="RGY46" s="117"/>
      <c r="RGZ46" s="117"/>
      <c r="RHA46" s="117"/>
      <c r="RHB46" s="117"/>
      <c r="RHC46" s="117"/>
      <c r="RHD46" s="117"/>
      <c r="RHE46" s="117"/>
      <c r="RHF46" s="117"/>
      <c r="RHG46" s="117"/>
      <c r="RHH46" s="117"/>
      <c r="RHI46" s="117"/>
      <c r="RHJ46" s="117"/>
      <c r="RHK46" s="117"/>
      <c r="RHL46" s="117"/>
      <c r="RHM46" s="117"/>
      <c r="RHN46" s="117"/>
      <c r="RHO46" s="117"/>
      <c r="RHP46" s="117"/>
      <c r="RHQ46" s="117"/>
      <c r="RHR46" s="117"/>
      <c r="RHS46" s="117"/>
      <c r="RHT46" s="117"/>
      <c r="RHU46" s="117"/>
      <c r="RHV46" s="117"/>
      <c r="RHW46" s="117"/>
      <c r="RHX46" s="117"/>
      <c r="RHY46" s="117"/>
      <c r="RHZ46" s="117"/>
      <c r="RIA46" s="117"/>
      <c r="RIB46" s="117"/>
      <c r="RIC46" s="117"/>
      <c r="RID46" s="117"/>
      <c r="RIE46" s="117"/>
      <c r="RIF46" s="117"/>
      <c r="RIG46" s="117"/>
      <c r="RIH46" s="117"/>
      <c r="RII46" s="117"/>
      <c r="RIJ46" s="117"/>
      <c r="RIK46" s="117"/>
      <c r="RIL46" s="117"/>
      <c r="RIM46" s="117"/>
      <c r="RIN46" s="117"/>
      <c r="RIO46" s="117"/>
      <c r="RIP46" s="117"/>
      <c r="RIQ46" s="117"/>
      <c r="RIR46" s="117"/>
      <c r="RIS46" s="117"/>
      <c r="RIT46" s="117"/>
      <c r="RIU46" s="117"/>
      <c r="RIV46" s="117"/>
      <c r="RIW46" s="117"/>
      <c r="RIX46" s="117"/>
      <c r="RIY46" s="117"/>
      <c r="RIZ46" s="117"/>
      <c r="RJA46" s="117"/>
      <c r="RJB46" s="117"/>
      <c r="RJC46" s="117"/>
      <c r="RJD46" s="117"/>
      <c r="RJE46" s="117"/>
      <c r="RJF46" s="117"/>
      <c r="RJG46" s="117"/>
      <c r="RJH46" s="117"/>
      <c r="RJI46" s="117"/>
      <c r="RJJ46" s="117"/>
      <c r="RJK46" s="117"/>
      <c r="RJL46" s="117"/>
      <c r="RJM46" s="117"/>
      <c r="RJN46" s="117"/>
      <c r="RJO46" s="117"/>
      <c r="RJP46" s="117"/>
      <c r="RJQ46" s="117"/>
      <c r="RJR46" s="117"/>
      <c r="RJS46" s="117"/>
      <c r="RJT46" s="117"/>
      <c r="RJU46" s="117"/>
      <c r="RJV46" s="117"/>
      <c r="RJW46" s="117"/>
      <c r="RJX46" s="117"/>
      <c r="RJY46" s="117"/>
      <c r="RJZ46" s="117"/>
      <c r="RKA46" s="117"/>
      <c r="RKB46" s="117"/>
      <c r="RKC46" s="117"/>
      <c r="RKD46" s="117"/>
      <c r="RKE46" s="117"/>
      <c r="RKF46" s="117"/>
      <c r="RKG46" s="117"/>
      <c r="RKH46" s="117"/>
      <c r="RKI46" s="117"/>
      <c r="RKJ46" s="117"/>
      <c r="RKK46" s="117"/>
      <c r="RKL46" s="117"/>
      <c r="RKM46" s="117"/>
      <c r="RKN46" s="117"/>
      <c r="RKO46" s="117"/>
      <c r="RKP46" s="117"/>
      <c r="RKQ46" s="117"/>
      <c r="RKR46" s="117"/>
      <c r="RKS46" s="117"/>
      <c r="RKT46" s="117"/>
      <c r="RKU46" s="117"/>
      <c r="RKV46" s="117"/>
      <c r="RKW46" s="117"/>
      <c r="RKX46" s="117"/>
      <c r="RKY46" s="117"/>
      <c r="RKZ46" s="117"/>
      <c r="RLA46" s="117"/>
      <c r="RLB46" s="117"/>
      <c r="RLC46" s="117"/>
      <c r="RLD46" s="117"/>
      <c r="RLE46" s="117"/>
      <c r="RLF46" s="117"/>
      <c r="RLG46" s="117"/>
      <c r="RLH46" s="117"/>
      <c r="RLI46" s="117"/>
      <c r="RLJ46" s="117"/>
      <c r="RLK46" s="117"/>
      <c r="RLL46" s="117"/>
      <c r="RLM46" s="117"/>
      <c r="RLN46" s="117"/>
      <c r="RLO46" s="117"/>
      <c r="RLP46" s="117"/>
      <c r="RLQ46" s="117"/>
      <c r="RLR46" s="117"/>
      <c r="RLS46" s="117"/>
      <c r="RLT46" s="117"/>
      <c r="RLU46" s="117"/>
      <c r="RLV46" s="117"/>
      <c r="RLW46" s="117"/>
      <c r="RLX46" s="117"/>
      <c r="RLY46" s="117"/>
      <c r="RLZ46" s="117"/>
      <c r="RMA46" s="117"/>
      <c r="RMB46" s="117"/>
      <c r="RMC46" s="117"/>
      <c r="RMD46" s="117"/>
      <c r="RME46" s="117"/>
      <c r="RMF46" s="117"/>
      <c r="RMG46" s="117"/>
      <c r="RMH46" s="117"/>
      <c r="RMI46" s="117"/>
      <c r="RMJ46" s="117"/>
      <c r="RMK46" s="117"/>
      <c r="RML46" s="117"/>
      <c r="RMM46" s="117"/>
      <c r="RMN46" s="117"/>
      <c r="RMO46" s="117"/>
      <c r="RMP46" s="117"/>
      <c r="RMQ46" s="117"/>
      <c r="RMR46" s="117"/>
      <c r="RMS46" s="117"/>
      <c r="RMT46" s="117"/>
      <c r="RMU46" s="117"/>
      <c r="RMV46" s="117"/>
      <c r="RMW46" s="117"/>
      <c r="RMX46" s="117"/>
      <c r="RMY46" s="117"/>
      <c r="RMZ46" s="117"/>
      <c r="RNA46" s="117"/>
      <c r="RNB46" s="117"/>
      <c r="RNC46" s="117"/>
      <c r="RND46" s="117"/>
      <c r="RNE46" s="117"/>
      <c r="RNF46" s="117"/>
      <c r="RNG46" s="117"/>
      <c r="RNH46" s="117"/>
      <c r="RNI46" s="117"/>
      <c r="RNJ46" s="117"/>
      <c r="RNK46" s="117"/>
      <c r="RNL46" s="117"/>
      <c r="RNM46" s="117"/>
      <c r="RNN46" s="117"/>
      <c r="RNO46" s="117"/>
      <c r="RNP46" s="117"/>
      <c r="RNQ46" s="117"/>
      <c r="RNR46" s="117"/>
      <c r="RNS46" s="117"/>
      <c r="RNT46" s="117"/>
      <c r="RNU46" s="117"/>
      <c r="RNV46" s="117"/>
      <c r="RNW46" s="117"/>
      <c r="RNX46" s="117"/>
      <c r="RNY46" s="117"/>
      <c r="RNZ46" s="117"/>
      <c r="ROA46" s="117"/>
      <c r="ROB46" s="117"/>
      <c r="ROC46" s="117"/>
      <c r="ROD46" s="117"/>
      <c r="ROE46" s="117"/>
      <c r="ROF46" s="117"/>
      <c r="ROG46" s="117"/>
      <c r="ROH46" s="117"/>
      <c r="ROI46" s="117"/>
      <c r="ROJ46" s="117"/>
      <c r="ROK46" s="117"/>
      <c r="ROL46" s="117"/>
      <c r="ROM46" s="117"/>
      <c r="RON46" s="117"/>
      <c r="ROO46" s="117"/>
      <c r="ROP46" s="117"/>
      <c r="ROQ46" s="117"/>
      <c r="ROR46" s="117"/>
      <c r="ROS46" s="117"/>
      <c r="ROT46" s="117"/>
      <c r="ROU46" s="117"/>
      <c r="ROV46" s="117"/>
      <c r="ROW46" s="117"/>
      <c r="ROX46" s="117"/>
      <c r="ROY46" s="117"/>
      <c r="ROZ46" s="117"/>
      <c r="RPA46" s="117"/>
      <c r="RPB46" s="117"/>
      <c r="RPC46" s="117"/>
      <c r="RPD46" s="117"/>
      <c r="RPE46" s="117"/>
      <c r="RPF46" s="117"/>
      <c r="RPG46" s="117"/>
      <c r="RPH46" s="117"/>
      <c r="RPI46" s="117"/>
      <c r="RPJ46" s="117"/>
      <c r="RPK46" s="117"/>
      <c r="RPL46" s="117"/>
      <c r="RPM46" s="117"/>
      <c r="RPN46" s="117"/>
      <c r="RPO46" s="117"/>
      <c r="RPP46" s="117"/>
      <c r="RPQ46" s="117"/>
      <c r="RPR46" s="117"/>
      <c r="RPS46" s="117"/>
      <c r="RPT46" s="117"/>
      <c r="RPU46" s="117"/>
      <c r="RPV46" s="117"/>
      <c r="RPW46" s="117"/>
      <c r="RPX46" s="117"/>
      <c r="RPY46" s="117"/>
      <c r="RPZ46" s="117"/>
      <c r="RQA46" s="117"/>
      <c r="RQB46" s="117"/>
      <c r="RQC46" s="117"/>
      <c r="RQD46" s="117"/>
      <c r="RQE46" s="117"/>
      <c r="RQF46" s="117"/>
      <c r="RQG46" s="117"/>
      <c r="RQH46" s="117"/>
      <c r="RQI46" s="117"/>
      <c r="RQJ46" s="117"/>
      <c r="RQK46" s="117"/>
      <c r="RQL46" s="117"/>
      <c r="RQM46" s="117"/>
      <c r="RQN46" s="117"/>
      <c r="RQO46" s="117"/>
      <c r="RQP46" s="117"/>
      <c r="RQQ46" s="117"/>
      <c r="RQR46" s="117"/>
      <c r="RQS46" s="117"/>
      <c r="RQT46" s="117"/>
      <c r="RQU46" s="117"/>
      <c r="RQV46" s="117"/>
      <c r="RQW46" s="117"/>
      <c r="RQX46" s="117"/>
      <c r="RQY46" s="117"/>
      <c r="RQZ46" s="117"/>
      <c r="RRA46" s="117"/>
      <c r="RRB46" s="117"/>
      <c r="RRC46" s="117"/>
      <c r="RRD46" s="117"/>
      <c r="RRE46" s="117"/>
      <c r="RRF46" s="117"/>
      <c r="RRG46" s="117"/>
      <c r="RRH46" s="117"/>
      <c r="RRI46" s="117"/>
      <c r="RRJ46" s="117"/>
      <c r="RRK46" s="117"/>
      <c r="RRL46" s="117"/>
      <c r="RRM46" s="117"/>
      <c r="RRN46" s="117"/>
      <c r="RRO46" s="117"/>
      <c r="RRP46" s="117"/>
      <c r="RRQ46" s="117"/>
      <c r="RRR46" s="117"/>
      <c r="RRS46" s="117"/>
      <c r="RRT46" s="117"/>
      <c r="RRU46" s="117"/>
      <c r="RRV46" s="117"/>
      <c r="RRW46" s="117"/>
      <c r="RRX46" s="117"/>
      <c r="RRY46" s="117"/>
      <c r="RRZ46" s="117"/>
      <c r="RSA46" s="117"/>
      <c r="RSB46" s="117"/>
      <c r="RSC46" s="117"/>
      <c r="RSD46" s="117"/>
      <c r="RSE46" s="117"/>
      <c r="RSF46" s="117"/>
      <c r="RSG46" s="117"/>
      <c r="RSH46" s="117"/>
      <c r="RSI46" s="117"/>
      <c r="RSJ46" s="117"/>
      <c r="RSK46" s="117"/>
      <c r="RSL46" s="117"/>
      <c r="RSM46" s="117"/>
      <c r="RSN46" s="117"/>
      <c r="RSO46" s="117"/>
      <c r="RSP46" s="117"/>
      <c r="RSQ46" s="117"/>
      <c r="RSR46" s="117"/>
      <c r="RSS46" s="117"/>
      <c r="RST46" s="117"/>
      <c r="RSU46" s="117"/>
      <c r="RSV46" s="117"/>
      <c r="RSW46" s="117"/>
      <c r="RSX46" s="117"/>
      <c r="RSY46" s="117"/>
      <c r="RSZ46" s="117"/>
      <c r="RTA46" s="117"/>
      <c r="RTB46" s="117"/>
      <c r="RTC46" s="117"/>
      <c r="RTD46" s="117"/>
      <c r="RTE46" s="117"/>
      <c r="RTF46" s="117"/>
      <c r="RTG46" s="117"/>
      <c r="RTH46" s="117"/>
      <c r="RTI46" s="117"/>
      <c r="RTJ46" s="117"/>
      <c r="RTK46" s="117"/>
      <c r="RTL46" s="117"/>
      <c r="RTM46" s="117"/>
      <c r="RTN46" s="117"/>
      <c r="RTO46" s="117"/>
      <c r="RTP46" s="117"/>
      <c r="RTQ46" s="117"/>
      <c r="RTR46" s="117"/>
      <c r="RTS46" s="117"/>
      <c r="RTT46" s="117"/>
      <c r="RTU46" s="117"/>
      <c r="RTV46" s="117"/>
      <c r="RTW46" s="117"/>
      <c r="RTX46" s="117"/>
      <c r="RTY46" s="117"/>
      <c r="RTZ46" s="117"/>
      <c r="RUA46" s="117"/>
      <c r="RUB46" s="117"/>
      <c r="RUC46" s="117"/>
      <c r="RUD46" s="117"/>
      <c r="RUE46" s="117"/>
      <c r="RUF46" s="117"/>
      <c r="RUG46" s="117"/>
      <c r="RUH46" s="117"/>
      <c r="RUI46" s="117"/>
      <c r="RUJ46" s="117"/>
      <c r="RUK46" s="117"/>
      <c r="RUL46" s="117"/>
      <c r="RUM46" s="117"/>
      <c r="RUN46" s="117"/>
      <c r="RUO46" s="117"/>
      <c r="RUP46" s="117"/>
      <c r="RUQ46" s="117"/>
      <c r="RUR46" s="117"/>
      <c r="RUS46" s="117"/>
      <c r="RUT46" s="117"/>
      <c r="RUU46" s="117"/>
      <c r="RUV46" s="117"/>
      <c r="RUW46" s="117"/>
      <c r="RUX46" s="117"/>
      <c r="RUY46" s="117"/>
      <c r="RUZ46" s="117"/>
      <c r="RVA46" s="117"/>
      <c r="RVB46" s="117"/>
      <c r="RVC46" s="117"/>
      <c r="RVD46" s="117"/>
      <c r="RVE46" s="117"/>
      <c r="RVF46" s="117"/>
      <c r="RVG46" s="117"/>
      <c r="RVH46" s="117"/>
      <c r="RVI46" s="117"/>
      <c r="RVJ46" s="117"/>
      <c r="RVK46" s="117"/>
      <c r="RVL46" s="117"/>
      <c r="RVM46" s="117"/>
      <c r="RVN46" s="117"/>
      <c r="RVO46" s="117"/>
      <c r="RVP46" s="117"/>
      <c r="RVQ46" s="117"/>
      <c r="RVR46" s="117"/>
      <c r="RVS46" s="117"/>
      <c r="RVT46" s="117"/>
      <c r="RVU46" s="117"/>
      <c r="RVV46" s="117"/>
      <c r="RVW46" s="117"/>
      <c r="RVX46" s="117"/>
      <c r="RVY46" s="117"/>
      <c r="RVZ46" s="117"/>
      <c r="RWA46" s="117"/>
      <c r="RWB46" s="117"/>
      <c r="RWC46" s="117"/>
      <c r="RWD46" s="117"/>
      <c r="RWE46" s="117"/>
      <c r="RWF46" s="117"/>
      <c r="RWG46" s="117"/>
      <c r="RWH46" s="117"/>
      <c r="RWI46" s="117"/>
      <c r="RWJ46" s="117"/>
      <c r="RWK46" s="117"/>
      <c r="RWL46" s="117"/>
      <c r="RWM46" s="117"/>
      <c r="RWN46" s="117"/>
      <c r="RWO46" s="117"/>
      <c r="RWP46" s="117"/>
      <c r="RWQ46" s="117"/>
      <c r="RWR46" s="117"/>
      <c r="RWS46" s="117"/>
      <c r="RWT46" s="117"/>
      <c r="RWU46" s="117"/>
      <c r="RWV46" s="117"/>
      <c r="RWW46" s="117"/>
      <c r="RWX46" s="117"/>
      <c r="RWY46" s="117"/>
      <c r="RWZ46" s="117"/>
      <c r="RXA46" s="117"/>
      <c r="RXB46" s="117"/>
      <c r="RXC46" s="117"/>
      <c r="RXD46" s="117"/>
      <c r="RXE46" s="117"/>
      <c r="RXF46" s="117"/>
      <c r="RXG46" s="117"/>
      <c r="RXH46" s="117"/>
      <c r="RXI46" s="117"/>
      <c r="RXJ46" s="117"/>
      <c r="RXK46" s="117"/>
      <c r="RXL46" s="117"/>
      <c r="RXM46" s="117"/>
      <c r="RXN46" s="117"/>
      <c r="RXO46" s="117"/>
      <c r="RXP46" s="117"/>
      <c r="RXQ46" s="117"/>
      <c r="RXR46" s="117"/>
      <c r="RXS46" s="117"/>
      <c r="RXT46" s="117"/>
      <c r="RXU46" s="117"/>
      <c r="RXV46" s="117"/>
      <c r="RXW46" s="117"/>
      <c r="RXX46" s="117"/>
      <c r="RXY46" s="117"/>
      <c r="RXZ46" s="117"/>
      <c r="RYA46" s="117"/>
      <c r="RYB46" s="117"/>
      <c r="RYC46" s="117"/>
      <c r="RYD46" s="117"/>
      <c r="RYE46" s="117"/>
      <c r="RYF46" s="117"/>
      <c r="RYG46" s="117"/>
      <c r="RYH46" s="117"/>
      <c r="RYI46" s="117"/>
      <c r="RYJ46" s="117"/>
      <c r="RYK46" s="117"/>
      <c r="RYL46" s="117"/>
      <c r="RYM46" s="117"/>
      <c r="RYN46" s="117"/>
      <c r="RYO46" s="117"/>
      <c r="RYP46" s="117"/>
      <c r="RYQ46" s="117"/>
      <c r="RYR46" s="117"/>
      <c r="RYS46" s="117"/>
      <c r="RYT46" s="117"/>
      <c r="RYU46" s="117"/>
      <c r="RYV46" s="117"/>
      <c r="RYW46" s="117"/>
      <c r="RYX46" s="117"/>
      <c r="RYY46" s="117"/>
      <c r="RYZ46" s="117"/>
      <c r="RZA46" s="117"/>
      <c r="RZB46" s="117"/>
      <c r="RZC46" s="117"/>
      <c r="RZD46" s="117"/>
      <c r="RZE46" s="117"/>
      <c r="RZF46" s="117"/>
      <c r="RZG46" s="117"/>
      <c r="RZH46" s="117"/>
      <c r="RZI46" s="117"/>
      <c r="RZJ46" s="117"/>
      <c r="RZK46" s="117"/>
      <c r="RZL46" s="117"/>
      <c r="RZM46" s="117"/>
      <c r="RZN46" s="117"/>
      <c r="RZO46" s="117"/>
      <c r="RZP46" s="117"/>
      <c r="RZQ46" s="117"/>
      <c r="RZR46" s="117"/>
      <c r="RZS46" s="117"/>
      <c r="RZT46" s="117"/>
      <c r="RZU46" s="117"/>
      <c r="RZV46" s="117"/>
      <c r="RZW46" s="117"/>
      <c r="RZX46" s="117"/>
      <c r="RZY46" s="117"/>
      <c r="RZZ46" s="117"/>
      <c r="SAA46" s="117"/>
      <c r="SAB46" s="117"/>
      <c r="SAC46" s="117"/>
      <c r="SAD46" s="117"/>
      <c r="SAE46" s="117"/>
      <c r="SAF46" s="117"/>
      <c r="SAG46" s="117"/>
      <c r="SAH46" s="117"/>
      <c r="SAI46" s="117"/>
      <c r="SAJ46" s="117"/>
      <c r="SAK46" s="117"/>
      <c r="SAL46" s="117"/>
      <c r="SAM46" s="117"/>
      <c r="SAN46" s="117"/>
      <c r="SAO46" s="117"/>
      <c r="SAP46" s="117"/>
      <c r="SAQ46" s="117"/>
      <c r="SAR46" s="117"/>
      <c r="SAS46" s="117"/>
      <c r="SAT46" s="117"/>
      <c r="SAU46" s="117"/>
      <c r="SAV46" s="117"/>
      <c r="SAW46" s="117"/>
      <c r="SAX46" s="117"/>
      <c r="SAY46" s="117"/>
      <c r="SAZ46" s="117"/>
      <c r="SBA46" s="117"/>
      <c r="SBB46" s="117"/>
      <c r="SBC46" s="117"/>
      <c r="SBD46" s="117"/>
      <c r="SBE46" s="117"/>
      <c r="SBF46" s="117"/>
      <c r="SBG46" s="117"/>
      <c r="SBH46" s="117"/>
      <c r="SBI46" s="117"/>
      <c r="SBJ46" s="117"/>
      <c r="SBK46" s="117"/>
      <c r="SBL46" s="117"/>
      <c r="SBM46" s="117"/>
      <c r="SBN46" s="117"/>
      <c r="SBO46" s="117"/>
      <c r="SBP46" s="117"/>
      <c r="SBQ46" s="117"/>
      <c r="SBR46" s="117"/>
      <c r="SBS46" s="117"/>
      <c r="SBT46" s="117"/>
      <c r="SBU46" s="117"/>
      <c r="SBV46" s="117"/>
      <c r="SBW46" s="117"/>
      <c r="SBX46" s="117"/>
      <c r="SBY46" s="117"/>
      <c r="SBZ46" s="117"/>
      <c r="SCA46" s="117"/>
      <c r="SCB46" s="117"/>
      <c r="SCC46" s="117"/>
      <c r="SCD46" s="117"/>
      <c r="SCE46" s="117"/>
      <c r="SCF46" s="117"/>
      <c r="SCG46" s="117"/>
      <c r="SCH46" s="117"/>
      <c r="SCI46" s="117"/>
      <c r="SCJ46" s="117"/>
      <c r="SCK46" s="117"/>
      <c r="SCL46" s="117"/>
      <c r="SCM46" s="117"/>
      <c r="SCN46" s="117"/>
      <c r="SCO46" s="117"/>
      <c r="SCP46" s="117"/>
      <c r="SCQ46" s="117"/>
      <c r="SCR46" s="117"/>
      <c r="SCS46" s="117"/>
      <c r="SCT46" s="117"/>
      <c r="SCU46" s="117"/>
      <c r="SCV46" s="117"/>
      <c r="SCW46" s="117"/>
      <c r="SCX46" s="117"/>
      <c r="SCY46" s="117"/>
      <c r="SCZ46" s="117"/>
      <c r="SDA46" s="117"/>
      <c r="SDB46" s="117"/>
      <c r="SDC46" s="117"/>
      <c r="SDD46" s="117"/>
      <c r="SDE46" s="117"/>
      <c r="SDF46" s="117"/>
      <c r="SDG46" s="117"/>
      <c r="SDH46" s="117"/>
      <c r="SDI46" s="117"/>
      <c r="SDJ46" s="117"/>
      <c r="SDK46" s="117"/>
      <c r="SDL46" s="117"/>
      <c r="SDM46" s="117"/>
      <c r="SDN46" s="117"/>
      <c r="SDO46" s="117"/>
      <c r="SDP46" s="117"/>
      <c r="SDQ46" s="117"/>
      <c r="SDR46" s="117"/>
      <c r="SDS46" s="117"/>
      <c r="SDT46" s="117"/>
      <c r="SDU46" s="117"/>
      <c r="SDV46" s="117"/>
      <c r="SDW46" s="117"/>
      <c r="SDX46" s="117"/>
      <c r="SDY46" s="117"/>
      <c r="SDZ46" s="117"/>
      <c r="SEA46" s="117"/>
      <c r="SEB46" s="117"/>
      <c r="SEC46" s="117"/>
      <c r="SED46" s="117"/>
      <c r="SEE46" s="117"/>
      <c r="SEF46" s="117"/>
      <c r="SEG46" s="117"/>
      <c r="SEH46" s="117"/>
      <c r="SEI46" s="117"/>
      <c r="SEJ46" s="117"/>
      <c r="SEK46" s="117"/>
      <c r="SEL46" s="117"/>
      <c r="SEM46" s="117"/>
      <c r="SEN46" s="117"/>
      <c r="SEO46" s="117"/>
      <c r="SEP46" s="117"/>
      <c r="SEQ46" s="117"/>
      <c r="SER46" s="117"/>
      <c r="SES46" s="117"/>
      <c r="SET46" s="117"/>
      <c r="SEU46" s="117"/>
      <c r="SEV46" s="117"/>
      <c r="SEW46" s="117"/>
      <c r="SEX46" s="117"/>
      <c r="SEY46" s="117"/>
      <c r="SEZ46" s="117"/>
      <c r="SFA46" s="117"/>
      <c r="SFB46" s="117"/>
      <c r="SFC46" s="117"/>
      <c r="SFD46" s="117"/>
      <c r="SFE46" s="117"/>
      <c r="SFF46" s="117"/>
      <c r="SFG46" s="117"/>
      <c r="SFH46" s="117"/>
      <c r="SFI46" s="117"/>
      <c r="SFJ46" s="117"/>
      <c r="SFK46" s="117"/>
      <c r="SFL46" s="117"/>
      <c r="SFM46" s="117"/>
      <c r="SFN46" s="117"/>
      <c r="SFO46" s="117"/>
      <c r="SFP46" s="117"/>
      <c r="SFQ46" s="117"/>
      <c r="SFR46" s="117"/>
      <c r="SFS46" s="117"/>
      <c r="SFT46" s="117"/>
      <c r="SFU46" s="117"/>
      <c r="SFV46" s="117"/>
      <c r="SFW46" s="117"/>
      <c r="SFX46" s="117"/>
      <c r="SFY46" s="117"/>
      <c r="SFZ46" s="117"/>
      <c r="SGA46" s="117"/>
      <c r="SGB46" s="117"/>
      <c r="SGC46" s="117"/>
      <c r="SGD46" s="117"/>
      <c r="SGE46" s="117"/>
      <c r="SGF46" s="117"/>
      <c r="SGG46" s="117"/>
      <c r="SGH46" s="117"/>
      <c r="SGI46" s="117"/>
      <c r="SGJ46" s="117"/>
      <c r="SGK46" s="117"/>
      <c r="SGL46" s="117"/>
      <c r="SGM46" s="117"/>
      <c r="SGN46" s="117"/>
      <c r="SGO46" s="117"/>
      <c r="SGP46" s="117"/>
      <c r="SGQ46" s="117"/>
      <c r="SGR46" s="117"/>
      <c r="SGS46" s="117"/>
      <c r="SGT46" s="117"/>
      <c r="SGU46" s="117"/>
      <c r="SGV46" s="117"/>
      <c r="SGW46" s="117"/>
      <c r="SGX46" s="117"/>
      <c r="SGY46" s="117"/>
      <c r="SGZ46" s="117"/>
      <c r="SHA46" s="117"/>
      <c r="SHB46" s="117"/>
      <c r="SHC46" s="117"/>
      <c r="SHD46" s="117"/>
      <c r="SHE46" s="117"/>
      <c r="SHF46" s="117"/>
      <c r="SHG46" s="117"/>
      <c r="SHH46" s="117"/>
      <c r="SHI46" s="117"/>
      <c r="SHJ46" s="117"/>
      <c r="SHK46" s="117"/>
      <c r="SHL46" s="117"/>
      <c r="SHM46" s="117"/>
      <c r="SHN46" s="117"/>
      <c r="SHO46" s="117"/>
      <c r="SHP46" s="117"/>
      <c r="SHQ46" s="117"/>
      <c r="SHR46" s="117"/>
      <c r="SHS46" s="117"/>
      <c r="SHT46" s="117"/>
      <c r="SHU46" s="117"/>
      <c r="SHV46" s="117"/>
      <c r="SHW46" s="117"/>
      <c r="SHX46" s="117"/>
      <c r="SHY46" s="117"/>
      <c r="SHZ46" s="117"/>
      <c r="SIA46" s="117"/>
      <c r="SIB46" s="117"/>
      <c r="SIC46" s="117"/>
      <c r="SID46" s="117"/>
      <c r="SIE46" s="117"/>
      <c r="SIF46" s="117"/>
      <c r="SIG46" s="117"/>
      <c r="SIH46" s="117"/>
      <c r="SII46" s="117"/>
      <c r="SIJ46" s="117"/>
      <c r="SIK46" s="117"/>
      <c r="SIL46" s="117"/>
      <c r="SIM46" s="117"/>
      <c r="SIN46" s="117"/>
      <c r="SIO46" s="117"/>
      <c r="SIP46" s="117"/>
      <c r="SIQ46" s="117"/>
      <c r="SIR46" s="117"/>
      <c r="SIS46" s="117"/>
      <c r="SIT46" s="117"/>
      <c r="SIU46" s="117"/>
      <c r="SIV46" s="117"/>
      <c r="SIW46" s="117"/>
      <c r="SIX46" s="117"/>
      <c r="SIY46" s="117"/>
      <c r="SIZ46" s="117"/>
      <c r="SJA46" s="117"/>
      <c r="SJB46" s="117"/>
      <c r="SJC46" s="117"/>
      <c r="SJD46" s="117"/>
      <c r="SJE46" s="117"/>
      <c r="SJF46" s="117"/>
      <c r="SJG46" s="117"/>
      <c r="SJH46" s="117"/>
      <c r="SJI46" s="117"/>
      <c r="SJJ46" s="117"/>
      <c r="SJK46" s="117"/>
      <c r="SJL46" s="117"/>
      <c r="SJM46" s="117"/>
      <c r="SJN46" s="117"/>
      <c r="SJO46" s="117"/>
      <c r="SJP46" s="117"/>
      <c r="SJQ46" s="117"/>
      <c r="SJR46" s="117"/>
      <c r="SJS46" s="117"/>
      <c r="SJT46" s="117"/>
      <c r="SJU46" s="117"/>
      <c r="SJV46" s="117"/>
      <c r="SJW46" s="117"/>
      <c r="SJX46" s="117"/>
      <c r="SJY46" s="117"/>
      <c r="SJZ46" s="117"/>
      <c r="SKA46" s="117"/>
      <c r="SKB46" s="117"/>
      <c r="SKC46" s="117"/>
      <c r="SKD46" s="117"/>
      <c r="SKE46" s="117"/>
      <c r="SKF46" s="117"/>
      <c r="SKG46" s="117"/>
      <c r="SKH46" s="117"/>
      <c r="SKI46" s="117"/>
      <c r="SKJ46" s="117"/>
      <c r="SKK46" s="117"/>
      <c r="SKL46" s="117"/>
      <c r="SKM46" s="117"/>
      <c r="SKN46" s="117"/>
      <c r="SKO46" s="117"/>
      <c r="SKP46" s="117"/>
      <c r="SKQ46" s="117"/>
      <c r="SKR46" s="117"/>
      <c r="SKS46" s="117"/>
      <c r="SKT46" s="117"/>
      <c r="SKU46" s="117"/>
      <c r="SKV46" s="117"/>
      <c r="SKW46" s="117"/>
      <c r="SKX46" s="117"/>
      <c r="SKY46" s="117"/>
      <c r="SKZ46" s="117"/>
      <c r="SLA46" s="117"/>
      <c r="SLB46" s="117"/>
      <c r="SLC46" s="117"/>
      <c r="SLD46" s="117"/>
      <c r="SLE46" s="117"/>
      <c r="SLF46" s="117"/>
      <c r="SLG46" s="117"/>
      <c r="SLH46" s="117"/>
      <c r="SLI46" s="117"/>
      <c r="SLJ46" s="117"/>
      <c r="SLK46" s="117"/>
      <c r="SLL46" s="117"/>
      <c r="SLM46" s="117"/>
      <c r="SLN46" s="117"/>
      <c r="SLO46" s="117"/>
      <c r="SLP46" s="117"/>
      <c r="SLQ46" s="117"/>
      <c r="SLR46" s="117"/>
      <c r="SLS46" s="117"/>
      <c r="SLT46" s="117"/>
      <c r="SLU46" s="117"/>
      <c r="SLV46" s="117"/>
      <c r="SLW46" s="117"/>
      <c r="SLX46" s="117"/>
      <c r="SLY46" s="117"/>
      <c r="SLZ46" s="117"/>
      <c r="SMA46" s="117"/>
      <c r="SMB46" s="117"/>
      <c r="SMC46" s="117"/>
      <c r="SMD46" s="117"/>
      <c r="SME46" s="117"/>
      <c r="SMF46" s="117"/>
      <c r="SMG46" s="117"/>
      <c r="SMH46" s="117"/>
      <c r="SMI46" s="117"/>
      <c r="SMJ46" s="117"/>
      <c r="SMK46" s="117"/>
      <c r="SML46" s="117"/>
      <c r="SMM46" s="117"/>
      <c r="SMN46" s="117"/>
      <c r="SMO46" s="117"/>
      <c r="SMP46" s="117"/>
      <c r="SMQ46" s="117"/>
      <c r="SMR46" s="117"/>
      <c r="SMS46" s="117"/>
      <c r="SMT46" s="117"/>
      <c r="SMU46" s="117"/>
      <c r="SMV46" s="117"/>
      <c r="SMW46" s="117"/>
      <c r="SMX46" s="117"/>
      <c r="SMY46" s="117"/>
      <c r="SMZ46" s="117"/>
      <c r="SNA46" s="117"/>
      <c r="SNB46" s="117"/>
      <c r="SNC46" s="117"/>
      <c r="SND46" s="117"/>
      <c r="SNE46" s="117"/>
      <c r="SNF46" s="117"/>
      <c r="SNG46" s="117"/>
      <c r="SNH46" s="117"/>
      <c r="SNI46" s="117"/>
      <c r="SNJ46" s="117"/>
      <c r="SNK46" s="117"/>
      <c r="SNL46" s="117"/>
      <c r="SNM46" s="117"/>
      <c r="SNN46" s="117"/>
      <c r="SNO46" s="117"/>
      <c r="SNP46" s="117"/>
      <c r="SNQ46" s="117"/>
      <c r="SNR46" s="117"/>
      <c r="SNS46" s="117"/>
      <c r="SNT46" s="117"/>
      <c r="SNU46" s="117"/>
      <c r="SNV46" s="117"/>
      <c r="SNW46" s="117"/>
      <c r="SNX46" s="117"/>
      <c r="SNY46" s="117"/>
      <c r="SNZ46" s="117"/>
      <c r="SOA46" s="117"/>
      <c r="SOB46" s="117"/>
      <c r="SOC46" s="117"/>
      <c r="SOD46" s="117"/>
      <c r="SOE46" s="117"/>
      <c r="SOF46" s="117"/>
      <c r="SOG46" s="117"/>
      <c r="SOH46" s="117"/>
      <c r="SOI46" s="117"/>
      <c r="SOJ46" s="117"/>
      <c r="SOK46" s="117"/>
      <c r="SOL46" s="117"/>
      <c r="SOM46" s="117"/>
      <c r="SON46" s="117"/>
      <c r="SOO46" s="117"/>
      <c r="SOP46" s="117"/>
      <c r="SOQ46" s="117"/>
      <c r="SOR46" s="117"/>
      <c r="SOS46" s="117"/>
      <c r="SOT46" s="117"/>
      <c r="SOU46" s="117"/>
      <c r="SOV46" s="117"/>
      <c r="SOW46" s="117"/>
      <c r="SOX46" s="117"/>
      <c r="SOY46" s="117"/>
      <c r="SOZ46" s="117"/>
      <c r="SPA46" s="117"/>
      <c r="SPB46" s="117"/>
      <c r="SPC46" s="117"/>
      <c r="SPD46" s="117"/>
      <c r="SPE46" s="117"/>
      <c r="SPF46" s="117"/>
      <c r="SPG46" s="117"/>
      <c r="SPH46" s="117"/>
      <c r="SPI46" s="117"/>
      <c r="SPJ46" s="117"/>
      <c r="SPK46" s="117"/>
      <c r="SPL46" s="117"/>
      <c r="SPM46" s="117"/>
      <c r="SPN46" s="117"/>
      <c r="SPO46" s="117"/>
      <c r="SPP46" s="117"/>
      <c r="SPQ46" s="117"/>
      <c r="SPR46" s="117"/>
      <c r="SPS46" s="117"/>
      <c r="SPT46" s="117"/>
      <c r="SPU46" s="117"/>
      <c r="SPV46" s="117"/>
      <c r="SPW46" s="117"/>
      <c r="SPX46" s="117"/>
      <c r="SPY46" s="117"/>
      <c r="SPZ46" s="117"/>
      <c r="SQA46" s="117"/>
      <c r="SQB46" s="117"/>
      <c r="SQC46" s="117"/>
      <c r="SQD46" s="117"/>
      <c r="SQE46" s="117"/>
      <c r="SQF46" s="117"/>
      <c r="SQG46" s="117"/>
      <c r="SQH46" s="117"/>
      <c r="SQI46" s="117"/>
      <c r="SQJ46" s="117"/>
      <c r="SQK46" s="117"/>
      <c r="SQL46" s="117"/>
      <c r="SQM46" s="117"/>
      <c r="SQN46" s="117"/>
      <c r="SQO46" s="117"/>
      <c r="SQP46" s="117"/>
      <c r="SQQ46" s="117"/>
      <c r="SQR46" s="117"/>
      <c r="SQS46" s="117"/>
      <c r="SQT46" s="117"/>
      <c r="SQU46" s="117"/>
      <c r="SQV46" s="117"/>
      <c r="SQW46" s="117"/>
      <c r="SQX46" s="117"/>
      <c r="SQY46" s="117"/>
      <c r="SQZ46" s="117"/>
      <c r="SRA46" s="117"/>
      <c r="SRB46" s="117"/>
      <c r="SRC46" s="117"/>
      <c r="SRD46" s="117"/>
      <c r="SRE46" s="117"/>
      <c r="SRF46" s="117"/>
      <c r="SRG46" s="117"/>
      <c r="SRH46" s="117"/>
      <c r="SRI46" s="117"/>
      <c r="SRJ46" s="117"/>
      <c r="SRK46" s="117"/>
      <c r="SRL46" s="117"/>
      <c r="SRM46" s="117"/>
      <c r="SRN46" s="117"/>
      <c r="SRO46" s="117"/>
      <c r="SRP46" s="117"/>
      <c r="SRQ46" s="117"/>
      <c r="SRR46" s="117"/>
      <c r="SRS46" s="117"/>
      <c r="SRT46" s="117"/>
      <c r="SRU46" s="117"/>
      <c r="SRV46" s="117"/>
      <c r="SRW46" s="117"/>
      <c r="SRX46" s="117"/>
      <c r="SRY46" s="117"/>
      <c r="SRZ46" s="117"/>
      <c r="SSA46" s="117"/>
      <c r="SSB46" s="117"/>
      <c r="SSC46" s="117"/>
      <c r="SSD46" s="117"/>
      <c r="SSE46" s="117"/>
      <c r="SSF46" s="117"/>
      <c r="SSG46" s="117"/>
      <c r="SSH46" s="117"/>
      <c r="SSI46" s="117"/>
      <c r="SSJ46" s="117"/>
      <c r="SSK46" s="117"/>
      <c r="SSL46" s="117"/>
      <c r="SSM46" s="117"/>
      <c r="SSN46" s="117"/>
      <c r="SSO46" s="117"/>
      <c r="SSP46" s="117"/>
      <c r="SSQ46" s="117"/>
      <c r="SSR46" s="117"/>
      <c r="SSS46" s="117"/>
      <c r="SST46" s="117"/>
      <c r="SSU46" s="117"/>
      <c r="SSV46" s="117"/>
      <c r="SSW46" s="117"/>
      <c r="SSX46" s="117"/>
      <c r="SSY46" s="117"/>
      <c r="SSZ46" s="117"/>
      <c r="STA46" s="117"/>
      <c r="STB46" s="117"/>
      <c r="STC46" s="117"/>
      <c r="STD46" s="117"/>
      <c r="STE46" s="117"/>
      <c r="STF46" s="117"/>
      <c r="STG46" s="117"/>
      <c r="STH46" s="117"/>
      <c r="STI46" s="117"/>
      <c r="STJ46" s="117"/>
      <c r="STK46" s="117"/>
      <c r="STL46" s="117"/>
      <c r="STM46" s="117"/>
      <c r="STN46" s="117"/>
      <c r="STO46" s="117"/>
      <c r="STP46" s="117"/>
      <c r="STQ46" s="117"/>
      <c r="STR46" s="117"/>
      <c r="STS46" s="117"/>
      <c r="STT46" s="117"/>
      <c r="STU46" s="117"/>
      <c r="STV46" s="117"/>
      <c r="STW46" s="117"/>
      <c r="STX46" s="117"/>
      <c r="STY46" s="117"/>
      <c r="STZ46" s="117"/>
      <c r="SUA46" s="117"/>
      <c r="SUB46" s="117"/>
      <c r="SUC46" s="117"/>
      <c r="SUD46" s="117"/>
      <c r="SUE46" s="117"/>
      <c r="SUF46" s="117"/>
      <c r="SUG46" s="117"/>
      <c r="SUH46" s="117"/>
      <c r="SUI46" s="117"/>
      <c r="SUJ46" s="117"/>
      <c r="SUK46" s="117"/>
      <c r="SUL46" s="117"/>
      <c r="SUM46" s="117"/>
      <c r="SUN46" s="117"/>
      <c r="SUO46" s="117"/>
      <c r="SUP46" s="117"/>
      <c r="SUQ46" s="117"/>
      <c r="SUR46" s="117"/>
      <c r="SUS46" s="117"/>
      <c r="SUT46" s="117"/>
      <c r="SUU46" s="117"/>
      <c r="SUV46" s="117"/>
      <c r="SUW46" s="117"/>
      <c r="SUX46" s="117"/>
      <c r="SUY46" s="117"/>
      <c r="SUZ46" s="117"/>
      <c r="SVA46" s="117"/>
      <c r="SVB46" s="117"/>
      <c r="SVC46" s="117"/>
      <c r="SVD46" s="117"/>
      <c r="SVE46" s="117"/>
      <c r="SVF46" s="117"/>
      <c r="SVG46" s="117"/>
      <c r="SVH46" s="117"/>
      <c r="SVI46" s="117"/>
      <c r="SVJ46" s="117"/>
      <c r="SVK46" s="117"/>
      <c r="SVL46" s="117"/>
      <c r="SVM46" s="117"/>
      <c r="SVN46" s="117"/>
      <c r="SVO46" s="117"/>
      <c r="SVP46" s="117"/>
      <c r="SVQ46" s="117"/>
      <c r="SVR46" s="117"/>
      <c r="SVS46" s="117"/>
      <c r="SVT46" s="117"/>
      <c r="SVU46" s="117"/>
      <c r="SVV46" s="117"/>
      <c r="SVW46" s="117"/>
      <c r="SVX46" s="117"/>
      <c r="SVY46" s="117"/>
      <c r="SVZ46" s="117"/>
      <c r="SWA46" s="117"/>
      <c r="SWB46" s="117"/>
      <c r="SWC46" s="117"/>
      <c r="SWD46" s="117"/>
      <c r="SWE46" s="117"/>
      <c r="SWF46" s="117"/>
      <c r="SWG46" s="117"/>
      <c r="SWH46" s="117"/>
      <c r="SWI46" s="117"/>
      <c r="SWJ46" s="117"/>
      <c r="SWK46" s="117"/>
      <c r="SWL46" s="117"/>
      <c r="SWM46" s="117"/>
      <c r="SWN46" s="117"/>
      <c r="SWO46" s="117"/>
      <c r="SWP46" s="117"/>
      <c r="SWQ46" s="117"/>
      <c r="SWR46" s="117"/>
      <c r="SWS46" s="117"/>
      <c r="SWT46" s="117"/>
      <c r="SWU46" s="117"/>
      <c r="SWV46" s="117"/>
      <c r="SWW46" s="117"/>
      <c r="SWX46" s="117"/>
      <c r="SWY46" s="117"/>
      <c r="SWZ46" s="117"/>
      <c r="SXA46" s="117"/>
      <c r="SXB46" s="117"/>
      <c r="SXC46" s="117"/>
      <c r="SXD46" s="117"/>
      <c r="SXE46" s="117"/>
      <c r="SXF46" s="117"/>
      <c r="SXG46" s="117"/>
      <c r="SXH46" s="117"/>
      <c r="SXI46" s="117"/>
      <c r="SXJ46" s="117"/>
      <c r="SXK46" s="117"/>
      <c r="SXL46" s="117"/>
      <c r="SXM46" s="117"/>
      <c r="SXN46" s="117"/>
      <c r="SXO46" s="117"/>
      <c r="SXP46" s="117"/>
      <c r="SXQ46" s="117"/>
      <c r="SXR46" s="117"/>
      <c r="SXS46" s="117"/>
      <c r="SXT46" s="117"/>
      <c r="SXU46" s="117"/>
      <c r="SXV46" s="117"/>
      <c r="SXW46" s="117"/>
      <c r="SXX46" s="117"/>
      <c r="SXY46" s="117"/>
      <c r="SXZ46" s="117"/>
      <c r="SYA46" s="117"/>
      <c r="SYB46" s="117"/>
      <c r="SYC46" s="117"/>
      <c r="SYD46" s="117"/>
      <c r="SYE46" s="117"/>
      <c r="SYF46" s="117"/>
      <c r="SYG46" s="117"/>
      <c r="SYH46" s="117"/>
      <c r="SYI46" s="117"/>
      <c r="SYJ46" s="117"/>
      <c r="SYK46" s="117"/>
      <c r="SYL46" s="117"/>
      <c r="SYM46" s="117"/>
      <c r="SYN46" s="117"/>
      <c r="SYO46" s="117"/>
      <c r="SYP46" s="117"/>
      <c r="SYQ46" s="117"/>
      <c r="SYR46" s="117"/>
      <c r="SYS46" s="117"/>
      <c r="SYT46" s="117"/>
      <c r="SYU46" s="117"/>
      <c r="SYV46" s="117"/>
      <c r="SYW46" s="117"/>
      <c r="SYX46" s="117"/>
      <c r="SYY46" s="117"/>
      <c r="SYZ46" s="117"/>
      <c r="SZA46" s="117"/>
      <c r="SZB46" s="117"/>
      <c r="SZC46" s="117"/>
      <c r="SZD46" s="117"/>
      <c r="SZE46" s="117"/>
      <c r="SZF46" s="117"/>
      <c r="SZG46" s="117"/>
      <c r="SZH46" s="117"/>
      <c r="SZI46" s="117"/>
      <c r="SZJ46" s="117"/>
      <c r="SZK46" s="117"/>
      <c r="SZL46" s="117"/>
      <c r="SZM46" s="117"/>
      <c r="SZN46" s="117"/>
      <c r="SZO46" s="117"/>
      <c r="SZP46" s="117"/>
      <c r="SZQ46" s="117"/>
      <c r="SZR46" s="117"/>
      <c r="SZS46" s="117"/>
      <c r="SZT46" s="117"/>
      <c r="SZU46" s="117"/>
      <c r="SZV46" s="117"/>
      <c r="SZW46" s="117"/>
      <c r="SZX46" s="117"/>
      <c r="SZY46" s="117"/>
      <c r="SZZ46" s="117"/>
      <c r="TAA46" s="117"/>
      <c r="TAB46" s="117"/>
      <c r="TAC46" s="117"/>
      <c r="TAD46" s="117"/>
      <c r="TAE46" s="117"/>
      <c r="TAF46" s="117"/>
      <c r="TAG46" s="117"/>
      <c r="TAH46" s="117"/>
      <c r="TAI46" s="117"/>
      <c r="TAJ46" s="117"/>
      <c r="TAK46" s="117"/>
      <c r="TAL46" s="117"/>
      <c r="TAM46" s="117"/>
      <c r="TAN46" s="117"/>
      <c r="TAO46" s="117"/>
      <c r="TAP46" s="117"/>
      <c r="TAQ46" s="117"/>
      <c r="TAR46" s="117"/>
      <c r="TAS46" s="117"/>
      <c r="TAT46" s="117"/>
      <c r="TAU46" s="117"/>
      <c r="TAV46" s="117"/>
      <c r="TAW46" s="117"/>
      <c r="TAX46" s="117"/>
      <c r="TAY46" s="117"/>
      <c r="TAZ46" s="117"/>
      <c r="TBA46" s="117"/>
      <c r="TBB46" s="117"/>
      <c r="TBC46" s="117"/>
      <c r="TBD46" s="117"/>
      <c r="TBE46" s="117"/>
      <c r="TBF46" s="117"/>
      <c r="TBG46" s="117"/>
      <c r="TBH46" s="117"/>
      <c r="TBI46" s="117"/>
      <c r="TBJ46" s="117"/>
      <c r="TBK46" s="117"/>
      <c r="TBL46" s="117"/>
      <c r="TBM46" s="117"/>
      <c r="TBN46" s="117"/>
      <c r="TBO46" s="117"/>
      <c r="TBP46" s="117"/>
      <c r="TBQ46" s="117"/>
      <c r="TBR46" s="117"/>
      <c r="TBS46" s="117"/>
      <c r="TBT46" s="117"/>
      <c r="TBU46" s="117"/>
      <c r="TBV46" s="117"/>
      <c r="TBW46" s="117"/>
      <c r="TBX46" s="117"/>
      <c r="TBY46" s="117"/>
      <c r="TBZ46" s="117"/>
      <c r="TCA46" s="117"/>
      <c r="TCB46" s="117"/>
      <c r="TCC46" s="117"/>
      <c r="TCD46" s="117"/>
      <c r="TCE46" s="117"/>
      <c r="TCF46" s="117"/>
      <c r="TCG46" s="117"/>
      <c r="TCH46" s="117"/>
      <c r="TCI46" s="117"/>
      <c r="TCJ46" s="117"/>
      <c r="TCK46" s="117"/>
      <c r="TCL46" s="117"/>
      <c r="TCM46" s="117"/>
      <c r="TCN46" s="117"/>
      <c r="TCO46" s="117"/>
      <c r="TCP46" s="117"/>
      <c r="TCQ46" s="117"/>
      <c r="TCR46" s="117"/>
      <c r="TCS46" s="117"/>
      <c r="TCT46" s="117"/>
      <c r="TCU46" s="117"/>
      <c r="TCV46" s="117"/>
      <c r="TCW46" s="117"/>
      <c r="TCX46" s="117"/>
      <c r="TCY46" s="117"/>
      <c r="TCZ46" s="117"/>
      <c r="TDA46" s="117"/>
      <c r="TDB46" s="117"/>
      <c r="TDC46" s="117"/>
      <c r="TDD46" s="117"/>
      <c r="TDE46" s="117"/>
      <c r="TDF46" s="117"/>
      <c r="TDG46" s="117"/>
      <c r="TDH46" s="117"/>
      <c r="TDI46" s="117"/>
      <c r="TDJ46" s="117"/>
      <c r="TDK46" s="117"/>
      <c r="TDL46" s="117"/>
      <c r="TDM46" s="117"/>
      <c r="TDN46" s="117"/>
      <c r="TDO46" s="117"/>
      <c r="TDP46" s="117"/>
      <c r="TDQ46" s="117"/>
      <c r="TDR46" s="117"/>
      <c r="TDS46" s="117"/>
      <c r="TDT46" s="117"/>
      <c r="TDU46" s="117"/>
      <c r="TDV46" s="117"/>
      <c r="TDW46" s="117"/>
      <c r="TDX46" s="117"/>
      <c r="TDY46" s="117"/>
      <c r="TDZ46" s="117"/>
      <c r="TEA46" s="117"/>
      <c r="TEB46" s="117"/>
      <c r="TEC46" s="117"/>
      <c r="TED46" s="117"/>
      <c r="TEE46" s="117"/>
      <c r="TEF46" s="117"/>
      <c r="TEG46" s="117"/>
      <c r="TEH46" s="117"/>
      <c r="TEI46" s="117"/>
      <c r="TEJ46" s="117"/>
      <c r="TEK46" s="117"/>
      <c r="TEL46" s="117"/>
      <c r="TEM46" s="117"/>
      <c r="TEN46" s="117"/>
      <c r="TEO46" s="117"/>
      <c r="TEP46" s="117"/>
      <c r="TEQ46" s="117"/>
      <c r="TER46" s="117"/>
      <c r="TES46" s="117"/>
      <c r="TET46" s="117"/>
      <c r="TEU46" s="117"/>
      <c r="TEV46" s="117"/>
      <c r="TEW46" s="117"/>
      <c r="TEX46" s="117"/>
      <c r="TEY46" s="117"/>
      <c r="TEZ46" s="117"/>
      <c r="TFA46" s="117"/>
      <c r="TFB46" s="117"/>
      <c r="TFC46" s="117"/>
      <c r="TFD46" s="117"/>
      <c r="TFE46" s="117"/>
      <c r="TFF46" s="117"/>
      <c r="TFG46" s="117"/>
      <c r="TFH46" s="117"/>
      <c r="TFI46" s="117"/>
      <c r="TFJ46" s="117"/>
      <c r="TFK46" s="117"/>
      <c r="TFL46" s="117"/>
      <c r="TFM46" s="117"/>
      <c r="TFN46" s="117"/>
      <c r="TFO46" s="117"/>
      <c r="TFP46" s="117"/>
      <c r="TFQ46" s="117"/>
      <c r="TFR46" s="117"/>
      <c r="TFS46" s="117"/>
      <c r="TFT46" s="117"/>
      <c r="TFU46" s="117"/>
      <c r="TFV46" s="117"/>
      <c r="TFW46" s="117"/>
      <c r="TFX46" s="117"/>
      <c r="TFY46" s="117"/>
      <c r="TFZ46" s="117"/>
      <c r="TGA46" s="117"/>
      <c r="TGB46" s="117"/>
      <c r="TGC46" s="117"/>
      <c r="TGD46" s="117"/>
      <c r="TGE46" s="117"/>
      <c r="TGF46" s="117"/>
      <c r="TGG46" s="117"/>
      <c r="TGH46" s="117"/>
      <c r="TGI46" s="117"/>
      <c r="TGJ46" s="117"/>
      <c r="TGK46" s="117"/>
      <c r="TGL46" s="117"/>
      <c r="TGM46" s="117"/>
      <c r="TGN46" s="117"/>
      <c r="TGO46" s="117"/>
      <c r="TGP46" s="117"/>
      <c r="TGQ46" s="117"/>
      <c r="TGR46" s="117"/>
      <c r="TGS46" s="117"/>
      <c r="TGT46" s="117"/>
      <c r="TGU46" s="117"/>
      <c r="TGV46" s="117"/>
      <c r="TGW46" s="117"/>
      <c r="TGX46" s="117"/>
      <c r="TGY46" s="117"/>
      <c r="TGZ46" s="117"/>
      <c r="THA46" s="117"/>
      <c r="THB46" s="117"/>
      <c r="THC46" s="117"/>
      <c r="THD46" s="117"/>
      <c r="THE46" s="117"/>
      <c r="THF46" s="117"/>
      <c r="THG46" s="117"/>
      <c r="THH46" s="117"/>
      <c r="THI46" s="117"/>
      <c r="THJ46" s="117"/>
      <c r="THK46" s="117"/>
      <c r="THL46" s="117"/>
      <c r="THM46" s="117"/>
      <c r="THN46" s="117"/>
      <c r="THO46" s="117"/>
      <c r="THP46" s="117"/>
      <c r="THQ46" s="117"/>
      <c r="THR46" s="117"/>
      <c r="THS46" s="117"/>
      <c r="THT46" s="117"/>
      <c r="THU46" s="117"/>
      <c r="THV46" s="117"/>
      <c r="THW46" s="117"/>
      <c r="THX46" s="117"/>
      <c r="THY46" s="117"/>
      <c r="THZ46" s="117"/>
      <c r="TIA46" s="117"/>
      <c r="TIB46" s="117"/>
      <c r="TIC46" s="117"/>
      <c r="TID46" s="117"/>
      <c r="TIE46" s="117"/>
      <c r="TIF46" s="117"/>
      <c r="TIG46" s="117"/>
      <c r="TIH46" s="117"/>
      <c r="TII46" s="117"/>
      <c r="TIJ46" s="117"/>
      <c r="TIK46" s="117"/>
      <c r="TIL46" s="117"/>
      <c r="TIM46" s="117"/>
      <c r="TIN46" s="117"/>
      <c r="TIO46" s="117"/>
      <c r="TIP46" s="117"/>
      <c r="TIQ46" s="117"/>
      <c r="TIR46" s="117"/>
      <c r="TIS46" s="117"/>
      <c r="TIT46" s="117"/>
      <c r="TIU46" s="117"/>
      <c r="TIV46" s="117"/>
      <c r="TIW46" s="117"/>
      <c r="TIX46" s="117"/>
      <c r="TIY46" s="117"/>
      <c r="TIZ46" s="117"/>
      <c r="TJA46" s="117"/>
      <c r="TJB46" s="117"/>
      <c r="TJC46" s="117"/>
      <c r="TJD46" s="117"/>
      <c r="TJE46" s="117"/>
      <c r="TJF46" s="117"/>
      <c r="TJG46" s="117"/>
      <c r="TJH46" s="117"/>
      <c r="TJI46" s="117"/>
      <c r="TJJ46" s="117"/>
      <c r="TJK46" s="117"/>
      <c r="TJL46" s="117"/>
      <c r="TJM46" s="117"/>
      <c r="TJN46" s="117"/>
      <c r="TJO46" s="117"/>
      <c r="TJP46" s="117"/>
      <c r="TJQ46" s="117"/>
      <c r="TJR46" s="117"/>
      <c r="TJS46" s="117"/>
      <c r="TJT46" s="117"/>
      <c r="TJU46" s="117"/>
      <c r="TJV46" s="117"/>
      <c r="TJW46" s="117"/>
      <c r="TJX46" s="117"/>
      <c r="TJY46" s="117"/>
      <c r="TJZ46" s="117"/>
      <c r="TKA46" s="117"/>
      <c r="TKB46" s="117"/>
      <c r="TKC46" s="117"/>
      <c r="TKD46" s="117"/>
      <c r="TKE46" s="117"/>
      <c r="TKF46" s="117"/>
      <c r="TKG46" s="117"/>
      <c r="TKH46" s="117"/>
      <c r="TKI46" s="117"/>
      <c r="TKJ46" s="117"/>
      <c r="TKK46" s="117"/>
      <c r="TKL46" s="117"/>
      <c r="TKM46" s="117"/>
      <c r="TKN46" s="117"/>
      <c r="TKO46" s="117"/>
      <c r="TKP46" s="117"/>
      <c r="TKQ46" s="117"/>
      <c r="TKR46" s="117"/>
      <c r="TKS46" s="117"/>
      <c r="TKT46" s="117"/>
      <c r="TKU46" s="117"/>
      <c r="TKV46" s="117"/>
      <c r="TKW46" s="117"/>
      <c r="TKX46" s="117"/>
      <c r="TKY46" s="117"/>
      <c r="TKZ46" s="117"/>
      <c r="TLA46" s="117"/>
      <c r="TLB46" s="117"/>
      <c r="TLC46" s="117"/>
      <c r="TLD46" s="117"/>
      <c r="TLE46" s="117"/>
      <c r="TLF46" s="117"/>
      <c r="TLG46" s="117"/>
      <c r="TLH46" s="117"/>
      <c r="TLI46" s="117"/>
      <c r="TLJ46" s="117"/>
      <c r="TLK46" s="117"/>
      <c r="TLL46" s="117"/>
      <c r="TLM46" s="117"/>
      <c r="TLN46" s="117"/>
      <c r="TLO46" s="117"/>
      <c r="TLP46" s="117"/>
      <c r="TLQ46" s="117"/>
      <c r="TLR46" s="117"/>
      <c r="TLS46" s="117"/>
      <c r="TLT46" s="117"/>
      <c r="TLU46" s="117"/>
      <c r="TLV46" s="117"/>
      <c r="TLW46" s="117"/>
      <c r="TLX46" s="117"/>
      <c r="TLY46" s="117"/>
      <c r="TLZ46" s="117"/>
      <c r="TMA46" s="117"/>
      <c r="TMB46" s="117"/>
      <c r="TMC46" s="117"/>
      <c r="TMD46" s="117"/>
      <c r="TME46" s="117"/>
      <c r="TMF46" s="117"/>
      <c r="TMG46" s="117"/>
      <c r="TMH46" s="117"/>
      <c r="TMI46" s="117"/>
      <c r="TMJ46" s="117"/>
      <c r="TMK46" s="117"/>
      <c r="TML46" s="117"/>
      <c r="TMM46" s="117"/>
      <c r="TMN46" s="117"/>
      <c r="TMO46" s="117"/>
      <c r="TMP46" s="117"/>
      <c r="TMQ46" s="117"/>
      <c r="TMR46" s="117"/>
      <c r="TMS46" s="117"/>
      <c r="TMT46" s="117"/>
      <c r="TMU46" s="117"/>
      <c r="TMV46" s="117"/>
      <c r="TMW46" s="117"/>
      <c r="TMX46" s="117"/>
      <c r="TMY46" s="117"/>
      <c r="TMZ46" s="117"/>
      <c r="TNA46" s="117"/>
      <c r="TNB46" s="117"/>
      <c r="TNC46" s="117"/>
      <c r="TND46" s="117"/>
      <c r="TNE46" s="117"/>
      <c r="TNF46" s="117"/>
      <c r="TNG46" s="117"/>
      <c r="TNH46" s="117"/>
      <c r="TNI46" s="117"/>
      <c r="TNJ46" s="117"/>
      <c r="TNK46" s="117"/>
      <c r="TNL46" s="117"/>
      <c r="TNM46" s="117"/>
      <c r="TNN46" s="117"/>
      <c r="TNO46" s="117"/>
      <c r="TNP46" s="117"/>
      <c r="TNQ46" s="117"/>
      <c r="TNR46" s="117"/>
      <c r="TNS46" s="117"/>
      <c r="TNT46" s="117"/>
      <c r="TNU46" s="117"/>
      <c r="TNV46" s="117"/>
      <c r="TNW46" s="117"/>
      <c r="TNX46" s="117"/>
      <c r="TNY46" s="117"/>
      <c r="TNZ46" s="117"/>
      <c r="TOA46" s="117"/>
      <c r="TOB46" s="117"/>
      <c r="TOC46" s="117"/>
      <c r="TOD46" s="117"/>
      <c r="TOE46" s="117"/>
      <c r="TOF46" s="117"/>
      <c r="TOG46" s="117"/>
      <c r="TOH46" s="117"/>
      <c r="TOI46" s="117"/>
      <c r="TOJ46" s="117"/>
      <c r="TOK46" s="117"/>
      <c r="TOL46" s="117"/>
      <c r="TOM46" s="117"/>
      <c r="TON46" s="117"/>
      <c r="TOO46" s="117"/>
      <c r="TOP46" s="117"/>
      <c r="TOQ46" s="117"/>
      <c r="TOR46" s="117"/>
      <c r="TOS46" s="117"/>
      <c r="TOT46" s="117"/>
      <c r="TOU46" s="117"/>
      <c r="TOV46" s="117"/>
      <c r="TOW46" s="117"/>
      <c r="TOX46" s="117"/>
      <c r="TOY46" s="117"/>
      <c r="TOZ46" s="117"/>
      <c r="TPA46" s="117"/>
      <c r="TPB46" s="117"/>
      <c r="TPC46" s="117"/>
      <c r="TPD46" s="117"/>
      <c r="TPE46" s="117"/>
      <c r="TPF46" s="117"/>
      <c r="TPG46" s="117"/>
      <c r="TPH46" s="117"/>
      <c r="TPI46" s="117"/>
      <c r="TPJ46" s="117"/>
      <c r="TPK46" s="117"/>
      <c r="TPL46" s="117"/>
      <c r="TPM46" s="117"/>
      <c r="TPN46" s="117"/>
      <c r="TPO46" s="117"/>
      <c r="TPP46" s="117"/>
      <c r="TPQ46" s="117"/>
      <c r="TPR46" s="117"/>
      <c r="TPS46" s="117"/>
      <c r="TPT46" s="117"/>
      <c r="TPU46" s="117"/>
      <c r="TPV46" s="117"/>
      <c r="TPW46" s="117"/>
      <c r="TPX46" s="117"/>
      <c r="TPY46" s="117"/>
      <c r="TPZ46" s="117"/>
      <c r="TQA46" s="117"/>
      <c r="TQB46" s="117"/>
      <c r="TQC46" s="117"/>
      <c r="TQD46" s="117"/>
      <c r="TQE46" s="117"/>
      <c r="TQF46" s="117"/>
      <c r="TQG46" s="117"/>
      <c r="TQH46" s="117"/>
      <c r="TQI46" s="117"/>
      <c r="TQJ46" s="117"/>
      <c r="TQK46" s="117"/>
      <c r="TQL46" s="117"/>
      <c r="TQM46" s="117"/>
      <c r="TQN46" s="117"/>
      <c r="TQO46" s="117"/>
      <c r="TQP46" s="117"/>
      <c r="TQQ46" s="117"/>
      <c r="TQR46" s="117"/>
      <c r="TQS46" s="117"/>
      <c r="TQT46" s="117"/>
      <c r="TQU46" s="117"/>
      <c r="TQV46" s="117"/>
      <c r="TQW46" s="117"/>
      <c r="TQX46" s="117"/>
      <c r="TQY46" s="117"/>
      <c r="TQZ46" s="117"/>
      <c r="TRA46" s="117"/>
      <c r="TRB46" s="117"/>
      <c r="TRC46" s="117"/>
      <c r="TRD46" s="117"/>
      <c r="TRE46" s="117"/>
      <c r="TRF46" s="117"/>
      <c r="TRG46" s="117"/>
      <c r="TRH46" s="117"/>
      <c r="TRI46" s="117"/>
      <c r="TRJ46" s="117"/>
      <c r="TRK46" s="117"/>
      <c r="TRL46" s="117"/>
      <c r="TRM46" s="117"/>
      <c r="TRN46" s="117"/>
      <c r="TRO46" s="117"/>
      <c r="TRP46" s="117"/>
      <c r="TRQ46" s="117"/>
      <c r="TRR46" s="117"/>
      <c r="TRS46" s="117"/>
      <c r="TRT46" s="117"/>
      <c r="TRU46" s="117"/>
      <c r="TRV46" s="117"/>
      <c r="TRW46" s="117"/>
      <c r="TRX46" s="117"/>
      <c r="TRY46" s="117"/>
      <c r="TRZ46" s="117"/>
      <c r="TSA46" s="117"/>
      <c r="TSB46" s="117"/>
      <c r="TSC46" s="117"/>
      <c r="TSD46" s="117"/>
      <c r="TSE46" s="117"/>
      <c r="TSF46" s="117"/>
      <c r="TSG46" s="117"/>
      <c r="TSH46" s="117"/>
      <c r="TSI46" s="117"/>
      <c r="TSJ46" s="117"/>
      <c r="TSK46" s="117"/>
      <c r="TSL46" s="117"/>
      <c r="TSM46" s="117"/>
      <c r="TSN46" s="117"/>
      <c r="TSO46" s="117"/>
      <c r="TSP46" s="117"/>
      <c r="TSQ46" s="117"/>
      <c r="TSR46" s="117"/>
      <c r="TSS46" s="117"/>
      <c r="TST46" s="117"/>
      <c r="TSU46" s="117"/>
      <c r="TSV46" s="117"/>
      <c r="TSW46" s="117"/>
      <c r="TSX46" s="117"/>
      <c r="TSY46" s="117"/>
      <c r="TSZ46" s="117"/>
      <c r="TTA46" s="117"/>
      <c r="TTB46" s="117"/>
      <c r="TTC46" s="117"/>
      <c r="TTD46" s="117"/>
      <c r="TTE46" s="117"/>
      <c r="TTF46" s="117"/>
      <c r="TTG46" s="117"/>
      <c r="TTH46" s="117"/>
      <c r="TTI46" s="117"/>
      <c r="TTJ46" s="117"/>
      <c r="TTK46" s="117"/>
      <c r="TTL46" s="117"/>
      <c r="TTM46" s="117"/>
      <c r="TTN46" s="117"/>
      <c r="TTO46" s="117"/>
      <c r="TTP46" s="117"/>
      <c r="TTQ46" s="117"/>
      <c r="TTR46" s="117"/>
      <c r="TTS46" s="117"/>
      <c r="TTT46" s="117"/>
      <c r="TTU46" s="117"/>
      <c r="TTV46" s="117"/>
      <c r="TTW46" s="117"/>
      <c r="TTX46" s="117"/>
      <c r="TTY46" s="117"/>
      <c r="TTZ46" s="117"/>
      <c r="TUA46" s="117"/>
      <c r="TUB46" s="117"/>
      <c r="TUC46" s="117"/>
      <c r="TUD46" s="117"/>
      <c r="TUE46" s="117"/>
      <c r="TUF46" s="117"/>
      <c r="TUG46" s="117"/>
      <c r="TUH46" s="117"/>
      <c r="TUI46" s="117"/>
      <c r="TUJ46" s="117"/>
      <c r="TUK46" s="117"/>
      <c r="TUL46" s="117"/>
      <c r="TUM46" s="117"/>
      <c r="TUN46" s="117"/>
      <c r="TUO46" s="117"/>
      <c r="TUP46" s="117"/>
      <c r="TUQ46" s="117"/>
      <c r="TUR46" s="117"/>
      <c r="TUS46" s="117"/>
      <c r="TUT46" s="117"/>
      <c r="TUU46" s="117"/>
      <c r="TUV46" s="117"/>
      <c r="TUW46" s="117"/>
      <c r="TUX46" s="117"/>
      <c r="TUY46" s="117"/>
      <c r="TUZ46" s="117"/>
      <c r="TVA46" s="117"/>
      <c r="TVB46" s="117"/>
      <c r="TVC46" s="117"/>
      <c r="TVD46" s="117"/>
      <c r="TVE46" s="117"/>
      <c r="TVF46" s="117"/>
      <c r="TVG46" s="117"/>
      <c r="TVH46" s="117"/>
      <c r="TVI46" s="117"/>
      <c r="TVJ46" s="117"/>
      <c r="TVK46" s="117"/>
      <c r="TVL46" s="117"/>
      <c r="TVM46" s="117"/>
      <c r="TVN46" s="117"/>
      <c r="TVO46" s="117"/>
      <c r="TVP46" s="117"/>
      <c r="TVQ46" s="117"/>
      <c r="TVR46" s="117"/>
      <c r="TVS46" s="117"/>
      <c r="TVT46" s="117"/>
      <c r="TVU46" s="117"/>
      <c r="TVV46" s="117"/>
      <c r="TVW46" s="117"/>
      <c r="TVX46" s="117"/>
      <c r="TVY46" s="117"/>
      <c r="TVZ46" s="117"/>
      <c r="TWA46" s="117"/>
      <c r="TWB46" s="117"/>
      <c r="TWC46" s="117"/>
      <c r="TWD46" s="117"/>
      <c r="TWE46" s="117"/>
      <c r="TWF46" s="117"/>
      <c r="TWG46" s="117"/>
      <c r="TWH46" s="117"/>
      <c r="TWI46" s="117"/>
      <c r="TWJ46" s="117"/>
      <c r="TWK46" s="117"/>
      <c r="TWL46" s="117"/>
      <c r="TWM46" s="117"/>
      <c r="TWN46" s="117"/>
      <c r="TWO46" s="117"/>
      <c r="TWP46" s="117"/>
      <c r="TWQ46" s="117"/>
      <c r="TWR46" s="117"/>
      <c r="TWS46" s="117"/>
      <c r="TWT46" s="117"/>
      <c r="TWU46" s="117"/>
      <c r="TWV46" s="117"/>
      <c r="TWW46" s="117"/>
      <c r="TWX46" s="117"/>
      <c r="TWY46" s="117"/>
      <c r="TWZ46" s="117"/>
      <c r="TXA46" s="117"/>
      <c r="TXB46" s="117"/>
      <c r="TXC46" s="117"/>
      <c r="TXD46" s="117"/>
      <c r="TXE46" s="117"/>
      <c r="TXF46" s="117"/>
      <c r="TXG46" s="117"/>
      <c r="TXH46" s="117"/>
      <c r="TXI46" s="117"/>
      <c r="TXJ46" s="117"/>
      <c r="TXK46" s="117"/>
      <c r="TXL46" s="117"/>
      <c r="TXM46" s="117"/>
      <c r="TXN46" s="117"/>
      <c r="TXO46" s="117"/>
      <c r="TXP46" s="117"/>
      <c r="TXQ46" s="117"/>
      <c r="TXR46" s="117"/>
      <c r="TXS46" s="117"/>
      <c r="TXT46" s="117"/>
      <c r="TXU46" s="117"/>
      <c r="TXV46" s="117"/>
      <c r="TXW46" s="117"/>
      <c r="TXX46" s="117"/>
      <c r="TXY46" s="117"/>
      <c r="TXZ46" s="117"/>
      <c r="TYA46" s="117"/>
      <c r="TYB46" s="117"/>
      <c r="TYC46" s="117"/>
      <c r="TYD46" s="117"/>
      <c r="TYE46" s="117"/>
      <c r="TYF46" s="117"/>
      <c r="TYG46" s="117"/>
      <c r="TYH46" s="117"/>
      <c r="TYI46" s="117"/>
      <c r="TYJ46" s="117"/>
      <c r="TYK46" s="117"/>
      <c r="TYL46" s="117"/>
      <c r="TYM46" s="117"/>
      <c r="TYN46" s="117"/>
      <c r="TYO46" s="117"/>
      <c r="TYP46" s="117"/>
      <c r="TYQ46" s="117"/>
      <c r="TYR46" s="117"/>
      <c r="TYS46" s="117"/>
      <c r="TYT46" s="117"/>
      <c r="TYU46" s="117"/>
      <c r="TYV46" s="117"/>
      <c r="TYW46" s="117"/>
      <c r="TYX46" s="117"/>
      <c r="TYY46" s="117"/>
      <c r="TYZ46" s="117"/>
      <c r="TZA46" s="117"/>
      <c r="TZB46" s="117"/>
      <c r="TZC46" s="117"/>
      <c r="TZD46" s="117"/>
      <c r="TZE46" s="117"/>
      <c r="TZF46" s="117"/>
      <c r="TZG46" s="117"/>
      <c r="TZH46" s="117"/>
      <c r="TZI46" s="117"/>
      <c r="TZJ46" s="117"/>
      <c r="TZK46" s="117"/>
      <c r="TZL46" s="117"/>
      <c r="TZM46" s="117"/>
      <c r="TZN46" s="117"/>
      <c r="TZO46" s="117"/>
      <c r="TZP46" s="117"/>
      <c r="TZQ46" s="117"/>
      <c r="TZR46" s="117"/>
      <c r="TZS46" s="117"/>
      <c r="TZT46" s="117"/>
      <c r="TZU46" s="117"/>
      <c r="TZV46" s="117"/>
      <c r="TZW46" s="117"/>
      <c r="TZX46" s="117"/>
      <c r="TZY46" s="117"/>
      <c r="TZZ46" s="117"/>
      <c r="UAA46" s="117"/>
      <c r="UAB46" s="117"/>
      <c r="UAC46" s="117"/>
      <c r="UAD46" s="117"/>
      <c r="UAE46" s="117"/>
      <c r="UAF46" s="117"/>
      <c r="UAG46" s="117"/>
      <c r="UAH46" s="117"/>
      <c r="UAI46" s="117"/>
      <c r="UAJ46" s="117"/>
      <c r="UAK46" s="117"/>
      <c r="UAL46" s="117"/>
      <c r="UAM46" s="117"/>
      <c r="UAN46" s="117"/>
      <c r="UAO46" s="117"/>
      <c r="UAP46" s="117"/>
      <c r="UAQ46" s="117"/>
      <c r="UAR46" s="117"/>
      <c r="UAS46" s="117"/>
      <c r="UAT46" s="117"/>
      <c r="UAU46" s="117"/>
      <c r="UAV46" s="117"/>
      <c r="UAW46" s="117"/>
      <c r="UAX46" s="117"/>
      <c r="UAY46" s="117"/>
      <c r="UAZ46" s="117"/>
      <c r="UBA46" s="117"/>
      <c r="UBB46" s="117"/>
      <c r="UBC46" s="117"/>
      <c r="UBD46" s="117"/>
      <c r="UBE46" s="117"/>
      <c r="UBF46" s="117"/>
      <c r="UBG46" s="117"/>
      <c r="UBH46" s="117"/>
      <c r="UBI46" s="117"/>
      <c r="UBJ46" s="117"/>
      <c r="UBK46" s="117"/>
      <c r="UBL46" s="117"/>
      <c r="UBM46" s="117"/>
      <c r="UBN46" s="117"/>
      <c r="UBO46" s="117"/>
      <c r="UBP46" s="117"/>
      <c r="UBQ46" s="117"/>
      <c r="UBR46" s="117"/>
      <c r="UBS46" s="117"/>
      <c r="UBT46" s="117"/>
      <c r="UBU46" s="117"/>
      <c r="UBV46" s="117"/>
      <c r="UBW46" s="117"/>
      <c r="UBX46" s="117"/>
      <c r="UBY46" s="117"/>
      <c r="UBZ46" s="117"/>
      <c r="UCA46" s="117"/>
      <c r="UCB46" s="117"/>
      <c r="UCC46" s="117"/>
      <c r="UCD46" s="117"/>
      <c r="UCE46" s="117"/>
      <c r="UCF46" s="117"/>
      <c r="UCG46" s="117"/>
      <c r="UCH46" s="117"/>
      <c r="UCI46" s="117"/>
      <c r="UCJ46" s="117"/>
      <c r="UCK46" s="117"/>
      <c r="UCL46" s="117"/>
      <c r="UCM46" s="117"/>
      <c r="UCN46" s="117"/>
      <c r="UCO46" s="117"/>
      <c r="UCP46" s="117"/>
      <c r="UCQ46" s="117"/>
      <c r="UCR46" s="117"/>
      <c r="UCS46" s="117"/>
      <c r="UCT46" s="117"/>
      <c r="UCU46" s="117"/>
      <c r="UCV46" s="117"/>
      <c r="UCW46" s="117"/>
      <c r="UCX46" s="117"/>
      <c r="UCY46" s="117"/>
      <c r="UCZ46" s="117"/>
      <c r="UDA46" s="117"/>
      <c r="UDB46" s="117"/>
      <c r="UDC46" s="117"/>
      <c r="UDD46" s="117"/>
      <c r="UDE46" s="117"/>
      <c r="UDF46" s="117"/>
      <c r="UDG46" s="117"/>
      <c r="UDH46" s="117"/>
      <c r="UDI46" s="117"/>
      <c r="UDJ46" s="117"/>
      <c r="UDK46" s="117"/>
      <c r="UDL46" s="117"/>
      <c r="UDM46" s="117"/>
      <c r="UDN46" s="117"/>
      <c r="UDO46" s="117"/>
      <c r="UDP46" s="117"/>
      <c r="UDQ46" s="117"/>
      <c r="UDR46" s="117"/>
      <c r="UDS46" s="117"/>
      <c r="UDT46" s="117"/>
      <c r="UDU46" s="117"/>
      <c r="UDV46" s="117"/>
      <c r="UDW46" s="117"/>
      <c r="UDX46" s="117"/>
      <c r="UDY46" s="117"/>
      <c r="UDZ46" s="117"/>
      <c r="UEA46" s="117"/>
      <c r="UEB46" s="117"/>
      <c r="UEC46" s="117"/>
      <c r="UED46" s="117"/>
      <c r="UEE46" s="117"/>
      <c r="UEF46" s="117"/>
      <c r="UEG46" s="117"/>
      <c r="UEH46" s="117"/>
      <c r="UEI46" s="117"/>
      <c r="UEJ46" s="117"/>
      <c r="UEK46" s="117"/>
      <c r="UEL46" s="117"/>
      <c r="UEM46" s="117"/>
      <c r="UEN46" s="117"/>
      <c r="UEO46" s="117"/>
      <c r="UEP46" s="117"/>
      <c r="UEQ46" s="117"/>
      <c r="UER46" s="117"/>
      <c r="UES46" s="117"/>
      <c r="UET46" s="117"/>
      <c r="UEU46" s="117"/>
      <c r="UEV46" s="117"/>
      <c r="UEW46" s="117"/>
      <c r="UEX46" s="117"/>
      <c r="UEY46" s="117"/>
      <c r="UEZ46" s="117"/>
      <c r="UFA46" s="117"/>
      <c r="UFB46" s="117"/>
      <c r="UFC46" s="117"/>
      <c r="UFD46" s="117"/>
      <c r="UFE46" s="117"/>
      <c r="UFF46" s="117"/>
      <c r="UFG46" s="117"/>
      <c r="UFH46" s="117"/>
      <c r="UFI46" s="117"/>
      <c r="UFJ46" s="117"/>
      <c r="UFK46" s="117"/>
      <c r="UFL46" s="117"/>
      <c r="UFM46" s="117"/>
      <c r="UFN46" s="117"/>
      <c r="UFO46" s="117"/>
      <c r="UFP46" s="117"/>
      <c r="UFQ46" s="117"/>
      <c r="UFR46" s="117"/>
      <c r="UFS46" s="117"/>
      <c r="UFT46" s="117"/>
      <c r="UFU46" s="117"/>
      <c r="UFV46" s="117"/>
      <c r="UFW46" s="117"/>
      <c r="UFX46" s="117"/>
      <c r="UFY46" s="117"/>
      <c r="UFZ46" s="117"/>
      <c r="UGA46" s="117"/>
      <c r="UGB46" s="117"/>
      <c r="UGC46" s="117"/>
      <c r="UGD46" s="117"/>
      <c r="UGE46" s="117"/>
      <c r="UGF46" s="117"/>
      <c r="UGG46" s="117"/>
      <c r="UGH46" s="117"/>
      <c r="UGI46" s="117"/>
      <c r="UGJ46" s="117"/>
      <c r="UGK46" s="117"/>
      <c r="UGL46" s="117"/>
      <c r="UGM46" s="117"/>
      <c r="UGN46" s="117"/>
      <c r="UGO46" s="117"/>
      <c r="UGP46" s="117"/>
      <c r="UGQ46" s="117"/>
      <c r="UGR46" s="117"/>
      <c r="UGS46" s="117"/>
      <c r="UGT46" s="117"/>
      <c r="UGU46" s="117"/>
      <c r="UGV46" s="117"/>
      <c r="UGW46" s="117"/>
      <c r="UGX46" s="117"/>
      <c r="UGY46" s="117"/>
      <c r="UGZ46" s="117"/>
      <c r="UHA46" s="117"/>
      <c r="UHB46" s="117"/>
      <c r="UHC46" s="117"/>
      <c r="UHD46" s="117"/>
      <c r="UHE46" s="117"/>
      <c r="UHF46" s="117"/>
      <c r="UHG46" s="117"/>
      <c r="UHH46" s="117"/>
      <c r="UHI46" s="117"/>
      <c r="UHJ46" s="117"/>
      <c r="UHK46" s="117"/>
      <c r="UHL46" s="117"/>
      <c r="UHM46" s="117"/>
      <c r="UHN46" s="117"/>
      <c r="UHO46" s="117"/>
      <c r="UHP46" s="117"/>
      <c r="UHQ46" s="117"/>
      <c r="UHR46" s="117"/>
      <c r="UHS46" s="117"/>
      <c r="UHT46" s="117"/>
      <c r="UHU46" s="117"/>
      <c r="UHV46" s="117"/>
      <c r="UHW46" s="117"/>
      <c r="UHX46" s="117"/>
      <c r="UHY46" s="117"/>
      <c r="UHZ46" s="117"/>
      <c r="UIA46" s="117"/>
      <c r="UIB46" s="117"/>
      <c r="UIC46" s="117"/>
      <c r="UID46" s="117"/>
      <c r="UIE46" s="117"/>
      <c r="UIF46" s="117"/>
      <c r="UIG46" s="117"/>
      <c r="UIH46" s="117"/>
      <c r="UII46" s="117"/>
      <c r="UIJ46" s="117"/>
      <c r="UIK46" s="117"/>
      <c r="UIL46" s="117"/>
      <c r="UIM46" s="117"/>
      <c r="UIN46" s="117"/>
      <c r="UIO46" s="117"/>
      <c r="UIP46" s="117"/>
      <c r="UIQ46" s="117"/>
      <c r="UIR46" s="117"/>
      <c r="UIS46" s="117"/>
      <c r="UIT46" s="117"/>
      <c r="UIU46" s="117"/>
      <c r="UIV46" s="117"/>
      <c r="UIW46" s="117"/>
      <c r="UIX46" s="117"/>
      <c r="UIY46" s="117"/>
      <c r="UIZ46" s="117"/>
      <c r="UJA46" s="117"/>
      <c r="UJB46" s="117"/>
      <c r="UJC46" s="117"/>
      <c r="UJD46" s="117"/>
      <c r="UJE46" s="117"/>
      <c r="UJF46" s="117"/>
      <c r="UJG46" s="117"/>
      <c r="UJH46" s="117"/>
      <c r="UJI46" s="117"/>
      <c r="UJJ46" s="117"/>
      <c r="UJK46" s="117"/>
      <c r="UJL46" s="117"/>
      <c r="UJM46" s="117"/>
      <c r="UJN46" s="117"/>
      <c r="UJO46" s="117"/>
      <c r="UJP46" s="117"/>
      <c r="UJQ46" s="117"/>
      <c r="UJR46" s="117"/>
      <c r="UJS46" s="117"/>
      <c r="UJT46" s="117"/>
      <c r="UJU46" s="117"/>
      <c r="UJV46" s="117"/>
      <c r="UJW46" s="117"/>
      <c r="UJX46" s="117"/>
      <c r="UJY46" s="117"/>
      <c r="UJZ46" s="117"/>
      <c r="UKA46" s="117"/>
      <c r="UKB46" s="117"/>
      <c r="UKC46" s="117"/>
      <c r="UKD46" s="117"/>
      <c r="UKE46" s="117"/>
      <c r="UKF46" s="117"/>
      <c r="UKG46" s="117"/>
      <c r="UKH46" s="117"/>
      <c r="UKI46" s="117"/>
      <c r="UKJ46" s="117"/>
      <c r="UKK46" s="117"/>
      <c r="UKL46" s="117"/>
      <c r="UKM46" s="117"/>
      <c r="UKN46" s="117"/>
      <c r="UKO46" s="117"/>
      <c r="UKP46" s="117"/>
      <c r="UKQ46" s="117"/>
      <c r="UKR46" s="117"/>
      <c r="UKS46" s="117"/>
      <c r="UKT46" s="117"/>
      <c r="UKU46" s="117"/>
      <c r="UKV46" s="117"/>
      <c r="UKW46" s="117"/>
      <c r="UKX46" s="117"/>
      <c r="UKY46" s="117"/>
      <c r="UKZ46" s="117"/>
      <c r="ULA46" s="117"/>
      <c r="ULB46" s="117"/>
      <c r="ULC46" s="117"/>
      <c r="ULD46" s="117"/>
      <c r="ULE46" s="117"/>
      <c r="ULF46" s="117"/>
      <c r="ULG46" s="117"/>
      <c r="ULH46" s="117"/>
      <c r="ULI46" s="117"/>
      <c r="ULJ46" s="117"/>
      <c r="ULK46" s="117"/>
      <c r="ULL46" s="117"/>
      <c r="ULM46" s="117"/>
      <c r="ULN46" s="117"/>
      <c r="ULO46" s="117"/>
      <c r="ULP46" s="117"/>
      <c r="ULQ46" s="117"/>
      <c r="ULR46" s="117"/>
      <c r="ULS46" s="117"/>
      <c r="ULT46" s="117"/>
      <c r="ULU46" s="117"/>
      <c r="ULV46" s="117"/>
      <c r="ULW46" s="117"/>
      <c r="ULX46" s="117"/>
      <c r="ULY46" s="117"/>
      <c r="ULZ46" s="117"/>
      <c r="UMA46" s="117"/>
      <c r="UMB46" s="117"/>
      <c r="UMC46" s="117"/>
      <c r="UMD46" s="117"/>
      <c r="UME46" s="117"/>
      <c r="UMF46" s="117"/>
      <c r="UMG46" s="117"/>
      <c r="UMH46" s="117"/>
      <c r="UMI46" s="117"/>
      <c r="UMJ46" s="117"/>
      <c r="UMK46" s="117"/>
      <c r="UML46" s="117"/>
      <c r="UMM46" s="117"/>
      <c r="UMN46" s="117"/>
      <c r="UMO46" s="117"/>
      <c r="UMP46" s="117"/>
      <c r="UMQ46" s="117"/>
      <c r="UMR46" s="117"/>
      <c r="UMS46" s="117"/>
      <c r="UMT46" s="117"/>
      <c r="UMU46" s="117"/>
      <c r="UMV46" s="117"/>
      <c r="UMW46" s="117"/>
      <c r="UMX46" s="117"/>
      <c r="UMY46" s="117"/>
      <c r="UMZ46" s="117"/>
      <c r="UNA46" s="117"/>
      <c r="UNB46" s="117"/>
      <c r="UNC46" s="117"/>
      <c r="UND46" s="117"/>
      <c r="UNE46" s="117"/>
      <c r="UNF46" s="117"/>
      <c r="UNG46" s="117"/>
      <c r="UNH46" s="117"/>
      <c r="UNI46" s="117"/>
      <c r="UNJ46" s="117"/>
      <c r="UNK46" s="117"/>
      <c r="UNL46" s="117"/>
      <c r="UNM46" s="117"/>
      <c r="UNN46" s="117"/>
      <c r="UNO46" s="117"/>
      <c r="UNP46" s="117"/>
      <c r="UNQ46" s="117"/>
      <c r="UNR46" s="117"/>
      <c r="UNS46" s="117"/>
      <c r="UNT46" s="117"/>
      <c r="UNU46" s="117"/>
      <c r="UNV46" s="117"/>
      <c r="UNW46" s="117"/>
      <c r="UNX46" s="117"/>
      <c r="UNY46" s="117"/>
      <c r="UNZ46" s="117"/>
      <c r="UOA46" s="117"/>
      <c r="UOB46" s="117"/>
      <c r="UOC46" s="117"/>
      <c r="UOD46" s="117"/>
      <c r="UOE46" s="117"/>
      <c r="UOF46" s="117"/>
      <c r="UOG46" s="117"/>
      <c r="UOH46" s="117"/>
      <c r="UOI46" s="117"/>
      <c r="UOJ46" s="117"/>
      <c r="UOK46" s="117"/>
      <c r="UOL46" s="117"/>
      <c r="UOM46" s="117"/>
      <c r="UON46" s="117"/>
      <c r="UOO46" s="117"/>
      <c r="UOP46" s="117"/>
      <c r="UOQ46" s="117"/>
      <c r="UOR46" s="117"/>
      <c r="UOS46" s="117"/>
      <c r="UOT46" s="117"/>
      <c r="UOU46" s="117"/>
      <c r="UOV46" s="117"/>
      <c r="UOW46" s="117"/>
      <c r="UOX46" s="117"/>
      <c r="UOY46" s="117"/>
      <c r="UOZ46" s="117"/>
      <c r="UPA46" s="117"/>
      <c r="UPB46" s="117"/>
      <c r="UPC46" s="117"/>
      <c r="UPD46" s="117"/>
      <c r="UPE46" s="117"/>
      <c r="UPF46" s="117"/>
      <c r="UPG46" s="117"/>
      <c r="UPH46" s="117"/>
      <c r="UPI46" s="117"/>
      <c r="UPJ46" s="117"/>
      <c r="UPK46" s="117"/>
      <c r="UPL46" s="117"/>
      <c r="UPM46" s="117"/>
      <c r="UPN46" s="117"/>
      <c r="UPO46" s="117"/>
      <c r="UPP46" s="117"/>
      <c r="UPQ46" s="117"/>
      <c r="UPR46" s="117"/>
      <c r="UPS46" s="117"/>
      <c r="UPT46" s="117"/>
      <c r="UPU46" s="117"/>
      <c r="UPV46" s="117"/>
      <c r="UPW46" s="117"/>
      <c r="UPX46" s="117"/>
      <c r="UPY46" s="117"/>
      <c r="UPZ46" s="117"/>
      <c r="UQA46" s="117"/>
      <c r="UQB46" s="117"/>
      <c r="UQC46" s="117"/>
      <c r="UQD46" s="117"/>
      <c r="UQE46" s="117"/>
      <c r="UQF46" s="117"/>
      <c r="UQG46" s="117"/>
      <c r="UQH46" s="117"/>
      <c r="UQI46" s="117"/>
      <c r="UQJ46" s="117"/>
      <c r="UQK46" s="117"/>
      <c r="UQL46" s="117"/>
      <c r="UQM46" s="117"/>
      <c r="UQN46" s="117"/>
      <c r="UQO46" s="117"/>
      <c r="UQP46" s="117"/>
      <c r="UQQ46" s="117"/>
      <c r="UQR46" s="117"/>
      <c r="UQS46" s="117"/>
      <c r="UQT46" s="117"/>
      <c r="UQU46" s="117"/>
      <c r="UQV46" s="117"/>
      <c r="UQW46" s="117"/>
      <c r="UQX46" s="117"/>
      <c r="UQY46" s="117"/>
      <c r="UQZ46" s="117"/>
      <c r="URA46" s="117"/>
      <c r="URB46" s="117"/>
      <c r="URC46" s="117"/>
      <c r="URD46" s="117"/>
      <c r="URE46" s="117"/>
      <c r="URF46" s="117"/>
      <c r="URG46" s="117"/>
      <c r="URH46" s="117"/>
      <c r="URI46" s="117"/>
      <c r="URJ46" s="117"/>
      <c r="URK46" s="117"/>
      <c r="URL46" s="117"/>
      <c r="URM46" s="117"/>
      <c r="URN46" s="117"/>
      <c r="URO46" s="117"/>
      <c r="URP46" s="117"/>
      <c r="URQ46" s="117"/>
      <c r="URR46" s="117"/>
      <c r="URS46" s="117"/>
      <c r="URT46" s="117"/>
      <c r="URU46" s="117"/>
      <c r="URV46" s="117"/>
      <c r="URW46" s="117"/>
      <c r="URX46" s="117"/>
      <c r="URY46" s="117"/>
      <c r="URZ46" s="117"/>
      <c r="USA46" s="117"/>
      <c r="USB46" s="117"/>
      <c r="USC46" s="117"/>
      <c r="USD46" s="117"/>
      <c r="USE46" s="117"/>
      <c r="USF46" s="117"/>
      <c r="USG46" s="117"/>
      <c r="USH46" s="117"/>
      <c r="USI46" s="117"/>
      <c r="USJ46" s="117"/>
      <c r="USK46" s="117"/>
      <c r="USL46" s="117"/>
      <c r="USM46" s="117"/>
      <c r="USN46" s="117"/>
      <c r="USO46" s="117"/>
      <c r="USP46" s="117"/>
      <c r="USQ46" s="117"/>
      <c r="USR46" s="117"/>
      <c r="USS46" s="117"/>
      <c r="UST46" s="117"/>
      <c r="USU46" s="117"/>
      <c r="USV46" s="117"/>
      <c r="USW46" s="117"/>
      <c r="USX46" s="117"/>
      <c r="USY46" s="117"/>
      <c r="USZ46" s="117"/>
      <c r="UTA46" s="117"/>
      <c r="UTB46" s="117"/>
      <c r="UTC46" s="117"/>
      <c r="UTD46" s="117"/>
      <c r="UTE46" s="117"/>
      <c r="UTF46" s="117"/>
      <c r="UTG46" s="117"/>
      <c r="UTH46" s="117"/>
      <c r="UTI46" s="117"/>
      <c r="UTJ46" s="117"/>
      <c r="UTK46" s="117"/>
      <c r="UTL46" s="117"/>
      <c r="UTM46" s="117"/>
      <c r="UTN46" s="117"/>
      <c r="UTO46" s="117"/>
      <c r="UTP46" s="117"/>
      <c r="UTQ46" s="117"/>
      <c r="UTR46" s="117"/>
      <c r="UTS46" s="117"/>
      <c r="UTT46" s="117"/>
      <c r="UTU46" s="117"/>
      <c r="UTV46" s="117"/>
      <c r="UTW46" s="117"/>
      <c r="UTX46" s="117"/>
      <c r="UTY46" s="117"/>
      <c r="UTZ46" s="117"/>
      <c r="UUA46" s="117"/>
      <c r="UUB46" s="117"/>
      <c r="UUC46" s="117"/>
      <c r="UUD46" s="117"/>
      <c r="UUE46" s="117"/>
      <c r="UUF46" s="117"/>
      <c r="UUG46" s="117"/>
      <c r="UUH46" s="117"/>
      <c r="UUI46" s="117"/>
      <c r="UUJ46" s="117"/>
      <c r="UUK46" s="117"/>
      <c r="UUL46" s="117"/>
      <c r="UUM46" s="117"/>
      <c r="UUN46" s="117"/>
      <c r="UUO46" s="117"/>
      <c r="UUP46" s="117"/>
      <c r="UUQ46" s="117"/>
      <c r="UUR46" s="117"/>
      <c r="UUS46" s="117"/>
      <c r="UUT46" s="117"/>
      <c r="UUU46" s="117"/>
      <c r="UUV46" s="117"/>
      <c r="UUW46" s="117"/>
      <c r="UUX46" s="117"/>
      <c r="UUY46" s="117"/>
      <c r="UUZ46" s="117"/>
      <c r="UVA46" s="117"/>
      <c r="UVB46" s="117"/>
      <c r="UVC46" s="117"/>
      <c r="UVD46" s="117"/>
      <c r="UVE46" s="117"/>
      <c r="UVF46" s="117"/>
      <c r="UVG46" s="117"/>
      <c r="UVH46" s="117"/>
      <c r="UVI46" s="117"/>
      <c r="UVJ46" s="117"/>
      <c r="UVK46" s="117"/>
      <c r="UVL46" s="117"/>
      <c r="UVM46" s="117"/>
      <c r="UVN46" s="117"/>
      <c r="UVO46" s="117"/>
      <c r="UVP46" s="117"/>
      <c r="UVQ46" s="117"/>
      <c r="UVR46" s="117"/>
      <c r="UVS46" s="117"/>
      <c r="UVT46" s="117"/>
      <c r="UVU46" s="117"/>
      <c r="UVV46" s="117"/>
      <c r="UVW46" s="117"/>
      <c r="UVX46" s="117"/>
      <c r="UVY46" s="117"/>
      <c r="UVZ46" s="117"/>
      <c r="UWA46" s="117"/>
      <c r="UWB46" s="117"/>
      <c r="UWC46" s="117"/>
      <c r="UWD46" s="117"/>
      <c r="UWE46" s="117"/>
      <c r="UWF46" s="117"/>
      <c r="UWG46" s="117"/>
      <c r="UWH46" s="117"/>
      <c r="UWI46" s="117"/>
      <c r="UWJ46" s="117"/>
      <c r="UWK46" s="117"/>
      <c r="UWL46" s="117"/>
      <c r="UWM46" s="117"/>
      <c r="UWN46" s="117"/>
      <c r="UWO46" s="117"/>
      <c r="UWP46" s="117"/>
      <c r="UWQ46" s="117"/>
      <c r="UWR46" s="117"/>
      <c r="UWS46" s="117"/>
      <c r="UWT46" s="117"/>
      <c r="UWU46" s="117"/>
      <c r="UWV46" s="117"/>
      <c r="UWW46" s="117"/>
      <c r="UWX46" s="117"/>
      <c r="UWY46" s="117"/>
      <c r="UWZ46" s="117"/>
      <c r="UXA46" s="117"/>
      <c r="UXB46" s="117"/>
      <c r="UXC46" s="117"/>
      <c r="UXD46" s="117"/>
      <c r="UXE46" s="117"/>
      <c r="UXF46" s="117"/>
      <c r="UXG46" s="117"/>
      <c r="UXH46" s="117"/>
      <c r="UXI46" s="117"/>
      <c r="UXJ46" s="117"/>
      <c r="UXK46" s="117"/>
      <c r="UXL46" s="117"/>
      <c r="UXM46" s="117"/>
      <c r="UXN46" s="117"/>
      <c r="UXO46" s="117"/>
      <c r="UXP46" s="117"/>
      <c r="UXQ46" s="117"/>
      <c r="UXR46" s="117"/>
      <c r="UXS46" s="117"/>
      <c r="UXT46" s="117"/>
      <c r="UXU46" s="117"/>
      <c r="UXV46" s="117"/>
      <c r="UXW46" s="117"/>
      <c r="UXX46" s="117"/>
      <c r="UXY46" s="117"/>
      <c r="UXZ46" s="117"/>
      <c r="UYA46" s="117"/>
      <c r="UYB46" s="117"/>
      <c r="UYC46" s="117"/>
      <c r="UYD46" s="117"/>
      <c r="UYE46" s="117"/>
      <c r="UYF46" s="117"/>
      <c r="UYG46" s="117"/>
      <c r="UYH46" s="117"/>
      <c r="UYI46" s="117"/>
      <c r="UYJ46" s="117"/>
      <c r="UYK46" s="117"/>
      <c r="UYL46" s="117"/>
      <c r="UYM46" s="117"/>
      <c r="UYN46" s="117"/>
      <c r="UYO46" s="117"/>
      <c r="UYP46" s="117"/>
      <c r="UYQ46" s="117"/>
      <c r="UYR46" s="117"/>
      <c r="UYS46" s="117"/>
      <c r="UYT46" s="117"/>
      <c r="UYU46" s="117"/>
      <c r="UYV46" s="117"/>
      <c r="UYW46" s="117"/>
      <c r="UYX46" s="117"/>
      <c r="UYY46" s="117"/>
      <c r="UYZ46" s="117"/>
      <c r="UZA46" s="117"/>
      <c r="UZB46" s="117"/>
      <c r="UZC46" s="117"/>
      <c r="UZD46" s="117"/>
      <c r="UZE46" s="117"/>
      <c r="UZF46" s="117"/>
      <c r="UZG46" s="117"/>
      <c r="UZH46" s="117"/>
      <c r="UZI46" s="117"/>
      <c r="UZJ46" s="117"/>
      <c r="UZK46" s="117"/>
      <c r="UZL46" s="117"/>
      <c r="UZM46" s="117"/>
      <c r="UZN46" s="117"/>
      <c r="UZO46" s="117"/>
      <c r="UZP46" s="117"/>
      <c r="UZQ46" s="117"/>
      <c r="UZR46" s="117"/>
      <c r="UZS46" s="117"/>
      <c r="UZT46" s="117"/>
      <c r="UZU46" s="117"/>
      <c r="UZV46" s="117"/>
      <c r="UZW46" s="117"/>
      <c r="UZX46" s="117"/>
      <c r="UZY46" s="117"/>
      <c r="UZZ46" s="117"/>
      <c r="VAA46" s="117"/>
      <c r="VAB46" s="117"/>
      <c r="VAC46" s="117"/>
      <c r="VAD46" s="117"/>
      <c r="VAE46" s="117"/>
      <c r="VAF46" s="117"/>
      <c r="VAG46" s="117"/>
      <c r="VAH46" s="117"/>
      <c r="VAI46" s="117"/>
      <c r="VAJ46" s="117"/>
      <c r="VAK46" s="117"/>
      <c r="VAL46" s="117"/>
      <c r="VAM46" s="117"/>
      <c r="VAN46" s="117"/>
      <c r="VAO46" s="117"/>
      <c r="VAP46" s="117"/>
      <c r="VAQ46" s="117"/>
      <c r="VAR46" s="117"/>
      <c r="VAS46" s="117"/>
      <c r="VAT46" s="117"/>
      <c r="VAU46" s="117"/>
      <c r="VAV46" s="117"/>
      <c r="VAW46" s="117"/>
      <c r="VAX46" s="117"/>
      <c r="VAY46" s="117"/>
      <c r="VAZ46" s="117"/>
      <c r="VBA46" s="117"/>
      <c r="VBB46" s="117"/>
      <c r="VBC46" s="117"/>
      <c r="VBD46" s="117"/>
      <c r="VBE46" s="117"/>
      <c r="VBF46" s="117"/>
      <c r="VBG46" s="117"/>
      <c r="VBH46" s="117"/>
      <c r="VBI46" s="117"/>
      <c r="VBJ46" s="117"/>
      <c r="VBK46" s="117"/>
      <c r="VBL46" s="117"/>
      <c r="VBM46" s="117"/>
      <c r="VBN46" s="117"/>
      <c r="VBO46" s="117"/>
      <c r="VBP46" s="117"/>
      <c r="VBQ46" s="117"/>
      <c r="VBR46" s="117"/>
      <c r="VBS46" s="117"/>
      <c r="VBT46" s="117"/>
      <c r="VBU46" s="117"/>
      <c r="VBV46" s="117"/>
      <c r="VBW46" s="117"/>
      <c r="VBX46" s="117"/>
      <c r="VBY46" s="117"/>
      <c r="VBZ46" s="117"/>
      <c r="VCA46" s="117"/>
      <c r="VCB46" s="117"/>
      <c r="VCC46" s="117"/>
      <c r="VCD46" s="117"/>
      <c r="VCE46" s="117"/>
      <c r="VCF46" s="117"/>
      <c r="VCG46" s="117"/>
      <c r="VCH46" s="117"/>
      <c r="VCI46" s="117"/>
      <c r="VCJ46" s="117"/>
      <c r="VCK46" s="117"/>
      <c r="VCL46" s="117"/>
      <c r="VCM46" s="117"/>
      <c r="VCN46" s="117"/>
      <c r="VCO46" s="117"/>
      <c r="VCP46" s="117"/>
      <c r="VCQ46" s="117"/>
      <c r="VCR46" s="117"/>
      <c r="VCS46" s="117"/>
      <c r="VCT46" s="117"/>
      <c r="VCU46" s="117"/>
      <c r="VCV46" s="117"/>
      <c r="VCW46" s="117"/>
      <c r="VCX46" s="117"/>
      <c r="VCY46" s="117"/>
      <c r="VCZ46" s="117"/>
      <c r="VDA46" s="117"/>
      <c r="VDB46" s="117"/>
      <c r="VDC46" s="117"/>
      <c r="VDD46" s="117"/>
      <c r="VDE46" s="117"/>
      <c r="VDF46" s="117"/>
      <c r="VDG46" s="117"/>
      <c r="VDH46" s="117"/>
      <c r="VDI46" s="117"/>
      <c r="VDJ46" s="117"/>
      <c r="VDK46" s="117"/>
      <c r="VDL46" s="117"/>
      <c r="VDM46" s="117"/>
      <c r="VDN46" s="117"/>
      <c r="VDO46" s="117"/>
      <c r="VDP46" s="117"/>
      <c r="VDQ46" s="117"/>
      <c r="VDR46" s="117"/>
      <c r="VDS46" s="117"/>
      <c r="VDT46" s="117"/>
      <c r="VDU46" s="117"/>
      <c r="VDV46" s="117"/>
      <c r="VDW46" s="117"/>
      <c r="VDX46" s="117"/>
      <c r="VDY46" s="117"/>
      <c r="VDZ46" s="117"/>
      <c r="VEA46" s="117"/>
      <c r="VEB46" s="117"/>
      <c r="VEC46" s="117"/>
      <c r="VED46" s="117"/>
      <c r="VEE46" s="117"/>
      <c r="VEF46" s="117"/>
      <c r="VEG46" s="117"/>
      <c r="VEH46" s="117"/>
      <c r="VEI46" s="117"/>
      <c r="VEJ46" s="117"/>
      <c r="VEK46" s="117"/>
      <c r="VEL46" s="117"/>
      <c r="VEM46" s="117"/>
      <c r="VEN46" s="117"/>
      <c r="VEO46" s="117"/>
      <c r="VEP46" s="117"/>
      <c r="VEQ46" s="117"/>
      <c r="VER46" s="117"/>
      <c r="VES46" s="117"/>
      <c r="VET46" s="117"/>
      <c r="VEU46" s="117"/>
      <c r="VEV46" s="117"/>
      <c r="VEW46" s="117"/>
      <c r="VEX46" s="117"/>
      <c r="VEY46" s="117"/>
      <c r="VEZ46" s="117"/>
      <c r="VFA46" s="117"/>
      <c r="VFB46" s="117"/>
      <c r="VFC46" s="117"/>
      <c r="VFD46" s="117"/>
      <c r="VFE46" s="117"/>
      <c r="VFF46" s="117"/>
      <c r="VFG46" s="117"/>
      <c r="VFH46" s="117"/>
      <c r="VFI46" s="117"/>
      <c r="VFJ46" s="117"/>
      <c r="VFK46" s="117"/>
      <c r="VFL46" s="117"/>
      <c r="VFM46" s="117"/>
      <c r="VFN46" s="117"/>
      <c r="VFO46" s="117"/>
      <c r="VFP46" s="117"/>
      <c r="VFQ46" s="117"/>
      <c r="VFR46" s="117"/>
      <c r="VFS46" s="117"/>
      <c r="VFT46" s="117"/>
      <c r="VFU46" s="117"/>
      <c r="VFV46" s="117"/>
      <c r="VFW46" s="117"/>
      <c r="VFX46" s="117"/>
      <c r="VFY46" s="117"/>
      <c r="VFZ46" s="117"/>
      <c r="VGA46" s="117"/>
      <c r="VGB46" s="117"/>
      <c r="VGC46" s="117"/>
      <c r="VGD46" s="117"/>
      <c r="VGE46" s="117"/>
      <c r="VGF46" s="117"/>
      <c r="VGG46" s="117"/>
      <c r="VGH46" s="117"/>
      <c r="VGI46" s="117"/>
      <c r="VGJ46" s="117"/>
      <c r="VGK46" s="117"/>
      <c r="VGL46" s="117"/>
      <c r="VGM46" s="117"/>
      <c r="VGN46" s="117"/>
      <c r="VGO46" s="117"/>
      <c r="VGP46" s="117"/>
      <c r="VGQ46" s="117"/>
      <c r="VGR46" s="117"/>
      <c r="VGS46" s="117"/>
      <c r="VGT46" s="117"/>
      <c r="VGU46" s="117"/>
      <c r="VGV46" s="117"/>
      <c r="VGW46" s="117"/>
      <c r="VGX46" s="117"/>
      <c r="VGY46" s="117"/>
      <c r="VGZ46" s="117"/>
      <c r="VHA46" s="117"/>
      <c r="VHB46" s="117"/>
      <c r="VHC46" s="117"/>
      <c r="VHD46" s="117"/>
      <c r="VHE46" s="117"/>
      <c r="VHF46" s="117"/>
      <c r="VHG46" s="117"/>
      <c r="VHH46" s="117"/>
      <c r="VHI46" s="117"/>
      <c r="VHJ46" s="117"/>
      <c r="VHK46" s="117"/>
      <c r="VHL46" s="117"/>
      <c r="VHM46" s="117"/>
      <c r="VHN46" s="117"/>
      <c r="VHO46" s="117"/>
      <c r="VHP46" s="117"/>
      <c r="VHQ46" s="117"/>
      <c r="VHR46" s="117"/>
      <c r="VHS46" s="117"/>
      <c r="VHT46" s="117"/>
      <c r="VHU46" s="117"/>
      <c r="VHV46" s="117"/>
      <c r="VHW46" s="117"/>
      <c r="VHX46" s="117"/>
      <c r="VHY46" s="117"/>
      <c r="VHZ46" s="117"/>
      <c r="VIA46" s="117"/>
      <c r="VIB46" s="117"/>
      <c r="VIC46" s="117"/>
      <c r="VID46" s="117"/>
      <c r="VIE46" s="117"/>
      <c r="VIF46" s="117"/>
      <c r="VIG46" s="117"/>
      <c r="VIH46" s="117"/>
      <c r="VII46" s="117"/>
      <c r="VIJ46" s="117"/>
      <c r="VIK46" s="117"/>
      <c r="VIL46" s="117"/>
      <c r="VIM46" s="117"/>
      <c r="VIN46" s="117"/>
      <c r="VIO46" s="117"/>
      <c r="VIP46" s="117"/>
      <c r="VIQ46" s="117"/>
      <c r="VIR46" s="117"/>
      <c r="VIS46" s="117"/>
      <c r="VIT46" s="117"/>
      <c r="VIU46" s="117"/>
      <c r="VIV46" s="117"/>
      <c r="VIW46" s="117"/>
      <c r="VIX46" s="117"/>
      <c r="VIY46" s="117"/>
      <c r="VIZ46" s="117"/>
      <c r="VJA46" s="117"/>
      <c r="VJB46" s="117"/>
      <c r="VJC46" s="117"/>
      <c r="VJD46" s="117"/>
      <c r="VJE46" s="117"/>
      <c r="VJF46" s="117"/>
      <c r="VJG46" s="117"/>
      <c r="VJH46" s="117"/>
      <c r="VJI46" s="117"/>
      <c r="VJJ46" s="117"/>
      <c r="VJK46" s="117"/>
      <c r="VJL46" s="117"/>
      <c r="VJM46" s="117"/>
      <c r="VJN46" s="117"/>
      <c r="VJO46" s="117"/>
      <c r="VJP46" s="117"/>
      <c r="VJQ46" s="117"/>
      <c r="VJR46" s="117"/>
      <c r="VJS46" s="117"/>
      <c r="VJT46" s="117"/>
      <c r="VJU46" s="117"/>
      <c r="VJV46" s="117"/>
      <c r="VJW46" s="117"/>
      <c r="VJX46" s="117"/>
      <c r="VJY46" s="117"/>
      <c r="VJZ46" s="117"/>
      <c r="VKA46" s="117"/>
      <c r="VKB46" s="117"/>
      <c r="VKC46" s="117"/>
      <c r="VKD46" s="117"/>
      <c r="VKE46" s="117"/>
      <c r="VKF46" s="117"/>
      <c r="VKG46" s="117"/>
      <c r="VKH46" s="117"/>
      <c r="VKI46" s="117"/>
      <c r="VKJ46" s="117"/>
      <c r="VKK46" s="117"/>
      <c r="VKL46" s="117"/>
      <c r="VKM46" s="117"/>
      <c r="VKN46" s="117"/>
      <c r="VKO46" s="117"/>
      <c r="VKP46" s="117"/>
      <c r="VKQ46" s="117"/>
      <c r="VKR46" s="117"/>
      <c r="VKS46" s="117"/>
      <c r="VKT46" s="117"/>
      <c r="VKU46" s="117"/>
      <c r="VKV46" s="117"/>
      <c r="VKW46" s="117"/>
      <c r="VKX46" s="117"/>
      <c r="VKY46" s="117"/>
      <c r="VKZ46" s="117"/>
      <c r="VLA46" s="117"/>
      <c r="VLB46" s="117"/>
      <c r="VLC46" s="117"/>
      <c r="VLD46" s="117"/>
      <c r="VLE46" s="117"/>
      <c r="VLF46" s="117"/>
      <c r="VLG46" s="117"/>
      <c r="VLH46" s="117"/>
      <c r="VLI46" s="117"/>
      <c r="VLJ46" s="117"/>
      <c r="VLK46" s="117"/>
      <c r="VLL46" s="117"/>
      <c r="VLM46" s="117"/>
      <c r="VLN46" s="117"/>
      <c r="VLO46" s="117"/>
      <c r="VLP46" s="117"/>
      <c r="VLQ46" s="117"/>
      <c r="VLR46" s="117"/>
      <c r="VLS46" s="117"/>
      <c r="VLT46" s="117"/>
      <c r="VLU46" s="117"/>
      <c r="VLV46" s="117"/>
      <c r="VLW46" s="117"/>
      <c r="VLX46" s="117"/>
      <c r="VLY46" s="117"/>
      <c r="VLZ46" s="117"/>
      <c r="VMA46" s="117"/>
      <c r="VMB46" s="117"/>
      <c r="VMC46" s="117"/>
      <c r="VMD46" s="117"/>
      <c r="VME46" s="117"/>
      <c r="VMF46" s="117"/>
      <c r="VMG46" s="117"/>
      <c r="VMH46" s="117"/>
      <c r="VMI46" s="117"/>
      <c r="VMJ46" s="117"/>
      <c r="VMK46" s="117"/>
      <c r="VML46" s="117"/>
      <c r="VMM46" s="117"/>
      <c r="VMN46" s="117"/>
      <c r="VMO46" s="117"/>
      <c r="VMP46" s="117"/>
      <c r="VMQ46" s="117"/>
      <c r="VMR46" s="117"/>
      <c r="VMS46" s="117"/>
      <c r="VMT46" s="117"/>
      <c r="VMU46" s="117"/>
      <c r="VMV46" s="117"/>
      <c r="VMW46" s="117"/>
      <c r="VMX46" s="117"/>
      <c r="VMY46" s="117"/>
      <c r="VMZ46" s="117"/>
      <c r="VNA46" s="117"/>
      <c r="VNB46" s="117"/>
      <c r="VNC46" s="117"/>
      <c r="VND46" s="117"/>
      <c r="VNE46" s="117"/>
      <c r="VNF46" s="117"/>
      <c r="VNG46" s="117"/>
      <c r="VNH46" s="117"/>
      <c r="VNI46" s="117"/>
      <c r="VNJ46" s="117"/>
      <c r="VNK46" s="117"/>
      <c r="VNL46" s="117"/>
      <c r="VNM46" s="117"/>
      <c r="VNN46" s="117"/>
      <c r="VNO46" s="117"/>
      <c r="VNP46" s="117"/>
      <c r="VNQ46" s="117"/>
      <c r="VNR46" s="117"/>
      <c r="VNS46" s="117"/>
      <c r="VNT46" s="117"/>
      <c r="VNU46" s="117"/>
      <c r="VNV46" s="117"/>
      <c r="VNW46" s="117"/>
      <c r="VNX46" s="117"/>
      <c r="VNY46" s="117"/>
      <c r="VNZ46" s="117"/>
      <c r="VOA46" s="117"/>
      <c r="VOB46" s="117"/>
      <c r="VOC46" s="117"/>
      <c r="VOD46" s="117"/>
      <c r="VOE46" s="117"/>
      <c r="VOF46" s="117"/>
      <c r="VOG46" s="117"/>
      <c r="VOH46" s="117"/>
      <c r="VOI46" s="117"/>
      <c r="VOJ46" s="117"/>
      <c r="VOK46" s="117"/>
      <c r="VOL46" s="117"/>
      <c r="VOM46" s="117"/>
      <c r="VON46" s="117"/>
      <c r="VOO46" s="117"/>
      <c r="VOP46" s="117"/>
      <c r="VOQ46" s="117"/>
      <c r="VOR46" s="117"/>
      <c r="VOS46" s="117"/>
      <c r="VOT46" s="117"/>
      <c r="VOU46" s="117"/>
      <c r="VOV46" s="117"/>
      <c r="VOW46" s="117"/>
      <c r="VOX46" s="117"/>
      <c r="VOY46" s="117"/>
      <c r="VOZ46" s="117"/>
      <c r="VPA46" s="117"/>
      <c r="VPB46" s="117"/>
      <c r="VPC46" s="117"/>
      <c r="VPD46" s="117"/>
      <c r="VPE46" s="117"/>
      <c r="VPF46" s="117"/>
      <c r="VPG46" s="117"/>
      <c r="VPH46" s="117"/>
      <c r="VPI46" s="117"/>
      <c r="VPJ46" s="117"/>
      <c r="VPK46" s="117"/>
      <c r="VPL46" s="117"/>
      <c r="VPM46" s="117"/>
      <c r="VPN46" s="117"/>
      <c r="VPO46" s="117"/>
      <c r="VPP46" s="117"/>
      <c r="VPQ46" s="117"/>
      <c r="VPR46" s="117"/>
      <c r="VPS46" s="117"/>
      <c r="VPT46" s="117"/>
      <c r="VPU46" s="117"/>
      <c r="VPV46" s="117"/>
      <c r="VPW46" s="117"/>
      <c r="VPX46" s="117"/>
      <c r="VPY46" s="117"/>
      <c r="VPZ46" s="117"/>
      <c r="VQA46" s="117"/>
      <c r="VQB46" s="117"/>
      <c r="VQC46" s="117"/>
      <c r="VQD46" s="117"/>
      <c r="VQE46" s="117"/>
      <c r="VQF46" s="117"/>
      <c r="VQG46" s="117"/>
      <c r="VQH46" s="117"/>
      <c r="VQI46" s="117"/>
      <c r="VQJ46" s="117"/>
      <c r="VQK46" s="117"/>
      <c r="VQL46" s="117"/>
      <c r="VQM46" s="117"/>
      <c r="VQN46" s="117"/>
      <c r="VQO46" s="117"/>
      <c r="VQP46" s="117"/>
      <c r="VQQ46" s="117"/>
      <c r="VQR46" s="117"/>
      <c r="VQS46" s="117"/>
      <c r="VQT46" s="117"/>
      <c r="VQU46" s="117"/>
      <c r="VQV46" s="117"/>
      <c r="VQW46" s="117"/>
      <c r="VQX46" s="117"/>
      <c r="VQY46" s="117"/>
      <c r="VQZ46" s="117"/>
      <c r="VRA46" s="117"/>
      <c r="VRB46" s="117"/>
      <c r="VRC46" s="117"/>
      <c r="VRD46" s="117"/>
      <c r="VRE46" s="117"/>
      <c r="VRF46" s="117"/>
      <c r="VRG46" s="117"/>
      <c r="VRH46" s="117"/>
      <c r="VRI46" s="117"/>
      <c r="VRJ46" s="117"/>
      <c r="VRK46" s="117"/>
      <c r="VRL46" s="117"/>
      <c r="VRM46" s="117"/>
      <c r="VRN46" s="117"/>
      <c r="VRO46" s="117"/>
      <c r="VRP46" s="117"/>
      <c r="VRQ46" s="117"/>
      <c r="VRR46" s="117"/>
      <c r="VRS46" s="117"/>
      <c r="VRT46" s="117"/>
      <c r="VRU46" s="117"/>
      <c r="VRV46" s="117"/>
      <c r="VRW46" s="117"/>
      <c r="VRX46" s="117"/>
      <c r="VRY46" s="117"/>
      <c r="VRZ46" s="117"/>
      <c r="VSA46" s="117"/>
      <c r="VSB46" s="117"/>
      <c r="VSC46" s="117"/>
      <c r="VSD46" s="117"/>
      <c r="VSE46" s="117"/>
      <c r="VSF46" s="117"/>
      <c r="VSG46" s="117"/>
      <c r="VSH46" s="117"/>
      <c r="VSI46" s="117"/>
      <c r="VSJ46" s="117"/>
      <c r="VSK46" s="117"/>
      <c r="VSL46" s="117"/>
      <c r="VSM46" s="117"/>
      <c r="VSN46" s="117"/>
      <c r="VSO46" s="117"/>
      <c r="VSP46" s="117"/>
      <c r="VSQ46" s="117"/>
      <c r="VSR46" s="117"/>
      <c r="VSS46" s="117"/>
      <c r="VST46" s="117"/>
      <c r="VSU46" s="117"/>
      <c r="VSV46" s="117"/>
      <c r="VSW46" s="117"/>
      <c r="VSX46" s="117"/>
      <c r="VSY46" s="117"/>
      <c r="VSZ46" s="117"/>
      <c r="VTA46" s="117"/>
      <c r="VTB46" s="117"/>
      <c r="VTC46" s="117"/>
      <c r="VTD46" s="117"/>
      <c r="VTE46" s="117"/>
      <c r="VTF46" s="117"/>
      <c r="VTG46" s="117"/>
      <c r="VTH46" s="117"/>
      <c r="VTI46" s="117"/>
      <c r="VTJ46" s="117"/>
      <c r="VTK46" s="117"/>
      <c r="VTL46" s="117"/>
      <c r="VTM46" s="117"/>
      <c r="VTN46" s="117"/>
      <c r="VTO46" s="117"/>
      <c r="VTP46" s="117"/>
      <c r="VTQ46" s="117"/>
      <c r="VTR46" s="117"/>
      <c r="VTS46" s="117"/>
      <c r="VTT46" s="117"/>
      <c r="VTU46" s="117"/>
      <c r="VTV46" s="117"/>
      <c r="VTW46" s="117"/>
      <c r="VTX46" s="117"/>
      <c r="VTY46" s="117"/>
      <c r="VTZ46" s="117"/>
      <c r="VUA46" s="117"/>
      <c r="VUB46" s="117"/>
      <c r="VUC46" s="117"/>
      <c r="VUD46" s="117"/>
      <c r="VUE46" s="117"/>
      <c r="VUF46" s="117"/>
      <c r="VUG46" s="117"/>
      <c r="VUH46" s="117"/>
      <c r="VUI46" s="117"/>
      <c r="VUJ46" s="117"/>
      <c r="VUK46" s="117"/>
      <c r="VUL46" s="117"/>
      <c r="VUM46" s="117"/>
      <c r="VUN46" s="117"/>
      <c r="VUO46" s="117"/>
      <c r="VUP46" s="117"/>
      <c r="VUQ46" s="117"/>
      <c r="VUR46" s="117"/>
      <c r="VUS46" s="117"/>
      <c r="VUT46" s="117"/>
      <c r="VUU46" s="117"/>
      <c r="VUV46" s="117"/>
      <c r="VUW46" s="117"/>
      <c r="VUX46" s="117"/>
      <c r="VUY46" s="117"/>
      <c r="VUZ46" s="117"/>
      <c r="VVA46" s="117"/>
      <c r="VVB46" s="117"/>
      <c r="VVC46" s="117"/>
      <c r="VVD46" s="117"/>
      <c r="VVE46" s="117"/>
      <c r="VVF46" s="117"/>
      <c r="VVG46" s="117"/>
      <c r="VVH46" s="117"/>
      <c r="VVI46" s="117"/>
      <c r="VVJ46" s="117"/>
      <c r="VVK46" s="117"/>
      <c r="VVL46" s="117"/>
      <c r="VVM46" s="117"/>
      <c r="VVN46" s="117"/>
      <c r="VVO46" s="117"/>
      <c r="VVP46" s="117"/>
      <c r="VVQ46" s="117"/>
      <c r="VVR46" s="117"/>
      <c r="VVS46" s="117"/>
      <c r="VVT46" s="117"/>
      <c r="VVU46" s="117"/>
      <c r="VVV46" s="117"/>
      <c r="VVW46" s="117"/>
      <c r="VVX46" s="117"/>
      <c r="VVY46" s="117"/>
      <c r="VVZ46" s="117"/>
      <c r="VWA46" s="117"/>
      <c r="VWB46" s="117"/>
      <c r="VWC46" s="117"/>
      <c r="VWD46" s="117"/>
      <c r="VWE46" s="117"/>
      <c r="VWF46" s="117"/>
      <c r="VWG46" s="117"/>
      <c r="VWH46" s="117"/>
      <c r="VWI46" s="117"/>
      <c r="VWJ46" s="117"/>
      <c r="VWK46" s="117"/>
      <c r="VWL46" s="117"/>
      <c r="VWM46" s="117"/>
      <c r="VWN46" s="117"/>
      <c r="VWO46" s="117"/>
      <c r="VWP46" s="117"/>
      <c r="VWQ46" s="117"/>
      <c r="VWR46" s="117"/>
      <c r="VWS46" s="117"/>
      <c r="VWT46" s="117"/>
      <c r="VWU46" s="117"/>
      <c r="VWV46" s="117"/>
      <c r="VWW46" s="117"/>
      <c r="VWX46" s="117"/>
      <c r="VWY46" s="117"/>
      <c r="VWZ46" s="117"/>
      <c r="VXA46" s="117"/>
      <c r="VXB46" s="117"/>
      <c r="VXC46" s="117"/>
      <c r="VXD46" s="117"/>
      <c r="VXE46" s="117"/>
      <c r="VXF46" s="117"/>
      <c r="VXG46" s="117"/>
      <c r="VXH46" s="117"/>
      <c r="VXI46" s="117"/>
      <c r="VXJ46" s="117"/>
      <c r="VXK46" s="117"/>
      <c r="VXL46" s="117"/>
      <c r="VXM46" s="117"/>
      <c r="VXN46" s="117"/>
      <c r="VXO46" s="117"/>
      <c r="VXP46" s="117"/>
      <c r="VXQ46" s="117"/>
      <c r="VXR46" s="117"/>
      <c r="VXS46" s="117"/>
      <c r="VXT46" s="117"/>
      <c r="VXU46" s="117"/>
      <c r="VXV46" s="117"/>
      <c r="VXW46" s="117"/>
      <c r="VXX46" s="117"/>
      <c r="VXY46" s="117"/>
      <c r="VXZ46" s="117"/>
      <c r="VYA46" s="117"/>
      <c r="VYB46" s="117"/>
      <c r="VYC46" s="117"/>
      <c r="VYD46" s="117"/>
      <c r="VYE46" s="117"/>
      <c r="VYF46" s="117"/>
      <c r="VYG46" s="117"/>
      <c r="VYH46" s="117"/>
      <c r="VYI46" s="117"/>
      <c r="VYJ46" s="117"/>
      <c r="VYK46" s="117"/>
      <c r="VYL46" s="117"/>
      <c r="VYM46" s="117"/>
      <c r="VYN46" s="117"/>
      <c r="VYO46" s="117"/>
      <c r="VYP46" s="117"/>
      <c r="VYQ46" s="117"/>
      <c r="VYR46" s="117"/>
      <c r="VYS46" s="117"/>
      <c r="VYT46" s="117"/>
      <c r="VYU46" s="117"/>
      <c r="VYV46" s="117"/>
      <c r="VYW46" s="117"/>
      <c r="VYX46" s="117"/>
      <c r="VYY46" s="117"/>
      <c r="VYZ46" s="117"/>
      <c r="VZA46" s="117"/>
      <c r="VZB46" s="117"/>
      <c r="VZC46" s="117"/>
      <c r="VZD46" s="117"/>
      <c r="VZE46" s="117"/>
      <c r="VZF46" s="117"/>
      <c r="VZG46" s="117"/>
      <c r="VZH46" s="117"/>
      <c r="VZI46" s="117"/>
      <c r="VZJ46" s="117"/>
      <c r="VZK46" s="117"/>
      <c r="VZL46" s="117"/>
      <c r="VZM46" s="117"/>
      <c r="VZN46" s="117"/>
      <c r="VZO46" s="117"/>
      <c r="VZP46" s="117"/>
      <c r="VZQ46" s="117"/>
      <c r="VZR46" s="117"/>
      <c r="VZS46" s="117"/>
      <c r="VZT46" s="117"/>
      <c r="VZU46" s="117"/>
      <c r="VZV46" s="117"/>
      <c r="VZW46" s="117"/>
      <c r="VZX46" s="117"/>
      <c r="VZY46" s="117"/>
      <c r="VZZ46" s="117"/>
      <c r="WAA46" s="117"/>
      <c r="WAB46" s="117"/>
      <c r="WAC46" s="117"/>
      <c r="WAD46" s="117"/>
      <c r="WAE46" s="117"/>
      <c r="WAF46" s="117"/>
      <c r="WAG46" s="117"/>
      <c r="WAH46" s="117"/>
      <c r="WAI46" s="117"/>
      <c r="WAJ46" s="117"/>
      <c r="WAK46" s="117"/>
      <c r="WAL46" s="117"/>
      <c r="WAM46" s="117"/>
      <c r="WAN46" s="117"/>
      <c r="WAO46" s="117"/>
      <c r="WAP46" s="117"/>
      <c r="WAQ46" s="117"/>
      <c r="WAR46" s="117"/>
      <c r="WAS46" s="117"/>
      <c r="WAT46" s="117"/>
      <c r="WAU46" s="117"/>
      <c r="WAV46" s="117"/>
      <c r="WAW46" s="117"/>
      <c r="WAX46" s="117"/>
      <c r="WAY46" s="117"/>
      <c r="WAZ46" s="117"/>
      <c r="WBA46" s="117"/>
      <c r="WBB46" s="117"/>
      <c r="WBC46" s="117"/>
      <c r="WBD46" s="117"/>
      <c r="WBE46" s="117"/>
      <c r="WBF46" s="117"/>
      <c r="WBG46" s="117"/>
      <c r="WBH46" s="117"/>
      <c r="WBI46" s="117"/>
      <c r="WBJ46" s="117"/>
      <c r="WBK46" s="117"/>
      <c r="WBL46" s="117"/>
      <c r="WBM46" s="117"/>
      <c r="WBN46" s="117"/>
      <c r="WBO46" s="117"/>
      <c r="WBP46" s="117"/>
      <c r="WBQ46" s="117"/>
      <c r="WBR46" s="117"/>
      <c r="WBS46" s="117"/>
      <c r="WBT46" s="117"/>
      <c r="WBU46" s="117"/>
      <c r="WBV46" s="117"/>
      <c r="WBW46" s="117"/>
      <c r="WBX46" s="117"/>
      <c r="WBY46" s="117"/>
      <c r="WBZ46" s="117"/>
      <c r="WCA46" s="117"/>
      <c r="WCB46" s="117"/>
      <c r="WCC46" s="117"/>
      <c r="WCD46" s="117"/>
      <c r="WCE46" s="117"/>
      <c r="WCF46" s="117"/>
      <c r="WCG46" s="117"/>
      <c r="WCH46" s="117"/>
      <c r="WCI46" s="117"/>
      <c r="WCJ46" s="117"/>
      <c r="WCK46" s="117"/>
      <c r="WCL46" s="117"/>
      <c r="WCM46" s="117"/>
      <c r="WCN46" s="117"/>
      <c r="WCO46" s="117"/>
      <c r="WCP46" s="117"/>
      <c r="WCQ46" s="117"/>
      <c r="WCR46" s="117"/>
      <c r="WCS46" s="117"/>
      <c r="WCT46" s="117"/>
      <c r="WCU46" s="117"/>
      <c r="WCV46" s="117"/>
      <c r="WCW46" s="117"/>
      <c r="WCX46" s="117"/>
      <c r="WCY46" s="117"/>
      <c r="WCZ46" s="117"/>
      <c r="WDA46" s="117"/>
      <c r="WDB46" s="117"/>
      <c r="WDC46" s="117"/>
      <c r="WDD46" s="117"/>
      <c r="WDE46" s="117"/>
      <c r="WDF46" s="117"/>
      <c r="WDG46" s="117"/>
      <c r="WDH46" s="117"/>
      <c r="WDI46" s="117"/>
      <c r="WDJ46" s="117"/>
      <c r="WDK46" s="117"/>
      <c r="WDL46" s="117"/>
      <c r="WDM46" s="117"/>
      <c r="WDN46" s="117"/>
      <c r="WDO46" s="117"/>
      <c r="WDP46" s="117"/>
      <c r="WDQ46" s="117"/>
      <c r="WDR46" s="117"/>
      <c r="WDS46" s="117"/>
      <c r="WDT46" s="117"/>
      <c r="WDU46" s="117"/>
      <c r="WDV46" s="117"/>
      <c r="WDW46" s="117"/>
      <c r="WDX46" s="117"/>
      <c r="WDY46" s="117"/>
      <c r="WDZ46" s="117"/>
      <c r="WEA46" s="117"/>
      <c r="WEB46" s="117"/>
      <c r="WEC46" s="117"/>
      <c r="WED46" s="117"/>
      <c r="WEE46" s="117"/>
      <c r="WEF46" s="117"/>
      <c r="WEG46" s="117"/>
      <c r="WEH46" s="117"/>
      <c r="WEI46" s="117"/>
      <c r="WEJ46" s="117"/>
      <c r="WEK46" s="117"/>
      <c r="WEL46" s="117"/>
      <c r="WEM46" s="117"/>
      <c r="WEN46" s="117"/>
      <c r="WEO46" s="117"/>
      <c r="WEP46" s="117"/>
      <c r="WEQ46" s="117"/>
      <c r="WER46" s="117"/>
      <c r="WES46" s="117"/>
      <c r="WET46" s="117"/>
      <c r="WEU46" s="117"/>
      <c r="WEV46" s="117"/>
      <c r="WEW46" s="117"/>
      <c r="WEX46" s="117"/>
      <c r="WEY46" s="117"/>
      <c r="WEZ46" s="117"/>
      <c r="WFA46" s="117"/>
      <c r="WFB46" s="117"/>
      <c r="WFC46" s="117"/>
      <c r="WFD46" s="117"/>
      <c r="WFE46" s="117"/>
      <c r="WFF46" s="117"/>
      <c r="WFG46" s="117"/>
      <c r="WFH46" s="117"/>
      <c r="WFI46" s="117"/>
      <c r="WFJ46" s="117"/>
      <c r="WFK46" s="117"/>
      <c r="WFL46" s="117"/>
      <c r="WFM46" s="117"/>
      <c r="WFN46" s="117"/>
      <c r="WFO46" s="117"/>
      <c r="WFP46" s="117"/>
      <c r="WFQ46" s="117"/>
      <c r="WFR46" s="117"/>
      <c r="WFS46" s="117"/>
      <c r="WFT46" s="117"/>
      <c r="WFU46" s="117"/>
      <c r="WFV46" s="117"/>
      <c r="WFW46" s="117"/>
      <c r="WFX46" s="117"/>
      <c r="WFY46" s="117"/>
      <c r="WFZ46" s="117"/>
      <c r="WGA46" s="117"/>
      <c r="WGB46" s="117"/>
      <c r="WGC46" s="117"/>
      <c r="WGD46" s="117"/>
      <c r="WGE46" s="117"/>
      <c r="WGF46" s="117"/>
      <c r="WGG46" s="117"/>
      <c r="WGH46" s="117"/>
      <c r="WGI46" s="117"/>
      <c r="WGJ46" s="117"/>
      <c r="WGK46" s="117"/>
      <c r="WGL46" s="117"/>
      <c r="WGM46" s="117"/>
      <c r="WGN46" s="117"/>
      <c r="WGO46" s="117"/>
      <c r="WGP46" s="117"/>
      <c r="WGQ46" s="117"/>
      <c r="WGR46" s="117"/>
      <c r="WGS46" s="117"/>
      <c r="WGT46" s="117"/>
      <c r="WGU46" s="117"/>
      <c r="WGV46" s="117"/>
      <c r="WGW46" s="117"/>
      <c r="WGX46" s="117"/>
      <c r="WGY46" s="117"/>
      <c r="WGZ46" s="117"/>
      <c r="WHA46" s="117"/>
      <c r="WHB46" s="117"/>
      <c r="WHC46" s="117"/>
      <c r="WHD46" s="117"/>
      <c r="WHE46" s="117"/>
      <c r="WHF46" s="117"/>
      <c r="WHG46" s="117"/>
      <c r="WHH46" s="117"/>
      <c r="WHI46" s="117"/>
      <c r="WHJ46" s="117"/>
      <c r="WHK46" s="117"/>
      <c r="WHL46" s="117"/>
      <c r="WHM46" s="117"/>
      <c r="WHN46" s="117"/>
      <c r="WHO46" s="117"/>
      <c r="WHP46" s="117"/>
      <c r="WHQ46" s="117"/>
      <c r="WHR46" s="117"/>
      <c r="WHS46" s="117"/>
      <c r="WHT46" s="117"/>
      <c r="WHU46" s="117"/>
      <c r="WHV46" s="117"/>
      <c r="WHW46" s="117"/>
      <c r="WHX46" s="117"/>
      <c r="WHY46" s="117"/>
      <c r="WHZ46" s="117"/>
      <c r="WIA46" s="117"/>
      <c r="WIB46" s="117"/>
      <c r="WIC46" s="117"/>
      <c r="WID46" s="117"/>
      <c r="WIE46" s="117"/>
      <c r="WIF46" s="117"/>
      <c r="WIG46" s="117"/>
      <c r="WIH46" s="117"/>
      <c r="WII46" s="117"/>
      <c r="WIJ46" s="117"/>
      <c r="WIK46" s="117"/>
      <c r="WIL46" s="117"/>
      <c r="WIM46" s="117"/>
      <c r="WIN46" s="117"/>
      <c r="WIO46" s="117"/>
      <c r="WIP46" s="117"/>
      <c r="WIQ46" s="117"/>
      <c r="WIR46" s="117"/>
      <c r="WIS46" s="117"/>
      <c r="WIT46" s="117"/>
      <c r="WIU46" s="117"/>
      <c r="WIV46" s="117"/>
      <c r="WIW46" s="117"/>
      <c r="WIX46" s="117"/>
      <c r="WIY46" s="117"/>
      <c r="WIZ46" s="117"/>
      <c r="WJA46" s="117"/>
      <c r="WJB46" s="117"/>
      <c r="WJC46" s="117"/>
      <c r="WJD46" s="117"/>
      <c r="WJE46" s="117"/>
      <c r="WJF46" s="117"/>
      <c r="WJG46" s="117"/>
      <c r="WJH46" s="117"/>
      <c r="WJI46" s="117"/>
      <c r="WJJ46" s="117"/>
      <c r="WJK46" s="117"/>
      <c r="WJL46" s="117"/>
      <c r="WJM46" s="117"/>
      <c r="WJN46" s="117"/>
      <c r="WJO46" s="117"/>
      <c r="WJP46" s="117"/>
      <c r="WJQ46" s="117"/>
      <c r="WJR46" s="117"/>
      <c r="WJS46" s="117"/>
      <c r="WJT46" s="117"/>
      <c r="WJU46" s="117"/>
      <c r="WJV46" s="117"/>
      <c r="WJW46" s="117"/>
      <c r="WJX46" s="117"/>
      <c r="WJY46" s="117"/>
      <c r="WJZ46" s="117"/>
      <c r="WKA46" s="117"/>
      <c r="WKB46" s="117"/>
      <c r="WKC46" s="117"/>
      <c r="WKD46" s="117"/>
      <c r="WKE46" s="117"/>
      <c r="WKF46" s="117"/>
      <c r="WKG46" s="117"/>
      <c r="WKH46" s="117"/>
      <c r="WKI46" s="117"/>
      <c r="WKJ46" s="117"/>
      <c r="WKK46" s="117"/>
      <c r="WKL46" s="117"/>
      <c r="WKM46" s="117"/>
      <c r="WKN46" s="117"/>
      <c r="WKO46" s="117"/>
      <c r="WKP46" s="117"/>
      <c r="WKQ46" s="117"/>
      <c r="WKR46" s="117"/>
      <c r="WKS46" s="117"/>
      <c r="WKT46" s="117"/>
      <c r="WKU46" s="117"/>
      <c r="WKV46" s="117"/>
      <c r="WKW46" s="117"/>
      <c r="WKX46" s="117"/>
      <c r="WKY46" s="117"/>
      <c r="WKZ46" s="117"/>
      <c r="WLA46" s="117"/>
      <c r="WLB46" s="117"/>
      <c r="WLC46" s="117"/>
      <c r="WLD46" s="117"/>
      <c r="WLE46" s="117"/>
      <c r="WLF46" s="117"/>
      <c r="WLG46" s="117"/>
      <c r="WLH46" s="117"/>
      <c r="WLI46" s="117"/>
      <c r="WLJ46" s="117"/>
      <c r="WLK46" s="117"/>
      <c r="WLL46" s="117"/>
      <c r="WLM46" s="117"/>
      <c r="WLN46" s="117"/>
      <c r="WLO46" s="117"/>
      <c r="WLP46" s="117"/>
      <c r="WLQ46" s="117"/>
      <c r="WLR46" s="117"/>
      <c r="WLS46" s="117"/>
      <c r="WLT46" s="117"/>
      <c r="WLU46" s="117"/>
      <c r="WLV46" s="117"/>
      <c r="WLW46" s="117"/>
      <c r="WLX46" s="117"/>
      <c r="WLY46" s="117"/>
      <c r="WLZ46" s="117"/>
      <c r="WMA46" s="117"/>
      <c r="WMB46" s="117"/>
      <c r="WMC46" s="117"/>
      <c r="WMD46" s="117"/>
      <c r="WME46" s="117"/>
      <c r="WMF46" s="117"/>
      <c r="WMG46" s="117"/>
      <c r="WMH46" s="117"/>
      <c r="WMI46" s="117"/>
      <c r="WMJ46" s="117"/>
      <c r="WMK46" s="117"/>
      <c r="WML46" s="117"/>
      <c r="WMM46" s="117"/>
      <c r="WMN46" s="117"/>
      <c r="WMO46" s="117"/>
      <c r="WMP46" s="117"/>
      <c r="WMQ46" s="117"/>
      <c r="WMR46" s="117"/>
      <c r="WMS46" s="117"/>
      <c r="WMT46" s="117"/>
      <c r="WMU46" s="117"/>
      <c r="WMV46" s="117"/>
      <c r="WMW46" s="117"/>
      <c r="WMX46" s="117"/>
      <c r="WMY46" s="117"/>
      <c r="WMZ46" s="117"/>
      <c r="WNA46" s="117"/>
      <c r="WNB46" s="117"/>
      <c r="WNC46" s="117"/>
      <c r="WND46" s="117"/>
      <c r="WNE46" s="117"/>
      <c r="WNF46" s="117"/>
      <c r="WNG46" s="117"/>
      <c r="WNH46" s="117"/>
      <c r="WNI46" s="117"/>
      <c r="WNJ46" s="117"/>
      <c r="WNK46" s="117"/>
      <c r="WNL46" s="117"/>
      <c r="WNM46" s="117"/>
      <c r="WNN46" s="117"/>
      <c r="WNO46" s="117"/>
      <c r="WNP46" s="117"/>
      <c r="WNQ46" s="117"/>
      <c r="WNR46" s="117"/>
      <c r="WNS46" s="117"/>
      <c r="WNT46" s="117"/>
      <c r="WNU46" s="117"/>
      <c r="WNV46" s="117"/>
      <c r="WNW46" s="117"/>
      <c r="WNX46" s="117"/>
      <c r="WNY46" s="117"/>
      <c r="WNZ46" s="117"/>
      <c r="WOA46" s="117"/>
      <c r="WOB46" s="117"/>
      <c r="WOC46" s="117"/>
      <c r="WOD46" s="117"/>
      <c r="WOE46" s="117"/>
      <c r="WOF46" s="117"/>
      <c r="WOG46" s="117"/>
      <c r="WOH46" s="117"/>
      <c r="WOI46" s="117"/>
      <c r="WOJ46" s="117"/>
      <c r="WOK46" s="117"/>
      <c r="WOL46" s="117"/>
      <c r="WOM46" s="117"/>
      <c r="WON46" s="117"/>
      <c r="WOO46" s="117"/>
      <c r="WOP46" s="117"/>
      <c r="WOQ46" s="117"/>
      <c r="WOR46" s="117"/>
      <c r="WOS46" s="117"/>
      <c r="WOT46" s="117"/>
      <c r="WOU46" s="117"/>
      <c r="WOV46" s="117"/>
      <c r="WOW46" s="117"/>
      <c r="WOX46" s="117"/>
      <c r="WOY46" s="117"/>
      <c r="WOZ46" s="117"/>
      <c r="WPA46" s="117"/>
      <c r="WPB46" s="117"/>
      <c r="WPC46" s="117"/>
      <c r="WPD46" s="117"/>
      <c r="WPE46" s="117"/>
      <c r="WPF46" s="117"/>
      <c r="WPG46" s="117"/>
      <c r="WPH46" s="117"/>
      <c r="WPI46" s="117"/>
      <c r="WPJ46" s="117"/>
      <c r="WPK46" s="117"/>
      <c r="WPL46" s="117"/>
      <c r="WPM46" s="117"/>
      <c r="WPN46" s="117"/>
      <c r="WPO46" s="117"/>
      <c r="WPP46" s="117"/>
      <c r="WPQ46" s="117"/>
      <c r="WPR46" s="117"/>
      <c r="WPS46" s="117"/>
      <c r="WPT46" s="117"/>
      <c r="WPU46" s="117"/>
      <c r="WPV46" s="117"/>
      <c r="WPW46" s="117"/>
      <c r="WPX46" s="117"/>
      <c r="WPY46" s="117"/>
      <c r="WPZ46" s="117"/>
      <c r="WQA46" s="117"/>
      <c r="WQB46" s="117"/>
      <c r="WQC46" s="117"/>
      <c r="WQD46" s="117"/>
      <c r="WQE46" s="117"/>
      <c r="WQF46" s="117"/>
      <c r="WQG46" s="117"/>
      <c r="WQH46" s="117"/>
      <c r="WQI46" s="117"/>
      <c r="WQJ46" s="117"/>
      <c r="WQK46" s="117"/>
      <c r="WQL46" s="117"/>
      <c r="WQM46" s="117"/>
      <c r="WQN46" s="117"/>
      <c r="WQO46" s="117"/>
      <c r="WQP46" s="117"/>
      <c r="WQQ46" s="117"/>
      <c r="WQR46" s="117"/>
      <c r="WQS46" s="117"/>
      <c r="WQT46" s="117"/>
      <c r="WQU46" s="117"/>
      <c r="WQV46" s="117"/>
      <c r="WQW46" s="117"/>
      <c r="WQX46" s="117"/>
      <c r="WQY46" s="117"/>
      <c r="WQZ46" s="117"/>
      <c r="WRA46" s="117"/>
      <c r="WRB46" s="117"/>
      <c r="WRC46" s="117"/>
      <c r="WRD46" s="117"/>
      <c r="WRE46" s="117"/>
      <c r="WRF46" s="117"/>
      <c r="WRG46" s="117"/>
      <c r="WRH46" s="117"/>
      <c r="WRI46" s="117"/>
      <c r="WRJ46" s="117"/>
      <c r="WRK46" s="117"/>
      <c r="WRL46" s="117"/>
      <c r="WRM46" s="117"/>
      <c r="WRN46" s="117"/>
      <c r="WRO46" s="117"/>
      <c r="WRP46" s="117"/>
      <c r="WRQ46" s="117"/>
      <c r="WRR46" s="117"/>
      <c r="WRS46" s="117"/>
      <c r="WRT46" s="117"/>
      <c r="WRU46" s="117"/>
      <c r="WRV46" s="117"/>
      <c r="WRW46" s="117"/>
      <c r="WRX46" s="117"/>
      <c r="WRY46" s="117"/>
      <c r="WRZ46" s="117"/>
      <c r="WSA46" s="117"/>
      <c r="WSB46" s="117"/>
      <c r="WSC46" s="117"/>
      <c r="WSD46" s="117"/>
      <c r="WSE46" s="117"/>
      <c r="WSF46" s="117"/>
      <c r="WSG46" s="117"/>
      <c r="WSH46" s="117"/>
      <c r="WSI46" s="117"/>
      <c r="WSJ46" s="117"/>
      <c r="WSK46" s="117"/>
      <c r="WSL46" s="117"/>
      <c r="WSM46" s="117"/>
      <c r="WSN46" s="117"/>
      <c r="WSO46" s="117"/>
      <c r="WSP46" s="117"/>
      <c r="WSQ46" s="117"/>
      <c r="WSR46" s="117"/>
      <c r="WSS46" s="117"/>
      <c r="WST46" s="117"/>
      <c r="WSU46" s="117"/>
      <c r="WSV46" s="117"/>
      <c r="WSW46" s="117"/>
      <c r="WSX46" s="117"/>
      <c r="WSY46" s="117"/>
      <c r="WSZ46" s="117"/>
      <c r="WTA46" s="117"/>
      <c r="WTB46" s="117"/>
      <c r="WTC46" s="117"/>
      <c r="WTD46" s="117"/>
      <c r="WTE46" s="117"/>
      <c r="WTF46" s="117"/>
      <c r="WTG46" s="117"/>
      <c r="WTH46" s="117"/>
      <c r="WTI46" s="117"/>
      <c r="WTJ46" s="117"/>
      <c r="WTK46" s="117"/>
      <c r="WTL46" s="117"/>
      <c r="WTM46" s="117"/>
      <c r="WTN46" s="117"/>
      <c r="WTO46" s="117"/>
      <c r="WTP46" s="117"/>
      <c r="WTQ46" s="117"/>
      <c r="WTR46" s="117"/>
      <c r="WTS46" s="117"/>
      <c r="WTT46" s="117"/>
      <c r="WTU46" s="117"/>
      <c r="WTV46" s="117"/>
      <c r="WTW46" s="117"/>
      <c r="WTX46" s="117"/>
      <c r="WTY46" s="117"/>
      <c r="WTZ46" s="117"/>
      <c r="WUA46" s="117"/>
      <c r="WUB46" s="117"/>
      <c r="WUC46" s="117"/>
      <c r="WUD46" s="117"/>
      <c r="WUE46" s="117"/>
      <c r="WUF46" s="117"/>
      <c r="WUG46" s="117"/>
      <c r="WUH46" s="117"/>
      <c r="WUI46" s="117"/>
      <c r="WUJ46" s="117"/>
      <c r="WUK46" s="117"/>
      <c r="WUL46" s="117"/>
      <c r="WUM46" s="117"/>
      <c r="WUN46" s="117"/>
      <c r="WUO46" s="117"/>
      <c r="WUP46" s="117"/>
      <c r="WUQ46" s="117"/>
      <c r="WUR46" s="117"/>
      <c r="WUS46" s="117"/>
      <c r="WUT46" s="117"/>
      <c r="WUU46" s="117"/>
      <c r="WUV46" s="117"/>
      <c r="WUW46" s="117"/>
      <c r="WUX46" s="117"/>
      <c r="WUY46" s="117"/>
      <c r="WUZ46" s="117"/>
      <c r="WVA46" s="117"/>
      <c r="WVB46" s="117"/>
      <c r="WVC46" s="117"/>
      <c r="WVD46" s="117"/>
      <c r="WVE46" s="117"/>
      <c r="WVF46" s="117"/>
      <c r="WVG46" s="117"/>
      <c r="WVH46" s="117"/>
      <c r="WVI46" s="117"/>
      <c r="WVJ46" s="117"/>
      <c r="WVK46" s="117"/>
      <c r="WVL46" s="117"/>
      <c r="WVM46" s="117"/>
      <c r="WVN46" s="117"/>
      <c r="WVO46" s="117"/>
      <c r="WVP46" s="117"/>
      <c r="WVQ46" s="117"/>
      <c r="WVR46" s="117"/>
      <c r="WVS46" s="117"/>
      <c r="WVT46" s="117"/>
      <c r="WVU46" s="117"/>
      <c r="WVV46" s="117"/>
      <c r="WVW46" s="117"/>
      <c r="WVX46" s="117"/>
      <c r="WVY46" s="117"/>
      <c r="WVZ46" s="117"/>
      <c r="WWA46" s="117"/>
      <c r="WWB46" s="117"/>
      <c r="WWC46" s="117"/>
      <c r="WWD46" s="117"/>
      <c r="WWE46" s="117"/>
      <c r="WWF46" s="117"/>
      <c r="WWG46" s="117"/>
      <c r="WWH46" s="117"/>
      <c r="WWI46" s="117"/>
      <c r="WWJ46" s="117"/>
      <c r="WWK46" s="117"/>
      <c r="WWL46" s="117"/>
      <c r="WWM46" s="117"/>
      <c r="WWN46" s="117"/>
      <c r="WWO46" s="117"/>
      <c r="WWP46" s="117"/>
      <c r="WWQ46" s="117"/>
      <c r="WWR46" s="117"/>
      <c r="WWS46" s="117"/>
      <c r="WWT46" s="117"/>
      <c r="WWU46" s="117"/>
      <c r="WWV46" s="117"/>
      <c r="WWW46" s="117"/>
      <c r="WWX46" s="117"/>
      <c r="WWY46" s="117"/>
      <c r="WWZ46" s="117"/>
      <c r="WXA46" s="117"/>
      <c r="WXB46" s="117"/>
      <c r="WXC46" s="117"/>
      <c r="WXD46" s="117"/>
      <c r="WXE46" s="117"/>
      <c r="WXF46" s="117"/>
      <c r="WXG46" s="117"/>
      <c r="WXH46" s="117"/>
      <c r="WXI46" s="117"/>
      <c r="WXJ46" s="117"/>
      <c r="WXK46" s="117"/>
      <c r="WXL46" s="117"/>
      <c r="WXM46" s="117"/>
      <c r="WXN46" s="117"/>
      <c r="WXO46" s="117"/>
      <c r="WXP46" s="117"/>
      <c r="WXQ46" s="117"/>
      <c r="WXR46" s="117"/>
      <c r="WXS46" s="117"/>
      <c r="WXT46" s="117"/>
      <c r="WXU46" s="117"/>
      <c r="WXV46" s="117"/>
      <c r="WXW46" s="117"/>
      <c r="WXX46" s="117"/>
      <c r="WXY46" s="117"/>
      <c r="WXZ46" s="117"/>
      <c r="WYA46" s="117"/>
      <c r="WYB46" s="117"/>
      <c r="WYC46" s="117"/>
      <c r="WYD46" s="117"/>
      <c r="WYE46" s="117"/>
      <c r="WYF46" s="117"/>
      <c r="WYG46" s="117"/>
      <c r="WYH46" s="117"/>
      <c r="WYI46" s="117"/>
      <c r="WYJ46" s="117"/>
      <c r="WYK46" s="117"/>
      <c r="WYL46" s="117"/>
      <c r="WYM46" s="117"/>
      <c r="WYN46" s="117"/>
      <c r="WYO46" s="117"/>
      <c r="WYP46" s="117"/>
      <c r="WYQ46" s="117"/>
      <c r="WYR46" s="117"/>
      <c r="WYS46" s="117"/>
      <c r="WYT46" s="117"/>
      <c r="WYU46" s="117"/>
      <c r="WYV46" s="117"/>
      <c r="WYW46" s="117"/>
      <c r="WYX46" s="117"/>
      <c r="WYY46" s="117"/>
      <c r="WYZ46" s="117"/>
      <c r="WZA46" s="117"/>
      <c r="WZB46" s="117"/>
      <c r="WZC46" s="117"/>
      <c r="WZD46" s="117"/>
      <c r="WZE46" s="117"/>
      <c r="WZF46" s="117"/>
      <c r="WZG46" s="117"/>
      <c r="WZH46" s="117"/>
      <c r="WZI46" s="117"/>
      <c r="WZJ46" s="117"/>
      <c r="WZK46" s="117"/>
      <c r="WZL46" s="117"/>
      <c r="WZM46" s="117"/>
      <c r="WZN46" s="117"/>
      <c r="WZO46" s="117"/>
      <c r="WZP46" s="117"/>
      <c r="WZQ46" s="117"/>
      <c r="WZR46" s="117"/>
      <c r="WZS46" s="117"/>
      <c r="WZT46" s="117"/>
      <c r="WZU46" s="117"/>
      <c r="WZV46" s="117"/>
      <c r="WZW46" s="117"/>
      <c r="WZX46" s="117"/>
      <c r="WZY46" s="117"/>
      <c r="WZZ46" s="117"/>
      <c r="XAA46" s="117"/>
      <c r="XAB46" s="117"/>
      <c r="XAC46" s="117"/>
      <c r="XAD46" s="117"/>
      <c r="XAE46" s="117"/>
      <c r="XAF46" s="117"/>
      <c r="XAG46" s="117"/>
      <c r="XAH46" s="117"/>
      <c r="XAI46" s="117"/>
      <c r="XAJ46" s="117"/>
      <c r="XAK46" s="117"/>
      <c r="XAL46" s="117"/>
      <c r="XAM46" s="117"/>
      <c r="XAN46" s="117"/>
      <c r="XAO46" s="117"/>
      <c r="XAP46" s="117"/>
      <c r="XAQ46" s="117"/>
      <c r="XAR46" s="117"/>
      <c r="XAS46" s="117"/>
      <c r="XAT46" s="117"/>
      <c r="XAU46" s="117"/>
      <c r="XAV46" s="117"/>
      <c r="XAW46" s="117"/>
      <c r="XAX46" s="117"/>
      <c r="XAY46" s="117"/>
      <c r="XAZ46" s="117"/>
      <c r="XBA46" s="117"/>
      <c r="XBB46" s="117"/>
      <c r="XBC46" s="117"/>
      <c r="XBD46" s="117"/>
      <c r="XBE46" s="117"/>
      <c r="XBF46" s="117"/>
      <c r="XBG46" s="117"/>
      <c r="XBH46" s="117"/>
      <c r="XBI46" s="117"/>
      <c r="XBJ46" s="117"/>
      <c r="XBK46" s="117"/>
      <c r="XBL46" s="117"/>
      <c r="XBM46" s="117"/>
      <c r="XBN46" s="117"/>
      <c r="XBO46" s="117"/>
      <c r="XBP46" s="117"/>
      <c r="XBQ46" s="117"/>
      <c r="XBR46" s="117"/>
      <c r="XBS46" s="117"/>
      <c r="XBT46" s="117"/>
      <c r="XBU46" s="117"/>
      <c r="XBV46" s="117"/>
      <c r="XBW46" s="117"/>
      <c r="XBX46" s="117"/>
      <c r="XBY46" s="117"/>
      <c r="XBZ46" s="117"/>
      <c r="XCA46" s="117"/>
      <c r="XCB46" s="117"/>
      <c r="XCC46" s="117"/>
      <c r="XCD46" s="117"/>
      <c r="XCE46" s="117"/>
      <c r="XCF46" s="117"/>
      <c r="XCG46" s="117"/>
      <c r="XCH46" s="117"/>
      <c r="XCI46" s="117"/>
      <c r="XCJ46" s="117"/>
      <c r="XCK46" s="117"/>
      <c r="XCL46" s="117"/>
      <c r="XCM46" s="117"/>
      <c r="XCN46" s="117"/>
      <c r="XCO46" s="117"/>
      <c r="XCP46" s="117"/>
      <c r="XCQ46" s="117"/>
      <c r="XCR46" s="117"/>
      <c r="XCS46" s="117"/>
      <c r="XCT46" s="117"/>
      <c r="XCU46" s="117"/>
      <c r="XCV46" s="117"/>
      <c r="XCW46" s="117"/>
      <c r="XCX46" s="117"/>
      <c r="XCY46" s="117"/>
      <c r="XCZ46" s="117"/>
      <c r="XDA46" s="117"/>
      <c r="XDB46" s="117"/>
      <c r="XDC46" s="117"/>
      <c r="XDD46" s="117"/>
      <c r="XDE46" s="117"/>
      <c r="XDF46" s="117"/>
      <c r="XDG46" s="117"/>
      <c r="XDH46" s="117"/>
      <c r="XDI46" s="117"/>
      <c r="XDJ46" s="117"/>
      <c r="XDK46" s="117"/>
      <c r="XDL46" s="117"/>
      <c r="XDM46" s="117"/>
      <c r="XDN46" s="117"/>
      <c r="XDO46" s="117"/>
      <c r="XDP46" s="117"/>
      <c r="XDQ46" s="117"/>
      <c r="XDR46" s="117"/>
      <c r="XDS46" s="117"/>
      <c r="XDT46" s="117"/>
      <c r="XDU46" s="117"/>
      <c r="XDV46" s="117"/>
      <c r="XDW46" s="117"/>
      <c r="XDX46" s="117"/>
      <c r="XDY46" s="117"/>
      <c r="XDZ46" s="117"/>
      <c r="XEA46" s="117"/>
      <c r="XEB46" s="117"/>
      <c r="XEC46" s="117"/>
      <c r="XED46" s="117"/>
      <c r="XEE46" s="117"/>
      <c r="XEF46" s="117"/>
      <c r="XEG46" s="117"/>
      <c r="XEH46" s="117"/>
      <c r="XEI46" s="117"/>
      <c r="XEJ46" s="117"/>
      <c r="XEK46" s="117"/>
      <c r="XEL46" s="117"/>
      <c r="XEM46" s="117"/>
      <c r="XEN46" s="117"/>
      <c r="XEO46" s="117"/>
      <c r="XEP46" s="117"/>
      <c r="XEQ46" s="117"/>
      <c r="XER46" s="117"/>
      <c r="XES46" s="117"/>
      <c r="XET46" s="117"/>
      <c r="XEU46" s="117"/>
      <c r="XEV46" s="117"/>
      <c r="XEW46" s="117"/>
      <c r="XEX46" s="117"/>
      <c r="XEY46" s="117"/>
      <c r="XEZ46" s="117"/>
      <c r="XFA46" s="117"/>
    </row>
    <row r="47" spans="1:16381" ht="11.25" hidden="1" customHeight="1" x14ac:dyDescent="0.15">
      <c r="A47" s="117"/>
      <c r="B47" s="167" t="s">
        <v>244</v>
      </c>
      <c r="C47" s="117"/>
      <c r="D47" s="117"/>
      <c r="E47" s="117"/>
      <c r="F47" s="117"/>
      <c r="G47" s="117"/>
      <c r="H47" s="117"/>
      <c r="I47" s="117"/>
      <c r="J47" s="117"/>
      <c r="K47" s="117"/>
      <c r="L47" s="117"/>
      <c r="M47" s="117"/>
      <c r="N47" s="117"/>
      <c r="O47" s="117"/>
      <c r="P47" s="117"/>
      <c r="Q47" s="117"/>
      <c r="R47" s="117"/>
      <c r="S47" s="117"/>
      <c r="T47" s="117"/>
      <c r="U47" s="117"/>
      <c r="V47" s="117"/>
      <c r="W47" s="117"/>
      <c r="X47" s="117"/>
      <c r="Y47" s="117"/>
      <c r="Z47" s="117"/>
      <c r="AA47" s="117"/>
      <c r="AB47" s="117"/>
      <c r="AC47" s="117"/>
      <c r="AD47" s="117"/>
      <c r="AE47" s="117"/>
      <c r="AF47" s="117"/>
      <c r="AG47" s="117"/>
      <c r="AH47" s="117"/>
      <c r="AI47" s="117"/>
      <c r="AJ47" s="117"/>
      <c r="AK47" s="117"/>
      <c r="AL47" s="117"/>
      <c r="AM47" s="117"/>
      <c r="AN47" s="117"/>
      <c r="AO47" s="117"/>
      <c r="AP47" s="117"/>
      <c r="AQ47" s="117"/>
      <c r="AR47" s="117"/>
      <c r="AS47" s="117"/>
      <c r="AT47" s="117"/>
      <c r="AU47" s="117"/>
      <c r="AV47" s="117"/>
      <c r="AW47" s="117"/>
      <c r="AX47" s="117"/>
      <c r="AY47" s="117"/>
      <c r="AZ47" s="117"/>
      <c r="BA47" s="117"/>
      <c r="BB47" s="117"/>
      <c r="BC47" s="117"/>
      <c r="BD47" s="117"/>
      <c r="BE47" s="117"/>
      <c r="BF47" s="117"/>
      <c r="BG47" s="117"/>
      <c r="BH47" s="117"/>
      <c r="BI47" s="117"/>
      <c r="BJ47" s="117"/>
      <c r="BK47" s="117"/>
      <c r="BL47" s="117"/>
      <c r="BM47" s="117"/>
      <c r="BN47" s="117"/>
      <c r="BO47" s="117"/>
      <c r="BP47" s="117"/>
      <c r="BQ47" s="117"/>
      <c r="BR47" s="117"/>
      <c r="BS47" s="117"/>
      <c r="BT47" s="117"/>
      <c r="BU47" s="117"/>
      <c r="BV47" s="117"/>
      <c r="BW47" s="117"/>
      <c r="BX47" s="117"/>
      <c r="BY47" s="117"/>
      <c r="BZ47" s="117"/>
      <c r="CA47" s="117"/>
      <c r="CB47" s="117"/>
      <c r="CC47" s="117"/>
      <c r="CD47" s="117"/>
      <c r="CE47" s="51">
        <f t="shared" ref="CE47" si="27">BowlSplit(C47:BC47,InnsBowledIn)</f>
        <v>0</v>
      </c>
      <c r="CF47" s="51">
        <f t="shared" ref="CF47" si="28">BowlSplit(C47:CC47,BallsBowled)</f>
        <v>0</v>
      </c>
      <c r="CG47" s="182">
        <f t="shared" ref="CG47" si="29">BowlSplit(C47:CC47,OversBowled)</f>
        <v>0</v>
      </c>
      <c r="CH47" s="180">
        <f t="shared" ref="CH47" si="30">BowlSplit(C47:CC47,Maidens)</f>
        <v>0</v>
      </c>
      <c r="CI47" s="180">
        <f t="shared" ref="CI47" si="31">BowlSplit(C47:CC47,RunsConceded)</f>
        <v>0</v>
      </c>
      <c r="CJ47" s="180">
        <f t="shared" ref="CJ47" si="32">BowlSplit(C47:CC47,WicketsTaken)</f>
        <v>0</v>
      </c>
      <c r="CK47" s="53" t="str">
        <f t="shared" ref="CK47" si="33">IF(CJ47&gt;0,ROUND(CI47/CJ47,2),"")</f>
        <v/>
      </c>
      <c r="CL47" s="54" t="str">
        <f t="shared" ref="CL47" si="34">IF(CJ47&gt;0,CF47/CJ47,"")</f>
        <v/>
      </c>
      <c r="CM47" s="54" t="str">
        <f t="shared" ref="CM47" si="35">IF(CF47&gt;0,6*CI47/CF47,"")</f>
        <v/>
      </c>
      <c r="CN47" s="46" t="str">
        <f t="shared" ref="CN47" si="36">BowlSplit(C47:CC47,BestBowling)</f>
        <v/>
      </c>
      <c r="CO47" s="55">
        <f t="shared" si="10"/>
        <v>99999.004700000005</v>
      </c>
      <c r="CP47" s="2">
        <f>RANK(CO47,$CO$5:$CO$47,1)</f>
        <v>43</v>
      </c>
      <c r="CQ47" s="102" t="str">
        <f t="shared" si="11"/>
        <v/>
      </c>
      <c r="CR47" s="2">
        <f t="shared" si="12"/>
        <v>0</v>
      </c>
      <c r="CS47" s="117"/>
      <c r="CT47" s="117"/>
      <c r="CU47" s="117"/>
      <c r="CV47" s="117"/>
      <c r="CW47" s="117"/>
      <c r="CX47" s="117"/>
      <c r="CY47" s="117"/>
      <c r="CZ47" s="117"/>
      <c r="DA47" s="117"/>
      <c r="DB47" s="117"/>
      <c r="DC47" s="117"/>
      <c r="DD47" s="117"/>
      <c r="DE47" s="117"/>
      <c r="DF47" s="117"/>
      <c r="DG47" s="117"/>
      <c r="DH47" s="117"/>
      <c r="DI47" s="117"/>
      <c r="DJ47" s="117"/>
      <c r="DK47" s="117"/>
      <c r="DL47" s="117"/>
      <c r="DM47" s="117"/>
      <c r="DN47" s="117"/>
      <c r="DO47" s="117"/>
      <c r="DP47" s="117"/>
      <c r="DQ47" s="117"/>
      <c r="DR47" s="117"/>
      <c r="DS47" s="117"/>
      <c r="DT47" s="117"/>
      <c r="DU47" s="117"/>
      <c r="DV47" s="117"/>
      <c r="DW47" s="117"/>
      <c r="DX47" s="117"/>
      <c r="DY47" s="117"/>
      <c r="DZ47" s="117"/>
      <c r="EA47" s="117"/>
      <c r="EB47" s="117"/>
      <c r="EC47" s="117"/>
      <c r="ED47" s="117"/>
      <c r="EE47" s="117"/>
      <c r="EF47" s="117"/>
      <c r="EG47" s="117"/>
      <c r="EH47" s="117"/>
      <c r="EI47" s="117"/>
      <c r="EJ47" s="117"/>
      <c r="EK47" s="117"/>
      <c r="EL47" s="117"/>
      <c r="EM47" s="117"/>
      <c r="EN47" s="117"/>
      <c r="EO47" s="117"/>
      <c r="EP47" s="117"/>
      <c r="EQ47" s="117"/>
      <c r="ER47" s="117"/>
      <c r="ES47" s="117"/>
      <c r="ET47" s="117"/>
      <c r="EU47" s="117"/>
      <c r="EV47" s="117"/>
      <c r="EW47" s="117"/>
      <c r="EX47" s="117"/>
      <c r="EY47" s="117"/>
      <c r="EZ47" s="117"/>
      <c r="FA47" s="117"/>
      <c r="FB47" s="117"/>
      <c r="FC47" s="117"/>
      <c r="FD47" s="117"/>
      <c r="FE47" s="117"/>
      <c r="FF47" s="117"/>
      <c r="FG47" s="117"/>
      <c r="FH47" s="117"/>
      <c r="FI47" s="117"/>
      <c r="FJ47" s="117"/>
      <c r="FK47" s="117"/>
      <c r="FL47" s="117"/>
      <c r="FM47" s="117"/>
      <c r="FN47" s="117"/>
      <c r="FO47" s="117"/>
      <c r="FP47" s="117"/>
      <c r="FQ47" s="117"/>
      <c r="FR47" s="117"/>
      <c r="FS47" s="117"/>
      <c r="FT47" s="117"/>
      <c r="FU47" s="117"/>
      <c r="FV47" s="117"/>
      <c r="FW47" s="117"/>
      <c r="FX47" s="117"/>
      <c r="FY47" s="117"/>
      <c r="FZ47" s="117"/>
      <c r="GA47" s="117"/>
      <c r="GB47" s="117"/>
      <c r="GC47" s="117"/>
      <c r="GD47" s="117"/>
      <c r="GE47" s="117"/>
      <c r="GF47" s="117"/>
      <c r="GG47" s="117"/>
      <c r="GH47" s="117"/>
      <c r="GI47" s="117"/>
      <c r="GJ47" s="117"/>
      <c r="GK47" s="117"/>
      <c r="GL47" s="117"/>
      <c r="GM47" s="117"/>
      <c r="GN47" s="117"/>
      <c r="GO47" s="117"/>
      <c r="GP47" s="117"/>
      <c r="GQ47" s="117"/>
      <c r="GR47" s="117"/>
      <c r="GS47" s="117"/>
      <c r="GT47" s="117"/>
      <c r="GU47" s="117"/>
      <c r="GV47" s="117"/>
      <c r="GW47" s="117"/>
      <c r="GX47" s="117"/>
      <c r="GY47" s="117"/>
      <c r="GZ47" s="117"/>
      <c r="HA47" s="117"/>
      <c r="HB47" s="117"/>
      <c r="HC47" s="117"/>
      <c r="HD47" s="117"/>
      <c r="HE47" s="117"/>
      <c r="HF47" s="117"/>
      <c r="HG47" s="117"/>
      <c r="HH47" s="117"/>
      <c r="HI47" s="117"/>
      <c r="HJ47" s="117"/>
      <c r="HK47" s="117"/>
      <c r="HL47" s="117"/>
      <c r="HM47" s="117"/>
      <c r="HN47" s="117"/>
      <c r="HO47" s="117"/>
      <c r="HP47" s="117"/>
      <c r="HQ47" s="117"/>
      <c r="HR47" s="117"/>
      <c r="HS47" s="117"/>
      <c r="HT47" s="117"/>
      <c r="HU47" s="117"/>
      <c r="HV47" s="117"/>
      <c r="HW47" s="117"/>
      <c r="HX47" s="117"/>
      <c r="HY47" s="117"/>
      <c r="HZ47" s="117"/>
      <c r="IA47" s="117"/>
      <c r="IB47" s="117"/>
      <c r="IC47" s="117"/>
      <c r="ID47" s="117"/>
      <c r="IE47" s="117"/>
      <c r="IF47" s="117"/>
      <c r="IG47" s="117"/>
      <c r="IH47" s="117"/>
      <c r="II47" s="117"/>
      <c r="IJ47" s="117"/>
      <c r="IK47" s="117"/>
      <c r="IL47" s="117"/>
      <c r="IM47" s="117"/>
      <c r="IN47" s="117"/>
      <c r="IO47" s="117"/>
      <c r="IP47" s="117"/>
      <c r="IQ47" s="117"/>
      <c r="IR47" s="117"/>
      <c r="IS47" s="117"/>
      <c r="IT47" s="117"/>
      <c r="IU47" s="117"/>
      <c r="IV47" s="117"/>
      <c r="IW47" s="117"/>
      <c r="IX47" s="117"/>
      <c r="IY47" s="117"/>
      <c r="IZ47" s="117"/>
      <c r="JA47" s="117"/>
      <c r="JB47" s="117"/>
      <c r="JC47" s="117"/>
      <c r="JD47" s="117"/>
      <c r="JE47" s="117"/>
      <c r="JF47" s="117"/>
      <c r="JG47" s="117"/>
      <c r="JH47" s="117"/>
      <c r="JI47" s="117"/>
      <c r="JJ47" s="117"/>
      <c r="JK47" s="117"/>
      <c r="JL47" s="117"/>
      <c r="JM47" s="117"/>
      <c r="JN47" s="117"/>
      <c r="JO47" s="117"/>
      <c r="JP47" s="117"/>
      <c r="JQ47" s="117"/>
      <c r="JR47" s="117"/>
      <c r="JS47" s="117"/>
      <c r="JT47" s="117"/>
      <c r="JU47" s="117"/>
      <c r="JV47" s="117"/>
      <c r="JW47" s="117"/>
      <c r="JX47" s="117"/>
      <c r="JY47" s="117"/>
      <c r="JZ47" s="117"/>
      <c r="KA47" s="117"/>
      <c r="KB47" s="117"/>
      <c r="KC47" s="117"/>
      <c r="KD47" s="117"/>
      <c r="KE47" s="117"/>
      <c r="KF47" s="117"/>
      <c r="KG47" s="117"/>
      <c r="KH47" s="117"/>
      <c r="KI47" s="117"/>
      <c r="KJ47" s="117"/>
      <c r="KK47" s="117"/>
      <c r="KL47" s="117"/>
      <c r="KM47" s="117"/>
      <c r="KN47" s="117"/>
      <c r="KO47" s="117"/>
      <c r="KP47" s="117"/>
      <c r="KQ47" s="117"/>
      <c r="KR47" s="117"/>
      <c r="KS47" s="117"/>
      <c r="KT47" s="117"/>
      <c r="KU47" s="117"/>
      <c r="KV47" s="117"/>
      <c r="KW47" s="117"/>
      <c r="KX47" s="117"/>
      <c r="KY47" s="117"/>
      <c r="KZ47" s="117"/>
      <c r="LA47" s="117"/>
      <c r="LB47" s="117"/>
      <c r="LC47" s="117"/>
      <c r="LD47" s="117"/>
      <c r="LE47" s="117"/>
      <c r="LF47" s="117"/>
      <c r="LG47" s="117"/>
      <c r="LH47" s="117"/>
      <c r="LI47" s="117"/>
      <c r="LJ47" s="117"/>
      <c r="LK47" s="117"/>
      <c r="LL47" s="117"/>
      <c r="LM47" s="117"/>
      <c r="LN47" s="117"/>
      <c r="LO47" s="117"/>
      <c r="LP47" s="117"/>
      <c r="LQ47" s="117"/>
      <c r="LR47" s="117"/>
      <c r="LS47" s="117"/>
      <c r="LT47" s="117"/>
      <c r="LU47" s="117"/>
      <c r="LV47" s="117"/>
      <c r="LW47" s="117"/>
      <c r="LX47" s="117"/>
      <c r="LY47" s="117"/>
      <c r="LZ47" s="117"/>
      <c r="MA47" s="117"/>
      <c r="MB47" s="117"/>
      <c r="MC47" s="117"/>
      <c r="MD47" s="117"/>
      <c r="ME47" s="117"/>
      <c r="MF47" s="117"/>
      <c r="MG47" s="117"/>
      <c r="MH47" s="117"/>
      <c r="MI47" s="117"/>
      <c r="MJ47" s="117"/>
      <c r="MK47" s="117"/>
      <c r="ML47" s="117"/>
      <c r="MM47" s="117"/>
      <c r="MN47" s="117"/>
      <c r="MO47" s="117"/>
      <c r="MP47" s="117"/>
      <c r="MQ47" s="117"/>
      <c r="MR47" s="117"/>
      <c r="MS47" s="117"/>
      <c r="MT47" s="117"/>
      <c r="MU47" s="117"/>
      <c r="MV47" s="117"/>
      <c r="MW47" s="117"/>
      <c r="MX47" s="117"/>
      <c r="MY47" s="117"/>
      <c r="MZ47" s="117"/>
      <c r="NA47" s="117"/>
      <c r="NB47" s="117"/>
      <c r="NC47" s="117"/>
      <c r="ND47" s="117"/>
      <c r="NE47" s="117"/>
      <c r="NF47" s="117"/>
      <c r="NG47" s="117"/>
      <c r="NH47" s="117"/>
      <c r="NI47" s="117"/>
      <c r="NJ47" s="117"/>
      <c r="NK47" s="117"/>
      <c r="NL47" s="117"/>
      <c r="NM47" s="117"/>
      <c r="NN47" s="117"/>
      <c r="NO47" s="117"/>
      <c r="NP47" s="117"/>
      <c r="NQ47" s="117"/>
      <c r="NR47" s="117"/>
      <c r="NS47" s="117"/>
      <c r="NT47" s="117"/>
      <c r="NU47" s="117"/>
      <c r="NV47" s="117"/>
      <c r="NW47" s="117"/>
      <c r="NX47" s="117"/>
      <c r="NY47" s="117"/>
      <c r="NZ47" s="117"/>
      <c r="OA47" s="117"/>
      <c r="OB47" s="117"/>
      <c r="OC47" s="117"/>
      <c r="OD47" s="117"/>
      <c r="OE47" s="117"/>
      <c r="OF47" s="117"/>
      <c r="OG47" s="117"/>
      <c r="OH47" s="117"/>
      <c r="OI47" s="117"/>
      <c r="OJ47" s="117"/>
      <c r="OK47" s="117"/>
      <c r="OL47" s="117"/>
      <c r="OM47" s="117"/>
      <c r="ON47" s="117"/>
      <c r="OO47" s="117"/>
      <c r="OP47" s="117"/>
      <c r="OQ47" s="117"/>
      <c r="OR47" s="117"/>
      <c r="OS47" s="117"/>
      <c r="OT47" s="117"/>
      <c r="OU47" s="117"/>
      <c r="OV47" s="117"/>
      <c r="OW47" s="117"/>
      <c r="OX47" s="117"/>
      <c r="OY47" s="117"/>
      <c r="OZ47" s="117"/>
      <c r="PA47" s="117"/>
      <c r="PB47" s="117"/>
      <c r="PC47" s="117"/>
      <c r="PD47" s="117"/>
      <c r="PE47" s="117"/>
      <c r="PF47" s="117"/>
      <c r="PG47" s="117"/>
      <c r="PH47" s="117"/>
      <c r="PI47" s="117"/>
      <c r="PJ47" s="117"/>
      <c r="PK47" s="117"/>
      <c r="PL47" s="117"/>
      <c r="PM47" s="117"/>
      <c r="PN47" s="117"/>
      <c r="PO47" s="117"/>
      <c r="PP47" s="117"/>
      <c r="PQ47" s="117"/>
      <c r="PR47" s="117"/>
      <c r="PS47" s="117"/>
      <c r="PT47" s="117"/>
      <c r="PU47" s="117"/>
      <c r="PV47" s="117"/>
      <c r="PW47" s="117"/>
      <c r="PX47" s="117"/>
      <c r="PY47" s="117"/>
      <c r="PZ47" s="117"/>
      <c r="QA47" s="117"/>
      <c r="QB47" s="117"/>
      <c r="QC47" s="117"/>
      <c r="QD47" s="117"/>
      <c r="QE47" s="117"/>
      <c r="QF47" s="117"/>
      <c r="QG47" s="117"/>
      <c r="QH47" s="117"/>
      <c r="QI47" s="117"/>
      <c r="QJ47" s="117"/>
      <c r="QK47" s="117"/>
      <c r="QL47" s="117"/>
      <c r="QM47" s="117"/>
      <c r="QN47" s="117"/>
      <c r="QO47" s="117"/>
      <c r="QP47" s="117"/>
      <c r="QQ47" s="117"/>
      <c r="QR47" s="117"/>
      <c r="QS47" s="117"/>
      <c r="QT47" s="117"/>
      <c r="QU47" s="117"/>
      <c r="QV47" s="117"/>
      <c r="QW47" s="117"/>
      <c r="QX47" s="117"/>
      <c r="QY47" s="117"/>
      <c r="QZ47" s="117"/>
      <c r="RA47" s="117"/>
      <c r="RB47" s="117"/>
      <c r="RC47" s="117"/>
      <c r="RD47" s="117"/>
      <c r="RE47" s="117"/>
      <c r="RF47" s="117"/>
      <c r="RG47" s="117"/>
      <c r="RH47" s="117"/>
      <c r="RI47" s="117"/>
      <c r="RJ47" s="117"/>
      <c r="RK47" s="117"/>
      <c r="RL47" s="117"/>
      <c r="RM47" s="117"/>
      <c r="RN47" s="117"/>
      <c r="RO47" s="117"/>
      <c r="RP47" s="117"/>
      <c r="RQ47" s="117"/>
      <c r="RR47" s="117"/>
      <c r="RS47" s="117"/>
      <c r="RT47" s="117"/>
      <c r="RU47" s="117"/>
      <c r="RV47" s="117"/>
      <c r="RW47" s="117"/>
      <c r="RX47" s="117"/>
      <c r="RY47" s="117"/>
      <c r="RZ47" s="117"/>
      <c r="SA47" s="117"/>
      <c r="SB47" s="117"/>
      <c r="SC47" s="117"/>
      <c r="SD47" s="117"/>
      <c r="SE47" s="117"/>
      <c r="SF47" s="117"/>
      <c r="SG47" s="117"/>
      <c r="SH47" s="117"/>
      <c r="SI47" s="117"/>
      <c r="SJ47" s="117"/>
      <c r="SK47" s="117"/>
      <c r="SL47" s="117"/>
      <c r="SM47" s="117"/>
      <c r="SN47" s="117"/>
      <c r="SO47" s="117"/>
      <c r="SP47" s="117"/>
      <c r="SQ47" s="117"/>
      <c r="SR47" s="117"/>
      <c r="SS47" s="117"/>
      <c r="ST47" s="117"/>
      <c r="SU47" s="117"/>
      <c r="SV47" s="117"/>
      <c r="SW47" s="117"/>
      <c r="SX47" s="117"/>
      <c r="SY47" s="117"/>
      <c r="SZ47" s="117"/>
      <c r="TA47" s="117"/>
      <c r="TB47" s="117"/>
      <c r="TC47" s="117"/>
      <c r="TD47" s="117"/>
      <c r="TE47" s="117"/>
      <c r="TF47" s="117"/>
      <c r="TG47" s="117"/>
      <c r="TH47" s="117"/>
      <c r="TI47" s="117"/>
      <c r="TJ47" s="117"/>
      <c r="TK47" s="117"/>
      <c r="TL47" s="117"/>
      <c r="TM47" s="117"/>
      <c r="TN47" s="117"/>
      <c r="TO47" s="117"/>
      <c r="TP47" s="117"/>
      <c r="TQ47" s="117"/>
      <c r="TR47" s="117"/>
      <c r="TS47" s="117"/>
      <c r="TT47" s="117"/>
      <c r="TU47" s="117"/>
      <c r="TV47" s="117"/>
      <c r="TW47" s="117"/>
      <c r="TX47" s="117"/>
      <c r="TY47" s="117"/>
      <c r="TZ47" s="117"/>
      <c r="UA47" s="117"/>
      <c r="UB47" s="117"/>
      <c r="UC47" s="117"/>
      <c r="UD47" s="117"/>
      <c r="UE47" s="117"/>
      <c r="UF47" s="117"/>
      <c r="UG47" s="117"/>
      <c r="UH47" s="117"/>
      <c r="UI47" s="117"/>
      <c r="UJ47" s="117"/>
      <c r="UK47" s="117"/>
      <c r="UL47" s="117"/>
      <c r="UM47" s="117"/>
      <c r="UN47" s="117"/>
      <c r="UO47" s="117"/>
      <c r="UP47" s="117"/>
      <c r="UQ47" s="117"/>
      <c r="UR47" s="117"/>
      <c r="US47" s="117"/>
      <c r="UT47" s="117"/>
      <c r="UU47" s="117"/>
      <c r="UV47" s="117"/>
      <c r="UW47" s="117"/>
      <c r="UX47" s="117"/>
      <c r="UY47" s="117"/>
      <c r="UZ47" s="117"/>
      <c r="VA47" s="117"/>
      <c r="VB47" s="117"/>
      <c r="VC47" s="117"/>
      <c r="VD47" s="117"/>
      <c r="VE47" s="117"/>
      <c r="VF47" s="117"/>
      <c r="VG47" s="117"/>
      <c r="VH47" s="117"/>
      <c r="VI47" s="117"/>
      <c r="VJ47" s="117"/>
      <c r="VK47" s="117"/>
      <c r="VL47" s="117"/>
      <c r="VM47" s="117"/>
      <c r="VN47" s="117"/>
      <c r="VO47" s="117"/>
      <c r="VP47" s="117"/>
      <c r="VQ47" s="117"/>
      <c r="VR47" s="117"/>
      <c r="VS47" s="117"/>
      <c r="VT47" s="117"/>
      <c r="VU47" s="117"/>
      <c r="VV47" s="117"/>
      <c r="VW47" s="117"/>
      <c r="VX47" s="117"/>
      <c r="VY47" s="117"/>
      <c r="VZ47" s="117"/>
      <c r="WA47" s="117"/>
      <c r="WB47" s="117"/>
      <c r="WC47" s="117"/>
      <c r="WD47" s="117"/>
      <c r="WE47" s="117"/>
      <c r="WF47" s="117"/>
      <c r="WG47" s="117"/>
      <c r="WH47" s="117"/>
      <c r="WI47" s="117"/>
      <c r="WJ47" s="117"/>
      <c r="WK47" s="117"/>
      <c r="WL47" s="117"/>
      <c r="WM47" s="117"/>
      <c r="WN47" s="117"/>
      <c r="WO47" s="117"/>
      <c r="WP47" s="117"/>
      <c r="WQ47" s="117"/>
      <c r="WR47" s="117"/>
      <c r="WS47" s="117"/>
      <c r="WT47" s="117"/>
      <c r="WU47" s="117"/>
      <c r="WV47" s="117"/>
      <c r="WW47" s="117"/>
      <c r="WX47" s="117"/>
      <c r="WY47" s="117"/>
      <c r="WZ47" s="117"/>
      <c r="XA47" s="117"/>
      <c r="XB47" s="117"/>
      <c r="XC47" s="117"/>
      <c r="XD47" s="117"/>
      <c r="XE47" s="117"/>
      <c r="XF47" s="117"/>
      <c r="XG47" s="117"/>
      <c r="XH47" s="117"/>
      <c r="XI47" s="117"/>
      <c r="XJ47" s="117"/>
      <c r="XK47" s="117"/>
      <c r="XL47" s="117"/>
      <c r="XM47" s="117"/>
      <c r="XN47" s="117"/>
      <c r="XO47" s="117"/>
      <c r="XP47" s="117"/>
      <c r="XQ47" s="117"/>
      <c r="XR47" s="117"/>
      <c r="XS47" s="117"/>
      <c r="XT47" s="117"/>
      <c r="XU47" s="117"/>
      <c r="XV47" s="117"/>
      <c r="XW47" s="117"/>
      <c r="XX47" s="117"/>
      <c r="XY47" s="117"/>
      <c r="XZ47" s="117"/>
      <c r="YA47" s="117"/>
      <c r="YB47" s="117"/>
      <c r="YC47" s="117"/>
      <c r="YD47" s="117"/>
      <c r="YE47" s="117"/>
      <c r="YF47" s="117"/>
      <c r="YG47" s="117"/>
      <c r="YH47" s="117"/>
      <c r="YI47" s="117"/>
      <c r="YJ47" s="117"/>
      <c r="YK47" s="117"/>
      <c r="YL47" s="117"/>
      <c r="YM47" s="117"/>
      <c r="YN47" s="117"/>
      <c r="YO47" s="117"/>
      <c r="YP47" s="117"/>
      <c r="YQ47" s="117"/>
      <c r="YR47" s="117"/>
      <c r="YS47" s="117"/>
      <c r="YT47" s="117"/>
      <c r="YU47" s="117"/>
      <c r="YV47" s="117"/>
      <c r="YW47" s="117"/>
      <c r="YX47" s="117"/>
      <c r="YY47" s="117"/>
      <c r="YZ47" s="117"/>
      <c r="ZA47" s="117"/>
      <c r="ZB47" s="117"/>
      <c r="ZC47" s="117"/>
      <c r="ZD47" s="117"/>
      <c r="ZE47" s="117"/>
      <c r="ZF47" s="117"/>
      <c r="ZG47" s="117"/>
      <c r="ZH47" s="117"/>
      <c r="ZI47" s="117"/>
      <c r="ZJ47" s="117"/>
      <c r="ZK47" s="117"/>
      <c r="ZL47" s="117"/>
      <c r="ZM47" s="117"/>
      <c r="ZN47" s="117"/>
      <c r="ZO47" s="117"/>
      <c r="ZP47" s="117"/>
      <c r="ZQ47" s="117"/>
      <c r="ZR47" s="117"/>
      <c r="ZS47" s="117"/>
      <c r="ZT47" s="117"/>
      <c r="ZU47" s="117"/>
      <c r="ZV47" s="117"/>
      <c r="ZW47" s="117"/>
      <c r="ZX47" s="117"/>
      <c r="ZY47" s="117"/>
      <c r="ZZ47" s="117"/>
      <c r="AAA47" s="117"/>
      <c r="AAB47" s="117"/>
      <c r="AAC47" s="117"/>
      <c r="AAD47" s="117"/>
      <c r="AAE47" s="117"/>
      <c r="AAF47" s="117"/>
      <c r="AAG47" s="117"/>
      <c r="AAH47" s="117"/>
      <c r="AAI47" s="117"/>
      <c r="AAJ47" s="117"/>
      <c r="AAK47" s="117"/>
      <c r="AAL47" s="117"/>
      <c r="AAM47" s="117"/>
      <c r="AAN47" s="117"/>
      <c r="AAO47" s="117"/>
      <c r="AAP47" s="117"/>
      <c r="AAQ47" s="117"/>
      <c r="AAR47" s="117"/>
      <c r="AAS47" s="117"/>
      <c r="AAT47" s="117"/>
      <c r="AAU47" s="117"/>
      <c r="AAV47" s="117"/>
      <c r="AAW47" s="117"/>
      <c r="AAX47" s="117"/>
      <c r="AAY47" s="117"/>
      <c r="AAZ47" s="117"/>
      <c r="ABA47" s="117"/>
      <c r="ABB47" s="117"/>
      <c r="ABC47" s="117"/>
      <c r="ABD47" s="117"/>
      <c r="ABE47" s="117"/>
      <c r="ABF47" s="117"/>
      <c r="ABG47" s="117"/>
      <c r="ABH47" s="117"/>
      <c r="ABI47" s="117"/>
      <c r="ABJ47" s="117"/>
      <c r="ABK47" s="117"/>
      <c r="ABL47" s="117"/>
      <c r="ABM47" s="117"/>
      <c r="ABN47" s="117"/>
      <c r="ABO47" s="117"/>
      <c r="ABP47" s="117"/>
      <c r="ABQ47" s="117"/>
      <c r="ABR47" s="117"/>
      <c r="ABS47" s="117"/>
      <c r="ABT47" s="117"/>
      <c r="ABU47" s="117"/>
      <c r="ABV47" s="117"/>
      <c r="ABW47" s="117"/>
      <c r="ABX47" s="117"/>
      <c r="ABY47" s="117"/>
      <c r="ABZ47" s="117"/>
      <c r="ACA47" s="117"/>
      <c r="ACB47" s="117"/>
      <c r="ACC47" s="117"/>
      <c r="ACD47" s="117"/>
      <c r="ACE47" s="117"/>
      <c r="ACF47" s="117"/>
      <c r="ACG47" s="117"/>
      <c r="ACH47" s="117"/>
      <c r="ACI47" s="117"/>
      <c r="ACJ47" s="117"/>
      <c r="ACK47" s="117"/>
      <c r="ACL47" s="117"/>
      <c r="ACM47" s="117"/>
      <c r="ACN47" s="117"/>
      <c r="ACO47" s="117"/>
      <c r="ACP47" s="117"/>
      <c r="ACQ47" s="117"/>
      <c r="ACR47" s="117"/>
      <c r="ACS47" s="117"/>
      <c r="ACT47" s="117"/>
      <c r="ACU47" s="117"/>
      <c r="ACV47" s="117"/>
      <c r="ACW47" s="117"/>
      <c r="ACX47" s="117"/>
      <c r="ACY47" s="117"/>
      <c r="ACZ47" s="117"/>
      <c r="ADA47" s="117"/>
      <c r="ADB47" s="117"/>
      <c r="ADC47" s="117"/>
      <c r="ADD47" s="117"/>
      <c r="ADE47" s="117"/>
      <c r="ADF47" s="117"/>
      <c r="ADG47" s="117"/>
      <c r="ADH47" s="117"/>
      <c r="ADI47" s="117"/>
      <c r="ADJ47" s="117"/>
      <c r="ADK47" s="117"/>
      <c r="ADL47" s="117"/>
      <c r="ADM47" s="117"/>
      <c r="ADN47" s="117"/>
      <c r="ADO47" s="117"/>
      <c r="ADP47" s="117"/>
      <c r="ADQ47" s="117"/>
      <c r="ADR47" s="117"/>
      <c r="ADS47" s="117"/>
      <c r="ADT47" s="117"/>
      <c r="ADU47" s="117"/>
      <c r="ADV47" s="117"/>
      <c r="ADW47" s="117"/>
      <c r="ADX47" s="117"/>
      <c r="ADY47" s="117"/>
      <c r="ADZ47" s="117"/>
      <c r="AEA47" s="117"/>
      <c r="AEB47" s="117"/>
      <c r="AEC47" s="117"/>
      <c r="AED47" s="117"/>
      <c r="AEE47" s="117"/>
      <c r="AEF47" s="117"/>
      <c r="AEG47" s="117"/>
      <c r="AEH47" s="117"/>
      <c r="AEI47" s="117"/>
      <c r="AEJ47" s="117"/>
      <c r="AEK47" s="117"/>
      <c r="AEL47" s="117"/>
      <c r="AEM47" s="117"/>
      <c r="AEN47" s="117"/>
      <c r="AEO47" s="117"/>
      <c r="AEP47" s="117"/>
      <c r="AEQ47" s="117"/>
      <c r="AER47" s="117"/>
      <c r="AES47" s="117"/>
      <c r="AET47" s="117"/>
      <c r="AEU47" s="117"/>
      <c r="AEV47" s="117"/>
      <c r="AEW47" s="117"/>
      <c r="AEX47" s="117"/>
      <c r="AEY47" s="117"/>
      <c r="AEZ47" s="117"/>
      <c r="AFA47" s="117"/>
      <c r="AFB47" s="117"/>
      <c r="AFC47" s="117"/>
      <c r="AFD47" s="117"/>
      <c r="AFE47" s="117"/>
      <c r="AFF47" s="117"/>
      <c r="AFG47" s="117"/>
      <c r="AFH47" s="117"/>
      <c r="AFI47" s="117"/>
      <c r="AFJ47" s="117"/>
      <c r="AFK47" s="117"/>
      <c r="AFL47" s="117"/>
      <c r="AFM47" s="117"/>
      <c r="AFN47" s="117"/>
      <c r="AFO47" s="117"/>
      <c r="AFP47" s="117"/>
      <c r="AFQ47" s="117"/>
      <c r="AFR47" s="117"/>
      <c r="AFS47" s="117"/>
      <c r="AFT47" s="117"/>
      <c r="AFU47" s="117"/>
      <c r="AFV47" s="117"/>
      <c r="AFW47" s="117"/>
      <c r="AFX47" s="117"/>
      <c r="AFY47" s="117"/>
      <c r="AFZ47" s="117"/>
      <c r="AGA47" s="117"/>
      <c r="AGB47" s="117"/>
      <c r="AGC47" s="117"/>
      <c r="AGD47" s="117"/>
      <c r="AGE47" s="117"/>
      <c r="AGF47" s="117"/>
      <c r="AGG47" s="117"/>
      <c r="AGH47" s="117"/>
      <c r="AGI47" s="117"/>
      <c r="AGJ47" s="117"/>
      <c r="AGK47" s="117"/>
      <c r="AGL47" s="117"/>
      <c r="AGM47" s="117"/>
      <c r="AGN47" s="117"/>
      <c r="AGO47" s="117"/>
      <c r="AGP47" s="117"/>
      <c r="AGQ47" s="117"/>
      <c r="AGR47" s="117"/>
      <c r="AGS47" s="117"/>
      <c r="AGT47" s="117"/>
      <c r="AGU47" s="117"/>
      <c r="AGV47" s="117"/>
      <c r="AGW47" s="117"/>
      <c r="AGX47" s="117"/>
      <c r="AGY47" s="117"/>
      <c r="AGZ47" s="117"/>
      <c r="AHA47" s="117"/>
      <c r="AHB47" s="117"/>
      <c r="AHC47" s="117"/>
      <c r="AHD47" s="117"/>
      <c r="AHE47" s="117"/>
      <c r="AHF47" s="117"/>
      <c r="AHG47" s="117"/>
      <c r="AHH47" s="117"/>
      <c r="AHI47" s="117"/>
      <c r="AHJ47" s="117"/>
      <c r="AHK47" s="117"/>
      <c r="AHL47" s="117"/>
      <c r="AHM47" s="117"/>
      <c r="AHN47" s="117"/>
      <c r="AHO47" s="117"/>
      <c r="AHP47" s="117"/>
      <c r="AHQ47" s="117"/>
      <c r="AHR47" s="117"/>
      <c r="AHS47" s="117"/>
      <c r="AHT47" s="117"/>
      <c r="AHU47" s="117"/>
      <c r="AHV47" s="117"/>
      <c r="AHW47" s="117"/>
      <c r="AHX47" s="117"/>
      <c r="AHY47" s="117"/>
      <c r="AHZ47" s="117"/>
      <c r="AIA47" s="117"/>
      <c r="AIB47" s="117"/>
      <c r="AIC47" s="117"/>
      <c r="AID47" s="117"/>
      <c r="AIE47" s="117"/>
      <c r="AIF47" s="117"/>
      <c r="AIG47" s="117"/>
      <c r="AIH47" s="117"/>
      <c r="AII47" s="117"/>
      <c r="AIJ47" s="117"/>
      <c r="AIK47" s="117"/>
      <c r="AIL47" s="117"/>
      <c r="AIM47" s="117"/>
      <c r="AIN47" s="117"/>
      <c r="AIO47" s="117"/>
      <c r="AIP47" s="117"/>
      <c r="AIQ47" s="117"/>
      <c r="AIR47" s="117"/>
      <c r="AIS47" s="117"/>
      <c r="AIT47" s="117"/>
      <c r="AIU47" s="117"/>
      <c r="AIV47" s="117"/>
      <c r="AIW47" s="117"/>
      <c r="AIX47" s="117"/>
      <c r="AIY47" s="117"/>
      <c r="AIZ47" s="117"/>
      <c r="AJA47" s="117"/>
      <c r="AJB47" s="117"/>
      <c r="AJC47" s="117"/>
      <c r="AJD47" s="117"/>
      <c r="AJE47" s="117"/>
      <c r="AJF47" s="117"/>
      <c r="AJG47" s="117"/>
      <c r="AJH47" s="117"/>
      <c r="AJI47" s="117"/>
      <c r="AJJ47" s="117"/>
      <c r="AJK47" s="117"/>
      <c r="AJL47" s="117"/>
      <c r="AJM47" s="117"/>
      <c r="AJN47" s="117"/>
      <c r="AJO47" s="117"/>
      <c r="AJP47" s="117"/>
      <c r="AJQ47" s="117"/>
      <c r="AJR47" s="117"/>
      <c r="AJS47" s="117"/>
      <c r="AJT47" s="117"/>
      <c r="AJU47" s="117"/>
      <c r="AJV47" s="117"/>
      <c r="AJW47" s="117"/>
      <c r="AJX47" s="117"/>
      <c r="AJY47" s="117"/>
      <c r="AJZ47" s="117"/>
      <c r="AKA47" s="117"/>
      <c r="AKB47" s="117"/>
      <c r="AKC47" s="117"/>
      <c r="AKD47" s="117"/>
      <c r="AKE47" s="117"/>
      <c r="AKF47" s="117"/>
      <c r="AKG47" s="117"/>
      <c r="AKH47" s="117"/>
      <c r="AKI47" s="117"/>
      <c r="AKJ47" s="117"/>
      <c r="AKK47" s="117"/>
      <c r="AKL47" s="117"/>
      <c r="AKM47" s="117"/>
      <c r="AKN47" s="117"/>
      <c r="AKO47" s="117"/>
      <c r="AKP47" s="117"/>
      <c r="AKQ47" s="117"/>
      <c r="AKR47" s="117"/>
      <c r="AKS47" s="117"/>
      <c r="AKT47" s="117"/>
      <c r="AKU47" s="117"/>
      <c r="AKV47" s="117"/>
      <c r="AKW47" s="117"/>
      <c r="AKX47" s="117"/>
      <c r="AKY47" s="117"/>
      <c r="AKZ47" s="117"/>
      <c r="ALA47" s="117"/>
      <c r="ALB47" s="117"/>
      <c r="ALC47" s="117"/>
      <c r="ALD47" s="117"/>
      <c r="ALE47" s="117"/>
      <c r="ALF47" s="117"/>
      <c r="ALG47" s="117"/>
      <c r="ALH47" s="117"/>
      <c r="ALI47" s="117"/>
      <c r="ALJ47" s="117"/>
      <c r="ALK47" s="117"/>
      <c r="ALL47" s="117"/>
      <c r="ALM47" s="117"/>
      <c r="ALN47" s="117"/>
      <c r="ALO47" s="117"/>
      <c r="ALP47" s="117"/>
      <c r="ALQ47" s="117"/>
      <c r="ALR47" s="117"/>
      <c r="ALS47" s="117"/>
      <c r="ALT47" s="117"/>
      <c r="ALU47" s="117"/>
      <c r="ALV47" s="117"/>
      <c r="ALW47" s="117"/>
      <c r="ALX47" s="117"/>
      <c r="ALY47" s="117"/>
      <c r="ALZ47" s="117"/>
      <c r="AMA47" s="117"/>
      <c r="AMB47" s="117"/>
      <c r="AMC47" s="117"/>
      <c r="AMD47" s="117"/>
      <c r="AME47" s="117"/>
      <c r="AMF47" s="117"/>
      <c r="AMG47" s="117"/>
      <c r="AMH47" s="117"/>
      <c r="AMI47" s="117"/>
      <c r="AMJ47" s="117"/>
      <c r="AMK47" s="117"/>
      <c r="AML47" s="117"/>
      <c r="AMM47" s="117"/>
      <c r="AMN47" s="117"/>
      <c r="AMO47" s="117"/>
      <c r="AMP47" s="117"/>
      <c r="AMQ47" s="117"/>
      <c r="AMR47" s="117"/>
      <c r="AMS47" s="117"/>
      <c r="AMT47" s="117"/>
      <c r="AMU47" s="117"/>
      <c r="AMV47" s="117"/>
      <c r="AMW47" s="117"/>
      <c r="AMX47" s="117"/>
      <c r="AMY47" s="117"/>
      <c r="AMZ47" s="117"/>
      <c r="ANA47" s="117"/>
      <c r="ANB47" s="117"/>
      <c r="ANC47" s="117"/>
      <c r="AND47" s="117"/>
      <c r="ANE47" s="117"/>
      <c r="ANF47" s="117"/>
      <c r="ANG47" s="117"/>
      <c r="ANH47" s="117"/>
      <c r="ANI47" s="117"/>
      <c r="ANJ47" s="117"/>
      <c r="ANK47" s="117"/>
      <c r="ANL47" s="117"/>
      <c r="ANM47" s="117"/>
      <c r="ANN47" s="117"/>
      <c r="ANO47" s="117"/>
      <c r="ANP47" s="117"/>
      <c r="ANQ47" s="117"/>
      <c r="ANR47" s="117"/>
      <c r="ANS47" s="117"/>
      <c r="ANT47" s="117"/>
      <c r="ANU47" s="117"/>
      <c r="ANV47" s="117"/>
      <c r="ANW47" s="117"/>
      <c r="ANX47" s="117"/>
      <c r="ANY47" s="117"/>
      <c r="ANZ47" s="117"/>
      <c r="AOA47" s="117"/>
      <c r="AOB47" s="117"/>
      <c r="AOC47" s="117"/>
      <c r="AOD47" s="117"/>
      <c r="AOE47" s="117"/>
      <c r="AOF47" s="117"/>
      <c r="AOG47" s="117"/>
      <c r="AOH47" s="117"/>
      <c r="AOI47" s="117"/>
      <c r="AOJ47" s="117"/>
      <c r="AOK47" s="117"/>
      <c r="AOL47" s="117"/>
      <c r="AOM47" s="117"/>
      <c r="AON47" s="117"/>
      <c r="AOO47" s="117"/>
      <c r="AOP47" s="117"/>
      <c r="AOQ47" s="117"/>
      <c r="AOR47" s="117"/>
      <c r="AOS47" s="117"/>
      <c r="AOT47" s="117"/>
      <c r="AOU47" s="117"/>
      <c r="AOV47" s="117"/>
      <c r="AOW47" s="117"/>
      <c r="AOX47" s="117"/>
      <c r="AOY47" s="117"/>
      <c r="AOZ47" s="117"/>
      <c r="APA47" s="117"/>
      <c r="APB47" s="117"/>
      <c r="APC47" s="117"/>
      <c r="APD47" s="117"/>
      <c r="APE47" s="117"/>
      <c r="APF47" s="117"/>
      <c r="APG47" s="117"/>
      <c r="APH47" s="117"/>
      <c r="API47" s="117"/>
      <c r="APJ47" s="117"/>
      <c r="APK47" s="117"/>
      <c r="APL47" s="117"/>
      <c r="APM47" s="117"/>
      <c r="APN47" s="117"/>
      <c r="APO47" s="117"/>
      <c r="APP47" s="117"/>
      <c r="APQ47" s="117"/>
      <c r="APR47" s="117"/>
      <c r="APS47" s="117"/>
      <c r="APT47" s="117"/>
      <c r="APU47" s="117"/>
      <c r="APV47" s="117"/>
      <c r="APW47" s="117"/>
      <c r="APX47" s="117"/>
      <c r="APY47" s="117"/>
      <c r="APZ47" s="117"/>
      <c r="AQA47" s="117"/>
      <c r="AQB47" s="117"/>
      <c r="AQC47" s="117"/>
      <c r="AQD47" s="117"/>
      <c r="AQE47" s="117"/>
      <c r="AQF47" s="117"/>
      <c r="AQG47" s="117"/>
      <c r="AQH47" s="117"/>
      <c r="AQI47" s="117"/>
      <c r="AQJ47" s="117"/>
      <c r="AQK47" s="117"/>
      <c r="AQL47" s="117"/>
      <c r="AQM47" s="117"/>
      <c r="AQN47" s="117"/>
      <c r="AQO47" s="117"/>
      <c r="AQP47" s="117"/>
      <c r="AQQ47" s="117"/>
      <c r="AQR47" s="117"/>
      <c r="AQS47" s="117"/>
      <c r="AQT47" s="117"/>
      <c r="AQU47" s="117"/>
      <c r="AQV47" s="117"/>
      <c r="AQW47" s="117"/>
      <c r="AQX47" s="117"/>
      <c r="AQY47" s="117"/>
      <c r="AQZ47" s="117"/>
      <c r="ARA47" s="117"/>
      <c r="ARB47" s="117"/>
      <c r="ARC47" s="117"/>
      <c r="ARD47" s="117"/>
      <c r="ARE47" s="117"/>
      <c r="ARF47" s="117"/>
      <c r="ARG47" s="117"/>
      <c r="ARH47" s="117"/>
      <c r="ARI47" s="117"/>
      <c r="ARJ47" s="117"/>
      <c r="ARK47" s="117"/>
      <c r="ARL47" s="117"/>
      <c r="ARM47" s="117"/>
      <c r="ARN47" s="117"/>
      <c r="ARO47" s="117"/>
      <c r="ARP47" s="117"/>
      <c r="ARQ47" s="117"/>
      <c r="ARR47" s="117"/>
      <c r="ARS47" s="117"/>
      <c r="ART47" s="117"/>
      <c r="ARU47" s="117"/>
      <c r="ARV47" s="117"/>
      <c r="ARW47" s="117"/>
      <c r="ARX47" s="117"/>
      <c r="ARY47" s="117"/>
      <c r="ARZ47" s="117"/>
      <c r="ASA47" s="117"/>
      <c r="ASB47" s="117"/>
      <c r="ASC47" s="117"/>
      <c r="ASD47" s="117"/>
      <c r="ASE47" s="117"/>
      <c r="ASF47" s="117"/>
      <c r="ASG47" s="117"/>
      <c r="ASH47" s="117"/>
      <c r="ASI47" s="117"/>
      <c r="ASJ47" s="117"/>
      <c r="ASK47" s="117"/>
      <c r="ASL47" s="117"/>
      <c r="ASM47" s="117"/>
      <c r="ASN47" s="117"/>
      <c r="ASO47" s="117"/>
      <c r="ASP47" s="117"/>
      <c r="ASQ47" s="117"/>
      <c r="ASR47" s="117"/>
      <c r="ASS47" s="117"/>
      <c r="AST47" s="117"/>
      <c r="ASU47" s="117"/>
      <c r="ASV47" s="117"/>
      <c r="ASW47" s="117"/>
      <c r="ASX47" s="117"/>
      <c r="ASY47" s="117"/>
      <c r="ASZ47" s="117"/>
      <c r="ATA47" s="117"/>
      <c r="ATB47" s="117"/>
      <c r="ATC47" s="117"/>
      <c r="ATD47" s="117"/>
      <c r="ATE47" s="117"/>
      <c r="ATF47" s="117"/>
      <c r="ATG47" s="117"/>
      <c r="ATH47" s="117"/>
      <c r="ATI47" s="117"/>
      <c r="ATJ47" s="117"/>
      <c r="ATK47" s="117"/>
      <c r="ATL47" s="117"/>
      <c r="ATM47" s="117"/>
      <c r="ATN47" s="117"/>
      <c r="ATO47" s="117"/>
      <c r="ATP47" s="117"/>
      <c r="ATQ47" s="117"/>
      <c r="ATR47" s="117"/>
      <c r="ATS47" s="117"/>
      <c r="ATT47" s="117"/>
      <c r="ATU47" s="117"/>
      <c r="ATV47" s="117"/>
      <c r="ATW47" s="117"/>
      <c r="ATX47" s="117"/>
      <c r="ATY47" s="117"/>
      <c r="ATZ47" s="117"/>
      <c r="AUA47" s="117"/>
      <c r="AUB47" s="117"/>
      <c r="AUC47" s="117"/>
      <c r="AUD47" s="117"/>
      <c r="AUE47" s="117"/>
      <c r="AUF47" s="117"/>
      <c r="AUG47" s="117"/>
      <c r="AUH47" s="117"/>
      <c r="AUI47" s="117"/>
      <c r="AUJ47" s="117"/>
      <c r="AUK47" s="117"/>
      <c r="AUL47" s="117"/>
      <c r="AUM47" s="117"/>
      <c r="AUN47" s="117"/>
      <c r="AUO47" s="117"/>
      <c r="AUP47" s="117"/>
      <c r="AUQ47" s="117"/>
      <c r="AUR47" s="117"/>
      <c r="AUS47" s="117"/>
      <c r="AUT47" s="117"/>
      <c r="AUU47" s="117"/>
      <c r="AUV47" s="117"/>
      <c r="AUW47" s="117"/>
      <c r="AUX47" s="117"/>
      <c r="AUY47" s="117"/>
      <c r="AUZ47" s="117"/>
      <c r="AVA47" s="117"/>
      <c r="AVB47" s="117"/>
      <c r="AVC47" s="117"/>
      <c r="AVD47" s="117"/>
      <c r="AVE47" s="117"/>
      <c r="AVF47" s="117"/>
      <c r="AVG47" s="117"/>
      <c r="AVH47" s="117"/>
      <c r="AVI47" s="117"/>
      <c r="AVJ47" s="117"/>
      <c r="AVK47" s="117"/>
      <c r="AVL47" s="117"/>
      <c r="AVM47" s="117"/>
      <c r="AVN47" s="117"/>
      <c r="AVO47" s="117"/>
      <c r="AVP47" s="117"/>
      <c r="AVQ47" s="117"/>
      <c r="AVR47" s="117"/>
      <c r="AVS47" s="117"/>
      <c r="AVT47" s="117"/>
      <c r="AVU47" s="117"/>
      <c r="AVV47" s="117"/>
      <c r="AVW47" s="117"/>
      <c r="AVX47" s="117"/>
      <c r="AVY47" s="117"/>
      <c r="AVZ47" s="117"/>
      <c r="AWA47" s="117"/>
      <c r="AWB47" s="117"/>
      <c r="AWC47" s="117"/>
      <c r="AWD47" s="117"/>
      <c r="AWE47" s="117"/>
      <c r="AWF47" s="117"/>
      <c r="AWG47" s="117"/>
      <c r="AWH47" s="117"/>
      <c r="AWI47" s="117"/>
      <c r="AWJ47" s="117"/>
      <c r="AWK47" s="117"/>
      <c r="AWL47" s="117"/>
      <c r="AWM47" s="117"/>
      <c r="AWN47" s="117"/>
      <c r="AWO47" s="117"/>
      <c r="AWP47" s="117"/>
      <c r="AWQ47" s="117"/>
      <c r="AWR47" s="117"/>
      <c r="AWS47" s="117"/>
      <c r="AWT47" s="117"/>
      <c r="AWU47" s="117"/>
      <c r="AWV47" s="117"/>
      <c r="AWW47" s="117"/>
      <c r="AWX47" s="117"/>
      <c r="AWY47" s="117"/>
      <c r="AWZ47" s="117"/>
      <c r="AXA47" s="117"/>
      <c r="AXB47" s="117"/>
      <c r="AXC47" s="117"/>
      <c r="AXD47" s="117"/>
      <c r="AXE47" s="117"/>
      <c r="AXF47" s="117"/>
      <c r="AXG47" s="117"/>
      <c r="AXH47" s="117"/>
      <c r="AXI47" s="117"/>
      <c r="AXJ47" s="117"/>
      <c r="AXK47" s="117"/>
      <c r="AXL47" s="117"/>
      <c r="AXM47" s="117"/>
      <c r="AXN47" s="117"/>
      <c r="AXO47" s="117"/>
      <c r="AXP47" s="117"/>
      <c r="AXQ47" s="117"/>
      <c r="AXR47" s="117"/>
      <c r="AXS47" s="117"/>
      <c r="AXT47" s="117"/>
      <c r="AXU47" s="117"/>
      <c r="AXV47" s="117"/>
      <c r="AXW47" s="117"/>
      <c r="AXX47" s="117"/>
      <c r="AXY47" s="117"/>
      <c r="AXZ47" s="117"/>
      <c r="AYA47" s="117"/>
      <c r="AYB47" s="117"/>
      <c r="AYC47" s="117"/>
      <c r="AYD47" s="117"/>
      <c r="AYE47" s="117"/>
      <c r="AYF47" s="117"/>
      <c r="AYG47" s="117"/>
      <c r="AYH47" s="117"/>
      <c r="AYI47" s="117"/>
      <c r="AYJ47" s="117"/>
      <c r="AYK47" s="117"/>
      <c r="AYL47" s="117"/>
      <c r="AYM47" s="117"/>
      <c r="AYN47" s="117"/>
      <c r="AYO47" s="117"/>
      <c r="AYP47" s="117"/>
      <c r="AYQ47" s="117"/>
      <c r="AYR47" s="117"/>
      <c r="AYS47" s="117"/>
      <c r="AYT47" s="117"/>
      <c r="AYU47" s="117"/>
      <c r="AYV47" s="117"/>
      <c r="AYW47" s="117"/>
      <c r="AYX47" s="117"/>
      <c r="AYY47" s="117"/>
      <c r="AYZ47" s="117"/>
      <c r="AZA47" s="117"/>
      <c r="AZB47" s="117"/>
      <c r="AZC47" s="117"/>
      <c r="AZD47" s="117"/>
      <c r="AZE47" s="117"/>
      <c r="AZF47" s="117"/>
      <c r="AZG47" s="117"/>
      <c r="AZH47" s="117"/>
      <c r="AZI47" s="117"/>
      <c r="AZJ47" s="117"/>
      <c r="AZK47" s="117"/>
      <c r="AZL47" s="117"/>
      <c r="AZM47" s="117"/>
      <c r="AZN47" s="117"/>
      <c r="AZO47" s="117"/>
      <c r="AZP47" s="117"/>
      <c r="AZQ47" s="117"/>
      <c r="AZR47" s="117"/>
      <c r="AZS47" s="117"/>
      <c r="AZT47" s="117"/>
      <c r="AZU47" s="117"/>
      <c r="AZV47" s="117"/>
      <c r="AZW47" s="117"/>
      <c r="AZX47" s="117"/>
      <c r="AZY47" s="117"/>
      <c r="AZZ47" s="117"/>
      <c r="BAA47" s="117"/>
      <c r="BAB47" s="117"/>
      <c r="BAC47" s="117"/>
      <c r="BAD47" s="117"/>
      <c r="BAE47" s="117"/>
      <c r="BAF47" s="117"/>
      <c r="BAG47" s="117"/>
      <c r="BAH47" s="117"/>
      <c r="BAI47" s="117"/>
      <c r="BAJ47" s="117"/>
      <c r="BAK47" s="117"/>
      <c r="BAL47" s="117"/>
      <c r="BAM47" s="117"/>
      <c r="BAN47" s="117"/>
      <c r="BAO47" s="117"/>
      <c r="BAP47" s="117"/>
      <c r="BAQ47" s="117"/>
      <c r="BAR47" s="117"/>
      <c r="BAS47" s="117"/>
      <c r="BAT47" s="117"/>
      <c r="BAU47" s="117"/>
      <c r="BAV47" s="117"/>
      <c r="BAW47" s="117"/>
      <c r="BAX47" s="117"/>
      <c r="BAY47" s="117"/>
      <c r="BAZ47" s="117"/>
      <c r="BBA47" s="117"/>
      <c r="BBB47" s="117"/>
      <c r="BBC47" s="117"/>
      <c r="BBD47" s="117"/>
      <c r="BBE47" s="117"/>
      <c r="BBF47" s="117"/>
      <c r="BBG47" s="117"/>
      <c r="BBH47" s="117"/>
      <c r="BBI47" s="117"/>
      <c r="BBJ47" s="117"/>
      <c r="BBK47" s="117"/>
      <c r="BBL47" s="117"/>
      <c r="BBM47" s="117"/>
      <c r="BBN47" s="117"/>
      <c r="BBO47" s="117"/>
      <c r="BBP47" s="117"/>
      <c r="BBQ47" s="117"/>
      <c r="BBR47" s="117"/>
      <c r="BBS47" s="117"/>
      <c r="BBT47" s="117"/>
      <c r="BBU47" s="117"/>
      <c r="BBV47" s="117"/>
      <c r="BBW47" s="117"/>
      <c r="BBX47" s="117"/>
      <c r="BBY47" s="117"/>
      <c r="BBZ47" s="117"/>
      <c r="BCA47" s="117"/>
      <c r="BCB47" s="117"/>
      <c r="BCC47" s="117"/>
      <c r="BCD47" s="117"/>
      <c r="BCE47" s="117"/>
      <c r="BCF47" s="117"/>
      <c r="BCG47" s="117"/>
      <c r="BCH47" s="117"/>
      <c r="BCI47" s="117"/>
      <c r="BCJ47" s="117"/>
      <c r="BCK47" s="117"/>
      <c r="BCL47" s="117"/>
      <c r="BCM47" s="117"/>
      <c r="BCN47" s="117"/>
      <c r="BCO47" s="117"/>
      <c r="BCP47" s="117"/>
      <c r="BCQ47" s="117"/>
      <c r="BCR47" s="117"/>
      <c r="BCS47" s="117"/>
      <c r="BCT47" s="117"/>
      <c r="BCU47" s="117"/>
      <c r="BCV47" s="117"/>
      <c r="BCW47" s="117"/>
      <c r="BCX47" s="117"/>
      <c r="BCY47" s="117"/>
      <c r="BCZ47" s="117"/>
      <c r="BDA47" s="117"/>
      <c r="BDB47" s="117"/>
      <c r="BDC47" s="117"/>
      <c r="BDD47" s="117"/>
      <c r="BDE47" s="117"/>
      <c r="BDF47" s="117"/>
      <c r="BDG47" s="117"/>
      <c r="BDH47" s="117"/>
      <c r="BDI47" s="117"/>
      <c r="BDJ47" s="117"/>
      <c r="BDK47" s="117"/>
      <c r="BDL47" s="117"/>
      <c r="BDM47" s="117"/>
      <c r="BDN47" s="117"/>
      <c r="BDO47" s="117"/>
      <c r="BDP47" s="117"/>
      <c r="BDQ47" s="117"/>
      <c r="BDR47" s="117"/>
      <c r="BDS47" s="117"/>
      <c r="BDT47" s="117"/>
      <c r="BDU47" s="117"/>
      <c r="BDV47" s="117"/>
      <c r="BDW47" s="117"/>
      <c r="BDX47" s="117"/>
      <c r="BDY47" s="117"/>
      <c r="BDZ47" s="117"/>
      <c r="BEA47" s="117"/>
      <c r="BEB47" s="117"/>
      <c r="BEC47" s="117"/>
      <c r="BED47" s="117"/>
      <c r="BEE47" s="117"/>
      <c r="BEF47" s="117"/>
      <c r="BEG47" s="117"/>
      <c r="BEH47" s="117"/>
      <c r="BEI47" s="117"/>
      <c r="BEJ47" s="117"/>
      <c r="BEK47" s="117"/>
      <c r="BEL47" s="117"/>
      <c r="BEM47" s="117"/>
      <c r="BEN47" s="117"/>
      <c r="BEO47" s="117"/>
      <c r="BEP47" s="117"/>
      <c r="BEQ47" s="117"/>
      <c r="BER47" s="117"/>
      <c r="BES47" s="117"/>
      <c r="BET47" s="117"/>
      <c r="BEU47" s="117"/>
      <c r="BEV47" s="117"/>
      <c r="BEW47" s="117"/>
      <c r="BEX47" s="117"/>
      <c r="BEY47" s="117"/>
      <c r="BEZ47" s="117"/>
      <c r="BFA47" s="117"/>
      <c r="BFB47" s="117"/>
      <c r="BFC47" s="117"/>
      <c r="BFD47" s="117"/>
      <c r="BFE47" s="117"/>
      <c r="BFF47" s="117"/>
      <c r="BFG47" s="117"/>
      <c r="BFH47" s="117"/>
      <c r="BFI47" s="117"/>
      <c r="BFJ47" s="117"/>
      <c r="BFK47" s="117"/>
      <c r="BFL47" s="117"/>
      <c r="BFM47" s="117"/>
      <c r="BFN47" s="117"/>
      <c r="BFO47" s="117"/>
      <c r="BFP47" s="117"/>
      <c r="BFQ47" s="117"/>
      <c r="BFR47" s="117"/>
      <c r="BFS47" s="117"/>
      <c r="BFT47" s="117"/>
      <c r="BFU47" s="117"/>
      <c r="BFV47" s="117"/>
      <c r="BFW47" s="117"/>
      <c r="BFX47" s="117"/>
      <c r="BFY47" s="117"/>
      <c r="BFZ47" s="117"/>
      <c r="BGA47" s="117"/>
      <c r="BGB47" s="117"/>
      <c r="BGC47" s="117"/>
      <c r="BGD47" s="117"/>
      <c r="BGE47" s="117"/>
      <c r="BGF47" s="117"/>
      <c r="BGG47" s="117"/>
      <c r="BGH47" s="117"/>
      <c r="BGI47" s="117"/>
      <c r="BGJ47" s="117"/>
      <c r="BGK47" s="117"/>
      <c r="BGL47" s="117"/>
      <c r="BGM47" s="117"/>
      <c r="BGN47" s="117"/>
      <c r="BGO47" s="117"/>
      <c r="BGP47" s="117"/>
      <c r="BGQ47" s="117"/>
      <c r="BGR47" s="117"/>
      <c r="BGS47" s="117"/>
      <c r="BGT47" s="117"/>
      <c r="BGU47" s="117"/>
      <c r="BGV47" s="117"/>
      <c r="BGW47" s="117"/>
      <c r="BGX47" s="117"/>
      <c r="BGY47" s="117"/>
      <c r="BGZ47" s="117"/>
      <c r="BHA47" s="117"/>
      <c r="BHB47" s="117"/>
      <c r="BHC47" s="117"/>
      <c r="BHD47" s="117"/>
      <c r="BHE47" s="117"/>
      <c r="BHF47" s="117"/>
      <c r="BHG47" s="117"/>
      <c r="BHH47" s="117"/>
      <c r="BHI47" s="117"/>
      <c r="BHJ47" s="117"/>
      <c r="BHK47" s="117"/>
      <c r="BHL47" s="117"/>
      <c r="BHM47" s="117"/>
      <c r="BHN47" s="117"/>
      <c r="BHO47" s="117"/>
      <c r="BHP47" s="117"/>
      <c r="BHQ47" s="117"/>
      <c r="BHR47" s="117"/>
      <c r="BHS47" s="117"/>
      <c r="BHT47" s="117"/>
      <c r="BHU47" s="117"/>
      <c r="BHV47" s="117"/>
      <c r="BHW47" s="117"/>
      <c r="BHX47" s="117"/>
      <c r="BHY47" s="117"/>
      <c r="BHZ47" s="117"/>
      <c r="BIA47" s="117"/>
      <c r="BIB47" s="117"/>
      <c r="BIC47" s="117"/>
      <c r="BID47" s="117"/>
      <c r="BIE47" s="117"/>
      <c r="BIF47" s="117"/>
      <c r="BIG47" s="117"/>
      <c r="BIH47" s="117"/>
      <c r="BII47" s="117"/>
      <c r="BIJ47" s="117"/>
      <c r="BIK47" s="117"/>
      <c r="BIL47" s="117"/>
      <c r="BIM47" s="117"/>
      <c r="BIN47" s="117"/>
      <c r="BIO47" s="117"/>
      <c r="BIP47" s="117"/>
      <c r="BIQ47" s="117"/>
      <c r="BIR47" s="117"/>
      <c r="BIS47" s="117"/>
      <c r="BIT47" s="117"/>
      <c r="BIU47" s="117"/>
      <c r="BIV47" s="117"/>
      <c r="BIW47" s="117"/>
      <c r="BIX47" s="117"/>
      <c r="BIY47" s="117"/>
      <c r="BIZ47" s="117"/>
      <c r="BJA47" s="117"/>
      <c r="BJB47" s="117"/>
      <c r="BJC47" s="117"/>
      <c r="BJD47" s="117"/>
      <c r="BJE47" s="117"/>
      <c r="BJF47" s="117"/>
      <c r="BJG47" s="117"/>
      <c r="BJH47" s="117"/>
      <c r="BJI47" s="117"/>
      <c r="BJJ47" s="117"/>
      <c r="BJK47" s="117"/>
      <c r="BJL47" s="117"/>
      <c r="BJM47" s="117"/>
      <c r="BJN47" s="117"/>
      <c r="BJO47" s="117"/>
      <c r="BJP47" s="117"/>
      <c r="BJQ47" s="117"/>
      <c r="BJR47" s="117"/>
      <c r="BJS47" s="117"/>
      <c r="BJT47" s="117"/>
      <c r="BJU47" s="117"/>
      <c r="BJV47" s="117"/>
      <c r="BJW47" s="117"/>
      <c r="BJX47" s="117"/>
      <c r="BJY47" s="117"/>
      <c r="BJZ47" s="117"/>
      <c r="BKA47" s="117"/>
      <c r="BKB47" s="117"/>
      <c r="BKC47" s="117"/>
      <c r="BKD47" s="117"/>
      <c r="BKE47" s="117"/>
      <c r="BKF47" s="117"/>
      <c r="BKG47" s="117"/>
      <c r="BKH47" s="117"/>
      <c r="BKI47" s="117"/>
      <c r="BKJ47" s="117"/>
      <c r="BKK47" s="117"/>
      <c r="BKL47" s="117"/>
      <c r="BKM47" s="117"/>
      <c r="BKN47" s="117"/>
      <c r="BKO47" s="117"/>
      <c r="BKP47" s="117"/>
      <c r="BKQ47" s="117"/>
      <c r="BKR47" s="117"/>
      <c r="BKS47" s="117"/>
      <c r="BKT47" s="117"/>
      <c r="BKU47" s="117"/>
      <c r="BKV47" s="117"/>
      <c r="BKW47" s="117"/>
      <c r="BKX47" s="117"/>
      <c r="BKY47" s="117"/>
      <c r="BKZ47" s="117"/>
      <c r="BLA47" s="117"/>
      <c r="BLB47" s="117"/>
      <c r="BLC47" s="117"/>
      <c r="BLD47" s="117"/>
      <c r="BLE47" s="117"/>
      <c r="BLF47" s="117"/>
      <c r="BLG47" s="117"/>
      <c r="BLH47" s="117"/>
      <c r="BLI47" s="117"/>
      <c r="BLJ47" s="117"/>
      <c r="BLK47" s="117"/>
      <c r="BLL47" s="117"/>
      <c r="BLM47" s="117"/>
      <c r="BLN47" s="117"/>
      <c r="BLO47" s="117"/>
      <c r="BLP47" s="117"/>
      <c r="BLQ47" s="117"/>
      <c r="BLR47" s="117"/>
      <c r="BLS47" s="117"/>
      <c r="BLT47" s="117"/>
      <c r="BLU47" s="117"/>
      <c r="BLV47" s="117"/>
      <c r="BLW47" s="117"/>
      <c r="BLX47" s="117"/>
      <c r="BLY47" s="117"/>
      <c r="BLZ47" s="117"/>
      <c r="BMA47" s="117"/>
      <c r="BMB47" s="117"/>
      <c r="BMC47" s="117"/>
      <c r="BMD47" s="117"/>
      <c r="BME47" s="117"/>
      <c r="BMF47" s="117"/>
      <c r="BMG47" s="117"/>
      <c r="BMH47" s="117"/>
      <c r="BMI47" s="117"/>
      <c r="BMJ47" s="117"/>
      <c r="BMK47" s="117"/>
      <c r="BML47" s="117"/>
      <c r="BMM47" s="117"/>
      <c r="BMN47" s="117"/>
      <c r="BMO47" s="117"/>
      <c r="BMP47" s="117"/>
      <c r="BMQ47" s="117"/>
      <c r="BMR47" s="117"/>
      <c r="BMS47" s="117"/>
      <c r="BMT47" s="117"/>
      <c r="BMU47" s="117"/>
      <c r="BMV47" s="117"/>
      <c r="BMW47" s="117"/>
      <c r="BMX47" s="117"/>
      <c r="BMY47" s="117"/>
      <c r="BMZ47" s="117"/>
      <c r="BNA47" s="117"/>
      <c r="BNB47" s="117"/>
      <c r="BNC47" s="117"/>
      <c r="BND47" s="117"/>
      <c r="BNE47" s="117"/>
      <c r="BNF47" s="117"/>
      <c r="BNG47" s="117"/>
      <c r="BNH47" s="117"/>
      <c r="BNI47" s="117"/>
      <c r="BNJ47" s="117"/>
      <c r="BNK47" s="117"/>
      <c r="BNL47" s="117"/>
      <c r="BNM47" s="117"/>
      <c r="BNN47" s="117"/>
      <c r="BNO47" s="117"/>
      <c r="BNP47" s="117"/>
      <c r="BNQ47" s="117"/>
      <c r="BNR47" s="117"/>
      <c r="BNS47" s="117"/>
      <c r="BNT47" s="117"/>
      <c r="BNU47" s="117"/>
      <c r="BNV47" s="117"/>
      <c r="BNW47" s="117"/>
      <c r="BNX47" s="117"/>
      <c r="BNY47" s="117"/>
      <c r="BNZ47" s="117"/>
      <c r="BOA47" s="117"/>
      <c r="BOB47" s="117"/>
      <c r="BOC47" s="117"/>
      <c r="BOD47" s="117"/>
      <c r="BOE47" s="117"/>
      <c r="BOF47" s="117"/>
      <c r="BOG47" s="117"/>
      <c r="BOH47" s="117"/>
      <c r="BOI47" s="117"/>
      <c r="BOJ47" s="117"/>
      <c r="BOK47" s="117"/>
      <c r="BOL47" s="117"/>
      <c r="BOM47" s="117"/>
      <c r="BON47" s="117"/>
      <c r="BOO47" s="117"/>
      <c r="BOP47" s="117"/>
      <c r="BOQ47" s="117"/>
      <c r="BOR47" s="117"/>
      <c r="BOS47" s="117"/>
      <c r="BOT47" s="117"/>
      <c r="BOU47" s="117"/>
      <c r="BOV47" s="117"/>
      <c r="BOW47" s="117"/>
      <c r="BOX47" s="117"/>
      <c r="BOY47" s="117"/>
      <c r="BOZ47" s="117"/>
      <c r="BPA47" s="117"/>
      <c r="BPB47" s="117"/>
      <c r="BPC47" s="117"/>
      <c r="BPD47" s="117"/>
      <c r="BPE47" s="117"/>
      <c r="BPF47" s="117"/>
      <c r="BPG47" s="117"/>
      <c r="BPH47" s="117"/>
      <c r="BPI47" s="117"/>
      <c r="BPJ47" s="117"/>
      <c r="BPK47" s="117"/>
      <c r="BPL47" s="117"/>
      <c r="BPM47" s="117"/>
      <c r="BPN47" s="117"/>
      <c r="BPO47" s="117"/>
      <c r="BPP47" s="117"/>
      <c r="BPQ47" s="117"/>
      <c r="BPR47" s="117"/>
      <c r="BPS47" s="117"/>
      <c r="BPT47" s="117"/>
      <c r="BPU47" s="117"/>
      <c r="BPV47" s="117"/>
      <c r="BPW47" s="117"/>
      <c r="BPX47" s="117"/>
      <c r="BPY47" s="117"/>
      <c r="BPZ47" s="117"/>
      <c r="BQA47" s="117"/>
      <c r="BQB47" s="117"/>
      <c r="BQC47" s="117"/>
      <c r="BQD47" s="117"/>
      <c r="BQE47" s="117"/>
      <c r="BQF47" s="117"/>
      <c r="BQG47" s="117"/>
      <c r="BQH47" s="117"/>
      <c r="BQI47" s="117"/>
      <c r="BQJ47" s="117"/>
      <c r="BQK47" s="117"/>
      <c r="BQL47" s="117"/>
      <c r="BQM47" s="117"/>
      <c r="BQN47" s="117"/>
      <c r="BQO47" s="117"/>
      <c r="BQP47" s="117"/>
      <c r="BQQ47" s="117"/>
      <c r="BQR47" s="117"/>
      <c r="BQS47" s="117"/>
      <c r="BQT47" s="117"/>
      <c r="BQU47" s="117"/>
      <c r="BQV47" s="117"/>
      <c r="BQW47" s="117"/>
      <c r="BQX47" s="117"/>
      <c r="BQY47" s="117"/>
      <c r="BQZ47" s="117"/>
      <c r="BRA47" s="117"/>
      <c r="BRB47" s="117"/>
      <c r="BRC47" s="117"/>
      <c r="BRD47" s="117"/>
      <c r="BRE47" s="117"/>
      <c r="BRF47" s="117"/>
      <c r="BRG47" s="117"/>
      <c r="BRH47" s="117"/>
      <c r="BRI47" s="117"/>
      <c r="BRJ47" s="117"/>
      <c r="BRK47" s="117"/>
      <c r="BRL47" s="117"/>
      <c r="BRM47" s="117"/>
      <c r="BRN47" s="117"/>
      <c r="BRO47" s="117"/>
      <c r="BRP47" s="117"/>
      <c r="BRQ47" s="117"/>
      <c r="BRR47" s="117"/>
      <c r="BRS47" s="117"/>
      <c r="BRT47" s="117"/>
      <c r="BRU47" s="117"/>
      <c r="BRV47" s="117"/>
      <c r="BRW47" s="117"/>
      <c r="BRX47" s="117"/>
      <c r="BRY47" s="117"/>
      <c r="BRZ47" s="117"/>
      <c r="BSA47" s="117"/>
      <c r="BSB47" s="117"/>
      <c r="BSC47" s="117"/>
      <c r="BSD47" s="117"/>
      <c r="BSE47" s="117"/>
      <c r="BSF47" s="117"/>
      <c r="BSG47" s="117"/>
      <c r="BSH47" s="117"/>
      <c r="BSI47" s="117"/>
      <c r="BSJ47" s="117"/>
      <c r="BSK47" s="117"/>
      <c r="BSL47" s="117"/>
      <c r="BSM47" s="117"/>
      <c r="BSN47" s="117"/>
      <c r="BSO47" s="117"/>
      <c r="BSP47" s="117"/>
      <c r="BSQ47" s="117"/>
      <c r="BSR47" s="117"/>
      <c r="BSS47" s="117"/>
      <c r="BST47" s="117"/>
      <c r="BSU47" s="117"/>
      <c r="BSV47" s="117"/>
      <c r="BSW47" s="117"/>
      <c r="BSX47" s="117"/>
      <c r="BSY47" s="117"/>
      <c r="BSZ47" s="117"/>
      <c r="BTA47" s="117"/>
      <c r="BTB47" s="117"/>
      <c r="BTC47" s="117"/>
      <c r="BTD47" s="117"/>
      <c r="BTE47" s="117"/>
      <c r="BTF47" s="117"/>
      <c r="BTG47" s="117"/>
      <c r="BTH47" s="117"/>
      <c r="BTI47" s="117"/>
      <c r="BTJ47" s="117"/>
      <c r="BTK47" s="117"/>
      <c r="BTL47" s="117"/>
      <c r="BTM47" s="117"/>
      <c r="BTN47" s="117"/>
      <c r="BTO47" s="117"/>
      <c r="BTP47" s="117"/>
      <c r="BTQ47" s="117"/>
      <c r="BTR47" s="117"/>
      <c r="BTS47" s="117"/>
      <c r="BTT47" s="117"/>
      <c r="BTU47" s="117"/>
      <c r="BTV47" s="117"/>
      <c r="BTW47" s="117"/>
      <c r="BTX47" s="117"/>
      <c r="BTY47" s="117"/>
      <c r="BTZ47" s="117"/>
      <c r="BUA47" s="117"/>
      <c r="BUB47" s="117"/>
      <c r="BUC47" s="117"/>
      <c r="BUD47" s="117"/>
      <c r="BUE47" s="117"/>
      <c r="BUF47" s="117"/>
      <c r="BUG47" s="117"/>
      <c r="BUH47" s="117"/>
      <c r="BUI47" s="117"/>
      <c r="BUJ47" s="117"/>
      <c r="BUK47" s="117"/>
      <c r="BUL47" s="117"/>
      <c r="BUM47" s="117"/>
      <c r="BUN47" s="117"/>
      <c r="BUO47" s="117"/>
      <c r="BUP47" s="117"/>
      <c r="BUQ47" s="117"/>
      <c r="BUR47" s="117"/>
      <c r="BUS47" s="117"/>
      <c r="BUT47" s="117"/>
      <c r="BUU47" s="117"/>
      <c r="BUV47" s="117"/>
      <c r="BUW47" s="117"/>
      <c r="BUX47" s="117"/>
      <c r="BUY47" s="117"/>
      <c r="BUZ47" s="117"/>
      <c r="BVA47" s="117"/>
      <c r="BVB47" s="117"/>
      <c r="BVC47" s="117"/>
      <c r="BVD47" s="117"/>
      <c r="BVE47" s="117"/>
      <c r="BVF47" s="117"/>
      <c r="BVG47" s="117"/>
      <c r="BVH47" s="117"/>
      <c r="BVI47" s="117"/>
      <c r="BVJ47" s="117"/>
      <c r="BVK47" s="117"/>
      <c r="BVL47" s="117"/>
      <c r="BVM47" s="117"/>
      <c r="BVN47" s="117"/>
      <c r="BVO47" s="117"/>
      <c r="BVP47" s="117"/>
      <c r="BVQ47" s="117"/>
      <c r="BVR47" s="117"/>
      <c r="BVS47" s="117"/>
      <c r="BVT47" s="117"/>
      <c r="BVU47" s="117"/>
      <c r="BVV47" s="117"/>
      <c r="BVW47" s="117"/>
      <c r="BVX47" s="117"/>
      <c r="BVY47" s="117"/>
      <c r="BVZ47" s="117"/>
      <c r="BWA47" s="117"/>
      <c r="BWB47" s="117"/>
      <c r="BWC47" s="117"/>
      <c r="BWD47" s="117"/>
      <c r="BWE47" s="117"/>
      <c r="BWF47" s="117"/>
      <c r="BWG47" s="117"/>
      <c r="BWH47" s="117"/>
      <c r="BWI47" s="117"/>
      <c r="BWJ47" s="117"/>
      <c r="BWK47" s="117"/>
      <c r="BWL47" s="117"/>
      <c r="BWM47" s="117"/>
      <c r="BWN47" s="117"/>
      <c r="BWO47" s="117"/>
      <c r="BWP47" s="117"/>
      <c r="BWQ47" s="117"/>
      <c r="BWR47" s="117"/>
      <c r="BWS47" s="117"/>
      <c r="BWT47" s="117"/>
      <c r="BWU47" s="117"/>
      <c r="BWV47" s="117"/>
      <c r="BWW47" s="117"/>
      <c r="BWX47" s="117"/>
      <c r="BWY47" s="117"/>
      <c r="BWZ47" s="117"/>
      <c r="BXA47" s="117"/>
      <c r="BXB47" s="117"/>
      <c r="BXC47" s="117"/>
      <c r="BXD47" s="117"/>
      <c r="BXE47" s="117"/>
      <c r="BXF47" s="117"/>
      <c r="BXG47" s="117"/>
      <c r="BXH47" s="117"/>
      <c r="BXI47" s="117"/>
      <c r="BXJ47" s="117"/>
      <c r="BXK47" s="117"/>
      <c r="BXL47" s="117"/>
      <c r="BXM47" s="117"/>
      <c r="BXN47" s="117"/>
      <c r="BXO47" s="117"/>
      <c r="BXP47" s="117"/>
      <c r="BXQ47" s="117"/>
      <c r="BXR47" s="117"/>
      <c r="BXS47" s="117"/>
      <c r="BXT47" s="117"/>
      <c r="BXU47" s="117"/>
      <c r="BXV47" s="117"/>
      <c r="BXW47" s="117"/>
      <c r="BXX47" s="117"/>
      <c r="BXY47" s="117"/>
      <c r="BXZ47" s="117"/>
      <c r="BYA47" s="117"/>
      <c r="BYB47" s="117"/>
      <c r="BYC47" s="117"/>
      <c r="BYD47" s="117"/>
      <c r="BYE47" s="117"/>
      <c r="BYF47" s="117"/>
      <c r="BYG47" s="117"/>
      <c r="BYH47" s="117"/>
      <c r="BYI47" s="117"/>
      <c r="BYJ47" s="117"/>
      <c r="BYK47" s="117"/>
      <c r="BYL47" s="117"/>
      <c r="BYM47" s="117"/>
      <c r="BYN47" s="117"/>
      <c r="BYO47" s="117"/>
      <c r="BYP47" s="117"/>
      <c r="BYQ47" s="117"/>
      <c r="BYR47" s="117"/>
      <c r="BYS47" s="117"/>
      <c r="BYT47" s="117"/>
      <c r="BYU47" s="117"/>
      <c r="BYV47" s="117"/>
      <c r="BYW47" s="117"/>
      <c r="BYX47" s="117"/>
      <c r="BYY47" s="117"/>
      <c r="BYZ47" s="117"/>
      <c r="BZA47" s="117"/>
      <c r="BZB47" s="117"/>
      <c r="BZC47" s="117"/>
      <c r="BZD47" s="117"/>
      <c r="BZE47" s="117"/>
      <c r="BZF47" s="117"/>
      <c r="BZG47" s="117"/>
      <c r="BZH47" s="117"/>
      <c r="BZI47" s="117"/>
      <c r="BZJ47" s="117"/>
      <c r="BZK47" s="117"/>
      <c r="BZL47" s="117"/>
      <c r="BZM47" s="117"/>
      <c r="BZN47" s="117"/>
      <c r="BZO47" s="117"/>
      <c r="BZP47" s="117"/>
      <c r="BZQ47" s="117"/>
      <c r="BZR47" s="117"/>
      <c r="BZS47" s="117"/>
      <c r="BZT47" s="117"/>
      <c r="BZU47" s="117"/>
      <c r="BZV47" s="117"/>
      <c r="BZW47" s="117"/>
      <c r="BZX47" s="117"/>
      <c r="BZY47" s="117"/>
      <c r="BZZ47" s="117"/>
      <c r="CAA47" s="117"/>
      <c r="CAB47" s="117"/>
      <c r="CAC47" s="117"/>
      <c r="CAD47" s="117"/>
      <c r="CAE47" s="117"/>
      <c r="CAF47" s="117"/>
      <c r="CAG47" s="117"/>
      <c r="CAH47" s="117"/>
      <c r="CAI47" s="117"/>
      <c r="CAJ47" s="117"/>
      <c r="CAK47" s="117"/>
      <c r="CAL47" s="117"/>
      <c r="CAM47" s="117"/>
      <c r="CAN47" s="117"/>
      <c r="CAO47" s="117"/>
      <c r="CAP47" s="117"/>
      <c r="CAQ47" s="117"/>
      <c r="CAR47" s="117"/>
      <c r="CAS47" s="117"/>
      <c r="CAT47" s="117"/>
      <c r="CAU47" s="117"/>
      <c r="CAV47" s="117"/>
      <c r="CAW47" s="117"/>
      <c r="CAX47" s="117"/>
      <c r="CAY47" s="117"/>
      <c r="CAZ47" s="117"/>
      <c r="CBA47" s="117"/>
      <c r="CBB47" s="117"/>
      <c r="CBC47" s="117"/>
      <c r="CBD47" s="117"/>
      <c r="CBE47" s="117"/>
      <c r="CBF47" s="117"/>
      <c r="CBG47" s="117"/>
      <c r="CBH47" s="117"/>
      <c r="CBI47" s="117"/>
      <c r="CBJ47" s="117"/>
      <c r="CBK47" s="117"/>
      <c r="CBL47" s="117"/>
      <c r="CBM47" s="117"/>
      <c r="CBN47" s="117"/>
      <c r="CBO47" s="117"/>
      <c r="CBP47" s="117"/>
      <c r="CBQ47" s="117"/>
      <c r="CBR47" s="117"/>
      <c r="CBS47" s="117"/>
      <c r="CBT47" s="117"/>
      <c r="CBU47" s="117"/>
      <c r="CBV47" s="117"/>
      <c r="CBW47" s="117"/>
      <c r="CBX47" s="117"/>
      <c r="CBY47" s="117"/>
      <c r="CBZ47" s="117"/>
      <c r="CCA47" s="117"/>
      <c r="CCB47" s="117"/>
      <c r="CCC47" s="117"/>
      <c r="CCD47" s="117"/>
      <c r="CCE47" s="117"/>
      <c r="CCF47" s="117"/>
      <c r="CCG47" s="117"/>
      <c r="CCH47" s="117"/>
      <c r="CCI47" s="117"/>
      <c r="CCJ47" s="117"/>
      <c r="CCK47" s="117"/>
      <c r="CCL47" s="117"/>
      <c r="CCM47" s="117"/>
      <c r="CCN47" s="117"/>
      <c r="CCO47" s="117"/>
      <c r="CCP47" s="117"/>
      <c r="CCQ47" s="117"/>
      <c r="CCR47" s="117"/>
      <c r="CCS47" s="117"/>
      <c r="CCT47" s="117"/>
      <c r="CCU47" s="117"/>
      <c r="CCV47" s="117"/>
      <c r="CCW47" s="117"/>
      <c r="CCX47" s="117"/>
      <c r="CCY47" s="117"/>
      <c r="CCZ47" s="117"/>
      <c r="CDA47" s="117"/>
      <c r="CDB47" s="117"/>
      <c r="CDC47" s="117"/>
      <c r="CDD47" s="117"/>
      <c r="CDE47" s="117"/>
      <c r="CDF47" s="117"/>
      <c r="CDG47" s="117"/>
      <c r="CDH47" s="117"/>
      <c r="CDI47" s="117"/>
      <c r="CDJ47" s="117"/>
      <c r="CDK47" s="117"/>
      <c r="CDL47" s="117"/>
      <c r="CDM47" s="117"/>
      <c r="CDN47" s="117"/>
      <c r="CDO47" s="117"/>
      <c r="CDP47" s="117"/>
      <c r="CDQ47" s="117"/>
      <c r="CDR47" s="117"/>
      <c r="CDS47" s="117"/>
      <c r="CDT47" s="117"/>
      <c r="CDU47" s="117"/>
      <c r="CDV47" s="117"/>
      <c r="CDW47" s="117"/>
      <c r="CDX47" s="117"/>
      <c r="CDY47" s="117"/>
      <c r="CDZ47" s="117"/>
      <c r="CEA47" s="117"/>
      <c r="CEB47" s="117"/>
      <c r="CEC47" s="117"/>
      <c r="CED47" s="117"/>
      <c r="CEE47" s="117"/>
      <c r="CEF47" s="117"/>
      <c r="CEG47" s="117"/>
      <c r="CEH47" s="117"/>
      <c r="CEI47" s="117"/>
      <c r="CEJ47" s="117"/>
      <c r="CEK47" s="117"/>
      <c r="CEL47" s="117"/>
      <c r="CEM47" s="117"/>
      <c r="CEN47" s="117"/>
      <c r="CEO47" s="117"/>
      <c r="CEP47" s="117"/>
      <c r="CEQ47" s="117"/>
      <c r="CER47" s="117"/>
      <c r="CES47" s="117"/>
      <c r="CET47" s="117"/>
      <c r="CEU47" s="117"/>
      <c r="CEV47" s="117"/>
      <c r="CEW47" s="117"/>
      <c r="CEX47" s="117"/>
      <c r="CEY47" s="117"/>
      <c r="CEZ47" s="117"/>
      <c r="CFA47" s="117"/>
      <c r="CFB47" s="117"/>
      <c r="CFC47" s="117"/>
      <c r="CFD47" s="117"/>
      <c r="CFE47" s="117"/>
      <c r="CFF47" s="117"/>
      <c r="CFG47" s="117"/>
      <c r="CFH47" s="117"/>
      <c r="CFI47" s="117"/>
      <c r="CFJ47" s="117"/>
      <c r="CFK47" s="117"/>
      <c r="CFL47" s="117"/>
      <c r="CFM47" s="117"/>
      <c r="CFN47" s="117"/>
      <c r="CFO47" s="117"/>
      <c r="CFP47" s="117"/>
      <c r="CFQ47" s="117"/>
      <c r="CFR47" s="117"/>
      <c r="CFS47" s="117"/>
      <c r="CFT47" s="117"/>
      <c r="CFU47" s="117"/>
      <c r="CFV47" s="117"/>
      <c r="CFW47" s="117"/>
      <c r="CFX47" s="117"/>
      <c r="CFY47" s="117"/>
      <c r="CFZ47" s="117"/>
      <c r="CGA47" s="117"/>
      <c r="CGB47" s="117"/>
      <c r="CGC47" s="117"/>
      <c r="CGD47" s="117"/>
      <c r="CGE47" s="117"/>
      <c r="CGF47" s="117"/>
      <c r="CGG47" s="117"/>
      <c r="CGH47" s="117"/>
      <c r="CGI47" s="117"/>
      <c r="CGJ47" s="117"/>
      <c r="CGK47" s="117"/>
      <c r="CGL47" s="117"/>
      <c r="CGM47" s="117"/>
      <c r="CGN47" s="117"/>
      <c r="CGO47" s="117"/>
      <c r="CGP47" s="117"/>
      <c r="CGQ47" s="117"/>
      <c r="CGR47" s="117"/>
      <c r="CGS47" s="117"/>
      <c r="CGT47" s="117"/>
      <c r="CGU47" s="117"/>
      <c r="CGV47" s="117"/>
      <c r="CGW47" s="117"/>
      <c r="CGX47" s="117"/>
      <c r="CGY47" s="117"/>
      <c r="CGZ47" s="117"/>
      <c r="CHA47" s="117"/>
      <c r="CHB47" s="117"/>
      <c r="CHC47" s="117"/>
      <c r="CHD47" s="117"/>
      <c r="CHE47" s="117"/>
      <c r="CHF47" s="117"/>
      <c r="CHG47" s="117"/>
      <c r="CHH47" s="117"/>
      <c r="CHI47" s="117"/>
      <c r="CHJ47" s="117"/>
      <c r="CHK47" s="117"/>
      <c r="CHL47" s="117"/>
      <c r="CHM47" s="117"/>
      <c r="CHN47" s="117"/>
      <c r="CHO47" s="117"/>
      <c r="CHP47" s="117"/>
      <c r="CHQ47" s="117"/>
      <c r="CHR47" s="117"/>
      <c r="CHS47" s="117"/>
      <c r="CHT47" s="117"/>
      <c r="CHU47" s="117"/>
      <c r="CHV47" s="117"/>
      <c r="CHW47" s="117"/>
      <c r="CHX47" s="117"/>
      <c r="CHY47" s="117"/>
      <c r="CHZ47" s="117"/>
      <c r="CIA47" s="117"/>
      <c r="CIB47" s="117"/>
      <c r="CIC47" s="117"/>
      <c r="CID47" s="117"/>
      <c r="CIE47" s="117"/>
      <c r="CIF47" s="117"/>
      <c r="CIG47" s="117"/>
      <c r="CIH47" s="117"/>
      <c r="CII47" s="117"/>
      <c r="CIJ47" s="117"/>
      <c r="CIK47" s="117"/>
      <c r="CIL47" s="117"/>
      <c r="CIM47" s="117"/>
      <c r="CIN47" s="117"/>
      <c r="CIO47" s="117"/>
      <c r="CIP47" s="117"/>
      <c r="CIQ47" s="117"/>
      <c r="CIR47" s="117"/>
      <c r="CIS47" s="117"/>
      <c r="CIT47" s="117"/>
      <c r="CIU47" s="117"/>
      <c r="CIV47" s="117"/>
      <c r="CIW47" s="117"/>
      <c r="CIX47" s="117"/>
      <c r="CIY47" s="117"/>
      <c r="CIZ47" s="117"/>
      <c r="CJA47" s="117"/>
      <c r="CJB47" s="117"/>
      <c r="CJC47" s="117"/>
      <c r="CJD47" s="117"/>
      <c r="CJE47" s="117"/>
      <c r="CJF47" s="117"/>
      <c r="CJG47" s="117"/>
      <c r="CJH47" s="117"/>
      <c r="CJI47" s="117"/>
      <c r="CJJ47" s="117"/>
      <c r="CJK47" s="117"/>
      <c r="CJL47" s="117"/>
      <c r="CJM47" s="117"/>
      <c r="CJN47" s="117"/>
      <c r="CJO47" s="117"/>
      <c r="CJP47" s="117"/>
      <c r="CJQ47" s="117"/>
      <c r="CJR47" s="117"/>
      <c r="CJS47" s="117"/>
      <c r="CJT47" s="117"/>
      <c r="CJU47" s="117"/>
      <c r="CJV47" s="117"/>
      <c r="CJW47" s="117"/>
      <c r="CJX47" s="117"/>
      <c r="CJY47" s="117"/>
      <c r="CJZ47" s="117"/>
      <c r="CKA47" s="117"/>
      <c r="CKB47" s="117"/>
      <c r="CKC47" s="117"/>
      <c r="CKD47" s="117"/>
      <c r="CKE47" s="117"/>
      <c r="CKF47" s="117"/>
      <c r="CKG47" s="117"/>
      <c r="CKH47" s="117"/>
      <c r="CKI47" s="117"/>
      <c r="CKJ47" s="117"/>
      <c r="CKK47" s="117"/>
      <c r="CKL47" s="117"/>
      <c r="CKM47" s="117"/>
      <c r="CKN47" s="117"/>
      <c r="CKO47" s="117"/>
      <c r="CKP47" s="117"/>
      <c r="CKQ47" s="117"/>
      <c r="CKR47" s="117"/>
      <c r="CKS47" s="117"/>
      <c r="CKT47" s="117"/>
      <c r="CKU47" s="117"/>
      <c r="CKV47" s="117"/>
      <c r="CKW47" s="117"/>
      <c r="CKX47" s="117"/>
      <c r="CKY47" s="117"/>
      <c r="CKZ47" s="117"/>
      <c r="CLA47" s="117"/>
      <c r="CLB47" s="117"/>
      <c r="CLC47" s="117"/>
      <c r="CLD47" s="117"/>
      <c r="CLE47" s="117"/>
      <c r="CLF47" s="117"/>
      <c r="CLG47" s="117"/>
      <c r="CLH47" s="117"/>
      <c r="CLI47" s="117"/>
      <c r="CLJ47" s="117"/>
      <c r="CLK47" s="117"/>
      <c r="CLL47" s="117"/>
      <c r="CLM47" s="117"/>
      <c r="CLN47" s="117"/>
      <c r="CLO47" s="117"/>
      <c r="CLP47" s="117"/>
      <c r="CLQ47" s="117"/>
      <c r="CLR47" s="117"/>
      <c r="CLS47" s="117"/>
      <c r="CLT47" s="117"/>
      <c r="CLU47" s="117"/>
      <c r="CLV47" s="117"/>
      <c r="CLW47" s="117"/>
      <c r="CLX47" s="117"/>
      <c r="CLY47" s="117"/>
      <c r="CLZ47" s="117"/>
      <c r="CMA47" s="117"/>
      <c r="CMB47" s="117"/>
      <c r="CMC47" s="117"/>
      <c r="CMD47" s="117"/>
      <c r="CME47" s="117"/>
      <c r="CMF47" s="117"/>
      <c r="CMG47" s="117"/>
      <c r="CMH47" s="117"/>
      <c r="CMI47" s="117"/>
      <c r="CMJ47" s="117"/>
      <c r="CMK47" s="117"/>
      <c r="CML47" s="117"/>
      <c r="CMM47" s="117"/>
      <c r="CMN47" s="117"/>
      <c r="CMO47" s="117"/>
      <c r="CMP47" s="117"/>
      <c r="CMQ47" s="117"/>
      <c r="CMR47" s="117"/>
      <c r="CMS47" s="117"/>
      <c r="CMT47" s="117"/>
      <c r="CMU47" s="117"/>
      <c r="CMV47" s="117"/>
      <c r="CMW47" s="117"/>
      <c r="CMX47" s="117"/>
      <c r="CMY47" s="117"/>
      <c r="CMZ47" s="117"/>
      <c r="CNA47" s="117"/>
      <c r="CNB47" s="117"/>
      <c r="CNC47" s="117"/>
      <c r="CND47" s="117"/>
      <c r="CNE47" s="117"/>
      <c r="CNF47" s="117"/>
      <c r="CNG47" s="117"/>
      <c r="CNH47" s="117"/>
      <c r="CNI47" s="117"/>
      <c r="CNJ47" s="117"/>
      <c r="CNK47" s="117"/>
      <c r="CNL47" s="117"/>
      <c r="CNM47" s="117"/>
      <c r="CNN47" s="117"/>
      <c r="CNO47" s="117"/>
      <c r="CNP47" s="117"/>
      <c r="CNQ47" s="117"/>
      <c r="CNR47" s="117"/>
      <c r="CNS47" s="117"/>
      <c r="CNT47" s="117"/>
      <c r="CNU47" s="117"/>
      <c r="CNV47" s="117"/>
      <c r="CNW47" s="117"/>
      <c r="CNX47" s="117"/>
      <c r="CNY47" s="117"/>
      <c r="CNZ47" s="117"/>
      <c r="COA47" s="117"/>
      <c r="COB47" s="117"/>
      <c r="COC47" s="117"/>
      <c r="COD47" s="117"/>
      <c r="COE47" s="117"/>
      <c r="COF47" s="117"/>
      <c r="COG47" s="117"/>
      <c r="COH47" s="117"/>
      <c r="COI47" s="117"/>
      <c r="COJ47" s="117"/>
      <c r="COK47" s="117"/>
      <c r="COL47" s="117"/>
      <c r="COM47" s="117"/>
      <c r="CON47" s="117"/>
      <c r="COO47" s="117"/>
      <c r="COP47" s="117"/>
      <c r="COQ47" s="117"/>
      <c r="COR47" s="117"/>
      <c r="COS47" s="117"/>
      <c r="COT47" s="117"/>
      <c r="COU47" s="117"/>
      <c r="COV47" s="117"/>
      <c r="COW47" s="117"/>
      <c r="COX47" s="117"/>
      <c r="COY47" s="117"/>
      <c r="COZ47" s="117"/>
      <c r="CPA47" s="117"/>
      <c r="CPB47" s="117"/>
      <c r="CPC47" s="117"/>
      <c r="CPD47" s="117"/>
      <c r="CPE47" s="117"/>
      <c r="CPF47" s="117"/>
      <c r="CPG47" s="117"/>
      <c r="CPH47" s="117"/>
      <c r="CPI47" s="117"/>
      <c r="CPJ47" s="117"/>
      <c r="CPK47" s="117"/>
      <c r="CPL47" s="117"/>
      <c r="CPM47" s="117"/>
      <c r="CPN47" s="117"/>
      <c r="CPO47" s="117"/>
      <c r="CPP47" s="117"/>
      <c r="CPQ47" s="117"/>
      <c r="CPR47" s="117"/>
      <c r="CPS47" s="117"/>
      <c r="CPT47" s="117"/>
      <c r="CPU47" s="117"/>
      <c r="CPV47" s="117"/>
      <c r="CPW47" s="117"/>
      <c r="CPX47" s="117"/>
      <c r="CPY47" s="117"/>
      <c r="CPZ47" s="117"/>
      <c r="CQA47" s="117"/>
      <c r="CQB47" s="117"/>
      <c r="CQC47" s="117"/>
      <c r="CQD47" s="117"/>
      <c r="CQE47" s="117"/>
      <c r="CQF47" s="117"/>
      <c r="CQG47" s="117"/>
      <c r="CQH47" s="117"/>
      <c r="CQI47" s="117"/>
      <c r="CQJ47" s="117"/>
      <c r="CQK47" s="117"/>
      <c r="CQL47" s="117"/>
      <c r="CQM47" s="117"/>
      <c r="CQN47" s="117"/>
      <c r="CQO47" s="117"/>
      <c r="CQP47" s="117"/>
      <c r="CQQ47" s="117"/>
      <c r="CQR47" s="117"/>
      <c r="CQS47" s="117"/>
      <c r="CQT47" s="117"/>
      <c r="CQU47" s="117"/>
      <c r="CQV47" s="117"/>
      <c r="CQW47" s="117"/>
      <c r="CQX47" s="117"/>
      <c r="CQY47" s="117"/>
      <c r="CQZ47" s="117"/>
      <c r="CRA47" s="117"/>
      <c r="CRB47" s="117"/>
      <c r="CRC47" s="117"/>
      <c r="CRD47" s="117"/>
      <c r="CRE47" s="117"/>
      <c r="CRF47" s="117"/>
      <c r="CRG47" s="117"/>
      <c r="CRH47" s="117"/>
      <c r="CRI47" s="117"/>
      <c r="CRJ47" s="117"/>
      <c r="CRK47" s="117"/>
      <c r="CRL47" s="117"/>
      <c r="CRM47" s="117"/>
      <c r="CRN47" s="117"/>
      <c r="CRO47" s="117"/>
      <c r="CRP47" s="117"/>
      <c r="CRQ47" s="117"/>
      <c r="CRR47" s="117"/>
      <c r="CRS47" s="117"/>
      <c r="CRT47" s="117"/>
      <c r="CRU47" s="117"/>
      <c r="CRV47" s="117"/>
      <c r="CRW47" s="117"/>
      <c r="CRX47" s="117"/>
      <c r="CRY47" s="117"/>
      <c r="CRZ47" s="117"/>
      <c r="CSA47" s="117"/>
      <c r="CSB47" s="117"/>
      <c r="CSC47" s="117"/>
      <c r="CSD47" s="117"/>
      <c r="CSE47" s="117"/>
      <c r="CSF47" s="117"/>
      <c r="CSG47" s="117"/>
      <c r="CSH47" s="117"/>
      <c r="CSI47" s="117"/>
      <c r="CSJ47" s="117"/>
      <c r="CSK47" s="117"/>
      <c r="CSL47" s="117"/>
      <c r="CSM47" s="117"/>
      <c r="CSN47" s="117"/>
      <c r="CSO47" s="117"/>
      <c r="CSP47" s="117"/>
      <c r="CSQ47" s="117"/>
      <c r="CSR47" s="117"/>
      <c r="CSS47" s="117"/>
      <c r="CST47" s="117"/>
      <c r="CSU47" s="117"/>
      <c r="CSV47" s="117"/>
      <c r="CSW47" s="117"/>
      <c r="CSX47" s="117"/>
      <c r="CSY47" s="117"/>
      <c r="CSZ47" s="117"/>
      <c r="CTA47" s="117"/>
      <c r="CTB47" s="117"/>
      <c r="CTC47" s="117"/>
      <c r="CTD47" s="117"/>
      <c r="CTE47" s="117"/>
      <c r="CTF47" s="117"/>
      <c r="CTG47" s="117"/>
      <c r="CTH47" s="117"/>
      <c r="CTI47" s="117"/>
      <c r="CTJ47" s="117"/>
      <c r="CTK47" s="117"/>
      <c r="CTL47" s="117"/>
      <c r="CTM47" s="117"/>
      <c r="CTN47" s="117"/>
      <c r="CTO47" s="117"/>
      <c r="CTP47" s="117"/>
      <c r="CTQ47" s="117"/>
      <c r="CTR47" s="117"/>
      <c r="CTS47" s="117"/>
      <c r="CTT47" s="117"/>
      <c r="CTU47" s="117"/>
      <c r="CTV47" s="117"/>
      <c r="CTW47" s="117"/>
      <c r="CTX47" s="117"/>
      <c r="CTY47" s="117"/>
      <c r="CTZ47" s="117"/>
      <c r="CUA47" s="117"/>
      <c r="CUB47" s="117"/>
      <c r="CUC47" s="117"/>
      <c r="CUD47" s="117"/>
      <c r="CUE47" s="117"/>
      <c r="CUF47" s="117"/>
      <c r="CUG47" s="117"/>
      <c r="CUH47" s="117"/>
      <c r="CUI47" s="117"/>
      <c r="CUJ47" s="117"/>
      <c r="CUK47" s="117"/>
      <c r="CUL47" s="117"/>
      <c r="CUM47" s="117"/>
      <c r="CUN47" s="117"/>
      <c r="CUO47" s="117"/>
      <c r="CUP47" s="117"/>
      <c r="CUQ47" s="117"/>
      <c r="CUR47" s="117"/>
      <c r="CUS47" s="117"/>
      <c r="CUT47" s="117"/>
      <c r="CUU47" s="117"/>
      <c r="CUV47" s="117"/>
      <c r="CUW47" s="117"/>
      <c r="CUX47" s="117"/>
      <c r="CUY47" s="117"/>
      <c r="CUZ47" s="117"/>
      <c r="CVA47" s="117"/>
      <c r="CVB47" s="117"/>
      <c r="CVC47" s="117"/>
      <c r="CVD47" s="117"/>
      <c r="CVE47" s="117"/>
      <c r="CVF47" s="117"/>
      <c r="CVG47" s="117"/>
      <c r="CVH47" s="117"/>
      <c r="CVI47" s="117"/>
      <c r="CVJ47" s="117"/>
      <c r="CVK47" s="117"/>
      <c r="CVL47" s="117"/>
      <c r="CVM47" s="117"/>
      <c r="CVN47" s="117"/>
      <c r="CVO47" s="117"/>
      <c r="CVP47" s="117"/>
      <c r="CVQ47" s="117"/>
      <c r="CVR47" s="117"/>
      <c r="CVS47" s="117"/>
      <c r="CVT47" s="117"/>
      <c r="CVU47" s="117"/>
      <c r="CVV47" s="117"/>
      <c r="CVW47" s="117"/>
      <c r="CVX47" s="117"/>
      <c r="CVY47" s="117"/>
      <c r="CVZ47" s="117"/>
      <c r="CWA47" s="117"/>
      <c r="CWB47" s="117"/>
      <c r="CWC47" s="117"/>
      <c r="CWD47" s="117"/>
      <c r="CWE47" s="117"/>
      <c r="CWF47" s="117"/>
      <c r="CWG47" s="117"/>
      <c r="CWH47" s="117"/>
      <c r="CWI47" s="117"/>
      <c r="CWJ47" s="117"/>
      <c r="CWK47" s="117"/>
      <c r="CWL47" s="117"/>
      <c r="CWM47" s="117"/>
      <c r="CWN47" s="117"/>
      <c r="CWO47" s="117"/>
      <c r="CWP47" s="117"/>
      <c r="CWQ47" s="117"/>
      <c r="CWR47" s="117"/>
      <c r="CWS47" s="117"/>
      <c r="CWT47" s="117"/>
      <c r="CWU47" s="117"/>
      <c r="CWV47" s="117"/>
      <c r="CWW47" s="117"/>
      <c r="CWX47" s="117"/>
      <c r="CWY47" s="117"/>
      <c r="CWZ47" s="117"/>
      <c r="CXA47" s="117"/>
      <c r="CXB47" s="117"/>
      <c r="CXC47" s="117"/>
      <c r="CXD47" s="117"/>
      <c r="CXE47" s="117"/>
      <c r="CXF47" s="117"/>
      <c r="CXG47" s="117"/>
      <c r="CXH47" s="117"/>
      <c r="CXI47" s="117"/>
      <c r="CXJ47" s="117"/>
      <c r="CXK47" s="117"/>
      <c r="CXL47" s="117"/>
      <c r="CXM47" s="117"/>
      <c r="CXN47" s="117"/>
      <c r="CXO47" s="117"/>
      <c r="CXP47" s="117"/>
      <c r="CXQ47" s="117"/>
      <c r="CXR47" s="117"/>
      <c r="CXS47" s="117"/>
      <c r="CXT47" s="117"/>
      <c r="CXU47" s="117"/>
      <c r="CXV47" s="117"/>
      <c r="CXW47" s="117"/>
      <c r="CXX47" s="117"/>
      <c r="CXY47" s="117"/>
      <c r="CXZ47" s="117"/>
      <c r="CYA47" s="117"/>
      <c r="CYB47" s="117"/>
      <c r="CYC47" s="117"/>
      <c r="CYD47" s="117"/>
      <c r="CYE47" s="117"/>
      <c r="CYF47" s="117"/>
      <c r="CYG47" s="117"/>
      <c r="CYH47" s="117"/>
      <c r="CYI47" s="117"/>
      <c r="CYJ47" s="117"/>
      <c r="CYK47" s="117"/>
      <c r="CYL47" s="117"/>
      <c r="CYM47" s="117"/>
      <c r="CYN47" s="117"/>
      <c r="CYO47" s="117"/>
      <c r="CYP47" s="117"/>
      <c r="CYQ47" s="117"/>
      <c r="CYR47" s="117"/>
      <c r="CYS47" s="117"/>
      <c r="CYT47" s="117"/>
      <c r="CYU47" s="117"/>
      <c r="CYV47" s="117"/>
      <c r="CYW47" s="117"/>
      <c r="CYX47" s="117"/>
      <c r="CYY47" s="117"/>
      <c r="CYZ47" s="117"/>
      <c r="CZA47" s="117"/>
      <c r="CZB47" s="117"/>
      <c r="CZC47" s="117"/>
      <c r="CZD47" s="117"/>
      <c r="CZE47" s="117"/>
      <c r="CZF47" s="117"/>
      <c r="CZG47" s="117"/>
      <c r="CZH47" s="117"/>
      <c r="CZI47" s="117"/>
      <c r="CZJ47" s="117"/>
      <c r="CZK47" s="117"/>
      <c r="CZL47" s="117"/>
      <c r="CZM47" s="117"/>
      <c r="CZN47" s="117"/>
      <c r="CZO47" s="117"/>
      <c r="CZP47" s="117"/>
      <c r="CZQ47" s="117"/>
      <c r="CZR47" s="117"/>
      <c r="CZS47" s="117"/>
      <c r="CZT47" s="117"/>
      <c r="CZU47" s="117"/>
      <c r="CZV47" s="117"/>
      <c r="CZW47" s="117"/>
      <c r="CZX47" s="117"/>
      <c r="CZY47" s="117"/>
      <c r="CZZ47" s="117"/>
      <c r="DAA47" s="117"/>
      <c r="DAB47" s="117"/>
      <c r="DAC47" s="117"/>
      <c r="DAD47" s="117"/>
      <c r="DAE47" s="117"/>
      <c r="DAF47" s="117"/>
      <c r="DAG47" s="117"/>
      <c r="DAH47" s="117"/>
      <c r="DAI47" s="117"/>
      <c r="DAJ47" s="117"/>
      <c r="DAK47" s="117"/>
      <c r="DAL47" s="117"/>
      <c r="DAM47" s="117"/>
      <c r="DAN47" s="117"/>
      <c r="DAO47" s="117"/>
      <c r="DAP47" s="117"/>
      <c r="DAQ47" s="117"/>
      <c r="DAR47" s="117"/>
      <c r="DAS47" s="117"/>
      <c r="DAT47" s="117"/>
      <c r="DAU47" s="117"/>
      <c r="DAV47" s="117"/>
      <c r="DAW47" s="117"/>
      <c r="DAX47" s="117"/>
      <c r="DAY47" s="117"/>
      <c r="DAZ47" s="117"/>
      <c r="DBA47" s="117"/>
      <c r="DBB47" s="117"/>
      <c r="DBC47" s="117"/>
      <c r="DBD47" s="117"/>
      <c r="DBE47" s="117"/>
      <c r="DBF47" s="117"/>
      <c r="DBG47" s="117"/>
      <c r="DBH47" s="117"/>
      <c r="DBI47" s="117"/>
      <c r="DBJ47" s="117"/>
      <c r="DBK47" s="117"/>
      <c r="DBL47" s="117"/>
      <c r="DBM47" s="117"/>
      <c r="DBN47" s="117"/>
      <c r="DBO47" s="117"/>
      <c r="DBP47" s="117"/>
      <c r="DBQ47" s="117"/>
      <c r="DBR47" s="117"/>
      <c r="DBS47" s="117"/>
      <c r="DBT47" s="117"/>
      <c r="DBU47" s="117"/>
      <c r="DBV47" s="117"/>
      <c r="DBW47" s="117"/>
      <c r="DBX47" s="117"/>
      <c r="DBY47" s="117"/>
      <c r="DBZ47" s="117"/>
      <c r="DCA47" s="117"/>
      <c r="DCB47" s="117"/>
      <c r="DCC47" s="117"/>
      <c r="DCD47" s="117"/>
      <c r="DCE47" s="117"/>
      <c r="DCF47" s="117"/>
      <c r="DCG47" s="117"/>
      <c r="DCH47" s="117"/>
      <c r="DCI47" s="117"/>
      <c r="DCJ47" s="117"/>
      <c r="DCK47" s="117"/>
      <c r="DCL47" s="117"/>
      <c r="DCM47" s="117"/>
      <c r="DCN47" s="117"/>
      <c r="DCO47" s="117"/>
      <c r="DCP47" s="117"/>
      <c r="DCQ47" s="117"/>
      <c r="DCR47" s="117"/>
      <c r="DCS47" s="117"/>
      <c r="DCT47" s="117"/>
      <c r="DCU47" s="117"/>
      <c r="DCV47" s="117"/>
      <c r="DCW47" s="117"/>
      <c r="DCX47" s="117"/>
      <c r="DCY47" s="117"/>
      <c r="DCZ47" s="117"/>
      <c r="DDA47" s="117"/>
      <c r="DDB47" s="117"/>
      <c r="DDC47" s="117"/>
      <c r="DDD47" s="117"/>
      <c r="DDE47" s="117"/>
      <c r="DDF47" s="117"/>
      <c r="DDG47" s="117"/>
      <c r="DDH47" s="117"/>
      <c r="DDI47" s="117"/>
      <c r="DDJ47" s="117"/>
      <c r="DDK47" s="117"/>
      <c r="DDL47" s="117"/>
      <c r="DDM47" s="117"/>
      <c r="DDN47" s="117"/>
      <c r="DDO47" s="117"/>
      <c r="DDP47" s="117"/>
      <c r="DDQ47" s="117"/>
      <c r="DDR47" s="117"/>
      <c r="DDS47" s="117"/>
      <c r="DDT47" s="117"/>
      <c r="DDU47" s="117"/>
      <c r="DDV47" s="117"/>
      <c r="DDW47" s="117"/>
      <c r="DDX47" s="117"/>
      <c r="DDY47" s="117"/>
      <c r="DDZ47" s="117"/>
      <c r="DEA47" s="117"/>
      <c r="DEB47" s="117"/>
      <c r="DEC47" s="117"/>
      <c r="DED47" s="117"/>
      <c r="DEE47" s="117"/>
      <c r="DEF47" s="117"/>
      <c r="DEG47" s="117"/>
      <c r="DEH47" s="117"/>
      <c r="DEI47" s="117"/>
      <c r="DEJ47" s="117"/>
      <c r="DEK47" s="117"/>
      <c r="DEL47" s="117"/>
      <c r="DEM47" s="117"/>
      <c r="DEN47" s="117"/>
      <c r="DEO47" s="117"/>
      <c r="DEP47" s="117"/>
      <c r="DEQ47" s="117"/>
      <c r="DER47" s="117"/>
      <c r="DES47" s="117"/>
      <c r="DET47" s="117"/>
      <c r="DEU47" s="117"/>
      <c r="DEV47" s="117"/>
      <c r="DEW47" s="117"/>
      <c r="DEX47" s="117"/>
      <c r="DEY47" s="117"/>
      <c r="DEZ47" s="117"/>
      <c r="DFA47" s="117"/>
      <c r="DFB47" s="117"/>
      <c r="DFC47" s="117"/>
      <c r="DFD47" s="117"/>
      <c r="DFE47" s="117"/>
      <c r="DFF47" s="117"/>
      <c r="DFG47" s="117"/>
      <c r="DFH47" s="117"/>
      <c r="DFI47" s="117"/>
      <c r="DFJ47" s="117"/>
      <c r="DFK47" s="117"/>
      <c r="DFL47" s="117"/>
      <c r="DFM47" s="117"/>
      <c r="DFN47" s="117"/>
      <c r="DFO47" s="117"/>
      <c r="DFP47" s="117"/>
      <c r="DFQ47" s="117"/>
      <c r="DFR47" s="117"/>
      <c r="DFS47" s="117"/>
      <c r="DFT47" s="117"/>
      <c r="DFU47" s="117"/>
      <c r="DFV47" s="117"/>
      <c r="DFW47" s="117"/>
      <c r="DFX47" s="117"/>
      <c r="DFY47" s="117"/>
      <c r="DFZ47" s="117"/>
      <c r="DGA47" s="117"/>
      <c r="DGB47" s="117"/>
      <c r="DGC47" s="117"/>
      <c r="DGD47" s="117"/>
      <c r="DGE47" s="117"/>
      <c r="DGF47" s="117"/>
      <c r="DGG47" s="117"/>
      <c r="DGH47" s="117"/>
      <c r="DGI47" s="117"/>
      <c r="DGJ47" s="117"/>
      <c r="DGK47" s="117"/>
      <c r="DGL47" s="117"/>
      <c r="DGM47" s="117"/>
      <c r="DGN47" s="117"/>
      <c r="DGO47" s="117"/>
      <c r="DGP47" s="117"/>
      <c r="DGQ47" s="117"/>
      <c r="DGR47" s="117"/>
      <c r="DGS47" s="117"/>
      <c r="DGT47" s="117"/>
      <c r="DGU47" s="117"/>
      <c r="DGV47" s="117"/>
      <c r="DGW47" s="117"/>
      <c r="DGX47" s="117"/>
      <c r="DGY47" s="117"/>
      <c r="DGZ47" s="117"/>
      <c r="DHA47" s="117"/>
      <c r="DHB47" s="117"/>
      <c r="DHC47" s="117"/>
      <c r="DHD47" s="117"/>
      <c r="DHE47" s="117"/>
      <c r="DHF47" s="117"/>
      <c r="DHG47" s="117"/>
      <c r="DHH47" s="117"/>
      <c r="DHI47" s="117"/>
      <c r="DHJ47" s="117"/>
      <c r="DHK47" s="117"/>
      <c r="DHL47" s="117"/>
      <c r="DHM47" s="117"/>
      <c r="DHN47" s="117"/>
      <c r="DHO47" s="117"/>
      <c r="DHP47" s="117"/>
      <c r="DHQ47" s="117"/>
      <c r="DHR47" s="117"/>
      <c r="DHS47" s="117"/>
      <c r="DHT47" s="117"/>
      <c r="DHU47" s="117"/>
      <c r="DHV47" s="117"/>
      <c r="DHW47" s="117"/>
      <c r="DHX47" s="117"/>
      <c r="DHY47" s="117"/>
      <c r="DHZ47" s="117"/>
      <c r="DIA47" s="117"/>
      <c r="DIB47" s="117"/>
      <c r="DIC47" s="117"/>
      <c r="DID47" s="117"/>
      <c r="DIE47" s="117"/>
      <c r="DIF47" s="117"/>
      <c r="DIG47" s="117"/>
      <c r="DIH47" s="117"/>
      <c r="DII47" s="117"/>
      <c r="DIJ47" s="117"/>
      <c r="DIK47" s="117"/>
      <c r="DIL47" s="117"/>
      <c r="DIM47" s="117"/>
      <c r="DIN47" s="117"/>
      <c r="DIO47" s="117"/>
      <c r="DIP47" s="117"/>
      <c r="DIQ47" s="117"/>
      <c r="DIR47" s="117"/>
      <c r="DIS47" s="117"/>
      <c r="DIT47" s="117"/>
      <c r="DIU47" s="117"/>
      <c r="DIV47" s="117"/>
      <c r="DIW47" s="117"/>
      <c r="DIX47" s="117"/>
      <c r="DIY47" s="117"/>
      <c r="DIZ47" s="117"/>
      <c r="DJA47" s="117"/>
      <c r="DJB47" s="117"/>
      <c r="DJC47" s="117"/>
      <c r="DJD47" s="117"/>
      <c r="DJE47" s="117"/>
      <c r="DJF47" s="117"/>
      <c r="DJG47" s="117"/>
      <c r="DJH47" s="117"/>
      <c r="DJI47" s="117"/>
      <c r="DJJ47" s="117"/>
      <c r="DJK47" s="117"/>
      <c r="DJL47" s="117"/>
      <c r="DJM47" s="117"/>
      <c r="DJN47" s="117"/>
      <c r="DJO47" s="117"/>
      <c r="DJP47" s="117"/>
      <c r="DJQ47" s="117"/>
      <c r="DJR47" s="117"/>
      <c r="DJS47" s="117"/>
      <c r="DJT47" s="117"/>
      <c r="DJU47" s="117"/>
      <c r="DJV47" s="117"/>
      <c r="DJW47" s="117"/>
      <c r="DJX47" s="117"/>
      <c r="DJY47" s="117"/>
      <c r="DJZ47" s="117"/>
      <c r="DKA47" s="117"/>
      <c r="DKB47" s="117"/>
      <c r="DKC47" s="117"/>
      <c r="DKD47" s="117"/>
      <c r="DKE47" s="117"/>
      <c r="DKF47" s="117"/>
      <c r="DKG47" s="117"/>
      <c r="DKH47" s="117"/>
      <c r="DKI47" s="117"/>
      <c r="DKJ47" s="117"/>
      <c r="DKK47" s="117"/>
      <c r="DKL47" s="117"/>
      <c r="DKM47" s="117"/>
      <c r="DKN47" s="117"/>
      <c r="DKO47" s="117"/>
      <c r="DKP47" s="117"/>
      <c r="DKQ47" s="117"/>
      <c r="DKR47" s="117"/>
      <c r="DKS47" s="117"/>
      <c r="DKT47" s="117"/>
      <c r="DKU47" s="117"/>
      <c r="DKV47" s="117"/>
      <c r="DKW47" s="117"/>
      <c r="DKX47" s="117"/>
      <c r="DKY47" s="117"/>
      <c r="DKZ47" s="117"/>
      <c r="DLA47" s="117"/>
      <c r="DLB47" s="117"/>
      <c r="DLC47" s="117"/>
      <c r="DLD47" s="117"/>
      <c r="DLE47" s="117"/>
      <c r="DLF47" s="117"/>
      <c r="DLG47" s="117"/>
      <c r="DLH47" s="117"/>
      <c r="DLI47" s="117"/>
      <c r="DLJ47" s="117"/>
      <c r="DLK47" s="117"/>
      <c r="DLL47" s="117"/>
      <c r="DLM47" s="117"/>
      <c r="DLN47" s="117"/>
      <c r="DLO47" s="117"/>
      <c r="DLP47" s="117"/>
      <c r="DLQ47" s="117"/>
      <c r="DLR47" s="117"/>
      <c r="DLS47" s="117"/>
      <c r="DLT47" s="117"/>
      <c r="DLU47" s="117"/>
      <c r="DLV47" s="117"/>
      <c r="DLW47" s="117"/>
      <c r="DLX47" s="117"/>
      <c r="DLY47" s="117"/>
      <c r="DLZ47" s="117"/>
      <c r="DMA47" s="117"/>
      <c r="DMB47" s="117"/>
      <c r="DMC47" s="117"/>
      <c r="DMD47" s="117"/>
      <c r="DME47" s="117"/>
      <c r="DMF47" s="117"/>
      <c r="DMG47" s="117"/>
      <c r="DMH47" s="117"/>
      <c r="DMI47" s="117"/>
      <c r="DMJ47" s="117"/>
      <c r="DMK47" s="117"/>
      <c r="DML47" s="117"/>
      <c r="DMM47" s="117"/>
      <c r="DMN47" s="117"/>
      <c r="DMO47" s="117"/>
      <c r="DMP47" s="117"/>
      <c r="DMQ47" s="117"/>
      <c r="DMR47" s="117"/>
      <c r="DMS47" s="117"/>
      <c r="DMT47" s="117"/>
      <c r="DMU47" s="117"/>
      <c r="DMV47" s="117"/>
      <c r="DMW47" s="117"/>
      <c r="DMX47" s="117"/>
      <c r="DMY47" s="117"/>
      <c r="DMZ47" s="117"/>
      <c r="DNA47" s="117"/>
      <c r="DNB47" s="117"/>
      <c r="DNC47" s="117"/>
      <c r="DND47" s="117"/>
      <c r="DNE47" s="117"/>
      <c r="DNF47" s="117"/>
      <c r="DNG47" s="117"/>
      <c r="DNH47" s="117"/>
      <c r="DNI47" s="117"/>
      <c r="DNJ47" s="117"/>
      <c r="DNK47" s="117"/>
      <c r="DNL47" s="117"/>
      <c r="DNM47" s="117"/>
      <c r="DNN47" s="117"/>
      <c r="DNO47" s="117"/>
      <c r="DNP47" s="117"/>
      <c r="DNQ47" s="117"/>
      <c r="DNR47" s="117"/>
      <c r="DNS47" s="117"/>
      <c r="DNT47" s="117"/>
      <c r="DNU47" s="117"/>
      <c r="DNV47" s="117"/>
      <c r="DNW47" s="117"/>
      <c r="DNX47" s="117"/>
      <c r="DNY47" s="117"/>
      <c r="DNZ47" s="117"/>
      <c r="DOA47" s="117"/>
      <c r="DOB47" s="117"/>
      <c r="DOC47" s="117"/>
      <c r="DOD47" s="117"/>
      <c r="DOE47" s="117"/>
      <c r="DOF47" s="117"/>
      <c r="DOG47" s="117"/>
      <c r="DOH47" s="117"/>
      <c r="DOI47" s="117"/>
      <c r="DOJ47" s="117"/>
      <c r="DOK47" s="117"/>
      <c r="DOL47" s="117"/>
      <c r="DOM47" s="117"/>
      <c r="DON47" s="117"/>
      <c r="DOO47" s="117"/>
      <c r="DOP47" s="117"/>
      <c r="DOQ47" s="117"/>
      <c r="DOR47" s="117"/>
      <c r="DOS47" s="117"/>
      <c r="DOT47" s="117"/>
      <c r="DOU47" s="117"/>
      <c r="DOV47" s="117"/>
      <c r="DOW47" s="117"/>
      <c r="DOX47" s="117"/>
      <c r="DOY47" s="117"/>
      <c r="DOZ47" s="117"/>
      <c r="DPA47" s="117"/>
      <c r="DPB47" s="117"/>
      <c r="DPC47" s="117"/>
      <c r="DPD47" s="117"/>
      <c r="DPE47" s="117"/>
      <c r="DPF47" s="117"/>
      <c r="DPG47" s="117"/>
      <c r="DPH47" s="117"/>
      <c r="DPI47" s="117"/>
      <c r="DPJ47" s="117"/>
      <c r="DPK47" s="117"/>
      <c r="DPL47" s="117"/>
      <c r="DPM47" s="117"/>
      <c r="DPN47" s="117"/>
      <c r="DPO47" s="117"/>
      <c r="DPP47" s="117"/>
      <c r="DPQ47" s="117"/>
      <c r="DPR47" s="117"/>
      <c r="DPS47" s="117"/>
      <c r="DPT47" s="117"/>
      <c r="DPU47" s="117"/>
      <c r="DPV47" s="117"/>
      <c r="DPW47" s="117"/>
      <c r="DPX47" s="117"/>
      <c r="DPY47" s="117"/>
      <c r="DPZ47" s="117"/>
      <c r="DQA47" s="117"/>
      <c r="DQB47" s="117"/>
      <c r="DQC47" s="117"/>
      <c r="DQD47" s="117"/>
      <c r="DQE47" s="117"/>
      <c r="DQF47" s="117"/>
      <c r="DQG47" s="117"/>
      <c r="DQH47" s="117"/>
      <c r="DQI47" s="117"/>
      <c r="DQJ47" s="117"/>
      <c r="DQK47" s="117"/>
      <c r="DQL47" s="117"/>
      <c r="DQM47" s="117"/>
      <c r="DQN47" s="117"/>
      <c r="DQO47" s="117"/>
      <c r="DQP47" s="117"/>
      <c r="DQQ47" s="117"/>
      <c r="DQR47" s="117"/>
      <c r="DQS47" s="117"/>
      <c r="DQT47" s="117"/>
      <c r="DQU47" s="117"/>
      <c r="DQV47" s="117"/>
      <c r="DQW47" s="117"/>
      <c r="DQX47" s="117"/>
      <c r="DQY47" s="117"/>
      <c r="DQZ47" s="117"/>
      <c r="DRA47" s="117"/>
      <c r="DRB47" s="117"/>
      <c r="DRC47" s="117"/>
      <c r="DRD47" s="117"/>
      <c r="DRE47" s="117"/>
      <c r="DRF47" s="117"/>
      <c r="DRG47" s="117"/>
      <c r="DRH47" s="117"/>
      <c r="DRI47" s="117"/>
      <c r="DRJ47" s="117"/>
      <c r="DRK47" s="117"/>
      <c r="DRL47" s="117"/>
      <c r="DRM47" s="117"/>
      <c r="DRN47" s="117"/>
      <c r="DRO47" s="117"/>
      <c r="DRP47" s="117"/>
      <c r="DRQ47" s="117"/>
      <c r="DRR47" s="117"/>
      <c r="DRS47" s="117"/>
      <c r="DRT47" s="117"/>
      <c r="DRU47" s="117"/>
      <c r="DRV47" s="117"/>
      <c r="DRW47" s="117"/>
      <c r="DRX47" s="117"/>
      <c r="DRY47" s="117"/>
      <c r="DRZ47" s="117"/>
      <c r="DSA47" s="117"/>
      <c r="DSB47" s="117"/>
      <c r="DSC47" s="117"/>
      <c r="DSD47" s="117"/>
      <c r="DSE47" s="117"/>
      <c r="DSF47" s="117"/>
      <c r="DSG47" s="117"/>
      <c r="DSH47" s="117"/>
      <c r="DSI47" s="117"/>
      <c r="DSJ47" s="117"/>
      <c r="DSK47" s="117"/>
      <c r="DSL47" s="117"/>
      <c r="DSM47" s="117"/>
      <c r="DSN47" s="117"/>
      <c r="DSO47" s="117"/>
      <c r="DSP47" s="117"/>
      <c r="DSQ47" s="117"/>
      <c r="DSR47" s="117"/>
      <c r="DSS47" s="117"/>
      <c r="DST47" s="117"/>
      <c r="DSU47" s="117"/>
      <c r="DSV47" s="117"/>
      <c r="DSW47" s="117"/>
      <c r="DSX47" s="117"/>
      <c r="DSY47" s="117"/>
      <c r="DSZ47" s="117"/>
      <c r="DTA47" s="117"/>
      <c r="DTB47" s="117"/>
      <c r="DTC47" s="117"/>
      <c r="DTD47" s="117"/>
      <c r="DTE47" s="117"/>
      <c r="DTF47" s="117"/>
      <c r="DTG47" s="117"/>
      <c r="DTH47" s="117"/>
      <c r="DTI47" s="117"/>
      <c r="DTJ47" s="117"/>
      <c r="DTK47" s="117"/>
      <c r="DTL47" s="117"/>
      <c r="DTM47" s="117"/>
      <c r="DTN47" s="117"/>
      <c r="DTO47" s="117"/>
      <c r="DTP47" s="117"/>
      <c r="DTQ47" s="117"/>
      <c r="DTR47" s="117"/>
      <c r="DTS47" s="117"/>
      <c r="DTT47" s="117"/>
      <c r="DTU47" s="117"/>
      <c r="DTV47" s="117"/>
      <c r="DTW47" s="117"/>
      <c r="DTX47" s="117"/>
      <c r="DTY47" s="117"/>
      <c r="DTZ47" s="117"/>
      <c r="DUA47" s="117"/>
      <c r="DUB47" s="117"/>
      <c r="DUC47" s="117"/>
      <c r="DUD47" s="117"/>
      <c r="DUE47" s="117"/>
      <c r="DUF47" s="117"/>
      <c r="DUG47" s="117"/>
      <c r="DUH47" s="117"/>
      <c r="DUI47" s="117"/>
      <c r="DUJ47" s="117"/>
      <c r="DUK47" s="117"/>
      <c r="DUL47" s="117"/>
      <c r="DUM47" s="117"/>
      <c r="DUN47" s="117"/>
      <c r="DUO47" s="117"/>
      <c r="DUP47" s="117"/>
      <c r="DUQ47" s="117"/>
      <c r="DUR47" s="117"/>
      <c r="DUS47" s="117"/>
      <c r="DUT47" s="117"/>
      <c r="DUU47" s="117"/>
      <c r="DUV47" s="117"/>
      <c r="DUW47" s="117"/>
      <c r="DUX47" s="117"/>
      <c r="DUY47" s="117"/>
      <c r="DUZ47" s="117"/>
      <c r="DVA47" s="117"/>
      <c r="DVB47" s="117"/>
      <c r="DVC47" s="117"/>
      <c r="DVD47" s="117"/>
      <c r="DVE47" s="117"/>
      <c r="DVF47" s="117"/>
      <c r="DVG47" s="117"/>
      <c r="DVH47" s="117"/>
      <c r="DVI47" s="117"/>
      <c r="DVJ47" s="117"/>
      <c r="DVK47" s="117"/>
      <c r="DVL47" s="117"/>
      <c r="DVM47" s="117"/>
      <c r="DVN47" s="117"/>
      <c r="DVO47" s="117"/>
      <c r="DVP47" s="117"/>
      <c r="DVQ47" s="117"/>
      <c r="DVR47" s="117"/>
      <c r="DVS47" s="117"/>
      <c r="DVT47" s="117"/>
      <c r="DVU47" s="117"/>
      <c r="DVV47" s="117"/>
      <c r="DVW47" s="117"/>
      <c r="DVX47" s="117"/>
      <c r="DVY47" s="117"/>
      <c r="DVZ47" s="117"/>
      <c r="DWA47" s="117"/>
      <c r="DWB47" s="117"/>
      <c r="DWC47" s="117"/>
      <c r="DWD47" s="117"/>
      <c r="DWE47" s="117"/>
      <c r="DWF47" s="117"/>
      <c r="DWG47" s="117"/>
      <c r="DWH47" s="117"/>
      <c r="DWI47" s="117"/>
      <c r="DWJ47" s="117"/>
      <c r="DWK47" s="117"/>
      <c r="DWL47" s="117"/>
      <c r="DWM47" s="117"/>
      <c r="DWN47" s="117"/>
      <c r="DWO47" s="117"/>
      <c r="DWP47" s="117"/>
      <c r="DWQ47" s="117"/>
      <c r="DWR47" s="117"/>
      <c r="DWS47" s="117"/>
      <c r="DWT47" s="117"/>
      <c r="DWU47" s="117"/>
      <c r="DWV47" s="117"/>
      <c r="DWW47" s="117"/>
      <c r="DWX47" s="117"/>
      <c r="DWY47" s="117"/>
      <c r="DWZ47" s="117"/>
      <c r="DXA47" s="117"/>
      <c r="DXB47" s="117"/>
      <c r="DXC47" s="117"/>
      <c r="DXD47" s="117"/>
      <c r="DXE47" s="117"/>
      <c r="DXF47" s="117"/>
      <c r="DXG47" s="117"/>
      <c r="DXH47" s="117"/>
      <c r="DXI47" s="117"/>
      <c r="DXJ47" s="117"/>
      <c r="DXK47" s="117"/>
      <c r="DXL47" s="117"/>
      <c r="DXM47" s="117"/>
      <c r="DXN47" s="117"/>
      <c r="DXO47" s="117"/>
      <c r="DXP47" s="117"/>
      <c r="DXQ47" s="117"/>
      <c r="DXR47" s="117"/>
      <c r="DXS47" s="117"/>
      <c r="DXT47" s="117"/>
      <c r="DXU47" s="117"/>
      <c r="DXV47" s="117"/>
      <c r="DXW47" s="117"/>
      <c r="DXX47" s="117"/>
      <c r="DXY47" s="117"/>
      <c r="DXZ47" s="117"/>
      <c r="DYA47" s="117"/>
      <c r="DYB47" s="117"/>
      <c r="DYC47" s="117"/>
      <c r="DYD47" s="117"/>
      <c r="DYE47" s="117"/>
      <c r="DYF47" s="117"/>
      <c r="DYG47" s="117"/>
      <c r="DYH47" s="117"/>
      <c r="DYI47" s="117"/>
      <c r="DYJ47" s="117"/>
      <c r="DYK47" s="117"/>
      <c r="DYL47" s="117"/>
      <c r="DYM47" s="117"/>
      <c r="DYN47" s="117"/>
      <c r="DYO47" s="117"/>
      <c r="DYP47" s="117"/>
      <c r="DYQ47" s="117"/>
      <c r="DYR47" s="117"/>
      <c r="DYS47" s="117"/>
      <c r="DYT47" s="117"/>
      <c r="DYU47" s="117"/>
      <c r="DYV47" s="117"/>
      <c r="DYW47" s="117"/>
      <c r="DYX47" s="117"/>
      <c r="DYY47" s="117"/>
      <c r="DYZ47" s="117"/>
      <c r="DZA47" s="117"/>
      <c r="DZB47" s="117"/>
      <c r="DZC47" s="117"/>
      <c r="DZD47" s="117"/>
      <c r="DZE47" s="117"/>
      <c r="DZF47" s="117"/>
      <c r="DZG47" s="117"/>
      <c r="DZH47" s="117"/>
      <c r="DZI47" s="117"/>
      <c r="DZJ47" s="117"/>
      <c r="DZK47" s="117"/>
      <c r="DZL47" s="117"/>
      <c r="DZM47" s="117"/>
      <c r="DZN47" s="117"/>
      <c r="DZO47" s="117"/>
      <c r="DZP47" s="117"/>
      <c r="DZQ47" s="117"/>
      <c r="DZR47" s="117"/>
      <c r="DZS47" s="117"/>
      <c r="DZT47" s="117"/>
      <c r="DZU47" s="117"/>
      <c r="DZV47" s="117"/>
      <c r="DZW47" s="117"/>
      <c r="DZX47" s="117"/>
      <c r="DZY47" s="117"/>
      <c r="DZZ47" s="117"/>
      <c r="EAA47" s="117"/>
      <c r="EAB47" s="117"/>
      <c r="EAC47" s="117"/>
      <c r="EAD47" s="117"/>
      <c r="EAE47" s="117"/>
      <c r="EAF47" s="117"/>
      <c r="EAG47" s="117"/>
      <c r="EAH47" s="117"/>
      <c r="EAI47" s="117"/>
      <c r="EAJ47" s="117"/>
      <c r="EAK47" s="117"/>
      <c r="EAL47" s="117"/>
      <c r="EAM47" s="117"/>
      <c r="EAN47" s="117"/>
      <c r="EAO47" s="117"/>
      <c r="EAP47" s="117"/>
      <c r="EAQ47" s="117"/>
      <c r="EAR47" s="117"/>
      <c r="EAS47" s="117"/>
      <c r="EAT47" s="117"/>
      <c r="EAU47" s="117"/>
      <c r="EAV47" s="117"/>
      <c r="EAW47" s="117"/>
      <c r="EAX47" s="117"/>
      <c r="EAY47" s="117"/>
      <c r="EAZ47" s="117"/>
      <c r="EBA47" s="117"/>
      <c r="EBB47" s="117"/>
      <c r="EBC47" s="117"/>
      <c r="EBD47" s="117"/>
      <c r="EBE47" s="117"/>
      <c r="EBF47" s="117"/>
      <c r="EBG47" s="117"/>
      <c r="EBH47" s="117"/>
      <c r="EBI47" s="117"/>
      <c r="EBJ47" s="117"/>
      <c r="EBK47" s="117"/>
      <c r="EBL47" s="117"/>
      <c r="EBM47" s="117"/>
      <c r="EBN47" s="117"/>
      <c r="EBO47" s="117"/>
      <c r="EBP47" s="117"/>
      <c r="EBQ47" s="117"/>
      <c r="EBR47" s="117"/>
      <c r="EBS47" s="117"/>
      <c r="EBT47" s="117"/>
      <c r="EBU47" s="117"/>
      <c r="EBV47" s="117"/>
      <c r="EBW47" s="117"/>
      <c r="EBX47" s="117"/>
      <c r="EBY47" s="117"/>
      <c r="EBZ47" s="117"/>
      <c r="ECA47" s="117"/>
      <c r="ECB47" s="117"/>
      <c r="ECC47" s="117"/>
      <c r="ECD47" s="117"/>
      <c r="ECE47" s="117"/>
      <c r="ECF47" s="117"/>
      <c r="ECG47" s="117"/>
      <c r="ECH47" s="117"/>
      <c r="ECI47" s="117"/>
      <c r="ECJ47" s="117"/>
      <c r="ECK47" s="117"/>
      <c r="ECL47" s="117"/>
      <c r="ECM47" s="117"/>
      <c r="ECN47" s="117"/>
      <c r="ECO47" s="117"/>
      <c r="ECP47" s="117"/>
      <c r="ECQ47" s="117"/>
      <c r="ECR47" s="117"/>
      <c r="ECS47" s="117"/>
      <c r="ECT47" s="117"/>
      <c r="ECU47" s="117"/>
      <c r="ECV47" s="117"/>
      <c r="ECW47" s="117"/>
      <c r="ECX47" s="117"/>
      <c r="ECY47" s="117"/>
      <c r="ECZ47" s="117"/>
      <c r="EDA47" s="117"/>
      <c r="EDB47" s="117"/>
      <c r="EDC47" s="117"/>
      <c r="EDD47" s="117"/>
      <c r="EDE47" s="117"/>
      <c r="EDF47" s="117"/>
      <c r="EDG47" s="117"/>
      <c r="EDH47" s="117"/>
      <c r="EDI47" s="117"/>
      <c r="EDJ47" s="117"/>
      <c r="EDK47" s="117"/>
      <c r="EDL47" s="117"/>
      <c r="EDM47" s="117"/>
      <c r="EDN47" s="117"/>
      <c r="EDO47" s="117"/>
      <c r="EDP47" s="117"/>
      <c r="EDQ47" s="117"/>
      <c r="EDR47" s="117"/>
      <c r="EDS47" s="117"/>
      <c r="EDT47" s="117"/>
      <c r="EDU47" s="117"/>
      <c r="EDV47" s="117"/>
      <c r="EDW47" s="117"/>
      <c r="EDX47" s="117"/>
      <c r="EDY47" s="117"/>
      <c r="EDZ47" s="117"/>
      <c r="EEA47" s="117"/>
      <c r="EEB47" s="117"/>
      <c r="EEC47" s="117"/>
      <c r="EED47" s="117"/>
      <c r="EEE47" s="117"/>
      <c r="EEF47" s="117"/>
      <c r="EEG47" s="117"/>
      <c r="EEH47" s="117"/>
      <c r="EEI47" s="117"/>
      <c r="EEJ47" s="117"/>
      <c r="EEK47" s="117"/>
      <c r="EEL47" s="117"/>
      <c r="EEM47" s="117"/>
      <c r="EEN47" s="117"/>
      <c r="EEO47" s="117"/>
      <c r="EEP47" s="117"/>
      <c r="EEQ47" s="117"/>
      <c r="EER47" s="117"/>
      <c r="EES47" s="117"/>
      <c r="EET47" s="117"/>
      <c r="EEU47" s="117"/>
      <c r="EEV47" s="117"/>
      <c r="EEW47" s="117"/>
      <c r="EEX47" s="117"/>
      <c r="EEY47" s="117"/>
      <c r="EEZ47" s="117"/>
      <c r="EFA47" s="117"/>
      <c r="EFB47" s="117"/>
      <c r="EFC47" s="117"/>
      <c r="EFD47" s="117"/>
      <c r="EFE47" s="117"/>
      <c r="EFF47" s="117"/>
      <c r="EFG47" s="117"/>
      <c r="EFH47" s="117"/>
      <c r="EFI47" s="117"/>
      <c r="EFJ47" s="117"/>
      <c r="EFK47" s="117"/>
      <c r="EFL47" s="117"/>
      <c r="EFM47" s="117"/>
      <c r="EFN47" s="117"/>
      <c r="EFO47" s="117"/>
      <c r="EFP47" s="117"/>
      <c r="EFQ47" s="117"/>
      <c r="EFR47" s="117"/>
      <c r="EFS47" s="117"/>
      <c r="EFT47" s="117"/>
      <c r="EFU47" s="117"/>
      <c r="EFV47" s="117"/>
      <c r="EFW47" s="117"/>
      <c r="EFX47" s="117"/>
      <c r="EFY47" s="117"/>
      <c r="EFZ47" s="117"/>
      <c r="EGA47" s="117"/>
      <c r="EGB47" s="117"/>
      <c r="EGC47" s="117"/>
      <c r="EGD47" s="117"/>
      <c r="EGE47" s="117"/>
      <c r="EGF47" s="117"/>
      <c r="EGG47" s="117"/>
      <c r="EGH47" s="117"/>
      <c r="EGI47" s="117"/>
      <c r="EGJ47" s="117"/>
      <c r="EGK47" s="117"/>
      <c r="EGL47" s="117"/>
      <c r="EGM47" s="117"/>
      <c r="EGN47" s="117"/>
      <c r="EGO47" s="117"/>
      <c r="EGP47" s="117"/>
      <c r="EGQ47" s="117"/>
      <c r="EGR47" s="117"/>
      <c r="EGS47" s="117"/>
      <c r="EGT47" s="117"/>
      <c r="EGU47" s="117"/>
      <c r="EGV47" s="117"/>
      <c r="EGW47" s="117"/>
      <c r="EGX47" s="117"/>
      <c r="EGY47" s="117"/>
      <c r="EGZ47" s="117"/>
      <c r="EHA47" s="117"/>
      <c r="EHB47" s="117"/>
      <c r="EHC47" s="117"/>
      <c r="EHD47" s="117"/>
      <c r="EHE47" s="117"/>
      <c r="EHF47" s="117"/>
      <c r="EHG47" s="117"/>
      <c r="EHH47" s="117"/>
      <c r="EHI47" s="117"/>
      <c r="EHJ47" s="117"/>
      <c r="EHK47" s="117"/>
      <c r="EHL47" s="117"/>
      <c r="EHM47" s="117"/>
      <c r="EHN47" s="117"/>
      <c r="EHO47" s="117"/>
      <c r="EHP47" s="117"/>
      <c r="EHQ47" s="117"/>
      <c r="EHR47" s="117"/>
      <c r="EHS47" s="117"/>
      <c r="EHT47" s="117"/>
      <c r="EHU47" s="117"/>
      <c r="EHV47" s="117"/>
      <c r="EHW47" s="117"/>
      <c r="EHX47" s="117"/>
      <c r="EHY47" s="117"/>
      <c r="EHZ47" s="117"/>
      <c r="EIA47" s="117"/>
      <c r="EIB47" s="117"/>
      <c r="EIC47" s="117"/>
      <c r="EID47" s="117"/>
      <c r="EIE47" s="117"/>
      <c r="EIF47" s="117"/>
      <c r="EIG47" s="117"/>
      <c r="EIH47" s="117"/>
      <c r="EII47" s="117"/>
      <c r="EIJ47" s="117"/>
      <c r="EIK47" s="117"/>
      <c r="EIL47" s="117"/>
      <c r="EIM47" s="117"/>
      <c r="EIN47" s="117"/>
      <c r="EIO47" s="117"/>
      <c r="EIP47" s="117"/>
      <c r="EIQ47" s="117"/>
      <c r="EIR47" s="117"/>
      <c r="EIS47" s="117"/>
      <c r="EIT47" s="117"/>
      <c r="EIU47" s="117"/>
      <c r="EIV47" s="117"/>
      <c r="EIW47" s="117"/>
      <c r="EIX47" s="117"/>
      <c r="EIY47" s="117"/>
      <c r="EIZ47" s="117"/>
      <c r="EJA47" s="117"/>
      <c r="EJB47" s="117"/>
      <c r="EJC47" s="117"/>
      <c r="EJD47" s="117"/>
      <c r="EJE47" s="117"/>
      <c r="EJF47" s="117"/>
      <c r="EJG47" s="117"/>
      <c r="EJH47" s="117"/>
      <c r="EJI47" s="117"/>
      <c r="EJJ47" s="117"/>
      <c r="EJK47" s="117"/>
      <c r="EJL47" s="117"/>
      <c r="EJM47" s="117"/>
      <c r="EJN47" s="117"/>
      <c r="EJO47" s="117"/>
      <c r="EJP47" s="117"/>
      <c r="EJQ47" s="117"/>
      <c r="EJR47" s="117"/>
      <c r="EJS47" s="117"/>
      <c r="EJT47" s="117"/>
      <c r="EJU47" s="117"/>
      <c r="EJV47" s="117"/>
      <c r="EJW47" s="117"/>
      <c r="EJX47" s="117"/>
      <c r="EJY47" s="117"/>
      <c r="EJZ47" s="117"/>
      <c r="EKA47" s="117"/>
      <c r="EKB47" s="117"/>
      <c r="EKC47" s="117"/>
      <c r="EKD47" s="117"/>
      <c r="EKE47" s="117"/>
      <c r="EKF47" s="117"/>
      <c r="EKG47" s="117"/>
      <c r="EKH47" s="117"/>
      <c r="EKI47" s="117"/>
      <c r="EKJ47" s="117"/>
      <c r="EKK47" s="117"/>
      <c r="EKL47" s="117"/>
      <c r="EKM47" s="117"/>
      <c r="EKN47" s="117"/>
      <c r="EKO47" s="117"/>
      <c r="EKP47" s="117"/>
      <c r="EKQ47" s="117"/>
      <c r="EKR47" s="117"/>
      <c r="EKS47" s="117"/>
      <c r="EKT47" s="117"/>
      <c r="EKU47" s="117"/>
      <c r="EKV47" s="117"/>
      <c r="EKW47" s="117"/>
      <c r="EKX47" s="117"/>
      <c r="EKY47" s="117"/>
      <c r="EKZ47" s="117"/>
      <c r="ELA47" s="117"/>
      <c r="ELB47" s="117"/>
      <c r="ELC47" s="117"/>
      <c r="ELD47" s="117"/>
      <c r="ELE47" s="117"/>
      <c r="ELF47" s="117"/>
      <c r="ELG47" s="117"/>
      <c r="ELH47" s="117"/>
      <c r="ELI47" s="117"/>
      <c r="ELJ47" s="117"/>
      <c r="ELK47" s="117"/>
      <c r="ELL47" s="117"/>
      <c r="ELM47" s="117"/>
      <c r="ELN47" s="117"/>
      <c r="ELO47" s="117"/>
      <c r="ELP47" s="117"/>
      <c r="ELQ47" s="117"/>
      <c r="ELR47" s="117"/>
      <c r="ELS47" s="117"/>
      <c r="ELT47" s="117"/>
      <c r="ELU47" s="117"/>
      <c r="ELV47" s="117"/>
      <c r="ELW47" s="117"/>
      <c r="ELX47" s="117"/>
      <c r="ELY47" s="117"/>
      <c r="ELZ47" s="117"/>
      <c r="EMA47" s="117"/>
      <c r="EMB47" s="117"/>
      <c r="EMC47" s="117"/>
      <c r="EMD47" s="117"/>
      <c r="EME47" s="117"/>
      <c r="EMF47" s="117"/>
      <c r="EMG47" s="117"/>
      <c r="EMH47" s="117"/>
      <c r="EMI47" s="117"/>
      <c r="EMJ47" s="117"/>
      <c r="EMK47" s="117"/>
      <c r="EML47" s="117"/>
      <c r="EMM47" s="117"/>
      <c r="EMN47" s="117"/>
      <c r="EMO47" s="117"/>
      <c r="EMP47" s="117"/>
      <c r="EMQ47" s="117"/>
      <c r="EMR47" s="117"/>
      <c r="EMS47" s="117"/>
      <c r="EMT47" s="117"/>
      <c r="EMU47" s="117"/>
      <c r="EMV47" s="117"/>
      <c r="EMW47" s="117"/>
      <c r="EMX47" s="117"/>
      <c r="EMY47" s="117"/>
      <c r="EMZ47" s="117"/>
      <c r="ENA47" s="117"/>
      <c r="ENB47" s="117"/>
      <c r="ENC47" s="117"/>
      <c r="END47" s="117"/>
      <c r="ENE47" s="117"/>
      <c r="ENF47" s="117"/>
      <c r="ENG47" s="117"/>
      <c r="ENH47" s="117"/>
      <c r="ENI47" s="117"/>
      <c r="ENJ47" s="117"/>
      <c r="ENK47" s="117"/>
      <c r="ENL47" s="117"/>
      <c r="ENM47" s="117"/>
      <c r="ENN47" s="117"/>
      <c r="ENO47" s="117"/>
      <c r="ENP47" s="117"/>
      <c r="ENQ47" s="117"/>
      <c r="ENR47" s="117"/>
      <c r="ENS47" s="117"/>
      <c r="ENT47" s="117"/>
      <c r="ENU47" s="117"/>
      <c r="ENV47" s="117"/>
      <c r="ENW47" s="117"/>
      <c r="ENX47" s="117"/>
      <c r="ENY47" s="117"/>
      <c r="ENZ47" s="117"/>
      <c r="EOA47" s="117"/>
      <c r="EOB47" s="117"/>
      <c r="EOC47" s="117"/>
      <c r="EOD47" s="117"/>
      <c r="EOE47" s="117"/>
      <c r="EOF47" s="117"/>
      <c r="EOG47" s="117"/>
      <c r="EOH47" s="117"/>
      <c r="EOI47" s="117"/>
      <c r="EOJ47" s="117"/>
      <c r="EOK47" s="117"/>
      <c r="EOL47" s="117"/>
      <c r="EOM47" s="117"/>
      <c r="EON47" s="117"/>
      <c r="EOO47" s="117"/>
      <c r="EOP47" s="117"/>
      <c r="EOQ47" s="117"/>
      <c r="EOR47" s="117"/>
      <c r="EOS47" s="117"/>
      <c r="EOT47" s="117"/>
      <c r="EOU47" s="117"/>
      <c r="EOV47" s="117"/>
      <c r="EOW47" s="117"/>
      <c r="EOX47" s="117"/>
      <c r="EOY47" s="117"/>
      <c r="EOZ47" s="117"/>
      <c r="EPA47" s="117"/>
      <c r="EPB47" s="117"/>
      <c r="EPC47" s="117"/>
      <c r="EPD47" s="117"/>
      <c r="EPE47" s="117"/>
      <c r="EPF47" s="117"/>
      <c r="EPG47" s="117"/>
      <c r="EPH47" s="117"/>
      <c r="EPI47" s="117"/>
      <c r="EPJ47" s="117"/>
      <c r="EPK47" s="117"/>
      <c r="EPL47" s="117"/>
      <c r="EPM47" s="117"/>
      <c r="EPN47" s="117"/>
      <c r="EPO47" s="117"/>
      <c r="EPP47" s="117"/>
      <c r="EPQ47" s="117"/>
      <c r="EPR47" s="117"/>
      <c r="EPS47" s="117"/>
      <c r="EPT47" s="117"/>
      <c r="EPU47" s="117"/>
      <c r="EPV47" s="117"/>
      <c r="EPW47" s="117"/>
      <c r="EPX47" s="117"/>
      <c r="EPY47" s="117"/>
      <c r="EPZ47" s="117"/>
      <c r="EQA47" s="117"/>
      <c r="EQB47" s="117"/>
      <c r="EQC47" s="117"/>
      <c r="EQD47" s="117"/>
      <c r="EQE47" s="117"/>
      <c r="EQF47" s="117"/>
      <c r="EQG47" s="117"/>
      <c r="EQH47" s="117"/>
      <c r="EQI47" s="117"/>
      <c r="EQJ47" s="117"/>
      <c r="EQK47" s="117"/>
      <c r="EQL47" s="117"/>
      <c r="EQM47" s="117"/>
      <c r="EQN47" s="117"/>
      <c r="EQO47" s="117"/>
      <c r="EQP47" s="117"/>
      <c r="EQQ47" s="117"/>
      <c r="EQR47" s="117"/>
      <c r="EQS47" s="117"/>
      <c r="EQT47" s="117"/>
      <c r="EQU47" s="117"/>
      <c r="EQV47" s="117"/>
      <c r="EQW47" s="117"/>
      <c r="EQX47" s="117"/>
      <c r="EQY47" s="117"/>
      <c r="EQZ47" s="117"/>
      <c r="ERA47" s="117"/>
      <c r="ERB47" s="117"/>
      <c r="ERC47" s="117"/>
      <c r="ERD47" s="117"/>
      <c r="ERE47" s="117"/>
      <c r="ERF47" s="117"/>
      <c r="ERG47" s="117"/>
      <c r="ERH47" s="117"/>
      <c r="ERI47" s="117"/>
      <c r="ERJ47" s="117"/>
      <c r="ERK47" s="117"/>
      <c r="ERL47" s="117"/>
      <c r="ERM47" s="117"/>
      <c r="ERN47" s="117"/>
      <c r="ERO47" s="117"/>
      <c r="ERP47" s="117"/>
      <c r="ERQ47" s="117"/>
      <c r="ERR47" s="117"/>
      <c r="ERS47" s="117"/>
      <c r="ERT47" s="117"/>
      <c r="ERU47" s="117"/>
      <c r="ERV47" s="117"/>
      <c r="ERW47" s="117"/>
      <c r="ERX47" s="117"/>
      <c r="ERY47" s="117"/>
      <c r="ERZ47" s="117"/>
      <c r="ESA47" s="117"/>
      <c r="ESB47" s="117"/>
      <c r="ESC47" s="117"/>
      <c r="ESD47" s="117"/>
      <c r="ESE47" s="117"/>
      <c r="ESF47" s="117"/>
      <c r="ESG47" s="117"/>
      <c r="ESH47" s="117"/>
      <c r="ESI47" s="117"/>
      <c r="ESJ47" s="117"/>
      <c r="ESK47" s="117"/>
      <c r="ESL47" s="117"/>
      <c r="ESM47" s="117"/>
      <c r="ESN47" s="117"/>
      <c r="ESO47" s="117"/>
      <c r="ESP47" s="117"/>
      <c r="ESQ47" s="117"/>
      <c r="ESR47" s="117"/>
      <c r="ESS47" s="117"/>
      <c r="EST47" s="117"/>
      <c r="ESU47" s="117"/>
      <c r="ESV47" s="117"/>
      <c r="ESW47" s="117"/>
      <c r="ESX47" s="117"/>
      <c r="ESY47" s="117"/>
      <c r="ESZ47" s="117"/>
      <c r="ETA47" s="117"/>
      <c r="ETB47" s="117"/>
      <c r="ETC47" s="117"/>
      <c r="ETD47" s="117"/>
      <c r="ETE47" s="117"/>
      <c r="ETF47" s="117"/>
      <c r="ETG47" s="117"/>
      <c r="ETH47" s="117"/>
      <c r="ETI47" s="117"/>
      <c r="ETJ47" s="117"/>
      <c r="ETK47" s="117"/>
      <c r="ETL47" s="117"/>
      <c r="ETM47" s="117"/>
      <c r="ETN47" s="117"/>
      <c r="ETO47" s="117"/>
      <c r="ETP47" s="117"/>
      <c r="ETQ47" s="117"/>
      <c r="ETR47" s="117"/>
      <c r="ETS47" s="117"/>
      <c r="ETT47" s="117"/>
      <c r="ETU47" s="117"/>
      <c r="ETV47" s="117"/>
      <c r="ETW47" s="117"/>
      <c r="ETX47" s="117"/>
      <c r="ETY47" s="117"/>
      <c r="ETZ47" s="117"/>
      <c r="EUA47" s="117"/>
      <c r="EUB47" s="117"/>
      <c r="EUC47" s="117"/>
      <c r="EUD47" s="117"/>
      <c r="EUE47" s="117"/>
      <c r="EUF47" s="117"/>
      <c r="EUG47" s="117"/>
      <c r="EUH47" s="117"/>
      <c r="EUI47" s="117"/>
      <c r="EUJ47" s="117"/>
      <c r="EUK47" s="117"/>
      <c r="EUL47" s="117"/>
      <c r="EUM47" s="117"/>
      <c r="EUN47" s="117"/>
      <c r="EUO47" s="117"/>
      <c r="EUP47" s="117"/>
      <c r="EUQ47" s="117"/>
      <c r="EUR47" s="117"/>
      <c r="EUS47" s="117"/>
      <c r="EUT47" s="117"/>
      <c r="EUU47" s="117"/>
      <c r="EUV47" s="117"/>
      <c r="EUW47" s="117"/>
      <c r="EUX47" s="117"/>
      <c r="EUY47" s="117"/>
      <c r="EUZ47" s="117"/>
      <c r="EVA47" s="117"/>
      <c r="EVB47" s="117"/>
      <c r="EVC47" s="117"/>
      <c r="EVD47" s="117"/>
      <c r="EVE47" s="117"/>
      <c r="EVF47" s="117"/>
      <c r="EVG47" s="117"/>
      <c r="EVH47" s="117"/>
      <c r="EVI47" s="117"/>
      <c r="EVJ47" s="117"/>
      <c r="EVK47" s="117"/>
      <c r="EVL47" s="117"/>
      <c r="EVM47" s="117"/>
      <c r="EVN47" s="117"/>
      <c r="EVO47" s="117"/>
      <c r="EVP47" s="117"/>
      <c r="EVQ47" s="117"/>
      <c r="EVR47" s="117"/>
      <c r="EVS47" s="117"/>
      <c r="EVT47" s="117"/>
      <c r="EVU47" s="117"/>
      <c r="EVV47" s="117"/>
      <c r="EVW47" s="117"/>
      <c r="EVX47" s="117"/>
      <c r="EVY47" s="117"/>
      <c r="EVZ47" s="117"/>
      <c r="EWA47" s="117"/>
      <c r="EWB47" s="117"/>
      <c r="EWC47" s="117"/>
      <c r="EWD47" s="117"/>
      <c r="EWE47" s="117"/>
      <c r="EWF47" s="117"/>
      <c r="EWG47" s="117"/>
      <c r="EWH47" s="117"/>
      <c r="EWI47" s="117"/>
      <c r="EWJ47" s="117"/>
      <c r="EWK47" s="117"/>
      <c r="EWL47" s="117"/>
      <c r="EWM47" s="117"/>
      <c r="EWN47" s="117"/>
      <c r="EWO47" s="117"/>
      <c r="EWP47" s="117"/>
      <c r="EWQ47" s="117"/>
      <c r="EWR47" s="117"/>
      <c r="EWS47" s="117"/>
      <c r="EWT47" s="117"/>
      <c r="EWU47" s="117"/>
      <c r="EWV47" s="117"/>
      <c r="EWW47" s="117"/>
      <c r="EWX47" s="117"/>
      <c r="EWY47" s="117"/>
      <c r="EWZ47" s="117"/>
      <c r="EXA47" s="117"/>
      <c r="EXB47" s="117"/>
      <c r="EXC47" s="117"/>
      <c r="EXD47" s="117"/>
      <c r="EXE47" s="117"/>
      <c r="EXF47" s="117"/>
      <c r="EXG47" s="117"/>
      <c r="EXH47" s="117"/>
      <c r="EXI47" s="117"/>
      <c r="EXJ47" s="117"/>
      <c r="EXK47" s="117"/>
      <c r="EXL47" s="117"/>
      <c r="EXM47" s="117"/>
      <c r="EXN47" s="117"/>
      <c r="EXO47" s="117"/>
      <c r="EXP47" s="117"/>
      <c r="EXQ47" s="117"/>
      <c r="EXR47" s="117"/>
      <c r="EXS47" s="117"/>
      <c r="EXT47" s="117"/>
      <c r="EXU47" s="117"/>
      <c r="EXV47" s="117"/>
      <c r="EXW47" s="117"/>
      <c r="EXX47" s="117"/>
      <c r="EXY47" s="117"/>
      <c r="EXZ47" s="117"/>
      <c r="EYA47" s="117"/>
      <c r="EYB47" s="117"/>
      <c r="EYC47" s="117"/>
      <c r="EYD47" s="117"/>
      <c r="EYE47" s="117"/>
      <c r="EYF47" s="117"/>
      <c r="EYG47" s="117"/>
      <c r="EYH47" s="117"/>
      <c r="EYI47" s="117"/>
      <c r="EYJ47" s="117"/>
      <c r="EYK47" s="117"/>
      <c r="EYL47" s="117"/>
      <c r="EYM47" s="117"/>
      <c r="EYN47" s="117"/>
      <c r="EYO47" s="117"/>
      <c r="EYP47" s="117"/>
      <c r="EYQ47" s="117"/>
      <c r="EYR47" s="117"/>
      <c r="EYS47" s="117"/>
      <c r="EYT47" s="117"/>
      <c r="EYU47" s="117"/>
      <c r="EYV47" s="117"/>
      <c r="EYW47" s="117"/>
      <c r="EYX47" s="117"/>
      <c r="EYY47" s="117"/>
      <c r="EYZ47" s="117"/>
      <c r="EZA47" s="117"/>
      <c r="EZB47" s="117"/>
      <c r="EZC47" s="117"/>
      <c r="EZD47" s="117"/>
      <c r="EZE47" s="117"/>
      <c r="EZF47" s="117"/>
      <c r="EZG47" s="117"/>
      <c r="EZH47" s="117"/>
      <c r="EZI47" s="117"/>
      <c r="EZJ47" s="117"/>
      <c r="EZK47" s="117"/>
      <c r="EZL47" s="117"/>
      <c r="EZM47" s="117"/>
      <c r="EZN47" s="117"/>
      <c r="EZO47" s="117"/>
      <c r="EZP47" s="117"/>
      <c r="EZQ47" s="117"/>
      <c r="EZR47" s="117"/>
      <c r="EZS47" s="117"/>
      <c r="EZT47" s="117"/>
      <c r="EZU47" s="117"/>
      <c r="EZV47" s="117"/>
      <c r="EZW47" s="117"/>
      <c r="EZX47" s="117"/>
      <c r="EZY47" s="117"/>
      <c r="EZZ47" s="117"/>
      <c r="FAA47" s="117"/>
      <c r="FAB47" s="117"/>
      <c r="FAC47" s="117"/>
      <c r="FAD47" s="117"/>
      <c r="FAE47" s="117"/>
      <c r="FAF47" s="117"/>
      <c r="FAG47" s="117"/>
      <c r="FAH47" s="117"/>
      <c r="FAI47" s="117"/>
      <c r="FAJ47" s="117"/>
      <c r="FAK47" s="117"/>
      <c r="FAL47" s="117"/>
      <c r="FAM47" s="117"/>
      <c r="FAN47" s="117"/>
      <c r="FAO47" s="117"/>
      <c r="FAP47" s="117"/>
      <c r="FAQ47" s="117"/>
      <c r="FAR47" s="117"/>
      <c r="FAS47" s="117"/>
      <c r="FAT47" s="117"/>
      <c r="FAU47" s="117"/>
      <c r="FAV47" s="117"/>
      <c r="FAW47" s="117"/>
      <c r="FAX47" s="117"/>
      <c r="FAY47" s="117"/>
      <c r="FAZ47" s="117"/>
      <c r="FBA47" s="117"/>
      <c r="FBB47" s="117"/>
      <c r="FBC47" s="117"/>
      <c r="FBD47" s="117"/>
      <c r="FBE47" s="117"/>
      <c r="FBF47" s="117"/>
      <c r="FBG47" s="117"/>
      <c r="FBH47" s="117"/>
      <c r="FBI47" s="117"/>
      <c r="FBJ47" s="117"/>
      <c r="FBK47" s="117"/>
      <c r="FBL47" s="117"/>
      <c r="FBM47" s="117"/>
      <c r="FBN47" s="117"/>
      <c r="FBO47" s="117"/>
      <c r="FBP47" s="117"/>
      <c r="FBQ47" s="117"/>
      <c r="FBR47" s="117"/>
      <c r="FBS47" s="117"/>
      <c r="FBT47" s="117"/>
      <c r="FBU47" s="117"/>
      <c r="FBV47" s="117"/>
      <c r="FBW47" s="117"/>
      <c r="FBX47" s="117"/>
      <c r="FBY47" s="117"/>
      <c r="FBZ47" s="117"/>
      <c r="FCA47" s="117"/>
      <c r="FCB47" s="117"/>
      <c r="FCC47" s="117"/>
      <c r="FCD47" s="117"/>
      <c r="FCE47" s="117"/>
      <c r="FCF47" s="117"/>
      <c r="FCG47" s="117"/>
      <c r="FCH47" s="117"/>
      <c r="FCI47" s="117"/>
      <c r="FCJ47" s="117"/>
      <c r="FCK47" s="117"/>
      <c r="FCL47" s="117"/>
      <c r="FCM47" s="117"/>
      <c r="FCN47" s="117"/>
      <c r="FCO47" s="117"/>
      <c r="FCP47" s="117"/>
      <c r="FCQ47" s="117"/>
      <c r="FCR47" s="117"/>
      <c r="FCS47" s="117"/>
      <c r="FCT47" s="117"/>
      <c r="FCU47" s="117"/>
      <c r="FCV47" s="117"/>
      <c r="FCW47" s="117"/>
      <c r="FCX47" s="117"/>
      <c r="FCY47" s="117"/>
      <c r="FCZ47" s="117"/>
      <c r="FDA47" s="117"/>
      <c r="FDB47" s="117"/>
      <c r="FDC47" s="117"/>
      <c r="FDD47" s="117"/>
      <c r="FDE47" s="117"/>
      <c r="FDF47" s="117"/>
      <c r="FDG47" s="117"/>
      <c r="FDH47" s="117"/>
      <c r="FDI47" s="117"/>
      <c r="FDJ47" s="117"/>
      <c r="FDK47" s="117"/>
      <c r="FDL47" s="117"/>
      <c r="FDM47" s="117"/>
      <c r="FDN47" s="117"/>
      <c r="FDO47" s="117"/>
      <c r="FDP47" s="117"/>
      <c r="FDQ47" s="117"/>
      <c r="FDR47" s="117"/>
      <c r="FDS47" s="117"/>
      <c r="FDT47" s="117"/>
      <c r="FDU47" s="117"/>
      <c r="FDV47" s="117"/>
      <c r="FDW47" s="117"/>
      <c r="FDX47" s="117"/>
      <c r="FDY47" s="117"/>
      <c r="FDZ47" s="117"/>
      <c r="FEA47" s="117"/>
      <c r="FEB47" s="117"/>
      <c r="FEC47" s="117"/>
      <c r="FED47" s="117"/>
      <c r="FEE47" s="117"/>
      <c r="FEF47" s="117"/>
      <c r="FEG47" s="117"/>
      <c r="FEH47" s="117"/>
      <c r="FEI47" s="117"/>
      <c r="FEJ47" s="117"/>
      <c r="FEK47" s="117"/>
      <c r="FEL47" s="117"/>
      <c r="FEM47" s="117"/>
      <c r="FEN47" s="117"/>
      <c r="FEO47" s="117"/>
      <c r="FEP47" s="117"/>
      <c r="FEQ47" s="117"/>
      <c r="FER47" s="117"/>
      <c r="FES47" s="117"/>
      <c r="FET47" s="117"/>
      <c r="FEU47" s="117"/>
      <c r="FEV47" s="117"/>
      <c r="FEW47" s="117"/>
      <c r="FEX47" s="117"/>
      <c r="FEY47" s="117"/>
      <c r="FEZ47" s="117"/>
      <c r="FFA47" s="117"/>
      <c r="FFB47" s="117"/>
      <c r="FFC47" s="117"/>
      <c r="FFD47" s="117"/>
      <c r="FFE47" s="117"/>
      <c r="FFF47" s="117"/>
      <c r="FFG47" s="117"/>
      <c r="FFH47" s="117"/>
      <c r="FFI47" s="117"/>
      <c r="FFJ47" s="117"/>
      <c r="FFK47" s="117"/>
      <c r="FFL47" s="117"/>
      <c r="FFM47" s="117"/>
      <c r="FFN47" s="117"/>
      <c r="FFO47" s="117"/>
      <c r="FFP47" s="117"/>
      <c r="FFQ47" s="117"/>
      <c r="FFR47" s="117"/>
      <c r="FFS47" s="117"/>
      <c r="FFT47" s="117"/>
      <c r="FFU47" s="117"/>
      <c r="FFV47" s="117"/>
      <c r="FFW47" s="117"/>
      <c r="FFX47" s="117"/>
      <c r="FFY47" s="117"/>
      <c r="FFZ47" s="117"/>
      <c r="FGA47" s="117"/>
      <c r="FGB47" s="117"/>
      <c r="FGC47" s="117"/>
      <c r="FGD47" s="117"/>
      <c r="FGE47" s="117"/>
      <c r="FGF47" s="117"/>
      <c r="FGG47" s="117"/>
      <c r="FGH47" s="117"/>
      <c r="FGI47" s="117"/>
      <c r="FGJ47" s="117"/>
      <c r="FGK47" s="117"/>
      <c r="FGL47" s="117"/>
      <c r="FGM47" s="117"/>
      <c r="FGN47" s="117"/>
      <c r="FGO47" s="117"/>
      <c r="FGP47" s="117"/>
      <c r="FGQ47" s="117"/>
      <c r="FGR47" s="117"/>
      <c r="FGS47" s="117"/>
      <c r="FGT47" s="117"/>
      <c r="FGU47" s="117"/>
      <c r="FGV47" s="117"/>
      <c r="FGW47" s="117"/>
      <c r="FGX47" s="117"/>
      <c r="FGY47" s="117"/>
      <c r="FGZ47" s="117"/>
      <c r="FHA47" s="117"/>
      <c r="FHB47" s="117"/>
      <c r="FHC47" s="117"/>
      <c r="FHD47" s="117"/>
      <c r="FHE47" s="117"/>
      <c r="FHF47" s="117"/>
      <c r="FHG47" s="117"/>
      <c r="FHH47" s="117"/>
      <c r="FHI47" s="117"/>
      <c r="FHJ47" s="117"/>
      <c r="FHK47" s="117"/>
      <c r="FHL47" s="117"/>
      <c r="FHM47" s="117"/>
      <c r="FHN47" s="117"/>
      <c r="FHO47" s="117"/>
      <c r="FHP47" s="117"/>
      <c r="FHQ47" s="117"/>
      <c r="FHR47" s="117"/>
      <c r="FHS47" s="117"/>
      <c r="FHT47" s="117"/>
      <c r="FHU47" s="117"/>
      <c r="FHV47" s="117"/>
      <c r="FHW47" s="117"/>
      <c r="FHX47" s="117"/>
      <c r="FHY47" s="117"/>
      <c r="FHZ47" s="117"/>
      <c r="FIA47" s="117"/>
      <c r="FIB47" s="117"/>
      <c r="FIC47" s="117"/>
      <c r="FID47" s="117"/>
      <c r="FIE47" s="117"/>
      <c r="FIF47" s="117"/>
      <c r="FIG47" s="117"/>
      <c r="FIH47" s="117"/>
      <c r="FII47" s="117"/>
      <c r="FIJ47" s="117"/>
      <c r="FIK47" s="117"/>
      <c r="FIL47" s="117"/>
      <c r="FIM47" s="117"/>
      <c r="FIN47" s="117"/>
      <c r="FIO47" s="117"/>
      <c r="FIP47" s="117"/>
      <c r="FIQ47" s="117"/>
      <c r="FIR47" s="117"/>
      <c r="FIS47" s="117"/>
      <c r="FIT47" s="117"/>
      <c r="FIU47" s="117"/>
      <c r="FIV47" s="117"/>
      <c r="FIW47" s="117"/>
      <c r="FIX47" s="117"/>
      <c r="FIY47" s="117"/>
      <c r="FIZ47" s="117"/>
      <c r="FJA47" s="117"/>
      <c r="FJB47" s="117"/>
      <c r="FJC47" s="117"/>
      <c r="FJD47" s="117"/>
      <c r="FJE47" s="117"/>
      <c r="FJF47" s="117"/>
      <c r="FJG47" s="117"/>
      <c r="FJH47" s="117"/>
      <c r="FJI47" s="117"/>
      <c r="FJJ47" s="117"/>
      <c r="FJK47" s="117"/>
      <c r="FJL47" s="117"/>
      <c r="FJM47" s="117"/>
      <c r="FJN47" s="117"/>
      <c r="FJO47" s="117"/>
      <c r="FJP47" s="117"/>
      <c r="FJQ47" s="117"/>
      <c r="FJR47" s="117"/>
      <c r="FJS47" s="117"/>
      <c r="FJT47" s="117"/>
      <c r="FJU47" s="117"/>
      <c r="FJV47" s="117"/>
      <c r="FJW47" s="117"/>
      <c r="FJX47" s="117"/>
      <c r="FJY47" s="117"/>
      <c r="FJZ47" s="117"/>
      <c r="FKA47" s="117"/>
      <c r="FKB47" s="117"/>
      <c r="FKC47" s="117"/>
      <c r="FKD47" s="117"/>
      <c r="FKE47" s="117"/>
      <c r="FKF47" s="117"/>
      <c r="FKG47" s="117"/>
      <c r="FKH47" s="117"/>
      <c r="FKI47" s="117"/>
      <c r="FKJ47" s="117"/>
      <c r="FKK47" s="117"/>
      <c r="FKL47" s="117"/>
      <c r="FKM47" s="117"/>
      <c r="FKN47" s="117"/>
      <c r="FKO47" s="117"/>
      <c r="FKP47" s="117"/>
      <c r="FKQ47" s="117"/>
      <c r="FKR47" s="117"/>
      <c r="FKS47" s="117"/>
      <c r="FKT47" s="117"/>
      <c r="FKU47" s="117"/>
      <c r="FKV47" s="117"/>
      <c r="FKW47" s="117"/>
      <c r="FKX47" s="117"/>
      <c r="FKY47" s="117"/>
      <c r="FKZ47" s="117"/>
      <c r="FLA47" s="117"/>
      <c r="FLB47" s="117"/>
      <c r="FLC47" s="117"/>
      <c r="FLD47" s="117"/>
      <c r="FLE47" s="117"/>
      <c r="FLF47" s="117"/>
      <c r="FLG47" s="117"/>
      <c r="FLH47" s="117"/>
      <c r="FLI47" s="117"/>
      <c r="FLJ47" s="117"/>
      <c r="FLK47" s="117"/>
      <c r="FLL47" s="117"/>
      <c r="FLM47" s="117"/>
      <c r="FLN47" s="117"/>
      <c r="FLO47" s="117"/>
      <c r="FLP47" s="117"/>
      <c r="FLQ47" s="117"/>
      <c r="FLR47" s="117"/>
      <c r="FLS47" s="117"/>
      <c r="FLT47" s="117"/>
      <c r="FLU47" s="117"/>
      <c r="FLV47" s="117"/>
      <c r="FLW47" s="117"/>
      <c r="FLX47" s="117"/>
      <c r="FLY47" s="117"/>
      <c r="FLZ47" s="117"/>
      <c r="FMA47" s="117"/>
      <c r="FMB47" s="117"/>
      <c r="FMC47" s="117"/>
      <c r="FMD47" s="117"/>
      <c r="FME47" s="117"/>
      <c r="FMF47" s="117"/>
      <c r="FMG47" s="117"/>
      <c r="FMH47" s="117"/>
      <c r="FMI47" s="117"/>
      <c r="FMJ47" s="117"/>
      <c r="FMK47" s="117"/>
      <c r="FML47" s="117"/>
      <c r="FMM47" s="117"/>
      <c r="FMN47" s="117"/>
      <c r="FMO47" s="117"/>
      <c r="FMP47" s="117"/>
      <c r="FMQ47" s="117"/>
      <c r="FMR47" s="117"/>
      <c r="FMS47" s="117"/>
      <c r="FMT47" s="117"/>
      <c r="FMU47" s="117"/>
      <c r="FMV47" s="117"/>
      <c r="FMW47" s="117"/>
      <c r="FMX47" s="117"/>
      <c r="FMY47" s="117"/>
      <c r="FMZ47" s="117"/>
      <c r="FNA47" s="117"/>
      <c r="FNB47" s="117"/>
      <c r="FNC47" s="117"/>
      <c r="FND47" s="117"/>
      <c r="FNE47" s="117"/>
      <c r="FNF47" s="117"/>
      <c r="FNG47" s="117"/>
      <c r="FNH47" s="117"/>
      <c r="FNI47" s="117"/>
      <c r="FNJ47" s="117"/>
      <c r="FNK47" s="117"/>
      <c r="FNL47" s="117"/>
      <c r="FNM47" s="117"/>
      <c r="FNN47" s="117"/>
      <c r="FNO47" s="117"/>
      <c r="FNP47" s="117"/>
      <c r="FNQ47" s="117"/>
      <c r="FNR47" s="117"/>
      <c r="FNS47" s="117"/>
      <c r="FNT47" s="117"/>
      <c r="FNU47" s="117"/>
      <c r="FNV47" s="117"/>
      <c r="FNW47" s="117"/>
      <c r="FNX47" s="117"/>
      <c r="FNY47" s="117"/>
      <c r="FNZ47" s="117"/>
      <c r="FOA47" s="117"/>
      <c r="FOB47" s="117"/>
      <c r="FOC47" s="117"/>
      <c r="FOD47" s="117"/>
      <c r="FOE47" s="117"/>
      <c r="FOF47" s="117"/>
      <c r="FOG47" s="117"/>
      <c r="FOH47" s="117"/>
      <c r="FOI47" s="117"/>
      <c r="FOJ47" s="117"/>
      <c r="FOK47" s="117"/>
      <c r="FOL47" s="117"/>
      <c r="FOM47" s="117"/>
      <c r="FON47" s="117"/>
      <c r="FOO47" s="117"/>
      <c r="FOP47" s="117"/>
      <c r="FOQ47" s="117"/>
      <c r="FOR47" s="117"/>
      <c r="FOS47" s="117"/>
      <c r="FOT47" s="117"/>
      <c r="FOU47" s="117"/>
      <c r="FOV47" s="117"/>
      <c r="FOW47" s="117"/>
      <c r="FOX47" s="117"/>
      <c r="FOY47" s="117"/>
      <c r="FOZ47" s="117"/>
      <c r="FPA47" s="117"/>
      <c r="FPB47" s="117"/>
      <c r="FPC47" s="117"/>
      <c r="FPD47" s="117"/>
      <c r="FPE47" s="117"/>
      <c r="FPF47" s="117"/>
      <c r="FPG47" s="117"/>
      <c r="FPH47" s="117"/>
      <c r="FPI47" s="117"/>
      <c r="FPJ47" s="117"/>
      <c r="FPK47" s="117"/>
      <c r="FPL47" s="117"/>
      <c r="FPM47" s="117"/>
      <c r="FPN47" s="117"/>
      <c r="FPO47" s="117"/>
      <c r="FPP47" s="117"/>
      <c r="FPQ47" s="117"/>
      <c r="FPR47" s="117"/>
      <c r="FPS47" s="117"/>
      <c r="FPT47" s="117"/>
      <c r="FPU47" s="117"/>
      <c r="FPV47" s="117"/>
      <c r="FPW47" s="117"/>
      <c r="FPX47" s="117"/>
      <c r="FPY47" s="117"/>
      <c r="FPZ47" s="117"/>
      <c r="FQA47" s="117"/>
      <c r="FQB47" s="117"/>
      <c r="FQC47" s="117"/>
      <c r="FQD47" s="117"/>
      <c r="FQE47" s="117"/>
      <c r="FQF47" s="117"/>
      <c r="FQG47" s="117"/>
      <c r="FQH47" s="117"/>
      <c r="FQI47" s="117"/>
      <c r="FQJ47" s="117"/>
      <c r="FQK47" s="117"/>
      <c r="FQL47" s="117"/>
      <c r="FQM47" s="117"/>
      <c r="FQN47" s="117"/>
      <c r="FQO47" s="117"/>
      <c r="FQP47" s="117"/>
      <c r="FQQ47" s="117"/>
      <c r="FQR47" s="117"/>
      <c r="FQS47" s="117"/>
      <c r="FQT47" s="117"/>
      <c r="FQU47" s="117"/>
      <c r="FQV47" s="117"/>
      <c r="FQW47" s="117"/>
      <c r="FQX47" s="117"/>
      <c r="FQY47" s="117"/>
      <c r="FQZ47" s="117"/>
      <c r="FRA47" s="117"/>
      <c r="FRB47" s="117"/>
      <c r="FRC47" s="117"/>
      <c r="FRD47" s="117"/>
      <c r="FRE47" s="117"/>
      <c r="FRF47" s="117"/>
      <c r="FRG47" s="117"/>
      <c r="FRH47" s="117"/>
      <c r="FRI47" s="117"/>
      <c r="FRJ47" s="117"/>
      <c r="FRK47" s="117"/>
      <c r="FRL47" s="117"/>
      <c r="FRM47" s="117"/>
      <c r="FRN47" s="117"/>
      <c r="FRO47" s="117"/>
      <c r="FRP47" s="117"/>
      <c r="FRQ47" s="117"/>
      <c r="FRR47" s="117"/>
      <c r="FRS47" s="117"/>
      <c r="FRT47" s="117"/>
      <c r="FRU47" s="117"/>
      <c r="FRV47" s="117"/>
      <c r="FRW47" s="117"/>
      <c r="FRX47" s="117"/>
      <c r="FRY47" s="117"/>
      <c r="FRZ47" s="117"/>
      <c r="FSA47" s="117"/>
      <c r="FSB47" s="117"/>
      <c r="FSC47" s="117"/>
      <c r="FSD47" s="117"/>
      <c r="FSE47" s="117"/>
      <c r="FSF47" s="117"/>
      <c r="FSG47" s="117"/>
      <c r="FSH47" s="117"/>
      <c r="FSI47" s="117"/>
      <c r="FSJ47" s="117"/>
      <c r="FSK47" s="117"/>
      <c r="FSL47" s="117"/>
      <c r="FSM47" s="117"/>
      <c r="FSN47" s="117"/>
      <c r="FSO47" s="117"/>
      <c r="FSP47" s="117"/>
      <c r="FSQ47" s="117"/>
      <c r="FSR47" s="117"/>
      <c r="FSS47" s="117"/>
      <c r="FST47" s="117"/>
      <c r="FSU47" s="117"/>
      <c r="FSV47" s="117"/>
      <c r="FSW47" s="117"/>
      <c r="FSX47" s="117"/>
      <c r="FSY47" s="117"/>
      <c r="FSZ47" s="117"/>
      <c r="FTA47" s="117"/>
      <c r="FTB47" s="117"/>
      <c r="FTC47" s="117"/>
      <c r="FTD47" s="117"/>
      <c r="FTE47" s="117"/>
      <c r="FTF47" s="117"/>
      <c r="FTG47" s="117"/>
      <c r="FTH47" s="117"/>
      <c r="FTI47" s="117"/>
      <c r="FTJ47" s="117"/>
      <c r="FTK47" s="117"/>
      <c r="FTL47" s="117"/>
      <c r="FTM47" s="117"/>
      <c r="FTN47" s="117"/>
      <c r="FTO47" s="117"/>
      <c r="FTP47" s="117"/>
      <c r="FTQ47" s="117"/>
      <c r="FTR47" s="117"/>
      <c r="FTS47" s="117"/>
      <c r="FTT47" s="117"/>
      <c r="FTU47" s="117"/>
      <c r="FTV47" s="117"/>
      <c r="FTW47" s="117"/>
      <c r="FTX47" s="117"/>
      <c r="FTY47" s="117"/>
      <c r="FTZ47" s="117"/>
      <c r="FUA47" s="117"/>
      <c r="FUB47" s="117"/>
      <c r="FUC47" s="117"/>
      <c r="FUD47" s="117"/>
      <c r="FUE47" s="117"/>
      <c r="FUF47" s="117"/>
      <c r="FUG47" s="117"/>
      <c r="FUH47" s="117"/>
      <c r="FUI47" s="117"/>
      <c r="FUJ47" s="117"/>
      <c r="FUK47" s="117"/>
      <c r="FUL47" s="117"/>
      <c r="FUM47" s="117"/>
      <c r="FUN47" s="117"/>
      <c r="FUO47" s="117"/>
      <c r="FUP47" s="117"/>
      <c r="FUQ47" s="117"/>
      <c r="FUR47" s="117"/>
      <c r="FUS47" s="117"/>
      <c r="FUT47" s="117"/>
      <c r="FUU47" s="117"/>
      <c r="FUV47" s="117"/>
      <c r="FUW47" s="117"/>
      <c r="FUX47" s="117"/>
      <c r="FUY47" s="117"/>
      <c r="FUZ47" s="117"/>
      <c r="FVA47" s="117"/>
      <c r="FVB47" s="117"/>
      <c r="FVC47" s="117"/>
      <c r="FVD47" s="117"/>
      <c r="FVE47" s="117"/>
      <c r="FVF47" s="117"/>
      <c r="FVG47" s="117"/>
      <c r="FVH47" s="117"/>
      <c r="FVI47" s="117"/>
      <c r="FVJ47" s="117"/>
      <c r="FVK47" s="117"/>
      <c r="FVL47" s="117"/>
      <c r="FVM47" s="117"/>
      <c r="FVN47" s="117"/>
      <c r="FVO47" s="117"/>
      <c r="FVP47" s="117"/>
      <c r="FVQ47" s="117"/>
      <c r="FVR47" s="117"/>
      <c r="FVS47" s="117"/>
      <c r="FVT47" s="117"/>
      <c r="FVU47" s="117"/>
      <c r="FVV47" s="117"/>
      <c r="FVW47" s="117"/>
      <c r="FVX47" s="117"/>
      <c r="FVY47" s="117"/>
      <c r="FVZ47" s="117"/>
      <c r="FWA47" s="117"/>
      <c r="FWB47" s="117"/>
      <c r="FWC47" s="117"/>
      <c r="FWD47" s="117"/>
      <c r="FWE47" s="117"/>
      <c r="FWF47" s="117"/>
      <c r="FWG47" s="117"/>
      <c r="FWH47" s="117"/>
      <c r="FWI47" s="117"/>
      <c r="FWJ47" s="117"/>
      <c r="FWK47" s="117"/>
      <c r="FWL47" s="117"/>
      <c r="FWM47" s="117"/>
      <c r="FWN47" s="117"/>
      <c r="FWO47" s="117"/>
      <c r="FWP47" s="117"/>
      <c r="FWQ47" s="117"/>
      <c r="FWR47" s="117"/>
      <c r="FWS47" s="117"/>
      <c r="FWT47" s="117"/>
      <c r="FWU47" s="117"/>
      <c r="FWV47" s="117"/>
      <c r="FWW47" s="117"/>
      <c r="FWX47" s="117"/>
      <c r="FWY47" s="117"/>
      <c r="FWZ47" s="117"/>
      <c r="FXA47" s="117"/>
      <c r="FXB47" s="117"/>
      <c r="FXC47" s="117"/>
      <c r="FXD47" s="117"/>
      <c r="FXE47" s="117"/>
      <c r="FXF47" s="117"/>
      <c r="FXG47" s="117"/>
      <c r="FXH47" s="117"/>
      <c r="FXI47" s="117"/>
      <c r="FXJ47" s="117"/>
      <c r="FXK47" s="117"/>
      <c r="FXL47" s="117"/>
      <c r="FXM47" s="117"/>
      <c r="FXN47" s="117"/>
      <c r="FXO47" s="117"/>
      <c r="FXP47" s="117"/>
      <c r="FXQ47" s="117"/>
      <c r="FXR47" s="117"/>
      <c r="FXS47" s="117"/>
      <c r="FXT47" s="117"/>
      <c r="FXU47" s="117"/>
      <c r="FXV47" s="117"/>
      <c r="FXW47" s="117"/>
      <c r="FXX47" s="117"/>
      <c r="FXY47" s="117"/>
      <c r="FXZ47" s="117"/>
      <c r="FYA47" s="117"/>
      <c r="FYB47" s="117"/>
      <c r="FYC47" s="117"/>
      <c r="FYD47" s="117"/>
      <c r="FYE47" s="117"/>
      <c r="FYF47" s="117"/>
      <c r="FYG47" s="117"/>
      <c r="FYH47" s="117"/>
      <c r="FYI47" s="117"/>
      <c r="FYJ47" s="117"/>
      <c r="FYK47" s="117"/>
      <c r="FYL47" s="117"/>
      <c r="FYM47" s="117"/>
      <c r="FYN47" s="117"/>
      <c r="FYO47" s="117"/>
      <c r="FYP47" s="117"/>
      <c r="FYQ47" s="117"/>
      <c r="FYR47" s="117"/>
      <c r="FYS47" s="117"/>
      <c r="FYT47" s="117"/>
      <c r="FYU47" s="117"/>
      <c r="FYV47" s="117"/>
      <c r="FYW47" s="117"/>
      <c r="FYX47" s="117"/>
      <c r="FYY47" s="117"/>
      <c r="FYZ47" s="117"/>
      <c r="FZA47" s="117"/>
      <c r="FZB47" s="117"/>
      <c r="FZC47" s="117"/>
      <c r="FZD47" s="117"/>
      <c r="FZE47" s="117"/>
      <c r="FZF47" s="117"/>
      <c r="FZG47" s="117"/>
      <c r="FZH47" s="117"/>
      <c r="FZI47" s="117"/>
      <c r="FZJ47" s="117"/>
      <c r="FZK47" s="117"/>
      <c r="FZL47" s="117"/>
      <c r="FZM47" s="117"/>
      <c r="FZN47" s="117"/>
      <c r="FZO47" s="117"/>
      <c r="FZP47" s="117"/>
      <c r="FZQ47" s="117"/>
      <c r="FZR47" s="117"/>
      <c r="FZS47" s="117"/>
      <c r="FZT47" s="117"/>
      <c r="FZU47" s="117"/>
      <c r="FZV47" s="117"/>
      <c r="FZW47" s="117"/>
      <c r="FZX47" s="117"/>
      <c r="FZY47" s="117"/>
      <c r="FZZ47" s="117"/>
      <c r="GAA47" s="117"/>
      <c r="GAB47" s="117"/>
      <c r="GAC47" s="117"/>
      <c r="GAD47" s="117"/>
      <c r="GAE47" s="117"/>
      <c r="GAF47" s="117"/>
      <c r="GAG47" s="117"/>
      <c r="GAH47" s="117"/>
      <c r="GAI47" s="117"/>
      <c r="GAJ47" s="117"/>
      <c r="GAK47" s="117"/>
      <c r="GAL47" s="117"/>
      <c r="GAM47" s="117"/>
      <c r="GAN47" s="117"/>
      <c r="GAO47" s="117"/>
      <c r="GAP47" s="117"/>
      <c r="GAQ47" s="117"/>
      <c r="GAR47" s="117"/>
      <c r="GAS47" s="117"/>
      <c r="GAT47" s="117"/>
      <c r="GAU47" s="117"/>
      <c r="GAV47" s="117"/>
      <c r="GAW47" s="117"/>
      <c r="GAX47" s="117"/>
      <c r="GAY47" s="117"/>
      <c r="GAZ47" s="117"/>
      <c r="GBA47" s="117"/>
      <c r="GBB47" s="117"/>
      <c r="GBC47" s="117"/>
      <c r="GBD47" s="117"/>
      <c r="GBE47" s="117"/>
      <c r="GBF47" s="117"/>
      <c r="GBG47" s="117"/>
      <c r="GBH47" s="117"/>
      <c r="GBI47" s="117"/>
      <c r="GBJ47" s="117"/>
      <c r="GBK47" s="117"/>
      <c r="GBL47" s="117"/>
      <c r="GBM47" s="117"/>
      <c r="GBN47" s="117"/>
      <c r="GBO47" s="117"/>
      <c r="GBP47" s="117"/>
      <c r="GBQ47" s="117"/>
      <c r="GBR47" s="117"/>
      <c r="GBS47" s="117"/>
      <c r="GBT47" s="117"/>
      <c r="GBU47" s="117"/>
      <c r="GBV47" s="117"/>
      <c r="GBW47" s="117"/>
      <c r="GBX47" s="117"/>
      <c r="GBY47" s="117"/>
      <c r="GBZ47" s="117"/>
      <c r="GCA47" s="117"/>
      <c r="GCB47" s="117"/>
      <c r="GCC47" s="117"/>
      <c r="GCD47" s="117"/>
      <c r="GCE47" s="117"/>
      <c r="GCF47" s="117"/>
      <c r="GCG47" s="117"/>
      <c r="GCH47" s="117"/>
      <c r="GCI47" s="117"/>
      <c r="GCJ47" s="117"/>
      <c r="GCK47" s="117"/>
      <c r="GCL47" s="117"/>
      <c r="GCM47" s="117"/>
      <c r="GCN47" s="117"/>
      <c r="GCO47" s="117"/>
      <c r="GCP47" s="117"/>
      <c r="GCQ47" s="117"/>
      <c r="GCR47" s="117"/>
      <c r="GCS47" s="117"/>
      <c r="GCT47" s="117"/>
      <c r="GCU47" s="117"/>
      <c r="GCV47" s="117"/>
      <c r="GCW47" s="117"/>
      <c r="GCX47" s="117"/>
      <c r="GCY47" s="117"/>
      <c r="GCZ47" s="117"/>
      <c r="GDA47" s="117"/>
      <c r="GDB47" s="117"/>
      <c r="GDC47" s="117"/>
      <c r="GDD47" s="117"/>
      <c r="GDE47" s="117"/>
      <c r="GDF47" s="117"/>
      <c r="GDG47" s="117"/>
      <c r="GDH47" s="117"/>
      <c r="GDI47" s="117"/>
      <c r="GDJ47" s="117"/>
      <c r="GDK47" s="117"/>
      <c r="GDL47" s="117"/>
      <c r="GDM47" s="117"/>
      <c r="GDN47" s="117"/>
      <c r="GDO47" s="117"/>
      <c r="GDP47" s="117"/>
      <c r="GDQ47" s="117"/>
      <c r="GDR47" s="117"/>
      <c r="GDS47" s="117"/>
      <c r="GDT47" s="117"/>
      <c r="GDU47" s="117"/>
      <c r="GDV47" s="117"/>
      <c r="GDW47" s="117"/>
      <c r="GDX47" s="117"/>
      <c r="GDY47" s="117"/>
      <c r="GDZ47" s="117"/>
      <c r="GEA47" s="117"/>
      <c r="GEB47" s="117"/>
      <c r="GEC47" s="117"/>
      <c r="GED47" s="117"/>
      <c r="GEE47" s="117"/>
      <c r="GEF47" s="117"/>
      <c r="GEG47" s="117"/>
      <c r="GEH47" s="117"/>
      <c r="GEI47" s="117"/>
      <c r="GEJ47" s="117"/>
      <c r="GEK47" s="117"/>
      <c r="GEL47" s="117"/>
      <c r="GEM47" s="117"/>
      <c r="GEN47" s="117"/>
      <c r="GEO47" s="117"/>
      <c r="GEP47" s="117"/>
      <c r="GEQ47" s="117"/>
      <c r="GER47" s="117"/>
      <c r="GES47" s="117"/>
      <c r="GET47" s="117"/>
      <c r="GEU47" s="117"/>
      <c r="GEV47" s="117"/>
      <c r="GEW47" s="117"/>
      <c r="GEX47" s="117"/>
      <c r="GEY47" s="117"/>
      <c r="GEZ47" s="117"/>
      <c r="GFA47" s="117"/>
      <c r="GFB47" s="117"/>
      <c r="GFC47" s="117"/>
      <c r="GFD47" s="117"/>
      <c r="GFE47" s="117"/>
      <c r="GFF47" s="117"/>
      <c r="GFG47" s="117"/>
      <c r="GFH47" s="117"/>
      <c r="GFI47" s="117"/>
      <c r="GFJ47" s="117"/>
      <c r="GFK47" s="117"/>
      <c r="GFL47" s="117"/>
      <c r="GFM47" s="117"/>
      <c r="GFN47" s="117"/>
      <c r="GFO47" s="117"/>
      <c r="GFP47" s="117"/>
      <c r="GFQ47" s="117"/>
      <c r="GFR47" s="117"/>
      <c r="GFS47" s="117"/>
      <c r="GFT47" s="117"/>
      <c r="GFU47" s="117"/>
      <c r="GFV47" s="117"/>
      <c r="GFW47" s="117"/>
      <c r="GFX47" s="117"/>
      <c r="GFY47" s="117"/>
      <c r="GFZ47" s="117"/>
      <c r="GGA47" s="117"/>
      <c r="GGB47" s="117"/>
      <c r="GGC47" s="117"/>
      <c r="GGD47" s="117"/>
      <c r="GGE47" s="117"/>
      <c r="GGF47" s="117"/>
      <c r="GGG47" s="117"/>
      <c r="GGH47" s="117"/>
      <c r="GGI47" s="117"/>
      <c r="GGJ47" s="117"/>
      <c r="GGK47" s="117"/>
      <c r="GGL47" s="117"/>
      <c r="GGM47" s="117"/>
      <c r="GGN47" s="117"/>
      <c r="GGO47" s="117"/>
      <c r="GGP47" s="117"/>
      <c r="GGQ47" s="117"/>
      <c r="GGR47" s="117"/>
      <c r="GGS47" s="117"/>
      <c r="GGT47" s="117"/>
      <c r="GGU47" s="117"/>
      <c r="GGV47" s="117"/>
      <c r="GGW47" s="117"/>
      <c r="GGX47" s="117"/>
      <c r="GGY47" s="117"/>
      <c r="GGZ47" s="117"/>
      <c r="GHA47" s="117"/>
      <c r="GHB47" s="117"/>
      <c r="GHC47" s="117"/>
      <c r="GHD47" s="117"/>
      <c r="GHE47" s="117"/>
      <c r="GHF47" s="117"/>
      <c r="GHG47" s="117"/>
      <c r="GHH47" s="117"/>
      <c r="GHI47" s="117"/>
      <c r="GHJ47" s="117"/>
      <c r="GHK47" s="117"/>
      <c r="GHL47" s="117"/>
      <c r="GHM47" s="117"/>
      <c r="GHN47" s="117"/>
      <c r="GHO47" s="117"/>
      <c r="GHP47" s="117"/>
      <c r="GHQ47" s="117"/>
      <c r="GHR47" s="117"/>
      <c r="GHS47" s="117"/>
      <c r="GHT47" s="117"/>
      <c r="GHU47" s="117"/>
      <c r="GHV47" s="117"/>
      <c r="GHW47" s="117"/>
      <c r="GHX47" s="117"/>
      <c r="GHY47" s="117"/>
      <c r="GHZ47" s="117"/>
      <c r="GIA47" s="117"/>
      <c r="GIB47" s="117"/>
      <c r="GIC47" s="117"/>
      <c r="GID47" s="117"/>
      <c r="GIE47" s="117"/>
      <c r="GIF47" s="117"/>
      <c r="GIG47" s="117"/>
      <c r="GIH47" s="117"/>
      <c r="GII47" s="117"/>
      <c r="GIJ47" s="117"/>
      <c r="GIK47" s="117"/>
      <c r="GIL47" s="117"/>
      <c r="GIM47" s="117"/>
      <c r="GIN47" s="117"/>
      <c r="GIO47" s="117"/>
      <c r="GIP47" s="117"/>
      <c r="GIQ47" s="117"/>
      <c r="GIR47" s="117"/>
      <c r="GIS47" s="117"/>
      <c r="GIT47" s="117"/>
      <c r="GIU47" s="117"/>
      <c r="GIV47" s="117"/>
      <c r="GIW47" s="117"/>
      <c r="GIX47" s="117"/>
      <c r="GIY47" s="117"/>
      <c r="GIZ47" s="117"/>
      <c r="GJA47" s="117"/>
      <c r="GJB47" s="117"/>
      <c r="GJC47" s="117"/>
      <c r="GJD47" s="117"/>
      <c r="GJE47" s="117"/>
      <c r="GJF47" s="117"/>
      <c r="GJG47" s="117"/>
      <c r="GJH47" s="117"/>
      <c r="GJI47" s="117"/>
      <c r="GJJ47" s="117"/>
      <c r="GJK47" s="117"/>
      <c r="GJL47" s="117"/>
      <c r="GJM47" s="117"/>
      <c r="GJN47" s="117"/>
      <c r="GJO47" s="117"/>
      <c r="GJP47" s="117"/>
      <c r="GJQ47" s="117"/>
      <c r="GJR47" s="117"/>
      <c r="GJS47" s="117"/>
      <c r="GJT47" s="117"/>
      <c r="GJU47" s="117"/>
      <c r="GJV47" s="117"/>
      <c r="GJW47" s="117"/>
      <c r="GJX47" s="117"/>
      <c r="GJY47" s="117"/>
      <c r="GJZ47" s="117"/>
      <c r="GKA47" s="117"/>
      <c r="GKB47" s="117"/>
      <c r="GKC47" s="117"/>
      <c r="GKD47" s="117"/>
      <c r="GKE47" s="117"/>
      <c r="GKF47" s="117"/>
      <c r="GKG47" s="117"/>
      <c r="GKH47" s="117"/>
      <c r="GKI47" s="117"/>
      <c r="GKJ47" s="117"/>
      <c r="GKK47" s="117"/>
      <c r="GKL47" s="117"/>
      <c r="GKM47" s="117"/>
      <c r="GKN47" s="117"/>
      <c r="GKO47" s="117"/>
      <c r="GKP47" s="117"/>
      <c r="GKQ47" s="117"/>
      <c r="GKR47" s="117"/>
      <c r="GKS47" s="117"/>
      <c r="GKT47" s="117"/>
      <c r="GKU47" s="117"/>
      <c r="GKV47" s="117"/>
      <c r="GKW47" s="117"/>
      <c r="GKX47" s="117"/>
      <c r="GKY47" s="117"/>
      <c r="GKZ47" s="117"/>
      <c r="GLA47" s="117"/>
      <c r="GLB47" s="117"/>
      <c r="GLC47" s="117"/>
      <c r="GLD47" s="117"/>
      <c r="GLE47" s="117"/>
      <c r="GLF47" s="117"/>
      <c r="GLG47" s="117"/>
      <c r="GLH47" s="117"/>
      <c r="GLI47" s="117"/>
      <c r="GLJ47" s="117"/>
      <c r="GLK47" s="117"/>
      <c r="GLL47" s="117"/>
      <c r="GLM47" s="117"/>
      <c r="GLN47" s="117"/>
      <c r="GLO47" s="117"/>
      <c r="GLP47" s="117"/>
      <c r="GLQ47" s="117"/>
      <c r="GLR47" s="117"/>
      <c r="GLS47" s="117"/>
      <c r="GLT47" s="117"/>
      <c r="GLU47" s="117"/>
      <c r="GLV47" s="117"/>
      <c r="GLW47" s="117"/>
      <c r="GLX47" s="117"/>
      <c r="GLY47" s="117"/>
      <c r="GLZ47" s="117"/>
      <c r="GMA47" s="117"/>
      <c r="GMB47" s="117"/>
      <c r="GMC47" s="117"/>
      <c r="GMD47" s="117"/>
      <c r="GME47" s="117"/>
      <c r="GMF47" s="117"/>
      <c r="GMG47" s="117"/>
      <c r="GMH47" s="117"/>
      <c r="GMI47" s="117"/>
      <c r="GMJ47" s="117"/>
      <c r="GMK47" s="117"/>
      <c r="GML47" s="117"/>
      <c r="GMM47" s="117"/>
      <c r="GMN47" s="117"/>
      <c r="GMO47" s="117"/>
      <c r="GMP47" s="117"/>
      <c r="GMQ47" s="117"/>
      <c r="GMR47" s="117"/>
      <c r="GMS47" s="117"/>
      <c r="GMT47" s="117"/>
      <c r="GMU47" s="117"/>
      <c r="GMV47" s="117"/>
      <c r="GMW47" s="117"/>
      <c r="GMX47" s="117"/>
      <c r="GMY47" s="117"/>
      <c r="GMZ47" s="117"/>
      <c r="GNA47" s="117"/>
      <c r="GNB47" s="117"/>
      <c r="GNC47" s="117"/>
      <c r="GND47" s="117"/>
      <c r="GNE47" s="117"/>
      <c r="GNF47" s="117"/>
      <c r="GNG47" s="117"/>
      <c r="GNH47" s="117"/>
      <c r="GNI47" s="117"/>
      <c r="GNJ47" s="117"/>
      <c r="GNK47" s="117"/>
      <c r="GNL47" s="117"/>
      <c r="GNM47" s="117"/>
      <c r="GNN47" s="117"/>
      <c r="GNO47" s="117"/>
      <c r="GNP47" s="117"/>
      <c r="GNQ47" s="117"/>
      <c r="GNR47" s="117"/>
      <c r="GNS47" s="117"/>
      <c r="GNT47" s="117"/>
      <c r="GNU47" s="117"/>
      <c r="GNV47" s="117"/>
      <c r="GNW47" s="117"/>
      <c r="GNX47" s="117"/>
      <c r="GNY47" s="117"/>
      <c r="GNZ47" s="117"/>
      <c r="GOA47" s="117"/>
      <c r="GOB47" s="117"/>
      <c r="GOC47" s="117"/>
      <c r="GOD47" s="117"/>
      <c r="GOE47" s="117"/>
      <c r="GOF47" s="117"/>
      <c r="GOG47" s="117"/>
      <c r="GOH47" s="117"/>
      <c r="GOI47" s="117"/>
      <c r="GOJ47" s="117"/>
      <c r="GOK47" s="117"/>
      <c r="GOL47" s="117"/>
      <c r="GOM47" s="117"/>
      <c r="GON47" s="117"/>
      <c r="GOO47" s="117"/>
      <c r="GOP47" s="117"/>
      <c r="GOQ47" s="117"/>
      <c r="GOR47" s="117"/>
      <c r="GOS47" s="117"/>
      <c r="GOT47" s="117"/>
      <c r="GOU47" s="117"/>
      <c r="GOV47" s="117"/>
      <c r="GOW47" s="117"/>
      <c r="GOX47" s="117"/>
      <c r="GOY47" s="117"/>
      <c r="GOZ47" s="117"/>
      <c r="GPA47" s="117"/>
      <c r="GPB47" s="117"/>
      <c r="GPC47" s="117"/>
      <c r="GPD47" s="117"/>
      <c r="GPE47" s="117"/>
      <c r="GPF47" s="117"/>
      <c r="GPG47" s="117"/>
      <c r="GPH47" s="117"/>
      <c r="GPI47" s="117"/>
      <c r="GPJ47" s="117"/>
      <c r="GPK47" s="117"/>
      <c r="GPL47" s="117"/>
      <c r="GPM47" s="117"/>
      <c r="GPN47" s="117"/>
      <c r="GPO47" s="117"/>
      <c r="GPP47" s="117"/>
      <c r="GPQ47" s="117"/>
      <c r="GPR47" s="117"/>
      <c r="GPS47" s="117"/>
      <c r="GPT47" s="117"/>
      <c r="GPU47" s="117"/>
      <c r="GPV47" s="117"/>
      <c r="GPW47" s="117"/>
      <c r="GPX47" s="117"/>
      <c r="GPY47" s="117"/>
      <c r="GPZ47" s="117"/>
      <c r="GQA47" s="117"/>
      <c r="GQB47" s="117"/>
      <c r="GQC47" s="117"/>
      <c r="GQD47" s="117"/>
      <c r="GQE47" s="117"/>
      <c r="GQF47" s="117"/>
      <c r="GQG47" s="117"/>
      <c r="GQH47" s="117"/>
      <c r="GQI47" s="117"/>
      <c r="GQJ47" s="117"/>
      <c r="GQK47" s="117"/>
      <c r="GQL47" s="117"/>
      <c r="GQM47" s="117"/>
      <c r="GQN47" s="117"/>
      <c r="GQO47" s="117"/>
      <c r="GQP47" s="117"/>
      <c r="GQQ47" s="117"/>
      <c r="GQR47" s="117"/>
      <c r="GQS47" s="117"/>
      <c r="GQT47" s="117"/>
      <c r="GQU47" s="117"/>
      <c r="GQV47" s="117"/>
      <c r="GQW47" s="117"/>
      <c r="GQX47" s="117"/>
      <c r="GQY47" s="117"/>
      <c r="GQZ47" s="117"/>
      <c r="GRA47" s="117"/>
      <c r="GRB47" s="117"/>
      <c r="GRC47" s="117"/>
      <c r="GRD47" s="117"/>
      <c r="GRE47" s="117"/>
      <c r="GRF47" s="117"/>
      <c r="GRG47" s="117"/>
      <c r="GRH47" s="117"/>
      <c r="GRI47" s="117"/>
      <c r="GRJ47" s="117"/>
      <c r="GRK47" s="117"/>
      <c r="GRL47" s="117"/>
      <c r="GRM47" s="117"/>
      <c r="GRN47" s="117"/>
      <c r="GRO47" s="117"/>
      <c r="GRP47" s="117"/>
      <c r="GRQ47" s="117"/>
      <c r="GRR47" s="117"/>
      <c r="GRS47" s="117"/>
      <c r="GRT47" s="117"/>
      <c r="GRU47" s="117"/>
      <c r="GRV47" s="117"/>
      <c r="GRW47" s="117"/>
      <c r="GRX47" s="117"/>
      <c r="GRY47" s="117"/>
      <c r="GRZ47" s="117"/>
      <c r="GSA47" s="117"/>
      <c r="GSB47" s="117"/>
      <c r="GSC47" s="117"/>
      <c r="GSD47" s="117"/>
      <c r="GSE47" s="117"/>
      <c r="GSF47" s="117"/>
      <c r="GSG47" s="117"/>
      <c r="GSH47" s="117"/>
      <c r="GSI47" s="117"/>
      <c r="GSJ47" s="117"/>
      <c r="GSK47" s="117"/>
      <c r="GSL47" s="117"/>
      <c r="GSM47" s="117"/>
      <c r="GSN47" s="117"/>
      <c r="GSO47" s="117"/>
      <c r="GSP47" s="117"/>
      <c r="GSQ47" s="117"/>
      <c r="GSR47" s="117"/>
      <c r="GSS47" s="117"/>
      <c r="GST47" s="117"/>
      <c r="GSU47" s="117"/>
      <c r="GSV47" s="117"/>
      <c r="GSW47" s="117"/>
      <c r="GSX47" s="117"/>
      <c r="GSY47" s="117"/>
      <c r="GSZ47" s="117"/>
      <c r="GTA47" s="117"/>
      <c r="GTB47" s="117"/>
      <c r="GTC47" s="117"/>
      <c r="GTD47" s="117"/>
      <c r="GTE47" s="117"/>
      <c r="GTF47" s="117"/>
      <c r="GTG47" s="117"/>
      <c r="GTH47" s="117"/>
      <c r="GTI47" s="117"/>
      <c r="GTJ47" s="117"/>
      <c r="GTK47" s="117"/>
      <c r="GTL47" s="117"/>
      <c r="GTM47" s="117"/>
      <c r="GTN47" s="117"/>
      <c r="GTO47" s="117"/>
      <c r="GTP47" s="117"/>
      <c r="GTQ47" s="117"/>
      <c r="GTR47" s="117"/>
      <c r="GTS47" s="117"/>
      <c r="GTT47" s="117"/>
      <c r="GTU47" s="117"/>
      <c r="GTV47" s="117"/>
      <c r="GTW47" s="117"/>
      <c r="GTX47" s="117"/>
      <c r="GTY47" s="117"/>
      <c r="GTZ47" s="117"/>
      <c r="GUA47" s="117"/>
      <c r="GUB47" s="117"/>
      <c r="GUC47" s="117"/>
      <c r="GUD47" s="117"/>
      <c r="GUE47" s="117"/>
      <c r="GUF47" s="117"/>
      <c r="GUG47" s="117"/>
      <c r="GUH47" s="117"/>
      <c r="GUI47" s="117"/>
      <c r="GUJ47" s="117"/>
      <c r="GUK47" s="117"/>
      <c r="GUL47" s="117"/>
      <c r="GUM47" s="117"/>
      <c r="GUN47" s="117"/>
      <c r="GUO47" s="117"/>
      <c r="GUP47" s="117"/>
      <c r="GUQ47" s="117"/>
      <c r="GUR47" s="117"/>
      <c r="GUS47" s="117"/>
      <c r="GUT47" s="117"/>
      <c r="GUU47" s="117"/>
      <c r="GUV47" s="117"/>
      <c r="GUW47" s="117"/>
      <c r="GUX47" s="117"/>
      <c r="GUY47" s="117"/>
      <c r="GUZ47" s="117"/>
      <c r="GVA47" s="117"/>
      <c r="GVB47" s="117"/>
      <c r="GVC47" s="117"/>
      <c r="GVD47" s="117"/>
      <c r="GVE47" s="117"/>
      <c r="GVF47" s="117"/>
      <c r="GVG47" s="117"/>
      <c r="GVH47" s="117"/>
      <c r="GVI47" s="117"/>
      <c r="GVJ47" s="117"/>
      <c r="GVK47" s="117"/>
      <c r="GVL47" s="117"/>
      <c r="GVM47" s="117"/>
      <c r="GVN47" s="117"/>
      <c r="GVO47" s="117"/>
      <c r="GVP47" s="117"/>
      <c r="GVQ47" s="117"/>
      <c r="GVR47" s="117"/>
      <c r="GVS47" s="117"/>
      <c r="GVT47" s="117"/>
      <c r="GVU47" s="117"/>
      <c r="GVV47" s="117"/>
      <c r="GVW47" s="117"/>
      <c r="GVX47" s="117"/>
      <c r="GVY47" s="117"/>
      <c r="GVZ47" s="117"/>
      <c r="GWA47" s="117"/>
      <c r="GWB47" s="117"/>
      <c r="GWC47" s="117"/>
      <c r="GWD47" s="117"/>
      <c r="GWE47" s="117"/>
      <c r="GWF47" s="117"/>
      <c r="GWG47" s="117"/>
      <c r="GWH47" s="117"/>
      <c r="GWI47" s="117"/>
      <c r="GWJ47" s="117"/>
      <c r="GWK47" s="117"/>
      <c r="GWL47" s="117"/>
      <c r="GWM47" s="117"/>
      <c r="GWN47" s="117"/>
      <c r="GWO47" s="117"/>
      <c r="GWP47" s="117"/>
      <c r="GWQ47" s="117"/>
      <c r="GWR47" s="117"/>
      <c r="GWS47" s="117"/>
      <c r="GWT47" s="117"/>
      <c r="GWU47" s="117"/>
      <c r="GWV47" s="117"/>
      <c r="GWW47" s="117"/>
      <c r="GWX47" s="117"/>
      <c r="GWY47" s="117"/>
      <c r="GWZ47" s="117"/>
      <c r="GXA47" s="117"/>
      <c r="GXB47" s="117"/>
      <c r="GXC47" s="117"/>
      <c r="GXD47" s="117"/>
      <c r="GXE47" s="117"/>
      <c r="GXF47" s="117"/>
      <c r="GXG47" s="117"/>
      <c r="GXH47" s="117"/>
      <c r="GXI47" s="117"/>
      <c r="GXJ47" s="117"/>
      <c r="GXK47" s="117"/>
      <c r="GXL47" s="117"/>
      <c r="GXM47" s="117"/>
      <c r="GXN47" s="117"/>
      <c r="GXO47" s="117"/>
      <c r="GXP47" s="117"/>
      <c r="GXQ47" s="117"/>
      <c r="GXR47" s="117"/>
      <c r="GXS47" s="117"/>
      <c r="GXT47" s="117"/>
      <c r="GXU47" s="117"/>
      <c r="GXV47" s="117"/>
      <c r="GXW47" s="117"/>
      <c r="GXX47" s="117"/>
      <c r="GXY47" s="117"/>
      <c r="GXZ47" s="117"/>
      <c r="GYA47" s="117"/>
      <c r="GYB47" s="117"/>
      <c r="GYC47" s="117"/>
      <c r="GYD47" s="117"/>
      <c r="GYE47" s="117"/>
      <c r="GYF47" s="117"/>
      <c r="GYG47" s="117"/>
      <c r="GYH47" s="117"/>
      <c r="GYI47" s="117"/>
      <c r="GYJ47" s="117"/>
      <c r="GYK47" s="117"/>
      <c r="GYL47" s="117"/>
      <c r="GYM47" s="117"/>
      <c r="GYN47" s="117"/>
      <c r="GYO47" s="117"/>
      <c r="GYP47" s="117"/>
      <c r="GYQ47" s="117"/>
      <c r="GYR47" s="117"/>
      <c r="GYS47" s="117"/>
      <c r="GYT47" s="117"/>
      <c r="GYU47" s="117"/>
      <c r="GYV47" s="117"/>
      <c r="GYW47" s="117"/>
      <c r="GYX47" s="117"/>
      <c r="GYY47" s="117"/>
      <c r="GYZ47" s="117"/>
      <c r="GZA47" s="117"/>
      <c r="GZB47" s="117"/>
      <c r="GZC47" s="117"/>
      <c r="GZD47" s="117"/>
      <c r="GZE47" s="117"/>
      <c r="GZF47" s="117"/>
      <c r="GZG47" s="117"/>
      <c r="GZH47" s="117"/>
      <c r="GZI47" s="117"/>
      <c r="GZJ47" s="117"/>
      <c r="GZK47" s="117"/>
      <c r="GZL47" s="117"/>
      <c r="GZM47" s="117"/>
      <c r="GZN47" s="117"/>
      <c r="GZO47" s="117"/>
      <c r="GZP47" s="117"/>
      <c r="GZQ47" s="117"/>
      <c r="GZR47" s="117"/>
      <c r="GZS47" s="117"/>
      <c r="GZT47" s="117"/>
      <c r="GZU47" s="117"/>
      <c r="GZV47" s="117"/>
      <c r="GZW47" s="117"/>
      <c r="GZX47" s="117"/>
      <c r="GZY47" s="117"/>
      <c r="GZZ47" s="117"/>
      <c r="HAA47" s="117"/>
      <c r="HAB47" s="117"/>
      <c r="HAC47" s="117"/>
      <c r="HAD47" s="117"/>
      <c r="HAE47" s="117"/>
      <c r="HAF47" s="117"/>
      <c r="HAG47" s="117"/>
      <c r="HAH47" s="117"/>
      <c r="HAI47" s="117"/>
      <c r="HAJ47" s="117"/>
      <c r="HAK47" s="117"/>
      <c r="HAL47" s="117"/>
      <c r="HAM47" s="117"/>
      <c r="HAN47" s="117"/>
      <c r="HAO47" s="117"/>
      <c r="HAP47" s="117"/>
      <c r="HAQ47" s="117"/>
      <c r="HAR47" s="117"/>
      <c r="HAS47" s="117"/>
      <c r="HAT47" s="117"/>
      <c r="HAU47" s="117"/>
      <c r="HAV47" s="117"/>
      <c r="HAW47" s="117"/>
      <c r="HAX47" s="117"/>
      <c r="HAY47" s="117"/>
      <c r="HAZ47" s="117"/>
      <c r="HBA47" s="117"/>
      <c r="HBB47" s="117"/>
      <c r="HBC47" s="117"/>
      <c r="HBD47" s="117"/>
      <c r="HBE47" s="117"/>
      <c r="HBF47" s="117"/>
      <c r="HBG47" s="117"/>
      <c r="HBH47" s="117"/>
      <c r="HBI47" s="117"/>
      <c r="HBJ47" s="117"/>
      <c r="HBK47" s="117"/>
      <c r="HBL47" s="117"/>
      <c r="HBM47" s="117"/>
      <c r="HBN47" s="117"/>
      <c r="HBO47" s="117"/>
      <c r="HBP47" s="117"/>
      <c r="HBQ47" s="117"/>
      <c r="HBR47" s="117"/>
      <c r="HBS47" s="117"/>
      <c r="HBT47" s="117"/>
      <c r="HBU47" s="117"/>
      <c r="HBV47" s="117"/>
      <c r="HBW47" s="117"/>
      <c r="HBX47" s="117"/>
      <c r="HBY47" s="117"/>
      <c r="HBZ47" s="117"/>
      <c r="HCA47" s="117"/>
      <c r="HCB47" s="117"/>
      <c r="HCC47" s="117"/>
      <c r="HCD47" s="117"/>
      <c r="HCE47" s="117"/>
      <c r="HCF47" s="117"/>
      <c r="HCG47" s="117"/>
      <c r="HCH47" s="117"/>
      <c r="HCI47" s="117"/>
      <c r="HCJ47" s="117"/>
      <c r="HCK47" s="117"/>
      <c r="HCL47" s="117"/>
      <c r="HCM47" s="117"/>
      <c r="HCN47" s="117"/>
      <c r="HCO47" s="117"/>
      <c r="HCP47" s="117"/>
      <c r="HCQ47" s="117"/>
      <c r="HCR47" s="117"/>
      <c r="HCS47" s="117"/>
      <c r="HCT47" s="117"/>
      <c r="HCU47" s="117"/>
      <c r="HCV47" s="117"/>
      <c r="HCW47" s="117"/>
      <c r="HCX47" s="117"/>
      <c r="HCY47" s="117"/>
      <c r="HCZ47" s="117"/>
      <c r="HDA47" s="117"/>
      <c r="HDB47" s="117"/>
      <c r="HDC47" s="117"/>
      <c r="HDD47" s="117"/>
      <c r="HDE47" s="117"/>
      <c r="HDF47" s="117"/>
      <c r="HDG47" s="117"/>
      <c r="HDH47" s="117"/>
      <c r="HDI47" s="117"/>
      <c r="HDJ47" s="117"/>
      <c r="HDK47" s="117"/>
      <c r="HDL47" s="117"/>
      <c r="HDM47" s="117"/>
      <c r="HDN47" s="117"/>
      <c r="HDO47" s="117"/>
      <c r="HDP47" s="117"/>
      <c r="HDQ47" s="117"/>
      <c r="HDR47" s="117"/>
      <c r="HDS47" s="117"/>
      <c r="HDT47" s="117"/>
      <c r="HDU47" s="117"/>
      <c r="HDV47" s="117"/>
      <c r="HDW47" s="117"/>
      <c r="HDX47" s="117"/>
      <c r="HDY47" s="117"/>
      <c r="HDZ47" s="117"/>
      <c r="HEA47" s="117"/>
      <c r="HEB47" s="117"/>
      <c r="HEC47" s="117"/>
      <c r="HED47" s="117"/>
      <c r="HEE47" s="117"/>
      <c r="HEF47" s="117"/>
      <c r="HEG47" s="117"/>
      <c r="HEH47" s="117"/>
      <c r="HEI47" s="117"/>
      <c r="HEJ47" s="117"/>
      <c r="HEK47" s="117"/>
      <c r="HEL47" s="117"/>
      <c r="HEM47" s="117"/>
      <c r="HEN47" s="117"/>
      <c r="HEO47" s="117"/>
      <c r="HEP47" s="117"/>
      <c r="HEQ47" s="117"/>
      <c r="HER47" s="117"/>
      <c r="HES47" s="117"/>
      <c r="HET47" s="117"/>
      <c r="HEU47" s="117"/>
      <c r="HEV47" s="117"/>
      <c r="HEW47" s="117"/>
      <c r="HEX47" s="117"/>
      <c r="HEY47" s="117"/>
      <c r="HEZ47" s="117"/>
      <c r="HFA47" s="117"/>
      <c r="HFB47" s="117"/>
      <c r="HFC47" s="117"/>
      <c r="HFD47" s="117"/>
      <c r="HFE47" s="117"/>
      <c r="HFF47" s="117"/>
      <c r="HFG47" s="117"/>
      <c r="HFH47" s="117"/>
      <c r="HFI47" s="117"/>
      <c r="HFJ47" s="117"/>
      <c r="HFK47" s="117"/>
      <c r="HFL47" s="117"/>
      <c r="HFM47" s="117"/>
      <c r="HFN47" s="117"/>
      <c r="HFO47" s="117"/>
      <c r="HFP47" s="117"/>
      <c r="HFQ47" s="117"/>
      <c r="HFR47" s="117"/>
      <c r="HFS47" s="117"/>
      <c r="HFT47" s="117"/>
      <c r="HFU47" s="117"/>
      <c r="HFV47" s="117"/>
      <c r="HFW47" s="117"/>
      <c r="HFX47" s="117"/>
      <c r="HFY47" s="117"/>
      <c r="HFZ47" s="117"/>
      <c r="HGA47" s="117"/>
      <c r="HGB47" s="117"/>
      <c r="HGC47" s="117"/>
      <c r="HGD47" s="117"/>
      <c r="HGE47" s="117"/>
      <c r="HGF47" s="117"/>
      <c r="HGG47" s="117"/>
      <c r="HGH47" s="117"/>
      <c r="HGI47" s="117"/>
      <c r="HGJ47" s="117"/>
      <c r="HGK47" s="117"/>
      <c r="HGL47" s="117"/>
      <c r="HGM47" s="117"/>
      <c r="HGN47" s="117"/>
      <c r="HGO47" s="117"/>
      <c r="HGP47" s="117"/>
      <c r="HGQ47" s="117"/>
      <c r="HGR47" s="117"/>
      <c r="HGS47" s="117"/>
      <c r="HGT47" s="117"/>
      <c r="HGU47" s="117"/>
      <c r="HGV47" s="117"/>
      <c r="HGW47" s="117"/>
      <c r="HGX47" s="117"/>
      <c r="HGY47" s="117"/>
      <c r="HGZ47" s="117"/>
      <c r="HHA47" s="117"/>
      <c r="HHB47" s="117"/>
      <c r="HHC47" s="117"/>
      <c r="HHD47" s="117"/>
      <c r="HHE47" s="117"/>
      <c r="HHF47" s="117"/>
      <c r="HHG47" s="117"/>
      <c r="HHH47" s="117"/>
      <c r="HHI47" s="117"/>
      <c r="HHJ47" s="117"/>
      <c r="HHK47" s="117"/>
      <c r="HHL47" s="117"/>
      <c r="HHM47" s="117"/>
      <c r="HHN47" s="117"/>
      <c r="HHO47" s="117"/>
      <c r="HHP47" s="117"/>
      <c r="HHQ47" s="117"/>
      <c r="HHR47" s="117"/>
      <c r="HHS47" s="117"/>
      <c r="HHT47" s="117"/>
      <c r="HHU47" s="117"/>
      <c r="HHV47" s="117"/>
      <c r="HHW47" s="117"/>
      <c r="HHX47" s="117"/>
      <c r="HHY47" s="117"/>
      <c r="HHZ47" s="117"/>
      <c r="HIA47" s="117"/>
      <c r="HIB47" s="117"/>
      <c r="HIC47" s="117"/>
      <c r="HID47" s="117"/>
      <c r="HIE47" s="117"/>
      <c r="HIF47" s="117"/>
      <c r="HIG47" s="117"/>
      <c r="HIH47" s="117"/>
      <c r="HII47" s="117"/>
      <c r="HIJ47" s="117"/>
      <c r="HIK47" s="117"/>
      <c r="HIL47" s="117"/>
      <c r="HIM47" s="117"/>
      <c r="HIN47" s="117"/>
      <c r="HIO47" s="117"/>
      <c r="HIP47" s="117"/>
      <c r="HIQ47" s="117"/>
      <c r="HIR47" s="117"/>
      <c r="HIS47" s="117"/>
      <c r="HIT47" s="117"/>
      <c r="HIU47" s="117"/>
      <c r="HIV47" s="117"/>
      <c r="HIW47" s="117"/>
      <c r="HIX47" s="117"/>
      <c r="HIY47" s="117"/>
      <c r="HIZ47" s="117"/>
      <c r="HJA47" s="117"/>
      <c r="HJB47" s="117"/>
      <c r="HJC47" s="117"/>
      <c r="HJD47" s="117"/>
      <c r="HJE47" s="117"/>
      <c r="HJF47" s="117"/>
      <c r="HJG47" s="117"/>
      <c r="HJH47" s="117"/>
      <c r="HJI47" s="117"/>
      <c r="HJJ47" s="117"/>
      <c r="HJK47" s="117"/>
      <c r="HJL47" s="117"/>
      <c r="HJM47" s="117"/>
      <c r="HJN47" s="117"/>
      <c r="HJO47" s="117"/>
      <c r="HJP47" s="117"/>
      <c r="HJQ47" s="117"/>
      <c r="HJR47" s="117"/>
      <c r="HJS47" s="117"/>
      <c r="HJT47" s="117"/>
      <c r="HJU47" s="117"/>
      <c r="HJV47" s="117"/>
      <c r="HJW47" s="117"/>
      <c r="HJX47" s="117"/>
      <c r="HJY47" s="117"/>
      <c r="HJZ47" s="117"/>
      <c r="HKA47" s="117"/>
      <c r="HKB47" s="117"/>
      <c r="HKC47" s="117"/>
      <c r="HKD47" s="117"/>
      <c r="HKE47" s="117"/>
      <c r="HKF47" s="117"/>
      <c r="HKG47" s="117"/>
      <c r="HKH47" s="117"/>
      <c r="HKI47" s="117"/>
      <c r="HKJ47" s="117"/>
      <c r="HKK47" s="117"/>
      <c r="HKL47" s="117"/>
      <c r="HKM47" s="117"/>
      <c r="HKN47" s="117"/>
      <c r="HKO47" s="117"/>
      <c r="HKP47" s="117"/>
      <c r="HKQ47" s="117"/>
      <c r="HKR47" s="117"/>
      <c r="HKS47" s="117"/>
      <c r="HKT47" s="117"/>
      <c r="HKU47" s="117"/>
      <c r="HKV47" s="117"/>
      <c r="HKW47" s="117"/>
      <c r="HKX47" s="117"/>
      <c r="HKY47" s="117"/>
      <c r="HKZ47" s="117"/>
      <c r="HLA47" s="117"/>
      <c r="HLB47" s="117"/>
      <c r="HLC47" s="117"/>
      <c r="HLD47" s="117"/>
      <c r="HLE47" s="117"/>
      <c r="HLF47" s="117"/>
      <c r="HLG47" s="117"/>
      <c r="HLH47" s="117"/>
      <c r="HLI47" s="117"/>
      <c r="HLJ47" s="117"/>
      <c r="HLK47" s="117"/>
      <c r="HLL47" s="117"/>
      <c r="HLM47" s="117"/>
      <c r="HLN47" s="117"/>
      <c r="HLO47" s="117"/>
      <c r="HLP47" s="117"/>
      <c r="HLQ47" s="117"/>
      <c r="HLR47" s="117"/>
      <c r="HLS47" s="117"/>
      <c r="HLT47" s="117"/>
      <c r="HLU47" s="117"/>
      <c r="HLV47" s="117"/>
      <c r="HLW47" s="117"/>
      <c r="HLX47" s="117"/>
      <c r="HLY47" s="117"/>
      <c r="HLZ47" s="117"/>
      <c r="HMA47" s="117"/>
      <c r="HMB47" s="117"/>
      <c r="HMC47" s="117"/>
      <c r="HMD47" s="117"/>
      <c r="HME47" s="117"/>
      <c r="HMF47" s="117"/>
      <c r="HMG47" s="117"/>
      <c r="HMH47" s="117"/>
      <c r="HMI47" s="117"/>
      <c r="HMJ47" s="117"/>
      <c r="HMK47" s="117"/>
      <c r="HML47" s="117"/>
      <c r="HMM47" s="117"/>
      <c r="HMN47" s="117"/>
      <c r="HMO47" s="117"/>
      <c r="HMP47" s="117"/>
      <c r="HMQ47" s="117"/>
      <c r="HMR47" s="117"/>
      <c r="HMS47" s="117"/>
      <c r="HMT47" s="117"/>
      <c r="HMU47" s="117"/>
      <c r="HMV47" s="117"/>
      <c r="HMW47" s="117"/>
      <c r="HMX47" s="117"/>
      <c r="HMY47" s="117"/>
      <c r="HMZ47" s="117"/>
      <c r="HNA47" s="117"/>
      <c r="HNB47" s="117"/>
      <c r="HNC47" s="117"/>
      <c r="HND47" s="117"/>
      <c r="HNE47" s="117"/>
      <c r="HNF47" s="117"/>
      <c r="HNG47" s="117"/>
      <c r="HNH47" s="117"/>
      <c r="HNI47" s="117"/>
      <c r="HNJ47" s="117"/>
      <c r="HNK47" s="117"/>
      <c r="HNL47" s="117"/>
      <c r="HNM47" s="117"/>
      <c r="HNN47" s="117"/>
      <c r="HNO47" s="117"/>
      <c r="HNP47" s="117"/>
      <c r="HNQ47" s="117"/>
      <c r="HNR47" s="117"/>
      <c r="HNS47" s="117"/>
      <c r="HNT47" s="117"/>
      <c r="HNU47" s="117"/>
      <c r="HNV47" s="117"/>
      <c r="HNW47" s="117"/>
      <c r="HNX47" s="117"/>
      <c r="HNY47" s="117"/>
      <c r="HNZ47" s="117"/>
      <c r="HOA47" s="117"/>
      <c r="HOB47" s="117"/>
      <c r="HOC47" s="117"/>
      <c r="HOD47" s="117"/>
      <c r="HOE47" s="117"/>
      <c r="HOF47" s="117"/>
      <c r="HOG47" s="117"/>
      <c r="HOH47" s="117"/>
      <c r="HOI47" s="117"/>
      <c r="HOJ47" s="117"/>
      <c r="HOK47" s="117"/>
      <c r="HOL47" s="117"/>
      <c r="HOM47" s="117"/>
      <c r="HON47" s="117"/>
      <c r="HOO47" s="117"/>
      <c r="HOP47" s="117"/>
      <c r="HOQ47" s="117"/>
      <c r="HOR47" s="117"/>
      <c r="HOS47" s="117"/>
      <c r="HOT47" s="117"/>
      <c r="HOU47" s="117"/>
      <c r="HOV47" s="117"/>
      <c r="HOW47" s="117"/>
      <c r="HOX47" s="117"/>
      <c r="HOY47" s="117"/>
      <c r="HOZ47" s="117"/>
      <c r="HPA47" s="117"/>
      <c r="HPB47" s="117"/>
      <c r="HPC47" s="117"/>
      <c r="HPD47" s="117"/>
      <c r="HPE47" s="117"/>
      <c r="HPF47" s="117"/>
      <c r="HPG47" s="117"/>
      <c r="HPH47" s="117"/>
      <c r="HPI47" s="117"/>
      <c r="HPJ47" s="117"/>
      <c r="HPK47" s="117"/>
      <c r="HPL47" s="117"/>
      <c r="HPM47" s="117"/>
      <c r="HPN47" s="117"/>
      <c r="HPO47" s="117"/>
      <c r="HPP47" s="117"/>
      <c r="HPQ47" s="117"/>
      <c r="HPR47" s="117"/>
      <c r="HPS47" s="117"/>
      <c r="HPT47" s="117"/>
      <c r="HPU47" s="117"/>
      <c r="HPV47" s="117"/>
      <c r="HPW47" s="117"/>
      <c r="HPX47" s="117"/>
      <c r="HPY47" s="117"/>
      <c r="HPZ47" s="117"/>
      <c r="HQA47" s="117"/>
      <c r="HQB47" s="117"/>
      <c r="HQC47" s="117"/>
      <c r="HQD47" s="117"/>
      <c r="HQE47" s="117"/>
      <c r="HQF47" s="117"/>
      <c r="HQG47" s="117"/>
      <c r="HQH47" s="117"/>
      <c r="HQI47" s="117"/>
      <c r="HQJ47" s="117"/>
      <c r="HQK47" s="117"/>
      <c r="HQL47" s="117"/>
      <c r="HQM47" s="117"/>
      <c r="HQN47" s="117"/>
      <c r="HQO47" s="117"/>
      <c r="HQP47" s="117"/>
      <c r="HQQ47" s="117"/>
      <c r="HQR47" s="117"/>
      <c r="HQS47" s="117"/>
      <c r="HQT47" s="117"/>
      <c r="HQU47" s="117"/>
      <c r="HQV47" s="117"/>
      <c r="HQW47" s="117"/>
      <c r="HQX47" s="117"/>
      <c r="HQY47" s="117"/>
      <c r="HQZ47" s="117"/>
      <c r="HRA47" s="117"/>
      <c r="HRB47" s="117"/>
      <c r="HRC47" s="117"/>
      <c r="HRD47" s="117"/>
      <c r="HRE47" s="117"/>
      <c r="HRF47" s="117"/>
      <c r="HRG47" s="117"/>
      <c r="HRH47" s="117"/>
      <c r="HRI47" s="117"/>
      <c r="HRJ47" s="117"/>
      <c r="HRK47" s="117"/>
      <c r="HRL47" s="117"/>
      <c r="HRM47" s="117"/>
      <c r="HRN47" s="117"/>
      <c r="HRO47" s="117"/>
      <c r="HRP47" s="117"/>
      <c r="HRQ47" s="117"/>
      <c r="HRR47" s="117"/>
      <c r="HRS47" s="117"/>
      <c r="HRT47" s="117"/>
      <c r="HRU47" s="117"/>
      <c r="HRV47" s="117"/>
      <c r="HRW47" s="117"/>
      <c r="HRX47" s="117"/>
      <c r="HRY47" s="117"/>
      <c r="HRZ47" s="117"/>
      <c r="HSA47" s="117"/>
      <c r="HSB47" s="117"/>
      <c r="HSC47" s="117"/>
      <c r="HSD47" s="117"/>
      <c r="HSE47" s="117"/>
      <c r="HSF47" s="117"/>
      <c r="HSG47" s="117"/>
      <c r="HSH47" s="117"/>
      <c r="HSI47" s="117"/>
      <c r="HSJ47" s="117"/>
      <c r="HSK47" s="117"/>
      <c r="HSL47" s="117"/>
      <c r="HSM47" s="117"/>
      <c r="HSN47" s="117"/>
      <c r="HSO47" s="117"/>
      <c r="HSP47" s="117"/>
      <c r="HSQ47" s="117"/>
      <c r="HSR47" s="117"/>
      <c r="HSS47" s="117"/>
      <c r="HST47" s="117"/>
      <c r="HSU47" s="117"/>
      <c r="HSV47" s="117"/>
      <c r="HSW47" s="117"/>
      <c r="HSX47" s="117"/>
      <c r="HSY47" s="117"/>
      <c r="HSZ47" s="117"/>
      <c r="HTA47" s="117"/>
      <c r="HTB47" s="117"/>
      <c r="HTC47" s="117"/>
      <c r="HTD47" s="117"/>
      <c r="HTE47" s="117"/>
      <c r="HTF47" s="117"/>
      <c r="HTG47" s="117"/>
      <c r="HTH47" s="117"/>
      <c r="HTI47" s="117"/>
      <c r="HTJ47" s="117"/>
      <c r="HTK47" s="117"/>
      <c r="HTL47" s="117"/>
      <c r="HTM47" s="117"/>
      <c r="HTN47" s="117"/>
      <c r="HTO47" s="117"/>
      <c r="HTP47" s="117"/>
      <c r="HTQ47" s="117"/>
      <c r="HTR47" s="117"/>
      <c r="HTS47" s="117"/>
      <c r="HTT47" s="117"/>
      <c r="HTU47" s="117"/>
      <c r="HTV47" s="117"/>
      <c r="HTW47" s="117"/>
      <c r="HTX47" s="117"/>
      <c r="HTY47" s="117"/>
      <c r="HTZ47" s="117"/>
      <c r="HUA47" s="117"/>
      <c r="HUB47" s="117"/>
      <c r="HUC47" s="117"/>
      <c r="HUD47" s="117"/>
      <c r="HUE47" s="117"/>
      <c r="HUF47" s="117"/>
      <c r="HUG47" s="117"/>
      <c r="HUH47" s="117"/>
      <c r="HUI47" s="117"/>
      <c r="HUJ47" s="117"/>
      <c r="HUK47" s="117"/>
      <c r="HUL47" s="117"/>
      <c r="HUM47" s="117"/>
      <c r="HUN47" s="117"/>
      <c r="HUO47" s="117"/>
      <c r="HUP47" s="117"/>
      <c r="HUQ47" s="117"/>
      <c r="HUR47" s="117"/>
      <c r="HUS47" s="117"/>
      <c r="HUT47" s="117"/>
      <c r="HUU47" s="117"/>
      <c r="HUV47" s="117"/>
      <c r="HUW47" s="117"/>
      <c r="HUX47" s="117"/>
      <c r="HUY47" s="117"/>
      <c r="HUZ47" s="117"/>
      <c r="HVA47" s="117"/>
      <c r="HVB47" s="117"/>
      <c r="HVC47" s="117"/>
      <c r="HVD47" s="117"/>
      <c r="HVE47" s="117"/>
      <c r="HVF47" s="117"/>
      <c r="HVG47" s="117"/>
      <c r="HVH47" s="117"/>
      <c r="HVI47" s="117"/>
      <c r="HVJ47" s="117"/>
      <c r="HVK47" s="117"/>
      <c r="HVL47" s="117"/>
      <c r="HVM47" s="117"/>
      <c r="HVN47" s="117"/>
      <c r="HVO47" s="117"/>
      <c r="HVP47" s="117"/>
      <c r="HVQ47" s="117"/>
      <c r="HVR47" s="117"/>
      <c r="HVS47" s="117"/>
      <c r="HVT47" s="117"/>
      <c r="HVU47" s="117"/>
      <c r="HVV47" s="117"/>
      <c r="HVW47" s="117"/>
      <c r="HVX47" s="117"/>
      <c r="HVY47" s="117"/>
      <c r="HVZ47" s="117"/>
      <c r="HWA47" s="117"/>
      <c r="HWB47" s="117"/>
      <c r="HWC47" s="117"/>
      <c r="HWD47" s="117"/>
      <c r="HWE47" s="117"/>
      <c r="HWF47" s="117"/>
      <c r="HWG47" s="117"/>
      <c r="HWH47" s="117"/>
      <c r="HWI47" s="117"/>
      <c r="HWJ47" s="117"/>
      <c r="HWK47" s="117"/>
      <c r="HWL47" s="117"/>
      <c r="HWM47" s="117"/>
      <c r="HWN47" s="117"/>
      <c r="HWO47" s="117"/>
      <c r="HWP47" s="117"/>
      <c r="HWQ47" s="117"/>
      <c r="HWR47" s="117"/>
      <c r="HWS47" s="117"/>
      <c r="HWT47" s="117"/>
      <c r="HWU47" s="117"/>
      <c r="HWV47" s="117"/>
      <c r="HWW47" s="117"/>
      <c r="HWX47" s="117"/>
      <c r="HWY47" s="117"/>
      <c r="HWZ47" s="117"/>
      <c r="HXA47" s="117"/>
      <c r="HXB47" s="117"/>
      <c r="HXC47" s="117"/>
      <c r="HXD47" s="117"/>
      <c r="HXE47" s="117"/>
      <c r="HXF47" s="117"/>
      <c r="HXG47" s="117"/>
      <c r="HXH47" s="117"/>
      <c r="HXI47" s="117"/>
      <c r="HXJ47" s="117"/>
      <c r="HXK47" s="117"/>
      <c r="HXL47" s="117"/>
      <c r="HXM47" s="117"/>
      <c r="HXN47" s="117"/>
      <c r="HXO47" s="117"/>
      <c r="HXP47" s="117"/>
      <c r="HXQ47" s="117"/>
      <c r="HXR47" s="117"/>
      <c r="HXS47" s="117"/>
      <c r="HXT47" s="117"/>
      <c r="HXU47" s="117"/>
      <c r="HXV47" s="117"/>
      <c r="HXW47" s="117"/>
      <c r="HXX47" s="117"/>
      <c r="HXY47" s="117"/>
      <c r="HXZ47" s="117"/>
      <c r="HYA47" s="117"/>
      <c r="HYB47" s="117"/>
      <c r="HYC47" s="117"/>
      <c r="HYD47" s="117"/>
      <c r="HYE47" s="117"/>
      <c r="HYF47" s="117"/>
      <c r="HYG47" s="117"/>
      <c r="HYH47" s="117"/>
      <c r="HYI47" s="117"/>
      <c r="HYJ47" s="117"/>
      <c r="HYK47" s="117"/>
      <c r="HYL47" s="117"/>
      <c r="HYM47" s="117"/>
      <c r="HYN47" s="117"/>
      <c r="HYO47" s="117"/>
      <c r="HYP47" s="117"/>
      <c r="HYQ47" s="117"/>
      <c r="HYR47" s="117"/>
      <c r="HYS47" s="117"/>
      <c r="HYT47" s="117"/>
      <c r="HYU47" s="117"/>
      <c r="HYV47" s="117"/>
      <c r="HYW47" s="117"/>
      <c r="HYX47" s="117"/>
      <c r="HYY47" s="117"/>
      <c r="HYZ47" s="117"/>
      <c r="HZA47" s="117"/>
      <c r="HZB47" s="117"/>
      <c r="HZC47" s="117"/>
      <c r="HZD47" s="117"/>
      <c r="HZE47" s="117"/>
      <c r="HZF47" s="117"/>
      <c r="HZG47" s="117"/>
      <c r="HZH47" s="117"/>
      <c r="HZI47" s="117"/>
      <c r="HZJ47" s="117"/>
      <c r="HZK47" s="117"/>
      <c r="HZL47" s="117"/>
      <c r="HZM47" s="117"/>
      <c r="HZN47" s="117"/>
      <c r="HZO47" s="117"/>
      <c r="HZP47" s="117"/>
      <c r="HZQ47" s="117"/>
      <c r="HZR47" s="117"/>
      <c r="HZS47" s="117"/>
      <c r="HZT47" s="117"/>
      <c r="HZU47" s="117"/>
      <c r="HZV47" s="117"/>
      <c r="HZW47" s="117"/>
      <c r="HZX47" s="117"/>
      <c r="HZY47" s="117"/>
      <c r="HZZ47" s="117"/>
      <c r="IAA47" s="117"/>
      <c r="IAB47" s="117"/>
      <c r="IAC47" s="117"/>
      <c r="IAD47" s="117"/>
      <c r="IAE47" s="117"/>
      <c r="IAF47" s="117"/>
      <c r="IAG47" s="117"/>
      <c r="IAH47" s="117"/>
      <c r="IAI47" s="117"/>
      <c r="IAJ47" s="117"/>
      <c r="IAK47" s="117"/>
      <c r="IAL47" s="117"/>
      <c r="IAM47" s="117"/>
      <c r="IAN47" s="117"/>
      <c r="IAO47" s="117"/>
      <c r="IAP47" s="117"/>
      <c r="IAQ47" s="117"/>
      <c r="IAR47" s="117"/>
      <c r="IAS47" s="117"/>
      <c r="IAT47" s="117"/>
      <c r="IAU47" s="117"/>
      <c r="IAV47" s="117"/>
      <c r="IAW47" s="117"/>
      <c r="IAX47" s="117"/>
      <c r="IAY47" s="117"/>
      <c r="IAZ47" s="117"/>
      <c r="IBA47" s="117"/>
      <c r="IBB47" s="117"/>
      <c r="IBC47" s="117"/>
      <c r="IBD47" s="117"/>
      <c r="IBE47" s="117"/>
      <c r="IBF47" s="117"/>
      <c r="IBG47" s="117"/>
      <c r="IBH47" s="117"/>
      <c r="IBI47" s="117"/>
      <c r="IBJ47" s="117"/>
      <c r="IBK47" s="117"/>
      <c r="IBL47" s="117"/>
      <c r="IBM47" s="117"/>
      <c r="IBN47" s="117"/>
      <c r="IBO47" s="117"/>
      <c r="IBP47" s="117"/>
      <c r="IBQ47" s="117"/>
      <c r="IBR47" s="117"/>
      <c r="IBS47" s="117"/>
      <c r="IBT47" s="117"/>
      <c r="IBU47" s="117"/>
      <c r="IBV47" s="117"/>
      <c r="IBW47" s="117"/>
      <c r="IBX47" s="117"/>
      <c r="IBY47" s="117"/>
      <c r="IBZ47" s="117"/>
      <c r="ICA47" s="117"/>
      <c r="ICB47" s="117"/>
      <c r="ICC47" s="117"/>
      <c r="ICD47" s="117"/>
      <c r="ICE47" s="117"/>
      <c r="ICF47" s="117"/>
      <c r="ICG47" s="117"/>
      <c r="ICH47" s="117"/>
      <c r="ICI47" s="117"/>
      <c r="ICJ47" s="117"/>
      <c r="ICK47" s="117"/>
      <c r="ICL47" s="117"/>
      <c r="ICM47" s="117"/>
      <c r="ICN47" s="117"/>
      <c r="ICO47" s="117"/>
      <c r="ICP47" s="117"/>
      <c r="ICQ47" s="117"/>
      <c r="ICR47" s="117"/>
      <c r="ICS47" s="117"/>
      <c r="ICT47" s="117"/>
      <c r="ICU47" s="117"/>
      <c r="ICV47" s="117"/>
      <c r="ICW47" s="117"/>
      <c r="ICX47" s="117"/>
      <c r="ICY47" s="117"/>
      <c r="ICZ47" s="117"/>
      <c r="IDA47" s="117"/>
      <c r="IDB47" s="117"/>
      <c r="IDC47" s="117"/>
      <c r="IDD47" s="117"/>
      <c r="IDE47" s="117"/>
      <c r="IDF47" s="117"/>
      <c r="IDG47" s="117"/>
      <c r="IDH47" s="117"/>
      <c r="IDI47" s="117"/>
      <c r="IDJ47" s="117"/>
      <c r="IDK47" s="117"/>
      <c r="IDL47" s="117"/>
      <c r="IDM47" s="117"/>
      <c r="IDN47" s="117"/>
      <c r="IDO47" s="117"/>
      <c r="IDP47" s="117"/>
      <c r="IDQ47" s="117"/>
      <c r="IDR47" s="117"/>
      <c r="IDS47" s="117"/>
      <c r="IDT47" s="117"/>
      <c r="IDU47" s="117"/>
      <c r="IDV47" s="117"/>
      <c r="IDW47" s="117"/>
      <c r="IDX47" s="117"/>
      <c r="IDY47" s="117"/>
      <c r="IDZ47" s="117"/>
      <c r="IEA47" s="117"/>
      <c r="IEB47" s="117"/>
      <c r="IEC47" s="117"/>
      <c r="IED47" s="117"/>
      <c r="IEE47" s="117"/>
      <c r="IEF47" s="117"/>
      <c r="IEG47" s="117"/>
      <c r="IEH47" s="117"/>
      <c r="IEI47" s="117"/>
      <c r="IEJ47" s="117"/>
      <c r="IEK47" s="117"/>
      <c r="IEL47" s="117"/>
      <c r="IEM47" s="117"/>
      <c r="IEN47" s="117"/>
      <c r="IEO47" s="117"/>
      <c r="IEP47" s="117"/>
      <c r="IEQ47" s="117"/>
      <c r="IER47" s="117"/>
      <c r="IES47" s="117"/>
      <c r="IET47" s="117"/>
      <c r="IEU47" s="117"/>
      <c r="IEV47" s="117"/>
      <c r="IEW47" s="117"/>
      <c r="IEX47" s="117"/>
      <c r="IEY47" s="117"/>
      <c r="IEZ47" s="117"/>
      <c r="IFA47" s="117"/>
      <c r="IFB47" s="117"/>
      <c r="IFC47" s="117"/>
      <c r="IFD47" s="117"/>
      <c r="IFE47" s="117"/>
      <c r="IFF47" s="117"/>
      <c r="IFG47" s="117"/>
      <c r="IFH47" s="117"/>
      <c r="IFI47" s="117"/>
      <c r="IFJ47" s="117"/>
      <c r="IFK47" s="117"/>
      <c r="IFL47" s="117"/>
      <c r="IFM47" s="117"/>
      <c r="IFN47" s="117"/>
      <c r="IFO47" s="117"/>
      <c r="IFP47" s="117"/>
      <c r="IFQ47" s="117"/>
      <c r="IFR47" s="117"/>
      <c r="IFS47" s="117"/>
      <c r="IFT47" s="117"/>
      <c r="IFU47" s="117"/>
      <c r="IFV47" s="117"/>
      <c r="IFW47" s="117"/>
      <c r="IFX47" s="117"/>
      <c r="IFY47" s="117"/>
      <c r="IFZ47" s="117"/>
      <c r="IGA47" s="117"/>
      <c r="IGB47" s="117"/>
      <c r="IGC47" s="117"/>
      <c r="IGD47" s="117"/>
      <c r="IGE47" s="117"/>
      <c r="IGF47" s="117"/>
      <c r="IGG47" s="117"/>
      <c r="IGH47" s="117"/>
      <c r="IGI47" s="117"/>
      <c r="IGJ47" s="117"/>
      <c r="IGK47" s="117"/>
      <c r="IGL47" s="117"/>
      <c r="IGM47" s="117"/>
      <c r="IGN47" s="117"/>
      <c r="IGO47" s="117"/>
      <c r="IGP47" s="117"/>
      <c r="IGQ47" s="117"/>
      <c r="IGR47" s="117"/>
      <c r="IGS47" s="117"/>
      <c r="IGT47" s="117"/>
      <c r="IGU47" s="117"/>
      <c r="IGV47" s="117"/>
      <c r="IGW47" s="117"/>
      <c r="IGX47" s="117"/>
      <c r="IGY47" s="117"/>
      <c r="IGZ47" s="117"/>
      <c r="IHA47" s="117"/>
      <c r="IHB47" s="117"/>
      <c r="IHC47" s="117"/>
      <c r="IHD47" s="117"/>
      <c r="IHE47" s="117"/>
      <c r="IHF47" s="117"/>
      <c r="IHG47" s="117"/>
      <c r="IHH47" s="117"/>
      <c r="IHI47" s="117"/>
      <c r="IHJ47" s="117"/>
      <c r="IHK47" s="117"/>
      <c r="IHL47" s="117"/>
      <c r="IHM47" s="117"/>
      <c r="IHN47" s="117"/>
      <c r="IHO47" s="117"/>
      <c r="IHP47" s="117"/>
      <c r="IHQ47" s="117"/>
      <c r="IHR47" s="117"/>
      <c r="IHS47" s="117"/>
      <c r="IHT47" s="117"/>
      <c r="IHU47" s="117"/>
      <c r="IHV47" s="117"/>
      <c r="IHW47" s="117"/>
      <c r="IHX47" s="117"/>
      <c r="IHY47" s="117"/>
      <c r="IHZ47" s="117"/>
      <c r="IIA47" s="117"/>
      <c r="IIB47" s="117"/>
      <c r="IIC47" s="117"/>
      <c r="IID47" s="117"/>
      <c r="IIE47" s="117"/>
      <c r="IIF47" s="117"/>
      <c r="IIG47" s="117"/>
      <c r="IIH47" s="117"/>
      <c r="III47" s="117"/>
      <c r="IIJ47" s="117"/>
      <c r="IIK47" s="117"/>
      <c r="IIL47" s="117"/>
      <c r="IIM47" s="117"/>
      <c r="IIN47" s="117"/>
      <c r="IIO47" s="117"/>
      <c r="IIP47" s="117"/>
      <c r="IIQ47" s="117"/>
      <c r="IIR47" s="117"/>
      <c r="IIS47" s="117"/>
      <c r="IIT47" s="117"/>
      <c r="IIU47" s="117"/>
      <c r="IIV47" s="117"/>
      <c r="IIW47" s="117"/>
      <c r="IIX47" s="117"/>
      <c r="IIY47" s="117"/>
      <c r="IIZ47" s="117"/>
      <c r="IJA47" s="117"/>
      <c r="IJB47" s="117"/>
      <c r="IJC47" s="117"/>
      <c r="IJD47" s="117"/>
      <c r="IJE47" s="117"/>
      <c r="IJF47" s="117"/>
      <c r="IJG47" s="117"/>
      <c r="IJH47" s="117"/>
      <c r="IJI47" s="117"/>
      <c r="IJJ47" s="117"/>
      <c r="IJK47" s="117"/>
      <c r="IJL47" s="117"/>
      <c r="IJM47" s="117"/>
      <c r="IJN47" s="117"/>
      <c r="IJO47" s="117"/>
      <c r="IJP47" s="117"/>
      <c r="IJQ47" s="117"/>
      <c r="IJR47" s="117"/>
      <c r="IJS47" s="117"/>
      <c r="IJT47" s="117"/>
      <c r="IJU47" s="117"/>
      <c r="IJV47" s="117"/>
      <c r="IJW47" s="117"/>
      <c r="IJX47" s="117"/>
      <c r="IJY47" s="117"/>
      <c r="IJZ47" s="117"/>
      <c r="IKA47" s="117"/>
      <c r="IKB47" s="117"/>
      <c r="IKC47" s="117"/>
      <c r="IKD47" s="117"/>
      <c r="IKE47" s="117"/>
      <c r="IKF47" s="117"/>
      <c r="IKG47" s="117"/>
      <c r="IKH47" s="117"/>
      <c r="IKI47" s="117"/>
      <c r="IKJ47" s="117"/>
      <c r="IKK47" s="117"/>
      <c r="IKL47" s="117"/>
      <c r="IKM47" s="117"/>
      <c r="IKN47" s="117"/>
      <c r="IKO47" s="117"/>
      <c r="IKP47" s="117"/>
      <c r="IKQ47" s="117"/>
      <c r="IKR47" s="117"/>
      <c r="IKS47" s="117"/>
      <c r="IKT47" s="117"/>
      <c r="IKU47" s="117"/>
      <c r="IKV47" s="117"/>
      <c r="IKW47" s="117"/>
      <c r="IKX47" s="117"/>
      <c r="IKY47" s="117"/>
      <c r="IKZ47" s="117"/>
      <c r="ILA47" s="117"/>
      <c r="ILB47" s="117"/>
      <c r="ILC47" s="117"/>
      <c r="ILD47" s="117"/>
      <c r="ILE47" s="117"/>
      <c r="ILF47" s="117"/>
      <c r="ILG47" s="117"/>
      <c r="ILH47" s="117"/>
      <c r="ILI47" s="117"/>
      <c r="ILJ47" s="117"/>
      <c r="ILK47" s="117"/>
      <c r="ILL47" s="117"/>
      <c r="ILM47" s="117"/>
      <c r="ILN47" s="117"/>
      <c r="ILO47" s="117"/>
      <c r="ILP47" s="117"/>
      <c r="ILQ47" s="117"/>
      <c r="ILR47" s="117"/>
      <c r="ILS47" s="117"/>
      <c r="ILT47" s="117"/>
      <c r="ILU47" s="117"/>
      <c r="ILV47" s="117"/>
      <c r="ILW47" s="117"/>
      <c r="ILX47" s="117"/>
      <c r="ILY47" s="117"/>
      <c r="ILZ47" s="117"/>
      <c r="IMA47" s="117"/>
      <c r="IMB47" s="117"/>
      <c r="IMC47" s="117"/>
      <c r="IMD47" s="117"/>
      <c r="IME47" s="117"/>
      <c r="IMF47" s="117"/>
      <c r="IMG47" s="117"/>
      <c r="IMH47" s="117"/>
      <c r="IMI47" s="117"/>
      <c r="IMJ47" s="117"/>
      <c r="IMK47" s="117"/>
      <c r="IML47" s="117"/>
      <c r="IMM47" s="117"/>
      <c r="IMN47" s="117"/>
      <c r="IMO47" s="117"/>
      <c r="IMP47" s="117"/>
      <c r="IMQ47" s="117"/>
      <c r="IMR47" s="117"/>
      <c r="IMS47" s="117"/>
      <c r="IMT47" s="117"/>
      <c r="IMU47" s="117"/>
      <c r="IMV47" s="117"/>
      <c r="IMW47" s="117"/>
      <c r="IMX47" s="117"/>
      <c r="IMY47" s="117"/>
      <c r="IMZ47" s="117"/>
      <c r="INA47" s="117"/>
      <c r="INB47" s="117"/>
      <c r="INC47" s="117"/>
      <c r="IND47" s="117"/>
      <c r="INE47" s="117"/>
      <c r="INF47" s="117"/>
      <c r="ING47" s="117"/>
      <c r="INH47" s="117"/>
      <c r="INI47" s="117"/>
      <c r="INJ47" s="117"/>
      <c r="INK47" s="117"/>
      <c r="INL47" s="117"/>
      <c r="INM47" s="117"/>
      <c r="INN47" s="117"/>
      <c r="INO47" s="117"/>
      <c r="INP47" s="117"/>
      <c r="INQ47" s="117"/>
      <c r="INR47" s="117"/>
      <c r="INS47" s="117"/>
      <c r="INT47" s="117"/>
      <c r="INU47" s="117"/>
      <c r="INV47" s="117"/>
      <c r="INW47" s="117"/>
      <c r="INX47" s="117"/>
      <c r="INY47" s="117"/>
      <c r="INZ47" s="117"/>
      <c r="IOA47" s="117"/>
      <c r="IOB47" s="117"/>
      <c r="IOC47" s="117"/>
      <c r="IOD47" s="117"/>
      <c r="IOE47" s="117"/>
      <c r="IOF47" s="117"/>
      <c r="IOG47" s="117"/>
      <c r="IOH47" s="117"/>
      <c r="IOI47" s="117"/>
      <c r="IOJ47" s="117"/>
      <c r="IOK47" s="117"/>
      <c r="IOL47" s="117"/>
      <c r="IOM47" s="117"/>
      <c r="ION47" s="117"/>
      <c r="IOO47" s="117"/>
      <c r="IOP47" s="117"/>
      <c r="IOQ47" s="117"/>
      <c r="IOR47" s="117"/>
      <c r="IOS47" s="117"/>
      <c r="IOT47" s="117"/>
      <c r="IOU47" s="117"/>
      <c r="IOV47" s="117"/>
      <c r="IOW47" s="117"/>
      <c r="IOX47" s="117"/>
      <c r="IOY47" s="117"/>
      <c r="IOZ47" s="117"/>
      <c r="IPA47" s="117"/>
      <c r="IPB47" s="117"/>
      <c r="IPC47" s="117"/>
      <c r="IPD47" s="117"/>
      <c r="IPE47" s="117"/>
      <c r="IPF47" s="117"/>
      <c r="IPG47" s="117"/>
      <c r="IPH47" s="117"/>
      <c r="IPI47" s="117"/>
      <c r="IPJ47" s="117"/>
      <c r="IPK47" s="117"/>
      <c r="IPL47" s="117"/>
      <c r="IPM47" s="117"/>
      <c r="IPN47" s="117"/>
      <c r="IPO47" s="117"/>
      <c r="IPP47" s="117"/>
      <c r="IPQ47" s="117"/>
      <c r="IPR47" s="117"/>
      <c r="IPS47" s="117"/>
      <c r="IPT47" s="117"/>
      <c r="IPU47" s="117"/>
      <c r="IPV47" s="117"/>
      <c r="IPW47" s="117"/>
      <c r="IPX47" s="117"/>
      <c r="IPY47" s="117"/>
      <c r="IPZ47" s="117"/>
      <c r="IQA47" s="117"/>
      <c r="IQB47" s="117"/>
      <c r="IQC47" s="117"/>
      <c r="IQD47" s="117"/>
      <c r="IQE47" s="117"/>
      <c r="IQF47" s="117"/>
      <c r="IQG47" s="117"/>
      <c r="IQH47" s="117"/>
      <c r="IQI47" s="117"/>
      <c r="IQJ47" s="117"/>
      <c r="IQK47" s="117"/>
      <c r="IQL47" s="117"/>
      <c r="IQM47" s="117"/>
      <c r="IQN47" s="117"/>
      <c r="IQO47" s="117"/>
      <c r="IQP47" s="117"/>
      <c r="IQQ47" s="117"/>
      <c r="IQR47" s="117"/>
      <c r="IQS47" s="117"/>
      <c r="IQT47" s="117"/>
      <c r="IQU47" s="117"/>
      <c r="IQV47" s="117"/>
      <c r="IQW47" s="117"/>
      <c r="IQX47" s="117"/>
      <c r="IQY47" s="117"/>
      <c r="IQZ47" s="117"/>
      <c r="IRA47" s="117"/>
      <c r="IRB47" s="117"/>
      <c r="IRC47" s="117"/>
      <c r="IRD47" s="117"/>
      <c r="IRE47" s="117"/>
      <c r="IRF47" s="117"/>
      <c r="IRG47" s="117"/>
      <c r="IRH47" s="117"/>
      <c r="IRI47" s="117"/>
      <c r="IRJ47" s="117"/>
      <c r="IRK47" s="117"/>
      <c r="IRL47" s="117"/>
      <c r="IRM47" s="117"/>
      <c r="IRN47" s="117"/>
      <c r="IRO47" s="117"/>
      <c r="IRP47" s="117"/>
      <c r="IRQ47" s="117"/>
      <c r="IRR47" s="117"/>
      <c r="IRS47" s="117"/>
      <c r="IRT47" s="117"/>
      <c r="IRU47" s="117"/>
      <c r="IRV47" s="117"/>
      <c r="IRW47" s="117"/>
      <c r="IRX47" s="117"/>
      <c r="IRY47" s="117"/>
      <c r="IRZ47" s="117"/>
      <c r="ISA47" s="117"/>
      <c r="ISB47" s="117"/>
      <c r="ISC47" s="117"/>
      <c r="ISD47" s="117"/>
      <c r="ISE47" s="117"/>
      <c r="ISF47" s="117"/>
      <c r="ISG47" s="117"/>
      <c r="ISH47" s="117"/>
      <c r="ISI47" s="117"/>
      <c r="ISJ47" s="117"/>
      <c r="ISK47" s="117"/>
      <c r="ISL47" s="117"/>
      <c r="ISM47" s="117"/>
      <c r="ISN47" s="117"/>
      <c r="ISO47" s="117"/>
      <c r="ISP47" s="117"/>
      <c r="ISQ47" s="117"/>
      <c r="ISR47" s="117"/>
      <c r="ISS47" s="117"/>
      <c r="IST47" s="117"/>
      <c r="ISU47" s="117"/>
      <c r="ISV47" s="117"/>
      <c r="ISW47" s="117"/>
      <c r="ISX47" s="117"/>
      <c r="ISY47" s="117"/>
      <c r="ISZ47" s="117"/>
      <c r="ITA47" s="117"/>
      <c r="ITB47" s="117"/>
      <c r="ITC47" s="117"/>
      <c r="ITD47" s="117"/>
      <c r="ITE47" s="117"/>
      <c r="ITF47" s="117"/>
      <c r="ITG47" s="117"/>
      <c r="ITH47" s="117"/>
      <c r="ITI47" s="117"/>
      <c r="ITJ47" s="117"/>
      <c r="ITK47" s="117"/>
      <c r="ITL47" s="117"/>
      <c r="ITM47" s="117"/>
      <c r="ITN47" s="117"/>
      <c r="ITO47" s="117"/>
      <c r="ITP47" s="117"/>
      <c r="ITQ47" s="117"/>
      <c r="ITR47" s="117"/>
      <c r="ITS47" s="117"/>
      <c r="ITT47" s="117"/>
      <c r="ITU47" s="117"/>
      <c r="ITV47" s="117"/>
      <c r="ITW47" s="117"/>
      <c r="ITX47" s="117"/>
      <c r="ITY47" s="117"/>
      <c r="ITZ47" s="117"/>
      <c r="IUA47" s="117"/>
      <c r="IUB47" s="117"/>
      <c r="IUC47" s="117"/>
      <c r="IUD47" s="117"/>
      <c r="IUE47" s="117"/>
      <c r="IUF47" s="117"/>
      <c r="IUG47" s="117"/>
      <c r="IUH47" s="117"/>
      <c r="IUI47" s="117"/>
      <c r="IUJ47" s="117"/>
      <c r="IUK47" s="117"/>
      <c r="IUL47" s="117"/>
      <c r="IUM47" s="117"/>
      <c r="IUN47" s="117"/>
      <c r="IUO47" s="117"/>
      <c r="IUP47" s="117"/>
      <c r="IUQ47" s="117"/>
      <c r="IUR47" s="117"/>
      <c r="IUS47" s="117"/>
      <c r="IUT47" s="117"/>
      <c r="IUU47" s="117"/>
      <c r="IUV47" s="117"/>
      <c r="IUW47" s="117"/>
      <c r="IUX47" s="117"/>
      <c r="IUY47" s="117"/>
      <c r="IUZ47" s="117"/>
      <c r="IVA47" s="117"/>
      <c r="IVB47" s="117"/>
      <c r="IVC47" s="117"/>
      <c r="IVD47" s="117"/>
      <c r="IVE47" s="117"/>
      <c r="IVF47" s="117"/>
      <c r="IVG47" s="117"/>
      <c r="IVH47" s="117"/>
      <c r="IVI47" s="117"/>
      <c r="IVJ47" s="117"/>
      <c r="IVK47" s="117"/>
      <c r="IVL47" s="117"/>
      <c r="IVM47" s="117"/>
      <c r="IVN47" s="117"/>
      <c r="IVO47" s="117"/>
      <c r="IVP47" s="117"/>
      <c r="IVQ47" s="117"/>
      <c r="IVR47" s="117"/>
      <c r="IVS47" s="117"/>
      <c r="IVT47" s="117"/>
      <c r="IVU47" s="117"/>
      <c r="IVV47" s="117"/>
      <c r="IVW47" s="117"/>
      <c r="IVX47" s="117"/>
      <c r="IVY47" s="117"/>
      <c r="IVZ47" s="117"/>
      <c r="IWA47" s="117"/>
      <c r="IWB47" s="117"/>
      <c r="IWC47" s="117"/>
      <c r="IWD47" s="117"/>
      <c r="IWE47" s="117"/>
      <c r="IWF47" s="117"/>
      <c r="IWG47" s="117"/>
      <c r="IWH47" s="117"/>
      <c r="IWI47" s="117"/>
      <c r="IWJ47" s="117"/>
      <c r="IWK47" s="117"/>
      <c r="IWL47" s="117"/>
      <c r="IWM47" s="117"/>
      <c r="IWN47" s="117"/>
      <c r="IWO47" s="117"/>
      <c r="IWP47" s="117"/>
      <c r="IWQ47" s="117"/>
      <c r="IWR47" s="117"/>
      <c r="IWS47" s="117"/>
      <c r="IWT47" s="117"/>
      <c r="IWU47" s="117"/>
      <c r="IWV47" s="117"/>
      <c r="IWW47" s="117"/>
      <c r="IWX47" s="117"/>
      <c r="IWY47" s="117"/>
      <c r="IWZ47" s="117"/>
      <c r="IXA47" s="117"/>
      <c r="IXB47" s="117"/>
      <c r="IXC47" s="117"/>
      <c r="IXD47" s="117"/>
      <c r="IXE47" s="117"/>
      <c r="IXF47" s="117"/>
      <c r="IXG47" s="117"/>
      <c r="IXH47" s="117"/>
      <c r="IXI47" s="117"/>
      <c r="IXJ47" s="117"/>
      <c r="IXK47" s="117"/>
      <c r="IXL47" s="117"/>
      <c r="IXM47" s="117"/>
      <c r="IXN47" s="117"/>
      <c r="IXO47" s="117"/>
      <c r="IXP47" s="117"/>
      <c r="IXQ47" s="117"/>
      <c r="IXR47" s="117"/>
      <c r="IXS47" s="117"/>
      <c r="IXT47" s="117"/>
      <c r="IXU47" s="117"/>
      <c r="IXV47" s="117"/>
      <c r="IXW47" s="117"/>
      <c r="IXX47" s="117"/>
      <c r="IXY47" s="117"/>
      <c r="IXZ47" s="117"/>
      <c r="IYA47" s="117"/>
      <c r="IYB47" s="117"/>
      <c r="IYC47" s="117"/>
      <c r="IYD47" s="117"/>
      <c r="IYE47" s="117"/>
      <c r="IYF47" s="117"/>
      <c r="IYG47" s="117"/>
      <c r="IYH47" s="117"/>
      <c r="IYI47" s="117"/>
      <c r="IYJ47" s="117"/>
      <c r="IYK47" s="117"/>
      <c r="IYL47" s="117"/>
      <c r="IYM47" s="117"/>
      <c r="IYN47" s="117"/>
      <c r="IYO47" s="117"/>
      <c r="IYP47" s="117"/>
      <c r="IYQ47" s="117"/>
      <c r="IYR47" s="117"/>
      <c r="IYS47" s="117"/>
      <c r="IYT47" s="117"/>
      <c r="IYU47" s="117"/>
      <c r="IYV47" s="117"/>
      <c r="IYW47" s="117"/>
      <c r="IYX47" s="117"/>
      <c r="IYY47" s="117"/>
      <c r="IYZ47" s="117"/>
      <c r="IZA47" s="117"/>
      <c r="IZB47" s="117"/>
      <c r="IZC47" s="117"/>
      <c r="IZD47" s="117"/>
      <c r="IZE47" s="117"/>
      <c r="IZF47" s="117"/>
      <c r="IZG47" s="117"/>
      <c r="IZH47" s="117"/>
      <c r="IZI47" s="117"/>
      <c r="IZJ47" s="117"/>
      <c r="IZK47" s="117"/>
      <c r="IZL47" s="117"/>
      <c r="IZM47" s="117"/>
      <c r="IZN47" s="117"/>
      <c r="IZO47" s="117"/>
      <c r="IZP47" s="117"/>
      <c r="IZQ47" s="117"/>
      <c r="IZR47" s="117"/>
      <c r="IZS47" s="117"/>
      <c r="IZT47" s="117"/>
      <c r="IZU47" s="117"/>
      <c r="IZV47" s="117"/>
      <c r="IZW47" s="117"/>
      <c r="IZX47" s="117"/>
      <c r="IZY47" s="117"/>
      <c r="IZZ47" s="117"/>
      <c r="JAA47" s="117"/>
      <c r="JAB47" s="117"/>
      <c r="JAC47" s="117"/>
      <c r="JAD47" s="117"/>
      <c r="JAE47" s="117"/>
      <c r="JAF47" s="117"/>
      <c r="JAG47" s="117"/>
      <c r="JAH47" s="117"/>
      <c r="JAI47" s="117"/>
      <c r="JAJ47" s="117"/>
      <c r="JAK47" s="117"/>
      <c r="JAL47" s="117"/>
      <c r="JAM47" s="117"/>
      <c r="JAN47" s="117"/>
      <c r="JAO47" s="117"/>
      <c r="JAP47" s="117"/>
      <c r="JAQ47" s="117"/>
      <c r="JAR47" s="117"/>
      <c r="JAS47" s="117"/>
      <c r="JAT47" s="117"/>
      <c r="JAU47" s="117"/>
      <c r="JAV47" s="117"/>
      <c r="JAW47" s="117"/>
      <c r="JAX47" s="117"/>
      <c r="JAY47" s="117"/>
      <c r="JAZ47" s="117"/>
      <c r="JBA47" s="117"/>
      <c r="JBB47" s="117"/>
      <c r="JBC47" s="117"/>
      <c r="JBD47" s="117"/>
      <c r="JBE47" s="117"/>
      <c r="JBF47" s="117"/>
      <c r="JBG47" s="117"/>
      <c r="JBH47" s="117"/>
      <c r="JBI47" s="117"/>
      <c r="JBJ47" s="117"/>
      <c r="JBK47" s="117"/>
      <c r="JBL47" s="117"/>
      <c r="JBM47" s="117"/>
      <c r="JBN47" s="117"/>
      <c r="JBO47" s="117"/>
      <c r="JBP47" s="117"/>
      <c r="JBQ47" s="117"/>
      <c r="JBR47" s="117"/>
      <c r="JBS47" s="117"/>
      <c r="JBT47" s="117"/>
      <c r="JBU47" s="117"/>
      <c r="JBV47" s="117"/>
      <c r="JBW47" s="117"/>
      <c r="JBX47" s="117"/>
      <c r="JBY47" s="117"/>
      <c r="JBZ47" s="117"/>
      <c r="JCA47" s="117"/>
      <c r="JCB47" s="117"/>
      <c r="JCC47" s="117"/>
      <c r="JCD47" s="117"/>
      <c r="JCE47" s="117"/>
      <c r="JCF47" s="117"/>
      <c r="JCG47" s="117"/>
      <c r="JCH47" s="117"/>
      <c r="JCI47" s="117"/>
      <c r="JCJ47" s="117"/>
      <c r="JCK47" s="117"/>
      <c r="JCL47" s="117"/>
      <c r="JCM47" s="117"/>
      <c r="JCN47" s="117"/>
      <c r="JCO47" s="117"/>
      <c r="JCP47" s="117"/>
      <c r="JCQ47" s="117"/>
      <c r="JCR47" s="117"/>
      <c r="JCS47" s="117"/>
      <c r="JCT47" s="117"/>
      <c r="JCU47" s="117"/>
      <c r="JCV47" s="117"/>
      <c r="JCW47" s="117"/>
      <c r="JCX47" s="117"/>
      <c r="JCY47" s="117"/>
      <c r="JCZ47" s="117"/>
      <c r="JDA47" s="117"/>
      <c r="JDB47" s="117"/>
      <c r="JDC47" s="117"/>
      <c r="JDD47" s="117"/>
      <c r="JDE47" s="117"/>
      <c r="JDF47" s="117"/>
      <c r="JDG47" s="117"/>
      <c r="JDH47" s="117"/>
      <c r="JDI47" s="117"/>
      <c r="JDJ47" s="117"/>
      <c r="JDK47" s="117"/>
      <c r="JDL47" s="117"/>
      <c r="JDM47" s="117"/>
      <c r="JDN47" s="117"/>
      <c r="JDO47" s="117"/>
      <c r="JDP47" s="117"/>
      <c r="JDQ47" s="117"/>
      <c r="JDR47" s="117"/>
      <c r="JDS47" s="117"/>
      <c r="JDT47" s="117"/>
      <c r="JDU47" s="117"/>
      <c r="JDV47" s="117"/>
      <c r="JDW47" s="117"/>
      <c r="JDX47" s="117"/>
      <c r="JDY47" s="117"/>
      <c r="JDZ47" s="117"/>
      <c r="JEA47" s="117"/>
      <c r="JEB47" s="117"/>
      <c r="JEC47" s="117"/>
      <c r="JED47" s="117"/>
      <c r="JEE47" s="117"/>
      <c r="JEF47" s="117"/>
      <c r="JEG47" s="117"/>
      <c r="JEH47" s="117"/>
      <c r="JEI47" s="117"/>
      <c r="JEJ47" s="117"/>
      <c r="JEK47" s="117"/>
      <c r="JEL47" s="117"/>
      <c r="JEM47" s="117"/>
      <c r="JEN47" s="117"/>
      <c r="JEO47" s="117"/>
      <c r="JEP47" s="117"/>
      <c r="JEQ47" s="117"/>
      <c r="JER47" s="117"/>
      <c r="JES47" s="117"/>
      <c r="JET47" s="117"/>
      <c r="JEU47" s="117"/>
      <c r="JEV47" s="117"/>
      <c r="JEW47" s="117"/>
      <c r="JEX47" s="117"/>
      <c r="JEY47" s="117"/>
      <c r="JEZ47" s="117"/>
      <c r="JFA47" s="117"/>
      <c r="JFB47" s="117"/>
      <c r="JFC47" s="117"/>
      <c r="JFD47" s="117"/>
      <c r="JFE47" s="117"/>
      <c r="JFF47" s="117"/>
      <c r="JFG47" s="117"/>
      <c r="JFH47" s="117"/>
      <c r="JFI47" s="117"/>
      <c r="JFJ47" s="117"/>
      <c r="JFK47" s="117"/>
      <c r="JFL47" s="117"/>
      <c r="JFM47" s="117"/>
      <c r="JFN47" s="117"/>
      <c r="JFO47" s="117"/>
      <c r="JFP47" s="117"/>
      <c r="JFQ47" s="117"/>
      <c r="JFR47" s="117"/>
      <c r="JFS47" s="117"/>
      <c r="JFT47" s="117"/>
      <c r="JFU47" s="117"/>
      <c r="JFV47" s="117"/>
      <c r="JFW47" s="117"/>
      <c r="JFX47" s="117"/>
      <c r="JFY47" s="117"/>
      <c r="JFZ47" s="117"/>
      <c r="JGA47" s="117"/>
      <c r="JGB47" s="117"/>
      <c r="JGC47" s="117"/>
      <c r="JGD47" s="117"/>
      <c r="JGE47" s="117"/>
      <c r="JGF47" s="117"/>
      <c r="JGG47" s="117"/>
      <c r="JGH47" s="117"/>
      <c r="JGI47" s="117"/>
      <c r="JGJ47" s="117"/>
      <c r="JGK47" s="117"/>
      <c r="JGL47" s="117"/>
      <c r="JGM47" s="117"/>
      <c r="JGN47" s="117"/>
      <c r="JGO47" s="117"/>
      <c r="JGP47" s="117"/>
      <c r="JGQ47" s="117"/>
      <c r="JGR47" s="117"/>
      <c r="JGS47" s="117"/>
      <c r="JGT47" s="117"/>
      <c r="JGU47" s="117"/>
      <c r="JGV47" s="117"/>
      <c r="JGW47" s="117"/>
      <c r="JGX47" s="117"/>
      <c r="JGY47" s="117"/>
      <c r="JGZ47" s="117"/>
      <c r="JHA47" s="117"/>
      <c r="JHB47" s="117"/>
      <c r="JHC47" s="117"/>
      <c r="JHD47" s="117"/>
      <c r="JHE47" s="117"/>
      <c r="JHF47" s="117"/>
      <c r="JHG47" s="117"/>
      <c r="JHH47" s="117"/>
      <c r="JHI47" s="117"/>
      <c r="JHJ47" s="117"/>
      <c r="JHK47" s="117"/>
      <c r="JHL47" s="117"/>
      <c r="JHM47" s="117"/>
      <c r="JHN47" s="117"/>
      <c r="JHO47" s="117"/>
      <c r="JHP47" s="117"/>
      <c r="JHQ47" s="117"/>
      <c r="JHR47" s="117"/>
      <c r="JHS47" s="117"/>
      <c r="JHT47" s="117"/>
      <c r="JHU47" s="117"/>
      <c r="JHV47" s="117"/>
      <c r="JHW47" s="117"/>
      <c r="JHX47" s="117"/>
      <c r="JHY47" s="117"/>
      <c r="JHZ47" s="117"/>
      <c r="JIA47" s="117"/>
      <c r="JIB47" s="117"/>
      <c r="JIC47" s="117"/>
      <c r="JID47" s="117"/>
      <c r="JIE47" s="117"/>
      <c r="JIF47" s="117"/>
      <c r="JIG47" s="117"/>
      <c r="JIH47" s="117"/>
      <c r="JII47" s="117"/>
      <c r="JIJ47" s="117"/>
      <c r="JIK47" s="117"/>
      <c r="JIL47" s="117"/>
      <c r="JIM47" s="117"/>
      <c r="JIN47" s="117"/>
      <c r="JIO47" s="117"/>
      <c r="JIP47" s="117"/>
      <c r="JIQ47" s="117"/>
      <c r="JIR47" s="117"/>
      <c r="JIS47" s="117"/>
      <c r="JIT47" s="117"/>
      <c r="JIU47" s="117"/>
      <c r="JIV47" s="117"/>
      <c r="JIW47" s="117"/>
      <c r="JIX47" s="117"/>
      <c r="JIY47" s="117"/>
      <c r="JIZ47" s="117"/>
      <c r="JJA47" s="117"/>
      <c r="JJB47" s="117"/>
      <c r="JJC47" s="117"/>
      <c r="JJD47" s="117"/>
      <c r="JJE47" s="117"/>
      <c r="JJF47" s="117"/>
      <c r="JJG47" s="117"/>
      <c r="JJH47" s="117"/>
      <c r="JJI47" s="117"/>
      <c r="JJJ47" s="117"/>
      <c r="JJK47" s="117"/>
      <c r="JJL47" s="117"/>
      <c r="JJM47" s="117"/>
      <c r="JJN47" s="117"/>
      <c r="JJO47" s="117"/>
      <c r="JJP47" s="117"/>
      <c r="JJQ47" s="117"/>
      <c r="JJR47" s="117"/>
      <c r="JJS47" s="117"/>
      <c r="JJT47" s="117"/>
      <c r="JJU47" s="117"/>
      <c r="JJV47" s="117"/>
      <c r="JJW47" s="117"/>
      <c r="JJX47" s="117"/>
      <c r="JJY47" s="117"/>
      <c r="JJZ47" s="117"/>
      <c r="JKA47" s="117"/>
      <c r="JKB47" s="117"/>
      <c r="JKC47" s="117"/>
      <c r="JKD47" s="117"/>
      <c r="JKE47" s="117"/>
      <c r="JKF47" s="117"/>
      <c r="JKG47" s="117"/>
      <c r="JKH47" s="117"/>
      <c r="JKI47" s="117"/>
      <c r="JKJ47" s="117"/>
      <c r="JKK47" s="117"/>
      <c r="JKL47" s="117"/>
      <c r="JKM47" s="117"/>
      <c r="JKN47" s="117"/>
      <c r="JKO47" s="117"/>
      <c r="JKP47" s="117"/>
      <c r="JKQ47" s="117"/>
      <c r="JKR47" s="117"/>
      <c r="JKS47" s="117"/>
      <c r="JKT47" s="117"/>
      <c r="JKU47" s="117"/>
      <c r="JKV47" s="117"/>
      <c r="JKW47" s="117"/>
      <c r="JKX47" s="117"/>
      <c r="JKY47" s="117"/>
      <c r="JKZ47" s="117"/>
      <c r="JLA47" s="117"/>
      <c r="JLB47" s="117"/>
      <c r="JLC47" s="117"/>
      <c r="JLD47" s="117"/>
      <c r="JLE47" s="117"/>
      <c r="JLF47" s="117"/>
      <c r="JLG47" s="117"/>
      <c r="JLH47" s="117"/>
      <c r="JLI47" s="117"/>
      <c r="JLJ47" s="117"/>
      <c r="JLK47" s="117"/>
      <c r="JLL47" s="117"/>
      <c r="JLM47" s="117"/>
      <c r="JLN47" s="117"/>
      <c r="JLO47" s="117"/>
      <c r="JLP47" s="117"/>
      <c r="JLQ47" s="117"/>
      <c r="JLR47" s="117"/>
      <c r="JLS47" s="117"/>
      <c r="JLT47" s="117"/>
      <c r="JLU47" s="117"/>
      <c r="JLV47" s="117"/>
      <c r="JLW47" s="117"/>
      <c r="JLX47" s="117"/>
      <c r="JLY47" s="117"/>
      <c r="JLZ47" s="117"/>
      <c r="JMA47" s="117"/>
      <c r="JMB47" s="117"/>
      <c r="JMC47" s="117"/>
      <c r="JMD47" s="117"/>
      <c r="JME47" s="117"/>
      <c r="JMF47" s="117"/>
      <c r="JMG47" s="117"/>
      <c r="JMH47" s="117"/>
      <c r="JMI47" s="117"/>
      <c r="JMJ47" s="117"/>
      <c r="JMK47" s="117"/>
      <c r="JML47" s="117"/>
      <c r="JMM47" s="117"/>
      <c r="JMN47" s="117"/>
      <c r="JMO47" s="117"/>
      <c r="JMP47" s="117"/>
      <c r="JMQ47" s="117"/>
      <c r="JMR47" s="117"/>
      <c r="JMS47" s="117"/>
      <c r="JMT47" s="117"/>
      <c r="JMU47" s="117"/>
      <c r="JMV47" s="117"/>
      <c r="JMW47" s="117"/>
      <c r="JMX47" s="117"/>
      <c r="JMY47" s="117"/>
      <c r="JMZ47" s="117"/>
      <c r="JNA47" s="117"/>
      <c r="JNB47" s="117"/>
      <c r="JNC47" s="117"/>
      <c r="JND47" s="117"/>
      <c r="JNE47" s="117"/>
      <c r="JNF47" s="117"/>
      <c r="JNG47" s="117"/>
      <c r="JNH47" s="117"/>
      <c r="JNI47" s="117"/>
      <c r="JNJ47" s="117"/>
      <c r="JNK47" s="117"/>
      <c r="JNL47" s="117"/>
      <c r="JNM47" s="117"/>
      <c r="JNN47" s="117"/>
      <c r="JNO47" s="117"/>
      <c r="JNP47" s="117"/>
      <c r="JNQ47" s="117"/>
      <c r="JNR47" s="117"/>
      <c r="JNS47" s="117"/>
      <c r="JNT47" s="117"/>
      <c r="JNU47" s="117"/>
      <c r="JNV47" s="117"/>
      <c r="JNW47" s="117"/>
      <c r="JNX47" s="117"/>
      <c r="JNY47" s="117"/>
      <c r="JNZ47" s="117"/>
      <c r="JOA47" s="117"/>
      <c r="JOB47" s="117"/>
      <c r="JOC47" s="117"/>
      <c r="JOD47" s="117"/>
      <c r="JOE47" s="117"/>
      <c r="JOF47" s="117"/>
      <c r="JOG47" s="117"/>
      <c r="JOH47" s="117"/>
      <c r="JOI47" s="117"/>
      <c r="JOJ47" s="117"/>
      <c r="JOK47" s="117"/>
      <c r="JOL47" s="117"/>
      <c r="JOM47" s="117"/>
      <c r="JON47" s="117"/>
      <c r="JOO47" s="117"/>
      <c r="JOP47" s="117"/>
      <c r="JOQ47" s="117"/>
      <c r="JOR47" s="117"/>
      <c r="JOS47" s="117"/>
      <c r="JOT47" s="117"/>
      <c r="JOU47" s="117"/>
      <c r="JOV47" s="117"/>
      <c r="JOW47" s="117"/>
      <c r="JOX47" s="117"/>
      <c r="JOY47" s="117"/>
      <c r="JOZ47" s="117"/>
      <c r="JPA47" s="117"/>
      <c r="JPB47" s="117"/>
      <c r="JPC47" s="117"/>
      <c r="JPD47" s="117"/>
      <c r="JPE47" s="117"/>
      <c r="JPF47" s="117"/>
      <c r="JPG47" s="117"/>
      <c r="JPH47" s="117"/>
      <c r="JPI47" s="117"/>
      <c r="JPJ47" s="117"/>
      <c r="JPK47" s="117"/>
      <c r="JPL47" s="117"/>
      <c r="JPM47" s="117"/>
      <c r="JPN47" s="117"/>
      <c r="JPO47" s="117"/>
      <c r="JPP47" s="117"/>
      <c r="JPQ47" s="117"/>
      <c r="JPR47" s="117"/>
      <c r="JPS47" s="117"/>
      <c r="JPT47" s="117"/>
      <c r="JPU47" s="117"/>
      <c r="JPV47" s="117"/>
      <c r="JPW47" s="117"/>
      <c r="JPX47" s="117"/>
      <c r="JPY47" s="117"/>
      <c r="JPZ47" s="117"/>
      <c r="JQA47" s="117"/>
      <c r="JQB47" s="117"/>
      <c r="JQC47" s="117"/>
      <c r="JQD47" s="117"/>
      <c r="JQE47" s="117"/>
      <c r="JQF47" s="117"/>
      <c r="JQG47" s="117"/>
      <c r="JQH47" s="117"/>
      <c r="JQI47" s="117"/>
      <c r="JQJ47" s="117"/>
      <c r="JQK47" s="117"/>
      <c r="JQL47" s="117"/>
      <c r="JQM47" s="117"/>
      <c r="JQN47" s="117"/>
      <c r="JQO47" s="117"/>
      <c r="JQP47" s="117"/>
      <c r="JQQ47" s="117"/>
      <c r="JQR47" s="117"/>
      <c r="JQS47" s="117"/>
      <c r="JQT47" s="117"/>
      <c r="JQU47" s="117"/>
      <c r="JQV47" s="117"/>
      <c r="JQW47" s="117"/>
      <c r="JQX47" s="117"/>
      <c r="JQY47" s="117"/>
      <c r="JQZ47" s="117"/>
      <c r="JRA47" s="117"/>
      <c r="JRB47" s="117"/>
      <c r="JRC47" s="117"/>
      <c r="JRD47" s="117"/>
      <c r="JRE47" s="117"/>
      <c r="JRF47" s="117"/>
      <c r="JRG47" s="117"/>
      <c r="JRH47" s="117"/>
      <c r="JRI47" s="117"/>
      <c r="JRJ47" s="117"/>
      <c r="JRK47" s="117"/>
      <c r="JRL47" s="117"/>
      <c r="JRM47" s="117"/>
      <c r="JRN47" s="117"/>
      <c r="JRO47" s="117"/>
      <c r="JRP47" s="117"/>
      <c r="JRQ47" s="117"/>
      <c r="JRR47" s="117"/>
      <c r="JRS47" s="117"/>
      <c r="JRT47" s="117"/>
      <c r="JRU47" s="117"/>
      <c r="JRV47" s="117"/>
      <c r="JRW47" s="117"/>
      <c r="JRX47" s="117"/>
      <c r="JRY47" s="117"/>
      <c r="JRZ47" s="117"/>
      <c r="JSA47" s="117"/>
      <c r="JSB47" s="117"/>
      <c r="JSC47" s="117"/>
      <c r="JSD47" s="117"/>
      <c r="JSE47" s="117"/>
      <c r="JSF47" s="117"/>
      <c r="JSG47" s="117"/>
      <c r="JSH47" s="117"/>
      <c r="JSI47" s="117"/>
      <c r="JSJ47" s="117"/>
      <c r="JSK47" s="117"/>
      <c r="JSL47" s="117"/>
      <c r="JSM47" s="117"/>
      <c r="JSN47" s="117"/>
      <c r="JSO47" s="117"/>
      <c r="JSP47" s="117"/>
      <c r="JSQ47" s="117"/>
      <c r="JSR47" s="117"/>
      <c r="JSS47" s="117"/>
      <c r="JST47" s="117"/>
      <c r="JSU47" s="117"/>
      <c r="JSV47" s="117"/>
      <c r="JSW47" s="117"/>
      <c r="JSX47" s="117"/>
      <c r="JSY47" s="117"/>
      <c r="JSZ47" s="117"/>
      <c r="JTA47" s="117"/>
      <c r="JTB47" s="117"/>
      <c r="JTC47" s="117"/>
      <c r="JTD47" s="117"/>
      <c r="JTE47" s="117"/>
      <c r="JTF47" s="117"/>
      <c r="JTG47" s="117"/>
      <c r="JTH47" s="117"/>
      <c r="JTI47" s="117"/>
      <c r="JTJ47" s="117"/>
      <c r="JTK47" s="117"/>
      <c r="JTL47" s="117"/>
      <c r="JTM47" s="117"/>
      <c r="JTN47" s="117"/>
      <c r="JTO47" s="117"/>
      <c r="JTP47" s="117"/>
      <c r="JTQ47" s="117"/>
      <c r="JTR47" s="117"/>
      <c r="JTS47" s="117"/>
      <c r="JTT47" s="117"/>
      <c r="JTU47" s="117"/>
      <c r="JTV47" s="117"/>
      <c r="JTW47" s="117"/>
      <c r="JTX47" s="117"/>
      <c r="JTY47" s="117"/>
      <c r="JTZ47" s="117"/>
      <c r="JUA47" s="117"/>
      <c r="JUB47" s="117"/>
      <c r="JUC47" s="117"/>
      <c r="JUD47" s="117"/>
      <c r="JUE47" s="117"/>
      <c r="JUF47" s="117"/>
      <c r="JUG47" s="117"/>
      <c r="JUH47" s="117"/>
      <c r="JUI47" s="117"/>
      <c r="JUJ47" s="117"/>
      <c r="JUK47" s="117"/>
      <c r="JUL47" s="117"/>
      <c r="JUM47" s="117"/>
      <c r="JUN47" s="117"/>
      <c r="JUO47" s="117"/>
      <c r="JUP47" s="117"/>
      <c r="JUQ47" s="117"/>
      <c r="JUR47" s="117"/>
      <c r="JUS47" s="117"/>
      <c r="JUT47" s="117"/>
      <c r="JUU47" s="117"/>
      <c r="JUV47" s="117"/>
      <c r="JUW47" s="117"/>
      <c r="JUX47" s="117"/>
      <c r="JUY47" s="117"/>
      <c r="JUZ47" s="117"/>
      <c r="JVA47" s="117"/>
      <c r="JVB47" s="117"/>
      <c r="JVC47" s="117"/>
      <c r="JVD47" s="117"/>
      <c r="JVE47" s="117"/>
      <c r="JVF47" s="117"/>
      <c r="JVG47" s="117"/>
      <c r="JVH47" s="117"/>
      <c r="JVI47" s="117"/>
      <c r="JVJ47" s="117"/>
      <c r="JVK47" s="117"/>
      <c r="JVL47" s="117"/>
      <c r="JVM47" s="117"/>
      <c r="JVN47" s="117"/>
      <c r="JVO47" s="117"/>
      <c r="JVP47" s="117"/>
      <c r="JVQ47" s="117"/>
      <c r="JVR47" s="117"/>
      <c r="JVS47" s="117"/>
      <c r="JVT47" s="117"/>
      <c r="JVU47" s="117"/>
      <c r="JVV47" s="117"/>
      <c r="JVW47" s="117"/>
      <c r="JVX47" s="117"/>
      <c r="JVY47" s="117"/>
      <c r="JVZ47" s="117"/>
      <c r="JWA47" s="117"/>
      <c r="JWB47" s="117"/>
      <c r="JWC47" s="117"/>
      <c r="JWD47" s="117"/>
      <c r="JWE47" s="117"/>
      <c r="JWF47" s="117"/>
      <c r="JWG47" s="117"/>
      <c r="JWH47" s="117"/>
      <c r="JWI47" s="117"/>
      <c r="JWJ47" s="117"/>
      <c r="JWK47" s="117"/>
      <c r="JWL47" s="117"/>
      <c r="JWM47" s="117"/>
      <c r="JWN47" s="117"/>
      <c r="JWO47" s="117"/>
      <c r="JWP47" s="117"/>
      <c r="JWQ47" s="117"/>
      <c r="JWR47" s="117"/>
      <c r="JWS47" s="117"/>
      <c r="JWT47" s="117"/>
      <c r="JWU47" s="117"/>
      <c r="JWV47" s="117"/>
      <c r="JWW47" s="117"/>
      <c r="JWX47" s="117"/>
      <c r="JWY47" s="117"/>
      <c r="JWZ47" s="117"/>
      <c r="JXA47" s="117"/>
      <c r="JXB47" s="117"/>
      <c r="JXC47" s="117"/>
      <c r="JXD47" s="117"/>
      <c r="JXE47" s="117"/>
      <c r="JXF47" s="117"/>
      <c r="JXG47" s="117"/>
      <c r="JXH47" s="117"/>
      <c r="JXI47" s="117"/>
      <c r="JXJ47" s="117"/>
      <c r="JXK47" s="117"/>
      <c r="JXL47" s="117"/>
      <c r="JXM47" s="117"/>
      <c r="JXN47" s="117"/>
      <c r="JXO47" s="117"/>
      <c r="JXP47" s="117"/>
      <c r="JXQ47" s="117"/>
      <c r="JXR47" s="117"/>
      <c r="JXS47" s="117"/>
      <c r="JXT47" s="117"/>
      <c r="JXU47" s="117"/>
      <c r="JXV47" s="117"/>
      <c r="JXW47" s="117"/>
      <c r="JXX47" s="117"/>
      <c r="JXY47" s="117"/>
      <c r="JXZ47" s="117"/>
      <c r="JYA47" s="117"/>
      <c r="JYB47" s="117"/>
      <c r="JYC47" s="117"/>
      <c r="JYD47" s="117"/>
      <c r="JYE47" s="117"/>
      <c r="JYF47" s="117"/>
      <c r="JYG47" s="117"/>
      <c r="JYH47" s="117"/>
      <c r="JYI47" s="117"/>
      <c r="JYJ47" s="117"/>
      <c r="JYK47" s="117"/>
      <c r="JYL47" s="117"/>
      <c r="JYM47" s="117"/>
      <c r="JYN47" s="117"/>
      <c r="JYO47" s="117"/>
      <c r="JYP47" s="117"/>
      <c r="JYQ47" s="117"/>
      <c r="JYR47" s="117"/>
      <c r="JYS47" s="117"/>
      <c r="JYT47" s="117"/>
      <c r="JYU47" s="117"/>
      <c r="JYV47" s="117"/>
      <c r="JYW47" s="117"/>
      <c r="JYX47" s="117"/>
      <c r="JYY47" s="117"/>
      <c r="JYZ47" s="117"/>
      <c r="JZA47" s="117"/>
      <c r="JZB47" s="117"/>
      <c r="JZC47" s="117"/>
      <c r="JZD47" s="117"/>
      <c r="JZE47" s="117"/>
      <c r="JZF47" s="117"/>
      <c r="JZG47" s="117"/>
      <c r="JZH47" s="117"/>
      <c r="JZI47" s="117"/>
      <c r="JZJ47" s="117"/>
      <c r="JZK47" s="117"/>
      <c r="JZL47" s="117"/>
      <c r="JZM47" s="117"/>
      <c r="JZN47" s="117"/>
      <c r="JZO47" s="117"/>
      <c r="JZP47" s="117"/>
      <c r="JZQ47" s="117"/>
      <c r="JZR47" s="117"/>
      <c r="JZS47" s="117"/>
      <c r="JZT47" s="117"/>
      <c r="JZU47" s="117"/>
      <c r="JZV47" s="117"/>
      <c r="JZW47" s="117"/>
      <c r="JZX47" s="117"/>
      <c r="JZY47" s="117"/>
      <c r="JZZ47" s="117"/>
      <c r="KAA47" s="117"/>
      <c r="KAB47" s="117"/>
      <c r="KAC47" s="117"/>
      <c r="KAD47" s="117"/>
      <c r="KAE47" s="117"/>
      <c r="KAF47" s="117"/>
      <c r="KAG47" s="117"/>
      <c r="KAH47" s="117"/>
      <c r="KAI47" s="117"/>
      <c r="KAJ47" s="117"/>
      <c r="KAK47" s="117"/>
      <c r="KAL47" s="117"/>
      <c r="KAM47" s="117"/>
      <c r="KAN47" s="117"/>
      <c r="KAO47" s="117"/>
      <c r="KAP47" s="117"/>
      <c r="KAQ47" s="117"/>
      <c r="KAR47" s="117"/>
      <c r="KAS47" s="117"/>
      <c r="KAT47" s="117"/>
      <c r="KAU47" s="117"/>
      <c r="KAV47" s="117"/>
      <c r="KAW47" s="117"/>
      <c r="KAX47" s="117"/>
      <c r="KAY47" s="117"/>
      <c r="KAZ47" s="117"/>
      <c r="KBA47" s="117"/>
      <c r="KBB47" s="117"/>
      <c r="KBC47" s="117"/>
      <c r="KBD47" s="117"/>
      <c r="KBE47" s="117"/>
      <c r="KBF47" s="117"/>
      <c r="KBG47" s="117"/>
      <c r="KBH47" s="117"/>
      <c r="KBI47" s="117"/>
      <c r="KBJ47" s="117"/>
      <c r="KBK47" s="117"/>
      <c r="KBL47" s="117"/>
      <c r="KBM47" s="117"/>
      <c r="KBN47" s="117"/>
      <c r="KBO47" s="117"/>
      <c r="KBP47" s="117"/>
      <c r="KBQ47" s="117"/>
      <c r="KBR47" s="117"/>
      <c r="KBS47" s="117"/>
      <c r="KBT47" s="117"/>
      <c r="KBU47" s="117"/>
      <c r="KBV47" s="117"/>
      <c r="KBW47" s="117"/>
      <c r="KBX47" s="117"/>
      <c r="KBY47" s="117"/>
      <c r="KBZ47" s="117"/>
      <c r="KCA47" s="117"/>
      <c r="KCB47" s="117"/>
      <c r="KCC47" s="117"/>
      <c r="KCD47" s="117"/>
      <c r="KCE47" s="117"/>
      <c r="KCF47" s="117"/>
      <c r="KCG47" s="117"/>
      <c r="KCH47" s="117"/>
      <c r="KCI47" s="117"/>
      <c r="KCJ47" s="117"/>
      <c r="KCK47" s="117"/>
      <c r="KCL47" s="117"/>
      <c r="KCM47" s="117"/>
      <c r="KCN47" s="117"/>
      <c r="KCO47" s="117"/>
      <c r="KCP47" s="117"/>
      <c r="KCQ47" s="117"/>
      <c r="KCR47" s="117"/>
      <c r="KCS47" s="117"/>
      <c r="KCT47" s="117"/>
      <c r="KCU47" s="117"/>
      <c r="KCV47" s="117"/>
      <c r="KCW47" s="117"/>
      <c r="KCX47" s="117"/>
      <c r="KCY47" s="117"/>
      <c r="KCZ47" s="117"/>
      <c r="KDA47" s="117"/>
      <c r="KDB47" s="117"/>
      <c r="KDC47" s="117"/>
      <c r="KDD47" s="117"/>
      <c r="KDE47" s="117"/>
      <c r="KDF47" s="117"/>
      <c r="KDG47" s="117"/>
      <c r="KDH47" s="117"/>
      <c r="KDI47" s="117"/>
      <c r="KDJ47" s="117"/>
      <c r="KDK47" s="117"/>
      <c r="KDL47" s="117"/>
      <c r="KDM47" s="117"/>
      <c r="KDN47" s="117"/>
      <c r="KDO47" s="117"/>
      <c r="KDP47" s="117"/>
      <c r="KDQ47" s="117"/>
      <c r="KDR47" s="117"/>
      <c r="KDS47" s="117"/>
      <c r="KDT47" s="117"/>
      <c r="KDU47" s="117"/>
      <c r="KDV47" s="117"/>
      <c r="KDW47" s="117"/>
      <c r="KDX47" s="117"/>
      <c r="KDY47" s="117"/>
      <c r="KDZ47" s="117"/>
      <c r="KEA47" s="117"/>
      <c r="KEB47" s="117"/>
      <c r="KEC47" s="117"/>
      <c r="KED47" s="117"/>
      <c r="KEE47" s="117"/>
      <c r="KEF47" s="117"/>
      <c r="KEG47" s="117"/>
      <c r="KEH47" s="117"/>
      <c r="KEI47" s="117"/>
      <c r="KEJ47" s="117"/>
      <c r="KEK47" s="117"/>
      <c r="KEL47" s="117"/>
      <c r="KEM47" s="117"/>
      <c r="KEN47" s="117"/>
      <c r="KEO47" s="117"/>
      <c r="KEP47" s="117"/>
      <c r="KEQ47" s="117"/>
      <c r="KER47" s="117"/>
      <c r="KES47" s="117"/>
      <c r="KET47" s="117"/>
      <c r="KEU47" s="117"/>
      <c r="KEV47" s="117"/>
      <c r="KEW47" s="117"/>
      <c r="KEX47" s="117"/>
      <c r="KEY47" s="117"/>
      <c r="KEZ47" s="117"/>
      <c r="KFA47" s="117"/>
      <c r="KFB47" s="117"/>
      <c r="KFC47" s="117"/>
      <c r="KFD47" s="117"/>
      <c r="KFE47" s="117"/>
      <c r="KFF47" s="117"/>
      <c r="KFG47" s="117"/>
      <c r="KFH47" s="117"/>
      <c r="KFI47" s="117"/>
      <c r="KFJ47" s="117"/>
      <c r="KFK47" s="117"/>
      <c r="KFL47" s="117"/>
      <c r="KFM47" s="117"/>
      <c r="KFN47" s="117"/>
      <c r="KFO47" s="117"/>
      <c r="KFP47" s="117"/>
      <c r="KFQ47" s="117"/>
      <c r="KFR47" s="117"/>
      <c r="KFS47" s="117"/>
      <c r="KFT47" s="117"/>
      <c r="KFU47" s="117"/>
      <c r="KFV47" s="117"/>
      <c r="KFW47" s="117"/>
      <c r="KFX47" s="117"/>
      <c r="KFY47" s="117"/>
      <c r="KFZ47" s="117"/>
      <c r="KGA47" s="117"/>
      <c r="KGB47" s="117"/>
      <c r="KGC47" s="117"/>
      <c r="KGD47" s="117"/>
      <c r="KGE47" s="117"/>
      <c r="KGF47" s="117"/>
      <c r="KGG47" s="117"/>
      <c r="KGH47" s="117"/>
      <c r="KGI47" s="117"/>
      <c r="KGJ47" s="117"/>
      <c r="KGK47" s="117"/>
      <c r="KGL47" s="117"/>
      <c r="KGM47" s="117"/>
      <c r="KGN47" s="117"/>
      <c r="KGO47" s="117"/>
      <c r="KGP47" s="117"/>
      <c r="KGQ47" s="117"/>
      <c r="KGR47" s="117"/>
      <c r="KGS47" s="117"/>
      <c r="KGT47" s="117"/>
      <c r="KGU47" s="117"/>
      <c r="KGV47" s="117"/>
      <c r="KGW47" s="117"/>
      <c r="KGX47" s="117"/>
      <c r="KGY47" s="117"/>
      <c r="KGZ47" s="117"/>
      <c r="KHA47" s="117"/>
      <c r="KHB47" s="117"/>
      <c r="KHC47" s="117"/>
      <c r="KHD47" s="117"/>
      <c r="KHE47" s="117"/>
      <c r="KHF47" s="117"/>
      <c r="KHG47" s="117"/>
      <c r="KHH47" s="117"/>
      <c r="KHI47" s="117"/>
      <c r="KHJ47" s="117"/>
      <c r="KHK47" s="117"/>
      <c r="KHL47" s="117"/>
      <c r="KHM47" s="117"/>
      <c r="KHN47" s="117"/>
      <c r="KHO47" s="117"/>
      <c r="KHP47" s="117"/>
      <c r="KHQ47" s="117"/>
      <c r="KHR47" s="117"/>
      <c r="KHS47" s="117"/>
      <c r="KHT47" s="117"/>
      <c r="KHU47" s="117"/>
      <c r="KHV47" s="117"/>
      <c r="KHW47" s="117"/>
      <c r="KHX47" s="117"/>
      <c r="KHY47" s="117"/>
      <c r="KHZ47" s="117"/>
      <c r="KIA47" s="117"/>
      <c r="KIB47" s="117"/>
      <c r="KIC47" s="117"/>
      <c r="KID47" s="117"/>
      <c r="KIE47" s="117"/>
      <c r="KIF47" s="117"/>
      <c r="KIG47" s="117"/>
      <c r="KIH47" s="117"/>
      <c r="KII47" s="117"/>
      <c r="KIJ47" s="117"/>
      <c r="KIK47" s="117"/>
      <c r="KIL47" s="117"/>
      <c r="KIM47" s="117"/>
      <c r="KIN47" s="117"/>
      <c r="KIO47" s="117"/>
      <c r="KIP47" s="117"/>
      <c r="KIQ47" s="117"/>
      <c r="KIR47" s="117"/>
      <c r="KIS47" s="117"/>
      <c r="KIT47" s="117"/>
      <c r="KIU47" s="117"/>
      <c r="KIV47" s="117"/>
      <c r="KIW47" s="117"/>
      <c r="KIX47" s="117"/>
      <c r="KIY47" s="117"/>
      <c r="KIZ47" s="117"/>
      <c r="KJA47" s="117"/>
      <c r="KJB47" s="117"/>
      <c r="KJC47" s="117"/>
      <c r="KJD47" s="117"/>
      <c r="KJE47" s="117"/>
      <c r="KJF47" s="117"/>
      <c r="KJG47" s="117"/>
      <c r="KJH47" s="117"/>
      <c r="KJI47" s="117"/>
      <c r="KJJ47" s="117"/>
      <c r="KJK47" s="117"/>
      <c r="KJL47" s="117"/>
      <c r="KJM47" s="117"/>
      <c r="KJN47" s="117"/>
      <c r="KJO47" s="117"/>
      <c r="KJP47" s="117"/>
      <c r="KJQ47" s="117"/>
      <c r="KJR47" s="117"/>
      <c r="KJS47" s="117"/>
      <c r="KJT47" s="117"/>
      <c r="KJU47" s="117"/>
      <c r="KJV47" s="117"/>
      <c r="KJW47" s="117"/>
      <c r="KJX47" s="117"/>
      <c r="KJY47" s="117"/>
      <c r="KJZ47" s="117"/>
      <c r="KKA47" s="117"/>
      <c r="KKB47" s="117"/>
      <c r="KKC47" s="117"/>
      <c r="KKD47" s="117"/>
      <c r="KKE47" s="117"/>
      <c r="KKF47" s="117"/>
      <c r="KKG47" s="117"/>
      <c r="KKH47" s="117"/>
      <c r="KKI47" s="117"/>
      <c r="KKJ47" s="117"/>
      <c r="KKK47" s="117"/>
      <c r="KKL47" s="117"/>
      <c r="KKM47" s="117"/>
      <c r="KKN47" s="117"/>
      <c r="KKO47" s="117"/>
      <c r="KKP47" s="117"/>
      <c r="KKQ47" s="117"/>
      <c r="KKR47" s="117"/>
      <c r="KKS47" s="117"/>
      <c r="KKT47" s="117"/>
      <c r="KKU47" s="117"/>
      <c r="KKV47" s="117"/>
      <c r="KKW47" s="117"/>
      <c r="KKX47" s="117"/>
      <c r="KKY47" s="117"/>
      <c r="KKZ47" s="117"/>
      <c r="KLA47" s="117"/>
      <c r="KLB47" s="117"/>
      <c r="KLC47" s="117"/>
      <c r="KLD47" s="117"/>
      <c r="KLE47" s="117"/>
      <c r="KLF47" s="117"/>
      <c r="KLG47" s="117"/>
      <c r="KLH47" s="117"/>
      <c r="KLI47" s="117"/>
      <c r="KLJ47" s="117"/>
      <c r="KLK47" s="117"/>
      <c r="KLL47" s="117"/>
      <c r="KLM47" s="117"/>
      <c r="KLN47" s="117"/>
      <c r="KLO47" s="117"/>
      <c r="KLP47" s="117"/>
      <c r="KLQ47" s="117"/>
      <c r="KLR47" s="117"/>
      <c r="KLS47" s="117"/>
      <c r="KLT47" s="117"/>
      <c r="KLU47" s="117"/>
      <c r="KLV47" s="117"/>
      <c r="KLW47" s="117"/>
      <c r="KLX47" s="117"/>
      <c r="KLY47" s="117"/>
      <c r="KLZ47" s="117"/>
      <c r="KMA47" s="117"/>
      <c r="KMB47" s="117"/>
      <c r="KMC47" s="117"/>
      <c r="KMD47" s="117"/>
      <c r="KME47" s="117"/>
      <c r="KMF47" s="117"/>
      <c r="KMG47" s="117"/>
      <c r="KMH47" s="117"/>
      <c r="KMI47" s="117"/>
      <c r="KMJ47" s="117"/>
      <c r="KMK47" s="117"/>
      <c r="KML47" s="117"/>
      <c r="KMM47" s="117"/>
      <c r="KMN47" s="117"/>
      <c r="KMO47" s="117"/>
      <c r="KMP47" s="117"/>
      <c r="KMQ47" s="117"/>
      <c r="KMR47" s="117"/>
      <c r="KMS47" s="117"/>
      <c r="KMT47" s="117"/>
      <c r="KMU47" s="117"/>
      <c r="KMV47" s="117"/>
      <c r="KMW47" s="117"/>
      <c r="KMX47" s="117"/>
      <c r="KMY47" s="117"/>
      <c r="KMZ47" s="117"/>
      <c r="KNA47" s="117"/>
      <c r="KNB47" s="117"/>
      <c r="KNC47" s="117"/>
      <c r="KND47" s="117"/>
      <c r="KNE47" s="117"/>
      <c r="KNF47" s="117"/>
      <c r="KNG47" s="117"/>
      <c r="KNH47" s="117"/>
      <c r="KNI47" s="117"/>
      <c r="KNJ47" s="117"/>
      <c r="KNK47" s="117"/>
      <c r="KNL47" s="117"/>
      <c r="KNM47" s="117"/>
      <c r="KNN47" s="117"/>
      <c r="KNO47" s="117"/>
      <c r="KNP47" s="117"/>
      <c r="KNQ47" s="117"/>
      <c r="KNR47" s="117"/>
      <c r="KNS47" s="117"/>
      <c r="KNT47" s="117"/>
      <c r="KNU47" s="117"/>
      <c r="KNV47" s="117"/>
      <c r="KNW47" s="117"/>
      <c r="KNX47" s="117"/>
      <c r="KNY47" s="117"/>
      <c r="KNZ47" s="117"/>
      <c r="KOA47" s="117"/>
      <c r="KOB47" s="117"/>
      <c r="KOC47" s="117"/>
      <c r="KOD47" s="117"/>
      <c r="KOE47" s="117"/>
      <c r="KOF47" s="117"/>
      <c r="KOG47" s="117"/>
      <c r="KOH47" s="117"/>
      <c r="KOI47" s="117"/>
      <c r="KOJ47" s="117"/>
      <c r="KOK47" s="117"/>
      <c r="KOL47" s="117"/>
      <c r="KOM47" s="117"/>
      <c r="KON47" s="117"/>
      <c r="KOO47" s="117"/>
      <c r="KOP47" s="117"/>
      <c r="KOQ47" s="117"/>
      <c r="KOR47" s="117"/>
      <c r="KOS47" s="117"/>
      <c r="KOT47" s="117"/>
      <c r="KOU47" s="117"/>
      <c r="KOV47" s="117"/>
      <c r="KOW47" s="117"/>
      <c r="KOX47" s="117"/>
      <c r="KOY47" s="117"/>
      <c r="KOZ47" s="117"/>
      <c r="KPA47" s="117"/>
      <c r="KPB47" s="117"/>
      <c r="KPC47" s="117"/>
      <c r="KPD47" s="117"/>
      <c r="KPE47" s="117"/>
      <c r="KPF47" s="117"/>
      <c r="KPG47" s="117"/>
      <c r="KPH47" s="117"/>
      <c r="KPI47" s="117"/>
      <c r="KPJ47" s="117"/>
      <c r="KPK47" s="117"/>
      <c r="KPL47" s="117"/>
      <c r="KPM47" s="117"/>
      <c r="KPN47" s="117"/>
      <c r="KPO47" s="117"/>
      <c r="KPP47" s="117"/>
      <c r="KPQ47" s="117"/>
      <c r="KPR47" s="117"/>
      <c r="KPS47" s="117"/>
      <c r="KPT47" s="117"/>
      <c r="KPU47" s="117"/>
      <c r="KPV47" s="117"/>
      <c r="KPW47" s="117"/>
      <c r="KPX47" s="117"/>
      <c r="KPY47" s="117"/>
      <c r="KPZ47" s="117"/>
      <c r="KQA47" s="117"/>
      <c r="KQB47" s="117"/>
      <c r="KQC47" s="117"/>
      <c r="KQD47" s="117"/>
      <c r="KQE47" s="117"/>
      <c r="KQF47" s="117"/>
      <c r="KQG47" s="117"/>
      <c r="KQH47" s="117"/>
      <c r="KQI47" s="117"/>
      <c r="KQJ47" s="117"/>
      <c r="KQK47" s="117"/>
      <c r="KQL47" s="117"/>
      <c r="KQM47" s="117"/>
      <c r="KQN47" s="117"/>
      <c r="KQO47" s="117"/>
      <c r="KQP47" s="117"/>
      <c r="KQQ47" s="117"/>
      <c r="KQR47" s="117"/>
      <c r="KQS47" s="117"/>
      <c r="KQT47" s="117"/>
      <c r="KQU47" s="117"/>
      <c r="KQV47" s="117"/>
      <c r="KQW47" s="117"/>
      <c r="KQX47" s="117"/>
      <c r="KQY47" s="117"/>
      <c r="KQZ47" s="117"/>
      <c r="KRA47" s="117"/>
      <c r="KRB47" s="117"/>
      <c r="KRC47" s="117"/>
      <c r="KRD47" s="117"/>
      <c r="KRE47" s="117"/>
      <c r="KRF47" s="117"/>
      <c r="KRG47" s="117"/>
      <c r="KRH47" s="117"/>
      <c r="KRI47" s="117"/>
      <c r="KRJ47" s="117"/>
      <c r="KRK47" s="117"/>
      <c r="KRL47" s="117"/>
      <c r="KRM47" s="117"/>
      <c r="KRN47" s="117"/>
      <c r="KRO47" s="117"/>
      <c r="KRP47" s="117"/>
      <c r="KRQ47" s="117"/>
      <c r="KRR47" s="117"/>
      <c r="KRS47" s="117"/>
      <c r="KRT47" s="117"/>
      <c r="KRU47" s="117"/>
      <c r="KRV47" s="117"/>
      <c r="KRW47" s="117"/>
      <c r="KRX47" s="117"/>
      <c r="KRY47" s="117"/>
      <c r="KRZ47" s="117"/>
      <c r="KSA47" s="117"/>
      <c r="KSB47" s="117"/>
      <c r="KSC47" s="117"/>
      <c r="KSD47" s="117"/>
      <c r="KSE47" s="117"/>
      <c r="KSF47" s="117"/>
      <c r="KSG47" s="117"/>
      <c r="KSH47" s="117"/>
      <c r="KSI47" s="117"/>
      <c r="KSJ47" s="117"/>
      <c r="KSK47" s="117"/>
      <c r="KSL47" s="117"/>
      <c r="KSM47" s="117"/>
      <c r="KSN47" s="117"/>
      <c r="KSO47" s="117"/>
      <c r="KSP47" s="117"/>
      <c r="KSQ47" s="117"/>
      <c r="KSR47" s="117"/>
      <c r="KSS47" s="117"/>
      <c r="KST47" s="117"/>
      <c r="KSU47" s="117"/>
      <c r="KSV47" s="117"/>
      <c r="KSW47" s="117"/>
      <c r="KSX47" s="117"/>
      <c r="KSY47" s="117"/>
      <c r="KSZ47" s="117"/>
      <c r="KTA47" s="117"/>
      <c r="KTB47" s="117"/>
      <c r="KTC47" s="117"/>
      <c r="KTD47" s="117"/>
      <c r="KTE47" s="117"/>
      <c r="KTF47" s="117"/>
      <c r="KTG47" s="117"/>
      <c r="KTH47" s="117"/>
      <c r="KTI47" s="117"/>
      <c r="KTJ47" s="117"/>
      <c r="KTK47" s="117"/>
      <c r="KTL47" s="117"/>
      <c r="KTM47" s="117"/>
      <c r="KTN47" s="117"/>
      <c r="KTO47" s="117"/>
      <c r="KTP47" s="117"/>
      <c r="KTQ47" s="117"/>
      <c r="KTR47" s="117"/>
      <c r="KTS47" s="117"/>
      <c r="KTT47" s="117"/>
      <c r="KTU47" s="117"/>
      <c r="KTV47" s="117"/>
      <c r="KTW47" s="117"/>
      <c r="KTX47" s="117"/>
      <c r="KTY47" s="117"/>
      <c r="KTZ47" s="117"/>
      <c r="KUA47" s="117"/>
      <c r="KUB47" s="117"/>
      <c r="KUC47" s="117"/>
      <c r="KUD47" s="117"/>
      <c r="KUE47" s="117"/>
      <c r="KUF47" s="117"/>
      <c r="KUG47" s="117"/>
      <c r="KUH47" s="117"/>
      <c r="KUI47" s="117"/>
      <c r="KUJ47" s="117"/>
      <c r="KUK47" s="117"/>
      <c r="KUL47" s="117"/>
      <c r="KUM47" s="117"/>
      <c r="KUN47" s="117"/>
      <c r="KUO47" s="117"/>
      <c r="KUP47" s="117"/>
      <c r="KUQ47" s="117"/>
      <c r="KUR47" s="117"/>
      <c r="KUS47" s="117"/>
      <c r="KUT47" s="117"/>
      <c r="KUU47" s="117"/>
      <c r="KUV47" s="117"/>
      <c r="KUW47" s="117"/>
      <c r="KUX47" s="117"/>
      <c r="KUY47" s="117"/>
      <c r="KUZ47" s="117"/>
      <c r="KVA47" s="117"/>
      <c r="KVB47" s="117"/>
      <c r="KVC47" s="117"/>
      <c r="KVD47" s="117"/>
      <c r="KVE47" s="117"/>
      <c r="KVF47" s="117"/>
      <c r="KVG47" s="117"/>
      <c r="KVH47" s="117"/>
      <c r="KVI47" s="117"/>
      <c r="KVJ47" s="117"/>
      <c r="KVK47" s="117"/>
      <c r="KVL47" s="117"/>
      <c r="KVM47" s="117"/>
      <c r="KVN47" s="117"/>
      <c r="KVO47" s="117"/>
      <c r="KVP47" s="117"/>
      <c r="KVQ47" s="117"/>
      <c r="KVR47" s="117"/>
      <c r="KVS47" s="117"/>
      <c r="KVT47" s="117"/>
      <c r="KVU47" s="117"/>
      <c r="KVV47" s="117"/>
      <c r="KVW47" s="117"/>
      <c r="KVX47" s="117"/>
      <c r="KVY47" s="117"/>
      <c r="KVZ47" s="117"/>
      <c r="KWA47" s="117"/>
      <c r="KWB47" s="117"/>
      <c r="KWC47" s="117"/>
      <c r="KWD47" s="117"/>
      <c r="KWE47" s="117"/>
      <c r="KWF47" s="117"/>
      <c r="KWG47" s="117"/>
      <c r="KWH47" s="117"/>
      <c r="KWI47" s="117"/>
      <c r="KWJ47" s="117"/>
      <c r="KWK47" s="117"/>
      <c r="KWL47" s="117"/>
      <c r="KWM47" s="117"/>
      <c r="KWN47" s="117"/>
      <c r="KWO47" s="117"/>
      <c r="KWP47" s="117"/>
      <c r="KWQ47" s="117"/>
      <c r="KWR47" s="117"/>
      <c r="KWS47" s="117"/>
      <c r="KWT47" s="117"/>
      <c r="KWU47" s="117"/>
      <c r="KWV47" s="117"/>
      <c r="KWW47" s="117"/>
      <c r="KWX47" s="117"/>
      <c r="KWY47" s="117"/>
      <c r="KWZ47" s="117"/>
      <c r="KXA47" s="117"/>
      <c r="KXB47" s="117"/>
      <c r="KXC47" s="117"/>
      <c r="KXD47" s="117"/>
      <c r="KXE47" s="117"/>
      <c r="KXF47" s="117"/>
      <c r="KXG47" s="117"/>
      <c r="KXH47" s="117"/>
      <c r="KXI47" s="117"/>
      <c r="KXJ47" s="117"/>
      <c r="KXK47" s="117"/>
      <c r="KXL47" s="117"/>
      <c r="KXM47" s="117"/>
      <c r="KXN47" s="117"/>
      <c r="KXO47" s="117"/>
      <c r="KXP47" s="117"/>
      <c r="KXQ47" s="117"/>
      <c r="KXR47" s="117"/>
      <c r="KXS47" s="117"/>
      <c r="KXT47" s="117"/>
      <c r="KXU47" s="117"/>
      <c r="KXV47" s="117"/>
      <c r="KXW47" s="117"/>
      <c r="KXX47" s="117"/>
      <c r="KXY47" s="117"/>
      <c r="KXZ47" s="117"/>
      <c r="KYA47" s="117"/>
      <c r="KYB47" s="117"/>
      <c r="KYC47" s="117"/>
      <c r="KYD47" s="117"/>
      <c r="KYE47" s="117"/>
      <c r="KYF47" s="117"/>
      <c r="KYG47" s="117"/>
      <c r="KYH47" s="117"/>
      <c r="KYI47" s="117"/>
      <c r="KYJ47" s="117"/>
      <c r="KYK47" s="117"/>
      <c r="KYL47" s="117"/>
      <c r="KYM47" s="117"/>
      <c r="KYN47" s="117"/>
      <c r="KYO47" s="117"/>
      <c r="KYP47" s="117"/>
      <c r="KYQ47" s="117"/>
      <c r="KYR47" s="117"/>
      <c r="KYS47" s="117"/>
      <c r="KYT47" s="117"/>
      <c r="KYU47" s="117"/>
      <c r="KYV47" s="117"/>
      <c r="KYW47" s="117"/>
      <c r="KYX47" s="117"/>
      <c r="KYY47" s="117"/>
      <c r="KYZ47" s="117"/>
      <c r="KZA47" s="117"/>
      <c r="KZB47" s="117"/>
      <c r="KZC47" s="117"/>
      <c r="KZD47" s="117"/>
      <c r="KZE47" s="117"/>
      <c r="KZF47" s="117"/>
      <c r="KZG47" s="117"/>
      <c r="KZH47" s="117"/>
      <c r="KZI47" s="117"/>
      <c r="KZJ47" s="117"/>
      <c r="KZK47" s="117"/>
      <c r="KZL47" s="117"/>
      <c r="KZM47" s="117"/>
      <c r="KZN47" s="117"/>
      <c r="KZO47" s="117"/>
      <c r="KZP47" s="117"/>
      <c r="KZQ47" s="117"/>
      <c r="KZR47" s="117"/>
      <c r="KZS47" s="117"/>
      <c r="KZT47" s="117"/>
      <c r="KZU47" s="117"/>
      <c r="KZV47" s="117"/>
      <c r="KZW47" s="117"/>
      <c r="KZX47" s="117"/>
      <c r="KZY47" s="117"/>
      <c r="KZZ47" s="117"/>
      <c r="LAA47" s="117"/>
      <c r="LAB47" s="117"/>
      <c r="LAC47" s="117"/>
      <c r="LAD47" s="117"/>
      <c r="LAE47" s="117"/>
      <c r="LAF47" s="117"/>
      <c r="LAG47" s="117"/>
      <c r="LAH47" s="117"/>
      <c r="LAI47" s="117"/>
      <c r="LAJ47" s="117"/>
      <c r="LAK47" s="117"/>
      <c r="LAL47" s="117"/>
      <c r="LAM47" s="117"/>
      <c r="LAN47" s="117"/>
      <c r="LAO47" s="117"/>
      <c r="LAP47" s="117"/>
      <c r="LAQ47" s="117"/>
      <c r="LAR47" s="117"/>
      <c r="LAS47" s="117"/>
      <c r="LAT47" s="117"/>
      <c r="LAU47" s="117"/>
      <c r="LAV47" s="117"/>
      <c r="LAW47" s="117"/>
      <c r="LAX47" s="117"/>
      <c r="LAY47" s="117"/>
      <c r="LAZ47" s="117"/>
      <c r="LBA47" s="117"/>
      <c r="LBB47" s="117"/>
      <c r="LBC47" s="117"/>
      <c r="LBD47" s="117"/>
      <c r="LBE47" s="117"/>
      <c r="LBF47" s="117"/>
      <c r="LBG47" s="117"/>
      <c r="LBH47" s="117"/>
      <c r="LBI47" s="117"/>
      <c r="LBJ47" s="117"/>
      <c r="LBK47" s="117"/>
      <c r="LBL47" s="117"/>
      <c r="LBM47" s="117"/>
      <c r="LBN47" s="117"/>
      <c r="LBO47" s="117"/>
      <c r="LBP47" s="117"/>
      <c r="LBQ47" s="117"/>
      <c r="LBR47" s="117"/>
      <c r="LBS47" s="117"/>
      <c r="LBT47" s="117"/>
      <c r="LBU47" s="117"/>
      <c r="LBV47" s="117"/>
      <c r="LBW47" s="117"/>
      <c r="LBX47" s="117"/>
      <c r="LBY47" s="117"/>
      <c r="LBZ47" s="117"/>
      <c r="LCA47" s="117"/>
      <c r="LCB47" s="117"/>
      <c r="LCC47" s="117"/>
      <c r="LCD47" s="117"/>
      <c r="LCE47" s="117"/>
      <c r="LCF47" s="117"/>
      <c r="LCG47" s="117"/>
      <c r="LCH47" s="117"/>
      <c r="LCI47" s="117"/>
      <c r="LCJ47" s="117"/>
      <c r="LCK47" s="117"/>
      <c r="LCL47" s="117"/>
      <c r="LCM47" s="117"/>
      <c r="LCN47" s="117"/>
      <c r="LCO47" s="117"/>
      <c r="LCP47" s="117"/>
      <c r="LCQ47" s="117"/>
      <c r="LCR47" s="117"/>
      <c r="LCS47" s="117"/>
      <c r="LCT47" s="117"/>
      <c r="LCU47" s="117"/>
      <c r="LCV47" s="117"/>
      <c r="LCW47" s="117"/>
      <c r="LCX47" s="117"/>
      <c r="LCY47" s="117"/>
      <c r="LCZ47" s="117"/>
      <c r="LDA47" s="117"/>
      <c r="LDB47" s="117"/>
      <c r="LDC47" s="117"/>
      <c r="LDD47" s="117"/>
      <c r="LDE47" s="117"/>
      <c r="LDF47" s="117"/>
      <c r="LDG47" s="117"/>
      <c r="LDH47" s="117"/>
      <c r="LDI47" s="117"/>
      <c r="LDJ47" s="117"/>
      <c r="LDK47" s="117"/>
      <c r="LDL47" s="117"/>
      <c r="LDM47" s="117"/>
      <c r="LDN47" s="117"/>
      <c r="LDO47" s="117"/>
      <c r="LDP47" s="117"/>
      <c r="LDQ47" s="117"/>
      <c r="LDR47" s="117"/>
      <c r="LDS47" s="117"/>
      <c r="LDT47" s="117"/>
      <c r="LDU47" s="117"/>
      <c r="LDV47" s="117"/>
      <c r="LDW47" s="117"/>
      <c r="LDX47" s="117"/>
      <c r="LDY47" s="117"/>
      <c r="LDZ47" s="117"/>
      <c r="LEA47" s="117"/>
      <c r="LEB47" s="117"/>
      <c r="LEC47" s="117"/>
      <c r="LED47" s="117"/>
      <c r="LEE47" s="117"/>
      <c r="LEF47" s="117"/>
      <c r="LEG47" s="117"/>
      <c r="LEH47" s="117"/>
      <c r="LEI47" s="117"/>
      <c r="LEJ47" s="117"/>
      <c r="LEK47" s="117"/>
      <c r="LEL47" s="117"/>
      <c r="LEM47" s="117"/>
      <c r="LEN47" s="117"/>
      <c r="LEO47" s="117"/>
      <c r="LEP47" s="117"/>
      <c r="LEQ47" s="117"/>
      <c r="LER47" s="117"/>
      <c r="LES47" s="117"/>
      <c r="LET47" s="117"/>
      <c r="LEU47" s="117"/>
      <c r="LEV47" s="117"/>
      <c r="LEW47" s="117"/>
      <c r="LEX47" s="117"/>
      <c r="LEY47" s="117"/>
      <c r="LEZ47" s="117"/>
      <c r="LFA47" s="117"/>
      <c r="LFB47" s="117"/>
      <c r="LFC47" s="117"/>
      <c r="LFD47" s="117"/>
      <c r="LFE47" s="117"/>
      <c r="LFF47" s="117"/>
      <c r="LFG47" s="117"/>
      <c r="LFH47" s="117"/>
      <c r="LFI47" s="117"/>
      <c r="LFJ47" s="117"/>
      <c r="LFK47" s="117"/>
      <c r="LFL47" s="117"/>
      <c r="LFM47" s="117"/>
      <c r="LFN47" s="117"/>
      <c r="LFO47" s="117"/>
      <c r="LFP47" s="117"/>
      <c r="LFQ47" s="117"/>
      <c r="LFR47" s="117"/>
      <c r="LFS47" s="117"/>
      <c r="LFT47" s="117"/>
      <c r="LFU47" s="117"/>
      <c r="LFV47" s="117"/>
      <c r="LFW47" s="117"/>
      <c r="LFX47" s="117"/>
      <c r="LFY47" s="117"/>
      <c r="LFZ47" s="117"/>
      <c r="LGA47" s="117"/>
      <c r="LGB47" s="117"/>
      <c r="LGC47" s="117"/>
      <c r="LGD47" s="117"/>
      <c r="LGE47" s="117"/>
      <c r="LGF47" s="117"/>
      <c r="LGG47" s="117"/>
      <c r="LGH47" s="117"/>
      <c r="LGI47" s="117"/>
      <c r="LGJ47" s="117"/>
      <c r="LGK47" s="117"/>
      <c r="LGL47" s="117"/>
      <c r="LGM47" s="117"/>
      <c r="LGN47" s="117"/>
      <c r="LGO47" s="117"/>
      <c r="LGP47" s="117"/>
      <c r="LGQ47" s="117"/>
      <c r="LGR47" s="117"/>
      <c r="LGS47" s="117"/>
      <c r="LGT47" s="117"/>
      <c r="LGU47" s="117"/>
      <c r="LGV47" s="117"/>
      <c r="LGW47" s="117"/>
      <c r="LGX47" s="117"/>
      <c r="LGY47" s="117"/>
      <c r="LGZ47" s="117"/>
      <c r="LHA47" s="117"/>
      <c r="LHB47" s="117"/>
      <c r="LHC47" s="117"/>
      <c r="LHD47" s="117"/>
      <c r="LHE47" s="117"/>
      <c r="LHF47" s="117"/>
      <c r="LHG47" s="117"/>
      <c r="LHH47" s="117"/>
      <c r="LHI47" s="117"/>
      <c r="LHJ47" s="117"/>
      <c r="LHK47" s="117"/>
      <c r="LHL47" s="117"/>
      <c r="LHM47" s="117"/>
      <c r="LHN47" s="117"/>
      <c r="LHO47" s="117"/>
      <c r="LHP47" s="117"/>
      <c r="LHQ47" s="117"/>
      <c r="LHR47" s="117"/>
      <c r="LHS47" s="117"/>
      <c r="LHT47" s="117"/>
      <c r="LHU47" s="117"/>
      <c r="LHV47" s="117"/>
      <c r="LHW47" s="117"/>
      <c r="LHX47" s="117"/>
      <c r="LHY47" s="117"/>
      <c r="LHZ47" s="117"/>
      <c r="LIA47" s="117"/>
      <c r="LIB47" s="117"/>
      <c r="LIC47" s="117"/>
      <c r="LID47" s="117"/>
      <c r="LIE47" s="117"/>
      <c r="LIF47" s="117"/>
      <c r="LIG47" s="117"/>
      <c r="LIH47" s="117"/>
      <c r="LII47" s="117"/>
      <c r="LIJ47" s="117"/>
      <c r="LIK47" s="117"/>
      <c r="LIL47" s="117"/>
      <c r="LIM47" s="117"/>
      <c r="LIN47" s="117"/>
      <c r="LIO47" s="117"/>
      <c r="LIP47" s="117"/>
      <c r="LIQ47" s="117"/>
      <c r="LIR47" s="117"/>
      <c r="LIS47" s="117"/>
      <c r="LIT47" s="117"/>
      <c r="LIU47" s="117"/>
      <c r="LIV47" s="117"/>
      <c r="LIW47" s="117"/>
      <c r="LIX47" s="117"/>
      <c r="LIY47" s="117"/>
      <c r="LIZ47" s="117"/>
      <c r="LJA47" s="117"/>
      <c r="LJB47" s="117"/>
      <c r="LJC47" s="117"/>
      <c r="LJD47" s="117"/>
      <c r="LJE47" s="117"/>
      <c r="LJF47" s="117"/>
      <c r="LJG47" s="117"/>
      <c r="LJH47" s="117"/>
      <c r="LJI47" s="117"/>
      <c r="LJJ47" s="117"/>
      <c r="LJK47" s="117"/>
      <c r="LJL47" s="117"/>
      <c r="LJM47" s="117"/>
      <c r="LJN47" s="117"/>
      <c r="LJO47" s="117"/>
      <c r="LJP47" s="117"/>
      <c r="LJQ47" s="117"/>
      <c r="LJR47" s="117"/>
      <c r="LJS47" s="117"/>
      <c r="LJT47" s="117"/>
      <c r="LJU47" s="117"/>
      <c r="LJV47" s="117"/>
      <c r="LJW47" s="117"/>
      <c r="LJX47" s="117"/>
      <c r="LJY47" s="117"/>
      <c r="LJZ47" s="117"/>
      <c r="LKA47" s="117"/>
      <c r="LKB47" s="117"/>
      <c r="LKC47" s="117"/>
      <c r="LKD47" s="117"/>
      <c r="LKE47" s="117"/>
      <c r="LKF47" s="117"/>
      <c r="LKG47" s="117"/>
      <c r="LKH47" s="117"/>
      <c r="LKI47" s="117"/>
      <c r="LKJ47" s="117"/>
      <c r="LKK47" s="117"/>
      <c r="LKL47" s="117"/>
      <c r="LKM47" s="117"/>
      <c r="LKN47" s="117"/>
      <c r="LKO47" s="117"/>
      <c r="LKP47" s="117"/>
      <c r="LKQ47" s="117"/>
      <c r="LKR47" s="117"/>
      <c r="LKS47" s="117"/>
      <c r="LKT47" s="117"/>
      <c r="LKU47" s="117"/>
      <c r="LKV47" s="117"/>
      <c r="LKW47" s="117"/>
      <c r="LKX47" s="117"/>
      <c r="LKY47" s="117"/>
      <c r="LKZ47" s="117"/>
      <c r="LLA47" s="117"/>
      <c r="LLB47" s="117"/>
      <c r="LLC47" s="117"/>
      <c r="LLD47" s="117"/>
      <c r="LLE47" s="117"/>
      <c r="LLF47" s="117"/>
      <c r="LLG47" s="117"/>
      <c r="LLH47" s="117"/>
      <c r="LLI47" s="117"/>
      <c r="LLJ47" s="117"/>
      <c r="LLK47" s="117"/>
      <c r="LLL47" s="117"/>
      <c r="LLM47" s="117"/>
      <c r="LLN47" s="117"/>
      <c r="LLO47" s="117"/>
      <c r="LLP47" s="117"/>
      <c r="LLQ47" s="117"/>
      <c r="LLR47" s="117"/>
      <c r="LLS47" s="117"/>
      <c r="LLT47" s="117"/>
      <c r="LLU47" s="117"/>
      <c r="LLV47" s="117"/>
      <c r="LLW47" s="117"/>
      <c r="LLX47" s="117"/>
      <c r="LLY47" s="117"/>
      <c r="LLZ47" s="117"/>
      <c r="LMA47" s="117"/>
      <c r="LMB47" s="117"/>
      <c r="LMC47" s="117"/>
      <c r="LMD47" s="117"/>
      <c r="LME47" s="117"/>
      <c r="LMF47" s="117"/>
      <c r="LMG47" s="117"/>
      <c r="LMH47" s="117"/>
      <c r="LMI47" s="117"/>
      <c r="LMJ47" s="117"/>
      <c r="LMK47" s="117"/>
      <c r="LML47" s="117"/>
      <c r="LMM47" s="117"/>
      <c r="LMN47" s="117"/>
      <c r="LMO47" s="117"/>
      <c r="LMP47" s="117"/>
      <c r="LMQ47" s="117"/>
      <c r="LMR47" s="117"/>
      <c r="LMS47" s="117"/>
      <c r="LMT47" s="117"/>
      <c r="LMU47" s="117"/>
      <c r="LMV47" s="117"/>
      <c r="LMW47" s="117"/>
      <c r="LMX47" s="117"/>
      <c r="LMY47" s="117"/>
      <c r="LMZ47" s="117"/>
      <c r="LNA47" s="117"/>
      <c r="LNB47" s="117"/>
      <c r="LNC47" s="117"/>
      <c r="LND47" s="117"/>
      <c r="LNE47" s="117"/>
      <c r="LNF47" s="117"/>
      <c r="LNG47" s="117"/>
      <c r="LNH47" s="117"/>
      <c r="LNI47" s="117"/>
      <c r="LNJ47" s="117"/>
      <c r="LNK47" s="117"/>
      <c r="LNL47" s="117"/>
      <c r="LNM47" s="117"/>
      <c r="LNN47" s="117"/>
      <c r="LNO47" s="117"/>
      <c r="LNP47" s="117"/>
      <c r="LNQ47" s="117"/>
      <c r="LNR47" s="117"/>
      <c r="LNS47" s="117"/>
      <c r="LNT47" s="117"/>
      <c r="LNU47" s="117"/>
      <c r="LNV47" s="117"/>
      <c r="LNW47" s="117"/>
      <c r="LNX47" s="117"/>
      <c r="LNY47" s="117"/>
      <c r="LNZ47" s="117"/>
      <c r="LOA47" s="117"/>
      <c r="LOB47" s="117"/>
      <c r="LOC47" s="117"/>
      <c r="LOD47" s="117"/>
      <c r="LOE47" s="117"/>
      <c r="LOF47" s="117"/>
      <c r="LOG47" s="117"/>
      <c r="LOH47" s="117"/>
      <c r="LOI47" s="117"/>
      <c r="LOJ47" s="117"/>
      <c r="LOK47" s="117"/>
      <c r="LOL47" s="117"/>
      <c r="LOM47" s="117"/>
      <c r="LON47" s="117"/>
      <c r="LOO47" s="117"/>
      <c r="LOP47" s="117"/>
      <c r="LOQ47" s="117"/>
      <c r="LOR47" s="117"/>
      <c r="LOS47" s="117"/>
      <c r="LOT47" s="117"/>
      <c r="LOU47" s="117"/>
      <c r="LOV47" s="117"/>
      <c r="LOW47" s="117"/>
      <c r="LOX47" s="117"/>
      <c r="LOY47" s="117"/>
      <c r="LOZ47" s="117"/>
      <c r="LPA47" s="117"/>
      <c r="LPB47" s="117"/>
      <c r="LPC47" s="117"/>
      <c r="LPD47" s="117"/>
      <c r="LPE47" s="117"/>
      <c r="LPF47" s="117"/>
      <c r="LPG47" s="117"/>
      <c r="LPH47" s="117"/>
      <c r="LPI47" s="117"/>
      <c r="LPJ47" s="117"/>
      <c r="LPK47" s="117"/>
      <c r="LPL47" s="117"/>
      <c r="LPM47" s="117"/>
      <c r="LPN47" s="117"/>
      <c r="LPO47" s="117"/>
      <c r="LPP47" s="117"/>
      <c r="LPQ47" s="117"/>
      <c r="LPR47" s="117"/>
      <c r="LPS47" s="117"/>
      <c r="LPT47" s="117"/>
      <c r="LPU47" s="117"/>
      <c r="LPV47" s="117"/>
      <c r="LPW47" s="117"/>
      <c r="LPX47" s="117"/>
      <c r="LPY47" s="117"/>
      <c r="LPZ47" s="117"/>
      <c r="LQA47" s="117"/>
      <c r="LQB47" s="117"/>
      <c r="LQC47" s="117"/>
      <c r="LQD47" s="117"/>
      <c r="LQE47" s="117"/>
      <c r="LQF47" s="117"/>
      <c r="LQG47" s="117"/>
      <c r="LQH47" s="117"/>
      <c r="LQI47" s="117"/>
      <c r="LQJ47" s="117"/>
      <c r="LQK47" s="117"/>
      <c r="LQL47" s="117"/>
      <c r="LQM47" s="117"/>
      <c r="LQN47" s="117"/>
      <c r="LQO47" s="117"/>
      <c r="LQP47" s="117"/>
      <c r="LQQ47" s="117"/>
      <c r="LQR47" s="117"/>
      <c r="LQS47" s="117"/>
      <c r="LQT47" s="117"/>
      <c r="LQU47" s="117"/>
      <c r="LQV47" s="117"/>
      <c r="LQW47" s="117"/>
      <c r="LQX47" s="117"/>
      <c r="LQY47" s="117"/>
      <c r="LQZ47" s="117"/>
      <c r="LRA47" s="117"/>
      <c r="LRB47" s="117"/>
      <c r="LRC47" s="117"/>
      <c r="LRD47" s="117"/>
      <c r="LRE47" s="117"/>
      <c r="LRF47" s="117"/>
      <c r="LRG47" s="117"/>
      <c r="LRH47" s="117"/>
      <c r="LRI47" s="117"/>
      <c r="LRJ47" s="117"/>
      <c r="LRK47" s="117"/>
      <c r="LRL47" s="117"/>
      <c r="LRM47" s="117"/>
      <c r="LRN47" s="117"/>
      <c r="LRO47" s="117"/>
      <c r="LRP47" s="117"/>
      <c r="LRQ47" s="117"/>
      <c r="LRR47" s="117"/>
      <c r="LRS47" s="117"/>
      <c r="LRT47" s="117"/>
      <c r="LRU47" s="117"/>
      <c r="LRV47" s="117"/>
      <c r="LRW47" s="117"/>
      <c r="LRX47" s="117"/>
      <c r="LRY47" s="117"/>
      <c r="LRZ47" s="117"/>
      <c r="LSA47" s="117"/>
      <c r="LSB47" s="117"/>
      <c r="LSC47" s="117"/>
      <c r="LSD47" s="117"/>
      <c r="LSE47" s="117"/>
      <c r="LSF47" s="117"/>
      <c r="LSG47" s="117"/>
      <c r="LSH47" s="117"/>
      <c r="LSI47" s="117"/>
      <c r="LSJ47" s="117"/>
      <c r="LSK47" s="117"/>
      <c r="LSL47" s="117"/>
      <c r="LSM47" s="117"/>
      <c r="LSN47" s="117"/>
      <c r="LSO47" s="117"/>
      <c r="LSP47" s="117"/>
      <c r="LSQ47" s="117"/>
      <c r="LSR47" s="117"/>
      <c r="LSS47" s="117"/>
      <c r="LST47" s="117"/>
      <c r="LSU47" s="117"/>
      <c r="LSV47" s="117"/>
      <c r="LSW47" s="117"/>
      <c r="LSX47" s="117"/>
      <c r="LSY47" s="117"/>
      <c r="LSZ47" s="117"/>
      <c r="LTA47" s="117"/>
      <c r="LTB47" s="117"/>
      <c r="LTC47" s="117"/>
      <c r="LTD47" s="117"/>
      <c r="LTE47" s="117"/>
      <c r="LTF47" s="117"/>
      <c r="LTG47" s="117"/>
      <c r="LTH47" s="117"/>
      <c r="LTI47" s="117"/>
      <c r="LTJ47" s="117"/>
      <c r="LTK47" s="117"/>
      <c r="LTL47" s="117"/>
      <c r="LTM47" s="117"/>
      <c r="LTN47" s="117"/>
      <c r="LTO47" s="117"/>
      <c r="LTP47" s="117"/>
      <c r="LTQ47" s="117"/>
      <c r="LTR47" s="117"/>
      <c r="LTS47" s="117"/>
      <c r="LTT47" s="117"/>
      <c r="LTU47" s="117"/>
      <c r="LTV47" s="117"/>
      <c r="LTW47" s="117"/>
      <c r="LTX47" s="117"/>
      <c r="LTY47" s="117"/>
      <c r="LTZ47" s="117"/>
      <c r="LUA47" s="117"/>
      <c r="LUB47" s="117"/>
      <c r="LUC47" s="117"/>
      <c r="LUD47" s="117"/>
      <c r="LUE47" s="117"/>
      <c r="LUF47" s="117"/>
      <c r="LUG47" s="117"/>
      <c r="LUH47" s="117"/>
      <c r="LUI47" s="117"/>
      <c r="LUJ47" s="117"/>
      <c r="LUK47" s="117"/>
      <c r="LUL47" s="117"/>
      <c r="LUM47" s="117"/>
      <c r="LUN47" s="117"/>
      <c r="LUO47" s="117"/>
      <c r="LUP47" s="117"/>
      <c r="LUQ47" s="117"/>
      <c r="LUR47" s="117"/>
      <c r="LUS47" s="117"/>
      <c r="LUT47" s="117"/>
      <c r="LUU47" s="117"/>
      <c r="LUV47" s="117"/>
      <c r="LUW47" s="117"/>
      <c r="LUX47" s="117"/>
      <c r="LUY47" s="117"/>
      <c r="LUZ47" s="117"/>
      <c r="LVA47" s="117"/>
      <c r="LVB47" s="117"/>
      <c r="LVC47" s="117"/>
      <c r="LVD47" s="117"/>
      <c r="LVE47" s="117"/>
      <c r="LVF47" s="117"/>
      <c r="LVG47" s="117"/>
      <c r="LVH47" s="117"/>
      <c r="LVI47" s="117"/>
      <c r="LVJ47" s="117"/>
      <c r="LVK47" s="117"/>
      <c r="LVL47" s="117"/>
      <c r="LVM47" s="117"/>
      <c r="LVN47" s="117"/>
      <c r="LVO47" s="117"/>
      <c r="LVP47" s="117"/>
      <c r="LVQ47" s="117"/>
      <c r="LVR47" s="117"/>
      <c r="LVS47" s="117"/>
      <c r="LVT47" s="117"/>
      <c r="LVU47" s="117"/>
      <c r="LVV47" s="117"/>
      <c r="LVW47" s="117"/>
      <c r="LVX47" s="117"/>
      <c r="LVY47" s="117"/>
      <c r="LVZ47" s="117"/>
      <c r="LWA47" s="117"/>
      <c r="LWB47" s="117"/>
      <c r="LWC47" s="117"/>
      <c r="LWD47" s="117"/>
      <c r="LWE47" s="117"/>
      <c r="LWF47" s="117"/>
      <c r="LWG47" s="117"/>
      <c r="LWH47" s="117"/>
      <c r="LWI47" s="117"/>
      <c r="LWJ47" s="117"/>
      <c r="LWK47" s="117"/>
      <c r="LWL47" s="117"/>
      <c r="LWM47" s="117"/>
      <c r="LWN47" s="117"/>
      <c r="LWO47" s="117"/>
      <c r="LWP47" s="117"/>
      <c r="LWQ47" s="117"/>
      <c r="LWR47" s="117"/>
      <c r="LWS47" s="117"/>
      <c r="LWT47" s="117"/>
      <c r="LWU47" s="117"/>
      <c r="LWV47" s="117"/>
      <c r="LWW47" s="117"/>
      <c r="LWX47" s="117"/>
      <c r="LWY47" s="117"/>
      <c r="LWZ47" s="117"/>
      <c r="LXA47" s="117"/>
      <c r="LXB47" s="117"/>
      <c r="LXC47" s="117"/>
      <c r="LXD47" s="117"/>
      <c r="LXE47" s="117"/>
      <c r="LXF47" s="117"/>
      <c r="LXG47" s="117"/>
      <c r="LXH47" s="117"/>
      <c r="LXI47" s="117"/>
      <c r="LXJ47" s="117"/>
      <c r="LXK47" s="117"/>
      <c r="LXL47" s="117"/>
      <c r="LXM47" s="117"/>
      <c r="LXN47" s="117"/>
      <c r="LXO47" s="117"/>
      <c r="LXP47" s="117"/>
      <c r="LXQ47" s="117"/>
      <c r="LXR47" s="117"/>
      <c r="LXS47" s="117"/>
      <c r="LXT47" s="117"/>
      <c r="LXU47" s="117"/>
      <c r="LXV47" s="117"/>
      <c r="LXW47" s="117"/>
      <c r="LXX47" s="117"/>
      <c r="LXY47" s="117"/>
      <c r="LXZ47" s="117"/>
      <c r="LYA47" s="117"/>
      <c r="LYB47" s="117"/>
      <c r="LYC47" s="117"/>
      <c r="LYD47" s="117"/>
      <c r="LYE47" s="117"/>
      <c r="LYF47" s="117"/>
      <c r="LYG47" s="117"/>
      <c r="LYH47" s="117"/>
      <c r="LYI47" s="117"/>
      <c r="LYJ47" s="117"/>
      <c r="LYK47" s="117"/>
      <c r="LYL47" s="117"/>
      <c r="LYM47" s="117"/>
      <c r="LYN47" s="117"/>
      <c r="LYO47" s="117"/>
      <c r="LYP47" s="117"/>
      <c r="LYQ47" s="117"/>
      <c r="LYR47" s="117"/>
      <c r="LYS47" s="117"/>
      <c r="LYT47" s="117"/>
      <c r="LYU47" s="117"/>
      <c r="LYV47" s="117"/>
      <c r="LYW47" s="117"/>
      <c r="LYX47" s="117"/>
      <c r="LYY47" s="117"/>
      <c r="LYZ47" s="117"/>
      <c r="LZA47" s="117"/>
      <c r="LZB47" s="117"/>
      <c r="LZC47" s="117"/>
      <c r="LZD47" s="117"/>
      <c r="LZE47" s="117"/>
      <c r="LZF47" s="117"/>
      <c r="LZG47" s="117"/>
      <c r="LZH47" s="117"/>
      <c r="LZI47" s="117"/>
      <c r="LZJ47" s="117"/>
      <c r="LZK47" s="117"/>
      <c r="LZL47" s="117"/>
      <c r="LZM47" s="117"/>
      <c r="LZN47" s="117"/>
      <c r="LZO47" s="117"/>
      <c r="LZP47" s="117"/>
      <c r="LZQ47" s="117"/>
      <c r="LZR47" s="117"/>
      <c r="LZS47" s="117"/>
      <c r="LZT47" s="117"/>
      <c r="LZU47" s="117"/>
      <c r="LZV47" s="117"/>
      <c r="LZW47" s="117"/>
      <c r="LZX47" s="117"/>
      <c r="LZY47" s="117"/>
      <c r="LZZ47" s="117"/>
      <c r="MAA47" s="117"/>
      <c r="MAB47" s="117"/>
      <c r="MAC47" s="117"/>
      <c r="MAD47" s="117"/>
      <c r="MAE47" s="117"/>
      <c r="MAF47" s="117"/>
      <c r="MAG47" s="117"/>
      <c r="MAH47" s="117"/>
      <c r="MAI47" s="117"/>
      <c r="MAJ47" s="117"/>
      <c r="MAK47" s="117"/>
      <c r="MAL47" s="117"/>
      <c r="MAM47" s="117"/>
      <c r="MAN47" s="117"/>
      <c r="MAO47" s="117"/>
      <c r="MAP47" s="117"/>
      <c r="MAQ47" s="117"/>
      <c r="MAR47" s="117"/>
      <c r="MAS47" s="117"/>
      <c r="MAT47" s="117"/>
      <c r="MAU47" s="117"/>
      <c r="MAV47" s="117"/>
      <c r="MAW47" s="117"/>
      <c r="MAX47" s="117"/>
      <c r="MAY47" s="117"/>
      <c r="MAZ47" s="117"/>
      <c r="MBA47" s="117"/>
      <c r="MBB47" s="117"/>
      <c r="MBC47" s="117"/>
      <c r="MBD47" s="117"/>
      <c r="MBE47" s="117"/>
      <c r="MBF47" s="117"/>
      <c r="MBG47" s="117"/>
      <c r="MBH47" s="117"/>
      <c r="MBI47" s="117"/>
      <c r="MBJ47" s="117"/>
      <c r="MBK47" s="117"/>
      <c r="MBL47" s="117"/>
      <c r="MBM47" s="117"/>
      <c r="MBN47" s="117"/>
      <c r="MBO47" s="117"/>
      <c r="MBP47" s="117"/>
      <c r="MBQ47" s="117"/>
      <c r="MBR47" s="117"/>
      <c r="MBS47" s="117"/>
      <c r="MBT47" s="117"/>
      <c r="MBU47" s="117"/>
      <c r="MBV47" s="117"/>
      <c r="MBW47" s="117"/>
      <c r="MBX47" s="117"/>
      <c r="MBY47" s="117"/>
      <c r="MBZ47" s="117"/>
      <c r="MCA47" s="117"/>
      <c r="MCB47" s="117"/>
      <c r="MCC47" s="117"/>
      <c r="MCD47" s="117"/>
      <c r="MCE47" s="117"/>
      <c r="MCF47" s="117"/>
      <c r="MCG47" s="117"/>
      <c r="MCH47" s="117"/>
      <c r="MCI47" s="117"/>
      <c r="MCJ47" s="117"/>
      <c r="MCK47" s="117"/>
      <c r="MCL47" s="117"/>
      <c r="MCM47" s="117"/>
      <c r="MCN47" s="117"/>
      <c r="MCO47" s="117"/>
      <c r="MCP47" s="117"/>
      <c r="MCQ47" s="117"/>
      <c r="MCR47" s="117"/>
      <c r="MCS47" s="117"/>
      <c r="MCT47" s="117"/>
      <c r="MCU47" s="117"/>
      <c r="MCV47" s="117"/>
      <c r="MCW47" s="117"/>
      <c r="MCX47" s="117"/>
      <c r="MCY47" s="117"/>
      <c r="MCZ47" s="117"/>
      <c r="MDA47" s="117"/>
      <c r="MDB47" s="117"/>
      <c r="MDC47" s="117"/>
      <c r="MDD47" s="117"/>
      <c r="MDE47" s="117"/>
      <c r="MDF47" s="117"/>
      <c r="MDG47" s="117"/>
      <c r="MDH47" s="117"/>
      <c r="MDI47" s="117"/>
      <c r="MDJ47" s="117"/>
      <c r="MDK47" s="117"/>
      <c r="MDL47" s="117"/>
      <c r="MDM47" s="117"/>
      <c r="MDN47" s="117"/>
      <c r="MDO47" s="117"/>
      <c r="MDP47" s="117"/>
      <c r="MDQ47" s="117"/>
      <c r="MDR47" s="117"/>
      <c r="MDS47" s="117"/>
      <c r="MDT47" s="117"/>
      <c r="MDU47" s="117"/>
      <c r="MDV47" s="117"/>
      <c r="MDW47" s="117"/>
      <c r="MDX47" s="117"/>
      <c r="MDY47" s="117"/>
      <c r="MDZ47" s="117"/>
      <c r="MEA47" s="117"/>
      <c r="MEB47" s="117"/>
      <c r="MEC47" s="117"/>
      <c r="MED47" s="117"/>
      <c r="MEE47" s="117"/>
      <c r="MEF47" s="117"/>
      <c r="MEG47" s="117"/>
      <c r="MEH47" s="117"/>
      <c r="MEI47" s="117"/>
      <c r="MEJ47" s="117"/>
      <c r="MEK47" s="117"/>
      <c r="MEL47" s="117"/>
      <c r="MEM47" s="117"/>
      <c r="MEN47" s="117"/>
      <c r="MEO47" s="117"/>
      <c r="MEP47" s="117"/>
      <c r="MEQ47" s="117"/>
      <c r="MER47" s="117"/>
      <c r="MES47" s="117"/>
      <c r="MET47" s="117"/>
      <c r="MEU47" s="117"/>
      <c r="MEV47" s="117"/>
      <c r="MEW47" s="117"/>
      <c r="MEX47" s="117"/>
      <c r="MEY47" s="117"/>
      <c r="MEZ47" s="117"/>
      <c r="MFA47" s="117"/>
      <c r="MFB47" s="117"/>
      <c r="MFC47" s="117"/>
      <c r="MFD47" s="117"/>
      <c r="MFE47" s="117"/>
      <c r="MFF47" s="117"/>
      <c r="MFG47" s="117"/>
      <c r="MFH47" s="117"/>
      <c r="MFI47" s="117"/>
      <c r="MFJ47" s="117"/>
      <c r="MFK47" s="117"/>
      <c r="MFL47" s="117"/>
      <c r="MFM47" s="117"/>
      <c r="MFN47" s="117"/>
      <c r="MFO47" s="117"/>
      <c r="MFP47" s="117"/>
      <c r="MFQ47" s="117"/>
      <c r="MFR47" s="117"/>
      <c r="MFS47" s="117"/>
      <c r="MFT47" s="117"/>
      <c r="MFU47" s="117"/>
      <c r="MFV47" s="117"/>
      <c r="MFW47" s="117"/>
      <c r="MFX47" s="117"/>
      <c r="MFY47" s="117"/>
      <c r="MFZ47" s="117"/>
      <c r="MGA47" s="117"/>
      <c r="MGB47" s="117"/>
      <c r="MGC47" s="117"/>
      <c r="MGD47" s="117"/>
      <c r="MGE47" s="117"/>
      <c r="MGF47" s="117"/>
      <c r="MGG47" s="117"/>
      <c r="MGH47" s="117"/>
      <c r="MGI47" s="117"/>
      <c r="MGJ47" s="117"/>
      <c r="MGK47" s="117"/>
      <c r="MGL47" s="117"/>
      <c r="MGM47" s="117"/>
      <c r="MGN47" s="117"/>
      <c r="MGO47" s="117"/>
      <c r="MGP47" s="117"/>
      <c r="MGQ47" s="117"/>
      <c r="MGR47" s="117"/>
      <c r="MGS47" s="117"/>
      <c r="MGT47" s="117"/>
      <c r="MGU47" s="117"/>
      <c r="MGV47" s="117"/>
      <c r="MGW47" s="117"/>
      <c r="MGX47" s="117"/>
      <c r="MGY47" s="117"/>
      <c r="MGZ47" s="117"/>
      <c r="MHA47" s="117"/>
      <c r="MHB47" s="117"/>
      <c r="MHC47" s="117"/>
      <c r="MHD47" s="117"/>
      <c r="MHE47" s="117"/>
      <c r="MHF47" s="117"/>
      <c r="MHG47" s="117"/>
      <c r="MHH47" s="117"/>
      <c r="MHI47" s="117"/>
      <c r="MHJ47" s="117"/>
      <c r="MHK47" s="117"/>
      <c r="MHL47" s="117"/>
      <c r="MHM47" s="117"/>
      <c r="MHN47" s="117"/>
      <c r="MHO47" s="117"/>
      <c r="MHP47" s="117"/>
      <c r="MHQ47" s="117"/>
      <c r="MHR47" s="117"/>
      <c r="MHS47" s="117"/>
      <c r="MHT47" s="117"/>
      <c r="MHU47" s="117"/>
      <c r="MHV47" s="117"/>
      <c r="MHW47" s="117"/>
      <c r="MHX47" s="117"/>
      <c r="MHY47" s="117"/>
      <c r="MHZ47" s="117"/>
      <c r="MIA47" s="117"/>
      <c r="MIB47" s="117"/>
      <c r="MIC47" s="117"/>
      <c r="MID47" s="117"/>
      <c r="MIE47" s="117"/>
      <c r="MIF47" s="117"/>
      <c r="MIG47" s="117"/>
      <c r="MIH47" s="117"/>
      <c r="MII47" s="117"/>
      <c r="MIJ47" s="117"/>
      <c r="MIK47" s="117"/>
      <c r="MIL47" s="117"/>
      <c r="MIM47" s="117"/>
      <c r="MIN47" s="117"/>
      <c r="MIO47" s="117"/>
      <c r="MIP47" s="117"/>
      <c r="MIQ47" s="117"/>
      <c r="MIR47" s="117"/>
      <c r="MIS47" s="117"/>
      <c r="MIT47" s="117"/>
      <c r="MIU47" s="117"/>
      <c r="MIV47" s="117"/>
      <c r="MIW47" s="117"/>
      <c r="MIX47" s="117"/>
      <c r="MIY47" s="117"/>
      <c r="MIZ47" s="117"/>
      <c r="MJA47" s="117"/>
      <c r="MJB47" s="117"/>
      <c r="MJC47" s="117"/>
      <c r="MJD47" s="117"/>
      <c r="MJE47" s="117"/>
      <c r="MJF47" s="117"/>
      <c r="MJG47" s="117"/>
      <c r="MJH47" s="117"/>
      <c r="MJI47" s="117"/>
      <c r="MJJ47" s="117"/>
      <c r="MJK47" s="117"/>
      <c r="MJL47" s="117"/>
      <c r="MJM47" s="117"/>
      <c r="MJN47" s="117"/>
      <c r="MJO47" s="117"/>
      <c r="MJP47" s="117"/>
      <c r="MJQ47" s="117"/>
      <c r="MJR47" s="117"/>
      <c r="MJS47" s="117"/>
      <c r="MJT47" s="117"/>
      <c r="MJU47" s="117"/>
      <c r="MJV47" s="117"/>
      <c r="MJW47" s="117"/>
      <c r="MJX47" s="117"/>
      <c r="MJY47" s="117"/>
      <c r="MJZ47" s="117"/>
      <c r="MKA47" s="117"/>
      <c r="MKB47" s="117"/>
      <c r="MKC47" s="117"/>
      <c r="MKD47" s="117"/>
      <c r="MKE47" s="117"/>
      <c r="MKF47" s="117"/>
      <c r="MKG47" s="117"/>
      <c r="MKH47" s="117"/>
      <c r="MKI47" s="117"/>
      <c r="MKJ47" s="117"/>
      <c r="MKK47" s="117"/>
      <c r="MKL47" s="117"/>
      <c r="MKM47" s="117"/>
      <c r="MKN47" s="117"/>
      <c r="MKO47" s="117"/>
      <c r="MKP47" s="117"/>
      <c r="MKQ47" s="117"/>
      <c r="MKR47" s="117"/>
      <c r="MKS47" s="117"/>
      <c r="MKT47" s="117"/>
      <c r="MKU47" s="117"/>
      <c r="MKV47" s="117"/>
      <c r="MKW47" s="117"/>
      <c r="MKX47" s="117"/>
      <c r="MKY47" s="117"/>
      <c r="MKZ47" s="117"/>
      <c r="MLA47" s="117"/>
      <c r="MLB47" s="117"/>
      <c r="MLC47" s="117"/>
      <c r="MLD47" s="117"/>
      <c r="MLE47" s="117"/>
      <c r="MLF47" s="117"/>
      <c r="MLG47" s="117"/>
      <c r="MLH47" s="117"/>
      <c r="MLI47" s="117"/>
      <c r="MLJ47" s="117"/>
      <c r="MLK47" s="117"/>
      <c r="MLL47" s="117"/>
      <c r="MLM47" s="117"/>
      <c r="MLN47" s="117"/>
      <c r="MLO47" s="117"/>
      <c r="MLP47" s="117"/>
      <c r="MLQ47" s="117"/>
      <c r="MLR47" s="117"/>
      <c r="MLS47" s="117"/>
      <c r="MLT47" s="117"/>
      <c r="MLU47" s="117"/>
      <c r="MLV47" s="117"/>
      <c r="MLW47" s="117"/>
      <c r="MLX47" s="117"/>
      <c r="MLY47" s="117"/>
      <c r="MLZ47" s="117"/>
      <c r="MMA47" s="117"/>
      <c r="MMB47" s="117"/>
      <c r="MMC47" s="117"/>
      <c r="MMD47" s="117"/>
      <c r="MME47" s="117"/>
      <c r="MMF47" s="117"/>
      <c r="MMG47" s="117"/>
      <c r="MMH47" s="117"/>
      <c r="MMI47" s="117"/>
      <c r="MMJ47" s="117"/>
      <c r="MMK47" s="117"/>
      <c r="MML47" s="117"/>
      <c r="MMM47" s="117"/>
      <c r="MMN47" s="117"/>
      <c r="MMO47" s="117"/>
      <c r="MMP47" s="117"/>
      <c r="MMQ47" s="117"/>
      <c r="MMR47" s="117"/>
      <c r="MMS47" s="117"/>
      <c r="MMT47" s="117"/>
      <c r="MMU47" s="117"/>
      <c r="MMV47" s="117"/>
      <c r="MMW47" s="117"/>
      <c r="MMX47" s="117"/>
      <c r="MMY47" s="117"/>
      <c r="MMZ47" s="117"/>
      <c r="MNA47" s="117"/>
      <c r="MNB47" s="117"/>
      <c r="MNC47" s="117"/>
      <c r="MND47" s="117"/>
      <c r="MNE47" s="117"/>
      <c r="MNF47" s="117"/>
      <c r="MNG47" s="117"/>
      <c r="MNH47" s="117"/>
      <c r="MNI47" s="117"/>
      <c r="MNJ47" s="117"/>
      <c r="MNK47" s="117"/>
      <c r="MNL47" s="117"/>
      <c r="MNM47" s="117"/>
      <c r="MNN47" s="117"/>
      <c r="MNO47" s="117"/>
      <c r="MNP47" s="117"/>
      <c r="MNQ47" s="117"/>
      <c r="MNR47" s="117"/>
      <c r="MNS47" s="117"/>
      <c r="MNT47" s="117"/>
      <c r="MNU47" s="117"/>
      <c r="MNV47" s="117"/>
      <c r="MNW47" s="117"/>
      <c r="MNX47" s="117"/>
      <c r="MNY47" s="117"/>
      <c r="MNZ47" s="117"/>
      <c r="MOA47" s="117"/>
      <c r="MOB47" s="117"/>
      <c r="MOC47" s="117"/>
      <c r="MOD47" s="117"/>
      <c r="MOE47" s="117"/>
      <c r="MOF47" s="117"/>
      <c r="MOG47" s="117"/>
      <c r="MOH47" s="117"/>
      <c r="MOI47" s="117"/>
      <c r="MOJ47" s="117"/>
      <c r="MOK47" s="117"/>
      <c r="MOL47" s="117"/>
      <c r="MOM47" s="117"/>
      <c r="MON47" s="117"/>
      <c r="MOO47" s="117"/>
      <c r="MOP47" s="117"/>
      <c r="MOQ47" s="117"/>
      <c r="MOR47" s="117"/>
      <c r="MOS47" s="117"/>
      <c r="MOT47" s="117"/>
      <c r="MOU47" s="117"/>
      <c r="MOV47" s="117"/>
      <c r="MOW47" s="117"/>
      <c r="MOX47" s="117"/>
      <c r="MOY47" s="117"/>
      <c r="MOZ47" s="117"/>
      <c r="MPA47" s="117"/>
      <c r="MPB47" s="117"/>
      <c r="MPC47" s="117"/>
      <c r="MPD47" s="117"/>
      <c r="MPE47" s="117"/>
      <c r="MPF47" s="117"/>
      <c r="MPG47" s="117"/>
      <c r="MPH47" s="117"/>
      <c r="MPI47" s="117"/>
      <c r="MPJ47" s="117"/>
      <c r="MPK47" s="117"/>
      <c r="MPL47" s="117"/>
      <c r="MPM47" s="117"/>
      <c r="MPN47" s="117"/>
      <c r="MPO47" s="117"/>
      <c r="MPP47" s="117"/>
      <c r="MPQ47" s="117"/>
      <c r="MPR47" s="117"/>
      <c r="MPS47" s="117"/>
      <c r="MPT47" s="117"/>
      <c r="MPU47" s="117"/>
      <c r="MPV47" s="117"/>
      <c r="MPW47" s="117"/>
      <c r="MPX47" s="117"/>
      <c r="MPY47" s="117"/>
      <c r="MPZ47" s="117"/>
      <c r="MQA47" s="117"/>
      <c r="MQB47" s="117"/>
      <c r="MQC47" s="117"/>
      <c r="MQD47" s="117"/>
      <c r="MQE47" s="117"/>
      <c r="MQF47" s="117"/>
      <c r="MQG47" s="117"/>
      <c r="MQH47" s="117"/>
      <c r="MQI47" s="117"/>
      <c r="MQJ47" s="117"/>
      <c r="MQK47" s="117"/>
      <c r="MQL47" s="117"/>
      <c r="MQM47" s="117"/>
      <c r="MQN47" s="117"/>
      <c r="MQO47" s="117"/>
      <c r="MQP47" s="117"/>
      <c r="MQQ47" s="117"/>
      <c r="MQR47" s="117"/>
      <c r="MQS47" s="117"/>
      <c r="MQT47" s="117"/>
      <c r="MQU47" s="117"/>
      <c r="MQV47" s="117"/>
      <c r="MQW47" s="117"/>
      <c r="MQX47" s="117"/>
      <c r="MQY47" s="117"/>
      <c r="MQZ47" s="117"/>
      <c r="MRA47" s="117"/>
      <c r="MRB47" s="117"/>
      <c r="MRC47" s="117"/>
      <c r="MRD47" s="117"/>
      <c r="MRE47" s="117"/>
      <c r="MRF47" s="117"/>
      <c r="MRG47" s="117"/>
      <c r="MRH47" s="117"/>
      <c r="MRI47" s="117"/>
      <c r="MRJ47" s="117"/>
      <c r="MRK47" s="117"/>
      <c r="MRL47" s="117"/>
      <c r="MRM47" s="117"/>
      <c r="MRN47" s="117"/>
      <c r="MRO47" s="117"/>
      <c r="MRP47" s="117"/>
      <c r="MRQ47" s="117"/>
      <c r="MRR47" s="117"/>
      <c r="MRS47" s="117"/>
      <c r="MRT47" s="117"/>
      <c r="MRU47" s="117"/>
      <c r="MRV47" s="117"/>
      <c r="MRW47" s="117"/>
      <c r="MRX47" s="117"/>
      <c r="MRY47" s="117"/>
      <c r="MRZ47" s="117"/>
      <c r="MSA47" s="117"/>
      <c r="MSB47" s="117"/>
      <c r="MSC47" s="117"/>
      <c r="MSD47" s="117"/>
      <c r="MSE47" s="117"/>
      <c r="MSF47" s="117"/>
      <c r="MSG47" s="117"/>
      <c r="MSH47" s="117"/>
      <c r="MSI47" s="117"/>
      <c r="MSJ47" s="117"/>
      <c r="MSK47" s="117"/>
      <c r="MSL47" s="117"/>
      <c r="MSM47" s="117"/>
      <c r="MSN47" s="117"/>
      <c r="MSO47" s="117"/>
      <c r="MSP47" s="117"/>
      <c r="MSQ47" s="117"/>
      <c r="MSR47" s="117"/>
      <c r="MSS47" s="117"/>
      <c r="MST47" s="117"/>
      <c r="MSU47" s="117"/>
      <c r="MSV47" s="117"/>
      <c r="MSW47" s="117"/>
      <c r="MSX47" s="117"/>
      <c r="MSY47" s="117"/>
      <c r="MSZ47" s="117"/>
      <c r="MTA47" s="117"/>
      <c r="MTB47" s="117"/>
      <c r="MTC47" s="117"/>
      <c r="MTD47" s="117"/>
      <c r="MTE47" s="117"/>
      <c r="MTF47" s="117"/>
      <c r="MTG47" s="117"/>
      <c r="MTH47" s="117"/>
      <c r="MTI47" s="117"/>
      <c r="MTJ47" s="117"/>
      <c r="MTK47" s="117"/>
      <c r="MTL47" s="117"/>
      <c r="MTM47" s="117"/>
      <c r="MTN47" s="117"/>
      <c r="MTO47" s="117"/>
      <c r="MTP47" s="117"/>
      <c r="MTQ47" s="117"/>
      <c r="MTR47" s="117"/>
      <c r="MTS47" s="117"/>
      <c r="MTT47" s="117"/>
      <c r="MTU47" s="117"/>
      <c r="MTV47" s="117"/>
      <c r="MTW47" s="117"/>
      <c r="MTX47" s="117"/>
      <c r="MTY47" s="117"/>
      <c r="MTZ47" s="117"/>
      <c r="MUA47" s="117"/>
      <c r="MUB47" s="117"/>
      <c r="MUC47" s="117"/>
      <c r="MUD47" s="117"/>
      <c r="MUE47" s="117"/>
      <c r="MUF47" s="117"/>
      <c r="MUG47" s="117"/>
      <c r="MUH47" s="117"/>
      <c r="MUI47" s="117"/>
      <c r="MUJ47" s="117"/>
      <c r="MUK47" s="117"/>
      <c r="MUL47" s="117"/>
      <c r="MUM47" s="117"/>
      <c r="MUN47" s="117"/>
      <c r="MUO47" s="117"/>
      <c r="MUP47" s="117"/>
      <c r="MUQ47" s="117"/>
      <c r="MUR47" s="117"/>
      <c r="MUS47" s="117"/>
      <c r="MUT47" s="117"/>
      <c r="MUU47" s="117"/>
      <c r="MUV47" s="117"/>
      <c r="MUW47" s="117"/>
      <c r="MUX47" s="117"/>
      <c r="MUY47" s="117"/>
      <c r="MUZ47" s="117"/>
      <c r="MVA47" s="117"/>
      <c r="MVB47" s="117"/>
      <c r="MVC47" s="117"/>
      <c r="MVD47" s="117"/>
      <c r="MVE47" s="117"/>
      <c r="MVF47" s="117"/>
      <c r="MVG47" s="117"/>
      <c r="MVH47" s="117"/>
      <c r="MVI47" s="117"/>
      <c r="MVJ47" s="117"/>
      <c r="MVK47" s="117"/>
      <c r="MVL47" s="117"/>
      <c r="MVM47" s="117"/>
      <c r="MVN47" s="117"/>
      <c r="MVO47" s="117"/>
      <c r="MVP47" s="117"/>
      <c r="MVQ47" s="117"/>
      <c r="MVR47" s="117"/>
      <c r="MVS47" s="117"/>
      <c r="MVT47" s="117"/>
      <c r="MVU47" s="117"/>
      <c r="MVV47" s="117"/>
      <c r="MVW47" s="117"/>
      <c r="MVX47" s="117"/>
      <c r="MVY47" s="117"/>
      <c r="MVZ47" s="117"/>
      <c r="MWA47" s="117"/>
      <c r="MWB47" s="117"/>
      <c r="MWC47" s="117"/>
      <c r="MWD47" s="117"/>
      <c r="MWE47" s="117"/>
      <c r="MWF47" s="117"/>
      <c r="MWG47" s="117"/>
      <c r="MWH47" s="117"/>
      <c r="MWI47" s="117"/>
      <c r="MWJ47" s="117"/>
      <c r="MWK47" s="117"/>
      <c r="MWL47" s="117"/>
      <c r="MWM47" s="117"/>
      <c r="MWN47" s="117"/>
      <c r="MWO47" s="117"/>
      <c r="MWP47" s="117"/>
      <c r="MWQ47" s="117"/>
      <c r="MWR47" s="117"/>
      <c r="MWS47" s="117"/>
      <c r="MWT47" s="117"/>
      <c r="MWU47" s="117"/>
      <c r="MWV47" s="117"/>
      <c r="MWW47" s="117"/>
      <c r="MWX47" s="117"/>
      <c r="MWY47" s="117"/>
      <c r="MWZ47" s="117"/>
      <c r="MXA47" s="117"/>
      <c r="MXB47" s="117"/>
      <c r="MXC47" s="117"/>
      <c r="MXD47" s="117"/>
      <c r="MXE47" s="117"/>
      <c r="MXF47" s="117"/>
      <c r="MXG47" s="117"/>
      <c r="MXH47" s="117"/>
      <c r="MXI47" s="117"/>
      <c r="MXJ47" s="117"/>
      <c r="MXK47" s="117"/>
      <c r="MXL47" s="117"/>
      <c r="MXM47" s="117"/>
      <c r="MXN47" s="117"/>
      <c r="MXO47" s="117"/>
      <c r="MXP47" s="117"/>
      <c r="MXQ47" s="117"/>
      <c r="MXR47" s="117"/>
      <c r="MXS47" s="117"/>
      <c r="MXT47" s="117"/>
      <c r="MXU47" s="117"/>
      <c r="MXV47" s="117"/>
      <c r="MXW47" s="117"/>
      <c r="MXX47" s="117"/>
      <c r="MXY47" s="117"/>
      <c r="MXZ47" s="117"/>
      <c r="MYA47" s="117"/>
      <c r="MYB47" s="117"/>
      <c r="MYC47" s="117"/>
      <c r="MYD47" s="117"/>
      <c r="MYE47" s="117"/>
      <c r="MYF47" s="117"/>
      <c r="MYG47" s="117"/>
      <c r="MYH47" s="117"/>
      <c r="MYI47" s="117"/>
      <c r="MYJ47" s="117"/>
      <c r="MYK47" s="117"/>
      <c r="MYL47" s="117"/>
      <c r="MYM47" s="117"/>
      <c r="MYN47" s="117"/>
      <c r="MYO47" s="117"/>
      <c r="MYP47" s="117"/>
      <c r="MYQ47" s="117"/>
      <c r="MYR47" s="117"/>
      <c r="MYS47" s="117"/>
      <c r="MYT47" s="117"/>
      <c r="MYU47" s="117"/>
      <c r="MYV47" s="117"/>
      <c r="MYW47" s="117"/>
      <c r="MYX47" s="117"/>
      <c r="MYY47" s="117"/>
      <c r="MYZ47" s="117"/>
      <c r="MZA47" s="117"/>
      <c r="MZB47" s="117"/>
      <c r="MZC47" s="117"/>
      <c r="MZD47" s="117"/>
      <c r="MZE47" s="117"/>
      <c r="MZF47" s="117"/>
      <c r="MZG47" s="117"/>
      <c r="MZH47" s="117"/>
      <c r="MZI47" s="117"/>
      <c r="MZJ47" s="117"/>
      <c r="MZK47" s="117"/>
      <c r="MZL47" s="117"/>
      <c r="MZM47" s="117"/>
      <c r="MZN47" s="117"/>
      <c r="MZO47" s="117"/>
      <c r="MZP47" s="117"/>
      <c r="MZQ47" s="117"/>
      <c r="MZR47" s="117"/>
      <c r="MZS47" s="117"/>
      <c r="MZT47" s="117"/>
      <c r="MZU47" s="117"/>
      <c r="MZV47" s="117"/>
      <c r="MZW47" s="117"/>
      <c r="MZX47" s="117"/>
      <c r="MZY47" s="117"/>
      <c r="MZZ47" s="117"/>
      <c r="NAA47" s="117"/>
      <c r="NAB47" s="117"/>
      <c r="NAC47" s="117"/>
      <c r="NAD47" s="117"/>
      <c r="NAE47" s="117"/>
      <c r="NAF47" s="117"/>
      <c r="NAG47" s="117"/>
      <c r="NAH47" s="117"/>
      <c r="NAI47" s="117"/>
      <c r="NAJ47" s="117"/>
      <c r="NAK47" s="117"/>
      <c r="NAL47" s="117"/>
      <c r="NAM47" s="117"/>
      <c r="NAN47" s="117"/>
      <c r="NAO47" s="117"/>
      <c r="NAP47" s="117"/>
      <c r="NAQ47" s="117"/>
      <c r="NAR47" s="117"/>
      <c r="NAS47" s="117"/>
      <c r="NAT47" s="117"/>
      <c r="NAU47" s="117"/>
      <c r="NAV47" s="117"/>
      <c r="NAW47" s="117"/>
      <c r="NAX47" s="117"/>
      <c r="NAY47" s="117"/>
      <c r="NAZ47" s="117"/>
      <c r="NBA47" s="117"/>
      <c r="NBB47" s="117"/>
      <c r="NBC47" s="117"/>
      <c r="NBD47" s="117"/>
      <c r="NBE47" s="117"/>
      <c r="NBF47" s="117"/>
      <c r="NBG47" s="117"/>
      <c r="NBH47" s="117"/>
      <c r="NBI47" s="117"/>
      <c r="NBJ47" s="117"/>
      <c r="NBK47" s="117"/>
      <c r="NBL47" s="117"/>
      <c r="NBM47" s="117"/>
      <c r="NBN47" s="117"/>
      <c r="NBO47" s="117"/>
      <c r="NBP47" s="117"/>
      <c r="NBQ47" s="117"/>
      <c r="NBR47" s="117"/>
      <c r="NBS47" s="117"/>
      <c r="NBT47" s="117"/>
      <c r="NBU47" s="117"/>
      <c r="NBV47" s="117"/>
      <c r="NBW47" s="117"/>
      <c r="NBX47" s="117"/>
      <c r="NBY47" s="117"/>
      <c r="NBZ47" s="117"/>
      <c r="NCA47" s="117"/>
      <c r="NCB47" s="117"/>
      <c r="NCC47" s="117"/>
      <c r="NCD47" s="117"/>
      <c r="NCE47" s="117"/>
      <c r="NCF47" s="117"/>
      <c r="NCG47" s="117"/>
      <c r="NCH47" s="117"/>
      <c r="NCI47" s="117"/>
      <c r="NCJ47" s="117"/>
      <c r="NCK47" s="117"/>
      <c r="NCL47" s="117"/>
      <c r="NCM47" s="117"/>
      <c r="NCN47" s="117"/>
      <c r="NCO47" s="117"/>
      <c r="NCP47" s="117"/>
      <c r="NCQ47" s="117"/>
      <c r="NCR47" s="117"/>
      <c r="NCS47" s="117"/>
      <c r="NCT47" s="117"/>
      <c r="NCU47" s="117"/>
      <c r="NCV47" s="117"/>
      <c r="NCW47" s="117"/>
      <c r="NCX47" s="117"/>
      <c r="NCY47" s="117"/>
      <c r="NCZ47" s="117"/>
      <c r="NDA47" s="117"/>
      <c r="NDB47" s="117"/>
      <c r="NDC47" s="117"/>
      <c r="NDD47" s="117"/>
      <c r="NDE47" s="117"/>
      <c r="NDF47" s="117"/>
      <c r="NDG47" s="117"/>
      <c r="NDH47" s="117"/>
      <c r="NDI47" s="117"/>
      <c r="NDJ47" s="117"/>
      <c r="NDK47" s="117"/>
      <c r="NDL47" s="117"/>
      <c r="NDM47" s="117"/>
      <c r="NDN47" s="117"/>
      <c r="NDO47" s="117"/>
      <c r="NDP47" s="117"/>
      <c r="NDQ47" s="117"/>
      <c r="NDR47" s="117"/>
      <c r="NDS47" s="117"/>
      <c r="NDT47" s="117"/>
      <c r="NDU47" s="117"/>
      <c r="NDV47" s="117"/>
      <c r="NDW47" s="117"/>
      <c r="NDX47" s="117"/>
      <c r="NDY47" s="117"/>
      <c r="NDZ47" s="117"/>
      <c r="NEA47" s="117"/>
      <c r="NEB47" s="117"/>
      <c r="NEC47" s="117"/>
      <c r="NED47" s="117"/>
      <c r="NEE47" s="117"/>
      <c r="NEF47" s="117"/>
      <c r="NEG47" s="117"/>
      <c r="NEH47" s="117"/>
      <c r="NEI47" s="117"/>
      <c r="NEJ47" s="117"/>
      <c r="NEK47" s="117"/>
      <c r="NEL47" s="117"/>
      <c r="NEM47" s="117"/>
      <c r="NEN47" s="117"/>
      <c r="NEO47" s="117"/>
      <c r="NEP47" s="117"/>
      <c r="NEQ47" s="117"/>
      <c r="NER47" s="117"/>
      <c r="NES47" s="117"/>
      <c r="NET47" s="117"/>
      <c r="NEU47" s="117"/>
      <c r="NEV47" s="117"/>
      <c r="NEW47" s="117"/>
      <c r="NEX47" s="117"/>
      <c r="NEY47" s="117"/>
      <c r="NEZ47" s="117"/>
      <c r="NFA47" s="117"/>
      <c r="NFB47" s="117"/>
      <c r="NFC47" s="117"/>
      <c r="NFD47" s="117"/>
      <c r="NFE47" s="117"/>
      <c r="NFF47" s="117"/>
      <c r="NFG47" s="117"/>
      <c r="NFH47" s="117"/>
      <c r="NFI47" s="117"/>
      <c r="NFJ47" s="117"/>
      <c r="NFK47" s="117"/>
      <c r="NFL47" s="117"/>
      <c r="NFM47" s="117"/>
      <c r="NFN47" s="117"/>
      <c r="NFO47" s="117"/>
      <c r="NFP47" s="117"/>
      <c r="NFQ47" s="117"/>
      <c r="NFR47" s="117"/>
      <c r="NFS47" s="117"/>
      <c r="NFT47" s="117"/>
      <c r="NFU47" s="117"/>
      <c r="NFV47" s="117"/>
      <c r="NFW47" s="117"/>
      <c r="NFX47" s="117"/>
      <c r="NFY47" s="117"/>
      <c r="NFZ47" s="117"/>
      <c r="NGA47" s="117"/>
      <c r="NGB47" s="117"/>
      <c r="NGC47" s="117"/>
      <c r="NGD47" s="117"/>
      <c r="NGE47" s="117"/>
      <c r="NGF47" s="117"/>
      <c r="NGG47" s="117"/>
      <c r="NGH47" s="117"/>
      <c r="NGI47" s="117"/>
      <c r="NGJ47" s="117"/>
      <c r="NGK47" s="117"/>
      <c r="NGL47" s="117"/>
      <c r="NGM47" s="117"/>
      <c r="NGN47" s="117"/>
      <c r="NGO47" s="117"/>
      <c r="NGP47" s="117"/>
      <c r="NGQ47" s="117"/>
      <c r="NGR47" s="117"/>
      <c r="NGS47" s="117"/>
      <c r="NGT47" s="117"/>
      <c r="NGU47" s="117"/>
      <c r="NGV47" s="117"/>
      <c r="NGW47" s="117"/>
      <c r="NGX47" s="117"/>
      <c r="NGY47" s="117"/>
      <c r="NGZ47" s="117"/>
      <c r="NHA47" s="117"/>
      <c r="NHB47" s="117"/>
      <c r="NHC47" s="117"/>
      <c r="NHD47" s="117"/>
      <c r="NHE47" s="117"/>
      <c r="NHF47" s="117"/>
      <c r="NHG47" s="117"/>
      <c r="NHH47" s="117"/>
      <c r="NHI47" s="117"/>
      <c r="NHJ47" s="117"/>
      <c r="NHK47" s="117"/>
      <c r="NHL47" s="117"/>
      <c r="NHM47" s="117"/>
      <c r="NHN47" s="117"/>
      <c r="NHO47" s="117"/>
      <c r="NHP47" s="117"/>
      <c r="NHQ47" s="117"/>
      <c r="NHR47" s="117"/>
      <c r="NHS47" s="117"/>
      <c r="NHT47" s="117"/>
      <c r="NHU47" s="117"/>
      <c r="NHV47" s="117"/>
      <c r="NHW47" s="117"/>
      <c r="NHX47" s="117"/>
      <c r="NHY47" s="117"/>
      <c r="NHZ47" s="117"/>
      <c r="NIA47" s="117"/>
      <c r="NIB47" s="117"/>
      <c r="NIC47" s="117"/>
      <c r="NID47" s="117"/>
      <c r="NIE47" s="117"/>
      <c r="NIF47" s="117"/>
      <c r="NIG47" s="117"/>
      <c r="NIH47" s="117"/>
      <c r="NII47" s="117"/>
      <c r="NIJ47" s="117"/>
      <c r="NIK47" s="117"/>
      <c r="NIL47" s="117"/>
      <c r="NIM47" s="117"/>
      <c r="NIN47" s="117"/>
      <c r="NIO47" s="117"/>
      <c r="NIP47" s="117"/>
      <c r="NIQ47" s="117"/>
      <c r="NIR47" s="117"/>
      <c r="NIS47" s="117"/>
      <c r="NIT47" s="117"/>
      <c r="NIU47" s="117"/>
      <c r="NIV47" s="117"/>
      <c r="NIW47" s="117"/>
      <c r="NIX47" s="117"/>
      <c r="NIY47" s="117"/>
      <c r="NIZ47" s="117"/>
      <c r="NJA47" s="117"/>
      <c r="NJB47" s="117"/>
      <c r="NJC47" s="117"/>
      <c r="NJD47" s="117"/>
      <c r="NJE47" s="117"/>
      <c r="NJF47" s="117"/>
      <c r="NJG47" s="117"/>
      <c r="NJH47" s="117"/>
      <c r="NJI47" s="117"/>
      <c r="NJJ47" s="117"/>
      <c r="NJK47" s="117"/>
      <c r="NJL47" s="117"/>
      <c r="NJM47" s="117"/>
      <c r="NJN47" s="117"/>
      <c r="NJO47" s="117"/>
      <c r="NJP47" s="117"/>
      <c r="NJQ47" s="117"/>
      <c r="NJR47" s="117"/>
      <c r="NJS47" s="117"/>
      <c r="NJT47" s="117"/>
      <c r="NJU47" s="117"/>
      <c r="NJV47" s="117"/>
      <c r="NJW47" s="117"/>
      <c r="NJX47" s="117"/>
      <c r="NJY47" s="117"/>
      <c r="NJZ47" s="117"/>
      <c r="NKA47" s="117"/>
      <c r="NKB47" s="117"/>
      <c r="NKC47" s="117"/>
      <c r="NKD47" s="117"/>
      <c r="NKE47" s="117"/>
      <c r="NKF47" s="117"/>
      <c r="NKG47" s="117"/>
      <c r="NKH47" s="117"/>
      <c r="NKI47" s="117"/>
      <c r="NKJ47" s="117"/>
      <c r="NKK47" s="117"/>
      <c r="NKL47" s="117"/>
      <c r="NKM47" s="117"/>
      <c r="NKN47" s="117"/>
      <c r="NKO47" s="117"/>
      <c r="NKP47" s="117"/>
      <c r="NKQ47" s="117"/>
      <c r="NKR47" s="117"/>
      <c r="NKS47" s="117"/>
      <c r="NKT47" s="117"/>
      <c r="NKU47" s="117"/>
      <c r="NKV47" s="117"/>
      <c r="NKW47" s="117"/>
      <c r="NKX47" s="117"/>
      <c r="NKY47" s="117"/>
      <c r="NKZ47" s="117"/>
      <c r="NLA47" s="117"/>
      <c r="NLB47" s="117"/>
      <c r="NLC47" s="117"/>
      <c r="NLD47" s="117"/>
      <c r="NLE47" s="117"/>
      <c r="NLF47" s="117"/>
      <c r="NLG47" s="117"/>
      <c r="NLH47" s="117"/>
      <c r="NLI47" s="117"/>
      <c r="NLJ47" s="117"/>
      <c r="NLK47" s="117"/>
      <c r="NLL47" s="117"/>
      <c r="NLM47" s="117"/>
      <c r="NLN47" s="117"/>
      <c r="NLO47" s="117"/>
      <c r="NLP47" s="117"/>
      <c r="NLQ47" s="117"/>
      <c r="NLR47" s="117"/>
      <c r="NLS47" s="117"/>
      <c r="NLT47" s="117"/>
      <c r="NLU47" s="117"/>
      <c r="NLV47" s="117"/>
      <c r="NLW47" s="117"/>
      <c r="NLX47" s="117"/>
      <c r="NLY47" s="117"/>
      <c r="NLZ47" s="117"/>
      <c r="NMA47" s="117"/>
      <c r="NMB47" s="117"/>
      <c r="NMC47" s="117"/>
      <c r="NMD47" s="117"/>
      <c r="NME47" s="117"/>
      <c r="NMF47" s="117"/>
      <c r="NMG47" s="117"/>
      <c r="NMH47" s="117"/>
      <c r="NMI47" s="117"/>
      <c r="NMJ47" s="117"/>
      <c r="NMK47" s="117"/>
      <c r="NML47" s="117"/>
      <c r="NMM47" s="117"/>
      <c r="NMN47" s="117"/>
      <c r="NMO47" s="117"/>
      <c r="NMP47" s="117"/>
      <c r="NMQ47" s="117"/>
      <c r="NMR47" s="117"/>
      <c r="NMS47" s="117"/>
      <c r="NMT47" s="117"/>
      <c r="NMU47" s="117"/>
      <c r="NMV47" s="117"/>
      <c r="NMW47" s="117"/>
      <c r="NMX47" s="117"/>
      <c r="NMY47" s="117"/>
      <c r="NMZ47" s="117"/>
      <c r="NNA47" s="117"/>
      <c r="NNB47" s="117"/>
      <c r="NNC47" s="117"/>
      <c r="NND47" s="117"/>
      <c r="NNE47" s="117"/>
      <c r="NNF47" s="117"/>
      <c r="NNG47" s="117"/>
      <c r="NNH47" s="117"/>
      <c r="NNI47" s="117"/>
      <c r="NNJ47" s="117"/>
      <c r="NNK47" s="117"/>
      <c r="NNL47" s="117"/>
      <c r="NNM47" s="117"/>
      <c r="NNN47" s="117"/>
      <c r="NNO47" s="117"/>
      <c r="NNP47" s="117"/>
      <c r="NNQ47" s="117"/>
      <c r="NNR47" s="117"/>
      <c r="NNS47" s="117"/>
      <c r="NNT47" s="117"/>
      <c r="NNU47" s="117"/>
      <c r="NNV47" s="117"/>
      <c r="NNW47" s="117"/>
      <c r="NNX47" s="117"/>
      <c r="NNY47" s="117"/>
      <c r="NNZ47" s="117"/>
      <c r="NOA47" s="117"/>
      <c r="NOB47" s="117"/>
      <c r="NOC47" s="117"/>
      <c r="NOD47" s="117"/>
      <c r="NOE47" s="117"/>
      <c r="NOF47" s="117"/>
      <c r="NOG47" s="117"/>
      <c r="NOH47" s="117"/>
      <c r="NOI47" s="117"/>
      <c r="NOJ47" s="117"/>
      <c r="NOK47" s="117"/>
      <c r="NOL47" s="117"/>
      <c r="NOM47" s="117"/>
      <c r="NON47" s="117"/>
      <c r="NOO47" s="117"/>
      <c r="NOP47" s="117"/>
      <c r="NOQ47" s="117"/>
      <c r="NOR47" s="117"/>
      <c r="NOS47" s="117"/>
      <c r="NOT47" s="117"/>
      <c r="NOU47" s="117"/>
      <c r="NOV47" s="117"/>
      <c r="NOW47" s="117"/>
      <c r="NOX47" s="117"/>
      <c r="NOY47" s="117"/>
      <c r="NOZ47" s="117"/>
      <c r="NPA47" s="117"/>
      <c r="NPB47" s="117"/>
      <c r="NPC47" s="117"/>
      <c r="NPD47" s="117"/>
      <c r="NPE47" s="117"/>
      <c r="NPF47" s="117"/>
      <c r="NPG47" s="117"/>
      <c r="NPH47" s="117"/>
      <c r="NPI47" s="117"/>
      <c r="NPJ47" s="117"/>
      <c r="NPK47" s="117"/>
      <c r="NPL47" s="117"/>
      <c r="NPM47" s="117"/>
      <c r="NPN47" s="117"/>
      <c r="NPO47" s="117"/>
      <c r="NPP47" s="117"/>
      <c r="NPQ47" s="117"/>
      <c r="NPR47" s="117"/>
      <c r="NPS47" s="117"/>
      <c r="NPT47" s="117"/>
      <c r="NPU47" s="117"/>
      <c r="NPV47" s="117"/>
      <c r="NPW47" s="117"/>
      <c r="NPX47" s="117"/>
      <c r="NPY47" s="117"/>
      <c r="NPZ47" s="117"/>
      <c r="NQA47" s="117"/>
      <c r="NQB47" s="117"/>
      <c r="NQC47" s="117"/>
      <c r="NQD47" s="117"/>
      <c r="NQE47" s="117"/>
      <c r="NQF47" s="117"/>
      <c r="NQG47" s="117"/>
      <c r="NQH47" s="117"/>
      <c r="NQI47" s="117"/>
      <c r="NQJ47" s="117"/>
      <c r="NQK47" s="117"/>
      <c r="NQL47" s="117"/>
      <c r="NQM47" s="117"/>
      <c r="NQN47" s="117"/>
      <c r="NQO47" s="117"/>
      <c r="NQP47" s="117"/>
      <c r="NQQ47" s="117"/>
      <c r="NQR47" s="117"/>
      <c r="NQS47" s="117"/>
      <c r="NQT47" s="117"/>
      <c r="NQU47" s="117"/>
      <c r="NQV47" s="117"/>
      <c r="NQW47" s="117"/>
      <c r="NQX47" s="117"/>
      <c r="NQY47" s="117"/>
      <c r="NQZ47" s="117"/>
      <c r="NRA47" s="117"/>
      <c r="NRB47" s="117"/>
      <c r="NRC47" s="117"/>
      <c r="NRD47" s="117"/>
      <c r="NRE47" s="117"/>
      <c r="NRF47" s="117"/>
      <c r="NRG47" s="117"/>
      <c r="NRH47" s="117"/>
      <c r="NRI47" s="117"/>
      <c r="NRJ47" s="117"/>
      <c r="NRK47" s="117"/>
      <c r="NRL47" s="117"/>
      <c r="NRM47" s="117"/>
      <c r="NRN47" s="117"/>
      <c r="NRO47" s="117"/>
      <c r="NRP47" s="117"/>
      <c r="NRQ47" s="117"/>
      <c r="NRR47" s="117"/>
      <c r="NRS47" s="117"/>
      <c r="NRT47" s="117"/>
      <c r="NRU47" s="117"/>
      <c r="NRV47" s="117"/>
      <c r="NRW47" s="117"/>
      <c r="NRX47" s="117"/>
      <c r="NRY47" s="117"/>
      <c r="NRZ47" s="117"/>
      <c r="NSA47" s="117"/>
      <c r="NSB47" s="117"/>
      <c r="NSC47" s="117"/>
      <c r="NSD47" s="117"/>
      <c r="NSE47" s="117"/>
      <c r="NSF47" s="117"/>
      <c r="NSG47" s="117"/>
      <c r="NSH47" s="117"/>
      <c r="NSI47" s="117"/>
      <c r="NSJ47" s="117"/>
      <c r="NSK47" s="117"/>
      <c r="NSL47" s="117"/>
      <c r="NSM47" s="117"/>
      <c r="NSN47" s="117"/>
      <c r="NSO47" s="117"/>
      <c r="NSP47" s="117"/>
      <c r="NSQ47" s="117"/>
      <c r="NSR47" s="117"/>
      <c r="NSS47" s="117"/>
      <c r="NST47" s="117"/>
      <c r="NSU47" s="117"/>
      <c r="NSV47" s="117"/>
      <c r="NSW47" s="117"/>
      <c r="NSX47" s="117"/>
      <c r="NSY47" s="117"/>
      <c r="NSZ47" s="117"/>
      <c r="NTA47" s="117"/>
      <c r="NTB47" s="117"/>
      <c r="NTC47" s="117"/>
      <c r="NTD47" s="117"/>
      <c r="NTE47" s="117"/>
      <c r="NTF47" s="117"/>
      <c r="NTG47" s="117"/>
      <c r="NTH47" s="117"/>
      <c r="NTI47" s="117"/>
      <c r="NTJ47" s="117"/>
      <c r="NTK47" s="117"/>
      <c r="NTL47" s="117"/>
      <c r="NTM47" s="117"/>
      <c r="NTN47" s="117"/>
      <c r="NTO47" s="117"/>
      <c r="NTP47" s="117"/>
      <c r="NTQ47" s="117"/>
      <c r="NTR47" s="117"/>
      <c r="NTS47" s="117"/>
      <c r="NTT47" s="117"/>
      <c r="NTU47" s="117"/>
      <c r="NTV47" s="117"/>
      <c r="NTW47" s="117"/>
      <c r="NTX47" s="117"/>
      <c r="NTY47" s="117"/>
      <c r="NTZ47" s="117"/>
      <c r="NUA47" s="117"/>
      <c r="NUB47" s="117"/>
      <c r="NUC47" s="117"/>
      <c r="NUD47" s="117"/>
      <c r="NUE47" s="117"/>
      <c r="NUF47" s="117"/>
      <c r="NUG47" s="117"/>
      <c r="NUH47" s="117"/>
      <c r="NUI47" s="117"/>
      <c r="NUJ47" s="117"/>
      <c r="NUK47" s="117"/>
      <c r="NUL47" s="117"/>
      <c r="NUM47" s="117"/>
      <c r="NUN47" s="117"/>
      <c r="NUO47" s="117"/>
      <c r="NUP47" s="117"/>
      <c r="NUQ47" s="117"/>
      <c r="NUR47" s="117"/>
      <c r="NUS47" s="117"/>
      <c r="NUT47" s="117"/>
      <c r="NUU47" s="117"/>
      <c r="NUV47" s="117"/>
      <c r="NUW47" s="117"/>
      <c r="NUX47" s="117"/>
      <c r="NUY47" s="117"/>
      <c r="NUZ47" s="117"/>
      <c r="NVA47" s="117"/>
      <c r="NVB47" s="117"/>
      <c r="NVC47" s="117"/>
      <c r="NVD47" s="117"/>
      <c r="NVE47" s="117"/>
      <c r="NVF47" s="117"/>
      <c r="NVG47" s="117"/>
      <c r="NVH47" s="117"/>
      <c r="NVI47" s="117"/>
      <c r="NVJ47" s="117"/>
      <c r="NVK47" s="117"/>
      <c r="NVL47" s="117"/>
      <c r="NVM47" s="117"/>
      <c r="NVN47" s="117"/>
      <c r="NVO47" s="117"/>
      <c r="NVP47" s="117"/>
      <c r="NVQ47" s="117"/>
      <c r="NVR47" s="117"/>
      <c r="NVS47" s="117"/>
      <c r="NVT47" s="117"/>
      <c r="NVU47" s="117"/>
      <c r="NVV47" s="117"/>
      <c r="NVW47" s="117"/>
      <c r="NVX47" s="117"/>
      <c r="NVY47" s="117"/>
      <c r="NVZ47" s="117"/>
      <c r="NWA47" s="117"/>
      <c r="NWB47" s="117"/>
      <c r="NWC47" s="117"/>
      <c r="NWD47" s="117"/>
      <c r="NWE47" s="117"/>
      <c r="NWF47" s="117"/>
      <c r="NWG47" s="117"/>
      <c r="NWH47" s="117"/>
      <c r="NWI47" s="117"/>
      <c r="NWJ47" s="117"/>
      <c r="NWK47" s="117"/>
      <c r="NWL47" s="117"/>
      <c r="NWM47" s="117"/>
      <c r="NWN47" s="117"/>
      <c r="NWO47" s="117"/>
      <c r="NWP47" s="117"/>
      <c r="NWQ47" s="117"/>
      <c r="NWR47" s="117"/>
      <c r="NWS47" s="117"/>
      <c r="NWT47" s="117"/>
      <c r="NWU47" s="117"/>
      <c r="NWV47" s="117"/>
      <c r="NWW47" s="117"/>
      <c r="NWX47" s="117"/>
      <c r="NWY47" s="117"/>
      <c r="NWZ47" s="117"/>
      <c r="NXA47" s="117"/>
      <c r="NXB47" s="117"/>
      <c r="NXC47" s="117"/>
      <c r="NXD47" s="117"/>
      <c r="NXE47" s="117"/>
      <c r="NXF47" s="117"/>
      <c r="NXG47" s="117"/>
      <c r="NXH47" s="117"/>
      <c r="NXI47" s="117"/>
      <c r="NXJ47" s="117"/>
      <c r="NXK47" s="117"/>
      <c r="NXL47" s="117"/>
      <c r="NXM47" s="117"/>
      <c r="NXN47" s="117"/>
      <c r="NXO47" s="117"/>
      <c r="NXP47" s="117"/>
      <c r="NXQ47" s="117"/>
      <c r="NXR47" s="117"/>
      <c r="NXS47" s="117"/>
      <c r="NXT47" s="117"/>
      <c r="NXU47" s="117"/>
      <c r="NXV47" s="117"/>
      <c r="NXW47" s="117"/>
      <c r="NXX47" s="117"/>
      <c r="NXY47" s="117"/>
      <c r="NXZ47" s="117"/>
      <c r="NYA47" s="117"/>
      <c r="NYB47" s="117"/>
      <c r="NYC47" s="117"/>
      <c r="NYD47" s="117"/>
      <c r="NYE47" s="117"/>
      <c r="NYF47" s="117"/>
      <c r="NYG47" s="117"/>
      <c r="NYH47" s="117"/>
      <c r="NYI47" s="117"/>
      <c r="NYJ47" s="117"/>
      <c r="NYK47" s="117"/>
      <c r="NYL47" s="117"/>
      <c r="NYM47" s="117"/>
      <c r="NYN47" s="117"/>
      <c r="NYO47" s="117"/>
      <c r="NYP47" s="117"/>
      <c r="NYQ47" s="117"/>
      <c r="NYR47" s="117"/>
      <c r="NYS47" s="117"/>
      <c r="NYT47" s="117"/>
      <c r="NYU47" s="117"/>
      <c r="NYV47" s="117"/>
      <c r="NYW47" s="117"/>
      <c r="NYX47" s="117"/>
      <c r="NYY47" s="117"/>
      <c r="NYZ47" s="117"/>
      <c r="NZA47" s="117"/>
      <c r="NZB47" s="117"/>
      <c r="NZC47" s="117"/>
      <c r="NZD47" s="117"/>
      <c r="NZE47" s="117"/>
      <c r="NZF47" s="117"/>
      <c r="NZG47" s="117"/>
      <c r="NZH47" s="117"/>
      <c r="NZI47" s="117"/>
      <c r="NZJ47" s="117"/>
      <c r="NZK47" s="117"/>
      <c r="NZL47" s="117"/>
      <c r="NZM47" s="117"/>
      <c r="NZN47" s="117"/>
      <c r="NZO47" s="117"/>
      <c r="NZP47" s="117"/>
      <c r="NZQ47" s="117"/>
      <c r="NZR47" s="117"/>
      <c r="NZS47" s="117"/>
      <c r="NZT47" s="117"/>
      <c r="NZU47" s="117"/>
      <c r="NZV47" s="117"/>
      <c r="NZW47" s="117"/>
      <c r="NZX47" s="117"/>
      <c r="NZY47" s="117"/>
      <c r="NZZ47" s="117"/>
      <c r="OAA47" s="117"/>
      <c r="OAB47" s="117"/>
      <c r="OAC47" s="117"/>
      <c r="OAD47" s="117"/>
      <c r="OAE47" s="117"/>
      <c r="OAF47" s="117"/>
      <c r="OAG47" s="117"/>
      <c r="OAH47" s="117"/>
      <c r="OAI47" s="117"/>
      <c r="OAJ47" s="117"/>
      <c r="OAK47" s="117"/>
      <c r="OAL47" s="117"/>
      <c r="OAM47" s="117"/>
      <c r="OAN47" s="117"/>
      <c r="OAO47" s="117"/>
      <c r="OAP47" s="117"/>
      <c r="OAQ47" s="117"/>
      <c r="OAR47" s="117"/>
      <c r="OAS47" s="117"/>
      <c r="OAT47" s="117"/>
      <c r="OAU47" s="117"/>
      <c r="OAV47" s="117"/>
      <c r="OAW47" s="117"/>
      <c r="OAX47" s="117"/>
      <c r="OAY47" s="117"/>
      <c r="OAZ47" s="117"/>
      <c r="OBA47" s="117"/>
      <c r="OBB47" s="117"/>
      <c r="OBC47" s="117"/>
      <c r="OBD47" s="117"/>
      <c r="OBE47" s="117"/>
      <c r="OBF47" s="117"/>
      <c r="OBG47" s="117"/>
      <c r="OBH47" s="117"/>
      <c r="OBI47" s="117"/>
      <c r="OBJ47" s="117"/>
      <c r="OBK47" s="117"/>
      <c r="OBL47" s="117"/>
      <c r="OBM47" s="117"/>
      <c r="OBN47" s="117"/>
      <c r="OBO47" s="117"/>
      <c r="OBP47" s="117"/>
      <c r="OBQ47" s="117"/>
      <c r="OBR47" s="117"/>
      <c r="OBS47" s="117"/>
      <c r="OBT47" s="117"/>
      <c r="OBU47" s="117"/>
      <c r="OBV47" s="117"/>
      <c r="OBW47" s="117"/>
      <c r="OBX47" s="117"/>
      <c r="OBY47" s="117"/>
      <c r="OBZ47" s="117"/>
      <c r="OCA47" s="117"/>
      <c r="OCB47" s="117"/>
      <c r="OCC47" s="117"/>
      <c r="OCD47" s="117"/>
      <c r="OCE47" s="117"/>
      <c r="OCF47" s="117"/>
      <c r="OCG47" s="117"/>
      <c r="OCH47" s="117"/>
      <c r="OCI47" s="117"/>
      <c r="OCJ47" s="117"/>
      <c r="OCK47" s="117"/>
      <c r="OCL47" s="117"/>
      <c r="OCM47" s="117"/>
      <c r="OCN47" s="117"/>
      <c r="OCO47" s="117"/>
      <c r="OCP47" s="117"/>
      <c r="OCQ47" s="117"/>
      <c r="OCR47" s="117"/>
      <c r="OCS47" s="117"/>
      <c r="OCT47" s="117"/>
      <c r="OCU47" s="117"/>
      <c r="OCV47" s="117"/>
      <c r="OCW47" s="117"/>
      <c r="OCX47" s="117"/>
      <c r="OCY47" s="117"/>
      <c r="OCZ47" s="117"/>
      <c r="ODA47" s="117"/>
      <c r="ODB47" s="117"/>
      <c r="ODC47" s="117"/>
      <c r="ODD47" s="117"/>
      <c r="ODE47" s="117"/>
      <c r="ODF47" s="117"/>
      <c r="ODG47" s="117"/>
      <c r="ODH47" s="117"/>
      <c r="ODI47" s="117"/>
      <c r="ODJ47" s="117"/>
      <c r="ODK47" s="117"/>
      <c r="ODL47" s="117"/>
      <c r="ODM47" s="117"/>
      <c r="ODN47" s="117"/>
      <c r="ODO47" s="117"/>
      <c r="ODP47" s="117"/>
      <c r="ODQ47" s="117"/>
      <c r="ODR47" s="117"/>
      <c r="ODS47" s="117"/>
      <c r="ODT47" s="117"/>
      <c r="ODU47" s="117"/>
      <c r="ODV47" s="117"/>
      <c r="ODW47" s="117"/>
      <c r="ODX47" s="117"/>
      <c r="ODY47" s="117"/>
      <c r="ODZ47" s="117"/>
      <c r="OEA47" s="117"/>
      <c r="OEB47" s="117"/>
      <c r="OEC47" s="117"/>
      <c r="OED47" s="117"/>
      <c r="OEE47" s="117"/>
      <c r="OEF47" s="117"/>
      <c r="OEG47" s="117"/>
      <c r="OEH47" s="117"/>
      <c r="OEI47" s="117"/>
      <c r="OEJ47" s="117"/>
      <c r="OEK47" s="117"/>
      <c r="OEL47" s="117"/>
      <c r="OEM47" s="117"/>
      <c r="OEN47" s="117"/>
      <c r="OEO47" s="117"/>
      <c r="OEP47" s="117"/>
      <c r="OEQ47" s="117"/>
      <c r="OER47" s="117"/>
      <c r="OES47" s="117"/>
      <c r="OET47" s="117"/>
      <c r="OEU47" s="117"/>
      <c r="OEV47" s="117"/>
      <c r="OEW47" s="117"/>
      <c r="OEX47" s="117"/>
      <c r="OEY47" s="117"/>
      <c r="OEZ47" s="117"/>
      <c r="OFA47" s="117"/>
      <c r="OFB47" s="117"/>
      <c r="OFC47" s="117"/>
      <c r="OFD47" s="117"/>
      <c r="OFE47" s="117"/>
      <c r="OFF47" s="117"/>
      <c r="OFG47" s="117"/>
      <c r="OFH47" s="117"/>
      <c r="OFI47" s="117"/>
      <c r="OFJ47" s="117"/>
      <c r="OFK47" s="117"/>
      <c r="OFL47" s="117"/>
      <c r="OFM47" s="117"/>
      <c r="OFN47" s="117"/>
      <c r="OFO47" s="117"/>
      <c r="OFP47" s="117"/>
      <c r="OFQ47" s="117"/>
      <c r="OFR47" s="117"/>
      <c r="OFS47" s="117"/>
      <c r="OFT47" s="117"/>
      <c r="OFU47" s="117"/>
      <c r="OFV47" s="117"/>
      <c r="OFW47" s="117"/>
      <c r="OFX47" s="117"/>
      <c r="OFY47" s="117"/>
      <c r="OFZ47" s="117"/>
      <c r="OGA47" s="117"/>
      <c r="OGB47" s="117"/>
      <c r="OGC47" s="117"/>
      <c r="OGD47" s="117"/>
      <c r="OGE47" s="117"/>
      <c r="OGF47" s="117"/>
      <c r="OGG47" s="117"/>
      <c r="OGH47" s="117"/>
      <c r="OGI47" s="117"/>
      <c r="OGJ47" s="117"/>
      <c r="OGK47" s="117"/>
      <c r="OGL47" s="117"/>
      <c r="OGM47" s="117"/>
      <c r="OGN47" s="117"/>
      <c r="OGO47" s="117"/>
      <c r="OGP47" s="117"/>
      <c r="OGQ47" s="117"/>
      <c r="OGR47" s="117"/>
      <c r="OGS47" s="117"/>
      <c r="OGT47" s="117"/>
      <c r="OGU47" s="117"/>
      <c r="OGV47" s="117"/>
      <c r="OGW47" s="117"/>
      <c r="OGX47" s="117"/>
      <c r="OGY47" s="117"/>
      <c r="OGZ47" s="117"/>
      <c r="OHA47" s="117"/>
      <c r="OHB47" s="117"/>
      <c r="OHC47" s="117"/>
      <c r="OHD47" s="117"/>
      <c r="OHE47" s="117"/>
      <c r="OHF47" s="117"/>
      <c r="OHG47" s="117"/>
      <c r="OHH47" s="117"/>
      <c r="OHI47" s="117"/>
      <c r="OHJ47" s="117"/>
      <c r="OHK47" s="117"/>
      <c r="OHL47" s="117"/>
      <c r="OHM47" s="117"/>
      <c r="OHN47" s="117"/>
      <c r="OHO47" s="117"/>
      <c r="OHP47" s="117"/>
      <c r="OHQ47" s="117"/>
      <c r="OHR47" s="117"/>
      <c r="OHS47" s="117"/>
      <c r="OHT47" s="117"/>
      <c r="OHU47" s="117"/>
      <c r="OHV47" s="117"/>
      <c r="OHW47" s="117"/>
      <c r="OHX47" s="117"/>
      <c r="OHY47" s="117"/>
      <c r="OHZ47" s="117"/>
      <c r="OIA47" s="117"/>
      <c r="OIB47" s="117"/>
      <c r="OIC47" s="117"/>
      <c r="OID47" s="117"/>
      <c r="OIE47" s="117"/>
      <c r="OIF47" s="117"/>
      <c r="OIG47" s="117"/>
      <c r="OIH47" s="117"/>
      <c r="OII47" s="117"/>
      <c r="OIJ47" s="117"/>
      <c r="OIK47" s="117"/>
      <c r="OIL47" s="117"/>
      <c r="OIM47" s="117"/>
      <c r="OIN47" s="117"/>
      <c r="OIO47" s="117"/>
      <c r="OIP47" s="117"/>
      <c r="OIQ47" s="117"/>
      <c r="OIR47" s="117"/>
      <c r="OIS47" s="117"/>
      <c r="OIT47" s="117"/>
      <c r="OIU47" s="117"/>
      <c r="OIV47" s="117"/>
      <c r="OIW47" s="117"/>
      <c r="OIX47" s="117"/>
      <c r="OIY47" s="117"/>
      <c r="OIZ47" s="117"/>
      <c r="OJA47" s="117"/>
      <c r="OJB47" s="117"/>
      <c r="OJC47" s="117"/>
      <c r="OJD47" s="117"/>
      <c r="OJE47" s="117"/>
      <c r="OJF47" s="117"/>
      <c r="OJG47" s="117"/>
      <c r="OJH47" s="117"/>
      <c r="OJI47" s="117"/>
      <c r="OJJ47" s="117"/>
      <c r="OJK47" s="117"/>
      <c r="OJL47" s="117"/>
      <c r="OJM47" s="117"/>
      <c r="OJN47" s="117"/>
      <c r="OJO47" s="117"/>
      <c r="OJP47" s="117"/>
      <c r="OJQ47" s="117"/>
      <c r="OJR47" s="117"/>
      <c r="OJS47" s="117"/>
      <c r="OJT47" s="117"/>
      <c r="OJU47" s="117"/>
      <c r="OJV47" s="117"/>
      <c r="OJW47" s="117"/>
      <c r="OJX47" s="117"/>
      <c r="OJY47" s="117"/>
      <c r="OJZ47" s="117"/>
      <c r="OKA47" s="117"/>
      <c r="OKB47" s="117"/>
      <c r="OKC47" s="117"/>
      <c r="OKD47" s="117"/>
      <c r="OKE47" s="117"/>
      <c r="OKF47" s="117"/>
      <c r="OKG47" s="117"/>
      <c r="OKH47" s="117"/>
      <c r="OKI47" s="117"/>
      <c r="OKJ47" s="117"/>
      <c r="OKK47" s="117"/>
      <c r="OKL47" s="117"/>
      <c r="OKM47" s="117"/>
      <c r="OKN47" s="117"/>
      <c r="OKO47" s="117"/>
      <c r="OKP47" s="117"/>
      <c r="OKQ47" s="117"/>
      <c r="OKR47" s="117"/>
      <c r="OKS47" s="117"/>
      <c r="OKT47" s="117"/>
      <c r="OKU47" s="117"/>
      <c r="OKV47" s="117"/>
      <c r="OKW47" s="117"/>
      <c r="OKX47" s="117"/>
      <c r="OKY47" s="117"/>
      <c r="OKZ47" s="117"/>
      <c r="OLA47" s="117"/>
      <c r="OLB47" s="117"/>
      <c r="OLC47" s="117"/>
      <c r="OLD47" s="117"/>
      <c r="OLE47" s="117"/>
      <c r="OLF47" s="117"/>
      <c r="OLG47" s="117"/>
      <c r="OLH47" s="117"/>
      <c r="OLI47" s="117"/>
      <c r="OLJ47" s="117"/>
      <c r="OLK47" s="117"/>
      <c r="OLL47" s="117"/>
      <c r="OLM47" s="117"/>
      <c r="OLN47" s="117"/>
      <c r="OLO47" s="117"/>
      <c r="OLP47" s="117"/>
      <c r="OLQ47" s="117"/>
      <c r="OLR47" s="117"/>
      <c r="OLS47" s="117"/>
      <c r="OLT47" s="117"/>
      <c r="OLU47" s="117"/>
      <c r="OLV47" s="117"/>
      <c r="OLW47" s="117"/>
      <c r="OLX47" s="117"/>
      <c r="OLY47" s="117"/>
      <c r="OLZ47" s="117"/>
      <c r="OMA47" s="117"/>
      <c r="OMB47" s="117"/>
      <c r="OMC47" s="117"/>
      <c r="OMD47" s="117"/>
      <c r="OME47" s="117"/>
      <c r="OMF47" s="117"/>
      <c r="OMG47" s="117"/>
      <c r="OMH47" s="117"/>
      <c r="OMI47" s="117"/>
      <c r="OMJ47" s="117"/>
      <c r="OMK47" s="117"/>
      <c r="OML47" s="117"/>
      <c r="OMM47" s="117"/>
      <c r="OMN47" s="117"/>
      <c r="OMO47" s="117"/>
      <c r="OMP47" s="117"/>
      <c r="OMQ47" s="117"/>
      <c r="OMR47" s="117"/>
      <c r="OMS47" s="117"/>
      <c r="OMT47" s="117"/>
      <c r="OMU47" s="117"/>
      <c r="OMV47" s="117"/>
      <c r="OMW47" s="117"/>
      <c r="OMX47" s="117"/>
      <c r="OMY47" s="117"/>
      <c r="OMZ47" s="117"/>
      <c r="ONA47" s="117"/>
      <c r="ONB47" s="117"/>
      <c r="ONC47" s="117"/>
      <c r="OND47" s="117"/>
      <c r="ONE47" s="117"/>
      <c r="ONF47" s="117"/>
      <c r="ONG47" s="117"/>
      <c r="ONH47" s="117"/>
      <c r="ONI47" s="117"/>
      <c r="ONJ47" s="117"/>
      <c r="ONK47" s="117"/>
      <c r="ONL47" s="117"/>
      <c r="ONM47" s="117"/>
      <c r="ONN47" s="117"/>
      <c r="ONO47" s="117"/>
      <c r="ONP47" s="117"/>
      <c r="ONQ47" s="117"/>
      <c r="ONR47" s="117"/>
      <c r="ONS47" s="117"/>
      <c r="ONT47" s="117"/>
      <c r="ONU47" s="117"/>
      <c r="ONV47" s="117"/>
      <c r="ONW47" s="117"/>
      <c r="ONX47" s="117"/>
      <c r="ONY47" s="117"/>
      <c r="ONZ47" s="117"/>
      <c r="OOA47" s="117"/>
      <c r="OOB47" s="117"/>
      <c r="OOC47" s="117"/>
      <c r="OOD47" s="117"/>
      <c r="OOE47" s="117"/>
      <c r="OOF47" s="117"/>
      <c r="OOG47" s="117"/>
      <c r="OOH47" s="117"/>
      <c r="OOI47" s="117"/>
      <c r="OOJ47" s="117"/>
      <c r="OOK47" s="117"/>
      <c r="OOL47" s="117"/>
      <c r="OOM47" s="117"/>
      <c r="OON47" s="117"/>
      <c r="OOO47" s="117"/>
      <c r="OOP47" s="117"/>
      <c r="OOQ47" s="117"/>
      <c r="OOR47" s="117"/>
      <c r="OOS47" s="117"/>
      <c r="OOT47" s="117"/>
      <c r="OOU47" s="117"/>
      <c r="OOV47" s="117"/>
      <c r="OOW47" s="117"/>
      <c r="OOX47" s="117"/>
      <c r="OOY47" s="117"/>
      <c r="OOZ47" s="117"/>
      <c r="OPA47" s="117"/>
      <c r="OPB47" s="117"/>
      <c r="OPC47" s="117"/>
      <c r="OPD47" s="117"/>
      <c r="OPE47" s="117"/>
      <c r="OPF47" s="117"/>
      <c r="OPG47" s="117"/>
      <c r="OPH47" s="117"/>
      <c r="OPI47" s="117"/>
      <c r="OPJ47" s="117"/>
      <c r="OPK47" s="117"/>
      <c r="OPL47" s="117"/>
      <c r="OPM47" s="117"/>
      <c r="OPN47" s="117"/>
      <c r="OPO47" s="117"/>
      <c r="OPP47" s="117"/>
      <c r="OPQ47" s="117"/>
      <c r="OPR47" s="117"/>
      <c r="OPS47" s="117"/>
      <c r="OPT47" s="117"/>
      <c r="OPU47" s="117"/>
      <c r="OPV47" s="117"/>
      <c r="OPW47" s="117"/>
      <c r="OPX47" s="117"/>
      <c r="OPY47" s="117"/>
      <c r="OPZ47" s="117"/>
      <c r="OQA47" s="117"/>
      <c r="OQB47" s="117"/>
      <c r="OQC47" s="117"/>
      <c r="OQD47" s="117"/>
      <c r="OQE47" s="117"/>
      <c r="OQF47" s="117"/>
      <c r="OQG47" s="117"/>
      <c r="OQH47" s="117"/>
      <c r="OQI47" s="117"/>
      <c r="OQJ47" s="117"/>
      <c r="OQK47" s="117"/>
      <c r="OQL47" s="117"/>
      <c r="OQM47" s="117"/>
      <c r="OQN47" s="117"/>
      <c r="OQO47" s="117"/>
      <c r="OQP47" s="117"/>
      <c r="OQQ47" s="117"/>
      <c r="OQR47" s="117"/>
      <c r="OQS47" s="117"/>
      <c r="OQT47" s="117"/>
      <c r="OQU47" s="117"/>
      <c r="OQV47" s="117"/>
      <c r="OQW47" s="117"/>
      <c r="OQX47" s="117"/>
      <c r="OQY47" s="117"/>
      <c r="OQZ47" s="117"/>
      <c r="ORA47" s="117"/>
      <c r="ORB47" s="117"/>
      <c r="ORC47" s="117"/>
      <c r="ORD47" s="117"/>
      <c r="ORE47" s="117"/>
      <c r="ORF47" s="117"/>
      <c r="ORG47" s="117"/>
      <c r="ORH47" s="117"/>
      <c r="ORI47" s="117"/>
      <c r="ORJ47" s="117"/>
      <c r="ORK47" s="117"/>
      <c r="ORL47" s="117"/>
      <c r="ORM47" s="117"/>
      <c r="ORN47" s="117"/>
      <c r="ORO47" s="117"/>
      <c r="ORP47" s="117"/>
      <c r="ORQ47" s="117"/>
      <c r="ORR47" s="117"/>
      <c r="ORS47" s="117"/>
      <c r="ORT47" s="117"/>
      <c r="ORU47" s="117"/>
      <c r="ORV47" s="117"/>
      <c r="ORW47" s="117"/>
      <c r="ORX47" s="117"/>
      <c r="ORY47" s="117"/>
      <c r="ORZ47" s="117"/>
      <c r="OSA47" s="117"/>
      <c r="OSB47" s="117"/>
      <c r="OSC47" s="117"/>
      <c r="OSD47" s="117"/>
      <c r="OSE47" s="117"/>
      <c r="OSF47" s="117"/>
      <c r="OSG47" s="117"/>
      <c r="OSH47" s="117"/>
      <c r="OSI47" s="117"/>
      <c r="OSJ47" s="117"/>
      <c r="OSK47" s="117"/>
      <c r="OSL47" s="117"/>
      <c r="OSM47" s="117"/>
      <c r="OSN47" s="117"/>
      <c r="OSO47" s="117"/>
      <c r="OSP47" s="117"/>
      <c r="OSQ47" s="117"/>
      <c r="OSR47" s="117"/>
      <c r="OSS47" s="117"/>
      <c r="OST47" s="117"/>
      <c r="OSU47" s="117"/>
      <c r="OSV47" s="117"/>
      <c r="OSW47" s="117"/>
      <c r="OSX47" s="117"/>
      <c r="OSY47" s="117"/>
      <c r="OSZ47" s="117"/>
      <c r="OTA47" s="117"/>
      <c r="OTB47" s="117"/>
      <c r="OTC47" s="117"/>
      <c r="OTD47" s="117"/>
      <c r="OTE47" s="117"/>
      <c r="OTF47" s="117"/>
      <c r="OTG47" s="117"/>
      <c r="OTH47" s="117"/>
      <c r="OTI47" s="117"/>
      <c r="OTJ47" s="117"/>
      <c r="OTK47" s="117"/>
      <c r="OTL47" s="117"/>
      <c r="OTM47" s="117"/>
      <c r="OTN47" s="117"/>
      <c r="OTO47" s="117"/>
      <c r="OTP47" s="117"/>
      <c r="OTQ47" s="117"/>
      <c r="OTR47" s="117"/>
      <c r="OTS47" s="117"/>
      <c r="OTT47" s="117"/>
      <c r="OTU47" s="117"/>
      <c r="OTV47" s="117"/>
      <c r="OTW47" s="117"/>
      <c r="OTX47" s="117"/>
      <c r="OTY47" s="117"/>
      <c r="OTZ47" s="117"/>
      <c r="OUA47" s="117"/>
      <c r="OUB47" s="117"/>
      <c r="OUC47" s="117"/>
      <c r="OUD47" s="117"/>
      <c r="OUE47" s="117"/>
      <c r="OUF47" s="117"/>
      <c r="OUG47" s="117"/>
      <c r="OUH47" s="117"/>
      <c r="OUI47" s="117"/>
      <c r="OUJ47" s="117"/>
      <c r="OUK47" s="117"/>
      <c r="OUL47" s="117"/>
      <c r="OUM47" s="117"/>
      <c r="OUN47" s="117"/>
      <c r="OUO47" s="117"/>
      <c r="OUP47" s="117"/>
      <c r="OUQ47" s="117"/>
      <c r="OUR47" s="117"/>
      <c r="OUS47" s="117"/>
      <c r="OUT47" s="117"/>
      <c r="OUU47" s="117"/>
      <c r="OUV47" s="117"/>
      <c r="OUW47" s="117"/>
      <c r="OUX47" s="117"/>
      <c r="OUY47" s="117"/>
      <c r="OUZ47" s="117"/>
      <c r="OVA47" s="117"/>
      <c r="OVB47" s="117"/>
      <c r="OVC47" s="117"/>
      <c r="OVD47" s="117"/>
      <c r="OVE47" s="117"/>
      <c r="OVF47" s="117"/>
      <c r="OVG47" s="117"/>
      <c r="OVH47" s="117"/>
      <c r="OVI47" s="117"/>
      <c r="OVJ47" s="117"/>
      <c r="OVK47" s="117"/>
      <c r="OVL47" s="117"/>
      <c r="OVM47" s="117"/>
      <c r="OVN47" s="117"/>
      <c r="OVO47" s="117"/>
      <c r="OVP47" s="117"/>
      <c r="OVQ47" s="117"/>
      <c r="OVR47" s="117"/>
      <c r="OVS47" s="117"/>
      <c r="OVT47" s="117"/>
      <c r="OVU47" s="117"/>
      <c r="OVV47" s="117"/>
      <c r="OVW47" s="117"/>
      <c r="OVX47" s="117"/>
      <c r="OVY47" s="117"/>
      <c r="OVZ47" s="117"/>
      <c r="OWA47" s="117"/>
      <c r="OWB47" s="117"/>
      <c r="OWC47" s="117"/>
      <c r="OWD47" s="117"/>
      <c r="OWE47" s="117"/>
      <c r="OWF47" s="117"/>
      <c r="OWG47" s="117"/>
      <c r="OWH47" s="117"/>
      <c r="OWI47" s="117"/>
      <c r="OWJ47" s="117"/>
      <c r="OWK47" s="117"/>
      <c r="OWL47" s="117"/>
      <c r="OWM47" s="117"/>
      <c r="OWN47" s="117"/>
      <c r="OWO47" s="117"/>
      <c r="OWP47" s="117"/>
      <c r="OWQ47" s="117"/>
      <c r="OWR47" s="117"/>
      <c r="OWS47" s="117"/>
      <c r="OWT47" s="117"/>
      <c r="OWU47" s="117"/>
      <c r="OWV47" s="117"/>
      <c r="OWW47" s="117"/>
      <c r="OWX47" s="117"/>
      <c r="OWY47" s="117"/>
      <c r="OWZ47" s="117"/>
      <c r="OXA47" s="117"/>
      <c r="OXB47" s="117"/>
      <c r="OXC47" s="117"/>
      <c r="OXD47" s="117"/>
      <c r="OXE47" s="117"/>
      <c r="OXF47" s="117"/>
      <c r="OXG47" s="117"/>
      <c r="OXH47" s="117"/>
      <c r="OXI47" s="117"/>
      <c r="OXJ47" s="117"/>
      <c r="OXK47" s="117"/>
      <c r="OXL47" s="117"/>
      <c r="OXM47" s="117"/>
      <c r="OXN47" s="117"/>
      <c r="OXO47" s="117"/>
      <c r="OXP47" s="117"/>
      <c r="OXQ47" s="117"/>
      <c r="OXR47" s="117"/>
      <c r="OXS47" s="117"/>
      <c r="OXT47" s="117"/>
      <c r="OXU47" s="117"/>
      <c r="OXV47" s="117"/>
      <c r="OXW47" s="117"/>
      <c r="OXX47" s="117"/>
      <c r="OXY47" s="117"/>
      <c r="OXZ47" s="117"/>
      <c r="OYA47" s="117"/>
      <c r="OYB47" s="117"/>
      <c r="OYC47" s="117"/>
      <c r="OYD47" s="117"/>
      <c r="OYE47" s="117"/>
      <c r="OYF47" s="117"/>
      <c r="OYG47" s="117"/>
      <c r="OYH47" s="117"/>
      <c r="OYI47" s="117"/>
      <c r="OYJ47" s="117"/>
      <c r="OYK47" s="117"/>
      <c r="OYL47" s="117"/>
      <c r="OYM47" s="117"/>
      <c r="OYN47" s="117"/>
      <c r="OYO47" s="117"/>
      <c r="OYP47" s="117"/>
      <c r="OYQ47" s="117"/>
      <c r="OYR47" s="117"/>
      <c r="OYS47" s="117"/>
      <c r="OYT47" s="117"/>
      <c r="OYU47" s="117"/>
      <c r="OYV47" s="117"/>
      <c r="OYW47" s="117"/>
      <c r="OYX47" s="117"/>
      <c r="OYY47" s="117"/>
      <c r="OYZ47" s="117"/>
      <c r="OZA47" s="117"/>
      <c r="OZB47" s="117"/>
      <c r="OZC47" s="117"/>
      <c r="OZD47" s="117"/>
      <c r="OZE47" s="117"/>
      <c r="OZF47" s="117"/>
      <c r="OZG47" s="117"/>
      <c r="OZH47" s="117"/>
      <c r="OZI47" s="117"/>
      <c r="OZJ47" s="117"/>
      <c r="OZK47" s="117"/>
      <c r="OZL47" s="117"/>
      <c r="OZM47" s="117"/>
      <c r="OZN47" s="117"/>
      <c r="OZO47" s="117"/>
      <c r="OZP47" s="117"/>
      <c r="OZQ47" s="117"/>
      <c r="OZR47" s="117"/>
      <c r="OZS47" s="117"/>
      <c r="OZT47" s="117"/>
      <c r="OZU47" s="117"/>
      <c r="OZV47" s="117"/>
      <c r="OZW47" s="117"/>
      <c r="OZX47" s="117"/>
      <c r="OZY47" s="117"/>
      <c r="OZZ47" s="117"/>
      <c r="PAA47" s="117"/>
      <c r="PAB47" s="117"/>
      <c r="PAC47" s="117"/>
      <c r="PAD47" s="117"/>
      <c r="PAE47" s="117"/>
      <c r="PAF47" s="117"/>
      <c r="PAG47" s="117"/>
      <c r="PAH47" s="117"/>
      <c r="PAI47" s="117"/>
      <c r="PAJ47" s="117"/>
      <c r="PAK47" s="117"/>
      <c r="PAL47" s="117"/>
      <c r="PAM47" s="117"/>
      <c r="PAN47" s="117"/>
      <c r="PAO47" s="117"/>
      <c r="PAP47" s="117"/>
      <c r="PAQ47" s="117"/>
      <c r="PAR47" s="117"/>
      <c r="PAS47" s="117"/>
      <c r="PAT47" s="117"/>
      <c r="PAU47" s="117"/>
      <c r="PAV47" s="117"/>
      <c r="PAW47" s="117"/>
      <c r="PAX47" s="117"/>
      <c r="PAY47" s="117"/>
      <c r="PAZ47" s="117"/>
      <c r="PBA47" s="117"/>
      <c r="PBB47" s="117"/>
      <c r="PBC47" s="117"/>
      <c r="PBD47" s="117"/>
      <c r="PBE47" s="117"/>
      <c r="PBF47" s="117"/>
      <c r="PBG47" s="117"/>
      <c r="PBH47" s="117"/>
      <c r="PBI47" s="117"/>
      <c r="PBJ47" s="117"/>
      <c r="PBK47" s="117"/>
      <c r="PBL47" s="117"/>
      <c r="PBM47" s="117"/>
      <c r="PBN47" s="117"/>
      <c r="PBO47" s="117"/>
      <c r="PBP47" s="117"/>
      <c r="PBQ47" s="117"/>
      <c r="PBR47" s="117"/>
      <c r="PBS47" s="117"/>
      <c r="PBT47" s="117"/>
      <c r="PBU47" s="117"/>
      <c r="PBV47" s="117"/>
      <c r="PBW47" s="117"/>
      <c r="PBX47" s="117"/>
      <c r="PBY47" s="117"/>
      <c r="PBZ47" s="117"/>
      <c r="PCA47" s="117"/>
      <c r="PCB47" s="117"/>
      <c r="PCC47" s="117"/>
      <c r="PCD47" s="117"/>
      <c r="PCE47" s="117"/>
      <c r="PCF47" s="117"/>
      <c r="PCG47" s="117"/>
      <c r="PCH47" s="117"/>
      <c r="PCI47" s="117"/>
      <c r="PCJ47" s="117"/>
      <c r="PCK47" s="117"/>
      <c r="PCL47" s="117"/>
      <c r="PCM47" s="117"/>
      <c r="PCN47" s="117"/>
      <c r="PCO47" s="117"/>
      <c r="PCP47" s="117"/>
      <c r="PCQ47" s="117"/>
      <c r="PCR47" s="117"/>
      <c r="PCS47" s="117"/>
      <c r="PCT47" s="117"/>
      <c r="PCU47" s="117"/>
      <c r="PCV47" s="117"/>
      <c r="PCW47" s="117"/>
      <c r="PCX47" s="117"/>
      <c r="PCY47" s="117"/>
      <c r="PCZ47" s="117"/>
      <c r="PDA47" s="117"/>
      <c r="PDB47" s="117"/>
      <c r="PDC47" s="117"/>
      <c r="PDD47" s="117"/>
      <c r="PDE47" s="117"/>
      <c r="PDF47" s="117"/>
      <c r="PDG47" s="117"/>
      <c r="PDH47" s="117"/>
      <c r="PDI47" s="117"/>
      <c r="PDJ47" s="117"/>
      <c r="PDK47" s="117"/>
      <c r="PDL47" s="117"/>
      <c r="PDM47" s="117"/>
      <c r="PDN47" s="117"/>
      <c r="PDO47" s="117"/>
      <c r="PDP47" s="117"/>
      <c r="PDQ47" s="117"/>
      <c r="PDR47" s="117"/>
      <c r="PDS47" s="117"/>
      <c r="PDT47" s="117"/>
      <c r="PDU47" s="117"/>
      <c r="PDV47" s="117"/>
      <c r="PDW47" s="117"/>
      <c r="PDX47" s="117"/>
      <c r="PDY47" s="117"/>
      <c r="PDZ47" s="117"/>
      <c r="PEA47" s="117"/>
      <c r="PEB47" s="117"/>
      <c r="PEC47" s="117"/>
      <c r="PED47" s="117"/>
      <c r="PEE47" s="117"/>
      <c r="PEF47" s="117"/>
      <c r="PEG47" s="117"/>
      <c r="PEH47" s="117"/>
      <c r="PEI47" s="117"/>
      <c r="PEJ47" s="117"/>
      <c r="PEK47" s="117"/>
      <c r="PEL47" s="117"/>
      <c r="PEM47" s="117"/>
      <c r="PEN47" s="117"/>
      <c r="PEO47" s="117"/>
      <c r="PEP47" s="117"/>
      <c r="PEQ47" s="117"/>
      <c r="PER47" s="117"/>
      <c r="PES47" s="117"/>
      <c r="PET47" s="117"/>
      <c r="PEU47" s="117"/>
      <c r="PEV47" s="117"/>
      <c r="PEW47" s="117"/>
      <c r="PEX47" s="117"/>
      <c r="PEY47" s="117"/>
      <c r="PEZ47" s="117"/>
      <c r="PFA47" s="117"/>
      <c r="PFB47" s="117"/>
      <c r="PFC47" s="117"/>
      <c r="PFD47" s="117"/>
      <c r="PFE47" s="117"/>
      <c r="PFF47" s="117"/>
      <c r="PFG47" s="117"/>
      <c r="PFH47" s="117"/>
      <c r="PFI47" s="117"/>
      <c r="PFJ47" s="117"/>
      <c r="PFK47" s="117"/>
      <c r="PFL47" s="117"/>
      <c r="PFM47" s="117"/>
      <c r="PFN47" s="117"/>
      <c r="PFO47" s="117"/>
      <c r="PFP47" s="117"/>
      <c r="PFQ47" s="117"/>
      <c r="PFR47" s="117"/>
      <c r="PFS47" s="117"/>
      <c r="PFT47" s="117"/>
      <c r="PFU47" s="117"/>
      <c r="PFV47" s="117"/>
      <c r="PFW47" s="117"/>
      <c r="PFX47" s="117"/>
      <c r="PFY47" s="117"/>
      <c r="PFZ47" s="117"/>
      <c r="PGA47" s="117"/>
      <c r="PGB47" s="117"/>
      <c r="PGC47" s="117"/>
      <c r="PGD47" s="117"/>
      <c r="PGE47" s="117"/>
      <c r="PGF47" s="117"/>
      <c r="PGG47" s="117"/>
      <c r="PGH47" s="117"/>
      <c r="PGI47" s="117"/>
      <c r="PGJ47" s="117"/>
      <c r="PGK47" s="117"/>
      <c r="PGL47" s="117"/>
      <c r="PGM47" s="117"/>
      <c r="PGN47" s="117"/>
      <c r="PGO47" s="117"/>
      <c r="PGP47" s="117"/>
      <c r="PGQ47" s="117"/>
      <c r="PGR47" s="117"/>
      <c r="PGS47" s="117"/>
      <c r="PGT47" s="117"/>
      <c r="PGU47" s="117"/>
      <c r="PGV47" s="117"/>
      <c r="PGW47" s="117"/>
      <c r="PGX47" s="117"/>
      <c r="PGY47" s="117"/>
      <c r="PGZ47" s="117"/>
      <c r="PHA47" s="117"/>
      <c r="PHB47" s="117"/>
      <c r="PHC47" s="117"/>
      <c r="PHD47" s="117"/>
      <c r="PHE47" s="117"/>
      <c r="PHF47" s="117"/>
      <c r="PHG47" s="117"/>
      <c r="PHH47" s="117"/>
      <c r="PHI47" s="117"/>
      <c r="PHJ47" s="117"/>
      <c r="PHK47" s="117"/>
      <c r="PHL47" s="117"/>
      <c r="PHM47" s="117"/>
      <c r="PHN47" s="117"/>
      <c r="PHO47" s="117"/>
      <c r="PHP47" s="117"/>
      <c r="PHQ47" s="117"/>
      <c r="PHR47" s="117"/>
      <c r="PHS47" s="117"/>
      <c r="PHT47" s="117"/>
      <c r="PHU47" s="117"/>
      <c r="PHV47" s="117"/>
      <c r="PHW47" s="117"/>
      <c r="PHX47" s="117"/>
      <c r="PHY47" s="117"/>
      <c r="PHZ47" s="117"/>
      <c r="PIA47" s="117"/>
      <c r="PIB47" s="117"/>
      <c r="PIC47" s="117"/>
      <c r="PID47" s="117"/>
      <c r="PIE47" s="117"/>
      <c r="PIF47" s="117"/>
      <c r="PIG47" s="117"/>
      <c r="PIH47" s="117"/>
      <c r="PII47" s="117"/>
      <c r="PIJ47" s="117"/>
      <c r="PIK47" s="117"/>
      <c r="PIL47" s="117"/>
      <c r="PIM47" s="117"/>
      <c r="PIN47" s="117"/>
      <c r="PIO47" s="117"/>
      <c r="PIP47" s="117"/>
      <c r="PIQ47" s="117"/>
      <c r="PIR47" s="117"/>
      <c r="PIS47" s="117"/>
      <c r="PIT47" s="117"/>
      <c r="PIU47" s="117"/>
      <c r="PIV47" s="117"/>
      <c r="PIW47" s="117"/>
      <c r="PIX47" s="117"/>
      <c r="PIY47" s="117"/>
      <c r="PIZ47" s="117"/>
      <c r="PJA47" s="117"/>
      <c r="PJB47" s="117"/>
      <c r="PJC47" s="117"/>
      <c r="PJD47" s="117"/>
      <c r="PJE47" s="117"/>
      <c r="PJF47" s="117"/>
      <c r="PJG47" s="117"/>
      <c r="PJH47" s="117"/>
      <c r="PJI47" s="117"/>
      <c r="PJJ47" s="117"/>
      <c r="PJK47" s="117"/>
      <c r="PJL47" s="117"/>
      <c r="PJM47" s="117"/>
      <c r="PJN47" s="117"/>
      <c r="PJO47" s="117"/>
      <c r="PJP47" s="117"/>
      <c r="PJQ47" s="117"/>
      <c r="PJR47" s="117"/>
      <c r="PJS47" s="117"/>
      <c r="PJT47" s="117"/>
      <c r="PJU47" s="117"/>
      <c r="PJV47" s="117"/>
      <c r="PJW47" s="117"/>
      <c r="PJX47" s="117"/>
      <c r="PJY47" s="117"/>
      <c r="PJZ47" s="117"/>
      <c r="PKA47" s="117"/>
      <c r="PKB47" s="117"/>
      <c r="PKC47" s="117"/>
      <c r="PKD47" s="117"/>
      <c r="PKE47" s="117"/>
      <c r="PKF47" s="117"/>
      <c r="PKG47" s="117"/>
      <c r="PKH47" s="117"/>
      <c r="PKI47" s="117"/>
      <c r="PKJ47" s="117"/>
      <c r="PKK47" s="117"/>
      <c r="PKL47" s="117"/>
      <c r="PKM47" s="117"/>
      <c r="PKN47" s="117"/>
      <c r="PKO47" s="117"/>
      <c r="PKP47" s="117"/>
      <c r="PKQ47" s="117"/>
      <c r="PKR47" s="117"/>
      <c r="PKS47" s="117"/>
      <c r="PKT47" s="117"/>
      <c r="PKU47" s="117"/>
      <c r="PKV47" s="117"/>
      <c r="PKW47" s="117"/>
      <c r="PKX47" s="117"/>
      <c r="PKY47" s="117"/>
      <c r="PKZ47" s="117"/>
      <c r="PLA47" s="117"/>
      <c r="PLB47" s="117"/>
      <c r="PLC47" s="117"/>
      <c r="PLD47" s="117"/>
      <c r="PLE47" s="117"/>
      <c r="PLF47" s="117"/>
      <c r="PLG47" s="117"/>
      <c r="PLH47" s="117"/>
      <c r="PLI47" s="117"/>
      <c r="PLJ47" s="117"/>
      <c r="PLK47" s="117"/>
      <c r="PLL47" s="117"/>
      <c r="PLM47" s="117"/>
      <c r="PLN47" s="117"/>
      <c r="PLO47" s="117"/>
      <c r="PLP47" s="117"/>
      <c r="PLQ47" s="117"/>
      <c r="PLR47" s="117"/>
      <c r="PLS47" s="117"/>
      <c r="PLT47" s="117"/>
      <c r="PLU47" s="117"/>
      <c r="PLV47" s="117"/>
      <c r="PLW47" s="117"/>
      <c r="PLX47" s="117"/>
      <c r="PLY47" s="117"/>
      <c r="PLZ47" s="117"/>
      <c r="PMA47" s="117"/>
      <c r="PMB47" s="117"/>
      <c r="PMC47" s="117"/>
      <c r="PMD47" s="117"/>
      <c r="PME47" s="117"/>
      <c r="PMF47" s="117"/>
      <c r="PMG47" s="117"/>
      <c r="PMH47" s="117"/>
      <c r="PMI47" s="117"/>
      <c r="PMJ47" s="117"/>
      <c r="PMK47" s="117"/>
      <c r="PML47" s="117"/>
      <c r="PMM47" s="117"/>
      <c r="PMN47" s="117"/>
      <c r="PMO47" s="117"/>
      <c r="PMP47" s="117"/>
      <c r="PMQ47" s="117"/>
      <c r="PMR47" s="117"/>
      <c r="PMS47" s="117"/>
      <c r="PMT47" s="117"/>
      <c r="PMU47" s="117"/>
      <c r="PMV47" s="117"/>
      <c r="PMW47" s="117"/>
      <c r="PMX47" s="117"/>
      <c r="PMY47" s="117"/>
      <c r="PMZ47" s="117"/>
      <c r="PNA47" s="117"/>
      <c r="PNB47" s="117"/>
      <c r="PNC47" s="117"/>
      <c r="PND47" s="117"/>
      <c r="PNE47" s="117"/>
      <c r="PNF47" s="117"/>
      <c r="PNG47" s="117"/>
      <c r="PNH47" s="117"/>
      <c r="PNI47" s="117"/>
      <c r="PNJ47" s="117"/>
      <c r="PNK47" s="117"/>
      <c r="PNL47" s="117"/>
      <c r="PNM47" s="117"/>
      <c r="PNN47" s="117"/>
      <c r="PNO47" s="117"/>
      <c r="PNP47" s="117"/>
      <c r="PNQ47" s="117"/>
      <c r="PNR47" s="117"/>
      <c r="PNS47" s="117"/>
      <c r="PNT47" s="117"/>
      <c r="PNU47" s="117"/>
      <c r="PNV47" s="117"/>
      <c r="PNW47" s="117"/>
      <c r="PNX47" s="117"/>
      <c r="PNY47" s="117"/>
      <c r="PNZ47" s="117"/>
      <c r="POA47" s="117"/>
      <c r="POB47" s="117"/>
      <c r="POC47" s="117"/>
      <c r="POD47" s="117"/>
      <c r="POE47" s="117"/>
      <c r="POF47" s="117"/>
      <c r="POG47" s="117"/>
      <c r="POH47" s="117"/>
      <c r="POI47" s="117"/>
      <c r="POJ47" s="117"/>
      <c r="POK47" s="117"/>
      <c r="POL47" s="117"/>
      <c r="POM47" s="117"/>
      <c r="PON47" s="117"/>
      <c r="POO47" s="117"/>
      <c r="POP47" s="117"/>
      <c r="POQ47" s="117"/>
      <c r="POR47" s="117"/>
      <c r="POS47" s="117"/>
      <c r="POT47" s="117"/>
      <c r="POU47" s="117"/>
      <c r="POV47" s="117"/>
      <c r="POW47" s="117"/>
      <c r="POX47" s="117"/>
      <c r="POY47" s="117"/>
      <c r="POZ47" s="117"/>
      <c r="PPA47" s="117"/>
      <c r="PPB47" s="117"/>
      <c r="PPC47" s="117"/>
      <c r="PPD47" s="117"/>
      <c r="PPE47" s="117"/>
      <c r="PPF47" s="117"/>
      <c r="PPG47" s="117"/>
      <c r="PPH47" s="117"/>
      <c r="PPI47" s="117"/>
      <c r="PPJ47" s="117"/>
      <c r="PPK47" s="117"/>
      <c r="PPL47" s="117"/>
      <c r="PPM47" s="117"/>
      <c r="PPN47" s="117"/>
      <c r="PPO47" s="117"/>
      <c r="PPP47" s="117"/>
      <c r="PPQ47" s="117"/>
      <c r="PPR47" s="117"/>
      <c r="PPS47" s="117"/>
      <c r="PPT47" s="117"/>
      <c r="PPU47" s="117"/>
      <c r="PPV47" s="117"/>
      <c r="PPW47" s="117"/>
      <c r="PPX47" s="117"/>
      <c r="PPY47" s="117"/>
      <c r="PPZ47" s="117"/>
      <c r="PQA47" s="117"/>
      <c r="PQB47" s="117"/>
      <c r="PQC47" s="117"/>
      <c r="PQD47" s="117"/>
      <c r="PQE47" s="117"/>
      <c r="PQF47" s="117"/>
      <c r="PQG47" s="117"/>
      <c r="PQH47" s="117"/>
      <c r="PQI47" s="117"/>
      <c r="PQJ47" s="117"/>
      <c r="PQK47" s="117"/>
      <c r="PQL47" s="117"/>
      <c r="PQM47" s="117"/>
      <c r="PQN47" s="117"/>
      <c r="PQO47" s="117"/>
      <c r="PQP47" s="117"/>
      <c r="PQQ47" s="117"/>
      <c r="PQR47" s="117"/>
      <c r="PQS47" s="117"/>
      <c r="PQT47" s="117"/>
      <c r="PQU47" s="117"/>
      <c r="PQV47" s="117"/>
      <c r="PQW47" s="117"/>
      <c r="PQX47" s="117"/>
      <c r="PQY47" s="117"/>
      <c r="PQZ47" s="117"/>
      <c r="PRA47" s="117"/>
      <c r="PRB47" s="117"/>
      <c r="PRC47" s="117"/>
      <c r="PRD47" s="117"/>
      <c r="PRE47" s="117"/>
      <c r="PRF47" s="117"/>
      <c r="PRG47" s="117"/>
      <c r="PRH47" s="117"/>
      <c r="PRI47" s="117"/>
      <c r="PRJ47" s="117"/>
      <c r="PRK47" s="117"/>
      <c r="PRL47" s="117"/>
      <c r="PRM47" s="117"/>
      <c r="PRN47" s="117"/>
      <c r="PRO47" s="117"/>
      <c r="PRP47" s="117"/>
      <c r="PRQ47" s="117"/>
      <c r="PRR47" s="117"/>
      <c r="PRS47" s="117"/>
      <c r="PRT47" s="117"/>
      <c r="PRU47" s="117"/>
      <c r="PRV47" s="117"/>
      <c r="PRW47" s="117"/>
      <c r="PRX47" s="117"/>
      <c r="PRY47" s="117"/>
      <c r="PRZ47" s="117"/>
      <c r="PSA47" s="117"/>
      <c r="PSB47" s="117"/>
      <c r="PSC47" s="117"/>
      <c r="PSD47" s="117"/>
      <c r="PSE47" s="117"/>
      <c r="PSF47" s="117"/>
      <c r="PSG47" s="117"/>
      <c r="PSH47" s="117"/>
      <c r="PSI47" s="117"/>
      <c r="PSJ47" s="117"/>
      <c r="PSK47" s="117"/>
      <c r="PSL47" s="117"/>
      <c r="PSM47" s="117"/>
      <c r="PSN47" s="117"/>
      <c r="PSO47" s="117"/>
      <c r="PSP47" s="117"/>
      <c r="PSQ47" s="117"/>
      <c r="PSR47" s="117"/>
      <c r="PSS47" s="117"/>
      <c r="PST47" s="117"/>
      <c r="PSU47" s="117"/>
      <c r="PSV47" s="117"/>
      <c r="PSW47" s="117"/>
      <c r="PSX47" s="117"/>
      <c r="PSY47" s="117"/>
      <c r="PSZ47" s="117"/>
      <c r="PTA47" s="117"/>
      <c r="PTB47" s="117"/>
      <c r="PTC47" s="117"/>
      <c r="PTD47" s="117"/>
      <c r="PTE47" s="117"/>
      <c r="PTF47" s="117"/>
      <c r="PTG47" s="117"/>
      <c r="PTH47" s="117"/>
      <c r="PTI47" s="117"/>
      <c r="PTJ47" s="117"/>
      <c r="PTK47" s="117"/>
      <c r="PTL47" s="117"/>
      <c r="PTM47" s="117"/>
      <c r="PTN47" s="117"/>
      <c r="PTO47" s="117"/>
      <c r="PTP47" s="117"/>
      <c r="PTQ47" s="117"/>
      <c r="PTR47" s="117"/>
      <c r="PTS47" s="117"/>
      <c r="PTT47" s="117"/>
      <c r="PTU47" s="117"/>
      <c r="PTV47" s="117"/>
      <c r="PTW47" s="117"/>
      <c r="PTX47" s="117"/>
      <c r="PTY47" s="117"/>
      <c r="PTZ47" s="117"/>
      <c r="PUA47" s="117"/>
      <c r="PUB47" s="117"/>
      <c r="PUC47" s="117"/>
      <c r="PUD47" s="117"/>
      <c r="PUE47" s="117"/>
      <c r="PUF47" s="117"/>
      <c r="PUG47" s="117"/>
      <c r="PUH47" s="117"/>
      <c r="PUI47" s="117"/>
      <c r="PUJ47" s="117"/>
      <c r="PUK47" s="117"/>
      <c r="PUL47" s="117"/>
      <c r="PUM47" s="117"/>
      <c r="PUN47" s="117"/>
      <c r="PUO47" s="117"/>
      <c r="PUP47" s="117"/>
      <c r="PUQ47" s="117"/>
      <c r="PUR47" s="117"/>
      <c r="PUS47" s="117"/>
      <c r="PUT47" s="117"/>
      <c r="PUU47" s="117"/>
      <c r="PUV47" s="117"/>
      <c r="PUW47" s="117"/>
      <c r="PUX47" s="117"/>
      <c r="PUY47" s="117"/>
      <c r="PUZ47" s="117"/>
      <c r="PVA47" s="117"/>
      <c r="PVB47" s="117"/>
      <c r="PVC47" s="117"/>
      <c r="PVD47" s="117"/>
      <c r="PVE47" s="117"/>
      <c r="PVF47" s="117"/>
      <c r="PVG47" s="117"/>
      <c r="PVH47" s="117"/>
      <c r="PVI47" s="117"/>
      <c r="PVJ47" s="117"/>
      <c r="PVK47" s="117"/>
      <c r="PVL47" s="117"/>
      <c r="PVM47" s="117"/>
      <c r="PVN47" s="117"/>
      <c r="PVO47" s="117"/>
      <c r="PVP47" s="117"/>
      <c r="PVQ47" s="117"/>
      <c r="PVR47" s="117"/>
      <c r="PVS47" s="117"/>
      <c r="PVT47" s="117"/>
      <c r="PVU47" s="117"/>
      <c r="PVV47" s="117"/>
      <c r="PVW47" s="117"/>
      <c r="PVX47" s="117"/>
      <c r="PVY47" s="117"/>
      <c r="PVZ47" s="117"/>
      <c r="PWA47" s="117"/>
      <c r="PWB47" s="117"/>
      <c r="PWC47" s="117"/>
      <c r="PWD47" s="117"/>
      <c r="PWE47" s="117"/>
      <c r="PWF47" s="117"/>
      <c r="PWG47" s="117"/>
      <c r="PWH47" s="117"/>
      <c r="PWI47" s="117"/>
      <c r="PWJ47" s="117"/>
      <c r="PWK47" s="117"/>
      <c r="PWL47" s="117"/>
      <c r="PWM47" s="117"/>
      <c r="PWN47" s="117"/>
      <c r="PWO47" s="117"/>
      <c r="PWP47" s="117"/>
      <c r="PWQ47" s="117"/>
      <c r="PWR47" s="117"/>
      <c r="PWS47" s="117"/>
      <c r="PWT47" s="117"/>
      <c r="PWU47" s="117"/>
      <c r="PWV47" s="117"/>
      <c r="PWW47" s="117"/>
      <c r="PWX47" s="117"/>
      <c r="PWY47" s="117"/>
      <c r="PWZ47" s="117"/>
      <c r="PXA47" s="117"/>
      <c r="PXB47" s="117"/>
      <c r="PXC47" s="117"/>
      <c r="PXD47" s="117"/>
      <c r="PXE47" s="117"/>
      <c r="PXF47" s="117"/>
      <c r="PXG47" s="117"/>
      <c r="PXH47" s="117"/>
      <c r="PXI47" s="117"/>
      <c r="PXJ47" s="117"/>
      <c r="PXK47" s="117"/>
      <c r="PXL47" s="117"/>
      <c r="PXM47" s="117"/>
      <c r="PXN47" s="117"/>
      <c r="PXO47" s="117"/>
      <c r="PXP47" s="117"/>
      <c r="PXQ47" s="117"/>
      <c r="PXR47" s="117"/>
      <c r="PXS47" s="117"/>
      <c r="PXT47" s="117"/>
      <c r="PXU47" s="117"/>
      <c r="PXV47" s="117"/>
      <c r="PXW47" s="117"/>
      <c r="PXX47" s="117"/>
      <c r="PXY47" s="117"/>
      <c r="PXZ47" s="117"/>
      <c r="PYA47" s="117"/>
      <c r="PYB47" s="117"/>
      <c r="PYC47" s="117"/>
      <c r="PYD47" s="117"/>
      <c r="PYE47" s="117"/>
      <c r="PYF47" s="117"/>
      <c r="PYG47" s="117"/>
      <c r="PYH47" s="117"/>
      <c r="PYI47" s="117"/>
      <c r="PYJ47" s="117"/>
      <c r="PYK47" s="117"/>
      <c r="PYL47" s="117"/>
      <c r="PYM47" s="117"/>
      <c r="PYN47" s="117"/>
      <c r="PYO47" s="117"/>
      <c r="PYP47" s="117"/>
      <c r="PYQ47" s="117"/>
      <c r="PYR47" s="117"/>
      <c r="PYS47" s="117"/>
      <c r="PYT47" s="117"/>
      <c r="PYU47" s="117"/>
      <c r="PYV47" s="117"/>
      <c r="PYW47" s="117"/>
      <c r="PYX47" s="117"/>
      <c r="PYY47" s="117"/>
      <c r="PYZ47" s="117"/>
      <c r="PZA47" s="117"/>
      <c r="PZB47" s="117"/>
      <c r="PZC47" s="117"/>
      <c r="PZD47" s="117"/>
      <c r="PZE47" s="117"/>
      <c r="PZF47" s="117"/>
      <c r="PZG47" s="117"/>
      <c r="PZH47" s="117"/>
      <c r="PZI47" s="117"/>
      <c r="PZJ47" s="117"/>
      <c r="PZK47" s="117"/>
      <c r="PZL47" s="117"/>
      <c r="PZM47" s="117"/>
      <c r="PZN47" s="117"/>
      <c r="PZO47" s="117"/>
      <c r="PZP47" s="117"/>
      <c r="PZQ47" s="117"/>
      <c r="PZR47" s="117"/>
      <c r="PZS47" s="117"/>
      <c r="PZT47" s="117"/>
      <c r="PZU47" s="117"/>
      <c r="PZV47" s="117"/>
      <c r="PZW47" s="117"/>
      <c r="PZX47" s="117"/>
      <c r="PZY47" s="117"/>
      <c r="PZZ47" s="117"/>
      <c r="QAA47" s="117"/>
      <c r="QAB47" s="117"/>
      <c r="QAC47" s="117"/>
      <c r="QAD47" s="117"/>
      <c r="QAE47" s="117"/>
      <c r="QAF47" s="117"/>
      <c r="QAG47" s="117"/>
      <c r="QAH47" s="117"/>
      <c r="QAI47" s="117"/>
      <c r="QAJ47" s="117"/>
      <c r="QAK47" s="117"/>
      <c r="QAL47" s="117"/>
      <c r="QAM47" s="117"/>
      <c r="QAN47" s="117"/>
      <c r="QAO47" s="117"/>
      <c r="QAP47" s="117"/>
      <c r="QAQ47" s="117"/>
      <c r="QAR47" s="117"/>
      <c r="QAS47" s="117"/>
      <c r="QAT47" s="117"/>
      <c r="QAU47" s="117"/>
      <c r="QAV47" s="117"/>
      <c r="QAW47" s="117"/>
      <c r="QAX47" s="117"/>
      <c r="QAY47" s="117"/>
      <c r="QAZ47" s="117"/>
      <c r="QBA47" s="117"/>
      <c r="QBB47" s="117"/>
      <c r="QBC47" s="117"/>
      <c r="QBD47" s="117"/>
      <c r="QBE47" s="117"/>
      <c r="QBF47" s="117"/>
      <c r="QBG47" s="117"/>
      <c r="QBH47" s="117"/>
      <c r="QBI47" s="117"/>
      <c r="QBJ47" s="117"/>
      <c r="QBK47" s="117"/>
      <c r="QBL47" s="117"/>
      <c r="QBM47" s="117"/>
      <c r="QBN47" s="117"/>
      <c r="QBO47" s="117"/>
      <c r="QBP47" s="117"/>
      <c r="QBQ47" s="117"/>
      <c r="QBR47" s="117"/>
      <c r="QBS47" s="117"/>
      <c r="QBT47" s="117"/>
      <c r="QBU47" s="117"/>
      <c r="QBV47" s="117"/>
      <c r="QBW47" s="117"/>
      <c r="QBX47" s="117"/>
      <c r="QBY47" s="117"/>
      <c r="QBZ47" s="117"/>
      <c r="QCA47" s="117"/>
      <c r="QCB47" s="117"/>
      <c r="QCC47" s="117"/>
      <c r="QCD47" s="117"/>
      <c r="QCE47" s="117"/>
      <c r="QCF47" s="117"/>
      <c r="QCG47" s="117"/>
      <c r="QCH47" s="117"/>
      <c r="QCI47" s="117"/>
      <c r="QCJ47" s="117"/>
      <c r="QCK47" s="117"/>
      <c r="QCL47" s="117"/>
      <c r="QCM47" s="117"/>
      <c r="QCN47" s="117"/>
      <c r="QCO47" s="117"/>
      <c r="QCP47" s="117"/>
      <c r="QCQ47" s="117"/>
      <c r="QCR47" s="117"/>
      <c r="QCS47" s="117"/>
      <c r="QCT47" s="117"/>
      <c r="QCU47" s="117"/>
      <c r="QCV47" s="117"/>
      <c r="QCW47" s="117"/>
      <c r="QCX47" s="117"/>
      <c r="QCY47" s="117"/>
      <c r="QCZ47" s="117"/>
      <c r="QDA47" s="117"/>
      <c r="QDB47" s="117"/>
      <c r="QDC47" s="117"/>
      <c r="QDD47" s="117"/>
      <c r="QDE47" s="117"/>
      <c r="QDF47" s="117"/>
      <c r="QDG47" s="117"/>
      <c r="QDH47" s="117"/>
      <c r="QDI47" s="117"/>
      <c r="QDJ47" s="117"/>
      <c r="QDK47" s="117"/>
      <c r="QDL47" s="117"/>
      <c r="QDM47" s="117"/>
      <c r="QDN47" s="117"/>
      <c r="QDO47" s="117"/>
      <c r="QDP47" s="117"/>
      <c r="QDQ47" s="117"/>
      <c r="QDR47" s="117"/>
      <c r="QDS47" s="117"/>
      <c r="QDT47" s="117"/>
      <c r="QDU47" s="117"/>
      <c r="QDV47" s="117"/>
      <c r="QDW47" s="117"/>
      <c r="QDX47" s="117"/>
      <c r="QDY47" s="117"/>
      <c r="QDZ47" s="117"/>
      <c r="QEA47" s="117"/>
      <c r="QEB47" s="117"/>
      <c r="QEC47" s="117"/>
      <c r="QED47" s="117"/>
      <c r="QEE47" s="117"/>
      <c r="QEF47" s="117"/>
      <c r="QEG47" s="117"/>
      <c r="QEH47" s="117"/>
      <c r="QEI47" s="117"/>
      <c r="QEJ47" s="117"/>
      <c r="QEK47" s="117"/>
      <c r="QEL47" s="117"/>
      <c r="QEM47" s="117"/>
      <c r="QEN47" s="117"/>
      <c r="QEO47" s="117"/>
      <c r="QEP47" s="117"/>
      <c r="QEQ47" s="117"/>
      <c r="QER47" s="117"/>
      <c r="QES47" s="117"/>
      <c r="QET47" s="117"/>
      <c r="QEU47" s="117"/>
      <c r="QEV47" s="117"/>
      <c r="QEW47" s="117"/>
      <c r="QEX47" s="117"/>
      <c r="QEY47" s="117"/>
      <c r="QEZ47" s="117"/>
      <c r="QFA47" s="117"/>
      <c r="QFB47" s="117"/>
      <c r="QFC47" s="117"/>
      <c r="QFD47" s="117"/>
      <c r="QFE47" s="117"/>
      <c r="QFF47" s="117"/>
      <c r="QFG47" s="117"/>
      <c r="QFH47" s="117"/>
      <c r="QFI47" s="117"/>
      <c r="QFJ47" s="117"/>
      <c r="QFK47" s="117"/>
      <c r="QFL47" s="117"/>
      <c r="QFM47" s="117"/>
      <c r="QFN47" s="117"/>
      <c r="QFO47" s="117"/>
      <c r="QFP47" s="117"/>
      <c r="QFQ47" s="117"/>
      <c r="QFR47" s="117"/>
      <c r="QFS47" s="117"/>
      <c r="QFT47" s="117"/>
      <c r="QFU47" s="117"/>
      <c r="QFV47" s="117"/>
      <c r="QFW47" s="117"/>
      <c r="QFX47" s="117"/>
      <c r="QFY47" s="117"/>
      <c r="QFZ47" s="117"/>
      <c r="QGA47" s="117"/>
      <c r="QGB47" s="117"/>
      <c r="QGC47" s="117"/>
      <c r="QGD47" s="117"/>
      <c r="QGE47" s="117"/>
      <c r="QGF47" s="117"/>
      <c r="QGG47" s="117"/>
      <c r="QGH47" s="117"/>
      <c r="QGI47" s="117"/>
      <c r="QGJ47" s="117"/>
      <c r="QGK47" s="117"/>
      <c r="QGL47" s="117"/>
      <c r="QGM47" s="117"/>
      <c r="QGN47" s="117"/>
      <c r="QGO47" s="117"/>
      <c r="QGP47" s="117"/>
      <c r="QGQ47" s="117"/>
      <c r="QGR47" s="117"/>
      <c r="QGS47" s="117"/>
      <c r="QGT47" s="117"/>
      <c r="QGU47" s="117"/>
      <c r="QGV47" s="117"/>
      <c r="QGW47" s="117"/>
      <c r="QGX47" s="117"/>
      <c r="QGY47" s="117"/>
      <c r="QGZ47" s="117"/>
      <c r="QHA47" s="117"/>
      <c r="QHB47" s="117"/>
      <c r="QHC47" s="117"/>
      <c r="QHD47" s="117"/>
      <c r="QHE47" s="117"/>
      <c r="QHF47" s="117"/>
      <c r="QHG47" s="117"/>
      <c r="QHH47" s="117"/>
      <c r="QHI47" s="117"/>
      <c r="QHJ47" s="117"/>
      <c r="QHK47" s="117"/>
      <c r="QHL47" s="117"/>
      <c r="QHM47" s="117"/>
      <c r="QHN47" s="117"/>
      <c r="QHO47" s="117"/>
      <c r="QHP47" s="117"/>
      <c r="QHQ47" s="117"/>
      <c r="QHR47" s="117"/>
      <c r="QHS47" s="117"/>
      <c r="QHT47" s="117"/>
      <c r="QHU47" s="117"/>
      <c r="QHV47" s="117"/>
      <c r="QHW47" s="117"/>
      <c r="QHX47" s="117"/>
      <c r="QHY47" s="117"/>
      <c r="QHZ47" s="117"/>
      <c r="QIA47" s="117"/>
      <c r="QIB47" s="117"/>
      <c r="QIC47" s="117"/>
      <c r="QID47" s="117"/>
      <c r="QIE47" s="117"/>
      <c r="QIF47" s="117"/>
      <c r="QIG47" s="117"/>
      <c r="QIH47" s="117"/>
      <c r="QII47" s="117"/>
      <c r="QIJ47" s="117"/>
      <c r="QIK47" s="117"/>
      <c r="QIL47" s="117"/>
      <c r="QIM47" s="117"/>
      <c r="QIN47" s="117"/>
      <c r="QIO47" s="117"/>
      <c r="QIP47" s="117"/>
      <c r="QIQ47" s="117"/>
      <c r="QIR47" s="117"/>
      <c r="QIS47" s="117"/>
      <c r="QIT47" s="117"/>
      <c r="QIU47" s="117"/>
      <c r="QIV47" s="117"/>
      <c r="QIW47" s="117"/>
      <c r="QIX47" s="117"/>
      <c r="QIY47" s="117"/>
      <c r="QIZ47" s="117"/>
      <c r="QJA47" s="117"/>
      <c r="QJB47" s="117"/>
      <c r="QJC47" s="117"/>
      <c r="QJD47" s="117"/>
      <c r="QJE47" s="117"/>
      <c r="QJF47" s="117"/>
      <c r="QJG47" s="117"/>
      <c r="QJH47" s="117"/>
      <c r="QJI47" s="117"/>
      <c r="QJJ47" s="117"/>
      <c r="QJK47" s="117"/>
      <c r="QJL47" s="117"/>
      <c r="QJM47" s="117"/>
      <c r="QJN47" s="117"/>
      <c r="QJO47" s="117"/>
      <c r="QJP47" s="117"/>
      <c r="QJQ47" s="117"/>
      <c r="QJR47" s="117"/>
      <c r="QJS47" s="117"/>
      <c r="QJT47" s="117"/>
      <c r="QJU47" s="117"/>
      <c r="QJV47" s="117"/>
      <c r="QJW47" s="117"/>
      <c r="QJX47" s="117"/>
      <c r="QJY47" s="117"/>
      <c r="QJZ47" s="117"/>
      <c r="QKA47" s="117"/>
      <c r="QKB47" s="117"/>
      <c r="QKC47" s="117"/>
      <c r="QKD47" s="117"/>
      <c r="QKE47" s="117"/>
      <c r="QKF47" s="117"/>
      <c r="QKG47" s="117"/>
      <c r="QKH47" s="117"/>
      <c r="QKI47" s="117"/>
      <c r="QKJ47" s="117"/>
      <c r="QKK47" s="117"/>
      <c r="QKL47" s="117"/>
      <c r="QKM47" s="117"/>
      <c r="QKN47" s="117"/>
      <c r="QKO47" s="117"/>
      <c r="QKP47" s="117"/>
      <c r="QKQ47" s="117"/>
      <c r="QKR47" s="117"/>
      <c r="QKS47" s="117"/>
      <c r="QKT47" s="117"/>
      <c r="QKU47" s="117"/>
      <c r="QKV47" s="117"/>
      <c r="QKW47" s="117"/>
      <c r="QKX47" s="117"/>
      <c r="QKY47" s="117"/>
      <c r="QKZ47" s="117"/>
      <c r="QLA47" s="117"/>
      <c r="QLB47" s="117"/>
      <c r="QLC47" s="117"/>
      <c r="QLD47" s="117"/>
      <c r="QLE47" s="117"/>
      <c r="QLF47" s="117"/>
      <c r="QLG47" s="117"/>
      <c r="QLH47" s="117"/>
      <c r="QLI47" s="117"/>
      <c r="QLJ47" s="117"/>
      <c r="QLK47" s="117"/>
      <c r="QLL47" s="117"/>
      <c r="QLM47" s="117"/>
      <c r="QLN47" s="117"/>
      <c r="QLO47" s="117"/>
      <c r="QLP47" s="117"/>
      <c r="QLQ47" s="117"/>
      <c r="QLR47" s="117"/>
      <c r="QLS47" s="117"/>
      <c r="QLT47" s="117"/>
      <c r="QLU47" s="117"/>
      <c r="QLV47" s="117"/>
      <c r="QLW47" s="117"/>
      <c r="QLX47" s="117"/>
      <c r="QLY47" s="117"/>
      <c r="QLZ47" s="117"/>
      <c r="QMA47" s="117"/>
      <c r="QMB47" s="117"/>
      <c r="QMC47" s="117"/>
      <c r="QMD47" s="117"/>
      <c r="QME47" s="117"/>
      <c r="QMF47" s="117"/>
      <c r="QMG47" s="117"/>
      <c r="QMH47" s="117"/>
      <c r="QMI47" s="117"/>
      <c r="QMJ47" s="117"/>
      <c r="QMK47" s="117"/>
      <c r="QML47" s="117"/>
      <c r="QMM47" s="117"/>
      <c r="QMN47" s="117"/>
      <c r="QMO47" s="117"/>
      <c r="QMP47" s="117"/>
      <c r="QMQ47" s="117"/>
      <c r="QMR47" s="117"/>
      <c r="QMS47" s="117"/>
      <c r="QMT47" s="117"/>
      <c r="QMU47" s="117"/>
      <c r="QMV47" s="117"/>
      <c r="QMW47" s="117"/>
      <c r="QMX47" s="117"/>
      <c r="QMY47" s="117"/>
      <c r="QMZ47" s="117"/>
      <c r="QNA47" s="117"/>
      <c r="QNB47" s="117"/>
      <c r="QNC47" s="117"/>
      <c r="QND47" s="117"/>
      <c r="QNE47" s="117"/>
      <c r="QNF47" s="117"/>
      <c r="QNG47" s="117"/>
      <c r="QNH47" s="117"/>
      <c r="QNI47" s="117"/>
      <c r="QNJ47" s="117"/>
      <c r="QNK47" s="117"/>
      <c r="QNL47" s="117"/>
      <c r="QNM47" s="117"/>
      <c r="QNN47" s="117"/>
      <c r="QNO47" s="117"/>
      <c r="QNP47" s="117"/>
      <c r="QNQ47" s="117"/>
      <c r="QNR47" s="117"/>
      <c r="QNS47" s="117"/>
      <c r="QNT47" s="117"/>
      <c r="QNU47" s="117"/>
      <c r="QNV47" s="117"/>
      <c r="QNW47" s="117"/>
      <c r="QNX47" s="117"/>
      <c r="QNY47" s="117"/>
      <c r="QNZ47" s="117"/>
      <c r="QOA47" s="117"/>
      <c r="QOB47" s="117"/>
      <c r="QOC47" s="117"/>
      <c r="QOD47" s="117"/>
      <c r="QOE47" s="117"/>
      <c r="QOF47" s="117"/>
      <c r="QOG47" s="117"/>
      <c r="QOH47" s="117"/>
      <c r="QOI47" s="117"/>
      <c r="QOJ47" s="117"/>
      <c r="QOK47" s="117"/>
      <c r="QOL47" s="117"/>
      <c r="QOM47" s="117"/>
      <c r="QON47" s="117"/>
      <c r="QOO47" s="117"/>
      <c r="QOP47" s="117"/>
      <c r="QOQ47" s="117"/>
      <c r="QOR47" s="117"/>
      <c r="QOS47" s="117"/>
      <c r="QOT47" s="117"/>
      <c r="QOU47" s="117"/>
      <c r="QOV47" s="117"/>
      <c r="QOW47" s="117"/>
      <c r="QOX47" s="117"/>
      <c r="QOY47" s="117"/>
      <c r="QOZ47" s="117"/>
      <c r="QPA47" s="117"/>
      <c r="QPB47" s="117"/>
      <c r="QPC47" s="117"/>
      <c r="QPD47" s="117"/>
      <c r="QPE47" s="117"/>
      <c r="QPF47" s="117"/>
      <c r="QPG47" s="117"/>
      <c r="QPH47" s="117"/>
      <c r="QPI47" s="117"/>
      <c r="QPJ47" s="117"/>
      <c r="QPK47" s="117"/>
      <c r="QPL47" s="117"/>
      <c r="QPM47" s="117"/>
      <c r="QPN47" s="117"/>
      <c r="QPO47" s="117"/>
      <c r="QPP47" s="117"/>
      <c r="QPQ47" s="117"/>
      <c r="QPR47" s="117"/>
      <c r="QPS47" s="117"/>
      <c r="QPT47" s="117"/>
      <c r="QPU47" s="117"/>
      <c r="QPV47" s="117"/>
      <c r="QPW47" s="117"/>
      <c r="QPX47" s="117"/>
      <c r="QPY47" s="117"/>
      <c r="QPZ47" s="117"/>
      <c r="QQA47" s="117"/>
      <c r="QQB47" s="117"/>
      <c r="QQC47" s="117"/>
      <c r="QQD47" s="117"/>
      <c r="QQE47" s="117"/>
      <c r="QQF47" s="117"/>
      <c r="QQG47" s="117"/>
      <c r="QQH47" s="117"/>
      <c r="QQI47" s="117"/>
      <c r="QQJ47" s="117"/>
      <c r="QQK47" s="117"/>
      <c r="QQL47" s="117"/>
      <c r="QQM47" s="117"/>
      <c r="QQN47" s="117"/>
      <c r="QQO47" s="117"/>
      <c r="QQP47" s="117"/>
      <c r="QQQ47" s="117"/>
      <c r="QQR47" s="117"/>
      <c r="QQS47" s="117"/>
      <c r="QQT47" s="117"/>
      <c r="QQU47" s="117"/>
      <c r="QQV47" s="117"/>
      <c r="QQW47" s="117"/>
      <c r="QQX47" s="117"/>
      <c r="QQY47" s="117"/>
      <c r="QQZ47" s="117"/>
      <c r="QRA47" s="117"/>
      <c r="QRB47" s="117"/>
      <c r="QRC47" s="117"/>
      <c r="QRD47" s="117"/>
      <c r="QRE47" s="117"/>
      <c r="QRF47" s="117"/>
      <c r="QRG47" s="117"/>
      <c r="QRH47" s="117"/>
      <c r="QRI47" s="117"/>
      <c r="QRJ47" s="117"/>
      <c r="QRK47" s="117"/>
      <c r="QRL47" s="117"/>
      <c r="QRM47" s="117"/>
      <c r="QRN47" s="117"/>
      <c r="QRO47" s="117"/>
      <c r="QRP47" s="117"/>
      <c r="QRQ47" s="117"/>
      <c r="QRR47" s="117"/>
      <c r="QRS47" s="117"/>
      <c r="QRT47" s="117"/>
      <c r="QRU47" s="117"/>
      <c r="QRV47" s="117"/>
      <c r="QRW47" s="117"/>
      <c r="QRX47" s="117"/>
      <c r="QRY47" s="117"/>
      <c r="QRZ47" s="117"/>
      <c r="QSA47" s="117"/>
      <c r="QSB47" s="117"/>
      <c r="QSC47" s="117"/>
      <c r="QSD47" s="117"/>
      <c r="QSE47" s="117"/>
      <c r="QSF47" s="117"/>
      <c r="QSG47" s="117"/>
      <c r="QSH47" s="117"/>
      <c r="QSI47" s="117"/>
      <c r="QSJ47" s="117"/>
      <c r="QSK47" s="117"/>
      <c r="QSL47" s="117"/>
      <c r="QSM47" s="117"/>
      <c r="QSN47" s="117"/>
      <c r="QSO47" s="117"/>
      <c r="QSP47" s="117"/>
      <c r="QSQ47" s="117"/>
      <c r="QSR47" s="117"/>
      <c r="QSS47" s="117"/>
      <c r="QST47" s="117"/>
      <c r="QSU47" s="117"/>
      <c r="QSV47" s="117"/>
      <c r="QSW47" s="117"/>
      <c r="QSX47" s="117"/>
      <c r="QSY47" s="117"/>
      <c r="QSZ47" s="117"/>
      <c r="QTA47" s="117"/>
      <c r="QTB47" s="117"/>
      <c r="QTC47" s="117"/>
      <c r="QTD47" s="117"/>
      <c r="QTE47" s="117"/>
      <c r="QTF47" s="117"/>
      <c r="QTG47" s="117"/>
      <c r="QTH47" s="117"/>
      <c r="QTI47" s="117"/>
      <c r="QTJ47" s="117"/>
      <c r="QTK47" s="117"/>
      <c r="QTL47" s="117"/>
      <c r="QTM47" s="117"/>
      <c r="QTN47" s="117"/>
      <c r="QTO47" s="117"/>
      <c r="QTP47" s="117"/>
      <c r="QTQ47" s="117"/>
      <c r="QTR47" s="117"/>
      <c r="QTS47" s="117"/>
      <c r="QTT47" s="117"/>
      <c r="QTU47" s="117"/>
      <c r="QTV47" s="117"/>
      <c r="QTW47" s="117"/>
      <c r="QTX47" s="117"/>
      <c r="QTY47" s="117"/>
      <c r="QTZ47" s="117"/>
      <c r="QUA47" s="117"/>
      <c r="QUB47" s="117"/>
      <c r="QUC47" s="117"/>
      <c r="QUD47" s="117"/>
      <c r="QUE47" s="117"/>
      <c r="QUF47" s="117"/>
      <c r="QUG47" s="117"/>
      <c r="QUH47" s="117"/>
      <c r="QUI47" s="117"/>
      <c r="QUJ47" s="117"/>
      <c r="QUK47" s="117"/>
      <c r="QUL47" s="117"/>
      <c r="QUM47" s="117"/>
      <c r="QUN47" s="117"/>
      <c r="QUO47" s="117"/>
      <c r="QUP47" s="117"/>
      <c r="QUQ47" s="117"/>
      <c r="QUR47" s="117"/>
      <c r="QUS47" s="117"/>
      <c r="QUT47" s="117"/>
      <c r="QUU47" s="117"/>
      <c r="QUV47" s="117"/>
      <c r="QUW47" s="117"/>
      <c r="QUX47" s="117"/>
      <c r="QUY47" s="117"/>
      <c r="QUZ47" s="117"/>
      <c r="QVA47" s="117"/>
      <c r="QVB47" s="117"/>
      <c r="QVC47" s="117"/>
      <c r="QVD47" s="117"/>
      <c r="QVE47" s="117"/>
      <c r="QVF47" s="117"/>
      <c r="QVG47" s="117"/>
      <c r="QVH47" s="117"/>
      <c r="QVI47" s="117"/>
      <c r="QVJ47" s="117"/>
      <c r="QVK47" s="117"/>
      <c r="QVL47" s="117"/>
      <c r="QVM47" s="117"/>
      <c r="QVN47" s="117"/>
      <c r="QVO47" s="117"/>
      <c r="QVP47" s="117"/>
      <c r="QVQ47" s="117"/>
      <c r="QVR47" s="117"/>
      <c r="QVS47" s="117"/>
      <c r="QVT47" s="117"/>
      <c r="QVU47" s="117"/>
      <c r="QVV47" s="117"/>
      <c r="QVW47" s="117"/>
      <c r="QVX47" s="117"/>
      <c r="QVY47" s="117"/>
      <c r="QVZ47" s="117"/>
      <c r="QWA47" s="117"/>
      <c r="QWB47" s="117"/>
      <c r="QWC47" s="117"/>
      <c r="QWD47" s="117"/>
      <c r="QWE47" s="117"/>
      <c r="QWF47" s="117"/>
      <c r="QWG47" s="117"/>
      <c r="QWH47" s="117"/>
      <c r="QWI47" s="117"/>
      <c r="QWJ47" s="117"/>
      <c r="QWK47" s="117"/>
      <c r="QWL47" s="117"/>
      <c r="QWM47" s="117"/>
      <c r="QWN47" s="117"/>
      <c r="QWO47" s="117"/>
      <c r="QWP47" s="117"/>
      <c r="QWQ47" s="117"/>
      <c r="QWR47" s="117"/>
      <c r="QWS47" s="117"/>
      <c r="QWT47" s="117"/>
      <c r="QWU47" s="117"/>
      <c r="QWV47" s="117"/>
      <c r="QWW47" s="117"/>
      <c r="QWX47" s="117"/>
      <c r="QWY47" s="117"/>
      <c r="QWZ47" s="117"/>
      <c r="QXA47" s="117"/>
      <c r="QXB47" s="117"/>
      <c r="QXC47" s="117"/>
      <c r="QXD47" s="117"/>
      <c r="QXE47" s="117"/>
      <c r="QXF47" s="117"/>
      <c r="QXG47" s="117"/>
      <c r="QXH47" s="117"/>
      <c r="QXI47" s="117"/>
      <c r="QXJ47" s="117"/>
      <c r="QXK47" s="117"/>
      <c r="QXL47" s="117"/>
      <c r="QXM47" s="117"/>
      <c r="QXN47" s="117"/>
      <c r="QXO47" s="117"/>
      <c r="QXP47" s="117"/>
      <c r="QXQ47" s="117"/>
      <c r="QXR47" s="117"/>
      <c r="QXS47" s="117"/>
      <c r="QXT47" s="117"/>
      <c r="QXU47" s="117"/>
      <c r="QXV47" s="117"/>
      <c r="QXW47" s="117"/>
      <c r="QXX47" s="117"/>
      <c r="QXY47" s="117"/>
      <c r="QXZ47" s="117"/>
      <c r="QYA47" s="117"/>
      <c r="QYB47" s="117"/>
      <c r="QYC47" s="117"/>
      <c r="QYD47" s="117"/>
      <c r="QYE47" s="117"/>
      <c r="QYF47" s="117"/>
      <c r="QYG47" s="117"/>
      <c r="QYH47" s="117"/>
      <c r="QYI47" s="117"/>
      <c r="QYJ47" s="117"/>
      <c r="QYK47" s="117"/>
      <c r="QYL47" s="117"/>
      <c r="QYM47" s="117"/>
      <c r="QYN47" s="117"/>
      <c r="QYO47" s="117"/>
      <c r="QYP47" s="117"/>
      <c r="QYQ47" s="117"/>
      <c r="QYR47" s="117"/>
      <c r="QYS47" s="117"/>
      <c r="QYT47" s="117"/>
      <c r="QYU47" s="117"/>
      <c r="QYV47" s="117"/>
      <c r="QYW47" s="117"/>
      <c r="QYX47" s="117"/>
      <c r="QYY47" s="117"/>
      <c r="QYZ47" s="117"/>
      <c r="QZA47" s="117"/>
      <c r="QZB47" s="117"/>
      <c r="QZC47" s="117"/>
      <c r="QZD47" s="117"/>
      <c r="QZE47" s="117"/>
      <c r="QZF47" s="117"/>
      <c r="QZG47" s="117"/>
      <c r="QZH47" s="117"/>
      <c r="QZI47" s="117"/>
      <c r="QZJ47" s="117"/>
      <c r="QZK47" s="117"/>
      <c r="QZL47" s="117"/>
      <c r="QZM47" s="117"/>
      <c r="QZN47" s="117"/>
      <c r="QZO47" s="117"/>
      <c r="QZP47" s="117"/>
      <c r="QZQ47" s="117"/>
      <c r="QZR47" s="117"/>
      <c r="QZS47" s="117"/>
      <c r="QZT47" s="117"/>
      <c r="QZU47" s="117"/>
      <c r="QZV47" s="117"/>
      <c r="QZW47" s="117"/>
      <c r="QZX47" s="117"/>
      <c r="QZY47" s="117"/>
      <c r="QZZ47" s="117"/>
      <c r="RAA47" s="117"/>
      <c r="RAB47" s="117"/>
      <c r="RAC47" s="117"/>
      <c r="RAD47" s="117"/>
      <c r="RAE47" s="117"/>
      <c r="RAF47" s="117"/>
      <c r="RAG47" s="117"/>
      <c r="RAH47" s="117"/>
      <c r="RAI47" s="117"/>
      <c r="RAJ47" s="117"/>
      <c r="RAK47" s="117"/>
      <c r="RAL47" s="117"/>
      <c r="RAM47" s="117"/>
      <c r="RAN47" s="117"/>
      <c r="RAO47" s="117"/>
      <c r="RAP47" s="117"/>
      <c r="RAQ47" s="117"/>
      <c r="RAR47" s="117"/>
      <c r="RAS47" s="117"/>
      <c r="RAT47" s="117"/>
      <c r="RAU47" s="117"/>
      <c r="RAV47" s="117"/>
      <c r="RAW47" s="117"/>
      <c r="RAX47" s="117"/>
      <c r="RAY47" s="117"/>
      <c r="RAZ47" s="117"/>
      <c r="RBA47" s="117"/>
      <c r="RBB47" s="117"/>
      <c r="RBC47" s="117"/>
      <c r="RBD47" s="117"/>
      <c r="RBE47" s="117"/>
      <c r="RBF47" s="117"/>
      <c r="RBG47" s="117"/>
      <c r="RBH47" s="117"/>
      <c r="RBI47" s="117"/>
      <c r="RBJ47" s="117"/>
      <c r="RBK47" s="117"/>
      <c r="RBL47" s="117"/>
      <c r="RBM47" s="117"/>
      <c r="RBN47" s="117"/>
      <c r="RBO47" s="117"/>
      <c r="RBP47" s="117"/>
      <c r="RBQ47" s="117"/>
      <c r="RBR47" s="117"/>
      <c r="RBS47" s="117"/>
      <c r="RBT47" s="117"/>
      <c r="RBU47" s="117"/>
      <c r="RBV47" s="117"/>
      <c r="RBW47" s="117"/>
      <c r="RBX47" s="117"/>
      <c r="RBY47" s="117"/>
      <c r="RBZ47" s="117"/>
      <c r="RCA47" s="117"/>
      <c r="RCB47" s="117"/>
      <c r="RCC47" s="117"/>
      <c r="RCD47" s="117"/>
      <c r="RCE47" s="117"/>
      <c r="RCF47" s="117"/>
      <c r="RCG47" s="117"/>
      <c r="RCH47" s="117"/>
      <c r="RCI47" s="117"/>
      <c r="RCJ47" s="117"/>
      <c r="RCK47" s="117"/>
      <c r="RCL47" s="117"/>
      <c r="RCM47" s="117"/>
      <c r="RCN47" s="117"/>
      <c r="RCO47" s="117"/>
      <c r="RCP47" s="117"/>
      <c r="RCQ47" s="117"/>
      <c r="RCR47" s="117"/>
      <c r="RCS47" s="117"/>
      <c r="RCT47" s="117"/>
      <c r="RCU47" s="117"/>
      <c r="RCV47" s="117"/>
      <c r="RCW47" s="117"/>
      <c r="RCX47" s="117"/>
      <c r="RCY47" s="117"/>
      <c r="RCZ47" s="117"/>
      <c r="RDA47" s="117"/>
      <c r="RDB47" s="117"/>
      <c r="RDC47" s="117"/>
      <c r="RDD47" s="117"/>
      <c r="RDE47" s="117"/>
      <c r="RDF47" s="117"/>
      <c r="RDG47" s="117"/>
      <c r="RDH47" s="117"/>
      <c r="RDI47" s="117"/>
      <c r="RDJ47" s="117"/>
      <c r="RDK47" s="117"/>
      <c r="RDL47" s="117"/>
      <c r="RDM47" s="117"/>
      <c r="RDN47" s="117"/>
      <c r="RDO47" s="117"/>
      <c r="RDP47" s="117"/>
      <c r="RDQ47" s="117"/>
      <c r="RDR47" s="117"/>
      <c r="RDS47" s="117"/>
      <c r="RDT47" s="117"/>
      <c r="RDU47" s="117"/>
      <c r="RDV47" s="117"/>
      <c r="RDW47" s="117"/>
      <c r="RDX47" s="117"/>
      <c r="RDY47" s="117"/>
      <c r="RDZ47" s="117"/>
      <c r="REA47" s="117"/>
      <c r="REB47" s="117"/>
      <c r="REC47" s="117"/>
      <c r="RED47" s="117"/>
      <c r="REE47" s="117"/>
      <c r="REF47" s="117"/>
      <c r="REG47" s="117"/>
      <c r="REH47" s="117"/>
      <c r="REI47" s="117"/>
      <c r="REJ47" s="117"/>
      <c r="REK47" s="117"/>
      <c r="REL47" s="117"/>
      <c r="REM47" s="117"/>
      <c r="REN47" s="117"/>
      <c r="REO47" s="117"/>
      <c r="REP47" s="117"/>
      <c r="REQ47" s="117"/>
      <c r="RER47" s="117"/>
      <c r="RES47" s="117"/>
      <c r="RET47" s="117"/>
      <c r="REU47" s="117"/>
      <c r="REV47" s="117"/>
      <c r="REW47" s="117"/>
      <c r="REX47" s="117"/>
      <c r="REY47" s="117"/>
      <c r="REZ47" s="117"/>
      <c r="RFA47" s="117"/>
      <c r="RFB47" s="117"/>
      <c r="RFC47" s="117"/>
      <c r="RFD47" s="117"/>
      <c r="RFE47" s="117"/>
      <c r="RFF47" s="117"/>
      <c r="RFG47" s="117"/>
      <c r="RFH47" s="117"/>
      <c r="RFI47" s="117"/>
      <c r="RFJ47" s="117"/>
      <c r="RFK47" s="117"/>
      <c r="RFL47" s="117"/>
      <c r="RFM47" s="117"/>
      <c r="RFN47" s="117"/>
      <c r="RFO47" s="117"/>
      <c r="RFP47" s="117"/>
      <c r="RFQ47" s="117"/>
      <c r="RFR47" s="117"/>
      <c r="RFS47" s="117"/>
      <c r="RFT47" s="117"/>
      <c r="RFU47" s="117"/>
      <c r="RFV47" s="117"/>
      <c r="RFW47" s="117"/>
      <c r="RFX47" s="117"/>
      <c r="RFY47" s="117"/>
      <c r="RFZ47" s="117"/>
      <c r="RGA47" s="117"/>
      <c r="RGB47" s="117"/>
      <c r="RGC47" s="117"/>
      <c r="RGD47" s="117"/>
      <c r="RGE47" s="117"/>
      <c r="RGF47" s="117"/>
      <c r="RGG47" s="117"/>
      <c r="RGH47" s="117"/>
      <c r="RGI47" s="117"/>
      <c r="RGJ47" s="117"/>
      <c r="RGK47" s="117"/>
      <c r="RGL47" s="117"/>
      <c r="RGM47" s="117"/>
      <c r="RGN47" s="117"/>
      <c r="RGO47" s="117"/>
      <c r="RGP47" s="117"/>
      <c r="RGQ47" s="117"/>
      <c r="RGR47" s="117"/>
      <c r="RGS47" s="117"/>
      <c r="RGT47" s="117"/>
      <c r="RGU47" s="117"/>
      <c r="RGV47" s="117"/>
      <c r="RGW47" s="117"/>
      <c r="RGX47" s="117"/>
      <c r="RGY47" s="117"/>
      <c r="RGZ47" s="117"/>
      <c r="RHA47" s="117"/>
      <c r="RHB47" s="117"/>
      <c r="RHC47" s="117"/>
      <c r="RHD47" s="117"/>
      <c r="RHE47" s="117"/>
      <c r="RHF47" s="117"/>
      <c r="RHG47" s="117"/>
      <c r="RHH47" s="117"/>
      <c r="RHI47" s="117"/>
      <c r="RHJ47" s="117"/>
      <c r="RHK47" s="117"/>
      <c r="RHL47" s="117"/>
      <c r="RHM47" s="117"/>
      <c r="RHN47" s="117"/>
      <c r="RHO47" s="117"/>
      <c r="RHP47" s="117"/>
      <c r="RHQ47" s="117"/>
      <c r="RHR47" s="117"/>
      <c r="RHS47" s="117"/>
      <c r="RHT47" s="117"/>
      <c r="RHU47" s="117"/>
      <c r="RHV47" s="117"/>
      <c r="RHW47" s="117"/>
      <c r="RHX47" s="117"/>
      <c r="RHY47" s="117"/>
      <c r="RHZ47" s="117"/>
      <c r="RIA47" s="117"/>
      <c r="RIB47" s="117"/>
      <c r="RIC47" s="117"/>
      <c r="RID47" s="117"/>
      <c r="RIE47" s="117"/>
      <c r="RIF47" s="117"/>
      <c r="RIG47" s="117"/>
      <c r="RIH47" s="117"/>
      <c r="RII47" s="117"/>
      <c r="RIJ47" s="117"/>
      <c r="RIK47" s="117"/>
      <c r="RIL47" s="117"/>
      <c r="RIM47" s="117"/>
      <c r="RIN47" s="117"/>
      <c r="RIO47" s="117"/>
      <c r="RIP47" s="117"/>
      <c r="RIQ47" s="117"/>
      <c r="RIR47" s="117"/>
      <c r="RIS47" s="117"/>
      <c r="RIT47" s="117"/>
      <c r="RIU47" s="117"/>
      <c r="RIV47" s="117"/>
      <c r="RIW47" s="117"/>
      <c r="RIX47" s="117"/>
      <c r="RIY47" s="117"/>
      <c r="RIZ47" s="117"/>
      <c r="RJA47" s="117"/>
      <c r="RJB47" s="117"/>
      <c r="RJC47" s="117"/>
      <c r="RJD47" s="117"/>
      <c r="RJE47" s="117"/>
      <c r="RJF47" s="117"/>
      <c r="RJG47" s="117"/>
      <c r="RJH47" s="117"/>
      <c r="RJI47" s="117"/>
      <c r="RJJ47" s="117"/>
      <c r="RJK47" s="117"/>
      <c r="RJL47" s="117"/>
      <c r="RJM47" s="117"/>
      <c r="RJN47" s="117"/>
      <c r="RJO47" s="117"/>
      <c r="RJP47" s="117"/>
      <c r="RJQ47" s="117"/>
      <c r="RJR47" s="117"/>
      <c r="RJS47" s="117"/>
      <c r="RJT47" s="117"/>
      <c r="RJU47" s="117"/>
      <c r="RJV47" s="117"/>
      <c r="RJW47" s="117"/>
      <c r="RJX47" s="117"/>
      <c r="RJY47" s="117"/>
      <c r="RJZ47" s="117"/>
      <c r="RKA47" s="117"/>
      <c r="RKB47" s="117"/>
      <c r="RKC47" s="117"/>
      <c r="RKD47" s="117"/>
      <c r="RKE47" s="117"/>
      <c r="RKF47" s="117"/>
      <c r="RKG47" s="117"/>
      <c r="RKH47" s="117"/>
      <c r="RKI47" s="117"/>
      <c r="RKJ47" s="117"/>
      <c r="RKK47" s="117"/>
      <c r="RKL47" s="117"/>
      <c r="RKM47" s="117"/>
      <c r="RKN47" s="117"/>
      <c r="RKO47" s="117"/>
      <c r="RKP47" s="117"/>
      <c r="RKQ47" s="117"/>
      <c r="RKR47" s="117"/>
      <c r="RKS47" s="117"/>
      <c r="RKT47" s="117"/>
      <c r="RKU47" s="117"/>
      <c r="RKV47" s="117"/>
      <c r="RKW47" s="117"/>
      <c r="RKX47" s="117"/>
      <c r="RKY47" s="117"/>
      <c r="RKZ47" s="117"/>
      <c r="RLA47" s="117"/>
      <c r="RLB47" s="117"/>
      <c r="RLC47" s="117"/>
      <c r="RLD47" s="117"/>
      <c r="RLE47" s="117"/>
      <c r="RLF47" s="117"/>
      <c r="RLG47" s="117"/>
      <c r="RLH47" s="117"/>
      <c r="RLI47" s="117"/>
      <c r="RLJ47" s="117"/>
      <c r="RLK47" s="117"/>
      <c r="RLL47" s="117"/>
      <c r="RLM47" s="117"/>
      <c r="RLN47" s="117"/>
      <c r="RLO47" s="117"/>
      <c r="RLP47" s="117"/>
      <c r="RLQ47" s="117"/>
      <c r="RLR47" s="117"/>
      <c r="RLS47" s="117"/>
      <c r="RLT47" s="117"/>
      <c r="RLU47" s="117"/>
      <c r="RLV47" s="117"/>
      <c r="RLW47" s="117"/>
      <c r="RLX47" s="117"/>
      <c r="RLY47" s="117"/>
      <c r="RLZ47" s="117"/>
      <c r="RMA47" s="117"/>
      <c r="RMB47" s="117"/>
      <c r="RMC47" s="117"/>
      <c r="RMD47" s="117"/>
      <c r="RME47" s="117"/>
      <c r="RMF47" s="117"/>
      <c r="RMG47" s="117"/>
      <c r="RMH47" s="117"/>
      <c r="RMI47" s="117"/>
      <c r="RMJ47" s="117"/>
      <c r="RMK47" s="117"/>
      <c r="RML47" s="117"/>
      <c r="RMM47" s="117"/>
      <c r="RMN47" s="117"/>
      <c r="RMO47" s="117"/>
      <c r="RMP47" s="117"/>
      <c r="RMQ47" s="117"/>
      <c r="RMR47" s="117"/>
      <c r="RMS47" s="117"/>
      <c r="RMT47" s="117"/>
      <c r="RMU47" s="117"/>
      <c r="RMV47" s="117"/>
      <c r="RMW47" s="117"/>
      <c r="RMX47" s="117"/>
      <c r="RMY47" s="117"/>
      <c r="RMZ47" s="117"/>
      <c r="RNA47" s="117"/>
      <c r="RNB47" s="117"/>
      <c r="RNC47" s="117"/>
      <c r="RND47" s="117"/>
      <c r="RNE47" s="117"/>
      <c r="RNF47" s="117"/>
      <c r="RNG47" s="117"/>
      <c r="RNH47" s="117"/>
      <c r="RNI47" s="117"/>
      <c r="RNJ47" s="117"/>
      <c r="RNK47" s="117"/>
      <c r="RNL47" s="117"/>
      <c r="RNM47" s="117"/>
      <c r="RNN47" s="117"/>
      <c r="RNO47" s="117"/>
      <c r="RNP47" s="117"/>
      <c r="RNQ47" s="117"/>
      <c r="RNR47" s="117"/>
      <c r="RNS47" s="117"/>
      <c r="RNT47" s="117"/>
      <c r="RNU47" s="117"/>
      <c r="RNV47" s="117"/>
      <c r="RNW47" s="117"/>
      <c r="RNX47" s="117"/>
      <c r="RNY47" s="117"/>
      <c r="RNZ47" s="117"/>
      <c r="ROA47" s="117"/>
      <c r="ROB47" s="117"/>
      <c r="ROC47" s="117"/>
      <c r="ROD47" s="117"/>
      <c r="ROE47" s="117"/>
      <c r="ROF47" s="117"/>
      <c r="ROG47" s="117"/>
      <c r="ROH47" s="117"/>
      <c r="ROI47" s="117"/>
      <c r="ROJ47" s="117"/>
      <c r="ROK47" s="117"/>
      <c r="ROL47" s="117"/>
      <c r="ROM47" s="117"/>
      <c r="RON47" s="117"/>
      <c r="ROO47" s="117"/>
      <c r="ROP47" s="117"/>
      <c r="ROQ47" s="117"/>
      <c r="ROR47" s="117"/>
      <c r="ROS47" s="117"/>
      <c r="ROT47" s="117"/>
      <c r="ROU47" s="117"/>
      <c r="ROV47" s="117"/>
      <c r="ROW47" s="117"/>
      <c r="ROX47" s="117"/>
      <c r="ROY47" s="117"/>
      <c r="ROZ47" s="117"/>
      <c r="RPA47" s="117"/>
      <c r="RPB47" s="117"/>
      <c r="RPC47" s="117"/>
      <c r="RPD47" s="117"/>
      <c r="RPE47" s="117"/>
      <c r="RPF47" s="117"/>
      <c r="RPG47" s="117"/>
      <c r="RPH47" s="117"/>
      <c r="RPI47" s="117"/>
      <c r="RPJ47" s="117"/>
      <c r="RPK47" s="117"/>
      <c r="RPL47" s="117"/>
      <c r="RPM47" s="117"/>
      <c r="RPN47" s="117"/>
      <c r="RPO47" s="117"/>
      <c r="RPP47" s="117"/>
      <c r="RPQ47" s="117"/>
      <c r="RPR47" s="117"/>
      <c r="RPS47" s="117"/>
      <c r="RPT47" s="117"/>
      <c r="RPU47" s="117"/>
      <c r="RPV47" s="117"/>
      <c r="RPW47" s="117"/>
      <c r="RPX47" s="117"/>
      <c r="RPY47" s="117"/>
      <c r="RPZ47" s="117"/>
      <c r="RQA47" s="117"/>
      <c r="RQB47" s="117"/>
      <c r="RQC47" s="117"/>
      <c r="RQD47" s="117"/>
      <c r="RQE47" s="117"/>
      <c r="RQF47" s="117"/>
      <c r="RQG47" s="117"/>
      <c r="RQH47" s="117"/>
      <c r="RQI47" s="117"/>
      <c r="RQJ47" s="117"/>
      <c r="RQK47" s="117"/>
      <c r="RQL47" s="117"/>
      <c r="RQM47" s="117"/>
      <c r="RQN47" s="117"/>
      <c r="RQO47" s="117"/>
      <c r="RQP47" s="117"/>
      <c r="RQQ47" s="117"/>
      <c r="RQR47" s="117"/>
      <c r="RQS47" s="117"/>
      <c r="RQT47" s="117"/>
      <c r="RQU47" s="117"/>
      <c r="RQV47" s="117"/>
      <c r="RQW47" s="117"/>
      <c r="RQX47" s="117"/>
      <c r="RQY47" s="117"/>
      <c r="RQZ47" s="117"/>
      <c r="RRA47" s="117"/>
      <c r="RRB47" s="117"/>
      <c r="RRC47" s="117"/>
      <c r="RRD47" s="117"/>
      <c r="RRE47" s="117"/>
      <c r="RRF47" s="117"/>
      <c r="RRG47" s="117"/>
      <c r="RRH47" s="117"/>
      <c r="RRI47" s="117"/>
      <c r="RRJ47" s="117"/>
      <c r="RRK47" s="117"/>
      <c r="RRL47" s="117"/>
      <c r="RRM47" s="117"/>
      <c r="RRN47" s="117"/>
      <c r="RRO47" s="117"/>
      <c r="RRP47" s="117"/>
      <c r="RRQ47" s="117"/>
      <c r="RRR47" s="117"/>
      <c r="RRS47" s="117"/>
      <c r="RRT47" s="117"/>
      <c r="RRU47" s="117"/>
      <c r="RRV47" s="117"/>
      <c r="RRW47" s="117"/>
      <c r="RRX47" s="117"/>
      <c r="RRY47" s="117"/>
      <c r="RRZ47" s="117"/>
      <c r="RSA47" s="117"/>
      <c r="RSB47" s="117"/>
      <c r="RSC47" s="117"/>
      <c r="RSD47" s="117"/>
      <c r="RSE47" s="117"/>
      <c r="RSF47" s="117"/>
      <c r="RSG47" s="117"/>
      <c r="RSH47" s="117"/>
      <c r="RSI47" s="117"/>
      <c r="RSJ47" s="117"/>
      <c r="RSK47" s="117"/>
      <c r="RSL47" s="117"/>
      <c r="RSM47" s="117"/>
      <c r="RSN47" s="117"/>
      <c r="RSO47" s="117"/>
      <c r="RSP47" s="117"/>
      <c r="RSQ47" s="117"/>
      <c r="RSR47" s="117"/>
      <c r="RSS47" s="117"/>
      <c r="RST47" s="117"/>
      <c r="RSU47" s="117"/>
      <c r="RSV47" s="117"/>
      <c r="RSW47" s="117"/>
      <c r="RSX47" s="117"/>
      <c r="RSY47" s="117"/>
      <c r="RSZ47" s="117"/>
      <c r="RTA47" s="117"/>
      <c r="RTB47" s="117"/>
      <c r="RTC47" s="117"/>
      <c r="RTD47" s="117"/>
      <c r="RTE47" s="117"/>
      <c r="RTF47" s="117"/>
      <c r="RTG47" s="117"/>
      <c r="RTH47" s="117"/>
      <c r="RTI47" s="117"/>
      <c r="RTJ47" s="117"/>
      <c r="RTK47" s="117"/>
      <c r="RTL47" s="117"/>
      <c r="RTM47" s="117"/>
      <c r="RTN47" s="117"/>
      <c r="RTO47" s="117"/>
      <c r="RTP47" s="117"/>
      <c r="RTQ47" s="117"/>
      <c r="RTR47" s="117"/>
      <c r="RTS47" s="117"/>
      <c r="RTT47" s="117"/>
      <c r="RTU47" s="117"/>
      <c r="RTV47" s="117"/>
      <c r="RTW47" s="117"/>
      <c r="RTX47" s="117"/>
      <c r="RTY47" s="117"/>
      <c r="RTZ47" s="117"/>
      <c r="RUA47" s="117"/>
      <c r="RUB47" s="117"/>
      <c r="RUC47" s="117"/>
      <c r="RUD47" s="117"/>
      <c r="RUE47" s="117"/>
      <c r="RUF47" s="117"/>
      <c r="RUG47" s="117"/>
      <c r="RUH47" s="117"/>
      <c r="RUI47" s="117"/>
      <c r="RUJ47" s="117"/>
      <c r="RUK47" s="117"/>
      <c r="RUL47" s="117"/>
      <c r="RUM47" s="117"/>
      <c r="RUN47" s="117"/>
      <c r="RUO47" s="117"/>
      <c r="RUP47" s="117"/>
      <c r="RUQ47" s="117"/>
      <c r="RUR47" s="117"/>
      <c r="RUS47" s="117"/>
      <c r="RUT47" s="117"/>
      <c r="RUU47" s="117"/>
      <c r="RUV47" s="117"/>
      <c r="RUW47" s="117"/>
      <c r="RUX47" s="117"/>
      <c r="RUY47" s="117"/>
      <c r="RUZ47" s="117"/>
      <c r="RVA47" s="117"/>
      <c r="RVB47" s="117"/>
      <c r="RVC47" s="117"/>
      <c r="RVD47" s="117"/>
      <c r="RVE47" s="117"/>
      <c r="RVF47" s="117"/>
      <c r="RVG47" s="117"/>
      <c r="RVH47" s="117"/>
      <c r="RVI47" s="117"/>
      <c r="RVJ47" s="117"/>
      <c r="RVK47" s="117"/>
      <c r="RVL47" s="117"/>
      <c r="RVM47" s="117"/>
      <c r="RVN47" s="117"/>
      <c r="RVO47" s="117"/>
      <c r="RVP47" s="117"/>
      <c r="RVQ47" s="117"/>
      <c r="RVR47" s="117"/>
      <c r="RVS47" s="117"/>
      <c r="RVT47" s="117"/>
      <c r="RVU47" s="117"/>
      <c r="RVV47" s="117"/>
      <c r="RVW47" s="117"/>
      <c r="RVX47" s="117"/>
      <c r="RVY47" s="117"/>
      <c r="RVZ47" s="117"/>
      <c r="RWA47" s="117"/>
      <c r="RWB47" s="117"/>
      <c r="RWC47" s="117"/>
      <c r="RWD47" s="117"/>
      <c r="RWE47" s="117"/>
      <c r="RWF47" s="117"/>
      <c r="RWG47" s="117"/>
      <c r="RWH47" s="117"/>
      <c r="RWI47" s="117"/>
      <c r="RWJ47" s="117"/>
      <c r="RWK47" s="117"/>
      <c r="RWL47" s="117"/>
      <c r="RWM47" s="117"/>
      <c r="RWN47" s="117"/>
      <c r="RWO47" s="117"/>
      <c r="RWP47" s="117"/>
      <c r="RWQ47" s="117"/>
      <c r="RWR47" s="117"/>
      <c r="RWS47" s="117"/>
      <c r="RWT47" s="117"/>
      <c r="RWU47" s="117"/>
      <c r="RWV47" s="117"/>
      <c r="RWW47" s="117"/>
      <c r="RWX47" s="117"/>
      <c r="RWY47" s="117"/>
      <c r="RWZ47" s="117"/>
      <c r="RXA47" s="117"/>
      <c r="RXB47" s="117"/>
      <c r="RXC47" s="117"/>
      <c r="RXD47" s="117"/>
      <c r="RXE47" s="117"/>
      <c r="RXF47" s="117"/>
      <c r="RXG47" s="117"/>
      <c r="RXH47" s="117"/>
      <c r="RXI47" s="117"/>
      <c r="RXJ47" s="117"/>
      <c r="RXK47" s="117"/>
      <c r="RXL47" s="117"/>
      <c r="RXM47" s="117"/>
      <c r="RXN47" s="117"/>
      <c r="RXO47" s="117"/>
      <c r="RXP47" s="117"/>
      <c r="RXQ47" s="117"/>
      <c r="RXR47" s="117"/>
      <c r="RXS47" s="117"/>
      <c r="RXT47" s="117"/>
      <c r="RXU47" s="117"/>
      <c r="RXV47" s="117"/>
      <c r="RXW47" s="117"/>
      <c r="RXX47" s="117"/>
      <c r="RXY47" s="117"/>
      <c r="RXZ47" s="117"/>
      <c r="RYA47" s="117"/>
      <c r="RYB47" s="117"/>
      <c r="RYC47" s="117"/>
      <c r="RYD47" s="117"/>
      <c r="RYE47" s="117"/>
      <c r="RYF47" s="117"/>
      <c r="RYG47" s="117"/>
      <c r="RYH47" s="117"/>
      <c r="RYI47" s="117"/>
      <c r="RYJ47" s="117"/>
      <c r="RYK47" s="117"/>
      <c r="RYL47" s="117"/>
      <c r="RYM47" s="117"/>
      <c r="RYN47" s="117"/>
      <c r="RYO47" s="117"/>
      <c r="RYP47" s="117"/>
      <c r="RYQ47" s="117"/>
      <c r="RYR47" s="117"/>
      <c r="RYS47" s="117"/>
      <c r="RYT47" s="117"/>
      <c r="RYU47" s="117"/>
      <c r="RYV47" s="117"/>
      <c r="RYW47" s="117"/>
      <c r="RYX47" s="117"/>
      <c r="RYY47" s="117"/>
      <c r="RYZ47" s="117"/>
      <c r="RZA47" s="117"/>
      <c r="RZB47" s="117"/>
      <c r="RZC47" s="117"/>
      <c r="RZD47" s="117"/>
      <c r="RZE47" s="117"/>
      <c r="RZF47" s="117"/>
      <c r="RZG47" s="117"/>
      <c r="RZH47" s="117"/>
      <c r="RZI47" s="117"/>
      <c r="RZJ47" s="117"/>
      <c r="RZK47" s="117"/>
      <c r="RZL47" s="117"/>
      <c r="RZM47" s="117"/>
      <c r="RZN47" s="117"/>
      <c r="RZO47" s="117"/>
      <c r="RZP47" s="117"/>
      <c r="RZQ47" s="117"/>
      <c r="RZR47" s="117"/>
      <c r="RZS47" s="117"/>
      <c r="RZT47" s="117"/>
      <c r="RZU47" s="117"/>
      <c r="RZV47" s="117"/>
      <c r="RZW47" s="117"/>
      <c r="RZX47" s="117"/>
      <c r="RZY47" s="117"/>
      <c r="RZZ47" s="117"/>
      <c r="SAA47" s="117"/>
      <c r="SAB47" s="117"/>
      <c r="SAC47" s="117"/>
      <c r="SAD47" s="117"/>
      <c r="SAE47" s="117"/>
      <c r="SAF47" s="117"/>
      <c r="SAG47" s="117"/>
      <c r="SAH47" s="117"/>
      <c r="SAI47" s="117"/>
      <c r="SAJ47" s="117"/>
      <c r="SAK47" s="117"/>
      <c r="SAL47" s="117"/>
      <c r="SAM47" s="117"/>
      <c r="SAN47" s="117"/>
      <c r="SAO47" s="117"/>
      <c r="SAP47" s="117"/>
      <c r="SAQ47" s="117"/>
      <c r="SAR47" s="117"/>
      <c r="SAS47" s="117"/>
      <c r="SAT47" s="117"/>
      <c r="SAU47" s="117"/>
      <c r="SAV47" s="117"/>
      <c r="SAW47" s="117"/>
      <c r="SAX47" s="117"/>
      <c r="SAY47" s="117"/>
      <c r="SAZ47" s="117"/>
      <c r="SBA47" s="117"/>
      <c r="SBB47" s="117"/>
      <c r="SBC47" s="117"/>
      <c r="SBD47" s="117"/>
      <c r="SBE47" s="117"/>
      <c r="SBF47" s="117"/>
      <c r="SBG47" s="117"/>
      <c r="SBH47" s="117"/>
      <c r="SBI47" s="117"/>
      <c r="SBJ47" s="117"/>
      <c r="SBK47" s="117"/>
      <c r="SBL47" s="117"/>
      <c r="SBM47" s="117"/>
      <c r="SBN47" s="117"/>
      <c r="SBO47" s="117"/>
      <c r="SBP47" s="117"/>
      <c r="SBQ47" s="117"/>
      <c r="SBR47" s="117"/>
      <c r="SBS47" s="117"/>
      <c r="SBT47" s="117"/>
      <c r="SBU47" s="117"/>
      <c r="SBV47" s="117"/>
      <c r="SBW47" s="117"/>
      <c r="SBX47" s="117"/>
      <c r="SBY47" s="117"/>
      <c r="SBZ47" s="117"/>
      <c r="SCA47" s="117"/>
      <c r="SCB47" s="117"/>
      <c r="SCC47" s="117"/>
      <c r="SCD47" s="117"/>
      <c r="SCE47" s="117"/>
      <c r="SCF47" s="117"/>
      <c r="SCG47" s="117"/>
      <c r="SCH47" s="117"/>
      <c r="SCI47" s="117"/>
      <c r="SCJ47" s="117"/>
      <c r="SCK47" s="117"/>
      <c r="SCL47" s="117"/>
      <c r="SCM47" s="117"/>
      <c r="SCN47" s="117"/>
      <c r="SCO47" s="117"/>
      <c r="SCP47" s="117"/>
      <c r="SCQ47" s="117"/>
      <c r="SCR47" s="117"/>
      <c r="SCS47" s="117"/>
      <c r="SCT47" s="117"/>
      <c r="SCU47" s="117"/>
      <c r="SCV47" s="117"/>
      <c r="SCW47" s="117"/>
      <c r="SCX47" s="117"/>
      <c r="SCY47" s="117"/>
      <c r="SCZ47" s="117"/>
      <c r="SDA47" s="117"/>
      <c r="SDB47" s="117"/>
      <c r="SDC47" s="117"/>
      <c r="SDD47" s="117"/>
      <c r="SDE47" s="117"/>
      <c r="SDF47" s="117"/>
      <c r="SDG47" s="117"/>
      <c r="SDH47" s="117"/>
      <c r="SDI47" s="117"/>
      <c r="SDJ47" s="117"/>
      <c r="SDK47" s="117"/>
      <c r="SDL47" s="117"/>
      <c r="SDM47" s="117"/>
      <c r="SDN47" s="117"/>
      <c r="SDO47" s="117"/>
      <c r="SDP47" s="117"/>
      <c r="SDQ47" s="117"/>
      <c r="SDR47" s="117"/>
      <c r="SDS47" s="117"/>
      <c r="SDT47" s="117"/>
      <c r="SDU47" s="117"/>
      <c r="SDV47" s="117"/>
      <c r="SDW47" s="117"/>
      <c r="SDX47" s="117"/>
      <c r="SDY47" s="117"/>
      <c r="SDZ47" s="117"/>
      <c r="SEA47" s="117"/>
      <c r="SEB47" s="117"/>
      <c r="SEC47" s="117"/>
      <c r="SED47" s="117"/>
      <c r="SEE47" s="117"/>
      <c r="SEF47" s="117"/>
      <c r="SEG47" s="117"/>
      <c r="SEH47" s="117"/>
      <c r="SEI47" s="117"/>
      <c r="SEJ47" s="117"/>
      <c r="SEK47" s="117"/>
      <c r="SEL47" s="117"/>
      <c r="SEM47" s="117"/>
      <c r="SEN47" s="117"/>
      <c r="SEO47" s="117"/>
      <c r="SEP47" s="117"/>
      <c r="SEQ47" s="117"/>
      <c r="SER47" s="117"/>
      <c r="SES47" s="117"/>
      <c r="SET47" s="117"/>
      <c r="SEU47" s="117"/>
      <c r="SEV47" s="117"/>
      <c r="SEW47" s="117"/>
      <c r="SEX47" s="117"/>
      <c r="SEY47" s="117"/>
      <c r="SEZ47" s="117"/>
      <c r="SFA47" s="117"/>
      <c r="SFB47" s="117"/>
      <c r="SFC47" s="117"/>
      <c r="SFD47" s="117"/>
      <c r="SFE47" s="117"/>
      <c r="SFF47" s="117"/>
      <c r="SFG47" s="117"/>
      <c r="SFH47" s="117"/>
      <c r="SFI47" s="117"/>
      <c r="SFJ47" s="117"/>
      <c r="SFK47" s="117"/>
      <c r="SFL47" s="117"/>
      <c r="SFM47" s="117"/>
      <c r="SFN47" s="117"/>
      <c r="SFO47" s="117"/>
      <c r="SFP47" s="117"/>
      <c r="SFQ47" s="117"/>
      <c r="SFR47" s="117"/>
      <c r="SFS47" s="117"/>
      <c r="SFT47" s="117"/>
      <c r="SFU47" s="117"/>
      <c r="SFV47" s="117"/>
      <c r="SFW47" s="117"/>
      <c r="SFX47" s="117"/>
      <c r="SFY47" s="117"/>
      <c r="SFZ47" s="117"/>
      <c r="SGA47" s="117"/>
      <c r="SGB47" s="117"/>
      <c r="SGC47" s="117"/>
      <c r="SGD47" s="117"/>
      <c r="SGE47" s="117"/>
      <c r="SGF47" s="117"/>
      <c r="SGG47" s="117"/>
      <c r="SGH47" s="117"/>
      <c r="SGI47" s="117"/>
      <c r="SGJ47" s="117"/>
      <c r="SGK47" s="117"/>
      <c r="SGL47" s="117"/>
      <c r="SGM47" s="117"/>
      <c r="SGN47" s="117"/>
      <c r="SGO47" s="117"/>
      <c r="SGP47" s="117"/>
      <c r="SGQ47" s="117"/>
      <c r="SGR47" s="117"/>
      <c r="SGS47" s="117"/>
      <c r="SGT47" s="117"/>
      <c r="SGU47" s="117"/>
      <c r="SGV47" s="117"/>
      <c r="SGW47" s="117"/>
      <c r="SGX47" s="117"/>
      <c r="SGY47" s="117"/>
      <c r="SGZ47" s="117"/>
      <c r="SHA47" s="117"/>
      <c r="SHB47" s="117"/>
      <c r="SHC47" s="117"/>
      <c r="SHD47" s="117"/>
      <c r="SHE47" s="117"/>
      <c r="SHF47" s="117"/>
      <c r="SHG47" s="117"/>
      <c r="SHH47" s="117"/>
      <c r="SHI47" s="117"/>
      <c r="SHJ47" s="117"/>
      <c r="SHK47" s="117"/>
      <c r="SHL47" s="117"/>
      <c r="SHM47" s="117"/>
      <c r="SHN47" s="117"/>
      <c r="SHO47" s="117"/>
      <c r="SHP47" s="117"/>
      <c r="SHQ47" s="117"/>
      <c r="SHR47" s="117"/>
      <c r="SHS47" s="117"/>
      <c r="SHT47" s="117"/>
      <c r="SHU47" s="117"/>
      <c r="SHV47" s="117"/>
      <c r="SHW47" s="117"/>
      <c r="SHX47" s="117"/>
      <c r="SHY47" s="117"/>
      <c r="SHZ47" s="117"/>
      <c r="SIA47" s="117"/>
      <c r="SIB47" s="117"/>
      <c r="SIC47" s="117"/>
      <c r="SID47" s="117"/>
      <c r="SIE47" s="117"/>
      <c r="SIF47" s="117"/>
      <c r="SIG47" s="117"/>
      <c r="SIH47" s="117"/>
      <c r="SII47" s="117"/>
      <c r="SIJ47" s="117"/>
      <c r="SIK47" s="117"/>
      <c r="SIL47" s="117"/>
      <c r="SIM47" s="117"/>
      <c r="SIN47" s="117"/>
      <c r="SIO47" s="117"/>
      <c r="SIP47" s="117"/>
      <c r="SIQ47" s="117"/>
      <c r="SIR47" s="117"/>
      <c r="SIS47" s="117"/>
      <c r="SIT47" s="117"/>
      <c r="SIU47" s="117"/>
      <c r="SIV47" s="117"/>
      <c r="SIW47" s="117"/>
      <c r="SIX47" s="117"/>
      <c r="SIY47" s="117"/>
      <c r="SIZ47" s="117"/>
      <c r="SJA47" s="117"/>
      <c r="SJB47" s="117"/>
      <c r="SJC47" s="117"/>
      <c r="SJD47" s="117"/>
      <c r="SJE47" s="117"/>
      <c r="SJF47" s="117"/>
      <c r="SJG47" s="117"/>
      <c r="SJH47" s="117"/>
      <c r="SJI47" s="117"/>
      <c r="SJJ47" s="117"/>
      <c r="SJK47" s="117"/>
      <c r="SJL47" s="117"/>
      <c r="SJM47" s="117"/>
      <c r="SJN47" s="117"/>
      <c r="SJO47" s="117"/>
      <c r="SJP47" s="117"/>
      <c r="SJQ47" s="117"/>
      <c r="SJR47" s="117"/>
      <c r="SJS47" s="117"/>
      <c r="SJT47" s="117"/>
      <c r="SJU47" s="117"/>
      <c r="SJV47" s="117"/>
      <c r="SJW47" s="117"/>
      <c r="SJX47" s="117"/>
      <c r="SJY47" s="117"/>
      <c r="SJZ47" s="117"/>
      <c r="SKA47" s="117"/>
      <c r="SKB47" s="117"/>
      <c r="SKC47" s="117"/>
      <c r="SKD47" s="117"/>
      <c r="SKE47" s="117"/>
      <c r="SKF47" s="117"/>
      <c r="SKG47" s="117"/>
      <c r="SKH47" s="117"/>
      <c r="SKI47" s="117"/>
      <c r="SKJ47" s="117"/>
      <c r="SKK47" s="117"/>
      <c r="SKL47" s="117"/>
      <c r="SKM47" s="117"/>
      <c r="SKN47" s="117"/>
      <c r="SKO47" s="117"/>
      <c r="SKP47" s="117"/>
      <c r="SKQ47" s="117"/>
      <c r="SKR47" s="117"/>
      <c r="SKS47" s="117"/>
      <c r="SKT47" s="117"/>
      <c r="SKU47" s="117"/>
      <c r="SKV47" s="117"/>
      <c r="SKW47" s="117"/>
      <c r="SKX47" s="117"/>
      <c r="SKY47" s="117"/>
      <c r="SKZ47" s="117"/>
      <c r="SLA47" s="117"/>
      <c r="SLB47" s="117"/>
      <c r="SLC47" s="117"/>
      <c r="SLD47" s="117"/>
      <c r="SLE47" s="117"/>
      <c r="SLF47" s="117"/>
      <c r="SLG47" s="117"/>
      <c r="SLH47" s="117"/>
      <c r="SLI47" s="117"/>
      <c r="SLJ47" s="117"/>
      <c r="SLK47" s="117"/>
      <c r="SLL47" s="117"/>
      <c r="SLM47" s="117"/>
      <c r="SLN47" s="117"/>
      <c r="SLO47" s="117"/>
      <c r="SLP47" s="117"/>
      <c r="SLQ47" s="117"/>
      <c r="SLR47" s="117"/>
      <c r="SLS47" s="117"/>
      <c r="SLT47" s="117"/>
      <c r="SLU47" s="117"/>
      <c r="SLV47" s="117"/>
      <c r="SLW47" s="117"/>
      <c r="SLX47" s="117"/>
      <c r="SLY47" s="117"/>
      <c r="SLZ47" s="117"/>
      <c r="SMA47" s="117"/>
      <c r="SMB47" s="117"/>
      <c r="SMC47" s="117"/>
      <c r="SMD47" s="117"/>
      <c r="SME47" s="117"/>
      <c r="SMF47" s="117"/>
      <c r="SMG47" s="117"/>
      <c r="SMH47" s="117"/>
      <c r="SMI47" s="117"/>
      <c r="SMJ47" s="117"/>
      <c r="SMK47" s="117"/>
      <c r="SML47" s="117"/>
      <c r="SMM47" s="117"/>
      <c r="SMN47" s="117"/>
      <c r="SMO47" s="117"/>
      <c r="SMP47" s="117"/>
      <c r="SMQ47" s="117"/>
      <c r="SMR47" s="117"/>
      <c r="SMS47" s="117"/>
      <c r="SMT47" s="117"/>
      <c r="SMU47" s="117"/>
      <c r="SMV47" s="117"/>
      <c r="SMW47" s="117"/>
      <c r="SMX47" s="117"/>
      <c r="SMY47" s="117"/>
      <c r="SMZ47" s="117"/>
      <c r="SNA47" s="117"/>
      <c r="SNB47" s="117"/>
      <c r="SNC47" s="117"/>
      <c r="SND47" s="117"/>
      <c r="SNE47" s="117"/>
      <c r="SNF47" s="117"/>
      <c r="SNG47" s="117"/>
      <c r="SNH47" s="117"/>
      <c r="SNI47" s="117"/>
      <c r="SNJ47" s="117"/>
      <c r="SNK47" s="117"/>
      <c r="SNL47" s="117"/>
      <c r="SNM47" s="117"/>
      <c r="SNN47" s="117"/>
      <c r="SNO47" s="117"/>
      <c r="SNP47" s="117"/>
      <c r="SNQ47" s="117"/>
      <c r="SNR47" s="117"/>
      <c r="SNS47" s="117"/>
      <c r="SNT47" s="117"/>
      <c r="SNU47" s="117"/>
      <c r="SNV47" s="117"/>
      <c r="SNW47" s="117"/>
      <c r="SNX47" s="117"/>
      <c r="SNY47" s="117"/>
      <c r="SNZ47" s="117"/>
      <c r="SOA47" s="117"/>
      <c r="SOB47" s="117"/>
      <c r="SOC47" s="117"/>
      <c r="SOD47" s="117"/>
      <c r="SOE47" s="117"/>
      <c r="SOF47" s="117"/>
      <c r="SOG47" s="117"/>
      <c r="SOH47" s="117"/>
      <c r="SOI47" s="117"/>
      <c r="SOJ47" s="117"/>
      <c r="SOK47" s="117"/>
      <c r="SOL47" s="117"/>
      <c r="SOM47" s="117"/>
      <c r="SON47" s="117"/>
      <c r="SOO47" s="117"/>
      <c r="SOP47" s="117"/>
      <c r="SOQ47" s="117"/>
      <c r="SOR47" s="117"/>
      <c r="SOS47" s="117"/>
      <c r="SOT47" s="117"/>
      <c r="SOU47" s="117"/>
      <c r="SOV47" s="117"/>
      <c r="SOW47" s="117"/>
      <c r="SOX47" s="117"/>
      <c r="SOY47" s="117"/>
      <c r="SOZ47" s="117"/>
      <c r="SPA47" s="117"/>
      <c r="SPB47" s="117"/>
      <c r="SPC47" s="117"/>
      <c r="SPD47" s="117"/>
      <c r="SPE47" s="117"/>
      <c r="SPF47" s="117"/>
      <c r="SPG47" s="117"/>
      <c r="SPH47" s="117"/>
      <c r="SPI47" s="117"/>
      <c r="SPJ47" s="117"/>
      <c r="SPK47" s="117"/>
      <c r="SPL47" s="117"/>
      <c r="SPM47" s="117"/>
      <c r="SPN47" s="117"/>
      <c r="SPO47" s="117"/>
      <c r="SPP47" s="117"/>
      <c r="SPQ47" s="117"/>
      <c r="SPR47" s="117"/>
      <c r="SPS47" s="117"/>
      <c r="SPT47" s="117"/>
      <c r="SPU47" s="117"/>
      <c r="SPV47" s="117"/>
      <c r="SPW47" s="117"/>
      <c r="SPX47" s="117"/>
      <c r="SPY47" s="117"/>
      <c r="SPZ47" s="117"/>
      <c r="SQA47" s="117"/>
      <c r="SQB47" s="117"/>
      <c r="SQC47" s="117"/>
      <c r="SQD47" s="117"/>
      <c r="SQE47" s="117"/>
      <c r="SQF47" s="117"/>
      <c r="SQG47" s="117"/>
      <c r="SQH47" s="117"/>
      <c r="SQI47" s="117"/>
      <c r="SQJ47" s="117"/>
      <c r="SQK47" s="117"/>
      <c r="SQL47" s="117"/>
      <c r="SQM47" s="117"/>
      <c r="SQN47" s="117"/>
      <c r="SQO47" s="117"/>
      <c r="SQP47" s="117"/>
      <c r="SQQ47" s="117"/>
      <c r="SQR47" s="117"/>
      <c r="SQS47" s="117"/>
      <c r="SQT47" s="117"/>
      <c r="SQU47" s="117"/>
      <c r="SQV47" s="117"/>
      <c r="SQW47" s="117"/>
      <c r="SQX47" s="117"/>
      <c r="SQY47" s="117"/>
      <c r="SQZ47" s="117"/>
      <c r="SRA47" s="117"/>
      <c r="SRB47" s="117"/>
      <c r="SRC47" s="117"/>
      <c r="SRD47" s="117"/>
      <c r="SRE47" s="117"/>
      <c r="SRF47" s="117"/>
      <c r="SRG47" s="117"/>
      <c r="SRH47" s="117"/>
      <c r="SRI47" s="117"/>
      <c r="SRJ47" s="117"/>
      <c r="SRK47" s="117"/>
      <c r="SRL47" s="117"/>
      <c r="SRM47" s="117"/>
      <c r="SRN47" s="117"/>
      <c r="SRO47" s="117"/>
      <c r="SRP47" s="117"/>
      <c r="SRQ47" s="117"/>
      <c r="SRR47" s="117"/>
      <c r="SRS47" s="117"/>
      <c r="SRT47" s="117"/>
      <c r="SRU47" s="117"/>
      <c r="SRV47" s="117"/>
      <c r="SRW47" s="117"/>
      <c r="SRX47" s="117"/>
      <c r="SRY47" s="117"/>
      <c r="SRZ47" s="117"/>
      <c r="SSA47" s="117"/>
      <c r="SSB47" s="117"/>
      <c r="SSC47" s="117"/>
      <c r="SSD47" s="117"/>
      <c r="SSE47" s="117"/>
      <c r="SSF47" s="117"/>
      <c r="SSG47" s="117"/>
      <c r="SSH47" s="117"/>
      <c r="SSI47" s="117"/>
      <c r="SSJ47" s="117"/>
      <c r="SSK47" s="117"/>
      <c r="SSL47" s="117"/>
      <c r="SSM47" s="117"/>
      <c r="SSN47" s="117"/>
      <c r="SSO47" s="117"/>
      <c r="SSP47" s="117"/>
      <c r="SSQ47" s="117"/>
      <c r="SSR47" s="117"/>
      <c r="SSS47" s="117"/>
      <c r="SST47" s="117"/>
      <c r="SSU47" s="117"/>
      <c r="SSV47" s="117"/>
      <c r="SSW47" s="117"/>
      <c r="SSX47" s="117"/>
      <c r="SSY47" s="117"/>
      <c r="SSZ47" s="117"/>
      <c r="STA47" s="117"/>
      <c r="STB47" s="117"/>
      <c r="STC47" s="117"/>
      <c r="STD47" s="117"/>
      <c r="STE47" s="117"/>
      <c r="STF47" s="117"/>
      <c r="STG47" s="117"/>
      <c r="STH47" s="117"/>
      <c r="STI47" s="117"/>
      <c r="STJ47" s="117"/>
      <c r="STK47" s="117"/>
      <c r="STL47" s="117"/>
      <c r="STM47" s="117"/>
      <c r="STN47" s="117"/>
      <c r="STO47" s="117"/>
      <c r="STP47" s="117"/>
      <c r="STQ47" s="117"/>
      <c r="STR47" s="117"/>
      <c r="STS47" s="117"/>
      <c r="STT47" s="117"/>
      <c r="STU47" s="117"/>
      <c r="STV47" s="117"/>
      <c r="STW47" s="117"/>
      <c r="STX47" s="117"/>
      <c r="STY47" s="117"/>
      <c r="STZ47" s="117"/>
      <c r="SUA47" s="117"/>
      <c r="SUB47" s="117"/>
      <c r="SUC47" s="117"/>
      <c r="SUD47" s="117"/>
      <c r="SUE47" s="117"/>
      <c r="SUF47" s="117"/>
      <c r="SUG47" s="117"/>
      <c r="SUH47" s="117"/>
      <c r="SUI47" s="117"/>
      <c r="SUJ47" s="117"/>
      <c r="SUK47" s="117"/>
      <c r="SUL47" s="117"/>
      <c r="SUM47" s="117"/>
      <c r="SUN47" s="117"/>
      <c r="SUO47" s="117"/>
      <c r="SUP47" s="117"/>
      <c r="SUQ47" s="117"/>
      <c r="SUR47" s="117"/>
      <c r="SUS47" s="117"/>
      <c r="SUT47" s="117"/>
      <c r="SUU47" s="117"/>
      <c r="SUV47" s="117"/>
      <c r="SUW47" s="117"/>
      <c r="SUX47" s="117"/>
      <c r="SUY47" s="117"/>
      <c r="SUZ47" s="117"/>
      <c r="SVA47" s="117"/>
      <c r="SVB47" s="117"/>
      <c r="SVC47" s="117"/>
      <c r="SVD47" s="117"/>
      <c r="SVE47" s="117"/>
      <c r="SVF47" s="117"/>
      <c r="SVG47" s="117"/>
      <c r="SVH47" s="117"/>
      <c r="SVI47" s="117"/>
      <c r="SVJ47" s="117"/>
      <c r="SVK47" s="117"/>
      <c r="SVL47" s="117"/>
      <c r="SVM47" s="117"/>
      <c r="SVN47" s="117"/>
      <c r="SVO47" s="117"/>
      <c r="SVP47" s="117"/>
      <c r="SVQ47" s="117"/>
      <c r="SVR47" s="117"/>
      <c r="SVS47" s="117"/>
      <c r="SVT47" s="117"/>
      <c r="SVU47" s="117"/>
      <c r="SVV47" s="117"/>
      <c r="SVW47" s="117"/>
      <c r="SVX47" s="117"/>
      <c r="SVY47" s="117"/>
      <c r="SVZ47" s="117"/>
      <c r="SWA47" s="117"/>
      <c r="SWB47" s="117"/>
      <c r="SWC47" s="117"/>
      <c r="SWD47" s="117"/>
      <c r="SWE47" s="117"/>
      <c r="SWF47" s="117"/>
      <c r="SWG47" s="117"/>
      <c r="SWH47" s="117"/>
      <c r="SWI47" s="117"/>
      <c r="SWJ47" s="117"/>
      <c r="SWK47" s="117"/>
      <c r="SWL47" s="117"/>
      <c r="SWM47" s="117"/>
      <c r="SWN47" s="117"/>
      <c r="SWO47" s="117"/>
      <c r="SWP47" s="117"/>
      <c r="SWQ47" s="117"/>
      <c r="SWR47" s="117"/>
      <c r="SWS47" s="117"/>
      <c r="SWT47" s="117"/>
      <c r="SWU47" s="117"/>
      <c r="SWV47" s="117"/>
      <c r="SWW47" s="117"/>
      <c r="SWX47" s="117"/>
      <c r="SWY47" s="117"/>
      <c r="SWZ47" s="117"/>
      <c r="SXA47" s="117"/>
      <c r="SXB47" s="117"/>
      <c r="SXC47" s="117"/>
      <c r="SXD47" s="117"/>
      <c r="SXE47" s="117"/>
      <c r="SXF47" s="117"/>
      <c r="SXG47" s="117"/>
      <c r="SXH47" s="117"/>
      <c r="SXI47" s="117"/>
      <c r="SXJ47" s="117"/>
      <c r="SXK47" s="117"/>
      <c r="SXL47" s="117"/>
      <c r="SXM47" s="117"/>
      <c r="SXN47" s="117"/>
      <c r="SXO47" s="117"/>
      <c r="SXP47" s="117"/>
      <c r="SXQ47" s="117"/>
      <c r="SXR47" s="117"/>
      <c r="SXS47" s="117"/>
      <c r="SXT47" s="117"/>
      <c r="SXU47" s="117"/>
      <c r="SXV47" s="117"/>
      <c r="SXW47" s="117"/>
      <c r="SXX47" s="117"/>
      <c r="SXY47" s="117"/>
      <c r="SXZ47" s="117"/>
      <c r="SYA47" s="117"/>
      <c r="SYB47" s="117"/>
      <c r="SYC47" s="117"/>
      <c r="SYD47" s="117"/>
      <c r="SYE47" s="117"/>
      <c r="SYF47" s="117"/>
      <c r="SYG47" s="117"/>
      <c r="SYH47" s="117"/>
      <c r="SYI47" s="117"/>
      <c r="SYJ47" s="117"/>
      <c r="SYK47" s="117"/>
      <c r="SYL47" s="117"/>
      <c r="SYM47" s="117"/>
      <c r="SYN47" s="117"/>
      <c r="SYO47" s="117"/>
      <c r="SYP47" s="117"/>
      <c r="SYQ47" s="117"/>
      <c r="SYR47" s="117"/>
      <c r="SYS47" s="117"/>
      <c r="SYT47" s="117"/>
      <c r="SYU47" s="117"/>
      <c r="SYV47" s="117"/>
      <c r="SYW47" s="117"/>
      <c r="SYX47" s="117"/>
      <c r="SYY47" s="117"/>
      <c r="SYZ47" s="117"/>
      <c r="SZA47" s="117"/>
      <c r="SZB47" s="117"/>
      <c r="SZC47" s="117"/>
      <c r="SZD47" s="117"/>
      <c r="SZE47" s="117"/>
      <c r="SZF47" s="117"/>
      <c r="SZG47" s="117"/>
      <c r="SZH47" s="117"/>
      <c r="SZI47" s="117"/>
      <c r="SZJ47" s="117"/>
      <c r="SZK47" s="117"/>
      <c r="SZL47" s="117"/>
      <c r="SZM47" s="117"/>
      <c r="SZN47" s="117"/>
      <c r="SZO47" s="117"/>
      <c r="SZP47" s="117"/>
      <c r="SZQ47" s="117"/>
      <c r="SZR47" s="117"/>
      <c r="SZS47" s="117"/>
      <c r="SZT47" s="117"/>
      <c r="SZU47" s="117"/>
      <c r="SZV47" s="117"/>
      <c r="SZW47" s="117"/>
      <c r="SZX47" s="117"/>
      <c r="SZY47" s="117"/>
      <c r="SZZ47" s="117"/>
      <c r="TAA47" s="117"/>
      <c r="TAB47" s="117"/>
      <c r="TAC47" s="117"/>
      <c r="TAD47" s="117"/>
      <c r="TAE47" s="117"/>
      <c r="TAF47" s="117"/>
      <c r="TAG47" s="117"/>
      <c r="TAH47" s="117"/>
      <c r="TAI47" s="117"/>
      <c r="TAJ47" s="117"/>
      <c r="TAK47" s="117"/>
      <c r="TAL47" s="117"/>
      <c r="TAM47" s="117"/>
      <c r="TAN47" s="117"/>
      <c r="TAO47" s="117"/>
      <c r="TAP47" s="117"/>
      <c r="TAQ47" s="117"/>
      <c r="TAR47" s="117"/>
      <c r="TAS47" s="117"/>
      <c r="TAT47" s="117"/>
      <c r="TAU47" s="117"/>
      <c r="TAV47" s="117"/>
      <c r="TAW47" s="117"/>
      <c r="TAX47" s="117"/>
      <c r="TAY47" s="117"/>
      <c r="TAZ47" s="117"/>
      <c r="TBA47" s="117"/>
      <c r="TBB47" s="117"/>
      <c r="TBC47" s="117"/>
      <c r="TBD47" s="117"/>
      <c r="TBE47" s="117"/>
      <c r="TBF47" s="117"/>
      <c r="TBG47" s="117"/>
      <c r="TBH47" s="117"/>
      <c r="TBI47" s="117"/>
      <c r="TBJ47" s="117"/>
      <c r="TBK47" s="117"/>
      <c r="TBL47" s="117"/>
      <c r="TBM47" s="117"/>
      <c r="TBN47" s="117"/>
      <c r="TBO47" s="117"/>
      <c r="TBP47" s="117"/>
      <c r="TBQ47" s="117"/>
      <c r="TBR47" s="117"/>
      <c r="TBS47" s="117"/>
      <c r="TBT47" s="117"/>
      <c r="TBU47" s="117"/>
      <c r="TBV47" s="117"/>
      <c r="TBW47" s="117"/>
      <c r="TBX47" s="117"/>
      <c r="TBY47" s="117"/>
      <c r="TBZ47" s="117"/>
      <c r="TCA47" s="117"/>
      <c r="TCB47" s="117"/>
      <c r="TCC47" s="117"/>
      <c r="TCD47" s="117"/>
      <c r="TCE47" s="117"/>
      <c r="TCF47" s="117"/>
      <c r="TCG47" s="117"/>
      <c r="TCH47" s="117"/>
      <c r="TCI47" s="117"/>
      <c r="TCJ47" s="117"/>
      <c r="TCK47" s="117"/>
      <c r="TCL47" s="117"/>
      <c r="TCM47" s="117"/>
      <c r="TCN47" s="117"/>
      <c r="TCO47" s="117"/>
      <c r="TCP47" s="117"/>
      <c r="TCQ47" s="117"/>
      <c r="TCR47" s="117"/>
      <c r="TCS47" s="117"/>
      <c r="TCT47" s="117"/>
      <c r="TCU47" s="117"/>
      <c r="TCV47" s="117"/>
      <c r="TCW47" s="117"/>
      <c r="TCX47" s="117"/>
      <c r="TCY47" s="117"/>
      <c r="TCZ47" s="117"/>
      <c r="TDA47" s="117"/>
      <c r="TDB47" s="117"/>
      <c r="TDC47" s="117"/>
      <c r="TDD47" s="117"/>
      <c r="TDE47" s="117"/>
      <c r="TDF47" s="117"/>
      <c r="TDG47" s="117"/>
      <c r="TDH47" s="117"/>
      <c r="TDI47" s="117"/>
      <c r="TDJ47" s="117"/>
      <c r="TDK47" s="117"/>
      <c r="TDL47" s="117"/>
      <c r="TDM47" s="117"/>
      <c r="TDN47" s="117"/>
      <c r="TDO47" s="117"/>
      <c r="TDP47" s="117"/>
      <c r="TDQ47" s="117"/>
      <c r="TDR47" s="117"/>
      <c r="TDS47" s="117"/>
      <c r="TDT47" s="117"/>
      <c r="TDU47" s="117"/>
      <c r="TDV47" s="117"/>
      <c r="TDW47" s="117"/>
      <c r="TDX47" s="117"/>
      <c r="TDY47" s="117"/>
      <c r="TDZ47" s="117"/>
      <c r="TEA47" s="117"/>
      <c r="TEB47" s="117"/>
      <c r="TEC47" s="117"/>
      <c r="TED47" s="117"/>
      <c r="TEE47" s="117"/>
      <c r="TEF47" s="117"/>
      <c r="TEG47" s="117"/>
      <c r="TEH47" s="117"/>
      <c r="TEI47" s="117"/>
      <c r="TEJ47" s="117"/>
      <c r="TEK47" s="117"/>
      <c r="TEL47" s="117"/>
      <c r="TEM47" s="117"/>
      <c r="TEN47" s="117"/>
      <c r="TEO47" s="117"/>
      <c r="TEP47" s="117"/>
      <c r="TEQ47" s="117"/>
      <c r="TER47" s="117"/>
      <c r="TES47" s="117"/>
      <c r="TET47" s="117"/>
      <c r="TEU47" s="117"/>
      <c r="TEV47" s="117"/>
      <c r="TEW47" s="117"/>
      <c r="TEX47" s="117"/>
      <c r="TEY47" s="117"/>
      <c r="TEZ47" s="117"/>
      <c r="TFA47" s="117"/>
      <c r="TFB47" s="117"/>
      <c r="TFC47" s="117"/>
      <c r="TFD47" s="117"/>
      <c r="TFE47" s="117"/>
      <c r="TFF47" s="117"/>
      <c r="TFG47" s="117"/>
      <c r="TFH47" s="117"/>
      <c r="TFI47" s="117"/>
      <c r="TFJ47" s="117"/>
      <c r="TFK47" s="117"/>
      <c r="TFL47" s="117"/>
      <c r="TFM47" s="117"/>
      <c r="TFN47" s="117"/>
      <c r="TFO47" s="117"/>
      <c r="TFP47" s="117"/>
      <c r="TFQ47" s="117"/>
      <c r="TFR47" s="117"/>
      <c r="TFS47" s="117"/>
      <c r="TFT47" s="117"/>
      <c r="TFU47" s="117"/>
      <c r="TFV47" s="117"/>
      <c r="TFW47" s="117"/>
      <c r="TFX47" s="117"/>
      <c r="TFY47" s="117"/>
      <c r="TFZ47" s="117"/>
      <c r="TGA47" s="117"/>
      <c r="TGB47" s="117"/>
      <c r="TGC47" s="117"/>
      <c r="TGD47" s="117"/>
      <c r="TGE47" s="117"/>
      <c r="TGF47" s="117"/>
      <c r="TGG47" s="117"/>
      <c r="TGH47" s="117"/>
      <c r="TGI47" s="117"/>
      <c r="TGJ47" s="117"/>
      <c r="TGK47" s="117"/>
      <c r="TGL47" s="117"/>
      <c r="TGM47" s="117"/>
      <c r="TGN47" s="117"/>
      <c r="TGO47" s="117"/>
      <c r="TGP47" s="117"/>
      <c r="TGQ47" s="117"/>
      <c r="TGR47" s="117"/>
      <c r="TGS47" s="117"/>
      <c r="TGT47" s="117"/>
      <c r="TGU47" s="117"/>
      <c r="TGV47" s="117"/>
      <c r="TGW47" s="117"/>
      <c r="TGX47" s="117"/>
      <c r="TGY47" s="117"/>
      <c r="TGZ47" s="117"/>
      <c r="THA47" s="117"/>
      <c r="THB47" s="117"/>
      <c r="THC47" s="117"/>
      <c r="THD47" s="117"/>
      <c r="THE47" s="117"/>
      <c r="THF47" s="117"/>
      <c r="THG47" s="117"/>
      <c r="THH47" s="117"/>
      <c r="THI47" s="117"/>
      <c r="THJ47" s="117"/>
      <c r="THK47" s="117"/>
      <c r="THL47" s="117"/>
      <c r="THM47" s="117"/>
      <c r="THN47" s="117"/>
      <c r="THO47" s="117"/>
      <c r="THP47" s="117"/>
      <c r="THQ47" s="117"/>
      <c r="THR47" s="117"/>
      <c r="THS47" s="117"/>
      <c r="THT47" s="117"/>
      <c r="THU47" s="117"/>
      <c r="THV47" s="117"/>
      <c r="THW47" s="117"/>
      <c r="THX47" s="117"/>
      <c r="THY47" s="117"/>
      <c r="THZ47" s="117"/>
      <c r="TIA47" s="117"/>
      <c r="TIB47" s="117"/>
      <c r="TIC47" s="117"/>
      <c r="TID47" s="117"/>
      <c r="TIE47" s="117"/>
      <c r="TIF47" s="117"/>
      <c r="TIG47" s="117"/>
      <c r="TIH47" s="117"/>
      <c r="TII47" s="117"/>
      <c r="TIJ47" s="117"/>
      <c r="TIK47" s="117"/>
      <c r="TIL47" s="117"/>
      <c r="TIM47" s="117"/>
      <c r="TIN47" s="117"/>
      <c r="TIO47" s="117"/>
      <c r="TIP47" s="117"/>
      <c r="TIQ47" s="117"/>
      <c r="TIR47" s="117"/>
      <c r="TIS47" s="117"/>
      <c r="TIT47" s="117"/>
      <c r="TIU47" s="117"/>
      <c r="TIV47" s="117"/>
      <c r="TIW47" s="117"/>
      <c r="TIX47" s="117"/>
      <c r="TIY47" s="117"/>
      <c r="TIZ47" s="117"/>
      <c r="TJA47" s="117"/>
      <c r="TJB47" s="117"/>
      <c r="TJC47" s="117"/>
      <c r="TJD47" s="117"/>
      <c r="TJE47" s="117"/>
      <c r="TJF47" s="117"/>
      <c r="TJG47" s="117"/>
      <c r="TJH47" s="117"/>
      <c r="TJI47" s="117"/>
      <c r="TJJ47" s="117"/>
      <c r="TJK47" s="117"/>
      <c r="TJL47" s="117"/>
      <c r="TJM47" s="117"/>
      <c r="TJN47" s="117"/>
      <c r="TJO47" s="117"/>
      <c r="TJP47" s="117"/>
      <c r="TJQ47" s="117"/>
      <c r="TJR47" s="117"/>
      <c r="TJS47" s="117"/>
      <c r="TJT47" s="117"/>
      <c r="TJU47" s="117"/>
      <c r="TJV47" s="117"/>
      <c r="TJW47" s="117"/>
      <c r="TJX47" s="117"/>
      <c r="TJY47" s="117"/>
      <c r="TJZ47" s="117"/>
      <c r="TKA47" s="117"/>
      <c r="TKB47" s="117"/>
      <c r="TKC47" s="117"/>
      <c r="TKD47" s="117"/>
      <c r="TKE47" s="117"/>
      <c r="TKF47" s="117"/>
      <c r="TKG47" s="117"/>
      <c r="TKH47" s="117"/>
      <c r="TKI47" s="117"/>
      <c r="TKJ47" s="117"/>
      <c r="TKK47" s="117"/>
      <c r="TKL47" s="117"/>
      <c r="TKM47" s="117"/>
      <c r="TKN47" s="117"/>
      <c r="TKO47" s="117"/>
      <c r="TKP47" s="117"/>
      <c r="TKQ47" s="117"/>
      <c r="TKR47" s="117"/>
      <c r="TKS47" s="117"/>
      <c r="TKT47" s="117"/>
      <c r="TKU47" s="117"/>
      <c r="TKV47" s="117"/>
      <c r="TKW47" s="117"/>
      <c r="TKX47" s="117"/>
      <c r="TKY47" s="117"/>
      <c r="TKZ47" s="117"/>
      <c r="TLA47" s="117"/>
      <c r="TLB47" s="117"/>
      <c r="TLC47" s="117"/>
      <c r="TLD47" s="117"/>
      <c r="TLE47" s="117"/>
      <c r="TLF47" s="117"/>
      <c r="TLG47" s="117"/>
      <c r="TLH47" s="117"/>
      <c r="TLI47" s="117"/>
      <c r="TLJ47" s="117"/>
      <c r="TLK47" s="117"/>
      <c r="TLL47" s="117"/>
      <c r="TLM47" s="117"/>
      <c r="TLN47" s="117"/>
      <c r="TLO47" s="117"/>
      <c r="TLP47" s="117"/>
      <c r="TLQ47" s="117"/>
      <c r="TLR47" s="117"/>
      <c r="TLS47" s="117"/>
      <c r="TLT47" s="117"/>
      <c r="TLU47" s="117"/>
      <c r="TLV47" s="117"/>
      <c r="TLW47" s="117"/>
      <c r="TLX47" s="117"/>
      <c r="TLY47" s="117"/>
      <c r="TLZ47" s="117"/>
      <c r="TMA47" s="117"/>
      <c r="TMB47" s="117"/>
      <c r="TMC47" s="117"/>
      <c r="TMD47" s="117"/>
      <c r="TME47" s="117"/>
      <c r="TMF47" s="117"/>
      <c r="TMG47" s="117"/>
      <c r="TMH47" s="117"/>
      <c r="TMI47" s="117"/>
      <c r="TMJ47" s="117"/>
      <c r="TMK47" s="117"/>
      <c r="TML47" s="117"/>
      <c r="TMM47" s="117"/>
      <c r="TMN47" s="117"/>
      <c r="TMO47" s="117"/>
      <c r="TMP47" s="117"/>
      <c r="TMQ47" s="117"/>
      <c r="TMR47" s="117"/>
      <c r="TMS47" s="117"/>
      <c r="TMT47" s="117"/>
      <c r="TMU47" s="117"/>
      <c r="TMV47" s="117"/>
      <c r="TMW47" s="117"/>
      <c r="TMX47" s="117"/>
      <c r="TMY47" s="117"/>
      <c r="TMZ47" s="117"/>
      <c r="TNA47" s="117"/>
      <c r="TNB47" s="117"/>
      <c r="TNC47" s="117"/>
      <c r="TND47" s="117"/>
      <c r="TNE47" s="117"/>
      <c r="TNF47" s="117"/>
      <c r="TNG47" s="117"/>
      <c r="TNH47" s="117"/>
      <c r="TNI47" s="117"/>
      <c r="TNJ47" s="117"/>
      <c r="TNK47" s="117"/>
      <c r="TNL47" s="117"/>
      <c r="TNM47" s="117"/>
      <c r="TNN47" s="117"/>
      <c r="TNO47" s="117"/>
      <c r="TNP47" s="117"/>
      <c r="TNQ47" s="117"/>
      <c r="TNR47" s="117"/>
      <c r="TNS47" s="117"/>
      <c r="TNT47" s="117"/>
      <c r="TNU47" s="117"/>
      <c r="TNV47" s="117"/>
      <c r="TNW47" s="117"/>
      <c r="TNX47" s="117"/>
      <c r="TNY47" s="117"/>
      <c r="TNZ47" s="117"/>
      <c r="TOA47" s="117"/>
      <c r="TOB47" s="117"/>
      <c r="TOC47" s="117"/>
      <c r="TOD47" s="117"/>
      <c r="TOE47" s="117"/>
      <c r="TOF47" s="117"/>
      <c r="TOG47" s="117"/>
      <c r="TOH47" s="117"/>
      <c r="TOI47" s="117"/>
      <c r="TOJ47" s="117"/>
      <c r="TOK47" s="117"/>
      <c r="TOL47" s="117"/>
      <c r="TOM47" s="117"/>
      <c r="TON47" s="117"/>
      <c r="TOO47" s="117"/>
      <c r="TOP47" s="117"/>
      <c r="TOQ47" s="117"/>
      <c r="TOR47" s="117"/>
      <c r="TOS47" s="117"/>
      <c r="TOT47" s="117"/>
      <c r="TOU47" s="117"/>
      <c r="TOV47" s="117"/>
      <c r="TOW47" s="117"/>
      <c r="TOX47" s="117"/>
      <c r="TOY47" s="117"/>
      <c r="TOZ47" s="117"/>
      <c r="TPA47" s="117"/>
      <c r="TPB47" s="117"/>
      <c r="TPC47" s="117"/>
      <c r="TPD47" s="117"/>
      <c r="TPE47" s="117"/>
      <c r="TPF47" s="117"/>
      <c r="TPG47" s="117"/>
      <c r="TPH47" s="117"/>
      <c r="TPI47" s="117"/>
      <c r="TPJ47" s="117"/>
      <c r="TPK47" s="117"/>
      <c r="TPL47" s="117"/>
      <c r="TPM47" s="117"/>
      <c r="TPN47" s="117"/>
      <c r="TPO47" s="117"/>
      <c r="TPP47" s="117"/>
      <c r="TPQ47" s="117"/>
      <c r="TPR47" s="117"/>
      <c r="TPS47" s="117"/>
      <c r="TPT47" s="117"/>
      <c r="TPU47" s="117"/>
      <c r="TPV47" s="117"/>
      <c r="TPW47" s="117"/>
      <c r="TPX47" s="117"/>
      <c r="TPY47" s="117"/>
      <c r="TPZ47" s="117"/>
      <c r="TQA47" s="117"/>
      <c r="TQB47" s="117"/>
      <c r="TQC47" s="117"/>
      <c r="TQD47" s="117"/>
      <c r="TQE47" s="117"/>
      <c r="TQF47" s="117"/>
      <c r="TQG47" s="117"/>
      <c r="TQH47" s="117"/>
      <c r="TQI47" s="117"/>
      <c r="TQJ47" s="117"/>
      <c r="TQK47" s="117"/>
      <c r="TQL47" s="117"/>
      <c r="TQM47" s="117"/>
      <c r="TQN47" s="117"/>
      <c r="TQO47" s="117"/>
      <c r="TQP47" s="117"/>
      <c r="TQQ47" s="117"/>
      <c r="TQR47" s="117"/>
      <c r="TQS47" s="117"/>
      <c r="TQT47" s="117"/>
      <c r="TQU47" s="117"/>
      <c r="TQV47" s="117"/>
      <c r="TQW47" s="117"/>
      <c r="TQX47" s="117"/>
      <c r="TQY47" s="117"/>
      <c r="TQZ47" s="117"/>
      <c r="TRA47" s="117"/>
      <c r="TRB47" s="117"/>
      <c r="TRC47" s="117"/>
      <c r="TRD47" s="117"/>
      <c r="TRE47" s="117"/>
      <c r="TRF47" s="117"/>
      <c r="TRG47" s="117"/>
      <c r="TRH47" s="117"/>
      <c r="TRI47" s="117"/>
      <c r="TRJ47" s="117"/>
      <c r="TRK47" s="117"/>
      <c r="TRL47" s="117"/>
      <c r="TRM47" s="117"/>
      <c r="TRN47" s="117"/>
      <c r="TRO47" s="117"/>
      <c r="TRP47" s="117"/>
      <c r="TRQ47" s="117"/>
      <c r="TRR47" s="117"/>
      <c r="TRS47" s="117"/>
      <c r="TRT47" s="117"/>
      <c r="TRU47" s="117"/>
      <c r="TRV47" s="117"/>
      <c r="TRW47" s="117"/>
      <c r="TRX47" s="117"/>
      <c r="TRY47" s="117"/>
      <c r="TRZ47" s="117"/>
      <c r="TSA47" s="117"/>
      <c r="TSB47" s="117"/>
      <c r="TSC47" s="117"/>
      <c r="TSD47" s="117"/>
      <c r="TSE47" s="117"/>
      <c r="TSF47" s="117"/>
      <c r="TSG47" s="117"/>
      <c r="TSH47" s="117"/>
      <c r="TSI47" s="117"/>
      <c r="TSJ47" s="117"/>
      <c r="TSK47" s="117"/>
      <c r="TSL47" s="117"/>
      <c r="TSM47" s="117"/>
      <c r="TSN47" s="117"/>
      <c r="TSO47" s="117"/>
      <c r="TSP47" s="117"/>
      <c r="TSQ47" s="117"/>
      <c r="TSR47" s="117"/>
      <c r="TSS47" s="117"/>
      <c r="TST47" s="117"/>
      <c r="TSU47" s="117"/>
      <c r="TSV47" s="117"/>
      <c r="TSW47" s="117"/>
      <c r="TSX47" s="117"/>
      <c r="TSY47" s="117"/>
      <c r="TSZ47" s="117"/>
      <c r="TTA47" s="117"/>
      <c r="TTB47" s="117"/>
      <c r="TTC47" s="117"/>
      <c r="TTD47" s="117"/>
      <c r="TTE47" s="117"/>
      <c r="TTF47" s="117"/>
      <c r="TTG47" s="117"/>
      <c r="TTH47" s="117"/>
      <c r="TTI47" s="117"/>
      <c r="TTJ47" s="117"/>
      <c r="TTK47" s="117"/>
      <c r="TTL47" s="117"/>
      <c r="TTM47" s="117"/>
      <c r="TTN47" s="117"/>
      <c r="TTO47" s="117"/>
      <c r="TTP47" s="117"/>
      <c r="TTQ47" s="117"/>
      <c r="TTR47" s="117"/>
      <c r="TTS47" s="117"/>
      <c r="TTT47" s="117"/>
      <c r="TTU47" s="117"/>
      <c r="TTV47" s="117"/>
      <c r="TTW47" s="117"/>
      <c r="TTX47" s="117"/>
      <c r="TTY47" s="117"/>
      <c r="TTZ47" s="117"/>
      <c r="TUA47" s="117"/>
      <c r="TUB47" s="117"/>
      <c r="TUC47" s="117"/>
      <c r="TUD47" s="117"/>
      <c r="TUE47" s="117"/>
      <c r="TUF47" s="117"/>
      <c r="TUG47" s="117"/>
      <c r="TUH47" s="117"/>
      <c r="TUI47" s="117"/>
      <c r="TUJ47" s="117"/>
      <c r="TUK47" s="117"/>
      <c r="TUL47" s="117"/>
      <c r="TUM47" s="117"/>
      <c r="TUN47" s="117"/>
      <c r="TUO47" s="117"/>
      <c r="TUP47" s="117"/>
      <c r="TUQ47" s="117"/>
      <c r="TUR47" s="117"/>
      <c r="TUS47" s="117"/>
      <c r="TUT47" s="117"/>
      <c r="TUU47" s="117"/>
      <c r="TUV47" s="117"/>
      <c r="TUW47" s="117"/>
      <c r="TUX47" s="117"/>
      <c r="TUY47" s="117"/>
      <c r="TUZ47" s="117"/>
      <c r="TVA47" s="117"/>
      <c r="TVB47" s="117"/>
      <c r="TVC47" s="117"/>
      <c r="TVD47" s="117"/>
      <c r="TVE47" s="117"/>
      <c r="TVF47" s="117"/>
      <c r="TVG47" s="117"/>
      <c r="TVH47" s="117"/>
      <c r="TVI47" s="117"/>
      <c r="TVJ47" s="117"/>
      <c r="TVK47" s="117"/>
      <c r="TVL47" s="117"/>
      <c r="TVM47" s="117"/>
      <c r="TVN47" s="117"/>
      <c r="TVO47" s="117"/>
      <c r="TVP47" s="117"/>
      <c r="TVQ47" s="117"/>
      <c r="TVR47" s="117"/>
      <c r="TVS47" s="117"/>
      <c r="TVT47" s="117"/>
      <c r="TVU47" s="117"/>
      <c r="TVV47" s="117"/>
      <c r="TVW47" s="117"/>
      <c r="TVX47" s="117"/>
      <c r="TVY47" s="117"/>
      <c r="TVZ47" s="117"/>
      <c r="TWA47" s="117"/>
      <c r="TWB47" s="117"/>
      <c r="TWC47" s="117"/>
      <c r="TWD47" s="117"/>
      <c r="TWE47" s="117"/>
      <c r="TWF47" s="117"/>
      <c r="TWG47" s="117"/>
      <c r="TWH47" s="117"/>
      <c r="TWI47" s="117"/>
      <c r="TWJ47" s="117"/>
      <c r="TWK47" s="117"/>
      <c r="TWL47" s="117"/>
      <c r="TWM47" s="117"/>
      <c r="TWN47" s="117"/>
      <c r="TWO47" s="117"/>
      <c r="TWP47" s="117"/>
      <c r="TWQ47" s="117"/>
      <c r="TWR47" s="117"/>
      <c r="TWS47" s="117"/>
      <c r="TWT47" s="117"/>
      <c r="TWU47" s="117"/>
      <c r="TWV47" s="117"/>
      <c r="TWW47" s="117"/>
      <c r="TWX47" s="117"/>
      <c r="TWY47" s="117"/>
      <c r="TWZ47" s="117"/>
      <c r="TXA47" s="117"/>
      <c r="TXB47" s="117"/>
      <c r="TXC47" s="117"/>
      <c r="TXD47" s="117"/>
      <c r="TXE47" s="117"/>
      <c r="TXF47" s="117"/>
      <c r="TXG47" s="117"/>
      <c r="TXH47" s="117"/>
      <c r="TXI47" s="117"/>
      <c r="TXJ47" s="117"/>
      <c r="TXK47" s="117"/>
      <c r="TXL47" s="117"/>
      <c r="TXM47" s="117"/>
      <c r="TXN47" s="117"/>
      <c r="TXO47" s="117"/>
      <c r="TXP47" s="117"/>
      <c r="TXQ47" s="117"/>
      <c r="TXR47" s="117"/>
      <c r="TXS47" s="117"/>
      <c r="TXT47" s="117"/>
      <c r="TXU47" s="117"/>
      <c r="TXV47" s="117"/>
      <c r="TXW47" s="117"/>
      <c r="TXX47" s="117"/>
      <c r="TXY47" s="117"/>
      <c r="TXZ47" s="117"/>
      <c r="TYA47" s="117"/>
      <c r="TYB47" s="117"/>
      <c r="TYC47" s="117"/>
      <c r="TYD47" s="117"/>
      <c r="TYE47" s="117"/>
      <c r="TYF47" s="117"/>
      <c r="TYG47" s="117"/>
      <c r="TYH47" s="117"/>
      <c r="TYI47" s="117"/>
      <c r="TYJ47" s="117"/>
      <c r="TYK47" s="117"/>
      <c r="TYL47" s="117"/>
      <c r="TYM47" s="117"/>
      <c r="TYN47" s="117"/>
      <c r="TYO47" s="117"/>
      <c r="TYP47" s="117"/>
      <c r="TYQ47" s="117"/>
      <c r="TYR47" s="117"/>
      <c r="TYS47" s="117"/>
      <c r="TYT47" s="117"/>
      <c r="TYU47" s="117"/>
      <c r="TYV47" s="117"/>
      <c r="TYW47" s="117"/>
      <c r="TYX47" s="117"/>
      <c r="TYY47" s="117"/>
      <c r="TYZ47" s="117"/>
      <c r="TZA47" s="117"/>
      <c r="TZB47" s="117"/>
      <c r="TZC47" s="117"/>
      <c r="TZD47" s="117"/>
      <c r="TZE47" s="117"/>
      <c r="TZF47" s="117"/>
      <c r="TZG47" s="117"/>
      <c r="TZH47" s="117"/>
      <c r="TZI47" s="117"/>
      <c r="TZJ47" s="117"/>
      <c r="TZK47" s="117"/>
      <c r="TZL47" s="117"/>
      <c r="TZM47" s="117"/>
      <c r="TZN47" s="117"/>
      <c r="TZO47" s="117"/>
      <c r="TZP47" s="117"/>
      <c r="TZQ47" s="117"/>
      <c r="TZR47" s="117"/>
      <c r="TZS47" s="117"/>
      <c r="TZT47" s="117"/>
      <c r="TZU47" s="117"/>
      <c r="TZV47" s="117"/>
      <c r="TZW47" s="117"/>
      <c r="TZX47" s="117"/>
      <c r="TZY47" s="117"/>
      <c r="TZZ47" s="117"/>
      <c r="UAA47" s="117"/>
      <c r="UAB47" s="117"/>
      <c r="UAC47" s="117"/>
      <c r="UAD47" s="117"/>
      <c r="UAE47" s="117"/>
      <c r="UAF47" s="117"/>
      <c r="UAG47" s="117"/>
      <c r="UAH47" s="117"/>
      <c r="UAI47" s="117"/>
      <c r="UAJ47" s="117"/>
      <c r="UAK47" s="117"/>
      <c r="UAL47" s="117"/>
      <c r="UAM47" s="117"/>
      <c r="UAN47" s="117"/>
      <c r="UAO47" s="117"/>
      <c r="UAP47" s="117"/>
      <c r="UAQ47" s="117"/>
      <c r="UAR47" s="117"/>
      <c r="UAS47" s="117"/>
      <c r="UAT47" s="117"/>
      <c r="UAU47" s="117"/>
      <c r="UAV47" s="117"/>
      <c r="UAW47" s="117"/>
      <c r="UAX47" s="117"/>
      <c r="UAY47" s="117"/>
      <c r="UAZ47" s="117"/>
      <c r="UBA47" s="117"/>
      <c r="UBB47" s="117"/>
      <c r="UBC47" s="117"/>
      <c r="UBD47" s="117"/>
      <c r="UBE47" s="117"/>
      <c r="UBF47" s="117"/>
      <c r="UBG47" s="117"/>
      <c r="UBH47" s="117"/>
      <c r="UBI47" s="117"/>
      <c r="UBJ47" s="117"/>
      <c r="UBK47" s="117"/>
      <c r="UBL47" s="117"/>
      <c r="UBM47" s="117"/>
      <c r="UBN47" s="117"/>
      <c r="UBO47" s="117"/>
      <c r="UBP47" s="117"/>
      <c r="UBQ47" s="117"/>
      <c r="UBR47" s="117"/>
      <c r="UBS47" s="117"/>
      <c r="UBT47" s="117"/>
      <c r="UBU47" s="117"/>
      <c r="UBV47" s="117"/>
      <c r="UBW47" s="117"/>
      <c r="UBX47" s="117"/>
      <c r="UBY47" s="117"/>
      <c r="UBZ47" s="117"/>
      <c r="UCA47" s="117"/>
      <c r="UCB47" s="117"/>
      <c r="UCC47" s="117"/>
      <c r="UCD47" s="117"/>
      <c r="UCE47" s="117"/>
      <c r="UCF47" s="117"/>
      <c r="UCG47" s="117"/>
      <c r="UCH47" s="117"/>
      <c r="UCI47" s="117"/>
      <c r="UCJ47" s="117"/>
      <c r="UCK47" s="117"/>
      <c r="UCL47" s="117"/>
      <c r="UCM47" s="117"/>
      <c r="UCN47" s="117"/>
      <c r="UCO47" s="117"/>
      <c r="UCP47" s="117"/>
      <c r="UCQ47" s="117"/>
      <c r="UCR47" s="117"/>
      <c r="UCS47" s="117"/>
      <c r="UCT47" s="117"/>
      <c r="UCU47" s="117"/>
      <c r="UCV47" s="117"/>
      <c r="UCW47" s="117"/>
      <c r="UCX47" s="117"/>
      <c r="UCY47" s="117"/>
      <c r="UCZ47" s="117"/>
      <c r="UDA47" s="117"/>
      <c r="UDB47" s="117"/>
      <c r="UDC47" s="117"/>
      <c r="UDD47" s="117"/>
      <c r="UDE47" s="117"/>
      <c r="UDF47" s="117"/>
      <c r="UDG47" s="117"/>
      <c r="UDH47" s="117"/>
      <c r="UDI47" s="117"/>
      <c r="UDJ47" s="117"/>
      <c r="UDK47" s="117"/>
      <c r="UDL47" s="117"/>
      <c r="UDM47" s="117"/>
      <c r="UDN47" s="117"/>
      <c r="UDO47" s="117"/>
      <c r="UDP47" s="117"/>
      <c r="UDQ47" s="117"/>
      <c r="UDR47" s="117"/>
      <c r="UDS47" s="117"/>
      <c r="UDT47" s="117"/>
      <c r="UDU47" s="117"/>
      <c r="UDV47" s="117"/>
      <c r="UDW47" s="117"/>
      <c r="UDX47" s="117"/>
      <c r="UDY47" s="117"/>
      <c r="UDZ47" s="117"/>
      <c r="UEA47" s="117"/>
      <c r="UEB47" s="117"/>
      <c r="UEC47" s="117"/>
      <c r="UED47" s="117"/>
      <c r="UEE47" s="117"/>
      <c r="UEF47" s="117"/>
      <c r="UEG47" s="117"/>
      <c r="UEH47" s="117"/>
      <c r="UEI47" s="117"/>
      <c r="UEJ47" s="117"/>
      <c r="UEK47" s="117"/>
      <c r="UEL47" s="117"/>
      <c r="UEM47" s="117"/>
      <c r="UEN47" s="117"/>
      <c r="UEO47" s="117"/>
      <c r="UEP47" s="117"/>
      <c r="UEQ47" s="117"/>
      <c r="UER47" s="117"/>
      <c r="UES47" s="117"/>
      <c r="UET47" s="117"/>
      <c r="UEU47" s="117"/>
      <c r="UEV47" s="117"/>
      <c r="UEW47" s="117"/>
      <c r="UEX47" s="117"/>
      <c r="UEY47" s="117"/>
      <c r="UEZ47" s="117"/>
      <c r="UFA47" s="117"/>
      <c r="UFB47" s="117"/>
      <c r="UFC47" s="117"/>
      <c r="UFD47" s="117"/>
      <c r="UFE47" s="117"/>
      <c r="UFF47" s="117"/>
      <c r="UFG47" s="117"/>
      <c r="UFH47" s="117"/>
      <c r="UFI47" s="117"/>
      <c r="UFJ47" s="117"/>
      <c r="UFK47" s="117"/>
      <c r="UFL47" s="117"/>
      <c r="UFM47" s="117"/>
      <c r="UFN47" s="117"/>
      <c r="UFO47" s="117"/>
      <c r="UFP47" s="117"/>
      <c r="UFQ47" s="117"/>
      <c r="UFR47" s="117"/>
      <c r="UFS47" s="117"/>
      <c r="UFT47" s="117"/>
      <c r="UFU47" s="117"/>
      <c r="UFV47" s="117"/>
      <c r="UFW47" s="117"/>
      <c r="UFX47" s="117"/>
      <c r="UFY47" s="117"/>
      <c r="UFZ47" s="117"/>
      <c r="UGA47" s="117"/>
      <c r="UGB47" s="117"/>
      <c r="UGC47" s="117"/>
      <c r="UGD47" s="117"/>
      <c r="UGE47" s="117"/>
      <c r="UGF47" s="117"/>
      <c r="UGG47" s="117"/>
      <c r="UGH47" s="117"/>
      <c r="UGI47" s="117"/>
      <c r="UGJ47" s="117"/>
      <c r="UGK47" s="117"/>
      <c r="UGL47" s="117"/>
      <c r="UGM47" s="117"/>
      <c r="UGN47" s="117"/>
      <c r="UGO47" s="117"/>
      <c r="UGP47" s="117"/>
      <c r="UGQ47" s="117"/>
      <c r="UGR47" s="117"/>
      <c r="UGS47" s="117"/>
      <c r="UGT47" s="117"/>
      <c r="UGU47" s="117"/>
      <c r="UGV47" s="117"/>
      <c r="UGW47" s="117"/>
      <c r="UGX47" s="117"/>
      <c r="UGY47" s="117"/>
      <c r="UGZ47" s="117"/>
      <c r="UHA47" s="117"/>
      <c r="UHB47" s="117"/>
      <c r="UHC47" s="117"/>
      <c r="UHD47" s="117"/>
      <c r="UHE47" s="117"/>
      <c r="UHF47" s="117"/>
      <c r="UHG47" s="117"/>
      <c r="UHH47" s="117"/>
      <c r="UHI47" s="117"/>
      <c r="UHJ47" s="117"/>
      <c r="UHK47" s="117"/>
      <c r="UHL47" s="117"/>
      <c r="UHM47" s="117"/>
      <c r="UHN47" s="117"/>
      <c r="UHO47" s="117"/>
      <c r="UHP47" s="117"/>
      <c r="UHQ47" s="117"/>
      <c r="UHR47" s="117"/>
      <c r="UHS47" s="117"/>
      <c r="UHT47" s="117"/>
      <c r="UHU47" s="117"/>
      <c r="UHV47" s="117"/>
      <c r="UHW47" s="117"/>
      <c r="UHX47" s="117"/>
      <c r="UHY47" s="117"/>
      <c r="UHZ47" s="117"/>
      <c r="UIA47" s="117"/>
      <c r="UIB47" s="117"/>
      <c r="UIC47" s="117"/>
      <c r="UID47" s="117"/>
      <c r="UIE47" s="117"/>
      <c r="UIF47" s="117"/>
      <c r="UIG47" s="117"/>
      <c r="UIH47" s="117"/>
      <c r="UII47" s="117"/>
      <c r="UIJ47" s="117"/>
      <c r="UIK47" s="117"/>
      <c r="UIL47" s="117"/>
      <c r="UIM47" s="117"/>
      <c r="UIN47" s="117"/>
      <c r="UIO47" s="117"/>
      <c r="UIP47" s="117"/>
      <c r="UIQ47" s="117"/>
      <c r="UIR47" s="117"/>
      <c r="UIS47" s="117"/>
      <c r="UIT47" s="117"/>
      <c r="UIU47" s="117"/>
      <c r="UIV47" s="117"/>
      <c r="UIW47" s="117"/>
      <c r="UIX47" s="117"/>
      <c r="UIY47" s="117"/>
      <c r="UIZ47" s="117"/>
      <c r="UJA47" s="117"/>
      <c r="UJB47" s="117"/>
      <c r="UJC47" s="117"/>
      <c r="UJD47" s="117"/>
      <c r="UJE47" s="117"/>
      <c r="UJF47" s="117"/>
      <c r="UJG47" s="117"/>
      <c r="UJH47" s="117"/>
      <c r="UJI47" s="117"/>
      <c r="UJJ47" s="117"/>
      <c r="UJK47" s="117"/>
      <c r="UJL47" s="117"/>
      <c r="UJM47" s="117"/>
      <c r="UJN47" s="117"/>
      <c r="UJO47" s="117"/>
      <c r="UJP47" s="117"/>
      <c r="UJQ47" s="117"/>
      <c r="UJR47" s="117"/>
      <c r="UJS47" s="117"/>
      <c r="UJT47" s="117"/>
      <c r="UJU47" s="117"/>
      <c r="UJV47" s="117"/>
      <c r="UJW47" s="117"/>
      <c r="UJX47" s="117"/>
      <c r="UJY47" s="117"/>
      <c r="UJZ47" s="117"/>
      <c r="UKA47" s="117"/>
      <c r="UKB47" s="117"/>
      <c r="UKC47" s="117"/>
      <c r="UKD47" s="117"/>
      <c r="UKE47" s="117"/>
      <c r="UKF47" s="117"/>
      <c r="UKG47" s="117"/>
      <c r="UKH47" s="117"/>
      <c r="UKI47" s="117"/>
      <c r="UKJ47" s="117"/>
      <c r="UKK47" s="117"/>
      <c r="UKL47" s="117"/>
      <c r="UKM47" s="117"/>
      <c r="UKN47" s="117"/>
      <c r="UKO47" s="117"/>
      <c r="UKP47" s="117"/>
      <c r="UKQ47" s="117"/>
      <c r="UKR47" s="117"/>
      <c r="UKS47" s="117"/>
      <c r="UKT47" s="117"/>
      <c r="UKU47" s="117"/>
      <c r="UKV47" s="117"/>
      <c r="UKW47" s="117"/>
      <c r="UKX47" s="117"/>
      <c r="UKY47" s="117"/>
      <c r="UKZ47" s="117"/>
      <c r="ULA47" s="117"/>
      <c r="ULB47" s="117"/>
      <c r="ULC47" s="117"/>
      <c r="ULD47" s="117"/>
      <c r="ULE47" s="117"/>
      <c r="ULF47" s="117"/>
      <c r="ULG47" s="117"/>
      <c r="ULH47" s="117"/>
      <c r="ULI47" s="117"/>
      <c r="ULJ47" s="117"/>
      <c r="ULK47" s="117"/>
      <c r="ULL47" s="117"/>
      <c r="ULM47" s="117"/>
      <c r="ULN47" s="117"/>
      <c r="ULO47" s="117"/>
      <c r="ULP47" s="117"/>
      <c r="ULQ47" s="117"/>
      <c r="ULR47" s="117"/>
      <c r="ULS47" s="117"/>
      <c r="ULT47" s="117"/>
      <c r="ULU47" s="117"/>
      <c r="ULV47" s="117"/>
      <c r="ULW47" s="117"/>
      <c r="ULX47" s="117"/>
      <c r="ULY47" s="117"/>
      <c r="ULZ47" s="117"/>
      <c r="UMA47" s="117"/>
      <c r="UMB47" s="117"/>
      <c r="UMC47" s="117"/>
      <c r="UMD47" s="117"/>
      <c r="UME47" s="117"/>
      <c r="UMF47" s="117"/>
      <c r="UMG47" s="117"/>
      <c r="UMH47" s="117"/>
      <c r="UMI47" s="117"/>
      <c r="UMJ47" s="117"/>
      <c r="UMK47" s="117"/>
      <c r="UML47" s="117"/>
      <c r="UMM47" s="117"/>
      <c r="UMN47" s="117"/>
      <c r="UMO47" s="117"/>
      <c r="UMP47" s="117"/>
      <c r="UMQ47" s="117"/>
      <c r="UMR47" s="117"/>
      <c r="UMS47" s="117"/>
      <c r="UMT47" s="117"/>
      <c r="UMU47" s="117"/>
      <c r="UMV47" s="117"/>
      <c r="UMW47" s="117"/>
      <c r="UMX47" s="117"/>
      <c r="UMY47" s="117"/>
      <c r="UMZ47" s="117"/>
      <c r="UNA47" s="117"/>
      <c r="UNB47" s="117"/>
      <c r="UNC47" s="117"/>
      <c r="UND47" s="117"/>
      <c r="UNE47" s="117"/>
      <c r="UNF47" s="117"/>
      <c r="UNG47" s="117"/>
      <c r="UNH47" s="117"/>
      <c r="UNI47" s="117"/>
      <c r="UNJ47" s="117"/>
      <c r="UNK47" s="117"/>
      <c r="UNL47" s="117"/>
      <c r="UNM47" s="117"/>
      <c r="UNN47" s="117"/>
      <c r="UNO47" s="117"/>
      <c r="UNP47" s="117"/>
      <c r="UNQ47" s="117"/>
      <c r="UNR47" s="117"/>
      <c r="UNS47" s="117"/>
      <c r="UNT47" s="117"/>
      <c r="UNU47" s="117"/>
      <c r="UNV47" s="117"/>
      <c r="UNW47" s="117"/>
      <c r="UNX47" s="117"/>
      <c r="UNY47" s="117"/>
      <c r="UNZ47" s="117"/>
      <c r="UOA47" s="117"/>
      <c r="UOB47" s="117"/>
      <c r="UOC47" s="117"/>
      <c r="UOD47" s="117"/>
      <c r="UOE47" s="117"/>
      <c r="UOF47" s="117"/>
      <c r="UOG47" s="117"/>
      <c r="UOH47" s="117"/>
      <c r="UOI47" s="117"/>
      <c r="UOJ47" s="117"/>
      <c r="UOK47" s="117"/>
      <c r="UOL47" s="117"/>
      <c r="UOM47" s="117"/>
      <c r="UON47" s="117"/>
      <c r="UOO47" s="117"/>
      <c r="UOP47" s="117"/>
      <c r="UOQ47" s="117"/>
      <c r="UOR47" s="117"/>
      <c r="UOS47" s="117"/>
      <c r="UOT47" s="117"/>
      <c r="UOU47" s="117"/>
      <c r="UOV47" s="117"/>
      <c r="UOW47" s="117"/>
      <c r="UOX47" s="117"/>
      <c r="UOY47" s="117"/>
      <c r="UOZ47" s="117"/>
      <c r="UPA47" s="117"/>
      <c r="UPB47" s="117"/>
      <c r="UPC47" s="117"/>
      <c r="UPD47" s="117"/>
      <c r="UPE47" s="117"/>
      <c r="UPF47" s="117"/>
      <c r="UPG47" s="117"/>
      <c r="UPH47" s="117"/>
      <c r="UPI47" s="117"/>
      <c r="UPJ47" s="117"/>
      <c r="UPK47" s="117"/>
      <c r="UPL47" s="117"/>
      <c r="UPM47" s="117"/>
      <c r="UPN47" s="117"/>
      <c r="UPO47" s="117"/>
      <c r="UPP47" s="117"/>
      <c r="UPQ47" s="117"/>
      <c r="UPR47" s="117"/>
      <c r="UPS47" s="117"/>
      <c r="UPT47" s="117"/>
      <c r="UPU47" s="117"/>
      <c r="UPV47" s="117"/>
      <c r="UPW47" s="117"/>
      <c r="UPX47" s="117"/>
      <c r="UPY47" s="117"/>
      <c r="UPZ47" s="117"/>
      <c r="UQA47" s="117"/>
      <c r="UQB47" s="117"/>
      <c r="UQC47" s="117"/>
      <c r="UQD47" s="117"/>
      <c r="UQE47" s="117"/>
      <c r="UQF47" s="117"/>
      <c r="UQG47" s="117"/>
      <c r="UQH47" s="117"/>
      <c r="UQI47" s="117"/>
      <c r="UQJ47" s="117"/>
      <c r="UQK47" s="117"/>
      <c r="UQL47" s="117"/>
      <c r="UQM47" s="117"/>
      <c r="UQN47" s="117"/>
      <c r="UQO47" s="117"/>
      <c r="UQP47" s="117"/>
      <c r="UQQ47" s="117"/>
      <c r="UQR47" s="117"/>
      <c r="UQS47" s="117"/>
      <c r="UQT47" s="117"/>
      <c r="UQU47" s="117"/>
      <c r="UQV47" s="117"/>
      <c r="UQW47" s="117"/>
      <c r="UQX47" s="117"/>
      <c r="UQY47" s="117"/>
      <c r="UQZ47" s="117"/>
      <c r="URA47" s="117"/>
      <c r="URB47" s="117"/>
      <c r="URC47" s="117"/>
      <c r="URD47" s="117"/>
      <c r="URE47" s="117"/>
      <c r="URF47" s="117"/>
      <c r="URG47" s="117"/>
      <c r="URH47" s="117"/>
      <c r="URI47" s="117"/>
      <c r="URJ47" s="117"/>
      <c r="URK47" s="117"/>
      <c r="URL47" s="117"/>
      <c r="URM47" s="117"/>
      <c r="URN47" s="117"/>
      <c r="URO47" s="117"/>
      <c r="URP47" s="117"/>
      <c r="URQ47" s="117"/>
      <c r="URR47" s="117"/>
      <c r="URS47" s="117"/>
      <c r="URT47" s="117"/>
      <c r="URU47" s="117"/>
      <c r="URV47" s="117"/>
      <c r="URW47" s="117"/>
      <c r="URX47" s="117"/>
      <c r="URY47" s="117"/>
      <c r="URZ47" s="117"/>
      <c r="USA47" s="117"/>
      <c r="USB47" s="117"/>
      <c r="USC47" s="117"/>
      <c r="USD47" s="117"/>
      <c r="USE47" s="117"/>
      <c r="USF47" s="117"/>
      <c r="USG47" s="117"/>
      <c r="USH47" s="117"/>
      <c r="USI47" s="117"/>
      <c r="USJ47" s="117"/>
      <c r="USK47" s="117"/>
      <c r="USL47" s="117"/>
      <c r="USM47" s="117"/>
      <c r="USN47" s="117"/>
      <c r="USO47" s="117"/>
      <c r="USP47" s="117"/>
      <c r="USQ47" s="117"/>
      <c r="USR47" s="117"/>
      <c r="USS47" s="117"/>
      <c r="UST47" s="117"/>
      <c r="USU47" s="117"/>
      <c r="USV47" s="117"/>
      <c r="USW47" s="117"/>
      <c r="USX47" s="117"/>
      <c r="USY47" s="117"/>
      <c r="USZ47" s="117"/>
      <c r="UTA47" s="117"/>
      <c r="UTB47" s="117"/>
      <c r="UTC47" s="117"/>
      <c r="UTD47" s="117"/>
      <c r="UTE47" s="117"/>
      <c r="UTF47" s="117"/>
      <c r="UTG47" s="117"/>
      <c r="UTH47" s="117"/>
      <c r="UTI47" s="117"/>
      <c r="UTJ47" s="117"/>
      <c r="UTK47" s="117"/>
      <c r="UTL47" s="117"/>
      <c r="UTM47" s="117"/>
      <c r="UTN47" s="117"/>
      <c r="UTO47" s="117"/>
      <c r="UTP47" s="117"/>
      <c r="UTQ47" s="117"/>
      <c r="UTR47" s="117"/>
      <c r="UTS47" s="117"/>
      <c r="UTT47" s="117"/>
      <c r="UTU47" s="117"/>
      <c r="UTV47" s="117"/>
      <c r="UTW47" s="117"/>
      <c r="UTX47" s="117"/>
      <c r="UTY47" s="117"/>
      <c r="UTZ47" s="117"/>
      <c r="UUA47" s="117"/>
      <c r="UUB47" s="117"/>
      <c r="UUC47" s="117"/>
      <c r="UUD47" s="117"/>
      <c r="UUE47" s="117"/>
      <c r="UUF47" s="117"/>
      <c r="UUG47" s="117"/>
      <c r="UUH47" s="117"/>
      <c r="UUI47" s="117"/>
      <c r="UUJ47" s="117"/>
      <c r="UUK47" s="117"/>
      <c r="UUL47" s="117"/>
      <c r="UUM47" s="117"/>
      <c r="UUN47" s="117"/>
      <c r="UUO47" s="117"/>
      <c r="UUP47" s="117"/>
      <c r="UUQ47" s="117"/>
      <c r="UUR47" s="117"/>
      <c r="UUS47" s="117"/>
      <c r="UUT47" s="117"/>
      <c r="UUU47" s="117"/>
      <c r="UUV47" s="117"/>
      <c r="UUW47" s="117"/>
      <c r="UUX47" s="117"/>
      <c r="UUY47" s="117"/>
      <c r="UUZ47" s="117"/>
      <c r="UVA47" s="117"/>
      <c r="UVB47" s="117"/>
      <c r="UVC47" s="117"/>
      <c r="UVD47" s="117"/>
      <c r="UVE47" s="117"/>
      <c r="UVF47" s="117"/>
      <c r="UVG47" s="117"/>
      <c r="UVH47" s="117"/>
      <c r="UVI47" s="117"/>
      <c r="UVJ47" s="117"/>
      <c r="UVK47" s="117"/>
      <c r="UVL47" s="117"/>
      <c r="UVM47" s="117"/>
      <c r="UVN47" s="117"/>
      <c r="UVO47" s="117"/>
      <c r="UVP47" s="117"/>
      <c r="UVQ47" s="117"/>
      <c r="UVR47" s="117"/>
      <c r="UVS47" s="117"/>
      <c r="UVT47" s="117"/>
      <c r="UVU47" s="117"/>
      <c r="UVV47" s="117"/>
      <c r="UVW47" s="117"/>
      <c r="UVX47" s="117"/>
      <c r="UVY47" s="117"/>
      <c r="UVZ47" s="117"/>
      <c r="UWA47" s="117"/>
      <c r="UWB47" s="117"/>
      <c r="UWC47" s="117"/>
      <c r="UWD47" s="117"/>
      <c r="UWE47" s="117"/>
      <c r="UWF47" s="117"/>
      <c r="UWG47" s="117"/>
      <c r="UWH47" s="117"/>
      <c r="UWI47" s="117"/>
      <c r="UWJ47" s="117"/>
      <c r="UWK47" s="117"/>
      <c r="UWL47" s="117"/>
      <c r="UWM47" s="117"/>
      <c r="UWN47" s="117"/>
      <c r="UWO47" s="117"/>
      <c r="UWP47" s="117"/>
      <c r="UWQ47" s="117"/>
      <c r="UWR47" s="117"/>
      <c r="UWS47" s="117"/>
      <c r="UWT47" s="117"/>
      <c r="UWU47" s="117"/>
      <c r="UWV47" s="117"/>
      <c r="UWW47" s="117"/>
      <c r="UWX47" s="117"/>
      <c r="UWY47" s="117"/>
      <c r="UWZ47" s="117"/>
      <c r="UXA47" s="117"/>
      <c r="UXB47" s="117"/>
      <c r="UXC47" s="117"/>
      <c r="UXD47" s="117"/>
      <c r="UXE47" s="117"/>
      <c r="UXF47" s="117"/>
      <c r="UXG47" s="117"/>
      <c r="UXH47" s="117"/>
      <c r="UXI47" s="117"/>
      <c r="UXJ47" s="117"/>
      <c r="UXK47" s="117"/>
      <c r="UXL47" s="117"/>
      <c r="UXM47" s="117"/>
      <c r="UXN47" s="117"/>
      <c r="UXO47" s="117"/>
      <c r="UXP47" s="117"/>
      <c r="UXQ47" s="117"/>
      <c r="UXR47" s="117"/>
      <c r="UXS47" s="117"/>
      <c r="UXT47" s="117"/>
      <c r="UXU47" s="117"/>
      <c r="UXV47" s="117"/>
      <c r="UXW47" s="117"/>
      <c r="UXX47" s="117"/>
      <c r="UXY47" s="117"/>
      <c r="UXZ47" s="117"/>
      <c r="UYA47" s="117"/>
      <c r="UYB47" s="117"/>
      <c r="UYC47" s="117"/>
      <c r="UYD47" s="117"/>
      <c r="UYE47" s="117"/>
      <c r="UYF47" s="117"/>
      <c r="UYG47" s="117"/>
      <c r="UYH47" s="117"/>
      <c r="UYI47" s="117"/>
      <c r="UYJ47" s="117"/>
      <c r="UYK47" s="117"/>
      <c r="UYL47" s="117"/>
      <c r="UYM47" s="117"/>
      <c r="UYN47" s="117"/>
      <c r="UYO47" s="117"/>
      <c r="UYP47" s="117"/>
      <c r="UYQ47" s="117"/>
      <c r="UYR47" s="117"/>
      <c r="UYS47" s="117"/>
      <c r="UYT47" s="117"/>
      <c r="UYU47" s="117"/>
      <c r="UYV47" s="117"/>
      <c r="UYW47" s="117"/>
      <c r="UYX47" s="117"/>
      <c r="UYY47" s="117"/>
      <c r="UYZ47" s="117"/>
      <c r="UZA47" s="117"/>
      <c r="UZB47" s="117"/>
      <c r="UZC47" s="117"/>
      <c r="UZD47" s="117"/>
      <c r="UZE47" s="117"/>
      <c r="UZF47" s="117"/>
      <c r="UZG47" s="117"/>
      <c r="UZH47" s="117"/>
      <c r="UZI47" s="117"/>
      <c r="UZJ47" s="117"/>
      <c r="UZK47" s="117"/>
      <c r="UZL47" s="117"/>
      <c r="UZM47" s="117"/>
      <c r="UZN47" s="117"/>
      <c r="UZO47" s="117"/>
      <c r="UZP47" s="117"/>
      <c r="UZQ47" s="117"/>
      <c r="UZR47" s="117"/>
      <c r="UZS47" s="117"/>
      <c r="UZT47" s="117"/>
      <c r="UZU47" s="117"/>
      <c r="UZV47" s="117"/>
      <c r="UZW47" s="117"/>
      <c r="UZX47" s="117"/>
      <c r="UZY47" s="117"/>
      <c r="UZZ47" s="117"/>
      <c r="VAA47" s="117"/>
      <c r="VAB47" s="117"/>
      <c r="VAC47" s="117"/>
      <c r="VAD47" s="117"/>
      <c r="VAE47" s="117"/>
      <c r="VAF47" s="117"/>
      <c r="VAG47" s="117"/>
      <c r="VAH47" s="117"/>
      <c r="VAI47" s="117"/>
      <c r="VAJ47" s="117"/>
      <c r="VAK47" s="117"/>
      <c r="VAL47" s="117"/>
      <c r="VAM47" s="117"/>
      <c r="VAN47" s="117"/>
      <c r="VAO47" s="117"/>
      <c r="VAP47" s="117"/>
      <c r="VAQ47" s="117"/>
      <c r="VAR47" s="117"/>
      <c r="VAS47" s="117"/>
      <c r="VAT47" s="117"/>
      <c r="VAU47" s="117"/>
      <c r="VAV47" s="117"/>
      <c r="VAW47" s="117"/>
      <c r="VAX47" s="117"/>
      <c r="VAY47" s="117"/>
      <c r="VAZ47" s="117"/>
      <c r="VBA47" s="117"/>
      <c r="VBB47" s="117"/>
      <c r="VBC47" s="117"/>
      <c r="VBD47" s="117"/>
      <c r="VBE47" s="117"/>
      <c r="VBF47" s="117"/>
      <c r="VBG47" s="117"/>
      <c r="VBH47" s="117"/>
      <c r="VBI47" s="117"/>
      <c r="VBJ47" s="117"/>
      <c r="VBK47" s="117"/>
      <c r="VBL47" s="117"/>
      <c r="VBM47" s="117"/>
      <c r="VBN47" s="117"/>
      <c r="VBO47" s="117"/>
      <c r="VBP47" s="117"/>
      <c r="VBQ47" s="117"/>
      <c r="VBR47" s="117"/>
      <c r="VBS47" s="117"/>
      <c r="VBT47" s="117"/>
      <c r="VBU47" s="117"/>
      <c r="VBV47" s="117"/>
      <c r="VBW47" s="117"/>
      <c r="VBX47" s="117"/>
      <c r="VBY47" s="117"/>
      <c r="VBZ47" s="117"/>
      <c r="VCA47" s="117"/>
      <c r="VCB47" s="117"/>
      <c r="VCC47" s="117"/>
      <c r="VCD47" s="117"/>
      <c r="VCE47" s="117"/>
      <c r="VCF47" s="117"/>
      <c r="VCG47" s="117"/>
      <c r="VCH47" s="117"/>
      <c r="VCI47" s="117"/>
      <c r="VCJ47" s="117"/>
      <c r="VCK47" s="117"/>
      <c r="VCL47" s="117"/>
      <c r="VCM47" s="117"/>
      <c r="VCN47" s="117"/>
      <c r="VCO47" s="117"/>
      <c r="VCP47" s="117"/>
      <c r="VCQ47" s="117"/>
      <c r="VCR47" s="117"/>
      <c r="VCS47" s="117"/>
      <c r="VCT47" s="117"/>
      <c r="VCU47" s="117"/>
      <c r="VCV47" s="117"/>
      <c r="VCW47" s="117"/>
      <c r="VCX47" s="117"/>
      <c r="VCY47" s="117"/>
      <c r="VCZ47" s="117"/>
      <c r="VDA47" s="117"/>
      <c r="VDB47" s="117"/>
      <c r="VDC47" s="117"/>
      <c r="VDD47" s="117"/>
      <c r="VDE47" s="117"/>
      <c r="VDF47" s="117"/>
      <c r="VDG47" s="117"/>
      <c r="VDH47" s="117"/>
      <c r="VDI47" s="117"/>
      <c r="VDJ47" s="117"/>
      <c r="VDK47" s="117"/>
      <c r="VDL47" s="117"/>
      <c r="VDM47" s="117"/>
      <c r="VDN47" s="117"/>
      <c r="VDO47" s="117"/>
      <c r="VDP47" s="117"/>
      <c r="VDQ47" s="117"/>
      <c r="VDR47" s="117"/>
      <c r="VDS47" s="117"/>
      <c r="VDT47" s="117"/>
      <c r="VDU47" s="117"/>
      <c r="VDV47" s="117"/>
      <c r="VDW47" s="117"/>
      <c r="VDX47" s="117"/>
      <c r="VDY47" s="117"/>
      <c r="VDZ47" s="117"/>
      <c r="VEA47" s="117"/>
      <c r="VEB47" s="117"/>
      <c r="VEC47" s="117"/>
      <c r="VED47" s="117"/>
      <c r="VEE47" s="117"/>
      <c r="VEF47" s="117"/>
      <c r="VEG47" s="117"/>
      <c r="VEH47" s="117"/>
      <c r="VEI47" s="117"/>
      <c r="VEJ47" s="117"/>
      <c r="VEK47" s="117"/>
      <c r="VEL47" s="117"/>
      <c r="VEM47" s="117"/>
      <c r="VEN47" s="117"/>
      <c r="VEO47" s="117"/>
      <c r="VEP47" s="117"/>
      <c r="VEQ47" s="117"/>
      <c r="VER47" s="117"/>
      <c r="VES47" s="117"/>
      <c r="VET47" s="117"/>
      <c r="VEU47" s="117"/>
      <c r="VEV47" s="117"/>
      <c r="VEW47" s="117"/>
      <c r="VEX47" s="117"/>
      <c r="VEY47" s="117"/>
      <c r="VEZ47" s="117"/>
      <c r="VFA47" s="117"/>
      <c r="VFB47" s="117"/>
      <c r="VFC47" s="117"/>
      <c r="VFD47" s="117"/>
      <c r="VFE47" s="117"/>
      <c r="VFF47" s="117"/>
      <c r="VFG47" s="117"/>
      <c r="VFH47" s="117"/>
      <c r="VFI47" s="117"/>
      <c r="VFJ47" s="117"/>
      <c r="VFK47" s="117"/>
      <c r="VFL47" s="117"/>
      <c r="VFM47" s="117"/>
      <c r="VFN47" s="117"/>
      <c r="VFO47" s="117"/>
      <c r="VFP47" s="117"/>
      <c r="VFQ47" s="117"/>
      <c r="VFR47" s="117"/>
      <c r="VFS47" s="117"/>
      <c r="VFT47" s="117"/>
      <c r="VFU47" s="117"/>
      <c r="VFV47" s="117"/>
      <c r="VFW47" s="117"/>
      <c r="VFX47" s="117"/>
      <c r="VFY47" s="117"/>
      <c r="VFZ47" s="117"/>
      <c r="VGA47" s="117"/>
      <c r="VGB47" s="117"/>
      <c r="VGC47" s="117"/>
      <c r="VGD47" s="117"/>
      <c r="VGE47" s="117"/>
      <c r="VGF47" s="117"/>
      <c r="VGG47" s="117"/>
      <c r="VGH47" s="117"/>
      <c r="VGI47" s="117"/>
      <c r="VGJ47" s="117"/>
      <c r="VGK47" s="117"/>
      <c r="VGL47" s="117"/>
      <c r="VGM47" s="117"/>
      <c r="VGN47" s="117"/>
      <c r="VGO47" s="117"/>
      <c r="VGP47" s="117"/>
      <c r="VGQ47" s="117"/>
      <c r="VGR47" s="117"/>
      <c r="VGS47" s="117"/>
      <c r="VGT47" s="117"/>
      <c r="VGU47" s="117"/>
      <c r="VGV47" s="117"/>
      <c r="VGW47" s="117"/>
      <c r="VGX47" s="117"/>
      <c r="VGY47" s="117"/>
      <c r="VGZ47" s="117"/>
      <c r="VHA47" s="117"/>
      <c r="VHB47" s="117"/>
      <c r="VHC47" s="117"/>
      <c r="VHD47" s="117"/>
      <c r="VHE47" s="117"/>
      <c r="VHF47" s="117"/>
      <c r="VHG47" s="117"/>
      <c r="VHH47" s="117"/>
      <c r="VHI47" s="117"/>
      <c r="VHJ47" s="117"/>
      <c r="VHK47" s="117"/>
      <c r="VHL47" s="117"/>
      <c r="VHM47" s="117"/>
      <c r="VHN47" s="117"/>
      <c r="VHO47" s="117"/>
      <c r="VHP47" s="117"/>
      <c r="VHQ47" s="117"/>
      <c r="VHR47" s="117"/>
      <c r="VHS47" s="117"/>
      <c r="VHT47" s="117"/>
      <c r="VHU47" s="117"/>
      <c r="VHV47" s="117"/>
      <c r="VHW47" s="117"/>
      <c r="VHX47" s="117"/>
      <c r="VHY47" s="117"/>
      <c r="VHZ47" s="117"/>
      <c r="VIA47" s="117"/>
      <c r="VIB47" s="117"/>
      <c r="VIC47" s="117"/>
      <c r="VID47" s="117"/>
      <c r="VIE47" s="117"/>
      <c r="VIF47" s="117"/>
      <c r="VIG47" s="117"/>
      <c r="VIH47" s="117"/>
      <c r="VII47" s="117"/>
      <c r="VIJ47" s="117"/>
      <c r="VIK47" s="117"/>
      <c r="VIL47" s="117"/>
      <c r="VIM47" s="117"/>
      <c r="VIN47" s="117"/>
      <c r="VIO47" s="117"/>
      <c r="VIP47" s="117"/>
      <c r="VIQ47" s="117"/>
      <c r="VIR47" s="117"/>
      <c r="VIS47" s="117"/>
      <c r="VIT47" s="117"/>
      <c r="VIU47" s="117"/>
      <c r="VIV47" s="117"/>
      <c r="VIW47" s="117"/>
      <c r="VIX47" s="117"/>
      <c r="VIY47" s="117"/>
      <c r="VIZ47" s="117"/>
      <c r="VJA47" s="117"/>
      <c r="VJB47" s="117"/>
      <c r="VJC47" s="117"/>
      <c r="VJD47" s="117"/>
      <c r="VJE47" s="117"/>
      <c r="VJF47" s="117"/>
      <c r="VJG47" s="117"/>
      <c r="VJH47" s="117"/>
      <c r="VJI47" s="117"/>
      <c r="VJJ47" s="117"/>
      <c r="VJK47" s="117"/>
      <c r="VJL47" s="117"/>
      <c r="VJM47" s="117"/>
      <c r="VJN47" s="117"/>
      <c r="VJO47" s="117"/>
      <c r="VJP47" s="117"/>
      <c r="VJQ47" s="117"/>
      <c r="VJR47" s="117"/>
      <c r="VJS47" s="117"/>
      <c r="VJT47" s="117"/>
      <c r="VJU47" s="117"/>
      <c r="VJV47" s="117"/>
      <c r="VJW47" s="117"/>
      <c r="VJX47" s="117"/>
      <c r="VJY47" s="117"/>
      <c r="VJZ47" s="117"/>
      <c r="VKA47" s="117"/>
      <c r="VKB47" s="117"/>
      <c r="VKC47" s="117"/>
      <c r="VKD47" s="117"/>
      <c r="VKE47" s="117"/>
      <c r="VKF47" s="117"/>
      <c r="VKG47" s="117"/>
      <c r="VKH47" s="117"/>
      <c r="VKI47" s="117"/>
      <c r="VKJ47" s="117"/>
      <c r="VKK47" s="117"/>
      <c r="VKL47" s="117"/>
      <c r="VKM47" s="117"/>
      <c r="VKN47" s="117"/>
      <c r="VKO47" s="117"/>
      <c r="VKP47" s="117"/>
      <c r="VKQ47" s="117"/>
      <c r="VKR47" s="117"/>
      <c r="VKS47" s="117"/>
      <c r="VKT47" s="117"/>
      <c r="VKU47" s="117"/>
      <c r="VKV47" s="117"/>
      <c r="VKW47" s="117"/>
      <c r="VKX47" s="117"/>
      <c r="VKY47" s="117"/>
      <c r="VKZ47" s="117"/>
      <c r="VLA47" s="117"/>
      <c r="VLB47" s="117"/>
      <c r="VLC47" s="117"/>
      <c r="VLD47" s="117"/>
      <c r="VLE47" s="117"/>
      <c r="VLF47" s="117"/>
      <c r="VLG47" s="117"/>
      <c r="VLH47" s="117"/>
      <c r="VLI47" s="117"/>
      <c r="VLJ47" s="117"/>
      <c r="VLK47" s="117"/>
      <c r="VLL47" s="117"/>
      <c r="VLM47" s="117"/>
      <c r="VLN47" s="117"/>
      <c r="VLO47" s="117"/>
      <c r="VLP47" s="117"/>
      <c r="VLQ47" s="117"/>
      <c r="VLR47" s="117"/>
      <c r="VLS47" s="117"/>
      <c r="VLT47" s="117"/>
      <c r="VLU47" s="117"/>
      <c r="VLV47" s="117"/>
      <c r="VLW47" s="117"/>
      <c r="VLX47" s="117"/>
      <c r="VLY47" s="117"/>
      <c r="VLZ47" s="117"/>
      <c r="VMA47" s="117"/>
      <c r="VMB47" s="117"/>
      <c r="VMC47" s="117"/>
      <c r="VMD47" s="117"/>
      <c r="VME47" s="117"/>
      <c r="VMF47" s="117"/>
      <c r="VMG47" s="117"/>
      <c r="VMH47" s="117"/>
      <c r="VMI47" s="117"/>
      <c r="VMJ47" s="117"/>
      <c r="VMK47" s="117"/>
      <c r="VML47" s="117"/>
      <c r="VMM47" s="117"/>
      <c r="VMN47" s="117"/>
      <c r="VMO47" s="117"/>
      <c r="VMP47" s="117"/>
      <c r="VMQ47" s="117"/>
      <c r="VMR47" s="117"/>
      <c r="VMS47" s="117"/>
      <c r="VMT47" s="117"/>
      <c r="VMU47" s="117"/>
      <c r="VMV47" s="117"/>
      <c r="VMW47" s="117"/>
      <c r="VMX47" s="117"/>
      <c r="VMY47" s="117"/>
      <c r="VMZ47" s="117"/>
      <c r="VNA47" s="117"/>
      <c r="VNB47" s="117"/>
      <c r="VNC47" s="117"/>
      <c r="VND47" s="117"/>
      <c r="VNE47" s="117"/>
      <c r="VNF47" s="117"/>
      <c r="VNG47" s="117"/>
      <c r="VNH47" s="117"/>
      <c r="VNI47" s="117"/>
      <c r="VNJ47" s="117"/>
      <c r="VNK47" s="117"/>
      <c r="VNL47" s="117"/>
      <c r="VNM47" s="117"/>
      <c r="VNN47" s="117"/>
      <c r="VNO47" s="117"/>
      <c r="VNP47" s="117"/>
      <c r="VNQ47" s="117"/>
      <c r="VNR47" s="117"/>
      <c r="VNS47" s="117"/>
      <c r="VNT47" s="117"/>
      <c r="VNU47" s="117"/>
      <c r="VNV47" s="117"/>
      <c r="VNW47" s="117"/>
      <c r="VNX47" s="117"/>
      <c r="VNY47" s="117"/>
      <c r="VNZ47" s="117"/>
      <c r="VOA47" s="117"/>
      <c r="VOB47" s="117"/>
      <c r="VOC47" s="117"/>
      <c r="VOD47" s="117"/>
      <c r="VOE47" s="117"/>
      <c r="VOF47" s="117"/>
      <c r="VOG47" s="117"/>
      <c r="VOH47" s="117"/>
      <c r="VOI47" s="117"/>
      <c r="VOJ47" s="117"/>
      <c r="VOK47" s="117"/>
      <c r="VOL47" s="117"/>
      <c r="VOM47" s="117"/>
      <c r="VON47" s="117"/>
      <c r="VOO47" s="117"/>
      <c r="VOP47" s="117"/>
      <c r="VOQ47" s="117"/>
      <c r="VOR47" s="117"/>
      <c r="VOS47" s="117"/>
      <c r="VOT47" s="117"/>
      <c r="VOU47" s="117"/>
      <c r="VOV47" s="117"/>
      <c r="VOW47" s="117"/>
      <c r="VOX47" s="117"/>
      <c r="VOY47" s="117"/>
      <c r="VOZ47" s="117"/>
      <c r="VPA47" s="117"/>
      <c r="VPB47" s="117"/>
      <c r="VPC47" s="117"/>
      <c r="VPD47" s="117"/>
      <c r="VPE47" s="117"/>
      <c r="VPF47" s="117"/>
      <c r="VPG47" s="117"/>
      <c r="VPH47" s="117"/>
      <c r="VPI47" s="117"/>
      <c r="VPJ47" s="117"/>
      <c r="VPK47" s="117"/>
      <c r="VPL47" s="117"/>
      <c r="VPM47" s="117"/>
      <c r="VPN47" s="117"/>
      <c r="VPO47" s="117"/>
      <c r="VPP47" s="117"/>
      <c r="VPQ47" s="117"/>
      <c r="VPR47" s="117"/>
      <c r="VPS47" s="117"/>
      <c r="VPT47" s="117"/>
      <c r="VPU47" s="117"/>
      <c r="VPV47" s="117"/>
      <c r="VPW47" s="117"/>
      <c r="VPX47" s="117"/>
      <c r="VPY47" s="117"/>
      <c r="VPZ47" s="117"/>
      <c r="VQA47" s="117"/>
      <c r="VQB47" s="117"/>
      <c r="VQC47" s="117"/>
      <c r="VQD47" s="117"/>
      <c r="VQE47" s="117"/>
      <c r="VQF47" s="117"/>
      <c r="VQG47" s="117"/>
      <c r="VQH47" s="117"/>
      <c r="VQI47" s="117"/>
      <c r="VQJ47" s="117"/>
      <c r="VQK47" s="117"/>
      <c r="VQL47" s="117"/>
      <c r="VQM47" s="117"/>
      <c r="VQN47" s="117"/>
      <c r="VQO47" s="117"/>
      <c r="VQP47" s="117"/>
      <c r="VQQ47" s="117"/>
      <c r="VQR47" s="117"/>
      <c r="VQS47" s="117"/>
      <c r="VQT47" s="117"/>
      <c r="VQU47" s="117"/>
      <c r="VQV47" s="117"/>
      <c r="VQW47" s="117"/>
      <c r="VQX47" s="117"/>
      <c r="VQY47" s="117"/>
      <c r="VQZ47" s="117"/>
      <c r="VRA47" s="117"/>
      <c r="VRB47" s="117"/>
      <c r="VRC47" s="117"/>
      <c r="VRD47" s="117"/>
      <c r="VRE47" s="117"/>
      <c r="VRF47" s="117"/>
      <c r="VRG47" s="117"/>
      <c r="VRH47" s="117"/>
      <c r="VRI47" s="117"/>
      <c r="VRJ47" s="117"/>
      <c r="VRK47" s="117"/>
      <c r="VRL47" s="117"/>
      <c r="VRM47" s="117"/>
      <c r="VRN47" s="117"/>
      <c r="VRO47" s="117"/>
      <c r="VRP47" s="117"/>
      <c r="VRQ47" s="117"/>
      <c r="VRR47" s="117"/>
      <c r="VRS47" s="117"/>
      <c r="VRT47" s="117"/>
      <c r="VRU47" s="117"/>
      <c r="VRV47" s="117"/>
      <c r="VRW47" s="117"/>
      <c r="VRX47" s="117"/>
      <c r="VRY47" s="117"/>
      <c r="VRZ47" s="117"/>
      <c r="VSA47" s="117"/>
      <c r="VSB47" s="117"/>
      <c r="VSC47" s="117"/>
      <c r="VSD47" s="117"/>
      <c r="VSE47" s="117"/>
      <c r="VSF47" s="117"/>
      <c r="VSG47" s="117"/>
      <c r="VSH47" s="117"/>
      <c r="VSI47" s="117"/>
      <c r="VSJ47" s="117"/>
      <c r="VSK47" s="117"/>
      <c r="VSL47" s="117"/>
      <c r="VSM47" s="117"/>
      <c r="VSN47" s="117"/>
      <c r="VSO47" s="117"/>
      <c r="VSP47" s="117"/>
      <c r="VSQ47" s="117"/>
      <c r="VSR47" s="117"/>
      <c r="VSS47" s="117"/>
      <c r="VST47" s="117"/>
      <c r="VSU47" s="117"/>
      <c r="VSV47" s="117"/>
      <c r="VSW47" s="117"/>
      <c r="VSX47" s="117"/>
      <c r="VSY47" s="117"/>
      <c r="VSZ47" s="117"/>
      <c r="VTA47" s="117"/>
      <c r="VTB47" s="117"/>
      <c r="VTC47" s="117"/>
      <c r="VTD47" s="117"/>
      <c r="VTE47" s="117"/>
      <c r="VTF47" s="117"/>
      <c r="VTG47" s="117"/>
      <c r="VTH47" s="117"/>
      <c r="VTI47" s="117"/>
      <c r="VTJ47" s="117"/>
      <c r="VTK47" s="117"/>
      <c r="VTL47" s="117"/>
      <c r="VTM47" s="117"/>
      <c r="VTN47" s="117"/>
      <c r="VTO47" s="117"/>
      <c r="VTP47" s="117"/>
      <c r="VTQ47" s="117"/>
      <c r="VTR47" s="117"/>
      <c r="VTS47" s="117"/>
      <c r="VTT47" s="117"/>
      <c r="VTU47" s="117"/>
      <c r="VTV47" s="117"/>
      <c r="VTW47" s="117"/>
      <c r="VTX47" s="117"/>
      <c r="VTY47" s="117"/>
      <c r="VTZ47" s="117"/>
      <c r="VUA47" s="117"/>
      <c r="VUB47" s="117"/>
      <c r="VUC47" s="117"/>
      <c r="VUD47" s="117"/>
      <c r="VUE47" s="117"/>
      <c r="VUF47" s="117"/>
      <c r="VUG47" s="117"/>
      <c r="VUH47" s="117"/>
      <c r="VUI47" s="117"/>
      <c r="VUJ47" s="117"/>
      <c r="VUK47" s="117"/>
      <c r="VUL47" s="117"/>
      <c r="VUM47" s="117"/>
      <c r="VUN47" s="117"/>
      <c r="VUO47" s="117"/>
      <c r="VUP47" s="117"/>
      <c r="VUQ47" s="117"/>
      <c r="VUR47" s="117"/>
      <c r="VUS47" s="117"/>
      <c r="VUT47" s="117"/>
      <c r="VUU47" s="117"/>
      <c r="VUV47" s="117"/>
      <c r="VUW47" s="117"/>
      <c r="VUX47" s="117"/>
      <c r="VUY47" s="117"/>
      <c r="VUZ47" s="117"/>
      <c r="VVA47" s="117"/>
      <c r="VVB47" s="117"/>
      <c r="VVC47" s="117"/>
      <c r="VVD47" s="117"/>
      <c r="VVE47" s="117"/>
      <c r="VVF47" s="117"/>
      <c r="VVG47" s="117"/>
      <c r="VVH47" s="117"/>
      <c r="VVI47" s="117"/>
      <c r="VVJ47" s="117"/>
      <c r="VVK47" s="117"/>
      <c r="VVL47" s="117"/>
      <c r="VVM47" s="117"/>
      <c r="VVN47" s="117"/>
      <c r="VVO47" s="117"/>
      <c r="VVP47" s="117"/>
      <c r="VVQ47" s="117"/>
      <c r="VVR47" s="117"/>
      <c r="VVS47" s="117"/>
      <c r="VVT47" s="117"/>
      <c r="VVU47" s="117"/>
      <c r="VVV47" s="117"/>
      <c r="VVW47" s="117"/>
      <c r="VVX47" s="117"/>
      <c r="VVY47" s="117"/>
      <c r="VVZ47" s="117"/>
      <c r="VWA47" s="117"/>
      <c r="VWB47" s="117"/>
      <c r="VWC47" s="117"/>
      <c r="VWD47" s="117"/>
      <c r="VWE47" s="117"/>
      <c r="VWF47" s="117"/>
      <c r="VWG47" s="117"/>
      <c r="VWH47" s="117"/>
      <c r="VWI47" s="117"/>
      <c r="VWJ47" s="117"/>
      <c r="VWK47" s="117"/>
      <c r="VWL47" s="117"/>
      <c r="VWM47" s="117"/>
      <c r="VWN47" s="117"/>
      <c r="VWO47" s="117"/>
      <c r="VWP47" s="117"/>
      <c r="VWQ47" s="117"/>
      <c r="VWR47" s="117"/>
      <c r="VWS47" s="117"/>
      <c r="VWT47" s="117"/>
      <c r="VWU47" s="117"/>
      <c r="VWV47" s="117"/>
      <c r="VWW47" s="117"/>
      <c r="VWX47" s="117"/>
      <c r="VWY47" s="117"/>
      <c r="VWZ47" s="117"/>
      <c r="VXA47" s="117"/>
      <c r="VXB47" s="117"/>
      <c r="VXC47" s="117"/>
      <c r="VXD47" s="117"/>
      <c r="VXE47" s="117"/>
      <c r="VXF47" s="117"/>
      <c r="VXG47" s="117"/>
      <c r="VXH47" s="117"/>
      <c r="VXI47" s="117"/>
      <c r="VXJ47" s="117"/>
      <c r="VXK47" s="117"/>
      <c r="VXL47" s="117"/>
      <c r="VXM47" s="117"/>
      <c r="VXN47" s="117"/>
      <c r="VXO47" s="117"/>
      <c r="VXP47" s="117"/>
      <c r="VXQ47" s="117"/>
      <c r="VXR47" s="117"/>
      <c r="VXS47" s="117"/>
      <c r="VXT47" s="117"/>
      <c r="VXU47" s="117"/>
      <c r="VXV47" s="117"/>
      <c r="VXW47" s="117"/>
      <c r="VXX47" s="117"/>
      <c r="VXY47" s="117"/>
      <c r="VXZ47" s="117"/>
      <c r="VYA47" s="117"/>
      <c r="VYB47" s="117"/>
      <c r="VYC47" s="117"/>
      <c r="VYD47" s="117"/>
      <c r="VYE47" s="117"/>
      <c r="VYF47" s="117"/>
      <c r="VYG47" s="117"/>
      <c r="VYH47" s="117"/>
      <c r="VYI47" s="117"/>
      <c r="VYJ47" s="117"/>
      <c r="VYK47" s="117"/>
      <c r="VYL47" s="117"/>
      <c r="VYM47" s="117"/>
      <c r="VYN47" s="117"/>
      <c r="VYO47" s="117"/>
      <c r="VYP47" s="117"/>
      <c r="VYQ47" s="117"/>
      <c r="VYR47" s="117"/>
      <c r="VYS47" s="117"/>
      <c r="VYT47" s="117"/>
      <c r="VYU47" s="117"/>
      <c r="VYV47" s="117"/>
      <c r="VYW47" s="117"/>
      <c r="VYX47" s="117"/>
      <c r="VYY47" s="117"/>
      <c r="VYZ47" s="117"/>
      <c r="VZA47" s="117"/>
      <c r="VZB47" s="117"/>
      <c r="VZC47" s="117"/>
      <c r="VZD47" s="117"/>
      <c r="VZE47" s="117"/>
      <c r="VZF47" s="117"/>
      <c r="VZG47" s="117"/>
      <c r="VZH47" s="117"/>
      <c r="VZI47" s="117"/>
      <c r="VZJ47" s="117"/>
      <c r="VZK47" s="117"/>
      <c r="VZL47" s="117"/>
      <c r="VZM47" s="117"/>
      <c r="VZN47" s="117"/>
      <c r="VZO47" s="117"/>
      <c r="VZP47" s="117"/>
      <c r="VZQ47" s="117"/>
      <c r="VZR47" s="117"/>
      <c r="VZS47" s="117"/>
      <c r="VZT47" s="117"/>
      <c r="VZU47" s="117"/>
      <c r="VZV47" s="117"/>
      <c r="VZW47" s="117"/>
      <c r="VZX47" s="117"/>
      <c r="VZY47" s="117"/>
      <c r="VZZ47" s="117"/>
      <c r="WAA47" s="117"/>
      <c r="WAB47" s="117"/>
      <c r="WAC47" s="117"/>
      <c r="WAD47" s="117"/>
      <c r="WAE47" s="117"/>
      <c r="WAF47" s="117"/>
      <c r="WAG47" s="117"/>
      <c r="WAH47" s="117"/>
      <c r="WAI47" s="117"/>
      <c r="WAJ47" s="117"/>
      <c r="WAK47" s="117"/>
      <c r="WAL47" s="117"/>
      <c r="WAM47" s="117"/>
      <c r="WAN47" s="117"/>
      <c r="WAO47" s="117"/>
      <c r="WAP47" s="117"/>
      <c r="WAQ47" s="117"/>
      <c r="WAR47" s="117"/>
      <c r="WAS47" s="117"/>
      <c r="WAT47" s="117"/>
      <c r="WAU47" s="117"/>
      <c r="WAV47" s="117"/>
      <c r="WAW47" s="117"/>
      <c r="WAX47" s="117"/>
      <c r="WAY47" s="117"/>
      <c r="WAZ47" s="117"/>
      <c r="WBA47" s="117"/>
      <c r="WBB47" s="117"/>
      <c r="WBC47" s="117"/>
      <c r="WBD47" s="117"/>
      <c r="WBE47" s="117"/>
      <c r="WBF47" s="117"/>
      <c r="WBG47" s="117"/>
      <c r="WBH47" s="117"/>
      <c r="WBI47" s="117"/>
      <c r="WBJ47" s="117"/>
      <c r="WBK47" s="117"/>
      <c r="WBL47" s="117"/>
      <c r="WBM47" s="117"/>
      <c r="WBN47" s="117"/>
      <c r="WBO47" s="117"/>
      <c r="WBP47" s="117"/>
      <c r="WBQ47" s="117"/>
      <c r="WBR47" s="117"/>
      <c r="WBS47" s="117"/>
      <c r="WBT47" s="117"/>
      <c r="WBU47" s="117"/>
      <c r="WBV47" s="117"/>
      <c r="WBW47" s="117"/>
      <c r="WBX47" s="117"/>
      <c r="WBY47" s="117"/>
      <c r="WBZ47" s="117"/>
      <c r="WCA47" s="117"/>
      <c r="WCB47" s="117"/>
      <c r="WCC47" s="117"/>
      <c r="WCD47" s="117"/>
      <c r="WCE47" s="117"/>
      <c r="WCF47" s="117"/>
      <c r="WCG47" s="117"/>
      <c r="WCH47" s="117"/>
      <c r="WCI47" s="117"/>
      <c r="WCJ47" s="117"/>
      <c r="WCK47" s="117"/>
      <c r="WCL47" s="117"/>
      <c r="WCM47" s="117"/>
      <c r="WCN47" s="117"/>
      <c r="WCO47" s="117"/>
      <c r="WCP47" s="117"/>
      <c r="WCQ47" s="117"/>
      <c r="WCR47" s="117"/>
      <c r="WCS47" s="117"/>
      <c r="WCT47" s="117"/>
      <c r="WCU47" s="117"/>
      <c r="WCV47" s="117"/>
      <c r="WCW47" s="117"/>
      <c r="WCX47" s="117"/>
      <c r="WCY47" s="117"/>
      <c r="WCZ47" s="117"/>
      <c r="WDA47" s="117"/>
      <c r="WDB47" s="117"/>
      <c r="WDC47" s="117"/>
      <c r="WDD47" s="117"/>
      <c r="WDE47" s="117"/>
      <c r="WDF47" s="117"/>
      <c r="WDG47" s="117"/>
      <c r="WDH47" s="117"/>
      <c r="WDI47" s="117"/>
      <c r="WDJ47" s="117"/>
      <c r="WDK47" s="117"/>
      <c r="WDL47" s="117"/>
      <c r="WDM47" s="117"/>
      <c r="WDN47" s="117"/>
      <c r="WDO47" s="117"/>
      <c r="WDP47" s="117"/>
      <c r="WDQ47" s="117"/>
      <c r="WDR47" s="117"/>
      <c r="WDS47" s="117"/>
      <c r="WDT47" s="117"/>
      <c r="WDU47" s="117"/>
      <c r="WDV47" s="117"/>
      <c r="WDW47" s="117"/>
      <c r="WDX47" s="117"/>
      <c r="WDY47" s="117"/>
      <c r="WDZ47" s="117"/>
      <c r="WEA47" s="117"/>
      <c r="WEB47" s="117"/>
      <c r="WEC47" s="117"/>
      <c r="WED47" s="117"/>
      <c r="WEE47" s="117"/>
      <c r="WEF47" s="117"/>
      <c r="WEG47" s="117"/>
      <c r="WEH47" s="117"/>
      <c r="WEI47" s="117"/>
      <c r="WEJ47" s="117"/>
      <c r="WEK47" s="117"/>
      <c r="WEL47" s="117"/>
      <c r="WEM47" s="117"/>
      <c r="WEN47" s="117"/>
      <c r="WEO47" s="117"/>
      <c r="WEP47" s="117"/>
      <c r="WEQ47" s="117"/>
      <c r="WER47" s="117"/>
      <c r="WES47" s="117"/>
      <c r="WET47" s="117"/>
      <c r="WEU47" s="117"/>
      <c r="WEV47" s="117"/>
      <c r="WEW47" s="117"/>
      <c r="WEX47" s="117"/>
      <c r="WEY47" s="117"/>
      <c r="WEZ47" s="117"/>
      <c r="WFA47" s="117"/>
      <c r="WFB47" s="117"/>
      <c r="WFC47" s="117"/>
      <c r="WFD47" s="117"/>
      <c r="WFE47" s="117"/>
      <c r="WFF47" s="117"/>
      <c r="WFG47" s="117"/>
      <c r="WFH47" s="117"/>
      <c r="WFI47" s="117"/>
      <c r="WFJ47" s="117"/>
      <c r="WFK47" s="117"/>
      <c r="WFL47" s="117"/>
      <c r="WFM47" s="117"/>
      <c r="WFN47" s="117"/>
      <c r="WFO47" s="117"/>
      <c r="WFP47" s="117"/>
      <c r="WFQ47" s="117"/>
      <c r="WFR47" s="117"/>
      <c r="WFS47" s="117"/>
      <c r="WFT47" s="117"/>
      <c r="WFU47" s="117"/>
      <c r="WFV47" s="117"/>
      <c r="WFW47" s="117"/>
      <c r="WFX47" s="117"/>
      <c r="WFY47" s="117"/>
      <c r="WFZ47" s="117"/>
      <c r="WGA47" s="117"/>
      <c r="WGB47" s="117"/>
      <c r="WGC47" s="117"/>
      <c r="WGD47" s="117"/>
      <c r="WGE47" s="117"/>
      <c r="WGF47" s="117"/>
      <c r="WGG47" s="117"/>
      <c r="WGH47" s="117"/>
      <c r="WGI47" s="117"/>
      <c r="WGJ47" s="117"/>
      <c r="WGK47" s="117"/>
      <c r="WGL47" s="117"/>
      <c r="WGM47" s="117"/>
      <c r="WGN47" s="117"/>
      <c r="WGO47" s="117"/>
      <c r="WGP47" s="117"/>
      <c r="WGQ47" s="117"/>
      <c r="WGR47" s="117"/>
      <c r="WGS47" s="117"/>
      <c r="WGT47" s="117"/>
      <c r="WGU47" s="117"/>
      <c r="WGV47" s="117"/>
      <c r="WGW47" s="117"/>
      <c r="WGX47" s="117"/>
      <c r="WGY47" s="117"/>
      <c r="WGZ47" s="117"/>
      <c r="WHA47" s="117"/>
      <c r="WHB47" s="117"/>
      <c r="WHC47" s="117"/>
      <c r="WHD47" s="117"/>
      <c r="WHE47" s="117"/>
      <c r="WHF47" s="117"/>
      <c r="WHG47" s="117"/>
      <c r="WHH47" s="117"/>
      <c r="WHI47" s="117"/>
      <c r="WHJ47" s="117"/>
      <c r="WHK47" s="117"/>
      <c r="WHL47" s="117"/>
      <c r="WHM47" s="117"/>
      <c r="WHN47" s="117"/>
      <c r="WHO47" s="117"/>
      <c r="WHP47" s="117"/>
      <c r="WHQ47" s="117"/>
      <c r="WHR47" s="117"/>
      <c r="WHS47" s="117"/>
      <c r="WHT47" s="117"/>
      <c r="WHU47" s="117"/>
      <c r="WHV47" s="117"/>
      <c r="WHW47" s="117"/>
      <c r="WHX47" s="117"/>
      <c r="WHY47" s="117"/>
      <c r="WHZ47" s="117"/>
      <c r="WIA47" s="117"/>
      <c r="WIB47" s="117"/>
      <c r="WIC47" s="117"/>
      <c r="WID47" s="117"/>
      <c r="WIE47" s="117"/>
      <c r="WIF47" s="117"/>
      <c r="WIG47" s="117"/>
      <c r="WIH47" s="117"/>
      <c r="WII47" s="117"/>
      <c r="WIJ47" s="117"/>
      <c r="WIK47" s="117"/>
      <c r="WIL47" s="117"/>
      <c r="WIM47" s="117"/>
      <c r="WIN47" s="117"/>
      <c r="WIO47" s="117"/>
      <c r="WIP47" s="117"/>
      <c r="WIQ47" s="117"/>
      <c r="WIR47" s="117"/>
      <c r="WIS47" s="117"/>
      <c r="WIT47" s="117"/>
      <c r="WIU47" s="117"/>
      <c r="WIV47" s="117"/>
      <c r="WIW47" s="117"/>
      <c r="WIX47" s="117"/>
      <c r="WIY47" s="117"/>
      <c r="WIZ47" s="117"/>
      <c r="WJA47" s="117"/>
      <c r="WJB47" s="117"/>
      <c r="WJC47" s="117"/>
      <c r="WJD47" s="117"/>
      <c r="WJE47" s="117"/>
      <c r="WJF47" s="117"/>
      <c r="WJG47" s="117"/>
      <c r="WJH47" s="117"/>
      <c r="WJI47" s="117"/>
      <c r="WJJ47" s="117"/>
      <c r="WJK47" s="117"/>
      <c r="WJL47" s="117"/>
      <c r="WJM47" s="117"/>
      <c r="WJN47" s="117"/>
      <c r="WJO47" s="117"/>
      <c r="WJP47" s="117"/>
      <c r="WJQ47" s="117"/>
      <c r="WJR47" s="117"/>
      <c r="WJS47" s="117"/>
      <c r="WJT47" s="117"/>
      <c r="WJU47" s="117"/>
      <c r="WJV47" s="117"/>
      <c r="WJW47" s="117"/>
      <c r="WJX47" s="117"/>
      <c r="WJY47" s="117"/>
      <c r="WJZ47" s="117"/>
      <c r="WKA47" s="117"/>
      <c r="WKB47" s="117"/>
      <c r="WKC47" s="117"/>
      <c r="WKD47" s="117"/>
      <c r="WKE47" s="117"/>
      <c r="WKF47" s="117"/>
      <c r="WKG47" s="117"/>
      <c r="WKH47" s="117"/>
      <c r="WKI47" s="117"/>
      <c r="WKJ47" s="117"/>
      <c r="WKK47" s="117"/>
      <c r="WKL47" s="117"/>
      <c r="WKM47" s="117"/>
      <c r="WKN47" s="117"/>
      <c r="WKO47" s="117"/>
      <c r="WKP47" s="117"/>
      <c r="WKQ47" s="117"/>
      <c r="WKR47" s="117"/>
      <c r="WKS47" s="117"/>
      <c r="WKT47" s="117"/>
      <c r="WKU47" s="117"/>
      <c r="WKV47" s="117"/>
      <c r="WKW47" s="117"/>
      <c r="WKX47" s="117"/>
      <c r="WKY47" s="117"/>
      <c r="WKZ47" s="117"/>
      <c r="WLA47" s="117"/>
      <c r="WLB47" s="117"/>
      <c r="WLC47" s="117"/>
      <c r="WLD47" s="117"/>
      <c r="WLE47" s="117"/>
      <c r="WLF47" s="117"/>
      <c r="WLG47" s="117"/>
      <c r="WLH47" s="117"/>
      <c r="WLI47" s="117"/>
      <c r="WLJ47" s="117"/>
      <c r="WLK47" s="117"/>
      <c r="WLL47" s="117"/>
      <c r="WLM47" s="117"/>
      <c r="WLN47" s="117"/>
      <c r="WLO47" s="117"/>
      <c r="WLP47" s="117"/>
      <c r="WLQ47" s="117"/>
      <c r="WLR47" s="117"/>
      <c r="WLS47" s="117"/>
      <c r="WLT47" s="117"/>
      <c r="WLU47" s="117"/>
      <c r="WLV47" s="117"/>
      <c r="WLW47" s="117"/>
      <c r="WLX47" s="117"/>
      <c r="WLY47" s="117"/>
      <c r="WLZ47" s="117"/>
      <c r="WMA47" s="117"/>
      <c r="WMB47" s="117"/>
      <c r="WMC47" s="117"/>
      <c r="WMD47" s="117"/>
      <c r="WME47" s="117"/>
      <c r="WMF47" s="117"/>
      <c r="WMG47" s="117"/>
      <c r="WMH47" s="117"/>
      <c r="WMI47" s="117"/>
      <c r="WMJ47" s="117"/>
      <c r="WMK47" s="117"/>
      <c r="WML47" s="117"/>
      <c r="WMM47" s="117"/>
      <c r="WMN47" s="117"/>
      <c r="WMO47" s="117"/>
      <c r="WMP47" s="117"/>
      <c r="WMQ47" s="117"/>
      <c r="WMR47" s="117"/>
      <c r="WMS47" s="117"/>
      <c r="WMT47" s="117"/>
      <c r="WMU47" s="117"/>
      <c r="WMV47" s="117"/>
      <c r="WMW47" s="117"/>
      <c r="WMX47" s="117"/>
      <c r="WMY47" s="117"/>
      <c r="WMZ47" s="117"/>
      <c r="WNA47" s="117"/>
      <c r="WNB47" s="117"/>
      <c r="WNC47" s="117"/>
      <c r="WND47" s="117"/>
      <c r="WNE47" s="117"/>
      <c r="WNF47" s="117"/>
      <c r="WNG47" s="117"/>
      <c r="WNH47" s="117"/>
      <c r="WNI47" s="117"/>
      <c r="WNJ47" s="117"/>
      <c r="WNK47" s="117"/>
      <c r="WNL47" s="117"/>
      <c r="WNM47" s="117"/>
      <c r="WNN47" s="117"/>
      <c r="WNO47" s="117"/>
      <c r="WNP47" s="117"/>
      <c r="WNQ47" s="117"/>
      <c r="WNR47" s="117"/>
      <c r="WNS47" s="117"/>
      <c r="WNT47" s="117"/>
      <c r="WNU47" s="117"/>
      <c r="WNV47" s="117"/>
      <c r="WNW47" s="117"/>
      <c r="WNX47" s="117"/>
      <c r="WNY47" s="117"/>
      <c r="WNZ47" s="117"/>
      <c r="WOA47" s="117"/>
      <c r="WOB47" s="117"/>
      <c r="WOC47" s="117"/>
      <c r="WOD47" s="117"/>
      <c r="WOE47" s="117"/>
      <c r="WOF47" s="117"/>
      <c r="WOG47" s="117"/>
      <c r="WOH47" s="117"/>
      <c r="WOI47" s="117"/>
      <c r="WOJ47" s="117"/>
      <c r="WOK47" s="117"/>
      <c r="WOL47" s="117"/>
      <c r="WOM47" s="117"/>
      <c r="WON47" s="117"/>
      <c r="WOO47" s="117"/>
      <c r="WOP47" s="117"/>
      <c r="WOQ47" s="117"/>
      <c r="WOR47" s="117"/>
      <c r="WOS47" s="117"/>
      <c r="WOT47" s="117"/>
      <c r="WOU47" s="117"/>
      <c r="WOV47" s="117"/>
      <c r="WOW47" s="117"/>
      <c r="WOX47" s="117"/>
      <c r="WOY47" s="117"/>
      <c r="WOZ47" s="117"/>
      <c r="WPA47" s="117"/>
      <c r="WPB47" s="117"/>
      <c r="WPC47" s="117"/>
      <c r="WPD47" s="117"/>
      <c r="WPE47" s="117"/>
      <c r="WPF47" s="117"/>
      <c r="WPG47" s="117"/>
      <c r="WPH47" s="117"/>
      <c r="WPI47" s="117"/>
      <c r="WPJ47" s="117"/>
      <c r="WPK47" s="117"/>
      <c r="WPL47" s="117"/>
      <c r="WPM47" s="117"/>
      <c r="WPN47" s="117"/>
      <c r="WPO47" s="117"/>
      <c r="WPP47" s="117"/>
      <c r="WPQ47" s="117"/>
      <c r="WPR47" s="117"/>
      <c r="WPS47" s="117"/>
      <c r="WPT47" s="117"/>
      <c r="WPU47" s="117"/>
      <c r="WPV47" s="117"/>
      <c r="WPW47" s="117"/>
      <c r="WPX47" s="117"/>
      <c r="WPY47" s="117"/>
      <c r="WPZ47" s="117"/>
      <c r="WQA47" s="117"/>
      <c r="WQB47" s="117"/>
      <c r="WQC47" s="117"/>
      <c r="WQD47" s="117"/>
      <c r="WQE47" s="117"/>
      <c r="WQF47" s="117"/>
      <c r="WQG47" s="117"/>
      <c r="WQH47" s="117"/>
      <c r="WQI47" s="117"/>
      <c r="WQJ47" s="117"/>
      <c r="WQK47" s="117"/>
      <c r="WQL47" s="117"/>
      <c r="WQM47" s="117"/>
      <c r="WQN47" s="117"/>
      <c r="WQO47" s="117"/>
      <c r="WQP47" s="117"/>
      <c r="WQQ47" s="117"/>
      <c r="WQR47" s="117"/>
      <c r="WQS47" s="117"/>
      <c r="WQT47" s="117"/>
      <c r="WQU47" s="117"/>
      <c r="WQV47" s="117"/>
      <c r="WQW47" s="117"/>
      <c r="WQX47" s="117"/>
      <c r="WQY47" s="117"/>
      <c r="WQZ47" s="117"/>
      <c r="WRA47" s="117"/>
      <c r="WRB47" s="117"/>
      <c r="WRC47" s="117"/>
      <c r="WRD47" s="117"/>
      <c r="WRE47" s="117"/>
      <c r="WRF47" s="117"/>
      <c r="WRG47" s="117"/>
      <c r="WRH47" s="117"/>
      <c r="WRI47" s="117"/>
      <c r="WRJ47" s="117"/>
      <c r="WRK47" s="117"/>
      <c r="WRL47" s="117"/>
      <c r="WRM47" s="117"/>
      <c r="WRN47" s="117"/>
      <c r="WRO47" s="117"/>
      <c r="WRP47" s="117"/>
      <c r="WRQ47" s="117"/>
      <c r="WRR47" s="117"/>
      <c r="WRS47" s="117"/>
      <c r="WRT47" s="117"/>
      <c r="WRU47" s="117"/>
      <c r="WRV47" s="117"/>
      <c r="WRW47" s="117"/>
      <c r="WRX47" s="117"/>
      <c r="WRY47" s="117"/>
      <c r="WRZ47" s="117"/>
      <c r="WSA47" s="117"/>
      <c r="WSB47" s="117"/>
      <c r="WSC47" s="117"/>
      <c r="WSD47" s="117"/>
      <c r="WSE47" s="117"/>
      <c r="WSF47" s="117"/>
      <c r="WSG47" s="117"/>
      <c r="WSH47" s="117"/>
      <c r="WSI47" s="117"/>
      <c r="WSJ47" s="117"/>
      <c r="WSK47" s="117"/>
      <c r="WSL47" s="117"/>
      <c r="WSM47" s="117"/>
      <c r="WSN47" s="117"/>
      <c r="WSO47" s="117"/>
      <c r="WSP47" s="117"/>
      <c r="WSQ47" s="117"/>
      <c r="WSR47" s="117"/>
      <c r="WSS47" s="117"/>
      <c r="WST47" s="117"/>
      <c r="WSU47" s="117"/>
      <c r="WSV47" s="117"/>
      <c r="WSW47" s="117"/>
      <c r="WSX47" s="117"/>
      <c r="WSY47" s="117"/>
      <c r="WSZ47" s="117"/>
      <c r="WTA47" s="117"/>
      <c r="WTB47" s="117"/>
      <c r="WTC47" s="117"/>
      <c r="WTD47" s="117"/>
      <c r="WTE47" s="117"/>
      <c r="WTF47" s="117"/>
      <c r="WTG47" s="117"/>
      <c r="WTH47" s="117"/>
      <c r="WTI47" s="117"/>
      <c r="WTJ47" s="117"/>
      <c r="WTK47" s="117"/>
      <c r="WTL47" s="117"/>
      <c r="WTM47" s="117"/>
      <c r="WTN47" s="117"/>
      <c r="WTO47" s="117"/>
      <c r="WTP47" s="117"/>
      <c r="WTQ47" s="117"/>
      <c r="WTR47" s="117"/>
      <c r="WTS47" s="117"/>
      <c r="WTT47" s="117"/>
      <c r="WTU47" s="117"/>
      <c r="WTV47" s="117"/>
      <c r="WTW47" s="117"/>
      <c r="WTX47" s="117"/>
      <c r="WTY47" s="117"/>
      <c r="WTZ47" s="117"/>
      <c r="WUA47" s="117"/>
      <c r="WUB47" s="117"/>
      <c r="WUC47" s="117"/>
      <c r="WUD47" s="117"/>
      <c r="WUE47" s="117"/>
      <c r="WUF47" s="117"/>
      <c r="WUG47" s="117"/>
      <c r="WUH47" s="117"/>
      <c r="WUI47" s="117"/>
      <c r="WUJ47" s="117"/>
      <c r="WUK47" s="117"/>
      <c r="WUL47" s="117"/>
      <c r="WUM47" s="117"/>
      <c r="WUN47" s="117"/>
      <c r="WUO47" s="117"/>
      <c r="WUP47" s="117"/>
      <c r="WUQ47" s="117"/>
      <c r="WUR47" s="117"/>
      <c r="WUS47" s="117"/>
      <c r="WUT47" s="117"/>
      <c r="WUU47" s="117"/>
      <c r="WUV47" s="117"/>
      <c r="WUW47" s="117"/>
      <c r="WUX47" s="117"/>
      <c r="WUY47" s="117"/>
      <c r="WUZ47" s="117"/>
      <c r="WVA47" s="117"/>
      <c r="WVB47" s="117"/>
      <c r="WVC47" s="117"/>
      <c r="WVD47" s="117"/>
      <c r="WVE47" s="117"/>
      <c r="WVF47" s="117"/>
      <c r="WVG47" s="117"/>
      <c r="WVH47" s="117"/>
      <c r="WVI47" s="117"/>
      <c r="WVJ47" s="117"/>
      <c r="WVK47" s="117"/>
      <c r="WVL47" s="117"/>
      <c r="WVM47" s="117"/>
      <c r="WVN47" s="117"/>
      <c r="WVO47" s="117"/>
      <c r="WVP47" s="117"/>
      <c r="WVQ47" s="117"/>
      <c r="WVR47" s="117"/>
      <c r="WVS47" s="117"/>
      <c r="WVT47" s="117"/>
      <c r="WVU47" s="117"/>
      <c r="WVV47" s="117"/>
      <c r="WVW47" s="117"/>
      <c r="WVX47" s="117"/>
      <c r="WVY47" s="117"/>
      <c r="WVZ47" s="117"/>
      <c r="WWA47" s="117"/>
      <c r="WWB47" s="117"/>
      <c r="WWC47" s="117"/>
      <c r="WWD47" s="117"/>
      <c r="WWE47" s="117"/>
      <c r="WWF47" s="117"/>
      <c r="WWG47" s="117"/>
      <c r="WWH47" s="117"/>
      <c r="WWI47" s="117"/>
      <c r="WWJ47" s="117"/>
      <c r="WWK47" s="117"/>
      <c r="WWL47" s="117"/>
      <c r="WWM47" s="117"/>
      <c r="WWN47" s="117"/>
      <c r="WWO47" s="117"/>
      <c r="WWP47" s="117"/>
      <c r="WWQ47" s="117"/>
      <c r="WWR47" s="117"/>
      <c r="WWS47" s="117"/>
      <c r="WWT47" s="117"/>
      <c r="WWU47" s="117"/>
      <c r="WWV47" s="117"/>
      <c r="WWW47" s="117"/>
      <c r="WWX47" s="117"/>
      <c r="WWY47" s="117"/>
      <c r="WWZ47" s="117"/>
      <c r="WXA47" s="117"/>
      <c r="WXB47" s="117"/>
      <c r="WXC47" s="117"/>
      <c r="WXD47" s="117"/>
      <c r="WXE47" s="117"/>
      <c r="WXF47" s="117"/>
      <c r="WXG47" s="117"/>
      <c r="WXH47" s="117"/>
      <c r="WXI47" s="117"/>
      <c r="WXJ47" s="117"/>
      <c r="WXK47" s="117"/>
      <c r="WXL47" s="117"/>
      <c r="WXM47" s="117"/>
      <c r="WXN47" s="117"/>
      <c r="WXO47" s="117"/>
      <c r="WXP47" s="117"/>
      <c r="WXQ47" s="117"/>
      <c r="WXR47" s="117"/>
      <c r="WXS47" s="117"/>
      <c r="WXT47" s="117"/>
      <c r="WXU47" s="117"/>
      <c r="WXV47" s="117"/>
      <c r="WXW47" s="117"/>
      <c r="WXX47" s="117"/>
      <c r="WXY47" s="117"/>
      <c r="WXZ47" s="117"/>
      <c r="WYA47" s="117"/>
      <c r="WYB47" s="117"/>
      <c r="WYC47" s="117"/>
      <c r="WYD47" s="117"/>
      <c r="WYE47" s="117"/>
      <c r="WYF47" s="117"/>
      <c r="WYG47" s="117"/>
      <c r="WYH47" s="117"/>
      <c r="WYI47" s="117"/>
      <c r="WYJ47" s="117"/>
      <c r="WYK47" s="117"/>
      <c r="WYL47" s="117"/>
      <c r="WYM47" s="117"/>
      <c r="WYN47" s="117"/>
      <c r="WYO47" s="117"/>
      <c r="WYP47" s="117"/>
      <c r="WYQ47" s="117"/>
      <c r="WYR47" s="117"/>
      <c r="WYS47" s="117"/>
      <c r="WYT47" s="117"/>
      <c r="WYU47" s="117"/>
      <c r="WYV47" s="117"/>
      <c r="WYW47" s="117"/>
      <c r="WYX47" s="117"/>
      <c r="WYY47" s="117"/>
      <c r="WYZ47" s="117"/>
      <c r="WZA47" s="117"/>
      <c r="WZB47" s="117"/>
      <c r="WZC47" s="117"/>
      <c r="WZD47" s="117"/>
      <c r="WZE47" s="117"/>
      <c r="WZF47" s="117"/>
      <c r="WZG47" s="117"/>
      <c r="WZH47" s="117"/>
      <c r="WZI47" s="117"/>
      <c r="WZJ47" s="117"/>
      <c r="WZK47" s="117"/>
      <c r="WZL47" s="117"/>
      <c r="WZM47" s="117"/>
      <c r="WZN47" s="117"/>
      <c r="WZO47" s="117"/>
      <c r="WZP47" s="117"/>
      <c r="WZQ47" s="117"/>
      <c r="WZR47" s="117"/>
      <c r="WZS47" s="117"/>
      <c r="WZT47" s="117"/>
      <c r="WZU47" s="117"/>
      <c r="WZV47" s="117"/>
      <c r="WZW47" s="117"/>
      <c r="WZX47" s="117"/>
      <c r="WZY47" s="117"/>
      <c r="WZZ47" s="117"/>
      <c r="XAA47" s="117"/>
      <c r="XAB47" s="117"/>
      <c r="XAC47" s="117"/>
      <c r="XAD47" s="117"/>
      <c r="XAE47" s="117"/>
      <c r="XAF47" s="117"/>
      <c r="XAG47" s="117"/>
      <c r="XAH47" s="117"/>
      <c r="XAI47" s="117"/>
      <c r="XAJ47" s="117"/>
      <c r="XAK47" s="117"/>
      <c r="XAL47" s="117"/>
      <c r="XAM47" s="117"/>
      <c r="XAN47" s="117"/>
      <c r="XAO47" s="117"/>
      <c r="XAP47" s="117"/>
      <c r="XAQ47" s="117"/>
      <c r="XAR47" s="117"/>
      <c r="XAS47" s="117"/>
      <c r="XAT47" s="117"/>
      <c r="XAU47" s="117"/>
      <c r="XAV47" s="117"/>
      <c r="XAW47" s="117"/>
      <c r="XAX47" s="117"/>
      <c r="XAY47" s="117"/>
      <c r="XAZ47" s="117"/>
      <c r="XBA47" s="117"/>
      <c r="XBB47" s="117"/>
      <c r="XBC47" s="117"/>
      <c r="XBD47" s="117"/>
      <c r="XBE47" s="117"/>
      <c r="XBF47" s="117"/>
      <c r="XBG47" s="117"/>
      <c r="XBH47" s="117"/>
      <c r="XBI47" s="117"/>
      <c r="XBJ47" s="117"/>
      <c r="XBK47" s="117"/>
      <c r="XBL47" s="117"/>
      <c r="XBM47" s="117"/>
      <c r="XBN47" s="117"/>
      <c r="XBO47" s="117"/>
      <c r="XBP47" s="117"/>
      <c r="XBQ47" s="117"/>
      <c r="XBR47" s="117"/>
      <c r="XBS47" s="117"/>
      <c r="XBT47" s="117"/>
      <c r="XBU47" s="117"/>
      <c r="XBV47" s="117"/>
      <c r="XBW47" s="117"/>
      <c r="XBX47" s="117"/>
      <c r="XBY47" s="117"/>
      <c r="XBZ47" s="117"/>
      <c r="XCA47" s="117"/>
      <c r="XCB47" s="117"/>
      <c r="XCC47" s="117"/>
      <c r="XCD47" s="117"/>
      <c r="XCE47" s="117"/>
      <c r="XCF47" s="117"/>
      <c r="XCG47" s="117"/>
      <c r="XCH47" s="117"/>
      <c r="XCI47" s="117"/>
      <c r="XCJ47" s="117"/>
      <c r="XCK47" s="117"/>
      <c r="XCL47" s="117"/>
      <c r="XCM47" s="117"/>
      <c r="XCN47" s="117"/>
      <c r="XCO47" s="117"/>
      <c r="XCP47" s="117"/>
      <c r="XCQ47" s="117"/>
      <c r="XCR47" s="117"/>
      <c r="XCS47" s="117"/>
      <c r="XCT47" s="117"/>
      <c r="XCU47" s="117"/>
      <c r="XCV47" s="117"/>
      <c r="XCW47" s="117"/>
      <c r="XCX47" s="117"/>
      <c r="XCY47" s="117"/>
      <c r="XCZ47" s="117"/>
      <c r="XDA47" s="117"/>
      <c r="XDB47" s="117"/>
      <c r="XDC47" s="117"/>
      <c r="XDD47" s="117"/>
      <c r="XDE47" s="117"/>
      <c r="XDF47" s="117"/>
      <c r="XDG47" s="117"/>
      <c r="XDH47" s="117"/>
      <c r="XDI47" s="117"/>
      <c r="XDJ47" s="117"/>
      <c r="XDK47" s="117"/>
      <c r="XDL47" s="117"/>
      <c r="XDM47" s="117"/>
      <c r="XDN47" s="117"/>
      <c r="XDO47" s="117"/>
      <c r="XDP47" s="117"/>
      <c r="XDQ47" s="117"/>
      <c r="XDR47" s="117"/>
      <c r="XDS47" s="117"/>
      <c r="XDT47" s="117"/>
      <c r="XDU47" s="117"/>
      <c r="XDV47" s="117"/>
      <c r="XDW47" s="117"/>
      <c r="XDX47" s="117"/>
      <c r="XDY47" s="117"/>
      <c r="XDZ47" s="117"/>
      <c r="XEA47" s="117"/>
      <c r="XEB47" s="117"/>
      <c r="XEC47" s="117"/>
      <c r="XED47" s="117"/>
      <c r="XEE47" s="117"/>
      <c r="XEF47" s="117"/>
      <c r="XEG47" s="117"/>
      <c r="XEH47" s="117"/>
      <c r="XEI47" s="117"/>
      <c r="XEJ47" s="117"/>
      <c r="XEK47" s="117"/>
      <c r="XEL47" s="117"/>
      <c r="XEM47" s="117"/>
      <c r="XEN47" s="117"/>
      <c r="XEO47" s="117"/>
      <c r="XEP47" s="117"/>
      <c r="XEQ47" s="117"/>
      <c r="XER47" s="117"/>
      <c r="XES47" s="117"/>
      <c r="XET47" s="117"/>
      <c r="XEU47" s="117"/>
      <c r="XEV47" s="117"/>
      <c r="XEW47" s="117"/>
      <c r="XEX47" s="117"/>
      <c r="XEY47" s="117"/>
      <c r="XEZ47" s="117"/>
      <c r="XFA47" s="117"/>
    </row>
    <row r="49" spans="2:92" x14ac:dyDescent="0.15">
      <c r="B49" s="2" t="s">
        <v>113</v>
      </c>
      <c r="C49" s="2">
        <f t="shared" ref="C49:I49" si="37">BowlSplit(C5:C47,RunsConceded)</f>
        <v>180</v>
      </c>
      <c r="D49" s="2">
        <f t="shared" si="37"/>
        <v>206</v>
      </c>
      <c r="E49" s="2">
        <f t="shared" si="37"/>
        <v>180</v>
      </c>
      <c r="F49" s="2">
        <f t="shared" si="37"/>
        <v>120</v>
      </c>
      <c r="G49" s="2">
        <f t="shared" si="37"/>
        <v>125</v>
      </c>
      <c r="H49" s="2">
        <f t="shared" si="37"/>
        <v>142</v>
      </c>
      <c r="I49" s="2">
        <f t="shared" si="37"/>
        <v>208</v>
      </c>
      <c r="K49" s="2">
        <f t="shared" ref="K49:AH49" si="38">BowlSplit(K5:K47,RunsConceded)</f>
        <v>156</v>
      </c>
      <c r="L49" s="2">
        <f t="shared" si="38"/>
        <v>180</v>
      </c>
      <c r="M49" s="2">
        <f t="shared" si="38"/>
        <v>205</v>
      </c>
      <c r="N49" s="2">
        <f t="shared" si="38"/>
        <v>208</v>
      </c>
      <c r="O49" s="2">
        <f t="shared" si="38"/>
        <v>162</v>
      </c>
      <c r="P49" s="2">
        <f t="shared" si="38"/>
        <v>91</v>
      </c>
      <c r="Q49" s="2">
        <f t="shared" si="38"/>
        <v>119</v>
      </c>
      <c r="R49" s="2">
        <f t="shared" si="38"/>
        <v>272</v>
      </c>
      <c r="S49" s="2">
        <f t="shared" si="38"/>
        <v>184</v>
      </c>
      <c r="T49" s="2">
        <f t="shared" si="38"/>
        <v>156</v>
      </c>
      <c r="U49" s="2">
        <f t="shared" si="38"/>
        <v>111</v>
      </c>
      <c r="V49" s="2">
        <f t="shared" si="38"/>
        <v>189</v>
      </c>
      <c r="W49" s="2">
        <f t="shared" si="38"/>
        <v>197</v>
      </c>
      <c r="X49" s="2">
        <f t="shared" si="38"/>
        <v>0</v>
      </c>
      <c r="Y49" s="2">
        <f t="shared" si="38"/>
        <v>0</v>
      </c>
      <c r="Z49" s="2">
        <f t="shared" si="38"/>
        <v>0</v>
      </c>
      <c r="AA49" s="2">
        <f t="shared" si="38"/>
        <v>0</v>
      </c>
      <c r="AB49" s="2">
        <f t="shared" si="38"/>
        <v>0</v>
      </c>
      <c r="AC49" s="2">
        <f t="shared" si="38"/>
        <v>0</v>
      </c>
      <c r="AD49" s="2">
        <f t="shared" si="38"/>
        <v>0</v>
      </c>
      <c r="AE49" s="2">
        <f t="shared" si="38"/>
        <v>0</v>
      </c>
      <c r="AF49" s="2">
        <f t="shared" si="38"/>
        <v>0</v>
      </c>
      <c r="AG49" s="2">
        <f t="shared" si="38"/>
        <v>0</v>
      </c>
      <c r="AH49" s="2">
        <f t="shared" si="38"/>
        <v>0</v>
      </c>
      <c r="AI49" s="2">
        <f t="shared" ref="AI49:BF49" si="39">BowlSplit(AI5:AI47,RunsConceded)</f>
        <v>0</v>
      </c>
      <c r="AJ49" s="2">
        <f t="shared" si="39"/>
        <v>0</v>
      </c>
      <c r="AK49" s="2">
        <f t="shared" si="39"/>
        <v>0</v>
      </c>
      <c r="AL49" s="2">
        <f t="shared" si="39"/>
        <v>0</v>
      </c>
      <c r="AM49" s="2">
        <f t="shared" si="39"/>
        <v>0</v>
      </c>
      <c r="AN49" s="2">
        <f t="shared" si="39"/>
        <v>0</v>
      </c>
      <c r="AO49" s="2">
        <f t="shared" si="39"/>
        <v>0</v>
      </c>
      <c r="AP49" s="2">
        <f t="shared" si="39"/>
        <v>0</v>
      </c>
      <c r="AQ49" s="2">
        <f t="shared" si="39"/>
        <v>0</v>
      </c>
      <c r="AR49" s="2">
        <f t="shared" si="39"/>
        <v>0</v>
      </c>
      <c r="AS49" s="2">
        <f t="shared" si="39"/>
        <v>0</v>
      </c>
      <c r="AT49" s="2">
        <f t="shared" si="39"/>
        <v>0</v>
      </c>
      <c r="AU49" s="2">
        <f t="shared" si="39"/>
        <v>0</v>
      </c>
      <c r="AV49" s="2">
        <f t="shared" si="39"/>
        <v>0</v>
      </c>
      <c r="AW49" s="2">
        <f t="shared" si="39"/>
        <v>0</v>
      </c>
      <c r="AX49" s="2">
        <f t="shared" si="39"/>
        <v>0</v>
      </c>
      <c r="AY49" s="2">
        <f t="shared" si="39"/>
        <v>0</v>
      </c>
      <c r="AZ49" s="2">
        <f t="shared" si="39"/>
        <v>0</v>
      </c>
      <c r="BA49" s="2">
        <f t="shared" si="39"/>
        <v>0</v>
      </c>
      <c r="BB49" s="2">
        <f t="shared" si="39"/>
        <v>0</v>
      </c>
      <c r="BC49" s="2">
        <f t="shared" si="39"/>
        <v>0</v>
      </c>
      <c r="BD49" s="2">
        <f t="shared" si="39"/>
        <v>0</v>
      </c>
      <c r="BE49" s="2">
        <f t="shared" si="39"/>
        <v>0</v>
      </c>
      <c r="BF49" s="2">
        <f t="shared" si="39"/>
        <v>0</v>
      </c>
      <c r="CE49" s="51">
        <f>SUM(C49:BF49)</f>
        <v>3391</v>
      </c>
      <c r="CF49" s="51">
        <f>SUM(CF5:CF47)</f>
        <v>4497</v>
      </c>
      <c r="CJ49" s="180">
        <f>SUM(CJ5:CJ47)</f>
        <v>142</v>
      </c>
    </row>
    <row r="50" spans="2:92" x14ac:dyDescent="0.15">
      <c r="B50" s="2" t="s">
        <v>114</v>
      </c>
      <c r="C50" s="2">
        <f t="array" ref="C50:BE51">TRANSPOSE(Matches!S5:T31)</f>
        <v>8</v>
      </c>
      <c r="D50" s="2">
        <v>2</v>
      </c>
      <c r="E50" s="2">
        <v>6</v>
      </c>
      <c r="F50" s="2">
        <v>4</v>
      </c>
      <c r="G50" s="2">
        <v>1</v>
      </c>
      <c r="H50" s="2">
        <v>6</v>
      </c>
      <c r="I50" s="2">
        <v>0</v>
      </c>
      <c r="J50" s="2">
        <v>0</v>
      </c>
      <c r="K50" s="2">
        <v>5</v>
      </c>
      <c r="L50" s="2">
        <v>6</v>
      </c>
      <c r="M50" s="2">
        <v>6</v>
      </c>
      <c r="N50" s="2">
        <v>2</v>
      </c>
      <c r="O50" s="2">
        <v>1</v>
      </c>
      <c r="P50" s="2">
        <v>12</v>
      </c>
      <c r="Q50" s="2">
        <v>4</v>
      </c>
      <c r="R50" s="2">
        <v>8</v>
      </c>
      <c r="S50" s="2">
        <v>0</v>
      </c>
      <c r="T50" s="2">
        <v>5</v>
      </c>
      <c r="U50" s="2">
        <v>9</v>
      </c>
      <c r="V50" s="2">
        <v>19</v>
      </c>
      <c r="W50" s="2">
        <v>8</v>
      </c>
      <c r="X50" s="2">
        <v>0</v>
      </c>
      <c r="Y50" s="2">
        <v>0</v>
      </c>
      <c r="Z50" s="2">
        <v>0</v>
      </c>
      <c r="AA50" s="2">
        <v>0</v>
      </c>
      <c r="AB50" s="2">
        <v>0</v>
      </c>
      <c r="AC50" s="2">
        <v>0</v>
      </c>
      <c r="AD50" s="2" t="e">
        <v>#N/A</v>
      </c>
      <c r="AE50" s="2" t="e">
        <v>#N/A</v>
      </c>
      <c r="AF50" s="2" t="e">
        <v>#N/A</v>
      </c>
      <c r="AG50" s="2" t="e">
        <v>#N/A</v>
      </c>
      <c r="AH50" s="2" t="e">
        <v>#N/A</v>
      </c>
      <c r="AI50" s="2" t="e">
        <v>#N/A</v>
      </c>
      <c r="AJ50" s="2" t="e">
        <v>#N/A</v>
      </c>
      <c r="AK50" s="2" t="e">
        <v>#N/A</v>
      </c>
      <c r="AL50" s="2" t="e">
        <v>#N/A</v>
      </c>
      <c r="AM50" s="2" t="e">
        <v>#N/A</v>
      </c>
      <c r="AN50" s="2" t="e">
        <v>#N/A</v>
      </c>
      <c r="AO50" s="2" t="e">
        <v>#N/A</v>
      </c>
      <c r="AP50" s="2" t="e">
        <v>#N/A</v>
      </c>
      <c r="AQ50" s="2" t="e">
        <v>#N/A</v>
      </c>
      <c r="AR50" s="2" t="e">
        <v>#N/A</v>
      </c>
      <c r="AS50" s="2" t="e">
        <v>#N/A</v>
      </c>
      <c r="AT50" s="2" t="e">
        <v>#N/A</v>
      </c>
      <c r="AU50" s="2" t="e">
        <v>#N/A</v>
      </c>
      <c r="AV50" s="2" t="e">
        <v>#N/A</v>
      </c>
      <c r="AW50" s="2" t="e">
        <v>#N/A</v>
      </c>
      <c r="AX50" s="2" t="e">
        <v>#N/A</v>
      </c>
      <c r="AY50" s="2" t="e">
        <v>#N/A</v>
      </c>
      <c r="AZ50" s="2" t="e">
        <v>#N/A</v>
      </c>
      <c r="BA50" s="2" t="e">
        <v>#N/A</v>
      </c>
      <c r="BB50" s="2" t="e">
        <v>#N/A</v>
      </c>
      <c r="BC50" s="2" t="e">
        <v>#N/A</v>
      </c>
      <c r="BD50" s="2" t="e">
        <v>#N/A</v>
      </c>
      <c r="BE50" s="2" t="e">
        <v>#N/A</v>
      </c>
      <c r="CE50" s="51" t="e">
        <f>SUM(C50:BF50)</f>
        <v>#N/A</v>
      </c>
    </row>
    <row r="51" spans="2:92" x14ac:dyDescent="0.15">
      <c r="B51" s="2" t="s">
        <v>115</v>
      </c>
      <c r="C51" s="2">
        <v>1</v>
      </c>
      <c r="D51" s="2">
        <v>1</v>
      </c>
      <c r="E51" s="2">
        <v>0</v>
      </c>
      <c r="F51" s="2">
        <v>0</v>
      </c>
      <c r="G51" s="2">
        <v>0</v>
      </c>
      <c r="H51" s="2">
        <v>1</v>
      </c>
      <c r="I51" s="2">
        <v>2</v>
      </c>
      <c r="J51" s="2">
        <v>0</v>
      </c>
      <c r="K51" s="2">
        <v>1</v>
      </c>
      <c r="L51" s="2">
        <v>9</v>
      </c>
      <c r="M51" s="2">
        <v>4</v>
      </c>
      <c r="N51" s="2">
        <v>2</v>
      </c>
      <c r="O51" s="2">
        <v>0</v>
      </c>
      <c r="P51" s="2">
        <v>3</v>
      </c>
      <c r="Q51" s="2">
        <v>1</v>
      </c>
      <c r="R51" s="2">
        <v>0</v>
      </c>
      <c r="S51" s="2">
        <v>0</v>
      </c>
      <c r="T51" s="2">
        <v>3</v>
      </c>
      <c r="U51" s="2">
        <v>0</v>
      </c>
      <c r="V51" s="2">
        <v>1</v>
      </c>
      <c r="W51" s="2">
        <v>0</v>
      </c>
      <c r="X51" s="2">
        <v>0</v>
      </c>
      <c r="Y51" s="2">
        <v>0</v>
      </c>
      <c r="Z51" s="2">
        <v>0</v>
      </c>
      <c r="AA51" s="2">
        <v>0</v>
      </c>
      <c r="AB51" s="2">
        <v>0</v>
      </c>
      <c r="AC51" s="2">
        <v>0</v>
      </c>
      <c r="AD51" s="2" t="e">
        <v>#N/A</v>
      </c>
      <c r="AE51" s="2" t="e">
        <v>#N/A</v>
      </c>
      <c r="AF51" s="2" t="e">
        <v>#N/A</v>
      </c>
      <c r="AG51" s="2" t="e">
        <v>#N/A</v>
      </c>
      <c r="AH51" s="2" t="e">
        <v>#N/A</v>
      </c>
      <c r="AI51" s="2" t="e">
        <v>#N/A</v>
      </c>
      <c r="AJ51" s="2" t="e">
        <v>#N/A</v>
      </c>
      <c r="AK51" s="2" t="e">
        <v>#N/A</v>
      </c>
      <c r="AL51" s="2" t="e">
        <v>#N/A</v>
      </c>
      <c r="AM51" s="2" t="e">
        <v>#N/A</v>
      </c>
      <c r="AN51" s="2" t="e">
        <v>#N/A</v>
      </c>
      <c r="AO51" s="2" t="e">
        <v>#N/A</v>
      </c>
      <c r="AP51" s="2" t="e">
        <v>#N/A</v>
      </c>
      <c r="AQ51" s="2" t="e">
        <v>#N/A</v>
      </c>
      <c r="AR51" s="2" t="e">
        <v>#N/A</v>
      </c>
      <c r="AS51" s="2" t="e">
        <v>#N/A</v>
      </c>
      <c r="AT51" s="2" t="e">
        <v>#N/A</v>
      </c>
      <c r="AU51" s="2" t="e">
        <v>#N/A</v>
      </c>
      <c r="AV51" s="2" t="e">
        <v>#N/A</v>
      </c>
      <c r="AW51" s="2" t="e">
        <v>#N/A</v>
      </c>
      <c r="AX51" s="2" t="e">
        <v>#N/A</v>
      </c>
      <c r="AY51" s="2" t="e">
        <v>#N/A</v>
      </c>
      <c r="AZ51" s="2" t="e">
        <v>#N/A</v>
      </c>
      <c r="BA51" s="2" t="e">
        <v>#N/A</v>
      </c>
      <c r="BB51" s="2" t="e">
        <v>#N/A</v>
      </c>
      <c r="BC51" s="2" t="e">
        <v>#N/A</v>
      </c>
      <c r="BD51" s="2" t="e">
        <v>#N/A</v>
      </c>
      <c r="BE51" s="2" t="e">
        <v>#N/A</v>
      </c>
      <c r="CE51" s="51" t="e">
        <f>SUM(C51:BF51)</f>
        <v>#N/A</v>
      </c>
      <c r="CG51" s="180" t="s">
        <v>147</v>
      </c>
      <c r="CH51" s="180" t="s">
        <v>148</v>
      </c>
    </row>
    <row r="52" spans="2:92" s="52" customFormat="1" x14ac:dyDescent="0.15">
      <c r="B52" s="52" t="s">
        <v>112</v>
      </c>
      <c r="C52" s="52">
        <f>SUM(C49:C51)</f>
        <v>189</v>
      </c>
      <c r="D52" s="52">
        <f t="shared" ref="D52:BE52" si="40">SUM(D49:D51)</f>
        <v>209</v>
      </c>
      <c r="E52" s="52">
        <f t="shared" si="40"/>
        <v>186</v>
      </c>
      <c r="F52" s="52">
        <f t="shared" si="40"/>
        <v>124</v>
      </c>
      <c r="G52" s="52">
        <f t="shared" si="40"/>
        <v>126</v>
      </c>
      <c r="H52" s="52">
        <f t="shared" si="40"/>
        <v>149</v>
      </c>
      <c r="I52" s="52">
        <f t="shared" si="40"/>
        <v>210</v>
      </c>
      <c r="J52" s="52">
        <f t="shared" si="40"/>
        <v>0</v>
      </c>
      <c r="K52" s="52">
        <f t="shared" si="40"/>
        <v>162</v>
      </c>
      <c r="L52" s="52">
        <f t="shared" si="40"/>
        <v>195</v>
      </c>
      <c r="M52" s="52">
        <f t="shared" si="40"/>
        <v>215</v>
      </c>
      <c r="N52" s="52">
        <f t="shared" si="40"/>
        <v>212</v>
      </c>
      <c r="O52" s="52">
        <f t="shared" si="40"/>
        <v>163</v>
      </c>
      <c r="P52" s="52">
        <f t="shared" si="40"/>
        <v>106</v>
      </c>
      <c r="Q52" s="52">
        <f t="shared" si="40"/>
        <v>124</v>
      </c>
      <c r="R52" s="52">
        <f t="shared" si="40"/>
        <v>280</v>
      </c>
      <c r="S52" s="52">
        <f t="shared" si="40"/>
        <v>184</v>
      </c>
      <c r="T52" s="52">
        <f t="shared" si="40"/>
        <v>164</v>
      </c>
      <c r="U52" s="52">
        <f t="shared" si="40"/>
        <v>120</v>
      </c>
      <c r="V52" s="52">
        <f t="shared" si="40"/>
        <v>209</v>
      </c>
      <c r="W52" s="52">
        <f t="shared" si="40"/>
        <v>205</v>
      </c>
      <c r="X52" s="52">
        <f t="shared" si="40"/>
        <v>0</v>
      </c>
      <c r="Y52" s="52">
        <f t="shared" si="40"/>
        <v>0</v>
      </c>
      <c r="Z52" s="52">
        <f t="shared" si="40"/>
        <v>0</v>
      </c>
      <c r="AA52" s="52">
        <f t="shared" si="40"/>
        <v>0</v>
      </c>
      <c r="AB52" s="52">
        <f t="shared" si="40"/>
        <v>0</v>
      </c>
      <c r="AC52" s="52">
        <f t="shared" si="40"/>
        <v>0</v>
      </c>
      <c r="AD52" s="52" t="e">
        <f t="shared" si="40"/>
        <v>#N/A</v>
      </c>
      <c r="AE52" s="52" t="e">
        <f t="shared" si="40"/>
        <v>#N/A</v>
      </c>
      <c r="AF52" s="52" t="e">
        <f t="shared" si="40"/>
        <v>#N/A</v>
      </c>
      <c r="AG52" s="52" t="e">
        <f t="shared" si="40"/>
        <v>#N/A</v>
      </c>
      <c r="AH52" s="52" t="e">
        <f t="shared" si="40"/>
        <v>#N/A</v>
      </c>
      <c r="AI52" s="52" t="e">
        <f t="shared" si="40"/>
        <v>#N/A</v>
      </c>
      <c r="AJ52" s="52" t="e">
        <f t="shared" si="40"/>
        <v>#N/A</v>
      </c>
      <c r="AK52" s="52" t="e">
        <f t="shared" si="40"/>
        <v>#N/A</v>
      </c>
      <c r="AL52" s="52" t="e">
        <f t="shared" si="40"/>
        <v>#N/A</v>
      </c>
      <c r="AM52" s="52" t="e">
        <f t="shared" si="40"/>
        <v>#N/A</v>
      </c>
      <c r="AN52" s="52" t="e">
        <f t="shared" si="40"/>
        <v>#N/A</v>
      </c>
      <c r="AO52" s="52" t="e">
        <f t="shared" si="40"/>
        <v>#N/A</v>
      </c>
      <c r="AP52" s="52" t="e">
        <f t="shared" si="40"/>
        <v>#N/A</v>
      </c>
      <c r="AQ52" s="52" t="e">
        <f t="shared" si="40"/>
        <v>#N/A</v>
      </c>
      <c r="AR52" s="52" t="e">
        <f t="shared" si="40"/>
        <v>#N/A</v>
      </c>
      <c r="AS52" s="52" t="e">
        <f t="shared" si="40"/>
        <v>#N/A</v>
      </c>
      <c r="AT52" s="52" t="e">
        <f t="shared" si="40"/>
        <v>#N/A</v>
      </c>
      <c r="AU52" s="52" t="e">
        <f t="shared" si="40"/>
        <v>#N/A</v>
      </c>
      <c r="AV52" s="52" t="e">
        <f t="shared" si="40"/>
        <v>#N/A</v>
      </c>
      <c r="AW52" s="52" t="e">
        <f t="shared" si="40"/>
        <v>#N/A</v>
      </c>
      <c r="AX52" s="52" t="e">
        <f t="shared" si="40"/>
        <v>#N/A</v>
      </c>
      <c r="AY52" s="52" t="e">
        <f t="shared" si="40"/>
        <v>#N/A</v>
      </c>
      <c r="AZ52" s="52" t="e">
        <f t="shared" si="40"/>
        <v>#N/A</v>
      </c>
      <c r="BA52" s="52" t="e">
        <f t="shared" si="40"/>
        <v>#N/A</v>
      </c>
      <c r="BB52" s="52" t="e">
        <f t="shared" si="40"/>
        <v>#N/A</v>
      </c>
      <c r="BC52" s="52" t="e">
        <f t="shared" si="40"/>
        <v>#N/A</v>
      </c>
      <c r="BD52" s="52" t="e">
        <f t="shared" si="40"/>
        <v>#N/A</v>
      </c>
      <c r="BE52" s="52" t="e">
        <f t="shared" si="40"/>
        <v>#N/A</v>
      </c>
      <c r="CE52" s="52" t="e">
        <f>SUM(C52:BF52)</f>
        <v>#N/A</v>
      </c>
      <c r="CG52" s="183" t="e">
        <f>MAX(C52:CB52)</f>
        <v>#N/A</v>
      </c>
      <c r="CH52" s="183" t="e">
        <f t="array" ref="CH52">MIN(IF(C52:CB52&gt;0,C52:CB52,9999))</f>
        <v>#N/A</v>
      </c>
      <c r="CI52" s="183"/>
      <c r="CJ52" s="183"/>
      <c r="CN52" s="56"/>
    </row>
    <row r="53" spans="2:92" x14ac:dyDescent="0.15">
      <c r="B53" s="2" t="s">
        <v>30</v>
      </c>
      <c r="C53" s="2">
        <f t="shared" ref="C53:AH53" si="41">BowlSplit(C5:C47,OversBowled)</f>
        <v>39.299999999999997</v>
      </c>
      <c r="D53" s="2">
        <f t="shared" si="41"/>
        <v>35</v>
      </c>
      <c r="E53" s="2">
        <f t="shared" si="41"/>
        <v>35.1</v>
      </c>
      <c r="F53" s="2">
        <f t="shared" si="41"/>
        <v>40</v>
      </c>
      <c r="G53" s="2">
        <f t="shared" si="41"/>
        <v>35</v>
      </c>
      <c r="H53" s="2">
        <f t="shared" si="41"/>
        <v>27.5</v>
      </c>
      <c r="I53" s="2">
        <f t="shared" si="41"/>
        <v>40</v>
      </c>
      <c r="J53" s="2">
        <f t="shared" si="41"/>
        <v>28.3</v>
      </c>
      <c r="K53" s="2">
        <f t="shared" si="41"/>
        <v>40</v>
      </c>
      <c r="L53" s="2">
        <f t="shared" si="41"/>
        <v>40</v>
      </c>
      <c r="M53" s="2">
        <f t="shared" si="41"/>
        <v>35</v>
      </c>
      <c r="N53" s="2">
        <f t="shared" si="41"/>
        <v>40</v>
      </c>
      <c r="O53" s="2">
        <f t="shared" si="41"/>
        <v>40</v>
      </c>
      <c r="P53" s="2">
        <f t="shared" si="41"/>
        <v>36.1</v>
      </c>
      <c r="Q53" s="2">
        <f t="shared" si="41"/>
        <v>29.5</v>
      </c>
      <c r="R53" s="2">
        <f t="shared" si="41"/>
        <v>40</v>
      </c>
      <c r="S53" s="2">
        <f t="shared" si="41"/>
        <v>37.1</v>
      </c>
      <c r="T53" s="2">
        <f t="shared" si="41"/>
        <v>40</v>
      </c>
      <c r="U53" s="2">
        <f t="shared" si="41"/>
        <v>23.3</v>
      </c>
      <c r="V53" s="2">
        <f t="shared" si="41"/>
        <v>31.5</v>
      </c>
      <c r="W53" s="2">
        <f t="shared" si="41"/>
        <v>35</v>
      </c>
      <c r="X53" s="2">
        <f t="shared" si="41"/>
        <v>0</v>
      </c>
      <c r="Y53" s="2">
        <f t="shared" si="41"/>
        <v>0</v>
      </c>
      <c r="Z53" s="2">
        <f t="shared" si="41"/>
        <v>0</v>
      </c>
      <c r="AA53" s="2">
        <f t="shared" si="41"/>
        <v>0</v>
      </c>
      <c r="AB53" s="2">
        <f t="shared" si="41"/>
        <v>0</v>
      </c>
      <c r="AC53" s="2">
        <f t="shared" si="41"/>
        <v>0</v>
      </c>
      <c r="AD53" s="2">
        <f t="shared" si="41"/>
        <v>0</v>
      </c>
      <c r="AE53" s="2">
        <f t="shared" si="41"/>
        <v>0</v>
      </c>
      <c r="AF53" s="2">
        <f t="shared" si="41"/>
        <v>0</v>
      </c>
      <c r="AG53" s="2">
        <f t="shared" si="41"/>
        <v>0</v>
      </c>
      <c r="AH53" s="2">
        <f t="shared" si="41"/>
        <v>0</v>
      </c>
      <c r="AI53" s="2">
        <f t="shared" ref="AI53:BF53" si="42">BowlSplit(AI5:AI47,OversBowled)</f>
        <v>0</v>
      </c>
      <c r="AJ53" s="2">
        <f t="shared" si="42"/>
        <v>0</v>
      </c>
      <c r="AK53" s="2">
        <f t="shared" si="42"/>
        <v>0</v>
      </c>
      <c r="AL53" s="2">
        <f t="shared" si="42"/>
        <v>0</v>
      </c>
      <c r="AM53" s="2">
        <f t="shared" si="42"/>
        <v>0</v>
      </c>
      <c r="AN53" s="2">
        <f t="shared" si="42"/>
        <v>0</v>
      </c>
      <c r="AO53" s="2">
        <f t="shared" si="42"/>
        <v>0</v>
      </c>
      <c r="AP53" s="2">
        <f t="shared" si="42"/>
        <v>0</v>
      </c>
      <c r="AQ53" s="2">
        <f t="shared" si="42"/>
        <v>0</v>
      </c>
      <c r="AR53" s="2">
        <f t="shared" si="42"/>
        <v>0</v>
      </c>
      <c r="AS53" s="2">
        <f t="shared" si="42"/>
        <v>0</v>
      </c>
      <c r="AT53" s="2">
        <f t="shared" si="42"/>
        <v>0</v>
      </c>
      <c r="AU53" s="2">
        <f t="shared" si="42"/>
        <v>0</v>
      </c>
      <c r="AV53" s="2">
        <f t="shared" si="42"/>
        <v>0</v>
      </c>
      <c r="AW53" s="2">
        <f t="shared" si="42"/>
        <v>0</v>
      </c>
      <c r="AX53" s="2">
        <f t="shared" si="42"/>
        <v>0</v>
      </c>
      <c r="AY53" s="2">
        <f t="shared" si="42"/>
        <v>0</v>
      </c>
      <c r="AZ53" s="2">
        <f t="shared" si="42"/>
        <v>0</v>
      </c>
      <c r="BA53" s="2">
        <f t="shared" si="42"/>
        <v>0</v>
      </c>
      <c r="BB53" s="2">
        <f t="shared" si="42"/>
        <v>0</v>
      </c>
      <c r="BC53" s="2">
        <f t="shared" si="42"/>
        <v>0</v>
      </c>
      <c r="BD53" s="2">
        <f t="shared" si="42"/>
        <v>0</v>
      </c>
      <c r="BE53" s="2">
        <f t="shared" si="42"/>
        <v>0</v>
      </c>
      <c r="BF53" s="2">
        <f t="shared" si="42"/>
        <v>0</v>
      </c>
      <c r="CE53" s="51">
        <f>MAX(C53:CC53)</f>
        <v>40</v>
      </c>
    </row>
    <row r="54" spans="2:92" x14ac:dyDescent="0.15">
      <c r="B54" s="2" t="s">
        <v>29</v>
      </c>
      <c r="C54" s="2">
        <f t="shared" ref="C54:N54" si="43">BowlSplit(C5:C47,BallsBowled)</f>
        <v>237</v>
      </c>
      <c r="D54" s="2">
        <f t="shared" si="43"/>
        <v>210</v>
      </c>
      <c r="E54" s="2">
        <f t="shared" si="43"/>
        <v>211</v>
      </c>
      <c r="F54" s="2">
        <f t="shared" si="43"/>
        <v>240</v>
      </c>
      <c r="G54" s="2">
        <f t="shared" si="43"/>
        <v>210</v>
      </c>
      <c r="H54" s="2">
        <f t="shared" si="43"/>
        <v>167</v>
      </c>
      <c r="I54" s="2">
        <f t="shared" si="43"/>
        <v>240</v>
      </c>
      <c r="J54" s="2">
        <f t="shared" si="43"/>
        <v>171</v>
      </c>
      <c r="K54" s="2">
        <f t="shared" si="43"/>
        <v>240</v>
      </c>
      <c r="L54" s="2">
        <f t="shared" si="43"/>
        <v>240</v>
      </c>
      <c r="M54" s="2">
        <f t="shared" si="43"/>
        <v>210</v>
      </c>
      <c r="N54" s="2">
        <f t="shared" si="43"/>
        <v>240</v>
      </c>
      <c r="O54" s="2">
        <f>BowlSplit(T5:T47,BallsBowled)</f>
        <v>240</v>
      </c>
      <c r="P54" s="2">
        <f t="shared" ref="P54:BF54" si="44">BowlSplit(P5:P47,BallsBowled)</f>
        <v>217</v>
      </c>
      <c r="Q54" s="2">
        <f t="shared" si="44"/>
        <v>179</v>
      </c>
      <c r="R54" s="2">
        <f t="shared" si="44"/>
        <v>240</v>
      </c>
      <c r="S54" s="2">
        <f t="shared" si="44"/>
        <v>223</v>
      </c>
      <c r="T54" s="2">
        <f t="shared" si="44"/>
        <v>240</v>
      </c>
      <c r="U54" s="2">
        <f t="shared" si="44"/>
        <v>141</v>
      </c>
      <c r="V54" s="2">
        <f t="shared" si="44"/>
        <v>191</v>
      </c>
      <c r="W54" s="2">
        <f t="shared" si="44"/>
        <v>210</v>
      </c>
      <c r="X54" s="2">
        <f t="shared" si="44"/>
        <v>0</v>
      </c>
      <c r="Y54" s="2">
        <f t="shared" si="44"/>
        <v>0</v>
      </c>
      <c r="Z54" s="2">
        <f t="shared" si="44"/>
        <v>0</v>
      </c>
      <c r="AA54" s="2">
        <f t="shared" si="44"/>
        <v>0</v>
      </c>
      <c r="AB54" s="2">
        <f t="shared" si="44"/>
        <v>0</v>
      </c>
      <c r="AC54" s="2">
        <f t="shared" si="44"/>
        <v>0</v>
      </c>
      <c r="AD54" s="2">
        <f t="shared" si="44"/>
        <v>0</v>
      </c>
      <c r="AE54" s="2">
        <f t="shared" si="44"/>
        <v>0</v>
      </c>
      <c r="AF54" s="2">
        <f t="shared" si="44"/>
        <v>0</v>
      </c>
      <c r="AG54" s="2">
        <f t="shared" si="44"/>
        <v>0</v>
      </c>
      <c r="AH54" s="2">
        <f t="shared" si="44"/>
        <v>0</v>
      </c>
      <c r="AI54" s="2">
        <f t="shared" si="44"/>
        <v>0</v>
      </c>
      <c r="AJ54" s="2">
        <f t="shared" si="44"/>
        <v>0</v>
      </c>
      <c r="AK54" s="2">
        <f t="shared" si="44"/>
        <v>0</v>
      </c>
      <c r="AL54" s="2">
        <f t="shared" si="44"/>
        <v>0</v>
      </c>
      <c r="AM54" s="2">
        <f t="shared" si="44"/>
        <v>0</v>
      </c>
      <c r="AN54" s="2">
        <f t="shared" si="44"/>
        <v>0</v>
      </c>
      <c r="AO54" s="2">
        <f t="shared" si="44"/>
        <v>0</v>
      </c>
      <c r="AP54" s="2">
        <f t="shared" si="44"/>
        <v>0</v>
      </c>
      <c r="AQ54" s="2">
        <f t="shared" si="44"/>
        <v>0</v>
      </c>
      <c r="AR54" s="2">
        <f t="shared" si="44"/>
        <v>0</v>
      </c>
      <c r="AS54" s="2">
        <f t="shared" si="44"/>
        <v>0</v>
      </c>
      <c r="AT54" s="2">
        <f t="shared" si="44"/>
        <v>0</v>
      </c>
      <c r="AU54" s="2">
        <f t="shared" si="44"/>
        <v>0</v>
      </c>
      <c r="AV54" s="2">
        <f t="shared" si="44"/>
        <v>0</v>
      </c>
      <c r="AW54" s="2">
        <f t="shared" si="44"/>
        <v>0</v>
      </c>
      <c r="AX54" s="2">
        <f t="shared" si="44"/>
        <v>0</v>
      </c>
      <c r="AY54" s="2">
        <f t="shared" si="44"/>
        <v>0</v>
      </c>
      <c r="AZ54" s="2">
        <f t="shared" si="44"/>
        <v>0</v>
      </c>
      <c r="BA54" s="2">
        <f t="shared" si="44"/>
        <v>0</v>
      </c>
      <c r="BB54" s="2">
        <f t="shared" si="44"/>
        <v>0</v>
      </c>
      <c r="BC54" s="2">
        <f t="shared" si="44"/>
        <v>0</v>
      </c>
      <c r="BD54" s="2">
        <f t="shared" si="44"/>
        <v>0</v>
      </c>
      <c r="BE54" s="2">
        <f t="shared" si="44"/>
        <v>0</v>
      </c>
      <c r="BF54" s="2">
        <f t="shared" si="44"/>
        <v>0</v>
      </c>
      <c r="CE54" s="51">
        <f>SUM(C54:BF54)</f>
        <v>4497</v>
      </c>
      <c r="CF54" s="51">
        <f>INT(CE54/6)</f>
        <v>749</v>
      </c>
      <c r="CG54" s="180">
        <f>CE54-CF54*6</f>
        <v>3</v>
      </c>
      <c r="CH54" s="180">
        <f>CF54+CG54/10</f>
        <v>749.3</v>
      </c>
    </row>
    <row r="55" spans="2:92" x14ac:dyDescent="0.15">
      <c r="B55" s="2" t="s">
        <v>155</v>
      </c>
      <c r="C55" s="2">
        <f t="array" ref="C55:CC55">TRANSPOSE(Matches!P5:P31)</f>
        <v>39.299999999999997</v>
      </c>
      <c r="D55" s="2">
        <v>35</v>
      </c>
      <c r="E55" s="2">
        <v>35.1</v>
      </c>
      <c r="F55" s="2">
        <v>40</v>
      </c>
      <c r="G55" s="2">
        <v>35</v>
      </c>
      <c r="H55" s="2">
        <v>27.5</v>
      </c>
      <c r="I55" s="2">
        <v>40</v>
      </c>
      <c r="J55" s="2">
        <v>28.3</v>
      </c>
      <c r="K55" s="2">
        <v>40</v>
      </c>
      <c r="L55" s="2">
        <v>40</v>
      </c>
      <c r="M55" s="2">
        <v>35</v>
      </c>
      <c r="N55" s="2">
        <v>40</v>
      </c>
      <c r="O55" s="2">
        <v>40</v>
      </c>
      <c r="P55" s="2">
        <v>36.1</v>
      </c>
      <c r="Q55" s="2">
        <v>29.5</v>
      </c>
      <c r="R55" s="2">
        <v>40</v>
      </c>
      <c r="S55" s="2">
        <v>37.1</v>
      </c>
      <c r="T55" s="2">
        <v>40</v>
      </c>
      <c r="U55" s="2">
        <v>23.3</v>
      </c>
      <c r="V55" s="2">
        <v>31.5</v>
      </c>
      <c r="W55" s="2">
        <v>35</v>
      </c>
      <c r="X55" s="2">
        <v>0</v>
      </c>
      <c r="Y55" s="2">
        <v>0</v>
      </c>
      <c r="Z55" s="2">
        <v>0</v>
      </c>
      <c r="AA55" s="2">
        <v>0</v>
      </c>
      <c r="AB55" s="2">
        <v>0</v>
      </c>
      <c r="AC55" s="2">
        <v>0</v>
      </c>
      <c r="AD55" s="2" t="e">
        <v>#N/A</v>
      </c>
      <c r="AE55" s="2" t="e">
        <v>#N/A</v>
      </c>
      <c r="AF55" s="2" t="e">
        <v>#N/A</v>
      </c>
      <c r="AG55" s="2" t="e">
        <v>#N/A</v>
      </c>
      <c r="AH55" s="2" t="e">
        <v>#N/A</v>
      </c>
      <c r="AI55" s="2" t="e">
        <v>#N/A</v>
      </c>
      <c r="AJ55" s="2" t="e">
        <v>#N/A</v>
      </c>
      <c r="AK55" s="2" t="e">
        <v>#N/A</v>
      </c>
      <c r="AL55" s="2" t="e">
        <v>#N/A</v>
      </c>
      <c r="AM55" s="2" t="e">
        <v>#N/A</v>
      </c>
      <c r="AN55" s="2" t="e">
        <v>#N/A</v>
      </c>
      <c r="AO55" s="2" t="e">
        <v>#N/A</v>
      </c>
      <c r="AP55" s="2" t="e">
        <v>#N/A</v>
      </c>
      <c r="AQ55" s="2" t="e">
        <v>#N/A</v>
      </c>
      <c r="AR55" s="2" t="e">
        <v>#N/A</v>
      </c>
      <c r="AS55" s="2" t="e">
        <v>#N/A</v>
      </c>
      <c r="AT55" s="2" t="e">
        <v>#N/A</v>
      </c>
      <c r="AU55" s="2" t="e">
        <v>#N/A</v>
      </c>
      <c r="AV55" s="2" t="e">
        <v>#N/A</v>
      </c>
      <c r="AW55" s="2" t="e">
        <v>#N/A</v>
      </c>
      <c r="AX55" s="2" t="e">
        <v>#N/A</v>
      </c>
      <c r="AY55" s="2" t="e">
        <v>#N/A</v>
      </c>
      <c r="AZ55" s="2" t="e">
        <v>#N/A</v>
      </c>
      <c r="BA55" s="2" t="e">
        <v>#N/A</v>
      </c>
      <c r="BB55" s="2" t="e">
        <v>#N/A</v>
      </c>
      <c r="BC55" s="2" t="e">
        <v>#N/A</v>
      </c>
      <c r="BD55" s="2" t="e">
        <v>#N/A</v>
      </c>
      <c r="BE55" s="2" t="e">
        <v>#N/A</v>
      </c>
      <c r="BF55" s="2" t="e">
        <v>#N/A</v>
      </c>
      <c r="BG55" s="2" t="e">
        <v>#N/A</v>
      </c>
      <c r="BH55" s="2" t="e">
        <v>#N/A</v>
      </c>
      <c r="BI55" s="2" t="e">
        <v>#N/A</v>
      </c>
      <c r="BJ55" s="2" t="e">
        <v>#N/A</v>
      </c>
      <c r="BK55" s="2" t="e">
        <v>#N/A</v>
      </c>
      <c r="BL55" s="2" t="e">
        <v>#N/A</v>
      </c>
      <c r="BM55" s="2" t="e">
        <v>#N/A</v>
      </c>
      <c r="BN55" s="2" t="e">
        <v>#N/A</v>
      </c>
      <c r="BO55" s="2" t="e">
        <v>#N/A</v>
      </c>
      <c r="BP55" s="2" t="e">
        <v>#N/A</v>
      </c>
      <c r="BQ55" s="2" t="e">
        <v>#N/A</v>
      </c>
      <c r="BR55" s="2" t="e">
        <v>#N/A</v>
      </c>
      <c r="BS55" s="2" t="e">
        <v>#N/A</v>
      </c>
      <c r="BT55" s="2" t="e">
        <v>#N/A</v>
      </c>
      <c r="BU55" s="2" t="e">
        <v>#N/A</v>
      </c>
      <c r="BV55" s="2" t="e">
        <v>#N/A</v>
      </c>
      <c r="BW55" s="2" t="e">
        <v>#N/A</v>
      </c>
      <c r="BX55" s="2" t="e">
        <v>#N/A</v>
      </c>
      <c r="BY55" s="2" t="e">
        <v>#N/A</v>
      </c>
      <c r="BZ55" s="2" t="e">
        <v>#N/A</v>
      </c>
      <c r="CA55" s="2" t="e">
        <v>#N/A</v>
      </c>
      <c r="CB55" s="2" t="e">
        <v>#N/A</v>
      </c>
      <c r="CC55" s="2" t="e">
        <v>#N/A</v>
      </c>
    </row>
    <row r="57" spans="2:92" x14ac:dyDescent="0.15">
      <c r="B57" s="2">
        <f>MAX(C57:X92)</f>
        <v>59</v>
      </c>
      <c r="C57" s="2">
        <f t="shared" ref="C57:X57" si="45">BowlSplit(C5,RunsConceded)</f>
        <v>0</v>
      </c>
      <c r="D57" s="2">
        <f t="shared" si="45"/>
        <v>0</v>
      </c>
      <c r="E57" s="2">
        <f t="shared" si="45"/>
        <v>0</v>
      </c>
      <c r="F57" s="2">
        <f t="shared" si="45"/>
        <v>0</v>
      </c>
      <c r="G57" s="2">
        <f t="shared" si="45"/>
        <v>0</v>
      </c>
      <c r="H57" s="2">
        <f t="shared" si="45"/>
        <v>0</v>
      </c>
      <c r="I57" s="2">
        <f t="shared" si="45"/>
        <v>0</v>
      </c>
      <c r="J57" s="2">
        <f t="shared" si="45"/>
        <v>12</v>
      </c>
      <c r="K57" s="2">
        <f t="shared" si="45"/>
        <v>29</v>
      </c>
      <c r="L57" s="2">
        <f t="shared" si="45"/>
        <v>0</v>
      </c>
      <c r="M57" s="2">
        <f t="shared" si="45"/>
        <v>0</v>
      </c>
      <c r="N57" s="2">
        <f t="shared" si="45"/>
        <v>0</v>
      </c>
      <c r="O57" s="2">
        <f t="shared" si="45"/>
        <v>0</v>
      </c>
      <c r="P57" s="2">
        <f t="shared" si="45"/>
        <v>0</v>
      </c>
      <c r="Q57" s="2">
        <f t="shared" si="45"/>
        <v>0</v>
      </c>
      <c r="R57" s="2">
        <f t="shared" si="45"/>
        <v>0</v>
      </c>
      <c r="S57" s="2">
        <f t="shared" si="45"/>
        <v>0</v>
      </c>
      <c r="T57" s="2">
        <f t="shared" si="45"/>
        <v>0</v>
      </c>
      <c r="U57" s="2">
        <f t="shared" si="45"/>
        <v>0</v>
      </c>
      <c r="V57" s="2">
        <f t="shared" si="45"/>
        <v>0</v>
      </c>
      <c r="W57" s="2">
        <f t="shared" si="45"/>
        <v>0</v>
      </c>
      <c r="X57" s="2">
        <f t="shared" si="45"/>
        <v>0</v>
      </c>
    </row>
    <row r="58" spans="2:92" x14ac:dyDescent="0.15">
      <c r="C58" s="2">
        <f t="shared" ref="C58:X58" si="46">BowlSplit(C6,RunsConceded)</f>
        <v>48</v>
      </c>
      <c r="D58" s="2">
        <f t="shared" si="46"/>
        <v>22</v>
      </c>
      <c r="E58" s="2">
        <f t="shared" si="46"/>
        <v>31</v>
      </c>
      <c r="F58" s="2">
        <f t="shared" si="46"/>
        <v>15</v>
      </c>
      <c r="G58" s="2">
        <f t="shared" si="46"/>
        <v>6</v>
      </c>
      <c r="H58" s="2">
        <f t="shared" si="46"/>
        <v>32</v>
      </c>
      <c r="I58" s="2">
        <f t="shared" si="46"/>
        <v>0</v>
      </c>
      <c r="J58" s="2">
        <f t="shared" si="46"/>
        <v>0</v>
      </c>
      <c r="K58" s="2">
        <f t="shared" si="46"/>
        <v>0</v>
      </c>
      <c r="L58" s="2">
        <f t="shared" si="46"/>
        <v>0</v>
      </c>
      <c r="M58" s="2">
        <f t="shared" si="46"/>
        <v>20</v>
      </c>
      <c r="N58" s="2">
        <f t="shared" si="46"/>
        <v>0</v>
      </c>
      <c r="O58" s="2">
        <f t="shared" si="46"/>
        <v>17</v>
      </c>
      <c r="P58" s="2">
        <f t="shared" si="46"/>
        <v>0</v>
      </c>
      <c r="Q58" s="2">
        <f t="shared" si="46"/>
        <v>0</v>
      </c>
      <c r="R58" s="2">
        <f t="shared" si="46"/>
        <v>0</v>
      </c>
      <c r="S58" s="2">
        <f t="shared" si="46"/>
        <v>22</v>
      </c>
      <c r="T58" s="2">
        <f t="shared" si="46"/>
        <v>16</v>
      </c>
      <c r="U58" s="2">
        <f t="shared" si="46"/>
        <v>3</v>
      </c>
      <c r="V58" s="2">
        <f t="shared" si="46"/>
        <v>40</v>
      </c>
      <c r="W58" s="2">
        <f t="shared" si="46"/>
        <v>28</v>
      </c>
      <c r="X58" s="2">
        <f t="shared" si="46"/>
        <v>0</v>
      </c>
    </row>
    <row r="59" spans="2:92" x14ac:dyDescent="0.15">
      <c r="C59" s="2">
        <f t="shared" ref="C59:X59" si="47">BowlSplit(C7,RunsConceded)</f>
        <v>0</v>
      </c>
      <c r="D59" s="2">
        <f t="shared" si="47"/>
        <v>0</v>
      </c>
      <c r="E59" s="2">
        <f t="shared" si="47"/>
        <v>0</v>
      </c>
      <c r="F59" s="2">
        <f t="shared" si="47"/>
        <v>0</v>
      </c>
      <c r="G59" s="2">
        <f t="shared" si="47"/>
        <v>0</v>
      </c>
      <c r="H59" s="2">
        <f t="shared" si="47"/>
        <v>0</v>
      </c>
      <c r="I59" s="2">
        <f t="shared" si="47"/>
        <v>0</v>
      </c>
      <c r="J59" s="2">
        <f t="shared" si="47"/>
        <v>0</v>
      </c>
      <c r="K59" s="2">
        <f t="shared" si="47"/>
        <v>0</v>
      </c>
      <c r="L59" s="2">
        <f t="shared" si="47"/>
        <v>0</v>
      </c>
      <c r="M59" s="2">
        <f t="shared" si="47"/>
        <v>0</v>
      </c>
      <c r="N59" s="2">
        <f t="shared" si="47"/>
        <v>0</v>
      </c>
      <c r="O59" s="2">
        <f t="shared" si="47"/>
        <v>0</v>
      </c>
      <c r="P59" s="2">
        <f t="shared" si="47"/>
        <v>0</v>
      </c>
      <c r="Q59" s="2">
        <f t="shared" si="47"/>
        <v>0</v>
      </c>
      <c r="R59" s="2">
        <f t="shared" si="47"/>
        <v>0</v>
      </c>
      <c r="S59" s="2">
        <f t="shared" si="47"/>
        <v>0</v>
      </c>
      <c r="T59" s="2">
        <f t="shared" si="47"/>
        <v>0</v>
      </c>
      <c r="U59" s="2">
        <f t="shared" si="47"/>
        <v>0</v>
      </c>
      <c r="V59" s="2">
        <f t="shared" si="47"/>
        <v>0</v>
      </c>
      <c r="W59" s="2">
        <f t="shared" si="47"/>
        <v>0</v>
      </c>
      <c r="X59" s="2">
        <f t="shared" si="47"/>
        <v>0</v>
      </c>
    </row>
    <row r="60" spans="2:92" x14ac:dyDescent="0.15">
      <c r="C60" s="2">
        <f t="shared" ref="C60:X60" si="48">BowlSplit(C8,RunsConceded)</f>
        <v>0</v>
      </c>
      <c r="D60" s="2">
        <f t="shared" si="48"/>
        <v>0</v>
      </c>
      <c r="E60" s="2">
        <f t="shared" si="48"/>
        <v>0</v>
      </c>
      <c r="F60" s="2">
        <f t="shared" si="48"/>
        <v>0</v>
      </c>
      <c r="G60" s="2">
        <f t="shared" si="48"/>
        <v>0</v>
      </c>
      <c r="H60" s="2">
        <f t="shared" si="48"/>
        <v>0</v>
      </c>
      <c r="I60" s="2">
        <f t="shared" si="48"/>
        <v>0</v>
      </c>
      <c r="J60" s="2">
        <f t="shared" si="48"/>
        <v>0</v>
      </c>
      <c r="K60" s="2">
        <f t="shared" si="48"/>
        <v>0</v>
      </c>
      <c r="L60" s="2">
        <f t="shared" si="48"/>
        <v>0</v>
      </c>
      <c r="M60" s="2">
        <f t="shared" si="48"/>
        <v>0</v>
      </c>
      <c r="N60" s="2">
        <f t="shared" si="48"/>
        <v>0</v>
      </c>
      <c r="O60" s="2">
        <f t="shared" si="48"/>
        <v>0</v>
      </c>
      <c r="P60" s="2">
        <f t="shared" si="48"/>
        <v>0</v>
      </c>
      <c r="Q60" s="2">
        <f t="shared" si="48"/>
        <v>0</v>
      </c>
      <c r="R60" s="2">
        <f t="shared" si="48"/>
        <v>0</v>
      </c>
      <c r="S60" s="2">
        <f t="shared" si="48"/>
        <v>0</v>
      </c>
      <c r="T60" s="2">
        <f t="shared" si="48"/>
        <v>0</v>
      </c>
      <c r="U60" s="2">
        <f t="shared" si="48"/>
        <v>0</v>
      </c>
      <c r="V60" s="2">
        <f t="shared" si="48"/>
        <v>0</v>
      </c>
      <c r="W60" s="2">
        <f t="shared" si="48"/>
        <v>0</v>
      </c>
      <c r="X60" s="2">
        <f t="shared" si="48"/>
        <v>0</v>
      </c>
    </row>
    <row r="61" spans="2:92" x14ac:dyDescent="0.15">
      <c r="C61" s="2">
        <f t="shared" ref="C61:X61" si="49">BowlSplit(C10,RunsConceded)</f>
        <v>0</v>
      </c>
      <c r="D61" s="2">
        <f t="shared" si="49"/>
        <v>0</v>
      </c>
      <c r="E61" s="2">
        <f t="shared" si="49"/>
        <v>0</v>
      </c>
      <c r="F61" s="2">
        <f t="shared" si="49"/>
        <v>13</v>
      </c>
      <c r="G61" s="2">
        <f t="shared" si="49"/>
        <v>0</v>
      </c>
      <c r="H61" s="2">
        <f t="shared" si="49"/>
        <v>0</v>
      </c>
      <c r="I61" s="2">
        <f t="shared" si="49"/>
        <v>0</v>
      </c>
      <c r="J61" s="2">
        <f t="shared" si="49"/>
        <v>0</v>
      </c>
      <c r="K61" s="2">
        <f t="shared" si="49"/>
        <v>0</v>
      </c>
      <c r="L61" s="2">
        <f t="shared" si="49"/>
        <v>0</v>
      </c>
      <c r="M61" s="2">
        <f t="shared" si="49"/>
        <v>0</v>
      </c>
      <c r="N61" s="2">
        <f t="shared" si="49"/>
        <v>0</v>
      </c>
      <c r="O61" s="2">
        <f t="shared" si="49"/>
        <v>0</v>
      </c>
      <c r="P61" s="2">
        <f t="shared" si="49"/>
        <v>0</v>
      </c>
      <c r="Q61" s="2">
        <f t="shared" si="49"/>
        <v>0</v>
      </c>
      <c r="R61" s="2">
        <f t="shared" si="49"/>
        <v>0</v>
      </c>
      <c r="S61" s="2">
        <f t="shared" si="49"/>
        <v>0</v>
      </c>
      <c r="T61" s="2">
        <f t="shared" si="49"/>
        <v>0</v>
      </c>
      <c r="U61" s="2">
        <f t="shared" si="49"/>
        <v>0</v>
      </c>
      <c r="V61" s="2">
        <f t="shared" si="49"/>
        <v>0</v>
      </c>
      <c r="W61" s="2">
        <f t="shared" si="49"/>
        <v>0</v>
      </c>
      <c r="X61" s="2">
        <f t="shared" si="49"/>
        <v>0</v>
      </c>
    </row>
    <row r="62" spans="2:92" x14ac:dyDescent="0.15">
      <c r="C62" s="2">
        <f t="shared" ref="C62:X62" si="50">BowlSplit(C11,RunsConceded)</f>
        <v>33</v>
      </c>
      <c r="D62" s="2">
        <f t="shared" si="50"/>
        <v>51</v>
      </c>
      <c r="E62" s="2">
        <f t="shared" si="50"/>
        <v>0</v>
      </c>
      <c r="F62" s="2">
        <f t="shared" si="50"/>
        <v>32</v>
      </c>
      <c r="G62" s="2">
        <f t="shared" si="50"/>
        <v>28</v>
      </c>
      <c r="H62" s="2">
        <f t="shared" si="50"/>
        <v>0</v>
      </c>
      <c r="I62" s="2">
        <f t="shared" si="50"/>
        <v>0</v>
      </c>
      <c r="J62" s="2">
        <f t="shared" si="50"/>
        <v>0</v>
      </c>
      <c r="K62" s="2">
        <f t="shared" si="50"/>
        <v>0</v>
      </c>
      <c r="L62" s="2">
        <f t="shared" si="50"/>
        <v>38</v>
      </c>
      <c r="M62" s="2">
        <f t="shared" si="50"/>
        <v>0</v>
      </c>
      <c r="N62" s="2">
        <f t="shared" si="50"/>
        <v>0</v>
      </c>
      <c r="O62" s="2">
        <f t="shared" si="50"/>
        <v>0</v>
      </c>
      <c r="P62" s="2">
        <f t="shared" si="50"/>
        <v>6</v>
      </c>
      <c r="Q62" s="2">
        <f t="shared" si="50"/>
        <v>0</v>
      </c>
      <c r="R62" s="2">
        <f t="shared" si="50"/>
        <v>54</v>
      </c>
      <c r="S62" s="2">
        <f t="shared" si="50"/>
        <v>0</v>
      </c>
      <c r="T62" s="2">
        <f t="shared" si="50"/>
        <v>0</v>
      </c>
      <c r="U62" s="2">
        <f t="shared" si="50"/>
        <v>0</v>
      </c>
      <c r="V62" s="2">
        <f t="shared" si="50"/>
        <v>0</v>
      </c>
      <c r="W62" s="2">
        <f t="shared" si="50"/>
        <v>0</v>
      </c>
      <c r="X62" s="2">
        <f t="shared" si="50"/>
        <v>0</v>
      </c>
    </row>
    <row r="63" spans="2:92" x14ac:dyDescent="0.15">
      <c r="C63" s="2">
        <f t="shared" ref="C63:X63" si="51">BowlSplit(C12,RunsConceded)</f>
        <v>0</v>
      </c>
      <c r="D63" s="2">
        <f t="shared" si="51"/>
        <v>0</v>
      </c>
      <c r="E63" s="2">
        <f t="shared" si="51"/>
        <v>0</v>
      </c>
      <c r="F63" s="2">
        <f t="shared" si="51"/>
        <v>0</v>
      </c>
      <c r="G63" s="2">
        <f t="shared" si="51"/>
        <v>0</v>
      </c>
      <c r="H63" s="2">
        <f t="shared" si="51"/>
        <v>0</v>
      </c>
      <c r="I63" s="2">
        <f t="shared" si="51"/>
        <v>40</v>
      </c>
      <c r="J63" s="2">
        <f t="shared" si="51"/>
        <v>33</v>
      </c>
      <c r="K63" s="2">
        <f t="shared" si="51"/>
        <v>36</v>
      </c>
      <c r="L63" s="2">
        <f t="shared" si="51"/>
        <v>20</v>
      </c>
      <c r="M63" s="2">
        <f t="shared" si="51"/>
        <v>35</v>
      </c>
      <c r="N63" s="2">
        <f t="shared" si="51"/>
        <v>38</v>
      </c>
      <c r="O63" s="2">
        <f t="shared" si="51"/>
        <v>0</v>
      </c>
      <c r="P63" s="2">
        <f t="shared" si="51"/>
        <v>27</v>
      </c>
      <c r="Q63" s="2">
        <f t="shared" si="51"/>
        <v>20</v>
      </c>
      <c r="R63" s="2">
        <f t="shared" si="51"/>
        <v>59</v>
      </c>
      <c r="S63" s="2">
        <f t="shared" si="51"/>
        <v>34</v>
      </c>
      <c r="T63" s="2">
        <f t="shared" si="51"/>
        <v>0</v>
      </c>
      <c r="U63" s="2">
        <f t="shared" si="51"/>
        <v>0</v>
      </c>
      <c r="V63" s="2">
        <f t="shared" si="51"/>
        <v>0</v>
      </c>
      <c r="W63" s="2">
        <f t="shared" si="51"/>
        <v>28</v>
      </c>
      <c r="X63" s="2">
        <f t="shared" si="51"/>
        <v>0</v>
      </c>
      <c r="CL63" s="51">
        <f>6/29</f>
        <v>0.20689655172413793</v>
      </c>
    </row>
    <row r="64" spans="2:92" x14ac:dyDescent="0.15">
      <c r="C64" s="2">
        <f t="shared" ref="C64:X64" si="52">BowlSplit(C13,RunsConceded)</f>
        <v>0</v>
      </c>
      <c r="D64" s="2">
        <f t="shared" si="52"/>
        <v>0</v>
      </c>
      <c r="E64" s="2">
        <f t="shared" si="52"/>
        <v>0</v>
      </c>
      <c r="F64" s="2">
        <f t="shared" si="52"/>
        <v>0</v>
      </c>
      <c r="G64" s="2">
        <f t="shared" si="52"/>
        <v>0</v>
      </c>
      <c r="H64" s="2">
        <f t="shared" si="52"/>
        <v>0</v>
      </c>
      <c r="I64" s="2">
        <f t="shared" si="52"/>
        <v>0</v>
      </c>
      <c r="J64" s="2">
        <f t="shared" si="52"/>
        <v>0</v>
      </c>
      <c r="K64" s="2">
        <f t="shared" si="52"/>
        <v>0</v>
      </c>
      <c r="L64" s="2">
        <f t="shared" si="52"/>
        <v>0</v>
      </c>
      <c r="M64" s="2">
        <f t="shared" si="52"/>
        <v>0</v>
      </c>
      <c r="N64" s="2">
        <f t="shared" si="52"/>
        <v>0</v>
      </c>
      <c r="O64" s="2">
        <f t="shared" si="52"/>
        <v>0</v>
      </c>
      <c r="P64" s="2">
        <f t="shared" si="52"/>
        <v>0</v>
      </c>
      <c r="Q64" s="2">
        <f t="shared" si="52"/>
        <v>0</v>
      </c>
      <c r="R64" s="2">
        <f t="shared" si="52"/>
        <v>0</v>
      </c>
      <c r="S64" s="2">
        <f t="shared" si="52"/>
        <v>0</v>
      </c>
      <c r="T64" s="2">
        <f t="shared" si="52"/>
        <v>0</v>
      </c>
      <c r="U64" s="2">
        <f t="shared" si="52"/>
        <v>0</v>
      </c>
      <c r="V64" s="2">
        <f t="shared" si="52"/>
        <v>0</v>
      </c>
      <c r="W64" s="2">
        <f t="shared" si="52"/>
        <v>0</v>
      </c>
      <c r="X64" s="2">
        <f t="shared" si="52"/>
        <v>0</v>
      </c>
      <c r="CL64" s="51">
        <f>9/44</f>
        <v>0.20454545454545456</v>
      </c>
    </row>
    <row r="65" spans="3:24" x14ac:dyDescent="0.15">
      <c r="C65" s="2">
        <f t="shared" ref="C65:X65" si="53">BowlSplit(C14,RunsConceded)</f>
        <v>0</v>
      </c>
      <c r="D65" s="2">
        <f t="shared" si="53"/>
        <v>0</v>
      </c>
      <c r="E65" s="2">
        <f t="shared" si="53"/>
        <v>0</v>
      </c>
      <c r="F65" s="2">
        <f t="shared" si="53"/>
        <v>0</v>
      </c>
      <c r="G65" s="2">
        <f t="shared" si="53"/>
        <v>0</v>
      </c>
      <c r="H65" s="2">
        <f t="shared" si="53"/>
        <v>0</v>
      </c>
      <c r="I65" s="2">
        <f t="shared" si="53"/>
        <v>0</v>
      </c>
      <c r="J65" s="2">
        <f t="shared" si="53"/>
        <v>0</v>
      </c>
      <c r="K65" s="2">
        <f t="shared" si="53"/>
        <v>0</v>
      </c>
      <c r="L65" s="2">
        <f t="shared" si="53"/>
        <v>0</v>
      </c>
      <c r="M65" s="2">
        <f t="shared" si="53"/>
        <v>0</v>
      </c>
      <c r="N65" s="2">
        <f t="shared" si="53"/>
        <v>0</v>
      </c>
      <c r="O65" s="2">
        <f t="shared" si="53"/>
        <v>0</v>
      </c>
      <c r="P65" s="2">
        <f t="shared" si="53"/>
        <v>0</v>
      </c>
      <c r="Q65" s="2">
        <f t="shared" si="53"/>
        <v>0</v>
      </c>
      <c r="R65" s="2">
        <f t="shared" si="53"/>
        <v>0</v>
      </c>
      <c r="S65" s="2">
        <f t="shared" si="53"/>
        <v>0</v>
      </c>
      <c r="T65" s="2">
        <f t="shared" si="53"/>
        <v>0</v>
      </c>
      <c r="U65" s="2">
        <f t="shared" si="53"/>
        <v>0</v>
      </c>
      <c r="V65" s="2">
        <f t="shared" si="53"/>
        <v>0</v>
      </c>
      <c r="W65" s="2">
        <f t="shared" si="53"/>
        <v>0</v>
      </c>
      <c r="X65" s="2">
        <f t="shared" si="53"/>
        <v>0</v>
      </c>
    </row>
    <row r="66" spans="3:24" x14ac:dyDescent="0.15">
      <c r="C66" s="2">
        <f t="shared" ref="C66:X66" si="54">BowlSplit(C15,RunsConceded)</f>
        <v>0</v>
      </c>
      <c r="D66" s="2">
        <f t="shared" si="54"/>
        <v>0</v>
      </c>
      <c r="E66" s="2">
        <f t="shared" si="54"/>
        <v>0</v>
      </c>
      <c r="F66" s="2">
        <f t="shared" si="54"/>
        <v>0</v>
      </c>
      <c r="G66" s="2">
        <f t="shared" si="54"/>
        <v>0</v>
      </c>
      <c r="H66" s="2">
        <f t="shared" si="54"/>
        <v>0</v>
      </c>
      <c r="I66" s="2">
        <f t="shared" si="54"/>
        <v>0</v>
      </c>
      <c r="J66" s="2">
        <f t="shared" si="54"/>
        <v>0</v>
      </c>
      <c r="K66" s="2">
        <f t="shared" si="54"/>
        <v>0</v>
      </c>
      <c r="L66" s="2">
        <f t="shared" si="54"/>
        <v>0</v>
      </c>
      <c r="M66" s="2">
        <f t="shared" si="54"/>
        <v>0</v>
      </c>
      <c r="N66" s="2">
        <f t="shared" si="54"/>
        <v>0</v>
      </c>
      <c r="O66" s="2">
        <f t="shared" si="54"/>
        <v>0</v>
      </c>
      <c r="P66" s="2">
        <f t="shared" si="54"/>
        <v>0</v>
      </c>
      <c r="Q66" s="2">
        <f t="shared" si="54"/>
        <v>0</v>
      </c>
      <c r="R66" s="2">
        <f t="shared" si="54"/>
        <v>0</v>
      </c>
      <c r="S66" s="2">
        <f t="shared" si="54"/>
        <v>0</v>
      </c>
      <c r="T66" s="2">
        <f t="shared" si="54"/>
        <v>0</v>
      </c>
      <c r="U66" s="2">
        <f t="shared" si="54"/>
        <v>0</v>
      </c>
      <c r="V66" s="2">
        <f t="shared" si="54"/>
        <v>0</v>
      </c>
      <c r="W66" s="2">
        <f t="shared" si="54"/>
        <v>0</v>
      </c>
      <c r="X66" s="2">
        <f t="shared" si="54"/>
        <v>0</v>
      </c>
    </row>
    <row r="67" spans="3:24" x14ac:dyDescent="0.15">
      <c r="C67" s="2">
        <f t="shared" ref="C67:X67" si="55">BowlSplit(C17,RunsConceded)</f>
        <v>0</v>
      </c>
      <c r="D67" s="2">
        <f t="shared" si="55"/>
        <v>0</v>
      </c>
      <c r="E67" s="2">
        <f t="shared" si="55"/>
        <v>0</v>
      </c>
      <c r="F67" s="2">
        <f t="shared" si="55"/>
        <v>0</v>
      </c>
      <c r="G67" s="2">
        <f t="shared" si="55"/>
        <v>0</v>
      </c>
      <c r="H67" s="2">
        <f t="shared" si="55"/>
        <v>0</v>
      </c>
      <c r="I67" s="2">
        <f t="shared" si="55"/>
        <v>0</v>
      </c>
      <c r="J67" s="2">
        <f t="shared" si="55"/>
        <v>0</v>
      </c>
      <c r="K67" s="2">
        <f t="shared" si="55"/>
        <v>0</v>
      </c>
      <c r="L67" s="2">
        <f t="shared" si="55"/>
        <v>0</v>
      </c>
      <c r="M67" s="2">
        <f t="shared" si="55"/>
        <v>0</v>
      </c>
      <c r="N67" s="2">
        <f t="shared" si="55"/>
        <v>0</v>
      </c>
      <c r="O67" s="2">
        <f t="shared" si="55"/>
        <v>0</v>
      </c>
      <c r="P67" s="2">
        <f t="shared" si="55"/>
        <v>0</v>
      </c>
      <c r="Q67" s="2">
        <f t="shared" si="55"/>
        <v>0</v>
      </c>
      <c r="R67" s="2">
        <f t="shared" si="55"/>
        <v>0</v>
      </c>
      <c r="S67" s="2">
        <f t="shared" si="55"/>
        <v>0</v>
      </c>
      <c r="T67" s="2">
        <f t="shared" si="55"/>
        <v>0</v>
      </c>
      <c r="U67" s="2">
        <f t="shared" si="55"/>
        <v>0</v>
      </c>
      <c r="V67" s="2">
        <f t="shared" si="55"/>
        <v>0</v>
      </c>
      <c r="W67" s="2">
        <f t="shared" si="55"/>
        <v>0</v>
      </c>
      <c r="X67" s="2">
        <f t="shared" si="55"/>
        <v>0</v>
      </c>
    </row>
    <row r="68" spans="3:24" x14ac:dyDescent="0.15">
      <c r="C68" s="2">
        <f t="shared" ref="C68:X68" si="56">BowlSplit(C19,RunsConceded)</f>
        <v>0</v>
      </c>
      <c r="D68" s="2">
        <f t="shared" si="56"/>
        <v>28</v>
      </c>
      <c r="E68" s="2">
        <f t="shared" si="56"/>
        <v>0</v>
      </c>
      <c r="F68" s="2">
        <f t="shared" si="56"/>
        <v>0</v>
      </c>
      <c r="G68" s="2">
        <f t="shared" si="56"/>
        <v>0</v>
      </c>
      <c r="H68" s="2">
        <f t="shared" si="56"/>
        <v>0</v>
      </c>
      <c r="I68" s="2">
        <f t="shared" si="56"/>
        <v>0</v>
      </c>
      <c r="J68" s="2">
        <f t="shared" si="56"/>
        <v>0</v>
      </c>
      <c r="K68" s="2">
        <f t="shared" si="56"/>
        <v>0</v>
      </c>
      <c r="L68" s="2">
        <f t="shared" si="56"/>
        <v>0</v>
      </c>
      <c r="M68" s="2">
        <f t="shared" si="56"/>
        <v>0</v>
      </c>
      <c r="N68" s="2">
        <f t="shared" si="56"/>
        <v>0</v>
      </c>
      <c r="O68" s="2">
        <f t="shared" si="56"/>
        <v>0</v>
      </c>
      <c r="P68" s="2">
        <f t="shared" si="56"/>
        <v>0</v>
      </c>
      <c r="Q68" s="2">
        <f t="shared" si="56"/>
        <v>0</v>
      </c>
      <c r="R68" s="2">
        <f t="shared" si="56"/>
        <v>0</v>
      </c>
      <c r="S68" s="2">
        <f t="shared" si="56"/>
        <v>0</v>
      </c>
      <c r="T68" s="2">
        <f t="shared" si="56"/>
        <v>0</v>
      </c>
      <c r="U68" s="2">
        <f t="shared" si="56"/>
        <v>0</v>
      </c>
      <c r="V68" s="2">
        <f t="shared" si="56"/>
        <v>0</v>
      </c>
      <c r="W68" s="2">
        <f t="shared" si="56"/>
        <v>0</v>
      </c>
      <c r="X68" s="2">
        <f t="shared" si="56"/>
        <v>0</v>
      </c>
    </row>
    <row r="69" spans="3:24" x14ac:dyDescent="0.15">
      <c r="C69" s="2">
        <f t="shared" ref="C69:X69" si="57">BowlSplit(C22,RunsConceded)</f>
        <v>0</v>
      </c>
      <c r="D69" s="2">
        <f t="shared" si="57"/>
        <v>0</v>
      </c>
      <c r="E69" s="2">
        <f t="shared" si="57"/>
        <v>19</v>
      </c>
      <c r="F69" s="2">
        <f t="shared" si="57"/>
        <v>0</v>
      </c>
      <c r="G69" s="2">
        <f t="shared" si="57"/>
        <v>0</v>
      </c>
      <c r="H69" s="2">
        <f t="shared" si="57"/>
        <v>0</v>
      </c>
      <c r="I69" s="2">
        <f t="shared" si="57"/>
        <v>0</v>
      </c>
      <c r="J69" s="2">
        <f t="shared" si="57"/>
        <v>0</v>
      </c>
      <c r="K69" s="2">
        <f t="shared" si="57"/>
        <v>0</v>
      </c>
      <c r="L69" s="2">
        <f t="shared" si="57"/>
        <v>43</v>
      </c>
      <c r="M69" s="2">
        <f t="shared" si="57"/>
        <v>0</v>
      </c>
      <c r="N69" s="2">
        <f t="shared" si="57"/>
        <v>0</v>
      </c>
      <c r="O69" s="2">
        <f t="shared" si="57"/>
        <v>0</v>
      </c>
      <c r="P69" s="2">
        <f t="shared" si="57"/>
        <v>19</v>
      </c>
      <c r="Q69" s="2">
        <f t="shared" si="57"/>
        <v>0</v>
      </c>
      <c r="R69" s="2">
        <f t="shared" si="57"/>
        <v>0</v>
      </c>
      <c r="S69" s="2">
        <f t="shared" si="57"/>
        <v>0</v>
      </c>
      <c r="T69" s="2">
        <f t="shared" si="57"/>
        <v>22</v>
      </c>
      <c r="U69" s="2">
        <f t="shared" si="57"/>
        <v>0</v>
      </c>
      <c r="V69" s="2">
        <f t="shared" si="57"/>
        <v>0</v>
      </c>
      <c r="W69" s="2">
        <f t="shared" si="57"/>
        <v>32</v>
      </c>
      <c r="X69" s="2">
        <f t="shared" si="57"/>
        <v>0</v>
      </c>
    </row>
    <row r="70" spans="3:24" x14ac:dyDescent="0.15">
      <c r="C70" s="2">
        <f t="shared" ref="C70:X70" si="58">BowlSplit(C23,RunsConceded)</f>
        <v>0</v>
      </c>
      <c r="D70" s="2">
        <f t="shared" si="58"/>
        <v>0</v>
      </c>
      <c r="E70" s="2">
        <f t="shared" si="58"/>
        <v>0</v>
      </c>
      <c r="F70" s="2">
        <f t="shared" si="58"/>
        <v>0</v>
      </c>
      <c r="G70" s="2">
        <f t="shared" si="58"/>
        <v>0</v>
      </c>
      <c r="H70" s="2">
        <f t="shared" si="58"/>
        <v>0</v>
      </c>
      <c r="I70" s="2">
        <f t="shared" si="58"/>
        <v>0</v>
      </c>
      <c r="J70" s="2">
        <f t="shared" si="58"/>
        <v>0</v>
      </c>
      <c r="K70" s="2">
        <f t="shared" si="58"/>
        <v>0</v>
      </c>
      <c r="L70" s="2">
        <f t="shared" si="58"/>
        <v>0</v>
      </c>
      <c r="M70" s="2">
        <f t="shared" si="58"/>
        <v>0</v>
      </c>
      <c r="N70" s="2">
        <f t="shared" si="58"/>
        <v>0</v>
      </c>
      <c r="O70" s="2">
        <f t="shared" si="58"/>
        <v>0</v>
      </c>
      <c r="P70" s="2">
        <f t="shared" si="58"/>
        <v>0</v>
      </c>
      <c r="Q70" s="2">
        <f t="shared" si="58"/>
        <v>0</v>
      </c>
      <c r="R70" s="2">
        <f t="shared" si="58"/>
        <v>0</v>
      </c>
      <c r="S70" s="2">
        <f t="shared" si="58"/>
        <v>0</v>
      </c>
      <c r="T70" s="2">
        <f t="shared" si="58"/>
        <v>0</v>
      </c>
      <c r="U70" s="2">
        <f t="shared" si="58"/>
        <v>0</v>
      </c>
      <c r="V70" s="2">
        <f t="shared" si="58"/>
        <v>0</v>
      </c>
      <c r="W70" s="2">
        <f t="shared" si="58"/>
        <v>0</v>
      </c>
      <c r="X70" s="2">
        <f t="shared" si="58"/>
        <v>0</v>
      </c>
    </row>
    <row r="71" spans="3:24" x14ac:dyDescent="0.15">
      <c r="C71" s="2">
        <f t="shared" ref="C71:X71" si="59">BowlSplit(C24,RunsConceded)</f>
        <v>0</v>
      </c>
      <c r="D71" s="2">
        <f t="shared" si="59"/>
        <v>0</v>
      </c>
      <c r="E71" s="2">
        <f t="shared" si="59"/>
        <v>0</v>
      </c>
      <c r="F71" s="2">
        <f t="shared" si="59"/>
        <v>0</v>
      </c>
      <c r="G71" s="2">
        <f t="shared" si="59"/>
        <v>0</v>
      </c>
      <c r="H71" s="2">
        <f t="shared" si="59"/>
        <v>0</v>
      </c>
      <c r="I71" s="2">
        <f t="shared" si="59"/>
        <v>0</v>
      </c>
      <c r="J71" s="2">
        <f t="shared" si="59"/>
        <v>0</v>
      </c>
      <c r="K71" s="2">
        <f t="shared" si="59"/>
        <v>0</v>
      </c>
      <c r="L71" s="2">
        <f t="shared" si="59"/>
        <v>0</v>
      </c>
      <c r="M71" s="2">
        <f t="shared" si="59"/>
        <v>0</v>
      </c>
      <c r="N71" s="2">
        <f t="shared" si="59"/>
        <v>0</v>
      </c>
      <c r="O71" s="2">
        <f t="shared" si="59"/>
        <v>0</v>
      </c>
      <c r="P71" s="2">
        <f t="shared" si="59"/>
        <v>0</v>
      </c>
      <c r="Q71" s="2">
        <f t="shared" si="59"/>
        <v>0</v>
      </c>
      <c r="R71" s="2">
        <f t="shared" si="59"/>
        <v>0</v>
      </c>
      <c r="S71" s="2">
        <f t="shared" si="59"/>
        <v>0</v>
      </c>
      <c r="T71" s="2">
        <f t="shared" si="59"/>
        <v>0</v>
      </c>
      <c r="U71" s="2">
        <f t="shared" si="59"/>
        <v>0</v>
      </c>
      <c r="V71" s="2">
        <f t="shared" si="59"/>
        <v>0</v>
      </c>
      <c r="W71" s="2">
        <f t="shared" si="59"/>
        <v>0</v>
      </c>
      <c r="X71" s="2">
        <f t="shared" si="59"/>
        <v>0</v>
      </c>
    </row>
    <row r="72" spans="3:24" x14ac:dyDescent="0.15">
      <c r="C72" s="2">
        <f t="shared" ref="C72:X72" si="60">BowlSplit(C25,RunsConceded)</f>
        <v>12</v>
      </c>
      <c r="D72" s="2">
        <f t="shared" si="60"/>
        <v>0</v>
      </c>
      <c r="E72" s="2">
        <f t="shared" si="60"/>
        <v>0</v>
      </c>
      <c r="F72" s="2">
        <f t="shared" si="60"/>
        <v>17</v>
      </c>
      <c r="G72" s="2">
        <f t="shared" si="60"/>
        <v>16</v>
      </c>
      <c r="H72" s="2">
        <f t="shared" si="60"/>
        <v>30</v>
      </c>
      <c r="I72" s="2">
        <f t="shared" si="60"/>
        <v>0</v>
      </c>
      <c r="J72" s="2">
        <f t="shared" si="60"/>
        <v>0</v>
      </c>
      <c r="K72" s="2">
        <f t="shared" si="60"/>
        <v>14</v>
      </c>
      <c r="L72" s="2">
        <f t="shared" si="60"/>
        <v>30</v>
      </c>
      <c r="M72" s="2">
        <f t="shared" si="60"/>
        <v>0</v>
      </c>
      <c r="N72" s="2">
        <f t="shared" si="60"/>
        <v>0</v>
      </c>
      <c r="O72" s="2">
        <f t="shared" si="60"/>
        <v>50</v>
      </c>
      <c r="P72" s="2">
        <f t="shared" si="60"/>
        <v>9</v>
      </c>
      <c r="Q72" s="2">
        <f t="shared" si="60"/>
        <v>0</v>
      </c>
      <c r="R72" s="2">
        <f t="shared" si="60"/>
        <v>0</v>
      </c>
      <c r="S72" s="2">
        <f t="shared" si="60"/>
        <v>0</v>
      </c>
      <c r="T72" s="2">
        <f t="shared" si="60"/>
        <v>25</v>
      </c>
      <c r="U72" s="2">
        <f t="shared" si="60"/>
        <v>37</v>
      </c>
      <c r="V72" s="2">
        <f t="shared" si="60"/>
        <v>54</v>
      </c>
      <c r="W72" s="2">
        <f t="shared" si="60"/>
        <v>30</v>
      </c>
      <c r="X72" s="2">
        <f t="shared" si="60"/>
        <v>0</v>
      </c>
    </row>
    <row r="73" spans="3:24" x14ac:dyDescent="0.15">
      <c r="C73" s="2">
        <f t="shared" ref="C73:X73" si="61">BowlSplit(C26,RunsConceded)</f>
        <v>0</v>
      </c>
      <c r="D73" s="2">
        <f t="shared" si="61"/>
        <v>0</v>
      </c>
      <c r="E73" s="2">
        <f t="shared" si="61"/>
        <v>0</v>
      </c>
      <c r="F73" s="2">
        <f t="shared" si="61"/>
        <v>0</v>
      </c>
      <c r="G73" s="2">
        <f t="shared" si="61"/>
        <v>0</v>
      </c>
      <c r="H73" s="2">
        <f t="shared" si="61"/>
        <v>0</v>
      </c>
      <c r="I73" s="2">
        <f t="shared" si="61"/>
        <v>30</v>
      </c>
      <c r="J73" s="2">
        <f t="shared" si="61"/>
        <v>0</v>
      </c>
      <c r="K73" s="2">
        <f t="shared" si="61"/>
        <v>0</v>
      </c>
      <c r="L73" s="2">
        <f t="shared" si="61"/>
        <v>0</v>
      </c>
      <c r="M73" s="2">
        <f t="shared" si="61"/>
        <v>0</v>
      </c>
      <c r="N73" s="2">
        <f t="shared" si="61"/>
        <v>0</v>
      </c>
      <c r="O73" s="2">
        <f t="shared" si="61"/>
        <v>0</v>
      </c>
      <c r="P73" s="2">
        <f t="shared" si="61"/>
        <v>0</v>
      </c>
      <c r="Q73" s="2">
        <f t="shared" si="61"/>
        <v>0</v>
      </c>
      <c r="R73" s="2">
        <f t="shared" si="61"/>
        <v>0</v>
      </c>
      <c r="S73" s="2">
        <f t="shared" si="61"/>
        <v>0</v>
      </c>
      <c r="T73" s="2">
        <f t="shared" si="61"/>
        <v>0</v>
      </c>
      <c r="U73" s="2">
        <f t="shared" si="61"/>
        <v>0</v>
      </c>
      <c r="V73" s="2">
        <f t="shared" si="61"/>
        <v>0</v>
      </c>
      <c r="W73" s="2">
        <f t="shared" si="61"/>
        <v>0</v>
      </c>
      <c r="X73" s="2">
        <f t="shared" si="61"/>
        <v>0</v>
      </c>
    </row>
    <row r="74" spans="3:24" x14ac:dyDescent="0.15">
      <c r="C74" s="2">
        <f t="shared" ref="C74:X74" si="62">BowlSplit(C27,RunsConceded)</f>
        <v>11</v>
      </c>
      <c r="D74" s="2">
        <f t="shared" si="62"/>
        <v>0</v>
      </c>
      <c r="E74" s="2">
        <f t="shared" si="62"/>
        <v>30</v>
      </c>
      <c r="F74" s="2">
        <f t="shared" si="62"/>
        <v>16</v>
      </c>
      <c r="G74" s="2">
        <f t="shared" si="62"/>
        <v>0</v>
      </c>
      <c r="H74" s="2">
        <f t="shared" si="62"/>
        <v>0</v>
      </c>
      <c r="I74" s="2">
        <f t="shared" si="62"/>
        <v>15</v>
      </c>
      <c r="J74" s="2">
        <f t="shared" si="62"/>
        <v>38</v>
      </c>
      <c r="K74" s="2">
        <f t="shared" si="62"/>
        <v>20</v>
      </c>
      <c r="L74" s="2">
        <f t="shared" si="62"/>
        <v>14</v>
      </c>
      <c r="M74" s="2">
        <f t="shared" si="62"/>
        <v>0</v>
      </c>
      <c r="N74" s="2">
        <f t="shared" si="62"/>
        <v>47</v>
      </c>
      <c r="O74" s="2">
        <f t="shared" si="62"/>
        <v>17</v>
      </c>
      <c r="P74" s="2">
        <f t="shared" si="62"/>
        <v>0</v>
      </c>
      <c r="Q74" s="2">
        <f t="shared" si="62"/>
        <v>0</v>
      </c>
      <c r="R74" s="2">
        <f t="shared" si="62"/>
        <v>0</v>
      </c>
      <c r="S74" s="2">
        <f t="shared" si="62"/>
        <v>0</v>
      </c>
      <c r="T74" s="2">
        <f t="shared" si="62"/>
        <v>0</v>
      </c>
      <c r="U74" s="2">
        <f t="shared" si="62"/>
        <v>0</v>
      </c>
      <c r="V74" s="2">
        <f t="shared" si="62"/>
        <v>29</v>
      </c>
      <c r="W74" s="2">
        <f t="shared" si="62"/>
        <v>0</v>
      </c>
      <c r="X74" s="2">
        <f t="shared" si="62"/>
        <v>0</v>
      </c>
    </row>
    <row r="75" spans="3:24" x14ac:dyDescent="0.15">
      <c r="C75" s="2">
        <f t="shared" ref="C75:X75" si="63">BowlSplit(C28,RunsConceded)</f>
        <v>0</v>
      </c>
      <c r="D75" s="2">
        <f t="shared" si="63"/>
        <v>20</v>
      </c>
      <c r="E75" s="2">
        <f t="shared" si="63"/>
        <v>0</v>
      </c>
      <c r="F75" s="2">
        <f t="shared" si="63"/>
        <v>0</v>
      </c>
      <c r="G75" s="2">
        <f t="shared" si="63"/>
        <v>29</v>
      </c>
      <c r="H75" s="2">
        <f t="shared" si="63"/>
        <v>33</v>
      </c>
      <c r="I75" s="2">
        <f t="shared" si="63"/>
        <v>0</v>
      </c>
      <c r="J75" s="2">
        <f t="shared" si="63"/>
        <v>25</v>
      </c>
      <c r="K75" s="2">
        <f t="shared" si="63"/>
        <v>0</v>
      </c>
      <c r="L75" s="2">
        <f t="shared" si="63"/>
        <v>0</v>
      </c>
      <c r="M75" s="2">
        <f t="shared" si="63"/>
        <v>45</v>
      </c>
      <c r="N75" s="2">
        <f t="shared" si="63"/>
        <v>0</v>
      </c>
      <c r="O75" s="2">
        <f t="shared" si="63"/>
        <v>0</v>
      </c>
      <c r="P75" s="2">
        <f t="shared" si="63"/>
        <v>0</v>
      </c>
      <c r="Q75" s="2">
        <f t="shared" si="63"/>
        <v>0</v>
      </c>
      <c r="R75" s="2">
        <f t="shared" si="63"/>
        <v>0</v>
      </c>
      <c r="S75" s="2">
        <f t="shared" si="63"/>
        <v>0</v>
      </c>
      <c r="T75" s="2">
        <f t="shared" si="63"/>
        <v>0</v>
      </c>
      <c r="U75" s="2">
        <f t="shared" si="63"/>
        <v>9</v>
      </c>
      <c r="V75" s="2">
        <f t="shared" si="63"/>
        <v>0</v>
      </c>
      <c r="W75" s="2">
        <f t="shared" si="63"/>
        <v>0</v>
      </c>
      <c r="X75" s="2">
        <f t="shared" si="63"/>
        <v>0</v>
      </c>
    </row>
    <row r="76" spans="3:24" x14ac:dyDescent="0.15">
      <c r="C76" s="2">
        <f t="shared" ref="C76:X76" si="64">BowlSplit(C29,RunsConceded)</f>
        <v>0</v>
      </c>
      <c r="D76" s="2">
        <f t="shared" si="64"/>
        <v>0</v>
      </c>
      <c r="E76" s="2">
        <f t="shared" si="64"/>
        <v>0</v>
      </c>
      <c r="F76" s="2">
        <f t="shared" si="64"/>
        <v>0</v>
      </c>
      <c r="G76" s="2">
        <f t="shared" si="64"/>
        <v>0</v>
      </c>
      <c r="H76" s="2">
        <f t="shared" si="64"/>
        <v>0</v>
      </c>
      <c r="I76" s="2">
        <f t="shared" si="64"/>
        <v>0</v>
      </c>
      <c r="J76" s="2">
        <f t="shared" si="64"/>
        <v>0</v>
      </c>
      <c r="K76" s="2">
        <f t="shared" si="64"/>
        <v>0</v>
      </c>
      <c r="L76" s="2">
        <f t="shared" si="64"/>
        <v>0</v>
      </c>
      <c r="M76" s="2">
        <f t="shared" si="64"/>
        <v>0</v>
      </c>
      <c r="N76" s="2">
        <f t="shared" si="64"/>
        <v>0</v>
      </c>
      <c r="O76" s="2">
        <f t="shared" si="64"/>
        <v>0</v>
      </c>
      <c r="P76" s="2">
        <f t="shared" si="64"/>
        <v>0</v>
      </c>
      <c r="Q76" s="2">
        <f t="shared" si="64"/>
        <v>0</v>
      </c>
      <c r="R76" s="2">
        <f t="shared" si="64"/>
        <v>0</v>
      </c>
      <c r="S76" s="2">
        <f t="shared" si="64"/>
        <v>0</v>
      </c>
      <c r="T76" s="2">
        <f t="shared" si="64"/>
        <v>0</v>
      </c>
      <c r="U76" s="2">
        <f t="shared" si="64"/>
        <v>0</v>
      </c>
      <c r="V76" s="2">
        <f t="shared" si="64"/>
        <v>0</v>
      </c>
      <c r="W76" s="2">
        <f t="shared" si="64"/>
        <v>0</v>
      </c>
      <c r="X76" s="2">
        <f t="shared" si="64"/>
        <v>0</v>
      </c>
    </row>
    <row r="77" spans="3:24" x14ac:dyDescent="0.15">
      <c r="C77" s="2">
        <f t="shared" ref="C77:X77" si="65">BowlSplit(C30,RunsConceded)</f>
        <v>0</v>
      </c>
      <c r="D77" s="2">
        <f t="shared" si="65"/>
        <v>0</v>
      </c>
      <c r="E77" s="2">
        <f t="shared" si="65"/>
        <v>0</v>
      </c>
      <c r="F77" s="2">
        <f t="shared" si="65"/>
        <v>0</v>
      </c>
      <c r="G77" s="2">
        <f t="shared" si="65"/>
        <v>0</v>
      </c>
      <c r="H77" s="2">
        <f t="shared" si="65"/>
        <v>25</v>
      </c>
      <c r="I77" s="2">
        <f t="shared" si="65"/>
        <v>0</v>
      </c>
      <c r="J77" s="2">
        <f t="shared" si="65"/>
        <v>0</v>
      </c>
      <c r="K77" s="2">
        <f t="shared" si="65"/>
        <v>0</v>
      </c>
      <c r="L77" s="2">
        <f t="shared" si="65"/>
        <v>0</v>
      </c>
      <c r="M77" s="2">
        <f t="shared" si="65"/>
        <v>0</v>
      </c>
      <c r="N77" s="2">
        <f t="shared" si="65"/>
        <v>0</v>
      </c>
      <c r="O77" s="2">
        <f t="shared" si="65"/>
        <v>0</v>
      </c>
      <c r="P77" s="2">
        <f t="shared" si="65"/>
        <v>0</v>
      </c>
      <c r="Q77" s="2">
        <f t="shared" si="65"/>
        <v>0</v>
      </c>
      <c r="R77" s="2">
        <f t="shared" si="65"/>
        <v>0</v>
      </c>
      <c r="S77" s="2">
        <f t="shared" si="65"/>
        <v>0</v>
      </c>
      <c r="T77" s="2">
        <f t="shared" si="65"/>
        <v>0</v>
      </c>
      <c r="U77" s="2">
        <f t="shared" si="65"/>
        <v>0</v>
      </c>
      <c r="V77" s="2">
        <f t="shared" si="65"/>
        <v>0</v>
      </c>
      <c r="W77" s="2">
        <f t="shared" si="65"/>
        <v>0</v>
      </c>
      <c r="X77" s="2">
        <f t="shared" si="65"/>
        <v>0</v>
      </c>
    </row>
    <row r="78" spans="3:24" x14ac:dyDescent="0.15">
      <c r="C78" s="2">
        <f t="shared" ref="C78:X78" si="66">BowlSplit(C32,RunsConceded)</f>
        <v>0</v>
      </c>
      <c r="D78" s="2">
        <f t="shared" si="66"/>
        <v>0</v>
      </c>
      <c r="E78" s="2">
        <f t="shared" si="66"/>
        <v>0</v>
      </c>
      <c r="F78" s="2">
        <f t="shared" si="66"/>
        <v>0</v>
      </c>
      <c r="G78" s="2">
        <f t="shared" si="66"/>
        <v>0</v>
      </c>
      <c r="H78" s="2">
        <f t="shared" si="66"/>
        <v>0</v>
      </c>
      <c r="I78" s="2">
        <f t="shared" si="66"/>
        <v>0</v>
      </c>
      <c r="J78" s="2">
        <f t="shared" si="66"/>
        <v>0</v>
      </c>
      <c r="K78" s="2">
        <f t="shared" si="66"/>
        <v>0</v>
      </c>
      <c r="L78" s="2">
        <f t="shared" si="66"/>
        <v>0</v>
      </c>
      <c r="M78" s="2">
        <f t="shared" si="66"/>
        <v>0</v>
      </c>
      <c r="N78" s="2">
        <f t="shared" si="66"/>
        <v>0</v>
      </c>
      <c r="O78" s="2">
        <f t="shared" si="66"/>
        <v>0</v>
      </c>
      <c r="P78" s="2">
        <f t="shared" si="66"/>
        <v>0</v>
      </c>
      <c r="Q78" s="2">
        <f t="shared" si="66"/>
        <v>0</v>
      </c>
      <c r="R78" s="2">
        <f t="shared" si="66"/>
        <v>0</v>
      </c>
      <c r="S78" s="2">
        <f t="shared" si="66"/>
        <v>0</v>
      </c>
      <c r="T78" s="2">
        <f t="shared" si="66"/>
        <v>0</v>
      </c>
      <c r="U78" s="2">
        <f t="shared" si="66"/>
        <v>0</v>
      </c>
      <c r="V78" s="2">
        <f t="shared" si="66"/>
        <v>0</v>
      </c>
      <c r="W78" s="2">
        <f t="shared" si="66"/>
        <v>0</v>
      </c>
      <c r="X78" s="2">
        <f t="shared" si="66"/>
        <v>0</v>
      </c>
    </row>
    <row r="79" spans="3:24" x14ac:dyDescent="0.15">
      <c r="C79" s="2">
        <f t="shared" ref="C79:X79" si="67">BowlSplit(C33,RunsConceded)</f>
        <v>34</v>
      </c>
      <c r="D79" s="2">
        <f t="shared" si="67"/>
        <v>13</v>
      </c>
      <c r="E79" s="2">
        <f t="shared" si="67"/>
        <v>0</v>
      </c>
      <c r="F79" s="2">
        <f t="shared" si="67"/>
        <v>0</v>
      </c>
      <c r="G79" s="2">
        <f t="shared" si="67"/>
        <v>0</v>
      </c>
      <c r="H79" s="2">
        <f t="shared" si="67"/>
        <v>0</v>
      </c>
      <c r="I79" s="2">
        <f t="shared" si="67"/>
        <v>0</v>
      </c>
      <c r="J79" s="2">
        <f t="shared" si="67"/>
        <v>0</v>
      </c>
      <c r="K79" s="2">
        <f t="shared" si="67"/>
        <v>0</v>
      </c>
      <c r="L79" s="2">
        <f t="shared" si="67"/>
        <v>0</v>
      </c>
      <c r="M79" s="2">
        <f t="shared" si="67"/>
        <v>0</v>
      </c>
      <c r="N79" s="2">
        <f t="shared" si="67"/>
        <v>0</v>
      </c>
      <c r="O79" s="2">
        <f t="shared" si="67"/>
        <v>0</v>
      </c>
      <c r="P79" s="2">
        <f t="shared" si="67"/>
        <v>0</v>
      </c>
      <c r="Q79" s="2">
        <f t="shared" si="67"/>
        <v>20</v>
      </c>
      <c r="R79" s="2">
        <f t="shared" si="67"/>
        <v>0</v>
      </c>
      <c r="S79" s="2">
        <f t="shared" si="67"/>
        <v>0</v>
      </c>
      <c r="T79" s="2">
        <f t="shared" si="67"/>
        <v>0</v>
      </c>
      <c r="U79" s="2">
        <f t="shared" si="67"/>
        <v>32</v>
      </c>
      <c r="V79" s="2">
        <f t="shared" si="67"/>
        <v>0</v>
      </c>
      <c r="W79" s="2">
        <f t="shared" si="67"/>
        <v>17</v>
      </c>
      <c r="X79" s="2">
        <f t="shared" si="67"/>
        <v>0</v>
      </c>
    </row>
    <row r="80" spans="3:24" x14ac:dyDescent="0.15">
      <c r="C80" s="2">
        <f t="shared" ref="C80:X80" si="68">BowlSplit(C34,RunsConceded)</f>
        <v>0</v>
      </c>
      <c r="D80" s="2">
        <f t="shared" si="68"/>
        <v>0</v>
      </c>
      <c r="E80" s="2">
        <f t="shared" si="68"/>
        <v>0</v>
      </c>
      <c r="F80" s="2">
        <f t="shared" si="68"/>
        <v>0</v>
      </c>
      <c r="G80" s="2">
        <f t="shared" si="68"/>
        <v>0</v>
      </c>
      <c r="H80" s="2">
        <f t="shared" si="68"/>
        <v>0</v>
      </c>
      <c r="I80" s="2">
        <f t="shared" si="68"/>
        <v>0</v>
      </c>
      <c r="J80" s="2">
        <f t="shared" si="68"/>
        <v>0</v>
      </c>
      <c r="K80" s="2">
        <f t="shared" si="68"/>
        <v>0</v>
      </c>
      <c r="L80" s="2">
        <f t="shared" si="68"/>
        <v>0</v>
      </c>
      <c r="M80" s="2">
        <f t="shared" si="68"/>
        <v>0</v>
      </c>
      <c r="N80" s="2">
        <f t="shared" si="68"/>
        <v>0</v>
      </c>
      <c r="O80" s="2">
        <f t="shared" si="68"/>
        <v>0</v>
      </c>
      <c r="P80" s="2">
        <f t="shared" si="68"/>
        <v>0</v>
      </c>
      <c r="Q80" s="2">
        <f t="shared" si="68"/>
        <v>0</v>
      </c>
      <c r="R80" s="2">
        <f t="shared" si="68"/>
        <v>0</v>
      </c>
      <c r="S80" s="2">
        <f t="shared" si="68"/>
        <v>0</v>
      </c>
      <c r="T80" s="2">
        <f t="shared" si="68"/>
        <v>0</v>
      </c>
      <c r="U80" s="2">
        <f t="shared" si="68"/>
        <v>0</v>
      </c>
      <c r="V80" s="2">
        <f t="shared" si="68"/>
        <v>0</v>
      </c>
      <c r="W80" s="2">
        <f t="shared" si="68"/>
        <v>0</v>
      </c>
      <c r="X80" s="2">
        <f t="shared" si="68"/>
        <v>0</v>
      </c>
    </row>
    <row r="81" spans="3:24" x14ac:dyDescent="0.15">
      <c r="C81" s="2">
        <f t="shared" ref="C81:X81" si="69">BowlSplit(C35,RunsConceded)</f>
        <v>0</v>
      </c>
      <c r="D81" s="2">
        <f t="shared" si="69"/>
        <v>0</v>
      </c>
      <c r="E81" s="2">
        <f t="shared" si="69"/>
        <v>0</v>
      </c>
      <c r="F81" s="2">
        <f t="shared" si="69"/>
        <v>0</v>
      </c>
      <c r="G81" s="2">
        <f t="shared" si="69"/>
        <v>0</v>
      </c>
      <c r="H81" s="2">
        <f t="shared" si="69"/>
        <v>0</v>
      </c>
      <c r="I81" s="2">
        <f t="shared" si="69"/>
        <v>0</v>
      </c>
      <c r="J81" s="2">
        <f t="shared" si="69"/>
        <v>0</v>
      </c>
      <c r="K81" s="2">
        <f t="shared" si="69"/>
        <v>0</v>
      </c>
      <c r="L81" s="2">
        <f t="shared" si="69"/>
        <v>0</v>
      </c>
      <c r="M81" s="2">
        <f t="shared" si="69"/>
        <v>0</v>
      </c>
      <c r="N81" s="2">
        <f t="shared" si="69"/>
        <v>0</v>
      </c>
      <c r="O81" s="2">
        <f t="shared" si="69"/>
        <v>0</v>
      </c>
      <c r="P81" s="2">
        <f t="shared" si="69"/>
        <v>0</v>
      </c>
      <c r="Q81" s="2">
        <f t="shared" si="69"/>
        <v>0</v>
      </c>
      <c r="R81" s="2">
        <f t="shared" si="69"/>
        <v>0</v>
      </c>
      <c r="S81" s="2">
        <f t="shared" si="69"/>
        <v>0</v>
      </c>
      <c r="T81" s="2">
        <f t="shared" si="69"/>
        <v>0</v>
      </c>
      <c r="U81" s="2">
        <f t="shared" si="69"/>
        <v>0</v>
      </c>
      <c r="V81" s="2">
        <f t="shared" si="69"/>
        <v>0</v>
      </c>
      <c r="W81" s="2">
        <f t="shared" si="69"/>
        <v>0</v>
      </c>
      <c r="X81" s="2">
        <f t="shared" si="69"/>
        <v>0</v>
      </c>
    </row>
    <row r="82" spans="3:24" x14ac:dyDescent="0.15">
      <c r="C82" s="2">
        <f t="shared" ref="C82:X82" si="70">BowlSplit(C36,RunsConceded)</f>
        <v>26</v>
      </c>
      <c r="D82" s="2">
        <f t="shared" si="70"/>
        <v>12</v>
      </c>
      <c r="E82" s="2">
        <f t="shared" si="70"/>
        <v>35</v>
      </c>
      <c r="F82" s="2">
        <f t="shared" si="70"/>
        <v>18</v>
      </c>
      <c r="G82" s="2">
        <f t="shared" si="70"/>
        <v>8</v>
      </c>
      <c r="H82" s="2">
        <f t="shared" si="70"/>
        <v>0</v>
      </c>
      <c r="I82" s="2">
        <f t="shared" si="70"/>
        <v>31</v>
      </c>
      <c r="J82" s="2">
        <f t="shared" si="70"/>
        <v>8</v>
      </c>
      <c r="K82" s="2">
        <f t="shared" si="70"/>
        <v>18</v>
      </c>
      <c r="L82" s="2">
        <f t="shared" si="70"/>
        <v>14</v>
      </c>
      <c r="M82" s="2">
        <f t="shared" si="70"/>
        <v>36</v>
      </c>
      <c r="N82" s="2">
        <f t="shared" si="70"/>
        <v>39</v>
      </c>
      <c r="O82" s="2">
        <f t="shared" si="70"/>
        <v>19</v>
      </c>
      <c r="P82" s="2">
        <f t="shared" si="70"/>
        <v>14</v>
      </c>
      <c r="Q82" s="2">
        <f t="shared" si="70"/>
        <v>19</v>
      </c>
      <c r="R82" s="2">
        <f t="shared" si="70"/>
        <v>37</v>
      </c>
      <c r="S82" s="2">
        <f t="shared" si="70"/>
        <v>28</v>
      </c>
      <c r="T82" s="2">
        <f t="shared" si="70"/>
        <v>31</v>
      </c>
      <c r="U82" s="2">
        <f t="shared" si="70"/>
        <v>0</v>
      </c>
      <c r="V82" s="2">
        <f t="shared" si="70"/>
        <v>22</v>
      </c>
      <c r="W82" s="2">
        <f t="shared" si="70"/>
        <v>27</v>
      </c>
      <c r="X82" s="2">
        <f t="shared" si="70"/>
        <v>0</v>
      </c>
    </row>
    <row r="83" spans="3:24" x14ac:dyDescent="0.15">
      <c r="C83" s="2">
        <f t="shared" ref="C83:X83" si="71">BowlSplit(C37,RunsConceded)</f>
        <v>0</v>
      </c>
      <c r="D83" s="2">
        <f t="shared" si="71"/>
        <v>0</v>
      </c>
      <c r="E83" s="2">
        <f t="shared" si="71"/>
        <v>0</v>
      </c>
      <c r="F83" s="2">
        <f t="shared" si="71"/>
        <v>0</v>
      </c>
      <c r="G83" s="2">
        <f t="shared" si="71"/>
        <v>0</v>
      </c>
      <c r="H83" s="2">
        <f t="shared" si="71"/>
        <v>0</v>
      </c>
      <c r="I83" s="2">
        <f t="shared" si="71"/>
        <v>0</v>
      </c>
      <c r="J83" s="2">
        <f t="shared" si="71"/>
        <v>0</v>
      </c>
      <c r="K83" s="2">
        <f t="shared" si="71"/>
        <v>0</v>
      </c>
      <c r="L83" s="2">
        <f t="shared" si="71"/>
        <v>0</v>
      </c>
      <c r="M83" s="2">
        <f t="shared" si="71"/>
        <v>0</v>
      </c>
      <c r="N83" s="2">
        <f t="shared" si="71"/>
        <v>0</v>
      </c>
      <c r="O83" s="2">
        <f t="shared" si="71"/>
        <v>0</v>
      </c>
      <c r="P83" s="2">
        <f t="shared" si="71"/>
        <v>0</v>
      </c>
      <c r="Q83" s="2">
        <f t="shared" si="71"/>
        <v>0</v>
      </c>
      <c r="R83" s="2">
        <f t="shared" si="71"/>
        <v>0</v>
      </c>
      <c r="S83" s="2">
        <f t="shared" si="71"/>
        <v>0</v>
      </c>
      <c r="T83" s="2">
        <f t="shared" si="71"/>
        <v>0</v>
      </c>
      <c r="U83" s="2">
        <f t="shared" si="71"/>
        <v>0</v>
      </c>
      <c r="V83" s="2">
        <f t="shared" si="71"/>
        <v>0</v>
      </c>
      <c r="W83" s="2">
        <f t="shared" si="71"/>
        <v>0</v>
      </c>
      <c r="X83" s="2">
        <f t="shared" si="71"/>
        <v>0</v>
      </c>
    </row>
    <row r="84" spans="3:24" x14ac:dyDescent="0.15">
      <c r="C84" s="2">
        <f t="shared" ref="C84:X84" si="72">BowlSplit(C39,RunsConceded)</f>
        <v>0</v>
      </c>
      <c r="D84" s="2">
        <f t="shared" si="72"/>
        <v>0</v>
      </c>
      <c r="E84" s="2">
        <f t="shared" si="72"/>
        <v>0</v>
      </c>
      <c r="F84" s="2">
        <f t="shared" si="72"/>
        <v>1</v>
      </c>
      <c r="G84" s="2">
        <f t="shared" si="72"/>
        <v>7</v>
      </c>
      <c r="H84" s="2">
        <f t="shared" si="72"/>
        <v>0</v>
      </c>
      <c r="I84" s="2">
        <f t="shared" si="72"/>
        <v>0</v>
      </c>
      <c r="J84" s="2">
        <f t="shared" si="72"/>
        <v>0</v>
      </c>
      <c r="K84" s="2">
        <f t="shared" si="72"/>
        <v>0</v>
      </c>
      <c r="L84" s="2">
        <f t="shared" si="72"/>
        <v>0</v>
      </c>
      <c r="M84" s="2">
        <f t="shared" si="72"/>
        <v>0</v>
      </c>
      <c r="N84" s="2">
        <f t="shared" si="72"/>
        <v>0</v>
      </c>
      <c r="O84" s="2">
        <f t="shared" si="72"/>
        <v>0</v>
      </c>
      <c r="P84" s="2">
        <f t="shared" si="72"/>
        <v>0</v>
      </c>
      <c r="Q84" s="2">
        <f t="shared" si="72"/>
        <v>0</v>
      </c>
      <c r="R84" s="2">
        <f t="shared" si="72"/>
        <v>0</v>
      </c>
      <c r="S84" s="2">
        <f t="shared" si="72"/>
        <v>0</v>
      </c>
      <c r="T84" s="2">
        <f t="shared" si="72"/>
        <v>0</v>
      </c>
      <c r="U84" s="2">
        <f t="shared" si="72"/>
        <v>0</v>
      </c>
      <c r="V84" s="2">
        <f t="shared" si="72"/>
        <v>0</v>
      </c>
      <c r="W84" s="2">
        <f t="shared" si="72"/>
        <v>0</v>
      </c>
      <c r="X84" s="2">
        <f t="shared" si="72"/>
        <v>0</v>
      </c>
    </row>
    <row r="85" spans="3:24" x14ac:dyDescent="0.15">
      <c r="C85" s="2">
        <f t="shared" ref="C85:X85" si="73">BowlSplit(C42,RunsConceded)</f>
        <v>0</v>
      </c>
      <c r="D85" s="2">
        <f t="shared" si="73"/>
        <v>0</v>
      </c>
      <c r="E85" s="2">
        <f t="shared" si="73"/>
        <v>0</v>
      </c>
      <c r="F85" s="2">
        <f t="shared" si="73"/>
        <v>0</v>
      </c>
      <c r="G85" s="2">
        <f t="shared" si="73"/>
        <v>31</v>
      </c>
      <c r="H85" s="2">
        <f t="shared" si="73"/>
        <v>0</v>
      </c>
      <c r="I85" s="2">
        <f t="shared" si="73"/>
        <v>0</v>
      </c>
      <c r="J85" s="2">
        <f t="shared" si="73"/>
        <v>0</v>
      </c>
      <c r="K85" s="2">
        <f t="shared" si="73"/>
        <v>0</v>
      </c>
      <c r="L85" s="2">
        <f t="shared" si="73"/>
        <v>0</v>
      </c>
      <c r="M85" s="2">
        <f t="shared" si="73"/>
        <v>0</v>
      </c>
      <c r="N85" s="2">
        <f t="shared" si="73"/>
        <v>0</v>
      </c>
      <c r="O85" s="2">
        <f t="shared" si="73"/>
        <v>0</v>
      </c>
      <c r="P85" s="2">
        <f t="shared" si="73"/>
        <v>0</v>
      </c>
      <c r="Q85" s="2">
        <f t="shared" si="73"/>
        <v>0</v>
      </c>
      <c r="R85" s="2">
        <f t="shared" si="73"/>
        <v>0</v>
      </c>
      <c r="S85" s="2">
        <f t="shared" si="73"/>
        <v>0</v>
      </c>
      <c r="T85" s="2">
        <f t="shared" si="73"/>
        <v>0</v>
      </c>
      <c r="U85" s="2">
        <f t="shared" si="73"/>
        <v>29</v>
      </c>
      <c r="V85" s="2">
        <f t="shared" si="73"/>
        <v>0</v>
      </c>
      <c r="W85" s="2">
        <f t="shared" si="73"/>
        <v>0</v>
      </c>
      <c r="X85" s="2">
        <f t="shared" si="73"/>
        <v>0</v>
      </c>
    </row>
    <row r="86" spans="3:24" x14ac:dyDescent="0.15">
      <c r="C86" s="2">
        <f t="shared" ref="C86:X86" si="74">BowlSplit(C43,RunsConceded)</f>
        <v>0</v>
      </c>
      <c r="D86" s="2">
        <f t="shared" si="74"/>
        <v>0</v>
      </c>
      <c r="E86" s="2">
        <f t="shared" si="74"/>
        <v>0</v>
      </c>
      <c r="F86" s="2">
        <f t="shared" si="74"/>
        <v>0</v>
      </c>
      <c r="G86" s="2">
        <f t="shared" si="74"/>
        <v>0</v>
      </c>
      <c r="H86" s="2">
        <f t="shared" si="74"/>
        <v>0</v>
      </c>
      <c r="I86" s="2">
        <f t="shared" si="74"/>
        <v>0</v>
      </c>
      <c r="J86" s="2">
        <f t="shared" si="74"/>
        <v>0</v>
      </c>
      <c r="K86" s="2">
        <f t="shared" si="74"/>
        <v>0</v>
      </c>
      <c r="L86" s="2">
        <f t="shared" si="74"/>
        <v>0</v>
      </c>
      <c r="M86" s="2">
        <f t="shared" si="74"/>
        <v>0</v>
      </c>
      <c r="N86" s="2">
        <f t="shared" si="74"/>
        <v>0</v>
      </c>
      <c r="O86" s="2">
        <f t="shared" si="74"/>
        <v>0</v>
      </c>
      <c r="P86" s="2">
        <f t="shared" si="74"/>
        <v>0</v>
      </c>
      <c r="Q86" s="2">
        <f t="shared" si="74"/>
        <v>0</v>
      </c>
      <c r="R86" s="2">
        <f t="shared" si="74"/>
        <v>0</v>
      </c>
      <c r="S86" s="2">
        <f t="shared" si="74"/>
        <v>0</v>
      </c>
      <c r="T86" s="2">
        <f t="shared" si="74"/>
        <v>0</v>
      </c>
      <c r="U86" s="2">
        <f t="shared" si="74"/>
        <v>0</v>
      </c>
      <c r="V86" s="2">
        <f t="shared" si="74"/>
        <v>0</v>
      </c>
      <c r="W86" s="2">
        <f t="shared" si="74"/>
        <v>0</v>
      </c>
      <c r="X86" s="2">
        <f t="shared" si="74"/>
        <v>0</v>
      </c>
    </row>
    <row r="87" spans="3:24" x14ac:dyDescent="0.15">
      <c r="C87" s="2">
        <f t="shared" ref="C87:X87" si="75">BowlSplit(C44,RunsConceded)</f>
        <v>16</v>
      </c>
      <c r="D87" s="2">
        <f t="shared" si="75"/>
        <v>37</v>
      </c>
      <c r="E87" s="2">
        <f t="shared" si="75"/>
        <v>36</v>
      </c>
      <c r="F87" s="2">
        <f t="shared" si="75"/>
        <v>4</v>
      </c>
      <c r="G87" s="2">
        <f t="shared" si="75"/>
        <v>0</v>
      </c>
      <c r="H87" s="2">
        <f t="shared" si="75"/>
        <v>22</v>
      </c>
      <c r="I87" s="2">
        <f t="shared" si="75"/>
        <v>40</v>
      </c>
      <c r="J87" s="2">
        <f t="shared" si="75"/>
        <v>0</v>
      </c>
      <c r="K87" s="2">
        <f t="shared" si="75"/>
        <v>0</v>
      </c>
      <c r="L87" s="2">
        <f t="shared" si="75"/>
        <v>4</v>
      </c>
      <c r="M87" s="2">
        <f t="shared" si="75"/>
        <v>40</v>
      </c>
      <c r="N87" s="2">
        <f t="shared" si="75"/>
        <v>27</v>
      </c>
      <c r="O87" s="2">
        <f t="shared" si="75"/>
        <v>15</v>
      </c>
      <c r="P87" s="2">
        <f t="shared" si="75"/>
        <v>1</v>
      </c>
      <c r="Q87" s="2">
        <f t="shared" si="75"/>
        <v>30</v>
      </c>
      <c r="R87" s="2">
        <f t="shared" si="75"/>
        <v>9</v>
      </c>
      <c r="S87" s="2">
        <f t="shared" si="75"/>
        <v>36</v>
      </c>
      <c r="T87" s="2">
        <f t="shared" si="75"/>
        <v>24</v>
      </c>
      <c r="U87" s="2">
        <f t="shared" si="75"/>
        <v>0</v>
      </c>
      <c r="V87" s="2">
        <f t="shared" si="75"/>
        <v>8</v>
      </c>
      <c r="W87" s="2">
        <f t="shared" si="75"/>
        <v>35</v>
      </c>
      <c r="X87" s="2">
        <f t="shared" si="75"/>
        <v>0</v>
      </c>
    </row>
    <row r="88" spans="3:24" x14ac:dyDescent="0.15">
      <c r="C88" s="2">
        <f t="shared" ref="C88:X88" si="76">BowlSplit(C46,RunsConceded)</f>
        <v>0</v>
      </c>
      <c r="D88" s="2">
        <f t="shared" si="76"/>
        <v>23</v>
      </c>
      <c r="E88" s="2">
        <f t="shared" si="76"/>
        <v>0</v>
      </c>
      <c r="F88" s="2">
        <f t="shared" si="76"/>
        <v>0</v>
      </c>
      <c r="G88" s="2">
        <f t="shared" si="76"/>
        <v>0</v>
      </c>
      <c r="H88" s="2">
        <f t="shared" si="76"/>
        <v>0</v>
      </c>
      <c r="I88" s="2">
        <f t="shared" si="76"/>
        <v>0</v>
      </c>
      <c r="J88" s="2">
        <f t="shared" si="76"/>
        <v>0</v>
      </c>
      <c r="K88" s="2">
        <f t="shared" si="76"/>
        <v>0</v>
      </c>
      <c r="L88" s="2">
        <f t="shared" si="76"/>
        <v>0</v>
      </c>
      <c r="M88" s="2">
        <f t="shared" si="76"/>
        <v>0</v>
      </c>
      <c r="N88" s="2">
        <f t="shared" si="76"/>
        <v>0</v>
      </c>
      <c r="O88" s="2">
        <f t="shared" si="76"/>
        <v>0</v>
      </c>
      <c r="P88" s="2">
        <f t="shared" si="76"/>
        <v>0</v>
      </c>
      <c r="Q88" s="2">
        <f t="shared" si="76"/>
        <v>0</v>
      </c>
      <c r="R88" s="2">
        <f t="shared" si="76"/>
        <v>0</v>
      </c>
      <c r="S88" s="2">
        <f t="shared" si="76"/>
        <v>0</v>
      </c>
      <c r="T88" s="2">
        <f t="shared" si="76"/>
        <v>0</v>
      </c>
      <c r="U88" s="2">
        <f t="shared" si="76"/>
        <v>1</v>
      </c>
      <c r="V88" s="2">
        <f t="shared" si="76"/>
        <v>0</v>
      </c>
      <c r="W88" s="2">
        <f t="shared" si="76"/>
        <v>0</v>
      </c>
      <c r="X88" s="2">
        <f t="shared" si="76"/>
        <v>0</v>
      </c>
    </row>
    <row r="89" spans="3:24" x14ac:dyDescent="0.15">
      <c r="C89" s="2">
        <f t="shared" ref="C89:X89" si="77">BowlSplit(C47,RunsConceded)</f>
        <v>0</v>
      </c>
      <c r="D89" s="2">
        <f t="shared" si="77"/>
        <v>0</v>
      </c>
      <c r="E89" s="2">
        <f t="shared" si="77"/>
        <v>0</v>
      </c>
      <c r="F89" s="2">
        <f t="shared" si="77"/>
        <v>0</v>
      </c>
      <c r="G89" s="2">
        <f t="shared" si="77"/>
        <v>0</v>
      </c>
      <c r="H89" s="2">
        <f t="shared" si="77"/>
        <v>0</v>
      </c>
      <c r="I89" s="2">
        <f t="shared" si="77"/>
        <v>0</v>
      </c>
      <c r="J89" s="2">
        <f t="shared" si="77"/>
        <v>0</v>
      </c>
      <c r="K89" s="2">
        <f t="shared" si="77"/>
        <v>0</v>
      </c>
      <c r="L89" s="2">
        <f t="shared" si="77"/>
        <v>0</v>
      </c>
      <c r="M89" s="2">
        <f t="shared" si="77"/>
        <v>0</v>
      </c>
      <c r="N89" s="2">
        <f t="shared" si="77"/>
        <v>0</v>
      </c>
      <c r="O89" s="2">
        <f t="shared" si="77"/>
        <v>0</v>
      </c>
      <c r="P89" s="2">
        <f t="shared" si="77"/>
        <v>0</v>
      </c>
      <c r="Q89" s="2">
        <f t="shared" si="77"/>
        <v>0</v>
      </c>
      <c r="R89" s="2">
        <f t="shared" si="77"/>
        <v>0</v>
      </c>
      <c r="S89" s="2">
        <f t="shared" si="77"/>
        <v>0</v>
      </c>
      <c r="T89" s="2">
        <f t="shared" si="77"/>
        <v>0</v>
      </c>
      <c r="U89" s="2">
        <f t="shared" si="77"/>
        <v>0</v>
      </c>
      <c r="V89" s="2">
        <f t="shared" si="77"/>
        <v>0</v>
      </c>
      <c r="W89" s="2">
        <f t="shared" si="77"/>
        <v>0</v>
      </c>
      <c r="X89" s="2">
        <f t="shared" si="77"/>
        <v>0</v>
      </c>
    </row>
    <row r="94" spans="3:24" x14ac:dyDescent="0.15">
      <c r="C94" s="2">
        <f>MAX(C57:C92)</f>
        <v>48</v>
      </c>
      <c r="D94" s="2">
        <f t="shared" ref="D94:X94" si="78">MAX(D57:D92)</f>
        <v>51</v>
      </c>
      <c r="E94" s="2">
        <f t="shared" si="78"/>
        <v>36</v>
      </c>
      <c r="F94" s="2">
        <f t="shared" si="78"/>
        <v>32</v>
      </c>
      <c r="G94" s="2">
        <f t="shared" si="78"/>
        <v>31</v>
      </c>
      <c r="H94" s="2">
        <f t="shared" si="78"/>
        <v>33</v>
      </c>
      <c r="I94" s="2">
        <f t="shared" si="78"/>
        <v>40</v>
      </c>
      <c r="J94" s="2">
        <f t="shared" si="78"/>
        <v>38</v>
      </c>
      <c r="K94" s="2">
        <f t="shared" si="78"/>
        <v>36</v>
      </c>
      <c r="L94" s="2">
        <f t="shared" si="78"/>
        <v>43</v>
      </c>
      <c r="M94" s="2">
        <f t="shared" si="78"/>
        <v>45</v>
      </c>
      <c r="N94" s="2">
        <f t="shared" si="78"/>
        <v>47</v>
      </c>
      <c r="O94" s="2">
        <f t="shared" si="78"/>
        <v>50</v>
      </c>
      <c r="P94" s="2">
        <f t="shared" si="78"/>
        <v>27</v>
      </c>
      <c r="Q94" s="2">
        <f t="shared" si="78"/>
        <v>30</v>
      </c>
      <c r="R94" s="2">
        <f t="shared" si="78"/>
        <v>59</v>
      </c>
      <c r="S94" s="2">
        <f t="shared" si="78"/>
        <v>36</v>
      </c>
      <c r="T94" s="2">
        <f t="shared" si="78"/>
        <v>31</v>
      </c>
      <c r="U94" s="2">
        <f t="shared" si="78"/>
        <v>37</v>
      </c>
      <c r="V94" s="2">
        <f t="shared" si="78"/>
        <v>54</v>
      </c>
      <c r="W94" s="2">
        <f t="shared" si="78"/>
        <v>35</v>
      </c>
      <c r="X94" s="2">
        <f t="shared" si="78"/>
        <v>0</v>
      </c>
    </row>
  </sheetData>
  <sortState ref="B5:J40">
    <sortCondition ref="B5:B40"/>
  </sortState>
  <phoneticPr fontId="0" type="noConversion"/>
  <conditionalFormatting sqref="AG88:AG97 AU57:BB74 AS57:AT85 AT57:AT87">
    <cfRule type="cellIs" dxfId="2" priority="23" operator="greaterThan">
      <formula>5</formula>
    </cfRule>
  </conditionalFormatting>
  <conditionalFormatting sqref="C55:CC55">
    <cfRule type="cellIs" dxfId="1" priority="24" stopIfTrue="1" operator="notEqual">
      <formula>C53</formula>
    </cfRule>
  </conditionalFormatting>
  <conditionalFormatting sqref="C57:X92">
    <cfRule type="cellIs" dxfId="0" priority="10" operator="greaterThan">
      <formula>50</formula>
    </cfRule>
  </conditionalFormatting>
  <conditionalFormatting sqref="CR5:CR47">
    <cfRule type="dataBar" priority="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{0F99F990-BA3F-420A-BF97-256AB6A8393D}</x14:id>
        </ext>
      </extLst>
    </cfRule>
  </conditionalFormatting>
  <printOptions gridLines="1" gridLinesSet="0"/>
  <pageMargins left="0.39370078740157483" right="0.39370078740157483" top="0.59055118110236227" bottom="0.59055118110236227" header="0" footer="0"/>
  <pageSetup paperSize="9" orientation="landscape" horizontalDpi="300" verticalDpi="300" r:id="rId1"/>
  <headerFooter alignWithMargins="0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F99F990-BA3F-420A-BF97-256AB6A8393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CR5:CR47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N57"/>
  <sheetViews>
    <sheetView workbookViewId="0">
      <selection activeCell="S48" sqref="S48"/>
    </sheetView>
  </sheetViews>
  <sheetFormatPr defaultRowHeight="12.75" x14ac:dyDescent="0.15"/>
  <cols>
    <col min="1" max="1" width="7.7109375" style="99" customWidth="1"/>
    <col min="2" max="2" width="4.140625" style="99" bestFit="1" customWidth="1"/>
    <col min="3" max="3" width="5" style="99" bestFit="1" customWidth="1"/>
    <col min="4" max="4" width="5.7109375" style="99" bestFit="1" customWidth="1"/>
    <col min="5" max="5" width="12.7109375" style="99" bestFit="1" customWidth="1"/>
    <col min="6" max="6" width="4" style="99" bestFit="1" customWidth="1"/>
    <col min="7" max="7" width="3.42578125" style="99" bestFit="1" customWidth="1"/>
    <col min="8" max="8" width="13.5703125" style="99" bestFit="1" customWidth="1"/>
    <col min="9" max="9" width="3.7109375" style="99" bestFit="1" customWidth="1"/>
    <col min="10" max="10" width="3.42578125" style="99" bestFit="1" customWidth="1"/>
    <col min="11" max="11" width="17.28515625" style="164" bestFit="1" customWidth="1"/>
    <col min="12" max="12" width="10.42578125" style="165" bestFit="1" customWidth="1"/>
    <col min="13" max="13" width="3.85546875" customWidth="1"/>
    <col min="14" max="16" width="7.85546875" style="99" customWidth="1"/>
    <col min="17" max="17" width="6.28515625" style="99" customWidth="1"/>
    <col min="18" max="18" width="4.28515625" style="99" bestFit="1" customWidth="1"/>
    <col min="19" max="19" width="5" style="99" bestFit="1" customWidth="1"/>
    <col min="20" max="20" width="5.85546875" style="99" bestFit="1" customWidth="1"/>
    <col min="21" max="21" width="10.5703125" style="99" bestFit="1" customWidth="1"/>
    <col min="22" max="22" width="3.7109375" style="99" bestFit="1" customWidth="1"/>
    <col min="23" max="23" width="9" style="186" bestFit="1" customWidth="1"/>
    <col min="24" max="24" width="14.5703125" style="99" bestFit="1" customWidth="1"/>
    <col min="25" max="25" width="12.28515625" style="99" bestFit="1" customWidth="1"/>
    <col min="26" max="26" width="3.5703125" style="186" bestFit="1" customWidth="1"/>
    <col min="27" max="27" width="13.5703125" style="99" customWidth="1"/>
    <col min="28" max="28" width="13.140625" style="171" bestFit="1" customWidth="1"/>
    <col min="29" max="16384" width="9.140625" style="99"/>
  </cols>
  <sheetData>
    <row r="1" spans="1:40" x14ac:dyDescent="0.15">
      <c r="A1" s="99" t="s">
        <v>237</v>
      </c>
      <c r="B1" s="99" t="s">
        <v>13</v>
      </c>
      <c r="C1" s="99" t="s">
        <v>77</v>
      </c>
      <c r="D1" s="99" t="s">
        <v>215</v>
      </c>
      <c r="E1" s="99" t="s">
        <v>216</v>
      </c>
      <c r="F1" s="99" t="s">
        <v>217</v>
      </c>
      <c r="G1" s="99" t="s">
        <v>218</v>
      </c>
      <c r="H1" s="99" t="s">
        <v>219</v>
      </c>
      <c r="I1" s="99" t="s">
        <v>220</v>
      </c>
      <c r="J1" s="99" t="s">
        <v>218</v>
      </c>
      <c r="K1" s="164" t="s">
        <v>1</v>
      </c>
      <c r="L1" s="165" t="s">
        <v>0</v>
      </c>
      <c r="N1" s="99" t="s">
        <v>522</v>
      </c>
      <c r="R1" s="99" t="s">
        <v>13</v>
      </c>
      <c r="S1" s="99" t="s">
        <v>77</v>
      </c>
      <c r="T1" s="99" t="s">
        <v>215</v>
      </c>
      <c r="U1" s="99" t="s">
        <v>216</v>
      </c>
      <c r="V1" s="99" t="s">
        <v>217</v>
      </c>
      <c r="W1" s="186" t="s">
        <v>218</v>
      </c>
      <c r="X1" s="99" t="s">
        <v>219</v>
      </c>
      <c r="Y1" s="99" t="s">
        <v>220</v>
      </c>
      <c r="Z1" s="186" t="s">
        <v>218</v>
      </c>
      <c r="AA1" s="99" t="s">
        <v>258</v>
      </c>
      <c r="AB1" s="171" t="s">
        <v>0</v>
      </c>
      <c r="AN1" s="171"/>
    </row>
    <row r="2" spans="1:40" x14ac:dyDescent="0.15">
      <c r="A2" s="99">
        <v>1</v>
      </c>
      <c r="B2" s="99">
        <v>1</v>
      </c>
      <c r="C2" s="99">
        <v>70</v>
      </c>
      <c r="E2" s="99" t="s">
        <v>200</v>
      </c>
      <c r="F2" s="99">
        <v>25</v>
      </c>
      <c r="H2" s="99" t="s">
        <v>273</v>
      </c>
      <c r="I2" s="99">
        <v>48</v>
      </c>
      <c r="K2" s="164" t="str">
        <f ca="1">OFFSET(Matches!$C$4,Partnerships!A2,0)</f>
        <v>Worcester Park</v>
      </c>
      <c r="L2" s="165">
        <f ca="1">OFFSET(Matches!$B$4,Partnerships!A2,0)</f>
        <v>43583</v>
      </c>
      <c r="N2" s="99">
        <f>IF(B2=0,999999,B2)*10000+5000-C2*10+ROW()</f>
        <v>14302</v>
      </c>
      <c r="O2" s="99">
        <f t="array" ref="O2:O40">RANK(N2:N40,N2:N40,1)</f>
        <v>3</v>
      </c>
      <c r="P2" s="99">
        <f>MATCH(ROW()-1,$O$2:$O$40,0)</f>
        <v>22</v>
      </c>
      <c r="Q2"/>
      <c r="R2" s="99">
        <f t="array" ref="R2:AB2">INDEX($B$2:$L$40,P2,)</f>
        <v>1</v>
      </c>
      <c r="S2" s="99">
        <v>104</v>
      </c>
      <c r="T2" s="99">
        <v>0</v>
      </c>
      <c r="U2" s="99" t="str">
        <v>Sharpe D</v>
      </c>
      <c r="V2" s="99">
        <v>62</v>
      </c>
      <c r="W2" s="186">
        <v>0</v>
      </c>
      <c r="X2" s="99" t="str">
        <v>Seymour C</v>
      </c>
      <c r="Y2" s="99">
        <v>28</v>
      </c>
      <c r="Z2" s="186">
        <v>0</v>
      </c>
      <c r="AA2" s="99" t="str">
        <f ca="1"/>
        <v>Catford Cyphers</v>
      </c>
      <c r="AB2" s="171">
        <f ca="1"/>
        <v>43723</v>
      </c>
      <c r="AN2" s="171"/>
    </row>
    <row r="3" spans="1:40" x14ac:dyDescent="0.15">
      <c r="A3" s="99">
        <v>1</v>
      </c>
      <c r="B3" s="99">
        <v>4</v>
      </c>
      <c r="C3" s="99">
        <v>60</v>
      </c>
      <c r="E3" s="99" t="s">
        <v>247</v>
      </c>
      <c r="F3" s="99">
        <v>24</v>
      </c>
      <c r="H3" s="99" t="s">
        <v>207</v>
      </c>
      <c r="I3" s="99">
        <v>55</v>
      </c>
      <c r="K3" s="164" t="str">
        <f ca="1">OFFSET(Matches!$C$4,Partnerships!A3,0)</f>
        <v>Worcester Park</v>
      </c>
      <c r="L3" s="165">
        <f ca="1">OFFSET(Matches!$B$4,Partnerships!A3,0)</f>
        <v>43583</v>
      </c>
      <c r="N3" s="99">
        <f t="shared" ref="N3:N40" si="0">IF(B3=0,999999,B3)*10000+5000-C3*10+ROW()</f>
        <v>44403</v>
      </c>
      <c r="O3" s="99">
        <v>16</v>
      </c>
      <c r="P3" s="99">
        <f t="shared" ref="P3:P40" si="1">MATCH(ROW()-1,$O$2:$O$40,0)</f>
        <v>23</v>
      </c>
      <c r="Q3"/>
      <c r="R3" s="99">
        <f t="array" ref="R3:AB3">INDEX($B$2:$L$40,P3,)</f>
        <v>1</v>
      </c>
      <c r="S3" s="99">
        <v>80</v>
      </c>
      <c r="T3" s="99">
        <v>0</v>
      </c>
      <c r="U3" s="99" t="str">
        <v>Sharpe D</v>
      </c>
      <c r="V3" s="99">
        <v>56</v>
      </c>
      <c r="W3" s="186">
        <v>0</v>
      </c>
      <c r="X3" s="99" t="str">
        <v>Greenall D</v>
      </c>
      <c r="Y3" s="99">
        <v>38</v>
      </c>
      <c r="Z3" s="186">
        <v>0</v>
      </c>
      <c r="AA3" s="99" t="str">
        <f ca="1"/>
        <v>Sanderstead</v>
      </c>
      <c r="AB3" s="171">
        <f ca="1"/>
        <v>43730</v>
      </c>
      <c r="AN3" s="171"/>
    </row>
    <row r="4" spans="1:40" x14ac:dyDescent="0.15">
      <c r="A4" s="99">
        <v>2</v>
      </c>
      <c r="B4" s="99">
        <v>2</v>
      </c>
      <c r="C4" s="99">
        <v>54</v>
      </c>
      <c r="E4" s="99" t="s">
        <v>200</v>
      </c>
      <c r="F4" s="99">
        <v>30</v>
      </c>
      <c r="H4" s="99" t="s">
        <v>232</v>
      </c>
      <c r="I4" s="99">
        <v>62</v>
      </c>
      <c r="K4" s="164" t="str">
        <f ca="1">OFFSET(Matches!$C$4,Partnerships!A4,0)</f>
        <v>Woodgreen</v>
      </c>
      <c r="L4" s="165">
        <f ca="1">OFFSET(Matches!$B$4,Partnerships!A4,0)</f>
        <v>43590</v>
      </c>
      <c r="N4" s="99">
        <f t="shared" si="0"/>
        <v>24464</v>
      </c>
      <c r="O4" s="99">
        <v>10</v>
      </c>
      <c r="P4" s="99">
        <f t="shared" si="1"/>
        <v>1</v>
      </c>
      <c r="Q4"/>
      <c r="R4" s="99">
        <f t="array" ref="R4:AB4">INDEX($B$2:$L$40,P4,)</f>
        <v>1</v>
      </c>
      <c r="S4" s="99">
        <v>70</v>
      </c>
      <c r="T4" s="99">
        <v>0</v>
      </c>
      <c r="U4" s="99" t="str">
        <v>Seymour C</v>
      </c>
      <c r="V4" s="99">
        <v>25</v>
      </c>
      <c r="W4" s="186">
        <v>0</v>
      </c>
      <c r="X4" s="99" t="str">
        <v>Greenall D</v>
      </c>
      <c r="Y4" s="99">
        <v>48</v>
      </c>
      <c r="Z4" s="186">
        <v>0</v>
      </c>
      <c r="AA4" s="99" t="str">
        <f ca="1"/>
        <v>Worcester Park</v>
      </c>
      <c r="AB4" s="171">
        <f ca="1"/>
        <v>43583</v>
      </c>
      <c r="AN4" s="171"/>
    </row>
    <row r="5" spans="1:40" x14ac:dyDescent="0.15">
      <c r="A5" s="99">
        <v>2</v>
      </c>
      <c r="B5" s="99">
        <v>3</v>
      </c>
      <c r="C5" s="99">
        <v>72</v>
      </c>
      <c r="E5" s="99" t="s">
        <v>232</v>
      </c>
      <c r="F5" s="99">
        <v>62</v>
      </c>
      <c r="H5" s="99" t="s">
        <v>247</v>
      </c>
      <c r="I5" s="99">
        <v>35</v>
      </c>
      <c r="J5" s="99" t="s">
        <v>233</v>
      </c>
      <c r="K5" s="164" t="str">
        <f ca="1">OFFSET(Matches!$C$4,Partnerships!A5,0)</f>
        <v>Woodgreen</v>
      </c>
      <c r="L5" s="165">
        <f ca="1">OFFSET(Matches!$B$4,Partnerships!A5,0)</f>
        <v>43590</v>
      </c>
      <c r="N5" s="99">
        <f t="shared" si="0"/>
        <v>34285</v>
      </c>
      <c r="O5" s="99">
        <v>14</v>
      </c>
      <c r="P5" s="99">
        <f t="shared" si="1"/>
        <v>11</v>
      </c>
      <c r="Q5"/>
      <c r="R5" s="99">
        <f t="array" ref="R5:AB5">INDEX($B$2:$L$40,P5,)</f>
        <v>1</v>
      </c>
      <c r="S5" s="99">
        <v>56</v>
      </c>
      <c r="T5" s="99">
        <v>0</v>
      </c>
      <c r="U5" s="99" t="str">
        <v>Greenall D</v>
      </c>
      <c r="V5" s="99">
        <v>27</v>
      </c>
      <c r="W5" s="186">
        <v>0</v>
      </c>
      <c r="X5" s="99" t="str">
        <v>Sharpe D</v>
      </c>
      <c r="Y5" s="99">
        <v>104</v>
      </c>
      <c r="Z5" s="186">
        <v>0</v>
      </c>
      <c r="AA5" s="99" t="str">
        <f ca="1"/>
        <v>Spencer</v>
      </c>
      <c r="AB5" s="171">
        <f ca="1"/>
        <v>43618</v>
      </c>
      <c r="AN5" s="171"/>
    </row>
    <row r="6" spans="1:40" x14ac:dyDescent="0.15">
      <c r="A6" s="99">
        <v>3</v>
      </c>
      <c r="B6" s="99">
        <v>9</v>
      </c>
      <c r="C6" s="99">
        <v>35</v>
      </c>
      <c r="E6" s="99" t="s">
        <v>234</v>
      </c>
      <c r="F6" s="99">
        <v>37</v>
      </c>
      <c r="H6" s="99" t="s">
        <v>193</v>
      </c>
      <c r="I6" s="99">
        <v>4</v>
      </c>
      <c r="J6" s="99" t="s">
        <v>233</v>
      </c>
      <c r="K6" s="164" t="str">
        <f ca="1">OFFSET(Matches!$C$4,Partnerships!A6,0)</f>
        <v>Streatham</v>
      </c>
      <c r="L6" s="165">
        <f ca="1">OFFSET(Matches!$B$4,Partnerships!A6,0)</f>
        <v>43604</v>
      </c>
      <c r="N6" s="99">
        <f t="shared" si="0"/>
        <v>94656</v>
      </c>
      <c r="O6" s="99">
        <v>24</v>
      </c>
      <c r="P6" s="99">
        <f t="shared" si="1"/>
        <v>21</v>
      </c>
      <c r="Q6"/>
      <c r="R6" s="99">
        <f t="array" ref="R6:AB6">INDEX($B$2:$L$40,P6,)</f>
        <v>2</v>
      </c>
      <c r="S6" s="99">
        <v>165</v>
      </c>
      <c r="T6" s="99">
        <v>0</v>
      </c>
      <c r="U6" s="99" t="str">
        <v>Sharpe D</v>
      </c>
      <c r="V6" s="99">
        <v>117</v>
      </c>
      <c r="W6" s="186">
        <v>0</v>
      </c>
      <c r="X6" s="99" t="str">
        <v>Springer T</v>
      </c>
      <c r="Y6" s="99">
        <v>41</v>
      </c>
      <c r="Z6" s="186">
        <v>0</v>
      </c>
      <c r="AA6" s="99" t="str">
        <f ca="1"/>
        <v>Richmond Legbreakers</v>
      </c>
      <c r="AB6" s="171">
        <f ca="1"/>
        <v>43716</v>
      </c>
      <c r="AN6" s="171"/>
    </row>
    <row r="7" spans="1:40" x14ac:dyDescent="0.15">
      <c r="A7" s="99">
        <v>4</v>
      </c>
      <c r="B7" s="99">
        <v>2</v>
      </c>
      <c r="C7" s="99">
        <v>81</v>
      </c>
      <c r="E7" s="99" t="s">
        <v>200</v>
      </c>
      <c r="F7" s="99">
        <v>32</v>
      </c>
      <c r="H7" s="99" t="s">
        <v>232</v>
      </c>
      <c r="I7" s="99">
        <v>90</v>
      </c>
      <c r="J7" s="99" t="s">
        <v>233</v>
      </c>
      <c r="K7" s="164" t="str">
        <f ca="1">OFFSET(Matches!$C$4,Partnerships!A7,0)</f>
        <v>Fonthill Park</v>
      </c>
      <c r="L7" s="165">
        <f ca="1">OFFSET(Matches!$B$4,Partnerships!A7,0)</f>
        <v>43610</v>
      </c>
      <c r="N7" s="99">
        <f t="shared" si="0"/>
        <v>24197</v>
      </c>
      <c r="O7" s="99">
        <v>7</v>
      </c>
      <c r="P7" s="99">
        <f t="shared" si="1"/>
        <v>20</v>
      </c>
      <c r="Q7"/>
      <c r="R7" s="99">
        <f t="array" ref="R7:AB7">INDEX($B$2:$L$40,P7,)</f>
        <v>2</v>
      </c>
      <c r="S7" s="99">
        <v>99</v>
      </c>
      <c r="T7" s="99">
        <v>0</v>
      </c>
      <c r="U7" s="99" t="str">
        <v>Seymour C</v>
      </c>
      <c r="V7" s="99">
        <v>37</v>
      </c>
      <c r="W7" s="186">
        <v>0</v>
      </c>
      <c r="X7" s="99" t="str">
        <v>Springer T</v>
      </c>
      <c r="Y7" s="99">
        <v>79</v>
      </c>
      <c r="Z7" s="186">
        <v>0</v>
      </c>
      <c r="AA7" s="99" t="str">
        <f ca="1"/>
        <v>Norwood Exiles</v>
      </c>
      <c r="AB7" s="171">
        <f ca="1"/>
        <v>43695</v>
      </c>
      <c r="AN7" s="171"/>
    </row>
    <row r="8" spans="1:40" x14ac:dyDescent="0.15">
      <c r="A8" s="99">
        <v>4</v>
      </c>
      <c r="B8" s="99">
        <v>5</v>
      </c>
      <c r="C8" s="99">
        <v>36</v>
      </c>
      <c r="E8" s="99" t="s">
        <v>232</v>
      </c>
      <c r="F8" s="99">
        <v>90</v>
      </c>
      <c r="G8" s="99" t="s">
        <v>233</v>
      </c>
      <c r="H8" s="99" t="s">
        <v>210</v>
      </c>
      <c r="I8" s="99">
        <v>22</v>
      </c>
      <c r="K8" s="164" t="str">
        <f ca="1">OFFSET(Matches!$C$4,Partnerships!A8,0)</f>
        <v>Fonthill Park</v>
      </c>
      <c r="L8" s="165">
        <f ca="1">OFFSET(Matches!$B$4,Partnerships!A8,0)</f>
        <v>43610</v>
      </c>
      <c r="N8" s="99">
        <f t="shared" si="0"/>
        <v>54648</v>
      </c>
      <c r="O8" s="99">
        <v>20</v>
      </c>
      <c r="P8" s="99">
        <f t="shared" si="1"/>
        <v>6</v>
      </c>
      <c r="Q8"/>
      <c r="R8" s="99">
        <f t="array" ref="R8:AB8">INDEX($B$2:$L$40,P8,)</f>
        <v>2</v>
      </c>
      <c r="S8" s="99">
        <v>81</v>
      </c>
      <c r="T8" s="99">
        <v>0</v>
      </c>
      <c r="U8" s="99" t="str">
        <v>Seymour C</v>
      </c>
      <c r="V8" s="99">
        <v>32</v>
      </c>
      <c r="W8" s="186">
        <v>0</v>
      </c>
      <c r="X8" s="99" t="str">
        <v>Springer T</v>
      </c>
      <c r="Y8" s="99">
        <v>90</v>
      </c>
      <c r="Z8" s="186" t="str">
        <v>*</v>
      </c>
      <c r="AA8" s="99" t="str">
        <f ca="1"/>
        <v>Fonthill Park</v>
      </c>
      <c r="AB8" s="171">
        <f ca="1"/>
        <v>43610</v>
      </c>
      <c r="AN8" s="171"/>
    </row>
    <row r="9" spans="1:40" x14ac:dyDescent="0.15">
      <c r="A9" s="99">
        <v>5</v>
      </c>
      <c r="B9" s="99">
        <v>5</v>
      </c>
      <c r="C9" s="99">
        <v>43</v>
      </c>
      <c r="E9" s="99" t="s">
        <v>210</v>
      </c>
      <c r="F9" s="99">
        <v>63</v>
      </c>
      <c r="H9" s="99" t="s">
        <v>232</v>
      </c>
      <c r="I9" s="99">
        <v>38</v>
      </c>
      <c r="K9" s="164" t="str">
        <f ca="1">OFFSET(Matches!$C$4,Partnerships!A9,0)</f>
        <v>Woodgreen</v>
      </c>
      <c r="L9" s="165">
        <f ca="1">OFFSET(Matches!$B$4,Partnerships!A9,0)</f>
        <v>43611</v>
      </c>
      <c r="N9" s="99">
        <f t="shared" si="0"/>
        <v>54579</v>
      </c>
      <c r="O9" s="99">
        <v>19</v>
      </c>
      <c r="P9" s="99">
        <f t="shared" si="1"/>
        <v>17</v>
      </c>
      <c r="Q9"/>
      <c r="R9" s="99">
        <f t="array" ref="R9:AB9">INDEX($B$2:$L$40,P9,)</f>
        <v>2</v>
      </c>
      <c r="S9" s="99">
        <v>77</v>
      </c>
      <c r="T9" s="99">
        <v>0</v>
      </c>
      <c r="U9" s="99" t="str">
        <v>Seymour C</v>
      </c>
      <c r="V9" s="99">
        <v>28</v>
      </c>
      <c r="W9" s="186">
        <v>0</v>
      </c>
      <c r="X9" s="99" t="str">
        <v>Springer T</v>
      </c>
      <c r="Y9" s="99">
        <v>94</v>
      </c>
      <c r="Z9" s="186">
        <v>0</v>
      </c>
      <c r="AA9" s="99" t="str">
        <f ca="1"/>
        <v>Merton</v>
      </c>
      <c r="AB9" s="171">
        <f ca="1"/>
        <v>43667</v>
      </c>
      <c r="AN9" s="171"/>
    </row>
    <row r="10" spans="1:40" x14ac:dyDescent="0.15">
      <c r="A10" s="99">
        <v>6</v>
      </c>
      <c r="B10" s="99">
        <v>2</v>
      </c>
      <c r="C10" s="99">
        <v>58</v>
      </c>
      <c r="E10" s="99" t="s">
        <v>263</v>
      </c>
      <c r="F10" s="99">
        <v>42</v>
      </c>
      <c r="H10" s="99" t="s">
        <v>277</v>
      </c>
      <c r="I10" s="99">
        <v>19</v>
      </c>
      <c r="K10" s="164" t="str">
        <f ca="1">OFFSET(Matches!$C$4,Partnerships!A10,0)</f>
        <v>Steeple Langford</v>
      </c>
      <c r="L10" s="165">
        <f ca="1">OFFSET(Matches!$B$4,Partnerships!A10,0)</f>
        <v>43612</v>
      </c>
      <c r="N10" s="99">
        <f t="shared" si="0"/>
        <v>24430</v>
      </c>
      <c r="O10" s="99">
        <v>9</v>
      </c>
      <c r="P10" s="99">
        <f t="shared" si="1"/>
        <v>9</v>
      </c>
      <c r="Q10"/>
      <c r="R10" s="99">
        <f t="array" ref="R10:AB10">INDEX($B$2:$L$40,P10,)</f>
        <v>2</v>
      </c>
      <c r="S10" s="99">
        <v>58</v>
      </c>
      <c r="T10" s="99">
        <v>0</v>
      </c>
      <c r="U10" s="99" t="str">
        <v>Shome G</v>
      </c>
      <c r="V10" s="99">
        <v>42</v>
      </c>
      <c r="W10" s="186">
        <v>0</v>
      </c>
      <c r="X10" s="99" t="str">
        <v>Jenkins D</v>
      </c>
      <c r="Y10" s="99">
        <v>19</v>
      </c>
      <c r="Z10" s="186">
        <v>0</v>
      </c>
      <c r="AA10" s="99" t="str">
        <f ca="1"/>
        <v>Steeple Langford</v>
      </c>
      <c r="AB10" s="171">
        <f ca="1"/>
        <v>43612</v>
      </c>
      <c r="AN10" s="171"/>
    </row>
    <row r="11" spans="1:40" x14ac:dyDescent="0.15">
      <c r="A11" s="99">
        <v>5</v>
      </c>
      <c r="B11" s="99">
        <v>4</v>
      </c>
      <c r="C11" s="99">
        <v>51</v>
      </c>
      <c r="E11" s="99" t="s">
        <v>193</v>
      </c>
      <c r="F11" s="99">
        <v>8</v>
      </c>
      <c r="H11" s="99" t="s">
        <v>210</v>
      </c>
      <c r="I11" s="99">
        <v>63</v>
      </c>
      <c r="K11" s="164" t="str">
        <f ca="1">OFFSET(Matches!$C$4,Partnerships!A11,0)</f>
        <v>Woodgreen</v>
      </c>
      <c r="L11" s="165">
        <f ca="1">OFFSET(Matches!$B$4,Partnerships!A11,0)</f>
        <v>43611</v>
      </c>
      <c r="N11" s="99">
        <f t="shared" si="0"/>
        <v>44501</v>
      </c>
      <c r="O11" s="99">
        <v>17</v>
      </c>
      <c r="P11" s="99">
        <f t="shared" si="1"/>
        <v>3</v>
      </c>
      <c r="Q11"/>
      <c r="R11" s="99">
        <f t="array" ref="R11:AB11">INDEX($B$2:$L$40,P11,)</f>
        <v>2</v>
      </c>
      <c r="S11" s="99">
        <v>54</v>
      </c>
      <c r="T11" s="99">
        <v>0</v>
      </c>
      <c r="U11" s="99" t="str">
        <v>Seymour C</v>
      </c>
      <c r="V11" s="99">
        <v>30</v>
      </c>
      <c r="W11" s="186">
        <v>0</v>
      </c>
      <c r="X11" s="99" t="str">
        <v>Springer T</v>
      </c>
      <c r="Y11" s="99">
        <v>62</v>
      </c>
      <c r="Z11" s="186">
        <v>0</v>
      </c>
      <c r="AA11" s="99" t="str">
        <f ca="1"/>
        <v>Woodgreen</v>
      </c>
      <c r="AB11" s="171">
        <f ca="1"/>
        <v>43590</v>
      </c>
      <c r="AN11" s="171"/>
    </row>
    <row r="12" spans="1:40" x14ac:dyDescent="0.15">
      <c r="A12" s="99">
        <v>7</v>
      </c>
      <c r="B12" s="99">
        <v>1</v>
      </c>
      <c r="C12" s="99">
        <v>56</v>
      </c>
      <c r="E12" s="99" t="s">
        <v>273</v>
      </c>
      <c r="F12" s="99">
        <v>27</v>
      </c>
      <c r="H12" s="99" t="s">
        <v>138</v>
      </c>
      <c r="I12" s="99">
        <v>104</v>
      </c>
      <c r="K12" s="164" t="str">
        <f ca="1">OFFSET(Matches!$C$4,Partnerships!A12,0)</f>
        <v>Spencer</v>
      </c>
      <c r="L12" s="165">
        <f ca="1">OFFSET(Matches!$B$4,Partnerships!A12,0)</f>
        <v>43618</v>
      </c>
      <c r="N12" s="99">
        <f t="shared" si="0"/>
        <v>14452</v>
      </c>
      <c r="O12" s="99">
        <v>4</v>
      </c>
      <c r="P12" s="99">
        <f t="shared" si="1"/>
        <v>24</v>
      </c>
      <c r="Q12"/>
      <c r="R12" s="99">
        <f t="array" ref="R12:AB12">INDEX($B$2:$L$40,P12,)</f>
        <v>2</v>
      </c>
      <c r="S12" s="99">
        <v>55</v>
      </c>
      <c r="T12" s="99">
        <v>0</v>
      </c>
      <c r="U12" s="99" t="str">
        <v>Sharpe D</v>
      </c>
      <c r="V12" s="99">
        <v>56</v>
      </c>
      <c r="W12" s="186">
        <v>0</v>
      </c>
      <c r="X12" s="99" t="str">
        <v>Niran S</v>
      </c>
      <c r="Y12" s="99">
        <v>45</v>
      </c>
      <c r="Z12" s="186">
        <v>0</v>
      </c>
      <c r="AA12" s="99" t="str">
        <f ca="1"/>
        <v>Sanderstead</v>
      </c>
      <c r="AB12" s="171">
        <f ca="1"/>
        <v>43730</v>
      </c>
      <c r="AN12" s="171"/>
    </row>
    <row r="13" spans="1:40" x14ac:dyDescent="0.15">
      <c r="A13" s="99">
        <v>8</v>
      </c>
      <c r="B13" s="99">
        <v>4</v>
      </c>
      <c r="C13" s="99">
        <v>63</v>
      </c>
      <c r="E13" s="99" t="s">
        <v>207</v>
      </c>
      <c r="F13" s="99">
        <v>48</v>
      </c>
      <c r="H13" s="99" t="s">
        <v>210</v>
      </c>
      <c r="I13" s="99">
        <v>35</v>
      </c>
      <c r="K13" s="164" t="str">
        <f ca="1">OFFSET(Matches!$C$4,Partnerships!A13,0)</f>
        <v>3W United (?)</v>
      </c>
      <c r="L13" s="165">
        <f ca="1">OFFSET(Matches!$B$4,Partnerships!A13,0)</f>
        <v>43625</v>
      </c>
      <c r="N13" s="99">
        <f t="shared" si="0"/>
        <v>44383</v>
      </c>
      <c r="O13" s="99">
        <v>15</v>
      </c>
      <c r="P13" s="99">
        <f t="shared" si="1"/>
        <v>19</v>
      </c>
      <c r="Q13"/>
      <c r="R13" s="99">
        <f t="array" ref="R13:AB13">INDEX($B$2:$L$40,P13,)</f>
        <v>2</v>
      </c>
      <c r="S13" s="99">
        <v>54</v>
      </c>
      <c r="T13" s="99">
        <v>0</v>
      </c>
      <c r="U13" s="99" t="str">
        <v>Sharpe D</v>
      </c>
      <c r="V13" s="99">
        <v>31</v>
      </c>
      <c r="W13" s="186">
        <v>0</v>
      </c>
      <c r="X13" s="99" t="str">
        <v>Springer T</v>
      </c>
      <c r="Y13" s="99">
        <v>14</v>
      </c>
      <c r="Z13" s="186">
        <v>0</v>
      </c>
      <c r="AA13" s="99" t="str">
        <f ca="1"/>
        <v>Southbank</v>
      </c>
      <c r="AB13" s="171">
        <f ca="1"/>
        <v>43681</v>
      </c>
      <c r="AN13" s="171"/>
    </row>
    <row r="14" spans="1:40" x14ac:dyDescent="0.15">
      <c r="A14" s="99">
        <v>11</v>
      </c>
      <c r="B14" s="99">
        <v>6</v>
      </c>
      <c r="C14" s="99">
        <v>98</v>
      </c>
      <c r="E14" s="99" t="s">
        <v>232</v>
      </c>
      <c r="F14" s="99">
        <v>74</v>
      </c>
      <c r="H14" s="99" t="s">
        <v>422</v>
      </c>
      <c r="I14" s="99">
        <v>30</v>
      </c>
      <c r="K14" s="164" t="str">
        <f ca="1">OFFSET(Matches!$C$4,Partnerships!A14,0)</f>
        <v>Chessington</v>
      </c>
      <c r="L14" s="165">
        <f ca="1">OFFSET(Matches!$B$4,Partnerships!A14,0)</f>
        <v>43646</v>
      </c>
      <c r="N14" s="99">
        <f t="shared" si="0"/>
        <v>64034</v>
      </c>
      <c r="O14" s="99">
        <v>21</v>
      </c>
      <c r="P14" s="99">
        <f t="shared" si="1"/>
        <v>18</v>
      </c>
      <c r="Q14"/>
      <c r="R14" s="99">
        <f t="array" ref="R14:AB14">INDEX($B$2:$L$40,P14,)</f>
        <v>3</v>
      </c>
      <c r="S14" s="99">
        <v>78</v>
      </c>
      <c r="T14" s="99">
        <v>0</v>
      </c>
      <c r="U14" s="99" t="str">
        <v>Springer T</v>
      </c>
      <c r="V14" s="99">
        <v>94</v>
      </c>
      <c r="W14" s="186">
        <v>0</v>
      </c>
      <c r="X14" s="99" t="str">
        <v>Bhatt P</v>
      </c>
      <c r="Y14" s="99">
        <v>24</v>
      </c>
      <c r="Z14" s="186">
        <v>0</v>
      </c>
      <c r="AA14" s="99" t="str">
        <f ca="1"/>
        <v>Merton</v>
      </c>
      <c r="AB14" s="171">
        <f ca="1"/>
        <v>43667</v>
      </c>
      <c r="AN14" s="171"/>
    </row>
    <row r="15" spans="1:40" x14ac:dyDescent="0.15">
      <c r="A15" s="99">
        <v>13</v>
      </c>
      <c r="B15" s="99">
        <v>5</v>
      </c>
      <c r="C15" s="99">
        <v>48</v>
      </c>
      <c r="E15" s="99" t="s">
        <v>273</v>
      </c>
      <c r="F15" s="99">
        <v>156</v>
      </c>
      <c r="G15" s="99" t="s">
        <v>233</v>
      </c>
      <c r="H15" s="99" t="s">
        <v>277</v>
      </c>
      <c r="I15" s="99">
        <v>18</v>
      </c>
      <c r="K15" s="164" t="str">
        <f ca="1">OFFSET(Matches!$C$4,Partnerships!A15,0)</f>
        <v>Morden</v>
      </c>
      <c r="L15" s="165">
        <f ca="1">OFFSET(Matches!$B$4,Partnerships!A15,0)</f>
        <v>43660</v>
      </c>
      <c r="N15" s="99">
        <f t="shared" si="0"/>
        <v>54535</v>
      </c>
      <c r="O15" s="99">
        <v>18</v>
      </c>
      <c r="P15" s="99">
        <f t="shared" si="1"/>
        <v>4</v>
      </c>
      <c r="Q15"/>
      <c r="R15" s="99">
        <f t="array" ref="R15:AB15">INDEX($B$2:$L$40,P15,)</f>
        <v>3</v>
      </c>
      <c r="S15" s="99">
        <v>72</v>
      </c>
      <c r="T15" s="99">
        <v>0</v>
      </c>
      <c r="U15" s="99" t="str">
        <v>Springer T</v>
      </c>
      <c r="V15" s="99">
        <v>62</v>
      </c>
      <c r="W15" s="186">
        <v>0</v>
      </c>
      <c r="X15" s="99" t="str">
        <v>Bhatt P</v>
      </c>
      <c r="Y15" s="99">
        <v>35</v>
      </c>
      <c r="Z15" s="186" t="str">
        <v>*</v>
      </c>
      <c r="AA15" s="99" t="str">
        <f ca="1"/>
        <v>Woodgreen</v>
      </c>
      <c r="AB15" s="171">
        <f ca="1"/>
        <v>43590</v>
      </c>
      <c r="AN15" s="171"/>
    </row>
    <row r="16" spans="1:40" x14ac:dyDescent="0.15">
      <c r="A16" s="99">
        <v>13</v>
      </c>
      <c r="B16" s="99">
        <v>6</v>
      </c>
      <c r="C16" s="99">
        <v>92</v>
      </c>
      <c r="E16" s="99" t="s">
        <v>273</v>
      </c>
      <c r="F16" s="99">
        <v>156</v>
      </c>
      <c r="G16" s="99" t="s">
        <v>233</v>
      </c>
      <c r="H16" s="99" t="s">
        <v>200</v>
      </c>
      <c r="I16" s="99">
        <v>25</v>
      </c>
      <c r="K16" s="164" t="str">
        <f ca="1">OFFSET(Matches!$C$4,Partnerships!A16,0)</f>
        <v>Morden</v>
      </c>
      <c r="L16" s="165">
        <f ca="1">OFFSET(Matches!$B$4,Partnerships!A16,0)</f>
        <v>43660</v>
      </c>
      <c r="N16" s="99">
        <f t="shared" si="0"/>
        <v>64096</v>
      </c>
      <c r="O16" s="99">
        <v>22</v>
      </c>
      <c r="P16" s="99">
        <f t="shared" si="1"/>
        <v>12</v>
      </c>
      <c r="Q16"/>
      <c r="R16" s="99">
        <f t="array" ref="R16:AB16">INDEX($B$2:$L$40,P16,)</f>
        <v>4</v>
      </c>
      <c r="S16" s="99">
        <v>63</v>
      </c>
      <c r="T16" s="99">
        <v>0</v>
      </c>
      <c r="U16" s="99" t="str">
        <v>Middleton J</v>
      </c>
      <c r="V16" s="99">
        <v>48</v>
      </c>
      <c r="W16" s="186">
        <v>0</v>
      </c>
      <c r="X16" s="99" t="str">
        <v>Clarkson M</v>
      </c>
      <c r="Y16" s="99">
        <v>35</v>
      </c>
      <c r="Z16" s="186">
        <v>0</v>
      </c>
      <c r="AA16" s="99" t="str">
        <f ca="1"/>
        <v>3W United (?)</v>
      </c>
      <c r="AB16" s="171">
        <f ca="1"/>
        <v>43625</v>
      </c>
      <c r="AN16" s="171"/>
    </row>
    <row r="17" spans="1:40" x14ac:dyDescent="0.15">
      <c r="A17" s="99">
        <v>13</v>
      </c>
      <c r="B17" s="99">
        <v>8</v>
      </c>
      <c r="C17" s="99">
        <v>32</v>
      </c>
      <c r="D17" s="99" t="s">
        <v>233</v>
      </c>
      <c r="E17" s="99" t="s">
        <v>273</v>
      </c>
      <c r="F17" s="99">
        <v>156</v>
      </c>
      <c r="G17" s="99" t="s">
        <v>233</v>
      </c>
      <c r="H17" s="99" t="s">
        <v>247</v>
      </c>
      <c r="I17" s="99">
        <v>6</v>
      </c>
      <c r="J17" s="99" t="s">
        <v>233</v>
      </c>
      <c r="K17" s="164" t="str">
        <f ca="1">OFFSET(Matches!$C$4,Partnerships!A17,0)</f>
        <v>Morden</v>
      </c>
      <c r="L17" s="165">
        <f ca="1">OFFSET(Matches!$B$4,Partnerships!A17,0)</f>
        <v>43660</v>
      </c>
      <c r="N17" s="99">
        <f t="shared" si="0"/>
        <v>84697</v>
      </c>
      <c r="O17" s="99">
        <v>23</v>
      </c>
      <c r="P17" s="99">
        <f t="shared" si="1"/>
        <v>2</v>
      </c>
      <c r="Q17"/>
      <c r="R17" s="99">
        <f t="array" ref="R17:AB17">INDEX($B$2:$L$40,P17,)</f>
        <v>4</v>
      </c>
      <c r="S17" s="99">
        <v>60</v>
      </c>
      <c r="T17" s="99">
        <v>0</v>
      </c>
      <c r="U17" s="99" t="str">
        <v>Bhatt P</v>
      </c>
      <c r="V17" s="99">
        <v>24</v>
      </c>
      <c r="W17" s="186">
        <v>0</v>
      </c>
      <c r="X17" s="99" t="str">
        <v>Middleton J</v>
      </c>
      <c r="Y17" s="99">
        <v>55</v>
      </c>
      <c r="Z17" s="186">
        <v>0</v>
      </c>
      <c r="AA17" s="99" t="str">
        <f ca="1"/>
        <v>Worcester Park</v>
      </c>
      <c r="AB17" s="171">
        <f ca="1"/>
        <v>43583</v>
      </c>
      <c r="AN17" s="171"/>
    </row>
    <row r="18" spans="1:40" x14ac:dyDescent="0.15">
      <c r="A18" s="99">
        <v>14</v>
      </c>
      <c r="B18" s="99">
        <v>2</v>
      </c>
      <c r="C18" s="99">
        <v>77</v>
      </c>
      <c r="E18" s="99" t="s">
        <v>200</v>
      </c>
      <c r="F18" s="99">
        <v>28</v>
      </c>
      <c r="H18" s="99" t="s">
        <v>232</v>
      </c>
      <c r="I18" s="99">
        <v>94</v>
      </c>
      <c r="K18" s="164" t="str">
        <f ca="1">OFFSET(Matches!$C$4,Partnerships!A18,0)</f>
        <v>Merton</v>
      </c>
      <c r="L18" s="165">
        <f ca="1">OFFSET(Matches!$B$4,Partnerships!A18,0)</f>
        <v>43667</v>
      </c>
      <c r="N18" s="99">
        <f t="shared" si="0"/>
        <v>24248</v>
      </c>
      <c r="O18" s="99">
        <v>8</v>
      </c>
      <c r="P18" s="99">
        <f t="shared" si="1"/>
        <v>10</v>
      </c>
      <c r="Q18"/>
      <c r="R18" s="99">
        <f t="array" ref="R18:AB18">INDEX($B$2:$L$40,P18,)</f>
        <v>4</v>
      </c>
      <c r="S18" s="99">
        <v>51</v>
      </c>
      <c r="T18" s="99">
        <v>0</v>
      </c>
      <c r="U18" s="99" t="str">
        <v>Smith C</v>
      </c>
      <c r="V18" s="99">
        <v>8</v>
      </c>
      <c r="W18" s="186">
        <v>0</v>
      </c>
      <c r="X18" s="99" t="str">
        <v>Clarkson M</v>
      </c>
      <c r="Y18" s="99">
        <v>63</v>
      </c>
      <c r="Z18" s="186">
        <v>0</v>
      </c>
      <c r="AA18" s="99" t="str">
        <f ca="1"/>
        <v>Woodgreen</v>
      </c>
      <c r="AB18" s="171">
        <f ca="1"/>
        <v>43611</v>
      </c>
      <c r="AN18" s="171"/>
    </row>
    <row r="19" spans="1:40" x14ac:dyDescent="0.15">
      <c r="A19" s="99">
        <v>14</v>
      </c>
      <c r="B19" s="99">
        <v>3</v>
      </c>
      <c r="C19" s="99">
        <v>78</v>
      </c>
      <c r="E19" s="99" t="s">
        <v>232</v>
      </c>
      <c r="F19" s="99">
        <v>94</v>
      </c>
      <c r="H19" s="99" t="s">
        <v>247</v>
      </c>
      <c r="I19" s="99">
        <v>24</v>
      </c>
      <c r="K19" s="164" t="str">
        <f ca="1">OFFSET(Matches!$C$4,Partnerships!A19,0)</f>
        <v>Merton</v>
      </c>
      <c r="L19" s="165">
        <f ca="1">OFFSET(Matches!$B$4,Partnerships!A19,0)</f>
        <v>43667</v>
      </c>
      <c r="N19" s="99">
        <f t="shared" si="0"/>
        <v>34239</v>
      </c>
      <c r="O19" s="99">
        <v>13</v>
      </c>
      <c r="P19" s="99">
        <f t="shared" si="1"/>
        <v>14</v>
      </c>
      <c r="R19" s="99">
        <f t="array" ref="R19:AB19">INDEX($B$2:$L$40,P19,)</f>
        <v>5</v>
      </c>
      <c r="S19" s="99">
        <v>48</v>
      </c>
      <c r="T19" s="99">
        <v>0</v>
      </c>
      <c r="U19" s="99" t="str">
        <v>Greenall D</v>
      </c>
      <c r="V19" s="99">
        <v>156</v>
      </c>
      <c r="W19" s="186" t="str">
        <v>*</v>
      </c>
      <c r="X19" s="99" t="str">
        <v>Jenkins D</v>
      </c>
      <c r="Y19" s="99">
        <v>18</v>
      </c>
      <c r="Z19" s="186">
        <v>0</v>
      </c>
      <c r="AA19" s="99" t="str">
        <f ca="1"/>
        <v>Morden</v>
      </c>
      <c r="AB19" s="171">
        <f ca="1"/>
        <v>43660</v>
      </c>
      <c r="AN19" s="171"/>
    </row>
    <row r="20" spans="1:40" x14ac:dyDescent="0.15">
      <c r="A20" s="99">
        <v>16</v>
      </c>
      <c r="B20" s="99">
        <v>2</v>
      </c>
      <c r="C20" s="99">
        <v>54</v>
      </c>
      <c r="E20" s="99" t="s">
        <v>138</v>
      </c>
      <c r="F20" s="99">
        <v>31</v>
      </c>
      <c r="H20" s="99" t="s">
        <v>232</v>
      </c>
      <c r="I20" s="99">
        <v>14</v>
      </c>
      <c r="K20" s="164" t="str">
        <f ca="1">OFFSET(Matches!$C$4,Partnerships!A20,0)</f>
        <v>Southbank</v>
      </c>
      <c r="L20" s="165">
        <f ca="1">OFFSET(Matches!$B$4,Partnerships!A20,0)</f>
        <v>43681</v>
      </c>
      <c r="N20" s="99">
        <f t="shared" si="0"/>
        <v>24480</v>
      </c>
      <c r="O20" s="99">
        <v>12</v>
      </c>
      <c r="P20" s="99">
        <f t="shared" si="1"/>
        <v>8</v>
      </c>
      <c r="R20" s="99">
        <f t="array" ref="R20:AB20">INDEX($B$2:$L$40,P20,)</f>
        <v>5</v>
      </c>
      <c r="S20" s="99">
        <v>43</v>
      </c>
      <c r="T20" s="99">
        <v>0</v>
      </c>
      <c r="U20" s="99" t="str">
        <v>Clarkson M</v>
      </c>
      <c r="V20" s="99">
        <v>63</v>
      </c>
      <c r="W20" s="186">
        <v>0</v>
      </c>
      <c r="X20" s="99" t="str">
        <v>Springer T</v>
      </c>
      <c r="Y20" s="99">
        <v>38</v>
      </c>
      <c r="Z20" s="186">
        <v>0</v>
      </c>
      <c r="AA20" s="99" t="str">
        <f ca="1"/>
        <v>Woodgreen</v>
      </c>
      <c r="AB20" s="171">
        <f ca="1"/>
        <v>43611</v>
      </c>
      <c r="AN20" s="171"/>
    </row>
    <row r="21" spans="1:40" x14ac:dyDescent="0.15">
      <c r="A21" s="99">
        <v>18</v>
      </c>
      <c r="B21" s="99">
        <v>2</v>
      </c>
      <c r="C21" s="99">
        <v>99</v>
      </c>
      <c r="E21" s="99" t="s">
        <v>200</v>
      </c>
      <c r="F21" s="99">
        <v>37</v>
      </c>
      <c r="H21" s="99" t="s">
        <v>232</v>
      </c>
      <c r="I21" s="99">
        <v>79</v>
      </c>
      <c r="K21" s="164" t="str">
        <f ca="1">OFFSET(Matches!$C$4,Partnerships!A21,0)</f>
        <v>Norwood Exiles</v>
      </c>
      <c r="L21" s="165">
        <f ca="1">OFFSET(Matches!$B$4,Partnerships!A21,0)</f>
        <v>43695</v>
      </c>
      <c r="N21" s="99">
        <f t="shared" si="0"/>
        <v>24031</v>
      </c>
      <c r="O21" s="99">
        <v>6</v>
      </c>
      <c r="P21" s="99">
        <f t="shared" si="1"/>
        <v>7</v>
      </c>
      <c r="R21" s="99">
        <f t="array" ref="R21:AB21">INDEX($B$2:$L$40,P21,)</f>
        <v>5</v>
      </c>
      <c r="S21" s="99">
        <v>36</v>
      </c>
      <c r="T21" s="99">
        <v>0</v>
      </c>
      <c r="U21" s="99" t="str">
        <v>Springer T</v>
      </c>
      <c r="V21" s="99">
        <v>90</v>
      </c>
      <c r="W21" s="186" t="str">
        <v>*</v>
      </c>
      <c r="X21" s="99" t="str">
        <v>Clarkson M</v>
      </c>
      <c r="Y21" s="99">
        <v>22</v>
      </c>
      <c r="Z21" s="186">
        <v>0</v>
      </c>
      <c r="AA21" s="99" t="str">
        <f ca="1"/>
        <v>Fonthill Park</v>
      </c>
      <c r="AB21" s="171">
        <f ca="1"/>
        <v>43610</v>
      </c>
    </row>
    <row r="22" spans="1:40" x14ac:dyDescent="0.15">
      <c r="A22" s="99">
        <v>19</v>
      </c>
      <c r="B22" s="99">
        <v>2</v>
      </c>
      <c r="C22" s="99">
        <v>165</v>
      </c>
      <c r="E22" s="99" t="s">
        <v>138</v>
      </c>
      <c r="F22" s="99">
        <v>117</v>
      </c>
      <c r="H22" s="99" t="s">
        <v>232</v>
      </c>
      <c r="I22" s="99">
        <v>41</v>
      </c>
      <c r="K22" s="164" t="str">
        <f ca="1">OFFSET(Matches!$C$4,Partnerships!A22,0)</f>
        <v>Richmond Legbreakers</v>
      </c>
      <c r="L22" s="165">
        <f ca="1">OFFSET(Matches!$B$4,Partnerships!A22,0)</f>
        <v>43716</v>
      </c>
      <c r="N22" s="99">
        <f t="shared" si="0"/>
        <v>23372</v>
      </c>
      <c r="O22" s="99">
        <v>5</v>
      </c>
      <c r="P22" s="99">
        <f t="shared" si="1"/>
        <v>13</v>
      </c>
      <c r="R22" s="99">
        <f t="array" ref="R22:AB22">INDEX($B$2:$L$40,P22,)</f>
        <v>6</v>
      </c>
      <c r="S22" s="99">
        <v>98</v>
      </c>
      <c r="T22" s="99">
        <v>0</v>
      </c>
      <c r="U22" s="99" t="str">
        <v>Springer T</v>
      </c>
      <c r="V22" s="99">
        <v>74</v>
      </c>
      <c r="W22" s="186">
        <v>0</v>
      </c>
      <c r="X22" s="99" t="str">
        <v>Deol R</v>
      </c>
      <c r="Y22" s="99">
        <v>30</v>
      </c>
      <c r="Z22" s="186">
        <v>0</v>
      </c>
      <c r="AA22" s="99" t="str">
        <f ca="1"/>
        <v>Chessington</v>
      </c>
      <c r="AB22" s="171">
        <f ca="1"/>
        <v>43646</v>
      </c>
    </row>
    <row r="23" spans="1:40" x14ac:dyDescent="0.15">
      <c r="A23" s="99">
        <v>20</v>
      </c>
      <c r="B23" s="99">
        <v>1</v>
      </c>
      <c r="C23" s="99">
        <v>104</v>
      </c>
      <c r="E23" s="99" t="s">
        <v>138</v>
      </c>
      <c r="F23" s="99">
        <v>62</v>
      </c>
      <c r="H23" s="99" t="s">
        <v>200</v>
      </c>
      <c r="I23" s="99">
        <v>28</v>
      </c>
      <c r="K23" s="164" t="str">
        <f ca="1">OFFSET(Matches!$C$4,Partnerships!A23,0)</f>
        <v>Catford Cyphers</v>
      </c>
      <c r="L23" s="165">
        <f ca="1">OFFSET(Matches!$B$4,Partnerships!A23,0)</f>
        <v>43723</v>
      </c>
      <c r="N23" s="99">
        <f t="shared" si="0"/>
        <v>13983</v>
      </c>
      <c r="O23" s="99">
        <v>1</v>
      </c>
      <c r="P23" s="99">
        <f t="shared" si="1"/>
        <v>15</v>
      </c>
      <c r="R23" s="99">
        <f t="array" ref="R23:AB23">INDEX($B$2:$L$40,P23,)</f>
        <v>6</v>
      </c>
      <c r="S23" s="99">
        <v>92</v>
      </c>
      <c r="T23" s="99">
        <v>0</v>
      </c>
      <c r="U23" s="99" t="str">
        <v>Greenall D</v>
      </c>
      <c r="V23" s="99">
        <v>156</v>
      </c>
      <c r="W23" s="186" t="str">
        <v>*</v>
      </c>
      <c r="X23" s="99" t="str">
        <v>Seymour C</v>
      </c>
      <c r="Y23" s="99">
        <v>25</v>
      </c>
      <c r="Z23" s="186">
        <v>0</v>
      </c>
      <c r="AA23" s="99" t="str">
        <f ca="1"/>
        <v>Morden</v>
      </c>
      <c r="AB23" s="171">
        <f ca="1"/>
        <v>43660</v>
      </c>
    </row>
    <row r="24" spans="1:40" x14ac:dyDescent="0.15">
      <c r="A24" s="99">
        <v>21</v>
      </c>
      <c r="B24" s="99">
        <v>1</v>
      </c>
      <c r="C24" s="99">
        <v>80</v>
      </c>
      <c r="E24" s="99" t="s">
        <v>138</v>
      </c>
      <c r="F24" s="99">
        <v>56</v>
      </c>
      <c r="G24"/>
      <c r="H24" s="99" t="s">
        <v>273</v>
      </c>
      <c r="I24" s="99">
        <v>38</v>
      </c>
      <c r="J24"/>
      <c r="K24" s="164" t="str">
        <f ca="1">OFFSET(Matches!$C$4,Partnerships!A24,0)</f>
        <v>Sanderstead</v>
      </c>
      <c r="L24" s="165">
        <f ca="1">OFFSET(Matches!$B$4,Partnerships!A24,0)</f>
        <v>43730</v>
      </c>
      <c r="N24" s="99">
        <f t="shared" si="0"/>
        <v>14224</v>
      </c>
      <c r="O24" s="99">
        <v>2</v>
      </c>
      <c r="P24" s="99">
        <f t="shared" si="1"/>
        <v>16</v>
      </c>
      <c r="R24" s="99">
        <f t="array" ref="R24:AB24">INDEX($B$2:$L$40,P24,)</f>
        <v>8</v>
      </c>
      <c r="S24" s="99">
        <v>32</v>
      </c>
      <c r="T24" s="99" t="str">
        <v>*</v>
      </c>
      <c r="U24" s="99" t="str">
        <v>Greenall D</v>
      </c>
      <c r="V24" s="99">
        <v>156</v>
      </c>
      <c r="W24" s="186" t="str">
        <v>*</v>
      </c>
      <c r="X24" s="99" t="str">
        <v>Bhatt P</v>
      </c>
      <c r="Y24" s="99">
        <v>6</v>
      </c>
      <c r="Z24" s="186" t="str">
        <v>*</v>
      </c>
      <c r="AA24" s="99" t="str">
        <f ca="1"/>
        <v>Morden</v>
      </c>
      <c r="AB24" s="171">
        <f ca="1"/>
        <v>43660</v>
      </c>
    </row>
    <row r="25" spans="1:40" x14ac:dyDescent="0.15">
      <c r="A25" s="99">
        <v>21</v>
      </c>
      <c r="B25" s="99">
        <v>2</v>
      </c>
      <c r="C25" s="99">
        <v>55</v>
      </c>
      <c r="E25" s="99" t="s">
        <v>138</v>
      </c>
      <c r="F25" s="99">
        <v>56</v>
      </c>
      <c r="G25"/>
      <c r="H25" s="99" t="s">
        <v>265</v>
      </c>
      <c r="I25" s="99">
        <v>45</v>
      </c>
      <c r="J25"/>
      <c r="K25" s="164" t="str">
        <f ca="1">OFFSET(Matches!$C$4,Partnerships!A25,0)</f>
        <v>Sanderstead</v>
      </c>
      <c r="L25" s="165">
        <f ca="1">OFFSET(Matches!$B$4,Partnerships!A25,0)</f>
        <v>43730</v>
      </c>
      <c r="N25" s="99">
        <f t="shared" si="0"/>
        <v>24475</v>
      </c>
      <c r="O25" s="99">
        <v>11</v>
      </c>
      <c r="P25" s="99">
        <f t="shared" si="1"/>
        <v>5</v>
      </c>
      <c r="R25" s="99">
        <f t="array" ref="R25:AB25">INDEX($B$2:$L$40,P25,)</f>
        <v>9</v>
      </c>
      <c r="S25" s="99">
        <v>35</v>
      </c>
      <c r="T25" s="99">
        <v>0</v>
      </c>
      <c r="U25" s="99" t="str">
        <v>Brocks D</v>
      </c>
      <c r="V25" s="99">
        <v>37</v>
      </c>
      <c r="W25" s="186">
        <v>0</v>
      </c>
      <c r="X25" s="99" t="str">
        <v>Smith C</v>
      </c>
      <c r="Y25" s="99">
        <v>4</v>
      </c>
      <c r="Z25" s="186" t="str">
        <v>*</v>
      </c>
      <c r="AA25" s="99" t="str">
        <f ca="1"/>
        <v>Streatham</v>
      </c>
      <c r="AB25" s="171">
        <f ca="1"/>
        <v>43604</v>
      </c>
    </row>
    <row r="26" spans="1:40" x14ac:dyDescent="0.15">
      <c r="G26"/>
      <c r="H26"/>
      <c r="I26"/>
      <c r="J26"/>
      <c r="K26" s="164" t="str">
        <f ca="1">OFFSET(Matches!$C$4,Partnerships!A26,0)</f>
        <v>Opp</v>
      </c>
      <c r="L26" s="165" t="str">
        <f ca="1">OFFSET(Matches!$B$4,Partnerships!A26,0)</f>
        <v>Date</v>
      </c>
      <c r="N26" s="99">
        <f t="shared" si="0"/>
        <v>9999995026</v>
      </c>
      <c r="O26" s="99">
        <v>25</v>
      </c>
      <c r="P26" s="99">
        <f t="shared" si="1"/>
        <v>25</v>
      </c>
      <c r="R26" s="99">
        <f t="array" ref="R26:AB26">INDEX($B$2:$L$40,P26,)</f>
        <v>0</v>
      </c>
      <c r="S26" s="99">
        <v>0</v>
      </c>
      <c r="T26" s="99">
        <v>0</v>
      </c>
      <c r="U26" s="99">
        <v>0</v>
      </c>
      <c r="V26" s="99">
        <v>0</v>
      </c>
      <c r="W26" s="186">
        <v>0</v>
      </c>
      <c r="X26" s="99">
        <v>0</v>
      </c>
      <c r="Y26" s="99">
        <v>0</v>
      </c>
      <c r="Z26" s="186">
        <v>0</v>
      </c>
      <c r="AA26" s="99" t="str">
        <f ca="1"/>
        <v>Opp</v>
      </c>
      <c r="AB26" s="171" t="str">
        <f ca="1"/>
        <v>Date</v>
      </c>
    </row>
    <row r="27" spans="1:40" x14ac:dyDescent="0.15">
      <c r="G27"/>
      <c r="H27"/>
      <c r="I27"/>
      <c r="J27"/>
      <c r="K27" s="164" t="str">
        <f ca="1">OFFSET(Matches!$C$4,Partnerships!A27,0)</f>
        <v>Opp</v>
      </c>
      <c r="L27" s="165" t="str">
        <f ca="1">OFFSET(Matches!$B$4,Partnerships!A27,0)</f>
        <v>Date</v>
      </c>
      <c r="N27" s="99">
        <f t="shared" si="0"/>
        <v>9999995027</v>
      </c>
      <c r="O27" s="99">
        <v>26</v>
      </c>
      <c r="P27" s="99">
        <f t="shared" si="1"/>
        <v>26</v>
      </c>
      <c r="R27" s="99">
        <f t="array" ref="R27:AB27">INDEX($B$2:$L$40,P27,)</f>
        <v>0</v>
      </c>
      <c r="S27" s="99">
        <v>0</v>
      </c>
      <c r="T27" s="99">
        <v>0</v>
      </c>
      <c r="U27" s="99">
        <v>0</v>
      </c>
      <c r="V27" s="99">
        <v>0</v>
      </c>
      <c r="W27" s="186">
        <v>0</v>
      </c>
      <c r="X27" s="99">
        <v>0</v>
      </c>
      <c r="Y27" s="99">
        <v>0</v>
      </c>
      <c r="Z27" s="186">
        <v>0</v>
      </c>
      <c r="AA27" s="99" t="str">
        <f ca="1"/>
        <v>Opp</v>
      </c>
      <c r="AB27" s="171" t="str">
        <f ca="1"/>
        <v>Date</v>
      </c>
    </row>
    <row r="28" spans="1:40" x14ac:dyDescent="0.15">
      <c r="G28"/>
      <c r="H28"/>
      <c r="I28"/>
      <c r="J28"/>
      <c r="K28" s="164" t="str">
        <f ca="1">OFFSET(Matches!$C$4,Partnerships!A28,0)</f>
        <v>Opp</v>
      </c>
      <c r="L28" s="165" t="str">
        <f ca="1">OFFSET(Matches!$B$4,Partnerships!A28,0)</f>
        <v>Date</v>
      </c>
      <c r="N28" s="99">
        <f t="shared" si="0"/>
        <v>9999995028</v>
      </c>
      <c r="O28" s="99">
        <v>27</v>
      </c>
      <c r="P28" s="99">
        <f t="shared" si="1"/>
        <v>27</v>
      </c>
      <c r="R28" s="99">
        <f t="array" ref="R28:AB28">INDEX($B$2:$L$40,P28,)</f>
        <v>0</v>
      </c>
      <c r="S28" s="99">
        <v>0</v>
      </c>
      <c r="T28" s="99">
        <v>0</v>
      </c>
      <c r="U28" s="99">
        <v>0</v>
      </c>
      <c r="V28" s="99">
        <v>0</v>
      </c>
      <c r="W28" s="186">
        <v>0</v>
      </c>
      <c r="X28" s="99">
        <v>0</v>
      </c>
      <c r="Y28" s="99">
        <v>0</v>
      </c>
      <c r="Z28" s="186">
        <v>0</v>
      </c>
      <c r="AA28" s="99" t="str">
        <f ca="1"/>
        <v>Opp</v>
      </c>
      <c r="AB28" s="171" t="str">
        <f ca="1"/>
        <v>Date</v>
      </c>
      <c r="AC28"/>
    </row>
    <row r="29" spans="1:40" x14ac:dyDescent="0.15">
      <c r="G29"/>
      <c r="H29"/>
      <c r="I29"/>
      <c r="J29"/>
      <c r="K29" s="164" t="str">
        <f ca="1">OFFSET(Matches!$C$4,Partnerships!A29,0)</f>
        <v>Opp</v>
      </c>
      <c r="L29" s="165" t="str">
        <f ca="1">OFFSET(Matches!$B$4,Partnerships!A29,0)</f>
        <v>Date</v>
      </c>
      <c r="N29" s="99">
        <f t="shared" si="0"/>
        <v>9999995029</v>
      </c>
      <c r="O29" s="99">
        <v>28</v>
      </c>
      <c r="P29" s="99">
        <f t="shared" si="1"/>
        <v>28</v>
      </c>
      <c r="R29" s="99">
        <f t="array" ref="R29:AB29">INDEX($B$2:$L$40,P29,)</f>
        <v>0</v>
      </c>
      <c r="S29" s="99">
        <v>0</v>
      </c>
      <c r="T29" s="99">
        <v>0</v>
      </c>
      <c r="U29" s="99">
        <v>0</v>
      </c>
      <c r="V29" s="99">
        <v>0</v>
      </c>
      <c r="W29" s="186">
        <v>0</v>
      </c>
      <c r="X29" s="99">
        <v>0</v>
      </c>
      <c r="Y29" s="99">
        <v>0</v>
      </c>
      <c r="Z29" s="186">
        <v>0</v>
      </c>
      <c r="AA29" s="99" t="str">
        <f ca="1"/>
        <v>Opp</v>
      </c>
      <c r="AB29" s="171" t="str">
        <f ca="1"/>
        <v>Date</v>
      </c>
      <c r="AC29"/>
    </row>
    <row r="30" spans="1:40" x14ac:dyDescent="0.15">
      <c r="G30"/>
      <c r="H30"/>
      <c r="I30"/>
      <c r="J30"/>
      <c r="K30" s="164" t="str">
        <f ca="1">OFFSET(Matches!$C$4,Partnerships!A30,0)</f>
        <v>Opp</v>
      </c>
      <c r="L30" s="165" t="str">
        <f ca="1">OFFSET(Matches!$B$4,Partnerships!A30,0)</f>
        <v>Date</v>
      </c>
      <c r="N30" s="99">
        <f t="shared" si="0"/>
        <v>9999995030</v>
      </c>
      <c r="O30" s="99">
        <v>29</v>
      </c>
      <c r="P30" s="99">
        <f t="shared" si="1"/>
        <v>29</v>
      </c>
      <c r="R30" s="99">
        <f t="array" ref="R30:AB30">INDEX($B$2:$L$40,P30,)</f>
        <v>0</v>
      </c>
      <c r="S30" s="99">
        <v>0</v>
      </c>
      <c r="T30" s="99">
        <v>0</v>
      </c>
      <c r="U30" s="99">
        <v>0</v>
      </c>
      <c r="V30" s="99">
        <v>0</v>
      </c>
      <c r="W30" s="186">
        <v>0</v>
      </c>
      <c r="X30" s="99">
        <v>0</v>
      </c>
      <c r="Y30" s="99">
        <v>0</v>
      </c>
      <c r="Z30" s="186">
        <v>0</v>
      </c>
      <c r="AA30" s="99" t="str">
        <f ca="1"/>
        <v>Opp</v>
      </c>
      <c r="AB30" s="171" t="str">
        <f ca="1"/>
        <v>Date</v>
      </c>
      <c r="AC30"/>
    </row>
    <row r="31" spans="1:40" x14ac:dyDescent="0.15">
      <c r="G31"/>
      <c r="H31"/>
      <c r="I31"/>
      <c r="J31"/>
      <c r="K31" s="164" t="str">
        <f ca="1">OFFSET(Matches!$C$4,Partnerships!A31,0)</f>
        <v>Opp</v>
      </c>
      <c r="L31" s="165" t="str">
        <f ca="1">OFFSET(Matches!$B$4,Partnerships!A31,0)</f>
        <v>Date</v>
      </c>
      <c r="N31" s="99">
        <f t="shared" si="0"/>
        <v>9999995031</v>
      </c>
      <c r="O31" s="99">
        <v>30</v>
      </c>
      <c r="P31" s="99">
        <f t="shared" si="1"/>
        <v>30</v>
      </c>
      <c r="R31" s="99">
        <f t="array" ref="R31:AB31">INDEX($B$2:$L$40,P31,)</f>
        <v>0</v>
      </c>
      <c r="S31" s="99">
        <v>0</v>
      </c>
      <c r="T31" s="99">
        <v>0</v>
      </c>
      <c r="U31" s="99">
        <v>0</v>
      </c>
      <c r="V31" s="99">
        <v>0</v>
      </c>
      <c r="W31" s="186">
        <v>0</v>
      </c>
      <c r="X31" s="99">
        <v>0</v>
      </c>
      <c r="Y31" s="99">
        <v>0</v>
      </c>
      <c r="Z31" s="186">
        <v>0</v>
      </c>
      <c r="AA31" s="99" t="str">
        <f ca="1"/>
        <v>Opp</v>
      </c>
      <c r="AB31" s="171" t="str">
        <f ca="1"/>
        <v>Date</v>
      </c>
      <c r="AC31"/>
    </row>
    <row r="32" spans="1:40" x14ac:dyDescent="0.15">
      <c r="G32"/>
      <c r="H32"/>
      <c r="I32"/>
      <c r="J32"/>
      <c r="K32" s="164" t="str">
        <f ca="1">OFFSET(Matches!$C$4,Partnerships!A32,0)</f>
        <v>Opp</v>
      </c>
      <c r="L32" s="165" t="str">
        <f ca="1">OFFSET(Matches!$B$4,Partnerships!A32,0)</f>
        <v>Date</v>
      </c>
      <c r="N32" s="99">
        <f t="shared" si="0"/>
        <v>9999995032</v>
      </c>
      <c r="O32" s="99">
        <v>31</v>
      </c>
      <c r="P32" s="99">
        <f t="shared" si="1"/>
        <v>31</v>
      </c>
      <c r="R32" s="99">
        <f t="array" ref="R32:AB32">INDEX($B$2:$L$40,P32,)</f>
        <v>0</v>
      </c>
      <c r="S32" s="99">
        <v>0</v>
      </c>
      <c r="T32" s="99">
        <v>0</v>
      </c>
      <c r="U32" s="99">
        <v>0</v>
      </c>
      <c r="V32" s="99">
        <v>0</v>
      </c>
      <c r="W32" s="186">
        <v>0</v>
      </c>
      <c r="X32" s="99">
        <v>0</v>
      </c>
      <c r="Y32" s="99">
        <v>0</v>
      </c>
      <c r="Z32" s="186">
        <v>0</v>
      </c>
      <c r="AA32" s="99" t="str">
        <f ca="1"/>
        <v>Opp</v>
      </c>
      <c r="AB32" s="171" t="str">
        <f ca="1"/>
        <v>Date</v>
      </c>
      <c r="AC32"/>
    </row>
    <row r="33" spans="7:29" x14ac:dyDescent="0.15">
      <c r="G33"/>
      <c r="H33"/>
      <c r="I33"/>
      <c r="J33"/>
      <c r="K33" s="164" t="str">
        <f ca="1">OFFSET(Matches!$C$4,Partnerships!A33,0)</f>
        <v>Opp</v>
      </c>
      <c r="L33" s="165" t="str">
        <f ca="1">OFFSET(Matches!$B$4,Partnerships!A33,0)</f>
        <v>Date</v>
      </c>
      <c r="N33" s="99">
        <f t="shared" si="0"/>
        <v>9999995033</v>
      </c>
      <c r="O33" s="99">
        <v>32</v>
      </c>
      <c r="P33" s="99">
        <f t="shared" si="1"/>
        <v>32</v>
      </c>
      <c r="R33" s="99">
        <f t="array" ref="R33:AB33">INDEX($B$2:$L$40,P33,)</f>
        <v>0</v>
      </c>
      <c r="S33" s="99">
        <v>0</v>
      </c>
      <c r="T33" s="99">
        <v>0</v>
      </c>
      <c r="U33" s="99">
        <v>0</v>
      </c>
      <c r="V33" s="99">
        <v>0</v>
      </c>
      <c r="W33" s="186">
        <v>0</v>
      </c>
      <c r="X33" s="99">
        <v>0</v>
      </c>
      <c r="Y33" s="99">
        <v>0</v>
      </c>
      <c r="Z33" s="186">
        <v>0</v>
      </c>
      <c r="AA33" s="99" t="str">
        <f ca="1"/>
        <v>Opp</v>
      </c>
      <c r="AB33" s="171" t="str">
        <f ca="1"/>
        <v>Date</v>
      </c>
      <c r="AC33"/>
    </row>
    <row r="34" spans="7:29" x14ac:dyDescent="0.15">
      <c r="G34"/>
      <c r="H34"/>
      <c r="I34"/>
      <c r="J34"/>
      <c r="K34" s="164" t="str">
        <f ca="1">OFFSET(Matches!$C$4,Partnerships!A34,0)</f>
        <v>Opp</v>
      </c>
      <c r="L34" s="165" t="str">
        <f ca="1">OFFSET(Matches!$B$4,Partnerships!A34,0)</f>
        <v>Date</v>
      </c>
      <c r="N34" s="99">
        <f t="shared" si="0"/>
        <v>9999995034</v>
      </c>
      <c r="O34" s="99">
        <v>33</v>
      </c>
      <c r="P34" s="99">
        <f t="shared" si="1"/>
        <v>33</v>
      </c>
      <c r="R34" s="99">
        <f t="array" ref="R34:AB34">INDEX($B$2:$L$40,P34,)</f>
        <v>0</v>
      </c>
      <c r="S34" s="99">
        <v>0</v>
      </c>
      <c r="T34" s="99">
        <v>0</v>
      </c>
      <c r="U34" s="99">
        <v>0</v>
      </c>
      <c r="V34" s="99">
        <v>0</v>
      </c>
      <c r="W34" s="186">
        <v>0</v>
      </c>
      <c r="X34" s="99">
        <v>0</v>
      </c>
      <c r="Y34" s="99">
        <v>0</v>
      </c>
      <c r="Z34" s="186">
        <v>0</v>
      </c>
      <c r="AA34" s="99" t="str">
        <f ca="1"/>
        <v>Opp</v>
      </c>
      <c r="AB34" s="171" t="str">
        <f ca="1"/>
        <v>Date</v>
      </c>
      <c r="AC34"/>
    </row>
    <row r="35" spans="7:29" x14ac:dyDescent="0.15">
      <c r="G35"/>
      <c r="H35"/>
      <c r="I35"/>
      <c r="J35"/>
      <c r="K35" s="164" t="str">
        <f ca="1">OFFSET(Matches!$C$4,Partnerships!A35,0)</f>
        <v>Opp</v>
      </c>
      <c r="L35" s="165" t="str">
        <f ca="1">OFFSET(Matches!$B$4,Partnerships!A35,0)</f>
        <v>Date</v>
      </c>
      <c r="N35" s="99">
        <f t="shared" si="0"/>
        <v>9999995035</v>
      </c>
      <c r="O35" s="99">
        <v>34</v>
      </c>
      <c r="P35" s="99">
        <f t="shared" si="1"/>
        <v>34</v>
      </c>
      <c r="R35" s="99">
        <f t="array" ref="R35:AB35">INDEX($B$2:$L$40,P35,)</f>
        <v>0</v>
      </c>
      <c r="S35" s="99">
        <v>0</v>
      </c>
      <c r="T35" s="99">
        <v>0</v>
      </c>
      <c r="U35" s="99">
        <v>0</v>
      </c>
      <c r="V35" s="99">
        <v>0</v>
      </c>
      <c r="W35" s="186">
        <v>0</v>
      </c>
      <c r="X35" s="99">
        <v>0</v>
      </c>
      <c r="Y35" s="99">
        <v>0</v>
      </c>
      <c r="Z35" s="186">
        <v>0</v>
      </c>
      <c r="AA35" s="99" t="str">
        <f ca="1"/>
        <v>Opp</v>
      </c>
      <c r="AB35" s="171" t="str">
        <f ca="1"/>
        <v>Date</v>
      </c>
      <c r="AC35"/>
    </row>
    <row r="36" spans="7:29" x14ac:dyDescent="0.15">
      <c r="G36"/>
      <c r="H36"/>
      <c r="I36"/>
      <c r="J36"/>
      <c r="K36" s="164" t="str">
        <f ca="1">OFFSET(Matches!$C$4,Partnerships!A36,0)</f>
        <v>Opp</v>
      </c>
      <c r="L36" s="165" t="str">
        <f ca="1">OFFSET(Matches!$B$4,Partnerships!A36,0)</f>
        <v>Date</v>
      </c>
      <c r="N36" s="99">
        <f t="shared" si="0"/>
        <v>9999995036</v>
      </c>
      <c r="O36" s="99">
        <v>35</v>
      </c>
      <c r="P36" s="99">
        <f t="shared" si="1"/>
        <v>35</v>
      </c>
      <c r="R36" s="99">
        <f t="array" ref="R36:AB36">INDEX($B$2:$L$40,P36,)</f>
        <v>0</v>
      </c>
      <c r="S36" s="99">
        <v>0</v>
      </c>
      <c r="T36" s="99">
        <v>0</v>
      </c>
      <c r="U36" s="99">
        <v>0</v>
      </c>
      <c r="V36" s="99">
        <v>0</v>
      </c>
      <c r="W36" s="186">
        <v>0</v>
      </c>
      <c r="X36" s="99">
        <v>0</v>
      </c>
      <c r="Y36" s="99">
        <v>0</v>
      </c>
      <c r="Z36" s="186">
        <v>0</v>
      </c>
      <c r="AA36" s="99" t="str">
        <f ca="1"/>
        <v>Opp</v>
      </c>
      <c r="AB36" s="171" t="str">
        <f ca="1"/>
        <v>Date</v>
      </c>
      <c r="AC36"/>
    </row>
    <row r="37" spans="7:29" x14ac:dyDescent="0.15">
      <c r="G37"/>
      <c r="H37"/>
      <c r="I37"/>
      <c r="J37"/>
      <c r="K37" s="164" t="str">
        <f ca="1">OFFSET(Matches!$C$4,Partnerships!A37,0)</f>
        <v>Opp</v>
      </c>
      <c r="L37" s="165" t="str">
        <f ca="1">OFFSET(Matches!$B$4,Partnerships!A37,0)</f>
        <v>Date</v>
      </c>
      <c r="N37" s="99">
        <f t="shared" si="0"/>
        <v>9999995037</v>
      </c>
      <c r="O37" s="99">
        <v>36</v>
      </c>
      <c r="P37" s="99">
        <f t="shared" si="1"/>
        <v>36</v>
      </c>
      <c r="R37" s="99">
        <f t="array" ref="R37:AB37">INDEX($B$2:$L$40,P37,)</f>
        <v>0</v>
      </c>
      <c r="S37" s="99">
        <v>0</v>
      </c>
      <c r="T37" s="99">
        <v>0</v>
      </c>
      <c r="U37" s="99">
        <v>0</v>
      </c>
      <c r="V37" s="99">
        <v>0</v>
      </c>
      <c r="W37" s="186">
        <v>0</v>
      </c>
      <c r="X37" s="99">
        <v>0</v>
      </c>
      <c r="Y37" s="99">
        <v>0</v>
      </c>
      <c r="Z37" s="186">
        <v>0</v>
      </c>
      <c r="AA37" s="99" t="str">
        <f ca="1"/>
        <v>Opp</v>
      </c>
      <c r="AB37" s="171" t="str">
        <f ca="1"/>
        <v>Date</v>
      </c>
      <c r="AC37"/>
    </row>
    <row r="38" spans="7:29" x14ac:dyDescent="0.15">
      <c r="G38"/>
      <c r="H38"/>
      <c r="I38"/>
      <c r="J38"/>
      <c r="K38" s="164" t="str">
        <f ca="1">OFFSET(Matches!$C$4,Partnerships!A38,0)</f>
        <v>Opp</v>
      </c>
      <c r="L38" s="165" t="str">
        <f ca="1">OFFSET(Matches!$B$4,Partnerships!A38,0)</f>
        <v>Date</v>
      </c>
      <c r="N38" s="99">
        <f t="shared" si="0"/>
        <v>9999995038</v>
      </c>
      <c r="O38" s="99">
        <v>37</v>
      </c>
      <c r="P38" s="99">
        <f t="shared" si="1"/>
        <v>37</v>
      </c>
      <c r="R38" s="99">
        <f t="array" ref="R38:AB38">INDEX($B$2:$L$40,P38,)</f>
        <v>0</v>
      </c>
      <c r="S38" s="99">
        <v>0</v>
      </c>
      <c r="T38" s="99">
        <v>0</v>
      </c>
      <c r="U38" s="99">
        <v>0</v>
      </c>
      <c r="V38" s="99">
        <v>0</v>
      </c>
      <c r="W38" s="186">
        <v>0</v>
      </c>
      <c r="X38" s="99">
        <v>0</v>
      </c>
      <c r="Y38" s="99">
        <v>0</v>
      </c>
      <c r="Z38" s="186">
        <v>0</v>
      </c>
      <c r="AA38" s="99" t="str">
        <f ca="1"/>
        <v>Opp</v>
      </c>
      <c r="AB38" s="171" t="str">
        <f ca="1"/>
        <v>Date</v>
      </c>
      <c r="AC38"/>
    </row>
    <row r="39" spans="7:29" x14ac:dyDescent="0.15">
      <c r="G39"/>
      <c r="H39"/>
      <c r="I39"/>
      <c r="J39"/>
      <c r="K39" s="164" t="str">
        <f ca="1">OFFSET(Matches!$C$4,Partnerships!A39,0)</f>
        <v>Opp</v>
      </c>
      <c r="L39" s="165" t="str">
        <f ca="1">OFFSET(Matches!$B$4,Partnerships!A39,0)</f>
        <v>Date</v>
      </c>
      <c r="N39" s="99">
        <f t="shared" si="0"/>
        <v>9999995039</v>
      </c>
      <c r="O39" s="99">
        <v>38</v>
      </c>
      <c r="P39" s="99">
        <f t="shared" si="1"/>
        <v>38</v>
      </c>
      <c r="R39" s="99">
        <f t="array" ref="R39:AB39">INDEX($B$2:$L$40,P39,)</f>
        <v>0</v>
      </c>
      <c r="S39" s="99">
        <v>0</v>
      </c>
      <c r="T39" s="99">
        <v>0</v>
      </c>
      <c r="U39" s="99">
        <v>0</v>
      </c>
      <c r="V39" s="99">
        <v>0</v>
      </c>
      <c r="W39" s="186">
        <v>0</v>
      </c>
      <c r="X39" s="99">
        <v>0</v>
      </c>
      <c r="Y39" s="99">
        <v>0</v>
      </c>
      <c r="Z39" s="186">
        <v>0</v>
      </c>
      <c r="AA39" s="99" t="str">
        <f ca="1"/>
        <v>Opp</v>
      </c>
      <c r="AB39" s="171" t="str">
        <f ca="1"/>
        <v>Date</v>
      </c>
      <c r="AC39"/>
    </row>
    <row r="40" spans="7:29" x14ac:dyDescent="0.15">
      <c r="H40"/>
      <c r="I40"/>
      <c r="J40"/>
      <c r="K40" s="164" t="str">
        <f ca="1">OFFSET(Matches!$C$4,Partnerships!A40,0)</f>
        <v>Opp</v>
      </c>
      <c r="L40" s="165" t="str">
        <f ca="1">OFFSET(Matches!$B$4,Partnerships!A40,0)</f>
        <v>Date</v>
      </c>
      <c r="N40" s="99">
        <f t="shared" si="0"/>
        <v>9999995040</v>
      </c>
      <c r="O40" s="99">
        <v>39</v>
      </c>
      <c r="P40" s="99">
        <f t="shared" si="1"/>
        <v>39</v>
      </c>
      <c r="R40" s="99">
        <f t="array" ref="R40:AB40">INDEX($B$2:$L$40,P40,)</f>
        <v>0</v>
      </c>
      <c r="S40" s="99">
        <v>0</v>
      </c>
      <c r="T40" s="99">
        <v>0</v>
      </c>
      <c r="U40" s="99">
        <v>0</v>
      </c>
      <c r="V40" s="99">
        <v>0</v>
      </c>
      <c r="W40" s="186">
        <v>0</v>
      </c>
      <c r="X40" s="99">
        <v>0</v>
      </c>
      <c r="Y40" s="99">
        <v>0</v>
      </c>
      <c r="Z40" s="186">
        <v>0</v>
      </c>
      <c r="AA40" s="99" t="str">
        <f ca="1"/>
        <v>Opp</v>
      </c>
      <c r="AB40" s="171" t="str">
        <f ca="1"/>
        <v>Date</v>
      </c>
      <c r="AC40"/>
    </row>
    <row r="41" spans="7:29" x14ac:dyDescent="0.15">
      <c r="H41"/>
      <c r="I41"/>
      <c r="J41"/>
      <c r="X41"/>
      <c r="Y41"/>
      <c r="Z41" s="187"/>
      <c r="AA41" s="174"/>
      <c r="AB41" s="175"/>
      <c r="AC41"/>
    </row>
    <row r="42" spans="7:29" x14ac:dyDescent="0.15">
      <c r="H42"/>
      <c r="I42"/>
      <c r="J42"/>
      <c r="W42" s="187"/>
      <c r="X42"/>
      <c r="Y42"/>
      <c r="Z42" s="187"/>
      <c r="AA42"/>
      <c r="AB42"/>
      <c r="AC42"/>
    </row>
    <row r="43" spans="7:29" x14ac:dyDescent="0.15">
      <c r="H43"/>
      <c r="I43"/>
      <c r="J43"/>
      <c r="W43" s="187"/>
      <c r="X43"/>
      <c r="Y43"/>
      <c r="Z43" s="187"/>
      <c r="AA43"/>
      <c r="AB43"/>
      <c r="AC43"/>
    </row>
    <row r="44" spans="7:29" x14ac:dyDescent="0.15">
      <c r="H44"/>
      <c r="I44"/>
      <c r="J44"/>
      <c r="W44" s="187"/>
      <c r="X44"/>
      <c r="Y44"/>
      <c r="Z44" s="187"/>
      <c r="AA44"/>
      <c r="AB44"/>
      <c r="AC44"/>
    </row>
    <row r="45" spans="7:29" x14ac:dyDescent="0.15">
      <c r="W45" s="187"/>
      <c r="X45"/>
      <c r="Y45"/>
      <c r="Z45" s="187"/>
      <c r="AA45"/>
      <c r="AB45"/>
      <c r="AC45"/>
    </row>
    <row r="46" spans="7:29" x14ac:dyDescent="0.15">
      <c r="W46" s="187"/>
      <c r="X46"/>
      <c r="Y46"/>
      <c r="Z46" s="187"/>
    </row>
    <row r="47" spans="7:29" x14ac:dyDescent="0.15">
      <c r="W47" s="187"/>
    </row>
    <row r="48" spans="7:29" x14ac:dyDescent="0.15">
      <c r="W48" s="187"/>
    </row>
    <row r="49" spans="23:23" x14ac:dyDescent="0.15">
      <c r="W49" s="187"/>
    </row>
    <row r="50" spans="23:23" x14ac:dyDescent="0.15">
      <c r="W50" s="187"/>
    </row>
    <row r="51" spans="23:23" x14ac:dyDescent="0.15">
      <c r="W51" s="187"/>
    </row>
    <row r="52" spans="23:23" x14ac:dyDescent="0.15">
      <c r="W52" s="187"/>
    </row>
    <row r="53" spans="23:23" x14ac:dyDescent="0.15">
      <c r="W53" s="187"/>
    </row>
    <row r="54" spans="23:23" x14ac:dyDescent="0.15">
      <c r="W54" s="187"/>
    </row>
    <row r="55" spans="23:23" x14ac:dyDescent="0.15">
      <c r="W55" s="187"/>
    </row>
    <row r="56" spans="23:23" x14ac:dyDescent="0.15">
      <c r="W56" s="187"/>
    </row>
    <row r="57" spans="23:23" x14ac:dyDescent="0.15">
      <c r="W57" s="187"/>
    </row>
  </sheetData>
  <pageMargins left="0.7" right="0.7" top="0.75" bottom="0.75" header="0.3" footer="0.3"/>
  <pageSetup paperSize="9" orientation="portrait" horizontalDpi="4294967293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W82"/>
  <sheetViews>
    <sheetView workbookViewId="0">
      <selection activeCell="G23" sqref="G23"/>
    </sheetView>
  </sheetViews>
  <sheetFormatPr defaultRowHeight="10.5" x14ac:dyDescent="0.15"/>
  <cols>
    <col min="1" max="1" width="17.28515625" style="65" bestFit="1" customWidth="1"/>
    <col min="2" max="2" width="12.7109375" style="65" bestFit="1" customWidth="1"/>
    <col min="3" max="3" width="7.5703125" style="69" bestFit="1" customWidth="1"/>
    <col min="4" max="4" width="5.28515625" style="69" bestFit="1" customWidth="1"/>
    <col min="5" max="5" width="7.140625" style="69" bestFit="1" customWidth="1"/>
    <col min="6" max="7" width="5.28515625" style="69" bestFit="1" customWidth="1"/>
    <col min="8" max="8" width="8.85546875" style="74" bestFit="1" customWidth="1"/>
    <col min="9" max="9" width="5.28515625" style="65" bestFit="1" customWidth="1"/>
    <col min="10" max="11" width="9.140625" style="65"/>
    <col min="12" max="12" width="21.5703125" style="65" bestFit="1" customWidth="1"/>
    <col min="13" max="13" width="9.140625" style="65"/>
    <col min="14" max="14" width="12.7109375" style="119" bestFit="1" customWidth="1"/>
    <col min="15" max="15" width="13.140625" style="121" bestFit="1" customWidth="1"/>
    <col min="16" max="16" width="4.5703125" style="119" bestFit="1" customWidth="1"/>
    <col min="17" max="17" width="7.140625" style="119" bestFit="1" customWidth="1"/>
    <col min="18" max="18" width="5" style="122" bestFit="1" customWidth="1"/>
    <col min="19" max="19" width="5" style="119" bestFit="1" customWidth="1"/>
    <col min="20" max="20" width="8.85546875" style="120" bestFit="1" customWidth="1"/>
    <col min="21" max="21" width="9.140625" style="65"/>
    <col min="22" max="22" width="19.5703125" style="65" bestFit="1" customWidth="1"/>
    <col min="23" max="16384" width="9.140625" style="65"/>
  </cols>
  <sheetData>
    <row r="1" spans="1:23" ht="12.75" x14ac:dyDescent="0.15">
      <c r="A1" s="57" t="s">
        <v>131</v>
      </c>
      <c r="C1" s="69" t="s">
        <v>5</v>
      </c>
      <c r="D1" s="69" t="s">
        <v>7</v>
      </c>
      <c r="E1" s="69" t="s">
        <v>8</v>
      </c>
      <c r="F1" s="69" t="s">
        <v>132</v>
      </c>
      <c r="G1" s="69" t="s">
        <v>9</v>
      </c>
      <c r="H1" s="74" t="s">
        <v>10</v>
      </c>
      <c r="J1" s="69"/>
      <c r="L1" s="117" t="s">
        <v>250</v>
      </c>
      <c r="M1" s="65">
        <f t="array" aca="1" ref="M1" ca="1">SUM(IF(NOT(ISNA(B2:B60)),1,0))</f>
        <v>53</v>
      </c>
      <c r="N1" s="123"/>
      <c r="O1" s="126" t="s">
        <v>76</v>
      </c>
      <c r="P1" s="124" t="s">
        <v>7</v>
      </c>
      <c r="Q1" s="124" t="s">
        <v>208</v>
      </c>
      <c r="R1" s="124" t="s">
        <v>132</v>
      </c>
      <c r="S1" s="124" t="s">
        <v>9</v>
      </c>
      <c r="T1" s="124" t="s">
        <v>33</v>
      </c>
    </row>
    <row r="2" spans="1:23" ht="12.75" x14ac:dyDescent="0.15">
      <c r="A2" s="65">
        <v>1</v>
      </c>
      <c r="B2" s="65" t="str">
        <f ca="1">OFFSET(Batting!$C$4,BatAves!$I2,0)</f>
        <v>Greenall D</v>
      </c>
      <c r="C2" s="69">
        <f ca="1">OFFSET(Batting!$CF$4,BatAves!$I2,0)</f>
        <v>11</v>
      </c>
      <c r="D2" s="69">
        <f ca="1">OFFSET(Batting!$CH$4,BatAves!$I2,0)</f>
        <v>11</v>
      </c>
      <c r="E2" s="69">
        <f ca="1">OFFSET(Batting!$CI$4,BatAves!$I2,0)</f>
        <v>1</v>
      </c>
      <c r="F2" s="69" t="str">
        <f ca="1">OFFSET(Batting!$CK$4,BatAves!$I2,0)</f>
        <v>156*</v>
      </c>
      <c r="G2" s="69">
        <f ca="1">OFFSET(Batting!$CL$4,BatAves!$I2,0)</f>
        <v>423</v>
      </c>
      <c r="H2" s="73">
        <f ca="1">OFFSET(Batting!$CM$4,BatAves!$I2,0)</f>
        <v>42.3</v>
      </c>
      <c r="I2" s="65">
        <f>MATCH(A2,Batting!$DH$5:$DH$57,0)</f>
        <v>18</v>
      </c>
      <c r="J2" s="65">
        <f t="shared" ref="J2:J33" ca="1" si="0">IF(D2&gt;=5,A2,1000+A2)</f>
        <v>1</v>
      </c>
      <c r="K2" s="65">
        <f ca="1">RANK(J2,OFFSET($J$2,0,0,$M$1,1),-1)</f>
        <v>1</v>
      </c>
      <c r="L2" s="65" t="str">
        <f t="shared" ref="L2:L33" ca="1" si="1">IF(D2&lt;5,B2&amp;" "&amp;D2&amp;"-"&amp;E2&amp;"-"&amp;F2&amp;"-"&amp;G2,"")</f>
        <v/>
      </c>
      <c r="M2" s="65">
        <f ca="1">MATCH(N2,OFFSET($K$2,0,0,$M$1,1),0)</f>
        <v>1</v>
      </c>
      <c r="N2" s="168">
        <v>1</v>
      </c>
      <c r="O2" s="168" t="str">
        <f t="shared" ref="O2:O43" ca="1" si="2">OFFSET(B$1,$M2,0)</f>
        <v>Greenall D</v>
      </c>
      <c r="P2" s="168">
        <f t="shared" ref="P2:P43" ca="1" si="3">OFFSET(D$1,$M2,0)</f>
        <v>11</v>
      </c>
      <c r="Q2" s="168">
        <f t="shared" ref="Q2:Q43" ca="1" si="4">OFFSET(E$1,$M2,0)</f>
        <v>1</v>
      </c>
      <c r="R2" s="168" t="str">
        <f t="shared" ref="R2:R43" ca="1" si="5">OFFSET(F$1,$M2,0)</f>
        <v>156*</v>
      </c>
      <c r="S2" s="168">
        <f t="shared" ref="S2:S43" ca="1" si="6">OFFSET(G$1,$M2,0)</f>
        <v>423</v>
      </c>
      <c r="T2" s="169">
        <f t="shared" ref="T2:T43" ca="1" si="7">OFFSET(H$1,$M2,0)</f>
        <v>42.3</v>
      </c>
      <c r="U2" s="69"/>
      <c r="V2" s="65" t="s">
        <v>198</v>
      </c>
      <c r="W2" s="65" t="s">
        <v>198</v>
      </c>
    </row>
    <row r="3" spans="1:23" ht="12.75" x14ac:dyDescent="0.15">
      <c r="A3" s="65">
        <v>2</v>
      </c>
      <c r="B3" s="65" t="str">
        <f ca="1">OFFSET(Batting!$C$4,BatAves!$I3,0)</f>
        <v>Springer T</v>
      </c>
      <c r="C3" s="69">
        <f ca="1">OFFSET(Batting!$CF$4,BatAves!$I3,0)</f>
        <v>19</v>
      </c>
      <c r="D3" s="69">
        <f ca="1">OFFSET(Batting!$CH$4,BatAves!$I3,0)</f>
        <v>19</v>
      </c>
      <c r="E3" s="69">
        <f ca="1">OFFSET(Batting!$CI$4,BatAves!$I3,0)</f>
        <v>1</v>
      </c>
      <c r="F3" s="69">
        <f ca="1">OFFSET(Batting!$CK$4,BatAves!$I3,0)</f>
        <v>94</v>
      </c>
      <c r="G3" s="69">
        <f ca="1">OFFSET(Batting!$CL$4,BatAves!$I3,0)</f>
        <v>699</v>
      </c>
      <c r="H3" s="73">
        <f ca="1">OFFSET(Batting!$CM$4,BatAves!$I3,0)</f>
        <v>38.833333333333336</v>
      </c>
      <c r="I3" s="65">
        <f>MATCH(A3,Batting!$DH$5:$DH$57,0)</f>
        <v>49</v>
      </c>
      <c r="J3" s="65">
        <f t="shared" ca="1" si="0"/>
        <v>2</v>
      </c>
      <c r="K3" s="65">
        <f t="shared" ref="K3:K60" ca="1" si="8">RANK(J3,OFFSET($J$2,0,0,$M$1,1),-1)</f>
        <v>2</v>
      </c>
      <c r="L3" s="65" t="str">
        <f t="shared" ca="1" si="1"/>
        <v/>
      </c>
      <c r="M3" s="65">
        <f ca="1">MATCH(N3,OFFSET($K$2,0,0,$M$1,1),0)</f>
        <v>2</v>
      </c>
      <c r="N3" s="168">
        <v>2</v>
      </c>
      <c r="O3" s="168" t="str">
        <f t="shared" ca="1" si="2"/>
        <v>Springer T</v>
      </c>
      <c r="P3" s="168">
        <f t="shared" ca="1" si="3"/>
        <v>19</v>
      </c>
      <c r="Q3" s="168">
        <f t="shared" ca="1" si="4"/>
        <v>1</v>
      </c>
      <c r="R3" s="168">
        <f t="shared" ca="1" si="5"/>
        <v>94</v>
      </c>
      <c r="S3" s="168">
        <f t="shared" ca="1" si="6"/>
        <v>699</v>
      </c>
      <c r="T3" s="169">
        <f t="shared" ca="1" si="7"/>
        <v>38.833333333333336</v>
      </c>
      <c r="V3" s="65" t="s">
        <v>198</v>
      </c>
      <c r="W3" s="65" t="s">
        <v>198</v>
      </c>
    </row>
    <row r="4" spans="1:23" ht="12.75" x14ac:dyDescent="0.15">
      <c r="A4" s="65">
        <v>3</v>
      </c>
      <c r="B4" s="65" t="str">
        <f ca="1">OFFSET(Batting!$C$4,BatAves!$I4,0)</f>
        <v>Sharpe D</v>
      </c>
      <c r="C4" s="69">
        <f ca="1">OFFSET(Batting!$CF$4,BatAves!$I4,0)</f>
        <v>13</v>
      </c>
      <c r="D4" s="69">
        <f ca="1">OFFSET(Batting!$CH$4,BatAves!$I4,0)</f>
        <v>13</v>
      </c>
      <c r="E4" s="69">
        <f ca="1">OFFSET(Batting!$CI$4,BatAves!$I4,0)</f>
        <v>0</v>
      </c>
      <c r="F4" s="69">
        <f ca="1">OFFSET(Batting!$CK$4,BatAves!$I4,0)</f>
        <v>117</v>
      </c>
      <c r="G4" s="69">
        <f ca="1">OFFSET(Batting!$CL$4,BatAves!$I4,0)</f>
        <v>476</v>
      </c>
      <c r="H4" s="73">
        <f ca="1">OFFSET(Batting!$CM$4,BatAves!$I4,0)</f>
        <v>36.615384615384613</v>
      </c>
      <c r="I4" s="65">
        <f>MATCH(A4,Batting!$DH$5:$DH$57,0)</f>
        <v>42</v>
      </c>
      <c r="J4" s="65">
        <f t="shared" ca="1" si="0"/>
        <v>3</v>
      </c>
      <c r="K4" s="65">
        <f t="shared" ca="1" si="8"/>
        <v>3</v>
      </c>
      <c r="L4" s="65" t="str">
        <f t="shared" ca="1" si="1"/>
        <v/>
      </c>
      <c r="M4" s="65">
        <f t="shared" ref="M4:M43" ca="1" si="9">MATCH(N4,OFFSET($K$2,0,0,$M$1,1),0)</f>
        <v>3</v>
      </c>
      <c r="N4" s="168">
        <v>3</v>
      </c>
      <c r="O4" s="168" t="str">
        <f t="shared" ca="1" si="2"/>
        <v>Sharpe D</v>
      </c>
      <c r="P4" s="168">
        <f t="shared" ca="1" si="3"/>
        <v>13</v>
      </c>
      <c r="Q4" s="168">
        <f t="shared" ca="1" si="4"/>
        <v>0</v>
      </c>
      <c r="R4" s="168">
        <f t="shared" ca="1" si="5"/>
        <v>117</v>
      </c>
      <c r="S4" s="168">
        <f t="shared" ca="1" si="6"/>
        <v>476</v>
      </c>
      <c r="T4" s="169">
        <f t="shared" ca="1" si="7"/>
        <v>36.615384615384613</v>
      </c>
      <c r="V4" s="65" t="s">
        <v>198</v>
      </c>
      <c r="W4" s="65" t="s">
        <v>198</v>
      </c>
    </row>
    <row r="5" spans="1:23" ht="12.75" x14ac:dyDescent="0.15">
      <c r="A5" s="65">
        <v>4</v>
      </c>
      <c r="B5" s="65" t="str">
        <f ca="1">OFFSET(Batting!$C$4,BatAves!$I5,0)</f>
        <v>Clarkson M</v>
      </c>
      <c r="C5" s="69">
        <f ca="1">OFFSET(Batting!$CF$4,BatAves!$I5,0)</f>
        <v>9</v>
      </c>
      <c r="D5" s="69">
        <f ca="1">OFFSET(Batting!$CH$4,BatAves!$I5,0)</f>
        <v>8</v>
      </c>
      <c r="E5" s="69">
        <f ca="1">OFFSET(Batting!$CI$4,BatAves!$I5,0)</f>
        <v>2</v>
      </c>
      <c r="F5" s="69">
        <f ca="1">OFFSET(Batting!$CK$4,BatAves!$I5,0)</f>
        <v>63</v>
      </c>
      <c r="G5" s="69">
        <f ca="1">OFFSET(Batting!$CL$4,BatAves!$I5,0)</f>
        <v>206</v>
      </c>
      <c r="H5" s="73">
        <f ca="1">OFFSET(Batting!$CM$4,BatAves!$I5,0)</f>
        <v>34.333333333333336</v>
      </c>
      <c r="I5" s="65">
        <f>MATCH(A5,Batting!$DH$5:$DH$57,0)</f>
        <v>10</v>
      </c>
      <c r="J5" s="65">
        <f t="shared" ca="1" si="0"/>
        <v>4</v>
      </c>
      <c r="K5" s="65">
        <f t="shared" ca="1" si="8"/>
        <v>4</v>
      </c>
      <c r="L5" s="65" t="str">
        <f t="shared" ca="1" si="1"/>
        <v/>
      </c>
      <c r="M5" s="65">
        <f t="shared" ca="1" si="9"/>
        <v>4</v>
      </c>
      <c r="N5" s="168">
        <v>4</v>
      </c>
      <c r="O5" s="168" t="str">
        <f t="shared" ca="1" si="2"/>
        <v>Clarkson M</v>
      </c>
      <c r="P5" s="168">
        <f t="shared" ca="1" si="3"/>
        <v>8</v>
      </c>
      <c r="Q5" s="168">
        <f t="shared" ca="1" si="4"/>
        <v>2</v>
      </c>
      <c r="R5" s="168">
        <f t="shared" ca="1" si="5"/>
        <v>63</v>
      </c>
      <c r="S5" s="168">
        <f t="shared" ca="1" si="6"/>
        <v>206</v>
      </c>
      <c r="T5" s="169">
        <f t="shared" ca="1" si="7"/>
        <v>34.333333333333336</v>
      </c>
      <c r="V5" s="65" t="s">
        <v>198</v>
      </c>
      <c r="W5" s="65" t="s">
        <v>198</v>
      </c>
    </row>
    <row r="6" spans="1:23" ht="12.75" x14ac:dyDescent="0.15">
      <c r="A6" s="65">
        <v>5</v>
      </c>
      <c r="B6" s="65" t="str">
        <f ca="1">OFFSET(Batting!$C$4,BatAves!$I6,0)</f>
        <v>Castle I</v>
      </c>
      <c r="C6" s="69">
        <f ca="1">OFFSET(Batting!$CF$4,BatAves!$I6,0)</f>
        <v>1</v>
      </c>
      <c r="D6" s="69">
        <f ca="1">OFFSET(Batting!$CH$4,BatAves!$I6,0)</f>
        <v>1</v>
      </c>
      <c r="E6" s="69">
        <f ca="1">OFFSET(Batting!$CI$4,BatAves!$I6,0)</f>
        <v>0</v>
      </c>
      <c r="F6" s="69">
        <f ca="1">OFFSET(Batting!$CK$4,BatAves!$I6,0)</f>
        <v>34</v>
      </c>
      <c r="G6" s="69">
        <f ca="1">OFFSET(Batting!$CL$4,BatAves!$I6,0)</f>
        <v>34</v>
      </c>
      <c r="H6" s="73">
        <f ca="1">OFFSET(Batting!$CM$4,BatAves!$I6,0)</f>
        <v>34</v>
      </c>
      <c r="I6" s="65">
        <f>MATCH(A6,Batting!$DH$5:$DH$57,0)</f>
        <v>8</v>
      </c>
      <c r="J6" s="65">
        <f t="shared" ca="1" si="0"/>
        <v>1005</v>
      </c>
      <c r="K6" s="65">
        <f t="shared" ca="1" si="8"/>
        <v>18</v>
      </c>
      <c r="L6" s="65" t="str">
        <f t="shared" ca="1" si="1"/>
        <v>Castle I 1-0-34-34</v>
      </c>
      <c r="M6" s="65">
        <f t="shared" ca="1" si="9"/>
        <v>6</v>
      </c>
      <c r="N6" s="168">
        <v>5</v>
      </c>
      <c r="O6" s="168" t="str">
        <f t="shared" ca="1" si="2"/>
        <v>Bhatt P</v>
      </c>
      <c r="P6" s="168">
        <f t="shared" ca="1" si="3"/>
        <v>13</v>
      </c>
      <c r="Q6" s="168">
        <f t="shared" ca="1" si="4"/>
        <v>5</v>
      </c>
      <c r="R6" s="168" t="str">
        <f t="shared" ca="1" si="5"/>
        <v>35*</v>
      </c>
      <c r="S6" s="168">
        <f t="shared" ca="1" si="6"/>
        <v>200</v>
      </c>
      <c r="T6" s="169">
        <f t="shared" ca="1" si="7"/>
        <v>25</v>
      </c>
      <c r="V6" s="65" t="s">
        <v>198</v>
      </c>
      <c r="W6" s="65" t="s">
        <v>198</v>
      </c>
    </row>
    <row r="7" spans="1:23" ht="12.75" x14ac:dyDescent="0.15">
      <c r="A7" s="65">
        <v>6</v>
      </c>
      <c r="B7" s="65" t="str">
        <f ca="1">OFFSET(Batting!$C$4,BatAves!$I7,0)</f>
        <v>Bhatt P</v>
      </c>
      <c r="C7" s="69">
        <f ca="1">OFFSET(Batting!$CF$4,BatAves!$I7,0)</f>
        <v>15</v>
      </c>
      <c r="D7" s="69">
        <f ca="1">OFFSET(Batting!$CH$4,BatAves!$I7,0)</f>
        <v>13</v>
      </c>
      <c r="E7" s="69">
        <f ca="1">OFFSET(Batting!$CI$4,BatAves!$I7,0)</f>
        <v>5</v>
      </c>
      <c r="F7" s="69" t="str">
        <f ca="1">OFFSET(Batting!$CK$4,BatAves!$I7,0)</f>
        <v>35*</v>
      </c>
      <c r="G7" s="69">
        <f ca="1">OFFSET(Batting!$CL$4,BatAves!$I7,0)</f>
        <v>200</v>
      </c>
      <c r="H7" s="73">
        <f ca="1">OFFSET(Batting!$CM$4,BatAves!$I7,0)</f>
        <v>25</v>
      </c>
      <c r="I7" s="65">
        <f>MATCH(A7,Batting!$DH$5:$DH$57,0)</f>
        <v>3</v>
      </c>
      <c r="J7" s="65">
        <f t="shared" ca="1" si="0"/>
        <v>6</v>
      </c>
      <c r="K7" s="65">
        <f t="shared" ca="1" si="8"/>
        <v>5</v>
      </c>
      <c r="L7" s="65" t="str">
        <f t="shared" ca="1" si="1"/>
        <v/>
      </c>
      <c r="M7" s="65">
        <f t="shared" ca="1" si="9"/>
        <v>7</v>
      </c>
      <c r="N7" s="168">
        <v>6</v>
      </c>
      <c r="O7" s="168" t="str">
        <f t="shared" ca="1" si="2"/>
        <v>Niran S</v>
      </c>
      <c r="P7" s="168">
        <f t="shared" ca="1" si="3"/>
        <v>7</v>
      </c>
      <c r="Q7" s="168">
        <f t="shared" ca="1" si="4"/>
        <v>0</v>
      </c>
      <c r="R7" s="168">
        <f t="shared" ca="1" si="5"/>
        <v>54</v>
      </c>
      <c r="S7" s="168">
        <f t="shared" ca="1" si="6"/>
        <v>173</v>
      </c>
      <c r="T7" s="169">
        <f t="shared" ca="1" si="7"/>
        <v>24.714285714285715</v>
      </c>
      <c r="V7" s="65" t="s">
        <v>198</v>
      </c>
      <c r="W7" s="65" t="s">
        <v>198</v>
      </c>
    </row>
    <row r="8" spans="1:23" ht="12.75" x14ac:dyDescent="0.15">
      <c r="A8" s="65">
        <v>7</v>
      </c>
      <c r="B8" s="65" t="str">
        <f ca="1">OFFSET(Batting!$C$4,BatAves!$I8,0)</f>
        <v>Niran S</v>
      </c>
      <c r="C8" s="69">
        <f ca="1">OFFSET(Batting!$CF$4,BatAves!$I8,0)</f>
        <v>7</v>
      </c>
      <c r="D8" s="69">
        <f ca="1">OFFSET(Batting!$CH$4,BatAves!$I8,0)</f>
        <v>7</v>
      </c>
      <c r="E8" s="69">
        <f ca="1">OFFSET(Batting!$CI$4,BatAves!$I8,0)</f>
        <v>0</v>
      </c>
      <c r="F8" s="69">
        <f ca="1">OFFSET(Batting!$CK$4,BatAves!$I8,0)</f>
        <v>54</v>
      </c>
      <c r="G8" s="69">
        <f ca="1">OFFSET(Batting!$CL$4,BatAves!$I8,0)</f>
        <v>173</v>
      </c>
      <c r="H8" s="73">
        <f ca="1">OFFSET(Batting!$CM$4,BatAves!$I8,0)</f>
        <v>24.714285714285715</v>
      </c>
      <c r="I8" s="65">
        <f>MATCH(A8,Batting!$DH$5:$DH$57,0)</f>
        <v>35</v>
      </c>
      <c r="J8" s="65">
        <f t="shared" ca="1" si="0"/>
        <v>7</v>
      </c>
      <c r="K8" s="65">
        <f t="shared" ca="1" si="8"/>
        <v>6</v>
      </c>
      <c r="L8" s="65" t="str">
        <f t="shared" ca="1" si="1"/>
        <v/>
      </c>
      <c r="M8" s="65">
        <f t="shared" ca="1" si="9"/>
        <v>9</v>
      </c>
      <c r="N8" s="168">
        <v>7</v>
      </c>
      <c r="O8" s="168" t="str">
        <f t="shared" ca="1" si="2"/>
        <v>Deol R</v>
      </c>
      <c r="P8" s="168">
        <f t="shared" ca="1" si="3"/>
        <v>12</v>
      </c>
      <c r="Q8" s="168">
        <f t="shared" ca="1" si="4"/>
        <v>4</v>
      </c>
      <c r="R8" s="168">
        <f t="shared" ca="1" si="5"/>
        <v>39</v>
      </c>
      <c r="S8" s="168">
        <f t="shared" ca="1" si="6"/>
        <v>170</v>
      </c>
      <c r="T8" s="169">
        <f t="shared" ca="1" si="7"/>
        <v>21.25</v>
      </c>
      <c r="V8" s="99" t="s">
        <v>198</v>
      </c>
      <c r="W8" s="65" t="s">
        <v>198</v>
      </c>
    </row>
    <row r="9" spans="1:23" ht="12.75" x14ac:dyDescent="0.15">
      <c r="A9" s="65">
        <v>8</v>
      </c>
      <c r="B9" s="65" t="str">
        <f ca="1">OFFSET(Batting!$C$4,BatAves!$I9,0)</f>
        <v>Shome G</v>
      </c>
      <c r="C9" s="69">
        <f ca="1">OFFSET(Batting!$CF$4,BatAves!$I9,0)</f>
        <v>2</v>
      </c>
      <c r="D9" s="69">
        <f ca="1">OFFSET(Batting!$CH$4,BatAves!$I9,0)</f>
        <v>2</v>
      </c>
      <c r="E9" s="69">
        <f ca="1">OFFSET(Batting!$CI$4,BatAves!$I9,0)</f>
        <v>0</v>
      </c>
      <c r="F9" s="69">
        <f ca="1">OFFSET(Batting!$CK$4,BatAves!$I9,0)</f>
        <v>42</v>
      </c>
      <c r="G9" s="69">
        <f ca="1">OFFSET(Batting!$CL$4,BatAves!$I9,0)</f>
        <v>46</v>
      </c>
      <c r="H9" s="73">
        <f ca="1">OFFSET(Batting!$CM$4,BatAves!$I9,0)</f>
        <v>23</v>
      </c>
      <c r="I9" s="65">
        <f>MATCH(A9,Batting!$DH$5:$DH$57,0)</f>
        <v>45</v>
      </c>
      <c r="J9" s="65">
        <f t="shared" ca="1" si="0"/>
        <v>1008</v>
      </c>
      <c r="K9" s="65">
        <f t="shared" ca="1" si="8"/>
        <v>19</v>
      </c>
      <c r="L9" s="65" t="str">
        <f t="shared" ca="1" si="1"/>
        <v>Shome G 2-0-42-46</v>
      </c>
      <c r="M9" s="65">
        <f t="shared" ca="1" si="9"/>
        <v>10</v>
      </c>
      <c r="N9" s="168">
        <v>8</v>
      </c>
      <c r="O9" s="168" t="str">
        <f t="shared" ca="1" si="2"/>
        <v>Seymour C</v>
      </c>
      <c r="P9" s="168">
        <f t="shared" ca="1" si="3"/>
        <v>17</v>
      </c>
      <c r="Q9" s="168">
        <f t="shared" ca="1" si="4"/>
        <v>2</v>
      </c>
      <c r="R9" s="168">
        <f t="shared" ca="1" si="5"/>
        <v>37</v>
      </c>
      <c r="S9" s="168">
        <f t="shared" ca="1" si="6"/>
        <v>259</v>
      </c>
      <c r="T9" s="169">
        <f t="shared" ca="1" si="7"/>
        <v>17.266666666666666</v>
      </c>
      <c r="V9" s="99" t="s">
        <v>198</v>
      </c>
      <c r="W9" s="65" t="s">
        <v>198</v>
      </c>
    </row>
    <row r="10" spans="1:23" ht="12.75" x14ac:dyDescent="0.15">
      <c r="A10" s="65">
        <v>9</v>
      </c>
      <c r="B10" s="65" t="str">
        <f ca="1">OFFSET(Batting!$C$4,BatAves!$I10,0)</f>
        <v>Deol R</v>
      </c>
      <c r="C10" s="69">
        <f ca="1">OFFSET(Batting!$CF$4,BatAves!$I10,0)</f>
        <v>12</v>
      </c>
      <c r="D10" s="69">
        <f ca="1">OFFSET(Batting!$CH$4,BatAves!$I10,0)</f>
        <v>12</v>
      </c>
      <c r="E10" s="69">
        <f ca="1">OFFSET(Batting!$CI$4,BatAves!$I10,0)</f>
        <v>4</v>
      </c>
      <c r="F10" s="69">
        <f ca="1">OFFSET(Batting!$CK$4,BatAves!$I10,0)</f>
        <v>39</v>
      </c>
      <c r="G10" s="69">
        <f ca="1">OFFSET(Batting!$CL$4,BatAves!$I10,0)</f>
        <v>170</v>
      </c>
      <c r="H10" s="73">
        <f ca="1">OFFSET(Batting!$CM$4,BatAves!$I10,0)</f>
        <v>21.25</v>
      </c>
      <c r="I10" s="65">
        <f>MATCH(A10,Batting!$DH$5:$DH$57,0)</f>
        <v>12</v>
      </c>
      <c r="J10" s="65">
        <f t="shared" ca="1" si="0"/>
        <v>9</v>
      </c>
      <c r="K10" s="65">
        <f t="shared" ca="1" si="8"/>
        <v>7</v>
      </c>
      <c r="L10" s="65" t="str">
        <f t="shared" ca="1" si="1"/>
        <v/>
      </c>
      <c r="M10" s="65">
        <f t="shared" ca="1" si="9"/>
        <v>13</v>
      </c>
      <c r="N10" s="168">
        <v>9</v>
      </c>
      <c r="O10" s="168" t="str">
        <f t="shared" ca="1" si="2"/>
        <v>Middleton J</v>
      </c>
      <c r="P10" s="168">
        <f t="shared" ca="1" si="3"/>
        <v>12</v>
      </c>
      <c r="Q10" s="168">
        <f t="shared" ca="1" si="4"/>
        <v>1</v>
      </c>
      <c r="R10" s="168">
        <f t="shared" ca="1" si="5"/>
        <v>55</v>
      </c>
      <c r="S10" s="168">
        <f t="shared" ca="1" si="6"/>
        <v>132</v>
      </c>
      <c r="T10" s="169">
        <f t="shared" ca="1" si="7"/>
        <v>12</v>
      </c>
      <c r="V10" s="99" t="s">
        <v>198</v>
      </c>
    </row>
    <row r="11" spans="1:23" ht="12.75" x14ac:dyDescent="0.15">
      <c r="A11" s="65">
        <v>10</v>
      </c>
      <c r="B11" s="65" t="str">
        <f ca="1">OFFSET(Batting!$C$4,BatAves!$I11,0)</f>
        <v>Seymour C</v>
      </c>
      <c r="C11" s="69">
        <f ca="1">OFFSET(Batting!$CF$4,BatAves!$I11,0)</f>
        <v>19</v>
      </c>
      <c r="D11" s="69">
        <f ca="1">OFFSET(Batting!$CH$4,BatAves!$I11,0)</f>
        <v>17</v>
      </c>
      <c r="E11" s="69">
        <f ca="1">OFFSET(Batting!$CI$4,BatAves!$I11,0)</f>
        <v>2</v>
      </c>
      <c r="F11" s="69">
        <f ca="1">OFFSET(Batting!$CK$4,BatAves!$I11,0)</f>
        <v>37</v>
      </c>
      <c r="G11" s="69">
        <f ca="1">OFFSET(Batting!$CL$4,BatAves!$I11,0)</f>
        <v>259</v>
      </c>
      <c r="H11" s="73">
        <f ca="1">OFFSET(Batting!$CM$4,BatAves!$I11,0)</f>
        <v>17.266666666666666</v>
      </c>
      <c r="I11" s="65">
        <f>MATCH(A11,Batting!$DH$5:$DH$57,0)</f>
        <v>40</v>
      </c>
      <c r="J11" s="65">
        <f t="shared" ca="1" si="0"/>
        <v>10</v>
      </c>
      <c r="K11" s="65">
        <f t="shared" ca="1" si="8"/>
        <v>8</v>
      </c>
      <c r="L11" s="65" t="str">
        <f t="shared" ca="1" si="1"/>
        <v/>
      </c>
      <c r="M11" s="65">
        <f t="shared" ca="1" si="9"/>
        <v>14</v>
      </c>
      <c r="N11" s="168">
        <v>10</v>
      </c>
      <c r="O11" s="168" t="str">
        <f t="shared" ca="1" si="2"/>
        <v>Nair S</v>
      </c>
      <c r="P11" s="168">
        <f t="shared" ca="1" si="3"/>
        <v>5</v>
      </c>
      <c r="Q11" s="168">
        <f t="shared" ca="1" si="4"/>
        <v>2</v>
      </c>
      <c r="R11" s="168" t="str">
        <f t="shared" ca="1" si="5"/>
        <v>17*</v>
      </c>
      <c r="S11" s="168">
        <f t="shared" ca="1" si="6"/>
        <v>35</v>
      </c>
      <c r="T11" s="169">
        <f t="shared" ca="1" si="7"/>
        <v>11.666666666666666</v>
      </c>
      <c r="V11" s="99" t="s">
        <v>198</v>
      </c>
    </row>
    <row r="12" spans="1:23" ht="12.75" x14ac:dyDescent="0.15">
      <c r="A12" s="65">
        <v>11</v>
      </c>
      <c r="B12" s="65" t="str">
        <f ca="1">OFFSET(Batting!$C$4,BatAves!$I12,0)</f>
        <v>Brocks D</v>
      </c>
      <c r="C12" s="69">
        <f ca="1">OFFSET(Batting!$CF$4,BatAves!$I12,0)</f>
        <v>4</v>
      </c>
      <c r="D12" s="69">
        <f ca="1">OFFSET(Batting!$CH$4,BatAves!$I12,0)</f>
        <v>4</v>
      </c>
      <c r="E12" s="69">
        <f ca="1">OFFSET(Batting!$CI$4,BatAves!$I12,0)</f>
        <v>0</v>
      </c>
      <c r="F12" s="69">
        <f ca="1">OFFSET(Batting!$CK$4,BatAves!$I12,0)</f>
        <v>37</v>
      </c>
      <c r="G12" s="69">
        <f ca="1">OFFSET(Batting!$CL$4,BatAves!$I12,0)</f>
        <v>69</v>
      </c>
      <c r="H12" s="73">
        <f ca="1">OFFSET(Batting!$CM$4,BatAves!$I12,0)</f>
        <v>17.25</v>
      </c>
      <c r="I12" s="65">
        <f>MATCH(A12,Batting!$DH$5:$DH$57,0)</f>
        <v>6</v>
      </c>
      <c r="J12" s="65">
        <f t="shared" ca="1" si="0"/>
        <v>1011</v>
      </c>
      <c r="K12" s="65">
        <f t="shared" ca="1" si="8"/>
        <v>20</v>
      </c>
      <c r="L12" s="65" t="str">
        <f t="shared" ca="1" si="1"/>
        <v>Brocks D 4-0-37-69</v>
      </c>
      <c r="M12" s="65">
        <f t="shared" ca="1" si="9"/>
        <v>18</v>
      </c>
      <c r="N12" s="168">
        <v>11</v>
      </c>
      <c r="O12" s="168" t="str">
        <f t="shared" ca="1" si="2"/>
        <v>Jenkins D</v>
      </c>
      <c r="P12" s="168">
        <f t="shared" ca="1" si="3"/>
        <v>9</v>
      </c>
      <c r="Q12" s="168">
        <f t="shared" ca="1" si="4"/>
        <v>0</v>
      </c>
      <c r="R12" s="168">
        <f t="shared" ca="1" si="5"/>
        <v>19</v>
      </c>
      <c r="S12" s="168">
        <f t="shared" ca="1" si="6"/>
        <v>72</v>
      </c>
      <c r="T12" s="169">
        <f t="shared" ca="1" si="7"/>
        <v>8</v>
      </c>
      <c r="V12" s="99" t="s">
        <v>198</v>
      </c>
    </row>
    <row r="13" spans="1:23" ht="12.75" x14ac:dyDescent="0.15">
      <c r="A13" s="65">
        <v>12</v>
      </c>
      <c r="B13" s="65" t="str">
        <f ca="1">OFFSET(Batting!$C$4,BatAves!$I13,0)</f>
        <v>Khalid M</v>
      </c>
      <c r="C13" s="69">
        <f ca="1">OFFSET(Batting!$CF$4,BatAves!$I13,0)</f>
        <v>1</v>
      </c>
      <c r="D13" s="69">
        <f ca="1">OFFSET(Batting!$CH$4,BatAves!$I13,0)</f>
        <v>1</v>
      </c>
      <c r="E13" s="69">
        <f ca="1">OFFSET(Batting!$CI$4,BatAves!$I13,0)</f>
        <v>0</v>
      </c>
      <c r="F13" s="69">
        <f ca="1">OFFSET(Batting!$CK$4,BatAves!$I13,0)</f>
        <v>15</v>
      </c>
      <c r="G13" s="69">
        <f ca="1">OFFSET(Batting!$CL$4,BatAves!$I13,0)</f>
        <v>15</v>
      </c>
      <c r="H13" s="73">
        <f ca="1">OFFSET(Batting!$CM$4,BatAves!$I13,0)</f>
        <v>15</v>
      </c>
      <c r="I13" s="65">
        <f>MATCH(A13,Batting!$DH$5:$DH$57,0)</f>
        <v>22</v>
      </c>
      <c r="J13" s="65">
        <f t="shared" ca="1" si="0"/>
        <v>1012</v>
      </c>
      <c r="K13" s="65">
        <f t="shared" ca="1" si="8"/>
        <v>21</v>
      </c>
      <c r="L13" s="65" t="str">
        <f t="shared" ca="1" si="1"/>
        <v>Khalid M 1-0-15-15</v>
      </c>
      <c r="M13" s="65">
        <f t="shared" ca="1" si="9"/>
        <v>19</v>
      </c>
      <c r="N13" s="123">
        <v>12</v>
      </c>
      <c r="O13" s="123" t="str">
        <f t="shared" ca="1" si="2"/>
        <v>Siddiqui H</v>
      </c>
      <c r="P13" s="123">
        <f t="shared" ca="1" si="3"/>
        <v>6</v>
      </c>
      <c r="Q13" s="123">
        <f t="shared" ca="1" si="4"/>
        <v>1</v>
      </c>
      <c r="R13" s="123">
        <f t="shared" ca="1" si="5"/>
        <v>18</v>
      </c>
      <c r="S13" s="123">
        <f t="shared" ca="1" si="6"/>
        <v>39</v>
      </c>
      <c r="T13" s="125">
        <f t="shared" ca="1" si="7"/>
        <v>7.8</v>
      </c>
      <c r="V13" s="99" t="s">
        <v>198</v>
      </c>
    </row>
    <row r="14" spans="1:23" ht="12.75" x14ac:dyDescent="0.15">
      <c r="A14" s="65">
        <v>13</v>
      </c>
      <c r="B14" s="65" t="str">
        <f ca="1">OFFSET(Batting!$C$4,BatAves!$I14,0)</f>
        <v>Middleton J</v>
      </c>
      <c r="C14" s="69">
        <f ca="1">OFFSET(Batting!$CF$4,BatAves!$I14,0)</f>
        <v>13</v>
      </c>
      <c r="D14" s="69">
        <f ca="1">OFFSET(Batting!$CH$4,BatAves!$I14,0)</f>
        <v>12</v>
      </c>
      <c r="E14" s="69">
        <f ca="1">OFFSET(Batting!$CI$4,BatAves!$I14,0)</f>
        <v>1</v>
      </c>
      <c r="F14" s="69">
        <f ca="1">OFFSET(Batting!$CK$4,BatAves!$I14,0)</f>
        <v>55</v>
      </c>
      <c r="G14" s="69">
        <f ca="1">OFFSET(Batting!$CL$4,BatAves!$I14,0)</f>
        <v>132</v>
      </c>
      <c r="H14" s="73">
        <f ca="1">OFFSET(Batting!$CM$4,BatAves!$I14,0)</f>
        <v>12</v>
      </c>
      <c r="I14" s="65">
        <f>MATCH(A14,Batting!$DH$5:$DH$57,0)</f>
        <v>30</v>
      </c>
      <c r="J14" s="65">
        <f t="shared" ca="1" si="0"/>
        <v>13</v>
      </c>
      <c r="K14" s="65">
        <f t="shared" ca="1" si="8"/>
        <v>9</v>
      </c>
      <c r="L14" s="65" t="str">
        <f t="shared" ca="1" si="1"/>
        <v/>
      </c>
      <c r="M14" s="65">
        <f t="shared" ca="1" si="9"/>
        <v>20</v>
      </c>
      <c r="N14" s="123">
        <v>13</v>
      </c>
      <c r="O14" s="123" t="str">
        <f t="shared" ca="1" si="2"/>
        <v>Viveganandan M</v>
      </c>
      <c r="P14" s="123">
        <f t="shared" ca="1" si="3"/>
        <v>5</v>
      </c>
      <c r="Q14" s="123">
        <f t="shared" ca="1" si="4"/>
        <v>0</v>
      </c>
      <c r="R14" s="123">
        <f t="shared" ca="1" si="5"/>
        <v>17</v>
      </c>
      <c r="S14" s="123">
        <f t="shared" ca="1" si="6"/>
        <v>39</v>
      </c>
      <c r="T14" s="125">
        <f t="shared" ca="1" si="7"/>
        <v>7.8</v>
      </c>
      <c r="V14" s="99" t="s">
        <v>198</v>
      </c>
    </row>
    <row r="15" spans="1:23" ht="12.75" x14ac:dyDescent="0.15">
      <c r="A15" s="65">
        <v>14</v>
      </c>
      <c r="B15" s="65" t="str">
        <f ca="1">OFFSET(Batting!$C$4,BatAves!$I15,0)</f>
        <v>Nair S</v>
      </c>
      <c r="C15" s="69">
        <f ca="1">OFFSET(Batting!$CF$4,BatAves!$I15,0)</f>
        <v>6</v>
      </c>
      <c r="D15" s="69">
        <f ca="1">OFFSET(Batting!$CH$4,BatAves!$I15,0)</f>
        <v>5</v>
      </c>
      <c r="E15" s="69">
        <f ca="1">OFFSET(Batting!$CI$4,BatAves!$I15,0)</f>
        <v>2</v>
      </c>
      <c r="F15" s="69" t="str">
        <f ca="1">OFFSET(Batting!$CK$4,BatAves!$I15,0)</f>
        <v>17*</v>
      </c>
      <c r="G15" s="69">
        <f ca="1">OFFSET(Batting!$CL$4,BatAves!$I15,0)</f>
        <v>35</v>
      </c>
      <c r="H15" s="73">
        <f ca="1">OFFSET(Batting!$CM$4,BatAves!$I15,0)</f>
        <v>11.666666666666666</v>
      </c>
      <c r="I15" s="65">
        <f>MATCH(A15,Batting!$DH$5:$DH$57,0)</f>
        <v>31</v>
      </c>
      <c r="J15" s="65">
        <f t="shared" ca="1" si="0"/>
        <v>14</v>
      </c>
      <c r="K15" s="65">
        <f t="shared" ca="1" si="8"/>
        <v>10</v>
      </c>
      <c r="L15" s="65" t="str">
        <f t="shared" ca="1" si="1"/>
        <v/>
      </c>
      <c r="M15" s="65">
        <f t="shared" ca="1" si="9"/>
        <v>21</v>
      </c>
      <c r="N15" s="123">
        <v>14</v>
      </c>
      <c r="O15" s="123" t="str">
        <f t="shared" ca="1" si="2"/>
        <v>Mander A</v>
      </c>
      <c r="P15" s="123">
        <f t="shared" ca="1" si="3"/>
        <v>6</v>
      </c>
      <c r="Q15" s="123">
        <f t="shared" ca="1" si="4"/>
        <v>4</v>
      </c>
      <c r="R15" s="123" t="str">
        <f t="shared" ca="1" si="5"/>
        <v>5*</v>
      </c>
      <c r="S15" s="123">
        <f t="shared" ca="1" si="6"/>
        <v>15</v>
      </c>
      <c r="T15" s="125">
        <f t="shared" ca="1" si="7"/>
        <v>7.5</v>
      </c>
      <c r="V15" s="99" t="s">
        <v>198</v>
      </c>
      <c r="W15" s="127"/>
    </row>
    <row r="16" spans="1:23" ht="12.75" x14ac:dyDescent="0.15">
      <c r="A16" s="65">
        <v>15</v>
      </c>
      <c r="B16" s="65" t="str">
        <f ca="1">OFFSET(Batting!$C$4,BatAves!$I16,0)</f>
        <v>Ahmed M</v>
      </c>
      <c r="C16" s="69">
        <f ca="1">OFFSET(Batting!$CF$4,BatAves!$I16,0)</f>
        <v>2</v>
      </c>
      <c r="D16" s="69">
        <f ca="1">OFFSET(Batting!$CH$4,BatAves!$I16,0)</f>
        <v>2</v>
      </c>
      <c r="E16" s="69">
        <f ca="1">OFFSET(Batting!$CI$4,BatAves!$I16,0)</f>
        <v>0</v>
      </c>
      <c r="F16" s="69">
        <f ca="1">OFFSET(Batting!$CK$4,BatAves!$I16,0)</f>
        <v>23</v>
      </c>
      <c r="G16" s="69">
        <f ca="1">OFFSET(Batting!$CL$4,BatAves!$I16,0)</f>
        <v>23</v>
      </c>
      <c r="H16" s="73">
        <f ca="1">OFFSET(Batting!$CM$4,BatAves!$I16,0)</f>
        <v>11.5</v>
      </c>
      <c r="I16" s="65">
        <f>MATCH(A16,Batting!$DH$5:$DH$57,0)</f>
        <v>2</v>
      </c>
      <c r="J16" s="65">
        <f t="shared" ca="1" si="0"/>
        <v>1015</v>
      </c>
      <c r="K16" s="65">
        <f t="shared" ca="1" si="8"/>
        <v>22</v>
      </c>
      <c r="L16" s="65" t="str">
        <f t="shared" ca="1" si="1"/>
        <v>Ahmed M 2-0-23-23</v>
      </c>
      <c r="M16" s="65">
        <f t="shared" ca="1" si="9"/>
        <v>23</v>
      </c>
      <c r="N16" s="123">
        <v>15</v>
      </c>
      <c r="O16" s="123" t="str">
        <f t="shared" ca="1" si="2"/>
        <v>Singh S</v>
      </c>
      <c r="P16" s="123">
        <f t="shared" ca="1" si="3"/>
        <v>6</v>
      </c>
      <c r="Q16" s="123">
        <f t="shared" ca="1" si="4"/>
        <v>2</v>
      </c>
      <c r="R16" s="123">
        <f t="shared" ca="1" si="5"/>
        <v>15</v>
      </c>
      <c r="S16" s="123">
        <f t="shared" ca="1" si="6"/>
        <v>26</v>
      </c>
      <c r="T16" s="125">
        <f t="shared" ca="1" si="7"/>
        <v>6.5</v>
      </c>
      <c r="V16" s="65" t="s">
        <v>198</v>
      </c>
      <c r="W16" s="127"/>
    </row>
    <row r="17" spans="1:23" ht="12.75" x14ac:dyDescent="0.15">
      <c r="A17" s="65">
        <v>16</v>
      </c>
      <c r="B17" s="65" t="str">
        <f ca="1">OFFSET(Batting!$C$4,BatAves!$I17,0)</f>
        <v>Lewis I</v>
      </c>
      <c r="C17" s="69">
        <f ca="1">OFFSET(Batting!$CF$4,BatAves!$I17,0)</f>
        <v>2</v>
      </c>
      <c r="D17" s="69">
        <f ca="1">OFFSET(Batting!$CH$4,BatAves!$I17,0)</f>
        <v>2</v>
      </c>
      <c r="E17" s="69">
        <f ca="1">OFFSET(Batting!$CI$4,BatAves!$I17,0)</f>
        <v>1</v>
      </c>
      <c r="F17" s="69">
        <f ca="1">OFFSET(Batting!$CK$4,BatAves!$I17,0)</f>
        <v>10</v>
      </c>
      <c r="G17" s="69">
        <f ca="1">OFFSET(Batting!$CL$4,BatAves!$I17,0)</f>
        <v>11</v>
      </c>
      <c r="H17" s="73">
        <f ca="1">OFFSET(Batting!$CM$4,BatAves!$I17,0)</f>
        <v>11</v>
      </c>
      <c r="I17" s="65">
        <f>MATCH(A17,Batting!$DH$5:$DH$57,0)</f>
        <v>27</v>
      </c>
      <c r="J17" s="65">
        <f t="shared" ca="1" si="0"/>
        <v>1016</v>
      </c>
      <c r="K17" s="65">
        <f t="shared" ca="1" si="8"/>
        <v>23</v>
      </c>
      <c r="L17" s="65" t="str">
        <f t="shared" ca="1" si="1"/>
        <v>Lewis I 2-1-10-11</v>
      </c>
      <c r="M17" s="65">
        <f t="shared" ca="1" si="9"/>
        <v>27</v>
      </c>
      <c r="N17" s="123">
        <v>16</v>
      </c>
      <c r="O17" s="123" t="str">
        <f t="shared" ca="1" si="2"/>
        <v>Smith C</v>
      </c>
      <c r="P17" s="123">
        <f t="shared" ca="1" si="3"/>
        <v>11</v>
      </c>
      <c r="Q17" s="123">
        <f t="shared" ca="1" si="4"/>
        <v>3</v>
      </c>
      <c r="R17" s="123">
        <f t="shared" ca="1" si="5"/>
        <v>8</v>
      </c>
      <c r="S17" s="123">
        <f t="shared" ca="1" si="6"/>
        <v>26</v>
      </c>
      <c r="T17" s="125">
        <f t="shared" ca="1" si="7"/>
        <v>3.25</v>
      </c>
      <c r="V17" s="65" t="s">
        <v>198</v>
      </c>
      <c r="W17" s="127"/>
    </row>
    <row r="18" spans="1:23" ht="12.75" x14ac:dyDescent="0.15">
      <c r="A18" s="65">
        <v>17</v>
      </c>
      <c r="B18" s="65" t="str">
        <f ca="1">OFFSET(Batting!$C$4,BatAves!$I18,0)</f>
        <v>Naish J</v>
      </c>
      <c r="C18" s="69">
        <f ca="1">OFFSET(Batting!$CF$4,BatAves!$I18,0)</f>
        <v>1</v>
      </c>
      <c r="D18" s="69">
        <f ca="1">OFFSET(Batting!$CH$4,BatAves!$I18,0)</f>
        <v>1</v>
      </c>
      <c r="E18" s="69">
        <f ca="1">OFFSET(Batting!$CI$4,BatAves!$I18,0)</f>
        <v>0</v>
      </c>
      <c r="F18" s="69">
        <f ca="1">OFFSET(Batting!$CK$4,BatAves!$I18,0)</f>
        <v>11</v>
      </c>
      <c r="G18" s="69">
        <f ca="1">OFFSET(Batting!$CL$4,BatAves!$I18,0)</f>
        <v>11</v>
      </c>
      <c r="H18" s="73">
        <f ca="1">OFFSET(Batting!$CM$4,BatAves!$I18,0)</f>
        <v>11</v>
      </c>
      <c r="I18" s="65">
        <f>MATCH(A18,Batting!$DH$5:$DH$57,0)</f>
        <v>32</v>
      </c>
      <c r="J18" s="65">
        <f t="shared" ca="1" si="0"/>
        <v>1017</v>
      </c>
      <c r="K18" s="65">
        <f t="shared" ca="1" si="8"/>
        <v>24</v>
      </c>
      <c r="L18" s="65" t="str">
        <f t="shared" ca="1" si="1"/>
        <v>Naish J 1-0-11-11</v>
      </c>
      <c r="M18" s="65">
        <f t="shared" ca="1" si="9"/>
        <v>31</v>
      </c>
      <c r="N18" s="123">
        <v>17</v>
      </c>
      <c r="O18" s="123" t="str">
        <f t="shared" ca="1" si="2"/>
        <v>Wilson A</v>
      </c>
      <c r="P18" s="123">
        <f t="shared" ca="1" si="3"/>
        <v>6</v>
      </c>
      <c r="Q18" s="123">
        <f t="shared" ca="1" si="4"/>
        <v>0</v>
      </c>
      <c r="R18" s="123">
        <f t="shared" ca="1" si="5"/>
        <v>5</v>
      </c>
      <c r="S18" s="123">
        <f t="shared" ca="1" si="6"/>
        <v>6</v>
      </c>
      <c r="T18" s="125">
        <f t="shared" ca="1" si="7"/>
        <v>1</v>
      </c>
      <c r="V18" s="154"/>
      <c r="W18" s="127"/>
    </row>
    <row r="19" spans="1:23" ht="12.75" x14ac:dyDescent="0.15">
      <c r="A19" s="65">
        <v>18</v>
      </c>
      <c r="B19" s="65" t="str">
        <f ca="1">OFFSET(Batting!$C$4,BatAves!$I19,0)</f>
        <v>Jenkins D</v>
      </c>
      <c r="C19" s="69">
        <f ca="1">OFFSET(Batting!$CF$4,BatAves!$I19,0)</f>
        <v>9</v>
      </c>
      <c r="D19" s="69">
        <f ca="1">OFFSET(Batting!$CH$4,BatAves!$I19,0)</f>
        <v>9</v>
      </c>
      <c r="E19" s="69">
        <f ca="1">OFFSET(Batting!$CI$4,BatAves!$I19,0)</f>
        <v>0</v>
      </c>
      <c r="F19" s="69">
        <f ca="1">OFFSET(Batting!$CK$4,BatAves!$I19,0)</f>
        <v>19</v>
      </c>
      <c r="G19" s="69">
        <f ca="1">OFFSET(Batting!$CL$4,BatAves!$I19,0)</f>
        <v>72</v>
      </c>
      <c r="H19" s="73">
        <f ca="1">OFFSET(Batting!$CM$4,BatAves!$I19,0)</f>
        <v>8</v>
      </c>
      <c r="I19" s="65">
        <f>MATCH(A19,Batting!$DH$5:$DH$57,0)</f>
        <v>20</v>
      </c>
      <c r="J19" s="65">
        <f t="shared" ca="1" si="0"/>
        <v>18</v>
      </c>
      <c r="K19" s="65">
        <f t="shared" ca="1" si="8"/>
        <v>11</v>
      </c>
      <c r="L19" s="65" t="str">
        <f t="shared" ca="1" si="1"/>
        <v/>
      </c>
      <c r="M19" s="65">
        <f t="shared" ca="1" si="9"/>
        <v>5</v>
      </c>
      <c r="N19" s="123">
        <v>18</v>
      </c>
      <c r="O19" s="123" t="str">
        <f t="shared" ca="1" si="2"/>
        <v>Castle I</v>
      </c>
      <c r="P19" s="123">
        <f t="shared" ca="1" si="3"/>
        <v>1</v>
      </c>
      <c r="Q19" s="123">
        <f t="shared" ca="1" si="4"/>
        <v>0</v>
      </c>
      <c r="R19" s="123">
        <f t="shared" ca="1" si="5"/>
        <v>34</v>
      </c>
      <c r="S19" s="123">
        <f t="shared" ca="1" si="6"/>
        <v>34</v>
      </c>
      <c r="T19" s="125">
        <f t="shared" ca="1" si="7"/>
        <v>34</v>
      </c>
      <c r="V19" s="154"/>
      <c r="W19" s="127" t="s">
        <v>198</v>
      </c>
    </row>
    <row r="20" spans="1:23" ht="12.75" x14ac:dyDescent="0.15">
      <c r="A20" s="65">
        <v>19</v>
      </c>
      <c r="B20" s="65" t="str">
        <f ca="1">OFFSET(Batting!$C$4,BatAves!$I20,0)</f>
        <v>Siddiqui H</v>
      </c>
      <c r="C20" s="69">
        <f ca="1">OFFSET(Batting!$CF$4,BatAves!$I20,0)</f>
        <v>7</v>
      </c>
      <c r="D20" s="69">
        <f ca="1">OFFSET(Batting!$CH$4,BatAves!$I20,0)</f>
        <v>6</v>
      </c>
      <c r="E20" s="69">
        <f ca="1">OFFSET(Batting!$CI$4,BatAves!$I20,0)</f>
        <v>1</v>
      </c>
      <c r="F20" s="69">
        <f ca="1">OFFSET(Batting!$CK$4,BatAves!$I20,0)</f>
        <v>18</v>
      </c>
      <c r="G20" s="69">
        <f ca="1">OFFSET(Batting!$CL$4,BatAves!$I20,0)</f>
        <v>39</v>
      </c>
      <c r="H20" s="73">
        <f ca="1">OFFSET(Batting!$CM$4,BatAves!$I20,0)</f>
        <v>7.8</v>
      </c>
      <c r="I20" s="65">
        <f>MATCH(A20,Batting!$DH$5:$DH$57,0)</f>
        <v>46</v>
      </c>
      <c r="J20" s="65">
        <f t="shared" ca="1" si="0"/>
        <v>19</v>
      </c>
      <c r="K20" s="65">
        <f t="shared" ca="1" si="8"/>
        <v>12</v>
      </c>
      <c r="L20" s="65" t="str">
        <f t="shared" ca="1" si="1"/>
        <v/>
      </c>
      <c r="M20" s="65">
        <f t="shared" ca="1" si="9"/>
        <v>8</v>
      </c>
      <c r="N20" s="123">
        <v>19</v>
      </c>
      <c r="O20" s="123" t="str">
        <f t="shared" ca="1" si="2"/>
        <v>Shome G</v>
      </c>
      <c r="P20" s="123">
        <f t="shared" ca="1" si="3"/>
        <v>2</v>
      </c>
      <c r="Q20" s="123">
        <f t="shared" ca="1" si="4"/>
        <v>0</v>
      </c>
      <c r="R20" s="123">
        <f t="shared" ca="1" si="5"/>
        <v>42</v>
      </c>
      <c r="S20" s="123">
        <f t="shared" ca="1" si="6"/>
        <v>46</v>
      </c>
      <c r="T20" s="125">
        <f t="shared" ca="1" si="7"/>
        <v>23</v>
      </c>
      <c r="V20" s="154"/>
      <c r="W20" s="65" t="s">
        <v>198</v>
      </c>
    </row>
    <row r="21" spans="1:23" ht="12.75" x14ac:dyDescent="0.15">
      <c r="A21" s="65">
        <v>20</v>
      </c>
      <c r="B21" s="65" t="str">
        <f ca="1">OFFSET(Batting!$C$4,BatAves!$I21,0)</f>
        <v>Viveganandan M</v>
      </c>
      <c r="C21" s="69">
        <f ca="1">OFFSET(Batting!$CF$4,BatAves!$I21,0)</f>
        <v>6</v>
      </c>
      <c r="D21" s="69">
        <f ca="1">OFFSET(Batting!$CH$4,BatAves!$I21,0)</f>
        <v>5</v>
      </c>
      <c r="E21" s="69">
        <f ca="1">OFFSET(Batting!$CI$4,BatAves!$I21,0)</f>
        <v>0</v>
      </c>
      <c r="F21" s="69">
        <f ca="1">OFFSET(Batting!$CK$4,BatAves!$I21,0)</f>
        <v>17</v>
      </c>
      <c r="G21" s="69">
        <f ca="1">OFFSET(Batting!$CL$4,BatAves!$I21,0)</f>
        <v>39</v>
      </c>
      <c r="H21" s="73">
        <f ca="1">OFFSET(Batting!$CM$4,BatAves!$I21,0)</f>
        <v>7.8</v>
      </c>
      <c r="I21" s="65">
        <f>MATCH(A21,Batting!$DH$5:$DH$57,0)</f>
        <v>51</v>
      </c>
      <c r="J21" s="65">
        <f t="shared" ca="1" si="0"/>
        <v>20</v>
      </c>
      <c r="K21" s="65">
        <f t="shared" ca="1" si="8"/>
        <v>13</v>
      </c>
      <c r="L21" s="65" t="str">
        <f t="shared" ca="1" si="1"/>
        <v/>
      </c>
      <c r="M21" s="65">
        <f t="shared" ca="1" si="9"/>
        <v>11</v>
      </c>
      <c r="N21" s="123">
        <v>20</v>
      </c>
      <c r="O21" s="123" t="str">
        <f t="shared" ca="1" si="2"/>
        <v>Brocks D</v>
      </c>
      <c r="P21" s="123">
        <f t="shared" ca="1" si="3"/>
        <v>4</v>
      </c>
      <c r="Q21" s="123">
        <f t="shared" ca="1" si="4"/>
        <v>0</v>
      </c>
      <c r="R21" s="123">
        <f t="shared" ca="1" si="5"/>
        <v>37</v>
      </c>
      <c r="S21" s="123">
        <f t="shared" ca="1" si="6"/>
        <v>69</v>
      </c>
      <c r="T21" s="125">
        <f t="shared" ca="1" si="7"/>
        <v>17.25</v>
      </c>
      <c r="V21" s="154"/>
      <c r="W21" s="65" t="s">
        <v>198</v>
      </c>
    </row>
    <row r="22" spans="1:23" ht="12.75" x14ac:dyDescent="0.15">
      <c r="A22" s="65">
        <v>21</v>
      </c>
      <c r="B22" s="65" t="str">
        <f ca="1">OFFSET(Batting!$C$4,BatAves!$I22,0)</f>
        <v>Mander A</v>
      </c>
      <c r="C22" s="69">
        <f ca="1">OFFSET(Batting!$CF$4,BatAves!$I22,0)</f>
        <v>11</v>
      </c>
      <c r="D22" s="69">
        <f ca="1">OFFSET(Batting!$CH$4,BatAves!$I22,0)</f>
        <v>6</v>
      </c>
      <c r="E22" s="69">
        <f ca="1">OFFSET(Batting!$CI$4,BatAves!$I22,0)</f>
        <v>4</v>
      </c>
      <c r="F22" s="69" t="str">
        <f ca="1">OFFSET(Batting!$CK$4,BatAves!$I22,0)</f>
        <v>5*</v>
      </c>
      <c r="G22" s="69">
        <f ca="1">OFFSET(Batting!$CL$4,BatAves!$I22,0)</f>
        <v>15</v>
      </c>
      <c r="H22" s="73">
        <f ca="1">OFFSET(Batting!$CM$4,BatAves!$I22,0)</f>
        <v>7.5</v>
      </c>
      <c r="I22" s="65">
        <f>MATCH(A22,Batting!$DH$5:$DH$57,0)</f>
        <v>28</v>
      </c>
      <c r="J22" s="65">
        <f t="shared" ca="1" si="0"/>
        <v>21</v>
      </c>
      <c r="K22" s="65">
        <f t="shared" ca="1" si="8"/>
        <v>14</v>
      </c>
      <c r="L22" s="65" t="str">
        <f t="shared" ca="1" si="1"/>
        <v/>
      </c>
      <c r="M22" s="65">
        <f t="shared" ca="1" si="9"/>
        <v>12</v>
      </c>
      <c r="N22" s="123">
        <v>21</v>
      </c>
      <c r="O22" s="123" t="str">
        <f t="shared" ca="1" si="2"/>
        <v>Khalid M</v>
      </c>
      <c r="P22" s="123">
        <f t="shared" ca="1" si="3"/>
        <v>1</v>
      </c>
      <c r="Q22" s="123">
        <f t="shared" ca="1" si="4"/>
        <v>0</v>
      </c>
      <c r="R22" s="123">
        <f t="shared" ca="1" si="5"/>
        <v>15</v>
      </c>
      <c r="S22" s="123">
        <f t="shared" ca="1" si="6"/>
        <v>15</v>
      </c>
      <c r="T22" s="125">
        <f t="shared" ca="1" si="7"/>
        <v>15</v>
      </c>
      <c r="V22" s="154"/>
      <c r="W22" s="65" t="s">
        <v>198</v>
      </c>
    </row>
    <row r="23" spans="1:23" ht="12.75" x14ac:dyDescent="0.15">
      <c r="A23" s="65">
        <v>22</v>
      </c>
      <c r="B23" s="65" t="str">
        <f ca="1">OFFSET(Batting!$C$4,BatAves!$I23,0)</f>
        <v>Parboo R</v>
      </c>
      <c r="C23" s="69">
        <f ca="1">OFFSET(Batting!$CF$4,BatAves!$I23,0)</f>
        <v>5</v>
      </c>
      <c r="D23" s="69">
        <f ca="1">OFFSET(Batting!$CH$4,BatAves!$I23,0)</f>
        <v>4</v>
      </c>
      <c r="E23" s="69">
        <f ca="1">OFFSET(Batting!$CI$4,BatAves!$I23,0)</f>
        <v>2</v>
      </c>
      <c r="F23" s="69">
        <f ca="1">OFFSET(Batting!$CK$4,BatAves!$I23,0)</f>
        <v>7</v>
      </c>
      <c r="G23" s="69">
        <f ca="1">OFFSET(Batting!$CL$4,BatAves!$I23,0)</f>
        <v>15</v>
      </c>
      <c r="H23" s="73">
        <f ca="1">OFFSET(Batting!$CM$4,BatAves!$I23,0)</f>
        <v>7.5</v>
      </c>
      <c r="I23" s="65">
        <f>MATCH(A23,Batting!$DH$5:$DH$57,0)</f>
        <v>37</v>
      </c>
      <c r="J23" s="65">
        <f t="shared" ca="1" si="0"/>
        <v>1022</v>
      </c>
      <c r="K23" s="65">
        <f t="shared" ca="1" si="8"/>
        <v>25</v>
      </c>
      <c r="L23" s="65" t="str">
        <f t="shared" ca="1" si="1"/>
        <v>Parboo R 4-2-7-15</v>
      </c>
      <c r="M23" s="65">
        <f t="shared" ca="1" si="9"/>
        <v>15</v>
      </c>
      <c r="N23" s="123">
        <v>22</v>
      </c>
      <c r="O23" s="123" t="str">
        <f t="shared" ca="1" si="2"/>
        <v>Ahmed M</v>
      </c>
      <c r="P23" s="123">
        <f t="shared" ca="1" si="3"/>
        <v>2</v>
      </c>
      <c r="Q23" s="123">
        <f t="shared" ca="1" si="4"/>
        <v>0</v>
      </c>
      <c r="R23" s="123">
        <f t="shared" ca="1" si="5"/>
        <v>23</v>
      </c>
      <c r="S23" s="123">
        <f t="shared" ca="1" si="6"/>
        <v>23</v>
      </c>
      <c r="T23" s="125">
        <f t="shared" ca="1" si="7"/>
        <v>11.5</v>
      </c>
      <c r="V23" s="154"/>
      <c r="W23" s="127"/>
    </row>
    <row r="24" spans="1:23" ht="12.75" x14ac:dyDescent="0.15">
      <c r="A24" s="65">
        <v>23</v>
      </c>
      <c r="B24" s="65" t="str">
        <f ca="1">OFFSET(Batting!$C$4,BatAves!$I24,0)</f>
        <v>Singh S</v>
      </c>
      <c r="C24" s="69">
        <f ca="1">OFFSET(Batting!$CF$4,BatAves!$I24,0)</f>
        <v>7</v>
      </c>
      <c r="D24" s="69">
        <f ca="1">OFFSET(Batting!$CH$4,BatAves!$I24,0)</f>
        <v>6</v>
      </c>
      <c r="E24" s="69">
        <f ca="1">OFFSET(Batting!$CI$4,BatAves!$I24,0)</f>
        <v>2</v>
      </c>
      <c r="F24" s="69">
        <f ca="1">OFFSET(Batting!$CK$4,BatAves!$I24,0)</f>
        <v>15</v>
      </c>
      <c r="G24" s="69">
        <f ca="1">OFFSET(Batting!$CL$4,BatAves!$I24,0)</f>
        <v>26</v>
      </c>
      <c r="H24" s="73">
        <f ca="1">OFFSET(Batting!$CM$4,BatAves!$I24,0)</f>
        <v>6.5</v>
      </c>
      <c r="I24" s="65">
        <f>MATCH(A24,Batting!$DH$5:$DH$57,0)</f>
        <v>44</v>
      </c>
      <c r="J24" s="65">
        <f t="shared" ca="1" si="0"/>
        <v>23</v>
      </c>
      <c r="K24" s="65">
        <f t="shared" ca="1" si="8"/>
        <v>15</v>
      </c>
      <c r="L24" s="65" t="str">
        <f t="shared" ca="1" si="1"/>
        <v/>
      </c>
      <c r="M24" s="65">
        <f t="shared" ca="1" si="9"/>
        <v>16</v>
      </c>
      <c r="N24" s="123">
        <v>23</v>
      </c>
      <c r="O24" s="123" t="str">
        <f t="shared" ca="1" si="2"/>
        <v>Lewis I</v>
      </c>
      <c r="P24" s="123">
        <f t="shared" ca="1" si="3"/>
        <v>2</v>
      </c>
      <c r="Q24" s="123">
        <f t="shared" ca="1" si="4"/>
        <v>1</v>
      </c>
      <c r="R24" s="123">
        <f t="shared" ca="1" si="5"/>
        <v>10</v>
      </c>
      <c r="S24" s="123">
        <f t="shared" ca="1" si="6"/>
        <v>11</v>
      </c>
      <c r="T24" s="125">
        <f t="shared" ca="1" si="7"/>
        <v>11</v>
      </c>
      <c r="V24" s="154"/>
      <c r="W24" s="127"/>
    </row>
    <row r="25" spans="1:23" ht="12.75" x14ac:dyDescent="0.15">
      <c r="A25" s="65">
        <v>24</v>
      </c>
      <c r="B25" s="65" t="str">
        <f ca="1">OFFSET(Batting!$C$4,BatAves!$I25,0)</f>
        <v>Niran M</v>
      </c>
      <c r="C25" s="69">
        <f ca="1">OFFSET(Batting!$CF$4,BatAves!$I25,0)</f>
        <v>1</v>
      </c>
      <c r="D25" s="69">
        <f ca="1">OFFSET(Batting!$CH$4,BatAves!$I25,0)</f>
        <v>1</v>
      </c>
      <c r="E25" s="69">
        <f ca="1">OFFSET(Batting!$CI$4,BatAves!$I25,0)</f>
        <v>0</v>
      </c>
      <c r="F25" s="69">
        <f ca="1">OFFSET(Batting!$CK$4,BatAves!$I25,0)</f>
        <v>6</v>
      </c>
      <c r="G25" s="69">
        <f ca="1">OFFSET(Batting!$CL$4,BatAves!$I25,0)</f>
        <v>6</v>
      </c>
      <c r="H25" s="73">
        <f ca="1">OFFSET(Batting!$CM$4,BatAves!$I25,0)</f>
        <v>6</v>
      </c>
      <c r="I25" s="65">
        <f>MATCH(A25,Batting!$DH$5:$DH$57,0)</f>
        <v>34</v>
      </c>
      <c r="J25" s="65">
        <f t="shared" ca="1" si="0"/>
        <v>1024</v>
      </c>
      <c r="K25" s="65">
        <f t="shared" ca="1" si="8"/>
        <v>26</v>
      </c>
      <c r="L25" s="65" t="str">
        <f t="shared" ca="1" si="1"/>
        <v>Niran M 1-0-6-6</v>
      </c>
      <c r="M25" s="65">
        <f t="shared" ca="1" si="9"/>
        <v>17</v>
      </c>
      <c r="N25" s="123">
        <v>24</v>
      </c>
      <c r="O25" s="123" t="str">
        <f t="shared" ca="1" si="2"/>
        <v>Naish J</v>
      </c>
      <c r="P25" s="123">
        <f t="shared" ca="1" si="3"/>
        <v>1</v>
      </c>
      <c r="Q25" s="123">
        <f t="shared" ca="1" si="4"/>
        <v>0</v>
      </c>
      <c r="R25" s="123">
        <f t="shared" ca="1" si="5"/>
        <v>11</v>
      </c>
      <c r="S25" s="123">
        <f t="shared" ca="1" si="6"/>
        <v>11</v>
      </c>
      <c r="T25" s="125">
        <f t="shared" ca="1" si="7"/>
        <v>11</v>
      </c>
      <c r="V25" s="154"/>
      <c r="W25" s="65" t="s">
        <v>198</v>
      </c>
    </row>
    <row r="26" spans="1:23" ht="12.75" x14ac:dyDescent="0.15">
      <c r="A26" s="65">
        <v>25</v>
      </c>
      <c r="B26" s="65" t="str">
        <f ca="1">OFFSET(Batting!$C$4,BatAves!$I26,0)</f>
        <v>Edghill C</v>
      </c>
      <c r="C26" s="69">
        <f ca="1">OFFSET(Batting!$CF$4,BatAves!$I26,0)</f>
        <v>1</v>
      </c>
      <c r="D26" s="69">
        <f ca="1">OFFSET(Batting!$CH$4,BatAves!$I26,0)</f>
        <v>1</v>
      </c>
      <c r="E26" s="69">
        <f ca="1">OFFSET(Batting!$CI$4,BatAves!$I26,0)</f>
        <v>0</v>
      </c>
      <c r="F26" s="69">
        <f ca="1">OFFSET(Batting!$CK$4,BatAves!$I26,0)</f>
        <v>5</v>
      </c>
      <c r="G26" s="69">
        <f ca="1">OFFSET(Batting!$CL$4,BatAves!$I26,0)</f>
        <v>5</v>
      </c>
      <c r="H26" s="73">
        <f ca="1">OFFSET(Batting!$CM$4,BatAves!$I26,0)</f>
        <v>5</v>
      </c>
      <c r="I26" s="65">
        <f>MATCH(A26,Batting!$DH$5:$DH$57,0)</f>
        <v>13</v>
      </c>
      <c r="J26" s="65">
        <f t="shared" ca="1" si="0"/>
        <v>1025</v>
      </c>
      <c r="K26" s="65">
        <f t="shared" ca="1" si="8"/>
        <v>27</v>
      </c>
      <c r="L26" s="65" t="str">
        <f t="shared" ca="1" si="1"/>
        <v>Edghill C 1-0-5-5</v>
      </c>
      <c r="M26" s="65">
        <f t="shared" ca="1" si="9"/>
        <v>22</v>
      </c>
      <c r="N26" s="123">
        <v>25</v>
      </c>
      <c r="O26" s="123" t="str">
        <f t="shared" ca="1" si="2"/>
        <v>Parboo R</v>
      </c>
      <c r="P26" s="123">
        <f t="shared" ca="1" si="3"/>
        <v>4</v>
      </c>
      <c r="Q26" s="123">
        <f t="shared" ca="1" si="4"/>
        <v>2</v>
      </c>
      <c r="R26" s="123">
        <f t="shared" ca="1" si="5"/>
        <v>7</v>
      </c>
      <c r="S26" s="123">
        <f t="shared" ca="1" si="6"/>
        <v>15</v>
      </c>
      <c r="T26" s="125">
        <f t="shared" ca="1" si="7"/>
        <v>7.5</v>
      </c>
      <c r="V26" s="154"/>
      <c r="W26" s="127"/>
    </row>
    <row r="27" spans="1:23" ht="12.75" x14ac:dyDescent="0.15">
      <c r="A27" s="65">
        <v>26</v>
      </c>
      <c r="B27" s="65" t="str">
        <f ca="1">OFFSET(Batting!$C$4,BatAves!$I27,0)</f>
        <v>Giles M</v>
      </c>
      <c r="C27" s="69">
        <f ca="1">OFFSET(Batting!$CF$4,BatAves!$I27,0)</f>
        <v>2</v>
      </c>
      <c r="D27" s="69">
        <f ca="1">OFFSET(Batting!$CH$4,BatAves!$I27,0)</f>
        <v>2</v>
      </c>
      <c r="E27" s="69">
        <f ca="1">OFFSET(Batting!$CI$4,BatAves!$I27,0)</f>
        <v>0</v>
      </c>
      <c r="F27" s="69">
        <f ca="1">OFFSET(Batting!$CK$4,BatAves!$I27,0)</f>
        <v>6</v>
      </c>
      <c r="G27" s="69">
        <f ca="1">OFFSET(Batting!$CL$4,BatAves!$I27,0)</f>
        <v>8</v>
      </c>
      <c r="H27" s="73">
        <f ca="1">OFFSET(Batting!$CM$4,BatAves!$I27,0)</f>
        <v>4</v>
      </c>
      <c r="I27" s="65">
        <f>MATCH(A27,Batting!$DH$5:$DH$57,0)</f>
        <v>17</v>
      </c>
      <c r="J27" s="65">
        <f t="shared" ca="1" si="0"/>
        <v>1026</v>
      </c>
      <c r="K27" s="65">
        <f t="shared" ca="1" si="8"/>
        <v>28</v>
      </c>
      <c r="L27" s="65" t="str">
        <f t="shared" ca="1" si="1"/>
        <v>Giles M 2-0-6-8</v>
      </c>
      <c r="M27" s="65">
        <f t="shared" ca="1" si="9"/>
        <v>24</v>
      </c>
      <c r="N27" s="123">
        <v>26</v>
      </c>
      <c r="O27" s="123" t="str">
        <f t="shared" ca="1" si="2"/>
        <v>Niran M</v>
      </c>
      <c r="P27" s="123">
        <f t="shared" ca="1" si="3"/>
        <v>1</v>
      </c>
      <c r="Q27" s="123">
        <f t="shared" ca="1" si="4"/>
        <v>0</v>
      </c>
      <c r="R27" s="123">
        <f t="shared" ca="1" si="5"/>
        <v>6</v>
      </c>
      <c r="S27" s="123">
        <f t="shared" ca="1" si="6"/>
        <v>6</v>
      </c>
      <c r="T27" s="125">
        <f t="shared" ca="1" si="7"/>
        <v>6</v>
      </c>
      <c r="V27" s="154"/>
      <c r="W27" s="65" t="s">
        <v>198</v>
      </c>
    </row>
    <row r="28" spans="1:23" ht="12.75" x14ac:dyDescent="0.15">
      <c r="A28" s="65">
        <v>27</v>
      </c>
      <c r="B28" s="65" t="str">
        <f ca="1">OFFSET(Batting!$C$4,BatAves!$I28,0)</f>
        <v>Smith C</v>
      </c>
      <c r="C28" s="69">
        <f ca="1">OFFSET(Batting!$CF$4,BatAves!$I28,0)</f>
        <v>12</v>
      </c>
      <c r="D28" s="69">
        <f ca="1">OFFSET(Batting!$CH$4,BatAves!$I28,0)</f>
        <v>11</v>
      </c>
      <c r="E28" s="69">
        <f ca="1">OFFSET(Batting!$CI$4,BatAves!$I28,0)</f>
        <v>3</v>
      </c>
      <c r="F28" s="69">
        <f ca="1">OFFSET(Batting!$CK$4,BatAves!$I28,0)</f>
        <v>8</v>
      </c>
      <c r="G28" s="69">
        <f ca="1">OFFSET(Batting!$CL$4,BatAves!$I28,0)</f>
        <v>26</v>
      </c>
      <c r="H28" s="73">
        <f ca="1">OFFSET(Batting!$CM$4,BatAves!$I28,0)</f>
        <v>3.25</v>
      </c>
      <c r="I28" s="65">
        <f>MATCH(A28,Batting!$DH$5:$DH$57,0)</f>
        <v>47</v>
      </c>
      <c r="J28" s="65">
        <f t="shared" ca="1" si="0"/>
        <v>27</v>
      </c>
      <c r="K28" s="65">
        <f t="shared" ca="1" si="8"/>
        <v>16</v>
      </c>
      <c r="L28" s="65" t="str">
        <f t="shared" ca="1" si="1"/>
        <v/>
      </c>
      <c r="M28" s="65">
        <f t="shared" ca="1" si="9"/>
        <v>25</v>
      </c>
      <c r="N28" s="123">
        <v>27</v>
      </c>
      <c r="O28" s="123" t="str">
        <f t="shared" ca="1" si="2"/>
        <v>Edghill C</v>
      </c>
      <c r="P28" s="123">
        <f t="shared" ca="1" si="3"/>
        <v>1</v>
      </c>
      <c r="Q28" s="123">
        <f t="shared" ca="1" si="4"/>
        <v>0</v>
      </c>
      <c r="R28" s="123">
        <f t="shared" ca="1" si="5"/>
        <v>5</v>
      </c>
      <c r="S28" s="123">
        <f t="shared" ca="1" si="6"/>
        <v>5</v>
      </c>
      <c r="T28" s="125">
        <f t="shared" ca="1" si="7"/>
        <v>5</v>
      </c>
      <c r="V28" s="154"/>
    </row>
    <row r="29" spans="1:23" ht="12.75" x14ac:dyDescent="0.15">
      <c r="A29" s="65">
        <v>28</v>
      </c>
      <c r="B29" s="65" t="str">
        <f ca="1">OFFSET(Batting!$C$4,BatAves!$I29,0)</f>
        <v>Lestrelle A</v>
      </c>
      <c r="C29" s="69">
        <f ca="1">OFFSET(Batting!$CF$4,BatAves!$I29,0)</f>
        <v>4</v>
      </c>
      <c r="D29" s="69">
        <f ca="1">OFFSET(Batting!$CH$4,BatAves!$I29,0)</f>
        <v>2</v>
      </c>
      <c r="E29" s="69">
        <f ca="1">OFFSET(Batting!$CI$4,BatAves!$I29,0)</f>
        <v>0</v>
      </c>
      <c r="F29" s="69">
        <f ca="1">OFFSET(Batting!$CK$4,BatAves!$I29,0)</f>
        <v>4</v>
      </c>
      <c r="G29" s="69">
        <f ca="1">OFFSET(Batting!$CL$4,BatAves!$I29,0)</f>
        <v>5</v>
      </c>
      <c r="H29" s="73">
        <f ca="1">OFFSET(Batting!$CM$4,BatAves!$I29,0)</f>
        <v>2.5</v>
      </c>
      <c r="I29" s="65">
        <f>MATCH(A29,Batting!$DH$5:$DH$57,0)</f>
        <v>26</v>
      </c>
      <c r="J29" s="65">
        <f t="shared" ca="1" si="0"/>
        <v>1028</v>
      </c>
      <c r="K29" s="65">
        <f t="shared" ca="1" si="8"/>
        <v>29</v>
      </c>
      <c r="L29" s="65" t="str">
        <f t="shared" ca="1" si="1"/>
        <v>Lestrelle A 2-0-4-5</v>
      </c>
      <c r="M29" s="65">
        <f t="shared" ca="1" si="9"/>
        <v>26</v>
      </c>
      <c r="N29" s="123">
        <v>28</v>
      </c>
      <c r="O29" s="123" t="str">
        <f t="shared" ca="1" si="2"/>
        <v>Giles M</v>
      </c>
      <c r="P29" s="123">
        <f t="shared" ca="1" si="3"/>
        <v>2</v>
      </c>
      <c r="Q29" s="123">
        <f t="shared" ca="1" si="4"/>
        <v>0</v>
      </c>
      <c r="R29" s="123">
        <f t="shared" ca="1" si="5"/>
        <v>6</v>
      </c>
      <c r="S29" s="123">
        <f t="shared" ca="1" si="6"/>
        <v>8</v>
      </c>
      <c r="T29" s="125">
        <f t="shared" ca="1" si="7"/>
        <v>4</v>
      </c>
      <c r="V29" s="154"/>
    </row>
    <row r="30" spans="1:23" ht="12.75" x14ac:dyDescent="0.15">
      <c r="A30" s="65">
        <v>29</v>
      </c>
      <c r="B30" s="65" t="str">
        <f ca="1">OFFSET(Batting!$C$4,BatAves!$I30,0)</f>
        <v>Foxworthy P</v>
      </c>
      <c r="C30" s="69">
        <f ca="1">OFFSET(Batting!$CF$4,BatAves!$I30,0)</f>
        <v>3</v>
      </c>
      <c r="D30" s="69">
        <f ca="1">OFFSET(Batting!$CH$4,BatAves!$I30,0)</f>
        <v>3</v>
      </c>
      <c r="E30" s="69">
        <f ca="1">OFFSET(Batting!$CI$4,BatAves!$I30,0)</f>
        <v>0</v>
      </c>
      <c r="F30" s="69">
        <f ca="1">OFFSET(Batting!$CK$4,BatAves!$I30,0)</f>
        <v>4</v>
      </c>
      <c r="G30" s="69">
        <f ca="1">OFFSET(Batting!$CL$4,BatAves!$I30,0)</f>
        <v>6</v>
      </c>
      <c r="H30" s="73">
        <f ca="1">OFFSET(Batting!$CM$4,BatAves!$I30,0)</f>
        <v>2</v>
      </c>
      <c r="I30" s="65">
        <f>MATCH(A30,Batting!$DH$5:$DH$57,0)</f>
        <v>15</v>
      </c>
      <c r="J30" s="65">
        <f t="shared" ca="1" si="0"/>
        <v>1029</v>
      </c>
      <c r="K30" s="65">
        <f t="shared" ca="1" si="8"/>
        <v>30</v>
      </c>
      <c r="L30" s="65" t="str">
        <f t="shared" ca="1" si="1"/>
        <v>Foxworthy P 3-0-4-6</v>
      </c>
      <c r="M30" s="65">
        <f t="shared" ca="1" si="9"/>
        <v>28</v>
      </c>
      <c r="N30" s="123">
        <v>29</v>
      </c>
      <c r="O30" s="123" t="str">
        <f t="shared" ca="1" si="2"/>
        <v>Lestrelle A</v>
      </c>
      <c r="P30" s="123">
        <f t="shared" ca="1" si="3"/>
        <v>2</v>
      </c>
      <c r="Q30" s="123">
        <f t="shared" ca="1" si="4"/>
        <v>0</v>
      </c>
      <c r="R30" s="123">
        <f t="shared" ca="1" si="5"/>
        <v>4</v>
      </c>
      <c r="S30" s="123">
        <f t="shared" ca="1" si="6"/>
        <v>5</v>
      </c>
      <c r="T30" s="125">
        <f t="shared" ca="1" si="7"/>
        <v>2.5</v>
      </c>
      <c r="V30" s="154"/>
      <c r="W30" s="65" t="s">
        <v>198</v>
      </c>
    </row>
    <row r="31" spans="1:23" ht="12.75" x14ac:dyDescent="0.15">
      <c r="A31" s="65">
        <v>30</v>
      </c>
      <c r="B31" s="65" t="str">
        <f ca="1">OFFSET(Batting!$C$4,BatAves!$I31,0)</f>
        <v>Woodhouse M</v>
      </c>
      <c r="C31" s="69">
        <f ca="1">OFFSET(Batting!$CF$4,BatAves!$I31,0)</f>
        <v>2</v>
      </c>
      <c r="D31" s="69">
        <f ca="1">OFFSET(Batting!$CH$4,BatAves!$I31,0)</f>
        <v>2</v>
      </c>
      <c r="E31" s="69">
        <f ca="1">OFFSET(Batting!$CI$4,BatAves!$I31,0)</f>
        <v>0</v>
      </c>
      <c r="F31" s="69">
        <f ca="1">OFFSET(Batting!$CK$4,BatAves!$I31,0)</f>
        <v>4</v>
      </c>
      <c r="G31" s="69">
        <f ca="1">OFFSET(Batting!$CL$4,BatAves!$I31,0)</f>
        <v>4</v>
      </c>
      <c r="H31" s="73">
        <f ca="1">OFFSET(Batting!$CM$4,BatAves!$I31,0)</f>
        <v>2</v>
      </c>
      <c r="I31" s="65">
        <f>MATCH(A31,Batting!$DH$5:$DH$57,0)</f>
        <v>53</v>
      </c>
      <c r="J31" s="65">
        <f t="shared" ca="1" si="0"/>
        <v>1030</v>
      </c>
      <c r="K31" s="65">
        <f t="shared" ca="1" si="8"/>
        <v>31</v>
      </c>
      <c r="L31" s="65" t="str">
        <f t="shared" ca="1" si="1"/>
        <v>Woodhouse M 2-0-4-4</v>
      </c>
      <c r="M31" s="65">
        <f t="shared" ca="1" si="9"/>
        <v>29</v>
      </c>
      <c r="N31" s="123">
        <v>30</v>
      </c>
      <c r="O31" s="123" t="str">
        <f t="shared" ca="1" si="2"/>
        <v>Foxworthy P</v>
      </c>
      <c r="P31" s="123">
        <f t="shared" ca="1" si="3"/>
        <v>3</v>
      </c>
      <c r="Q31" s="123">
        <f t="shared" ca="1" si="4"/>
        <v>0</v>
      </c>
      <c r="R31" s="123">
        <f t="shared" ca="1" si="5"/>
        <v>4</v>
      </c>
      <c r="S31" s="123">
        <f t="shared" ca="1" si="6"/>
        <v>6</v>
      </c>
      <c r="T31" s="125">
        <f t="shared" ca="1" si="7"/>
        <v>2</v>
      </c>
      <c r="V31" s="154"/>
      <c r="W31" s="65" t="s">
        <v>198</v>
      </c>
    </row>
    <row r="32" spans="1:23" ht="12.75" x14ac:dyDescent="0.15">
      <c r="A32" s="65">
        <v>31</v>
      </c>
      <c r="B32" s="65" t="str">
        <f ca="1">OFFSET(Batting!$C$4,BatAves!$I32,0)</f>
        <v>Wilson A</v>
      </c>
      <c r="C32" s="69">
        <f ca="1">OFFSET(Batting!$CF$4,BatAves!$I32,0)</f>
        <v>8</v>
      </c>
      <c r="D32" s="69">
        <f ca="1">OFFSET(Batting!$CH$4,BatAves!$I32,0)</f>
        <v>6</v>
      </c>
      <c r="E32" s="69">
        <f ca="1">OFFSET(Batting!$CI$4,BatAves!$I32,0)</f>
        <v>0</v>
      </c>
      <c r="F32" s="69">
        <f ca="1">OFFSET(Batting!$CK$4,BatAves!$I32,0)</f>
        <v>5</v>
      </c>
      <c r="G32" s="69">
        <f ca="1">OFFSET(Batting!$CL$4,BatAves!$I32,0)</f>
        <v>6</v>
      </c>
      <c r="H32" s="73">
        <f ca="1">OFFSET(Batting!$CM$4,BatAves!$I32,0)</f>
        <v>1</v>
      </c>
      <c r="I32" s="65">
        <f>MATCH(A32,Batting!$DH$5:$DH$57,0)</f>
        <v>52</v>
      </c>
      <c r="J32" s="65">
        <f t="shared" ca="1" si="0"/>
        <v>31</v>
      </c>
      <c r="K32" s="65">
        <f t="shared" ca="1" si="8"/>
        <v>17</v>
      </c>
      <c r="L32" s="65" t="str">
        <f t="shared" ca="1" si="1"/>
        <v/>
      </c>
      <c r="M32" s="65">
        <f t="shared" ca="1" si="9"/>
        <v>30</v>
      </c>
      <c r="N32" s="123">
        <v>31</v>
      </c>
      <c r="O32" s="123" t="str">
        <f t="shared" ca="1" si="2"/>
        <v>Woodhouse M</v>
      </c>
      <c r="P32" s="123">
        <f t="shared" ca="1" si="3"/>
        <v>2</v>
      </c>
      <c r="Q32" s="123">
        <f t="shared" ca="1" si="4"/>
        <v>0</v>
      </c>
      <c r="R32" s="123">
        <f t="shared" ca="1" si="5"/>
        <v>4</v>
      </c>
      <c r="S32" s="123">
        <f t="shared" ca="1" si="6"/>
        <v>4</v>
      </c>
      <c r="T32" s="125">
        <f t="shared" ca="1" si="7"/>
        <v>2</v>
      </c>
      <c r="V32" s="154"/>
    </row>
    <row r="33" spans="1:23" ht="12.75" x14ac:dyDescent="0.15">
      <c r="A33" s="65">
        <v>32</v>
      </c>
      <c r="B33" s="65" t="str">
        <f ca="1">OFFSET(Batting!$C$4,BatAves!$I33,0)</f>
        <v>Springer D</v>
      </c>
      <c r="C33" s="69">
        <f ca="1">OFFSET(Batting!$CF$4,BatAves!$I33,0)</f>
        <v>1</v>
      </c>
      <c r="D33" s="69">
        <f ca="1">OFFSET(Batting!$CH$4,BatAves!$I33,0)</f>
        <v>1</v>
      </c>
      <c r="E33" s="69">
        <f ca="1">OFFSET(Batting!$CI$4,BatAves!$I33,0)</f>
        <v>0</v>
      </c>
      <c r="F33" s="69">
        <f ca="1">OFFSET(Batting!$CK$4,BatAves!$I33,0)</f>
        <v>1</v>
      </c>
      <c r="G33" s="69">
        <f ca="1">OFFSET(Batting!$CL$4,BatAves!$I33,0)</f>
        <v>1</v>
      </c>
      <c r="H33" s="73">
        <f ca="1">OFFSET(Batting!$CM$4,BatAves!$I33,0)</f>
        <v>1</v>
      </c>
      <c r="I33" s="65">
        <f>MATCH(A33,Batting!$DH$5:$DH$57,0)</f>
        <v>48</v>
      </c>
      <c r="J33" s="65">
        <f t="shared" ca="1" si="0"/>
        <v>1032</v>
      </c>
      <c r="K33" s="65">
        <f t="shared" ca="1" si="8"/>
        <v>32</v>
      </c>
      <c r="L33" s="65" t="str">
        <f t="shared" ca="1" si="1"/>
        <v>Springer D 1-0-1-1</v>
      </c>
      <c r="M33" s="65">
        <f t="shared" ca="1" si="9"/>
        <v>32</v>
      </c>
      <c r="N33" s="123">
        <v>32</v>
      </c>
      <c r="O33" s="123" t="str">
        <f t="shared" ca="1" si="2"/>
        <v>Springer D</v>
      </c>
      <c r="P33" s="123">
        <f t="shared" ca="1" si="3"/>
        <v>1</v>
      </c>
      <c r="Q33" s="123">
        <f t="shared" ca="1" si="4"/>
        <v>0</v>
      </c>
      <c r="R33" s="123">
        <f t="shared" ca="1" si="5"/>
        <v>1</v>
      </c>
      <c r="S33" s="123">
        <f t="shared" ca="1" si="6"/>
        <v>1</v>
      </c>
      <c r="T33" s="125">
        <f t="shared" ca="1" si="7"/>
        <v>1</v>
      </c>
      <c r="V33" s="154"/>
    </row>
    <row r="34" spans="1:23" ht="12.75" x14ac:dyDescent="0.15">
      <c r="A34" s="65">
        <v>33</v>
      </c>
      <c r="B34" s="65" t="str">
        <f ca="1">OFFSET(Batting!$C$4,BatAves!$I34,0)</f>
        <v>Bowers P</v>
      </c>
      <c r="C34" s="69">
        <f ca="1">OFFSET(Batting!$CF$4,BatAves!$I34,0)</f>
        <v>1</v>
      </c>
      <c r="D34" s="69">
        <f ca="1">OFFSET(Batting!$CH$4,BatAves!$I34,0)</f>
        <v>1</v>
      </c>
      <c r="E34" s="69">
        <f ca="1">OFFSET(Batting!$CI$4,BatAves!$I34,0)</f>
        <v>0</v>
      </c>
      <c r="F34" s="69">
        <f ca="1">OFFSET(Batting!$CK$4,BatAves!$I34,0)</f>
        <v>1</v>
      </c>
      <c r="G34" s="69">
        <f ca="1">OFFSET(Batting!$CL$4,BatAves!$I34,0)</f>
        <v>1</v>
      </c>
      <c r="H34" s="73">
        <f ca="1">OFFSET(Batting!$CM$4,BatAves!$I34,0)</f>
        <v>1</v>
      </c>
      <c r="I34" s="65">
        <f>MATCH(A34,Batting!$DH$5:$DH$57,0)</f>
        <v>5</v>
      </c>
      <c r="J34" s="65">
        <f t="shared" ref="J34:J60" ca="1" si="10">IF(D34&gt;=5,A34,1000+A34)</f>
        <v>1033</v>
      </c>
      <c r="K34" s="65">
        <f t="shared" ca="1" si="8"/>
        <v>33</v>
      </c>
      <c r="L34" s="65" t="str">
        <f t="shared" ref="L34:L60" ca="1" si="11">IF(D34&lt;5,B34&amp;" "&amp;D34&amp;"-"&amp;E34&amp;"-"&amp;F34&amp;"-"&amp;G34,"")</f>
        <v>Bowers P 1-0-1-1</v>
      </c>
      <c r="M34" s="65">
        <f t="shared" ca="1" si="9"/>
        <v>33</v>
      </c>
      <c r="N34" s="123">
        <v>33</v>
      </c>
      <c r="O34" s="123" t="str">
        <f t="shared" ca="1" si="2"/>
        <v>Bowers P</v>
      </c>
      <c r="P34" s="123">
        <f t="shared" ca="1" si="3"/>
        <v>1</v>
      </c>
      <c r="Q34" s="123">
        <f t="shared" ca="1" si="4"/>
        <v>0</v>
      </c>
      <c r="R34" s="123">
        <f t="shared" ca="1" si="5"/>
        <v>1</v>
      </c>
      <c r="S34" s="123">
        <f t="shared" ca="1" si="6"/>
        <v>1</v>
      </c>
      <c r="T34" s="125">
        <f t="shared" ca="1" si="7"/>
        <v>1</v>
      </c>
      <c r="V34" s="154"/>
    </row>
    <row r="35" spans="1:23" ht="12.75" x14ac:dyDescent="0.15">
      <c r="A35" s="65">
        <v>34</v>
      </c>
      <c r="B35" s="65" t="str">
        <f ca="1">OFFSET(Batting!$C$4,BatAves!$I35,0)</f>
        <v>Sharpe H</v>
      </c>
      <c r="C35" s="69">
        <f ca="1">OFFSET(Batting!$CF$4,BatAves!$I35,0)</f>
        <v>2</v>
      </c>
      <c r="D35" s="69">
        <f ca="1">OFFSET(Batting!$CH$4,BatAves!$I35,0)</f>
        <v>1</v>
      </c>
      <c r="E35" s="69">
        <f ca="1">OFFSET(Batting!$CI$4,BatAves!$I35,0)</f>
        <v>0</v>
      </c>
      <c r="F35" s="69">
        <f ca="1">OFFSET(Batting!$CK$4,BatAves!$I35,0)</f>
        <v>0</v>
      </c>
      <c r="G35" s="69">
        <f ca="1">OFFSET(Batting!$CL$4,BatAves!$I35,0)</f>
        <v>0</v>
      </c>
      <c r="H35" s="73">
        <f ca="1">OFFSET(Batting!$CM$4,BatAves!$I35,0)</f>
        <v>0</v>
      </c>
      <c r="I35" s="65">
        <f>MATCH(A35,Batting!$DH$5:$DH$57,0)</f>
        <v>43</v>
      </c>
      <c r="J35" s="65">
        <f t="shared" ca="1" si="10"/>
        <v>1034</v>
      </c>
      <c r="K35" s="65">
        <f t="shared" ca="1" si="8"/>
        <v>34</v>
      </c>
      <c r="L35" s="65" t="str">
        <f t="shared" ca="1" si="11"/>
        <v>Sharpe H 1-0-0-0</v>
      </c>
      <c r="M35" s="65">
        <f t="shared" ca="1" si="9"/>
        <v>34</v>
      </c>
      <c r="N35" s="123">
        <v>34</v>
      </c>
      <c r="O35" s="123" t="str">
        <f t="shared" ca="1" si="2"/>
        <v>Sharpe H</v>
      </c>
      <c r="P35" s="123">
        <f t="shared" ca="1" si="3"/>
        <v>1</v>
      </c>
      <c r="Q35" s="123">
        <f t="shared" ca="1" si="4"/>
        <v>0</v>
      </c>
      <c r="R35" s="123">
        <f t="shared" ca="1" si="5"/>
        <v>0</v>
      </c>
      <c r="S35" s="123">
        <f t="shared" ca="1" si="6"/>
        <v>0</v>
      </c>
      <c r="T35" s="125">
        <f t="shared" ca="1" si="7"/>
        <v>0</v>
      </c>
      <c r="V35" s="154"/>
    </row>
    <row r="36" spans="1:23" ht="12.75" x14ac:dyDescent="0.15">
      <c r="A36" s="65">
        <v>35</v>
      </c>
      <c r="B36" s="65" t="str">
        <f ca="1">OFFSET(Batting!$C$4,BatAves!$I36,0)</f>
        <v>Joshi</v>
      </c>
      <c r="C36" s="69">
        <f ca="1">OFFSET(Batting!$CF$4,BatAves!$I36,0)</f>
        <v>1</v>
      </c>
      <c r="D36" s="69">
        <f ca="1">OFFSET(Batting!$CH$4,BatAves!$I36,0)</f>
        <v>1</v>
      </c>
      <c r="E36" s="69">
        <f ca="1">OFFSET(Batting!$CI$4,BatAves!$I36,0)</f>
        <v>1</v>
      </c>
      <c r="F36" s="69" t="str">
        <f ca="1">OFFSET(Batting!$CK$4,BatAves!$I36,0)</f>
        <v>6*</v>
      </c>
      <c r="G36" s="69">
        <f ca="1">OFFSET(Batting!$CL$4,BatAves!$I36,0)</f>
        <v>6</v>
      </c>
      <c r="H36" s="73">
        <f ca="1">OFFSET(Batting!$CM$4,BatAves!$I36,0)</f>
        <v>0</v>
      </c>
      <c r="I36" s="65">
        <f>MATCH(A36,Batting!$DH$5:$DH$57,0)</f>
        <v>21</v>
      </c>
      <c r="J36" s="65">
        <f t="shared" ca="1" si="10"/>
        <v>1035</v>
      </c>
      <c r="K36" s="65">
        <f t="shared" ca="1" si="8"/>
        <v>35</v>
      </c>
      <c r="L36" s="65" t="str">
        <f t="shared" ca="1" si="11"/>
        <v>Joshi 1-1-6*-6</v>
      </c>
      <c r="M36" s="65">
        <f t="shared" ca="1" si="9"/>
        <v>35</v>
      </c>
      <c r="N36" s="123">
        <v>35</v>
      </c>
      <c r="O36" s="123" t="str">
        <f t="shared" ca="1" si="2"/>
        <v>Joshi</v>
      </c>
      <c r="P36" s="123">
        <f t="shared" ca="1" si="3"/>
        <v>1</v>
      </c>
      <c r="Q36" s="123">
        <f t="shared" ca="1" si="4"/>
        <v>1</v>
      </c>
      <c r="R36" s="123" t="str">
        <f t="shared" ca="1" si="5"/>
        <v>6*</v>
      </c>
      <c r="S36" s="123">
        <f t="shared" ca="1" si="6"/>
        <v>6</v>
      </c>
      <c r="T36" s="125">
        <f t="shared" ca="1" si="7"/>
        <v>0</v>
      </c>
      <c r="V36" s="154"/>
      <c r="W36" s="127"/>
    </row>
    <row r="37" spans="1:23" ht="12.75" x14ac:dyDescent="0.15">
      <c r="A37" s="65">
        <v>36</v>
      </c>
      <c r="B37" s="65" t="str">
        <f ca="1">OFFSET(Batting!$C$4,BatAves!$I37,0)</f>
        <v>Niran A</v>
      </c>
      <c r="C37" s="69">
        <f ca="1">OFFSET(Batting!$CF$4,BatAves!$I37,0)</f>
        <v>1</v>
      </c>
      <c r="D37" s="69">
        <f ca="1">OFFSET(Batting!$CH$4,BatAves!$I37,0)</f>
        <v>1</v>
      </c>
      <c r="E37" s="69">
        <f ca="1">OFFSET(Batting!$CI$4,BatAves!$I37,0)</f>
        <v>1</v>
      </c>
      <c r="F37" s="69" t="str">
        <f ca="1">OFFSET(Batting!$CK$4,BatAves!$I37,0)</f>
        <v>1*</v>
      </c>
      <c r="G37" s="69">
        <f ca="1">OFFSET(Batting!$CL$4,BatAves!$I37,0)</f>
        <v>1</v>
      </c>
      <c r="H37" s="73">
        <f ca="1">OFFSET(Batting!$CM$4,BatAves!$I37,0)</f>
        <v>0</v>
      </c>
      <c r="I37" s="65">
        <f>MATCH(A37,Batting!$DH$5:$DH$57,0)</f>
        <v>33</v>
      </c>
      <c r="J37" s="65">
        <f t="shared" ca="1" si="10"/>
        <v>1036</v>
      </c>
      <c r="K37" s="65">
        <f t="shared" ca="1" si="8"/>
        <v>36</v>
      </c>
      <c r="L37" s="65" t="str">
        <f t="shared" ca="1" si="11"/>
        <v>Niran A 1-1-1*-1</v>
      </c>
      <c r="M37" s="65">
        <f t="shared" ca="1" si="9"/>
        <v>36</v>
      </c>
      <c r="N37" s="123">
        <v>36</v>
      </c>
      <c r="O37" s="123" t="str">
        <f t="shared" ca="1" si="2"/>
        <v>Niran A</v>
      </c>
      <c r="P37" s="123">
        <f t="shared" ca="1" si="3"/>
        <v>1</v>
      </c>
      <c r="Q37" s="123">
        <f t="shared" ca="1" si="4"/>
        <v>1</v>
      </c>
      <c r="R37" s="123" t="str">
        <f t="shared" ca="1" si="5"/>
        <v>1*</v>
      </c>
      <c r="S37" s="123">
        <f t="shared" ca="1" si="6"/>
        <v>1</v>
      </c>
      <c r="T37" s="125">
        <f t="shared" ca="1" si="7"/>
        <v>0</v>
      </c>
      <c r="V37" s="154"/>
      <c r="W37" s="127"/>
    </row>
    <row r="38" spans="1:23" ht="12.75" x14ac:dyDescent="0.15">
      <c r="A38" s="65">
        <v>37</v>
      </c>
      <c r="B38" s="65" t="str">
        <f ca="1">OFFSET(Batting!$C$4,BatAves!$I38,0)</f>
        <v>Laskar T</v>
      </c>
      <c r="C38" s="69">
        <f ca="1">OFFSET(Batting!$CF$4,BatAves!$I38,0)</f>
        <v>1</v>
      </c>
      <c r="D38" s="69">
        <f ca="1">OFFSET(Batting!$CH$4,BatAves!$I38,0)</f>
        <v>1</v>
      </c>
      <c r="E38" s="69">
        <f ca="1">OFFSET(Batting!$CI$4,BatAves!$I38,0)</f>
        <v>0</v>
      </c>
      <c r="F38" s="69">
        <f ca="1">OFFSET(Batting!$CK$4,BatAves!$I38,0)</f>
        <v>0</v>
      </c>
      <c r="G38" s="69">
        <f ca="1">OFFSET(Batting!$CL$4,BatAves!$I38,0)</f>
        <v>0</v>
      </c>
      <c r="H38" s="73">
        <f ca="1">OFFSET(Batting!$CM$4,BatAves!$I38,0)</f>
        <v>0</v>
      </c>
      <c r="I38" s="65">
        <f>MATCH(A38,Batting!$DH$5:$DH$57,0)</f>
        <v>25</v>
      </c>
      <c r="J38" s="65">
        <f t="shared" ca="1" si="10"/>
        <v>1037</v>
      </c>
      <c r="K38" s="65">
        <f t="shared" ca="1" si="8"/>
        <v>37</v>
      </c>
      <c r="L38" s="65" t="str">
        <f t="shared" ca="1" si="11"/>
        <v>Laskar T 1-0-0-0</v>
      </c>
      <c r="M38" s="65">
        <f t="shared" ca="1" si="9"/>
        <v>37</v>
      </c>
      <c r="N38" s="123">
        <v>37</v>
      </c>
      <c r="O38" s="123" t="str">
        <f t="shared" ca="1" si="2"/>
        <v>Laskar T</v>
      </c>
      <c r="P38" s="123">
        <f t="shared" ca="1" si="3"/>
        <v>1</v>
      </c>
      <c r="Q38" s="123">
        <f t="shared" ca="1" si="4"/>
        <v>0</v>
      </c>
      <c r="R38" s="123">
        <f t="shared" ca="1" si="5"/>
        <v>0</v>
      </c>
      <c r="S38" s="123">
        <f t="shared" ca="1" si="6"/>
        <v>0</v>
      </c>
      <c r="T38" s="125">
        <f t="shared" ca="1" si="7"/>
        <v>0</v>
      </c>
    </row>
    <row r="39" spans="1:23" ht="12.75" x14ac:dyDescent="0.15">
      <c r="A39" s="65">
        <v>38</v>
      </c>
      <c r="B39" s="65" t="str">
        <f ca="1">OFFSET(Batting!$C$4,BatAves!$I39,0)</f>
        <v>Khan W</v>
      </c>
      <c r="C39" s="69">
        <f ca="1">OFFSET(Batting!$CF$4,BatAves!$I39,0)</f>
        <v>1</v>
      </c>
      <c r="D39" s="69">
        <f ca="1">OFFSET(Batting!$CH$4,BatAves!$I39,0)</f>
        <v>1</v>
      </c>
      <c r="E39" s="69">
        <f ca="1">OFFSET(Batting!$CI$4,BatAves!$I39,0)</f>
        <v>0</v>
      </c>
      <c r="F39" s="69">
        <f ca="1">OFFSET(Batting!$CK$4,BatAves!$I39,0)</f>
        <v>0</v>
      </c>
      <c r="G39" s="69">
        <f ca="1">OFFSET(Batting!$CL$4,BatAves!$I39,0)</f>
        <v>0</v>
      </c>
      <c r="H39" s="73">
        <f ca="1">OFFSET(Batting!$CM$4,BatAves!$I39,0)</f>
        <v>0</v>
      </c>
      <c r="I39" s="65">
        <f>MATCH(A39,Batting!$DH$5:$DH$57,0)</f>
        <v>23</v>
      </c>
      <c r="J39" s="65">
        <f t="shared" ca="1" si="10"/>
        <v>1038</v>
      </c>
      <c r="K39" s="65">
        <f t="shared" ca="1" si="8"/>
        <v>38</v>
      </c>
      <c r="L39" s="65" t="str">
        <f t="shared" ca="1" si="11"/>
        <v>Khan W 1-0-0-0</v>
      </c>
      <c r="M39" s="65">
        <f t="shared" ca="1" si="9"/>
        <v>38</v>
      </c>
      <c r="N39" s="123">
        <v>38</v>
      </c>
      <c r="O39" s="123" t="str">
        <f t="shared" ca="1" si="2"/>
        <v>Khan W</v>
      </c>
      <c r="P39" s="123">
        <f t="shared" ca="1" si="3"/>
        <v>1</v>
      </c>
      <c r="Q39" s="123">
        <f t="shared" ca="1" si="4"/>
        <v>0</v>
      </c>
      <c r="R39" s="123">
        <f t="shared" ca="1" si="5"/>
        <v>0</v>
      </c>
      <c r="S39" s="123">
        <f t="shared" ca="1" si="6"/>
        <v>0</v>
      </c>
      <c r="T39" s="125">
        <f t="shared" ca="1" si="7"/>
        <v>0</v>
      </c>
    </row>
    <row r="40" spans="1:23" ht="12.75" x14ac:dyDescent="0.15">
      <c r="A40" s="65">
        <v>39</v>
      </c>
      <c r="B40" s="65" t="str">
        <f ca="1">OFFSET(Batting!$C$4,BatAves!$I40,0)</f>
        <v>Bowers M</v>
      </c>
      <c r="C40" s="69">
        <f ca="1">OFFSET(Batting!$CF$4,BatAves!$I40,0)</f>
        <v>1</v>
      </c>
      <c r="D40" s="69">
        <f ca="1">OFFSET(Batting!$CH$4,BatAves!$I40,0)</f>
        <v>1</v>
      </c>
      <c r="E40" s="69">
        <f ca="1">OFFSET(Batting!$CI$4,BatAves!$I40,0)</f>
        <v>0</v>
      </c>
      <c r="F40" s="69">
        <f ca="1">OFFSET(Batting!$CK$4,BatAves!$I40,0)</f>
        <v>0</v>
      </c>
      <c r="G40" s="69">
        <f ca="1">OFFSET(Batting!$CL$4,BatAves!$I40,0)</f>
        <v>0</v>
      </c>
      <c r="H40" s="73">
        <f ca="1">OFFSET(Batting!$CM$4,BatAves!$I40,0)</f>
        <v>0</v>
      </c>
      <c r="I40" s="65">
        <f>MATCH(A40,Batting!$DH$5:$DH$57,0)</f>
        <v>4</v>
      </c>
      <c r="J40" s="65">
        <f t="shared" ca="1" si="10"/>
        <v>1039</v>
      </c>
      <c r="K40" s="65">
        <f t="shared" ca="1" si="8"/>
        <v>39</v>
      </c>
      <c r="L40" s="65" t="str">
        <f t="shared" ca="1" si="11"/>
        <v>Bowers M 1-0-0-0</v>
      </c>
      <c r="M40" s="65">
        <f t="shared" ca="1" si="9"/>
        <v>39</v>
      </c>
      <c r="N40" s="123">
        <v>39</v>
      </c>
      <c r="O40" s="123" t="str">
        <f t="shared" ca="1" si="2"/>
        <v>Bowers M</v>
      </c>
      <c r="P40" s="123">
        <f t="shared" ca="1" si="3"/>
        <v>1</v>
      </c>
      <c r="Q40" s="123">
        <f t="shared" ca="1" si="4"/>
        <v>0</v>
      </c>
      <c r="R40" s="123">
        <f t="shared" ca="1" si="5"/>
        <v>0</v>
      </c>
      <c r="S40" s="123">
        <f t="shared" ca="1" si="6"/>
        <v>0</v>
      </c>
      <c r="T40" s="125">
        <f t="shared" ca="1" si="7"/>
        <v>0</v>
      </c>
    </row>
    <row r="41" spans="1:23" ht="12.75" x14ac:dyDescent="0.15">
      <c r="A41" s="65">
        <v>40</v>
      </c>
      <c r="B41" s="65" t="str">
        <f ca="1">OFFSET(Batting!$C$4,BatAves!$I41,0)</f>
        <v>Rohan ???</v>
      </c>
      <c r="C41" s="69">
        <f ca="1">OFFSET(Batting!$CF$4,BatAves!$I41,0)</f>
        <v>1</v>
      </c>
      <c r="D41" s="69">
        <f ca="1">OFFSET(Batting!$CH$4,BatAves!$I41,0)</f>
        <v>1</v>
      </c>
      <c r="E41" s="69">
        <f ca="1">OFFSET(Batting!$CI$4,BatAves!$I41,0)</f>
        <v>0</v>
      </c>
      <c r="F41" s="69">
        <f ca="1">OFFSET(Batting!$CK$4,BatAves!$I41,0)</f>
        <v>0</v>
      </c>
      <c r="G41" s="69">
        <f ca="1">OFFSET(Batting!$CL$4,BatAves!$I41,0)</f>
        <v>0</v>
      </c>
      <c r="H41" s="73">
        <f ca="1">OFFSET(Batting!$CM$4,BatAves!$I41,0)</f>
        <v>0</v>
      </c>
      <c r="I41" s="65">
        <f>MATCH(A41,Batting!$DH$5:$DH$57,0)</f>
        <v>1</v>
      </c>
      <c r="J41" s="65">
        <f t="shared" ca="1" si="10"/>
        <v>1040</v>
      </c>
      <c r="K41" s="65">
        <f t="shared" ca="1" si="8"/>
        <v>40</v>
      </c>
      <c r="L41" s="65" t="str">
        <f t="shared" ca="1" si="11"/>
        <v>Rohan ??? 1-0-0-0</v>
      </c>
      <c r="M41" s="65">
        <f t="shared" ca="1" si="9"/>
        <v>40</v>
      </c>
      <c r="N41" s="123">
        <v>40</v>
      </c>
      <c r="O41" s="123" t="str">
        <f t="shared" ca="1" si="2"/>
        <v>Rohan ???</v>
      </c>
      <c r="P41" s="123">
        <f t="shared" ca="1" si="3"/>
        <v>1</v>
      </c>
      <c r="Q41" s="123">
        <f t="shared" ca="1" si="4"/>
        <v>0</v>
      </c>
      <c r="R41" s="123">
        <f t="shared" ca="1" si="5"/>
        <v>0</v>
      </c>
      <c r="S41" s="123">
        <f t="shared" ca="1" si="6"/>
        <v>0</v>
      </c>
      <c r="T41" s="125">
        <f t="shared" ca="1" si="7"/>
        <v>0</v>
      </c>
      <c r="V41" s="65" t="s">
        <v>198</v>
      </c>
    </row>
    <row r="42" spans="1:23" x14ac:dyDescent="0.15">
      <c r="A42" s="65">
        <v>41</v>
      </c>
      <c r="B42" s="65" t="str">
        <f ca="1">OFFSET(Batting!$C$4,BatAves!$I42,0)</f>
        <v>Mehra R</v>
      </c>
      <c r="C42" s="69">
        <f ca="1">OFFSET(Batting!$CF$4,BatAves!$I42,0)</f>
        <v>1</v>
      </c>
      <c r="D42" s="69">
        <f ca="1">OFFSET(Batting!$CH$4,BatAves!$I42,0)</f>
        <v>0</v>
      </c>
      <c r="E42" s="69">
        <f ca="1">OFFSET(Batting!$CI$4,BatAves!$I42,0)</f>
        <v>0</v>
      </c>
      <c r="F42" s="69">
        <f ca="1">OFFSET(Batting!$CK$4,BatAves!$I42,0)</f>
        <v>0</v>
      </c>
      <c r="G42" s="69">
        <f ca="1">OFFSET(Batting!$CL$4,BatAves!$I42,0)</f>
        <v>0</v>
      </c>
      <c r="H42" s="73">
        <f ca="1">OFFSET(Batting!$CM$4,BatAves!$I42,0)</f>
        <v>0</v>
      </c>
      <c r="I42" s="65">
        <f>MATCH(A42,Batting!$DH$5:$DH$57,0)</f>
        <v>29</v>
      </c>
      <c r="J42" s="65">
        <f t="shared" ca="1" si="10"/>
        <v>1041</v>
      </c>
      <c r="K42" s="65">
        <f t="shared" ca="1" si="8"/>
        <v>41</v>
      </c>
      <c r="L42" s="65" t="str">
        <f t="shared" ca="1" si="11"/>
        <v>Mehra R 0-0-0-0</v>
      </c>
      <c r="M42" s="65">
        <f t="shared" ca="1" si="9"/>
        <v>41</v>
      </c>
      <c r="N42" s="119">
        <v>41</v>
      </c>
      <c r="O42" s="119" t="str">
        <f t="shared" ca="1" si="2"/>
        <v>Mehra R</v>
      </c>
      <c r="P42" s="119">
        <f t="shared" ca="1" si="3"/>
        <v>0</v>
      </c>
      <c r="Q42" s="119">
        <f t="shared" ca="1" si="4"/>
        <v>0</v>
      </c>
      <c r="R42" s="119">
        <f t="shared" ca="1" si="5"/>
        <v>0</v>
      </c>
      <c r="S42" s="119">
        <f t="shared" ca="1" si="6"/>
        <v>0</v>
      </c>
      <c r="T42" s="120">
        <f t="shared" ca="1" si="7"/>
        <v>0</v>
      </c>
      <c r="V42" s="65" t="s">
        <v>198</v>
      </c>
    </row>
    <row r="43" spans="1:23" x14ac:dyDescent="0.15">
      <c r="A43" s="65">
        <v>42</v>
      </c>
      <c r="B43" s="65" t="str">
        <f ca="1">OFFSET(Batting!$C$4,BatAves!$I43,0)</f>
        <v>Geghan</v>
      </c>
      <c r="C43" s="69">
        <f ca="1">OFFSET(Batting!$CF$4,BatAves!$I43,0)</f>
        <v>1</v>
      </c>
      <c r="D43" s="69">
        <f ca="1">OFFSET(Batting!$CH$4,BatAves!$I43,0)</f>
        <v>0</v>
      </c>
      <c r="E43" s="69">
        <f ca="1">OFFSET(Batting!$CI$4,BatAves!$I43,0)</f>
        <v>0</v>
      </c>
      <c r="F43" s="69">
        <f ca="1">OFFSET(Batting!$CK$4,BatAves!$I43,0)</f>
        <v>0</v>
      </c>
      <c r="G43" s="69">
        <f ca="1">OFFSET(Batting!$CL$4,BatAves!$I43,0)</f>
        <v>0</v>
      </c>
      <c r="H43" s="73">
        <f ca="1">OFFSET(Batting!$CM$4,BatAves!$I43,0)</f>
        <v>0</v>
      </c>
      <c r="I43" s="65">
        <f>MATCH(A43,Batting!$DH$5:$DH$57,0)</f>
        <v>16</v>
      </c>
      <c r="J43" s="65">
        <f t="shared" ca="1" si="10"/>
        <v>1042</v>
      </c>
      <c r="K43" s="65">
        <f t="shared" ca="1" si="8"/>
        <v>42</v>
      </c>
      <c r="L43" s="65" t="str">
        <f t="shared" ca="1" si="11"/>
        <v>Geghan 0-0-0-0</v>
      </c>
      <c r="M43" s="65">
        <f t="shared" ca="1" si="9"/>
        <v>42</v>
      </c>
      <c r="N43" s="119">
        <v>42</v>
      </c>
      <c r="O43" s="119" t="str">
        <f t="shared" ca="1" si="2"/>
        <v>Geghan</v>
      </c>
      <c r="P43" s="119">
        <f t="shared" ca="1" si="3"/>
        <v>0</v>
      </c>
      <c r="Q43" s="119">
        <f t="shared" ca="1" si="4"/>
        <v>0</v>
      </c>
      <c r="R43" s="119">
        <f t="shared" ca="1" si="5"/>
        <v>0</v>
      </c>
      <c r="S43" s="119">
        <f t="shared" ca="1" si="6"/>
        <v>0</v>
      </c>
      <c r="T43" s="120">
        <f t="shared" ca="1" si="7"/>
        <v>0</v>
      </c>
      <c r="V43" s="65" t="s">
        <v>198</v>
      </c>
    </row>
    <row r="44" spans="1:23" x14ac:dyDescent="0.15">
      <c r="A44" s="65">
        <v>43</v>
      </c>
      <c r="B44" s="65" t="str">
        <f ca="1">OFFSET(Batting!$C$4,BatAves!$I44,0)</f>
        <v>Chima R</v>
      </c>
      <c r="C44" s="69">
        <f ca="1">OFFSET(Batting!$CF$4,BatAves!$I44,0)</f>
        <v>1</v>
      </c>
      <c r="D44" s="69">
        <f ca="1">OFFSET(Batting!$CH$4,BatAves!$I44,0)</f>
        <v>0</v>
      </c>
      <c r="E44" s="69">
        <f ca="1">OFFSET(Batting!$CI$4,BatAves!$I44,0)</f>
        <v>0</v>
      </c>
      <c r="F44" s="69">
        <f ca="1">OFFSET(Batting!$CK$4,BatAves!$I44,0)</f>
        <v>0</v>
      </c>
      <c r="G44" s="69">
        <f ca="1">OFFSET(Batting!$CL$4,BatAves!$I44,0)</f>
        <v>0</v>
      </c>
      <c r="H44" s="73">
        <f ca="1">OFFSET(Batting!$CM$4,BatAves!$I44,0)</f>
        <v>0</v>
      </c>
      <c r="I44" s="65">
        <f>MATCH(A44,Batting!$DH$5:$DH$57,0)</f>
        <v>9</v>
      </c>
      <c r="J44" s="65">
        <f t="shared" ca="1" si="10"/>
        <v>1043</v>
      </c>
      <c r="K44" s="65">
        <f t="shared" ca="1" si="8"/>
        <v>43</v>
      </c>
      <c r="L44" s="65" t="str">
        <f t="shared" ca="1" si="11"/>
        <v>Chima R 0-0-0-0</v>
      </c>
      <c r="V44" s="65" t="s">
        <v>198</v>
      </c>
    </row>
    <row r="45" spans="1:23" x14ac:dyDescent="0.15">
      <c r="A45" s="65">
        <v>44</v>
      </c>
      <c r="B45" s="65" t="str">
        <f ca="1">OFFSET(Batting!$C$4,BatAves!$I45,0)</f>
        <v>Sunkara C</v>
      </c>
      <c r="C45" s="69">
        <f ca="1">OFFSET(Batting!$CF$4,BatAves!$I45,0)</f>
        <v>0</v>
      </c>
      <c r="D45" s="69">
        <f ca="1">OFFSET(Batting!$CH$4,BatAves!$I45,0)</f>
        <v>0</v>
      </c>
      <c r="E45" s="69">
        <f ca="1">OFFSET(Batting!$CI$4,BatAves!$I45,0)</f>
        <v>0</v>
      </c>
      <c r="F45" s="69">
        <f ca="1">OFFSET(Batting!$CK$4,BatAves!$I45,0)</f>
        <v>0</v>
      </c>
      <c r="G45" s="69">
        <f ca="1">OFFSET(Batting!$CL$4,BatAves!$I45,0)</f>
        <v>0</v>
      </c>
      <c r="H45" s="73">
        <f ca="1">OFFSET(Batting!$CM$4,BatAves!$I45,0)</f>
        <v>0</v>
      </c>
      <c r="I45" s="65">
        <f>MATCH(A45,Batting!$DH$5:$DH$57,0)</f>
        <v>50</v>
      </c>
      <c r="J45" s="65">
        <f t="shared" ca="1" si="10"/>
        <v>1044</v>
      </c>
      <c r="K45" s="65">
        <f t="shared" ca="1" si="8"/>
        <v>44</v>
      </c>
      <c r="L45" s="65" t="str">
        <f t="shared" ca="1" si="11"/>
        <v>Sunkara C 0-0-0-0</v>
      </c>
      <c r="V45" s="65" t="s">
        <v>198</v>
      </c>
    </row>
    <row r="46" spans="1:23" x14ac:dyDescent="0.15">
      <c r="A46" s="65">
        <v>45</v>
      </c>
      <c r="B46" s="65" t="str">
        <f ca="1">OFFSET(Batting!$C$4,BatAves!$I46,0)</f>
        <v>Seymour D</v>
      </c>
      <c r="C46" s="69">
        <f ca="1">OFFSET(Batting!$CF$4,BatAves!$I46,0)</f>
        <v>0</v>
      </c>
      <c r="D46" s="69">
        <f ca="1">OFFSET(Batting!$CH$4,BatAves!$I46,0)</f>
        <v>0</v>
      </c>
      <c r="E46" s="69">
        <f ca="1">OFFSET(Batting!$CI$4,BatAves!$I46,0)</f>
        <v>0</v>
      </c>
      <c r="F46" s="69">
        <f ca="1">OFFSET(Batting!$CK$4,BatAves!$I46,0)</f>
        <v>0</v>
      </c>
      <c r="G46" s="69">
        <f ca="1">OFFSET(Batting!$CL$4,BatAves!$I46,0)</f>
        <v>0</v>
      </c>
      <c r="H46" s="73">
        <f ca="1">OFFSET(Batting!$CM$4,BatAves!$I46,0)</f>
        <v>0</v>
      </c>
      <c r="I46" s="65">
        <f>MATCH(A46,Batting!$DH$5:$DH$57,0)</f>
        <v>41</v>
      </c>
      <c r="J46" s="65">
        <f t="shared" ca="1" si="10"/>
        <v>1045</v>
      </c>
      <c r="K46" s="65">
        <f t="shared" ca="1" si="8"/>
        <v>45</v>
      </c>
      <c r="L46" s="65" t="str">
        <f t="shared" ca="1" si="11"/>
        <v>Seymour D 0-0-0-0</v>
      </c>
      <c r="N46" s="119" t="s">
        <v>198</v>
      </c>
      <c r="V46" s="65" t="s">
        <v>198</v>
      </c>
    </row>
    <row r="47" spans="1:23" x14ac:dyDescent="0.15">
      <c r="A47" s="65">
        <v>46</v>
      </c>
      <c r="B47" s="65" t="str">
        <f ca="1">OFFSET(Batting!$C$4,BatAves!$I47,0)</f>
        <v>Seev J</v>
      </c>
      <c r="C47" s="69">
        <f ca="1">OFFSET(Batting!$CF$4,BatAves!$I47,0)</f>
        <v>0</v>
      </c>
      <c r="D47" s="69">
        <f ca="1">OFFSET(Batting!$CH$4,BatAves!$I47,0)</f>
        <v>0</v>
      </c>
      <c r="E47" s="69">
        <f ca="1">OFFSET(Batting!$CI$4,BatAves!$I47,0)</f>
        <v>0</v>
      </c>
      <c r="F47" s="69">
        <f ca="1">OFFSET(Batting!$CK$4,BatAves!$I47,0)</f>
        <v>0</v>
      </c>
      <c r="G47" s="69">
        <f ca="1">OFFSET(Batting!$CL$4,BatAves!$I47,0)</f>
        <v>0</v>
      </c>
      <c r="H47" s="73">
        <f ca="1">OFFSET(Batting!$CM$4,BatAves!$I47,0)</f>
        <v>0</v>
      </c>
      <c r="I47" s="65">
        <f>MATCH(A47,Batting!$DH$5:$DH$57,0)</f>
        <v>39</v>
      </c>
      <c r="J47" s="65">
        <f t="shared" ca="1" si="10"/>
        <v>1046</v>
      </c>
      <c r="K47" s="65">
        <f t="shared" ca="1" si="8"/>
        <v>46</v>
      </c>
      <c r="L47" s="65" t="str">
        <f t="shared" ca="1" si="11"/>
        <v>Seev J 0-0-0-0</v>
      </c>
      <c r="N47" s="119" t="s">
        <v>198</v>
      </c>
      <c r="V47" s="65" t="s">
        <v>198</v>
      </c>
    </row>
    <row r="48" spans="1:23" x14ac:dyDescent="0.15">
      <c r="A48" s="65">
        <v>47</v>
      </c>
      <c r="B48" s="65" t="str">
        <f ca="1">OFFSET(Batting!$C$4,BatAves!$I48,0)</f>
        <v>Rathi N</v>
      </c>
      <c r="C48" s="69">
        <f ca="1">OFFSET(Batting!$CF$4,BatAves!$I48,0)</f>
        <v>0</v>
      </c>
      <c r="D48" s="69">
        <f ca="1">OFFSET(Batting!$CH$4,BatAves!$I48,0)</f>
        <v>0</v>
      </c>
      <c r="E48" s="69">
        <f ca="1">OFFSET(Batting!$CI$4,BatAves!$I48,0)</f>
        <v>0</v>
      </c>
      <c r="F48" s="69">
        <f ca="1">OFFSET(Batting!$CK$4,BatAves!$I48,0)</f>
        <v>0</v>
      </c>
      <c r="G48" s="69">
        <f ca="1">OFFSET(Batting!$CL$4,BatAves!$I48,0)</f>
        <v>0</v>
      </c>
      <c r="H48" s="73">
        <f ca="1">OFFSET(Batting!$CM$4,BatAves!$I48,0)</f>
        <v>0</v>
      </c>
      <c r="I48" s="65">
        <f>MATCH(A48,Batting!$DH$5:$DH$57,0)</f>
        <v>38</v>
      </c>
      <c r="J48" s="65">
        <f t="shared" ca="1" si="10"/>
        <v>1047</v>
      </c>
      <c r="K48" s="65">
        <f t="shared" ca="1" si="8"/>
        <v>47</v>
      </c>
      <c r="L48" s="65" t="str">
        <f t="shared" ca="1" si="11"/>
        <v>Rathi N 0-0-0-0</v>
      </c>
      <c r="N48" s="119" t="s">
        <v>198</v>
      </c>
    </row>
    <row r="49" spans="1:15" x14ac:dyDescent="0.15">
      <c r="A49" s="65">
        <v>48</v>
      </c>
      <c r="B49" s="65" t="str">
        <f ca="1">OFFSET(Batting!$C$4,BatAves!$I49,0)</f>
        <v>O'Rourke</v>
      </c>
      <c r="C49" s="69">
        <f ca="1">OFFSET(Batting!$CF$4,BatAves!$I49,0)</f>
        <v>0</v>
      </c>
      <c r="D49" s="69">
        <f ca="1">OFFSET(Batting!$CH$4,BatAves!$I49,0)</f>
        <v>0</v>
      </c>
      <c r="E49" s="69">
        <f ca="1">OFFSET(Batting!$CI$4,BatAves!$I49,0)</f>
        <v>0</v>
      </c>
      <c r="F49" s="69">
        <f ca="1">OFFSET(Batting!$CK$4,BatAves!$I49,0)</f>
        <v>0</v>
      </c>
      <c r="G49" s="69">
        <f ca="1">OFFSET(Batting!$CL$4,BatAves!$I49,0)</f>
        <v>0</v>
      </c>
      <c r="H49" s="73">
        <f ca="1">OFFSET(Batting!$CM$4,BatAves!$I49,0)</f>
        <v>0</v>
      </c>
      <c r="I49" s="65">
        <f>MATCH(A49,Batting!$DH$5:$DH$57,0)</f>
        <v>36</v>
      </c>
      <c r="J49" s="65">
        <f t="shared" ca="1" si="10"/>
        <v>1048</v>
      </c>
      <c r="K49" s="65">
        <f t="shared" ca="1" si="8"/>
        <v>48</v>
      </c>
      <c r="L49" s="65" t="str">
        <f t="shared" ca="1" si="11"/>
        <v>O'Rourke 0-0-0-0</v>
      </c>
      <c r="N49" s="119" t="s">
        <v>198</v>
      </c>
      <c r="O49" s="121" t="s">
        <v>198</v>
      </c>
    </row>
    <row r="50" spans="1:15" x14ac:dyDescent="0.15">
      <c r="A50" s="65">
        <v>49</v>
      </c>
      <c r="B50" s="65" t="str">
        <f ca="1">OFFSET(Batting!$C$4,BatAves!$I50,0)</f>
        <v>Kiernan M</v>
      </c>
      <c r="C50" s="69">
        <f ca="1">OFFSET(Batting!$CF$4,BatAves!$I50,0)</f>
        <v>0</v>
      </c>
      <c r="D50" s="69">
        <f ca="1">OFFSET(Batting!$CH$4,BatAves!$I50,0)</f>
        <v>0</v>
      </c>
      <c r="E50" s="69">
        <f ca="1">OFFSET(Batting!$CI$4,BatAves!$I50,0)</f>
        <v>0</v>
      </c>
      <c r="F50" s="69">
        <f ca="1">OFFSET(Batting!$CK$4,BatAves!$I50,0)</f>
        <v>0</v>
      </c>
      <c r="G50" s="69">
        <f ca="1">OFFSET(Batting!$CL$4,BatAves!$I50,0)</f>
        <v>0</v>
      </c>
      <c r="H50" s="73">
        <f ca="1">OFFSET(Batting!$CM$4,BatAves!$I50,0)</f>
        <v>0</v>
      </c>
      <c r="I50" s="65">
        <f>MATCH(A50,Batting!$DH$5:$DH$57,0)</f>
        <v>24</v>
      </c>
      <c r="J50" s="65">
        <f t="shared" ca="1" si="10"/>
        <v>1049</v>
      </c>
      <c r="K50" s="65">
        <f t="shared" ca="1" si="8"/>
        <v>49</v>
      </c>
      <c r="L50" s="65" t="str">
        <f t="shared" ca="1" si="11"/>
        <v>Kiernan M 0-0-0-0</v>
      </c>
      <c r="N50" s="119" t="s">
        <v>198</v>
      </c>
      <c r="O50" s="121" t="s">
        <v>198</v>
      </c>
    </row>
    <row r="51" spans="1:15" x14ac:dyDescent="0.15">
      <c r="A51" s="65">
        <v>50</v>
      </c>
      <c r="B51" s="65" t="str">
        <f ca="1">OFFSET(Batting!$C$4,BatAves!$I51,0)</f>
        <v>Hayes J</v>
      </c>
      <c r="C51" s="69">
        <f ca="1">OFFSET(Batting!$CF$4,BatAves!$I51,0)</f>
        <v>0</v>
      </c>
      <c r="D51" s="69">
        <f ca="1">OFFSET(Batting!$CH$4,BatAves!$I51,0)</f>
        <v>0</v>
      </c>
      <c r="E51" s="69">
        <f ca="1">OFFSET(Batting!$CI$4,BatAves!$I51,0)</f>
        <v>0</v>
      </c>
      <c r="F51" s="69">
        <f ca="1">OFFSET(Batting!$CK$4,BatAves!$I51,0)</f>
        <v>0</v>
      </c>
      <c r="G51" s="69">
        <f ca="1">OFFSET(Batting!$CL$4,BatAves!$I51,0)</f>
        <v>0</v>
      </c>
      <c r="H51" s="73">
        <f ca="1">OFFSET(Batting!$CM$4,BatAves!$I51,0)</f>
        <v>0</v>
      </c>
      <c r="I51" s="65">
        <f>MATCH(A51,Batting!$DH$5:$DH$57,0)</f>
        <v>19</v>
      </c>
      <c r="J51" s="65">
        <f t="shared" ca="1" si="10"/>
        <v>1050</v>
      </c>
      <c r="K51" s="65">
        <f t="shared" ca="1" si="8"/>
        <v>50</v>
      </c>
      <c r="L51" s="65" t="str">
        <f t="shared" ca="1" si="11"/>
        <v>Hayes J 0-0-0-0</v>
      </c>
      <c r="N51" s="119" t="s">
        <v>198</v>
      </c>
      <c r="O51" s="121" t="s">
        <v>198</v>
      </c>
    </row>
    <row r="52" spans="1:15" x14ac:dyDescent="0.15">
      <c r="A52" s="65">
        <v>51</v>
      </c>
      <c r="B52" s="65" t="str">
        <f ca="1">OFFSET(Batting!$C$4,BatAves!$I52,0)</f>
        <v>Foster E</v>
      </c>
      <c r="C52" s="69">
        <f ca="1">OFFSET(Batting!$CF$4,BatAves!$I52,0)</f>
        <v>0</v>
      </c>
      <c r="D52" s="69">
        <f ca="1">OFFSET(Batting!$CH$4,BatAves!$I52,0)</f>
        <v>0</v>
      </c>
      <c r="E52" s="69">
        <f ca="1">OFFSET(Batting!$CI$4,BatAves!$I52,0)</f>
        <v>0</v>
      </c>
      <c r="F52" s="69">
        <f ca="1">OFFSET(Batting!$CK$4,BatAves!$I52,0)</f>
        <v>0</v>
      </c>
      <c r="G52" s="69">
        <f ca="1">OFFSET(Batting!$CL$4,BatAves!$I52,0)</f>
        <v>0</v>
      </c>
      <c r="H52" s="73">
        <f ca="1">OFFSET(Batting!$CM$4,BatAves!$I52,0)</f>
        <v>0</v>
      </c>
      <c r="I52" s="65">
        <f>MATCH(A52,Batting!$DH$5:$DH$57,0)</f>
        <v>14</v>
      </c>
      <c r="J52" s="65">
        <f t="shared" ca="1" si="10"/>
        <v>1051</v>
      </c>
      <c r="K52" s="65">
        <f t="shared" ca="1" si="8"/>
        <v>51</v>
      </c>
      <c r="L52" s="65" t="str">
        <f t="shared" ca="1" si="11"/>
        <v>Foster E 0-0-0-0</v>
      </c>
      <c r="N52" s="119" t="s">
        <v>198</v>
      </c>
      <c r="O52" s="121" t="s">
        <v>198</v>
      </c>
    </row>
    <row r="53" spans="1:15" x14ac:dyDescent="0.15">
      <c r="A53" s="65">
        <v>52</v>
      </c>
      <c r="B53" s="65" t="str">
        <f ca="1">OFFSET(Batting!$C$4,BatAves!$I53,0)</f>
        <v>Crawford S</v>
      </c>
      <c r="C53" s="69">
        <f ca="1">OFFSET(Batting!$CF$4,BatAves!$I53,0)</f>
        <v>0</v>
      </c>
      <c r="D53" s="69">
        <f ca="1">OFFSET(Batting!$CH$4,BatAves!$I53,0)</f>
        <v>0</v>
      </c>
      <c r="E53" s="69">
        <f ca="1">OFFSET(Batting!$CI$4,BatAves!$I53,0)</f>
        <v>0</v>
      </c>
      <c r="F53" s="69">
        <f ca="1">OFFSET(Batting!$CK$4,BatAves!$I53,0)</f>
        <v>0</v>
      </c>
      <c r="G53" s="69">
        <f ca="1">OFFSET(Batting!$CL$4,BatAves!$I53,0)</f>
        <v>0</v>
      </c>
      <c r="H53" s="73">
        <f ca="1">OFFSET(Batting!$CM$4,BatAves!$I53,0)</f>
        <v>0</v>
      </c>
      <c r="I53" s="65">
        <f>MATCH(A53,Batting!$DH$5:$DH$57,0)</f>
        <v>11</v>
      </c>
      <c r="J53" s="65">
        <f t="shared" ca="1" si="10"/>
        <v>1052</v>
      </c>
      <c r="K53" s="65">
        <f t="shared" ca="1" si="8"/>
        <v>52</v>
      </c>
      <c r="L53" s="65" t="str">
        <f t="shared" ca="1" si="11"/>
        <v>Crawford S 0-0-0-0</v>
      </c>
      <c r="N53" s="119" t="s">
        <v>198</v>
      </c>
      <c r="O53" s="121" t="s">
        <v>198</v>
      </c>
    </row>
    <row r="54" spans="1:15" x14ac:dyDescent="0.15">
      <c r="A54" s="65">
        <v>53</v>
      </c>
      <c r="B54" s="65" t="str">
        <f ca="1">OFFSET(Batting!$C$4,BatAves!$I54,0)</f>
        <v>Castle D</v>
      </c>
      <c r="C54" s="69">
        <f ca="1">OFFSET(Batting!$CF$4,BatAves!$I54,0)</f>
        <v>0</v>
      </c>
      <c r="D54" s="69">
        <f ca="1">OFFSET(Batting!$CH$4,BatAves!$I54,0)</f>
        <v>0</v>
      </c>
      <c r="E54" s="69">
        <f ca="1">OFFSET(Batting!$CI$4,BatAves!$I54,0)</f>
        <v>0</v>
      </c>
      <c r="F54" s="69">
        <f ca="1">OFFSET(Batting!$CK$4,BatAves!$I54,0)</f>
        <v>0</v>
      </c>
      <c r="G54" s="69">
        <f ca="1">OFFSET(Batting!$CL$4,BatAves!$I54,0)</f>
        <v>0</v>
      </c>
      <c r="H54" s="73">
        <f ca="1">OFFSET(Batting!$CM$4,BatAves!$I54,0)</f>
        <v>0</v>
      </c>
      <c r="I54" s="65">
        <f>MATCH(A54,Batting!$DH$5:$DH$57,0)</f>
        <v>7</v>
      </c>
      <c r="J54" s="65">
        <f t="shared" ca="1" si="10"/>
        <v>1053</v>
      </c>
      <c r="K54" s="65">
        <f t="shared" ca="1" si="8"/>
        <v>53</v>
      </c>
      <c r="L54" s="65" t="str">
        <f t="shared" ca="1" si="11"/>
        <v>Castle D 0-0-0-0</v>
      </c>
      <c r="N54" s="119" t="s">
        <v>198</v>
      </c>
      <c r="O54" s="121" t="s">
        <v>198</v>
      </c>
    </row>
    <row r="55" spans="1:15" x14ac:dyDescent="0.15">
      <c r="A55" s="65">
        <v>54</v>
      </c>
      <c r="B55" s="65" t="e">
        <f ca="1">OFFSET(Batting!$C$4,BatAves!$I55,0)</f>
        <v>#N/A</v>
      </c>
      <c r="C55" s="69" t="e">
        <f ca="1">OFFSET(Batting!$CF$4,BatAves!$I55,0)</f>
        <v>#N/A</v>
      </c>
      <c r="D55" s="69" t="e">
        <f ca="1">OFFSET(Batting!$CH$4,BatAves!$I55,0)</f>
        <v>#N/A</v>
      </c>
      <c r="E55" s="69" t="e">
        <f ca="1">OFFSET(Batting!$CI$4,BatAves!$I55,0)</f>
        <v>#N/A</v>
      </c>
      <c r="F55" s="69" t="e">
        <f ca="1">OFFSET(Batting!$CK$4,BatAves!$I55,0)</f>
        <v>#N/A</v>
      </c>
      <c r="G55" s="69" t="e">
        <f ca="1">OFFSET(Batting!$CL$4,BatAves!$I55,0)</f>
        <v>#N/A</v>
      </c>
      <c r="H55" s="73" t="e">
        <f ca="1">OFFSET(Batting!$CM$4,BatAves!$I55,0)</f>
        <v>#N/A</v>
      </c>
      <c r="I55" s="65" t="e">
        <f>MATCH(A55,Batting!$DH$5:$DH$57,0)</f>
        <v>#N/A</v>
      </c>
      <c r="J55" s="65" t="e">
        <f t="shared" ca="1" si="10"/>
        <v>#N/A</v>
      </c>
      <c r="K55" s="65" t="e">
        <f t="shared" ca="1" si="8"/>
        <v>#N/A</v>
      </c>
      <c r="L55" s="65" t="e">
        <f t="shared" ca="1" si="11"/>
        <v>#N/A</v>
      </c>
      <c r="N55" s="119" t="s">
        <v>198</v>
      </c>
      <c r="O55" s="121" t="s">
        <v>198</v>
      </c>
    </row>
    <row r="56" spans="1:15" x14ac:dyDescent="0.15">
      <c r="A56" s="65">
        <v>55</v>
      </c>
      <c r="B56" s="65" t="e">
        <f ca="1">OFFSET(Batting!$C$4,BatAves!$I56,0)</f>
        <v>#N/A</v>
      </c>
      <c r="C56" s="69" t="e">
        <f ca="1">OFFSET(Batting!$CF$4,BatAves!$I56,0)</f>
        <v>#N/A</v>
      </c>
      <c r="D56" s="69" t="e">
        <f ca="1">OFFSET(Batting!$CH$4,BatAves!$I56,0)</f>
        <v>#N/A</v>
      </c>
      <c r="E56" s="69" t="e">
        <f ca="1">OFFSET(Batting!$CI$4,BatAves!$I56,0)</f>
        <v>#N/A</v>
      </c>
      <c r="F56" s="69" t="e">
        <f ca="1">OFFSET(Batting!$CK$4,BatAves!$I56,0)</f>
        <v>#N/A</v>
      </c>
      <c r="G56" s="69" t="e">
        <f ca="1">OFFSET(Batting!$CL$4,BatAves!$I56,0)</f>
        <v>#N/A</v>
      </c>
      <c r="H56" s="73" t="e">
        <f ca="1">OFFSET(Batting!$CM$4,BatAves!$I56,0)</f>
        <v>#N/A</v>
      </c>
      <c r="I56" s="65" t="e">
        <f>MATCH(A56,Batting!$DH$5:$DH$57,0)</f>
        <v>#N/A</v>
      </c>
      <c r="J56" s="65" t="e">
        <f t="shared" ca="1" si="10"/>
        <v>#N/A</v>
      </c>
      <c r="K56" s="65" t="e">
        <f t="shared" ca="1" si="8"/>
        <v>#N/A</v>
      </c>
      <c r="L56" s="65" t="e">
        <f t="shared" ca="1" si="11"/>
        <v>#N/A</v>
      </c>
      <c r="N56" s="119" t="s">
        <v>198</v>
      </c>
      <c r="O56" s="121" t="s">
        <v>198</v>
      </c>
    </row>
    <row r="57" spans="1:15" x14ac:dyDescent="0.15">
      <c r="A57" s="65">
        <v>56</v>
      </c>
      <c r="B57" s="65" t="e">
        <f ca="1">OFFSET(Batting!$C$4,BatAves!$I57,0)</f>
        <v>#N/A</v>
      </c>
      <c r="C57" s="69" t="e">
        <f ca="1">OFFSET(Batting!$CF$4,BatAves!$I57,0)</f>
        <v>#N/A</v>
      </c>
      <c r="D57" s="69" t="e">
        <f ca="1">OFFSET(Batting!$CH$4,BatAves!$I57,0)</f>
        <v>#N/A</v>
      </c>
      <c r="E57" s="69" t="e">
        <f ca="1">OFFSET(Batting!$CI$4,BatAves!$I57,0)</f>
        <v>#N/A</v>
      </c>
      <c r="F57" s="69" t="e">
        <f ca="1">OFFSET(Batting!$CK$4,BatAves!$I57,0)</f>
        <v>#N/A</v>
      </c>
      <c r="G57" s="69" t="e">
        <f ca="1">OFFSET(Batting!$CL$4,BatAves!$I57,0)</f>
        <v>#N/A</v>
      </c>
      <c r="H57" s="73" t="e">
        <f ca="1">OFFSET(Batting!$CM$4,BatAves!$I57,0)</f>
        <v>#N/A</v>
      </c>
      <c r="I57" s="65" t="e">
        <f>MATCH(A57,Batting!$DH$5:$DH$57,0)</f>
        <v>#N/A</v>
      </c>
      <c r="J57" s="65" t="e">
        <f t="shared" ca="1" si="10"/>
        <v>#N/A</v>
      </c>
      <c r="K57" s="65" t="e">
        <f t="shared" ca="1" si="8"/>
        <v>#N/A</v>
      </c>
      <c r="L57" s="65" t="e">
        <f t="shared" ca="1" si="11"/>
        <v>#N/A</v>
      </c>
      <c r="O57" s="121" t="s">
        <v>198</v>
      </c>
    </row>
    <row r="58" spans="1:15" x14ac:dyDescent="0.15">
      <c r="A58" s="65">
        <v>57</v>
      </c>
      <c r="B58" s="65" t="e">
        <f ca="1">OFFSET(Batting!$C$4,BatAves!$I58,0)</f>
        <v>#N/A</v>
      </c>
      <c r="C58" s="69" t="e">
        <f ca="1">OFFSET(Batting!$CF$4,BatAves!$I58,0)</f>
        <v>#N/A</v>
      </c>
      <c r="D58" s="69" t="e">
        <f ca="1">OFFSET(Batting!$CH$4,BatAves!$I58,0)</f>
        <v>#N/A</v>
      </c>
      <c r="E58" s="69" t="e">
        <f ca="1">OFFSET(Batting!$CI$4,BatAves!$I58,0)</f>
        <v>#N/A</v>
      </c>
      <c r="F58" s="69" t="e">
        <f ca="1">OFFSET(Batting!$CK$4,BatAves!$I58,0)</f>
        <v>#N/A</v>
      </c>
      <c r="G58" s="69" t="e">
        <f ca="1">OFFSET(Batting!$CL$4,BatAves!$I58,0)</f>
        <v>#N/A</v>
      </c>
      <c r="H58" s="73" t="e">
        <f ca="1">OFFSET(Batting!$CM$4,BatAves!$I58,0)</f>
        <v>#N/A</v>
      </c>
      <c r="I58" s="65" t="e">
        <f>MATCH(A58,Batting!$DH$5:$DH$57,0)</f>
        <v>#N/A</v>
      </c>
      <c r="J58" s="65" t="e">
        <f t="shared" ca="1" si="10"/>
        <v>#N/A</v>
      </c>
      <c r="K58" s="65" t="e">
        <f t="shared" ca="1" si="8"/>
        <v>#N/A</v>
      </c>
      <c r="L58" s="65" t="e">
        <f t="shared" ca="1" si="11"/>
        <v>#N/A</v>
      </c>
      <c r="O58" s="121" t="s">
        <v>198</v>
      </c>
    </row>
    <row r="59" spans="1:15" x14ac:dyDescent="0.15">
      <c r="A59" s="65">
        <v>58</v>
      </c>
      <c r="B59" s="65" t="e">
        <f ca="1">OFFSET(Batting!$C$4,BatAves!$I59,0)</f>
        <v>#N/A</v>
      </c>
      <c r="C59" s="69" t="e">
        <f ca="1">OFFSET(Batting!$CF$4,BatAves!$I59,0)</f>
        <v>#N/A</v>
      </c>
      <c r="D59" s="69" t="e">
        <f ca="1">OFFSET(Batting!$CH$4,BatAves!$I59,0)</f>
        <v>#N/A</v>
      </c>
      <c r="E59" s="69" t="e">
        <f ca="1">OFFSET(Batting!$CI$4,BatAves!$I59,0)</f>
        <v>#N/A</v>
      </c>
      <c r="F59" s="69" t="e">
        <f ca="1">OFFSET(Batting!$CK$4,BatAves!$I59,0)</f>
        <v>#N/A</v>
      </c>
      <c r="G59" s="69" t="e">
        <f ca="1">OFFSET(Batting!$CL$4,BatAves!$I59,0)</f>
        <v>#N/A</v>
      </c>
      <c r="H59" s="73" t="e">
        <f ca="1">OFFSET(Batting!$CM$4,BatAves!$I59,0)</f>
        <v>#N/A</v>
      </c>
      <c r="I59" s="65" t="e">
        <f>MATCH(A59,Batting!$DH$5:$DH$57,0)</f>
        <v>#N/A</v>
      </c>
      <c r="J59" s="65" t="e">
        <f t="shared" ca="1" si="10"/>
        <v>#N/A</v>
      </c>
      <c r="K59" s="65" t="e">
        <f t="shared" ca="1" si="8"/>
        <v>#N/A</v>
      </c>
      <c r="L59" s="65" t="e">
        <f t="shared" ca="1" si="11"/>
        <v>#N/A</v>
      </c>
      <c r="O59" s="121" t="s">
        <v>198</v>
      </c>
    </row>
    <row r="60" spans="1:15" x14ac:dyDescent="0.15">
      <c r="A60" s="65">
        <v>59</v>
      </c>
      <c r="B60" s="65" t="e">
        <f ca="1">OFFSET(Batting!$C$4,BatAves!$I60,0)</f>
        <v>#N/A</v>
      </c>
      <c r="C60" s="69" t="e">
        <f ca="1">OFFSET(Batting!$CF$4,BatAves!$I60,0)</f>
        <v>#N/A</v>
      </c>
      <c r="D60" s="69" t="e">
        <f ca="1">OFFSET(Batting!$CH$4,BatAves!$I60,0)</f>
        <v>#N/A</v>
      </c>
      <c r="E60" s="69" t="e">
        <f ca="1">OFFSET(Batting!$CI$4,BatAves!$I60,0)</f>
        <v>#N/A</v>
      </c>
      <c r="F60" s="69" t="e">
        <f ca="1">OFFSET(Batting!$CK$4,BatAves!$I60,0)</f>
        <v>#N/A</v>
      </c>
      <c r="G60" s="69" t="e">
        <f ca="1">OFFSET(Batting!$CL$4,BatAves!$I60,0)</f>
        <v>#N/A</v>
      </c>
      <c r="H60" s="73" t="e">
        <f ca="1">OFFSET(Batting!$CM$4,BatAves!$I60,0)</f>
        <v>#N/A</v>
      </c>
      <c r="I60" s="65" t="e">
        <f>MATCH(A60,Batting!$DH$5:$DH$57,0)</f>
        <v>#N/A</v>
      </c>
      <c r="J60" s="65" t="e">
        <f t="shared" ca="1" si="10"/>
        <v>#N/A</v>
      </c>
      <c r="K60" s="65" t="e">
        <f t="shared" ca="1" si="8"/>
        <v>#N/A</v>
      </c>
      <c r="L60" s="65" t="e">
        <f t="shared" ca="1" si="11"/>
        <v>#N/A</v>
      </c>
      <c r="O60" s="121" t="s">
        <v>198</v>
      </c>
    </row>
    <row r="61" spans="1:15" x14ac:dyDescent="0.15">
      <c r="O61" s="121" t="s">
        <v>198</v>
      </c>
    </row>
    <row r="66" spans="12:12" x14ac:dyDescent="0.15">
      <c r="L66" s="65" t="s">
        <v>198</v>
      </c>
    </row>
    <row r="67" spans="12:12" x14ac:dyDescent="0.15">
      <c r="L67" s="65" t="s">
        <v>198</v>
      </c>
    </row>
    <row r="68" spans="12:12" x14ac:dyDescent="0.15">
      <c r="L68" s="65" t="s">
        <v>198</v>
      </c>
    </row>
    <row r="69" spans="12:12" x14ac:dyDescent="0.15">
      <c r="L69" s="65" t="s">
        <v>198</v>
      </c>
    </row>
    <row r="70" spans="12:12" x14ac:dyDescent="0.15">
      <c r="L70" s="65" t="s">
        <v>198</v>
      </c>
    </row>
    <row r="71" spans="12:12" x14ac:dyDescent="0.15">
      <c r="L71" s="65" t="s">
        <v>198</v>
      </c>
    </row>
    <row r="72" spans="12:12" x14ac:dyDescent="0.15">
      <c r="L72" s="65" t="s">
        <v>198</v>
      </c>
    </row>
    <row r="73" spans="12:12" x14ac:dyDescent="0.15">
      <c r="L73" s="65" t="s">
        <v>198</v>
      </c>
    </row>
    <row r="74" spans="12:12" x14ac:dyDescent="0.15">
      <c r="L74" s="65" t="s">
        <v>198</v>
      </c>
    </row>
    <row r="75" spans="12:12" x14ac:dyDescent="0.15">
      <c r="L75" s="65" t="s">
        <v>198</v>
      </c>
    </row>
    <row r="76" spans="12:12" x14ac:dyDescent="0.15">
      <c r="L76" s="65" t="s">
        <v>198</v>
      </c>
    </row>
    <row r="77" spans="12:12" x14ac:dyDescent="0.15">
      <c r="L77" s="65" t="s">
        <v>198</v>
      </c>
    </row>
    <row r="78" spans="12:12" x14ac:dyDescent="0.15">
      <c r="L78" s="65" t="s">
        <v>198</v>
      </c>
    </row>
    <row r="79" spans="12:12" x14ac:dyDescent="0.15">
      <c r="L79" s="65" t="s">
        <v>198</v>
      </c>
    </row>
    <row r="80" spans="12:12" x14ac:dyDescent="0.15">
      <c r="L80" s="65" t="s">
        <v>198</v>
      </c>
    </row>
    <row r="81" spans="12:12" x14ac:dyDescent="0.15">
      <c r="L81" s="65" t="s">
        <v>198</v>
      </c>
    </row>
    <row r="82" spans="12:12" x14ac:dyDescent="0.15">
      <c r="L82" s="65" t="s">
        <v>198</v>
      </c>
    </row>
  </sheetData>
  <sortState ref="O51:O82">
    <sortCondition ref="O51:O82"/>
  </sortState>
  <phoneticPr fontId="0" type="noConversion"/>
  <pageMargins left="0.75" right="0.75" top="1" bottom="1" header="0.5" footer="0.5"/>
  <pageSetup paperSize="9" orientation="portrait" horizontalDpi="300" verticalDpi="30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AZ89"/>
  <sheetViews>
    <sheetView showGridLines="0" topLeftCell="A46" zoomScaleNormal="100" workbookViewId="0">
      <selection activeCell="AM74" sqref="AM74"/>
    </sheetView>
  </sheetViews>
  <sheetFormatPr defaultRowHeight="11.25" x14ac:dyDescent="0.15"/>
  <cols>
    <col min="1" max="1" width="3" style="193" bestFit="1" customWidth="1"/>
    <col min="2" max="2" width="14.28515625" style="193" bestFit="1" customWidth="1"/>
    <col min="3" max="3" width="4.7109375" style="193" bestFit="1" customWidth="1"/>
    <col min="4" max="4" width="4.5703125" style="193" bestFit="1" customWidth="1"/>
    <col min="5" max="5" width="5.140625" style="193" bestFit="1" customWidth="1"/>
    <col min="6" max="6" width="5.42578125" style="193" bestFit="1" customWidth="1"/>
    <col min="7" max="7" width="5.7109375" style="193" bestFit="1" customWidth="1"/>
    <col min="8" max="8" width="2.7109375" style="193" customWidth="1"/>
    <col min="9" max="9" width="3" style="193" bestFit="1" customWidth="1"/>
    <col min="10" max="10" width="12" style="193" bestFit="1" customWidth="1"/>
    <col min="11" max="11" width="5.7109375" style="193" bestFit="1" customWidth="1"/>
    <col min="12" max="12" width="5.28515625" style="193" bestFit="1" customWidth="1"/>
    <col min="13" max="13" width="5.140625" style="193" bestFit="1" customWidth="1"/>
    <col min="14" max="14" width="7.42578125" style="193" bestFit="1" customWidth="1"/>
    <col min="15" max="15" width="5.5703125" style="193" bestFit="1" customWidth="1"/>
    <col min="16" max="17" width="5.42578125" style="193" bestFit="1" customWidth="1"/>
    <col min="18" max="18" width="4.28515625" style="193" bestFit="1" customWidth="1"/>
    <col min="19" max="19" width="2.7109375" style="193" customWidth="1"/>
    <col min="20" max="20" width="4" style="193" bestFit="1" customWidth="1"/>
    <col min="21" max="21" width="4.5703125" style="193" bestFit="1" customWidth="1"/>
    <col min="22" max="22" width="5.28515625" style="193" bestFit="1" customWidth="1"/>
    <col min="23" max="23" width="10.140625" style="193" bestFit="1" customWidth="1"/>
    <col min="24" max="24" width="3.5703125" style="193" bestFit="1" customWidth="1"/>
    <col min="25" max="25" width="3.28515625" style="193" bestFit="1" customWidth="1"/>
    <col min="26" max="26" width="10.140625" style="193" bestFit="1" customWidth="1"/>
    <col min="27" max="27" width="3.5703125" style="193" bestFit="1" customWidth="1"/>
    <col min="28" max="28" width="3.28515625" style="193" bestFit="1" customWidth="1"/>
    <col min="29" max="29" width="18.85546875" style="193" bestFit="1" customWidth="1"/>
    <col min="30" max="30" width="6.42578125" style="232" bestFit="1" customWidth="1"/>
    <col min="31" max="31" width="2.7109375" style="193" customWidth="1"/>
    <col min="32" max="32" width="4.28515625" style="193" bestFit="1" customWidth="1"/>
    <col min="33" max="33" width="12.28515625" style="193" bestFit="1" customWidth="1"/>
    <col min="34" max="34" width="2.7109375" style="193" customWidth="1"/>
    <col min="35" max="35" width="2.7109375" style="193" bestFit="1" customWidth="1"/>
    <col min="36" max="36" width="10.140625" style="193" bestFit="1" customWidth="1"/>
    <col min="37" max="37" width="2.7109375" style="193" customWidth="1"/>
    <col min="38" max="38" width="3.5703125" style="193" bestFit="1" customWidth="1"/>
    <col min="39" max="39" width="14.140625" style="193" bestFit="1" customWidth="1"/>
    <col min="40" max="40" width="2.7109375" style="193" customWidth="1"/>
    <col min="41" max="41" width="2.7109375" style="193" bestFit="1" customWidth="1"/>
    <col min="42" max="42" width="10.140625" style="193" bestFit="1" customWidth="1"/>
    <col min="43" max="43" width="2.7109375" style="117" customWidth="1"/>
    <col min="44" max="44" width="1.85546875" style="193" bestFit="1" customWidth="1"/>
    <col min="45" max="45" width="14.140625" style="193" bestFit="1" customWidth="1"/>
    <col min="46" max="46" width="2.7109375" style="117" customWidth="1"/>
    <col min="47" max="47" width="2.7109375" style="193" bestFit="1" customWidth="1"/>
    <col min="48" max="48" width="13" style="193" customWidth="1"/>
    <col min="49" max="49" width="1.85546875" style="193" bestFit="1" customWidth="1"/>
    <col min="50" max="50" width="13" style="193" customWidth="1"/>
    <col min="51" max="51" width="1.85546875" style="193" bestFit="1" customWidth="1"/>
    <col min="52" max="52" width="13" style="193" customWidth="1"/>
    <col min="53" max="16384" width="9.140625" style="193"/>
  </cols>
  <sheetData>
    <row r="1" spans="1:52" s="188" customFormat="1" x14ac:dyDescent="0.15">
      <c r="A1" s="244" t="s">
        <v>684</v>
      </c>
      <c r="B1" s="246"/>
      <c r="C1" s="246"/>
      <c r="D1" s="246"/>
      <c r="E1" s="246"/>
      <c r="F1" s="246"/>
      <c r="G1" s="245"/>
      <c r="I1" s="244" t="s">
        <v>712</v>
      </c>
      <c r="J1" s="246"/>
      <c r="K1" s="246"/>
      <c r="L1" s="246"/>
      <c r="M1" s="246"/>
      <c r="N1" s="246"/>
      <c r="O1" s="246"/>
      <c r="P1" s="246"/>
      <c r="Q1" s="246"/>
      <c r="R1" s="245"/>
      <c r="T1" s="244" t="s">
        <v>713</v>
      </c>
      <c r="U1" s="246"/>
      <c r="V1" s="246"/>
      <c r="W1" s="246"/>
      <c r="X1" s="246"/>
      <c r="Y1" s="246"/>
      <c r="Z1" s="246"/>
      <c r="AA1" s="246"/>
      <c r="AB1" s="246"/>
      <c r="AC1" s="246"/>
      <c r="AD1" s="245"/>
      <c r="AF1" s="244" t="s">
        <v>722</v>
      </c>
      <c r="AG1" s="245"/>
      <c r="AI1" s="244" t="s">
        <v>723</v>
      </c>
      <c r="AJ1" s="245"/>
      <c r="AL1" s="244" t="s">
        <v>724</v>
      </c>
      <c r="AM1" s="245"/>
      <c r="AO1" s="244" t="s">
        <v>725</v>
      </c>
      <c r="AP1" s="245"/>
      <c r="AR1" s="244" t="s">
        <v>727</v>
      </c>
      <c r="AS1" s="245"/>
      <c r="AU1" s="244" t="s">
        <v>726</v>
      </c>
      <c r="AV1" s="246"/>
      <c r="AW1" s="246"/>
      <c r="AX1" s="246"/>
      <c r="AY1" s="246"/>
      <c r="AZ1" s="245"/>
    </row>
    <row r="2" spans="1:52" x14ac:dyDescent="0.15">
      <c r="A2" s="189"/>
      <c r="B2" s="190" t="s">
        <v>76</v>
      </c>
      <c r="C2" s="191" t="s">
        <v>7</v>
      </c>
      <c r="D2" s="191" t="s">
        <v>208</v>
      </c>
      <c r="E2" s="191" t="s">
        <v>132</v>
      </c>
      <c r="F2" s="191" t="s">
        <v>9</v>
      </c>
      <c r="G2" s="192" t="s">
        <v>33</v>
      </c>
      <c r="I2" s="194"/>
      <c r="J2" s="190" t="s">
        <v>76</v>
      </c>
      <c r="K2" s="191" t="s">
        <v>30</v>
      </c>
      <c r="L2" s="195" t="s">
        <v>31</v>
      </c>
      <c r="M2" s="191" t="s">
        <v>9</v>
      </c>
      <c r="N2" s="191" t="s">
        <v>135</v>
      </c>
      <c r="O2" s="191" t="s">
        <v>33</v>
      </c>
      <c r="P2" s="191" t="s">
        <v>34</v>
      </c>
      <c r="Q2" s="191" t="s">
        <v>35</v>
      </c>
      <c r="R2" s="192" t="s">
        <v>90</v>
      </c>
      <c r="T2" s="196" t="s">
        <v>13</v>
      </c>
      <c r="U2" s="197" t="s">
        <v>77</v>
      </c>
      <c r="V2" s="197" t="s">
        <v>215</v>
      </c>
      <c r="W2" s="197" t="s">
        <v>216</v>
      </c>
      <c r="X2" s="197" t="s">
        <v>217</v>
      </c>
      <c r="Y2" s="197" t="s">
        <v>218</v>
      </c>
      <c r="Z2" s="197" t="s">
        <v>219</v>
      </c>
      <c r="AA2" s="197" t="s">
        <v>220</v>
      </c>
      <c r="AB2" s="197" t="s">
        <v>218</v>
      </c>
      <c r="AC2" s="197" t="s">
        <v>258</v>
      </c>
      <c r="AD2" s="192" t="s">
        <v>0</v>
      </c>
      <c r="AF2" s="194" t="s">
        <v>718</v>
      </c>
      <c r="AG2" s="198" t="s">
        <v>273</v>
      </c>
      <c r="AI2" s="194">
        <v>15</v>
      </c>
      <c r="AJ2" s="198" t="s">
        <v>138</v>
      </c>
      <c r="AL2" s="194">
        <v>103</v>
      </c>
      <c r="AM2" s="198" t="s">
        <v>232</v>
      </c>
      <c r="AO2" s="194">
        <v>10</v>
      </c>
      <c r="AP2" s="198" t="s">
        <v>232</v>
      </c>
      <c r="AQ2" s="193"/>
      <c r="AR2" s="194">
        <v>4</v>
      </c>
      <c r="AS2" s="198" t="s">
        <v>244</v>
      </c>
      <c r="AT2" s="193"/>
      <c r="AU2" s="194">
        <v>19</v>
      </c>
      <c r="AV2" s="208" t="s">
        <v>200</v>
      </c>
      <c r="AW2" s="208">
        <v>6</v>
      </c>
      <c r="AX2" s="208" t="s">
        <v>249</v>
      </c>
      <c r="AY2" s="208">
        <v>1</v>
      </c>
      <c r="AZ2" s="198" t="s">
        <v>517</v>
      </c>
    </row>
    <row r="3" spans="1:52" x14ac:dyDescent="0.2">
      <c r="A3" s="199">
        <v>1</v>
      </c>
      <c r="B3" s="200" t="s">
        <v>273</v>
      </c>
      <c r="C3" s="200">
        <v>11</v>
      </c>
      <c r="D3" s="200">
        <v>1</v>
      </c>
      <c r="E3" s="200" t="s">
        <v>678</v>
      </c>
      <c r="F3" s="200">
        <v>423</v>
      </c>
      <c r="G3" s="201">
        <v>42.3</v>
      </c>
      <c r="I3" s="202">
        <v>1</v>
      </c>
      <c r="J3" s="203" t="s">
        <v>232</v>
      </c>
      <c r="K3" s="200">
        <v>85.3</v>
      </c>
      <c r="L3" s="204">
        <v>13</v>
      </c>
      <c r="M3" s="200">
        <v>384</v>
      </c>
      <c r="N3" s="200">
        <v>22</v>
      </c>
      <c r="O3" s="205">
        <v>17.45</v>
      </c>
      <c r="P3" s="206">
        <v>23.318181818181817</v>
      </c>
      <c r="Q3" s="206">
        <v>4.4912280701754383</v>
      </c>
      <c r="R3" s="207" t="s">
        <v>685</v>
      </c>
      <c r="T3" s="194">
        <v>1</v>
      </c>
      <c r="U3" s="208">
        <v>104</v>
      </c>
      <c r="V3" s="209">
        <v>0</v>
      </c>
      <c r="W3" s="208" t="s">
        <v>138</v>
      </c>
      <c r="X3" s="208">
        <v>62</v>
      </c>
      <c r="Y3" s="209">
        <v>0</v>
      </c>
      <c r="Z3" s="208" t="s">
        <v>200</v>
      </c>
      <c r="AA3" s="208">
        <v>28</v>
      </c>
      <c r="AB3" s="209">
        <v>0</v>
      </c>
      <c r="AC3" s="208" t="s">
        <v>297</v>
      </c>
      <c r="AD3" s="210">
        <v>43723</v>
      </c>
      <c r="AF3" s="194" t="s">
        <v>719</v>
      </c>
      <c r="AG3" s="198" t="s">
        <v>277</v>
      </c>
      <c r="AI3" s="194">
        <v>7</v>
      </c>
      <c r="AJ3" s="198" t="s">
        <v>273</v>
      </c>
      <c r="AL3" s="194">
        <v>67</v>
      </c>
      <c r="AM3" s="198" t="s">
        <v>138</v>
      </c>
      <c r="AO3" s="194">
        <v>7</v>
      </c>
      <c r="AP3" s="198" t="s">
        <v>273</v>
      </c>
      <c r="AQ3" s="193"/>
      <c r="AR3" s="194">
        <v>3</v>
      </c>
      <c r="AS3" s="198" t="s">
        <v>207</v>
      </c>
      <c r="AT3" s="193"/>
      <c r="AU3" s="194">
        <v>19</v>
      </c>
      <c r="AV3" s="208" t="s">
        <v>232</v>
      </c>
      <c r="AW3" s="208">
        <v>6</v>
      </c>
      <c r="AX3" s="208" t="s">
        <v>212</v>
      </c>
      <c r="AY3" s="208">
        <v>1</v>
      </c>
      <c r="AZ3" s="198" t="s">
        <v>164</v>
      </c>
    </row>
    <row r="4" spans="1:52" x14ac:dyDescent="0.2">
      <c r="A4" s="199">
        <v>2</v>
      </c>
      <c r="B4" s="200" t="s">
        <v>232</v>
      </c>
      <c r="C4" s="200">
        <v>19</v>
      </c>
      <c r="D4" s="200">
        <v>1</v>
      </c>
      <c r="E4" s="200">
        <v>94</v>
      </c>
      <c r="F4" s="200">
        <v>699</v>
      </c>
      <c r="G4" s="201">
        <v>38.833333333333336</v>
      </c>
      <c r="I4" s="202">
        <v>2</v>
      </c>
      <c r="J4" s="203" t="s">
        <v>224</v>
      </c>
      <c r="K4" s="200">
        <v>94</v>
      </c>
      <c r="L4" s="204">
        <v>21</v>
      </c>
      <c r="M4" s="200">
        <v>324</v>
      </c>
      <c r="N4" s="200">
        <v>18</v>
      </c>
      <c r="O4" s="205">
        <v>18</v>
      </c>
      <c r="P4" s="206">
        <v>31.333333333333332</v>
      </c>
      <c r="Q4" s="206">
        <v>3.4468085106382977</v>
      </c>
      <c r="R4" s="207" t="s">
        <v>686</v>
      </c>
      <c r="T4" s="194">
        <v>1</v>
      </c>
      <c r="U4" s="208">
        <v>80</v>
      </c>
      <c r="V4" s="209">
        <v>0</v>
      </c>
      <c r="W4" s="208" t="s">
        <v>138</v>
      </c>
      <c r="X4" s="208">
        <v>56</v>
      </c>
      <c r="Y4" s="209">
        <v>0</v>
      </c>
      <c r="Z4" s="208" t="s">
        <v>273</v>
      </c>
      <c r="AA4" s="208">
        <v>38</v>
      </c>
      <c r="AB4" s="209">
        <v>0</v>
      </c>
      <c r="AC4" s="208" t="s">
        <v>661</v>
      </c>
      <c r="AD4" s="210">
        <v>43730</v>
      </c>
      <c r="AF4" s="194" t="s">
        <v>719</v>
      </c>
      <c r="AG4" s="198" t="s">
        <v>232</v>
      </c>
      <c r="AI4" s="194">
        <v>6</v>
      </c>
      <c r="AJ4" s="198" t="s">
        <v>232</v>
      </c>
      <c r="AL4" s="194">
        <v>61</v>
      </c>
      <c r="AM4" s="198" t="s">
        <v>273</v>
      </c>
      <c r="AO4" s="194">
        <v>7</v>
      </c>
      <c r="AP4" s="198" t="s">
        <v>200</v>
      </c>
      <c r="AQ4" s="193"/>
      <c r="AR4" s="194">
        <v>3</v>
      </c>
      <c r="AS4" s="198" t="s">
        <v>193</v>
      </c>
      <c r="AT4" s="193"/>
      <c r="AU4" s="194">
        <v>15</v>
      </c>
      <c r="AV4" s="208" t="s">
        <v>247</v>
      </c>
      <c r="AW4" s="208">
        <v>5</v>
      </c>
      <c r="AX4" s="208" t="s">
        <v>245</v>
      </c>
      <c r="AY4" s="208">
        <v>1</v>
      </c>
      <c r="AZ4" s="198" t="s">
        <v>601</v>
      </c>
    </row>
    <row r="5" spans="1:52" x14ac:dyDescent="0.2">
      <c r="A5" s="199">
        <v>3</v>
      </c>
      <c r="B5" s="200" t="s">
        <v>138</v>
      </c>
      <c r="C5" s="200">
        <v>13</v>
      </c>
      <c r="D5" s="200">
        <v>0</v>
      </c>
      <c r="E5" s="200">
        <v>117</v>
      </c>
      <c r="F5" s="200">
        <v>476</v>
      </c>
      <c r="G5" s="201">
        <v>36.615384615384613</v>
      </c>
      <c r="I5" s="202">
        <v>3</v>
      </c>
      <c r="J5" s="203" t="s">
        <v>247</v>
      </c>
      <c r="K5" s="200">
        <v>83</v>
      </c>
      <c r="L5" s="204">
        <v>17</v>
      </c>
      <c r="M5" s="200">
        <v>300</v>
      </c>
      <c r="N5" s="200">
        <v>15</v>
      </c>
      <c r="O5" s="205">
        <v>20</v>
      </c>
      <c r="P5" s="206">
        <v>33.200000000000003</v>
      </c>
      <c r="Q5" s="206">
        <v>3.6144578313253013</v>
      </c>
      <c r="R5" s="207" t="s">
        <v>687</v>
      </c>
      <c r="T5" s="194">
        <v>1</v>
      </c>
      <c r="U5" s="208">
        <v>70</v>
      </c>
      <c r="V5" s="209">
        <v>0</v>
      </c>
      <c r="W5" s="208" t="s">
        <v>200</v>
      </c>
      <c r="X5" s="208">
        <v>25</v>
      </c>
      <c r="Y5" s="209">
        <v>0</v>
      </c>
      <c r="Z5" s="208" t="s">
        <v>273</v>
      </c>
      <c r="AA5" s="208">
        <v>48</v>
      </c>
      <c r="AB5" s="209">
        <v>0</v>
      </c>
      <c r="AC5" s="208" t="s">
        <v>312</v>
      </c>
      <c r="AD5" s="210">
        <v>43583</v>
      </c>
      <c r="AF5" s="194" t="s">
        <v>720</v>
      </c>
      <c r="AG5" s="198" t="s">
        <v>138</v>
      </c>
      <c r="AI5" s="194">
        <v>5</v>
      </c>
      <c r="AJ5" s="198" t="s">
        <v>210</v>
      </c>
      <c r="AL5" s="194">
        <v>31</v>
      </c>
      <c r="AM5" s="198" t="s">
        <v>200</v>
      </c>
      <c r="AO5" s="194">
        <v>7</v>
      </c>
      <c r="AP5" s="198" t="s">
        <v>138</v>
      </c>
      <c r="AQ5" s="193"/>
      <c r="AR5" s="211">
        <v>2</v>
      </c>
      <c r="AS5" s="212" t="s">
        <v>273</v>
      </c>
      <c r="AT5" s="193"/>
      <c r="AU5" s="194">
        <v>13</v>
      </c>
      <c r="AV5" s="208" t="s">
        <v>207</v>
      </c>
      <c r="AW5" s="208">
        <v>4</v>
      </c>
      <c r="AX5" s="208" t="s">
        <v>234</v>
      </c>
      <c r="AY5" s="208">
        <v>1</v>
      </c>
      <c r="AZ5" s="198" t="s">
        <v>235</v>
      </c>
    </row>
    <row r="6" spans="1:52" x14ac:dyDescent="0.2">
      <c r="A6" s="199">
        <v>4</v>
      </c>
      <c r="B6" s="200" t="s">
        <v>210</v>
      </c>
      <c r="C6" s="200">
        <v>8</v>
      </c>
      <c r="D6" s="200">
        <v>2</v>
      </c>
      <c r="E6" s="200">
        <v>63</v>
      </c>
      <c r="F6" s="200">
        <v>206</v>
      </c>
      <c r="G6" s="201">
        <v>34.333333333333336</v>
      </c>
      <c r="I6" s="202">
        <v>4</v>
      </c>
      <c r="J6" s="203" t="s">
        <v>207</v>
      </c>
      <c r="K6" s="200">
        <v>54.5</v>
      </c>
      <c r="L6" s="204">
        <v>6</v>
      </c>
      <c r="M6" s="200">
        <v>237</v>
      </c>
      <c r="N6" s="200">
        <v>11</v>
      </c>
      <c r="O6" s="205">
        <v>21.55</v>
      </c>
      <c r="P6" s="206">
        <v>29.90909090909091</v>
      </c>
      <c r="Q6" s="206">
        <v>4.3221884498480243</v>
      </c>
      <c r="R6" s="207" t="s">
        <v>688</v>
      </c>
      <c r="T6" s="194">
        <v>1</v>
      </c>
      <c r="U6" s="208">
        <v>56</v>
      </c>
      <c r="V6" s="209">
        <v>0</v>
      </c>
      <c r="W6" s="208" t="s">
        <v>273</v>
      </c>
      <c r="X6" s="208">
        <v>27</v>
      </c>
      <c r="Y6" s="209">
        <v>0</v>
      </c>
      <c r="Z6" s="208" t="s">
        <v>138</v>
      </c>
      <c r="AA6" s="208">
        <v>104</v>
      </c>
      <c r="AB6" s="209">
        <v>0</v>
      </c>
      <c r="AC6" s="208" t="s">
        <v>248</v>
      </c>
      <c r="AD6" s="210">
        <v>43618</v>
      </c>
      <c r="AF6" s="194" t="s">
        <v>721</v>
      </c>
      <c r="AG6" s="198" t="s">
        <v>527</v>
      </c>
      <c r="AI6" s="194">
        <v>3</v>
      </c>
      <c r="AJ6" s="198" t="s">
        <v>422</v>
      </c>
      <c r="AL6" s="194">
        <v>29</v>
      </c>
      <c r="AM6" s="198" t="s">
        <v>210</v>
      </c>
      <c r="AO6" s="194">
        <v>4</v>
      </c>
      <c r="AP6" s="198" t="s">
        <v>210</v>
      </c>
      <c r="AQ6" s="193"/>
      <c r="AT6" s="193"/>
      <c r="AU6" s="194">
        <v>13</v>
      </c>
      <c r="AV6" s="208" t="s">
        <v>138</v>
      </c>
      <c r="AW6" s="208">
        <v>4</v>
      </c>
      <c r="AX6" s="208" t="s">
        <v>165</v>
      </c>
      <c r="AY6" s="208">
        <v>1</v>
      </c>
      <c r="AZ6" s="198" t="s">
        <v>267</v>
      </c>
    </row>
    <row r="7" spans="1:52" x14ac:dyDescent="0.2">
      <c r="A7" s="199">
        <v>5</v>
      </c>
      <c r="B7" s="200" t="s">
        <v>247</v>
      </c>
      <c r="C7" s="200">
        <v>13</v>
      </c>
      <c r="D7" s="200">
        <v>5</v>
      </c>
      <c r="E7" s="200" t="s">
        <v>679</v>
      </c>
      <c r="F7" s="200">
        <v>200</v>
      </c>
      <c r="G7" s="201">
        <v>25</v>
      </c>
      <c r="I7" s="202">
        <v>5</v>
      </c>
      <c r="J7" s="203" t="s">
        <v>422</v>
      </c>
      <c r="K7" s="200">
        <v>74</v>
      </c>
      <c r="L7" s="204">
        <v>6</v>
      </c>
      <c r="M7" s="200">
        <v>370</v>
      </c>
      <c r="N7" s="200">
        <v>15</v>
      </c>
      <c r="O7" s="205">
        <v>24.67</v>
      </c>
      <c r="P7" s="206">
        <v>29.6</v>
      </c>
      <c r="Q7" s="206">
        <v>5</v>
      </c>
      <c r="R7" s="207" t="s">
        <v>689</v>
      </c>
      <c r="T7" s="194">
        <v>2</v>
      </c>
      <c r="U7" s="208">
        <v>165</v>
      </c>
      <c r="V7" s="209">
        <v>0</v>
      </c>
      <c r="W7" s="208" t="s">
        <v>138</v>
      </c>
      <c r="X7" s="208">
        <v>117</v>
      </c>
      <c r="Y7" s="209">
        <v>0</v>
      </c>
      <c r="Z7" s="208" t="s">
        <v>232</v>
      </c>
      <c r="AA7" s="208">
        <v>41</v>
      </c>
      <c r="AB7" s="209">
        <v>0</v>
      </c>
      <c r="AC7" s="208" t="s">
        <v>254</v>
      </c>
      <c r="AD7" s="210">
        <v>43716</v>
      </c>
      <c r="AF7" s="194" t="s">
        <v>716</v>
      </c>
      <c r="AG7" s="198" t="s">
        <v>210</v>
      </c>
      <c r="AI7" s="194">
        <v>2</v>
      </c>
      <c r="AJ7" s="198" t="s">
        <v>207</v>
      </c>
      <c r="AL7" s="194">
        <v>27</v>
      </c>
      <c r="AM7" s="198" t="s">
        <v>265</v>
      </c>
      <c r="AO7" s="194">
        <v>2</v>
      </c>
      <c r="AP7" s="198" t="s">
        <v>247</v>
      </c>
      <c r="AQ7" s="193"/>
      <c r="AT7" s="193"/>
      <c r="AU7" s="194">
        <v>12</v>
      </c>
      <c r="AV7" s="208" t="s">
        <v>193</v>
      </c>
      <c r="AW7" s="208">
        <v>3</v>
      </c>
      <c r="AX7" s="208" t="s">
        <v>243</v>
      </c>
      <c r="AY7" s="208">
        <v>1</v>
      </c>
      <c r="AZ7" s="198" t="s">
        <v>377</v>
      </c>
    </row>
    <row r="8" spans="1:52" x14ac:dyDescent="0.2">
      <c r="A8" s="199">
        <v>6</v>
      </c>
      <c r="B8" s="200" t="s">
        <v>265</v>
      </c>
      <c r="C8" s="200">
        <v>7</v>
      </c>
      <c r="D8" s="200">
        <v>0</v>
      </c>
      <c r="E8" s="200">
        <v>54</v>
      </c>
      <c r="F8" s="200">
        <v>173</v>
      </c>
      <c r="G8" s="201">
        <v>24.714285714285715</v>
      </c>
      <c r="I8" s="202">
        <v>6</v>
      </c>
      <c r="J8" s="203" t="s">
        <v>200</v>
      </c>
      <c r="K8" s="200">
        <v>101</v>
      </c>
      <c r="L8" s="204">
        <v>5</v>
      </c>
      <c r="M8" s="200">
        <v>442</v>
      </c>
      <c r="N8" s="200">
        <v>16</v>
      </c>
      <c r="O8" s="205">
        <v>27.63</v>
      </c>
      <c r="P8" s="206">
        <v>37.875</v>
      </c>
      <c r="Q8" s="206">
        <v>4.3762376237623766</v>
      </c>
      <c r="R8" s="207" t="s">
        <v>690</v>
      </c>
      <c r="T8" s="194">
        <v>2</v>
      </c>
      <c r="U8" s="208">
        <v>99</v>
      </c>
      <c r="V8" s="209">
        <v>0</v>
      </c>
      <c r="W8" s="208" t="s">
        <v>200</v>
      </c>
      <c r="X8" s="208">
        <v>37</v>
      </c>
      <c r="Y8" s="209">
        <v>0</v>
      </c>
      <c r="Z8" s="208" t="s">
        <v>232</v>
      </c>
      <c r="AA8" s="208">
        <v>79</v>
      </c>
      <c r="AB8" s="209">
        <v>0</v>
      </c>
      <c r="AC8" s="208" t="s">
        <v>257</v>
      </c>
      <c r="AD8" s="210">
        <v>43695</v>
      </c>
      <c r="AF8" s="194" t="s">
        <v>717</v>
      </c>
      <c r="AG8" s="198" t="s">
        <v>422</v>
      </c>
      <c r="AI8" s="194">
        <v>2</v>
      </c>
      <c r="AJ8" s="198" t="s">
        <v>265</v>
      </c>
      <c r="AL8" s="194">
        <v>22</v>
      </c>
      <c r="AM8" s="198" t="s">
        <v>422</v>
      </c>
      <c r="AO8" s="194">
        <v>2</v>
      </c>
      <c r="AP8" s="198" t="s">
        <v>422</v>
      </c>
      <c r="AQ8" s="193"/>
      <c r="AT8" s="193"/>
      <c r="AU8" s="194">
        <v>12</v>
      </c>
      <c r="AV8" s="208" t="s">
        <v>422</v>
      </c>
      <c r="AW8" s="208">
        <v>2</v>
      </c>
      <c r="AX8" s="208" t="s">
        <v>301</v>
      </c>
      <c r="AY8" s="208">
        <v>1</v>
      </c>
      <c r="AZ8" s="198" t="s">
        <v>339</v>
      </c>
    </row>
    <row r="9" spans="1:52" x14ac:dyDescent="0.2">
      <c r="A9" s="199">
        <v>7</v>
      </c>
      <c r="B9" s="200" t="s">
        <v>422</v>
      </c>
      <c r="C9" s="200">
        <v>12</v>
      </c>
      <c r="D9" s="200">
        <v>4</v>
      </c>
      <c r="E9" s="200">
        <v>39</v>
      </c>
      <c r="F9" s="200">
        <v>170</v>
      </c>
      <c r="G9" s="201">
        <v>21.25</v>
      </c>
      <c r="I9" s="213">
        <v>7</v>
      </c>
      <c r="J9" s="214" t="s">
        <v>267</v>
      </c>
      <c r="K9" s="215">
        <v>4</v>
      </c>
      <c r="L9" s="216">
        <v>0</v>
      </c>
      <c r="M9" s="215">
        <v>13</v>
      </c>
      <c r="N9" s="215">
        <v>2</v>
      </c>
      <c r="O9" s="217">
        <v>6.5</v>
      </c>
      <c r="P9" s="218">
        <v>12</v>
      </c>
      <c r="Q9" s="218">
        <v>3.25</v>
      </c>
      <c r="R9" s="219" t="s">
        <v>691</v>
      </c>
      <c r="T9" s="194">
        <v>2</v>
      </c>
      <c r="U9" s="208">
        <v>81</v>
      </c>
      <c r="V9" s="209">
        <v>0</v>
      </c>
      <c r="W9" s="208" t="s">
        <v>200</v>
      </c>
      <c r="X9" s="208">
        <v>32</v>
      </c>
      <c r="Y9" s="209">
        <v>0</v>
      </c>
      <c r="Z9" s="208" t="s">
        <v>232</v>
      </c>
      <c r="AA9" s="208">
        <v>90</v>
      </c>
      <c r="AB9" s="209" t="s">
        <v>233</v>
      </c>
      <c r="AC9" s="208" t="s">
        <v>366</v>
      </c>
      <c r="AD9" s="210">
        <v>43610</v>
      </c>
      <c r="AF9" s="194" t="s">
        <v>717</v>
      </c>
      <c r="AG9" s="198" t="s">
        <v>243</v>
      </c>
      <c r="AI9" s="211">
        <v>1</v>
      </c>
      <c r="AJ9" s="212" t="s">
        <v>247</v>
      </c>
      <c r="AL9" s="194">
        <v>21</v>
      </c>
      <c r="AM9" s="198" t="s">
        <v>247</v>
      </c>
      <c r="AO9" s="194">
        <v>2</v>
      </c>
      <c r="AP9" s="198" t="s">
        <v>207</v>
      </c>
      <c r="AQ9" s="193"/>
      <c r="AT9" s="193"/>
      <c r="AU9" s="194">
        <v>11</v>
      </c>
      <c r="AV9" s="208" t="s">
        <v>273</v>
      </c>
      <c r="AW9" s="208">
        <v>2</v>
      </c>
      <c r="AX9" s="208" t="s">
        <v>375</v>
      </c>
      <c r="AY9" s="208">
        <v>1</v>
      </c>
      <c r="AZ9" s="198" t="s">
        <v>451</v>
      </c>
    </row>
    <row r="10" spans="1:52" x14ac:dyDescent="0.2">
      <c r="A10" s="199">
        <v>8</v>
      </c>
      <c r="B10" s="200" t="s">
        <v>200</v>
      </c>
      <c r="C10" s="200">
        <v>17</v>
      </c>
      <c r="D10" s="200">
        <v>2</v>
      </c>
      <c r="E10" s="200">
        <v>37</v>
      </c>
      <c r="F10" s="200">
        <v>259</v>
      </c>
      <c r="G10" s="201">
        <v>17.266666666666666</v>
      </c>
      <c r="I10" s="194">
        <v>8</v>
      </c>
      <c r="J10" s="220" t="s">
        <v>277</v>
      </c>
      <c r="K10" s="221">
        <v>4</v>
      </c>
      <c r="L10" s="222">
        <v>2</v>
      </c>
      <c r="M10" s="221">
        <v>7</v>
      </c>
      <c r="N10" s="221">
        <v>1</v>
      </c>
      <c r="O10" s="223">
        <v>7</v>
      </c>
      <c r="P10" s="224">
        <v>24</v>
      </c>
      <c r="Q10" s="224">
        <v>1.75</v>
      </c>
      <c r="R10" s="225" t="s">
        <v>692</v>
      </c>
      <c r="T10" s="194">
        <v>2</v>
      </c>
      <c r="U10" s="208">
        <v>77</v>
      </c>
      <c r="V10" s="209">
        <v>0</v>
      </c>
      <c r="W10" s="208" t="s">
        <v>200</v>
      </c>
      <c r="X10" s="208">
        <v>28</v>
      </c>
      <c r="Y10" s="209">
        <v>0</v>
      </c>
      <c r="Z10" s="208" t="s">
        <v>232</v>
      </c>
      <c r="AA10" s="208">
        <v>94</v>
      </c>
      <c r="AB10" s="209">
        <v>0</v>
      </c>
      <c r="AC10" s="208" t="s">
        <v>534</v>
      </c>
      <c r="AD10" s="210">
        <v>43667</v>
      </c>
      <c r="AF10" s="194" t="s">
        <v>717</v>
      </c>
      <c r="AG10" s="198" t="s">
        <v>207</v>
      </c>
      <c r="AL10" s="194">
        <v>20</v>
      </c>
      <c r="AM10" s="198" t="s">
        <v>207</v>
      </c>
      <c r="AO10" s="194">
        <v>2</v>
      </c>
      <c r="AP10" s="198" t="s">
        <v>265</v>
      </c>
      <c r="AQ10" s="193"/>
      <c r="AT10" s="193"/>
      <c r="AU10" s="194">
        <v>11</v>
      </c>
      <c r="AV10" s="208" t="s">
        <v>224</v>
      </c>
      <c r="AW10" s="208">
        <v>2</v>
      </c>
      <c r="AX10" s="208" t="s">
        <v>278</v>
      </c>
      <c r="AY10" s="208">
        <v>1</v>
      </c>
      <c r="AZ10" s="198" t="s">
        <v>425</v>
      </c>
    </row>
    <row r="11" spans="1:52" x14ac:dyDescent="0.2">
      <c r="A11" s="199">
        <v>9</v>
      </c>
      <c r="B11" s="200" t="s">
        <v>207</v>
      </c>
      <c r="C11" s="200">
        <v>12</v>
      </c>
      <c r="D11" s="200">
        <v>1</v>
      </c>
      <c r="E11" s="200">
        <v>55</v>
      </c>
      <c r="F11" s="200">
        <v>132</v>
      </c>
      <c r="G11" s="201">
        <v>12</v>
      </c>
      <c r="I11" s="194">
        <v>9</v>
      </c>
      <c r="J11" s="220" t="s">
        <v>375</v>
      </c>
      <c r="K11" s="221">
        <v>3</v>
      </c>
      <c r="L11" s="222">
        <v>0</v>
      </c>
      <c r="M11" s="221">
        <v>8</v>
      </c>
      <c r="N11" s="221">
        <v>1</v>
      </c>
      <c r="O11" s="223">
        <v>8</v>
      </c>
      <c r="P11" s="224">
        <v>18</v>
      </c>
      <c r="Q11" s="224">
        <v>2.6666666666666665</v>
      </c>
      <c r="R11" s="225" t="s">
        <v>693</v>
      </c>
      <c r="T11" s="194">
        <v>2</v>
      </c>
      <c r="U11" s="208">
        <v>58</v>
      </c>
      <c r="V11" s="209">
        <v>0</v>
      </c>
      <c r="W11" s="208" t="s">
        <v>263</v>
      </c>
      <c r="X11" s="208">
        <v>42</v>
      </c>
      <c r="Y11" s="209">
        <v>0</v>
      </c>
      <c r="Z11" s="208" t="s">
        <v>277</v>
      </c>
      <c r="AA11" s="208">
        <v>19</v>
      </c>
      <c r="AB11" s="209">
        <v>0</v>
      </c>
      <c r="AC11" s="208" t="s">
        <v>251</v>
      </c>
      <c r="AD11" s="210">
        <v>43612</v>
      </c>
      <c r="AF11" s="194" t="s">
        <v>717</v>
      </c>
      <c r="AG11" s="198" t="s">
        <v>212</v>
      </c>
      <c r="AL11" s="194">
        <v>10</v>
      </c>
      <c r="AM11" s="198" t="s">
        <v>234</v>
      </c>
      <c r="AO11" s="194">
        <v>1</v>
      </c>
      <c r="AP11" s="198" t="s">
        <v>234</v>
      </c>
      <c r="AQ11" s="193"/>
      <c r="AT11" s="193"/>
      <c r="AU11" s="194">
        <v>9</v>
      </c>
      <c r="AV11" s="208" t="s">
        <v>210</v>
      </c>
      <c r="AW11" s="208">
        <v>2</v>
      </c>
      <c r="AX11" s="208" t="s">
        <v>454</v>
      </c>
      <c r="AY11" s="208">
        <v>1</v>
      </c>
      <c r="AZ11" s="198" t="s">
        <v>288</v>
      </c>
    </row>
    <row r="12" spans="1:52" x14ac:dyDescent="0.2">
      <c r="A12" s="199">
        <v>10</v>
      </c>
      <c r="B12" s="200" t="s">
        <v>212</v>
      </c>
      <c r="C12" s="200">
        <v>5</v>
      </c>
      <c r="D12" s="200">
        <v>2</v>
      </c>
      <c r="E12" s="200" t="s">
        <v>680</v>
      </c>
      <c r="F12" s="200">
        <v>35</v>
      </c>
      <c r="G12" s="201">
        <v>11.666666666666666</v>
      </c>
      <c r="I12" s="194">
        <v>10</v>
      </c>
      <c r="J12" s="220" t="s">
        <v>284</v>
      </c>
      <c r="K12" s="221">
        <v>5</v>
      </c>
      <c r="L12" s="222">
        <v>2</v>
      </c>
      <c r="M12" s="221">
        <v>17</v>
      </c>
      <c r="N12" s="221">
        <v>2</v>
      </c>
      <c r="O12" s="223">
        <v>8.5</v>
      </c>
      <c r="P12" s="224">
        <v>15</v>
      </c>
      <c r="Q12" s="224">
        <v>3.4</v>
      </c>
      <c r="R12" s="225" t="s">
        <v>694</v>
      </c>
      <c r="T12" s="194">
        <v>2</v>
      </c>
      <c r="U12" s="208">
        <v>54</v>
      </c>
      <c r="V12" s="209">
        <v>0</v>
      </c>
      <c r="W12" s="208" t="s">
        <v>200</v>
      </c>
      <c r="X12" s="208">
        <v>30</v>
      </c>
      <c r="Y12" s="209">
        <v>0</v>
      </c>
      <c r="Z12" s="208" t="s">
        <v>232</v>
      </c>
      <c r="AA12" s="208">
        <v>62</v>
      </c>
      <c r="AB12" s="209">
        <v>0</v>
      </c>
      <c r="AC12" s="208" t="s">
        <v>229</v>
      </c>
      <c r="AD12" s="210">
        <v>43590</v>
      </c>
      <c r="AF12" s="194" t="s">
        <v>717</v>
      </c>
      <c r="AG12" s="198" t="s">
        <v>200</v>
      </c>
      <c r="AL12" s="194">
        <v>8</v>
      </c>
      <c r="AM12" s="198" t="s">
        <v>263</v>
      </c>
      <c r="AO12" s="194">
        <v>1</v>
      </c>
      <c r="AP12" s="198" t="s">
        <v>235</v>
      </c>
      <c r="AQ12" s="193"/>
      <c r="AT12" s="193"/>
      <c r="AU12" s="194">
        <v>9</v>
      </c>
      <c r="AV12" s="208" t="s">
        <v>277</v>
      </c>
      <c r="AW12" s="208">
        <v>2</v>
      </c>
      <c r="AX12" s="208" t="s">
        <v>268</v>
      </c>
      <c r="AY12" s="208">
        <v>1</v>
      </c>
      <c r="AZ12" s="198" t="s">
        <v>655</v>
      </c>
    </row>
    <row r="13" spans="1:52" x14ac:dyDescent="0.2">
      <c r="A13" s="199">
        <v>11</v>
      </c>
      <c r="B13" s="200" t="s">
        <v>277</v>
      </c>
      <c r="C13" s="200">
        <v>9</v>
      </c>
      <c r="D13" s="200">
        <v>0</v>
      </c>
      <c r="E13" s="200">
        <v>19</v>
      </c>
      <c r="F13" s="200">
        <v>72</v>
      </c>
      <c r="G13" s="201">
        <v>8</v>
      </c>
      <c r="I13" s="194">
        <v>11</v>
      </c>
      <c r="J13" s="220" t="s">
        <v>245</v>
      </c>
      <c r="K13" s="221">
        <v>33</v>
      </c>
      <c r="L13" s="222">
        <v>7</v>
      </c>
      <c r="M13" s="221">
        <v>116</v>
      </c>
      <c r="N13" s="221">
        <v>9</v>
      </c>
      <c r="O13" s="223">
        <v>12.89</v>
      </c>
      <c r="P13" s="224">
        <v>22</v>
      </c>
      <c r="Q13" s="224">
        <v>3.5151515151515151</v>
      </c>
      <c r="R13" s="225" t="s">
        <v>695</v>
      </c>
      <c r="T13" s="194">
        <v>2</v>
      </c>
      <c r="U13" s="208">
        <v>55</v>
      </c>
      <c r="V13" s="209">
        <v>0</v>
      </c>
      <c r="W13" s="208" t="s">
        <v>138</v>
      </c>
      <c r="X13" s="208">
        <v>56</v>
      </c>
      <c r="Y13" s="209">
        <v>0</v>
      </c>
      <c r="Z13" s="208" t="s">
        <v>265</v>
      </c>
      <c r="AA13" s="208">
        <v>45</v>
      </c>
      <c r="AB13" s="209">
        <v>0</v>
      </c>
      <c r="AC13" s="208" t="s">
        <v>661</v>
      </c>
      <c r="AD13" s="210">
        <v>43730</v>
      </c>
      <c r="AF13" s="194" t="s">
        <v>717</v>
      </c>
      <c r="AG13" s="198" t="s">
        <v>244</v>
      </c>
      <c r="AL13" s="194">
        <v>7</v>
      </c>
      <c r="AM13" s="198" t="s">
        <v>277</v>
      </c>
      <c r="AO13" s="211">
        <v>1</v>
      </c>
      <c r="AP13" s="212" t="s">
        <v>263</v>
      </c>
      <c r="AQ13" s="193"/>
      <c r="AT13" s="193"/>
      <c r="AU13" s="194">
        <v>8</v>
      </c>
      <c r="AV13" s="208" t="s">
        <v>244</v>
      </c>
      <c r="AW13" s="208">
        <v>2</v>
      </c>
      <c r="AX13" s="208" t="s">
        <v>263</v>
      </c>
      <c r="AY13" s="208">
        <v>1</v>
      </c>
      <c r="AZ13" s="198" t="s">
        <v>617</v>
      </c>
    </row>
    <row r="14" spans="1:52" x14ac:dyDescent="0.2">
      <c r="A14" s="199">
        <v>12</v>
      </c>
      <c r="B14" s="200" t="s">
        <v>448</v>
      </c>
      <c r="C14" s="200">
        <v>6</v>
      </c>
      <c r="D14" s="200">
        <v>1</v>
      </c>
      <c r="E14" s="200">
        <v>18</v>
      </c>
      <c r="F14" s="200">
        <v>39</v>
      </c>
      <c r="G14" s="201">
        <v>7.8</v>
      </c>
      <c r="I14" s="194">
        <v>12</v>
      </c>
      <c r="J14" s="220" t="s">
        <v>212</v>
      </c>
      <c r="K14" s="221">
        <v>35</v>
      </c>
      <c r="L14" s="222">
        <v>1</v>
      </c>
      <c r="M14" s="221">
        <v>161</v>
      </c>
      <c r="N14" s="221">
        <v>9</v>
      </c>
      <c r="O14" s="223">
        <v>17.89</v>
      </c>
      <c r="P14" s="224">
        <v>23.333333333333332</v>
      </c>
      <c r="Q14" s="224">
        <v>4.5999999999999996</v>
      </c>
      <c r="R14" s="225" t="s">
        <v>696</v>
      </c>
      <c r="T14" s="194">
        <v>2</v>
      </c>
      <c r="U14" s="208">
        <v>54</v>
      </c>
      <c r="V14" s="209">
        <v>0</v>
      </c>
      <c r="W14" s="208" t="s">
        <v>138</v>
      </c>
      <c r="X14" s="208">
        <v>31</v>
      </c>
      <c r="Y14" s="209">
        <v>0</v>
      </c>
      <c r="Z14" s="208" t="s">
        <v>232</v>
      </c>
      <c r="AA14" s="208">
        <v>14</v>
      </c>
      <c r="AB14" s="209">
        <v>0</v>
      </c>
      <c r="AC14" s="208" t="s">
        <v>575</v>
      </c>
      <c r="AD14" s="210">
        <v>43681</v>
      </c>
      <c r="AF14" s="194" t="s">
        <v>714</v>
      </c>
      <c r="AG14" s="198" t="s">
        <v>247</v>
      </c>
      <c r="AL14" s="194">
        <v>7</v>
      </c>
      <c r="AM14" s="198" t="s">
        <v>212</v>
      </c>
      <c r="AP14" s="193" t="s">
        <v>198</v>
      </c>
      <c r="AQ14" s="193"/>
      <c r="AT14" s="193"/>
      <c r="AU14" s="194">
        <v>7</v>
      </c>
      <c r="AV14" s="208" t="s">
        <v>448</v>
      </c>
      <c r="AW14" s="208">
        <v>1</v>
      </c>
      <c r="AX14" s="208" t="s">
        <v>473</v>
      </c>
      <c r="AY14" s="208">
        <v>1</v>
      </c>
      <c r="AZ14" s="198" t="s">
        <v>603</v>
      </c>
    </row>
    <row r="15" spans="1:52" x14ac:dyDescent="0.2">
      <c r="A15" s="199">
        <v>13</v>
      </c>
      <c r="B15" s="200" t="s">
        <v>249</v>
      </c>
      <c r="C15" s="200">
        <v>5</v>
      </c>
      <c r="D15" s="200">
        <v>0</v>
      </c>
      <c r="E15" s="200">
        <v>17</v>
      </c>
      <c r="F15" s="200">
        <v>39</v>
      </c>
      <c r="G15" s="201">
        <v>7.8</v>
      </c>
      <c r="I15" s="194">
        <v>13</v>
      </c>
      <c r="J15" s="220" t="s">
        <v>244</v>
      </c>
      <c r="K15" s="221">
        <v>3.3</v>
      </c>
      <c r="L15" s="222">
        <v>0</v>
      </c>
      <c r="M15" s="221">
        <v>24</v>
      </c>
      <c r="N15" s="221">
        <v>1</v>
      </c>
      <c r="O15" s="223">
        <v>24</v>
      </c>
      <c r="P15" s="224">
        <v>21</v>
      </c>
      <c r="Q15" s="224">
        <v>6.8571428571428568</v>
      </c>
      <c r="R15" s="225" t="s">
        <v>693</v>
      </c>
      <c r="T15" s="194">
        <v>3</v>
      </c>
      <c r="U15" s="208">
        <v>78</v>
      </c>
      <c r="V15" s="209">
        <v>0</v>
      </c>
      <c r="W15" s="208" t="s">
        <v>232</v>
      </c>
      <c r="X15" s="208">
        <v>94</v>
      </c>
      <c r="Y15" s="209">
        <v>0</v>
      </c>
      <c r="Z15" s="208" t="s">
        <v>247</v>
      </c>
      <c r="AA15" s="208">
        <v>24</v>
      </c>
      <c r="AB15" s="209">
        <v>0</v>
      </c>
      <c r="AC15" s="208" t="s">
        <v>534</v>
      </c>
      <c r="AD15" s="210">
        <v>43667</v>
      </c>
      <c r="AF15" s="194" t="s">
        <v>715</v>
      </c>
      <c r="AG15" s="198" t="s">
        <v>234</v>
      </c>
      <c r="AL15" s="194">
        <v>5</v>
      </c>
      <c r="AM15" s="198" t="s">
        <v>249</v>
      </c>
      <c r="AP15" s="193" t="s">
        <v>198</v>
      </c>
      <c r="AQ15" s="193"/>
      <c r="AT15" s="193"/>
      <c r="AU15" s="194">
        <v>7</v>
      </c>
      <c r="AV15" s="208" t="s">
        <v>265</v>
      </c>
      <c r="AW15" s="208">
        <v>1</v>
      </c>
      <c r="AX15" s="208" t="s">
        <v>137</v>
      </c>
      <c r="AY15" s="208"/>
      <c r="AZ15" s="198"/>
    </row>
    <row r="16" spans="1:52" x14ac:dyDescent="0.2">
      <c r="A16" s="199">
        <v>14</v>
      </c>
      <c r="B16" s="200" t="s">
        <v>224</v>
      </c>
      <c r="C16" s="200">
        <v>6</v>
      </c>
      <c r="D16" s="200">
        <v>4</v>
      </c>
      <c r="E16" s="200" t="s">
        <v>681</v>
      </c>
      <c r="F16" s="200">
        <v>15</v>
      </c>
      <c r="G16" s="201">
        <v>7.5</v>
      </c>
      <c r="I16" s="194">
        <v>14</v>
      </c>
      <c r="J16" s="220" t="s">
        <v>601</v>
      </c>
      <c r="K16" s="221">
        <v>7</v>
      </c>
      <c r="L16" s="222">
        <v>0</v>
      </c>
      <c r="M16" s="221">
        <v>28</v>
      </c>
      <c r="N16" s="221">
        <v>1</v>
      </c>
      <c r="O16" s="223">
        <v>28</v>
      </c>
      <c r="P16" s="224">
        <v>42</v>
      </c>
      <c r="Q16" s="224">
        <v>4</v>
      </c>
      <c r="R16" s="225" t="s">
        <v>697</v>
      </c>
      <c r="T16" s="194">
        <v>3</v>
      </c>
      <c r="U16" s="208">
        <v>72</v>
      </c>
      <c r="V16" s="209">
        <v>0</v>
      </c>
      <c r="W16" s="208" t="s">
        <v>232</v>
      </c>
      <c r="X16" s="208">
        <v>62</v>
      </c>
      <c r="Y16" s="209">
        <v>0</v>
      </c>
      <c r="Z16" s="208" t="s">
        <v>247</v>
      </c>
      <c r="AA16" s="208">
        <v>35</v>
      </c>
      <c r="AB16" s="209" t="s">
        <v>233</v>
      </c>
      <c r="AC16" s="208" t="s">
        <v>229</v>
      </c>
      <c r="AD16" s="210">
        <v>43590</v>
      </c>
      <c r="AF16" s="194" t="s">
        <v>714</v>
      </c>
      <c r="AG16" s="198" t="s">
        <v>454</v>
      </c>
      <c r="AL16" s="194">
        <v>4</v>
      </c>
      <c r="AM16" s="198" t="s">
        <v>235</v>
      </c>
      <c r="AP16" s="193" t="s">
        <v>198</v>
      </c>
      <c r="AQ16" s="193"/>
      <c r="AT16" s="193"/>
      <c r="AU16" s="211">
        <v>7</v>
      </c>
      <c r="AV16" s="229" t="s">
        <v>527</v>
      </c>
      <c r="AW16" s="229">
        <v>1</v>
      </c>
      <c r="AX16" s="229" t="s">
        <v>284</v>
      </c>
      <c r="AY16" s="229"/>
      <c r="AZ16" s="212"/>
    </row>
    <row r="17" spans="1:46" x14ac:dyDescent="0.2">
      <c r="A17" s="199">
        <v>15</v>
      </c>
      <c r="B17" s="200" t="s">
        <v>527</v>
      </c>
      <c r="C17" s="200">
        <v>6</v>
      </c>
      <c r="D17" s="200">
        <v>2</v>
      </c>
      <c r="E17" s="200">
        <v>15</v>
      </c>
      <c r="F17" s="200">
        <v>26</v>
      </c>
      <c r="G17" s="201">
        <v>6.5</v>
      </c>
      <c r="I17" s="194">
        <v>15</v>
      </c>
      <c r="J17" s="220" t="s">
        <v>527</v>
      </c>
      <c r="K17" s="221">
        <v>29.1</v>
      </c>
      <c r="L17" s="222">
        <v>3</v>
      </c>
      <c r="M17" s="221">
        <v>141</v>
      </c>
      <c r="N17" s="221">
        <v>4</v>
      </c>
      <c r="O17" s="223">
        <v>35.25</v>
      </c>
      <c r="P17" s="224">
        <v>43.75</v>
      </c>
      <c r="Q17" s="224">
        <v>4.8342857142857145</v>
      </c>
      <c r="R17" s="225" t="s">
        <v>698</v>
      </c>
      <c r="T17" s="194">
        <v>4</v>
      </c>
      <c r="U17" s="208">
        <v>63</v>
      </c>
      <c r="V17" s="209">
        <v>0</v>
      </c>
      <c r="W17" s="208" t="s">
        <v>207</v>
      </c>
      <c r="X17" s="208">
        <v>48</v>
      </c>
      <c r="Y17" s="209">
        <v>0</v>
      </c>
      <c r="Z17" s="208" t="s">
        <v>210</v>
      </c>
      <c r="AA17" s="208">
        <v>35</v>
      </c>
      <c r="AB17" s="209">
        <v>0</v>
      </c>
      <c r="AC17" s="208" t="s">
        <v>442</v>
      </c>
      <c r="AD17" s="210">
        <v>43625</v>
      </c>
      <c r="AF17" s="194" t="s">
        <v>714</v>
      </c>
      <c r="AG17" s="198" t="s">
        <v>165</v>
      </c>
      <c r="AL17" s="194">
        <v>4</v>
      </c>
      <c r="AM17" s="198" t="s">
        <v>527</v>
      </c>
      <c r="AP17" s="193" t="s">
        <v>198</v>
      </c>
      <c r="AQ17" s="193"/>
      <c r="AT17" s="193"/>
    </row>
    <row r="18" spans="1:46" x14ac:dyDescent="0.2">
      <c r="A18" s="199">
        <v>16</v>
      </c>
      <c r="B18" s="200" t="s">
        <v>193</v>
      </c>
      <c r="C18" s="200">
        <v>11</v>
      </c>
      <c r="D18" s="200">
        <v>3</v>
      </c>
      <c r="E18" s="200">
        <v>8</v>
      </c>
      <c r="F18" s="200">
        <v>26</v>
      </c>
      <c r="G18" s="201">
        <v>3.25</v>
      </c>
      <c r="I18" s="194">
        <v>16</v>
      </c>
      <c r="J18" s="220" t="s">
        <v>249</v>
      </c>
      <c r="K18" s="221">
        <v>13</v>
      </c>
      <c r="L18" s="222">
        <v>0</v>
      </c>
      <c r="M18" s="221">
        <v>73</v>
      </c>
      <c r="N18" s="221">
        <v>2</v>
      </c>
      <c r="O18" s="223">
        <v>36.5</v>
      </c>
      <c r="P18" s="224">
        <v>39</v>
      </c>
      <c r="Q18" s="224">
        <v>5.615384615384615</v>
      </c>
      <c r="R18" s="225" t="s">
        <v>699</v>
      </c>
      <c r="T18" s="194">
        <v>4</v>
      </c>
      <c r="U18" s="208">
        <v>60</v>
      </c>
      <c r="V18" s="209">
        <v>0</v>
      </c>
      <c r="W18" s="208" t="s">
        <v>247</v>
      </c>
      <c r="X18" s="208">
        <v>24</v>
      </c>
      <c r="Y18" s="209">
        <v>0</v>
      </c>
      <c r="Z18" s="208" t="s">
        <v>207</v>
      </c>
      <c r="AA18" s="208">
        <v>55</v>
      </c>
      <c r="AB18" s="209">
        <v>0</v>
      </c>
      <c r="AC18" s="208" t="s">
        <v>312</v>
      </c>
      <c r="AD18" s="210">
        <v>43583</v>
      </c>
      <c r="AF18" s="194" t="s">
        <v>714</v>
      </c>
      <c r="AG18" s="198" t="s">
        <v>224</v>
      </c>
      <c r="AL18" s="194">
        <v>3</v>
      </c>
      <c r="AM18" s="198" t="s">
        <v>301</v>
      </c>
      <c r="AP18" s="193" t="s">
        <v>198</v>
      </c>
      <c r="AQ18" s="193"/>
      <c r="AT18" s="193"/>
    </row>
    <row r="19" spans="1:46" x14ac:dyDescent="0.2">
      <c r="A19" s="199">
        <v>17</v>
      </c>
      <c r="B19" s="200" t="s">
        <v>244</v>
      </c>
      <c r="C19" s="200">
        <v>6</v>
      </c>
      <c r="D19" s="200">
        <v>0</v>
      </c>
      <c r="E19" s="200">
        <v>5</v>
      </c>
      <c r="F19" s="200">
        <v>6</v>
      </c>
      <c r="G19" s="201">
        <v>1</v>
      </c>
      <c r="I19" s="194">
        <v>17</v>
      </c>
      <c r="J19" s="220" t="s">
        <v>138</v>
      </c>
      <c r="K19" s="221">
        <v>9</v>
      </c>
      <c r="L19" s="222">
        <v>0</v>
      </c>
      <c r="M19" s="221">
        <v>81</v>
      </c>
      <c r="N19" s="221">
        <v>2</v>
      </c>
      <c r="O19" s="223">
        <v>40.5</v>
      </c>
      <c r="P19" s="224">
        <v>27</v>
      </c>
      <c r="Q19" s="224">
        <v>9</v>
      </c>
      <c r="R19" s="225" t="s">
        <v>700</v>
      </c>
      <c r="T19" s="194">
        <v>4</v>
      </c>
      <c r="U19" s="208">
        <v>51</v>
      </c>
      <c r="V19" s="209">
        <v>0</v>
      </c>
      <c r="W19" s="208" t="s">
        <v>193</v>
      </c>
      <c r="X19" s="208">
        <v>8</v>
      </c>
      <c r="Y19" s="209">
        <v>0</v>
      </c>
      <c r="Z19" s="208" t="s">
        <v>210</v>
      </c>
      <c r="AA19" s="208">
        <v>63</v>
      </c>
      <c r="AB19" s="209">
        <v>0</v>
      </c>
      <c r="AC19" s="208" t="s">
        <v>229</v>
      </c>
      <c r="AD19" s="210">
        <v>43611</v>
      </c>
      <c r="AF19" s="194" t="s">
        <v>715</v>
      </c>
      <c r="AG19" s="198" t="s">
        <v>265</v>
      </c>
      <c r="AL19" s="194">
        <v>2</v>
      </c>
      <c r="AM19" s="198" t="s">
        <v>451</v>
      </c>
      <c r="AP19" s="193" t="s">
        <v>198</v>
      </c>
      <c r="AQ19" s="193"/>
      <c r="AT19" s="193"/>
    </row>
    <row r="20" spans="1:46" x14ac:dyDescent="0.2">
      <c r="A20" s="226">
        <v>18</v>
      </c>
      <c r="B20" s="215" t="s">
        <v>235</v>
      </c>
      <c r="C20" s="215">
        <v>1</v>
      </c>
      <c r="D20" s="215">
        <v>0</v>
      </c>
      <c r="E20" s="215">
        <v>34</v>
      </c>
      <c r="F20" s="215">
        <v>34</v>
      </c>
      <c r="G20" s="227">
        <v>34</v>
      </c>
      <c r="I20" s="194">
        <v>18</v>
      </c>
      <c r="J20" s="220" t="s">
        <v>301</v>
      </c>
      <c r="K20" s="221">
        <v>5.3</v>
      </c>
      <c r="L20" s="222">
        <v>0</v>
      </c>
      <c r="M20" s="221">
        <v>41</v>
      </c>
      <c r="N20" s="221">
        <v>1</v>
      </c>
      <c r="O20" s="223">
        <v>41</v>
      </c>
      <c r="P20" s="224">
        <v>33</v>
      </c>
      <c r="Q20" s="224">
        <v>7.4545454545454541</v>
      </c>
      <c r="R20" s="225" t="s">
        <v>701</v>
      </c>
      <c r="T20" s="194">
        <v>5</v>
      </c>
      <c r="U20" s="208">
        <v>48</v>
      </c>
      <c r="V20" s="209">
        <v>0</v>
      </c>
      <c r="W20" s="208" t="s">
        <v>273</v>
      </c>
      <c r="X20" s="208">
        <v>156</v>
      </c>
      <c r="Y20" s="209" t="s">
        <v>233</v>
      </c>
      <c r="Z20" s="208" t="s">
        <v>277</v>
      </c>
      <c r="AA20" s="208">
        <v>18</v>
      </c>
      <c r="AB20" s="209">
        <v>0</v>
      </c>
      <c r="AC20" s="208" t="s">
        <v>296</v>
      </c>
      <c r="AD20" s="210">
        <v>43660</v>
      </c>
      <c r="AF20" s="194" t="s">
        <v>714</v>
      </c>
      <c r="AG20" s="198" t="s">
        <v>193</v>
      </c>
      <c r="AL20" s="194">
        <v>2</v>
      </c>
      <c r="AM20" s="198" t="s">
        <v>224</v>
      </c>
      <c r="AP20" s="193" t="s">
        <v>198</v>
      </c>
      <c r="AQ20" s="193"/>
      <c r="AT20" s="193"/>
    </row>
    <row r="21" spans="1:46" x14ac:dyDescent="0.2">
      <c r="A21" s="189">
        <v>19</v>
      </c>
      <c r="B21" s="221" t="s">
        <v>263</v>
      </c>
      <c r="C21" s="221">
        <v>2</v>
      </c>
      <c r="D21" s="221">
        <v>0</v>
      </c>
      <c r="E21" s="221">
        <v>42</v>
      </c>
      <c r="F21" s="221">
        <v>46</v>
      </c>
      <c r="G21" s="228">
        <v>23</v>
      </c>
      <c r="I21" s="194">
        <v>19</v>
      </c>
      <c r="J21" s="220" t="s">
        <v>448</v>
      </c>
      <c r="K21" s="221">
        <v>27</v>
      </c>
      <c r="L21" s="222">
        <v>1</v>
      </c>
      <c r="M21" s="221">
        <v>168</v>
      </c>
      <c r="N21" s="221">
        <v>3</v>
      </c>
      <c r="O21" s="223">
        <v>56</v>
      </c>
      <c r="P21" s="224">
        <v>54</v>
      </c>
      <c r="Q21" s="224">
        <v>6.2222222222222223</v>
      </c>
      <c r="R21" s="225" t="s">
        <v>702</v>
      </c>
      <c r="T21" s="194">
        <v>5</v>
      </c>
      <c r="U21" s="208">
        <v>43</v>
      </c>
      <c r="V21" s="209">
        <v>0</v>
      </c>
      <c r="W21" s="208" t="s">
        <v>210</v>
      </c>
      <c r="X21" s="208">
        <v>63</v>
      </c>
      <c r="Y21" s="209">
        <v>0</v>
      </c>
      <c r="Z21" s="208" t="s">
        <v>232</v>
      </c>
      <c r="AA21" s="208">
        <v>38</v>
      </c>
      <c r="AB21" s="209">
        <v>0</v>
      </c>
      <c r="AC21" s="208" t="s">
        <v>229</v>
      </c>
      <c r="AD21" s="210">
        <v>43611</v>
      </c>
      <c r="AF21" s="211" t="s">
        <v>714</v>
      </c>
      <c r="AG21" s="212" t="s">
        <v>278</v>
      </c>
      <c r="AL21" s="194">
        <v>2</v>
      </c>
      <c r="AM21" s="198" t="s">
        <v>288</v>
      </c>
      <c r="AP21" s="193" t="s">
        <v>198</v>
      </c>
      <c r="AQ21" s="193"/>
      <c r="AT21" s="193"/>
    </row>
    <row r="22" spans="1:46" x14ac:dyDescent="0.2">
      <c r="A22" s="189">
        <v>20</v>
      </c>
      <c r="B22" s="221" t="s">
        <v>234</v>
      </c>
      <c r="C22" s="221">
        <v>4</v>
      </c>
      <c r="D22" s="221">
        <v>0</v>
      </c>
      <c r="E22" s="221">
        <v>37</v>
      </c>
      <c r="F22" s="221">
        <v>69</v>
      </c>
      <c r="G22" s="228">
        <v>17.25</v>
      </c>
      <c r="I22" s="194">
        <v>20</v>
      </c>
      <c r="J22" s="220" t="s">
        <v>193</v>
      </c>
      <c r="K22" s="221">
        <v>7</v>
      </c>
      <c r="L22" s="222">
        <v>0</v>
      </c>
      <c r="M22" s="221">
        <v>60</v>
      </c>
      <c r="N22" s="221">
        <v>1</v>
      </c>
      <c r="O22" s="223">
        <v>60</v>
      </c>
      <c r="P22" s="224">
        <v>42</v>
      </c>
      <c r="Q22" s="224">
        <v>8.5714285714285712</v>
      </c>
      <c r="R22" s="225" t="s">
        <v>703</v>
      </c>
      <c r="T22" s="194">
        <v>5</v>
      </c>
      <c r="U22" s="208">
        <v>36</v>
      </c>
      <c r="V22" s="209">
        <v>0</v>
      </c>
      <c r="W22" s="208" t="s">
        <v>232</v>
      </c>
      <c r="X22" s="208">
        <v>90</v>
      </c>
      <c r="Y22" s="209" t="s">
        <v>233</v>
      </c>
      <c r="Z22" s="208" t="s">
        <v>210</v>
      </c>
      <c r="AA22" s="208">
        <v>22</v>
      </c>
      <c r="AB22" s="209">
        <v>0</v>
      </c>
      <c r="AC22" s="208" t="s">
        <v>366</v>
      </c>
      <c r="AD22" s="210">
        <v>43610</v>
      </c>
      <c r="AF22" s="193" t="s">
        <v>198</v>
      </c>
      <c r="AG22" s="193" t="s">
        <v>198</v>
      </c>
      <c r="AL22" s="194">
        <v>2</v>
      </c>
      <c r="AM22" s="198" t="s">
        <v>448</v>
      </c>
      <c r="AP22" s="193" t="s">
        <v>198</v>
      </c>
      <c r="AQ22" s="193"/>
      <c r="AT22" s="193"/>
    </row>
    <row r="23" spans="1:46" x14ac:dyDescent="0.2">
      <c r="A23" s="189">
        <v>21</v>
      </c>
      <c r="B23" s="221" t="s">
        <v>451</v>
      </c>
      <c r="C23" s="221">
        <v>1</v>
      </c>
      <c r="D23" s="221">
        <v>0</v>
      </c>
      <c r="E23" s="221">
        <v>15</v>
      </c>
      <c r="F23" s="221">
        <v>15</v>
      </c>
      <c r="G23" s="228">
        <v>15</v>
      </c>
      <c r="I23" s="194">
        <v>21</v>
      </c>
      <c r="J23" s="220" t="s">
        <v>210</v>
      </c>
      <c r="K23" s="221">
        <v>29</v>
      </c>
      <c r="L23" s="222">
        <v>2</v>
      </c>
      <c r="M23" s="221">
        <v>242</v>
      </c>
      <c r="N23" s="221">
        <v>4</v>
      </c>
      <c r="O23" s="223">
        <v>60.5</v>
      </c>
      <c r="P23" s="224">
        <v>43.5</v>
      </c>
      <c r="Q23" s="224">
        <v>8.3448275862068968</v>
      </c>
      <c r="R23" s="225" t="s">
        <v>704</v>
      </c>
      <c r="T23" s="194">
        <v>6</v>
      </c>
      <c r="U23" s="208">
        <v>98</v>
      </c>
      <c r="V23" s="209">
        <v>0</v>
      </c>
      <c r="W23" s="208" t="s">
        <v>232</v>
      </c>
      <c r="X23" s="208">
        <v>74</v>
      </c>
      <c r="Y23" s="209">
        <v>0</v>
      </c>
      <c r="Z23" s="208" t="s">
        <v>422</v>
      </c>
      <c r="AA23" s="208">
        <v>30</v>
      </c>
      <c r="AB23" s="209">
        <v>0</v>
      </c>
      <c r="AC23" s="208" t="s">
        <v>491</v>
      </c>
      <c r="AD23" s="210">
        <v>43646</v>
      </c>
      <c r="AF23" s="193" t="s">
        <v>198</v>
      </c>
      <c r="AG23" s="193" t="s">
        <v>198</v>
      </c>
      <c r="AL23" s="194">
        <v>1</v>
      </c>
      <c r="AM23" s="198" t="s">
        <v>164</v>
      </c>
      <c r="AP23" s="193" t="s">
        <v>198</v>
      </c>
      <c r="AQ23" s="193"/>
      <c r="AT23" s="193"/>
    </row>
    <row r="24" spans="1:46" x14ac:dyDescent="0.2">
      <c r="A24" s="189">
        <v>22</v>
      </c>
      <c r="B24" s="221" t="s">
        <v>301</v>
      </c>
      <c r="C24" s="221">
        <v>2</v>
      </c>
      <c r="D24" s="221">
        <v>0</v>
      </c>
      <c r="E24" s="221">
        <v>23</v>
      </c>
      <c r="F24" s="221">
        <v>23</v>
      </c>
      <c r="G24" s="228">
        <v>11.5</v>
      </c>
      <c r="I24" s="194">
        <v>22</v>
      </c>
      <c r="J24" s="220" t="s">
        <v>165</v>
      </c>
      <c r="K24" s="221">
        <v>19</v>
      </c>
      <c r="L24" s="222">
        <v>0</v>
      </c>
      <c r="M24" s="221">
        <v>135</v>
      </c>
      <c r="N24" s="221">
        <v>2</v>
      </c>
      <c r="O24" s="223">
        <v>67.5</v>
      </c>
      <c r="P24" s="224">
        <v>57</v>
      </c>
      <c r="Q24" s="224">
        <v>7.1052631578947372</v>
      </c>
      <c r="R24" s="225" t="s">
        <v>705</v>
      </c>
      <c r="T24" s="194">
        <v>6</v>
      </c>
      <c r="U24" s="208">
        <v>92</v>
      </c>
      <c r="V24" s="209">
        <v>0</v>
      </c>
      <c r="W24" s="208" t="s">
        <v>273</v>
      </c>
      <c r="X24" s="208">
        <v>156</v>
      </c>
      <c r="Y24" s="209" t="s">
        <v>233</v>
      </c>
      <c r="Z24" s="208" t="s">
        <v>200</v>
      </c>
      <c r="AA24" s="208">
        <v>25</v>
      </c>
      <c r="AB24" s="209">
        <v>0</v>
      </c>
      <c r="AC24" s="208" t="s">
        <v>296</v>
      </c>
      <c r="AD24" s="210">
        <v>43660</v>
      </c>
      <c r="AF24" s="193" t="s">
        <v>198</v>
      </c>
      <c r="AG24" s="193" t="s">
        <v>198</v>
      </c>
      <c r="AL24" s="194">
        <v>1</v>
      </c>
      <c r="AM24" s="198" t="s">
        <v>243</v>
      </c>
      <c r="AP24" s="193" t="s">
        <v>198</v>
      </c>
      <c r="AQ24" s="193"/>
      <c r="AT24" s="193"/>
    </row>
    <row r="25" spans="1:46" x14ac:dyDescent="0.2">
      <c r="A25" s="189">
        <v>23</v>
      </c>
      <c r="B25" s="221" t="s">
        <v>268</v>
      </c>
      <c r="C25" s="221">
        <v>2</v>
      </c>
      <c r="D25" s="221">
        <v>1</v>
      </c>
      <c r="E25" s="221">
        <v>10</v>
      </c>
      <c r="F25" s="221">
        <v>11</v>
      </c>
      <c r="G25" s="228">
        <v>11</v>
      </c>
      <c r="I25" s="194">
        <v>23</v>
      </c>
      <c r="J25" s="220" t="s">
        <v>377</v>
      </c>
      <c r="K25" s="221">
        <v>2</v>
      </c>
      <c r="L25" s="222">
        <v>0</v>
      </c>
      <c r="M25" s="221">
        <v>4</v>
      </c>
      <c r="N25" s="221">
        <v>0</v>
      </c>
      <c r="O25" s="223" t="s">
        <v>198</v>
      </c>
      <c r="P25" s="224" t="s">
        <v>198</v>
      </c>
      <c r="Q25" s="224">
        <v>2</v>
      </c>
      <c r="R25" s="225" t="s">
        <v>706</v>
      </c>
      <c r="T25" s="194">
        <v>8</v>
      </c>
      <c r="U25" s="208">
        <v>32</v>
      </c>
      <c r="V25" s="209" t="s">
        <v>233</v>
      </c>
      <c r="W25" s="208" t="s">
        <v>273</v>
      </c>
      <c r="X25" s="208">
        <v>156</v>
      </c>
      <c r="Y25" s="209" t="s">
        <v>233</v>
      </c>
      <c r="Z25" s="208" t="s">
        <v>247</v>
      </c>
      <c r="AA25" s="208">
        <v>6</v>
      </c>
      <c r="AB25" s="209" t="s">
        <v>233</v>
      </c>
      <c r="AC25" s="208" t="s">
        <v>296</v>
      </c>
      <c r="AD25" s="210">
        <v>43660</v>
      </c>
      <c r="AF25" s="193" t="s">
        <v>198</v>
      </c>
      <c r="AG25" s="193" t="s">
        <v>198</v>
      </c>
      <c r="AL25" s="194">
        <v>1</v>
      </c>
      <c r="AM25" s="198" t="s">
        <v>268</v>
      </c>
      <c r="AP25" s="193" t="s">
        <v>198</v>
      </c>
      <c r="AQ25" s="193"/>
      <c r="AT25" s="193"/>
    </row>
    <row r="26" spans="1:46" x14ac:dyDescent="0.2">
      <c r="A26" s="189">
        <v>24</v>
      </c>
      <c r="B26" s="221" t="s">
        <v>288</v>
      </c>
      <c r="C26" s="221">
        <v>1</v>
      </c>
      <c r="D26" s="221">
        <v>0</v>
      </c>
      <c r="E26" s="221">
        <v>11</v>
      </c>
      <c r="F26" s="221">
        <v>11</v>
      </c>
      <c r="G26" s="228">
        <v>11</v>
      </c>
      <c r="I26" s="194">
        <v>24</v>
      </c>
      <c r="J26" s="220" t="s">
        <v>288</v>
      </c>
      <c r="K26" s="221">
        <v>2</v>
      </c>
      <c r="L26" s="222">
        <v>0</v>
      </c>
      <c r="M26" s="221">
        <v>25</v>
      </c>
      <c r="N26" s="221">
        <v>0</v>
      </c>
      <c r="O26" s="223" t="s">
        <v>198</v>
      </c>
      <c r="P26" s="224" t="s">
        <v>198</v>
      </c>
      <c r="Q26" s="224">
        <v>12.5</v>
      </c>
      <c r="R26" s="225" t="s">
        <v>707</v>
      </c>
      <c r="T26" s="211">
        <v>9</v>
      </c>
      <c r="U26" s="229">
        <v>35</v>
      </c>
      <c r="V26" s="230">
        <v>0</v>
      </c>
      <c r="W26" s="229" t="s">
        <v>234</v>
      </c>
      <c r="X26" s="229">
        <v>37</v>
      </c>
      <c r="Y26" s="230">
        <v>0</v>
      </c>
      <c r="Z26" s="229" t="s">
        <v>193</v>
      </c>
      <c r="AA26" s="229">
        <v>4</v>
      </c>
      <c r="AB26" s="230" t="s">
        <v>233</v>
      </c>
      <c r="AC26" s="229" t="s">
        <v>349</v>
      </c>
      <c r="AD26" s="231">
        <v>43604</v>
      </c>
      <c r="AF26" s="193" t="s">
        <v>198</v>
      </c>
      <c r="AG26" s="193" t="s">
        <v>198</v>
      </c>
      <c r="AL26" s="194">
        <v>1</v>
      </c>
      <c r="AM26" s="198" t="s">
        <v>245</v>
      </c>
      <c r="AP26" s="193" t="s">
        <v>198</v>
      </c>
      <c r="AQ26" s="193"/>
      <c r="AT26" s="193"/>
    </row>
    <row r="27" spans="1:46" x14ac:dyDescent="0.2">
      <c r="A27" s="189">
        <v>25</v>
      </c>
      <c r="B27" s="221" t="s">
        <v>245</v>
      </c>
      <c r="C27" s="221">
        <v>4</v>
      </c>
      <c r="D27" s="221">
        <v>2</v>
      </c>
      <c r="E27" s="221">
        <v>7</v>
      </c>
      <c r="F27" s="221">
        <v>15</v>
      </c>
      <c r="G27" s="228">
        <v>7.5</v>
      </c>
      <c r="I27" s="194">
        <v>25</v>
      </c>
      <c r="J27" s="220" t="s">
        <v>339</v>
      </c>
      <c r="K27" s="221">
        <v>4</v>
      </c>
      <c r="L27" s="222">
        <v>0</v>
      </c>
      <c r="M27" s="221">
        <v>28</v>
      </c>
      <c r="N27" s="221">
        <v>0</v>
      </c>
      <c r="O27" s="223" t="s">
        <v>198</v>
      </c>
      <c r="P27" s="224" t="s">
        <v>198</v>
      </c>
      <c r="Q27" s="224">
        <v>7</v>
      </c>
      <c r="R27" s="225" t="s">
        <v>708</v>
      </c>
      <c r="AF27" s="193" t="s">
        <v>198</v>
      </c>
      <c r="AG27" s="193" t="s">
        <v>198</v>
      </c>
      <c r="AL27" s="211">
        <v>1</v>
      </c>
      <c r="AM27" s="212" t="s">
        <v>278</v>
      </c>
      <c r="AP27" s="193" t="s">
        <v>198</v>
      </c>
      <c r="AQ27" s="193"/>
      <c r="AT27" s="193"/>
    </row>
    <row r="28" spans="1:46" x14ac:dyDescent="0.2">
      <c r="A28" s="189">
        <v>26</v>
      </c>
      <c r="B28" s="221" t="s">
        <v>617</v>
      </c>
      <c r="C28" s="221">
        <v>1</v>
      </c>
      <c r="D28" s="221">
        <v>0</v>
      </c>
      <c r="E28" s="221">
        <v>6</v>
      </c>
      <c r="F28" s="221">
        <v>6</v>
      </c>
      <c r="G28" s="228">
        <v>6</v>
      </c>
      <c r="I28" s="194">
        <v>26</v>
      </c>
      <c r="J28" s="220" t="s">
        <v>425</v>
      </c>
      <c r="K28" s="221">
        <v>4</v>
      </c>
      <c r="L28" s="222">
        <v>0</v>
      </c>
      <c r="M28" s="221">
        <v>30</v>
      </c>
      <c r="N28" s="221">
        <v>0</v>
      </c>
      <c r="O28" s="223" t="s">
        <v>198</v>
      </c>
      <c r="P28" s="224" t="s">
        <v>198</v>
      </c>
      <c r="Q28" s="224">
        <v>7.5</v>
      </c>
      <c r="R28" s="225" t="s">
        <v>709</v>
      </c>
      <c r="AF28" s="193" t="s">
        <v>198</v>
      </c>
      <c r="AG28" s="193" t="s">
        <v>198</v>
      </c>
      <c r="AM28" s="193" t="s">
        <v>198</v>
      </c>
      <c r="AP28" s="193" t="s">
        <v>198</v>
      </c>
      <c r="AQ28" s="193"/>
      <c r="AT28" s="193"/>
    </row>
    <row r="29" spans="1:46" x14ac:dyDescent="0.2">
      <c r="A29" s="189">
        <v>27</v>
      </c>
      <c r="B29" s="221" t="s">
        <v>164</v>
      </c>
      <c r="C29" s="221">
        <v>1</v>
      </c>
      <c r="D29" s="221">
        <v>0</v>
      </c>
      <c r="E29" s="221">
        <v>5</v>
      </c>
      <c r="F29" s="221">
        <v>5</v>
      </c>
      <c r="G29" s="228">
        <v>5</v>
      </c>
      <c r="I29" s="194">
        <v>27</v>
      </c>
      <c r="J29" s="220" t="s">
        <v>265</v>
      </c>
      <c r="K29" s="221">
        <v>5</v>
      </c>
      <c r="L29" s="222">
        <v>0</v>
      </c>
      <c r="M29" s="221">
        <v>26</v>
      </c>
      <c r="N29" s="221">
        <v>0</v>
      </c>
      <c r="O29" s="223" t="s">
        <v>198</v>
      </c>
      <c r="P29" s="224" t="s">
        <v>198</v>
      </c>
      <c r="Q29" s="224">
        <v>5.2</v>
      </c>
      <c r="R29" s="225" t="s">
        <v>710</v>
      </c>
      <c r="AF29" s="193" t="s">
        <v>198</v>
      </c>
      <c r="AG29" s="193" t="s">
        <v>198</v>
      </c>
      <c r="AM29" s="193" t="s">
        <v>198</v>
      </c>
      <c r="AP29" s="193" t="s">
        <v>198</v>
      </c>
      <c r="AQ29" s="193"/>
      <c r="AT29" s="193"/>
    </row>
    <row r="30" spans="1:46" x14ac:dyDescent="0.2">
      <c r="A30" s="189">
        <v>28</v>
      </c>
      <c r="B30" s="221" t="s">
        <v>454</v>
      </c>
      <c r="C30" s="221">
        <v>2</v>
      </c>
      <c r="D30" s="221">
        <v>0</v>
      </c>
      <c r="E30" s="221">
        <v>6</v>
      </c>
      <c r="F30" s="221">
        <v>8</v>
      </c>
      <c r="G30" s="228">
        <v>4</v>
      </c>
      <c r="I30" s="211">
        <v>28</v>
      </c>
      <c r="J30" s="233" t="s">
        <v>451</v>
      </c>
      <c r="K30" s="234">
        <v>7</v>
      </c>
      <c r="L30" s="235">
        <v>0</v>
      </c>
      <c r="M30" s="234">
        <v>39</v>
      </c>
      <c r="N30" s="234">
        <v>0</v>
      </c>
      <c r="O30" s="236" t="s">
        <v>198</v>
      </c>
      <c r="P30" s="237" t="s">
        <v>198</v>
      </c>
      <c r="Q30" s="237">
        <v>5.5714285714285712</v>
      </c>
      <c r="R30" s="238" t="s">
        <v>711</v>
      </c>
      <c r="AF30" s="193" t="s">
        <v>198</v>
      </c>
      <c r="AG30" s="193" t="s">
        <v>198</v>
      </c>
      <c r="AM30" s="193" t="s">
        <v>198</v>
      </c>
      <c r="AP30" s="193" t="s">
        <v>198</v>
      </c>
      <c r="AQ30" s="193"/>
      <c r="AT30" s="193"/>
    </row>
    <row r="31" spans="1:46" x14ac:dyDescent="0.15">
      <c r="A31" s="189">
        <v>29</v>
      </c>
      <c r="B31" s="221" t="s">
        <v>165</v>
      </c>
      <c r="C31" s="221">
        <v>2</v>
      </c>
      <c r="D31" s="221">
        <v>0</v>
      </c>
      <c r="E31" s="221">
        <v>4</v>
      </c>
      <c r="F31" s="221">
        <v>5</v>
      </c>
      <c r="G31" s="228">
        <v>2.5</v>
      </c>
      <c r="AF31" s="193" t="s">
        <v>198</v>
      </c>
      <c r="AG31" s="193" t="s">
        <v>198</v>
      </c>
      <c r="AM31" s="193" t="s">
        <v>198</v>
      </c>
      <c r="AP31" s="193" t="s">
        <v>198</v>
      </c>
      <c r="AQ31" s="193"/>
      <c r="AT31" s="193"/>
    </row>
    <row r="32" spans="1:46" x14ac:dyDescent="0.15">
      <c r="A32" s="189">
        <v>30</v>
      </c>
      <c r="B32" s="221" t="s">
        <v>243</v>
      </c>
      <c r="C32" s="221">
        <v>3</v>
      </c>
      <c r="D32" s="221">
        <v>0</v>
      </c>
      <c r="E32" s="221">
        <v>4</v>
      </c>
      <c r="F32" s="221">
        <v>6</v>
      </c>
      <c r="G32" s="228">
        <v>2</v>
      </c>
      <c r="AF32" s="193" t="s">
        <v>198</v>
      </c>
      <c r="AG32" s="193" t="s">
        <v>198</v>
      </c>
      <c r="AM32" s="193" t="s">
        <v>198</v>
      </c>
      <c r="AP32" s="193" t="s">
        <v>198</v>
      </c>
      <c r="AQ32" s="193"/>
      <c r="AT32" s="193"/>
    </row>
    <row r="33" spans="1:46" x14ac:dyDescent="0.15">
      <c r="A33" s="189">
        <v>31</v>
      </c>
      <c r="B33" s="221" t="s">
        <v>278</v>
      </c>
      <c r="C33" s="221">
        <v>2</v>
      </c>
      <c r="D33" s="221">
        <v>0</v>
      </c>
      <c r="E33" s="221">
        <v>4</v>
      </c>
      <c r="F33" s="221">
        <v>4</v>
      </c>
      <c r="G33" s="228">
        <v>2</v>
      </c>
      <c r="AF33" s="193" t="s">
        <v>198</v>
      </c>
      <c r="AG33" s="193" t="s">
        <v>198</v>
      </c>
      <c r="AM33" s="193" t="s">
        <v>198</v>
      </c>
      <c r="AP33" s="193" t="s">
        <v>198</v>
      </c>
      <c r="AQ33" s="193"/>
      <c r="AT33" s="193"/>
    </row>
    <row r="34" spans="1:46" x14ac:dyDescent="0.15">
      <c r="A34" s="189">
        <v>32</v>
      </c>
      <c r="B34" s="221" t="s">
        <v>603</v>
      </c>
      <c r="C34" s="221">
        <v>1</v>
      </c>
      <c r="D34" s="221">
        <v>0</v>
      </c>
      <c r="E34" s="221">
        <v>1</v>
      </c>
      <c r="F34" s="221">
        <v>1</v>
      </c>
      <c r="G34" s="228">
        <v>1</v>
      </c>
      <c r="AF34" s="193" t="s">
        <v>198</v>
      </c>
      <c r="AG34" s="193" t="s">
        <v>198</v>
      </c>
      <c r="AM34" s="193" t="s">
        <v>198</v>
      </c>
      <c r="AP34" s="193" t="s">
        <v>198</v>
      </c>
      <c r="AQ34" s="193"/>
      <c r="AT34" s="193"/>
    </row>
    <row r="35" spans="1:46" x14ac:dyDescent="0.15">
      <c r="A35" s="189">
        <v>33</v>
      </c>
      <c r="B35" s="221" t="s">
        <v>601</v>
      </c>
      <c r="C35" s="221">
        <v>1</v>
      </c>
      <c r="D35" s="221">
        <v>0</v>
      </c>
      <c r="E35" s="221">
        <v>1</v>
      </c>
      <c r="F35" s="221">
        <v>1</v>
      </c>
      <c r="G35" s="228">
        <v>1</v>
      </c>
      <c r="AF35" s="193" t="s">
        <v>198</v>
      </c>
      <c r="AG35" s="193" t="s">
        <v>198</v>
      </c>
      <c r="AM35" s="193" t="s">
        <v>198</v>
      </c>
      <c r="AP35" s="193" t="s">
        <v>198</v>
      </c>
      <c r="AQ35" s="193"/>
      <c r="AT35" s="193"/>
    </row>
    <row r="36" spans="1:46" x14ac:dyDescent="0.15">
      <c r="A36" s="189">
        <v>34</v>
      </c>
      <c r="B36" s="221" t="s">
        <v>375</v>
      </c>
      <c r="C36" s="221">
        <v>1</v>
      </c>
      <c r="D36" s="221">
        <v>0</v>
      </c>
      <c r="E36" s="221">
        <v>0</v>
      </c>
      <c r="F36" s="221">
        <v>0</v>
      </c>
      <c r="G36" s="228">
        <v>0</v>
      </c>
      <c r="AF36" s="193" t="s">
        <v>198</v>
      </c>
      <c r="AG36" s="193" t="s">
        <v>198</v>
      </c>
      <c r="AM36" s="193" t="s">
        <v>198</v>
      </c>
      <c r="AP36" s="193" t="s">
        <v>198</v>
      </c>
      <c r="AQ36" s="193"/>
      <c r="AT36" s="193"/>
    </row>
    <row r="37" spans="1:46" x14ac:dyDescent="0.15">
      <c r="A37" s="189">
        <v>35</v>
      </c>
      <c r="B37" s="221" t="s">
        <v>339</v>
      </c>
      <c r="C37" s="221">
        <v>1</v>
      </c>
      <c r="D37" s="221">
        <v>1</v>
      </c>
      <c r="E37" s="221" t="s">
        <v>682</v>
      </c>
      <c r="F37" s="221">
        <v>6</v>
      </c>
      <c r="G37" s="228">
        <v>0</v>
      </c>
      <c r="AF37" s="193" t="s">
        <v>198</v>
      </c>
      <c r="AG37" s="193" t="s">
        <v>198</v>
      </c>
      <c r="AM37" s="193" t="s">
        <v>198</v>
      </c>
      <c r="AP37" s="193" t="s">
        <v>198</v>
      </c>
      <c r="AQ37" s="193"/>
      <c r="AT37" s="193"/>
    </row>
    <row r="38" spans="1:46" x14ac:dyDescent="0.15">
      <c r="A38" s="189">
        <v>36</v>
      </c>
      <c r="B38" s="221" t="s">
        <v>655</v>
      </c>
      <c r="C38" s="221">
        <v>1</v>
      </c>
      <c r="D38" s="221">
        <v>1</v>
      </c>
      <c r="E38" s="221" t="s">
        <v>683</v>
      </c>
      <c r="F38" s="221">
        <v>1</v>
      </c>
      <c r="G38" s="228">
        <v>0</v>
      </c>
      <c r="AF38" s="193" t="s">
        <v>198</v>
      </c>
      <c r="AG38" s="193" t="s">
        <v>198</v>
      </c>
      <c r="AM38" s="193" t="s">
        <v>198</v>
      </c>
      <c r="AP38" s="193" t="s">
        <v>198</v>
      </c>
      <c r="AQ38" s="193"/>
      <c r="AT38" s="193"/>
    </row>
    <row r="39" spans="1:46" x14ac:dyDescent="0.15">
      <c r="A39" s="189">
        <v>37</v>
      </c>
      <c r="B39" s="221" t="s">
        <v>517</v>
      </c>
      <c r="C39" s="221">
        <v>1</v>
      </c>
      <c r="D39" s="221">
        <v>0</v>
      </c>
      <c r="E39" s="221">
        <v>0</v>
      </c>
      <c r="F39" s="221">
        <v>0</v>
      </c>
      <c r="G39" s="228">
        <v>0</v>
      </c>
      <c r="AF39" s="193" t="s">
        <v>198</v>
      </c>
      <c r="AG39" s="193" t="s">
        <v>198</v>
      </c>
      <c r="AM39" s="193" t="s">
        <v>198</v>
      </c>
      <c r="AP39" s="193" t="s">
        <v>198</v>
      </c>
      <c r="AQ39" s="193"/>
      <c r="AT39" s="193"/>
    </row>
    <row r="40" spans="1:46" x14ac:dyDescent="0.15">
      <c r="A40" s="189">
        <v>38</v>
      </c>
      <c r="B40" s="221" t="s">
        <v>284</v>
      </c>
      <c r="C40" s="221">
        <v>1</v>
      </c>
      <c r="D40" s="221">
        <v>0</v>
      </c>
      <c r="E40" s="221">
        <v>0</v>
      </c>
      <c r="F40" s="221">
        <v>0</v>
      </c>
      <c r="G40" s="228">
        <v>0</v>
      </c>
      <c r="AF40" s="193" t="s">
        <v>198</v>
      </c>
      <c r="AG40" s="193" t="s">
        <v>198</v>
      </c>
      <c r="AM40" s="193" t="s">
        <v>198</v>
      </c>
      <c r="AP40" s="193" t="s">
        <v>198</v>
      </c>
      <c r="AQ40" s="193"/>
      <c r="AT40" s="193"/>
    </row>
    <row r="41" spans="1:46" x14ac:dyDescent="0.15">
      <c r="A41" s="189">
        <v>39</v>
      </c>
      <c r="B41" s="221" t="s">
        <v>137</v>
      </c>
      <c r="C41" s="221">
        <v>1</v>
      </c>
      <c r="D41" s="221">
        <v>0</v>
      </c>
      <c r="E41" s="221">
        <v>0</v>
      </c>
      <c r="F41" s="221">
        <v>0</v>
      </c>
      <c r="G41" s="228">
        <v>0</v>
      </c>
      <c r="AF41" s="193" t="s">
        <v>198</v>
      </c>
      <c r="AG41" s="193" t="s">
        <v>198</v>
      </c>
      <c r="AM41" s="193" t="s">
        <v>198</v>
      </c>
      <c r="AP41" s="193" t="s">
        <v>198</v>
      </c>
      <c r="AQ41" s="193"/>
      <c r="AT41" s="193"/>
    </row>
    <row r="42" spans="1:46" x14ac:dyDescent="0.15">
      <c r="A42" s="239">
        <v>40</v>
      </c>
      <c r="B42" s="234" t="s">
        <v>473</v>
      </c>
      <c r="C42" s="234">
        <v>1</v>
      </c>
      <c r="D42" s="234">
        <v>0</v>
      </c>
      <c r="E42" s="234">
        <v>0</v>
      </c>
      <c r="F42" s="234">
        <v>0</v>
      </c>
      <c r="G42" s="240">
        <v>0</v>
      </c>
      <c r="AF42" s="193" t="s">
        <v>198</v>
      </c>
      <c r="AG42" s="193" t="s">
        <v>198</v>
      </c>
      <c r="AM42" s="193" t="s">
        <v>198</v>
      </c>
      <c r="AP42" s="193" t="s">
        <v>198</v>
      </c>
      <c r="AQ42" s="193"/>
      <c r="AT42" s="193"/>
    </row>
    <row r="43" spans="1:46" x14ac:dyDescent="0.15">
      <c r="AF43" s="193" t="s">
        <v>198</v>
      </c>
      <c r="AG43" s="193" t="s">
        <v>198</v>
      </c>
      <c r="AM43" s="193" t="s">
        <v>198</v>
      </c>
      <c r="AP43" s="193" t="s">
        <v>198</v>
      </c>
    </row>
    <row r="44" spans="1:46" x14ac:dyDescent="0.15">
      <c r="AF44" s="193" t="s">
        <v>198</v>
      </c>
      <c r="AG44" s="193" t="s">
        <v>198</v>
      </c>
      <c r="AM44" s="193" t="s">
        <v>198</v>
      </c>
      <c r="AP44" s="193" t="s">
        <v>198</v>
      </c>
    </row>
    <row r="45" spans="1:46" x14ac:dyDescent="0.15">
      <c r="AF45" s="193" t="s">
        <v>198</v>
      </c>
      <c r="AG45" s="193" t="s">
        <v>198</v>
      </c>
      <c r="AM45" s="193" t="s">
        <v>198</v>
      </c>
      <c r="AP45" s="193" t="s">
        <v>198</v>
      </c>
    </row>
    <row r="46" spans="1:46" x14ac:dyDescent="0.15">
      <c r="AF46" s="193" t="s">
        <v>198</v>
      </c>
      <c r="AG46" s="193" t="s">
        <v>198</v>
      </c>
      <c r="AM46" s="193" t="s">
        <v>198</v>
      </c>
      <c r="AP46" s="193" t="s">
        <v>198</v>
      </c>
    </row>
    <row r="47" spans="1:46" x14ac:dyDescent="0.15">
      <c r="AF47" s="193" t="s">
        <v>198</v>
      </c>
      <c r="AG47" s="193" t="s">
        <v>198</v>
      </c>
      <c r="AM47" s="193" t="s">
        <v>198</v>
      </c>
      <c r="AP47" s="193" t="s">
        <v>198</v>
      </c>
    </row>
    <row r="48" spans="1:46" x14ac:dyDescent="0.15">
      <c r="AF48" s="193" t="s">
        <v>198</v>
      </c>
      <c r="AG48" s="193" t="s">
        <v>198</v>
      </c>
      <c r="AM48" s="193" t="s">
        <v>198</v>
      </c>
      <c r="AP48" s="193" t="s">
        <v>198</v>
      </c>
    </row>
    <row r="49" spans="32:39" x14ac:dyDescent="0.15">
      <c r="AF49" s="193" t="s">
        <v>198</v>
      </c>
      <c r="AG49" s="193" t="s">
        <v>198</v>
      </c>
      <c r="AM49" s="193" t="s">
        <v>198</v>
      </c>
    </row>
    <row r="50" spans="32:39" x14ac:dyDescent="0.15">
      <c r="AF50" s="193" t="s">
        <v>198</v>
      </c>
      <c r="AG50" s="193" t="s">
        <v>198</v>
      </c>
      <c r="AM50" s="193" t="s">
        <v>198</v>
      </c>
    </row>
    <row r="51" spans="32:39" x14ac:dyDescent="0.15">
      <c r="AF51" s="193" t="s">
        <v>198</v>
      </c>
      <c r="AG51" s="193" t="s">
        <v>198</v>
      </c>
      <c r="AM51" s="193" t="s">
        <v>198</v>
      </c>
    </row>
    <row r="52" spans="32:39" x14ac:dyDescent="0.15">
      <c r="AF52" s="193" t="s">
        <v>198</v>
      </c>
      <c r="AG52" s="193" t="s">
        <v>198</v>
      </c>
      <c r="AM52" s="193" t="s">
        <v>198</v>
      </c>
    </row>
    <row r="53" spans="32:39" x14ac:dyDescent="0.15">
      <c r="AM53" s="193" t="s">
        <v>198</v>
      </c>
    </row>
    <row r="79" spans="10:17" x14ac:dyDescent="0.15">
      <c r="M79" s="241" t="s">
        <v>729</v>
      </c>
      <c r="P79" s="193" t="s">
        <v>730</v>
      </c>
    </row>
    <row r="80" spans="10:17" x14ac:dyDescent="0.15">
      <c r="J80" s="241" t="s">
        <v>12</v>
      </c>
      <c r="M80" s="193" t="s">
        <v>273</v>
      </c>
      <c r="N80" s="193">
        <v>11</v>
      </c>
      <c r="P80" s="193" t="s">
        <v>232</v>
      </c>
      <c r="Q80" s="193">
        <v>5</v>
      </c>
    </row>
    <row r="81" spans="10:17" x14ac:dyDescent="0.15">
      <c r="J81" s="193" t="s">
        <v>232</v>
      </c>
      <c r="K81" s="193">
        <v>18</v>
      </c>
      <c r="M81" s="193" t="s">
        <v>265</v>
      </c>
      <c r="N81" s="193">
        <v>4</v>
      </c>
      <c r="P81" s="193" t="s">
        <v>138</v>
      </c>
      <c r="Q81" s="193">
        <v>4</v>
      </c>
    </row>
    <row r="82" spans="10:17" x14ac:dyDescent="0.15">
      <c r="J82" s="193" t="s">
        <v>234</v>
      </c>
      <c r="K82" s="193">
        <v>1</v>
      </c>
      <c r="M82" s="193" t="s">
        <v>234</v>
      </c>
      <c r="N82" s="193">
        <v>2</v>
      </c>
      <c r="P82" s="193" t="s">
        <v>273</v>
      </c>
      <c r="Q82" s="193">
        <v>2</v>
      </c>
    </row>
    <row r="83" spans="10:17" x14ac:dyDescent="0.15">
      <c r="J83" s="193" t="s">
        <v>200</v>
      </c>
      <c r="K83" s="193">
        <v>1</v>
      </c>
      <c r="M83" s="193" t="s">
        <v>138</v>
      </c>
      <c r="N83" s="193">
        <v>2</v>
      </c>
      <c r="P83" s="193" t="s">
        <v>210</v>
      </c>
      <c r="Q83" s="193">
        <v>1</v>
      </c>
    </row>
    <row r="84" spans="10:17" x14ac:dyDescent="0.15">
      <c r="J84" s="193" t="s">
        <v>138</v>
      </c>
      <c r="K84" s="193">
        <v>1</v>
      </c>
      <c r="M84" s="193" t="s">
        <v>210</v>
      </c>
      <c r="N84" s="193">
        <v>1</v>
      </c>
      <c r="P84" s="193" t="s">
        <v>207</v>
      </c>
      <c r="Q84" s="193">
        <v>1</v>
      </c>
    </row>
    <row r="85" spans="10:17" x14ac:dyDescent="0.15">
      <c r="M85" s="193" t="s">
        <v>164</v>
      </c>
      <c r="N85" s="193">
        <v>1</v>
      </c>
      <c r="P85" s="193" t="s">
        <v>265</v>
      </c>
      <c r="Q85" s="193">
        <v>1</v>
      </c>
    </row>
    <row r="87" spans="10:17" x14ac:dyDescent="0.15">
      <c r="P87" s="193" t="s">
        <v>731</v>
      </c>
    </row>
    <row r="88" spans="10:17" x14ac:dyDescent="0.15">
      <c r="P88" s="193" t="s">
        <v>732</v>
      </c>
      <c r="Q88" s="193">
        <v>1</v>
      </c>
    </row>
    <row r="89" spans="10:17" x14ac:dyDescent="0.15">
      <c r="P89" s="193" t="s">
        <v>733</v>
      </c>
      <c r="Q89" s="193">
        <v>1</v>
      </c>
    </row>
  </sheetData>
  <sortState ref="AT2:AU55">
    <sortCondition descending="1" ref="AU2:AU55"/>
  </sortState>
  <mergeCells count="9">
    <mergeCell ref="AO1:AP1"/>
    <mergeCell ref="AR1:AS1"/>
    <mergeCell ref="AU1:AZ1"/>
    <mergeCell ref="A1:G1"/>
    <mergeCell ref="I1:R1"/>
    <mergeCell ref="T1:AD1"/>
    <mergeCell ref="AF1:AG1"/>
    <mergeCell ref="AI1:AJ1"/>
    <mergeCell ref="AL1:AM1"/>
  </mergeCells>
  <pageMargins left="0.70866141732283472" right="0.70866141732283472" top="0.55118110236220474" bottom="0.55118110236220474" header="0.31496062992125984" footer="0.31496062992125984"/>
  <pageSetup paperSize="9" orientation="landscape" horizontalDpi="4294967293" verticalDpi="0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B90"/>
  <sheetViews>
    <sheetView workbookViewId="0">
      <selection activeCell="P2" sqref="P2:Y30"/>
    </sheetView>
  </sheetViews>
  <sheetFormatPr defaultRowHeight="10.5" x14ac:dyDescent="0.15"/>
  <cols>
    <col min="1" max="1" width="4.42578125" style="117" customWidth="1"/>
    <col min="2" max="2" width="3" style="117" hidden="1" customWidth="1"/>
    <col min="3" max="3" width="12.5703125" style="117" bestFit="1" customWidth="1"/>
    <col min="4" max="4" width="5.85546875" style="144" bestFit="1" customWidth="1"/>
    <col min="5" max="5" width="5.140625" style="145" bestFit="1" customWidth="1"/>
    <col min="6" max="6" width="5" style="145" bestFit="1" customWidth="1"/>
    <col min="7" max="7" width="7.28515625" style="145" bestFit="1" customWidth="1"/>
    <col min="8" max="8" width="7.28515625" style="73" bestFit="1" customWidth="1"/>
    <col min="9" max="9" width="6.5703125" style="149" bestFit="1" customWidth="1"/>
    <col min="10" max="10" width="5.5703125" style="149" bestFit="1" customWidth="1"/>
    <col min="11" max="11" width="4.7109375" style="145" bestFit="1" customWidth="1"/>
    <col min="12" max="12" width="5.28515625" style="145" bestFit="1" customWidth="1"/>
    <col min="13" max="13" width="5.85546875" style="145" bestFit="1" customWidth="1"/>
    <col min="14" max="14" width="23.5703125" style="117" bestFit="1" customWidth="1"/>
    <col min="15" max="15" width="9.85546875" style="117" bestFit="1" customWidth="1"/>
    <col min="16" max="16" width="9.140625" style="117"/>
    <col min="17" max="17" width="10.85546875" style="117" bestFit="1" customWidth="1"/>
    <col min="18" max="18" width="13.140625" style="117" bestFit="1" customWidth="1"/>
    <col min="19" max="19" width="9.140625" style="148"/>
    <col min="20" max="21" width="9.140625" style="117"/>
    <col min="22" max="22" width="9.140625" style="57"/>
    <col min="23" max="16384" width="9.140625" style="117"/>
  </cols>
  <sheetData>
    <row r="1" spans="1:28" x14ac:dyDescent="0.15">
      <c r="A1" s="57" t="s">
        <v>133</v>
      </c>
      <c r="D1" s="144" t="s">
        <v>30</v>
      </c>
      <c r="E1" s="145" t="s">
        <v>31</v>
      </c>
      <c r="F1" s="145" t="s">
        <v>9</v>
      </c>
      <c r="G1" s="145" t="s">
        <v>135</v>
      </c>
      <c r="H1" s="72" t="s">
        <v>33</v>
      </c>
      <c r="I1" s="146" t="s">
        <v>34</v>
      </c>
      <c r="J1" s="146" t="s">
        <v>35</v>
      </c>
      <c r="K1" s="147" t="s">
        <v>90</v>
      </c>
      <c r="L1" s="147"/>
      <c r="M1" s="147"/>
      <c r="O1" s="117" t="s">
        <v>196</v>
      </c>
      <c r="P1" s="117">
        <f t="array" aca="1" ref="P1" ca="1">SUM(IF(NOT(ISNA(C2:C51)),1,0))</f>
        <v>43</v>
      </c>
      <c r="Q1" s="117" t="s">
        <v>197</v>
      </c>
      <c r="R1" s="117">
        <f t="array" aca="1" ref="R1" ca="1">SUM(IF(OFFSET(G2,0,0,P1,1)&gt;=10,1,0))</f>
        <v>6</v>
      </c>
    </row>
    <row r="2" spans="1:28" x14ac:dyDescent="0.15">
      <c r="A2" s="117">
        <v>1</v>
      </c>
      <c r="B2" s="117">
        <f>MATCH(A2,Bowling!$CP$5:$CP$47,0)</f>
        <v>6</v>
      </c>
      <c r="C2" s="117" t="str">
        <f ca="1">OFFSET(Bowling!$B$4,BowlAves!B2,0)</f>
        <v>Chima R</v>
      </c>
      <c r="D2" s="144">
        <f t="array" aca="1" ref="D2:K2" ca="1">OFFSET(Bowling!$CG$4,BowlAves!B2,0,1,8)</f>
        <v>4</v>
      </c>
      <c r="E2" s="145">
        <f ca="1"/>
        <v>0</v>
      </c>
      <c r="F2" s="145">
        <f ca="1"/>
        <v>13</v>
      </c>
      <c r="G2" s="145">
        <f ca="1"/>
        <v>2</v>
      </c>
      <c r="H2" s="73">
        <f ca="1"/>
        <v>6.5</v>
      </c>
      <c r="I2" s="149">
        <f ca="1"/>
        <v>12</v>
      </c>
      <c r="J2" s="149">
        <f ca="1"/>
        <v>3.25</v>
      </c>
      <c r="K2" s="150" t="str">
        <f ca="1"/>
        <v>2-13</v>
      </c>
      <c r="L2" s="150">
        <f ca="1">IF(G2&gt;=10,A2,1000+A2)</f>
        <v>1001</v>
      </c>
      <c r="M2" s="150">
        <f ca="1">RANK(L2,OFFSET($L$2,0,0,$P$1,1),-1)</f>
        <v>7</v>
      </c>
      <c r="N2" s="117" t="str">
        <f ca="1">IF(G2&gt;=10,"",C2&amp;" "&amp;D2&amp;"-"&amp;E2&amp;"-"&amp;F2&amp;"-"&amp;G2)</f>
        <v>Chima R 4-0-13-2</v>
      </c>
      <c r="Q2" s="151" t="s">
        <v>76</v>
      </c>
      <c r="R2" s="152" t="s">
        <v>30</v>
      </c>
      <c r="S2" s="153" t="s">
        <v>31</v>
      </c>
      <c r="T2" s="152" t="s">
        <v>9</v>
      </c>
      <c r="U2" s="152" t="s">
        <v>135</v>
      </c>
      <c r="V2" s="152" t="s">
        <v>33</v>
      </c>
      <c r="W2" s="152" t="s">
        <v>34</v>
      </c>
      <c r="X2" s="152" t="s">
        <v>35</v>
      </c>
      <c r="Y2" s="152" t="s">
        <v>90</v>
      </c>
      <c r="Z2" s="152" t="s">
        <v>223</v>
      </c>
    </row>
    <row r="3" spans="1:28" ht="11.25" x14ac:dyDescent="0.2">
      <c r="A3" s="117">
        <v>2</v>
      </c>
      <c r="B3" s="117">
        <f>MATCH(A3,Bowling!$CP$5:$CP$47,0)</f>
        <v>14</v>
      </c>
      <c r="C3" s="117" t="str">
        <f ca="1">OFFSET(Bowling!$B$4,BowlAves!B3,0)</f>
        <v>Jenkins D</v>
      </c>
      <c r="D3" s="144">
        <f t="array" aca="1" ref="D3:K3" ca="1">OFFSET(Bowling!$CG$4,BowlAves!B3,0,1,8)</f>
        <v>4</v>
      </c>
      <c r="E3" s="145">
        <f ca="1"/>
        <v>2</v>
      </c>
      <c r="F3" s="145">
        <f ca="1"/>
        <v>7</v>
      </c>
      <c r="G3" s="145">
        <f ca="1"/>
        <v>1</v>
      </c>
      <c r="H3" s="73">
        <f ca="1"/>
        <v>7</v>
      </c>
      <c r="I3" s="149">
        <f ca="1"/>
        <v>24</v>
      </c>
      <c r="J3" s="149">
        <f ca="1"/>
        <v>1.75</v>
      </c>
      <c r="K3" s="150" t="str">
        <f ca="1"/>
        <v>1-7</v>
      </c>
      <c r="L3" s="150">
        <f t="shared" ref="L3:L51" ca="1" si="0">IF(G3&gt;=10,A3,1000+A3)</f>
        <v>1002</v>
      </c>
      <c r="M3" s="150">
        <f t="shared" ref="M3:M51" ca="1" si="1">RANK(L3,OFFSET($L$2,0,0,$P$1,1),-1)</f>
        <v>8</v>
      </c>
      <c r="N3" s="117" t="str">
        <f t="shared" ref="N3:N51" ca="1" si="2">IF(G3&gt;=10,"",C3&amp;" "&amp;D3&amp;"-"&amp;E3&amp;"-"&amp;F3&amp;"-"&amp;G3)</f>
        <v>Jenkins D 4-2-7-1</v>
      </c>
      <c r="P3" s="154">
        <v>1</v>
      </c>
      <c r="Q3" s="155" t="str">
        <f t="array" aca="1" ref="Q3:Y3" ca="1">OFFSET($C$2,MATCH(P3,$M$2:$M$51,0)-1,0,1,9)</f>
        <v>Springer T</v>
      </c>
      <c r="R3" s="156">
        <f ca="1"/>
        <v>85.3</v>
      </c>
      <c r="S3" s="157">
        <f ca="1"/>
        <v>13</v>
      </c>
      <c r="T3" s="156">
        <f ca="1"/>
        <v>384</v>
      </c>
      <c r="U3" s="156">
        <f ca="1"/>
        <v>22</v>
      </c>
      <c r="V3" s="158">
        <f ca="1"/>
        <v>17.45</v>
      </c>
      <c r="W3" s="159">
        <f ca="1"/>
        <v>23.318181818181817</v>
      </c>
      <c r="X3" s="159">
        <f ca="1"/>
        <v>4.4912280701754383</v>
      </c>
      <c r="Y3" s="159" t="str">
        <f ca="1"/>
        <v>3-1</v>
      </c>
      <c r="Z3" s="170">
        <f ca="1">S3/R3</f>
        <v>0.15240328253223917</v>
      </c>
      <c r="AA3" s="170">
        <f ca="1">IF(R3&gt;=20,Z3,"")</f>
        <v>0.15240328253223917</v>
      </c>
      <c r="AB3" s="117" t="s">
        <v>198</v>
      </c>
    </row>
    <row r="4" spans="1:28" ht="11.25" x14ac:dyDescent="0.2">
      <c r="A4" s="117">
        <v>3</v>
      </c>
      <c r="B4" s="117">
        <f>MATCH(A4,Bowling!$CP$5:$CP$47,0)</f>
        <v>35</v>
      </c>
      <c r="C4" s="117" t="str">
        <f ca="1">OFFSET(Bowling!$B$4,BowlAves!B4,0)</f>
        <v>Sharpe H</v>
      </c>
      <c r="D4" s="144">
        <f t="array" aca="1" ref="D4:K4" ca="1">OFFSET(Bowling!$CG$4,BowlAves!B4,0,1,8)</f>
        <v>3</v>
      </c>
      <c r="E4" s="145">
        <f ca="1"/>
        <v>0</v>
      </c>
      <c r="F4" s="145">
        <f ca="1"/>
        <v>8</v>
      </c>
      <c r="G4" s="145">
        <f ca="1"/>
        <v>1</v>
      </c>
      <c r="H4" s="73">
        <f ca="1"/>
        <v>8</v>
      </c>
      <c r="I4" s="149">
        <f ca="1"/>
        <v>18</v>
      </c>
      <c r="J4" s="149">
        <f ca="1"/>
        <v>2.6666666666666665</v>
      </c>
      <c r="K4" s="150" t="str">
        <f ca="1"/>
        <v>1-1</v>
      </c>
      <c r="L4" s="150">
        <f t="shared" ca="1" si="0"/>
        <v>1003</v>
      </c>
      <c r="M4" s="150">
        <f t="shared" ca="1" si="1"/>
        <v>9</v>
      </c>
      <c r="N4" s="117" t="str">
        <f t="shared" ca="1" si="2"/>
        <v>Sharpe H 3-0-8-1</v>
      </c>
      <c r="P4" s="154">
        <v>2</v>
      </c>
      <c r="Q4" s="155" t="str">
        <f t="array" aca="1" ref="Q4:Y4" ca="1">OFFSET($C$2,MATCH(P4,$M$2:$M$51,0)-1,0,1,9)</f>
        <v>Mander A</v>
      </c>
      <c r="R4" s="156">
        <f ca="1"/>
        <v>94</v>
      </c>
      <c r="S4" s="157">
        <f ca="1"/>
        <v>21</v>
      </c>
      <c r="T4" s="156">
        <f ca="1"/>
        <v>324</v>
      </c>
      <c r="U4" s="156">
        <f ca="1"/>
        <v>18</v>
      </c>
      <c r="V4" s="158">
        <f ca="1"/>
        <v>18</v>
      </c>
      <c r="W4" s="159">
        <f ca="1"/>
        <v>31.333333333333332</v>
      </c>
      <c r="X4" s="159">
        <f ca="1"/>
        <v>3.4468085106382977</v>
      </c>
      <c r="Y4" s="159" t="str">
        <f ca="1"/>
        <v>5-37</v>
      </c>
      <c r="Z4" s="170">
        <f t="shared" ref="Z4:Z25" ca="1" si="3">S4/R4</f>
        <v>0.22340425531914893</v>
      </c>
      <c r="AA4" s="170">
        <f t="shared" ref="AA4:AA25" ca="1" si="4">IF(R4&gt;=20,Z4,"")</f>
        <v>0.22340425531914893</v>
      </c>
      <c r="AB4" s="117" t="s">
        <v>198</v>
      </c>
    </row>
    <row r="5" spans="1:28" ht="11.25" x14ac:dyDescent="0.2">
      <c r="A5" s="117">
        <v>4</v>
      </c>
      <c r="B5" s="117">
        <f>MATCH(A5,Bowling!$CP$5:$CP$47,0)</f>
        <v>17</v>
      </c>
      <c r="C5" s="117" t="str">
        <f ca="1">OFFSET(Bowling!$B$4,BowlAves!B5,0)</f>
        <v>Khan W</v>
      </c>
      <c r="D5" s="144">
        <f t="array" aca="1" ref="D5:K5" ca="1">OFFSET(Bowling!$CG$4,BowlAves!B5,0,1,8)</f>
        <v>5</v>
      </c>
      <c r="E5" s="145">
        <f ca="1"/>
        <v>2</v>
      </c>
      <c r="F5" s="145">
        <f ca="1"/>
        <v>17</v>
      </c>
      <c r="G5" s="145">
        <f ca="1"/>
        <v>2</v>
      </c>
      <c r="H5" s="73">
        <f ca="1"/>
        <v>8.5</v>
      </c>
      <c r="I5" s="149">
        <f ca="1"/>
        <v>15</v>
      </c>
      <c r="J5" s="149">
        <f ca="1"/>
        <v>3.4</v>
      </c>
      <c r="K5" s="150" t="str">
        <f ca="1"/>
        <v>2-17</v>
      </c>
      <c r="L5" s="150">
        <f t="shared" ca="1" si="0"/>
        <v>1004</v>
      </c>
      <c r="M5" s="150">
        <f t="shared" ca="1" si="1"/>
        <v>10</v>
      </c>
      <c r="N5" s="117" t="str">
        <f t="shared" ca="1" si="2"/>
        <v>Khan W 5-2-17-2</v>
      </c>
      <c r="P5" s="154">
        <v>3</v>
      </c>
      <c r="Q5" s="155" t="str">
        <f t="array" aca="1" ref="Q5:Y5" ca="1">OFFSET($C$2,MATCH(P5,$M$2:$M$51,0)-1,0,1,9)</f>
        <v>Bhatt P</v>
      </c>
      <c r="R5" s="156">
        <f ca="1"/>
        <v>83</v>
      </c>
      <c r="S5" s="157">
        <f ca="1"/>
        <v>17</v>
      </c>
      <c r="T5" s="156">
        <f ca="1"/>
        <v>300</v>
      </c>
      <c r="U5" s="156">
        <f ca="1"/>
        <v>15</v>
      </c>
      <c r="V5" s="158">
        <f ca="1"/>
        <v>20</v>
      </c>
      <c r="W5" s="159">
        <f ca="1"/>
        <v>33.200000000000003</v>
      </c>
      <c r="X5" s="159">
        <f ca="1"/>
        <v>3.6144578313253013</v>
      </c>
      <c r="Y5" s="159" t="str">
        <f ca="1"/>
        <v>3-32</v>
      </c>
      <c r="Z5" s="170">
        <f t="shared" ca="1" si="3"/>
        <v>0.20481927710843373</v>
      </c>
      <c r="AA5" s="170">
        <f t="shared" ca="1" si="4"/>
        <v>0.20481927710843373</v>
      </c>
      <c r="AB5" s="117" t="s">
        <v>198</v>
      </c>
    </row>
    <row r="6" spans="1:28" ht="11.25" x14ac:dyDescent="0.2">
      <c r="A6" s="117">
        <v>5</v>
      </c>
      <c r="B6" s="117">
        <f>MATCH(A6,Bowling!$CP$5:$CP$47,0)</f>
        <v>29</v>
      </c>
      <c r="C6" s="117" t="str">
        <f ca="1">OFFSET(Bowling!$B$4,BowlAves!B6,0)</f>
        <v>Parboo R</v>
      </c>
      <c r="D6" s="144">
        <f t="array" aca="1" ref="D6:K6" ca="1">OFFSET(Bowling!$CG$4,BowlAves!B6,0,1,8)</f>
        <v>33</v>
      </c>
      <c r="E6" s="145">
        <f ca="1"/>
        <v>7</v>
      </c>
      <c r="F6" s="145">
        <f ca="1"/>
        <v>116</v>
      </c>
      <c r="G6" s="145">
        <f ca="1"/>
        <v>9</v>
      </c>
      <c r="H6" s="73">
        <f ca="1"/>
        <v>12.89</v>
      </c>
      <c r="I6" s="149">
        <f ca="1"/>
        <v>22</v>
      </c>
      <c r="J6" s="149">
        <f ca="1"/>
        <v>3.5151515151515151</v>
      </c>
      <c r="K6" s="150" t="str">
        <f ca="1"/>
        <v>3-13</v>
      </c>
      <c r="L6" s="150">
        <f t="shared" ca="1" si="0"/>
        <v>1005</v>
      </c>
      <c r="M6" s="150">
        <f t="shared" ca="1" si="1"/>
        <v>11</v>
      </c>
      <c r="N6" s="117" t="str">
        <f t="shared" ca="1" si="2"/>
        <v>Parboo R 33-7-116-9</v>
      </c>
      <c r="P6" s="154">
        <v>4</v>
      </c>
      <c r="Q6" s="155" t="str">
        <f t="array" aca="1" ref="Q6:Y6" ca="1">OFFSET($C$2,MATCH(P6,$M$2:$M$51,0)-1,0,1,9)</f>
        <v>Middleton J</v>
      </c>
      <c r="R6" s="156">
        <f ca="1"/>
        <v>54.5</v>
      </c>
      <c r="S6" s="157">
        <f ca="1"/>
        <v>6</v>
      </c>
      <c r="T6" s="156">
        <f ca="1"/>
        <v>237</v>
      </c>
      <c r="U6" s="156">
        <f ca="1"/>
        <v>11</v>
      </c>
      <c r="V6" s="158">
        <f ca="1"/>
        <v>21.55</v>
      </c>
      <c r="W6" s="159">
        <f ca="1"/>
        <v>29.90909090909091</v>
      </c>
      <c r="X6" s="159">
        <f ca="1"/>
        <v>4.3221884498480243</v>
      </c>
      <c r="Y6" s="159" t="str">
        <f ca="1"/>
        <v>3-38</v>
      </c>
      <c r="Z6" s="170">
        <f t="shared" ca="1" si="3"/>
        <v>0.11009174311926606</v>
      </c>
      <c r="AA6" s="170">
        <f t="shared" ca="1" si="4"/>
        <v>0.11009174311926606</v>
      </c>
      <c r="AB6" s="117" t="s">
        <v>198</v>
      </c>
    </row>
    <row r="7" spans="1:28" ht="11.25" x14ac:dyDescent="0.2">
      <c r="A7" s="117">
        <v>6</v>
      </c>
      <c r="B7" s="117">
        <f>MATCH(A7,Bowling!$CP$5:$CP$47,0)</f>
        <v>40</v>
      </c>
      <c r="C7" s="117" t="str">
        <f ca="1">OFFSET(Bowling!$B$4,BowlAves!B7,0)</f>
        <v>Springer T</v>
      </c>
      <c r="D7" s="144">
        <f t="array" aca="1" ref="D7:K7" ca="1">OFFSET(Bowling!$CG$4,BowlAves!B7,0,1,8)</f>
        <v>85.3</v>
      </c>
      <c r="E7" s="145">
        <f ca="1"/>
        <v>13</v>
      </c>
      <c r="F7" s="145">
        <f ca="1"/>
        <v>384</v>
      </c>
      <c r="G7" s="145">
        <f ca="1"/>
        <v>22</v>
      </c>
      <c r="H7" s="73">
        <f ca="1"/>
        <v>17.45</v>
      </c>
      <c r="I7" s="149">
        <f ca="1"/>
        <v>23.318181818181817</v>
      </c>
      <c r="J7" s="149">
        <f ca="1"/>
        <v>4.4912280701754383</v>
      </c>
      <c r="K7" s="150" t="str">
        <f ca="1"/>
        <v>3-1</v>
      </c>
      <c r="L7" s="150">
        <f t="shared" ca="1" si="0"/>
        <v>6</v>
      </c>
      <c r="M7" s="150">
        <f t="shared" ca="1" si="1"/>
        <v>1</v>
      </c>
      <c r="N7" s="117" t="str">
        <f t="shared" ca="1" si="2"/>
        <v/>
      </c>
      <c r="P7" s="154">
        <v>5</v>
      </c>
      <c r="Q7" s="155" t="str">
        <f t="array" aca="1" ref="Q7:Y7" ca="1">OFFSET($C$2,MATCH(P7,$M$2:$M$51,0)-1,0,1,9)</f>
        <v>Deol R</v>
      </c>
      <c r="R7" s="156">
        <f ca="1"/>
        <v>74</v>
      </c>
      <c r="S7" s="157">
        <f ca="1"/>
        <v>6</v>
      </c>
      <c r="T7" s="156">
        <f ca="1"/>
        <v>370</v>
      </c>
      <c r="U7" s="156">
        <f ca="1"/>
        <v>15</v>
      </c>
      <c r="V7" s="158">
        <f ca="1"/>
        <v>24.67</v>
      </c>
      <c r="W7" s="159">
        <f ca="1"/>
        <v>29.6</v>
      </c>
      <c r="X7" s="159">
        <f ca="1"/>
        <v>5</v>
      </c>
      <c r="Y7" s="159" t="str">
        <f ca="1"/>
        <v>3-27</v>
      </c>
      <c r="Z7" s="170">
        <f t="shared" ca="1" si="3"/>
        <v>8.1081081081081086E-2</v>
      </c>
      <c r="AA7" s="170">
        <f t="shared" ca="1" si="4"/>
        <v>8.1081081081081086E-2</v>
      </c>
      <c r="AB7" s="117" t="s">
        <v>198</v>
      </c>
    </row>
    <row r="8" spans="1:28" ht="12.75" x14ac:dyDescent="0.2">
      <c r="A8" s="117">
        <v>7</v>
      </c>
      <c r="B8" s="117">
        <f>MATCH(A8,Bowling!$CP$5:$CP$47,0)</f>
        <v>24</v>
      </c>
      <c r="C8" s="117" t="str">
        <f ca="1">OFFSET(Bowling!$B$4,BowlAves!B8,0)</f>
        <v>Nair S</v>
      </c>
      <c r="D8" s="144">
        <f t="array" aca="1" ref="D8:K8" ca="1">OFFSET(Bowling!$CG$4,BowlAves!B8,0,1,8)</f>
        <v>35</v>
      </c>
      <c r="E8" s="145">
        <f ca="1"/>
        <v>1</v>
      </c>
      <c r="F8" s="145">
        <f ca="1"/>
        <v>161</v>
      </c>
      <c r="G8" s="145">
        <f ca="1"/>
        <v>9</v>
      </c>
      <c r="H8" s="73">
        <f ca="1"/>
        <v>17.89</v>
      </c>
      <c r="I8" s="149">
        <f ca="1"/>
        <v>23.333333333333332</v>
      </c>
      <c r="J8" s="149">
        <f ca="1"/>
        <v>4.5999999999999996</v>
      </c>
      <c r="K8" s="150" t="str">
        <f ca="1"/>
        <v>3-33</v>
      </c>
      <c r="L8" s="150">
        <f t="shared" ca="1" si="0"/>
        <v>1007</v>
      </c>
      <c r="M8" s="150">
        <f t="shared" ca="1" si="1"/>
        <v>12</v>
      </c>
      <c r="N8" s="117" t="str">
        <f t="shared" ca="1" si="2"/>
        <v>Nair S 35-1-161-9</v>
      </c>
      <c r="P8" s="154">
        <v>6</v>
      </c>
      <c r="Q8" s="155" t="str">
        <f t="array" aca="1" ref="Q8:Y8" ca="1">OFFSET($C$2,MATCH(P8,$M$2:$M$51,0)-1,0,1,9)</f>
        <v>Seymour C</v>
      </c>
      <c r="R8" s="156">
        <f ca="1"/>
        <v>101</v>
      </c>
      <c r="S8" s="157">
        <f ca="1"/>
        <v>5</v>
      </c>
      <c r="T8" s="156">
        <f ca="1"/>
        <v>442</v>
      </c>
      <c r="U8" s="156">
        <f ca="1"/>
        <v>16</v>
      </c>
      <c r="V8" s="158">
        <f ca="1"/>
        <v>27.63</v>
      </c>
      <c r="W8" s="159">
        <f ca="1"/>
        <v>37.875</v>
      </c>
      <c r="X8" s="159">
        <f ca="1"/>
        <v>4.3762376237623766</v>
      </c>
      <c r="Y8" s="159" t="str">
        <f ca="1"/>
        <v>3-18</v>
      </c>
      <c r="Z8" s="170">
        <f t="shared" ca="1" si="3"/>
        <v>4.9504950495049507E-2</v>
      </c>
      <c r="AA8" s="170">
        <f t="shared" ca="1" si="4"/>
        <v>4.9504950495049507E-2</v>
      </c>
      <c r="AB8" s="99"/>
    </row>
    <row r="9" spans="1:28" ht="12.75" x14ac:dyDescent="0.2">
      <c r="A9" s="117">
        <v>8</v>
      </c>
      <c r="B9" s="117">
        <f>MATCH(A9,Bowling!$CP$5:$CP$47,0)</f>
        <v>21</v>
      </c>
      <c r="C9" s="117" t="str">
        <f ca="1">OFFSET(Bowling!$B$4,BowlAves!B9,0)</f>
        <v>Mander A</v>
      </c>
      <c r="D9" s="144">
        <f t="array" aca="1" ref="D9:K9" ca="1">OFFSET(Bowling!$CG$4,BowlAves!B9,0,1,8)</f>
        <v>94</v>
      </c>
      <c r="E9" s="145">
        <f ca="1"/>
        <v>21</v>
      </c>
      <c r="F9" s="145">
        <f ca="1"/>
        <v>324</v>
      </c>
      <c r="G9" s="145">
        <f ca="1"/>
        <v>18</v>
      </c>
      <c r="H9" s="73">
        <f ca="1"/>
        <v>18</v>
      </c>
      <c r="I9" s="149">
        <f ca="1"/>
        <v>31.333333333333332</v>
      </c>
      <c r="J9" s="149">
        <f ca="1"/>
        <v>3.4468085106382977</v>
      </c>
      <c r="K9" s="150" t="str">
        <f ca="1"/>
        <v>5-37</v>
      </c>
      <c r="L9" s="150">
        <f t="shared" ca="1" si="0"/>
        <v>8</v>
      </c>
      <c r="M9" s="150">
        <f t="shared" ca="1" si="1"/>
        <v>2</v>
      </c>
      <c r="N9" s="117" t="str">
        <f t="shared" ca="1" si="2"/>
        <v/>
      </c>
      <c r="P9" s="154">
        <v>7</v>
      </c>
      <c r="Q9" s="155" t="str">
        <f t="array" aca="1" ref="Q9:Y9" ca="1">OFFSET($C$2,MATCH(P9,$M$2:$M$51,0)-1,0,1,9)</f>
        <v>Chima R</v>
      </c>
      <c r="R9" s="156">
        <f ca="1"/>
        <v>4</v>
      </c>
      <c r="S9" s="157">
        <f ca="1"/>
        <v>0</v>
      </c>
      <c r="T9" s="156">
        <f ca="1"/>
        <v>13</v>
      </c>
      <c r="U9" s="156">
        <f ca="1"/>
        <v>2</v>
      </c>
      <c r="V9" s="158">
        <f ca="1"/>
        <v>6.5</v>
      </c>
      <c r="W9" s="159">
        <f ca="1"/>
        <v>12</v>
      </c>
      <c r="X9" s="159">
        <f ca="1"/>
        <v>3.25</v>
      </c>
      <c r="Y9" s="159" t="str">
        <f ca="1"/>
        <v>2-13</v>
      </c>
      <c r="Z9" s="170">
        <f t="shared" ca="1" si="3"/>
        <v>0</v>
      </c>
      <c r="AA9" s="170" t="str">
        <f t="shared" ca="1" si="4"/>
        <v/>
      </c>
      <c r="AB9" s="99"/>
    </row>
    <row r="10" spans="1:28" ht="12.75" x14ac:dyDescent="0.2">
      <c r="A10" s="117">
        <v>9</v>
      </c>
      <c r="B10" s="117">
        <f>MATCH(A10,Bowling!$CP$5:$CP$47,0)</f>
        <v>2</v>
      </c>
      <c r="C10" s="117" t="str">
        <f ca="1">OFFSET(Bowling!$B$4,BowlAves!B10,0)</f>
        <v>Bhatt P</v>
      </c>
      <c r="D10" s="144">
        <f t="array" aca="1" ref="D10:K10" ca="1">OFFSET(Bowling!$CG$4,BowlAves!B10,0,1,8)</f>
        <v>83</v>
      </c>
      <c r="E10" s="145">
        <f ca="1"/>
        <v>17</v>
      </c>
      <c r="F10" s="145">
        <f ca="1"/>
        <v>300</v>
      </c>
      <c r="G10" s="145">
        <f ca="1"/>
        <v>15</v>
      </c>
      <c r="H10" s="73">
        <f ca="1"/>
        <v>20</v>
      </c>
      <c r="I10" s="149">
        <f ca="1"/>
        <v>33.200000000000003</v>
      </c>
      <c r="J10" s="149">
        <f ca="1"/>
        <v>3.6144578313253013</v>
      </c>
      <c r="K10" s="150" t="str">
        <f ca="1"/>
        <v>3-32</v>
      </c>
      <c r="L10" s="150">
        <f t="shared" ca="1" si="0"/>
        <v>9</v>
      </c>
      <c r="M10" s="150">
        <f t="shared" ca="1" si="1"/>
        <v>3</v>
      </c>
      <c r="N10" s="117" t="str">
        <f t="shared" ca="1" si="2"/>
        <v/>
      </c>
      <c r="P10" s="154">
        <v>8</v>
      </c>
      <c r="Q10" s="155" t="str">
        <f t="array" aca="1" ref="Q10:Y10" ca="1">OFFSET($C$2,MATCH(P10,$M$2:$M$51,0)-1,0,1,9)</f>
        <v>Jenkins D</v>
      </c>
      <c r="R10" s="156">
        <f ca="1"/>
        <v>4</v>
      </c>
      <c r="S10" s="157">
        <f ca="1"/>
        <v>2</v>
      </c>
      <c r="T10" s="156">
        <f ca="1"/>
        <v>7</v>
      </c>
      <c r="U10" s="156">
        <f ca="1"/>
        <v>1</v>
      </c>
      <c r="V10" s="158">
        <f ca="1"/>
        <v>7</v>
      </c>
      <c r="W10" s="159">
        <f ca="1"/>
        <v>24</v>
      </c>
      <c r="X10" s="159">
        <f ca="1"/>
        <v>1.75</v>
      </c>
      <c r="Y10" s="159" t="str">
        <f ca="1"/>
        <v>1-7</v>
      </c>
      <c r="Z10" s="170">
        <f t="shared" ca="1" si="3"/>
        <v>0.5</v>
      </c>
      <c r="AA10" s="170" t="str">
        <f t="shared" ca="1" si="4"/>
        <v/>
      </c>
      <c r="AB10" s="99"/>
    </row>
    <row r="11" spans="1:28" ht="12.75" x14ac:dyDescent="0.2">
      <c r="A11" s="117">
        <v>10</v>
      </c>
      <c r="B11" s="117">
        <f>MATCH(A11,Bowling!$CP$5:$CP$47,0)</f>
        <v>23</v>
      </c>
      <c r="C11" s="117" t="str">
        <f ca="1">OFFSET(Bowling!$B$4,BowlAves!B11,0)</f>
        <v>Middleton J</v>
      </c>
      <c r="D11" s="144">
        <f t="array" aca="1" ref="D11:K11" ca="1">OFFSET(Bowling!$CG$4,BowlAves!B11,0,1,8)</f>
        <v>54.5</v>
      </c>
      <c r="E11" s="145">
        <f ca="1"/>
        <v>6</v>
      </c>
      <c r="F11" s="145">
        <f ca="1"/>
        <v>237</v>
      </c>
      <c r="G11" s="145">
        <f ca="1"/>
        <v>11</v>
      </c>
      <c r="H11" s="73">
        <f ca="1"/>
        <v>21.55</v>
      </c>
      <c r="I11" s="149">
        <f ca="1"/>
        <v>29.90909090909091</v>
      </c>
      <c r="J11" s="149">
        <f ca="1"/>
        <v>4.3221884498480243</v>
      </c>
      <c r="K11" s="150" t="str">
        <f ca="1"/>
        <v>3-38</v>
      </c>
      <c r="L11" s="150">
        <f t="shared" ca="1" si="0"/>
        <v>10</v>
      </c>
      <c r="M11" s="150">
        <f t="shared" ca="1" si="1"/>
        <v>4</v>
      </c>
      <c r="N11" s="117" t="str">
        <f t="shared" ca="1" si="2"/>
        <v/>
      </c>
      <c r="P11" s="154">
        <v>9</v>
      </c>
      <c r="Q11" s="155" t="str">
        <f t="array" aca="1" ref="Q11:Y11" ca="1">OFFSET($C$2,MATCH(P11,$M$2:$M$51,0)-1,0,1,9)</f>
        <v>Sharpe H</v>
      </c>
      <c r="R11" s="156">
        <f ca="1"/>
        <v>3</v>
      </c>
      <c r="S11" s="157">
        <f ca="1"/>
        <v>0</v>
      </c>
      <c r="T11" s="156">
        <f ca="1"/>
        <v>8</v>
      </c>
      <c r="U11" s="156">
        <f ca="1"/>
        <v>1</v>
      </c>
      <c r="V11" s="158">
        <f ca="1"/>
        <v>8</v>
      </c>
      <c r="W11" s="159">
        <f ca="1"/>
        <v>18</v>
      </c>
      <c r="X11" s="159">
        <f ca="1"/>
        <v>2.6666666666666665</v>
      </c>
      <c r="Y11" s="159" t="str">
        <f ca="1"/>
        <v>1-1</v>
      </c>
      <c r="Z11" s="170">
        <f t="shared" ca="1" si="3"/>
        <v>0</v>
      </c>
      <c r="AA11" s="170" t="str">
        <f t="shared" ca="1" si="4"/>
        <v/>
      </c>
      <c r="AB11" s="99"/>
    </row>
    <row r="12" spans="1:28" ht="12.75" x14ac:dyDescent="0.2">
      <c r="A12" s="117">
        <v>11</v>
      </c>
      <c r="B12" s="117">
        <f>MATCH(A12,Bowling!$CP$5:$CP$47,0)</f>
        <v>42</v>
      </c>
      <c r="C12" s="117" t="str">
        <f ca="1">OFFSET(Bowling!$B$4,BowlAves!B12,0)</f>
        <v>Wilson A</v>
      </c>
      <c r="D12" s="144">
        <f t="array" aca="1" ref="D12:K12" ca="1">OFFSET(Bowling!$CG$4,BowlAves!B12,0,1,8)</f>
        <v>3.3</v>
      </c>
      <c r="E12" s="145">
        <f ca="1"/>
        <v>0</v>
      </c>
      <c r="F12" s="145">
        <f ca="1"/>
        <v>24</v>
      </c>
      <c r="G12" s="145">
        <f ca="1"/>
        <v>1</v>
      </c>
      <c r="H12" s="73">
        <f ca="1"/>
        <v>24</v>
      </c>
      <c r="I12" s="149">
        <f ca="1"/>
        <v>21</v>
      </c>
      <c r="J12" s="149">
        <f ca="1"/>
        <v>6.8571428571428568</v>
      </c>
      <c r="K12" s="150" t="str">
        <f ca="1"/>
        <v>1-1</v>
      </c>
      <c r="L12" s="150">
        <f t="shared" ca="1" si="0"/>
        <v>1011</v>
      </c>
      <c r="M12" s="150">
        <f t="shared" ca="1" si="1"/>
        <v>13</v>
      </c>
      <c r="N12" s="117" t="str">
        <f t="shared" ca="1" si="2"/>
        <v>Wilson A 3.3-0-24-1</v>
      </c>
      <c r="P12" s="154">
        <v>10</v>
      </c>
      <c r="Q12" s="155" t="str">
        <f t="array" aca="1" ref="Q12:Y12" ca="1">OFFSET($C$2,MATCH(P12,$M$2:$M$51,0)-1,0,1,9)</f>
        <v>Khan W</v>
      </c>
      <c r="R12" s="156">
        <f ca="1"/>
        <v>5</v>
      </c>
      <c r="S12" s="157">
        <f ca="1"/>
        <v>2</v>
      </c>
      <c r="T12" s="156">
        <f ca="1"/>
        <v>17</v>
      </c>
      <c r="U12" s="156">
        <f ca="1"/>
        <v>2</v>
      </c>
      <c r="V12" s="158">
        <f ca="1"/>
        <v>8.5</v>
      </c>
      <c r="W12" s="159">
        <f ca="1"/>
        <v>15</v>
      </c>
      <c r="X12" s="159">
        <f ca="1"/>
        <v>3.4</v>
      </c>
      <c r="Y12" s="159" t="str">
        <f ca="1"/>
        <v>2-17</v>
      </c>
      <c r="Z12" s="170">
        <f t="shared" ca="1" si="3"/>
        <v>0.4</v>
      </c>
      <c r="AA12" s="170" t="str">
        <f t="shared" ca="1" si="4"/>
        <v/>
      </c>
      <c r="AB12" s="99"/>
    </row>
    <row r="13" spans="1:28" ht="12.75" x14ac:dyDescent="0.2">
      <c r="A13" s="117">
        <v>12</v>
      </c>
      <c r="B13" s="117">
        <f>MATCH(A13,Bowling!$CP$5:$CP$47,0)</f>
        <v>8</v>
      </c>
      <c r="C13" s="117" t="str">
        <f ca="1">OFFSET(Bowling!$B$4,BowlAves!B13,0)</f>
        <v>Deol R</v>
      </c>
      <c r="D13" s="144">
        <f t="array" aca="1" ref="D13:K13" ca="1">OFFSET(Bowling!$CG$4,BowlAves!B13,0,1,8)</f>
        <v>74</v>
      </c>
      <c r="E13" s="145">
        <f ca="1"/>
        <v>6</v>
      </c>
      <c r="F13" s="145">
        <f ca="1"/>
        <v>370</v>
      </c>
      <c r="G13" s="145">
        <f ca="1"/>
        <v>15</v>
      </c>
      <c r="H13" s="73">
        <f ca="1"/>
        <v>24.67</v>
      </c>
      <c r="I13" s="149">
        <f ca="1"/>
        <v>29.6</v>
      </c>
      <c r="J13" s="149">
        <f ca="1"/>
        <v>5</v>
      </c>
      <c r="K13" s="150" t="str">
        <f ca="1"/>
        <v>3-27</v>
      </c>
      <c r="L13" s="150">
        <f t="shared" ca="1" si="0"/>
        <v>12</v>
      </c>
      <c r="M13" s="150">
        <f t="shared" ca="1" si="1"/>
        <v>5</v>
      </c>
      <c r="N13" s="117" t="str">
        <f t="shared" ca="1" si="2"/>
        <v/>
      </c>
      <c r="P13" s="154">
        <v>11</v>
      </c>
      <c r="Q13" s="155" t="str">
        <f t="array" aca="1" ref="Q13:Y13" ca="1">OFFSET($C$2,MATCH(P13,$M$2:$M$51,0)-1,0,1,9)</f>
        <v>Parboo R</v>
      </c>
      <c r="R13" s="156">
        <f ca="1"/>
        <v>33</v>
      </c>
      <c r="S13" s="157">
        <f ca="1"/>
        <v>7</v>
      </c>
      <c r="T13" s="156">
        <f ca="1"/>
        <v>116</v>
      </c>
      <c r="U13" s="156">
        <f ca="1"/>
        <v>9</v>
      </c>
      <c r="V13" s="158">
        <f ca="1"/>
        <v>12.89</v>
      </c>
      <c r="W13" s="159">
        <f ca="1"/>
        <v>22</v>
      </c>
      <c r="X13" s="159">
        <f ca="1"/>
        <v>3.5151515151515151</v>
      </c>
      <c r="Y13" s="159" t="str">
        <f ca="1"/>
        <v>3-13</v>
      </c>
      <c r="Z13" s="170">
        <f t="shared" ca="1" si="3"/>
        <v>0.21212121212121213</v>
      </c>
      <c r="AA13" s="170">
        <f t="shared" ca="1" si="4"/>
        <v>0.21212121212121213</v>
      </c>
      <c r="AB13" s="99"/>
    </row>
    <row r="14" spans="1:28" ht="12.75" x14ac:dyDescent="0.2">
      <c r="A14" s="117">
        <v>13</v>
      </c>
      <c r="B14" s="117">
        <f>MATCH(A14,Bowling!$CP$5:$CP$47,0)</f>
        <v>32</v>
      </c>
      <c r="C14" s="117" t="str">
        <f ca="1">OFFSET(Bowling!$B$4,BowlAves!B14,0)</f>
        <v>Seymour C</v>
      </c>
      <c r="D14" s="144">
        <f t="array" aca="1" ref="D14:K14" ca="1">OFFSET(Bowling!$CG$4,BowlAves!B14,0,1,8)</f>
        <v>101</v>
      </c>
      <c r="E14" s="145">
        <f ca="1"/>
        <v>5</v>
      </c>
      <c r="F14" s="145">
        <f ca="1"/>
        <v>442</v>
      </c>
      <c r="G14" s="145">
        <f ca="1"/>
        <v>16</v>
      </c>
      <c r="H14" s="73">
        <f ca="1"/>
        <v>27.63</v>
      </c>
      <c r="I14" s="149">
        <f ca="1"/>
        <v>37.875</v>
      </c>
      <c r="J14" s="149">
        <f ca="1"/>
        <v>4.3762376237623766</v>
      </c>
      <c r="K14" s="150" t="str">
        <f ca="1"/>
        <v>3-18</v>
      </c>
      <c r="L14" s="150">
        <f t="shared" ca="1" si="0"/>
        <v>13</v>
      </c>
      <c r="M14" s="150">
        <f t="shared" ca="1" si="1"/>
        <v>6</v>
      </c>
      <c r="N14" s="117" t="str">
        <f t="shared" ca="1" si="2"/>
        <v/>
      </c>
      <c r="P14" s="154">
        <v>12</v>
      </c>
      <c r="Q14" s="155" t="str">
        <f t="array" aca="1" ref="Q14:Y14" ca="1">OFFSET($C$2,MATCH(P14,$M$2:$M$51,0)-1,0,1,9)</f>
        <v>Nair S</v>
      </c>
      <c r="R14" s="156">
        <f ca="1"/>
        <v>35</v>
      </c>
      <c r="S14" s="157">
        <f ca="1"/>
        <v>1</v>
      </c>
      <c r="T14" s="156">
        <f ca="1"/>
        <v>161</v>
      </c>
      <c r="U14" s="156">
        <f ca="1"/>
        <v>9</v>
      </c>
      <c r="V14" s="158">
        <f ca="1"/>
        <v>17.89</v>
      </c>
      <c r="W14" s="159">
        <f ca="1"/>
        <v>23.333333333333332</v>
      </c>
      <c r="X14" s="159">
        <f ca="1"/>
        <v>4.5999999999999996</v>
      </c>
      <c r="Y14" s="159" t="str">
        <f ca="1"/>
        <v>3-33</v>
      </c>
      <c r="Z14" s="170">
        <f t="shared" ca="1" si="3"/>
        <v>2.8571428571428571E-2</v>
      </c>
      <c r="AA14" s="170">
        <f t="shared" ca="1" si="4"/>
        <v>2.8571428571428571E-2</v>
      </c>
      <c r="AB14" s="99"/>
    </row>
    <row r="15" spans="1:28" ht="12.75" x14ac:dyDescent="0.2">
      <c r="A15" s="117">
        <v>14</v>
      </c>
      <c r="B15" s="117">
        <f>MATCH(A15,Bowling!$CP$5:$CP$47,0)</f>
        <v>5</v>
      </c>
      <c r="C15" s="117" t="str">
        <f ca="1">OFFSET(Bowling!$B$4,BowlAves!B15,0)</f>
        <v>Bowers P</v>
      </c>
      <c r="D15" s="144">
        <f t="array" aca="1" ref="D15:K15" ca="1">OFFSET(Bowling!$CG$4,BowlAves!B15,0,1,8)</f>
        <v>7</v>
      </c>
      <c r="E15" s="145">
        <f ca="1"/>
        <v>0</v>
      </c>
      <c r="F15" s="145">
        <f ca="1"/>
        <v>28</v>
      </c>
      <c r="G15" s="145">
        <f ca="1"/>
        <v>1</v>
      </c>
      <c r="H15" s="73">
        <f ca="1"/>
        <v>28</v>
      </c>
      <c r="I15" s="149">
        <f ca="1"/>
        <v>42</v>
      </c>
      <c r="J15" s="149">
        <f ca="1"/>
        <v>4</v>
      </c>
      <c r="K15" s="150" t="str">
        <f ca="1"/>
        <v>1-28</v>
      </c>
      <c r="L15" s="150">
        <f t="shared" ca="1" si="0"/>
        <v>1014</v>
      </c>
      <c r="M15" s="150">
        <f t="shared" ca="1" si="1"/>
        <v>14</v>
      </c>
      <c r="N15" s="117" t="str">
        <f t="shared" ca="1" si="2"/>
        <v>Bowers P 7-0-28-1</v>
      </c>
      <c r="P15" s="154">
        <v>13</v>
      </c>
      <c r="Q15" s="155" t="str">
        <f t="array" aca="1" ref="Q15:Y15" ca="1">OFFSET($C$2,MATCH(P15,$M$2:$M$51,0)-1,0,1,9)</f>
        <v>Wilson A</v>
      </c>
      <c r="R15" s="156">
        <f ca="1"/>
        <v>3.3</v>
      </c>
      <c r="S15" s="157">
        <f ca="1"/>
        <v>0</v>
      </c>
      <c r="T15" s="156">
        <f ca="1"/>
        <v>24</v>
      </c>
      <c r="U15" s="156">
        <f ca="1"/>
        <v>1</v>
      </c>
      <c r="V15" s="158">
        <f ca="1"/>
        <v>24</v>
      </c>
      <c r="W15" s="159">
        <f ca="1"/>
        <v>21</v>
      </c>
      <c r="X15" s="159">
        <f ca="1"/>
        <v>6.8571428571428568</v>
      </c>
      <c r="Y15" s="159" t="str">
        <f ca="1"/>
        <v>1-1</v>
      </c>
      <c r="Z15" s="170">
        <f t="shared" ca="1" si="3"/>
        <v>0</v>
      </c>
      <c r="AA15" s="170" t="str">
        <f t="shared" ca="1" si="4"/>
        <v/>
      </c>
      <c r="AB15" s="99"/>
    </row>
    <row r="16" spans="1:28" ht="12.75" x14ac:dyDescent="0.2">
      <c r="A16" s="117">
        <v>15</v>
      </c>
      <c r="B16" s="117">
        <f>MATCH(A16,Bowling!$CP$5:$CP$47,0)</f>
        <v>37</v>
      </c>
      <c r="C16" s="117" t="str">
        <f ca="1">OFFSET(Bowling!$B$4,BowlAves!B16,0)</f>
        <v>Singh S</v>
      </c>
      <c r="D16" s="144">
        <f t="array" aca="1" ref="D16:K16" ca="1">OFFSET(Bowling!$CG$4,BowlAves!B16,0,1,8)</f>
        <v>29.1</v>
      </c>
      <c r="E16" s="145">
        <f ca="1"/>
        <v>3</v>
      </c>
      <c r="F16" s="145">
        <f ca="1"/>
        <v>141</v>
      </c>
      <c r="G16" s="145">
        <f ca="1"/>
        <v>4</v>
      </c>
      <c r="H16" s="73">
        <f ca="1"/>
        <v>35.25</v>
      </c>
      <c r="I16" s="149">
        <f ca="1"/>
        <v>43.75</v>
      </c>
      <c r="J16" s="149">
        <f ca="1"/>
        <v>4.8342857142857145</v>
      </c>
      <c r="K16" s="150" t="str">
        <f ca="1"/>
        <v>2-36</v>
      </c>
      <c r="L16" s="150">
        <f t="shared" ca="1" si="0"/>
        <v>1015</v>
      </c>
      <c r="M16" s="150">
        <f t="shared" ca="1" si="1"/>
        <v>15</v>
      </c>
      <c r="N16" s="117" t="str">
        <f t="shared" ca="1" si="2"/>
        <v>Singh S 29.1-3-141-4</v>
      </c>
      <c r="P16" s="154">
        <v>14</v>
      </c>
      <c r="Q16" s="155" t="str">
        <f t="array" aca="1" ref="Q16:Y16" ca="1">OFFSET($C$2,MATCH(P16,$M$2:$M$51,0)-1,0,1,9)</f>
        <v>Bowers P</v>
      </c>
      <c r="R16" s="156">
        <f ca="1"/>
        <v>7</v>
      </c>
      <c r="S16" s="157">
        <f ca="1"/>
        <v>0</v>
      </c>
      <c r="T16" s="156">
        <f ca="1"/>
        <v>28</v>
      </c>
      <c r="U16" s="156">
        <f ca="1"/>
        <v>1</v>
      </c>
      <c r="V16" s="158">
        <f ca="1"/>
        <v>28</v>
      </c>
      <c r="W16" s="159">
        <f ca="1"/>
        <v>42</v>
      </c>
      <c r="X16" s="159">
        <f ca="1"/>
        <v>4</v>
      </c>
      <c r="Y16" s="159" t="str">
        <f ca="1"/>
        <v>1-28</v>
      </c>
      <c r="Z16" s="170">
        <f t="shared" ca="1" si="3"/>
        <v>0</v>
      </c>
      <c r="AA16" s="170" t="str">
        <f t="shared" ca="1" si="4"/>
        <v/>
      </c>
      <c r="AB16" s="99"/>
    </row>
    <row r="17" spans="1:28" ht="12.75" x14ac:dyDescent="0.2">
      <c r="A17" s="117">
        <v>16</v>
      </c>
      <c r="B17" s="117">
        <f>MATCH(A17,Bowling!$CP$5:$CP$47,0)</f>
        <v>41</v>
      </c>
      <c r="C17" s="117" t="str">
        <f ca="1">OFFSET(Bowling!$B$4,BowlAves!B17,0)</f>
        <v>Viveganandan M</v>
      </c>
      <c r="D17" s="144">
        <f t="array" aca="1" ref="D17:K17" ca="1">OFFSET(Bowling!$CG$4,BowlAves!B17,0,1,8)</f>
        <v>13</v>
      </c>
      <c r="E17" s="145">
        <f ca="1"/>
        <v>0</v>
      </c>
      <c r="F17" s="145">
        <f ca="1"/>
        <v>73</v>
      </c>
      <c r="G17" s="145">
        <f ca="1"/>
        <v>2</v>
      </c>
      <c r="H17" s="73">
        <f ca="1"/>
        <v>36.5</v>
      </c>
      <c r="I17" s="149">
        <f ca="1"/>
        <v>39</v>
      </c>
      <c r="J17" s="149">
        <f ca="1"/>
        <v>5.615384615384615</v>
      </c>
      <c r="K17" s="150" t="str">
        <f ca="1"/>
        <v>2-25</v>
      </c>
      <c r="L17" s="150">
        <f t="shared" ca="1" si="0"/>
        <v>1016</v>
      </c>
      <c r="M17" s="150">
        <f t="shared" ca="1" si="1"/>
        <v>16</v>
      </c>
      <c r="N17" s="117" t="str">
        <f t="shared" ca="1" si="2"/>
        <v>Viveganandan M 13-0-73-2</v>
      </c>
      <c r="P17" s="154">
        <v>15</v>
      </c>
      <c r="Q17" s="155" t="str">
        <f t="array" aca="1" ref="Q17:Y17" ca="1">OFFSET($C$2,MATCH(P17,$M$2:$M$51,0)-1,0,1,9)</f>
        <v>Singh S</v>
      </c>
      <c r="R17" s="156">
        <f ca="1"/>
        <v>29.1</v>
      </c>
      <c r="S17" s="157">
        <f ca="1"/>
        <v>3</v>
      </c>
      <c r="T17" s="156">
        <f ca="1"/>
        <v>141</v>
      </c>
      <c r="U17" s="156">
        <f ca="1"/>
        <v>4</v>
      </c>
      <c r="V17" s="158">
        <f ca="1"/>
        <v>35.25</v>
      </c>
      <c r="W17" s="159">
        <f ca="1"/>
        <v>43.75</v>
      </c>
      <c r="X17" s="159">
        <f ca="1"/>
        <v>4.8342857142857145</v>
      </c>
      <c r="Y17" s="159" t="str">
        <f ca="1"/>
        <v>2-36</v>
      </c>
      <c r="Z17" s="170">
        <f t="shared" ca="1" si="3"/>
        <v>0.10309278350515463</v>
      </c>
      <c r="AA17" s="170">
        <f t="shared" ca="1" si="4"/>
        <v>0.10309278350515463</v>
      </c>
      <c r="AB17" s="99"/>
    </row>
    <row r="18" spans="1:28" ht="12.75" x14ac:dyDescent="0.2">
      <c r="A18" s="117">
        <v>17</v>
      </c>
      <c r="B18" s="117">
        <f>MATCH(A18,Bowling!$CP$5:$CP$47,0)</f>
        <v>34</v>
      </c>
      <c r="C18" s="117" t="str">
        <f ca="1">OFFSET(Bowling!$B$4,BowlAves!B18,0)</f>
        <v>Sharpe D</v>
      </c>
      <c r="D18" s="144">
        <f t="array" aca="1" ref="D18:K18" ca="1">OFFSET(Bowling!$CG$4,BowlAves!B18,0,1,8)</f>
        <v>9</v>
      </c>
      <c r="E18" s="145">
        <f ca="1"/>
        <v>0</v>
      </c>
      <c r="F18" s="145">
        <f ca="1"/>
        <v>81</v>
      </c>
      <c r="G18" s="145">
        <f ca="1"/>
        <v>2</v>
      </c>
      <c r="H18" s="73">
        <f ca="1"/>
        <v>40.5</v>
      </c>
      <c r="I18" s="149">
        <f ca="1"/>
        <v>27</v>
      </c>
      <c r="J18" s="149">
        <f ca="1"/>
        <v>9</v>
      </c>
      <c r="K18" s="150" t="str">
        <f ca="1"/>
        <v>1-29</v>
      </c>
      <c r="L18" s="150">
        <f t="shared" ca="1" si="0"/>
        <v>1017</v>
      </c>
      <c r="M18" s="150">
        <f t="shared" ca="1" si="1"/>
        <v>17</v>
      </c>
      <c r="N18" s="117" t="str">
        <f t="shared" ca="1" si="2"/>
        <v>Sharpe D 9-0-81-2</v>
      </c>
      <c r="P18" s="154">
        <v>16</v>
      </c>
      <c r="Q18" s="155" t="str">
        <f t="array" aca="1" ref="Q18:Y18" ca="1">OFFSET($C$2,MATCH(P18,$M$2:$M$51,0)-1,0,1,9)</f>
        <v>Viveganandan M</v>
      </c>
      <c r="R18" s="156">
        <f ca="1"/>
        <v>13</v>
      </c>
      <c r="S18" s="157">
        <f ca="1"/>
        <v>0</v>
      </c>
      <c r="T18" s="156">
        <f ca="1"/>
        <v>73</v>
      </c>
      <c r="U18" s="156">
        <f ca="1"/>
        <v>2</v>
      </c>
      <c r="V18" s="158">
        <f ca="1"/>
        <v>36.5</v>
      </c>
      <c r="W18" s="159">
        <f ca="1"/>
        <v>39</v>
      </c>
      <c r="X18" s="159">
        <f ca="1"/>
        <v>5.615384615384615</v>
      </c>
      <c r="Y18" s="159" t="str">
        <f ca="1"/>
        <v>2-25</v>
      </c>
      <c r="Z18" s="170">
        <f t="shared" ca="1" si="3"/>
        <v>0</v>
      </c>
      <c r="AA18" s="170" t="str">
        <f t="shared" ca="1" si="4"/>
        <v/>
      </c>
      <c r="AB18" s="99"/>
    </row>
    <row r="19" spans="1:28" ht="12.75" x14ac:dyDescent="0.2">
      <c r="A19" s="117">
        <v>18</v>
      </c>
      <c r="B19" s="117">
        <f>MATCH(A19,Bowling!$CP$5:$CP$47,0)</f>
        <v>1</v>
      </c>
      <c r="C19" s="117" t="str">
        <f ca="1">OFFSET(Bowling!$B$4,BowlAves!B19,0)</f>
        <v>Ahmed M</v>
      </c>
      <c r="D19" s="144">
        <f t="array" aca="1" ref="D19:K19" ca="1">OFFSET(Bowling!$CG$4,BowlAves!B19,0,1,8)</f>
        <v>5.3</v>
      </c>
      <c r="E19" s="145">
        <f ca="1"/>
        <v>0</v>
      </c>
      <c r="F19" s="145">
        <f ca="1"/>
        <v>41</v>
      </c>
      <c r="G19" s="145">
        <f ca="1"/>
        <v>1</v>
      </c>
      <c r="H19" s="73">
        <f ca="1"/>
        <v>41</v>
      </c>
      <c r="I19" s="149">
        <f ca="1"/>
        <v>33</v>
      </c>
      <c r="J19" s="149">
        <f ca="1"/>
        <v>7.4545454545454541</v>
      </c>
      <c r="K19" s="150" t="str">
        <f ca="1"/>
        <v>1-12</v>
      </c>
      <c r="L19" s="150">
        <f t="shared" ca="1" si="0"/>
        <v>1018</v>
      </c>
      <c r="M19" s="150">
        <f t="shared" ca="1" si="1"/>
        <v>18</v>
      </c>
      <c r="N19" s="117" t="str">
        <f t="shared" ca="1" si="2"/>
        <v>Ahmed M 5.3-0-41-1</v>
      </c>
      <c r="P19" s="154">
        <v>17</v>
      </c>
      <c r="Q19" s="155" t="str">
        <f t="array" aca="1" ref="Q19:Y19" ca="1">OFFSET($C$2,MATCH(P19,$M$2:$M$51,0)-1,0,1,9)</f>
        <v>Sharpe D</v>
      </c>
      <c r="R19" s="156">
        <f ca="1"/>
        <v>9</v>
      </c>
      <c r="S19" s="157">
        <f ca="1"/>
        <v>0</v>
      </c>
      <c r="T19" s="156">
        <f ca="1"/>
        <v>81</v>
      </c>
      <c r="U19" s="156">
        <f ca="1"/>
        <v>2</v>
      </c>
      <c r="V19" s="158">
        <f ca="1"/>
        <v>40.5</v>
      </c>
      <c r="W19" s="159">
        <f ca="1"/>
        <v>27</v>
      </c>
      <c r="X19" s="159">
        <f ca="1"/>
        <v>9</v>
      </c>
      <c r="Y19" s="159" t="str">
        <f ca="1"/>
        <v>1-29</v>
      </c>
      <c r="Z19" s="170">
        <f t="shared" ca="1" si="3"/>
        <v>0</v>
      </c>
      <c r="AA19" s="170" t="str">
        <f t="shared" ca="1" si="4"/>
        <v/>
      </c>
      <c r="AB19" s="99"/>
    </row>
    <row r="20" spans="1:28" ht="12.75" x14ac:dyDescent="0.2">
      <c r="A20" s="117">
        <v>19</v>
      </c>
      <c r="B20" s="117">
        <f>MATCH(A20,Bowling!$CP$5:$CP$47,0)</f>
        <v>36</v>
      </c>
      <c r="C20" s="117" t="str">
        <f ca="1">OFFSET(Bowling!$B$4,BowlAves!B20,0)</f>
        <v>Siddiqui H</v>
      </c>
      <c r="D20" s="144">
        <f t="array" aca="1" ref="D20:K20" ca="1">OFFSET(Bowling!$CG$4,BowlAves!B20,0,1,8)</f>
        <v>27</v>
      </c>
      <c r="E20" s="145">
        <f ca="1"/>
        <v>1</v>
      </c>
      <c r="F20" s="145">
        <f ca="1"/>
        <v>168</v>
      </c>
      <c r="G20" s="145">
        <f ca="1"/>
        <v>3</v>
      </c>
      <c r="H20" s="73">
        <f ca="1"/>
        <v>56</v>
      </c>
      <c r="I20" s="149">
        <f ca="1"/>
        <v>54</v>
      </c>
      <c r="J20" s="149">
        <f ca="1"/>
        <v>6.2222222222222223</v>
      </c>
      <c r="K20" s="150" t="str">
        <f ca="1"/>
        <v>1-17</v>
      </c>
      <c r="L20" s="150">
        <f t="shared" ca="1" si="0"/>
        <v>1019</v>
      </c>
      <c r="M20" s="150">
        <f t="shared" ca="1" si="1"/>
        <v>19</v>
      </c>
      <c r="N20" s="117" t="str">
        <f t="shared" ca="1" si="2"/>
        <v>Siddiqui H 27-1-168-3</v>
      </c>
      <c r="P20" s="154">
        <v>18</v>
      </c>
      <c r="Q20" s="155" t="str">
        <f t="array" aca="1" ref="Q20:Y20" ca="1">OFFSET($C$2,MATCH(P20,$M$2:$M$51,0)-1,0,1,9)</f>
        <v>Ahmed M</v>
      </c>
      <c r="R20" s="156">
        <f ca="1"/>
        <v>5.3</v>
      </c>
      <c r="S20" s="157">
        <f ca="1"/>
        <v>0</v>
      </c>
      <c r="T20" s="156">
        <f ca="1"/>
        <v>41</v>
      </c>
      <c r="U20" s="156">
        <f ca="1"/>
        <v>1</v>
      </c>
      <c r="V20" s="158">
        <f ca="1"/>
        <v>41</v>
      </c>
      <c r="W20" s="159">
        <f ca="1"/>
        <v>33</v>
      </c>
      <c r="X20" s="159">
        <f ca="1"/>
        <v>7.4545454545454541</v>
      </c>
      <c r="Y20" s="159" t="str">
        <f ca="1"/>
        <v>1-12</v>
      </c>
      <c r="Z20" s="170">
        <f t="shared" ca="1" si="3"/>
        <v>0</v>
      </c>
      <c r="AA20" s="170" t="str">
        <f t="shared" ca="1" si="4"/>
        <v/>
      </c>
      <c r="AB20" s="99"/>
    </row>
    <row r="21" spans="1:28" ht="12.75" x14ac:dyDescent="0.2">
      <c r="A21" s="117">
        <v>20</v>
      </c>
      <c r="B21" s="117">
        <f>MATCH(A21,Bowling!$CP$5:$CP$47,0)</f>
        <v>38</v>
      </c>
      <c r="C21" s="117" t="str">
        <f ca="1">OFFSET(Bowling!$B$4,BowlAves!B21,0)</f>
        <v>Smith C</v>
      </c>
      <c r="D21" s="144">
        <f t="array" aca="1" ref="D21:K21" ca="1">OFFSET(Bowling!$CG$4,BowlAves!B21,0,1,8)</f>
        <v>7</v>
      </c>
      <c r="E21" s="145">
        <f ca="1"/>
        <v>0</v>
      </c>
      <c r="F21" s="145">
        <f ca="1"/>
        <v>60</v>
      </c>
      <c r="G21" s="145">
        <f ca="1"/>
        <v>1</v>
      </c>
      <c r="H21" s="73">
        <f ca="1"/>
        <v>60</v>
      </c>
      <c r="I21" s="149">
        <f ca="1"/>
        <v>42</v>
      </c>
      <c r="J21" s="149">
        <f ca="1"/>
        <v>8.5714285714285712</v>
      </c>
      <c r="K21" s="150" t="str">
        <f ca="1"/>
        <v>1-31</v>
      </c>
      <c r="L21" s="150">
        <f t="shared" ca="1" si="0"/>
        <v>1020</v>
      </c>
      <c r="M21" s="150">
        <f t="shared" ca="1" si="1"/>
        <v>20</v>
      </c>
      <c r="N21" s="117" t="str">
        <f t="shared" ca="1" si="2"/>
        <v>Smith C 7-0-60-1</v>
      </c>
      <c r="P21" s="154">
        <v>19</v>
      </c>
      <c r="Q21" s="155" t="str">
        <f t="array" aca="1" ref="Q21:Y21" ca="1">OFFSET($C$2,MATCH(P21,$M$2:$M$51,0)-1,0,1,9)</f>
        <v>Siddiqui H</v>
      </c>
      <c r="R21" s="156">
        <f ca="1"/>
        <v>27</v>
      </c>
      <c r="S21" s="157">
        <f ca="1"/>
        <v>1</v>
      </c>
      <c r="T21" s="156">
        <f ca="1"/>
        <v>168</v>
      </c>
      <c r="U21" s="156">
        <f ca="1"/>
        <v>3</v>
      </c>
      <c r="V21" s="158">
        <f ca="1"/>
        <v>56</v>
      </c>
      <c r="W21" s="159">
        <f ca="1"/>
        <v>54</v>
      </c>
      <c r="X21" s="159">
        <f ca="1"/>
        <v>6.2222222222222223</v>
      </c>
      <c r="Y21" s="159" t="str">
        <f ca="1"/>
        <v>1-17</v>
      </c>
      <c r="Z21" s="170">
        <f t="shared" ca="1" si="3"/>
        <v>3.7037037037037035E-2</v>
      </c>
      <c r="AA21" s="170">
        <f t="shared" ca="1" si="4"/>
        <v>3.7037037037037035E-2</v>
      </c>
      <c r="AB21" s="99"/>
    </row>
    <row r="22" spans="1:28" ht="12.75" x14ac:dyDescent="0.2">
      <c r="A22" s="117">
        <v>21</v>
      </c>
      <c r="B22" s="117">
        <f>MATCH(A22,Bowling!$CP$5:$CP$47,0)</f>
        <v>7</v>
      </c>
      <c r="C22" s="117" t="str">
        <f ca="1">OFFSET(Bowling!$B$4,BowlAves!B22,0)</f>
        <v>Clarkson M</v>
      </c>
      <c r="D22" s="144">
        <f t="array" aca="1" ref="D22:K22" ca="1">OFFSET(Bowling!$CG$4,BowlAves!B22,0,1,8)</f>
        <v>29</v>
      </c>
      <c r="E22" s="145">
        <f ca="1"/>
        <v>2</v>
      </c>
      <c r="F22" s="145">
        <f ca="1"/>
        <v>242</v>
      </c>
      <c r="G22" s="145">
        <f ca="1"/>
        <v>4</v>
      </c>
      <c r="H22" s="73">
        <f ca="1"/>
        <v>60.5</v>
      </c>
      <c r="I22" s="149">
        <f ca="1"/>
        <v>43.5</v>
      </c>
      <c r="J22" s="149">
        <f ca="1"/>
        <v>8.3448275862068968</v>
      </c>
      <c r="K22" s="150" t="str">
        <f ca="1"/>
        <v>2-33</v>
      </c>
      <c r="L22" s="150">
        <f t="shared" ca="1" si="0"/>
        <v>1021</v>
      </c>
      <c r="M22" s="150">
        <f t="shared" ca="1" si="1"/>
        <v>21</v>
      </c>
      <c r="N22" s="117" t="str">
        <f t="shared" ca="1" si="2"/>
        <v>Clarkson M 29-2-242-4</v>
      </c>
      <c r="P22" s="154">
        <v>20</v>
      </c>
      <c r="Q22" s="155" t="str">
        <f t="array" aca="1" ref="Q22:Y22" ca="1">OFFSET($C$2,MATCH(P22,$M$2:$M$51,0)-1,0,1,9)</f>
        <v>Smith C</v>
      </c>
      <c r="R22" s="156">
        <f ca="1"/>
        <v>7</v>
      </c>
      <c r="S22" s="157">
        <f ca="1"/>
        <v>0</v>
      </c>
      <c r="T22" s="156">
        <f ca="1"/>
        <v>60</v>
      </c>
      <c r="U22" s="156">
        <f ca="1"/>
        <v>1</v>
      </c>
      <c r="V22" s="158">
        <f ca="1"/>
        <v>60</v>
      </c>
      <c r="W22" s="159">
        <f ca="1"/>
        <v>42</v>
      </c>
      <c r="X22" s="159">
        <f ca="1"/>
        <v>8.5714285714285712</v>
      </c>
      <c r="Y22" s="159" t="str">
        <f ca="1"/>
        <v>1-31</v>
      </c>
      <c r="Z22" s="170">
        <f t="shared" ca="1" si="3"/>
        <v>0</v>
      </c>
      <c r="AA22" s="170" t="str">
        <f t="shared" ca="1" si="4"/>
        <v/>
      </c>
      <c r="AB22" s="99"/>
    </row>
    <row r="23" spans="1:28" ht="11.25" x14ac:dyDescent="0.2">
      <c r="A23" s="117">
        <v>22</v>
      </c>
      <c r="B23" s="117">
        <f>MATCH(A23,Bowling!$CP$5:$CP$47,0)</f>
        <v>18</v>
      </c>
      <c r="C23" s="117" t="str">
        <f ca="1">OFFSET(Bowling!$B$4,BowlAves!B23,0)</f>
        <v>Lestrelle A</v>
      </c>
      <c r="D23" s="144">
        <f t="array" aca="1" ref="D23:K23" ca="1">OFFSET(Bowling!$CG$4,BowlAves!B23,0,1,8)</f>
        <v>19</v>
      </c>
      <c r="E23" s="145">
        <f ca="1"/>
        <v>0</v>
      </c>
      <c r="F23" s="145">
        <f ca="1"/>
        <v>135</v>
      </c>
      <c r="G23" s="145">
        <f ca="1"/>
        <v>2</v>
      </c>
      <c r="H23" s="73">
        <f ca="1"/>
        <v>67.5</v>
      </c>
      <c r="I23" s="149">
        <f ca="1"/>
        <v>57</v>
      </c>
      <c r="J23" s="149">
        <f ca="1"/>
        <v>7.1052631578947372</v>
      </c>
      <c r="K23" s="150" t="str">
        <f ca="1"/>
        <v>1-19</v>
      </c>
      <c r="L23" s="150">
        <f t="shared" ca="1" si="0"/>
        <v>1022</v>
      </c>
      <c r="M23" s="150">
        <f t="shared" ca="1" si="1"/>
        <v>22</v>
      </c>
      <c r="N23" s="117" t="str">
        <f t="shared" ca="1" si="2"/>
        <v>Lestrelle A 19-0-135-2</v>
      </c>
      <c r="P23" s="154">
        <v>21</v>
      </c>
      <c r="Q23" s="155" t="str">
        <f t="array" aca="1" ref="Q23:Y23" ca="1">OFFSET($C$2,MATCH(P23,$M$2:$M$51,0)-1,0,1,9)</f>
        <v>Clarkson M</v>
      </c>
      <c r="R23" s="156">
        <f ca="1"/>
        <v>29</v>
      </c>
      <c r="S23" s="157">
        <f ca="1"/>
        <v>2</v>
      </c>
      <c r="T23" s="156">
        <f ca="1"/>
        <v>242</v>
      </c>
      <c r="U23" s="156">
        <f ca="1"/>
        <v>4</v>
      </c>
      <c r="V23" s="158">
        <f ca="1"/>
        <v>60.5</v>
      </c>
      <c r="W23" s="159">
        <f ca="1"/>
        <v>43.5</v>
      </c>
      <c r="X23" s="159">
        <f ca="1"/>
        <v>8.3448275862068968</v>
      </c>
      <c r="Y23" s="159" t="str">
        <f ca="1"/>
        <v>2-33</v>
      </c>
      <c r="Z23" s="170">
        <f t="shared" ca="1" si="3"/>
        <v>6.8965517241379309E-2</v>
      </c>
      <c r="AA23" s="170">
        <f t="shared" ca="1" si="4"/>
        <v>6.8965517241379309E-2</v>
      </c>
    </row>
    <row r="24" spans="1:28" ht="11.25" x14ac:dyDescent="0.2">
      <c r="A24" s="117">
        <v>23</v>
      </c>
      <c r="B24" s="117">
        <f>MATCH(A24,Bowling!$CP$5:$CP$47,0)</f>
        <v>12</v>
      </c>
      <c r="C24" s="117" t="str">
        <f ca="1">OFFSET(Bowling!$B$4,BowlAves!B24,0)</f>
        <v>Geghan</v>
      </c>
      <c r="D24" s="144">
        <f t="array" aca="1" ref="D24:K24" ca="1">OFFSET(Bowling!$CG$4,BowlAves!B24,0,1,8)</f>
        <v>2</v>
      </c>
      <c r="E24" s="145">
        <f ca="1"/>
        <v>0</v>
      </c>
      <c r="F24" s="145">
        <f ca="1"/>
        <v>4</v>
      </c>
      <c r="G24" s="145">
        <f ca="1"/>
        <v>0</v>
      </c>
      <c r="H24" s="73" t="str">
        <f ca="1"/>
        <v/>
      </c>
      <c r="I24" s="149" t="str">
        <f ca="1"/>
        <v/>
      </c>
      <c r="J24" s="149">
        <f ca="1"/>
        <v>2</v>
      </c>
      <c r="K24" s="150" t="str">
        <f ca="1"/>
        <v>0-4</v>
      </c>
      <c r="L24" s="150">
        <f t="shared" ca="1" si="0"/>
        <v>1023</v>
      </c>
      <c r="M24" s="150">
        <f t="shared" ca="1" si="1"/>
        <v>23</v>
      </c>
      <c r="N24" s="117" t="str">
        <f t="shared" ca="1" si="2"/>
        <v>Geghan 2-0-4-0</v>
      </c>
      <c r="P24" s="154">
        <v>22</v>
      </c>
      <c r="Q24" s="155" t="str">
        <f t="array" aca="1" ref="Q24:Y24" ca="1">OFFSET($C$2,MATCH(P24,$M$2:$M$51,0)-1,0,1,9)</f>
        <v>Lestrelle A</v>
      </c>
      <c r="R24" s="156">
        <f ca="1"/>
        <v>19</v>
      </c>
      <c r="S24" s="157">
        <f ca="1"/>
        <v>0</v>
      </c>
      <c r="T24" s="156">
        <f ca="1"/>
        <v>135</v>
      </c>
      <c r="U24" s="156">
        <f ca="1"/>
        <v>2</v>
      </c>
      <c r="V24" s="158">
        <f ca="1"/>
        <v>67.5</v>
      </c>
      <c r="W24" s="159">
        <f ca="1"/>
        <v>57</v>
      </c>
      <c r="X24" s="159">
        <f ca="1"/>
        <v>7.1052631578947372</v>
      </c>
      <c r="Y24" s="159" t="str">
        <f ca="1"/>
        <v>1-19</v>
      </c>
      <c r="Z24" s="170">
        <f t="shared" ca="1" si="3"/>
        <v>0</v>
      </c>
      <c r="AA24" s="170" t="str">
        <f t="shared" ca="1" si="4"/>
        <v/>
      </c>
    </row>
    <row r="25" spans="1:28" ht="11.25" x14ac:dyDescent="0.2">
      <c r="A25" s="117">
        <v>24</v>
      </c>
      <c r="B25" s="117">
        <f>MATCH(A25,Bowling!$CP$5:$CP$47,0)</f>
        <v>26</v>
      </c>
      <c r="C25" s="117" t="str">
        <f ca="1">OFFSET(Bowling!$B$4,BowlAves!B25,0)</f>
        <v>Naish J</v>
      </c>
      <c r="D25" s="144">
        <f t="array" aca="1" ref="D25:K25" ca="1">OFFSET(Bowling!$CG$4,BowlAves!B25,0,1,8)</f>
        <v>2</v>
      </c>
      <c r="E25" s="145">
        <f ca="1"/>
        <v>0</v>
      </c>
      <c r="F25" s="145">
        <f ca="1"/>
        <v>25</v>
      </c>
      <c r="G25" s="145">
        <f ca="1"/>
        <v>0</v>
      </c>
      <c r="H25" s="73" t="str">
        <f ca="1"/>
        <v/>
      </c>
      <c r="I25" s="149" t="str">
        <f ca="1"/>
        <v/>
      </c>
      <c r="J25" s="149">
        <f ca="1"/>
        <v>12.5</v>
      </c>
      <c r="K25" s="150" t="str">
        <f ca="1"/>
        <v>0-25</v>
      </c>
      <c r="L25" s="150">
        <f t="shared" ca="1" si="0"/>
        <v>1024</v>
      </c>
      <c r="M25" s="150">
        <f t="shared" ca="1" si="1"/>
        <v>24</v>
      </c>
      <c r="N25" s="117" t="str">
        <f t="shared" ca="1" si="2"/>
        <v>Naish J 2-0-25-0</v>
      </c>
      <c r="P25" s="154">
        <v>23</v>
      </c>
      <c r="Q25" s="155" t="str">
        <f t="array" aca="1" ref="Q25:Y25" ca="1">OFFSET($C$2,MATCH(P25,$M$2:$M$51,0)-1,0,1,9)</f>
        <v>Geghan</v>
      </c>
      <c r="R25" s="156">
        <f ca="1"/>
        <v>2</v>
      </c>
      <c r="S25" s="157">
        <f ca="1"/>
        <v>0</v>
      </c>
      <c r="T25" s="156">
        <f ca="1"/>
        <v>4</v>
      </c>
      <c r="U25" s="156">
        <f ca="1"/>
        <v>0</v>
      </c>
      <c r="V25" s="158" t="str">
        <f ca="1"/>
        <v/>
      </c>
      <c r="W25" s="159" t="str">
        <f ca="1"/>
        <v/>
      </c>
      <c r="X25" s="159">
        <f ca="1"/>
        <v>2</v>
      </c>
      <c r="Y25" s="159" t="str">
        <f ca="1"/>
        <v>0-4</v>
      </c>
      <c r="Z25" s="170">
        <f t="shared" ca="1" si="3"/>
        <v>0</v>
      </c>
      <c r="AA25" s="170" t="str">
        <f t="shared" ca="1" si="4"/>
        <v/>
      </c>
    </row>
    <row r="26" spans="1:28" ht="11.25" x14ac:dyDescent="0.2">
      <c r="A26" s="117">
        <v>25</v>
      </c>
      <c r="B26" s="117">
        <f>MATCH(A26,Bowling!$CP$5:$CP$47,0)</f>
        <v>15</v>
      </c>
      <c r="C26" s="117" t="str">
        <f ca="1">OFFSET(Bowling!$B$4,BowlAves!B26,0)</f>
        <v>Joshi</v>
      </c>
      <c r="D26" s="144">
        <f t="array" aca="1" ref="D26:K26" ca="1">OFFSET(Bowling!$CG$4,BowlAves!B26,0,1,8)</f>
        <v>4</v>
      </c>
      <c r="E26" s="145">
        <f ca="1"/>
        <v>0</v>
      </c>
      <c r="F26" s="145">
        <f ca="1"/>
        <v>28</v>
      </c>
      <c r="G26" s="145">
        <f ca="1"/>
        <v>0</v>
      </c>
      <c r="H26" s="73" t="str">
        <f ca="1"/>
        <v/>
      </c>
      <c r="I26" s="149" t="str">
        <f ca="1"/>
        <v/>
      </c>
      <c r="J26" s="149">
        <f ca="1"/>
        <v>7</v>
      </c>
      <c r="K26" s="150" t="str">
        <f ca="1"/>
        <v>0-28</v>
      </c>
      <c r="L26" s="150">
        <f t="shared" ca="1" si="0"/>
        <v>1025</v>
      </c>
      <c r="M26" s="150">
        <f t="shared" ca="1" si="1"/>
        <v>25</v>
      </c>
      <c r="N26" s="117" t="str">
        <f t="shared" ca="1" si="2"/>
        <v>Joshi 4-0-28-0</v>
      </c>
      <c r="P26" s="154">
        <v>24</v>
      </c>
      <c r="Q26" s="155" t="str">
        <f t="array" aca="1" ref="Q26:Y26" ca="1">OFFSET($C$2,MATCH(P26,$M$2:$M$51,0)-1,0,1,9)</f>
        <v>Naish J</v>
      </c>
      <c r="R26" s="156">
        <f ca="1"/>
        <v>2</v>
      </c>
      <c r="S26" s="157">
        <f ca="1"/>
        <v>0</v>
      </c>
      <c r="T26" s="156">
        <f ca="1"/>
        <v>25</v>
      </c>
      <c r="U26" s="156">
        <f ca="1"/>
        <v>0</v>
      </c>
      <c r="V26" s="158" t="str">
        <f ca="1"/>
        <v/>
      </c>
      <c r="W26" s="159" t="str">
        <f ca="1"/>
        <v/>
      </c>
      <c r="X26" s="159">
        <f ca="1"/>
        <v>12.5</v>
      </c>
      <c r="Y26" s="159" t="str">
        <f ca="1"/>
        <v>0-25</v>
      </c>
      <c r="Z26" s="170">
        <f t="shared" ref="Z26:Z31" ca="1" si="5">S26/R26</f>
        <v>0</v>
      </c>
      <c r="AA26" s="170" t="str">
        <f t="shared" ref="AA26:AA31" ca="1" si="6">IF(R26&gt;=20,Z26,"")</f>
        <v/>
      </c>
    </row>
    <row r="27" spans="1:28" ht="11.25" x14ac:dyDescent="0.2">
      <c r="A27" s="117">
        <v>26</v>
      </c>
      <c r="B27" s="117">
        <f>MATCH(A27,Bowling!$CP$5:$CP$47,0)</f>
        <v>22</v>
      </c>
      <c r="C27" s="117" t="str">
        <f ca="1">OFFSET(Bowling!$B$4,BowlAves!B27,0)</f>
        <v>Mehra R</v>
      </c>
      <c r="D27" s="144">
        <f t="array" aca="1" ref="D27:K27" ca="1">OFFSET(Bowling!$CG$4,BowlAves!B27,0,1,8)</f>
        <v>4</v>
      </c>
      <c r="E27" s="145">
        <f ca="1"/>
        <v>0</v>
      </c>
      <c r="F27" s="145">
        <f ca="1"/>
        <v>30</v>
      </c>
      <c r="G27" s="145">
        <f ca="1"/>
        <v>0</v>
      </c>
      <c r="H27" s="73" t="str">
        <f ca="1"/>
        <v/>
      </c>
      <c r="I27" s="149" t="str">
        <f ca="1"/>
        <v/>
      </c>
      <c r="J27" s="149">
        <f ca="1"/>
        <v>7.5</v>
      </c>
      <c r="K27" s="150" t="str">
        <f ca="1"/>
        <v>0-30</v>
      </c>
      <c r="L27" s="150">
        <f t="shared" ca="1" si="0"/>
        <v>1026</v>
      </c>
      <c r="M27" s="150">
        <f t="shared" ca="1" si="1"/>
        <v>26</v>
      </c>
      <c r="N27" s="117" t="str">
        <f t="shared" ca="1" si="2"/>
        <v>Mehra R 4-0-30-0</v>
      </c>
      <c r="P27" s="154">
        <v>25</v>
      </c>
      <c r="Q27" s="155" t="str">
        <f t="array" aca="1" ref="Q27:Y27" ca="1">OFFSET($C$2,MATCH(P27,$M$2:$M$51,0)-1,0,1,9)</f>
        <v>Joshi</v>
      </c>
      <c r="R27" s="156">
        <f ca="1"/>
        <v>4</v>
      </c>
      <c r="S27" s="157">
        <f ca="1"/>
        <v>0</v>
      </c>
      <c r="T27" s="156">
        <f ca="1"/>
        <v>28</v>
      </c>
      <c r="U27" s="156">
        <f ca="1"/>
        <v>0</v>
      </c>
      <c r="V27" s="158" t="str">
        <f ca="1"/>
        <v/>
      </c>
      <c r="W27" s="159" t="str">
        <f ca="1"/>
        <v/>
      </c>
      <c r="X27" s="159">
        <f ca="1"/>
        <v>7</v>
      </c>
      <c r="Y27" s="159" t="str">
        <f ca="1"/>
        <v>0-28</v>
      </c>
      <c r="Z27" s="170">
        <f t="shared" ca="1" si="5"/>
        <v>0</v>
      </c>
      <c r="AA27" s="170" t="str">
        <f t="shared" ca="1" si="6"/>
        <v/>
      </c>
    </row>
    <row r="28" spans="1:28" ht="11.25" x14ac:dyDescent="0.2">
      <c r="A28" s="117">
        <v>27</v>
      </c>
      <c r="B28" s="117">
        <f>MATCH(A28,Bowling!$CP$5:$CP$47,0)</f>
        <v>27</v>
      </c>
      <c r="C28" s="117" t="str">
        <f ca="1">OFFSET(Bowling!$B$4,BowlAves!B28,0)</f>
        <v>Niran S</v>
      </c>
      <c r="D28" s="144">
        <f t="array" aca="1" ref="D28:K28" ca="1">OFFSET(Bowling!$CG$4,BowlAves!B28,0,1,8)</f>
        <v>5</v>
      </c>
      <c r="E28" s="145">
        <f ca="1"/>
        <v>0</v>
      </c>
      <c r="F28" s="145">
        <f ca="1"/>
        <v>26</v>
      </c>
      <c r="G28" s="145">
        <f ca="1"/>
        <v>0</v>
      </c>
      <c r="H28" s="73" t="str">
        <f ca="1"/>
        <v/>
      </c>
      <c r="I28" s="149" t="str">
        <f ca="1"/>
        <v/>
      </c>
      <c r="J28" s="149">
        <f ca="1"/>
        <v>5.2</v>
      </c>
      <c r="K28" s="150" t="str">
        <f ca="1"/>
        <v>0-26</v>
      </c>
      <c r="L28" s="150">
        <f t="shared" ca="1" si="0"/>
        <v>1027</v>
      </c>
      <c r="M28" s="150">
        <f t="shared" ca="1" si="1"/>
        <v>27</v>
      </c>
      <c r="N28" s="117" t="str">
        <f t="shared" ca="1" si="2"/>
        <v>Niran S 5-0-26-0</v>
      </c>
      <c r="P28" s="154">
        <v>26</v>
      </c>
      <c r="Q28" s="155" t="str">
        <f t="array" aca="1" ref="Q28:Y28" ca="1">OFFSET($C$2,MATCH(P28,$M$2:$M$51,0)-1,0,1,9)</f>
        <v>Mehra R</v>
      </c>
      <c r="R28" s="156">
        <f ca="1"/>
        <v>4</v>
      </c>
      <c r="S28" s="157">
        <f ca="1"/>
        <v>0</v>
      </c>
      <c r="T28" s="156">
        <f ca="1"/>
        <v>30</v>
      </c>
      <c r="U28" s="156">
        <f ca="1"/>
        <v>0</v>
      </c>
      <c r="V28" s="158" t="str">
        <f ca="1"/>
        <v/>
      </c>
      <c r="W28" s="159" t="str">
        <f ca="1"/>
        <v/>
      </c>
      <c r="X28" s="159">
        <f ca="1"/>
        <v>7.5</v>
      </c>
      <c r="Y28" s="159" t="str">
        <f ca="1"/>
        <v>0-30</v>
      </c>
      <c r="Z28" s="170">
        <f t="shared" ca="1" si="5"/>
        <v>0</v>
      </c>
      <c r="AA28" s="170" t="str">
        <f t="shared" ca="1" si="6"/>
        <v/>
      </c>
    </row>
    <row r="29" spans="1:28" ht="11.25" x14ac:dyDescent="0.2">
      <c r="A29" s="117">
        <v>28</v>
      </c>
      <c r="B29" s="117">
        <f>MATCH(A29,Bowling!$CP$5:$CP$47,0)</f>
        <v>16</v>
      </c>
      <c r="C29" s="117" t="str">
        <f ca="1">OFFSET(Bowling!$B$4,BowlAves!B29,0)</f>
        <v>Khalid M</v>
      </c>
      <c r="D29" s="144">
        <f t="array" aca="1" ref="D29:K29" ca="1">OFFSET(Bowling!$CG$4,BowlAves!B29,0,1,8)</f>
        <v>7</v>
      </c>
      <c r="E29" s="145">
        <f ca="1"/>
        <v>0</v>
      </c>
      <c r="F29" s="145">
        <f ca="1"/>
        <v>39</v>
      </c>
      <c r="G29" s="145">
        <f ca="1"/>
        <v>0</v>
      </c>
      <c r="H29" s="73" t="str">
        <f ca="1"/>
        <v/>
      </c>
      <c r="I29" s="149" t="str">
        <f ca="1"/>
        <v/>
      </c>
      <c r="J29" s="149">
        <f ca="1"/>
        <v>5.5714285714285712</v>
      </c>
      <c r="K29" s="150" t="str">
        <f ca="1"/>
        <v>0-39</v>
      </c>
      <c r="L29" s="150">
        <f t="shared" ca="1" si="0"/>
        <v>1028</v>
      </c>
      <c r="M29" s="150">
        <f t="shared" ca="1" si="1"/>
        <v>28</v>
      </c>
      <c r="N29" s="117" t="str">
        <f t="shared" ca="1" si="2"/>
        <v>Khalid M 7-0-39-0</v>
      </c>
      <c r="P29" s="154">
        <v>27</v>
      </c>
      <c r="Q29" s="155" t="str">
        <f t="array" aca="1" ref="Q29:Y29" ca="1">OFFSET($C$2,MATCH(P29,$M$2:$M$51,0)-1,0,1,9)</f>
        <v>Niran S</v>
      </c>
      <c r="R29" s="156">
        <f ca="1"/>
        <v>5</v>
      </c>
      <c r="S29" s="157">
        <f ca="1"/>
        <v>0</v>
      </c>
      <c r="T29" s="156">
        <f ca="1"/>
        <v>26</v>
      </c>
      <c r="U29" s="156">
        <f ca="1"/>
        <v>0</v>
      </c>
      <c r="V29" s="158" t="str">
        <f ca="1"/>
        <v/>
      </c>
      <c r="W29" s="159" t="str">
        <f ca="1"/>
        <v/>
      </c>
      <c r="X29" s="159">
        <f ca="1"/>
        <v>5.2</v>
      </c>
      <c r="Y29" s="159" t="str">
        <f ca="1"/>
        <v>0-26</v>
      </c>
      <c r="Z29" s="170">
        <f t="shared" ca="1" si="5"/>
        <v>0</v>
      </c>
      <c r="AA29" s="170" t="str">
        <f t="shared" ca="1" si="6"/>
        <v/>
      </c>
    </row>
    <row r="30" spans="1:28" ht="11.25" x14ac:dyDescent="0.2">
      <c r="A30" s="117">
        <v>29</v>
      </c>
      <c r="B30" s="117">
        <f>MATCH(A30,Bowling!$CP$5:$CP$47,0)</f>
        <v>3</v>
      </c>
      <c r="C30" s="117" t="str">
        <f ca="1">OFFSET(Bowling!$B$4,BowlAves!B30,0)</f>
        <v>Bowers M</v>
      </c>
      <c r="D30" s="144">
        <f t="array" aca="1" ref="D30:K30" ca="1">OFFSET(Bowling!$CG$4,BowlAves!B30,0,1,8)</f>
        <v>0</v>
      </c>
      <c r="E30" s="145">
        <f ca="1"/>
        <v>0</v>
      </c>
      <c r="F30" s="145">
        <f ca="1"/>
        <v>0</v>
      </c>
      <c r="G30" s="145">
        <f ca="1"/>
        <v>0</v>
      </c>
      <c r="H30" s="73" t="str">
        <f ca="1"/>
        <v/>
      </c>
      <c r="I30" s="149" t="str">
        <f ca="1"/>
        <v/>
      </c>
      <c r="J30" s="149" t="str">
        <f ca="1"/>
        <v/>
      </c>
      <c r="K30" s="150" t="str">
        <f ca="1"/>
        <v/>
      </c>
      <c r="L30" s="150">
        <f t="shared" ca="1" si="0"/>
        <v>1029</v>
      </c>
      <c r="M30" s="150">
        <f t="shared" ca="1" si="1"/>
        <v>29</v>
      </c>
      <c r="N30" s="117" t="str">
        <f t="shared" ca="1" si="2"/>
        <v>Bowers M 0-0-0-0</v>
      </c>
      <c r="P30" s="154">
        <v>28</v>
      </c>
      <c r="Q30" s="155" t="str">
        <f t="array" aca="1" ref="Q30:Y30" ca="1">OFFSET($C$2,MATCH(P30,$M$2:$M$51,0)-1,0,1,9)</f>
        <v>Khalid M</v>
      </c>
      <c r="R30" s="156">
        <f ca="1"/>
        <v>7</v>
      </c>
      <c r="S30" s="157">
        <f ca="1"/>
        <v>0</v>
      </c>
      <c r="T30" s="156">
        <f ca="1"/>
        <v>39</v>
      </c>
      <c r="U30" s="156">
        <f ca="1"/>
        <v>0</v>
      </c>
      <c r="V30" s="158" t="str">
        <f ca="1"/>
        <v/>
      </c>
      <c r="W30" s="159" t="str">
        <f ca="1"/>
        <v/>
      </c>
      <c r="X30" s="159">
        <f ca="1"/>
        <v>5.5714285714285712</v>
      </c>
      <c r="Y30" s="159" t="str">
        <f ca="1"/>
        <v>0-39</v>
      </c>
      <c r="Z30" s="170">
        <f t="shared" ca="1" si="5"/>
        <v>0</v>
      </c>
      <c r="AA30" s="170" t="str">
        <f t="shared" ca="1" si="6"/>
        <v/>
      </c>
    </row>
    <row r="31" spans="1:28" ht="11.25" x14ac:dyDescent="0.2">
      <c r="A31" s="117">
        <v>30</v>
      </c>
      <c r="B31" s="117">
        <f>MATCH(A31,Bowling!$CP$5:$CP$47,0)</f>
        <v>4</v>
      </c>
      <c r="C31" s="117" t="str">
        <f ca="1">OFFSET(Bowling!$B$4,BowlAves!B31,0)</f>
        <v>Brocks D</v>
      </c>
      <c r="D31" s="144">
        <f t="array" aca="1" ref="D31:K31" ca="1">OFFSET(Bowling!$CG$4,BowlAves!B31,0,1,8)</f>
        <v>0</v>
      </c>
      <c r="E31" s="145">
        <f ca="1"/>
        <v>0</v>
      </c>
      <c r="F31" s="145">
        <f ca="1"/>
        <v>0</v>
      </c>
      <c r="G31" s="145">
        <f ca="1"/>
        <v>0</v>
      </c>
      <c r="H31" s="73" t="str">
        <f ca="1"/>
        <v/>
      </c>
      <c r="I31" s="149" t="str">
        <f ca="1"/>
        <v/>
      </c>
      <c r="J31" s="149" t="str">
        <f ca="1"/>
        <v/>
      </c>
      <c r="K31" s="150" t="str">
        <f ca="1"/>
        <v/>
      </c>
      <c r="L31" s="150">
        <f t="shared" ca="1" si="0"/>
        <v>1030</v>
      </c>
      <c r="M31" s="150">
        <f t="shared" ca="1" si="1"/>
        <v>30</v>
      </c>
      <c r="N31" s="117" t="str">
        <f t="shared" ca="1" si="2"/>
        <v>Brocks D 0-0-0-0</v>
      </c>
      <c r="P31" s="154">
        <v>29</v>
      </c>
      <c r="Q31" s="155" t="str">
        <f t="array" aca="1" ref="Q31:Y31" ca="1">OFFSET($C$2,MATCH(P31,$M$2:$M$51,0)-1,0,1,9)</f>
        <v>Bowers M</v>
      </c>
      <c r="R31" s="156">
        <f ca="1"/>
        <v>0</v>
      </c>
      <c r="S31" s="157">
        <f ca="1"/>
        <v>0</v>
      </c>
      <c r="T31" s="156">
        <f ca="1"/>
        <v>0</v>
      </c>
      <c r="U31" s="156">
        <f ca="1"/>
        <v>0</v>
      </c>
      <c r="V31" s="158" t="str">
        <f ca="1"/>
        <v/>
      </c>
      <c r="W31" s="159" t="str">
        <f ca="1"/>
        <v/>
      </c>
      <c r="X31" s="159" t="str">
        <f ca="1"/>
        <v/>
      </c>
      <c r="Y31" s="159" t="str">
        <f ca="1"/>
        <v/>
      </c>
      <c r="Z31" s="170" t="e">
        <f t="shared" ca="1" si="5"/>
        <v>#DIV/0!</v>
      </c>
      <c r="AA31" s="170" t="str">
        <f t="shared" ca="1" si="6"/>
        <v/>
      </c>
    </row>
    <row r="32" spans="1:28" ht="11.25" x14ac:dyDescent="0.2">
      <c r="A32" s="117">
        <v>31</v>
      </c>
      <c r="B32" s="117">
        <f>MATCH(A32,Bowling!$CP$5:$CP$47,0)</f>
        <v>9</v>
      </c>
      <c r="C32" s="117" t="str">
        <f ca="1">OFFSET(Bowling!$B$4,BowlAves!B32,0)</f>
        <v>Edghill C</v>
      </c>
      <c r="D32" s="144">
        <f t="array" aca="1" ref="D32:K32" ca="1">OFFSET(Bowling!$CG$4,BowlAves!B32,0,1,8)</f>
        <v>0</v>
      </c>
      <c r="E32" s="145">
        <f ca="1"/>
        <v>0</v>
      </c>
      <c r="F32" s="145">
        <f ca="1"/>
        <v>0</v>
      </c>
      <c r="G32" s="145">
        <f ca="1"/>
        <v>0</v>
      </c>
      <c r="H32" s="73" t="str">
        <f ca="1"/>
        <v/>
      </c>
      <c r="I32" s="149" t="str">
        <f ca="1"/>
        <v/>
      </c>
      <c r="J32" s="149" t="str">
        <f ca="1"/>
        <v/>
      </c>
      <c r="K32" s="150" t="str">
        <f ca="1"/>
        <v/>
      </c>
      <c r="L32" s="150">
        <f t="shared" ca="1" si="0"/>
        <v>1031</v>
      </c>
      <c r="M32" s="150">
        <f t="shared" ca="1" si="1"/>
        <v>31</v>
      </c>
      <c r="N32" s="117" t="str">
        <f t="shared" ca="1" si="2"/>
        <v>Edghill C 0-0-0-0</v>
      </c>
      <c r="P32" s="154">
        <v>30</v>
      </c>
      <c r="Q32" s="155" t="str">
        <f t="array" aca="1" ref="Q32:Y32" ca="1">OFFSET($C$2,MATCH(P32,$M$2:$M$51,0)-1,0,1,9)</f>
        <v>Brocks D</v>
      </c>
      <c r="R32" s="156">
        <f ca="1"/>
        <v>0</v>
      </c>
      <c r="S32" s="157">
        <f ca="1"/>
        <v>0</v>
      </c>
      <c r="T32" s="156">
        <f ca="1"/>
        <v>0</v>
      </c>
      <c r="U32" s="156">
        <f ca="1"/>
        <v>0</v>
      </c>
      <c r="V32" s="158" t="str">
        <f ca="1"/>
        <v/>
      </c>
      <c r="W32" s="159" t="str">
        <f ca="1"/>
        <v/>
      </c>
      <c r="X32" s="159" t="str">
        <f ca="1"/>
        <v/>
      </c>
      <c r="Y32" s="159" t="str">
        <f ca="1"/>
        <v/>
      </c>
      <c r="Z32" s="170" t="e">
        <f t="shared" ref="Z32:Z36" ca="1" si="7">S32/R32</f>
        <v>#DIV/0!</v>
      </c>
      <c r="AA32" s="170" t="str">
        <f t="shared" ref="AA32:AA36" ca="1" si="8">IF(R32&gt;=20,Z32,"")</f>
        <v/>
      </c>
    </row>
    <row r="33" spans="1:27" ht="11.25" x14ac:dyDescent="0.2">
      <c r="A33" s="117">
        <v>32</v>
      </c>
      <c r="B33" s="117">
        <f>MATCH(A33,Bowling!$CP$5:$CP$47,0)</f>
        <v>10</v>
      </c>
      <c r="C33" s="117" t="str">
        <f ca="1">OFFSET(Bowling!$B$4,BowlAves!B33,0)</f>
        <v>Foster E</v>
      </c>
      <c r="D33" s="144">
        <f t="array" aca="1" ref="D33:K33" ca="1">OFFSET(Bowling!$CG$4,BowlAves!B33,0,1,8)</f>
        <v>0</v>
      </c>
      <c r="E33" s="145">
        <f ca="1"/>
        <v>0</v>
      </c>
      <c r="F33" s="145">
        <f ca="1"/>
        <v>0</v>
      </c>
      <c r="G33" s="145">
        <f ca="1"/>
        <v>0</v>
      </c>
      <c r="H33" s="73" t="str">
        <f ca="1"/>
        <v/>
      </c>
      <c r="I33" s="149" t="str">
        <f ca="1"/>
        <v/>
      </c>
      <c r="J33" s="149" t="str">
        <f ca="1"/>
        <v/>
      </c>
      <c r="K33" s="150" t="str">
        <f ca="1"/>
        <v/>
      </c>
      <c r="L33" s="150">
        <f t="shared" ca="1" si="0"/>
        <v>1032</v>
      </c>
      <c r="M33" s="150">
        <f t="shared" ca="1" si="1"/>
        <v>32</v>
      </c>
      <c r="N33" s="117" t="str">
        <f t="shared" ca="1" si="2"/>
        <v>Foster E 0-0-0-0</v>
      </c>
      <c r="P33" s="154">
        <v>31</v>
      </c>
      <c r="Q33" s="155" t="str">
        <f t="array" aca="1" ref="Q33:Y33" ca="1">OFFSET($C$2,MATCH(P33,$M$2:$M$51,0)-1,0,1,9)</f>
        <v>Edghill C</v>
      </c>
      <c r="R33" s="156">
        <f ca="1"/>
        <v>0</v>
      </c>
      <c r="S33" s="157">
        <f ca="1"/>
        <v>0</v>
      </c>
      <c r="T33" s="156">
        <f ca="1"/>
        <v>0</v>
      </c>
      <c r="U33" s="156">
        <f ca="1"/>
        <v>0</v>
      </c>
      <c r="V33" s="158" t="str">
        <f ca="1"/>
        <v/>
      </c>
      <c r="W33" s="159" t="str">
        <f ca="1"/>
        <v/>
      </c>
      <c r="X33" s="159" t="str">
        <f ca="1"/>
        <v/>
      </c>
      <c r="Y33" s="159" t="str">
        <f ca="1"/>
        <v/>
      </c>
      <c r="Z33" s="170" t="e">
        <f t="shared" ca="1" si="7"/>
        <v>#DIV/0!</v>
      </c>
      <c r="AA33" s="170" t="str">
        <f t="shared" ca="1" si="8"/>
        <v/>
      </c>
    </row>
    <row r="34" spans="1:27" ht="11.25" x14ac:dyDescent="0.2">
      <c r="A34" s="117">
        <v>33</v>
      </c>
      <c r="B34" s="117">
        <f>MATCH(A34,Bowling!$CP$5:$CP$47,0)</f>
        <v>11</v>
      </c>
      <c r="C34" s="117" t="str">
        <f ca="1">OFFSET(Bowling!$B$4,BowlAves!B34,0)</f>
        <v>Foxworthy P</v>
      </c>
      <c r="D34" s="144">
        <f t="array" aca="1" ref="D34:K34" ca="1">OFFSET(Bowling!$CG$4,BowlAves!B34,0,1,8)</f>
        <v>0</v>
      </c>
      <c r="E34" s="145">
        <f ca="1"/>
        <v>0</v>
      </c>
      <c r="F34" s="145">
        <f ca="1"/>
        <v>0</v>
      </c>
      <c r="G34" s="145">
        <f ca="1"/>
        <v>0</v>
      </c>
      <c r="H34" s="73" t="str">
        <f ca="1"/>
        <v/>
      </c>
      <c r="I34" s="149" t="str">
        <f ca="1"/>
        <v/>
      </c>
      <c r="J34" s="149" t="str">
        <f ca="1"/>
        <v/>
      </c>
      <c r="K34" s="150" t="str">
        <f ca="1"/>
        <v/>
      </c>
      <c r="L34" s="150">
        <f t="shared" ca="1" si="0"/>
        <v>1033</v>
      </c>
      <c r="M34" s="150">
        <f t="shared" ca="1" si="1"/>
        <v>33</v>
      </c>
      <c r="N34" s="117" t="str">
        <f t="shared" ca="1" si="2"/>
        <v>Foxworthy P 0-0-0-0</v>
      </c>
      <c r="P34" s="154">
        <v>32</v>
      </c>
      <c r="Q34" s="155" t="str">
        <f t="array" aca="1" ref="Q34:Y34" ca="1">OFFSET($C$2,MATCH(P34,$M$2:$M$51,0)-1,0,1,9)</f>
        <v>Foster E</v>
      </c>
      <c r="R34" s="156">
        <f ca="1"/>
        <v>0</v>
      </c>
      <c r="S34" s="157">
        <f ca="1"/>
        <v>0</v>
      </c>
      <c r="T34" s="156">
        <f ca="1"/>
        <v>0</v>
      </c>
      <c r="U34" s="156">
        <f ca="1"/>
        <v>0</v>
      </c>
      <c r="V34" s="158" t="str">
        <f ca="1"/>
        <v/>
      </c>
      <c r="W34" s="159" t="str">
        <f ca="1"/>
        <v/>
      </c>
      <c r="X34" s="159" t="str">
        <f ca="1"/>
        <v/>
      </c>
      <c r="Y34" s="159" t="str">
        <f ca="1"/>
        <v/>
      </c>
      <c r="Z34" s="170" t="e">
        <f t="shared" ca="1" si="7"/>
        <v>#DIV/0!</v>
      </c>
      <c r="AA34" s="170" t="str">
        <f t="shared" ca="1" si="8"/>
        <v/>
      </c>
    </row>
    <row r="35" spans="1:27" ht="11.25" x14ac:dyDescent="0.2">
      <c r="A35" s="117">
        <v>34</v>
      </c>
      <c r="B35" s="117">
        <f>MATCH(A35,Bowling!$CP$5:$CP$47,0)</f>
        <v>13</v>
      </c>
      <c r="C35" s="117" t="str">
        <f ca="1">OFFSET(Bowling!$B$4,BowlAves!B35,0)</f>
        <v>Hayes J</v>
      </c>
      <c r="D35" s="144">
        <f t="array" aca="1" ref="D35:K35" ca="1">OFFSET(Bowling!$CG$4,BowlAves!B35,0,1,8)</f>
        <v>0</v>
      </c>
      <c r="E35" s="145">
        <f ca="1"/>
        <v>0</v>
      </c>
      <c r="F35" s="145">
        <f ca="1"/>
        <v>0</v>
      </c>
      <c r="G35" s="145">
        <f ca="1"/>
        <v>0</v>
      </c>
      <c r="H35" s="73" t="str">
        <f ca="1"/>
        <v/>
      </c>
      <c r="I35" s="149" t="str">
        <f ca="1"/>
        <v/>
      </c>
      <c r="J35" s="149" t="str">
        <f ca="1"/>
        <v/>
      </c>
      <c r="K35" s="150" t="str">
        <f ca="1"/>
        <v/>
      </c>
      <c r="L35" s="150">
        <f t="shared" ca="1" si="0"/>
        <v>1034</v>
      </c>
      <c r="M35" s="150">
        <f t="shared" ca="1" si="1"/>
        <v>34</v>
      </c>
      <c r="N35" s="117" t="str">
        <f t="shared" ca="1" si="2"/>
        <v>Hayes J 0-0-0-0</v>
      </c>
      <c r="P35" s="154">
        <v>33</v>
      </c>
      <c r="Q35" s="155" t="str">
        <f t="array" aca="1" ref="Q35:Y35" ca="1">OFFSET($C$2,MATCH(P35,$M$2:$M$51,0)-1,0,1,9)</f>
        <v>Foxworthy P</v>
      </c>
      <c r="R35" s="156">
        <f ca="1"/>
        <v>0</v>
      </c>
      <c r="S35" s="157">
        <f ca="1"/>
        <v>0</v>
      </c>
      <c r="T35" s="156">
        <f ca="1"/>
        <v>0</v>
      </c>
      <c r="U35" s="156">
        <f ca="1"/>
        <v>0</v>
      </c>
      <c r="V35" s="158" t="str">
        <f ca="1"/>
        <v/>
      </c>
      <c r="W35" s="159" t="str">
        <f ca="1"/>
        <v/>
      </c>
      <c r="X35" s="159" t="str">
        <f ca="1"/>
        <v/>
      </c>
      <c r="Y35" s="159" t="str">
        <f ca="1"/>
        <v/>
      </c>
      <c r="Z35" s="170" t="e">
        <f t="shared" ca="1" si="7"/>
        <v>#DIV/0!</v>
      </c>
      <c r="AA35" s="170" t="str">
        <f t="shared" ca="1" si="8"/>
        <v/>
      </c>
    </row>
    <row r="36" spans="1:27" ht="11.25" x14ac:dyDescent="0.2">
      <c r="A36" s="117">
        <v>35</v>
      </c>
      <c r="B36" s="117">
        <f>MATCH(A36,Bowling!$CP$5:$CP$47,0)</f>
        <v>19</v>
      </c>
      <c r="C36" s="117" t="str">
        <f ca="1">OFFSET(Bowling!$B$4,BowlAves!B36,0)</f>
        <v>Mahajan A</v>
      </c>
      <c r="D36" s="144">
        <f t="array" aca="1" ref="D36:K36" ca="1">OFFSET(Bowling!$CG$4,BowlAves!B36,0,1,8)</f>
        <v>0</v>
      </c>
      <c r="E36" s="145">
        <f ca="1"/>
        <v>0</v>
      </c>
      <c r="F36" s="145">
        <f ca="1"/>
        <v>0</v>
      </c>
      <c r="G36" s="145">
        <f ca="1"/>
        <v>0</v>
      </c>
      <c r="H36" s="73" t="str">
        <f ca="1"/>
        <v/>
      </c>
      <c r="I36" s="149" t="str">
        <f ca="1"/>
        <v/>
      </c>
      <c r="J36" s="149" t="str">
        <f ca="1"/>
        <v/>
      </c>
      <c r="K36" s="150" t="str">
        <f ca="1"/>
        <v/>
      </c>
      <c r="L36" s="150">
        <f t="shared" ca="1" si="0"/>
        <v>1035</v>
      </c>
      <c r="M36" s="150">
        <f t="shared" ca="1" si="1"/>
        <v>35</v>
      </c>
      <c r="N36" s="117" t="str">
        <f t="shared" ca="1" si="2"/>
        <v>Mahajan A 0-0-0-0</v>
      </c>
      <c r="P36" s="154">
        <v>34</v>
      </c>
      <c r="Q36" s="155" t="str">
        <f t="array" aca="1" ref="Q36:Y36" ca="1">OFFSET($C$2,MATCH(P36,$M$2:$M$51,0)-1,0,1,9)</f>
        <v>Hayes J</v>
      </c>
      <c r="R36" s="156">
        <f ca="1"/>
        <v>0</v>
      </c>
      <c r="S36" s="157">
        <f ca="1"/>
        <v>0</v>
      </c>
      <c r="T36" s="156">
        <f ca="1"/>
        <v>0</v>
      </c>
      <c r="U36" s="156">
        <f ca="1"/>
        <v>0</v>
      </c>
      <c r="V36" s="158" t="str">
        <f ca="1"/>
        <v/>
      </c>
      <c r="W36" s="159" t="str">
        <f ca="1"/>
        <v/>
      </c>
      <c r="X36" s="159" t="str">
        <f ca="1"/>
        <v/>
      </c>
      <c r="Y36" s="159" t="str">
        <f ca="1"/>
        <v/>
      </c>
      <c r="Z36" s="170" t="e">
        <f t="shared" ca="1" si="7"/>
        <v>#DIV/0!</v>
      </c>
      <c r="AA36" s="170" t="str">
        <f t="shared" ca="1" si="8"/>
        <v/>
      </c>
    </row>
    <row r="37" spans="1:27" ht="11.25" x14ac:dyDescent="0.2">
      <c r="A37" s="117">
        <v>36</v>
      </c>
      <c r="B37" s="117">
        <f>MATCH(A37,Bowling!$CP$5:$CP$47,0)</f>
        <v>20</v>
      </c>
      <c r="C37" s="117" t="str">
        <f ca="1">OFFSET(Bowling!$B$4,BowlAves!B37,0)</f>
        <v>Lewis I</v>
      </c>
      <c r="D37" s="144">
        <f t="array" aca="1" ref="D37:K37" ca="1">OFFSET(Bowling!$CG$4,BowlAves!B37,0,1,8)</f>
        <v>0</v>
      </c>
      <c r="E37" s="145">
        <f ca="1"/>
        <v>0</v>
      </c>
      <c r="F37" s="145">
        <f ca="1"/>
        <v>0</v>
      </c>
      <c r="G37" s="145">
        <f ca="1"/>
        <v>0</v>
      </c>
      <c r="H37" s="73" t="str">
        <f ca="1"/>
        <v/>
      </c>
      <c r="I37" s="149" t="str">
        <f ca="1"/>
        <v/>
      </c>
      <c r="J37" s="149" t="str">
        <f ca="1"/>
        <v/>
      </c>
      <c r="K37" s="150" t="str">
        <f ca="1"/>
        <v/>
      </c>
      <c r="L37" s="150">
        <f t="shared" ca="1" si="0"/>
        <v>1036</v>
      </c>
      <c r="M37" s="150">
        <f t="shared" ca="1" si="1"/>
        <v>36</v>
      </c>
      <c r="N37" s="117" t="str">
        <f t="shared" ca="1" si="2"/>
        <v>Lewis I 0-0-0-0</v>
      </c>
      <c r="P37" s="154">
        <v>35</v>
      </c>
      <c r="Q37" s="155" t="str">
        <f t="array" aca="1" ref="Q37:Y37" ca="1">OFFSET($C$2,MATCH(P37,$M$2:$M$51,0)-1,0,1,9)</f>
        <v>Mahajan A</v>
      </c>
      <c r="R37" s="156">
        <f ca="1"/>
        <v>0</v>
      </c>
      <c r="S37" s="157">
        <f ca="1"/>
        <v>0</v>
      </c>
      <c r="T37" s="156">
        <f ca="1"/>
        <v>0</v>
      </c>
      <c r="U37" s="156">
        <f ca="1"/>
        <v>0</v>
      </c>
      <c r="V37" s="158" t="str">
        <f ca="1"/>
        <v/>
      </c>
      <c r="W37" s="159" t="str">
        <f ca="1"/>
        <v/>
      </c>
      <c r="X37" s="159" t="str">
        <f ca="1"/>
        <v/>
      </c>
      <c r="Y37" s="159" t="str">
        <f ca="1"/>
        <v/>
      </c>
      <c r="Z37" s="170" t="e">
        <f t="shared" ref="Z37:Z38" ca="1" si="9">S37/R37</f>
        <v>#DIV/0!</v>
      </c>
      <c r="AA37" s="170" t="str">
        <f t="shared" ref="AA37:AA38" ca="1" si="10">IF(R37&gt;=20,Z37,"")</f>
        <v/>
      </c>
    </row>
    <row r="38" spans="1:27" ht="11.25" x14ac:dyDescent="0.2">
      <c r="A38" s="117">
        <v>37</v>
      </c>
      <c r="B38" s="117">
        <f>MATCH(A38,Bowling!$CP$5:$CP$47,0)</f>
        <v>25</v>
      </c>
      <c r="C38" s="117" t="str">
        <f ca="1">OFFSET(Bowling!$B$4,BowlAves!B38,0)</f>
        <v>Niran S</v>
      </c>
      <c r="D38" s="144">
        <f t="array" aca="1" ref="D38:K38" ca="1">OFFSET(Bowling!$CG$4,BowlAves!B38,0,1,8)</f>
        <v>0</v>
      </c>
      <c r="E38" s="145">
        <f ca="1"/>
        <v>0</v>
      </c>
      <c r="F38" s="145">
        <f ca="1"/>
        <v>0</v>
      </c>
      <c r="G38" s="145">
        <f ca="1"/>
        <v>0</v>
      </c>
      <c r="H38" s="73" t="str">
        <f ca="1"/>
        <v/>
      </c>
      <c r="I38" s="149" t="str">
        <f ca="1"/>
        <v/>
      </c>
      <c r="J38" s="149" t="str">
        <f ca="1"/>
        <v/>
      </c>
      <c r="K38" s="150" t="str">
        <f ca="1"/>
        <v/>
      </c>
      <c r="L38" s="150">
        <f t="shared" ca="1" si="0"/>
        <v>1037</v>
      </c>
      <c r="M38" s="150">
        <f t="shared" ca="1" si="1"/>
        <v>37</v>
      </c>
      <c r="N38" s="117" t="str">
        <f t="shared" ca="1" si="2"/>
        <v>Niran S 0-0-0-0</v>
      </c>
      <c r="P38" s="154">
        <v>36</v>
      </c>
      <c r="Q38" s="155" t="str">
        <f t="array" aca="1" ref="Q38:Y38" ca="1">OFFSET($C$2,MATCH(P38,$M$2:$M$51,0)-1,0,1,9)</f>
        <v>Lewis I</v>
      </c>
      <c r="R38" s="156">
        <f ca="1"/>
        <v>0</v>
      </c>
      <c r="S38" s="157">
        <f ca="1"/>
        <v>0</v>
      </c>
      <c r="T38" s="156">
        <f ca="1"/>
        <v>0</v>
      </c>
      <c r="U38" s="156">
        <f ca="1"/>
        <v>0</v>
      </c>
      <c r="V38" s="158" t="str">
        <f ca="1"/>
        <v/>
      </c>
      <c r="W38" s="159" t="str">
        <f ca="1"/>
        <v/>
      </c>
      <c r="X38" s="159" t="str">
        <f ca="1"/>
        <v/>
      </c>
      <c r="Y38" s="159" t="str">
        <f ca="1"/>
        <v/>
      </c>
      <c r="Z38" s="170" t="e">
        <f t="shared" ca="1" si="9"/>
        <v>#DIV/0!</v>
      </c>
      <c r="AA38" s="170" t="str">
        <f t="shared" ca="1" si="10"/>
        <v/>
      </c>
    </row>
    <row r="39" spans="1:27" ht="11.25" x14ac:dyDescent="0.15">
      <c r="A39" s="117">
        <v>38</v>
      </c>
      <c r="B39" s="117">
        <f>MATCH(A39,Bowling!$CP$5:$CP$47,0)</f>
        <v>28</v>
      </c>
      <c r="C39" s="117" t="str">
        <f ca="1">OFFSET(Bowling!$B$4,BowlAves!B39,0)</f>
        <v>O'Rourke P</v>
      </c>
      <c r="D39" s="144">
        <f t="array" aca="1" ref="D39:K39" ca="1">OFFSET(Bowling!$CG$4,BowlAves!B39,0,1,8)</f>
        <v>0</v>
      </c>
      <c r="E39" s="145">
        <f ca="1"/>
        <v>0</v>
      </c>
      <c r="F39" s="145">
        <f ca="1"/>
        <v>0</v>
      </c>
      <c r="G39" s="145">
        <f ca="1"/>
        <v>0</v>
      </c>
      <c r="H39" s="73" t="str">
        <f ca="1"/>
        <v/>
      </c>
      <c r="I39" s="149" t="str">
        <f ca="1"/>
        <v/>
      </c>
      <c r="J39" s="149" t="str">
        <f ca="1"/>
        <v/>
      </c>
      <c r="K39" s="150" t="str">
        <f ca="1"/>
        <v/>
      </c>
      <c r="L39" s="150">
        <f t="shared" ca="1" si="0"/>
        <v>1038</v>
      </c>
      <c r="M39" s="150">
        <f t="shared" ca="1" si="1"/>
        <v>38</v>
      </c>
      <c r="N39" s="117" t="str">
        <f t="shared" ca="1" si="2"/>
        <v>O'Rourke P 0-0-0-0</v>
      </c>
      <c r="Q39" s="117" t="s">
        <v>198</v>
      </c>
      <c r="W39" s="154"/>
    </row>
    <row r="40" spans="1:27" ht="11.25" x14ac:dyDescent="0.15">
      <c r="A40" s="117">
        <v>39</v>
      </c>
      <c r="B40" s="117">
        <f>MATCH(A40,Bowling!$CP$5:$CP$47,0)</f>
        <v>30</v>
      </c>
      <c r="C40" s="117" t="str">
        <f ca="1">OFFSET(Bowling!$B$4,BowlAves!B40,0)</f>
        <v>Seev J</v>
      </c>
      <c r="D40" s="144">
        <f t="array" aca="1" ref="D40:K40" ca="1">OFFSET(Bowling!$CG$4,BowlAves!B40,0,1,8)</f>
        <v>0</v>
      </c>
      <c r="E40" s="145">
        <f ca="1"/>
        <v>0</v>
      </c>
      <c r="F40" s="145">
        <f ca="1"/>
        <v>0</v>
      </c>
      <c r="G40" s="145">
        <f ca="1"/>
        <v>0</v>
      </c>
      <c r="H40" s="73" t="str">
        <f ca="1"/>
        <v/>
      </c>
      <c r="I40" s="149" t="str">
        <f ca="1"/>
        <v/>
      </c>
      <c r="J40" s="149" t="str">
        <f ca="1"/>
        <v/>
      </c>
      <c r="K40" s="150" t="str">
        <f ca="1"/>
        <v/>
      </c>
      <c r="L40" s="150">
        <f t="shared" ca="1" si="0"/>
        <v>1039</v>
      </c>
      <c r="M40" s="150">
        <f t="shared" ca="1" si="1"/>
        <v>39</v>
      </c>
      <c r="N40" s="117" t="str">
        <f t="shared" ca="1" si="2"/>
        <v>Seev J 0-0-0-0</v>
      </c>
      <c r="Q40" s="117" t="s">
        <v>198</v>
      </c>
      <c r="W40" s="154"/>
    </row>
    <row r="41" spans="1:27" ht="11.25" x14ac:dyDescent="0.15">
      <c r="A41" s="117">
        <v>40</v>
      </c>
      <c r="B41" s="117">
        <f>MATCH(A41,Bowling!$CP$5:$CP$47,0)</f>
        <v>31</v>
      </c>
      <c r="C41" s="117" t="str">
        <f ca="1">OFFSET(Bowling!$B$4,BowlAves!B41,0)</f>
        <v>Sharma R</v>
      </c>
      <c r="D41" s="144">
        <f t="array" aca="1" ref="D41:K41" ca="1">OFFSET(Bowling!$CG$4,BowlAves!B41,0,1,8)</f>
        <v>0</v>
      </c>
      <c r="E41" s="145">
        <f ca="1"/>
        <v>0</v>
      </c>
      <c r="F41" s="145">
        <f ca="1"/>
        <v>0</v>
      </c>
      <c r="G41" s="145">
        <f ca="1"/>
        <v>0</v>
      </c>
      <c r="H41" s="73" t="str">
        <f ca="1"/>
        <v/>
      </c>
      <c r="I41" s="149" t="str">
        <f ca="1"/>
        <v/>
      </c>
      <c r="J41" s="149" t="str">
        <f ca="1"/>
        <v/>
      </c>
      <c r="K41" s="150" t="str">
        <f ca="1"/>
        <v/>
      </c>
      <c r="L41" s="150">
        <f t="shared" ca="1" si="0"/>
        <v>1040</v>
      </c>
      <c r="M41" s="150">
        <f t="shared" ca="1" si="1"/>
        <v>40</v>
      </c>
      <c r="N41" s="117" t="str">
        <f t="shared" ca="1" si="2"/>
        <v>Sharma R 0-0-0-0</v>
      </c>
      <c r="Q41" s="117" t="s">
        <v>198</v>
      </c>
      <c r="W41" s="154"/>
    </row>
    <row r="42" spans="1:27" ht="11.25" x14ac:dyDescent="0.15">
      <c r="A42" s="117">
        <v>41</v>
      </c>
      <c r="B42" s="117">
        <f>MATCH(A42,Bowling!$CP$5:$CP$47,0)</f>
        <v>33</v>
      </c>
      <c r="C42" s="117" t="str">
        <f ca="1">OFFSET(Bowling!$B$4,BowlAves!B42,0)</f>
        <v>Shome G</v>
      </c>
      <c r="D42" s="144">
        <f t="array" aca="1" ref="D42:K42" ca="1">OFFSET(Bowling!$CG$4,BowlAves!B42,0,1,8)</f>
        <v>0</v>
      </c>
      <c r="E42" s="145">
        <f ca="1"/>
        <v>0</v>
      </c>
      <c r="F42" s="145">
        <f ca="1"/>
        <v>0</v>
      </c>
      <c r="G42" s="145">
        <f ca="1"/>
        <v>0</v>
      </c>
      <c r="H42" s="73" t="str">
        <f ca="1"/>
        <v/>
      </c>
      <c r="I42" s="149" t="str">
        <f ca="1"/>
        <v/>
      </c>
      <c r="J42" s="149" t="str">
        <f ca="1"/>
        <v/>
      </c>
      <c r="K42" s="150" t="str">
        <f ca="1"/>
        <v/>
      </c>
      <c r="L42" s="150">
        <f t="shared" ca="1" si="0"/>
        <v>1041</v>
      </c>
      <c r="M42" s="150">
        <f t="shared" ca="1" si="1"/>
        <v>41</v>
      </c>
      <c r="N42" s="117" t="str">
        <f t="shared" ca="1" si="2"/>
        <v>Shome G 0-0-0-0</v>
      </c>
      <c r="Q42" s="117" t="s">
        <v>198</v>
      </c>
      <c r="W42" s="154"/>
      <c r="X42" s="117" t="s">
        <v>198</v>
      </c>
    </row>
    <row r="43" spans="1:27" ht="11.25" x14ac:dyDescent="0.15">
      <c r="A43" s="117">
        <v>42</v>
      </c>
      <c r="B43" s="117">
        <f>MATCH(A43,Bowling!$CP$5:$CP$47,0)</f>
        <v>39</v>
      </c>
      <c r="C43" s="117" t="str">
        <f ca="1">OFFSET(Bowling!$B$4,BowlAves!B43,0)</f>
        <v>Sunkara C</v>
      </c>
      <c r="D43" s="144">
        <f t="array" aca="1" ref="D43:K43" ca="1">OFFSET(Bowling!$CG$4,BowlAves!B43,0,1,8)</f>
        <v>0</v>
      </c>
      <c r="E43" s="145">
        <f ca="1"/>
        <v>0</v>
      </c>
      <c r="F43" s="145">
        <f ca="1"/>
        <v>0</v>
      </c>
      <c r="G43" s="145">
        <f ca="1"/>
        <v>0</v>
      </c>
      <c r="H43" s="73" t="str">
        <f ca="1"/>
        <v/>
      </c>
      <c r="I43" s="149" t="str">
        <f ca="1"/>
        <v/>
      </c>
      <c r="J43" s="149" t="str">
        <f ca="1"/>
        <v/>
      </c>
      <c r="K43" s="150" t="str">
        <f ca="1"/>
        <v/>
      </c>
      <c r="L43" s="150">
        <f t="shared" ca="1" si="0"/>
        <v>1042</v>
      </c>
      <c r="M43" s="150">
        <f t="shared" ca="1" si="1"/>
        <v>42</v>
      </c>
      <c r="N43" s="117" t="str">
        <f t="shared" ca="1" si="2"/>
        <v>Sunkara C 0-0-0-0</v>
      </c>
      <c r="Q43" s="117" t="s">
        <v>198</v>
      </c>
      <c r="W43" s="154"/>
      <c r="X43" s="117" t="s">
        <v>198</v>
      </c>
    </row>
    <row r="44" spans="1:27" ht="11.25" x14ac:dyDescent="0.15">
      <c r="A44" s="117">
        <v>43</v>
      </c>
      <c r="B44" s="117">
        <f>MATCH(A44,Bowling!$CP$5:$CP$47,0)</f>
        <v>43</v>
      </c>
      <c r="C44" s="117" t="str">
        <f ca="1">OFFSET(Bowling!$B$4,BowlAves!B44,0)</f>
        <v>Wilson A</v>
      </c>
      <c r="D44" s="144">
        <f t="array" aca="1" ref="D44:K44" ca="1">OFFSET(Bowling!$CG$4,BowlAves!B44,0,1,8)</f>
        <v>0</v>
      </c>
      <c r="E44" s="145">
        <f ca="1"/>
        <v>0</v>
      </c>
      <c r="F44" s="145">
        <f ca="1"/>
        <v>0</v>
      </c>
      <c r="G44" s="145">
        <f ca="1"/>
        <v>0</v>
      </c>
      <c r="H44" s="73" t="str">
        <f ca="1"/>
        <v/>
      </c>
      <c r="I44" s="149" t="str">
        <f ca="1"/>
        <v/>
      </c>
      <c r="J44" s="149" t="str">
        <f ca="1"/>
        <v/>
      </c>
      <c r="K44" s="150" t="str">
        <f ca="1"/>
        <v/>
      </c>
      <c r="L44" s="150">
        <f t="shared" ca="1" si="0"/>
        <v>1043</v>
      </c>
      <c r="M44" s="150">
        <f t="shared" ca="1" si="1"/>
        <v>43</v>
      </c>
      <c r="N44" s="117" t="str">
        <f t="shared" ca="1" si="2"/>
        <v>Wilson A 0-0-0-0</v>
      </c>
      <c r="Q44" s="117" t="s">
        <v>198</v>
      </c>
      <c r="W44" s="154"/>
      <c r="X44" s="117" t="s">
        <v>198</v>
      </c>
    </row>
    <row r="45" spans="1:27" ht="11.25" x14ac:dyDescent="0.15">
      <c r="A45" s="117">
        <v>44</v>
      </c>
      <c r="B45" s="117" t="e">
        <f>MATCH(A45,Bowling!$CP$5:$CP$47,0)</f>
        <v>#N/A</v>
      </c>
      <c r="C45" s="117" t="e">
        <f ca="1">OFFSET(Bowling!$B$4,BowlAves!B45,0)</f>
        <v>#N/A</v>
      </c>
      <c r="D45" s="144" t="e">
        <f t="array" aca="1" ref="D45:K45" ca="1">OFFSET(Bowling!$CG$4,BowlAves!B45,0,1,8)</f>
        <v>#N/A</v>
      </c>
      <c r="E45" s="145" t="e">
        <f ca="1"/>
        <v>#N/A</v>
      </c>
      <c r="F45" s="145" t="e">
        <f ca="1"/>
        <v>#N/A</v>
      </c>
      <c r="G45" s="145" t="e">
        <f ca="1"/>
        <v>#N/A</v>
      </c>
      <c r="H45" s="73" t="e">
        <f ca="1"/>
        <v>#N/A</v>
      </c>
      <c r="I45" s="149" t="e">
        <f ca="1"/>
        <v>#N/A</v>
      </c>
      <c r="J45" s="149" t="e">
        <f ca="1"/>
        <v>#N/A</v>
      </c>
      <c r="K45" s="150" t="e">
        <f ca="1"/>
        <v>#N/A</v>
      </c>
      <c r="L45" s="150" t="e">
        <f t="shared" ca="1" si="0"/>
        <v>#N/A</v>
      </c>
      <c r="M45" s="150" t="e">
        <f t="shared" ca="1" si="1"/>
        <v>#N/A</v>
      </c>
      <c r="N45" s="117" t="e">
        <f t="shared" ca="1" si="2"/>
        <v>#N/A</v>
      </c>
      <c r="Q45" s="117" t="s">
        <v>198</v>
      </c>
      <c r="W45" s="154"/>
    </row>
    <row r="46" spans="1:27" ht="11.25" x14ac:dyDescent="0.15">
      <c r="A46" s="117">
        <v>45</v>
      </c>
      <c r="B46" s="117" t="e">
        <f>MATCH(A46,Bowling!$CP$5:$CP$47,0)</f>
        <v>#N/A</v>
      </c>
      <c r="C46" s="117" t="e">
        <f ca="1">OFFSET(Bowling!$B$4,BowlAves!B46,0)</f>
        <v>#N/A</v>
      </c>
      <c r="D46" s="144" t="e">
        <f t="array" aca="1" ref="D46:K46" ca="1">OFFSET(Bowling!$CG$4,BowlAves!B46,0,1,8)</f>
        <v>#N/A</v>
      </c>
      <c r="E46" s="145" t="e">
        <f ca="1"/>
        <v>#N/A</v>
      </c>
      <c r="F46" s="145" t="e">
        <f ca="1"/>
        <v>#N/A</v>
      </c>
      <c r="G46" s="145" t="e">
        <f ca="1"/>
        <v>#N/A</v>
      </c>
      <c r="H46" s="73" t="e">
        <f ca="1"/>
        <v>#N/A</v>
      </c>
      <c r="I46" s="149" t="e">
        <f ca="1"/>
        <v>#N/A</v>
      </c>
      <c r="J46" s="149" t="e">
        <f ca="1"/>
        <v>#N/A</v>
      </c>
      <c r="K46" s="150" t="e">
        <f ca="1"/>
        <v>#N/A</v>
      </c>
      <c r="L46" s="150" t="e">
        <f t="shared" ca="1" si="0"/>
        <v>#N/A</v>
      </c>
      <c r="M46" s="150" t="e">
        <f t="shared" ca="1" si="1"/>
        <v>#N/A</v>
      </c>
      <c r="N46" s="117" t="e">
        <f t="shared" ca="1" si="2"/>
        <v>#N/A</v>
      </c>
      <c r="W46" s="154"/>
    </row>
    <row r="47" spans="1:27" ht="11.25" x14ac:dyDescent="0.15">
      <c r="A47" s="117">
        <v>46</v>
      </c>
      <c r="B47" s="117" t="e">
        <f>MATCH(A47,Bowling!$CP$5:$CP$47,0)</f>
        <v>#N/A</v>
      </c>
      <c r="C47" s="117" t="e">
        <f ca="1">OFFSET(Bowling!$B$4,BowlAves!B47,0)</f>
        <v>#N/A</v>
      </c>
      <c r="D47" s="144" t="e">
        <f t="array" aca="1" ref="D47:K47" ca="1">OFFSET(Bowling!$CG$4,BowlAves!B47,0,1,8)</f>
        <v>#N/A</v>
      </c>
      <c r="E47" s="145" t="e">
        <f ca="1"/>
        <v>#N/A</v>
      </c>
      <c r="F47" s="145" t="e">
        <f ca="1"/>
        <v>#N/A</v>
      </c>
      <c r="G47" s="145" t="e">
        <f ca="1"/>
        <v>#N/A</v>
      </c>
      <c r="H47" s="73" t="e">
        <f ca="1"/>
        <v>#N/A</v>
      </c>
      <c r="I47" s="149" t="e">
        <f ca="1"/>
        <v>#N/A</v>
      </c>
      <c r="J47" s="149" t="e">
        <f ca="1"/>
        <v>#N/A</v>
      </c>
      <c r="K47" s="150" t="e">
        <f ca="1"/>
        <v>#N/A</v>
      </c>
      <c r="L47" s="150" t="e">
        <f t="shared" ca="1" si="0"/>
        <v>#N/A</v>
      </c>
      <c r="M47" s="150" t="e">
        <f t="shared" ca="1" si="1"/>
        <v>#N/A</v>
      </c>
      <c r="N47" s="117" t="e">
        <f t="shared" ca="1" si="2"/>
        <v>#N/A</v>
      </c>
      <c r="W47" s="154"/>
    </row>
    <row r="48" spans="1:27" ht="11.25" x14ac:dyDescent="0.15">
      <c r="A48" s="117">
        <v>47</v>
      </c>
      <c r="B48" s="117" t="e">
        <f>MATCH(A48,Bowling!$CP$5:$CP$47,0)</f>
        <v>#N/A</v>
      </c>
      <c r="C48" s="117" t="e">
        <f ca="1">OFFSET(Bowling!$B$4,BowlAves!B48,0)</f>
        <v>#N/A</v>
      </c>
      <c r="D48" s="144" t="e">
        <f t="array" aca="1" ref="D48:K48" ca="1">OFFSET(Bowling!$CG$4,BowlAves!B48,0,1,8)</f>
        <v>#N/A</v>
      </c>
      <c r="E48" s="145" t="e">
        <f ca="1"/>
        <v>#N/A</v>
      </c>
      <c r="F48" s="145" t="e">
        <f ca="1"/>
        <v>#N/A</v>
      </c>
      <c r="G48" s="145" t="e">
        <f ca="1"/>
        <v>#N/A</v>
      </c>
      <c r="H48" s="73" t="e">
        <f ca="1"/>
        <v>#N/A</v>
      </c>
      <c r="I48" s="149" t="e">
        <f ca="1"/>
        <v>#N/A</v>
      </c>
      <c r="J48" s="149" t="e">
        <f ca="1"/>
        <v>#N/A</v>
      </c>
      <c r="K48" s="150" t="e">
        <f ca="1"/>
        <v>#N/A</v>
      </c>
      <c r="L48" s="150" t="e">
        <f t="shared" ca="1" si="0"/>
        <v>#N/A</v>
      </c>
      <c r="M48" s="150" t="e">
        <f t="shared" ca="1" si="1"/>
        <v>#N/A</v>
      </c>
      <c r="N48" s="117" t="e">
        <f t="shared" ca="1" si="2"/>
        <v>#N/A</v>
      </c>
      <c r="W48" s="154"/>
    </row>
    <row r="49" spans="1:23" ht="11.25" x14ac:dyDescent="0.15">
      <c r="A49" s="117">
        <v>48</v>
      </c>
      <c r="B49" s="117" t="e">
        <f>MATCH(A49,Bowling!$CP$5:$CP$47,0)</f>
        <v>#N/A</v>
      </c>
      <c r="C49" s="117" t="e">
        <f ca="1">OFFSET(Bowling!$B$4,BowlAves!B49,0)</f>
        <v>#N/A</v>
      </c>
      <c r="D49" s="144" t="e">
        <f t="array" aca="1" ref="D49:K49" ca="1">OFFSET(Bowling!$CG$4,BowlAves!B49,0,1,8)</f>
        <v>#N/A</v>
      </c>
      <c r="E49" s="145" t="e">
        <f ca="1"/>
        <v>#N/A</v>
      </c>
      <c r="F49" s="145" t="e">
        <f ca="1"/>
        <v>#N/A</v>
      </c>
      <c r="G49" s="145" t="e">
        <f ca="1"/>
        <v>#N/A</v>
      </c>
      <c r="H49" s="73" t="e">
        <f ca="1"/>
        <v>#N/A</v>
      </c>
      <c r="I49" s="149" t="e">
        <f ca="1"/>
        <v>#N/A</v>
      </c>
      <c r="J49" s="149" t="e">
        <f ca="1"/>
        <v>#N/A</v>
      </c>
      <c r="K49" s="150" t="e">
        <f ca="1"/>
        <v>#N/A</v>
      </c>
      <c r="L49" s="150" t="e">
        <f t="shared" ca="1" si="0"/>
        <v>#N/A</v>
      </c>
      <c r="M49" s="150" t="e">
        <f t="shared" ca="1" si="1"/>
        <v>#N/A</v>
      </c>
      <c r="N49" s="117" t="e">
        <f t="shared" ca="1" si="2"/>
        <v>#N/A</v>
      </c>
      <c r="W49" s="154"/>
    </row>
    <row r="50" spans="1:23" ht="11.25" x14ac:dyDescent="0.15">
      <c r="A50" s="117">
        <v>49</v>
      </c>
      <c r="B50" s="117" t="e">
        <f>MATCH(A50,Bowling!$CP$5:$CP$47,0)</f>
        <v>#N/A</v>
      </c>
      <c r="C50" s="117" t="e">
        <f ca="1">OFFSET(Bowling!$B$4,BowlAves!B50,0)</f>
        <v>#N/A</v>
      </c>
      <c r="D50" s="144" t="e">
        <f t="array" aca="1" ref="D50:K50" ca="1">OFFSET(Bowling!$CG$4,BowlAves!B50,0,1,8)</f>
        <v>#N/A</v>
      </c>
      <c r="E50" s="145" t="e">
        <f ca="1"/>
        <v>#N/A</v>
      </c>
      <c r="F50" s="145" t="e">
        <f ca="1"/>
        <v>#N/A</v>
      </c>
      <c r="G50" s="145" t="e">
        <f ca="1"/>
        <v>#N/A</v>
      </c>
      <c r="H50" s="73" t="e">
        <f ca="1"/>
        <v>#N/A</v>
      </c>
      <c r="I50" s="149" t="e">
        <f ca="1"/>
        <v>#N/A</v>
      </c>
      <c r="J50" s="149" t="e">
        <f ca="1"/>
        <v>#N/A</v>
      </c>
      <c r="K50" s="150" t="e">
        <f ca="1"/>
        <v>#N/A</v>
      </c>
      <c r="L50" s="150" t="e">
        <f t="shared" ca="1" si="0"/>
        <v>#N/A</v>
      </c>
      <c r="M50" s="150" t="e">
        <f t="shared" ca="1" si="1"/>
        <v>#N/A</v>
      </c>
      <c r="N50" s="117" t="e">
        <f t="shared" ca="1" si="2"/>
        <v>#N/A</v>
      </c>
      <c r="W50" s="154"/>
    </row>
    <row r="51" spans="1:23" ht="11.25" x14ac:dyDescent="0.15">
      <c r="A51" s="117">
        <v>50</v>
      </c>
      <c r="B51" s="117" t="e">
        <f>MATCH(A51,Bowling!$CP$5:$CP$47,0)</f>
        <v>#N/A</v>
      </c>
      <c r="C51" s="117" t="e">
        <f ca="1">OFFSET(Bowling!$B$4,BowlAves!B51,0)</f>
        <v>#N/A</v>
      </c>
      <c r="D51" s="144" t="e">
        <f t="array" aca="1" ref="D51:K51" ca="1">OFFSET(Bowling!$CG$4,BowlAves!B51,0,1,8)</f>
        <v>#N/A</v>
      </c>
      <c r="E51" s="145" t="e">
        <f ca="1"/>
        <v>#N/A</v>
      </c>
      <c r="F51" s="145" t="e">
        <f ca="1"/>
        <v>#N/A</v>
      </c>
      <c r="G51" s="145" t="e">
        <f ca="1"/>
        <v>#N/A</v>
      </c>
      <c r="H51" s="73" t="e">
        <f ca="1"/>
        <v>#N/A</v>
      </c>
      <c r="I51" s="149" t="e">
        <f ca="1"/>
        <v>#N/A</v>
      </c>
      <c r="J51" s="149" t="e">
        <f ca="1"/>
        <v>#N/A</v>
      </c>
      <c r="K51" s="150" t="e">
        <f ca="1"/>
        <v>#N/A</v>
      </c>
      <c r="L51" s="150" t="e">
        <f t="shared" ca="1" si="0"/>
        <v>#N/A</v>
      </c>
      <c r="M51" s="150" t="e">
        <f t="shared" ca="1" si="1"/>
        <v>#N/A</v>
      </c>
      <c r="N51" s="117" t="e">
        <f t="shared" ca="1" si="2"/>
        <v>#N/A</v>
      </c>
      <c r="W51" s="154"/>
    </row>
    <row r="52" spans="1:23" ht="11.25" x14ac:dyDescent="0.15">
      <c r="W52" s="154"/>
    </row>
    <row r="60" spans="1:23" x14ac:dyDescent="0.15">
      <c r="N60" s="117" t="s">
        <v>198</v>
      </c>
    </row>
    <row r="61" spans="1:23" x14ac:dyDescent="0.15">
      <c r="N61" s="117" t="s">
        <v>198</v>
      </c>
    </row>
    <row r="62" spans="1:23" x14ac:dyDescent="0.15">
      <c r="N62" s="117" t="s">
        <v>198</v>
      </c>
    </row>
    <row r="63" spans="1:23" x14ac:dyDescent="0.15">
      <c r="N63" s="117" t="s">
        <v>198</v>
      </c>
    </row>
    <row r="67" spans="14:15" ht="12.75" x14ac:dyDescent="0.15">
      <c r="O67" s="99"/>
    </row>
    <row r="68" spans="14:15" ht="12.75" x14ac:dyDescent="0.15">
      <c r="N68" s="99"/>
      <c r="O68" s="99"/>
    </row>
    <row r="69" spans="14:15" ht="12.75" x14ac:dyDescent="0.15">
      <c r="N69" s="99"/>
      <c r="O69" s="99"/>
    </row>
    <row r="70" spans="14:15" ht="12.75" x14ac:dyDescent="0.15">
      <c r="N70" s="99"/>
      <c r="O70" s="99"/>
    </row>
    <row r="71" spans="14:15" ht="12.75" x14ac:dyDescent="0.15">
      <c r="N71" s="99"/>
      <c r="O71" s="99"/>
    </row>
    <row r="72" spans="14:15" ht="12.75" x14ac:dyDescent="0.15">
      <c r="O72" s="99"/>
    </row>
    <row r="73" spans="14:15" ht="12.75" x14ac:dyDescent="0.15">
      <c r="O73" s="99"/>
    </row>
    <row r="74" spans="14:15" ht="12.75" x14ac:dyDescent="0.15">
      <c r="O74" s="99"/>
    </row>
    <row r="75" spans="14:15" ht="12.75" x14ac:dyDescent="0.15">
      <c r="N75" s="99"/>
      <c r="O75" s="99"/>
    </row>
    <row r="76" spans="14:15" ht="12.75" x14ac:dyDescent="0.15">
      <c r="N76" s="99"/>
      <c r="O76" s="99"/>
    </row>
    <row r="77" spans="14:15" ht="12.75" x14ac:dyDescent="0.15">
      <c r="O77" s="99"/>
    </row>
    <row r="78" spans="14:15" ht="12.75" x14ac:dyDescent="0.15">
      <c r="N78" s="99"/>
      <c r="O78" s="99"/>
    </row>
    <row r="79" spans="14:15" ht="12.75" x14ac:dyDescent="0.15">
      <c r="N79" s="99"/>
      <c r="O79" s="99"/>
    </row>
    <row r="80" spans="14:15" ht="12.75" x14ac:dyDescent="0.15">
      <c r="O80" s="99"/>
    </row>
    <row r="81" spans="14:15" ht="12.75" x14ac:dyDescent="0.15">
      <c r="N81" s="99"/>
      <c r="O81" s="99"/>
    </row>
    <row r="82" spans="14:15" ht="12.75" x14ac:dyDescent="0.15">
      <c r="N82" s="99"/>
      <c r="O82" s="99"/>
    </row>
    <row r="83" spans="14:15" ht="12.75" x14ac:dyDescent="0.15">
      <c r="O83" s="99"/>
    </row>
    <row r="84" spans="14:15" ht="12.75" x14ac:dyDescent="0.15">
      <c r="N84" s="99"/>
      <c r="O84" s="99"/>
    </row>
    <row r="85" spans="14:15" ht="12.75" x14ac:dyDescent="0.15">
      <c r="O85" s="99"/>
    </row>
    <row r="86" spans="14:15" ht="12.75" x14ac:dyDescent="0.15">
      <c r="O86" s="99"/>
    </row>
    <row r="87" spans="14:15" ht="12.75" x14ac:dyDescent="0.15">
      <c r="O87" s="99"/>
    </row>
    <row r="88" spans="14:15" ht="12.75" x14ac:dyDescent="0.15">
      <c r="O88" s="99"/>
    </row>
    <row r="89" spans="14:15" ht="12.75" x14ac:dyDescent="0.15">
      <c r="O89" s="99"/>
    </row>
    <row r="90" spans="14:15" ht="12.75" x14ac:dyDescent="0.15">
      <c r="O90" s="99"/>
    </row>
  </sheetData>
  <sortState ref="N60:O90">
    <sortCondition ref="N60:N90"/>
  </sortState>
  <phoneticPr fontId="0" type="noConversion"/>
  <pageMargins left="0.75" right="0.75" top="1" bottom="1" header="0.5" footer="0.5"/>
  <pageSetup paperSize="9" orientation="portrait" horizontalDpi="300" verticalDpi="300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O93"/>
  <sheetViews>
    <sheetView workbookViewId="0"/>
  </sheetViews>
  <sheetFormatPr defaultColWidth="11.5703125" defaultRowHeight="10.5" x14ac:dyDescent="0.15"/>
  <cols>
    <col min="1" max="4" width="15" customWidth="1"/>
    <col min="5" max="9" width="14.7109375" customWidth="1"/>
    <col min="10" max="15" width="13.42578125" customWidth="1"/>
    <col min="16" max="16" width="18" bestFit="1" customWidth="1"/>
    <col min="17" max="17" width="13.140625" bestFit="1" customWidth="1"/>
    <col min="18" max="18" width="15.5703125" bestFit="1" customWidth="1"/>
    <col min="19" max="19" width="11" bestFit="1" customWidth="1"/>
    <col min="20" max="20" width="15.140625" bestFit="1" customWidth="1"/>
    <col min="21" max="21" width="14" bestFit="1" customWidth="1"/>
    <col min="22" max="22" width="14.7109375" customWidth="1"/>
    <col min="23" max="36" width="10" customWidth="1"/>
    <col min="37" max="41" width="6" bestFit="1" customWidth="1"/>
  </cols>
  <sheetData>
    <row r="1" spans="1:41" s="79" customFormat="1" x14ac:dyDescent="0.15"/>
    <row r="2" spans="1:41" s="80" customFormat="1" x14ac:dyDescent="0.15"/>
    <row r="13" spans="1:41" s="6" customFormat="1" x14ac:dyDescent="0.15"/>
    <row r="14" spans="1:41" s="95" customFormat="1" x14ac:dyDescent="0.15">
      <c r="K14" s="98"/>
    </row>
    <row r="15" spans="1:41" x14ac:dyDescent="0.15">
      <c r="A15" s="78">
        <f t="array" ref="A15">SUM(IF(ISNA(A16:A26),0,A16:A26))</f>
        <v>0</v>
      </c>
      <c r="B15" s="78" t="e">
        <f t="shared" ref="B15:O15" si="0">SUM(B16:B26)</f>
        <v>#N/A</v>
      </c>
      <c r="C15" s="78" t="e">
        <f t="shared" si="0"/>
        <v>#N/A</v>
      </c>
      <c r="D15" s="78" t="e">
        <f t="shared" si="0"/>
        <v>#N/A</v>
      </c>
      <c r="E15" s="78" t="e">
        <f t="shared" si="0"/>
        <v>#N/A</v>
      </c>
      <c r="F15" s="78" t="e">
        <f t="shared" si="0"/>
        <v>#N/A</v>
      </c>
      <c r="G15" s="78" t="e">
        <f t="shared" si="0"/>
        <v>#N/A</v>
      </c>
      <c r="H15" s="78" t="e">
        <f t="shared" si="0"/>
        <v>#N/A</v>
      </c>
      <c r="I15" s="78" t="e">
        <f t="shared" si="0"/>
        <v>#N/A</v>
      </c>
      <c r="J15" s="78" t="e">
        <f t="shared" si="0"/>
        <v>#N/A</v>
      </c>
      <c r="K15" s="78" t="e">
        <f t="shared" si="0"/>
        <v>#N/A</v>
      </c>
      <c r="L15" s="78" t="e">
        <f t="shared" si="0"/>
        <v>#N/A</v>
      </c>
      <c r="M15" s="78" t="e">
        <f t="shared" si="0"/>
        <v>#N/A</v>
      </c>
      <c r="N15" s="78" t="e">
        <f t="shared" si="0"/>
        <v>#N/A</v>
      </c>
      <c r="O15" s="78" t="e">
        <f t="shared" si="0"/>
        <v>#N/A</v>
      </c>
      <c r="P15" s="78"/>
      <c r="Q15" s="78"/>
      <c r="R15" s="78"/>
      <c r="S15" s="78"/>
      <c r="T15" s="78"/>
      <c r="U15" s="78"/>
      <c r="V15" s="78"/>
      <c r="W15" s="78"/>
      <c r="X15" s="78"/>
      <c r="Y15" s="78"/>
      <c r="Z15" s="78" t="e">
        <f t="shared" ref="Z15:AG15" si="1">SUM(Z16:Z26)</f>
        <v>#N/A</v>
      </c>
      <c r="AA15" s="78" t="e">
        <f t="shared" si="1"/>
        <v>#N/A</v>
      </c>
      <c r="AB15" s="78" t="e">
        <f t="shared" si="1"/>
        <v>#N/A</v>
      </c>
      <c r="AC15" s="78" t="e">
        <f t="shared" si="1"/>
        <v>#N/A</v>
      </c>
      <c r="AD15" s="78" t="e">
        <f t="shared" si="1"/>
        <v>#N/A</v>
      </c>
      <c r="AE15" s="78" t="e">
        <f t="shared" si="1"/>
        <v>#N/A</v>
      </c>
      <c r="AF15" s="78" t="e">
        <f t="shared" si="1"/>
        <v>#N/A</v>
      </c>
      <c r="AG15" s="78" t="e">
        <f t="shared" si="1"/>
        <v>#N/A</v>
      </c>
      <c r="AH15" s="78" t="e">
        <f t="shared" ref="AH15:AO15" si="2">SUM(AH16:AH26)</f>
        <v>#N/A</v>
      </c>
      <c r="AI15" s="78" t="e">
        <f t="shared" si="2"/>
        <v>#N/A</v>
      </c>
      <c r="AJ15" s="78" t="e">
        <f t="shared" si="2"/>
        <v>#N/A</v>
      </c>
      <c r="AK15" s="78" t="e">
        <f t="shared" si="2"/>
        <v>#N/A</v>
      </c>
      <c r="AL15" s="78" t="e">
        <f t="shared" si="2"/>
        <v>#N/A</v>
      </c>
      <c r="AM15" s="78" t="e">
        <f t="shared" si="2"/>
        <v>#N/A</v>
      </c>
      <c r="AN15" s="78" t="e">
        <f t="shared" si="2"/>
        <v>#N/A</v>
      </c>
      <c r="AO15" s="78" t="e">
        <f t="shared" si="2"/>
        <v>#N/A</v>
      </c>
    </row>
    <row r="16" spans="1:41" x14ac:dyDescent="0.15">
      <c r="A16" t="e">
        <f>VLOOKUP(A3,$A$45:$C$97,3,FALSE)</f>
        <v>#N/A</v>
      </c>
      <c r="B16" t="e">
        <f t="shared" ref="B16:AO16" si="3">VLOOKUP(B3,$A$45:$C$97,3,FALSE)</f>
        <v>#N/A</v>
      </c>
      <c r="C16" t="e">
        <f t="shared" si="3"/>
        <v>#N/A</v>
      </c>
      <c r="D16" t="e">
        <f t="shared" si="3"/>
        <v>#N/A</v>
      </c>
      <c r="E16" t="e">
        <f t="shared" si="3"/>
        <v>#N/A</v>
      </c>
      <c r="F16" t="e">
        <f t="shared" si="3"/>
        <v>#N/A</v>
      </c>
      <c r="G16" t="e">
        <f t="shared" si="3"/>
        <v>#N/A</v>
      </c>
      <c r="H16" t="e">
        <f t="shared" si="3"/>
        <v>#N/A</v>
      </c>
      <c r="I16" t="e">
        <f t="shared" si="3"/>
        <v>#N/A</v>
      </c>
      <c r="J16" t="e">
        <f t="shared" si="3"/>
        <v>#N/A</v>
      </c>
      <c r="K16" t="e">
        <f t="shared" si="3"/>
        <v>#N/A</v>
      </c>
      <c r="L16" t="e">
        <f t="shared" si="3"/>
        <v>#N/A</v>
      </c>
      <c r="M16" t="e">
        <f t="shared" si="3"/>
        <v>#N/A</v>
      </c>
      <c r="N16" t="e">
        <f t="shared" si="3"/>
        <v>#N/A</v>
      </c>
      <c r="O16" t="e">
        <f t="shared" si="3"/>
        <v>#N/A</v>
      </c>
      <c r="Z16" t="e">
        <f t="shared" si="3"/>
        <v>#N/A</v>
      </c>
      <c r="AA16" t="e">
        <f t="shared" si="3"/>
        <v>#N/A</v>
      </c>
      <c r="AB16" t="e">
        <f t="shared" si="3"/>
        <v>#N/A</v>
      </c>
      <c r="AC16" t="e">
        <f t="shared" si="3"/>
        <v>#N/A</v>
      </c>
      <c r="AD16" t="e">
        <f t="shared" si="3"/>
        <v>#N/A</v>
      </c>
      <c r="AE16" t="e">
        <f t="shared" si="3"/>
        <v>#N/A</v>
      </c>
      <c r="AF16" t="e">
        <f t="shared" si="3"/>
        <v>#N/A</v>
      </c>
      <c r="AG16" t="e">
        <f t="shared" si="3"/>
        <v>#N/A</v>
      </c>
      <c r="AH16" t="e">
        <f t="shared" si="3"/>
        <v>#N/A</v>
      </c>
      <c r="AI16" t="e">
        <f t="shared" si="3"/>
        <v>#N/A</v>
      </c>
      <c r="AJ16" t="e">
        <f t="shared" si="3"/>
        <v>#N/A</v>
      </c>
      <c r="AK16" t="e">
        <f t="shared" si="3"/>
        <v>#N/A</v>
      </c>
      <c r="AL16" t="e">
        <f t="shared" si="3"/>
        <v>#N/A</v>
      </c>
      <c r="AM16" t="e">
        <f t="shared" si="3"/>
        <v>#N/A</v>
      </c>
      <c r="AN16" t="e">
        <f t="shared" si="3"/>
        <v>#N/A</v>
      </c>
      <c r="AO16" t="e">
        <f t="shared" si="3"/>
        <v>#N/A</v>
      </c>
    </row>
    <row r="17" spans="1:41" x14ac:dyDescent="0.15">
      <c r="A17" t="e">
        <f t="shared" ref="A17:AO17" si="4">VLOOKUP(A4,$A$45:$C$97,3,FALSE)</f>
        <v>#N/A</v>
      </c>
      <c r="B17" t="e">
        <f t="shared" si="4"/>
        <v>#N/A</v>
      </c>
      <c r="C17" t="e">
        <f t="shared" si="4"/>
        <v>#N/A</v>
      </c>
      <c r="D17" t="e">
        <f t="shared" si="4"/>
        <v>#N/A</v>
      </c>
      <c r="E17" t="e">
        <f t="shared" si="4"/>
        <v>#N/A</v>
      </c>
      <c r="F17" t="e">
        <f t="shared" si="4"/>
        <v>#N/A</v>
      </c>
      <c r="G17" t="e">
        <f t="shared" si="4"/>
        <v>#N/A</v>
      </c>
      <c r="H17" t="e">
        <f t="shared" si="4"/>
        <v>#N/A</v>
      </c>
      <c r="I17" t="e">
        <f t="shared" si="4"/>
        <v>#N/A</v>
      </c>
      <c r="J17" t="e">
        <f t="shared" si="4"/>
        <v>#N/A</v>
      </c>
      <c r="K17" t="e">
        <f t="shared" si="4"/>
        <v>#N/A</v>
      </c>
      <c r="L17" t="e">
        <f t="shared" si="4"/>
        <v>#N/A</v>
      </c>
      <c r="M17" t="e">
        <f t="shared" si="4"/>
        <v>#N/A</v>
      </c>
      <c r="N17" t="e">
        <f t="shared" si="4"/>
        <v>#N/A</v>
      </c>
      <c r="O17" t="e">
        <f t="shared" si="4"/>
        <v>#N/A</v>
      </c>
      <c r="Z17" t="e">
        <f t="shared" si="4"/>
        <v>#N/A</v>
      </c>
      <c r="AA17" t="e">
        <f t="shared" si="4"/>
        <v>#N/A</v>
      </c>
      <c r="AB17" t="e">
        <f t="shared" si="4"/>
        <v>#N/A</v>
      </c>
      <c r="AC17" t="e">
        <f t="shared" si="4"/>
        <v>#N/A</v>
      </c>
      <c r="AD17" t="e">
        <f t="shared" si="4"/>
        <v>#N/A</v>
      </c>
      <c r="AE17" t="e">
        <f t="shared" si="4"/>
        <v>#N/A</v>
      </c>
      <c r="AF17" t="e">
        <f t="shared" si="4"/>
        <v>#N/A</v>
      </c>
      <c r="AG17" t="e">
        <f t="shared" si="4"/>
        <v>#N/A</v>
      </c>
      <c r="AH17" t="e">
        <f t="shared" si="4"/>
        <v>#N/A</v>
      </c>
      <c r="AI17" t="e">
        <f t="shared" si="4"/>
        <v>#N/A</v>
      </c>
      <c r="AJ17" t="e">
        <f t="shared" si="4"/>
        <v>#N/A</v>
      </c>
      <c r="AK17" t="e">
        <f t="shared" si="4"/>
        <v>#N/A</v>
      </c>
      <c r="AL17" t="e">
        <f t="shared" si="4"/>
        <v>#N/A</v>
      </c>
      <c r="AM17" t="e">
        <f t="shared" si="4"/>
        <v>#N/A</v>
      </c>
      <c r="AN17" t="e">
        <f t="shared" si="4"/>
        <v>#N/A</v>
      </c>
      <c r="AO17" t="e">
        <f t="shared" si="4"/>
        <v>#N/A</v>
      </c>
    </row>
    <row r="18" spans="1:41" x14ac:dyDescent="0.15">
      <c r="A18" t="e">
        <f t="shared" ref="A18:AO18" si="5">VLOOKUP(A5,$A$45:$C$97,3,FALSE)</f>
        <v>#N/A</v>
      </c>
      <c r="B18" t="e">
        <f t="shared" si="5"/>
        <v>#N/A</v>
      </c>
      <c r="C18" t="e">
        <f t="shared" si="5"/>
        <v>#N/A</v>
      </c>
      <c r="D18" t="e">
        <f t="shared" si="5"/>
        <v>#N/A</v>
      </c>
      <c r="E18" t="e">
        <f t="shared" si="5"/>
        <v>#N/A</v>
      </c>
      <c r="F18" t="e">
        <f t="shared" si="5"/>
        <v>#N/A</v>
      </c>
      <c r="G18" t="e">
        <f t="shared" si="5"/>
        <v>#N/A</v>
      </c>
      <c r="H18" t="e">
        <f t="shared" si="5"/>
        <v>#N/A</v>
      </c>
      <c r="I18" t="e">
        <f t="shared" si="5"/>
        <v>#N/A</v>
      </c>
      <c r="J18" t="e">
        <f t="shared" si="5"/>
        <v>#N/A</v>
      </c>
      <c r="K18" t="e">
        <f t="shared" si="5"/>
        <v>#N/A</v>
      </c>
      <c r="L18" t="e">
        <f t="shared" si="5"/>
        <v>#N/A</v>
      </c>
      <c r="M18" t="e">
        <f t="shared" si="5"/>
        <v>#N/A</v>
      </c>
      <c r="N18" t="e">
        <f t="shared" si="5"/>
        <v>#N/A</v>
      </c>
      <c r="O18" t="e">
        <f t="shared" si="5"/>
        <v>#N/A</v>
      </c>
      <c r="Z18" t="e">
        <f t="shared" si="5"/>
        <v>#N/A</v>
      </c>
      <c r="AA18" t="e">
        <f t="shared" si="5"/>
        <v>#N/A</v>
      </c>
      <c r="AB18" t="e">
        <f t="shared" si="5"/>
        <v>#N/A</v>
      </c>
      <c r="AC18" t="e">
        <f t="shared" si="5"/>
        <v>#N/A</v>
      </c>
      <c r="AD18" t="e">
        <f t="shared" si="5"/>
        <v>#N/A</v>
      </c>
      <c r="AE18" t="e">
        <f t="shared" si="5"/>
        <v>#N/A</v>
      </c>
      <c r="AF18" t="e">
        <f t="shared" si="5"/>
        <v>#N/A</v>
      </c>
      <c r="AG18" t="e">
        <f t="shared" si="5"/>
        <v>#N/A</v>
      </c>
      <c r="AH18" t="e">
        <f t="shared" si="5"/>
        <v>#N/A</v>
      </c>
      <c r="AI18" t="e">
        <f t="shared" si="5"/>
        <v>#N/A</v>
      </c>
      <c r="AJ18" t="e">
        <f t="shared" si="5"/>
        <v>#N/A</v>
      </c>
      <c r="AK18" t="e">
        <f t="shared" si="5"/>
        <v>#N/A</v>
      </c>
      <c r="AL18" t="e">
        <f t="shared" si="5"/>
        <v>#N/A</v>
      </c>
      <c r="AM18" t="e">
        <f t="shared" si="5"/>
        <v>#N/A</v>
      </c>
      <c r="AN18" t="e">
        <f t="shared" si="5"/>
        <v>#N/A</v>
      </c>
      <c r="AO18" t="e">
        <f t="shared" si="5"/>
        <v>#N/A</v>
      </c>
    </row>
    <row r="19" spans="1:41" x14ac:dyDescent="0.15">
      <c r="A19" t="e">
        <f t="shared" ref="A19:AO19" si="6">VLOOKUP(A6,$A$45:$C$97,3,FALSE)</f>
        <v>#N/A</v>
      </c>
      <c r="B19" t="e">
        <f t="shared" si="6"/>
        <v>#N/A</v>
      </c>
      <c r="C19" t="e">
        <f t="shared" si="6"/>
        <v>#N/A</v>
      </c>
      <c r="D19" t="e">
        <f t="shared" si="6"/>
        <v>#N/A</v>
      </c>
      <c r="E19" t="e">
        <f t="shared" si="6"/>
        <v>#N/A</v>
      </c>
      <c r="F19" t="e">
        <f t="shared" si="6"/>
        <v>#N/A</v>
      </c>
      <c r="G19" t="e">
        <f t="shared" si="6"/>
        <v>#N/A</v>
      </c>
      <c r="H19" t="e">
        <f t="shared" si="6"/>
        <v>#N/A</v>
      </c>
      <c r="I19" t="e">
        <f t="shared" si="6"/>
        <v>#N/A</v>
      </c>
      <c r="J19" t="e">
        <f t="shared" si="6"/>
        <v>#N/A</v>
      </c>
      <c r="K19" t="e">
        <f t="shared" si="6"/>
        <v>#N/A</v>
      </c>
      <c r="L19" t="e">
        <f t="shared" si="6"/>
        <v>#N/A</v>
      </c>
      <c r="M19" t="e">
        <f t="shared" si="6"/>
        <v>#N/A</v>
      </c>
      <c r="N19" t="e">
        <f t="shared" si="6"/>
        <v>#N/A</v>
      </c>
      <c r="O19" t="e">
        <f t="shared" si="6"/>
        <v>#N/A</v>
      </c>
      <c r="Z19" t="e">
        <f t="shared" si="6"/>
        <v>#N/A</v>
      </c>
      <c r="AA19" t="e">
        <f t="shared" si="6"/>
        <v>#N/A</v>
      </c>
      <c r="AB19" t="e">
        <f t="shared" si="6"/>
        <v>#N/A</v>
      </c>
      <c r="AC19" t="e">
        <f t="shared" si="6"/>
        <v>#N/A</v>
      </c>
      <c r="AD19" t="e">
        <f t="shared" si="6"/>
        <v>#N/A</v>
      </c>
      <c r="AE19" t="e">
        <f t="shared" si="6"/>
        <v>#N/A</v>
      </c>
      <c r="AF19" t="e">
        <f t="shared" si="6"/>
        <v>#N/A</v>
      </c>
      <c r="AG19" t="e">
        <f t="shared" si="6"/>
        <v>#N/A</v>
      </c>
      <c r="AH19" t="e">
        <f t="shared" si="6"/>
        <v>#N/A</v>
      </c>
      <c r="AI19" t="e">
        <f t="shared" si="6"/>
        <v>#N/A</v>
      </c>
      <c r="AJ19" t="e">
        <f t="shared" si="6"/>
        <v>#N/A</v>
      </c>
      <c r="AK19" t="e">
        <f t="shared" si="6"/>
        <v>#N/A</v>
      </c>
      <c r="AL19" t="e">
        <f t="shared" si="6"/>
        <v>#N/A</v>
      </c>
      <c r="AM19" t="e">
        <f t="shared" si="6"/>
        <v>#N/A</v>
      </c>
      <c r="AN19" t="e">
        <f t="shared" si="6"/>
        <v>#N/A</v>
      </c>
      <c r="AO19" t="e">
        <f t="shared" si="6"/>
        <v>#N/A</v>
      </c>
    </row>
    <row r="20" spans="1:41" x14ac:dyDescent="0.15">
      <c r="A20" t="e">
        <f t="shared" ref="A20:AO20" si="7">VLOOKUP(A7,$A$45:$C$97,3,FALSE)</f>
        <v>#N/A</v>
      </c>
      <c r="B20" t="e">
        <f t="shared" si="7"/>
        <v>#N/A</v>
      </c>
      <c r="C20" t="e">
        <f t="shared" si="7"/>
        <v>#N/A</v>
      </c>
      <c r="D20" t="e">
        <f t="shared" si="7"/>
        <v>#N/A</v>
      </c>
      <c r="E20" t="e">
        <f t="shared" si="7"/>
        <v>#N/A</v>
      </c>
      <c r="F20" t="e">
        <f t="shared" si="7"/>
        <v>#N/A</v>
      </c>
      <c r="G20" t="e">
        <f t="shared" si="7"/>
        <v>#N/A</v>
      </c>
      <c r="H20" t="e">
        <f t="shared" si="7"/>
        <v>#N/A</v>
      </c>
      <c r="I20" t="e">
        <f t="shared" si="7"/>
        <v>#N/A</v>
      </c>
      <c r="J20" t="e">
        <f t="shared" si="7"/>
        <v>#N/A</v>
      </c>
      <c r="K20" t="e">
        <f t="shared" si="7"/>
        <v>#N/A</v>
      </c>
      <c r="L20" t="e">
        <f t="shared" si="7"/>
        <v>#N/A</v>
      </c>
      <c r="M20" t="e">
        <f t="shared" si="7"/>
        <v>#N/A</v>
      </c>
      <c r="N20" t="e">
        <f t="shared" si="7"/>
        <v>#N/A</v>
      </c>
      <c r="O20" t="e">
        <f t="shared" si="7"/>
        <v>#N/A</v>
      </c>
      <c r="Z20" t="e">
        <f t="shared" si="7"/>
        <v>#N/A</v>
      </c>
      <c r="AA20" t="e">
        <f t="shared" si="7"/>
        <v>#N/A</v>
      </c>
      <c r="AB20" t="e">
        <f t="shared" si="7"/>
        <v>#N/A</v>
      </c>
      <c r="AC20" t="e">
        <f t="shared" si="7"/>
        <v>#N/A</v>
      </c>
      <c r="AD20" t="e">
        <f t="shared" si="7"/>
        <v>#N/A</v>
      </c>
      <c r="AE20" t="e">
        <f t="shared" si="7"/>
        <v>#N/A</v>
      </c>
      <c r="AF20" t="e">
        <f t="shared" si="7"/>
        <v>#N/A</v>
      </c>
      <c r="AG20" t="e">
        <f t="shared" si="7"/>
        <v>#N/A</v>
      </c>
      <c r="AH20" t="e">
        <f t="shared" si="7"/>
        <v>#N/A</v>
      </c>
      <c r="AI20" t="e">
        <f t="shared" si="7"/>
        <v>#N/A</v>
      </c>
      <c r="AJ20" t="e">
        <f t="shared" si="7"/>
        <v>#N/A</v>
      </c>
      <c r="AK20" t="e">
        <f t="shared" si="7"/>
        <v>#N/A</v>
      </c>
      <c r="AL20" t="e">
        <f t="shared" si="7"/>
        <v>#N/A</v>
      </c>
      <c r="AM20" t="e">
        <f t="shared" si="7"/>
        <v>#N/A</v>
      </c>
      <c r="AN20" t="e">
        <f t="shared" si="7"/>
        <v>#N/A</v>
      </c>
      <c r="AO20" t="e">
        <f t="shared" si="7"/>
        <v>#N/A</v>
      </c>
    </row>
    <row r="21" spans="1:41" x14ac:dyDescent="0.15">
      <c r="A21" t="e">
        <f t="shared" ref="A21:AO21" si="8">VLOOKUP(A8,$A$45:$C$97,3,FALSE)</f>
        <v>#N/A</v>
      </c>
      <c r="B21" t="e">
        <f t="shared" si="8"/>
        <v>#N/A</v>
      </c>
      <c r="C21" t="e">
        <f t="shared" si="8"/>
        <v>#N/A</v>
      </c>
      <c r="D21" t="e">
        <f t="shared" si="8"/>
        <v>#N/A</v>
      </c>
      <c r="E21" t="e">
        <f t="shared" si="8"/>
        <v>#N/A</v>
      </c>
      <c r="F21" t="e">
        <f t="shared" si="8"/>
        <v>#N/A</v>
      </c>
      <c r="G21" t="e">
        <f t="shared" si="8"/>
        <v>#N/A</v>
      </c>
      <c r="H21" t="e">
        <f t="shared" si="8"/>
        <v>#N/A</v>
      </c>
      <c r="I21" t="e">
        <f t="shared" si="8"/>
        <v>#N/A</v>
      </c>
      <c r="J21" t="e">
        <f t="shared" si="8"/>
        <v>#N/A</v>
      </c>
      <c r="K21" t="e">
        <f t="shared" si="8"/>
        <v>#N/A</v>
      </c>
      <c r="L21" t="e">
        <f t="shared" si="8"/>
        <v>#N/A</v>
      </c>
      <c r="M21" t="e">
        <f t="shared" si="8"/>
        <v>#N/A</v>
      </c>
      <c r="N21" t="e">
        <f t="shared" si="8"/>
        <v>#N/A</v>
      </c>
      <c r="O21" t="e">
        <f t="shared" si="8"/>
        <v>#N/A</v>
      </c>
      <c r="Z21" t="e">
        <f t="shared" si="8"/>
        <v>#N/A</v>
      </c>
      <c r="AA21" t="e">
        <f t="shared" si="8"/>
        <v>#N/A</v>
      </c>
      <c r="AB21" t="e">
        <f t="shared" si="8"/>
        <v>#N/A</v>
      </c>
      <c r="AC21" t="e">
        <f t="shared" si="8"/>
        <v>#N/A</v>
      </c>
      <c r="AD21" t="e">
        <f t="shared" si="8"/>
        <v>#N/A</v>
      </c>
      <c r="AE21" t="e">
        <f t="shared" si="8"/>
        <v>#N/A</v>
      </c>
      <c r="AF21" t="e">
        <f t="shared" si="8"/>
        <v>#N/A</v>
      </c>
      <c r="AG21" t="e">
        <f t="shared" si="8"/>
        <v>#N/A</v>
      </c>
      <c r="AH21" t="e">
        <f t="shared" si="8"/>
        <v>#N/A</v>
      </c>
      <c r="AI21" t="e">
        <f t="shared" si="8"/>
        <v>#N/A</v>
      </c>
      <c r="AJ21" t="e">
        <f t="shared" si="8"/>
        <v>#N/A</v>
      </c>
      <c r="AK21" t="e">
        <f t="shared" si="8"/>
        <v>#N/A</v>
      </c>
      <c r="AL21" t="e">
        <f t="shared" si="8"/>
        <v>#N/A</v>
      </c>
      <c r="AM21" t="e">
        <f t="shared" si="8"/>
        <v>#N/A</v>
      </c>
      <c r="AN21" t="e">
        <f t="shared" si="8"/>
        <v>#N/A</v>
      </c>
      <c r="AO21" t="e">
        <f t="shared" si="8"/>
        <v>#N/A</v>
      </c>
    </row>
    <row r="22" spans="1:41" x14ac:dyDescent="0.15">
      <c r="A22" t="e">
        <f t="shared" ref="A22:AO22" si="9">VLOOKUP(A9,$A$45:$C$97,3,FALSE)</f>
        <v>#N/A</v>
      </c>
      <c r="B22" t="e">
        <f t="shared" si="9"/>
        <v>#N/A</v>
      </c>
      <c r="C22" t="e">
        <f t="shared" si="9"/>
        <v>#N/A</v>
      </c>
      <c r="D22" t="e">
        <f t="shared" si="9"/>
        <v>#N/A</v>
      </c>
      <c r="E22" t="e">
        <f t="shared" si="9"/>
        <v>#N/A</v>
      </c>
      <c r="F22" t="e">
        <f t="shared" si="9"/>
        <v>#N/A</v>
      </c>
      <c r="G22" t="e">
        <f t="shared" si="9"/>
        <v>#N/A</v>
      </c>
      <c r="H22" t="e">
        <f t="shared" si="9"/>
        <v>#N/A</v>
      </c>
      <c r="I22" t="e">
        <f t="shared" si="9"/>
        <v>#N/A</v>
      </c>
      <c r="J22" t="e">
        <f t="shared" si="9"/>
        <v>#N/A</v>
      </c>
      <c r="K22" t="e">
        <f t="shared" si="9"/>
        <v>#N/A</v>
      </c>
      <c r="L22" t="e">
        <f t="shared" si="9"/>
        <v>#N/A</v>
      </c>
      <c r="M22" t="e">
        <f t="shared" si="9"/>
        <v>#N/A</v>
      </c>
      <c r="N22" t="e">
        <f t="shared" si="9"/>
        <v>#N/A</v>
      </c>
      <c r="O22" t="e">
        <f t="shared" si="9"/>
        <v>#N/A</v>
      </c>
      <c r="Z22" t="e">
        <f t="shared" si="9"/>
        <v>#N/A</v>
      </c>
      <c r="AA22" t="e">
        <f t="shared" si="9"/>
        <v>#N/A</v>
      </c>
      <c r="AB22" t="e">
        <f t="shared" si="9"/>
        <v>#N/A</v>
      </c>
      <c r="AC22" t="e">
        <f t="shared" si="9"/>
        <v>#N/A</v>
      </c>
      <c r="AD22" t="e">
        <f t="shared" si="9"/>
        <v>#N/A</v>
      </c>
      <c r="AE22" t="e">
        <f t="shared" si="9"/>
        <v>#N/A</v>
      </c>
      <c r="AF22" t="e">
        <f t="shared" si="9"/>
        <v>#N/A</v>
      </c>
      <c r="AG22" t="e">
        <f t="shared" si="9"/>
        <v>#N/A</v>
      </c>
      <c r="AH22" t="e">
        <f t="shared" si="9"/>
        <v>#N/A</v>
      </c>
      <c r="AI22" t="e">
        <f t="shared" si="9"/>
        <v>#N/A</v>
      </c>
      <c r="AJ22" t="e">
        <f t="shared" si="9"/>
        <v>#N/A</v>
      </c>
      <c r="AK22" t="e">
        <f t="shared" si="9"/>
        <v>#N/A</v>
      </c>
      <c r="AL22" t="e">
        <f t="shared" si="9"/>
        <v>#N/A</v>
      </c>
      <c r="AM22" t="e">
        <f t="shared" si="9"/>
        <v>#N/A</v>
      </c>
      <c r="AN22" t="e">
        <f t="shared" si="9"/>
        <v>#N/A</v>
      </c>
      <c r="AO22" t="e">
        <f t="shared" si="9"/>
        <v>#N/A</v>
      </c>
    </row>
    <row r="23" spans="1:41" x14ac:dyDescent="0.15">
      <c r="A23" t="e">
        <f t="shared" ref="A23:AO23" si="10">VLOOKUP(A10,$A$45:$C$97,3,FALSE)</f>
        <v>#N/A</v>
      </c>
      <c r="B23" t="e">
        <f t="shared" si="10"/>
        <v>#N/A</v>
      </c>
      <c r="C23" t="e">
        <f t="shared" si="10"/>
        <v>#N/A</v>
      </c>
      <c r="D23" t="e">
        <f t="shared" si="10"/>
        <v>#N/A</v>
      </c>
      <c r="E23" t="e">
        <f t="shared" si="10"/>
        <v>#N/A</v>
      </c>
      <c r="F23" t="e">
        <f t="shared" si="10"/>
        <v>#N/A</v>
      </c>
      <c r="G23" t="e">
        <f t="shared" si="10"/>
        <v>#N/A</v>
      </c>
      <c r="H23" t="e">
        <f t="shared" si="10"/>
        <v>#N/A</v>
      </c>
      <c r="I23" t="e">
        <f t="shared" si="10"/>
        <v>#N/A</v>
      </c>
      <c r="J23" t="e">
        <f t="shared" si="10"/>
        <v>#N/A</v>
      </c>
      <c r="K23" t="e">
        <f t="shared" si="10"/>
        <v>#N/A</v>
      </c>
      <c r="L23" t="e">
        <f t="shared" si="10"/>
        <v>#N/A</v>
      </c>
      <c r="M23" t="e">
        <f t="shared" si="10"/>
        <v>#N/A</v>
      </c>
      <c r="N23" t="e">
        <f t="shared" si="10"/>
        <v>#N/A</v>
      </c>
      <c r="O23" t="e">
        <f t="shared" si="10"/>
        <v>#N/A</v>
      </c>
      <c r="Z23" t="e">
        <f t="shared" si="10"/>
        <v>#N/A</v>
      </c>
      <c r="AA23" t="e">
        <f t="shared" si="10"/>
        <v>#N/A</v>
      </c>
      <c r="AB23" t="e">
        <f t="shared" si="10"/>
        <v>#N/A</v>
      </c>
      <c r="AC23" t="e">
        <f t="shared" si="10"/>
        <v>#N/A</v>
      </c>
      <c r="AD23" t="e">
        <f t="shared" si="10"/>
        <v>#N/A</v>
      </c>
      <c r="AE23" t="e">
        <f t="shared" si="10"/>
        <v>#N/A</v>
      </c>
      <c r="AF23" t="e">
        <f t="shared" si="10"/>
        <v>#N/A</v>
      </c>
      <c r="AG23" t="e">
        <f t="shared" si="10"/>
        <v>#N/A</v>
      </c>
      <c r="AH23" t="e">
        <f t="shared" si="10"/>
        <v>#N/A</v>
      </c>
      <c r="AI23" t="e">
        <f t="shared" si="10"/>
        <v>#N/A</v>
      </c>
      <c r="AJ23" t="e">
        <f t="shared" si="10"/>
        <v>#N/A</v>
      </c>
      <c r="AK23" t="e">
        <f t="shared" si="10"/>
        <v>#N/A</v>
      </c>
      <c r="AL23" t="e">
        <f t="shared" si="10"/>
        <v>#N/A</v>
      </c>
      <c r="AM23" t="e">
        <f t="shared" si="10"/>
        <v>#N/A</v>
      </c>
      <c r="AN23" t="e">
        <f t="shared" si="10"/>
        <v>#N/A</v>
      </c>
      <c r="AO23" t="e">
        <f t="shared" si="10"/>
        <v>#N/A</v>
      </c>
    </row>
    <row r="24" spans="1:41" x14ac:dyDescent="0.15">
      <c r="A24" t="e">
        <f t="shared" ref="A24:AO24" si="11">VLOOKUP(A11,$A$45:$C$97,3,FALSE)</f>
        <v>#N/A</v>
      </c>
      <c r="B24" t="e">
        <f t="shared" si="11"/>
        <v>#N/A</v>
      </c>
      <c r="C24" t="e">
        <f t="shared" si="11"/>
        <v>#N/A</v>
      </c>
      <c r="D24" t="e">
        <f t="shared" si="11"/>
        <v>#N/A</v>
      </c>
      <c r="E24" t="e">
        <f t="shared" si="11"/>
        <v>#N/A</v>
      </c>
      <c r="F24" t="e">
        <f t="shared" si="11"/>
        <v>#N/A</v>
      </c>
      <c r="G24" t="e">
        <f t="shared" si="11"/>
        <v>#N/A</v>
      </c>
      <c r="H24" t="e">
        <f t="shared" si="11"/>
        <v>#N/A</v>
      </c>
      <c r="I24" t="e">
        <f t="shared" si="11"/>
        <v>#N/A</v>
      </c>
      <c r="J24" t="e">
        <f t="shared" si="11"/>
        <v>#N/A</v>
      </c>
      <c r="K24" t="e">
        <f t="shared" si="11"/>
        <v>#N/A</v>
      </c>
      <c r="L24" t="e">
        <f t="shared" si="11"/>
        <v>#N/A</v>
      </c>
      <c r="M24" t="e">
        <f t="shared" si="11"/>
        <v>#N/A</v>
      </c>
      <c r="N24" t="e">
        <f t="shared" si="11"/>
        <v>#N/A</v>
      </c>
      <c r="O24" t="e">
        <f t="shared" si="11"/>
        <v>#N/A</v>
      </c>
      <c r="Z24" t="e">
        <f t="shared" si="11"/>
        <v>#N/A</v>
      </c>
      <c r="AA24" t="e">
        <f t="shared" si="11"/>
        <v>#N/A</v>
      </c>
      <c r="AB24" t="e">
        <f t="shared" si="11"/>
        <v>#N/A</v>
      </c>
      <c r="AC24" t="e">
        <f t="shared" si="11"/>
        <v>#N/A</v>
      </c>
      <c r="AD24" t="e">
        <f t="shared" si="11"/>
        <v>#N/A</v>
      </c>
      <c r="AE24" t="e">
        <f t="shared" si="11"/>
        <v>#N/A</v>
      </c>
      <c r="AF24" t="e">
        <f t="shared" si="11"/>
        <v>#N/A</v>
      </c>
      <c r="AG24" t="e">
        <f t="shared" si="11"/>
        <v>#N/A</v>
      </c>
      <c r="AH24" t="e">
        <f t="shared" si="11"/>
        <v>#N/A</v>
      </c>
      <c r="AI24" t="e">
        <f t="shared" si="11"/>
        <v>#N/A</v>
      </c>
      <c r="AJ24" t="e">
        <f t="shared" si="11"/>
        <v>#N/A</v>
      </c>
      <c r="AK24" t="e">
        <f t="shared" si="11"/>
        <v>#N/A</v>
      </c>
      <c r="AL24" t="e">
        <f t="shared" si="11"/>
        <v>#N/A</v>
      </c>
      <c r="AM24" t="e">
        <f t="shared" si="11"/>
        <v>#N/A</v>
      </c>
      <c r="AN24" t="e">
        <f t="shared" si="11"/>
        <v>#N/A</v>
      </c>
      <c r="AO24" t="e">
        <f t="shared" si="11"/>
        <v>#N/A</v>
      </c>
    </row>
    <row r="25" spans="1:41" x14ac:dyDescent="0.15">
      <c r="A25" t="e">
        <f t="shared" ref="A25:AO25" si="12">VLOOKUP(A12,$A$45:$C$97,3,FALSE)</f>
        <v>#N/A</v>
      </c>
      <c r="B25" t="e">
        <f t="shared" si="12"/>
        <v>#N/A</v>
      </c>
      <c r="C25" t="e">
        <f t="shared" si="12"/>
        <v>#N/A</v>
      </c>
      <c r="D25" t="e">
        <f t="shared" si="12"/>
        <v>#N/A</v>
      </c>
      <c r="E25" t="e">
        <f t="shared" si="12"/>
        <v>#N/A</v>
      </c>
      <c r="F25" t="e">
        <f t="shared" si="12"/>
        <v>#N/A</v>
      </c>
      <c r="G25" t="e">
        <f t="shared" si="12"/>
        <v>#N/A</v>
      </c>
      <c r="H25" t="e">
        <f t="shared" si="12"/>
        <v>#N/A</v>
      </c>
      <c r="I25" t="e">
        <f t="shared" si="12"/>
        <v>#N/A</v>
      </c>
      <c r="J25" t="e">
        <f t="shared" si="12"/>
        <v>#N/A</v>
      </c>
      <c r="K25" t="e">
        <f t="shared" si="12"/>
        <v>#N/A</v>
      </c>
      <c r="L25" t="e">
        <f t="shared" si="12"/>
        <v>#N/A</v>
      </c>
      <c r="M25" t="e">
        <f t="shared" si="12"/>
        <v>#N/A</v>
      </c>
      <c r="N25" t="e">
        <f t="shared" si="12"/>
        <v>#N/A</v>
      </c>
      <c r="O25" t="e">
        <f t="shared" si="12"/>
        <v>#N/A</v>
      </c>
      <c r="Z25" t="e">
        <f t="shared" si="12"/>
        <v>#N/A</v>
      </c>
      <c r="AA25" t="e">
        <f t="shared" si="12"/>
        <v>#N/A</v>
      </c>
      <c r="AB25" t="e">
        <f t="shared" si="12"/>
        <v>#N/A</v>
      </c>
      <c r="AC25" t="e">
        <f t="shared" si="12"/>
        <v>#N/A</v>
      </c>
      <c r="AD25" t="e">
        <f t="shared" si="12"/>
        <v>#N/A</v>
      </c>
      <c r="AE25" t="e">
        <f t="shared" si="12"/>
        <v>#N/A</v>
      </c>
      <c r="AF25" t="e">
        <f t="shared" si="12"/>
        <v>#N/A</v>
      </c>
      <c r="AG25" t="e">
        <f t="shared" si="12"/>
        <v>#N/A</v>
      </c>
      <c r="AH25" t="e">
        <f t="shared" si="12"/>
        <v>#N/A</v>
      </c>
      <c r="AI25" t="e">
        <f t="shared" si="12"/>
        <v>#N/A</v>
      </c>
      <c r="AJ25" t="e">
        <f t="shared" si="12"/>
        <v>#N/A</v>
      </c>
      <c r="AK25" t="e">
        <f t="shared" si="12"/>
        <v>#N/A</v>
      </c>
      <c r="AL25" t="e">
        <f t="shared" si="12"/>
        <v>#N/A</v>
      </c>
      <c r="AM25" t="e">
        <f t="shared" si="12"/>
        <v>#N/A</v>
      </c>
      <c r="AN25" t="e">
        <f t="shared" si="12"/>
        <v>#N/A</v>
      </c>
      <c r="AO25" t="e">
        <f t="shared" si="12"/>
        <v>#N/A</v>
      </c>
    </row>
    <row r="26" spans="1:41" x14ac:dyDescent="0.15">
      <c r="A26" t="e">
        <f t="shared" ref="A26:AO26" si="13">VLOOKUP(A13,$A$45:$C$97,3,FALSE)</f>
        <v>#N/A</v>
      </c>
      <c r="B26" t="e">
        <f t="shared" si="13"/>
        <v>#N/A</v>
      </c>
      <c r="C26" t="e">
        <f t="shared" si="13"/>
        <v>#N/A</v>
      </c>
      <c r="D26" t="e">
        <f t="shared" si="13"/>
        <v>#N/A</v>
      </c>
      <c r="E26" t="e">
        <f t="shared" si="13"/>
        <v>#N/A</v>
      </c>
      <c r="F26" t="e">
        <f t="shared" si="13"/>
        <v>#N/A</v>
      </c>
      <c r="G26" t="e">
        <f t="shared" si="13"/>
        <v>#N/A</v>
      </c>
      <c r="H26" t="e">
        <f t="shared" si="13"/>
        <v>#N/A</v>
      </c>
      <c r="I26" t="e">
        <f t="shared" si="13"/>
        <v>#N/A</v>
      </c>
      <c r="J26" t="e">
        <f t="shared" si="13"/>
        <v>#N/A</v>
      </c>
      <c r="K26" t="e">
        <f t="shared" si="13"/>
        <v>#N/A</v>
      </c>
      <c r="L26" t="e">
        <f t="shared" si="13"/>
        <v>#N/A</v>
      </c>
      <c r="M26" t="e">
        <f t="shared" si="13"/>
        <v>#N/A</v>
      </c>
      <c r="N26" t="e">
        <f t="shared" si="13"/>
        <v>#N/A</v>
      </c>
      <c r="O26" t="e">
        <f t="shared" si="13"/>
        <v>#N/A</v>
      </c>
      <c r="Z26" t="e">
        <f t="shared" si="13"/>
        <v>#N/A</v>
      </c>
      <c r="AA26" t="e">
        <f t="shared" si="13"/>
        <v>#N/A</v>
      </c>
      <c r="AB26" t="e">
        <f t="shared" si="13"/>
        <v>#N/A</v>
      </c>
      <c r="AC26" t="e">
        <f t="shared" si="13"/>
        <v>#N/A</v>
      </c>
      <c r="AD26" t="e">
        <f t="shared" si="13"/>
        <v>#N/A</v>
      </c>
      <c r="AE26" t="e">
        <f t="shared" si="13"/>
        <v>#N/A</v>
      </c>
      <c r="AF26" t="e">
        <f t="shared" si="13"/>
        <v>#N/A</v>
      </c>
      <c r="AG26" t="e">
        <f t="shared" si="13"/>
        <v>#N/A</v>
      </c>
      <c r="AH26" t="e">
        <f t="shared" si="13"/>
        <v>#N/A</v>
      </c>
      <c r="AI26" t="e">
        <f t="shared" si="13"/>
        <v>#N/A</v>
      </c>
      <c r="AJ26" t="e">
        <f t="shared" si="13"/>
        <v>#N/A</v>
      </c>
      <c r="AK26" t="e">
        <f t="shared" si="13"/>
        <v>#N/A</v>
      </c>
      <c r="AL26" t="e">
        <f t="shared" si="13"/>
        <v>#N/A</v>
      </c>
      <c r="AM26" t="e">
        <f t="shared" si="13"/>
        <v>#N/A</v>
      </c>
      <c r="AN26" t="e">
        <f t="shared" si="13"/>
        <v>#N/A</v>
      </c>
      <c r="AO26" t="e">
        <f t="shared" si="13"/>
        <v>#N/A</v>
      </c>
    </row>
    <row r="28" spans="1:41" s="81" customFormat="1" x14ac:dyDescent="0.15">
      <c r="A28" s="82">
        <f>83-166</f>
        <v>-83</v>
      </c>
      <c r="B28" s="82"/>
      <c r="C28" s="82"/>
      <c r="D28" s="82"/>
      <c r="E28" s="82"/>
      <c r="F28" s="82"/>
      <c r="G28" s="82"/>
      <c r="H28" s="82"/>
      <c r="I28" s="82"/>
      <c r="J28" s="82"/>
      <c r="K28" s="82"/>
      <c r="L28" s="82"/>
      <c r="M28" s="82"/>
      <c r="N28" s="82"/>
      <c r="O28" s="82"/>
      <c r="P28" s="82"/>
      <c r="Q28" s="82"/>
      <c r="R28" s="82"/>
      <c r="S28" s="82"/>
      <c r="T28" s="82"/>
      <c r="U28" s="82"/>
      <c r="V28" s="82"/>
      <c r="W28" s="82"/>
      <c r="X28" s="82"/>
      <c r="Y28" s="82"/>
      <c r="Z28" s="82"/>
      <c r="AA28" s="82"/>
      <c r="AB28" s="82"/>
      <c r="AC28" s="82"/>
      <c r="AD28" s="82"/>
      <c r="AE28" s="82"/>
      <c r="AF28" s="82">
        <v>-51</v>
      </c>
      <c r="AG28" s="82"/>
      <c r="AH28" s="82"/>
      <c r="AI28" s="82"/>
      <c r="AJ28" s="82"/>
      <c r="AK28" s="82"/>
      <c r="AL28" s="82"/>
      <c r="AM28" s="82"/>
      <c r="AN28" s="82"/>
      <c r="AO28" s="82"/>
    </row>
    <row r="29" spans="1:41" x14ac:dyDescent="0.15">
      <c r="A29" t="e">
        <f>VLOOKUP(A3,$A$45:$F$87,6,FALSE)</f>
        <v>#N/A</v>
      </c>
      <c r="B29" t="e">
        <f t="shared" ref="B29:AO29" si="14">VLOOKUP(B3,$A$45:$F$87,6,FALSE)</f>
        <v>#N/A</v>
      </c>
      <c r="C29" t="e">
        <f t="shared" si="14"/>
        <v>#N/A</v>
      </c>
      <c r="D29" t="e">
        <f t="shared" si="14"/>
        <v>#N/A</v>
      </c>
      <c r="E29" t="e">
        <f t="shared" si="14"/>
        <v>#N/A</v>
      </c>
      <c r="F29" t="e">
        <f t="shared" si="14"/>
        <v>#N/A</v>
      </c>
      <c r="G29" t="e">
        <f t="shared" si="14"/>
        <v>#N/A</v>
      </c>
      <c r="H29" t="e">
        <f t="shared" si="14"/>
        <v>#N/A</v>
      </c>
      <c r="I29" t="e">
        <f t="shared" si="14"/>
        <v>#N/A</v>
      </c>
      <c r="J29" t="e">
        <f t="shared" si="14"/>
        <v>#N/A</v>
      </c>
      <c r="K29" t="e">
        <f t="shared" si="14"/>
        <v>#N/A</v>
      </c>
      <c r="L29" t="e">
        <f t="shared" si="14"/>
        <v>#N/A</v>
      </c>
      <c r="M29" t="e">
        <f t="shared" si="14"/>
        <v>#N/A</v>
      </c>
      <c r="N29" t="e">
        <f t="shared" si="14"/>
        <v>#N/A</v>
      </c>
      <c r="O29" t="e">
        <f t="shared" si="14"/>
        <v>#N/A</v>
      </c>
      <c r="Z29" t="e">
        <f t="shared" si="14"/>
        <v>#N/A</v>
      </c>
      <c r="AA29" t="e">
        <f t="shared" si="14"/>
        <v>#N/A</v>
      </c>
      <c r="AB29" t="e">
        <f t="shared" si="14"/>
        <v>#N/A</v>
      </c>
      <c r="AC29" t="e">
        <f t="shared" si="14"/>
        <v>#N/A</v>
      </c>
      <c r="AD29" t="e">
        <f t="shared" si="14"/>
        <v>#N/A</v>
      </c>
      <c r="AE29" t="e">
        <f t="shared" si="14"/>
        <v>#N/A</v>
      </c>
      <c r="AF29" t="e">
        <f t="shared" si="14"/>
        <v>#N/A</v>
      </c>
      <c r="AG29" t="e">
        <f t="shared" si="14"/>
        <v>#N/A</v>
      </c>
      <c r="AH29" t="e">
        <f t="shared" si="14"/>
        <v>#N/A</v>
      </c>
      <c r="AI29" t="e">
        <f t="shared" si="14"/>
        <v>#N/A</v>
      </c>
      <c r="AJ29" t="e">
        <f t="shared" si="14"/>
        <v>#N/A</v>
      </c>
      <c r="AK29" t="e">
        <f t="shared" si="14"/>
        <v>#N/A</v>
      </c>
      <c r="AL29" t="e">
        <f t="shared" si="14"/>
        <v>#N/A</v>
      </c>
      <c r="AM29" t="e">
        <f t="shared" si="14"/>
        <v>#N/A</v>
      </c>
      <c r="AN29" t="e">
        <f t="shared" si="14"/>
        <v>#N/A</v>
      </c>
      <c r="AO29" t="e">
        <f t="shared" si="14"/>
        <v>#N/A</v>
      </c>
    </row>
    <row r="30" spans="1:41" x14ac:dyDescent="0.15">
      <c r="A30" t="e">
        <f t="shared" ref="A30:AO30" si="15">VLOOKUP(A4,$A$45:$F$87,6,FALSE)</f>
        <v>#N/A</v>
      </c>
      <c r="B30" t="e">
        <f t="shared" si="15"/>
        <v>#N/A</v>
      </c>
      <c r="C30" t="e">
        <f t="shared" si="15"/>
        <v>#N/A</v>
      </c>
      <c r="D30" t="e">
        <f t="shared" si="15"/>
        <v>#N/A</v>
      </c>
      <c r="E30" t="e">
        <f t="shared" si="15"/>
        <v>#N/A</v>
      </c>
      <c r="F30" t="e">
        <f t="shared" si="15"/>
        <v>#N/A</v>
      </c>
      <c r="G30" t="e">
        <f t="shared" si="15"/>
        <v>#N/A</v>
      </c>
      <c r="H30" t="e">
        <f t="shared" si="15"/>
        <v>#N/A</v>
      </c>
      <c r="I30" t="e">
        <f t="shared" si="15"/>
        <v>#N/A</v>
      </c>
      <c r="J30" t="e">
        <f t="shared" si="15"/>
        <v>#N/A</v>
      </c>
      <c r="K30" t="e">
        <f t="shared" si="15"/>
        <v>#N/A</v>
      </c>
      <c r="L30" t="e">
        <f t="shared" si="15"/>
        <v>#N/A</v>
      </c>
      <c r="M30" t="e">
        <f t="shared" si="15"/>
        <v>#N/A</v>
      </c>
      <c r="N30" t="e">
        <f t="shared" si="15"/>
        <v>#N/A</v>
      </c>
      <c r="O30" t="e">
        <f t="shared" si="15"/>
        <v>#N/A</v>
      </c>
      <c r="Z30" t="e">
        <f t="shared" si="15"/>
        <v>#N/A</v>
      </c>
      <c r="AA30" t="e">
        <f t="shared" si="15"/>
        <v>#N/A</v>
      </c>
      <c r="AB30" t="e">
        <f t="shared" si="15"/>
        <v>#N/A</v>
      </c>
      <c r="AC30" t="e">
        <f t="shared" si="15"/>
        <v>#N/A</v>
      </c>
      <c r="AD30" t="e">
        <f t="shared" si="15"/>
        <v>#N/A</v>
      </c>
      <c r="AE30" t="e">
        <f t="shared" si="15"/>
        <v>#N/A</v>
      </c>
      <c r="AF30" t="e">
        <f t="shared" si="15"/>
        <v>#N/A</v>
      </c>
      <c r="AG30" t="e">
        <f t="shared" si="15"/>
        <v>#N/A</v>
      </c>
      <c r="AH30" t="e">
        <f t="shared" si="15"/>
        <v>#N/A</v>
      </c>
      <c r="AI30" t="e">
        <f t="shared" si="15"/>
        <v>#N/A</v>
      </c>
      <c r="AJ30" t="e">
        <f t="shared" si="15"/>
        <v>#N/A</v>
      </c>
      <c r="AK30" t="e">
        <f t="shared" si="15"/>
        <v>#N/A</v>
      </c>
      <c r="AL30" t="e">
        <f t="shared" si="15"/>
        <v>#N/A</v>
      </c>
      <c r="AM30" t="e">
        <f t="shared" si="15"/>
        <v>#N/A</v>
      </c>
      <c r="AN30" t="e">
        <f t="shared" si="15"/>
        <v>#N/A</v>
      </c>
      <c r="AO30" t="e">
        <f t="shared" si="15"/>
        <v>#N/A</v>
      </c>
    </row>
    <row r="31" spans="1:41" x14ac:dyDescent="0.15">
      <c r="A31" t="e">
        <f t="shared" ref="A31:AO31" si="16">VLOOKUP(A5,$A$45:$F$87,6,FALSE)</f>
        <v>#N/A</v>
      </c>
      <c r="B31" t="e">
        <f t="shared" si="16"/>
        <v>#N/A</v>
      </c>
      <c r="C31" t="e">
        <f t="shared" si="16"/>
        <v>#N/A</v>
      </c>
      <c r="D31" t="e">
        <f t="shared" si="16"/>
        <v>#N/A</v>
      </c>
      <c r="E31" t="e">
        <f t="shared" si="16"/>
        <v>#N/A</v>
      </c>
      <c r="F31" t="e">
        <f t="shared" si="16"/>
        <v>#N/A</v>
      </c>
      <c r="G31" t="e">
        <f t="shared" si="16"/>
        <v>#N/A</v>
      </c>
      <c r="H31" t="e">
        <f t="shared" si="16"/>
        <v>#N/A</v>
      </c>
      <c r="I31" t="e">
        <f t="shared" si="16"/>
        <v>#N/A</v>
      </c>
      <c r="J31" t="e">
        <f t="shared" si="16"/>
        <v>#N/A</v>
      </c>
      <c r="K31" t="e">
        <f t="shared" si="16"/>
        <v>#N/A</v>
      </c>
      <c r="L31" t="e">
        <f t="shared" si="16"/>
        <v>#N/A</v>
      </c>
      <c r="M31" t="e">
        <f t="shared" si="16"/>
        <v>#N/A</v>
      </c>
      <c r="N31" t="e">
        <f t="shared" si="16"/>
        <v>#N/A</v>
      </c>
      <c r="O31" t="e">
        <f t="shared" si="16"/>
        <v>#N/A</v>
      </c>
      <c r="Z31" t="e">
        <f t="shared" si="16"/>
        <v>#N/A</v>
      </c>
      <c r="AA31" t="e">
        <f t="shared" si="16"/>
        <v>#N/A</v>
      </c>
      <c r="AB31" t="e">
        <f t="shared" si="16"/>
        <v>#N/A</v>
      </c>
      <c r="AC31" t="e">
        <f t="shared" si="16"/>
        <v>#N/A</v>
      </c>
      <c r="AD31" t="e">
        <f t="shared" si="16"/>
        <v>#N/A</v>
      </c>
      <c r="AE31" t="e">
        <f t="shared" si="16"/>
        <v>#N/A</v>
      </c>
      <c r="AF31" t="e">
        <f t="shared" si="16"/>
        <v>#N/A</v>
      </c>
      <c r="AG31" t="e">
        <f t="shared" si="16"/>
        <v>#N/A</v>
      </c>
      <c r="AH31" t="e">
        <f t="shared" si="16"/>
        <v>#N/A</v>
      </c>
      <c r="AI31" t="e">
        <f t="shared" si="16"/>
        <v>#N/A</v>
      </c>
      <c r="AJ31" t="e">
        <f t="shared" si="16"/>
        <v>#N/A</v>
      </c>
      <c r="AK31" t="e">
        <f t="shared" si="16"/>
        <v>#N/A</v>
      </c>
      <c r="AL31" t="e">
        <f t="shared" si="16"/>
        <v>#N/A</v>
      </c>
      <c r="AM31" t="e">
        <f t="shared" si="16"/>
        <v>#N/A</v>
      </c>
      <c r="AN31" t="e">
        <f t="shared" si="16"/>
        <v>#N/A</v>
      </c>
      <c r="AO31" t="e">
        <f t="shared" si="16"/>
        <v>#N/A</v>
      </c>
    </row>
    <row r="32" spans="1:41" x14ac:dyDescent="0.15">
      <c r="A32" t="e">
        <f t="shared" ref="A32:AO32" si="17">VLOOKUP(A6,$A$45:$F$87,6,FALSE)</f>
        <v>#N/A</v>
      </c>
      <c r="B32" t="e">
        <f t="shared" si="17"/>
        <v>#N/A</v>
      </c>
      <c r="C32" t="e">
        <f t="shared" si="17"/>
        <v>#N/A</v>
      </c>
      <c r="D32" t="e">
        <f t="shared" si="17"/>
        <v>#N/A</v>
      </c>
      <c r="E32" t="e">
        <f t="shared" si="17"/>
        <v>#N/A</v>
      </c>
      <c r="F32" t="e">
        <f t="shared" si="17"/>
        <v>#N/A</v>
      </c>
      <c r="G32" t="e">
        <f t="shared" si="17"/>
        <v>#N/A</v>
      </c>
      <c r="H32" t="e">
        <f t="shared" si="17"/>
        <v>#N/A</v>
      </c>
      <c r="I32" t="e">
        <f t="shared" si="17"/>
        <v>#N/A</v>
      </c>
      <c r="J32" t="e">
        <f t="shared" si="17"/>
        <v>#N/A</v>
      </c>
      <c r="K32" t="e">
        <f t="shared" si="17"/>
        <v>#N/A</v>
      </c>
      <c r="L32" t="e">
        <f t="shared" si="17"/>
        <v>#N/A</v>
      </c>
      <c r="M32" t="e">
        <f t="shared" si="17"/>
        <v>#N/A</v>
      </c>
      <c r="N32" t="e">
        <f t="shared" si="17"/>
        <v>#N/A</v>
      </c>
      <c r="O32" t="e">
        <f t="shared" si="17"/>
        <v>#N/A</v>
      </c>
      <c r="Z32" t="e">
        <f t="shared" si="17"/>
        <v>#N/A</v>
      </c>
      <c r="AA32" t="e">
        <f t="shared" si="17"/>
        <v>#N/A</v>
      </c>
      <c r="AB32" t="e">
        <f t="shared" si="17"/>
        <v>#N/A</v>
      </c>
      <c r="AC32" t="e">
        <f t="shared" si="17"/>
        <v>#N/A</v>
      </c>
      <c r="AD32" t="e">
        <f t="shared" si="17"/>
        <v>#N/A</v>
      </c>
      <c r="AE32" t="e">
        <f t="shared" si="17"/>
        <v>#N/A</v>
      </c>
      <c r="AF32" t="e">
        <f t="shared" si="17"/>
        <v>#N/A</v>
      </c>
      <c r="AG32" t="e">
        <f t="shared" si="17"/>
        <v>#N/A</v>
      </c>
      <c r="AH32" t="e">
        <f t="shared" si="17"/>
        <v>#N/A</v>
      </c>
      <c r="AI32" t="e">
        <f t="shared" si="17"/>
        <v>#N/A</v>
      </c>
      <c r="AJ32" t="e">
        <f t="shared" si="17"/>
        <v>#N/A</v>
      </c>
      <c r="AK32" t="e">
        <f t="shared" si="17"/>
        <v>#N/A</v>
      </c>
      <c r="AL32" t="e">
        <f t="shared" si="17"/>
        <v>#N/A</v>
      </c>
      <c r="AM32" t="e">
        <f t="shared" si="17"/>
        <v>#N/A</v>
      </c>
      <c r="AN32" t="e">
        <f t="shared" si="17"/>
        <v>#N/A</v>
      </c>
      <c r="AO32" t="e">
        <f t="shared" si="17"/>
        <v>#N/A</v>
      </c>
    </row>
    <row r="33" spans="1:41" x14ac:dyDescent="0.15">
      <c r="A33" t="e">
        <f t="shared" ref="A33:AO33" si="18">VLOOKUP(A7,$A$45:$F$87,6,FALSE)</f>
        <v>#N/A</v>
      </c>
      <c r="B33" t="e">
        <f t="shared" si="18"/>
        <v>#N/A</v>
      </c>
      <c r="C33" t="e">
        <f t="shared" si="18"/>
        <v>#N/A</v>
      </c>
      <c r="D33" t="e">
        <f t="shared" si="18"/>
        <v>#N/A</v>
      </c>
      <c r="E33" t="e">
        <f t="shared" si="18"/>
        <v>#N/A</v>
      </c>
      <c r="F33" t="e">
        <f t="shared" si="18"/>
        <v>#N/A</v>
      </c>
      <c r="G33" t="e">
        <f t="shared" si="18"/>
        <v>#N/A</v>
      </c>
      <c r="H33" t="e">
        <f t="shared" si="18"/>
        <v>#N/A</v>
      </c>
      <c r="I33" t="e">
        <f t="shared" si="18"/>
        <v>#N/A</v>
      </c>
      <c r="J33" t="e">
        <f t="shared" si="18"/>
        <v>#N/A</v>
      </c>
      <c r="K33" t="e">
        <f t="shared" si="18"/>
        <v>#N/A</v>
      </c>
      <c r="L33" t="e">
        <f t="shared" si="18"/>
        <v>#N/A</v>
      </c>
      <c r="M33" t="e">
        <f t="shared" si="18"/>
        <v>#N/A</v>
      </c>
      <c r="N33" t="e">
        <f t="shared" si="18"/>
        <v>#N/A</v>
      </c>
      <c r="O33" t="e">
        <f t="shared" si="18"/>
        <v>#N/A</v>
      </c>
      <c r="Z33" t="e">
        <f t="shared" si="18"/>
        <v>#N/A</v>
      </c>
      <c r="AA33" t="e">
        <f t="shared" si="18"/>
        <v>#N/A</v>
      </c>
      <c r="AB33" t="e">
        <f t="shared" si="18"/>
        <v>#N/A</v>
      </c>
      <c r="AC33" t="e">
        <f t="shared" si="18"/>
        <v>#N/A</v>
      </c>
      <c r="AD33" t="e">
        <f t="shared" si="18"/>
        <v>#N/A</v>
      </c>
      <c r="AE33" t="e">
        <f t="shared" si="18"/>
        <v>#N/A</v>
      </c>
      <c r="AF33" t="e">
        <f t="shared" si="18"/>
        <v>#N/A</v>
      </c>
      <c r="AG33" t="e">
        <f t="shared" si="18"/>
        <v>#N/A</v>
      </c>
      <c r="AH33" t="e">
        <f t="shared" si="18"/>
        <v>#N/A</v>
      </c>
      <c r="AI33" t="e">
        <f t="shared" si="18"/>
        <v>#N/A</v>
      </c>
      <c r="AJ33" t="e">
        <f t="shared" si="18"/>
        <v>#N/A</v>
      </c>
      <c r="AK33" t="e">
        <f t="shared" si="18"/>
        <v>#N/A</v>
      </c>
      <c r="AL33" t="e">
        <f t="shared" si="18"/>
        <v>#N/A</v>
      </c>
      <c r="AM33" t="e">
        <f t="shared" si="18"/>
        <v>#N/A</v>
      </c>
      <c r="AN33" t="e">
        <f t="shared" si="18"/>
        <v>#N/A</v>
      </c>
      <c r="AO33" t="e">
        <f t="shared" si="18"/>
        <v>#N/A</v>
      </c>
    </row>
    <row r="34" spans="1:41" x14ac:dyDescent="0.15">
      <c r="A34" t="e">
        <f t="shared" ref="A34:AO34" si="19">VLOOKUP(A8,$A$45:$F$87,6,FALSE)</f>
        <v>#N/A</v>
      </c>
      <c r="B34" t="e">
        <f t="shared" si="19"/>
        <v>#N/A</v>
      </c>
      <c r="C34" t="e">
        <f t="shared" si="19"/>
        <v>#N/A</v>
      </c>
      <c r="D34" t="e">
        <f t="shared" si="19"/>
        <v>#N/A</v>
      </c>
      <c r="E34" t="e">
        <f t="shared" si="19"/>
        <v>#N/A</v>
      </c>
      <c r="F34" t="e">
        <f t="shared" si="19"/>
        <v>#N/A</v>
      </c>
      <c r="G34" t="e">
        <f t="shared" si="19"/>
        <v>#N/A</v>
      </c>
      <c r="H34" t="e">
        <f t="shared" si="19"/>
        <v>#N/A</v>
      </c>
      <c r="I34" t="e">
        <f t="shared" si="19"/>
        <v>#N/A</v>
      </c>
      <c r="J34" t="e">
        <f t="shared" si="19"/>
        <v>#N/A</v>
      </c>
      <c r="K34" t="e">
        <f t="shared" si="19"/>
        <v>#N/A</v>
      </c>
      <c r="L34" t="e">
        <f t="shared" si="19"/>
        <v>#N/A</v>
      </c>
      <c r="M34" t="e">
        <f t="shared" si="19"/>
        <v>#N/A</v>
      </c>
      <c r="N34" t="e">
        <f t="shared" si="19"/>
        <v>#N/A</v>
      </c>
      <c r="O34" t="e">
        <f t="shared" si="19"/>
        <v>#N/A</v>
      </c>
      <c r="Z34" t="e">
        <f t="shared" si="19"/>
        <v>#N/A</v>
      </c>
      <c r="AA34" t="e">
        <f t="shared" si="19"/>
        <v>#N/A</v>
      </c>
      <c r="AB34" t="e">
        <f t="shared" si="19"/>
        <v>#N/A</v>
      </c>
      <c r="AC34" t="e">
        <f t="shared" si="19"/>
        <v>#N/A</v>
      </c>
      <c r="AD34" t="e">
        <f t="shared" si="19"/>
        <v>#N/A</v>
      </c>
      <c r="AE34" t="e">
        <f t="shared" si="19"/>
        <v>#N/A</v>
      </c>
      <c r="AF34" t="e">
        <f t="shared" si="19"/>
        <v>#N/A</v>
      </c>
      <c r="AG34" t="e">
        <f t="shared" si="19"/>
        <v>#N/A</v>
      </c>
      <c r="AH34" t="e">
        <f t="shared" si="19"/>
        <v>#N/A</v>
      </c>
      <c r="AI34" t="e">
        <f t="shared" si="19"/>
        <v>#N/A</v>
      </c>
      <c r="AJ34" t="e">
        <f t="shared" si="19"/>
        <v>#N/A</v>
      </c>
      <c r="AK34" t="e">
        <f t="shared" si="19"/>
        <v>#N/A</v>
      </c>
      <c r="AL34" t="e">
        <f t="shared" si="19"/>
        <v>#N/A</v>
      </c>
      <c r="AM34" t="e">
        <f t="shared" si="19"/>
        <v>#N/A</v>
      </c>
      <c r="AN34" t="e">
        <f t="shared" si="19"/>
        <v>#N/A</v>
      </c>
      <c r="AO34" t="e">
        <f t="shared" si="19"/>
        <v>#N/A</v>
      </c>
    </row>
    <row r="35" spans="1:41" x14ac:dyDescent="0.15">
      <c r="A35" t="e">
        <f t="shared" ref="A35:AO35" si="20">VLOOKUP(A9,$A$45:$F$87,6,FALSE)</f>
        <v>#N/A</v>
      </c>
      <c r="B35" t="e">
        <f t="shared" si="20"/>
        <v>#N/A</v>
      </c>
      <c r="C35" t="e">
        <f t="shared" si="20"/>
        <v>#N/A</v>
      </c>
      <c r="D35" t="e">
        <f t="shared" si="20"/>
        <v>#N/A</v>
      </c>
      <c r="E35" t="e">
        <f t="shared" si="20"/>
        <v>#N/A</v>
      </c>
      <c r="F35" t="e">
        <f t="shared" si="20"/>
        <v>#N/A</v>
      </c>
      <c r="G35" t="e">
        <f t="shared" si="20"/>
        <v>#N/A</v>
      </c>
      <c r="H35" t="e">
        <f t="shared" si="20"/>
        <v>#N/A</v>
      </c>
      <c r="I35" t="e">
        <f t="shared" si="20"/>
        <v>#N/A</v>
      </c>
      <c r="J35" t="e">
        <f t="shared" si="20"/>
        <v>#N/A</v>
      </c>
      <c r="K35" t="e">
        <f t="shared" si="20"/>
        <v>#N/A</v>
      </c>
      <c r="L35" t="e">
        <f t="shared" si="20"/>
        <v>#N/A</v>
      </c>
      <c r="M35" t="e">
        <f t="shared" si="20"/>
        <v>#N/A</v>
      </c>
      <c r="N35" t="e">
        <f t="shared" si="20"/>
        <v>#N/A</v>
      </c>
      <c r="O35" t="e">
        <f t="shared" si="20"/>
        <v>#N/A</v>
      </c>
      <c r="Z35" t="e">
        <f t="shared" si="20"/>
        <v>#N/A</v>
      </c>
      <c r="AA35" t="e">
        <f t="shared" si="20"/>
        <v>#N/A</v>
      </c>
      <c r="AB35" t="e">
        <f t="shared" si="20"/>
        <v>#N/A</v>
      </c>
      <c r="AC35" t="e">
        <f t="shared" si="20"/>
        <v>#N/A</v>
      </c>
      <c r="AD35" t="e">
        <f t="shared" si="20"/>
        <v>#N/A</v>
      </c>
      <c r="AE35" t="e">
        <f t="shared" si="20"/>
        <v>#N/A</v>
      </c>
      <c r="AF35" t="e">
        <f t="shared" si="20"/>
        <v>#N/A</v>
      </c>
      <c r="AG35" t="e">
        <f t="shared" si="20"/>
        <v>#N/A</v>
      </c>
      <c r="AH35" t="e">
        <f t="shared" si="20"/>
        <v>#N/A</v>
      </c>
      <c r="AI35" t="e">
        <f t="shared" si="20"/>
        <v>#N/A</v>
      </c>
      <c r="AJ35" t="e">
        <f t="shared" si="20"/>
        <v>#N/A</v>
      </c>
      <c r="AK35" t="e">
        <f t="shared" si="20"/>
        <v>#N/A</v>
      </c>
      <c r="AL35" t="e">
        <f t="shared" si="20"/>
        <v>#N/A</v>
      </c>
      <c r="AM35" t="e">
        <f t="shared" si="20"/>
        <v>#N/A</v>
      </c>
      <c r="AN35" t="e">
        <f t="shared" si="20"/>
        <v>#N/A</v>
      </c>
      <c r="AO35" t="e">
        <f t="shared" si="20"/>
        <v>#N/A</v>
      </c>
    </row>
    <row r="36" spans="1:41" x14ac:dyDescent="0.15">
      <c r="A36" t="e">
        <f t="shared" ref="A36:AO36" si="21">VLOOKUP(A10,$A$45:$F$87,6,FALSE)</f>
        <v>#N/A</v>
      </c>
      <c r="B36" t="e">
        <f t="shared" si="21"/>
        <v>#N/A</v>
      </c>
      <c r="C36" t="e">
        <f t="shared" si="21"/>
        <v>#N/A</v>
      </c>
      <c r="D36" t="e">
        <f t="shared" si="21"/>
        <v>#N/A</v>
      </c>
      <c r="E36" t="e">
        <f t="shared" si="21"/>
        <v>#N/A</v>
      </c>
      <c r="F36" t="e">
        <f t="shared" si="21"/>
        <v>#N/A</v>
      </c>
      <c r="G36" t="e">
        <f t="shared" si="21"/>
        <v>#N/A</v>
      </c>
      <c r="H36" t="e">
        <f t="shared" si="21"/>
        <v>#N/A</v>
      </c>
      <c r="I36" t="e">
        <f t="shared" si="21"/>
        <v>#N/A</v>
      </c>
      <c r="J36" t="e">
        <f t="shared" si="21"/>
        <v>#N/A</v>
      </c>
      <c r="K36" t="e">
        <f t="shared" si="21"/>
        <v>#N/A</v>
      </c>
      <c r="L36" t="e">
        <f t="shared" si="21"/>
        <v>#N/A</v>
      </c>
      <c r="M36" t="e">
        <f t="shared" si="21"/>
        <v>#N/A</v>
      </c>
      <c r="N36" t="e">
        <f t="shared" si="21"/>
        <v>#N/A</v>
      </c>
      <c r="O36" t="e">
        <f t="shared" si="21"/>
        <v>#N/A</v>
      </c>
      <c r="Z36" t="e">
        <f t="shared" si="21"/>
        <v>#N/A</v>
      </c>
      <c r="AA36" t="e">
        <f t="shared" si="21"/>
        <v>#N/A</v>
      </c>
      <c r="AB36" t="e">
        <f t="shared" si="21"/>
        <v>#N/A</v>
      </c>
      <c r="AC36" t="e">
        <f t="shared" si="21"/>
        <v>#N/A</v>
      </c>
      <c r="AD36" t="e">
        <f t="shared" si="21"/>
        <v>#N/A</v>
      </c>
      <c r="AE36" t="e">
        <f t="shared" si="21"/>
        <v>#N/A</v>
      </c>
      <c r="AF36" t="e">
        <f t="shared" si="21"/>
        <v>#N/A</v>
      </c>
      <c r="AG36" t="e">
        <f t="shared" si="21"/>
        <v>#N/A</v>
      </c>
      <c r="AH36" t="e">
        <f t="shared" si="21"/>
        <v>#N/A</v>
      </c>
      <c r="AI36" t="e">
        <f t="shared" si="21"/>
        <v>#N/A</v>
      </c>
      <c r="AJ36" t="e">
        <f t="shared" si="21"/>
        <v>#N/A</v>
      </c>
      <c r="AK36" t="e">
        <f t="shared" si="21"/>
        <v>#N/A</v>
      </c>
      <c r="AL36" t="e">
        <f t="shared" si="21"/>
        <v>#N/A</v>
      </c>
      <c r="AM36" t="e">
        <f t="shared" si="21"/>
        <v>#N/A</v>
      </c>
      <c r="AN36" t="e">
        <f t="shared" si="21"/>
        <v>#N/A</v>
      </c>
      <c r="AO36" t="e">
        <f t="shared" si="21"/>
        <v>#N/A</v>
      </c>
    </row>
    <row r="37" spans="1:41" x14ac:dyDescent="0.15">
      <c r="A37" t="e">
        <f t="shared" ref="A37:AO37" si="22">VLOOKUP(A11,$A$45:$F$87,6,FALSE)</f>
        <v>#N/A</v>
      </c>
      <c r="B37" t="e">
        <f t="shared" si="22"/>
        <v>#N/A</v>
      </c>
      <c r="C37" t="e">
        <f t="shared" si="22"/>
        <v>#N/A</v>
      </c>
      <c r="D37" t="e">
        <f t="shared" si="22"/>
        <v>#N/A</v>
      </c>
      <c r="E37" t="e">
        <f t="shared" si="22"/>
        <v>#N/A</v>
      </c>
      <c r="F37" t="e">
        <f t="shared" si="22"/>
        <v>#N/A</v>
      </c>
      <c r="G37" t="e">
        <f t="shared" si="22"/>
        <v>#N/A</v>
      </c>
      <c r="H37" t="e">
        <f t="shared" si="22"/>
        <v>#N/A</v>
      </c>
      <c r="I37" t="e">
        <f t="shared" si="22"/>
        <v>#N/A</v>
      </c>
      <c r="J37" t="e">
        <f t="shared" si="22"/>
        <v>#N/A</v>
      </c>
      <c r="K37" t="e">
        <f t="shared" si="22"/>
        <v>#N/A</v>
      </c>
      <c r="L37" t="e">
        <f t="shared" si="22"/>
        <v>#N/A</v>
      </c>
      <c r="M37" t="e">
        <f t="shared" si="22"/>
        <v>#N/A</v>
      </c>
      <c r="N37" t="e">
        <f t="shared" si="22"/>
        <v>#N/A</v>
      </c>
      <c r="O37" t="e">
        <f t="shared" si="22"/>
        <v>#N/A</v>
      </c>
      <c r="Z37" t="e">
        <f t="shared" si="22"/>
        <v>#N/A</v>
      </c>
      <c r="AA37" t="e">
        <f t="shared" si="22"/>
        <v>#N/A</v>
      </c>
      <c r="AB37" t="e">
        <f t="shared" si="22"/>
        <v>#N/A</v>
      </c>
      <c r="AC37" t="e">
        <f t="shared" si="22"/>
        <v>#N/A</v>
      </c>
      <c r="AD37" t="e">
        <f t="shared" si="22"/>
        <v>#N/A</v>
      </c>
      <c r="AE37" t="e">
        <f t="shared" si="22"/>
        <v>#N/A</v>
      </c>
      <c r="AF37" t="e">
        <f t="shared" si="22"/>
        <v>#N/A</v>
      </c>
      <c r="AG37" t="e">
        <f t="shared" si="22"/>
        <v>#N/A</v>
      </c>
      <c r="AH37" t="e">
        <f t="shared" si="22"/>
        <v>#N/A</v>
      </c>
      <c r="AI37" t="e">
        <f t="shared" si="22"/>
        <v>#N/A</v>
      </c>
      <c r="AJ37" t="e">
        <f t="shared" si="22"/>
        <v>#N/A</v>
      </c>
      <c r="AK37" t="e">
        <f t="shared" si="22"/>
        <v>#N/A</v>
      </c>
      <c r="AL37" t="e">
        <f t="shared" si="22"/>
        <v>#N/A</v>
      </c>
      <c r="AM37" t="e">
        <f t="shared" si="22"/>
        <v>#N/A</v>
      </c>
      <c r="AN37" t="e">
        <f t="shared" si="22"/>
        <v>#N/A</v>
      </c>
      <c r="AO37" t="e">
        <f t="shared" si="22"/>
        <v>#N/A</v>
      </c>
    </row>
    <row r="38" spans="1:41" x14ac:dyDescent="0.15">
      <c r="A38" t="e">
        <f t="shared" ref="A38:AO38" si="23">VLOOKUP(A12,$A$45:$F$87,6,FALSE)</f>
        <v>#N/A</v>
      </c>
      <c r="B38" t="e">
        <f t="shared" si="23"/>
        <v>#N/A</v>
      </c>
      <c r="C38" t="e">
        <f t="shared" si="23"/>
        <v>#N/A</v>
      </c>
      <c r="D38" t="e">
        <f t="shared" si="23"/>
        <v>#N/A</v>
      </c>
      <c r="E38" t="e">
        <f t="shared" si="23"/>
        <v>#N/A</v>
      </c>
      <c r="F38" t="e">
        <f t="shared" si="23"/>
        <v>#N/A</v>
      </c>
      <c r="G38" t="e">
        <f t="shared" si="23"/>
        <v>#N/A</v>
      </c>
      <c r="H38" t="e">
        <f t="shared" si="23"/>
        <v>#N/A</v>
      </c>
      <c r="I38" t="e">
        <f t="shared" si="23"/>
        <v>#N/A</v>
      </c>
      <c r="J38" t="e">
        <f t="shared" si="23"/>
        <v>#N/A</v>
      </c>
      <c r="K38" t="e">
        <f t="shared" si="23"/>
        <v>#N/A</v>
      </c>
      <c r="L38" t="e">
        <f t="shared" si="23"/>
        <v>#N/A</v>
      </c>
      <c r="M38" t="e">
        <f t="shared" si="23"/>
        <v>#N/A</v>
      </c>
      <c r="N38" t="e">
        <f t="shared" si="23"/>
        <v>#N/A</v>
      </c>
      <c r="O38" t="e">
        <f t="shared" si="23"/>
        <v>#N/A</v>
      </c>
      <c r="Z38" t="e">
        <f t="shared" si="23"/>
        <v>#N/A</v>
      </c>
      <c r="AA38" t="e">
        <f t="shared" si="23"/>
        <v>#N/A</v>
      </c>
      <c r="AB38" t="e">
        <f t="shared" si="23"/>
        <v>#N/A</v>
      </c>
      <c r="AC38" t="e">
        <f t="shared" si="23"/>
        <v>#N/A</v>
      </c>
      <c r="AD38" t="e">
        <f t="shared" si="23"/>
        <v>#N/A</v>
      </c>
      <c r="AE38" t="e">
        <f t="shared" si="23"/>
        <v>#N/A</v>
      </c>
      <c r="AF38" t="e">
        <f t="shared" si="23"/>
        <v>#N/A</v>
      </c>
      <c r="AG38" t="e">
        <f t="shared" si="23"/>
        <v>#N/A</v>
      </c>
      <c r="AH38" t="e">
        <f t="shared" si="23"/>
        <v>#N/A</v>
      </c>
      <c r="AI38" t="e">
        <f t="shared" si="23"/>
        <v>#N/A</v>
      </c>
      <c r="AJ38" t="e">
        <f t="shared" si="23"/>
        <v>#N/A</v>
      </c>
      <c r="AK38" t="e">
        <f t="shared" si="23"/>
        <v>#N/A</v>
      </c>
      <c r="AL38" t="e">
        <f t="shared" si="23"/>
        <v>#N/A</v>
      </c>
      <c r="AM38" t="e">
        <f t="shared" si="23"/>
        <v>#N/A</v>
      </c>
      <c r="AN38" t="e">
        <f t="shared" si="23"/>
        <v>#N/A</v>
      </c>
      <c r="AO38" t="e">
        <f t="shared" si="23"/>
        <v>#N/A</v>
      </c>
    </row>
    <row r="39" spans="1:41" x14ac:dyDescent="0.15">
      <c r="A39" t="e">
        <f t="shared" ref="A39:AO39" si="24">VLOOKUP(A13,$A$45:$F$87,6,FALSE)</f>
        <v>#N/A</v>
      </c>
      <c r="B39" t="e">
        <f t="shared" si="24"/>
        <v>#N/A</v>
      </c>
      <c r="C39" t="e">
        <f t="shared" si="24"/>
        <v>#N/A</v>
      </c>
      <c r="D39" t="e">
        <f t="shared" si="24"/>
        <v>#N/A</v>
      </c>
      <c r="E39" t="e">
        <f t="shared" si="24"/>
        <v>#N/A</v>
      </c>
      <c r="F39" t="e">
        <f t="shared" si="24"/>
        <v>#N/A</v>
      </c>
      <c r="G39" t="e">
        <f t="shared" si="24"/>
        <v>#N/A</v>
      </c>
      <c r="H39" t="e">
        <f t="shared" si="24"/>
        <v>#N/A</v>
      </c>
      <c r="I39" t="e">
        <f t="shared" si="24"/>
        <v>#N/A</v>
      </c>
      <c r="J39" t="e">
        <f t="shared" si="24"/>
        <v>#N/A</v>
      </c>
      <c r="K39" t="e">
        <f t="shared" si="24"/>
        <v>#N/A</v>
      </c>
      <c r="L39" t="e">
        <f t="shared" si="24"/>
        <v>#N/A</v>
      </c>
      <c r="M39" t="e">
        <f t="shared" si="24"/>
        <v>#N/A</v>
      </c>
      <c r="N39" t="e">
        <f t="shared" si="24"/>
        <v>#N/A</v>
      </c>
      <c r="O39" t="e">
        <f t="shared" si="24"/>
        <v>#N/A</v>
      </c>
      <c r="Z39" t="e">
        <f t="shared" si="24"/>
        <v>#N/A</v>
      </c>
      <c r="AA39" t="e">
        <f t="shared" si="24"/>
        <v>#N/A</v>
      </c>
      <c r="AB39" t="e">
        <f t="shared" si="24"/>
        <v>#N/A</v>
      </c>
      <c r="AC39" t="e">
        <f t="shared" si="24"/>
        <v>#N/A</v>
      </c>
      <c r="AD39" t="e">
        <f t="shared" si="24"/>
        <v>#N/A</v>
      </c>
      <c r="AE39" t="e">
        <f t="shared" si="24"/>
        <v>#N/A</v>
      </c>
      <c r="AF39" t="e">
        <f t="shared" si="24"/>
        <v>#N/A</v>
      </c>
      <c r="AG39" t="e">
        <f t="shared" si="24"/>
        <v>#N/A</v>
      </c>
      <c r="AH39" t="e">
        <f t="shared" si="24"/>
        <v>#N/A</v>
      </c>
      <c r="AI39" t="e">
        <f t="shared" si="24"/>
        <v>#N/A</v>
      </c>
      <c r="AJ39" t="e">
        <f t="shared" si="24"/>
        <v>#N/A</v>
      </c>
      <c r="AK39" t="e">
        <f t="shared" si="24"/>
        <v>#N/A</v>
      </c>
      <c r="AL39" t="e">
        <f t="shared" si="24"/>
        <v>#N/A</v>
      </c>
      <c r="AM39" t="e">
        <f t="shared" si="24"/>
        <v>#N/A</v>
      </c>
      <c r="AN39" t="e">
        <f t="shared" si="24"/>
        <v>#N/A</v>
      </c>
      <c r="AO39" t="e">
        <f t="shared" si="24"/>
        <v>#N/A</v>
      </c>
    </row>
    <row r="41" spans="1:41" x14ac:dyDescent="0.15">
      <c r="A41" t="e">
        <f>SUM(A28:A39)</f>
        <v>#N/A</v>
      </c>
      <c r="B41" t="e">
        <f t="shared" ref="B41:AO41" si="25">SUM(B28:B39)</f>
        <v>#N/A</v>
      </c>
      <c r="C41" t="e">
        <f t="shared" si="25"/>
        <v>#N/A</v>
      </c>
      <c r="D41" t="e">
        <f t="shared" si="25"/>
        <v>#N/A</v>
      </c>
      <c r="E41" t="e">
        <f t="shared" si="25"/>
        <v>#N/A</v>
      </c>
      <c r="F41" t="e">
        <f t="shared" si="25"/>
        <v>#N/A</v>
      </c>
      <c r="G41" t="e">
        <f t="shared" si="25"/>
        <v>#N/A</v>
      </c>
      <c r="H41" t="e">
        <f t="shared" si="25"/>
        <v>#N/A</v>
      </c>
      <c r="I41" t="e">
        <f t="shared" si="25"/>
        <v>#N/A</v>
      </c>
      <c r="J41" t="e">
        <f t="shared" si="25"/>
        <v>#N/A</v>
      </c>
      <c r="K41" t="e">
        <f t="shared" si="25"/>
        <v>#N/A</v>
      </c>
      <c r="L41" t="e">
        <f t="shared" si="25"/>
        <v>#N/A</v>
      </c>
      <c r="M41" t="e">
        <f t="shared" si="25"/>
        <v>#N/A</v>
      </c>
      <c r="N41" t="e">
        <f t="shared" si="25"/>
        <v>#N/A</v>
      </c>
      <c r="O41" t="e">
        <f t="shared" si="25"/>
        <v>#N/A</v>
      </c>
      <c r="Z41" t="e">
        <f t="shared" si="25"/>
        <v>#N/A</v>
      </c>
      <c r="AA41" t="e">
        <f t="shared" si="25"/>
        <v>#N/A</v>
      </c>
      <c r="AB41" t="e">
        <f t="shared" si="25"/>
        <v>#N/A</v>
      </c>
      <c r="AC41" t="e">
        <f t="shared" si="25"/>
        <v>#N/A</v>
      </c>
      <c r="AD41" t="e">
        <f t="shared" si="25"/>
        <v>#N/A</v>
      </c>
      <c r="AE41" t="e">
        <f t="shared" si="25"/>
        <v>#N/A</v>
      </c>
      <c r="AF41" t="e">
        <f t="shared" si="25"/>
        <v>#N/A</v>
      </c>
      <c r="AG41" t="e">
        <f t="shared" si="25"/>
        <v>#N/A</v>
      </c>
      <c r="AH41" t="e">
        <f t="shared" si="25"/>
        <v>#N/A</v>
      </c>
      <c r="AI41" t="e">
        <f t="shared" si="25"/>
        <v>#N/A</v>
      </c>
      <c r="AJ41" t="e">
        <f t="shared" si="25"/>
        <v>#N/A</v>
      </c>
      <c r="AK41" t="e">
        <f t="shared" si="25"/>
        <v>#N/A</v>
      </c>
      <c r="AL41" t="e">
        <f t="shared" si="25"/>
        <v>#N/A</v>
      </c>
      <c r="AM41" t="e">
        <f t="shared" si="25"/>
        <v>#N/A</v>
      </c>
      <c r="AN41" t="e">
        <f t="shared" si="25"/>
        <v>#N/A</v>
      </c>
      <c r="AO41" t="e">
        <f t="shared" si="25"/>
        <v>#N/A</v>
      </c>
    </row>
    <row r="42" spans="1:41" x14ac:dyDescent="0.15">
      <c r="A42" t="e">
        <f>A41+COLUMN()/1000</f>
        <v>#N/A</v>
      </c>
      <c r="B42" t="e">
        <f t="shared" ref="B42:AO42" si="26">B41+COLUMN()/1000</f>
        <v>#N/A</v>
      </c>
      <c r="C42" t="e">
        <f t="shared" si="26"/>
        <v>#N/A</v>
      </c>
      <c r="D42" t="e">
        <f t="shared" si="26"/>
        <v>#N/A</v>
      </c>
      <c r="E42" t="e">
        <f t="shared" si="26"/>
        <v>#N/A</v>
      </c>
      <c r="F42" t="e">
        <f t="shared" si="26"/>
        <v>#N/A</v>
      </c>
      <c r="G42" t="e">
        <f t="shared" si="26"/>
        <v>#N/A</v>
      </c>
      <c r="H42" t="e">
        <f t="shared" si="26"/>
        <v>#N/A</v>
      </c>
      <c r="I42" t="e">
        <f t="shared" si="26"/>
        <v>#N/A</v>
      </c>
      <c r="J42" t="e">
        <f t="shared" si="26"/>
        <v>#N/A</v>
      </c>
      <c r="K42" t="e">
        <f t="shared" si="26"/>
        <v>#N/A</v>
      </c>
      <c r="L42" t="e">
        <f t="shared" si="26"/>
        <v>#N/A</v>
      </c>
      <c r="M42" t="e">
        <f t="shared" si="26"/>
        <v>#N/A</v>
      </c>
      <c r="N42" t="e">
        <f t="shared" si="26"/>
        <v>#N/A</v>
      </c>
      <c r="O42" t="e">
        <f t="shared" si="26"/>
        <v>#N/A</v>
      </c>
      <c r="Z42" t="e">
        <f t="shared" si="26"/>
        <v>#N/A</v>
      </c>
      <c r="AA42" t="e">
        <f t="shared" si="26"/>
        <v>#N/A</v>
      </c>
      <c r="AB42" t="e">
        <f t="shared" si="26"/>
        <v>#N/A</v>
      </c>
      <c r="AC42" t="e">
        <f t="shared" si="26"/>
        <v>#N/A</v>
      </c>
      <c r="AD42" t="e">
        <f t="shared" si="26"/>
        <v>#N/A</v>
      </c>
      <c r="AE42" t="e">
        <f t="shared" si="26"/>
        <v>#N/A</v>
      </c>
      <c r="AF42" t="e">
        <f t="shared" si="26"/>
        <v>#N/A</v>
      </c>
      <c r="AG42" t="e">
        <f t="shared" si="26"/>
        <v>#N/A</v>
      </c>
      <c r="AH42" t="e">
        <f t="shared" si="26"/>
        <v>#N/A</v>
      </c>
      <c r="AI42" t="e">
        <f t="shared" si="26"/>
        <v>#N/A</v>
      </c>
      <c r="AJ42" t="e">
        <f t="shared" si="26"/>
        <v>#N/A</v>
      </c>
      <c r="AK42" t="e">
        <f t="shared" si="26"/>
        <v>#N/A</v>
      </c>
      <c r="AL42" t="e">
        <f t="shared" si="26"/>
        <v>#N/A</v>
      </c>
      <c r="AM42" t="e">
        <f t="shared" si="26"/>
        <v>#N/A</v>
      </c>
      <c r="AN42" t="e">
        <f t="shared" si="26"/>
        <v>#N/A</v>
      </c>
      <c r="AO42" t="e">
        <f t="shared" si="26"/>
        <v>#N/A</v>
      </c>
    </row>
    <row r="43" spans="1:41" x14ac:dyDescent="0.15">
      <c r="A43" t="e">
        <f ca="1">RANK(A42,OFFSET($A$42,0,0,1,NumFantTeams))</f>
        <v>#N/A</v>
      </c>
      <c r="B43" t="e">
        <f t="shared" ref="B43:AO43" ca="1" si="27">RANK(B42,OFFSET($A$42,0,0,1,NumFantTeams))</f>
        <v>#N/A</v>
      </c>
      <c r="C43" t="e">
        <f t="shared" ca="1" si="27"/>
        <v>#N/A</v>
      </c>
      <c r="D43" t="e">
        <f t="shared" ca="1" si="27"/>
        <v>#N/A</v>
      </c>
      <c r="E43" t="e">
        <f t="shared" ca="1" si="27"/>
        <v>#N/A</v>
      </c>
      <c r="F43" t="e">
        <f t="shared" ca="1" si="27"/>
        <v>#N/A</v>
      </c>
      <c r="G43" t="e">
        <f t="shared" ca="1" si="27"/>
        <v>#N/A</v>
      </c>
      <c r="H43" t="e">
        <f t="shared" ca="1" si="27"/>
        <v>#N/A</v>
      </c>
      <c r="I43" t="e">
        <f t="shared" ca="1" si="27"/>
        <v>#N/A</v>
      </c>
      <c r="J43" t="e">
        <f t="shared" ca="1" si="27"/>
        <v>#N/A</v>
      </c>
      <c r="K43" t="e">
        <f t="shared" ca="1" si="27"/>
        <v>#N/A</v>
      </c>
      <c r="L43" t="e">
        <f t="shared" ca="1" si="27"/>
        <v>#N/A</v>
      </c>
      <c r="M43" t="e">
        <f t="shared" ca="1" si="27"/>
        <v>#N/A</v>
      </c>
      <c r="N43" t="e">
        <f t="shared" ca="1" si="27"/>
        <v>#N/A</v>
      </c>
      <c r="O43" t="e">
        <f t="shared" ca="1" si="27"/>
        <v>#N/A</v>
      </c>
      <c r="Z43" t="e">
        <f t="shared" ca="1" si="27"/>
        <v>#N/A</v>
      </c>
      <c r="AA43" t="e">
        <f t="shared" ca="1" si="27"/>
        <v>#N/A</v>
      </c>
      <c r="AB43" t="e">
        <f t="shared" ca="1" si="27"/>
        <v>#N/A</v>
      </c>
      <c r="AC43" t="e">
        <f t="shared" ca="1" si="27"/>
        <v>#N/A</v>
      </c>
      <c r="AD43" t="e">
        <f t="shared" ca="1" si="27"/>
        <v>#N/A</v>
      </c>
      <c r="AE43" t="e">
        <f t="shared" ca="1" si="27"/>
        <v>#N/A</v>
      </c>
      <c r="AF43" t="e">
        <f t="shared" ca="1" si="27"/>
        <v>#N/A</v>
      </c>
      <c r="AG43" t="e">
        <f t="shared" ca="1" si="27"/>
        <v>#N/A</v>
      </c>
      <c r="AH43" t="e">
        <f t="shared" ca="1" si="27"/>
        <v>#N/A</v>
      </c>
      <c r="AI43" t="e">
        <f t="shared" ca="1" si="27"/>
        <v>#N/A</v>
      </c>
      <c r="AJ43" t="e">
        <f t="shared" ca="1" si="27"/>
        <v>#N/A</v>
      </c>
      <c r="AK43" t="e">
        <f t="shared" ca="1" si="27"/>
        <v>#N/A</v>
      </c>
      <c r="AL43" t="e">
        <f t="shared" ca="1" si="27"/>
        <v>#N/A</v>
      </c>
      <c r="AM43" t="e">
        <f t="shared" ca="1" si="27"/>
        <v>#N/A</v>
      </c>
      <c r="AN43" t="e">
        <f t="shared" ca="1" si="27"/>
        <v>#N/A</v>
      </c>
      <c r="AO43" t="e">
        <f t="shared" ca="1" si="27"/>
        <v>#N/A</v>
      </c>
    </row>
    <row r="44" spans="1:41" x14ac:dyDescent="0.15">
      <c r="C44" s="85" t="s">
        <v>70</v>
      </c>
      <c r="D44" s="85" t="s">
        <v>142</v>
      </c>
      <c r="E44" s="85" t="s">
        <v>71</v>
      </c>
      <c r="F44" s="85" t="s">
        <v>72</v>
      </c>
      <c r="G44" s="83" t="s">
        <v>73</v>
      </c>
      <c r="H44" s="84">
        <f>COUNTA(1:1)</f>
        <v>0</v>
      </c>
    </row>
    <row r="45" spans="1:41" x14ac:dyDescent="0.15">
      <c r="A45" s="65" t="s">
        <v>169</v>
      </c>
      <c r="B45" t="s">
        <v>172</v>
      </c>
      <c r="C45">
        <v>3</v>
      </c>
      <c r="D45">
        <f t="array" ref="D45">SUM(IF($3:$13=A45,1,0))</f>
        <v>0</v>
      </c>
      <c r="E45">
        <f ca="1">MATCH(A45,FantasyPts!$A$5:$A$57,0)</f>
        <v>1</v>
      </c>
      <c r="F45">
        <f ca="1">OFFSET(FantasyPts!$C$4,E45,0)</f>
        <v>0</v>
      </c>
      <c r="G45" t="s">
        <v>124</v>
      </c>
      <c r="H45" t="e">
        <f ca="1">MATCH(L45,OFFSET($A$43,0,0,1,$H$44),0)</f>
        <v>#REF!</v>
      </c>
      <c r="K45" t="e">
        <f ca="1">OFFSET($A$2,0,H45-1)</f>
        <v>#REF!</v>
      </c>
      <c r="L45">
        <v>1</v>
      </c>
      <c r="M45" t="e">
        <f ca="1">OFFSET($A$1,0,H45-1)</f>
        <v>#REF!</v>
      </c>
      <c r="N45" t="e">
        <f ca="1">IF(K45=0,"",K45)</f>
        <v>#REF!</v>
      </c>
      <c r="O45" t="e">
        <f ca="1">OFFSET($A$41,0,H45-1)</f>
        <v>#REF!</v>
      </c>
    </row>
    <row r="46" spans="1:41" x14ac:dyDescent="0.15">
      <c r="A46" s="65" t="s">
        <v>170</v>
      </c>
      <c r="B46" t="s">
        <v>178</v>
      </c>
      <c r="C46">
        <v>2</v>
      </c>
      <c r="D46">
        <f t="array" ref="D46">SUM(IF($3:$13=A46,1,0))</f>
        <v>0</v>
      </c>
      <c r="E46">
        <f ca="1">MATCH(A46,FantasyPts!$A$5:$A$57,0)</f>
        <v>2</v>
      </c>
      <c r="F46">
        <f ca="1">OFFSET(FantasyPts!$C$4,E46,0)</f>
        <v>0</v>
      </c>
      <c r="G46" t="s">
        <v>125</v>
      </c>
      <c r="H46" t="e">
        <f t="shared" ref="H46:H85" ca="1" si="28">MATCH(L46,OFFSET($A$43,0,0,1,$H$44),0)</f>
        <v>#REF!</v>
      </c>
      <c r="K46" t="e">
        <f t="shared" ref="K46:K87" ca="1" si="29">OFFSET($A$2,0,H46-1)</f>
        <v>#REF!</v>
      </c>
      <c r="L46">
        <f>L45+1</f>
        <v>2</v>
      </c>
      <c r="M46" t="e">
        <f t="shared" ref="M46:M87" ca="1" si="30">OFFSET($A$1,0,H46-1)</f>
        <v>#REF!</v>
      </c>
      <c r="N46" t="e">
        <f t="shared" ref="N46:N62" ca="1" si="31">IF(K46=0,"",K46)</f>
        <v>#REF!</v>
      </c>
      <c r="O46" t="e">
        <f t="shared" ref="O46:O87" ca="1" si="32">OFFSET($A$41,0,H46-1)</f>
        <v>#REF!</v>
      </c>
    </row>
    <row r="47" spans="1:41" x14ac:dyDescent="0.15">
      <c r="A47" s="65" t="s">
        <v>121</v>
      </c>
      <c r="B47" t="s">
        <v>162</v>
      </c>
      <c r="C47">
        <v>3</v>
      </c>
      <c r="D47">
        <f t="array" ref="D47">SUM(IF($3:$13=A47,1,0))</f>
        <v>0</v>
      </c>
      <c r="E47">
        <f ca="1">MATCH(A47,FantasyPts!$A$5:$A$57,0)</f>
        <v>3</v>
      </c>
      <c r="F47">
        <f ca="1">OFFSET(FantasyPts!$C$4,E47,0)</f>
        <v>0</v>
      </c>
      <c r="G47" t="s">
        <v>124</v>
      </c>
      <c r="H47" t="e">
        <f t="shared" ca="1" si="28"/>
        <v>#REF!</v>
      </c>
      <c r="K47" t="e">
        <f t="shared" ca="1" si="29"/>
        <v>#REF!</v>
      </c>
      <c r="L47">
        <f>L46+1</f>
        <v>3</v>
      </c>
      <c r="M47" t="e">
        <f t="shared" ca="1" si="30"/>
        <v>#REF!</v>
      </c>
      <c r="N47" t="e">
        <f t="shared" ca="1" si="31"/>
        <v>#REF!</v>
      </c>
      <c r="O47" t="e">
        <f t="shared" ca="1" si="32"/>
        <v>#REF!</v>
      </c>
    </row>
    <row r="48" spans="1:41" x14ac:dyDescent="0.15">
      <c r="A48" s="65" t="s">
        <v>41</v>
      </c>
      <c r="B48" t="s">
        <v>64</v>
      </c>
      <c r="C48">
        <v>6</v>
      </c>
      <c r="D48">
        <f t="array" ref="D48">SUM(IF($3:$13=A48,1,0))</f>
        <v>0</v>
      </c>
      <c r="E48">
        <f ca="1">MATCH(A48,FantasyPts!$A$5:$A$57,0)</f>
        <v>4</v>
      </c>
      <c r="F48">
        <f ca="1">OFFSET(FantasyPts!$C$4,E48,0)</f>
        <v>0</v>
      </c>
      <c r="G48" t="s">
        <v>125</v>
      </c>
      <c r="H48" t="e">
        <f t="shared" ca="1" si="28"/>
        <v>#REF!</v>
      </c>
      <c r="K48" t="e">
        <f ca="1">OFFSET($A$2,0,H48-1)</f>
        <v>#REF!</v>
      </c>
      <c r="L48">
        <f t="shared" ref="L48:L87" si="33">L47+1</f>
        <v>4</v>
      </c>
      <c r="M48" t="e">
        <f ca="1">OFFSET($A$1,0,H48-1)</f>
        <v>#REF!</v>
      </c>
      <c r="N48" t="e">
        <f ca="1">IF(K48=0,"",K48)</f>
        <v>#REF!</v>
      </c>
      <c r="O48" t="e">
        <f ca="1">OFFSET($A$41,0,H48-1)</f>
        <v>#REF!</v>
      </c>
    </row>
    <row r="49" spans="1:15" x14ac:dyDescent="0.15">
      <c r="A49" s="65" t="s">
        <v>51</v>
      </c>
      <c r="B49" t="s">
        <v>63</v>
      </c>
      <c r="C49">
        <v>4</v>
      </c>
      <c r="D49">
        <f t="array" ref="D49">SUM(IF($3:$13=A49,1,0))</f>
        <v>0</v>
      </c>
      <c r="E49">
        <f ca="1">MATCH(A49,FantasyPts!$A$5:$A$57,0)</f>
        <v>5</v>
      </c>
      <c r="F49">
        <f ca="1">OFFSET(FantasyPts!$C$4,E49,0)</f>
        <v>0</v>
      </c>
      <c r="G49" t="s">
        <v>125</v>
      </c>
      <c r="H49" t="e">
        <f t="shared" ca="1" si="28"/>
        <v>#REF!</v>
      </c>
      <c r="K49" t="e">
        <f t="shared" ca="1" si="29"/>
        <v>#REF!</v>
      </c>
      <c r="L49">
        <f t="shared" si="33"/>
        <v>5</v>
      </c>
      <c r="M49" t="e">
        <f t="shared" ca="1" si="30"/>
        <v>#REF!</v>
      </c>
      <c r="N49" t="e">
        <f t="shared" ca="1" si="31"/>
        <v>#REF!</v>
      </c>
      <c r="O49" t="e">
        <f t="shared" ca="1" si="32"/>
        <v>#REF!</v>
      </c>
    </row>
    <row r="50" spans="1:15" x14ac:dyDescent="0.15">
      <c r="A50" s="65" t="s">
        <v>91</v>
      </c>
      <c r="B50" t="s">
        <v>145</v>
      </c>
      <c r="C50">
        <v>6</v>
      </c>
      <c r="D50">
        <f t="array" ref="D50">SUM(IF($3:$13=A50,1,0))</f>
        <v>0</v>
      </c>
      <c r="E50">
        <f ca="1">MATCH(A50,FantasyPts!$A$5:$A$57,0)</f>
        <v>6</v>
      </c>
      <c r="F50">
        <f ca="1">OFFSET(FantasyPts!$C$4,E50,0)</f>
        <v>0</v>
      </c>
      <c r="G50" t="s">
        <v>125</v>
      </c>
      <c r="H50" t="e">
        <f t="shared" ca="1" si="28"/>
        <v>#REF!</v>
      </c>
      <c r="K50" t="e">
        <f t="shared" ca="1" si="29"/>
        <v>#REF!</v>
      </c>
      <c r="L50">
        <f t="shared" si="33"/>
        <v>6</v>
      </c>
      <c r="M50" t="e">
        <f t="shared" ca="1" si="30"/>
        <v>#REF!</v>
      </c>
      <c r="N50" t="e">
        <f t="shared" ca="1" si="31"/>
        <v>#REF!</v>
      </c>
      <c r="O50" t="e">
        <f t="shared" ca="1" si="32"/>
        <v>#REF!</v>
      </c>
    </row>
    <row r="51" spans="1:15" x14ac:dyDescent="0.15">
      <c r="A51" s="65" t="s">
        <v>168</v>
      </c>
      <c r="B51" t="s">
        <v>173</v>
      </c>
      <c r="C51">
        <v>2</v>
      </c>
      <c r="D51">
        <f t="array" ref="D51">SUM(IF($3:$13=A51,1,0))</f>
        <v>0</v>
      </c>
      <c r="E51">
        <f ca="1">MATCH(A51,FantasyPts!$A$5:$A$57,0)</f>
        <v>7</v>
      </c>
      <c r="F51">
        <f ca="1">OFFSET(FantasyPts!$C$4,E51,0)</f>
        <v>0</v>
      </c>
      <c r="G51" t="s">
        <v>124</v>
      </c>
      <c r="H51" t="e">
        <f t="shared" ca="1" si="28"/>
        <v>#REF!</v>
      </c>
      <c r="K51" t="e">
        <f t="shared" ca="1" si="29"/>
        <v>#REF!</v>
      </c>
      <c r="L51">
        <f t="shared" si="33"/>
        <v>7</v>
      </c>
      <c r="M51" t="e">
        <f t="shared" ca="1" si="30"/>
        <v>#REF!</v>
      </c>
      <c r="N51" t="e">
        <f t="shared" ca="1" si="31"/>
        <v>#REF!</v>
      </c>
      <c r="O51" t="e">
        <f t="shared" ca="1" si="32"/>
        <v>#REF!</v>
      </c>
    </row>
    <row r="52" spans="1:15" x14ac:dyDescent="0.15">
      <c r="A52" s="65" t="s">
        <v>42</v>
      </c>
      <c r="B52" t="s">
        <v>92</v>
      </c>
      <c r="C52">
        <v>9</v>
      </c>
      <c r="D52">
        <f t="array" ref="D52">SUM(IF($3:$13=A52,1,0))</f>
        <v>0</v>
      </c>
      <c r="E52">
        <f ca="1">MATCH(A52,FantasyPts!$A$5:$A$57,0)</f>
        <v>8</v>
      </c>
      <c r="F52">
        <f ca="1">OFFSET(FantasyPts!$C$4,E52,0)</f>
        <v>0</v>
      </c>
      <c r="G52" t="s">
        <v>126</v>
      </c>
      <c r="H52" t="e">
        <f t="shared" ca="1" si="28"/>
        <v>#REF!</v>
      </c>
      <c r="K52" t="e">
        <f t="shared" ca="1" si="29"/>
        <v>#REF!</v>
      </c>
      <c r="L52">
        <f t="shared" si="33"/>
        <v>8</v>
      </c>
      <c r="M52" t="e">
        <f t="shared" ca="1" si="30"/>
        <v>#REF!</v>
      </c>
      <c r="N52" t="e">
        <f t="shared" ca="1" si="31"/>
        <v>#REF!</v>
      </c>
      <c r="O52" t="e">
        <f t="shared" ca="1" si="32"/>
        <v>#REF!</v>
      </c>
    </row>
    <row r="53" spans="1:15" x14ac:dyDescent="0.15">
      <c r="A53" s="65" t="s">
        <v>140</v>
      </c>
      <c r="B53" t="s">
        <v>157</v>
      </c>
      <c r="C53">
        <v>2</v>
      </c>
      <c r="D53">
        <f t="array" ref="D53">SUM(IF($3:$13=A53,1,0))</f>
        <v>0</v>
      </c>
      <c r="E53">
        <f ca="1">MATCH(A53,FantasyPts!$A$5:$A$57,0)</f>
        <v>9</v>
      </c>
      <c r="F53">
        <f ca="1">OFFSET(FantasyPts!$C$4,E53,0)</f>
        <v>0</v>
      </c>
      <c r="G53" t="s">
        <v>125</v>
      </c>
      <c r="H53" t="e">
        <f t="shared" ca="1" si="28"/>
        <v>#REF!</v>
      </c>
      <c r="K53" t="e">
        <f t="shared" ca="1" si="29"/>
        <v>#REF!</v>
      </c>
      <c r="L53">
        <f t="shared" si="33"/>
        <v>9</v>
      </c>
      <c r="M53" t="e">
        <f t="shared" ca="1" si="30"/>
        <v>#REF!</v>
      </c>
      <c r="N53" t="e">
        <f t="shared" ca="1" si="31"/>
        <v>#REF!</v>
      </c>
      <c r="O53" t="e">
        <f t="shared" ca="1" si="32"/>
        <v>#REF!</v>
      </c>
    </row>
    <row r="54" spans="1:15" x14ac:dyDescent="0.15">
      <c r="A54" s="65" t="s">
        <v>43</v>
      </c>
      <c r="B54" t="s">
        <v>62</v>
      </c>
      <c r="C54">
        <v>5</v>
      </c>
      <c r="D54">
        <f t="array" ref="D54">SUM(IF($3:$13=A54,1,0))</f>
        <v>0</v>
      </c>
      <c r="E54">
        <f ca="1">MATCH(A54,FantasyPts!$A$5:$A$57,0)</f>
        <v>10</v>
      </c>
      <c r="F54">
        <f ca="1">OFFSET(FantasyPts!$C$4,E54,0)</f>
        <v>0</v>
      </c>
      <c r="G54" t="s">
        <v>125</v>
      </c>
      <c r="H54" t="e">
        <f t="shared" ca="1" si="28"/>
        <v>#REF!</v>
      </c>
      <c r="K54" t="e">
        <f t="shared" ca="1" si="29"/>
        <v>#REF!</v>
      </c>
      <c r="L54">
        <f t="shared" si="33"/>
        <v>10</v>
      </c>
      <c r="M54" t="e">
        <f t="shared" ca="1" si="30"/>
        <v>#REF!</v>
      </c>
      <c r="N54" t="e">
        <f t="shared" ca="1" si="31"/>
        <v>#REF!</v>
      </c>
      <c r="O54" t="e">
        <f t="shared" ca="1" si="32"/>
        <v>#REF!</v>
      </c>
    </row>
    <row r="55" spans="1:15" x14ac:dyDescent="0.15">
      <c r="A55" s="65" t="s">
        <v>36</v>
      </c>
      <c r="B55" t="s">
        <v>93</v>
      </c>
      <c r="C55">
        <v>4</v>
      </c>
      <c r="D55">
        <f t="array" ref="D55">SUM(IF($3:$13=A55,1,0))</f>
        <v>0</v>
      </c>
      <c r="E55">
        <f ca="1">MATCH(A55,FantasyPts!$A$5:$A$57,0)</f>
        <v>11</v>
      </c>
      <c r="F55">
        <f ca="1">OFFSET(FantasyPts!$C$4,E55,0)</f>
        <v>0</v>
      </c>
      <c r="G55" t="s">
        <v>126</v>
      </c>
      <c r="H55" t="e">
        <f t="shared" ca="1" si="28"/>
        <v>#REF!</v>
      </c>
      <c r="K55" t="e">
        <f t="shared" ca="1" si="29"/>
        <v>#REF!</v>
      </c>
      <c r="L55">
        <f t="shared" si="33"/>
        <v>11</v>
      </c>
      <c r="M55" t="e">
        <f t="shared" ca="1" si="30"/>
        <v>#REF!</v>
      </c>
      <c r="N55" t="e">
        <f t="shared" ca="1" si="31"/>
        <v>#REF!</v>
      </c>
      <c r="O55" t="e">
        <f t="shared" ca="1" si="32"/>
        <v>#REF!</v>
      </c>
    </row>
    <row r="56" spans="1:15" x14ac:dyDescent="0.15">
      <c r="A56" s="65" t="s">
        <v>45</v>
      </c>
      <c r="B56" t="s">
        <v>65</v>
      </c>
      <c r="C56">
        <v>3</v>
      </c>
      <c r="D56">
        <f t="array" ref="D56">SUM(IF($3:$13=A56,1,0))</f>
        <v>0</v>
      </c>
      <c r="E56">
        <f ca="1">MATCH(A56,FantasyPts!$A$5:$A$57,0)</f>
        <v>12</v>
      </c>
      <c r="F56">
        <f ca="1">OFFSET(FantasyPts!$C$4,E56,0)</f>
        <v>0</v>
      </c>
      <c r="G56" t="s">
        <v>126</v>
      </c>
      <c r="H56" t="e">
        <f t="shared" ca="1" si="28"/>
        <v>#REF!</v>
      </c>
      <c r="K56" t="e">
        <f t="shared" ca="1" si="29"/>
        <v>#REF!</v>
      </c>
      <c r="L56">
        <f t="shared" si="33"/>
        <v>12</v>
      </c>
      <c r="M56" t="e">
        <f t="shared" ca="1" si="30"/>
        <v>#REF!</v>
      </c>
      <c r="N56" t="e">
        <f t="shared" ca="1" si="31"/>
        <v>#REF!</v>
      </c>
      <c r="O56" t="e">
        <f t="shared" ca="1" si="32"/>
        <v>#REF!</v>
      </c>
    </row>
    <row r="57" spans="1:15" x14ac:dyDescent="0.15">
      <c r="A57" s="65" t="s">
        <v>47</v>
      </c>
      <c r="B57" t="s">
        <v>58</v>
      </c>
      <c r="C57">
        <v>3</v>
      </c>
      <c r="D57">
        <f t="array" ref="D57">SUM(IF($3:$13=A57,1,0))</f>
        <v>0</v>
      </c>
      <c r="E57">
        <f ca="1">MATCH(A57,FantasyPts!$A$5:$A$57,0)</f>
        <v>13</v>
      </c>
      <c r="F57">
        <f ca="1">OFFSET(FantasyPts!$C$4,E57,0)</f>
        <v>0</v>
      </c>
      <c r="G57" t="s">
        <v>124</v>
      </c>
      <c r="H57" t="e">
        <f t="shared" ca="1" si="28"/>
        <v>#REF!</v>
      </c>
      <c r="K57" t="e">
        <f t="shared" ca="1" si="29"/>
        <v>#REF!</v>
      </c>
      <c r="L57">
        <f t="shared" si="33"/>
        <v>13</v>
      </c>
      <c r="M57" t="e">
        <f t="shared" ca="1" si="30"/>
        <v>#REF!</v>
      </c>
      <c r="N57" t="e">
        <f t="shared" ca="1" si="31"/>
        <v>#REF!</v>
      </c>
      <c r="O57" t="e">
        <f t="shared" ca="1" si="32"/>
        <v>#REF!</v>
      </c>
    </row>
    <row r="58" spans="1:15" x14ac:dyDescent="0.15">
      <c r="A58" s="65" t="s">
        <v>46</v>
      </c>
      <c r="B58" t="s">
        <v>60</v>
      </c>
      <c r="C58">
        <v>3</v>
      </c>
      <c r="D58">
        <f t="array" ref="D58">SUM(IF($3:$13=A58,1,0))</f>
        <v>0</v>
      </c>
      <c r="E58">
        <f ca="1">MATCH(A58,FantasyPts!$A$5:$A$57,0)</f>
        <v>14</v>
      </c>
      <c r="F58">
        <f ca="1">OFFSET(FantasyPts!$C$4,E58,0)</f>
        <v>0</v>
      </c>
      <c r="G58" t="s">
        <v>126</v>
      </c>
      <c r="H58" t="e">
        <f t="shared" ca="1" si="28"/>
        <v>#REF!</v>
      </c>
      <c r="K58" t="e">
        <f t="shared" ca="1" si="29"/>
        <v>#REF!</v>
      </c>
      <c r="L58">
        <f t="shared" si="33"/>
        <v>14</v>
      </c>
      <c r="M58" t="e">
        <f t="shared" ca="1" si="30"/>
        <v>#REF!</v>
      </c>
      <c r="N58" t="e">
        <f t="shared" ca="1" si="31"/>
        <v>#REF!</v>
      </c>
      <c r="O58" t="e">
        <f t="shared" ca="1" si="32"/>
        <v>#REF!</v>
      </c>
    </row>
    <row r="59" spans="1:15" x14ac:dyDescent="0.15">
      <c r="A59" s="65" t="s">
        <v>37</v>
      </c>
      <c r="B59" t="s">
        <v>59</v>
      </c>
      <c r="C59">
        <v>6</v>
      </c>
      <c r="D59">
        <f t="array" ref="D59">SUM(IF($3:$13=A59,1,0))</f>
        <v>0</v>
      </c>
      <c r="E59">
        <f ca="1">MATCH(A59,FantasyPts!$A$5:$A$57,0)</f>
        <v>15</v>
      </c>
      <c r="F59">
        <f ca="1">OFFSET(FantasyPts!$C$4,E59,0)</f>
        <v>0</v>
      </c>
      <c r="G59" t="s">
        <v>126</v>
      </c>
      <c r="H59" t="e">
        <f t="shared" ca="1" si="28"/>
        <v>#REF!</v>
      </c>
      <c r="K59" t="e">
        <f t="shared" ca="1" si="29"/>
        <v>#REF!</v>
      </c>
      <c r="L59">
        <f t="shared" si="33"/>
        <v>15</v>
      </c>
      <c r="M59" t="e">
        <f t="shared" ca="1" si="30"/>
        <v>#REF!</v>
      </c>
      <c r="N59" t="e">
        <f t="shared" ca="1" si="31"/>
        <v>#REF!</v>
      </c>
      <c r="O59" t="e">
        <f t="shared" ca="1" si="32"/>
        <v>#REF!</v>
      </c>
    </row>
    <row r="60" spans="1:15" x14ac:dyDescent="0.15">
      <c r="A60" s="65" t="s">
        <v>156</v>
      </c>
      <c r="B60" t="s">
        <v>174</v>
      </c>
      <c r="C60">
        <v>2</v>
      </c>
      <c r="D60">
        <f t="array" ref="D60">SUM(IF($3:$13=A60,1,0))</f>
        <v>0</v>
      </c>
      <c r="E60">
        <f ca="1">MATCH(A60,FantasyPts!$A$5:$A$57,0)</f>
        <v>16</v>
      </c>
      <c r="F60">
        <f ca="1">OFFSET(FantasyPts!$C$4,E60,0)</f>
        <v>0</v>
      </c>
      <c r="G60" t="s">
        <v>124</v>
      </c>
      <c r="H60" t="e">
        <f t="shared" ca="1" si="28"/>
        <v>#REF!</v>
      </c>
      <c r="K60" t="e">
        <f t="shared" ca="1" si="29"/>
        <v>#REF!</v>
      </c>
      <c r="L60">
        <f t="shared" si="33"/>
        <v>16</v>
      </c>
      <c r="M60" t="e">
        <f t="shared" ca="1" si="30"/>
        <v>#REF!</v>
      </c>
      <c r="N60" t="e">
        <f t="shared" ca="1" si="31"/>
        <v>#REF!</v>
      </c>
      <c r="O60" t="e">
        <f t="shared" ca="1" si="32"/>
        <v>#REF!</v>
      </c>
    </row>
    <row r="61" spans="1:15" x14ac:dyDescent="0.15">
      <c r="A61" s="65" t="s">
        <v>67</v>
      </c>
      <c r="B61" t="s">
        <v>94</v>
      </c>
      <c r="C61">
        <v>1</v>
      </c>
      <c r="D61">
        <f t="array" ref="D61">SUM(IF($3:$13=A61,1,0))</f>
        <v>0</v>
      </c>
      <c r="E61">
        <f ca="1">MATCH(A61,FantasyPts!$A$5:$A$57,0)</f>
        <v>17</v>
      </c>
      <c r="F61">
        <f ca="1">OFFSET(FantasyPts!$C$4,E61,0)</f>
        <v>0</v>
      </c>
      <c r="G61" t="s">
        <v>124</v>
      </c>
      <c r="H61" t="e">
        <f t="shared" ca="1" si="28"/>
        <v>#REF!</v>
      </c>
      <c r="K61" t="e">
        <f t="shared" ca="1" si="29"/>
        <v>#REF!</v>
      </c>
      <c r="L61">
        <f t="shared" si="33"/>
        <v>17</v>
      </c>
      <c r="M61" t="e">
        <f t="shared" ca="1" si="30"/>
        <v>#REF!</v>
      </c>
      <c r="N61" t="e">
        <f t="shared" ca="1" si="31"/>
        <v>#REF!</v>
      </c>
      <c r="O61" t="e">
        <f t="shared" ca="1" si="32"/>
        <v>#REF!</v>
      </c>
    </row>
    <row r="62" spans="1:15" x14ac:dyDescent="0.15">
      <c r="A62" s="65" t="s">
        <v>153</v>
      </c>
      <c r="B62" t="s">
        <v>152</v>
      </c>
      <c r="C62">
        <v>2</v>
      </c>
      <c r="D62">
        <f t="array" ref="D62">SUM(IF($3:$13=A62,1,0))</f>
        <v>0</v>
      </c>
      <c r="E62">
        <f ca="1">MATCH(A62,FantasyPts!$A$5:$A$57,0)</f>
        <v>18</v>
      </c>
      <c r="F62">
        <f ca="1">OFFSET(FantasyPts!$C$4,E62,0)</f>
        <v>0</v>
      </c>
      <c r="G62" t="s">
        <v>124</v>
      </c>
      <c r="H62" t="e">
        <f t="shared" ca="1" si="28"/>
        <v>#REF!</v>
      </c>
      <c r="K62" t="e">
        <f t="shared" ca="1" si="29"/>
        <v>#REF!</v>
      </c>
      <c r="L62">
        <f t="shared" si="33"/>
        <v>18</v>
      </c>
      <c r="M62" t="e">
        <f t="shared" ca="1" si="30"/>
        <v>#REF!</v>
      </c>
      <c r="N62" t="e">
        <f t="shared" ca="1" si="31"/>
        <v>#REF!</v>
      </c>
      <c r="O62" t="e">
        <f t="shared" ca="1" si="32"/>
        <v>#REF!</v>
      </c>
    </row>
    <row r="63" spans="1:15" x14ac:dyDescent="0.15">
      <c r="A63" s="65" t="s">
        <v>127</v>
      </c>
      <c r="B63" t="s">
        <v>128</v>
      </c>
      <c r="C63">
        <v>4</v>
      </c>
      <c r="D63">
        <f t="array" ref="D63">SUM(IF($3:$13=A63,1,0))</f>
        <v>0</v>
      </c>
      <c r="E63">
        <f ca="1">MATCH(A63,FantasyPts!$A$5:$A$57,0)</f>
        <v>19</v>
      </c>
      <c r="F63">
        <f ca="1">OFFSET(FantasyPts!$C$4,E63,0)</f>
        <v>0</v>
      </c>
      <c r="G63" t="s">
        <v>124</v>
      </c>
      <c r="H63" t="e">
        <f t="shared" ca="1" si="28"/>
        <v>#REF!</v>
      </c>
      <c r="K63" t="e">
        <f t="shared" ca="1" si="29"/>
        <v>#REF!</v>
      </c>
      <c r="L63">
        <f t="shared" si="33"/>
        <v>19</v>
      </c>
      <c r="M63" t="e">
        <f t="shared" ca="1" si="30"/>
        <v>#REF!</v>
      </c>
      <c r="N63" t="e">
        <f t="shared" ref="N63:N78" ca="1" si="34">IF(K63=0,"",K63)</f>
        <v>#REF!</v>
      </c>
      <c r="O63" t="e">
        <f t="shared" ca="1" si="32"/>
        <v>#REF!</v>
      </c>
    </row>
    <row r="64" spans="1:15" x14ac:dyDescent="0.15">
      <c r="A64" s="65" t="s">
        <v>39</v>
      </c>
      <c r="B64" t="s">
        <v>95</v>
      </c>
      <c r="C64">
        <v>5</v>
      </c>
      <c r="D64">
        <f t="array" ref="D64">SUM(IF($3:$13=A64,1,0))</f>
        <v>0</v>
      </c>
      <c r="E64">
        <f ca="1">MATCH(A64,FantasyPts!$A$5:$A$57,0)</f>
        <v>20</v>
      </c>
      <c r="F64">
        <f ca="1">OFFSET(FantasyPts!$C$4,E64,0)</f>
        <v>0</v>
      </c>
      <c r="G64" t="s">
        <v>125</v>
      </c>
      <c r="H64" t="e">
        <f t="shared" ca="1" si="28"/>
        <v>#REF!</v>
      </c>
      <c r="K64" t="e">
        <f t="shared" ca="1" si="29"/>
        <v>#REF!</v>
      </c>
      <c r="L64">
        <f t="shared" si="33"/>
        <v>20</v>
      </c>
      <c r="M64" t="e">
        <f t="shared" ca="1" si="30"/>
        <v>#REF!</v>
      </c>
      <c r="N64" t="e">
        <f t="shared" ca="1" si="34"/>
        <v>#REF!</v>
      </c>
      <c r="O64" t="e">
        <f t="shared" ca="1" si="32"/>
        <v>#REF!</v>
      </c>
    </row>
    <row r="65" spans="1:15" x14ac:dyDescent="0.15">
      <c r="A65" s="65" t="s">
        <v>40</v>
      </c>
      <c r="B65" t="s">
        <v>57</v>
      </c>
      <c r="C65">
        <v>11</v>
      </c>
      <c r="D65">
        <f t="array" ref="D65">SUM(IF($3:$13=A65,1,0))</f>
        <v>0</v>
      </c>
      <c r="E65">
        <f ca="1">MATCH(A65,FantasyPts!$A$5:$A$57,0)</f>
        <v>21</v>
      </c>
      <c r="F65">
        <f ca="1">OFFSET(FantasyPts!$C$4,E65,0)</f>
        <v>0</v>
      </c>
      <c r="G65" t="s">
        <v>13</v>
      </c>
      <c r="H65" t="e">
        <f t="shared" ca="1" si="28"/>
        <v>#REF!</v>
      </c>
      <c r="K65" t="e">
        <f t="shared" ca="1" si="29"/>
        <v>#REF!</v>
      </c>
      <c r="L65">
        <f t="shared" si="33"/>
        <v>21</v>
      </c>
      <c r="M65" t="e">
        <f t="shared" ca="1" si="30"/>
        <v>#REF!</v>
      </c>
      <c r="N65" t="e">
        <f t="shared" ca="1" si="34"/>
        <v>#REF!</v>
      </c>
      <c r="O65" t="e">
        <f t="shared" ca="1" si="32"/>
        <v>#REF!</v>
      </c>
    </row>
    <row r="66" spans="1:15" x14ac:dyDescent="0.15">
      <c r="A66" s="65" t="s">
        <v>50</v>
      </c>
      <c r="B66" t="s">
        <v>96</v>
      </c>
      <c r="C66">
        <v>5</v>
      </c>
      <c r="D66">
        <f t="array" ref="D66">SUM(IF($3:$13=A66,1,0))</f>
        <v>0</v>
      </c>
      <c r="E66">
        <f ca="1">MATCH(A66,FantasyPts!$A$5:$A$57,0)</f>
        <v>22</v>
      </c>
      <c r="F66">
        <f ca="1">OFFSET(FantasyPts!$C$4,E66,0)</f>
        <v>0</v>
      </c>
      <c r="G66" t="s">
        <v>125</v>
      </c>
      <c r="H66" t="e">
        <f t="shared" ca="1" si="28"/>
        <v>#REF!</v>
      </c>
      <c r="K66" t="e">
        <f t="shared" ca="1" si="29"/>
        <v>#REF!</v>
      </c>
      <c r="L66">
        <f t="shared" si="33"/>
        <v>22</v>
      </c>
      <c r="M66" t="e">
        <f t="shared" ca="1" si="30"/>
        <v>#REF!</v>
      </c>
      <c r="N66" t="e">
        <f t="shared" ca="1" si="34"/>
        <v>#REF!</v>
      </c>
      <c r="O66" t="e">
        <f t="shared" ca="1" si="32"/>
        <v>#REF!</v>
      </c>
    </row>
    <row r="67" spans="1:15" x14ac:dyDescent="0.15">
      <c r="A67" s="65" t="s">
        <v>171</v>
      </c>
      <c r="B67" t="s">
        <v>175</v>
      </c>
      <c r="C67">
        <v>2</v>
      </c>
      <c r="D67">
        <f t="array" ref="D67">SUM(IF($3:$13=A67,1,0))</f>
        <v>0</v>
      </c>
      <c r="E67">
        <f ca="1">MATCH(A67,FantasyPts!$A$5:$A$57,0)</f>
        <v>23</v>
      </c>
      <c r="F67">
        <f ca="1">OFFSET(FantasyPts!$C$4,E67,0)</f>
        <v>0</v>
      </c>
      <c r="G67" t="s">
        <v>13</v>
      </c>
      <c r="H67" t="e">
        <f t="shared" ca="1" si="28"/>
        <v>#REF!</v>
      </c>
      <c r="K67" t="e">
        <f t="shared" ca="1" si="29"/>
        <v>#REF!</v>
      </c>
      <c r="L67">
        <f t="shared" si="33"/>
        <v>23</v>
      </c>
      <c r="M67" t="e">
        <f t="shared" ca="1" si="30"/>
        <v>#REF!</v>
      </c>
      <c r="N67" t="e">
        <f t="shared" ca="1" si="34"/>
        <v>#REF!</v>
      </c>
      <c r="O67" t="e">
        <f t="shared" ca="1" si="32"/>
        <v>#REF!</v>
      </c>
    </row>
    <row r="68" spans="1:15" x14ac:dyDescent="0.15">
      <c r="A68" s="65" t="s">
        <v>150</v>
      </c>
      <c r="B68" t="s">
        <v>151</v>
      </c>
      <c r="C68">
        <v>2</v>
      </c>
      <c r="D68">
        <f t="array" ref="D68">SUM(IF($3:$13=A68,1,0))</f>
        <v>0</v>
      </c>
      <c r="E68">
        <f ca="1">MATCH(A68,FantasyPts!$A$5:$A$57,0)</f>
        <v>24</v>
      </c>
      <c r="F68">
        <f ca="1">OFFSET(FantasyPts!$C$4,E68,0)</f>
        <v>0</v>
      </c>
      <c r="G68" t="s">
        <v>125</v>
      </c>
      <c r="H68" t="e">
        <f t="shared" ca="1" si="28"/>
        <v>#REF!</v>
      </c>
      <c r="K68" t="e">
        <f t="shared" ca="1" si="29"/>
        <v>#REF!</v>
      </c>
      <c r="L68">
        <f t="shared" si="33"/>
        <v>24</v>
      </c>
      <c r="M68" t="e">
        <f t="shared" ca="1" si="30"/>
        <v>#REF!</v>
      </c>
      <c r="N68" t="e">
        <f t="shared" ca="1" si="34"/>
        <v>#REF!</v>
      </c>
      <c r="O68" t="e">
        <f t="shared" ca="1" si="32"/>
        <v>#REF!</v>
      </c>
    </row>
    <row r="69" spans="1:15" x14ac:dyDescent="0.15">
      <c r="A69" s="65" t="s">
        <v>53</v>
      </c>
      <c r="B69" t="s">
        <v>56</v>
      </c>
      <c r="C69">
        <v>3</v>
      </c>
      <c r="D69">
        <f t="array" ref="D69">SUM(IF($3:$13=A69,1,0))</f>
        <v>0</v>
      </c>
      <c r="E69">
        <f ca="1">MATCH(A69,FantasyPts!$A$5:$A$57,0)</f>
        <v>25</v>
      </c>
      <c r="F69">
        <f ca="1">OFFSET(FantasyPts!$C$4,E69,0)</f>
        <v>0</v>
      </c>
      <c r="G69" t="s">
        <v>125</v>
      </c>
      <c r="H69" t="e">
        <f t="shared" ca="1" si="28"/>
        <v>#REF!</v>
      </c>
      <c r="K69" t="e">
        <f t="shared" ca="1" si="29"/>
        <v>#REF!</v>
      </c>
      <c r="L69">
        <f t="shared" si="33"/>
        <v>25</v>
      </c>
      <c r="M69" t="e">
        <f t="shared" ca="1" si="30"/>
        <v>#REF!</v>
      </c>
      <c r="N69" t="e">
        <f t="shared" ca="1" si="34"/>
        <v>#REF!</v>
      </c>
      <c r="O69" t="e">
        <f t="shared" ca="1" si="32"/>
        <v>#REF!</v>
      </c>
    </row>
    <row r="70" spans="1:15" x14ac:dyDescent="0.15">
      <c r="A70" s="65" t="s">
        <v>69</v>
      </c>
      <c r="B70" t="s">
        <v>66</v>
      </c>
      <c r="C70">
        <v>3</v>
      </c>
      <c r="D70">
        <f t="array" ref="D70">SUM(IF($3:$13=A70,1,0))</f>
        <v>0</v>
      </c>
      <c r="E70">
        <f ca="1">MATCH(A70,FantasyPts!$A$5:$A$57,0)</f>
        <v>26</v>
      </c>
      <c r="F70">
        <f ca="1">OFFSET(FantasyPts!$C$4,E70,0)</f>
        <v>0</v>
      </c>
      <c r="G70" t="s">
        <v>13</v>
      </c>
      <c r="H70" t="e">
        <f t="shared" ca="1" si="28"/>
        <v>#REF!</v>
      </c>
      <c r="K70" t="e">
        <f t="shared" ca="1" si="29"/>
        <v>#REF!</v>
      </c>
      <c r="L70">
        <f t="shared" si="33"/>
        <v>26</v>
      </c>
      <c r="M70" t="e">
        <f t="shared" ca="1" si="30"/>
        <v>#REF!</v>
      </c>
      <c r="N70" t="e">
        <f t="shared" ca="1" si="34"/>
        <v>#REF!</v>
      </c>
      <c r="O70" t="e">
        <f t="shared" ca="1" si="32"/>
        <v>#REF!</v>
      </c>
    </row>
    <row r="71" spans="1:15" x14ac:dyDescent="0.15">
      <c r="A71" s="65" t="s">
        <v>52</v>
      </c>
      <c r="B71" t="s">
        <v>61</v>
      </c>
      <c r="C71">
        <v>5</v>
      </c>
      <c r="D71">
        <f t="array" ref="D71">SUM(IF($3:$13=A71,1,0))</f>
        <v>0</v>
      </c>
      <c r="E71">
        <f ca="1">MATCH(A71,FantasyPts!$A$5:$A$57,0)</f>
        <v>27</v>
      </c>
      <c r="F71">
        <f ca="1">OFFSET(FantasyPts!$C$4,E71,0)</f>
        <v>0</v>
      </c>
      <c r="G71" t="s">
        <v>124</v>
      </c>
      <c r="H71" t="e">
        <f t="shared" ca="1" si="28"/>
        <v>#REF!</v>
      </c>
      <c r="K71" t="e">
        <f t="shared" ca="1" si="29"/>
        <v>#REF!</v>
      </c>
      <c r="L71">
        <f t="shared" si="33"/>
        <v>27</v>
      </c>
      <c r="M71" t="e">
        <f t="shared" ca="1" si="30"/>
        <v>#REF!</v>
      </c>
      <c r="N71" t="e">
        <f t="shared" ca="1" si="34"/>
        <v>#REF!</v>
      </c>
      <c r="O71" t="e">
        <f t="shared" ca="1" si="32"/>
        <v>#REF!</v>
      </c>
    </row>
    <row r="72" spans="1:15" x14ac:dyDescent="0.15">
      <c r="A72" s="65" t="s">
        <v>68</v>
      </c>
      <c r="B72" t="s">
        <v>158</v>
      </c>
      <c r="C72">
        <v>3</v>
      </c>
      <c r="D72">
        <f t="array" ref="D72">SUM(IF($3:$13=A72,1,0))</f>
        <v>0</v>
      </c>
      <c r="E72">
        <f ca="1">MATCH(A72,FantasyPts!$A$5:$A$57,0)</f>
        <v>28</v>
      </c>
      <c r="F72">
        <f ca="1">OFFSET(FantasyPts!$C$4,E72,0)</f>
        <v>0</v>
      </c>
      <c r="G72" t="s">
        <v>124</v>
      </c>
      <c r="H72" t="e">
        <f t="shared" ca="1" si="28"/>
        <v>#REF!</v>
      </c>
      <c r="K72" t="e">
        <f t="shared" ca="1" si="29"/>
        <v>#REF!</v>
      </c>
      <c r="L72">
        <f t="shared" si="33"/>
        <v>28</v>
      </c>
      <c r="M72" t="e">
        <f t="shared" ca="1" si="30"/>
        <v>#REF!</v>
      </c>
      <c r="N72" t="e">
        <f t="shared" ca="1" si="34"/>
        <v>#REF!</v>
      </c>
      <c r="O72" t="e">
        <f t="shared" ca="1" si="32"/>
        <v>#REF!</v>
      </c>
    </row>
    <row r="73" spans="1:15" x14ac:dyDescent="0.15">
      <c r="A73" s="65" t="s">
        <v>122</v>
      </c>
      <c r="B73" t="s">
        <v>123</v>
      </c>
      <c r="C73">
        <v>9</v>
      </c>
      <c r="D73">
        <f t="array" ref="D73">SUM(IF($3:$13=A73,1,0))</f>
        <v>0</v>
      </c>
      <c r="E73">
        <f ca="1">MATCH(A73,FantasyPts!$A$5:$A$57,0)</f>
        <v>29</v>
      </c>
      <c r="F73">
        <f ca="1">OFFSET(FantasyPts!$C$4,E73,0)</f>
        <v>0</v>
      </c>
      <c r="G73" t="s">
        <v>13</v>
      </c>
      <c r="H73" t="e">
        <f t="shared" ca="1" si="28"/>
        <v>#REF!</v>
      </c>
      <c r="K73" t="e">
        <f t="shared" ca="1" si="29"/>
        <v>#REF!</v>
      </c>
      <c r="L73">
        <f t="shared" si="33"/>
        <v>29</v>
      </c>
      <c r="M73" t="e">
        <f t="shared" ca="1" si="30"/>
        <v>#REF!</v>
      </c>
      <c r="N73" t="e">
        <f t="shared" ca="1" si="34"/>
        <v>#REF!</v>
      </c>
      <c r="O73" t="e">
        <f t="shared" ca="1" si="32"/>
        <v>#REF!</v>
      </c>
    </row>
    <row r="74" spans="1:15" x14ac:dyDescent="0.15">
      <c r="A74" s="65" t="s">
        <v>49</v>
      </c>
      <c r="B74" t="s">
        <v>97</v>
      </c>
      <c r="C74">
        <v>4</v>
      </c>
      <c r="D74">
        <f t="array" ref="D74">SUM(IF($3:$13=A74,1,0))</f>
        <v>0</v>
      </c>
      <c r="E74">
        <f ca="1">MATCH(A74,FantasyPts!$A$5:$A$57,0)</f>
        <v>30</v>
      </c>
      <c r="F74">
        <f ca="1">OFFSET(FantasyPts!$C$4,E74,0)</f>
        <v>0</v>
      </c>
      <c r="G74" t="s">
        <v>124</v>
      </c>
      <c r="H74" t="e">
        <f t="shared" ca="1" si="28"/>
        <v>#REF!</v>
      </c>
      <c r="K74" t="e">
        <f t="shared" ca="1" si="29"/>
        <v>#REF!</v>
      </c>
      <c r="L74">
        <f t="shared" si="33"/>
        <v>30</v>
      </c>
      <c r="M74" t="e">
        <f t="shared" ca="1" si="30"/>
        <v>#REF!</v>
      </c>
      <c r="N74" t="e">
        <f t="shared" ca="1" si="34"/>
        <v>#REF!</v>
      </c>
      <c r="O74" t="e">
        <f t="shared" ca="1" si="32"/>
        <v>#REF!</v>
      </c>
    </row>
    <row r="75" spans="1:15" x14ac:dyDescent="0.15">
      <c r="A75" s="65" t="s">
        <v>161</v>
      </c>
      <c r="B75" t="s">
        <v>176</v>
      </c>
      <c r="C75">
        <v>2</v>
      </c>
      <c r="D75">
        <f t="array" ref="D75">SUM(IF($3:$13=A75,1,0))</f>
        <v>0</v>
      </c>
      <c r="E75">
        <f ca="1">MATCH(A75,FantasyPts!$A$5:$A$57,0)</f>
        <v>31</v>
      </c>
      <c r="F75">
        <f ca="1">OFFSET(FantasyPts!$C$4,E75,0)</f>
        <v>0</v>
      </c>
      <c r="G75" t="s">
        <v>125</v>
      </c>
      <c r="H75" t="e">
        <f t="shared" ca="1" si="28"/>
        <v>#REF!</v>
      </c>
      <c r="K75" t="e">
        <f t="shared" ca="1" si="29"/>
        <v>#REF!</v>
      </c>
      <c r="L75">
        <f t="shared" si="33"/>
        <v>31</v>
      </c>
      <c r="M75" t="e">
        <f t="shared" ca="1" si="30"/>
        <v>#REF!</v>
      </c>
      <c r="N75" t="e">
        <f t="shared" ca="1" si="34"/>
        <v>#REF!</v>
      </c>
      <c r="O75" t="e">
        <f t="shared" ca="1" si="32"/>
        <v>#REF!</v>
      </c>
    </row>
    <row r="76" spans="1:15" x14ac:dyDescent="0.15">
      <c r="A76" s="65" t="s">
        <v>149</v>
      </c>
      <c r="B76" t="s">
        <v>159</v>
      </c>
      <c r="C76">
        <v>2</v>
      </c>
      <c r="D76">
        <f t="array" ref="D76">SUM(IF($3:$13=A76,1,0))</f>
        <v>0</v>
      </c>
      <c r="E76">
        <f ca="1">MATCH(A76,FantasyPts!$A$5:$A$57,0)</f>
        <v>32</v>
      </c>
      <c r="F76">
        <f ca="1">OFFSET(FantasyPts!$C$4,E76,0)</f>
        <v>0</v>
      </c>
      <c r="G76" t="s">
        <v>124</v>
      </c>
      <c r="H76" t="e">
        <f t="shared" ca="1" si="28"/>
        <v>#REF!</v>
      </c>
      <c r="K76" t="e">
        <f t="shared" ca="1" si="29"/>
        <v>#REF!</v>
      </c>
      <c r="L76">
        <f t="shared" si="33"/>
        <v>32</v>
      </c>
      <c r="M76" t="e">
        <f t="shared" ca="1" si="30"/>
        <v>#REF!</v>
      </c>
      <c r="N76" t="e">
        <f t="shared" ca="1" si="34"/>
        <v>#REF!</v>
      </c>
      <c r="O76" t="e">
        <f t="shared" ca="1" si="32"/>
        <v>#REF!</v>
      </c>
    </row>
    <row r="77" spans="1:15" x14ac:dyDescent="0.15">
      <c r="A77" s="65" t="s">
        <v>160</v>
      </c>
      <c r="B77" t="s">
        <v>177</v>
      </c>
      <c r="C77">
        <v>2</v>
      </c>
      <c r="D77">
        <f t="array" ref="D77">SUM(IF($3:$13=A77,1,0))</f>
        <v>0</v>
      </c>
      <c r="E77">
        <f ca="1">MATCH(A77,FantasyPts!$A$5:$A$57,0)</f>
        <v>33</v>
      </c>
      <c r="F77">
        <f ca="1">OFFSET(FantasyPts!$C$4,E77,0)</f>
        <v>0</v>
      </c>
      <c r="G77" t="s">
        <v>124</v>
      </c>
      <c r="H77" t="e">
        <f t="shared" ca="1" si="28"/>
        <v>#REF!</v>
      </c>
      <c r="K77" t="e">
        <f t="shared" ca="1" si="29"/>
        <v>#REF!</v>
      </c>
      <c r="L77">
        <f t="shared" si="33"/>
        <v>33</v>
      </c>
      <c r="M77" t="e">
        <f t="shared" ca="1" si="30"/>
        <v>#REF!</v>
      </c>
      <c r="N77" t="e">
        <f t="shared" ca="1" si="34"/>
        <v>#REF!</v>
      </c>
      <c r="O77" t="e">
        <f t="shared" ca="1" si="32"/>
        <v>#REF!</v>
      </c>
    </row>
    <row r="78" spans="1:15" x14ac:dyDescent="0.15">
      <c r="A78" s="65" t="s">
        <v>38</v>
      </c>
      <c r="B78" t="s">
        <v>54</v>
      </c>
      <c r="C78">
        <v>3</v>
      </c>
      <c r="D78">
        <f t="array" ref="D78">SUM(IF($3:$13=A78,1,0))</f>
        <v>0</v>
      </c>
      <c r="E78">
        <f ca="1">MATCH(A78,FantasyPts!$A$5:$A$57,0)</f>
        <v>34</v>
      </c>
      <c r="F78">
        <f ca="1">OFFSET(FantasyPts!$C$4,E78,0)</f>
        <v>0</v>
      </c>
      <c r="G78" t="s">
        <v>13</v>
      </c>
      <c r="H78" t="e">
        <f t="shared" ca="1" si="28"/>
        <v>#REF!</v>
      </c>
      <c r="K78" t="e">
        <f t="shared" ca="1" si="29"/>
        <v>#REF!</v>
      </c>
      <c r="L78">
        <f t="shared" si="33"/>
        <v>34</v>
      </c>
      <c r="M78" t="e">
        <f t="shared" ca="1" si="30"/>
        <v>#REF!</v>
      </c>
      <c r="N78" t="e">
        <f t="shared" ca="1" si="34"/>
        <v>#REF!</v>
      </c>
      <c r="O78" t="e">
        <f t="shared" ca="1" si="32"/>
        <v>#REF!</v>
      </c>
    </row>
    <row r="79" spans="1:15" x14ac:dyDescent="0.15">
      <c r="A79" s="65" t="s">
        <v>48</v>
      </c>
      <c r="B79" t="s">
        <v>98</v>
      </c>
      <c r="C79">
        <v>13</v>
      </c>
      <c r="D79">
        <f t="array" ref="D79">SUM(IF($3:$13=A79,1,0))</f>
        <v>0</v>
      </c>
      <c r="E79">
        <f ca="1">MATCH(A79,FantasyPts!$A$5:$A$57,0)</f>
        <v>35</v>
      </c>
      <c r="F79">
        <f ca="1">OFFSET(FantasyPts!$C$4,E79,0)</f>
        <v>0</v>
      </c>
      <c r="G79" t="s">
        <v>126</v>
      </c>
      <c r="H79" t="e">
        <f t="shared" ca="1" si="28"/>
        <v>#REF!</v>
      </c>
      <c r="K79" t="e">
        <f t="shared" ca="1" si="29"/>
        <v>#REF!</v>
      </c>
      <c r="L79">
        <f t="shared" si="33"/>
        <v>35</v>
      </c>
      <c r="M79" t="e">
        <f t="shared" ca="1" si="30"/>
        <v>#REF!</v>
      </c>
      <c r="N79" t="e">
        <f t="shared" ref="N79:N87" ca="1" si="35">IF(K79=0,"",K79)</f>
        <v>#REF!</v>
      </c>
      <c r="O79" t="e">
        <f t="shared" ca="1" si="32"/>
        <v>#REF!</v>
      </c>
    </row>
    <row r="80" spans="1:15" x14ac:dyDescent="0.15">
      <c r="A80" s="65" t="s">
        <v>44</v>
      </c>
      <c r="B80" t="s">
        <v>55</v>
      </c>
      <c r="C80">
        <v>4</v>
      </c>
      <c r="D80">
        <f t="array" ref="D80">SUM(IF($3:$13=A80,1,0))</f>
        <v>0</v>
      </c>
      <c r="E80">
        <f ca="1">MATCH(A80,FantasyPts!$A$5:$A$57,0)</f>
        <v>36</v>
      </c>
      <c r="F80">
        <f ca="1">OFFSET(FantasyPts!$C$4,E80,0)</f>
        <v>0</v>
      </c>
      <c r="G80" t="s">
        <v>124</v>
      </c>
      <c r="H80" t="e">
        <f t="shared" ca="1" si="28"/>
        <v>#REF!</v>
      </c>
      <c r="K80" t="e">
        <f t="shared" ca="1" si="29"/>
        <v>#REF!</v>
      </c>
      <c r="L80">
        <f t="shared" si="33"/>
        <v>36</v>
      </c>
      <c r="M80" t="e">
        <f t="shared" ca="1" si="30"/>
        <v>#REF!</v>
      </c>
      <c r="N80" t="e">
        <f t="shared" ca="1" si="35"/>
        <v>#REF!</v>
      </c>
      <c r="O80" t="e">
        <f t="shared" ca="1" si="32"/>
        <v>#REF!</v>
      </c>
    </row>
    <row r="81" spans="1:15" x14ac:dyDescent="0.15">
      <c r="A81" s="65"/>
      <c r="H81" t="e">
        <f t="shared" ca="1" si="28"/>
        <v>#REF!</v>
      </c>
      <c r="K81" t="e">
        <f t="shared" ca="1" si="29"/>
        <v>#REF!</v>
      </c>
      <c r="L81">
        <f t="shared" si="33"/>
        <v>37</v>
      </c>
      <c r="M81" t="e">
        <f t="shared" ca="1" si="30"/>
        <v>#REF!</v>
      </c>
      <c r="N81" t="e">
        <f t="shared" ca="1" si="35"/>
        <v>#REF!</v>
      </c>
      <c r="O81" t="e">
        <f t="shared" ca="1" si="32"/>
        <v>#REF!</v>
      </c>
    </row>
    <row r="82" spans="1:15" x14ac:dyDescent="0.15">
      <c r="A82" s="65"/>
      <c r="H82" t="e">
        <f t="shared" ca="1" si="28"/>
        <v>#REF!</v>
      </c>
      <c r="K82" t="e">
        <f t="shared" ca="1" si="29"/>
        <v>#REF!</v>
      </c>
      <c r="L82">
        <f t="shared" si="33"/>
        <v>38</v>
      </c>
      <c r="M82" t="e">
        <f t="shared" ca="1" si="30"/>
        <v>#REF!</v>
      </c>
      <c r="N82" t="e">
        <f t="shared" ca="1" si="35"/>
        <v>#REF!</v>
      </c>
      <c r="O82" t="e">
        <f t="shared" ca="1" si="32"/>
        <v>#REF!</v>
      </c>
    </row>
    <row r="83" spans="1:15" x14ac:dyDescent="0.15">
      <c r="A83" s="65"/>
      <c r="H83" t="e">
        <f t="shared" ca="1" si="28"/>
        <v>#REF!</v>
      </c>
      <c r="K83" t="e">
        <f t="shared" ca="1" si="29"/>
        <v>#REF!</v>
      </c>
      <c r="L83">
        <f t="shared" si="33"/>
        <v>39</v>
      </c>
      <c r="M83" t="e">
        <f t="shared" ca="1" si="30"/>
        <v>#REF!</v>
      </c>
      <c r="N83" t="e">
        <f t="shared" ca="1" si="35"/>
        <v>#REF!</v>
      </c>
      <c r="O83" t="e">
        <f t="shared" ca="1" si="32"/>
        <v>#REF!</v>
      </c>
    </row>
    <row r="84" spans="1:15" x14ac:dyDescent="0.15">
      <c r="A84" s="65"/>
      <c r="H84" t="e">
        <f t="shared" ca="1" si="28"/>
        <v>#REF!</v>
      </c>
      <c r="K84" t="e">
        <f t="shared" ca="1" si="29"/>
        <v>#REF!</v>
      </c>
      <c r="L84">
        <f t="shared" si="33"/>
        <v>40</v>
      </c>
      <c r="M84" t="e">
        <f t="shared" ca="1" si="30"/>
        <v>#REF!</v>
      </c>
      <c r="N84" t="e">
        <f t="shared" ca="1" si="35"/>
        <v>#REF!</v>
      </c>
      <c r="O84" t="e">
        <f t="shared" ca="1" si="32"/>
        <v>#REF!</v>
      </c>
    </row>
    <row r="85" spans="1:15" x14ac:dyDescent="0.15">
      <c r="A85" s="65"/>
      <c r="H85" t="e">
        <f t="shared" ca="1" si="28"/>
        <v>#REF!</v>
      </c>
      <c r="K85" t="e">
        <f t="shared" ca="1" si="29"/>
        <v>#REF!</v>
      </c>
      <c r="L85">
        <f t="shared" si="33"/>
        <v>41</v>
      </c>
      <c r="M85" t="e">
        <f t="shared" ca="1" si="30"/>
        <v>#REF!</v>
      </c>
      <c r="N85" t="e">
        <f t="shared" ca="1" si="35"/>
        <v>#REF!</v>
      </c>
      <c r="O85" t="e">
        <f t="shared" ca="1" si="32"/>
        <v>#REF!</v>
      </c>
    </row>
    <row r="86" spans="1:15" x14ac:dyDescent="0.15">
      <c r="A86" s="65"/>
      <c r="K86" t="e">
        <f t="shared" ca="1" si="29"/>
        <v>#REF!</v>
      </c>
      <c r="L86">
        <f t="shared" si="33"/>
        <v>42</v>
      </c>
      <c r="M86" t="e">
        <f t="shared" ca="1" si="30"/>
        <v>#REF!</v>
      </c>
      <c r="N86" t="e">
        <f t="shared" ca="1" si="35"/>
        <v>#REF!</v>
      </c>
      <c r="O86" t="e">
        <f t="shared" ca="1" si="32"/>
        <v>#REF!</v>
      </c>
    </row>
    <row r="87" spans="1:15" x14ac:dyDescent="0.15">
      <c r="A87" s="65"/>
      <c r="K87" t="e">
        <f t="shared" ca="1" si="29"/>
        <v>#REF!</v>
      </c>
      <c r="L87">
        <f t="shared" si="33"/>
        <v>43</v>
      </c>
      <c r="M87" t="e">
        <f t="shared" ca="1" si="30"/>
        <v>#REF!</v>
      </c>
      <c r="N87" t="e">
        <f t="shared" ca="1" si="35"/>
        <v>#REF!</v>
      </c>
      <c r="O87" t="e">
        <f t="shared" ca="1" si="32"/>
        <v>#REF!</v>
      </c>
    </row>
    <row r="89" spans="1:15" x14ac:dyDescent="0.15">
      <c r="G89" t="s">
        <v>126</v>
      </c>
      <c r="H89">
        <f t="array" ref="H89">SUM(IF($G$45:$G$87=G89,1,0))</f>
        <v>6</v>
      </c>
    </row>
    <row r="90" spans="1:15" x14ac:dyDescent="0.15">
      <c r="G90" t="s">
        <v>124</v>
      </c>
      <c r="H90">
        <f t="array" ref="H90">SUM(IF($G$45:$G$87=G90,1,0))</f>
        <v>14</v>
      </c>
    </row>
    <row r="91" spans="1:15" x14ac:dyDescent="0.15">
      <c r="G91" t="s">
        <v>125</v>
      </c>
      <c r="H91">
        <f t="array" ref="H91">SUM(IF($G$45:$G$87=G91,1,0))</f>
        <v>11</v>
      </c>
    </row>
    <row r="92" spans="1:15" x14ac:dyDescent="0.15">
      <c r="G92" t="s">
        <v>13</v>
      </c>
      <c r="H92">
        <f t="array" ref="H92">SUM(IF($G$45:$G$87=G92,1,0))</f>
        <v>5</v>
      </c>
    </row>
    <row r="93" spans="1:15" x14ac:dyDescent="0.15">
      <c r="G93" t="s">
        <v>141</v>
      </c>
      <c r="H93">
        <f>SUM(H89:H92)</f>
        <v>36</v>
      </c>
    </row>
  </sheetData>
  <phoneticPr fontId="0" type="noConversion"/>
  <pageMargins left="0.75" right="0.75" top="1" bottom="1" header="0.5" footer="0.5"/>
  <pageSetup paperSize="9" orientation="portrait" horizontalDpi="300" verticalDpi="300" r:id="rId1"/>
  <headerFooter alignWithMargins="0">
    <oddHeader>&amp;A</oddHeader>
    <oddFooter>Page &amp;P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T52"/>
  <sheetViews>
    <sheetView workbookViewId="0"/>
  </sheetViews>
  <sheetFormatPr defaultRowHeight="11.25" x14ac:dyDescent="0.2"/>
  <cols>
    <col min="1" max="1" width="9.28515625" style="5" bestFit="1" customWidth="1"/>
    <col min="2" max="2" width="16.7109375" style="5" bestFit="1" customWidth="1"/>
    <col min="3" max="3" width="4.28515625" style="9" bestFit="1" customWidth="1"/>
    <col min="4" max="4" width="5.85546875" style="5" customWidth="1"/>
    <col min="5" max="5" width="5.85546875" style="5" hidden="1" customWidth="1"/>
    <col min="6" max="6" width="5.7109375" style="5" bestFit="1" customWidth="1"/>
    <col min="7" max="7" width="4.42578125" style="5" hidden="1" customWidth="1"/>
    <col min="8" max="8" width="6.5703125" style="5" bestFit="1" customWidth="1"/>
    <col min="9" max="9" width="6.140625" style="5" bestFit="1" customWidth="1"/>
    <col min="10" max="10" width="4.42578125" style="5" bestFit="1" customWidth="1"/>
    <col min="11" max="11" width="5.85546875" style="5" bestFit="1" customWidth="1"/>
    <col min="12" max="12" width="7.85546875" style="5" hidden="1" customWidth="1"/>
    <col min="13" max="13" width="6.42578125" style="5" hidden="1" customWidth="1"/>
    <col min="14" max="14" width="4.42578125" style="5" hidden="1" customWidth="1"/>
    <col min="15" max="15" width="2.7109375" style="5" bestFit="1" customWidth="1"/>
    <col min="16" max="16" width="12.7109375" style="5" bestFit="1" customWidth="1"/>
    <col min="17" max="17" width="5.7109375" style="7" bestFit="1" customWidth="1"/>
    <col min="18" max="18" width="4.42578125" style="5" bestFit="1" customWidth="1"/>
    <col min="19" max="16384" width="9.140625" style="5"/>
  </cols>
  <sheetData>
    <row r="1" spans="1:20" x14ac:dyDescent="0.2">
      <c r="A1" s="5" t="s">
        <v>74</v>
      </c>
      <c r="C1" s="9">
        <v>89</v>
      </c>
    </row>
    <row r="2" spans="1:20" x14ac:dyDescent="0.2">
      <c r="A2" s="5" t="s">
        <v>75</v>
      </c>
      <c r="C2" s="9">
        <v>91</v>
      </c>
    </row>
    <row r="4" spans="1:20" ht="22.5" x14ac:dyDescent="0.2">
      <c r="A4" s="8"/>
      <c r="B4" s="8" t="s">
        <v>76</v>
      </c>
      <c r="C4" s="8" t="s">
        <v>77</v>
      </c>
      <c r="D4" s="8" t="s">
        <v>154</v>
      </c>
      <c r="E4" s="8" t="s">
        <v>78</v>
      </c>
      <c r="F4" s="8" t="s">
        <v>79</v>
      </c>
      <c r="G4" s="8" t="s">
        <v>80</v>
      </c>
      <c r="H4" s="8" t="s">
        <v>81</v>
      </c>
      <c r="I4" s="8" t="s">
        <v>82</v>
      </c>
      <c r="J4" s="8" t="s">
        <v>70</v>
      </c>
      <c r="K4" s="8" t="s">
        <v>188</v>
      </c>
      <c r="M4" s="8" t="s">
        <v>83</v>
      </c>
    </row>
    <row r="5" spans="1:20" x14ac:dyDescent="0.2">
      <c r="A5" s="65" t="str">
        <f t="array" aca="1" ref="A5:B46" ca="1">OFFSET('Fantasy Teams'!A45,0,0,FantasyPlayerCount,2)</f>
        <v>ADHA</v>
      </c>
      <c r="B5" t="str">
        <f ca="1"/>
        <v>Adrian Hawksworth</v>
      </c>
      <c r="C5" s="9">
        <f t="shared" ref="C5:C17" ca="1" si="0">F5+H5+I5+D5</f>
        <v>0</v>
      </c>
      <c r="D5" s="9">
        <f ca="1">IF(NOT(ISNA(E5)),5*OFFSET(Batting!$CF$4,E5,0,1,1),0)</f>
        <v>0</v>
      </c>
      <c r="E5" s="9" t="e">
        <f ca="1">MATCH(A5,Batting!$A$5:$A$70,0)</f>
        <v>#N/A</v>
      </c>
      <c r="F5" s="9">
        <f ca="1">IF(NOT(ISNA(E5)),OFFSET(Batting!$B$4,E5,$C$1,1,1),0)</f>
        <v>0</v>
      </c>
      <c r="G5" s="9" t="e">
        <f ca="1">MATCH(A5,Bowling!$A$5:$A$51,0)</f>
        <v>#N/A</v>
      </c>
      <c r="H5" s="9">
        <f ca="1">IF(NOT(ISNA(G5)),OFFSET(Bowling!#REF!,G5,0,1,1),0)</f>
        <v>0</v>
      </c>
      <c r="I5" s="9">
        <f ca="1">IF(NOT(ISNA(E5)),OFFSET(Batting!$B$4,E5,$C$1+1,1,1),0)</f>
        <v>0</v>
      </c>
      <c r="J5" s="9">
        <f ca="1">VLOOKUP(A5,'Fantasy Teams'!$A$45:$C$87,3,FALSE)</f>
        <v>3</v>
      </c>
      <c r="K5" s="10">
        <f ca="1">INT(C5*1000/J5)/1000</f>
        <v>0</v>
      </c>
      <c r="L5" s="5">
        <f ca="1">K5+ROW(K5)/100000</f>
        <v>5.0000000000000002E-5</v>
      </c>
      <c r="M5" s="5">
        <f ca="1">RANK(L5,$L$5:$L$40)</f>
        <v>36</v>
      </c>
      <c r="N5" s="5">
        <f ca="1">MATCH(O5,$M$5:$M$55,0)</f>
        <v>36</v>
      </c>
      <c r="O5" s="5">
        <v>1</v>
      </c>
      <c r="P5" s="5" t="str">
        <f t="shared" ref="P5:P31" ca="1" si="1">OFFSET($B$4,N5,0)</f>
        <v>Vince Reid</v>
      </c>
      <c r="Q5" s="7">
        <f t="shared" ref="Q5:Q31" ca="1" si="2">OFFSET($K$4,N5,0)</f>
        <v>0</v>
      </c>
      <c r="R5" s="5">
        <f t="shared" ref="R5:R46" ca="1" si="3">OFFSET($J$4,N5,0)</f>
        <v>4</v>
      </c>
    </row>
    <row r="6" spans="1:20" x14ac:dyDescent="0.2">
      <c r="A6" s="65" t="str">
        <f ca="1"/>
        <v>ADLE</v>
      </c>
      <c r="B6" t="str">
        <f ca="1"/>
        <v>Adam Lestrelle</v>
      </c>
      <c r="C6" s="9">
        <f t="shared" ca="1" si="0"/>
        <v>0</v>
      </c>
      <c r="D6" s="9">
        <f ca="1">IF(NOT(ISNA(E6)),5*OFFSET(Batting!$CF$4,E6,0,1,1),0)</f>
        <v>0</v>
      </c>
      <c r="E6" s="9" t="e">
        <f ca="1">MATCH(A6,Batting!$A$5:$A$70,0)</f>
        <v>#N/A</v>
      </c>
      <c r="F6" s="9">
        <f ca="1">IF(NOT(ISNA(E6)),OFFSET(Batting!$B$4,E6,$C$1,1,1),0)</f>
        <v>0</v>
      </c>
      <c r="G6" s="9" t="e">
        <f ca="1">MATCH(A6,Bowling!$A$5:$A$51,0)</f>
        <v>#N/A</v>
      </c>
      <c r="H6" s="9">
        <f ca="1">IF(NOT(ISNA(G6)),OFFSET(Bowling!#REF!,G6,0,1,1),0)</f>
        <v>0</v>
      </c>
      <c r="I6" s="9">
        <f ca="1">IF(NOT(ISNA(E6)),OFFSET(Batting!$B$4,E6,$C$1+1,1,1),0)</f>
        <v>0</v>
      </c>
      <c r="J6" s="9">
        <f ca="1">VLOOKUP(A6,'Fantasy Teams'!$A$45:$C$87,3,FALSE)</f>
        <v>2</v>
      </c>
      <c r="K6" s="10">
        <f t="shared" ref="K6:K46" ca="1" si="4">INT(C6*1000/J6)/1000</f>
        <v>0</v>
      </c>
      <c r="L6" s="5">
        <f t="shared" ref="L6:L46" ca="1" si="5">K6+ROW(K6)/100000</f>
        <v>6.0000000000000002E-5</v>
      </c>
      <c r="M6" s="5">
        <f t="shared" ref="M6:M46" ca="1" si="6">RANK(L6,$L$5:$L$40)</f>
        <v>35</v>
      </c>
      <c r="N6" s="5">
        <f t="shared" ref="N6:N46" ca="1" si="7">MATCH(O6,$M$5:$M$55,0)</f>
        <v>35</v>
      </c>
      <c r="O6" s="5">
        <f>O5+1</f>
        <v>2</v>
      </c>
      <c r="P6" s="5" t="str">
        <f t="shared" ca="1" si="1"/>
        <v>Tony Springer</v>
      </c>
      <c r="Q6" s="7">
        <f t="shared" ca="1" si="2"/>
        <v>0</v>
      </c>
      <c r="R6" s="5">
        <f t="shared" ca="1" si="3"/>
        <v>13</v>
      </c>
    </row>
    <row r="7" spans="1:20" x14ac:dyDescent="0.2">
      <c r="A7" s="65" t="str">
        <f ca="1"/>
        <v>AICO</v>
      </c>
      <c r="B7" t="str">
        <f ca="1"/>
        <v>Aiden Coloe</v>
      </c>
      <c r="C7" s="9">
        <f t="shared" ca="1" si="0"/>
        <v>0</v>
      </c>
      <c r="D7" s="9">
        <f ca="1">IF(NOT(ISNA(E7)),5*OFFSET(Batting!$CF$4,E7,0,1,1),0)</f>
        <v>0</v>
      </c>
      <c r="E7" s="9" t="e">
        <f ca="1">MATCH(A7,Batting!$A$5:$A$70,0)</f>
        <v>#N/A</v>
      </c>
      <c r="F7" s="9">
        <f ca="1">IF(NOT(ISNA(E7)),OFFSET(Batting!$B$4,E7,$C$1,1,1),0)</f>
        <v>0</v>
      </c>
      <c r="G7" s="9" t="e">
        <f ca="1">MATCH(A7,Bowling!$A$5:$A$51,0)</f>
        <v>#N/A</v>
      </c>
      <c r="H7" s="9">
        <f ca="1">IF(NOT(ISNA(G7)),OFFSET(Bowling!#REF!,G7,0,1,1),0)</f>
        <v>0</v>
      </c>
      <c r="I7" s="9">
        <f ca="1">IF(NOT(ISNA(E7)),OFFSET(Batting!$B$4,E7,$C$1+1,1,1),0)</f>
        <v>0</v>
      </c>
      <c r="J7" s="9">
        <f ca="1">VLOOKUP(A7,'Fantasy Teams'!$A$45:$C$87,3,FALSE)</f>
        <v>3</v>
      </c>
      <c r="K7" s="10">
        <f t="shared" ca="1" si="4"/>
        <v>0</v>
      </c>
      <c r="L7" s="5">
        <f t="shared" ca="1" si="5"/>
        <v>6.9999999999999994E-5</v>
      </c>
      <c r="M7" s="5">
        <f t="shared" ca="1" si="6"/>
        <v>34</v>
      </c>
      <c r="N7" s="5">
        <f t="shared" ca="1" si="7"/>
        <v>34</v>
      </c>
      <c r="O7" s="5">
        <f t="shared" ref="O7:O46" si="8">O6+1</f>
        <v>3</v>
      </c>
      <c r="P7" s="5" t="str">
        <f t="shared" ca="1" si="1"/>
        <v>Ted Dugdale</v>
      </c>
      <c r="Q7" s="7">
        <f t="shared" ca="1" si="2"/>
        <v>0</v>
      </c>
      <c r="R7" s="5">
        <f t="shared" ca="1" si="3"/>
        <v>3</v>
      </c>
    </row>
    <row r="8" spans="1:20" x14ac:dyDescent="0.2">
      <c r="A8" s="65" t="str">
        <f ca="1"/>
        <v>ANMA</v>
      </c>
      <c r="B8" t="str">
        <f ca="1"/>
        <v>Andy Mander</v>
      </c>
      <c r="C8" s="9">
        <f t="shared" ca="1" si="0"/>
        <v>0</v>
      </c>
      <c r="D8" s="9">
        <f ca="1">IF(NOT(ISNA(E8)),5*OFFSET(Batting!$CF$4,E8,0,1,1),0)</f>
        <v>0</v>
      </c>
      <c r="E8" s="9" t="e">
        <f ca="1">MATCH(A8,Batting!$A$5:$A$70,0)</f>
        <v>#N/A</v>
      </c>
      <c r="F8" s="9">
        <f ca="1">IF(NOT(ISNA(E8)),OFFSET(Batting!$B$4,E8,$C$1,1,1),0)</f>
        <v>0</v>
      </c>
      <c r="G8" s="9" t="e">
        <f ca="1">MATCH(A8,Bowling!$A$5:$A$51,0)</f>
        <v>#N/A</v>
      </c>
      <c r="H8" s="9">
        <f ca="1">IF(NOT(ISNA(G8)),OFFSET(Bowling!#REF!,G8,0,1,1),0)</f>
        <v>0</v>
      </c>
      <c r="I8" s="9">
        <f ca="1">IF(NOT(ISNA(E8)),OFFSET(Batting!$B$4,E8,$C$1+1,1,1),0)</f>
        <v>0</v>
      </c>
      <c r="J8" s="9">
        <f ca="1">VLOOKUP(A8,'Fantasy Teams'!$A$45:$C$87,3,FALSE)</f>
        <v>6</v>
      </c>
      <c r="K8" s="10">
        <f t="shared" ca="1" si="4"/>
        <v>0</v>
      </c>
      <c r="L8" s="5">
        <f t="shared" ca="1" si="5"/>
        <v>8.0000000000000007E-5</v>
      </c>
      <c r="M8" s="5">
        <f t="shared" ca="1" si="6"/>
        <v>33</v>
      </c>
      <c r="N8" s="5">
        <f t="shared" ca="1" si="7"/>
        <v>33</v>
      </c>
      <c r="O8" s="5">
        <f t="shared" si="8"/>
        <v>4</v>
      </c>
      <c r="P8" s="5" t="str">
        <f t="shared" ca="1" si="1"/>
        <v>Steve Barry</v>
      </c>
      <c r="Q8" s="7">
        <f t="shared" ca="1" si="2"/>
        <v>0</v>
      </c>
      <c r="R8" s="5">
        <f t="shared" ca="1" si="3"/>
        <v>2</v>
      </c>
    </row>
    <row r="9" spans="1:20" x14ac:dyDescent="0.2">
      <c r="A9" s="65" t="str">
        <f ca="1"/>
        <v>BOYO</v>
      </c>
      <c r="B9" t="str">
        <f ca="1"/>
        <v>Bob Young</v>
      </c>
      <c r="C9" s="9">
        <f t="shared" ca="1" si="0"/>
        <v>0</v>
      </c>
      <c r="D9" s="9">
        <f ca="1">IF(NOT(ISNA(E9)),5*OFFSET(Batting!$CF$4,E9,0,1,1),0)</f>
        <v>0</v>
      </c>
      <c r="E9" s="9" t="e">
        <f ca="1">MATCH(A9,Batting!$A$5:$A$70,0)</f>
        <v>#N/A</v>
      </c>
      <c r="F9" s="9">
        <f ca="1">IF(NOT(ISNA(E9)),OFFSET(Batting!$B$4,E9,$C$1,1,1),0)</f>
        <v>0</v>
      </c>
      <c r="G9" s="9" t="e">
        <f ca="1">MATCH(A9,Bowling!$A$5:$A$51,0)</f>
        <v>#N/A</v>
      </c>
      <c r="H9" s="9">
        <f ca="1">IF(NOT(ISNA(G9)),OFFSET(Bowling!#REF!,G9,0,1,1),0)</f>
        <v>0</v>
      </c>
      <c r="I9" s="9">
        <f ca="1">IF(NOT(ISNA(E9)),OFFSET(Batting!$B$4,E9,$C$1+1,1,1),0)</f>
        <v>0</v>
      </c>
      <c r="J9" s="9">
        <f ca="1">VLOOKUP(A9,'Fantasy Teams'!$A$45:$C$87,3,FALSE)</f>
        <v>4</v>
      </c>
      <c r="K9" s="10">
        <f t="shared" ca="1" si="4"/>
        <v>0</v>
      </c>
      <c r="L9" s="5">
        <f t="shared" ca="1" si="5"/>
        <v>9.0000000000000006E-5</v>
      </c>
      <c r="M9" s="5">
        <f t="shared" ca="1" si="6"/>
        <v>32</v>
      </c>
      <c r="N9" s="5">
        <f t="shared" ca="1" si="7"/>
        <v>32</v>
      </c>
      <c r="O9" s="5">
        <f t="shared" si="8"/>
        <v>5</v>
      </c>
      <c r="P9" s="5" t="str">
        <f t="shared" ca="1" si="1"/>
        <v>Roy Odeneal</v>
      </c>
      <c r="Q9" s="7">
        <f t="shared" ca="1" si="2"/>
        <v>0</v>
      </c>
      <c r="R9" s="5">
        <f t="shared" ca="1" si="3"/>
        <v>2</v>
      </c>
    </row>
    <row r="10" spans="1:20" x14ac:dyDescent="0.2">
      <c r="A10" s="65" t="str">
        <f ca="1"/>
        <v>CHCL</v>
      </c>
      <c r="B10" t="str">
        <f ca="1"/>
        <v>Chris Clark</v>
      </c>
      <c r="C10" s="9">
        <f t="shared" ca="1" si="0"/>
        <v>0</v>
      </c>
      <c r="D10" s="9">
        <f ca="1">IF(NOT(ISNA(E10)),5*OFFSET(Batting!$CF$4,E10,0,1,1),0)</f>
        <v>0</v>
      </c>
      <c r="E10" s="9" t="e">
        <f ca="1">MATCH(A10,Batting!$A$5:$A$70,0)</f>
        <v>#N/A</v>
      </c>
      <c r="F10" s="9">
        <f ca="1">IF(NOT(ISNA(E10)),OFFSET(Batting!$B$4,E10,$C$1,1,1),0)</f>
        <v>0</v>
      </c>
      <c r="G10" s="9" t="e">
        <f ca="1">MATCH(A10,Bowling!$A$5:$A$51,0)</f>
        <v>#N/A</v>
      </c>
      <c r="H10" s="9">
        <f ca="1">IF(NOT(ISNA(G10)),OFFSET(Bowling!#REF!,G10,0,1,1),0)</f>
        <v>0</v>
      </c>
      <c r="I10" s="9">
        <f ca="1">IF(NOT(ISNA(E10)),OFFSET(Batting!$B$4,E10,$C$1+1,1,1),0)</f>
        <v>0</v>
      </c>
      <c r="J10" s="9">
        <f ca="1">VLOOKUP(A10,'Fantasy Teams'!$A$45:$C$87,3,FALSE)</f>
        <v>6</v>
      </c>
      <c r="K10" s="10">
        <f t="shared" ca="1" si="4"/>
        <v>0</v>
      </c>
      <c r="L10" s="5">
        <f t="shared" ca="1" si="5"/>
        <v>1E-4</v>
      </c>
      <c r="M10" s="5">
        <f t="shared" ca="1" si="6"/>
        <v>31</v>
      </c>
      <c r="N10" s="5">
        <f t="shared" ca="1" si="7"/>
        <v>31</v>
      </c>
      <c r="O10" s="5">
        <f t="shared" si="8"/>
        <v>6</v>
      </c>
      <c r="P10" s="5" t="str">
        <f t="shared" ca="1" si="1"/>
        <v>Ron Morris</v>
      </c>
      <c r="Q10" s="7">
        <f t="shared" ca="1" si="2"/>
        <v>0</v>
      </c>
      <c r="R10" s="5">
        <f t="shared" ca="1" si="3"/>
        <v>2</v>
      </c>
    </row>
    <row r="11" spans="1:20" x14ac:dyDescent="0.2">
      <c r="A11" s="65" t="str">
        <f ca="1"/>
        <v>CLED</v>
      </c>
      <c r="B11" t="str">
        <f ca="1"/>
        <v>Clive Edghill</v>
      </c>
      <c r="C11" s="9">
        <f t="shared" ca="1" si="0"/>
        <v>0</v>
      </c>
      <c r="D11" s="9">
        <f ca="1">IF(NOT(ISNA(E11)),5*OFFSET(Batting!$CF$4,E11,0,1,1),0)</f>
        <v>0</v>
      </c>
      <c r="E11" s="9" t="e">
        <f ca="1">MATCH(A11,Batting!$A$5:$A$70,0)</f>
        <v>#N/A</v>
      </c>
      <c r="F11" s="9">
        <f ca="1">IF(NOT(ISNA(E11)),OFFSET(Batting!$B$4,E11,$C$1,1,1),0)</f>
        <v>0</v>
      </c>
      <c r="G11" s="9" t="e">
        <f ca="1">MATCH(A11,Bowling!$A$5:$A$51,0)</f>
        <v>#N/A</v>
      </c>
      <c r="H11" s="9">
        <f ca="1">IF(NOT(ISNA(G11)),OFFSET(Bowling!#REF!,G11,0,1,1),0)</f>
        <v>0</v>
      </c>
      <c r="I11" s="9">
        <f ca="1">IF(NOT(ISNA(E11)),OFFSET(Batting!$B$4,E11,$C$1+1,1,1),0)</f>
        <v>0</v>
      </c>
      <c r="J11" s="9">
        <f ca="1">VLOOKUP(A11,'Fantasy Teams'!$A$45:$C$87,3,FALSE)</f>
        <v>2</v>
      </c>
      <c r="K11" s="10">
        <f t="shared" ca="1" si="4"/>
        <v>0</v>
      </c>
      <c r="L11" s="5">
        <f t="shared" ca="1" si="5"/>
        <v>1.1E-4</v>
      </c>
      <c r="M11" s="5">
        <f t="shared" ca="1" si="6"/>
        <v>30</v>
      </c>
      <c r="N11" s="5">
        <f t="shared" ca="1" si="7"/>
        <v>30</v>
      </c>
      <c r="O11" s="5">
        <f t="shared" si="8"/>
        <v>7</v>
      </c>
      <c r="P11" s="5" t="str">
        <f t="shared" ca="1" si="1"/>
        <v>Rick Worthington</v>
      </c>
      <c r="Q11" s="7">
        <f t="shared" ca="1" si="2"/>
        <v>0</v>
      </c>
      <c r="R11" s="5">
        <f t="shared" ca="1" si="3"/>
        <v>4</v>
      </c>
    </row>
    <row r="12" spans="1:20" x14ac:dyDescent="0.2">
      <c r="A12" s="65" t="str">
        <f ca="1"/>
        <v>COMA</v>
      </c>
      <c r="B12" t="str">
        <f ca="1"/>
        <v>Colin Mander</v>
      </c>
      <c r="C12" s="9">
        <f t="shared" ca="1" si="0"/>
        <v>0</v>
      </c>
      <c r="D12" s="9">
        <f ca="1">IF(NOT(ISNA(E12)),5*OFFSET(Batting!$CF$4,E12,0,1,1),0)</f>
        <v>0</v>
      </c>
      <c r="E12" s="9" t="e">
        <f ca="1">MATCH(A12,Batting!$A$5:$A$70,0)</f>
        <v>#N/A</v>
      </c>
      <c r="F12" s="9">
        <f ca="1">IF(NOT(ISNA(E12)),OFFSET(Batting!$B$4,E12,$C$1,1,1),0)</f>
        <v>0</v>
      </c>
      <c r="G12" s="9" t="e">
        <f ca="1">MATCH(A12,Bowling!$A$5:$A$51,0)</f>
        <v>#N/A</v>
      </c>
      <c r="H12" s="9">
        <f ca="1">IF(NOT(ISNA(G12)),OFFSET(Bowling!#REF!,G12,0,1,1),0)</f>
        <v>0</v>
      </c>
      <c r="I12" s="9">
        <f ca="1">IF(NOT(ISNA(E12)),OFFSET(Batting!$B$4,E12,$C$1+1,1,1),0)</f>
        <v>0</v>
      </c>
      <c r="J12" s="9">
        <f ca="1">VLOOKUP(A12,'Fantasy Teams'!$A$45:$C$87,3,FALSE)</f>
        <v>9</v>
      </c>
      <c r="K12" s="10">
        <f t="shared" ca="1" si="4"/>
        <v>0</v>
      </c>
      <c r="L12" s="5">
        <f t="shared" ca="1" si="5"/>
        <v>1.2E-4</v>
      </c>
      <c r="M12" s="5">
        <f t="shared" ca="1" si="6"/>
        <v>29</v>
      </c>
      <c r="N12" s="5">
        <f t="shared" ca="1" si="7"/>
        <v>29</v>
      </c>
      <c r="O12" s="5">
        <f t="shared" si="8"/>
        <v>8</v>
      </c>
      <c r="P12" s="5" t="str">
        <f t="shared" ca="1" si="1"/>
        <v>Neil Mander</v>
      </c>
      <c r="Q12" s="7">
        <f t="shared" ca="1" si="2"/>
        <v>0</v>
      </c>
      <c r="R12" s="5">
        <f t="shared" ca="1" si="3"/>
        <v>9</v>
      </c>
    </row>
    <row r="13" spans="1:20" x14ac:dyDescent="0.2">
      <c r="A13" s="65" t="str">
        <f ca="1"/>
        <v>DACO</v>
      </c>
      <c r="B13" t="str">
        <f ca="1"/>
        <v>Daragh Corrigan</v>
      </c>
      <c r="C13" s="9">
        <f t="shared" ca="1" si="0"/>
        <v>0</v>
      </c>
      <c r="D13" s="9">
        <f ca="1">IF(NOT(ISNA(E13)),5*OFFSET(Batting!$CF$4,E13,0,1,1),0)</f>
        <v>0</v>
      </c>
      <c r="E13" s="9" t="e">
        <f ca="1">MATCH(A13,Batting!$A$5:$A$70,0)</f>
        <v>#N/A</v>
      </c>
      <c r="F13" s="9">
        <f ca="1">IF(NOT(ISNA(E13)),OFFSET(Batting!$B$4,E13,$C$1,1,1),0)</f>
        <v>0</v>
      </c>
      <c r="G13" s="9" t="e">
        <f ca="1">MATCH(A13,Bowling!$A$5:$A$51,0)</f>
        <v>#N/A</v>
      </c>
      <c r="H13" s="9">
        <f ca="1">IF(NOT(ISNA(G13)),OFFSET(Bowling!#REF!,G13,0,1,1),0)</f>
        <v>0</v>
      </c>
      <c r="I13" s="9">
        <f ca="1">IF(NOT(ISNA(E13)),OFFSET(Batting!$B$4,E13,$C$1+1,1,1),0)</f>
        <v>0</v>
      </c>
      <c r="J13" s="9">
        <f ca="1">VLOOKUP(A13,'Fantasy Teams'!$A$45:$C$87,3,FALSE)</f>
        <v>2</v>
      </c>
      <c r="K13" s="10">
        <f t="shared" ca="1" si="4"/>
        <v>0</v>
      </c>
      <c r="L13" s="5">
        <f t="shared" ca="1" si="5"/>
        <v>1.2999999999999999E-4</v>
      </c>
      <c r="M13" s="5">
        <f t="shared" ca="1" si="6"/>
        <v>28</v>
      </c>
      <c r="N13" s="5">
        <f t="shared" ca="1" si="7"/>
        <v>28</v>
      </c>
      <c r="O13" s="5">
        <f t="shared" si="8"/>
        <v>9</v>
      </c>
      <c r="P13" s="5" t="str">
        <f t="shared" ca="1" si="1"/>
        <v>Naimish Patel</v>
      </c>
      <c r="Q13" s="7">
        <f t="shared" ca="1" si="2"/>
        <v>0</v>
      </c>
      <c r="R13" s="5">
        <f t="shared" ca="1" si="3"/>
        <v>3</v>
      </c>
    </row>
    <row r="14" spans="1:20" x14ac:dyDescent="0.2">
      <c r="A14" s="65" t="str">
        <f ca="1"/>
        <v>DAMO</v>
      </c>
      <c r="B14" t="str">
        <f ca="1"/>
        <v>Dave Morris</v>
      </c>
      <c r="C14" s="9">
        <f t="shared" ca="1" si="0"/>
        <v>0</v>
      </c>
      <c r="D14" s="9">
        <f ca="1">IF(NOT(ISNA(E14)),5*OFFSET(Batting!$CF$4,E14,0,1,1),0)</f>
        <v>0</v>
      </c>
      <c r="E14" s="9" t="e">
        <f ca="1">MATCH(A14,Batting!$A$5:$A$70,0)</f>
        <v>#N/A</v>
      </c>
      <c r="F14" s="9">
        <f ca="1">IF(NOT(ISNA(E14)),OFFSET(Batting!$B$4,E14,$C$1,1,1),0)</f>
        <v>0</v>
      </c>
      <c r="G14" s="9" t="e">
        <f ca="1">MATCH(A14,Bowling!$A$5:$A$51,0)</f>
        <v>#N/A</v>
      </c>
      <c r="H14" s="9">
        <f ca="1">IF(NOT(ISNA(G14)),OFFSET(Bowling!#REF!,G14,0,1,1),0)</f>
        <v>0</v>
      </c>
      <c r="I14" s="9">
        <f ca="1">IF(NOT(ISNA(E14)),OFFSET(Batting!$B$4,E14,$C$1+1,1,1),0)</f>
        <v>0</v>
      </c>
      <c r="J14" s="9">
        <f ca="1">VLOOKUP(A14,'Fantasy Teams'!$A$45:$C$87,3,FALSE)</f>
        <v>5</v>
      </c>
      <c r="K14" s="10">
        <f t="shared" ca="1" si="4"/>
        <v>0</v>
      </c>
      <c r="L14" s="5">
        <f t="shared" ca="1" si="5"/>
        <v>1.3999999999999999E-4</v>
      </c>
      <c r="M14" s="5">
        <f t="shared" ca="1" si="6"/>
        <v>27</v>
      </c>
      <c r="N14" s="5">
        <f t="shared" ca="1" si="7"/>
        <v>27</v>
      </c>
      <c r="O14" s="5">
        <f t="shared" si="8"/>
        <v>10</v>
      </c>
      <c r="P14" s="5" t="str">
        <f t="shared" ca="1" si="1"/>
        <v>Mike Woodhouse</v>
      </c>
      <c r="Q14" s="7">
        <f t="shared" ca="1" si="2"/>
        <v>0</v>
      </c>
      <c r="R14" s="5">
        <f t="shared" ca="1" si="3"/>
        <v>5</v>
      </c>
    </row>
    <row r="15" spans="1:20" x14ac:dyDescent="0.2">
      <c r="A15" s="65" t="str">
        <f ca="1"/>
        <v>DABR</v>
      </c>
      <c r="B15" t="str">
        <f ca="1"/>
        <v>David Brocks</v>
      </c>
      <c r="C15" s="9">
        <f t="shared" ca="1" si="0"/>
        <v>0</v>
      </c>
      <c r="D15" s="9">
        <f ca="1">IF(NOT(ISNA(E15)),5*OFFSET(Batting!$CF$4,E15,0,1,1),0)</f>
        <v>0</v>
      </c>
      <c r="E15" s="9" t="e">
        <f ca="1">MATCH(A15,Batting!$A$5:$A$70,0)</f>
        <v>#N/A</v>
      </c>
      <c r="F15" s="9">
        <f ca="1">IF(NOT(ISNA(E15)),OFFSET(Batting!$B$4,E15,$C$1,1,1),0)</f>
        <v>0</v>
      </c>
      <c r="G15" s="9" t="e">
        <f ca="1">MATCH(A15,Bowling!$A$5:$A$51,0)</f>
        <v>#N/A</v>
      </c>
      <c r="H15" s="9">
        <f ca="1">IF(NOT(ISNA(G15)),OFFSET(Bowling!#REF!,G15,0,1,1),0)</f>
        <v>0</v>
      </c>
      <c r="I15" s="9">
        <f ca="1">IF(NOT(ISNA(E15)),OFFSET(Batting!$B$4,E15,$C$1+1,1,1),0)</f>
        <v>0</v>
      </c>
      <c r="J15" s="9">
        <f ca="1">VLOOKUP(A15,'Fantasy Teams'!$A$45:$C$87,3,FALSE)</f>
        <v>4</v>
      </c>
      <c r="K15" s="10">
        <f t="shared" ca="1" si="4"/>
        <v>0</v>
      </c>
      <c r="L15" s="5">
        <f t="shared" ca="1" si="5"/>
        <v>1.4999999999999999E-4</v>
      </c>
      <c r="M15" s="5">
        <f t="shared" ca="1" si="6"/>
        <v>26</v>
      </c>
      <c r="N15" s="5">
        <f t="shared" ca="1" si="7"/>
        <v>26</v>
      </c>
      <c r="O15" s="5">
        <f t="shared" si="8"/>
        <v>11</v>
      </c>
      <c r="P15" s="5" t="str">
        <f t="shared" ca="1" si="1"/>
        <v>Mike Hosking</v>
      </c>
      <c r="Q15" s="7">
        <f t="shared" ca="1" si="2"/>
        <v>0</v>
      </c>
      <c r="R15" s="5">
        <f t="shared" ca="1" si="3"/>
        <v>3</v>
      </c>
      <c r="S15" s="5">
        <f ca="1">SUM(R5:R15)</f>
        <v>50</v>
      </c>
      <c r="T15" s="100">
        <f t="array" aca="1" ref="T15" ca="1">SUM(Q5:Q15*R5:R15)</f>
        <v>0</v>
      </c>
    </row>
    <row r="16" spans="1:20" x14ac:dyDescent="0.2">
      <c r="A16" s="65" t="str">
        <f ca="1"/>
        <v>DASH</v>
      </c>
      <c r="B16" t="str">
        <f ca="1"/>
        <v>David Sharpe</v>
      </c>
      <c r="C16" s="9">
        <f t="shared" ca="1" si="0"/>
        <v>0</v>
      </c>
      <c r="D16" s="9">
        <f ca="1">IF(NOT(ISNA(E16)),5*OFFSET(Batting!$CF$4,E16,0,1,1),0)</f>
        <v>0</v>
      </c>
      <c r="E16" s="9" t="e">
        <f ca="1">MATCH(A16,Batting!$A$5:$A$70,0)</f>
        <v>#N/A</v>
      </c>
      <c r="F16" s="9">
        <f ca="1">IF(NOT(ISNA(E16)),OFFSET(Batting!$B$4,E16,$C$1,1,1),0)</f>
        <v>0</v>
      </c>
      <c r="G16" s="9" t="e">
        <f ca="1">MATCH(A16,Bowling!$A$5:$A$51,0)</f>
        <v>#N/A</v>
      </c>
      <c r="H16" s="9">
        <f ca="1">IF(NOT(ISNA(G16)),OFFSET(Bowling!#REF!,G16,0,1,1),0)</f>
        <v>0</v>
      </c>
      <c r="I16" s="9">
        <f ca="1">IF(NOT(ISNA(E16)),OFFSET(Batting!$B$4,E16,$C$1+1,1,1),0)</f>
        <v>0</v>
      </c>
      <c r="J16" s="9">
        <f ca="1">VLOOKUP(A16,'Fantasy Teams'!$A$45:$C$87,3,FALSE)</f>
        <v>3</v>
      </c>
      <c r="K16" s="10">
        <f t="shared" ca="1" si="4"/>
        <v>0</v>
      </c>
      <c r="L16" s="5">
        <f t="shared" ca="1" si="5"/>
        <v>1.6000000000000001E-4</v>
      </c>
      <c r="M16" s="5">
        <f t="shared" ca="1" si="6"/>
        <v>25</v>
      </c>
      <c r="N16" s="5">
        <f t="shared" ca="1" si="7"/>
        <v>25</v>
      </c>
      <c r="O16" s="5">
        <f t="shared" si="8"/>
        <v>12</v>
      </c>
      <c r="P16" s="5" t="str">
        <f t="shared" ca="1" si="1"/>
        <v>Mike Bowers</v>
      </c>
      <c r="Q16" s="7">
        <f t="shared" ca="1" si="2"/>
        <v>0</v>
      </c>
      <c r="R16" s="5">
        <f t="shared" ca="1" si="3"/>
        <v>3</v>
      </c>
    </row>
    <row r="17" spans="1:18" x14ac:dyDescent="0.2">
      <c r="A17" s="65" t="str">
        <f ca="1"/>
        <v>DASN</v>
      </c>
      <c r="B17" t="str">
        <f ca="1"/>
        <v>David Snow</v>
      </c>
      <c r="C17" s="9">
        <f t="shared" ca="1" si="0"/>
        <v>0</v>
      </c>
      <c r="D17" s="9">
        <f ca="1">IF(NOT(ISNA(E17)),5*OFFSET(Batting!$CF$4,E17,0,1,1),0)</f>
        <v>0</v>
      </c>
      <c r="E17" s="9" t="e">
        <f ca="1">MATCH(A17,Batting!$A$5:$A$70,0)</f>
        <v>#N/A</v>
      </c>
      <c r="F17" s="9">
        <f ca="1">IF(NOT(ISNA(E17)),OFFSET(Batting!$B$4,E17,$C$1,1,1),0)</f>
        <v>0</v>
      </c>
      <c r="G17" s="9" t="e">
        <f ca="1">MATCH(A17,Bowling!$A$5:$A$51,0)</f>
        <v>#N/A</v>
      </c>
      <c r="H17" s="9">
        <f ca="1">IF(NOT(ISNA(G17)),OFFSET(Bowling!#REF!,G17,0,1,1),0)</f>
        <v>0</v>
      </c>
      <c r="I17" s="9">
        <f ca="1">IF(NOT(ISNA(E17)),OFFSET(Batting!$B$4,E17,$C$1+1,1,1),0)</f>
        <v>0</v>
      </c>
      <c r="J17" s="9">
        <f ca="1">VLOOKUP(A17,'Fantasy Teams'!$A$45:$C$87,3,FALSE)</f>
        <v>3</v>
      </c>
      <c r="K17" s="10">
        <f t="shared" ca="1" si="4"/>
        <v>0</v>
      </c>
      <c r="L17" s="5">
        <f t="shared" ca="1" si="5"/>
        <v>1.7000000000000001E-4</v>
      </c>
      <c r="M17" s="5">
        <f t="shared" ca="1" si="6"/>
        <v>24</v>
      </c>
      <c r="N17" s="5">
        <f t="shared" ca="1" si="7"/>
        <v>24</v>
      </c>
      <c r="O17" s="5">
        <f t="shared" si="8"/>
        <v>13</v>
      </c>
      <c r="P17" s="5" t="str">
        <f t="shared" ca="1" si="1"/>
        <v>Mick Clark</v>
      </c>
      <c r="Q17" s="7">
        <f t="shared" ca="1" si="2"/>
        <v>0</v>
      </c>
      <c r="R17" s="5">
        <f t="shared" ca="1" si="3"/>
        <v>2</v>
      </c>
    </row>
    <row r="18" spans="1:18" x14ac:dyDescent="0.2">
      <c r="A18" s="65" t="str">
        <f ca="1"/>
        <v>DESH</v>
      </c>
      <c r="B18" t="str">
        <f ca="1"/>
        <v>Del Shewan</v>
      </c>
      <c r="C18" s="9">
        <f t="shared" ref="C18:C32" ca="1" si="9">F18+H18+I18+D18</f>
        <v>0</v>
      </c>
      <c r="D18" s="9">
        <f ca="1">IF(NOT(ISNA(E18)),5*OFFSET(Batting!$CF$4,E18,0,1,1),0)</f>
        <v>0</v>
      </c>
      <c r="E18" s="9" t="e">
        <f ca="1">MATCH(A18,Batting!$A$5:$A$70,0)</f>
        <v>#N/A</v>
      </c>
      <c r="F18" s="9">
        <f ca="1">IF(NOT(ISNA(E18)),OFFSET(Batting!$B$4,E18,$C$1,1,1),0)</f>
        <v>0</v>
      </c>
      <c r="G18" s="9" t="e">
        <f ca="1">MATCH(A18,Bowling!$A$5:$A$51,0)</f>
        <v>#N/A</v>
      </c>
      <c r="H18" s="9">
        <f ca="1">IF(NOT(ISNA(G18)),OFFSET(Bowling!#REF!,G18,0,1,1),0)</f>
        <v>0</v>
      </c>
      <c r="I18" s="9">
        <f ca="1">IF(NOT(ISNA(E18)),OFFSET(Batting!$B$4,E18,$C$1+1,1,1),0)</f>
        <v>0</v>
      </c>
      <c r="J18" s="9">
        <f ca="1">VLOOKUP(A18,'Fantasy Teams'!$A$45:$C$87,3,FALSE)</f>
        <v>3</v>
      </c>
      <c r="K18" s="10">
        <f t="shared" ca="1" si="4"/>
        <v>0</v>
      </c>
      <c r="L18" s="5">
        <f t="shared" ca="1" si="5"/>
        <v>1.8000000000000001E-4</v>
      </c>
      <c r="M18" s="5">
        <f t="shared" ca="1" si="6"/>
        <v>23</v>
      </c>
      <c r="N18" s="5">
        <f t="shared" ca="1" si="7"/>
        <v>23</v>
      </c>
      <c r="O18" s="5">
        <f t="shared" si="8"/>
        <v>14</v>
      </c>
      <c r="P18" s="5" t="str">
        <f t="shared" ca="1" si="1"/>
        <v>Kieran Moore</v>
      </c>
      <c r="Q18" s="7">
        <f t="shared" ca="1" si="2"/>
        <v>0</v>
      </c>
      <c r="R18" s="5">
        <f t="shared" ca="1" si="3"/>
        <v>2</v>
      </c>
    </row>
    <row r="19" spans="1:18" x14ac:dyDescent="0.2">
      <c r="A19" s="65" t="str">
        <f ca="1"/>
        <v>GECO</v>
      </c>
      <c r="B19" t="str">
        <f ca="1"/>
        <v>Geoff Cooper</v>
      </c>
      <c r="C19" s="9">
        <f t="shared" ca="1" si="9"/>
        <v>0</v>
      </c>
      <c r="D19" s="9">
        <f ca="1">IF(NOT(ISNA(E19)),5*OFFSET(Batting!$CF$4,E19,0,1,1),0)</f>
        <v>0</v>
      </c>
      <c r="E19" s="9" t="e">
        <f ca="1">MATCH(A19,Batting!$A$5:$A$70,0)</f>
        <v>#N/A</v>
      </c>
      <c r="F19" s="9">
        <f ca="1">IF(NOT(ISNA(E19)),OFFSET(Batting!$B$4,E19,$C$1,1,1),0)</f>
        <v>0</v>
      </c>
      <c r="G19" s="9" t="e">
        <f ca="1">MATCH(A19,Bowling!$A$5:$A$51,0)</f>
        <v>#N/A</v>
      </c>
      <c r="H19" s="9">
        <f ca="1">IF(NOT(ISNA(G19)),OFFSET(Bowling!#REF!,G19,0,1,1),0)</f>
        <v>0</v>
      </c>
      <c r="I19" s="9">
        <f ca="1">IF(NOT(ISNA(E19)),OFFSET(Batting!$B$4,E19,$C$1+1,1,1),0)</f>
        <v>0</v>
      </c>
      <c r="J19" s="9">
        <f ca="1">VLOOKUP(A19,'Fantasy Teams'!$A$45:$C$87,3,FALSE)</f>
        <v>6</v>
      </c>
      <c r="K19" s="10">
        <f t="shared" ca="1" si="4"/>
        <v>0</v>
      </c>
      <c r="L19" s="5">
        <f t="shared" ca="1" si="5"/>
        <v>1.9000000000000001E-4</v>
      </c>
      <c r="M19" s="5">
        <f t="shared" ca="1" si="6"/>
        <v>22</v>
      </c>
      <c r="N19" s="5">
        <f t="shared" ca="1" si="7"/>
        <v>22</v>
      </c>
      <c r="O19" s="5">
        <f t="shared" si="8"/>
        <v>15</v>
      </c>
      <c r="P19" s="5" t="str">
        <f t="shared" ca="1" si="1"/>
        <v>Jon Worthy</v>
      </c>
      <c r="Q19" s="7">
        <f t="shared" ca="1" si="2"/>
        <v>0</v>
      </c>
      <c r="R19" s="5">
        <f t="shared" ca="1" si="3"/>
        <v>5</v>
      </c>
    </row>
    <row r="20" spans="1:18" x14ac:dyDescent="0.2">
      <c r="A20" s="65" t="str">
        <f ca="1"/>
        <v>GLLI</v>
      </c>
      <c r="B20" t="str">
        <f ca="1"/>
        <v>Glen Lilley</v>
      </c>
      <c r="C20" s="9">
        <f t="shared" ca="1" si="9"/>
        <v>0</v>
      </c>
      <c r="D20" s="9">
        <f ca="1">IF(NOT(ISNA(E20)),5*OFFSET(Batting!$CF$4,E20,0,1,1),0)</f>
        <v>0</v>
      </c>
      <c r="E20" s="9" t="e">
        <f ca="1">MATCH(A20,Batting!$A$5:$A$70,0)</f>
        <v>#N/A</v>
      </c>
      <c r="F20" s="9">
        <f ca="1">IF(NOT(ISNA(E20)),OFFSET(Batting!$B$4,E20,$C$1,1,1),0)</f>
        <v>0</v>
      </c>
      <c r="G20" s="9" t="e">
        <f ca="1">MATCH(A20,Bowling!$A$5:$A$51,0)</f>
        <v>#N/A</v>
      </c>
      <c r="H20" s="9">
        <f ca="1">IF(NOT(ISNA(G20)),OFFSET(Bowling!#REF!,G20,0,1,1),0)</f>
        <v>0</v>
      </c>
      <c r="I20" s="9">
        <f ca="1">IF(NOT(ISNA(E20)),OFFSET(Batting!$B$4,E20,$C$1+1,1,1),0)</f>
        <v>0</v>
      </c>
      <c r="J20" s="9">
        <f ca="1">VLOOKUP(A20,'Fantasy Teams'!$A$45:$C$87,3,FALSE)</f>
        <v>2</v>
      </c>
      <c r="K20" s="10">
        <f t="shared" ca="1" si="4"/>
        <v>0</v>
      </c>
      <c r="L20" s="5">
        <f t="shared" ca="1" si="5"/>
        <v>2.0000000000000001E-4</v>
      </c>
      <c r="M20" s="5">
        <f t="shared" ca="1" si="6"/>
        <v>21</v>
      </c>
      <c r="N20" s="5">
        <f t="shared" ca="1" si="7"/>
        <v>21</v>
      </c>
      <c r="O20" s="5">
        <f t="shared" si="8"/>
        <v>16</v>
      </c>
      <c r="P20" s="5" t="str">
        <f t="shared" ca="1" si="1"/>
        <v>John Leadley</v>
      </c>
      <c r="Q20" s="7">
        <f t="shared" ca="1" si="2"/>
        <v>0</v>
      </c>
      <c r="R20" s="5">
        <f t="shared" ca="1" si="3"/>
        <v>11</v>
      </c>
    </row>
    <row r="21" spans="1:18" x14ac:dyDescent="0.2">
      <c r="A21" s="65" t="str">
        <f ca="1"/>
        <v>GLAN</v>
      </c>
      <c r="B21" t="str">
        <f ca="1"/>
        <v>Glyn Angell</v>
      </c>
      <c r="C21" s="9">
        <f t="shared" ca="1" si="9"/>
        <v>0</v>
      </c>
      <c r="D21" s="9">
        <f ca="1">IF(NOT(ISNA(E21)),5*OFFSET(Batting!$CF$4,E21,0,1,1),0)</f>
        <v>0</v>
      </c>
      <c r="E21" s="9" t="e">
        <f ca="1">MATCH(A21,Batting!$A$5:$A$70,0)</f>
        <v>#N/A</v>
      </c>
      <c r="F21" s="9">
        <f ca="1">IF(NOT(ISNA(E21)),OFFSET(Batting!$B$4,E21,$C$1,1,1),0)</f>
        <v>0</v>
      </c>
      <c r="G21" s="9" t="e">
        <f ca="1">MATCH(A21,Bowling!$A$5:$A$51,0)</f>
        <v>#N/A</v>
      </c>
      <c r="H21" s="9">
        <f ca="1">IF(NOT(ISNA(G21)),OFFSET(Bowling!#REF!,G21,0,1,1),0)</f>
        <v>0</v>
      </c>
      <c r="I21" s="9">
        <f ca="1">IF(NOT(ISNA(E21)),OFFSET(Batting!$B$4,E21,$C$1+1,1,1),0)</f>
        <v>0</v>
      </c>
      <c r="J21" s="9">
        <f ca="1">VLOOKUP(A21,'Fantasy Teams'!$A$45:$C$87,3,FALSE)</f>
        <v>1</v>
      </c>
      <c r="K21" s="10">
        <f t="shared" ca="1" si="4"/>
        <v>0</v>
      </c>
      <c r="L21" s="5">
        <f t="shared" ca="1" si="5"/>
        <v>2.1000000000000001E-4</v>
      </c>
      <c r="M21" s="5">
        <f t="shared" ca="1" si="6"/>
        <v>20</v>
      </c>
      <c r="N21" s="5">
        <f t="shared" ca="1" si="7"/>
        <v>20</v>
      </c>
      <c r="O21" s="5">
        <f t="shared" si="8"/>
        <v>17</v>
      </c>
      <c r="P21" s="5" t="str">
        <f t="shared" ca="1" si="1"/>
        <v>John Elliston</v>
      </c>
      <c r="Q21" s="7">
        <f t="shared" ca="1" si="2"/>
        <v>0</v>
      </c>
      <c r="R21" s="5">
        <f t="shared" ca="1" si="3"/>
        <v>5</v>
      </c>
    </row>
    <row r="22" spans="1:18" x14ac:dyDescent="0.2">
      <c r="A22" s="65" t="str">
        <f ca="1"/>
        <v>JACR</v>
      </c>
      <c r="B22" t="str">
        <f ca="1"/>
        <v>Jason Crisford</v>
      </c>
      <c r="C22" s="9">
        <f t="shared" ca="1" si="9"/>
        <v>0</v>
      </c>
      <c r="D22" s="9">
        <f ca="1">IF(NOT(ISNA(E22)),5*OFFSET(Batting!$CF$4,E22,0,1,1),0)</f>
        <v>0</v>
      </c>
      <c r="E22" s="9" t="e">
        <f ca="1">MATCH(A22,Batting!$A$5:$A$70,0)</f>
        <v>#N/A</v>
      </c>
      <c r="F22" s="9">
        <f ca="1">IF(NOT(ISNA(E22)),OFFSET(Batting!$B$4,E22,$C$1,1,1),0)</f>
        <v>0</v>
      </c>
      <c r="G22" s="9" t="e">
        <f ca="1">MATCH(A22,Bowling!$A$5:$A$51,0)</f>
        <v>#N/A</v>
      </c>
      <c r="H22" s="9">
        <f ca="1">IF(NOT(ISNA(G22)),OFFSET(Bowling!#REF!,G22,0,1,1),0)</f>
        <v>0</v>
      </c>
      <c r="I22" s="9">
        <f ca="1">IF(NOT(ISNA(E22)),OFFSET(Batting!$B$4,E22,$C$1+1,1,1),0)</f>
        <v>0</v>
      </c>
      <c r="J22" s="9">
        <f ca="1">VLOOKUP(A22,'Fantasy Teams'!$A$45:$C$87,3,FALSE)</f>
        <v>2</v>
      </c>
      <c r="K22" s="10">
        <f t="shared" ca="1" si="4"/>
        <v>0</v>
      </c>
      <c r="L22" s="5">
        <f t="shared" ca="1" si="5"/>
        <v>2.2000000000000001E-4</v>
      </c>
      <c r="M22" s="5">
        <f t="shared" ca="1" si="6"/>
        <v>19</v>
      </c>
      <c r="N22" s="5">
        <f t="shared" ca="1" si="7"/>
        <v>19</v>
      </c>
      <c r="O22" s="5">
        <f t="shared" si="8"/>
        <v>18</v>
      </c>
      <c r="P22" s="5" t="str">
        <f t="shared" ca="1" si="1"/>
        <v>Jeff Lestrelle</v>
      </c>
      <c r="Q22" s="7">
        <f t="shared" ca="1" si="2"/>
        <v>0</v>
      </c>
      <c r="R22" s="5">
        <f t="shared" ca="1" si="3"/>
        <v>4</v>
      </c>
    </row>
    <row r="23" spans="1:18" x14ac:dyDescent="0.2">
      <c r="A23" s="65" t="str">
        <f ca="1"/>
        <v>JELE</v>
      </c>
      <c r="B23" t="str">
        <f ca="1"/>
        <v>Jeff Lestrelle</v>
      </c>
      <c r="C23" s="9">
        <f t="shared" ca="1" si="9"/>
        <v>0</v>
      </c>
      <c r="D23" s="9">
        <f ca="1">IF(NOT(ISNA(E23)),5*OFFSET(Batting!$CF$4,E23,0,1,1),0)</f>
        <v>0</v>
      </c>
      <c r="E23" s="9" t="e">
        <f ca="1">MATCH(A23,Batting!$A$5:$A$70,0)</f>
        <v>#N/A</v>
      </c>
      <c r="F23" s="9">
        <f ca="1">IF(NOT(ISNA(E23)),OFFSET(Batting!$B$4,E23,$C$1,1,1),0)</f>
        <v>0</v>
      </c>
      <c r="G23" s="9" t="e">
        <f ca="1">MATCH(A23,Bowling!$A$5:$A$51,0)</f>
        <v>#N/A</v>
      </c>
      <c r="H23" s="9">
        <f ca="1">IF(NOT(ISNA(G23)),OFFSET(Bowling!#REF!,G23,0,1,1),0)</f>
        <v>0</v>
      </c>
      <c r="I23" s="9">
        <f ca="1">IF(NOT(ISNA(E23)),OFFSET(Batting!$B$4,E23,$C$1+1,1,1),0)</f>
        <v>0</v>
      </c>
      <c r="J23" s="9">
        <f ca="1">VLOOKUP(A23,'Fantasy Teams'!$A$45:$C$87,3,FALSE)</f>
        <v>4</v>
      </c>
      <c r="K23" s="10">
        <f t="shared" ca="1" si="4"/>
        <v>0</v>
      </c>
      <c r="L23" s="5">
        <f t="shared" ca="1" si="5"/>
        <v>2.3000000000000001E-4</v>
      </c>
      <c r="M23" s="5">
        <f t="shared" ca="1" si="6"/>
        <v>18</v>
      </c>
      <c r="N23" s="5">
        <f t="shared" ca="1" si="7"/>
        <v>18</v>
      </c>
      <c r="O23" s="5">
        <f t="shared" si="8"/>
        <v>19</v>
      </c>
      <c r="P23" s="5" t="str">
        <f t="shared" ca="1" si="1"/>
        <v>Jason Crisford</v>
      </c>
      <c r="Q23" s="7">
        <f t="shared" ca="1" si="2"/>
        <v>0</v>
      </c>
      <c r="R23" s="5">
        <f t="shared" ca="1" si="3"/>
        <v>2</v>
      </c>
    </row>
    <row r="24" spans="1:18" x14ac:dyDescent="0.2">
      <c r="A24" s="65" t="str">
        <f ca="1"/>
        <v>JOEL</v>
      </c>
      <c r="B24" t="str">
        <f ca="1"/>
        <v>John Elliston</v>
      </c>
      <c r="C24" s="9">
        <f t="shared" ca="1" si="9"/>
        <v>0</v>
      </c>
      <c r="D24" s="9">
        <f ca="1">IF(NOT(ISNA(E24)),5*OFFSET(Batting!$CF$4,E24,0,1,1),0)</f>
        <v>0</v>
      </c>
      <c r="E24" s="9" t="e">
        <f ca="1">MATCH(A24,Batting!$A$5:$A$70,0)</f>
        <v>#N/A</v>
      </c>
      <c r="F24" s="9">
        <f ca="1">IF(NOT(ISNA(E24)),OFFSET(Batting!$B$4,E24,$C$1,1,1),0)</f>
        <v>0</v>
      </c>
      <c r="G24" s="9" t="e">
        <f ca="1">MATCH(A24,Bowling!$A$5:$A$51,0)</f>
        <v>#N/A</v>
      </c>
      <c r="H24" s="9">
        <f ca="1">IF(NOT(ISNA(G24)),OFFSET(Bowling!#REF!,G24,0,1,1),0)</f>
        <v>0</v>
      </c>
      <c r="I24" s="9">
        <f ca="1">IF(NOT(ISNA(E24)),OFFSET(Batting!$B$4,E24,$C$1+1,1,1),0)</f>
        <v>0</v>
      </c>
      <c r="J24" s="9">
        <f ca="1">VLOOKUP(A24,'Fantasy Teams'!$A$45:$C$87,3,FALSE)</f>
        <v>5</v>
      </c>
      <c r="K24" s="10">
        <f t="shared" ca="1" si="4"/>
        <v>0</v>
      </c>
      <c r="L24" s="5">
        <f t="shared" ca="1" si="5"/>
        <v>2.4000000000000001E-4</v>
      </c>
      <c r="M24" s="5">
        <f t="shared" ca="1" si="6"/>
        <v>17</v>
      </c>
      <c r="N24" s="5">
        <f t="shared" ca="1" si="7"/>
        <v>17</v>
      </c>
      <c r="O24" s="5">
        <f t="shared" si="8"/>
        <v>20</v>
      </c>
      <c r="P24" s="5" t="str">
        <f t="shared" ca="1" si="1"/>
        <v>Glyn Angell</v>
      </c>
      <c r="Q24" s="7">
        <f t="shared" ca="1" si="2"/>
        <v>0</v>
      </c>
      <c r="R24" s="5">
        <f t="shared" ca="1" si="3"/>
        <v>1</v>
      </c>
    </row>
    <row r="25" spans="1:18" x14ac:dyDescent="0.2">
      <c r="A25" s="65" t="str">
        <f ca="1"/>
        <v>JOLE</v>
      </c>
      <c r="B25" t="str">
        <f ca="1"/>
        <v>John Leadley</v>
      </c>
      <c r="C25" s="9">
        <f t="shared" ca="1" si="9"/>
        <v>0</v>
      </c>
      <c r="D25" s="9">
        <f ca="1">IF(NOT(ISNA(E25)),5*OFFSET(Batting!$CF$4,E25,0,1,1),0)</f>
        <v>0</v>
      </c>
      <c r="E25" s="9" t="e">
        <f ca="1">MATCH(A25,Batting!$A$5:$A$70,0)</f>
        <v>#N/A</v>
      </c>
      <c r="F25" s="9">
        <f ca="1">IF(NOT(ISNA(E25)),OFFSET(Batting!$B$4,E25,$C$1,1,1),0)</f>
        <v>0</v>
      </c>
      <c r="G25" s="9" t="e">
        <f ca="1">MATCH(A25,Bowling!$A$5:$A$51,0)</f>
        <v>#N/A</v>
      </c>
      <c r="H25" s="9">
        <f ca="1">IF(NOT(ISNA(G25)),OFFSET(Bowling!#REF!,G25,0,1,1),0)</f>
        <v>0</v>
      </c>
      <c r="I25" s="9">
        <f ca="1">IF(NOT(ISNA(E25)),OFFSET(Batting!$B$4,E25,$C$1+1,1,1),0)</f>
        <v>0</v>
      </c>
      <c r="J25" s="9">
        <f ca="1">VLOOKUP(A25,'Fantasy Teams'!$A$45:$C$87,3,FALSE)</f>
        <v>11</v>
      </c>
      <c r="K25" s="10">
        <f t="shared" ca="1" si="4"/>
        <v>0</v>
      </c>
      <c r="L25" s="5">
        <f t="shared" ca="1" si="5"/>
        <v>2.5000000000000001E-4</v>
      </c>
      <c r="M25" s="5">
        <f t="shared" ca="1" si="6"/>
        <v>16</v>
      </c>
      <c r="N25" s="5">
        <f t="shared" ca="1" si="7"/>
        <v>16</v>
      </c>
      <c r="O25" s="5">
        <f t="shared" si="8"/>
        <v>21</v>
      </c>
      <c r="P25" s="5" t="str">
        <f t="shared" ca="1" si="1"/>
        <v>Glen Lilley</v>
      </c>
      <c r="Q25" s="7">
        <f t="shared" ca="1" si="2"/>
        <v>0</v>
      </c>
      <c r="R25" s="5">
        <f t="shared" ca="1" si="3"/>
        <v>2</v>
      </c>
    </row>
    <row r="26" spans="1:18" x14ac:dyDescent="0.2">
      <c r="A26" s="65" t="str">
        <f ca="1"/>
        <v>JOWO</v>
      </c>
      <c r="B26" t="str">
        <f ca="1"/>
        <v>Jon Worthy</v>
      </c>
      <c r="C26" s="9">
        <f t="shared" ca="1" si="9"/>
        <v>0</v>
      </c>
      <c r="D26" s="9">
        <f ca="1">IF(NOT(ISNA(E26)),5*OFFSET(Batting!$CF$4,E26,0,1,1),0)</f>
        <v>0</v>
      </c>
      <c r="E26" s="9" t="e">
        <f ca="1">MATCH(A26,Batting!$A$5:$A$70,0)</f>
        <v>#N/A</v>
      </c>
      <c r="F26" s="9">
        <f ca="1">IF(NOT(ISNA(E26)),OFFSET(Batting!$B$4,E26,$C$1,1,1),0)</f>
        <v>0</v>
      </c>
      <c r="G26" s="9" t="e">
        <f ca="1">MATCH(A26,Bowling!$A$5:$A$51,0)</f>
        <v>#N/A</v>
      </c>
      <c r="H26" s="9">
        <f ca="1">IF(NOT(ISNA(G26)),OFFSET(Bowling!#REF!,G26,0,1,1),0)</f>
        <v>0</v>
      </c>
      <c r="I26" s="9">
        <f ca="1">IF(NOT(ISNA(E26)),OFFSET(Batting!$B$4,E26,$C$1+1,1,1),0)</f>
        <v>0</v>
      </c>
      <c r="J26" s="9">
        <f ca="1">VLOOKUP(A26,'Fantasy Teams'!$A$45:$C$87,3,FALSE)</f>
        <v>5</v>
      </c>
      <c r="K26" s="10">
        <f t="shared" ca="1" si="4"/>
        <v>0</v>
      </c>
      <c r="L26" s="5">
        <f t="shared" ca="1" si="5"/>
        <v>2.5999999999999998E-4</v>
      </c>
      <c r="M26" s="5">
        <f t="shared" ca="1" si="6"/>
        <v>15</v>
      </c>
      <c r="N26" s="5">
        <f t="shared" ca="1" si="7"/>
        <v>15</v>
      </c>
      <c r="O26" s="5">
        <f t="shared" si="8"/>
        <v>22</v>
      </c>
      <c r="P26" s="5" t="str">
        <f t="shared" ca="1" si="1"/>
        <v>Geoff Cooper</v>
      </c>
      <c r="Q26" s="7">
        <f t="shared" ca="1" si="2"/>
        <v>0</v>
      </c>
      <c r="R26" s="5">
        <f t="shared" ca="1" si="3"/>
        <v>6</v>
      </c>
    </row>
    <row r="27" spans="1:18" x14ac:dyDescent="0.2">
      <c r="A27" s="65" t="str">
        <f ca="1"/>
        <v>KIMO</v>
      </c>
      <c r="B27" t="str">
        <f ca="1"/>
        <v>Kieran Moore</v>
      </c>
      <c r="C27" s="9">
        <f t="shared" ca="1" si="9"/>
        <v>0</v>
      </c>
      <c r="D27" s="9">
        <f ca="1">IF(NOT(ISNA(E27)),5*OFFSET(Batting!$CF$4,E27,0,1,1),0)</f>
        <v>0</v>
      </c>
      <c r="E27" s="9" t="e">
        <f ca="1">MATCH(A27,Batting!$A$5:$A$70,0)</f>
        <v>#N/A</v>
      </c>
      <c r="F27" s="9">
        <f ca="1">IF(NOT(ISNA(E27)),OFFSET(Batting!$B$4,E27,$C$1,1,1),0)</f>
        <v>0</v>
      </c>
      <c r="G27" s="9" t="e">
        <f ca="1">MATCH(A27,Bowling!$A$5:$A$51,0)</f>
        <v>#N/A</v>
      </c>
      <c r="H27" s="9">
        <f ca="1">IF(NOT(ISNA(G27)),OFFSET(Bowling!#REF!,G27,0,1,1),0)</f>
        <v>0</v>
      </c>
      <c r="I27" s="9">
        <f ca="1">IF(NOT(ISNA(E27)),OFFSET(Batting!$B$4,E27,$C$1+1,1,1),0)</f>
        <v>0</v>
      </c>
      <c r="J27" s="9">
        <f ca="1">VLOOKUP(A27,'Fantasy Teams'!$A$45:$C$87,3,FALSE)</f>
        <v>2</v>
      </c>
      <c r="K27" s="10">
        <f t="shared" ca="1" si="4"/>
        <v>0</v>
      </c>
      <c r="L27" s="5">
        <f t="shared" ca="1" si="5"/>
        <v>2.7E-4</v>
      </c>
      <c r="M27" s="5">
        <f t="shared" ca="1" si="6"/>
        <v>14</v>
      </c>
      <c r="N27" s="5">
        <f t="shared" ca="1" si="7"/>
        <v>14</v>
      </c>
      <c r="O27" s="5">
        <f t="shared" si="8"/>
        <v>23</v>
      </c>
      <c r="P27" s="5" t="str">
        <f t="shared" ca="1" si="1"/>
        <v>Del Shewan</v>
      </c>
      <c r="Q27" s="7">
        <f t="shared" ca="1" si="2"/>
        <v>0</v>
      </c>
      <c r="R27" s="5">
        <f t="shared" ca="1" si="3"/>
        <v>3</v>
      </c>
    </row>
    <row r="28" spans="1:18" x14ac:dyDescent="0.2">
      <c r="A28" s="65" t="str">
        <f ca="1"/>
        <v>MICL</v>
      </c>
      <c r="B28" t="str">
        <f ca="1"/>
        <v>Mick Clark</v>
      </c>
      <c r="C28" s="9">
        <f t="shared" ca="1" si="9"/>
        <v>0</v>
      </c>
      <c r="D28" s="9">
        <f ca="1">IF(NOT(ISNA(E28)),5*OFFSET(Batting!$CF$4,E28,0,1,1),0)</f>
        <v>0</v>
      </c>
      <c r="E28" s="9" t="e">
        <f ca="1">MATCH(A28,Batting!$A$5:$A$70,0)</f>
        <v>#N/A</v>
      </c>
      <c r="F28" s="9">
        <f ca="1">IF(NOT(ISNA(E28)),OFFSET(Batting!$B$4,E28,$C$1,1,1),0)</f>
        <v>0</v>
      </c>
      <c r="G28" s="9" t="e">
        <f ca="1">MATCH(A28,Bowling!$A$5:$A$51,0)</f>
        <v>#N/A</v>
      </c>
      <c r="H28" s="9">
        <f ca="1">IF(NOT(ISNA(G28)),OFFSET(Bowling!#REF!,G28,0,1,1),0)</f>
        <v>0</v>
      </c>
      <c r="I28" s="9">
        <f ca="1">IF(NOT(ISNA(E28)),OFFSET(Batting!$B$4,E28,$C$1+1,1,1),0)</f>
        <v>0</v>
      </c>
      <c r="J28" s="9">
        <f ca="1">VLOOKUP(A28,'Fantasy Teams'!$A$45:$C$87,3,FALSE)</f>
        <v>2</v>
      </c>
      <c r="K28" s="10">
        <f t="shared" ca="1" si="4"/>
        <v>0</v>
      </c>
      <c r="L28" s="5">
        <f t="shared" ca="1" si="5"/>
        <v>2.7999999999999998E-4</v>
      </c>
      <c r="M28" s="5">
        <f t="shared" ca="1" si="6"/>
        <v>13</v>
      </c>
      <c r="N28" s="5">
        <f t="shared" ca="1" si="7"/>
        <v>13</v>
      </c>
      <c r="O28" s="5">
        <f t="shared" si="8"/>
        <v>24</v>
      </c>
      <c r="P28" s="5" t="str">
        <f t="shared" ca="1" si="1"/>
        <v>David Snow</v>
      </c>
      <c r="Q28" s="7">
        <f t="shared" ca="1" si="2"/>
        <v>0</v>
      </c>
      <c r="R28" s="5">
        <f t="shared" ca="1" si="3"/>
        <v>3</v>
      </c>
    </row>
    <row r="29" spans="1:18" x14ac:dyDescent="0.2">
      <c r="A29" s="65" t="str">
        <f ca="1"/>
        <v>MIBO</v>
      </c>
      <c r="B29" t="str">
        <f ca="1"/>
        <v>Mike Bowers</v>
      </c>
      <c r="C29" s="9">
        <f t="shared" ca="1" si="9"/>
        <v>0</v>
      </c>
      <c r="D29" s="9">
        <f ca="1">IF(NOT(ISNA(E29)),5*OFFSET(Batting!$CF$4,E29,0,1,1),0)</f>
        <v>0</v>
      </c>
      <c r="E29" s="9" t="e">
        <f ca="1">MATCH(A29,Batting!$A$5:$A$70,0)</f>
        <v>#N/A</v>
      </c>
      <c r="F29" s="9">
        <f ca="1">IF(NOT(ISNA(E29)),OFFSET(Batting!$B$4,E29,$C$1,1,1),0)</f>
        <v>0</v>
      </c>
      <c r="G29" s="9" t="e">
        <f ca="1">MATCH(A29,Bowling!$A$5:$A$51,0)</f>
        <v>#N/A</v>
      </c>
      <c r="H29" s="9">
        <f ca="1">IF(NOT(ISNA(G29)),OFFSET(Bowling!#REF!,G29,0,1,1),0)</f>
        <v>0</v>
      </c>
      <c r="I29" s="9">
        <f ca="1">IF(NOT(ISNA(E29)),OFFSET(Batting!$B$4,E29,$C$1+1,1,1),0)</f>
        <v>0</v>
      </c>
      <c r="J29" s="9">
        <f ca="1">VLOOKUP(A29,'Fantasy Teams'!$A$45:$C$87,3,FALSE)</f>
        <v>3</v>
      </c>
      <c r="K29" s="10">
        <f t="shared" ca="1" si="4"/>
        <v>0</v>
      </c>
      <c r="L29" s="5">
        <f t="shared" ca="1" si="5"/>
        <v>2.9E-4</v>
      </c>
      <c r="M29" s="5">
        <f t="shared" ca="1" si="6"/>
        <v>12</v>
      </c>
      <c r="N29" s="5">
        <f t="shared" ca="1" si="7"/>
        <v>12</v>
      </c>
      <c r="O29" s="5">
        <f t="shared" si="8"/>
        <v>25</v>
      </c>
      <c r="P29" s="5" t="str">
        <f t="shared" ca="1" si="1"/>
        <v>David Sharpe</v>
      </c>
      <c r="Q29" s="7">
        <f t="shared" ca="1" si="2"/>
        <v>0</v>
      </c>
      <c r="R29" s="5">
        <f t="shared" ca="1" si="3"/>
        <v>3</v>
      </c>
    </row>
    <row r="30" spans="1:18" x14ac:dyDescent="0.2">
      <c r="A30" s="65" t="str">
        <f ca="1"/>
        <v>MIHO</v>
      </c>
      <c r="B30" t="str">
        <f ca="1"/>
        <v>Mike Hosking</v>
      </c>
      <c r="C30" s="9">
        <f t="shared" ca="1" si="9"/>
        <v>0</v>
      </c>
      <c r="D30" s="9">
        <f ca="1">IF(NOT(ISNA(E30)),5*OFFSET(Batting!$CF$4,E30,0,1,1),0)</f>
        <v>0</v>
      </c>
      <c r="E30" s="9" t="e">
        <f ca="1">MATCH(A30,Batting!$A$5:$A$70,0)</f>
        <v>#N/A</v>
      </c>
      <c r="F30" s="9">
        <f ca="1">IF(NOT(ISNA(E30)),OFFSET(Batting!$B$4,E30,$C$1,1,1),0)</f>
        <v>0</v>
      </c>
      <c r="G30" s="9" t="e">
        <f ca="1">MATCH(A30,Bowling!$A$5:$A$51,0)</f>
        <v>#N/A</v>
      </c>
      <c r="H30" s="9">
        <f ca="1">IF(NOT(ISNA(G30)),OFFSET(Bowling!#REF!,G30,0,1,1),0)</f>
        <v>0</v>
      </c>
      <c r="I30" s="9">
        <f ca="1">IF(NOT(ISNA(E30)),OFFSET(Batting!$B$4,E30,$C$1+1,1,1),0)</f>
        <v>0</v>
      </c>
      <c r="J30" s="9">
        <f ca="1">VLOOKUP(A30,'Fantasy Teams'!$A$45:$C$87,3,FALSE)</f>
        <v>3</v>
      </c>
      <c r="K30" s="10">
        <f t="shared" ca="1" si="4"/>
        <v>0</v>
      </c>
      <c r="L30" s="5">
        <f t="shared" ca="1" si="5"/>
        <v>2.9999999999999997E-4</v>
      </c>
      <c r="M30" s="5">
        <f t="shared" ca="1" si="6"/>
        <v>11</v>
      </c>
      <c r="N30" s="5">
        <f t="shared" ca="1" si="7"/>
        <v>11</v>
      </c>
      <c r="O30" s="5">
        <f t="shared" si="8"/>
        <v>26</v>
      </c>
      <c r="P30" s="5" t="str">
        <f t="shared" ca="1" si="1"/>
        <v>David Brocks</v>
      </c>
      <c r="Q30" s="7">
        <f t="shared" ca="1" si="2"/>
        <v>0</v>
      </c>
      <c r="R30" s="5">
        <f t="shared" ca="1" si="3"/>
        <v>4</v>
      </c>
    </row>
    <row r="31" spans="1:18" x14ac:dyDescent="0.2">
      <c r="A31" s="65" t="str">
        <f ca="1"/>
        <v>MIWO</v>
      </c>
      <c r="B31" t="str">
        <f ca="1"/>
        <v>Mike Woodhouse</v>
      </c>
      <c r="C31" s="9">
        <f t="shared" ca="1" si="9"/>
        <v>0</v>
      </c>
      <c r="D31" s="9">
        <f ca="1">IF(NOT(ISNA(E31)),5*OFFSET(Batting!$CF$4,E31,0,1,1),0)</f>
        <v>0</v>
      </c>
      <c r="E31" s="9" t="e">
        <f ca="1">MATCH(A31,Batting!$A$5:$A$70,0)</f>
        <v>#N/A</v>
      </c>
      <c r="F31" s="9">
        <f ca="1">IF(NOT(ISNA(E31)),OFFSET(Batting!$B$4,E31,$C$1,1,1),0)</f>
        <v>0</v>
      </c>
      <c r="G31" s="9" t="e">
        <f ca="1">MATCH(A31,Bowling!$A$5:$A$51,0)</f>
        <v>#N/A</v>
      </c>
      <c r="H31" s="9">
        <f ca="1">IF(NOT(ISNA(G31)),OFFSET(Bowling!#REF!,G31,0,1,1),0)</f>
        <v>0</v>
      </c>
      <c r="I31" s="9">
        <f ca="1">IF(NOT(ISNA(E31)),OFFSET(Batting!$B$4,E31,$C$1+1,1,1),0)</f>
        <v>0</v>
      </c>
      <c r="J31" s="9">
        <f ca="1">VLOOKUP(A31,'Fantasy Teams'!$A$45:$C$87,3,FALSE)</f>
        <v>5</v>
      </c>
      <c r="K31" s="10">
        <f t="shared" ca="1" si="4"/>
        <v>0</v>
      </c>
      <c r="L31" s="5">
        <f t="shared" ca="1" si="5"/>
        <v>3.1E-4</v>
      </c>
      <c r="M31" s="5">
        <f t="shared" ca="1" si="6"/>
        <v>10</v>
      </c>
      <c r="N31" s="5">
        <f t="shared" ca="1" si="7"/>
        <v>10</v>
      </c>
      <c r="O31" s="5">
        <f t="shared" si="8"/>
        <v>27</v>
      </c>
      <c r="P31" s="5" t="str">
        <f t="shared" ca="1" si="1"/>
        <v>Dave Morris</v>
      </c>
      <c r="Q31" s="7">
        <f t="shared" ca="1" si="2"/>
        <v>0</v>
      </c>
      <c r="R31" s="5">
        <f t="shared" ca="1" si="3"/>
        <v>5</v>
      </c>
    </row>
    <row r="32" spans="1:18" x14ac:dyDescent="0.2">
      <c r="A32" s="65" t="str">
        <f ca="1"/>
        <v>NAPA</v>
      </c>
      <c r="B32" t="str">
        <f ca="1"/>
        <v>Naimish Patel</v>
      </c>
      <c r="C32" s="9">
        <f t="shared" ca="1" si="9"/>
        <v>0</v>
      </c>
      <c r="D32" s="9">
        <f ca="1">IF(NOT(ISNA(E32)),5*OFFSET(Batting!$CF$4,E32,0,1,1),0)</f>
        <v>0</v>
      </c>
      <c r="E32" s="9" t="e">
        <f ca="1">MATCH(A32,Batting!$A$5:$A$70,0)</f>
        <v>#N/A</v>
      </c>
      <c r="F32" s="9">
        <f ca="1">IF(NOT(ISNA(E32)),OFFSET(Batting!$B$4,E32,$C$1,1,1),0)</f>
        <v>0</v>
      </c>
      <c r="G32" s="9" t="e">
        <f ca="1">MATCH(A32,Bowling!$A$5:$A$51,0)</f>
        <v>#N/A</v>
      </c>
      <c r="H32" s="9">
        <f ca="1">IF(NOT(ISNA(G32)),OFFSET(Bowling!#REF!,G32,0,1,1),0)</f>
        <v>0</v>
      </c>
      <c r="I32" s="9">
        <f ca="1">IF(NOT(ISNA(E32)),OFFSET(Batting!$B$4,E32,$C$1+1,1,1),0)</f>
        <v>0</v>
      </c>
      <c r="J32" s="9">
        <f ca="1">VLOOKUP(A32,'Fantasy Teams'!$A$45:$C$87,3,FALSE)</f>
        <v>3</v>
      </c>
      <c r="K32" s="10">
        <f t="shared" ca="1" si="4"/>
        <v>0</v>
      </c>
      <c r="L32" s="5">
        <f t="shared" ca="1" si="5"/>
        <v>3.2000000000000003E-4</v>
      </c>
      <c r="M32" s="5">
        <f t="shared" ca="1" si="6"/>
        <v>9</v>
      </c>
      <c r="N32" s="5">
        <f t="shared" ca="1" si="7"/>
        <v>9</v>
      </c>
      <c r="O32" s="5">
        <f t="shared" si="8"/>
        <v>28</v>
      </c>
      <c r="P32" s="5" t="str">
        <f t="shared" ref="P32:P46" ca="1" si="10">OFFSET($B$4,N32,0)</f>
        <v>Daragh Corrigan</v>
      </c>
      <c r="Q32" s="7">
        <f t="shared" ref="Q32:Q46" ca="1" si="11">OFFSET($K$4,N32,0)</f>
        <v>0</v>
      </c>
      <c r="R32" s="5">
        <f t="shared" ca="1" si="3"/>
        <v>2</v>
      </c>
    </row>
    <row r="33" spans="1:18" x14ac:dyDescent="0.2">
      <c r="A33" s="65" t="str">
        <f ca="1"/>
        <v>NEMA</v>
      </c>
      <c r="B33" t="str">
        <f ca="1"/>
        <v>Neil Mander</v>
      </c>
      <c r="C33" s="9">
        <f t="shared" ref="C33:C43" ca="1" si="12">F33+H33+I33+D33</f>
        <v>0</v>
      </c>
      <c r="D33" s="9">
        <f ca="1">IF(NOT(ISNA(E33)),5*OFFSET(Batting!$CF$4,E33,0,1,1),0)</f>
        <v>0</v>
      </c>
      <c r="E33" s="9" t="e">
        <f ca="1">MATCH(A33,Batting!$A$5:$A$70,0)</f>
        <v>#N/A</v>
      </c>
      <c r="F33" s="9">
        <f ca="1">IF(NOT(ISNA(E33)),OFFSET(Batting!$B$4,E33,$C$1,1,1),0)</f>
        <v>0</v>
      </c>
      <c r="G33" s="9" t="e">
        <f ca="1">MATCH(A33,Bowling!$A$5:$A$51,0)</f>
        <v>#N/A</v>
      </c>
      <c r="H33" s="9">
        <f ca="1">IF(NOT(ISNA(G33)),OFFSET(Bowling!#REF!,G33,0,1,1),0)</f>
        <v>0</v>
      </c>
      <c r="I33" s="9">
        <f ca="1">IF(NOT(ISNA(E33)),OFFSET(Batting!$B$4,E33,$C$1+1,1,1),0)</f>
        <v>0</v>
      </c>
      <c r="J33" s="9">
        <f ca="1">VLOOKUP(A33,'Fantasy Teams'!$A$45:$C$87,3,FALSE)</f>
        <v>9</v>
      </c>
      <c r="K33" s="10">
        <f t="shared" ca="1" si="4"/>
        <v>0</v>
      </c>
      <c r="L33" s="5">
        <f t="shared" ca="1" si="5"/>
        <v>3.3E-4</v>
      </c>
      <c r="M33" s="5">
        <f t="shared" ca="1" si="6"/>
        <v>8</v>
      </c>
      <c r="N33" s="5">
        <f t="shared" ca="1" si="7"/>
        <v>8</v>
      </c>
      <c r="O33" s="5">
        <f t="shared" si="8"/>
        <v>29</v>
      </c>
      <c r="P33" s="5" t="str">
        <f t="shared" ca="1" si="10"/>
        <v>Colin Mander</v>
      </c>
      <c r="Q33" s="7">
        <f t="shared" ca="1" si="11"/>
        <v>0</v>
      </c>
      <c r="R33" s="5">
        <f t="shared" ca="1" si="3"/>
        <v>9</v>
      </c>
    </row>
    <row r="34" spans="1:18" x14ac:dyDescent="0.2">
      <c r="A34" s="65" t="str">
        <f ca="1"/>
        <v>RIWO</v>
      </c>
      <c r="B34" t="str">
        <f ca="1"/>
        <v>Rick Worthington</v>
      </c>
      <c r="C34" s="9">
        <f t="shared" ca="1" si="12"/>
        <v>0</v>
      </c>
      <c r="D34" s="9">
        <f ca="1">IF(NOT(ISNA(E34)),5*OFFSET(Batting!$CF$4,E34,0,1,1),0)</f>
        <v>0</v>
      </c>
      <c r="E34" s="9" t="e">
        <f ca="1">MATCH(A34,Batting!$A$5:$A$70,0)</f>
        <v>#N/A</v>
      </c>
      <c r="F34" s="9">
        <f ca="1">IF(NOT(ISNA(E34)),OFFSET(Batting!$B$4,E34,$C$1,1,1),0)</f>
        <v>0</v>
      </c>
      <c r="G34" s="9" t="e">
        <f ca="1">MATCH(A34,Bowling!$A$5:$A$51,0)</f>
        <v>#N/A</v>
      </c>
      <c r="H34" s="9">
        <f ca="1">IF(NOT(ISNA(G34)),OFFSET(Bowling!#REF!,G34,0,1,1),0)</f>
        <v>0</v>
      </c>
      <c r="I34" s="9">
        <f ca="1">IF(NOT(ISNA(E34)),OFFSET(Batting!$B$4,E34,$C$1+1,1,1),0)</f>
        <v>0</v>
      </c>
      <c r="J34" s="9">
        <f ca="1">VLOOKUP(A34,'Fantasy Teams'!$A$45:$C$87,3,FALSE)</f>
        <v>4</v>
      </c>
      <c r="K34" s="10">
        <f t="shared" ca="1" si="4"/>
        <v>0</v>
      </c>
      <c r="L34" s="5">
        <f t="shared" ca="1" si="5"/>
        <v>3.4000000000000002E-4</v>
      </c>
      <c r="M34" s="5">
        <f t="shared" ca="1" si="6"/>
        <v>7</v>
      </c>
      <c r="N34" s="5">
        <f t="shared" ca="1" si="7"/>
        <v>7</v>
      </c>
      <c r="O34" s="5">
        <f t="shared" si="8"/>
        <v>30</v>
      </c>
      <c r="P34" s="5" t="str">
        <f t="shared" ca="1" si="10"/>
        <v>Clive Edghill</v>
      </c>
      <c r="Q34" s="7">
        <f t="shared" ca="1" si="11"/>
        <v>0</v>
      </c>
      <c r="R34" s="5">
        <f t="shared" ca="1" si="3"/>
        <v>2</v>
      </c>
    </row>
    <row r="35" spans="1:18" x14ac:dyDescent="0.2">
      <c r="A35" s="65" t="str">
        <f ca="1"/>
        <v>ROMO</v>
      </c>
      <c r="B35" t="str">
        <f ca="1"/>
        <v>Ron Morris</v>
      </c>
      <c r="C35" s="9">
        <f t="shared" ca="1" si="12"/>
        <v>0</v>
      </c>
      <c r="D35" s="9">
        <f ca="1">IF(NOT(ISNA(E35)),5*OFFSET(Batting!$CF$4,E35,0,1,1),0)</f>
        <v>0</v>
      </c>
      <c r="E35" s="9" t="e">
        <f ca="1">MATCH(A35,Batting!$A$5:$A$70,0)</f>
        <v>#N/A</v>
      </c>
      <c r="F35" s="9">
        <f ca="1">IF(NOT(ISNA(E35)),OFFSET(Batting!$B$4,E35,$C$1,1,1),0)</f>
        <v>0</v>
      </c>
      <c r="G35" s="9" t="e">
        <f ca="1">MATCH(A35,Bowling!$A$5:$A$51,0)</f>
        <v>#N/A</v>
      </c>
      <c r="H35" s="9">
        <f ca="1">IF(NOT(ISNA(G35)),OFFSET(Bowling!#REF!,G35,0,1,1),0)</f>
        <v>0</v>
      </c>
      <c r="I35" s="9">
        <f ca="1">IF(NOT(ISNA(E35)),OFFSET(Batting!$B$4,E35,$C$1+1,1,1),0)</f>
        <v>0</v>
      </c>
      <c r="J35" s="9">
        <f ca="1">VLOOKUP(A35,'Fantasy Teams'!$A$45:$C$87,3,FALSE)</f>
        <v>2</v>
      </c>
      <c r="K35" s="10">
        <f t="shared" ca="1" si="4"/>
        <v>0</v>
      </c>
      <c r="L35" s="5">
        <f t="shared" ca="1" si="5"/>
        <v>3.5E-4</v>
      </c>
      <c r="M35" s="5">
        <f t="shared" ca="1" si="6"/>
        <v>6</v>
      </c>
      <c r="N35" s="5">
        <f t="shared" ca="1" si="7"/>
        <v>6</v>
      </c>
      <c r="O35" s="5">
        <f t="shared" si="8"/>
        <v>31</v>
      </c>
      <c r="P35" s="5" t="str">
        <f t="shared" ca="1" si="10"/>
        <v>Chris Clark</v>
      </c>
      <c r="Q35" s="7">
        <f t="shared" ca="1" si="11"/>
        <v>0</v>
      </c>
      <c r="R35" s="5">
        <f t="shared" ca="1" si="3"/>
        <v>6</v>
      </c>
    </row>
    <row r="36" spans="1:18" x14ac:dyDescent="0.2">
      <c r="A36" s="65" t="str">
        <f ca="1"/>
        <v>ROOD</v>
      </c>
      <c r="B36" t="str">
        <f ca="1"/>
        <v>Roy Odeneal</v>
      </c>
      <c r="C36" s="9">
        <f t="shared" ca="1" si="12"/>
        <v>0</v>
      </c>
      <c r="D36" s="9">
        <f ca="1">IF(NOT(ISNA(E36)),5*OFFSET(Batting!$CF$4,E36,0,1,1),0)</f>
        <v>0</v>
      </c>
      <c r="E36" s="9" t="e">
        <f ca="1">MATCH(A36,Batting!$A$5:$A$70,0)</f>
        <v>#N/A</v>
      </c>
      <c r="F36" s="9">
        <f ca="1">IF(NOT(ISNA(E36)),OFFSET(Batting!$B$4,E36,$C$1,1,1),0)</f>
        <v>0</v>
      </c>
      <c r="G36" s="9" t="e">
        <f ca="1">MATCH(A36,Bowling!$A$5:$A$51,0)</f>
        <v>#N/A</v>
      </c>
      <c r="H36" s="9">
        <f ca="1">IF(NOT(ISNA(G36)),OFFSET(Bowling!#REF!,G36,0,1,1),0)</f>
        <v>0</v>
      </c>
      <c r="I36" s="9">
        <f ca="1">IF(NOT(ISNA(E36)),OFFSET(Batting!$B$4,E36,$C$1+1,1,1),0)</f>
        <v>0</v>
      </c>
      <c r="J36" s="9">
        <f ca="1">VLOOKUP(A36,'Fantasy Teams'!$A$45:$C$87,3,FALSE)</f>
        <v>2</v>
      </c>
      <c r="K36" s="10">
        <f t="shared" ca="1" si="4"/>
        <v>0</v>
      </c>
      <c r="L36" s="5">
        <f t="shared" ca="1" si="5"/>
        <v>3.6000000000000002E-4</v>
      </c>
      <c r="M36" s="5">
        <f t="shared" ca="1" si="6"/>
        <v>5</v>
      </c>
      <c r="N36" s="5">
        <f t="shared" ca="1" si="7"/>
        <v>5</v>
      </c>
      <c r="O36" s="5">
        <f t="shared" si="8"/>
        <v>32</v>
      </c>
      <c r="P36" s="5" t="str">
        <f t="shared" ca="1" si="10"/>
        <v>Bob Young</v>
      </c>
      <c r="Q36" s="7">
        <f t="shared" ca="1" si="11"/>
        <v>0</v>
      </c>
      <c r="R36" s="5">
        <f t="shared" ca="1" si="3"/>
        <v>4</v>
      </c>
    </row>
    <row r="37" spans="1:18" x14ac:dyDescent="0.2">
      <c r="A37" s="65" t="str">
        <f ca="1"/>
        <v>STBA</v>
      </c>
      <c r="B37" t="str">
        <f ca="1"/>
        <v>Steve Barry</v>
      </c>
      <c r="C37" s="9">
        <f t="shared" ca="1" si="12"/>
        <v>0</v>
      </c>
      <c r="D37" s="9">
        <f ca="1">IF(NOT(ISNA(E37)),5*OFFSET(Batting!$CF$4,E37,0,1,1),0)</f>
        <v>0</v>
      </c>
      <c r="E37" s="9" t="e">
        <f ca="1">MATCH(A37,Batting!$A$5:$A$70,0)</f>
        <v>#N/A</v>
      </c>
      <c r="F37" s="9">
        <f ca="1">IF(NOT(ISNA(E37)),OFFSET(Batting!$B$4,E37,$C$1,1,1),0)</f>
        <v>0</v>
      </c>
      <c r="G37" s="9" t="e">
        <f ca="1">MATCH(A37,Bowling!$A$5:$A$51,0)</f>
        <v>#N/A</v>
      </c>
      <c r="H37" s="9">
        <f ca="1">IF(NOT(ISNA(G37)),OFFSET(Bowling!#REF!,G37,0,1,1),0)</f>
        <v>0</v>
      </c>
      <c r="I37" s="9">
        <f ca="1">IF(NOT(ISNA(E37)),OFFSET(Batting!$B$4,E37,$C$1+1,1,1),0)</f>
        <v>0</v>
      </c>
      <c r="J37" s="9">
        <f ca="1">VLOOKUP(A37,'Fantasy Teams'!$A$45:$C$87,3,FALSE)</f>
        <v>2</v>
      </c>
      <c r="K37" s="10">
        <f t="shared" ca="1" si="4"/>
        <v>0</v>
      </c>
      <c r="L37" s="5">
        <f t="shared" ca="1" si="5"/>
        <v>3.6999999999999999E-4</v>
      </c>
      <c r="M37" s="5">
        <f t="shared" ca="1" si="6"/>
        <v>4</v>
      </c>
      <c r="N37" s="5">
        <f t="shared" ca="1" si="7"/>
        <v>4</v>
      </c>
      <c r="O37" s="5">
        <f t="shared" si="8"/>
        <v>33</v>
      </c>
      <c r="P37" s="5" t="str">
        <f t="shared" ca="1" si="10"/>
        <v>Andy Mander</v>
      </c>
      <c r="Q37" s="7">
        <f t="shared" ca="1" si="11"/>
        <v>0</v>
      </c>
      <c r="R37" s="5">
        <f t="shared" ca="1" si="3"/>
        <v>6</v>
      </c>
    </row>
    <row r="38" spans="1:18" x14ac:dyDescent="0.2">
      <c r="A38" s="65" t="str">
        <f ca="1"/>
        <v>TEDU</v>
      </c>
      <c r="B38" t="str">
        <f ca="1"/>
        <v>Ted Dugdale</v>
      </c>
      <c r="C38" s="9">
        <f t="shared" ca="1" si="12"/>
        <v>0</v>
      </c>
      <c r="D38" s="9">
        <f ca="1">IF(NOT(ISNA(E38)),5*OFFSET(Batting!$CF$4,E38,0,1,1),0)</f>
        <v>0</v>
      </c>
      <c r="E38" s="9" t="e">
        <f ca="1">MATCH(A38,Batting!$A$5:$A$70,0)</f>
        <v>#N/A</v>
      </c>
      <c r="F38" s="9">
        <f ca="1">IF(NOT(ISNA(E38)),OFFSET(Batting!$B$4,E38,$C$1,1,1),0)</f>
        <v>0</v>
      </c>
      <c r="G38" s="9" t="e">
        <f ca="1">MATCH(A38,Bowling!$A$5:$A$51,0)</f>
        <v>#N/A</v>
      </c>
      <c r="H38" s="9">
        <f ca="1">IF(NOT(ISNA(G38)),OFFSET(Bowling!#REF!,G38,0,1,1),0)</f>
        <v>0</v>
      </c>
      <c r="I38" s="9">
        <f ca="1">IF(NOT(ISNA(E38)),OFFSET(Batting!$B$4,E38,$C$1+1,1,1),0)</f>
        <v>0</v>
      </c>
      <c r="J38" s="9">
        <f ca="1">VLOOKUP(A38,'Fantasy Teams'!$A$45:$C$87,3,FALSE)</f>
        <v>3</v>
      </c>
      <c r="K38" s="10">
        <f t="shared" ca="1" si="4"/>
        <v>0</v>
      </c>
      <c r="L38" s="5">
        <f t="shared" ca="1" si="5"/>
        <v>3.8000000000000002E-4</v>
      </c>
      <c r="M38" s="5">
        <f t="shared" ca="1" si="6"/>
        <v>3</v>
      </c>
      <c r="N38" s="5">
        <f t="shared" ca="1" si="7"/>
        <v>3</v>
      </c>
      <c r="O38" s="5">
        <f t="shared" si="8"/>
        <v>34</v>
      </c>
      <c r="P38" s="5" t="str">
        <f t="shared" ca="1" si="10"/>
        <v>Aiden Coloe</v>
      </c>
      <c r="Q38" s="7">
        <f t="shared" ca="1" si="11"/>
        <v>0</v>
      </c>
      <c r="R38" s="5">
        <f t="shared" ca="1" si="3"/>
        <v>3</v>
      </c>
    </row>
    <row r="39" spans="1:18" x14ac:dyDescent="0.2">
      <c r="A39" s="65" t="str">
        <f ca="1"/>
        <v>TOSP</v>
      </c>
      <c r="B39" t="str">
        <f ca="1"/>
        <v>Tony Springer</v>
      </c>
      <c r="C39" s="9">
        <f t="shared" ca="1" si="12"/>
        <v>0</v>
      </c>
      <c r="D39" s="9">
        <f ca="1">IF(NOT(ISNA(E39)),5*OFFSET(Batting!$CF$4,E39,0,1,1),0)</f>
        <v>0</v>
      </c>
      <c r="E39" s="9" t="e">
        <f ca="1">MATCH(A39,Batting!$A$5:$A$70,0)</f>
        <v>#N/A</v>
      </c>
      <c r="F39" s="9">
        <f ca="1">IF(NOT(ISNA(E39)),OFFSET(Batting!$B$4,E39,$C$1,1,1),0)</f>
        <v>0</v>
      </c>
      <c r="G39" s="9" t="e">
        <f ca="1">MATCH(A39,Bowling!$A$5:$A$51,0)</f>
        <v>#N/A</v>
      </c>
      <c r="H39" s="9">
        <f ca="1">IF(NOT(ISNA(G39)),OFFSET(Bowling!#REF!,G39,0,1,1),0)</f>
        <v>0</v>
      </c>
      <c r="I39" s="9">
        <f ca="1">IF(NOT(ISNA(E39)),OFFSET(Batting!$B$4,E39,$C$1+1,1,1),0)</f>
        <v>0</v>
      </c>
      <c r="J39" s="9">
        <f ca="1">VLOOKUP(A39,'Fantasy Teams'!$A$45:$C$87,3,FALSE)</f>
        <v>13</v>
      </c>
      <c r="K39" s="10">
        <f t="shared" ca="1" si="4"/>
        <v>0</v>
      </c>
      <c r="L39" s="5">
        <f t="shared" ca="1" si="5"/>
        <v>3.8999999999999999E-4</v>
      </c>
      <c r="M39" s="5">
        <f t="shared" ca="1" si="6"/>
        <v>2</v>
      </c>
      <c r="N39" s="5">
        <f t="shared" ca="1" si="7"/>
        <v>2</v>
      </c>
      <c r="O39" s="5">
        <f t="shared" si="8"/>
        <v>35</v>
      </c>
      <c r="P39" s="5" t="str">
        <f t="shared" ca="1" si="10"/>
        <v>Adam Lestrelle</v>
      </c>
      <c r="Q39" s="7">
        <f t="shared" ca="1" si="11"/>
        <v>0</v>
      </c>
      <c r="R39" s="5">
        <f t="shared" ca="1" si="3"/>
        <v>2</v>
      </c>
    </row>
    <row r="40" spans="1:18" x14ac:dyDescent="0.2">
      <c r="A40" s="65" t="str">
        <f ca="1"/>
        <v>VIRE</v>
      </c>
      <c r="B40" t="str">
        <f ca="1"/>
        <v>Vince Reid</v>
      </c>
      <c r="C40" s="9">
        <f t="shared" ca="1" si="12"/>
        <v>0</v>
      </c>
      <c r="D40" s="9">
        <f ca="1">IF(NOT(ISNA(E40)),5*OFFSET(Batting!$CF$4,E40,0,1,1),0)</f>
        <v>0</v>
      </c>
      <c r="E40" s="9" t="e">
        <f ca="1">MATCH(A40,Batting!$A$5:$A$70,0)</f>
        <v>#N/A</v>
      </c>
      <c r="F40" s="9">
        <f ca="1">IF(NOT(ISNA(E40)),OFFSET(Batting!$B$4,E40,$C$1,1,1),0)</f>
        <v>0</v>
      </c>
      <c r="G40" s="9" t="e">
        <f ca="1">MATCH(A40,Bowling!$A$5:$A$51,0)</f>
        <v>#N/A</v>
      </c>
      <c r="H40" s="9">
        <f ca="1">IF(NOT(ISNA(G40)),OFFSET(Bowling!#REF!,G40,0,1,1),0)</f>
        <v>0</v>
      </c>
      <c r="I40" s="9">
        <f ca="1">IF(NOT(ISNA(E40)),OFFSET(Batting!$B$4,E40,$C$1+1,1,1),0)</f>
        <v>0</v>
      </c>
      <c r="J40" s="9">
        <f ca="1">VLOOKUP(A40,'Fantasy Teams'!$A$45:$C$87,3,FALSE)</f>
        <v>4</v>
      </c>
      <c r="K40" s="10">
        <f t="shared" ca="1" si="4"/>
        <v>0</v>
      </c>
      <c r="L40" s="5">
        <f t="shared" ca="1" si="5"/>
        <v>4.0000000000000002E-4</v>
      </c>
      <c r="M40" s="5">
        <f t="shared" ca="1" si="6"/>
        <v>1</v>
      </c>
      <c r="N40" s="5">
        <f t="shared" ca="1" si="7"/>
        <v>1</v>
      </c>
      <c r="O40" s="5">
        <f t="shared" si="8"/>
        <v>36</v>
      </c>
      <c r="P40" s="5" t="str">
        <f t="shared" ca="1" si="10"/>
        <v>Adrian Hawksworth</v>
      </c>
      <c r="Q40" s="7">
        <f t="shared" ca="1" si="11"/>
        <v>0</v>
      </c>
      <c r="R40" s="5">
        <f t="shared" ca="1" si="3"/>
        <v>3</v>
      </c>
    </row>
    <row r="41" spans="1:18" x14ac:dyDescent="0.2">
      <c r="A41" s="65" t="e">
        <f ca="1"/>
        <v>#N/A</v>
      </c>
      <c r="B41" t="e">
        <f ca="1"/>
        <v>#N/A</v>
      </c>
      <c r="C41" s="9">
        <f t="shared" ca="1" si="12"/>
        <v>0</v>
      </c>
      <c r="D41" s="9">
        <f ca="1">IF(NOT(ISNA(E41)),5*OFFSET(Batting!$CF$4,E41,0,1,1),0)</f>
        <v>0</v>
      </c>
      <c r="E41" s="9" t="e">
        <f ca="1">MATCH(A41,Batting!$A$5:$A$70,0)</f>
        <v>#N/A</v>
      </c>
      <c r="F41" s="9">
        <f ca="1">IF(NOT(ISNA(E41)),OFFSET(Batting!$B$4,E41,$C$1,1,1),0)</f>
        <v>0</v>
      </c>
      <c r="G41" s="9" t="e">
        <f ca="1">MATCH(A41,Bowling!$A$5:$A$51,0)</f>
        <v>#N/A</v>
      </c>
      <c r="H41" s="9">
        <f ca="1">IF(NOT(ISNA(G41)),OFFSET(Bowling!#REF!,G41,0,1,1),0)</f>
        <v>0</v>
      </c>
      <c r="I41" s="9">
        <f ca="1">IF(NOT(ISNA(E41)),OFFSET(Batting!$B$4,E41,$C$1+1,1,1),0)</f>
        <v>0</v>
      </c>
      <c r="J41" s="9" t="e">
        <f ca="1">VLOOKUP(A41,'Fantasy Teams'!$A$45:$C$87,3,FALSE)</f>
        <v>#N/A</v>
      </c>
      <c r="K41" s="10" t="e">
        <f t="shared" ca="1" si="4"/>
        <v>#N/A</v>
      </c>
      <c r="L41" s="5" t="e">
        <f t="shared" ca="1" si="5"/>
        <v>#N/A</v>
      </c>
      <c r="M41" s="5" t="e">
        <f t="shared" ca="1" si="6"/>
        <v>#N/A</v>
      </c>
      <c r="N41" s="5" t="e">
        <f t="shared" ca="1" si="7"/>
        <v>#N/A</v>
      </c>
      <c r="O41" s="5">
        <f t="shared" si="8"/>
        <v>37</v>
      </c>
      <c r="P41" s="5" t="e">
        <f t="shared" ca="1" si="10"/>
        <v>#N/A</v>
      </c>
      <c r="Q41" s="7" t="e">
        <f t="shared" ca="1" si="11"/>
        <v>#N/A</v>
      </c>
      <c r="R41" s="5" t="e">
        <f t="shared" ca="1" si="3"/>
        <v>#N/A</v>
      </c>
    </row>
    <row r="42" spans="1:18" x14ac:dyDescent="0.2">
      <c r="A42" s="65" t="e">
        <f ca="1"/>
        <v>#N/A</v>
      </c>
      <c r="B42" t="e">
        <f ca="1"/>
        <v>#N/A</v>
      </c>
      <c r="C42" s="9">
        <f t="shared" ca="1" si="12"/>
        <v>0</v>
      </c>
      <c r="D42" s="9">
        <f ca="1">IF(NOT(ISNA(E42)),5*OFFSET(Batting!$CF$4,E42,0,1,1),0)</f>
        <v>0</v>
      </c>
      <c r="E42" s="9" t="e">
        <f ca="1">MATCH(A42,Batting!$A$5:$A$70,0)</f>
        <v>#N/A</v>
      </c>
      <c r="F42" s="9">
        <f ca="1">IF(NOT(ISNA(E42)),OFFSET(Batting!$B$4,E42,$C$1,1,1),0)</f>
        <v>0</v>
      </c>
      <c r="G42" s="9" t="e">
        <f ca="1">MATCH(A42,Bowling!$A$5:$A$51,0)</f>
        <v>#N/A</v>
      </c>
      <c r="H42" s="9">
        <f ca="1">IF(NOT(ISNA(G42)),OFFSET(Bowling!#REF!,G42,0,1,1),0)</f>
        <v>0</v>
      </c>
      <c r="I42" s="9">
        <f ca="1">IF(NOT(ISNA(E42)),OFFSET(Batting!$B$4,E42,$C$1+1,1,1),0)</f>
        <v>0</v>
      </c>
      <c r="J42" s="9" t="e">
        <f ca="1">VLOOKUP(A42,'Fantasy Teams'!$A$45:$C$87,3,FALSE)</f>
        <v>#N/A</v>
      </c>
      <c r="K42" s="10" t="e">
        <f t="shared" ca="1" si="4"/>
        <v>#N/A</v>
      </c>
      <c r="L42" s="5" t="e">
        <f t="shared" ca="1" si="5"/>
        <v>#N/A</v>
      </c>
      <c r="M42" s="5" t="e">
        <f t="shared" ca="1" si="6"/>
        <v>#N/A</v>
      </c>
      <c r="N42" s="5" t="e">
        <f t="shared" ca="1" si="7"/>
        <v>#N/A</v>
      </c>
      <c r="O42" s="5">
        <f t="shared" si="8"/>
        <v>38</v>
      </c>
      <c r="P42" s="5" t="e">
        <f t="shared" ca="1" si="10"/>
        <v>#N/A</v>
      </c>
      <c r="Q42" s="7" t="e">
        <f t="shared" ca="1" si="11"/>
        <v>#N/A</v>
      </c>
      <c r="R42" s="5" t="e">
        <f t="shared" ca="1" si="3"/>
        <v>#N/A</v>
      </c>
    </row>
    <row r="43" spans="1:18" x14ac:dyDescent="0.2">
      <c r="A43" s="65" t="e">
        <f ca="1"/>
        <v>#N/A</v>
      </c>
      <c r="B43" t="e">
        <f ca="1"/>
        <v>#N/A</v>
      </c>
      <c r="C43" s="9">
        <f t="shared" ca="1" si="12"/>
        <v>0</v>
      </c>
      <c r="D43" s="9">
        <f ca="1">IF(NOT(ISNA(E43)),5*OFFSET(Batting!$CF$4,E43,0,1,1),0)</f>
        <v>0</v>
      </c>
      <c r="E43" s="9" t="e">
        <f ca="1">MATCH(A43,Batting!$A$5:$A$70,0)</f>
        <v>#N/A</v>
      </c>
      <c r="F43" s="9">
        <f ca="1">IF(NOT(ISNA(E43)),OFFSET(Batting!$B$4,E43,$C$1,1,1),0)</f>
        <v>0</v>
      </c>
      <c r="G43" s="9" t="e">
        <f ca="1">MATCH(A43,Bowling!$A$5:$A$51,0)</f>
        <v>#N/A</v>
      </c>
      <c r="H43" s="9">
        <f ca="1">IF(NOT(ISNA(G43)),OFFSET(Bowling!#REF!,G43,0,1,1),0)</f>
        <v>0</v>
      </c>
      <c r="I43" s="9">
        <f ca="1">IF(NOT(ISNA(E43)),OFFSET(Batting!$B$4,E43,$C$1+1,1,1),0)</f>
        <v>0</v>
      </c>
      <c r="J43" s="9" t="e">
        <f ca="1">VLOOKUP(A43,'Fantasy Teams'!$A$45:$C$87,3,FALSE)</f>
        <v>#N/A</v>
      </c>
      <c r="K43" s="10" t="e">
        <f t="shared" ca="1" si="4"/>
        <v>#N/A</v>
      </c>
      <c r="L43" s="5" t="e">
        <f t="shared" ca="1" si="5"/>
        <v>#N/A</v>
      </c>
      <c r="M43" s="5" t="e">
        <f t="shared" ca="1" si="6"/>
        <v>#N/A</v>
      </c>
      <c r="N43" s="5" t="e">
        <f t="shared" ca="1" si="7"/>
        <v>#N/A</v>
      </c>
      <c r="O43" s="5">
        <f t="shared" si="8"/>
        <v>39</v>
      </c>
      <c r="P43" s="5" t="e">
        <f t="shared" ca="1" si="10"/>
        <v>#N/A</v>
      </c>
      <c r="Q43" s="7" t="e">
        <f t="shared" ca="1" si="11"/>
        <v>#N/A</v>
      </c>
      <c r="R43" s="5" t="e">
        <f t="shared" ca="1" si="3"/>
        <v>#N/A</v>
      </c>
    </row>
    <row r="44" spans="1:18" x14ac:dyDescent="0.2">
      <c r="A44" s="65" t="e">
        <f ca="1"/>
        <v>#N/A</v>
      </c>
      <c r="B44" t="e">
        <f ca="1"/>
        <v>#N/A</v>
      </c>
      <c r="C44" s="9">
        <f ca="1">F44+H44+I44+D44</f>
        <v>0</v>
      </c>
      <c r="D44" s="9">
        <f ca="1">IF(NOT(ISNA(E44)),5*OFFSET(Batting!$CF$4,E44,0,1,1),0)</f>
        <v>0</v>
      </c>
      <c r="E44" s="9" t="e">
        <f ca="1">MATCH(A44,Batting!$A$5:$A$70,0)</f>
        <v>#N/A</v>
      </c>
      <c r="F44" s="9">
        <f ca="1">IF(NOT(ISNA(E44)),OFFSET(Batting!$B$4,E44,$C$1,1,1),0)</f>
        <v>0</v>
      </c>
      <c r="G44" s="9" t="e">
        <f ca="1">MATCH(A44,Bowling!$A$5:$A$51,0)</f>
        <v>#N/A</v>
      </c>
      <c r="H44" s="9">
        <f ca="1">IF(NOT(ISNA(G44)),OFFSET(Bowling!#REF!,G44,0,1,1),0)</f>
        <v>0</v>
      </c>
      <c r="I44" s="9">
        <f ca="1">IF(NOT(ISNA(E44)),OFFSET(Batting!$B$4,E44,$C$1+1,1,1),0)</f>
        <v>0</v>
      </c>
      <c r="J44" s="9" t="e">
        <f ca="1">VLOOKUP(A44,'Fantasy Teams'!$A$45:$C$87,3,FALSE)</f>
        <v>#N/A</v>
      </c>
      <c r="K44" s="10" t="e">
        <f t="shared" ca="1" si="4"/>
        <v>#N/A</v>
      </c>
      <c r="L44" s="5" t="e">
        <f t="shared" ca="1" si="5"/>
        <v>#N/A</v>
      </c>
      <c r="M44" s="5" t="e">
        <f t="shared" ca="1" si="6"/>
        <v>#N/A</v>
      </c>
      <c r="N44" s="5" t="e">
        <f t="shared" ca="1" si="7"/>
        <v>#N/A</v>
      </c>
      <c r="O44" s="5">
        <f t="shared" si="8"/>
        <v>40</v>
      </c>
      <c r="P44" s="5" t="e">
        <f t="shared" ca="1" si="10"/>
        <v>#N/A</v>
      </c>
      <c r="Q44" s="7" t="e">
        <f t="shared" ca="1" si="11"/>
        <v>#N/A</v>
      </c>
      <c r="R44" s="5" t="e">
        <f t="shared" ca="1" si="3"/>
        <v>#N/A</v>
      </c>
    </row>
    <row r="45" spans="1:18" x14ac:dyDescent="0.2">
      <c r="A45" s="65" t="e">
        <f ca="1"/>
        <v>#N/A</v>
      </c>
      <c r="B45" t="e">
        <f ca="1"/>
        <v>#N/A</v>
      </c>
      <c r="C45" s="9">
        <f ca="1">F45+H45+I45+D45</f>
        <v>0</v>
      </c>
      <c r="D45" s="9">
        <f ca="1">IF(NOT(ISNA(E45)),5*OFFSET(Batting!$CF$4,E45,0,1,1),0)</f>
        <v>0</v>
      </c>
      <c r="E45" s="9" t="e">
        <f ca="1">MATCH(A45,Batting!$A$5:$A$70,0)</f>
        <v>#N/A</v>
      </c>
      <c r="F45" s="9">
        <f ca="1">IF(NOT(ISNA(E45)),OFFSET(Batting!$B$4,E45,$C$1,1,1),0)</f>
        <v>0</v>
      </c>
      <c r="G45" s="9" t="e">
        <f ca="1">MATCH(A45,Bowling!$A$5:$A$51,0)</f>
        <v>#N/A</v>
      </c>
      <c r="H45" s="9">
        <f ca="1">IF(NOT(ISNA(G45)),OFFSET(Bowling!#REF!,G45,0,1,1),0)</f>
        <v>0</v>
      </c>
      <c r="I45" s="9">
        <f ca="1">IF(NOT(ISNA(E45)),OFFSET(Batting!$B$4,E45,$C$1+1,1,1),0)</f>
        <v>0</v>
      </c>
      <c r="J45" s="9" t="e">
        <f ca="1">VLOOKUP(A45,'Fantasy Teams'!$A$45:$C$87,3,FALSE)</f>
        <v>#N/A</v>
      </c>
      <c r="K45" s="10" t="e">
        <f t="shared" ca="1" si="4"/>
        <v>#N/A</v>
      </c>
      <c r="L45" s="5" t="e">
        <f t="shared" ca="1" si="5"/>
        <v>#N/A</v>
      </c>
      <c r="M45" s="5" t="e">
        <f t="shared" ca="1" si="6"/>
        <v>#N/A</v>
      </c>
      <c r="N45" s="5" t="e">
        <f t="shared" ca="1" si="7"/>
        <v>#N/A</v>
      </c>
      <c r="O45" s="5">
        <f t="shared" si="8"/>
        <v>41</v>
      </c>
      <c r="P45" s="5" t="e">
        <f t="shared" ca="1" si="10"/>
        <v>#N/A</v>
      </c>
      <c r="Q45" s="7" t="e">
        <f t="shared" ca="1" si="11"/>
        <v>#N/A</v>
      </c>
      <c r="R45" s="5" t="e">
        <f t="shared" ca="1" si="3"/>
        <v>#N/A</v>
      </c>
    </row>
    <row r="46" spans="1:18" x14ac:dyDescent="0.2">
      <c r="A46" s="65" t="e">
        <f ca="1"/>
        <v>#N/A</v>
      </c>
      <c r="B46" t="e">
        <f ca="1"/>
        <v>#N/A</v>
      </c>
      <c r="C46" s="9">
        <f ca="1">F46+H46+I46+D46</f>
        <v>0</v>
      </c>
      <c r="D46" s="9">
        <f ca="1">IF(NOT(ISNA(E46)),5*OFFSET(Batting!$CF$4,E46,0,1,1),0)</f>
        <v>0</v>
      </c>
      <c r="E46" s="9" t="e">
        <f ca="1">MATCH(A46,Batting!$A$5:$A$70,0)</f>
        <v>#N/A</v>
      </c>
      <c r="F46" s="9">
        <f ca="1">IF(NOT(ISNA(E46)),OFFSET(Batting!$B$4,E46,$C$1,1,1),0)</f>
        <v>0</v>
      </c>
      <c r="G46" s="9" t="e">
        <f ca="1">MATCH(A46,Bowling!$A$5:$A$51,0)</f>
        <v>#N/A</v>
      </c>
      <c r="H46" s="9">
        <f ca="1">IF(NOT(ISNA(G46)),OFFSET(Bowling!#REF!,G46,0,1,1),0)</f>
        <v>0</v>
      </c>
      <c r="I46" s="9">
        <f ca="1">IF(NOT(ISNA(E46)),OFFSET(Batting!$B$4,E46,$C$1+1,1,1),0)</f>
        <v>0</v>
      </c>
      <c r="J46" s="9" t="e">
        <f ca="1">VLOOKUP(A46,'Fantasy Teams'!$A$45:$C$87,3,FALSE)</f>
        <v>#N/A</v>
      </c>
      <c r="K46" s="10" t="e">
        <f t="shared" ca="1" si="4"/>
        <v>#N/A</v>
      </c>
      <c r="L46" s="5" t="e">
        <f t="shared" ca="1" si="5"/>
        <v>#N/A</v>
      </c>
      <c r="M46" s="5" t="e">
        <f t="shared" ca="1" si="6"/>
        <v>#N/A</v>
      </c>
      <c r="N46" s="5" t="e">
        <f t="shared" ca="1" si="7"/>
        <v>#N/A</v>
      </c>
      <c r="O46" s="5">
        <f t="shared" si="8"/>
        <v>42</v>
      </c>
      <c r="P46" s="5" t="e">
        <f t="shared" ca="1" si="10"/>
        <v>#N/A</v>
      </c>
      <c r="Q46" s="7" t="e">
        <f t="shared" ca="1" si="11"/>
        <v>#N/A</v>
      </c>
      <c r="R46" s="5" t="e">
        <f t="shared" ca="1" si="3"/>
        <v>#N/A</v>
      </c>
    </row>
    <row r="47" spans="1:18" x14ac:dyDescent="0.2">
      <c r="A47"/>
      <c r="B47"/>
      <c r="D47" s="9"/>
      <c r="E47" s="9"/>
      <c r="F47" s="9"/>
      <c r="G47" s="9"/>
      <c r="H47" s="9"/>
      <c r="I47" s="9"/>
      <c r="J47" s="9"/>
      <c r="K47" s="10"/>
    </row>
    <row r="48" spans="1:18" x14ac:dyDescent="0.2">
      <c r="A48"/>
      <c r="B48"/>
      <c r="D48" s="9"/>
      <c r="E48" s="9"/>
      <c r="F48" s="9"/>
      <c r="G48" s="9"/>
      <c r="H48" s="9"/>
      <c r="I48" s="9"/>
      <c r="J48" s="9"/>
      <c r="K48" s="10"/>
    </row>
    <row r="49" spans="1:11" x14ac:dyDescent="0.2">
      <c r="A49"/>
      <c r="B49"/>
      <c r="D49" s="9"/>
      <c r="E49" s="9"/>
      <c r="F49" s="9"/>
      <c r="G49" s="9"/>
      <c r="H49" s="9"/>
      <c r="I49" s="9"/>
      <c r="J49" s="9"/>
      <c r="K49" s="10"/>
    </row>
    <row r="50" spans="1:11" x14ac:dyDescent="0.2">
      <c r="A50"/>
      <c r="B50"/>
      <c r="D50" s="9"/>
      <c r="E50" s="9"/>
      <c r="F50" s="9"/>
      <c r="G50" s="9"/>
      <c r="H50" s="9"/>
      <c r="I50" s="9"/>
      <c r="J50" s="9"/>
      <c r="K50" s="10"/>
    </row>
    <row r="51" spans="1:11" x14ac:dyDescent="0.2">
      <c r="A51"/>
      <c r="B51"/>
      <c r="D51" s="9"/>
      <c r="E51" s="9"/>
      <c r="F51" s="9"/>
      <c r="G51" s="9"/>
      <c r="H51" s="9"/>
      <c r="I51" s="9"/>
      <c r="J51" s="9"/>
      <c r="K51" s="10"/>
    </row>
    <row r="52" spans="1:11" x14ac:dyDescent="0.2">
      <c r="A52"/>
      <c r="B52"/>
      <c r="D52" s="9"/>
      <c r="E52" s="9"/>
      <c r="F52" s="9"/>
      <c r="G52" s="9"/>
      <c r="H52" s="9"/>
      <c r="I52" s="9"/>
      <c r="J52" s="9"/>
      <c r="K52" s="10"/>
    </row>
  </sheetData>
  <phoneticPr fontId="0" type="noConversion"/>
  <pageMargins left="0.75" right="0.75" top="1" bottom="1" header="0.5" footer="0.5"/>
  <pageSetup paperSize="9" orientation="portrait" horizontalDpi="300" verticalDpi="300" r:id="rId1"/>
  <headerFooter alignWithMargins="0">
    <oddHeader>&amp;A</oddHeader>
    <oddFooter>Page &amp;P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J88"/>
  <sheetViews>
    <sheetView workbookViewId="0"/>
  </sheetViews>
  <sheetFormatPr defaultRowHeight="12.75" customHeight="1" x14ac:dyDescent="0.2"/>
  <cols>
    <col min="1" max="1" width="19.42578125" style="16" customWidth="1"/>
    <col min="2" max="7" width="9.7109375" style="20" customWidth="1"/>
    <col min="8" max="8" width="9.7109375" style="21" customWidth="1"/>
    <col min="9" max="9" width="3" style="16" bestFit="1" customWidth="1"/>
    <col min="10" max="10" width="9.140625" style="97"/>
    <col min="11" max="16384" width="9.140625" style="16"/>
  </cols>
  <sheetData>
    <row r="1" spans="1:10" ht="12.75" customHeight="1" x14ac:dyDescent="0.25">
      <c r="A1" s="13" t="s">
        <v>76</v>
      </c>
      <c r="B1" s="14" t="s">
        <v>84</v>
      </c>
      <c r="C1" s="14" t="s">
        <v>85</v>
      </c>
      <c r="D1" s="14" t="s">
        <v>79</v>
      </c>
      <c r="E1" s="14" t="s">
        <v>81</v>
      </c>
      <c r="F1" s="14" t="s">
        <v>82</v>
      </c>
      <c r="G1" s="14" t="s">
        <v>70</v>
      </c>
      <c r="H1" s="15" t="s">
        <v>86</v>
      </c>
    </row>
    <row r="2" spans="1:10" ht="12.75" customHeight="1" x14ac:dyDescent="0.3">
      <c r="A2" s="17" t="str">
        <f ca="1">FantasyPts!B5</f>
        <v>Adrian Hawksworth</v>
      </c>
      <c r="B2" s="18">
        <f ca="1">FantasyPts!C5</f>
        <v>0</v>
      </c>
      <c r="C2" s="18">
        <f ca="1">FantasyPts!D5</f>
        <v>0</v>
      </c>
      <c r="D2" s="18">
        <f ca="1">FantasyPts!F5</f>
        <v>0</v>
      </c>
      <c r="E2" s="18">
        <f ca="1">FantasyPts!H5</f>
        <v>0</v>
      </c>
      <c r="F2" s="18">
        <f ca="1">FantasyPts!I5</f>
        <v>0</v>
      </c>
      <c r="G2" s="18">
        <f ca="1">FantasyPts!J5</f>
        <v>3</v>
      </c>
      <c r="H2" s="19">
        <f ca="1">FantasyPts!K5</f>
        <v>0</v>
      </c>
      <c r="I2" s="16">
        <f ca="1">INT(B2/100+0.5)</f>
        <v>0</v>
      </c>
      <c r="J2" s="101">
        <f ca="1">I2-G2</f>
        <v>-3</v>
      </c>
    </row>
    <row r="3" spans="1:10" ht="12.75" customHeight="1" x14ac:dyDescent="0.3">
      <c r="A3" s="17" t="str">
        <f ca="1">FantasyPts!B6</f>
        <v>Adam Lestrelle</v>
      </c>
      <c r="B3" s="18">
        <f ca="1">FantasyPts!C6</f>
        <v>0</v>
      </c>
      <c r="C3" s="18">
        <f ca="1">FantasyPts!D6</f>
        <v>0</v>
      </c>
      <c r="D3" s="18">
        <f ca="1">FantasyPts!F6</f>
        <v>0</v>
      </c>
      <c r="E3" s="18">
        <f ca="1">FantasyPts!H6</f>
        <v>0</v>
      </c>
      <c r="F3" s="18">
        <f ca="1">FantasyPts!I6</f>
        <v>0</v>
      </c>
      <c r="G3" s="18">
        <f ca="1">FantasyPts!J6</f>
        <v>2</v>
      </c>
      <c r="H3" s="19">
        <f ca="1">FantasyPts!K6</f>
        <v>0</v>
      </c>
      <c r="I3" s="16">
        <f t="shared" ref="I3:I38" ca="1" si="0">INT(B3/100+0.5)</f>
        <v>0</v>
      </c>
      <c r="J3" s="101">
        <f t="shared" ref="J3:J42" ca="1" si="1">I3-G3</f>
        <v>-2</v>
      </c>
    </row>
    <row r="4" spans="1:10" ht="12.75" customHeight="1" x14ac:dyDescent="0.3">
      <c r="A4" s="17" t="str">
        <f ca="1">FantasyPts!B7</f>
        <v>Aiden Coloe</v>
      </c>
      <c r="B4" s="18">
        <f ca="1">FantasyPts!C7</f>
        <v>0</v>
      </c>
      <c r="C4" s="18">
        <f ca="1">FantasyPts!D7</f>
        <v>0</v>
      </c>
      <c r="D4" s="18">
        <f ca="1">FantasyPts!F7</f>
        <v>0</v>
      </c>
      <c r="E4" s="18">
        <f ca="1">FantasyPts!H7</f>
        <v>0</v>
      </c>
      <c r="F4" s="18">
        <f ca="1">FantasyPts!I7</f>
        <v>0</v>
      </c>
      <c r="G4" s="18">
        <f ca="1">FantasyPts!J7</f>
        <v>3</v>
      </c>
      <c r="H4" s="19">
        <f ca="1">FantasyPts!K7</f>
        <v>0</v>
      </c>
      <c r="I4" s="16">
        <f t="shared" ca="1" si="0"/>
        <v>0</v>
      </c>
      <c r="J4" s="101">
        <f t="shared" ca="1" si="1"/>
        <v>-3</v>
      </c>
    </row>
    <row r="5" spans="1:10" ht="12.75" customHeight="1" x14ac:dyDescent="0.3">
      <c r="A5" s="17" t="str">
        <f ca="1">FantasyPts!B8</f>
        <v>Andy Mander</v>
      </c>
      <c r="B5" s="18">
        <f ca="1">FantasyPts!C8</f>
        <v>0</v>
      </c>
      <c r="C5" s="18">
        <f ca="1">FantasyPts!D8</f>
        <v>0</v>
      </c>
      <c r="D5" s="18">
        <f ca="1">FantasyPts!F8</f>
        <v>0</v>
      </c>
      <c r="E5" s="18">
        <f ca="1">FantasyPts!H8</f>
        <v>0</v>
      </c>
      <c r="F5" s="18">
        <f ca="1">FantasyPts!I8</f>
        <v>0</v>
      </c>
      <c r="G5" s="18">
        <f ca="1">FantasyPts!J8</f>
        <v>6</v>
      </c>
      <c r="H5" s="19">
        <f ca="1">FantasyPts!K8</f>
        <v>0</v>
      </c>
      <c r="I5" s="16">
        <f t="shared" ca="1" si="0"/>
        <v>0</v>
      </c>
      <c r="J5" s="101">
        <f t="shared" ca="1" si="1"/>
        <v>-6</v>
      </c>
    </row>
    <row r="6" spans="1:10" ht="12.75" customHeight="1" x14ac:dyDescent="0.3">
      <c r="A6" s="17" t="str">
        <f ca="1">FantasyPts!B9</f>
        <v>Bob Young</v>
      </c>
      <c r="B6" s="18">
        <f ca="1">FantasyPts!C9</f>
        <v>0</v>
      </c>
      <c r="C6" s="18">
        <f ca="1">FantasyPts!D9</f>
        <v>0</v>
      </c>
      <c r="D6" s="18">
        <f ca="1">FantasyPts!F9</f>
        <v>0</v>
      </c>
      <c r="E6" s="18">
        <f ca="1">FantasyPts!H9</f>
        <v>0</v>
      </c>
      <c r="F6" s="18">
        <f ca="1">FantasyPts!I9</f>
        <v>0</v>
      </c>
      <c r="G6" s="18">
        <f ca="1">FantasyPts!J9</f>
        <v>4</v>
      </c>
      <c r="H6" s="19">
        <f ca="1">FantasyPts!K9</f>
        <v>0</v>
      </c>
      <c r="I6" s="16">
        <f t="shared" ca="1" si="0"/>
        <v>0</v>
      </c>
      <c r="J6" s="101">
        <f t="shared" ca="1" si="1"/>
        <v>-4</v>
      </c>
    </row>
    <row r="7" spans="1:10" ht="12.75" customHeight="1" x14ac:dyDescent="0.3">
      <c r="A7" s="17" t="str">
        <f ca="1">FantasyPts!B10</f>
        <v>Chris Clark</v>
      </c>
      <c r="B7" s="18">
        <f ca="1">FantasyPts!C10</f>
        <v>0</v>
      </c>
      <c r="C7" s="18">
        <f ca="1">FantasyPts!D10</f>
        <v>0</v>
      </c>
      <c r="D7" s="18">
        <f ca="1">FantasyPts!F10</f>
        <v>0</v>
      </c>
      <c r="E7" s="18">
        <f ca="1">FantasyPts!H10</f>
        <v>0</v>
      </c>
      <c r="F7" s="18">
        <f ca="1">FantasyPts!I10</f>
        <v>0</v>
      </c>
      <c r="G7" s="18">
        <f ca="1">FantasyPts!J10</f>
        <v>6</v>
      </c>
      <c r="H7" s="19">
        <f ca="1">FantasyPts!K10</f>
        <v>0</v>
      </c>
      <c r="I7" s="16">
        <f t="shared" ca="1" si="0"/>
        <v>0</v>
      </c>
      <c r="J7" s="101">
        <f t="shared" ca="1" si="1"/>
        <v>-6</v>
      </c>
    </row>
    <row r="8" spans="1:10" ht="12.75" customHeight="1" x14ac:dyDescent="0.3">
      <c r="A8" s="17" t="str">
        <f ca="1">FantasyPts!B11</f>
        <v>Clive Edghill</v>
      </c>
      <c r="B8" s="18">
        <f ca="1">FantasyPts!C11</f>
        <v>0</v>
      </c>
      <c r="C8" s="18">
        <f ca="1">FantasyPts!D11</f>
        <v>0</v>
      </c>
      <c r="D8" s="18">
        <f ca="1">FantasyPts!F11</f>
        <v>0</v>
      </c>
      <c r="E8" s="18">
        <f ca="1">FantasyPts!H11</f>
        <v>0</v>
      </c>
      <c r="F8" s="18">
        <f ca="1">FantasyPts!I11</f>
        <v>0</v>
      </c>
      <c r="G8" s="18">
        <f ca="1">FantasyPts!J11</f>
        <v>2</v>
      </c>
      <c r="H8" s="19">
        <f ca="1">FantasyPts!K11</f>
        <v>0</v>
      </c>
      <c r="I8" s="16">
        <f t="shared" ca="1" si="0"/>
        <v>0</v>
      </c>
      <c r="J8" s="101">
        <f t="shared" ca="1" si="1"/>
        <v>-2</v>
      </c>
    </row>
    <row r="9" spans="1:10" ht="12.75" customHeight="1" x14ac:dyDescent="0.3">
      <c r="A9" s="17" t="str">
        <f ca="1">FantasyPts!B12</f>
        <v>Colin Mander</v>
      </c>
      <c r="B9" s="18">
        <f ca="1">FantasyPts!C12</f>
        <v>0</v>
      </c>
      <c r="C9" s="18">
        <f ca="1">FantasyPts!D12</f>
        <v>0</v>
      </c>
      <c r="D9" s="18">
        <f ca="1">FantasyPts!F12</f>
        <v>0</v>
      </c>
      <c r="E9" s="18">
        <f ca="1">FantasyPts!H12</f>
        <v>0</v>
      </c>
      <c r="F9" s="18">
        <f ca="1">FantasyPts!I12</f>
        <v>0</v>
      </c>
      <c r="G9" s="18">
        <f ca="1">FantasyPts!J12</f>
        <v>9</v>
      </c>
      <c r="H9" s="19">
        <f ca="1">FantasyPts!K12</f>
        <v>0</v>
      </c>
      <c r="I9" s="16">
        <f t="shared" ca="1" si="0"/>
        <v>0</v>
      </c>
      <c r="J9" s="101">
        <f t="shared" ca="1" si="1"/>
        <v>-9</v>
      </c>
    </row>
    <row r="10" spans="1:10" ht="12.75" customHeight="1" x14ac:dyDescent="0.3">
      <c r="A10" s="17" t="str">
        <f ca="1">FantasyPts!B13</f>
        <v>Daragh Corrigan</v>
      </c>
      <c r="B10" s="18">
        <f ca="1">FantasyPts!C13</f>
        <v>0</v>
      </c>
      <c r="C10" s="18">
        <f ca="1">FantasyPts!D13</f>
        <v>0</v>
      </c>
      <c r="D10" s="18">
        <f ca="1">FantasyPts!F13</f>
        <v>0</v>
      </c>
      <c r="E10" s="18">
        <f ca="1">FantasyPts!H13</f>
        <v>0</v>
      </c>
      <c r="F10" s="18">
        <f ca="1">FantasyPts!I13</f>
        <v>0</v>
      </c>
      <c r="G10" s="18">
        <f ca="1">FantasyPts!J13</f>
        <v>2</v>
      </c>
      <c r="H10" s="19">
        <f ca="1">FantasyPts!K13</f>
        <v>0</v>
      </c>
      <c r="I10" s="16">
        <f t="shared" ca="1" si="0"/>
        <v>0</v>
      </c>
      <c r="J10" s="101">
        <f t="shared" ca="1" si="1"/>
        <v>-2</v>
      </c>
    </row>
    <row r="11" spans="1:10" ht="12.75" customHeight="1" x14ac:dyDescent="0.3">
      <c r="A11" s="17" t="str">
        <f ca="1">FantasyPts!B14</f>
        <v>Dave Morris</v>
      </c>
      <c r="B11" s="18">
        <f ca="1">FantasyPts!C14</f>
        <v>0</v>
      </c>
      <c r="C11" s="18">
        <f ca="1">FantasyPts!D14</f>
        <v>0</v>
      </c>
      <c r="D11" s="18">
        <f ca="1">FantasyPts!F14</f>
        <v>0</v>
      </c>
      <c r="E11" s="18">
        <f ca="1">FantasyPts!H14</f>
        <v>0</v>
      </c>
      <c r="F11" s="18">
        <f ca="1">FantasyPts!I14</f>
        <v>0</v>
      </c>
      <c r="G11" s="18">
        <f ca="1">FantasyPts!J14</f>
        <v>5</v>
      </c>
      <c r="H11" s="19">
        <f ca="1">FantasyPts!K14</f>
        <v>0</v>
      </c>
      <c r="I11" s="16">
        <f t="shared" ca="1" si="0"/>
        <v>0</v>
      </c>
      <c r="J11" s="101">
        <f t="shared" ca="1" si="1"/>
        <v>-5</v>
      </c>
    </row>
    <row r="12" spans="1:10" ht="12.75" customHeight="1" x14ac:dyDescent="0.3">
      <c r="A12" s="17" t="str">
        <f ca="1">FantasyPts!B15</f>
        <v>David Brocks</v>
      </c>
      <c r="B12" s="18">
        <f ca="1">FantasyPts!C15</f>
        <v>0</v>
      </c>
      <c r="C12" s="18">
        <f ca="1">FantasyPts!D15</f>
        <v>0</v>
      </c>
      <c r="D12" s="18">
        <f ca="1">FantasyPts!F15</f>
        <v>0</v>
      </c>
      <c r="E12" s="18">
        <f ca="1">FantasyPts!H15</f>
        <v>0</v>
      </c>
      <c r="F12" s="18">
        <f ca="1">FantasyPts!I15</f>
        <v>0</v>
      </c>
      <c r="G12" s="18">
        <f ca="1">FantasyPts!J15</f>
        <v>4</v>
      </c>
      <c r="H12" s="19">
        <f ca="1">FantasyPts!K15</f>
        <v>0</v>
      </c>
      <c r="I12" s="16">
        <f t="shared" ca="1" si="0"/>
        <v>0</v>
      </c>
      <c r="J12" s="101">
        <f t="shared" ca="1" si="1"/>
        <v>-4</v>
      </c>
    </row>
    <row r="13" spans="1:10" ht="12.75" customHeight="1" x14ac:dyDescent="0.3">
      <c r="A13" s="17" t="str">
        <f ca="1">FantasyPts!B16</f>
        <v>David Sharpe</v>
      </c>
      <c r="B13" s="18">
        <f ca="1">FantasyPts!C16</f>
        <v>0</v>
      </c>
      <c r="C13" s="18">
        <f ca="1">FantasyPts!D16</f>
        <v>0</v>
      </c>
      <c r="D13" s="18">
        <f ca="1">FantasyPts!F16</f>
        <v>0</v>
      </c>
      <c r="E13" s="18">
        <f ca="1">FantasyPts!H16</f>
        <v>0</v>
      </c>
      <c r="F13" s="18">
        <f ca="1">FantasyPts!I16</f>
        <v>0</v>
      </c>
      <c r="G13" s="18">
        <f ca="1">FantasyPts!J16</f>
        <v>3</v>
      </c>
      <c r="H13" s="19">
        <f ca="1">FantasyPts!K16</f>
        <v>0</v>
      </c>
      <c r="I13" s="16">
        <f t="shared" ca="1" si="0"/>
        <v>0</v>
      </c>
      <c r="J13" s="101">
        <f t="shared" ca="1" si="1"/>
        <v>-3</v>
      </c>
    </row>
    <row r="14" spans="1:10" ht="12.75" customHeight="1" x14ac:dyDescent="0.3">
      <c r="A14" s="17" t="str">
        <f ca="1">FantasyPts!B17</f>
        <v>David Snow</v>
      </c>
      <c r="B14" s="18">
        <f ca="1">FantasyPts!C17</f>
        <v>0</v>
      </c>
      <c r="C14" s="18">
        <f ca="1">FantasyPts!D17</f>
        <v>0</v>
      </c>
      <c r="D14" s="18">
        <f ca="1">FantasyPts!F17</f>
        <v>0</v>
      </c>
      <c r="E14" s="18">
        <f ca="1">FantasyPts!H17</f>
        <v>0</v>
      </c>
      <c r="F14" s="18">
        <f ca="1">FantasyPts!I17</f>
        <v>0</v>
      </c>
      <c r="G14" s="18">
        <f ca="1">FantasyPts!J17</f>
        <v>3</v>
      </c>
      <c r="H14" s="19">
        <f ca="1">FantasyPts!K17</f>
        <v>0</v>
      </c>
      <c r="I14" s="16">
        <f t="shared" ca="1" si="0"/>
        <v>0</v>
      </c>
      <c r="J14" s="101">
        <f t="shared" ca="1" si="1"/>
        <v>-3</v>
      </c>
    </row>
    <row r="15" spans="1:10" ht="12.75" customHeight="1" x14ac:dyDescent="0.3">
      <c r="A15" s="17" t="str">
        <f ca="1">FantasyPts!B18</f>
        <v>Del Shewan</v>
      </c>
      <c r="B15" s="18">
        <f ca="1">FantasyPts!C18</f>
        <v>0</v>
      </c>
      <c r="C15" s="18">
        <f ca="1">FantasyPts!D18</f>
        <v>0</v>
      </c>
      <c r="D15" s="18">
        <f ca="1">FantasyPts!F18</f>
        <v>0</v>
      </c>
      <c r="E15" s="18">
        <f ca="1">FantasyPts!H18</f>
        <v>0</v>
      </c>
      <c r="F15" s="18">
        <f ca="1">FantasyPts!I18</f>
        <v>0</v>
      </c>
      <c r="G15" s="18">
        <f ca="1">FantasyPts!J18</f>
        <v>3</v>
      </c>
      <c r="H15" s="19">
        <f ca="1">FantasyPts!K18</f>
        <v>0</v>
      </c>
      <c r="I15" s="16">
        <f t="shared" ca="1" si="0"/>
        <v>0</v>
      </c>
      <c r="J15" s="101">
        <f t="shared" ca="1" si="1"/>
        <v>-3</v>
      </c>
    </row>
    <row r="16" spans="1:10" ht="12.75" customHeight="1" x14ac:dyDescent="0.3">
      <c r="A16" s="17" t="str">
        <f ca="1">FantasyPts!B19</f>
        <v>Geoff Cooper</v>
      </c>
      <c r="B16" s="18">
        <f ca="1">FantasyPts!C19</f>
        <v>0</v>
      </c>
      <c r="C16" s="18">
        <f ca="1">FantasyPts!D19</f>
        <v>0</v>
      </c>
      <c r="D16" s="18">
        <f ca="1">FantasyPts!F19</f>
        <v>0</v>
      </c>
      <c r="E16" s="18">
        <f ca="1">FantasyPts!H19</f>
        <v>0</v>
      </c>
      <c r="F16" s="18">
        <f ca="1">FantasyPts!I19</f>
        <v>0</v>
      </c>
      <c r="G16" s="18">
        <f ca="1">FantasyPts!J19</f>
        <v>6</v>
      </c>
      <c r="H16" s="19">
        <f ca="1">FantasyPts!K19</f>
        <v>0</v>
      </c>
      <c r="I16" s="16">
        <f t="shared" ca="1" si="0"/>
        <v>0</v>
      </c>
      <c r="J16" s="101">
        <f t="shared" ca="1" si="1"/>
        <v>-6</v>
      </c>
    </row>
    <row r="17" spans="1:10" ht="12.75" customHeight="1" x14ac:dyDescent="0.3">
      <c r="A17" s="17" t="str">
        <f ca="1">FantasyPts!B20</f>
        <v>Glen Lilley</v>
      </c>
      <c r="B17" s="18">
        <f ca="1">FantasyPts!C20</f>
        <v>0</v>
      </c>
      <c r="C17" s="18">
        <f ca="1">FantasyPts!D20</f>
        <v>0</v>
      </c>
      <c r="D17" s="18">
        <f ca="1">FantasyPts!F20</f>
        <v>0</v>
      </c>
      <c r="E17" s="18">
        <f ca="1">FantasyPts!H20</f>
        <v>0</v>
      </c>
      <c r="F17" s="18">
        <f ca="1">FantasyPts!I20</f>
        <v>0</v>
      </c>
      <c r="G17" s="18">
        <f ca="1">FantasyPts!J20</f>
        <v>2</v>
      </c>
      <c r="H17" s="19">
        <f ca="1">FantasyPts!K20</f>
        <v>0</v>
      </c>
      <c r="I17" s="16">
        <f t="shared" ca="1" si="0"/>
        <v>0</v>
      </c>
      <c r="J17" s="101">
        <f t="shared" ca="1" si="1"/>
        <v>-2</v>
      </c>
    </row>
    <row r="18" spans="1:10" ht="12.75" customHeight="1" x14ac:dyDescent="0.3">
      <c r="A18" s="17" t="str">
        <f ca="1">FantasyPts!B21</f>
        <v>Glyn Angell</v>
      </c>
      <c r="B18" s="18">
        <f ca="1">FantasyPts!C21</f>
        <v>0</v>
      </c>
      <c r="C18" s="18">
        <f ca="1">FantasyPts!D21</f>
        <v>0</v>
      </c>
      <c r="D18" s="18">
        <f ca="1">FantasyPts!F21</f>
        <v>0</v>
      </c>
      <c r="E18" s="18">
        <f ca="1">FantasyPts!H21</f>
        <v>0</v>
      </c>
      <c r="F18" s="18">
        <f ca="1">FantasyPts!I21</f>
        <v>0</v>
      </c>
      <c r="G18" s="18">
        <f ca="1">FantasyPts!J21</f>
        <v>1</v>
      </c>
      <c r="H18" s="19">
        <f ca="1">FantasyPts!K21</f>
        <v>0</v>
      </c>
      <c r="I18" s="16">
        <f t="shared" ca="1" si="0"/>
        <v>0</v>
      </c>
      <c r="J18" s="101">
        <f t="shared" ca="1" si="1"/>
        <v>-1</v>
      </c>
    </row>
    <row r="19" spans="1:10" ht="12.75" customHeight="1" x14ac:dyDescent="0.3">
      <c r="A19" s="17" t="str">
        <f ca="1">FantasyPts!B22</f>
        <v>Jason Crisford</v>
      </c>
      <c r="B19" s="18">
        <f ca="1">FantasyPts!C22</f>
        <v>0</v>
      </c>
      <c r="C19" s="18">
        <f ca="1">FantasyPts!D22</f>
        <v>0</v>
      </c>
      <c r="D19" s="18">
        <f ca="1">FantasyPts!F22</f>
        <v>0</v>
      </c>
      <c r="E19" s="18">
        <f ca="1">FantasyPts!H22</f>
        <v>0</v>
      </c>
      <c r="F19" s="18">
        <f ca="1">FantasyPts!I22</f>
        <v>0</v>
      </c>
      <c r="G19" s="18">
        <f ca="1">FantasyPts!J22</f>
        <v>2</v>
      </c>
      <c r="H19" s="19">
        <f ca="1">FantasyPts!K22</f>
        <v>0</v>
      </c>
      <c r="I19" s="16">
        <f t="shared" ca="1" si="0"/>
        <v>0</v>
      </c>
      <c r="J19" s="101">
        <f t="shared" ca="1" si="1"/>
        <v>-2</v>
      </c>
    </row>
    <row r="20" spans="1:10" ht="12.75" customHeight="1" x14ac:dyDescent="0.3">
      <c r="A20" s="17" t="str">
        <f ca="1">FantasyPts!B23</f>
        <v>Jeff Lestrelle</v>
      </c>
      <c r="B20" s="18">
        <f ca="1">FantasyPts!C23</f>
        <v>0</v>
      </c>
      <c r="C20" s="18">
        <f ca="1">FantasyPts!D23</f>
        <v>0</v>
      </c>
      <c r="D20" s="18">
        <f ca="1">FantasyPts!F23</f>
        <v>0</v>
      </c>
      <c r="E20" s="18">
        <f ca="1">FantasyPts!H23</f>
        <v>0</v>
      </c>
      <c r="F20" s="18">
        <f ca="1">FantasyPts!I23</f>
        <v>0</v>
      </c>
      <c r="G20" s="18">
        <f ca="1">FantasyPts!J23</f>
        <v>4</v>
      </c>
      <c r="H20" s="19">
        <f ca="1">FantasyPts!K23</f>
        <v>0</v>
      </c>
      <c r="I20" s="16">
        <f t="shared" ca="1" si="0"/>
        <v>0</v>
      </c>
      <c r="J20" s="101">
        <f t="shared" ca="1" si="1"/>
        <v>-4</v>
      </c>
    </row>
    <row r="21" spans="1:10" ht="12.75" customHeight="1" x14ac:dyDescent="0.3">
      <c r="A21" s="17" t="str">
        <f ca="1">FantasyPts!B24</f>
        <v>John Elliston</v>
      </c>
      <c r="B21" s="18">
        <f ca="1">FantasyPts!C24</f>
        <v>0</v>
      </c>
      <c r="C21" s="18">
        <f ca="1">FantasyPts!D24</f>
        <v>0</v>
      </c>
      <c r="D21" s="18">
        <f ca="1">FantasyPts!F24</f>
        <v>0</v>
      </c>
      <c r="E21" s="18">
        <f ca="1">FantasyPts!H24</f>
        <v>0</v>
      </c>
      <c r="F21" s="18">
        <f ca="1">FantasyPts!I24</f>
        <v>0</v>
      </c>
      <c r="G21" s="18">
        <f ca="1">FantasyPts!J24</f>
        <v>5</v>
      </c>
      <c r="H21" s="19">
        <f ca="1">FantasyPts!K24</f>
        <v>0</v>
      </c>
      <c r="I21" s="16">
        <f t="shared" ca="1" si="0"/>
        <v>0</v>
      </c>
      <c r="J21" s="101">
        <f t="shared" ca="1" si="1"/>
        <v>-5</v>
      </c>
    </row>
    <row r="22" spans="1:10" ht="12.75" customHeight="1" x14ac:dyDescent="0.3">
      <c r="A22" s="17" t="str">
        <f ca="1">FantasyPts!B25</f>
        <v>John Leadley</v>
      </c>
      <c r="B22" s="18">
        <f ca="1">FantasyPts!C25</f>
        <v>0</v>
      </c>
      <c r="C22" s="18">
        <f ca="1">FantasyPts!D25</f>
        <v>0</v>
      </c>
      <c r="D22" s="18">
        <f ca="1">FantasyPts!F25</f>
        <v>0</v>
      </c>
      <c r="E22" s="18">
        <f ca="1">FantasyPts!H25</f>
        <v>0</v>
      </c>
      <c r="F22" s="18">
        <f ca="1">FantasyPts!I25</f>
        <v>0</v>
      </c>
      <c r="G22" s="18">
        <f ca="1">FantasyPts!J25</f>
        <v>11</v>
      </c>
      <c r="H22" s="19">
        <f ca="1">FantasyPts!K25</f>
        <v>0</v>
      </c>
      <c r="I22" s="16">
        <f t="shared" ca="1" si="0"/>
        <v>0</v>
      </c>
      <c r="J22" s="101">
        <f t="shared" ca="1" si="1"/>
        <v>-11</v>
      </c>
    </row>
    <row r="23" spans="1:10" ht="12.75" customHeight="1" x14ac:dyDescent="0.3">
      <c r="A23" s="17" t="str">
        <f ca="1">FantasyPts!B26</f>
        <v>Jon Worthy</v>
      </c>
      <c r="B23" s="18">
        <f ca="1">FantasyPts!C26</f>
        <v>0</v>
      </c>
      <c r="C23" s="18">
        <f ca="1">FantasyPts!D26</f>
        <v>0</v>
      </c>
      <c r="D23" s="18">
        <f ca="1">FantasyPts!F26</f>
        <v>0</v>
      </c>
      <c r="E23" s="18">
        <f ca="1">FantasyPts!H26</f>
        <v>0</v>
      </c>
      <c r="F23" s="18">
        <f ca="1">FantasyPts!I26</f>
        <v>0</v>
      </c>
      <c r="G23" s="18">
        <f ca="1">FantasyPts!J26</f>
        <v>5</v>
      </c>
      <c r="H23" s="19">
        <f ca="1">FantasyPts!K26</f>
        <v>0</v>
      </c>
      <c r="I23" s="16">
        <f t="shared" ca="1" si="0"/>
        <v>0</v>
      </c>
      <c r="J23" s="101">
        <f t="shared" ca="1" si="1"/>
        <v>-5</v>
      </c>
    </row>
    <row r="24" spans="1:10" ht="12.75" customHeight="1" x14ac:dyDescent="0.3">
      <c r="A24" s="17" t="str">
        <f ca="1">FantasyPts!B27</f>
        <v>Kieran Moore</v>
      </c>
      <c r="B24" s="18">
        <f ca="1">FantasyPts!C27</f>
        <v>0</v>
      </c>
      <c r="C24" s="18">
        <f ca="1">FantasyPts!D27</f>
        <v>0</v>
      </c>
      <c r="D24" s="18">
        <f ca="1">FantasyPts!F27</f>
        <v>0</v>
      </c>
      <c r="E24" s="18">
        <f ca="1">FantasyPts!H27</f>
        <v>0</v>
      </c>
      <c r="F24" s="18">
        <f ca="1">FantasyPts!I27</f>
        <v>0</v>
      </c>
      <c r="G24" s="18">
        <f ca="1">FantasyPts!J27</f>
        <v>2</v>
      </c>
      <c r="H24" s="19">
        <f ca="1">FantasyPts!K27</f>
        <v>0</v>
      </c>
      <c r="I24" s="16">
        <f t="shared" ca="1" si="0"/>
        <v>0</v>
      </c>
      <c r="J24" s="101">
        <f t="shared" ca="1" si="1"/>
        <v>-2</v>
      </c>
    </row>
    <row r="25" spans="1:10" ht="12.75" customHeight="1" x14ac:dyDescent="0.3">
      <c r="A25" s="17" t="str">
        <f ca="1">FantasyPts!B28</f>
        <v>Mick Clark</v>
      </c>
      <c r="B25" s="18">
        <f ca="1">FantasyPts!C28</f>
        <v>0</v>
      </c>
      <c r="C25" s="18">
        <f ca="1">FantasyPts!D28</f>
        <v>0</v>
      </c>
      <c r="D25" s="18">
        <f ca="1">FantasyPts!F28</f>
        <v>0</v>
      </c>
      <c r="E25" s="18">
        <f ca="1">FantasyPts!H28</f>
        <v>0</v>
      </c>
      <c r="F25" s="18">
        <f ca="1">FantasyPts!I28</f>
        <v>0</v>
      </c>
      <c r="G25" s="18">
        <f ca="1">FantasyPts!J28</f>
        <v>2</v>
      </c>
      <c r="H25" s="19">
        <f ca="1">FantasyPts!K28</f>
        <v>0</v>
      </c>
      <c r="I25" s="16">
        <f t="shared" ca="1" si="0"/>
        <v>0</v>
      </c>
      <c r="J25" s="101">
        <f t="shared" ca="1" si="1"/>
        <v>-2</v>
      </c>
    </row>
    <row r="26" spans="1:10" ht="12.75" customHeight="1" x14ac:dyDescent="0.3">
      <c r="A26" s="17" t="str">
        <f ca="1">FantasyPts!B29</f>
        <v>Mike Bowers</v>
      </c>
      <c r="B26" s="18">
        <f ca="1">FantasyPts!C29</f>
        <v>0</v>
      </c>
      <c r="C26" s="18">
        <f ca="1">FantasyPts!D29</f>
        <v>0</v>
      </c>
      <c r="D26" s="18">
        <f ca="1">FantasyPts!F29</f>
        <v>0</v>
      </c>
      <c r="E26" s="18">
        <f ca="1">FantasyPts!H29</f>
        <v>0</v>
      </c>
      <c r="F26" s="18">
        <f ca="1">FantasyPts!I29</f>
        <v>0</v>
      </c>
      <c r="G26" s="18">
        <f ca="1">FantasyPts!J29</f>
        <v>3</v>
      </c>
      <c r="H26" s="19">
        <f ca="1">FantasyPts!K29</f>
        <v>0</v>
      </c>
      <c r="I26" s="16">
        <f t="shared" ca="1" si="0"/>
        <v>0</v>
      </c>
      <c r="J26" s="101">
        <f t="shared" ca="1" si="1"/>
        <v>-3</v>
      </c>
    </row>
    <row r="27" spans="1:10" ht="12.75" customHeight="1" x14ac:dyDescent="0.3">
      <c r="A27" s="17" t="str">
        <f ca="1">FantasyPts!B30</f>
        <v>Mike Hosking</v>
      </c>
      <c r="B27" s="18">
        <f ca="1">FantasyPts!C30</f>
        <v>0</v>
      </c>
      <c r="C27" s="18">
        <f ca="1">FantasyPts!D30</f>
        <v>0</v>
      </c>
      <c r="D27" s="18">
        <f ca="1">FantasyPts!F30</f>
        <v>0</v>
      </c>
      <c r="E27" s="18">
        <f ca="1">FantasyPts!H30</f>
        <v>0</v>
      </c>
      <c r="F27" s="18">
        <f ca="1">FantasyPts!I30</f>
        <v>0</v>
      </c>
      <c r="G27" s="18">
        <f ca="1">FantasyPts!J30</f>
        <v>3</v>
      </c>
      <c r="H27" s="19">
        <f ca="1">FantasyPts!K30</f>
        <v>0</v>
      </c>
      <c r="I27" s="16">
        <f t="shared" ca="1" si="0"/>
        <v>0</v>
      </c>
      <c r="J27" s="101">
        <f t="shared" ca="1" si="1"/>
        <v>-3</v>
      </c>
    </row>
    <row r="28" spans="1:10" ht="12.75" customHeight="1" x14ac:dyDescent="0.3">
      <c r="A28" s="17" t="str">
        <f ca="1">FantasyPts!B31</f>
        <v>Mike Woodhouse</v>
      </c>
      <c r="B28" s="18">
        <f ca="1">FantasyPts!C31</f>
        <v>0</v>
      </c>
      <c r="C28" s="18">
        <f ca="1">FantasyPts!D31</f>
        <v>0</v>
      </c>
      <c r="D28" s="18">
        <f ca="1">FantasyPts!F31</f>
        <v>0</v>
      </c>
      <c r="E28" s="18">
        <f ca="1">FantasyPts!H31</f>
        <v>0</v>
      </c>
      <c r="F28" s="18">
        <f ca="1">FantasyPts!I31</f>
        <v>0</v>
      </c>
      <c r="G28" s="18">
        <f ca="1">FantasyPts!J31</f>
        <v>5</v>
      </c>
      <c r="H28" s="19">
        <f ca="1">FantasyPts!K31</f>
        <v>0</v>
      </c>
      <c r="I28" s="16">
        <f t="shared" ca="1" si="0"/>
        <v>0</v>
      </c>
      <c r="J28" s="101">
        <f t="shared" ca="1" si="1"/>
        <v>-5</v>
      </c>
    </row>
    <row r="29" spans="1:10" ht="12.75" customHeight="1" x14ac:dyDescent="0.3">
      <c r="A29" s="17" t="str">
        <f ca="1">FantasyPts!B32</f>
        <v>Naimish Patel</v>
      </c>
      <c r="B29" s="18">
        <f ca="1">FantasyPts!C32</f>
        <v>0</v>
      </c>
      <c r="C29" s="18">
        <f ca="1">FantasyPts!D32</f>
        <v>0</v>
      </c>
      <c r="D29" s="18">
        <f ca="1">FantasyPts!F32</f>
        <v>0</v>
      </c>
      <c r="E29" s="18">
        <f ca="1">FantasyPts!H32</f>
        <v>0</v>
      </c>
      <c r="F29" s="18">
        <f ca="1">FantasyPts!I32</f>
        <v>0</v>
      </c>
      <c r="G29" s="18">
        <f ca="1">FantasyPts!J32</f>
        <v>3</v>
      </c>
      <c r="H29" s="19">
        <f ca="1">FantasyPts!K32</f>
        <v>0</v>
      </c>
      <c r="I29" s="16">
        <f t="shared" ca="1" si="0"/>
        <v>0</v>
      </c>
      <c r="J29" s="101">
        <f t="shared" ca="1" si="1"/>
        <v>-3</v>
      </c>
    </row>
    <row r="30" spans="1:10" ht="12.75" customHeight="1" x14ac:dyDescent="0.3">
      <c r="A30" s="17" t="str">
        <f ca="1">FantasyPts!B33</f>
        <v>Neil Mander</v>
      </c>
      <c r="B30" s="18">
        <f ca="1">FantasyPts!C33</f>
        <v>0</v>
      </c>
      <c r="C30" s="18">
        <f ca="1">FantasyPts!D33</f>
        <v>0</v>
      </c>
      <c r="D30" s="18">
        <f ca="1">FantasyPts!F33</f>
        <v>0</v>
      </c>
      <c r="E30" s="18">
        <f ca="1">FantasyPts!H33</f>
        <v>0</v>
      </c>
      <c r="F30" s="18">
        <f ca="1">FantasyPts!I33</f>
        <v>0</v>
      </c>
      <c r="G30" s="18">
        <f ca="1">FantasyPts!J33</f>
        <v>9</v>
      </c>
      <c r="H30" s="19">
        <f ca="1">FantasyPts!K33</f>
        <v>0</v>
      </c>
      <c r="I30" s="16">
        <f t="shared" ca="1" si="0"/>
        <v>0</v>
      </c>
      <c r="J30" s="101">
        <f t="shared" ca="1" si="1"/>
        <v>-9</v>
      </c>
    </row>
    <row r="31" spans="1:10" ht="12.75" customHeight="1" x14ac:dyDescent="0.3">
      <c r="A31" s="17" t="str">
        <f ca="1">FantasyPts!B34</f>
        <v>Rick Worthington</v>
      </c>
      <c r="B31" s="18">
        <f ca="1">FantasyPts!C34</f>
        <v>0</v>
      </c>
      <c r="C31" s="18">
        <f ca="1">FantasyPts!D34</f>
        <v>0</v>
      </c>
      <c r="D31" s="18">
        <f ca="1">FantasyPts!F34</f>
        <v>0</v>
      </c>
      <c r="E31" s="18">
        <f ca="1">FantasyPts!H34</f>
        <v>0</v>
      </c>
      <c r="F31" s="18">
        <f ca="1">FantasyPts!I34</f>
        <v>0</v>
      </c>
      <c r="G31" s="18">
        <f ca="1">FantasyPts!J34</f>
        <v>4</v>
      </c>
      <c r="H31" s="19">
        <f ca="1">FantasyPts!K34</f>
        <v>0</v>
      </c>
      <c r="I31" s="16">
        <f t="shared" ca="1" si="0"/>
        <v>0</v>
      </c>
      <c r="J31" s="101">
        <f t="shared" ca="1" si="1"/>
        <v>-4</v>
      </c>
    </row>
    <row r="32" spans="1:10" ht="12.75" customHeight="1" x14ac:dyDescent="0.3">
      <c r="A32" s="17" t="str">
        <f ca="1">FantasyPts!B35</f>
        <v>Ron Morris</v>
      </c>
      <c r="B32" s="18">
        <f ca="1">FantasyPts!C35</f>
        <v>0</v>
      </c>
      <c r="C32" s="18">
        <f ca="1">FantasyPts!D35</f>
        <v>0</v>
      </c>
      <c r="D32" s="18">
        <f ca="1">FantasyPts!F35</f>
        <v>0</v>
      </c>
      <c r="E32" s="18">
        <f ca="1">FantasyPts!H35</f>
        <v>0</v>
      </c>
      <c r="F32" s="18">
        <f ca="1">FantasyPts!I35</f>
        <v>0</v>
      </c>
      <c r="G32" s="18">
        <f ca="1">FantasyPts!J35</f>
        <v>2</v>
      </c>
      <c r="H32" s="19">
        <f ca="1">FantasyPts!K35</f>
        <v>0</v>
      </c>
      <c r="I32" s="16">
        <f t="shared" ca="1" si="0"/>
        <v>0</v>
      </c>
      <c r="J32" s="101">
        <f t="shared" ca="1" si="1"/>
        <v>-2</v>
      </c>
    </row>
    <row r="33" spans="1:10" ht="12.75" customHeight="1" x14ac:dyDescent="0.3">
      <c r="A33" s="17" t="str">
        <f ca="1">FantasyPts!B36</f>
        <v>Roy Odeneal</v>
      </c>
      <c r="B33" s="18">
        <f ca="1">FantasyPts!C36</f>
        <v>0</v>
      </c>
      <c r="C33" s="18">
        <f ca="1">FantasyPts!D36</f>
        <v>0</v>
      </c>
      <c r="D33" s="18">
        <f ca="1">FantasyPts!F36</f>
        <v>0</v>
      </c>
      <c r="E33" s="18">
        <f ca="1">FantasyPts!H36</f>
        <v>0</v>
      </c>
      <c r="F33" s="18">
        <f ca="1">FantasyPts!I36</f>
        <v>0</v>
      </c>
      <c r="G33" s="18">
        <f ca="1">FantasyPts!J36</f>
        <v>2</v>
      </c>
      <c r="H33" s="19">
        <f ca="1">FantasyPts!K36</f>
        <v>0</v>
      </c>
      <c r="I33" s="16">
        <f t="shared" ca="1" si="0"/>
        <v>0</v>
      </c>
      <c r="J33" s="101">
        <f t="shared" ca="1" si="1"/>
        <v>-2</v>
      </c>
    </row>
    <row r="34" spans="1:10" ht="12.75" customHeight="1" x14ac:dyDescent="0.3">
      <c r="A34" s="17" t="str">
        <f ca="1">FantasyPts!B37</f>
        <v>Steve Barry</v>
      </c>
      <c r="B34" s="18">
        <f ca="1">FantasyPts!C37</f>
        <v>0</v>
      </c>
      <c r="C34" s="18">
        <f ca="1">FantasyPts!D37</f>
        <v>0</v>
      </c>
      <c r="D34" s="18">
        <f ca="1">FantasyPts!F37</f>
        <v>0</v>
      </c>
      <c r="E34" s="18">
        <f ca="1">FantasyPts!H37</f>
        <v>0</v>
      </c>
      <c r="F34" s="18">
        <f ca="1">FantasyPts!I37</f>
        <v>0</v>
      </c>
      <c r="G34" s="18">
        <f ca="1">FantasyPts!J37</f>
        <v>2</v>
      </c>
      <c r="H34" s="19">
        <f ca="1">FantasyPts!K37</f>
        <v>0</v>
      </c>
      <c r="I34" s="16">
        <f t="shared" ca="1" si="0"/>
        <v>0</v>
      </c>
      <c r="J34" s="101">
        <f t="shared" ca="1" si="1"/>
        <v>-2</v>
      </c>
    </row>
    <row r="35" spans="1:10" ht="12.75" customHeight="1" x14ac:dyDescent="0.3">
      <c r="A35" s="17" t="str">
        <f ca="1">FantasyPts!B38</f>
        <v>Ted Dugdale</v>
      </c>
      <c r="B35" s="18">
        <f ca="1">FantasyPts!C38</f>
        <v>0</v>
      </c>
      <c r="C35" s="18">
        <f ca="1">FantasyPts!D38</f>
        <v>0</v>
      </c>
      <c r="D35" s="18">
        <f ca="1">FantasyPts!F38</f>
        <v>0</v>
      </c>
      <c r="E35" s="18">
        <f ca="1">FantasyPts!H38</f>
        <v>0</v>
      </c>
      <c r="F35" s="18">
        <f ca="1">FantasyPts!I38</f>
        <v>0</v>
      </c>
      <c r="G35" s="18">
        <f ca="1">FantasyPts!J38</f>
        <v>3</v>
      </c>
      <c r="H35" s="19">
        <f ca="1">FantasyPts!K38</f>
        <v>0</v>
      </c>
      <c r="I35" s="16">
        <f t="shared" ca="1" si="0"/>
        <v>0</v>
      </c>
      <c r="J35" s="101">
        <f t="shared" ca="1" si="1"/>
        <v>-3</v>
      </c>
    </row>
    <row r="36" spans="1:10" ht="12.75" customHeight="1" x14ac:dyDescent="0.3">
      <c r="A36" s="17" t="str">
        <f ca="1">FantasyPts!B39</f>
        <v>Tony Springer</v>
      </c>
      <c r="B36" s="18">
        <f ca="1">FantasyPts!C39</f>
        <v>0</v>
      </c>
      <c r="C36" s="18">
        <f ca="1">FantasyPts!D39</f>
        <v>0</v>
      </c>
      <c r="D36" s="18">
        <f ca="1">FantasyPts!F39</f>
        <v>0</v>
      </c>
      <c r="E36" s="18">
        <f ca="1">FantasyPts!H39</f>
        <v>0</v>
      </c>
      <c r="F36" s="18">
        <f ca="1">FantasyPts!I39</f>
        <v>0</v>
      </c>
      <c r="G36" s="18">
        <f ca="1">FantasyPts!J39</f>
        <v>13</v>
      </c>
      <c r="H36" s="19">
        <f ca="1">FantasyPts!K39</f>
        <v>0</v>
      </c>
      <c r="I36" s="16">
        <f t="shared" ca="1" si="0"/>
        <v>0</v>
      </c>
      <c r="J36" s="101">
        <f t="shared" ca="1" si="1"/>
        <v>-13</v>
      </c>
    </row>
    <row r="37" spans="1:10" ht="12.75" customHeight="1" x14ac:dyDescent="0.3">
      <c r="A37" s="17" t="str">
        <f ca="1">FantasyPts!B40</f>
        <v>Vince Reid</v>
      </c>
      <c r="B37" s="18">
        <f ca="1">FantasyPts!C40</f>
        <v>0</v>
      </c>
      <c r="C37" s="18">
        <f ca="1">FantasyPts!D40</f>
        <v>0</v>
      </c>
      <c r="D37" s="18">
        <f ca="1">FantasyPts!F40</f>
        <v>0</v>
      </c>
      <c r="E37" s="18">
        <f ca="1">FantasyPts!H40</f>
        <v>0</v>
      </c>
      <c r="F37" s="18">
        <f ca="1">FantasyPts!I40</f>
        <v>0</v>
      </c>
      <c r="G37" s="18">
        <f ca="1">FantasyPts!J40</f>
        <v>4</v>
      </c>
      <c r="H37" s="19">
        <f ca="1">FantasyPts!K40</f>
        <v>0</v>
      </c>
      <c r="I37" s="16">
        <f t="shared" ca="1" si="0"/>
        <v>0</v>
      </c>
      <c r="J37" s="101">
        <f t="shared" ca="1" si="1"/>
        <v>-4</v>
      </c>
    </row>
    <row r="38" spans="1:10" ht="12.75" customHeight="1" x14ac:dyDescent="0.3">
      <c r="A38" s="17" t="e">
        <f ca="1">FantasyPts!B41</f>
        <v>#N/A</v>
      </c>
      <c r="B38" s="18">
        <f ca="1">FantasyPts!C41</f>
        <v>0</v>
      </c>
      <c r="C38" s="18">
        <f ca="1">FantasyPts!D41</f>
        <v>0</v>
      </c>
      <c r="D38" s="18">
        <f ca="1">FantasyPts!F41</f>
        <v>0</v>
      </c>
      <c r="E38" s="18">
        <f ca="1">FantasyPts!H41</f>
        <v>0</v>
      </c>
      <c r="F38" s="18">
        <f ca="1">FantasyPts!I41</f>
        <v>0</v>
      </c>
      <c r="G38" s="18" t="e">
        <f ca="1">FantasyPts!J41</f>
        <v>#N/A</v>
      </c>
      <c r="H38" s="19" t="e">
        <f ca="1">FantasyPts!K41</f>
        <v>#N/A</v>
      </c>
      <c r="I38" s="16">
        <f t="shared" ca="1" si="0"/>
        <v>0</v>
      </c>
      <c r="J38" s="101" t="e">
        <f t="shared" ca="1" si="1"/>
        <v>#N/A</v>
      </c>
    </row>
    <row r="39" spans="1:10" ht="12.75" customHeight="1" x14ac:dyDescent="0.3">
      <c r="A39" s="17" t="e">
        <f ca="1">FantasyPts!B42</f>
        <v>#N/A</v>
      </c>
      <c r="B39" s="18">
        <f ca="1">FantasyPts!C42</f>
        <v>0</v>
      </c>
      <c r="C39" s="18">
        <f ca="1">FantasyPts!D42</f>
        <v>0</v>
      </c>
      <c r="D39" s="18">
        <f ca="1">FantasyPts!F42</f>
        <v>0</v>
      </c>
      <c r="E39" s="18">
        <f ca="1">FantasyPts!H42</f>
        <v>0</v>
      </c>
      <c r="F39" s="18">
        <f ca="1">FantasyPts!I42</f>
        <v>0</v>
      </c>
      <c r="G39" s="18" t="e">
        <f ca="1">FantasyPts!J42</f>
        <v>#N/A</v>
      </c>
      <c r="H39" s="19" t="e">
        <f ca="1">FantasyPts!K42</f>
        <v>#N/A</v>
      </c>
      <c r="I39" s="16">
        <f ca="1">INT(B39/100+0.5)</f>
        <v>0</v>
      </c>
      <c r="J39" s="101" t="e">
        <f t="shared" ca="1" si="1"/>
        <v>#N/A</v>
      </c>
    </row>
    <row r="40" spans="1:10" ht="12.75" customHeight="1" x14ac:dyDescent="0.3">
      <c r="A40" s="17" t="e">
        <f ca="1">FantasyPts!B43</f>
        <v>#N/A</v>
      </c>
      <c r="B40" s="18">
        <f ca="1">FantasyPts!C43</f>
        <v>0</v>
      </c>
      <c r="C40" s="18">
        <f ca="1">FantasyPts!D43</f>
        <v>0</v>
      </c>
      <c r="D40" s="18">
        <f ca="1">FantasyPts!F43</f>
        <v>0</v>
      </c>
      <c r="E40" s="18">
        <f ca="1">FantasyPts!H43</f>
        <v>0</v>
      </c>
      <c r="F40" s="18">
        <f ca="1">FantasyPts!I43</f>
        <v>0</v>
      </c>
      <c r="G40" s="18" t="e">
        <f ca="1">FantasyPts!J43</f>
        <v>#N/A</v>
      </c>
      <c r="H40" s="19" t="e">
        <f ca="1">FantasyPts!K43</f>
        <v>#N/A</v>
      </c>
      <c r="I40" s="16">
        <f ca="1">INT(B40/100+0.5)</f>
        <v>0</v>
      </c>
      <c r="J40" s="101" t="e">
        <f t="shared" ca="1" si="1"/>
        <v>#N/A</v>
      </c>
    </row>
    <row r="41" spans="1:10" ht="12.75" customHeight="1" x14ac:dyDescent="0.3">
      <c r="A41" s="17" t="e">
        <f ca="1">FantasyPts!B44</f>
        <v>#N/A</v>
      </c>
      <c r="B41" s="18">
        <f ca="1">FantasyPts!C44</f>
        <v>0</v>
      </c>
      <c r="C41" s="18">
        <f ca="1">FantasyPts!D44</f>
        <v>0</v>
      </c>
      <c r="D41" s="18">
        <f ca="1">FantasyPts!F44</f>
        <v>0</v>
      </c>
      <c r="E41" s="18">
        <f ca="1">FantasyPts!H44</f>
        <v>0</v>
      </c>
      <c r="F41" s="18">
        <f ca="1">FantasyPts!I44</f>
        <v>0</v>
      </c>
      <c r="G41" s="18" t="e">
        <f ca="1">FantasyPts!J44</f>
        <v>#N/A</v>
      </c>
      <c r="H41" s="19" t="e">
        <f ca="1">FantasyPts!K44</f>
        <v>#N/A</v>
      </c>
      <c r="I41" s="16">
        <f ca="1">INT(B41/100+0.5)</f>
        <v>0</v>
      </c>
      <c r="J41" s="101" t="e">
        <f t="shared" ca="1" si="1"/>
        <v>#N/A</v>
      </c>
    </row>
    <row r="42" spans="1:10" ht="12.75" customHeight="1" x14ac:dyDescent="0.3">
      <c r="A42" s="17" t="e">
        <f ca="1">FantasyPts!B45</f>
        <v>#N/A</v>
      </c>
      <c r="B42" s="18">
        <f ca="1">FantasyPts!C45</f>
        <v>0</v>
      </c>
      <c r="C42" s="18">
        <f ca="1">FantasyPts!D45</f>
        <v>0</v>
      </c>
      <c r="D42" s="18">
        <f ca="1">FantasyPts!F45</f>
        <v>0</v>
      </c>
      <c r="E42" s="18">
        <f ca="1">FantasyPts!H45</f>
        <v>0</v>
      </c>
      <c r="F42" s="18">
        <f ca="1">FantasyPts!I45</f>
        <v>0</v>
      </c>
      <c r="G42" s="18" t="e">
        <f ca="1">FantasyPts!J45</f>
        <v>#N/A</v>
      </c>
      <c r="H42" s="19" t="e">
        <f ca="1">FantasyPts!K45</f>
        <v>#N/A</v>
      </c>
      <c r="I42" s="16">
        <f ca="1">INT(B42/100+0.5)</f>
        <v>0</v>
      </c>
      <c r="J42" s="101" t="e">
        <f t="shared" ca="1" si="1"/>
        <v>#N/A</v>
      </c>
    </row>
    <row r="43" spans="1:10" ht="12.75" customHeight="1" x14ac:dyDescent="0.3">
      <c r="A43" s="17"/>
      <c r="B43" s="18"/>
      <c r="C43" s="18"/>
      <c r="D43" s="18"/>
      <c r="E43" s="18"/>
      <c r="F43" s="18"/>
      <c r="G43" s="18"/>
      <c r="H43" s="19"/>
    </row>
    <row r="44" spans="1:10" ht="12.75" customHeight="1" x14ac:dyDescent="0.3">
      <c r="A44" s="17"/>
      <c r="B44" s="18"/>
      <c r="C44" s="18"/>
      <c r="D44" s="18"/>
      <c r="E44" s="18"/>
      <c r="F44" s="18"/>
      <c r="G44" s="18"/>
      <c r="H44" s="19"/>
    </row>
    <row r="45" spans="1:10" ht="12.75" customHeight="1" x14ac:dyDescent="0.3">
      <c r="A45" s="17"/>
      <c r="B45" s="18"/>
      <c r="C45" s="18"/>
      <c r="D45" s="18"/>
      <c r="E45" s="18"/>
      <c r="F45" s="18"/>
      <c r="G45" s="18"/>
      <c r="H45" s="19"/>
    </row>
    <row r="46" spans="1:10" ht="12.75" customHeight="1" x14ac:dyDescent="0.3">
      <c r="A46" s="17"/>
      <c r="B46" s="18"/>
      <c r="C46" s="18"/>
      <c r="D46" s="18"/>
      <c r="E46" s="18"/>
      <c r="F46" s="18"/>
      <c r="G46" s="18"/>
      <c r="H46" s="19"/>
    </row>
    <row r="47" spans="1:10" ht="12.75" customHeight="1" x14ac:dyDescent="0.3">
      <c r="A47" s="17"/>
      <c r="B47" s="18"/>
      <c r="C47" s="18"/>
      <c r="D47" s="18"/>
      <c r="E47" s="18"/>
      <c r="F47" s="18"/>
      <c r="G47" s="18"/>
      <c r="H47" s="19"/>
    </row>
    <row r="48" spans="1:10" ht="12.75" customHeight="1" x14ac:dyDescent="0.3">
      <c r="A48" s="17"/>
      <c r="B48" s="18"/>
      <c r="C48" s="18"/>
      <c r="D48" s="18"/>
      <c r="E48" s="18"/>
      <c r="F48" s="18"/>
      <c r="G48" s="18"/>
      <c r="H48" s="19"/>
    </row>
    <row r="49" spans="1:8" ht="12.75" customHeight="1" x14ac:dyDescent="0.3">
      <c r="A49" s="17"/>
      <c r="B49" s="18"/>
      <c r="C49" s="18"/>
      <c r="D49" s="18"/>
      <c r="E49" s="18"/>
      <c r="F49" s="18"/>
      <c r="G49" s="18"/>
      <c r="H49" s="19"/>
    </row>
    <row r="50" spans="1:8" ht="12.75" customHeight="1" x14ac:dyDescent="0.3">
      <c r="A50" s="17"/>
      <c r="B50" s="18"/>
      <c r="C50" s="18"/>
      <c r="D50" s="18"/>
      <c r="E50" s="18"/>
      <c r="F50" s="18"/>
      <c r="G50" s="18"/>
      <c r="H50" s="19"/>
    </row>
    <row r="51" spans="1:8" ht="12.75" customHeight="1" x14ac:dyDescent="0.3">
      <c r="A51" s="17"/>
      <c r="B51" s="18"/>
      <c r="C51" s="18"/>
      <c r="D51" s="18"/>
      <c r="E51" s="18"/>
      <c r="F51" s="18"/>
      <c r="G51" s="18"/>
      <c r="H51" s="19"/>
    </row>
    <row r="52" spans="1:8" ht="12.75" customHeight="1" x14ac:dyDescent="0.3">
      <c r="A52" s="17"/>
      <c r="B52" s="18"/>
      <c r="C52" s="18"/>
      <c r="D52" s="18"/>
      <c r="E52" s="18"/>
      <c r="F52" s="18"/>
      <c r="G52" s="18"/>
      <c r="H52" s="19"/>
    </row>
    <row r="53" spans="1:8" ht="12.75" customHeight="1" x14ac:dyDescent="0.3">
      <c r="A53" s="17"/>
      <c r="B53" s="18"/>
      <c r="C53" s="18"/>
      <c r="D53" s="18"/>
      <c r="E53" s="18"/>
      <c r="F53" s="18"/>
      <c r="G53" s="18"/>
      <c r="H53" s="19"/>
    </row>
    <row r="54" spans="1:8" ht="12.75" customHeight="1" x14ac:dyDescent="0.3">
      <c r="A54" s="17"/>
      <c r="B54" s="18"/>
      <c r="C54" s="18"/>
      <c r="D54" s="18"/>
      <c r="E54" s="18"/>
      <c r="F54" s="18"/>
      <c r="G54" s="18"/>
      <c r="H54" s="19"/>
    </row>
    <row r="55" spans="1:8" ht="12.75" customHeight="1" x14ac:dyDescent="0.3">
      <c r="A55" s="17"/>
      <c r="B55" s="18"/>
      <c r="C55" s="18"/>
      <c r="D55" s="18"/>
      <c r="E55" s="18"/>
      <c r="F55" s="18"/>
      <c r="G55" s="18"/>
      <c r="H55" s="19"/>
    </row>
    <row r="56" spans="1:8" ht="12.75" customHeight="1" x14ac:dyDescent="0.3">
      <c r="A56" s="17"/>
      <c r="B56" s="18"/>
      <c r="C56" s="18"/>
      <c r="D56" s="18"/>
      <c r="E56" s="18"/>
      <c r="F56" s="18"/>
      <c r="G56" s="18"/>
      <c r="H56" s="19"/>
    </row>
    <row r="57" spans="1:8" ht="12.75" customHeight="1" x14ac:dyDescent="0.3">
      <c r="A57" s="17"/>
      <c r="B57" s="18"/>
      <c r="C57" s="18"/>
      <c r="D57" s="18"/>
      <c r="E57" s="18"/>
      <c r="F57" s="18"/>
      <c r="G57" s="18"/>
      <c r="H57" s="19"/>
    </row>
    <row r="58" spans="1:8" ht="12.75" customHeight="1" x14ac:dyDescent="0.3">
      <c r="A58" s="17"/>
      <c r="B58" s="18"/>
      <c r="C58" s="18"/>
      <c r="D58" s="18"/>
      <c r="E58" s="18"/>
      <c r="F58" s="18"/>
      <c r="G58" s="18"/>
      <c r="H58" s="19"/>
    </row>
    <row r="59" spans="1:8" ht="12.75" customHeight="1" x14ac:dyDescent="0.3">
      <c r="A59" s="17"/>
      <c r="B59" s="18"/>
      <c r="C59" s="18"/>
      <c r="D59" s="18"/>
      <c r="E59" s="18"/>
      <c r="F59" s="18"/>
      <c r="G59" s="18"/>
      <c r="H59" s="19"/>
    </row>
    <row r="60" spans="1:8" ht="12.75" customHeight="1" x14ac:dyDescent="0.3">
      <c r="A60" s="17"/>
      <c r="B60" s="18"/>
      <c r="C60" s="18"/>
      <c r="D60" s="18"/>
      <c r="E60" s="18"/>
      <c r="F60" s="18"/>
      <c r="G60" s="18"/>
      <c r="H60" s="19"/>
    </row>
    <row r="61" spans="1:8" ht="12.75" customHeight="1" x14ac:dyDescent="0.3">
      <c r="A61" s="17"/>
      <c r="B61" s="18"/>
      <c r="C61" s="18"/>
      <c r="D61" s="18"/>
      <c r="E61" s="18"/>
      <c r="F61" s="18"/>
      <c r="G61" s="18"/>
      <c r="H61" s="19"/>
    </row>
    <row r="62" spans="1:8" ht="12.75" customHeight="1" x14ac:dyDescent="0.3">
      <c r="A62" s="17"/>
      <c r="B62" s="18"/>
      <c r="C62" s="18"/>
      <c r="D62" s="18"/>
      <c r="E62" s="18"/>
      <c r="F62" s="18"/>
      <c r="G62" s="18"/>
      <c r="H62" s="19"/>
    </row>
    <row r="63" spans="1:8" ht="12.75" customHeight="1" x14ac:dyDescent="0.3">
      <c r="A63" s="17"/>
      <c r="B63" s="18"/>
      <c r="C63" s="18"/>
      <c r="D63" s="18"/>
      <c r="E63" s="18"/>
      <c r="F63" s="18"/>
      <c r="G63" s="18"/>
      <c r="H63" s="19"/>
    </row>
    <row r="64" spans="1:8" ht="12.75" customHeight="1" x14ac:dyDescent="0.3">
      <c r="A64" s="17"/>
      <c r="B64" s="18"/>
      <c r="C64" s="18"/>
      <c r="D64" s="18"/>
      <c r="E64" s="18"/>
      <c r="F64" s="18"/>
      <c r="G64" s="18"/>
      <c r="H64" s="19"/>
    </row>
    <row r="65" spans="1:8" ht="12.75" customHeight="1" x14ac:dyDescent="0.3">
      <c r="A65" s="17"/>
      <c r="B65" s="18"/>
      <c r="C65" s="18"/>
      <c r="D65" s="18"/>
      <c r="E65" s="18"/>
      <c r="F65" s="18"/>
      <c r="G65" s="18"/>
      <c r="H65" s="19"/>
    </row>
    <row r="66" spans="1:8" ht="12.75" customHeight="1" x14ac:dyDescent="0.3">
      <c r="A66" s="17"/>
      <c r="B66" s="18"/>
      <c r="C66" s="18"/>
      <c r="D66" s="18"/>
      <c r="E66" s="18"/>
      <c r="F66" s="18"/>
      <c r="G66" s="18"/>
      <c r="H66" s="19"/>
    </row>
    <row r="67" spans="1:8" ht="12.75" customHeight="1" x14ac:dyDescent="0.3">
      <c r="A67" s="17"/>
      <c r="B67" s="18"/>
      <c r="C67" s="18"/>
      <c r="D67" s="18"/>
      <c r="E67" s="18"/>
      <c r="F67" s="18"/>
      <c r="G67" s="18"/>
      <c r="H67" s="19"/>
    </row>
    <row r="68" spans="1:8" ht="12.75" customHeight="1" x14ac:dyDescent="0.3">
      <c r="A68" s="17"/>
      <c r="B68" s="18"/>
      <c r="C68" s="18"/>
      <c r="D68" s="18"/>
      <c r="E68" s="18"/>
      <c r="F68" s="18"/>
      <c r="G68" s="18"/>
      <c r="H68" s="19"/>
    </row>
    <row r="69" spans="1:8" ht="12.75" customHeight="1" x14ac:dyDescent="0.3">
      <c r="A69" s="17"/>
      <c r="B69" s="18"/>
      <c r="C69" s="18"/>
      <c r="D69" s="18"/>
      <c r="E69" s="18"/>
      <c r="F69" s="18"/>
      <c r="G69" s="18"/>
      <c r="H69" s="19"/>
    </row>
    <row r="70" spans="1:8" ht="12.75" customHeight="1" x14ac:dyDescent="0.3">
      <c r="A70" s="17"/>
      <c r="B70" s="18"/>
      <c r="C70" s="18"/>
      <c r="D70" s="18"/>
      <c r="E70" s="18"/>
      <c r="F70" s="18"/>
      <c r="G70" s="18"/>
      <c r="H70" s="19"/>
    </row>
    <row r="71" spans="1:8" ht="12.75" customHeight="1" x14ac:dyDescent="0.3">
      <c r="A71" s="17"/>
      <c r="B71" s="18"/>
      <c r="C71" s="18"/>
      <c r="D71" s="18"/>
      <c r="E71" s="18"/>
      <c r="F71" s="18"/>
      <c r="G71" s="18"/>
      <c r="H71" s="19"/>
    </row>
    <row r="72" spans="1:8" ht="12.75" customHeight="1" x14ac:dyDescent="0.3">
      <c r="A72" s="17"/>
      <c r="B72" s="18"/>
      <c r="C72" s="18"/>
      <c r="D72" s="18"/>
      <c r="E72" s="18"/>
      <c r="F72" s="18"/>
      <c r="G72" s="18"/>
      <c r="H72" s="19"/>
    </row>
    <row r="73" spans="1:8" ht="12.75" customHeight="1" x14ac:dyDescent="0.3">
      <c r="A73" s="17"/>
      <c r="B73" s="18"/>
      <c r="C73" s="18"/>
      <c r="D73" s="18"/>
      <c r="E73" s="18"/>
      <c r="F73" s="18"/>
      <c r="G73" s="18"/>
      <c r="H73" s="19"/>
    </row>
    <row r="74" spans="1:8" ht="12.75" customHeight="1" x14ac:dyDescent="0.3">
      <c r="A74" s="17"/>
      <c r="B74" s="18"/>
      <c r="C74" s="18"/>
      <c r="D74" s="18"/>
      <c r="E74" s="18"/>
      <c r="F74" s="18"/>
      <c r="G74" s="18"/>
      <c r="H74" s="19"/>
    </row>
    <row r="75" spans="1:8" ht="12.75" customHeight="1" x14ac:dyDescent="0.3">
      <c r="A75" s="17"/>
      <c r="B75" s="18"/>
      <c r="C75" s="18"/>
      <c r="D75" s="18"/>
      <c r="E75" s="18"/>
      <c r="F75" s="18"/>
      <c r="G75" s="18"/>
      <c r="H75" s="19"/>
    </row>
    <row r="76" spans="1:8" ht="12.75" customHeight="1" x14ac:dyDescent="0.3">
      <c r="A76" s="17"/>
      <c r="B76" s="18"/>
      <c r="C76" s="18"/>
      <c r="D76" s="18"/>
      <c r="E76" s="18"/>
      <c r="F76" s="18"/>
      <c r="G76" s="18"/>
      <c r="H76" s="19"/>
    </row>
    <row r="77" spans="1:8" ht="12.75" customHeight="1" x14ac:dyDescent="0.3">
      <c r="A77" s="17"/>
      <c r="B77" s="18"/>
      <c r="C77" s="18"/>
      <c r="D77" s="18"/>
      <c r="E77" s="18"/>
      <c r="F77" s="18"/>
      <c r="G77" s="18"/>
      <c r="H77" s="19"/>
    </row>
    <row r="78" spans="1:8" ht="12.75" customHeight="1" x14ac:dyDescent="0.3">
      <c r="A78" s="17"/>
      <c r="B78" s="18"/>
      <c r="C78" s="18"/>
      <c r="D78" s="18"/>
      <c r="E78" s="18"/>
      <c r="F78" s="18"/>
      <c r="G78" s="18"/>
      <c r="H78" s="19"/>
    </row>
    <row r="79" spans="1:8" ht="12.75" customHeight="1" x14ac:dyDescent="0.3">
      <c r="A79" s="17"/>
      <c r="B79" s="18"/>
      <c r="C79" s="18"/>
      <c r="D79" s="18"/>
      <c r="E79" s="18"/>
      <c r="F79" s="18"/>
      <c r="G79" s="18"/>
      <c r="H79" s="19"/>
    </row>
    <row r="80" spans="1:8" ht="12.75" customHeight="1" x14ac:dyDescent="0.3">
      <c r="A80" s="17"/>
      <c r="B80" s="18"/>
      <c r="C80" s="18"/>
      <c r="D80" s="18"/>
      <c r="E80" s="18"/>
      <c r="F80" s="18"/>
      <c r="G80" s="18"/>
      <c r="H80" s="19"/>
    </row>
    <row r="81" spans="1:8" ht="12.75" customHeight="1" x14ac:dyDescent="0.3">
      <c r="A81" s="17"/>
      <c r="B81" s="18"/>
      <c r="C81" s="18"/>
      <c r="D81" s="18"/>
      <c r="E81" s="18"/>
      <c r="F81" s="18"/>
      <c r="G81" s="18"/>
      <c r="H81" s="19"/>
    </row>
    <row r="82" spans="1:8" ht="12.75" customHeight="1" x14ac:dyDescent="0.3">
      <c r="A82" s="17"/>
      <c r="B82" s="18"/>
      <c r="C82" s="18"/>
      <c r="D82" s="18"/>
      <c r="E82" s="18"/>
      <c r="F82" s="18"/>
      <c r="G82" s="18"/>
      <c r="H82" s="19"/>
    </row>
    <row r="83" spans="1:8" ht="12.75" customHeight="1" x14ac:dyDescent="0.3">
      <c r="A83" s="17"/>
      <c r="B83" s="18"/>
      <c r="C83" s="18"/>
      <c r="D83" s="18"/>
      <c r="E83" s="18"/>
      <c r="F83" s="18"/>
      <c r="G83" s="18"/>
      <c r="H83" s="19"/>
    </row>
    <row r="84" spans="1:8" ht="12.75" customHeight="1" x14ac:dyDescent="0.3">
      <c r="A84" s="17"/>
      <c r="B84" s="18"/>
      <c r="C84" s="18"/>
      <c r="D84" s="18"/>
      <c r="E84" s="18"/>
      <c r="F84" s="18"/>
      <c r="G84" s="18"/>
      <c r="H84" s="19"/>
    </row>
    <row r="85" spans="1:8" ht="12.75" customHeight="1" x14ac:dyDescent="0.3">
      <c r="A85" s="17"/>
      <c r="B85" s="18"/>
      <c r="C85" s="18"/>
      <c r="D85" s="18"/>
      <c r="E85" s="18"/>
      <c r="F85" s="18"/>
      <c r="G85" s="18"/>
      <c r="H85" s="19"/>
    </row>
    <row r="86" spans="1:8" ht="12.75" customHeight="1" x14ac:dyDescent="0.3">
      <c r="A86" s="17"/>
      <c r="B86" s="18"/>
      <c r="C86" s="18"/>
      <c r="D86" s="18"/>
      <c r="E86" s="18"/>
      <c r="F86" s="18"/>
      <c r="G86" s="18"/>
      <c r="H86" s="19"/>
    </row>
    <row r="87" spans="1:8" ht="12.75" customHeight="1" x14ac:dyDescent="0.3">
      <c r="A87" s="17"/>
      <c r="B87" s="18"/>
      <c r="C87" s="18"/>
      <c r="D87" s="18"/>
      <c r="E87" s="18"/>
      <c r="F87" s="18"/>
      <c r="G87" s="18"/>
      <c r="H87" s="19"/>
    </row>
    <row r="88" spans="1:8" ht="12.75" customHeight="1" x14ac:dyDescent="0.3">
      <c r="A88" s="17"/>
      <c r="B88" s="18"/>
      <c r="C88" s="18"/>
      <c r="D88" s="18"/>
      <c r="E88" s="18"/>
      <c r="F88" s="18"/>
      <c r="G88" s="18"/>
      <c r="H88" s="19"/>
    </row>
  </sheetData>
  <phoneticPr fontId="0" type="noConversion"/>
  <printOptions horizontalCentered="1"/>
  <pageMargins left="0.74803149606299213" right="0.74803149606299213" top="0.59055118110236227" bottom="0.59055118110236227" header="0.31496062992125984" footer="0.31496062992125984"/>
  <pageSetup paperSize="9" orientation="portrait" horizontalDpi="300" verticalDpi="300" r:id="rId1"/>
  <headerFooter alignWithMargins="0">
    <oddHeader>&amp;A</oddHead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A70"/>
  <sheetViews>
    <sheetView workbookViewId="0"/>
  </sheetViews>
  <sheetFormatPr defaultColWidth="9" defaultRowHeight="12.75" x14ac:dyDescent="0.25"/>
  <cols>
    <col min="1" max="1" width="9.5703125" style="77" customWidth="1"/>
    <col min="2" max="2" width="18" style="76" customWidth="1"/>
    <col min="3" max="3" width="40.5703125" style="76" bestFit="1" customWidth="1"/>
    <col min="4" max="4" width="9.7109375" style="77" customWidth="1"/>
    <col min="5" max="8" width="9" style="76" customWidth="1"/>
    <col min="9" max="9" width="12.28515625" style="76" customWidth="1"/>
    <col min="10" max="10" width="9.140625" customWidth="1"/>
    <col min="11" max="15" width="5.85546875" style="76" customWidth="1"/>
    <col min="16" max="16" width="10.5703125" style="76" customWidth="1"/>
    <col min="17" max="17" width="9" style="76" customWidth="1"/>
    <col min="18" max="18" width="11.5703125" style="76" customWidth="1"/>
    <col min="19" max="16384" width="9" style="76"/>
  </cols>
  <sheetData>
    <row r="1" spans="1:27" x14ac:dyDescent="0.25">
      <c r="A1" s="75" t="s">
        <v>187</v>
      </c>
    </row>
    <row r="2" spans="1:27" x14ac:dyDescent="0.25">
      <c r="A2" s="75"/>
    </row>
    <row r="3" spans="1:27" ht="15" x14ac:dyDescent="0.3">
      <c r="A3" s="11" t="s">
        <v>183</v>
      </c>
      <c r="B3" s="12" t="s">
        <v>87</v>
      </c>
      <c r="C3" s="12" t="s">
        <v>88</v>
      </c>
      <c r="D3" s="11" t="s">
        <v>89</v>
      </c>
    </row>
    <row r="4" spans="1:27" ht="15" x14ac:dyDescent="0.3">
      <c r="A4" s="11">
        <f>'Fantasy Teams'!L45</f>
        <v>1</v>
      </c>
      <c r="B4" s="12" t="e">
        <f ca="1">'Fantasy Teams'!M45</f>
        <v>#REF!</v>
      </c>
      <c r="C4" s="12" t="e">
        <f ca="1">'Fantasy Teams'!N45</f>
        <v>#REF!</v>
      </c>
      <c r="D4" s="11" t="e">
        <f ca="1">'Fantasy Teams'!O45</f>
        <v>#REF!</v>
      </c>
    </row>
    <row r="5" spans="1:27" ht="15" x14ac:dyDescent="0.3">
      <c r="A5" s="11">
        <f>'Fantasy Teams'!L46</f>
        <v>2</v>
      </c>
      <c r="B5" s="12" t="e">
        <f ca="1">'Fantasy Teams'!M46</f>
        <v>#REF!</v>
      </c>
      <c r="C5" s="12" t="e">
        <f ca="1">'Fantasy Teams'!N46</f>
        <v>#REF!</v>
      </c>
      <c r="D5" s="11" t="e">
        <f ca="1">'Fantasy Teams'!O46</f>
        <v>#REF!</v>
      </c>
    </row>
    <row r="6" spans="1:27" ht="15" x14ac:dyDescent="0.3">
      <c r="A6" s="11">
        <f>'Fantasy Teams'!L47</f>
        <v>3</v>
      </c>
      <c r="B6" s="12" t="e">
        <f ca="1">'Fantasy Teams'!M47</f>
        <v>#REF!</v>
      </c>
      <c r="C6" s="12" t="e">
        <f ca="1">'Fantasy Teams'!N47</f>
        <v>#REF!</v>
      </c>
      <c r="D6" s="11" t="e">
        <f ca="1">'Fantasy Teams'!O47</f>
        <v>#REF!</v>
      </c>
    </row>
    <row r="7" spans="1:27" ht="15" x14ac:dyDescent="0.3">
      <c r="A7" s="11">
        <f>'Fantasy Teams'!L48</f>
        <v>4</v>
      </c>
      <c r="B7" s="12" t="e">
        <f ca="1">'Fantasy Teams'!M48</f>
        <v>#REF!</v>
      </c>
      <c r="C7" s="12" t="e">
        <f ca="1">'Fantasy Teams'!N48</f>
        <v>#REF!</v>
      </c>
      <c r="D7" s="11" t="e">
        <f ca="1">'Fantasy Teams'!O48</f>
        <v>#REF!</v>
      </c>
      <c r="K7"/>
      <c r="L7"/>
      <c r="M7"/>
      <c r="N7"/>
      <c r="O7"/>
      <c r="P7" s="99"/>
      <c r="Q7" s="99"/>
      <c r="R7" s="99"/>
      <c r="S7" s="99"/>
      <c r="T7" s="99"/>
      <c r="U7" s="99"/>
      <c r="V7" s="99"/>
      <c r="W7" s="99"/>
      <c r="X7" s="99"/>
      <c r="Y7" s="99"/>
      <c r="Z7" s="99"/>
      <c r="AA7" s="99"/>
    </row>
    <row r="8" spans="1:27" ht="15" x14ac:dyDescent="0.3">
      <c r="A8" s="11">
        <f>'Fantasy Teams'!L49</f>
        <v>5</v>
      </c>
      <c r="B8" s="12" t="e">
        <f ca="1">'Fantasy Teams'!M49</f>
        <v>#REF!</v>
      </c>
      <c r="C8" s="12" t="e">
        <f ca="1">'Fantasy Teams'!N49</f>
        <v>#REF!</v>
      </c>
      <c r="D8" s="11" t="e">
        <f ca="1">'Fantasy Teams'!O49</f>
        <v>#REF!</v>
      </c>
      <c r="N8"/>
      <c r="O8"/>
      <c r="P8" s="99"/>
      <c r="Q8" s="99"/>
      <c r="R8" s="99"/>
      <c r="S8" s="99"/>
      <c r="T8" s="99"/>
      <c r="U8" s="99"/>
      <c r="V8" s="99"/>
      <c r="W8" s="99"/>
      <c r="X8" s="99"/>
      <c r="Y8" s="99"/>
      <c r="Z8" s="99"/>
      <c r="AA8" s="99"/>
    </row>
    <row r="9" spans="1:27" ht="15" x14ac:dyDescent="0.3">
      <c r="A9" s="11">
        <f>'Fantasy Teams'!L50</f>
        <v>6</v>
      </c>
      <c r="B9" s="12" t="e">
        <f ca="1">'Fantasy Teams'!M50</f>
        <v>#REF!</v>
      </c>
      <c r="C9" s="12" t="e">
        <f ca="1">'Fantasy Teams'!N50</f>
        <v>#REF!</v>
      </c>
      <c r="D9" s="11" t="e">
        <f ca="1">'Fantasy Teams'!O50</f>
        <v>#REF!</v>
      </c>
      <c r="K9"/>
      <c r="L9"/>
      <c r="M9"/>
      <c r="N9"/>
      <c r="O9"/>
      <c r="P9" s="99"/>
      <c r="Q9" s="99"/>
      <c r="R9" s="99"/>
      <c r="S9" s="99"/>
      <c r="T9" s="99"/>
      <c r="U9" s="99"/>
      <c r="V9" s="99"/>
      <c r="W9" s="99"/>
      <c r="X9" s="99"/>
      <c r="Y9" s="99"/>
      <c r="Z9" s="99"/>
      <c r="AA9" s="99"/>
    </row>
    <row r="10" spans="1:27" ht="15" x14ac:dyDescent="0.3">
      <c r="A10" s="11">
        <f>'Fantasy Teams'!L51</f>
        <v>7</v>
      </c>
      <c r="B10" s="12" t="e">
        <f ca="1">'Fantasy Teams'!M51</f>
        <v>#REF!</v>
      </c>
      <c r="C10" s="12" t="e">
        <f ca="1">'Fantasy Teams'!N51</f>
        <v>#REF!</v>
      </c>
      <c r="D10" s="11" t="e">
        <f ca="1">'Fantasy Teams'!O51</f>
        <v>#REF!</v>
      </c>
      <c r="K10"/>
      <c r="L10"/>
      <c r="M10"/>
      <c r="N10"/>
      <c r="O10"/>
    </row>
    <row r="11" spans="1:27" ht="15" x14ac:dyDescent="0.3">
      <c r="A11" s="11">
        <f>'Fantasy Teams'!L52</f>
        <v>8</v>
      </c>
      <c r="B11" s="12" t="e">
        <f ca="1">'Fantasy Teams'!M52</f>
        <v>#REF!</v>
      </c>
      <c r="C11" s="12" t="e">
        <f ca="1">'Fantasy Teams'!N52</f>
        <v>#REF!</v>
      </c>
      <c r="D11" s="11" t="e">
        <f ca="1">'Fantasy Teams'!O52</f>
        <v>#REF!</v>
      </c>
      <c r="K11"/>
      <c r="L11"/>
      <c r="M11"/>
      <c r="N11"/>
      <c r="O11"/>
    </row>
    <row r="12" spans="1:27" ht="15" x14ac:dyDescent="0.3">
      <c r="A12" s="11">
        <f>'Fantasy Teams'!L53</f>
        <v>9</v>
      </c>
      <c r="B12" s="12" t="e">
        <f ca="1">'Fantasy Teams'!M53</f>
        <v>#REF!</v>
      </c>
      <c r="C12" s="12" t="e">
        <f ca="1">'Fantasy Teams'!N53</f>
        <v>#REF!</v>
      </c>
      <c r="D12" s="11" t="e">
        <f ca="1">'Fantasy Teams'!O53</f>
        <v>#REF!</v>
      </c>
      <c r="L12"/>
      <c r="M12"/>
      <c r="N12"/>
      <c r="O12"/>
    </row>
    <row r="13" spans="1:27" ht="15" x14ac:dyDescent="0.3">
      <c r="A13" s="11">
        <f>'Fantasy Teams'!L54</f>
        <v>10</v>
      </c>
      <c r="B13" s="12" t="e">
        <f ca="1">'Fantasy Teams'!M54</f>
        <v>#REF!</v>
      </c>
      <c r="C13" s="12" t="e">
        <f ca="1">'Fantasy Teams'!N54</f>
        <v>#REF!</v>
      </c>
      <c r="D13" s="11" t="e">
        <f ca="1">'Fantasy Teams'!O54</f>
        <v>#REF!</v>
      </c>
      <c r="F13"/>
      <c r="G13"/>
      <c r="H13"/>
      <c r="I13"/>
      <c r="K13"/>
      <c r="L13"/>
      <c r="M13"/>
      <c r="N13"/>
      <c r="O13"/>
    </row>
    <row r="14" spans="1:27" ht="15" x14ac:dyDescent="0.3">
      <c r="A14" s="11">
        <f>'Fantasy Teams'!L55</f>
        <v>11</v>
      </c>
      <c r="B14" s="12" t="e">
        <f ca="1">'Fantasy Teams'!M55</f>
        <v>#REF!</v>
      </c>
      <c r="C14" s="12" t="e">
        <f ca="1">'Fantasy Teams'!N55</f>
        <v>#REF!</v>
      </c>
      <c r="D14" s="11" t="e">
        <f ca="1">'Fantasy Teams'!O55</f>
        <v>#REF!</v>
      </c>
      <c r="F14"/>
      <c r="G14"/>
      <c r="H14"/>
      <c r="I14"/>
      <c r="K14"/>
      <c r="L14"/>
      <c r="M14"/>
      <c r="N14"/>
      <c r="O14"/>
    </row>
    <row r="15" spans="1:27" ht="15" x14ac:dyDescent="0.3">
      <c r="A15" s="11">
        <f>'Fantasy Teams'!L56</f>
        <v>12</v>
      </c>
      <c r="B15" s="12" t="e">
        <f ca="1">'Fantasy Teams'!M56</f>
        <v>#REF!</v>
      </c>
      <c r="C15" s="12" t="e">
        <f ca="1">'Fantasy Teams'!N56</f>
        <v>#REF!</v>
      </c>
      <c r="D15" s="11" t="e">
        <f ca="1">'Fantasy Teams'!O56</f>
        <v>#REF!</v>
      </c>
      <c r="F15"/>
      <c r="G15"/>
      <c r="H15"/>
      <c r="I15"/>
      <c r="L15"/>
      <c r="M15"/>
      <c r="N15"/>
      <c r="O15"/>
    </row>
    <row r="16" spans="1:27" ht="15" x14ac:dyDescent="0.3">
      <c r="A16" s="11">
        <f>'Fantasy Teams'!L57</f>
        <v>13</v>
      </c>
      <c r="B16" s="12" t="e">
        <f ca="1">'Fantasy Teams'!M57</f>
        <v>#REF!</v>
      </c>
      <c r="C16" s="12" t="e">
        <f ca="1">'Fantasy Teams'!N57</f>
        <v>#REF!</v>
      </c>
      <c r="D16" s="11" t="e">
        <f ca="1">'Fantasy Teams'!O57</f>
        <v>#REF!</v>
      </c>
      <c r="F16"/>
      <c r="G16"/>
      <c r="H16"/>
      <c r="I16"/>
      <c r="K16"/>
      <c r="L16"/>
      <c r="M16"/>
      <c r="N16"/>
      <c r="O16"/>
    </row>
    <row r="17" spans="1:18" ht="15" x14ac:dyDescent="0.3">
      <c r="A17" s="11">
        <f>'Fantasy Teams'!L58</f>
        <v>14</v>
      </c>
      <c r="B17" s="12" t="e">
        <f ca="1">'Fantasy Teams'!M58</f>
        <v>#REF!</v>
      </c>
      <c r="C17" s="12" t="e">
        <f ca="1">'Fantasy Teams'!N58</f>
        <v>#REF!</v>
      </c>
      <c r="D17" s="11" t="e">
        <f ca="1">'Fantasy Teams'!O58</f>
        <v>#REF!</v>
      </c>
      <c r="F17"/>
      <c r="G17"/>
      <c r="H17"/>
      <c r="I17"/>
      <c r="K17"/>
      <c r="L17"/>
      <c r="M17"/>
      <c r="N17"/>
      <c r="O17"/>
    </row>
    <row r="18" spans="1:18" ht="15" x14ac:dyDescent="0.3">
      <c r="A18" s="11">
        <f>'Fantasy Teams'!L59</f>
        <v>15</v>
      </c>
      <c r="B18" s="12" t="e">
        <f ca="1">'Fantasy Teams'!M59</f>
        <v>#REF!</v>
      </c>
      <c r="C18" s="12" t="e">
        <f ca="1">'Fantasy Teams'!N59</f>
        <v>#REF!</v>
      </c>
      <c r="D18" s="11" t="e">
        <f ca="1">'Fantasy Teams'!O59</f>
        <v>#REF!</v>
      </c>
      <c r="F18"/>
      <c r="G18"/>
      <c r="H18"/>
      <c r="I18"/>
      <c r="M18"/>
      <c r="N18"/>
      <c r="O18"/>
      <c r="P18"/>
    </row>
    <row r="19" spans="1:18" ht="15" x14ac:dyDescent="0.3">
      <c r="A19" s="11">
        <f>'Fantasy Teams'!L60</f>
        <v>16</v>
      </c>
      <c r="B19" s="12" t="e">
        <f ca="1">'Fantasy Teams'!M60</f>
        <v>#REF!</v>
      </c>
      <c r="C19" s="12" t="e">
        <f ca="1">'Fantasy Teams'!N60</f>
        <v>#REF!</v>
      </c>
      <c r="D19" s="11" t="e">
        <f ca="1">'Fantasy Teams'!O60</f>
        <v>#REF!</v>
      </c>
      <c r="F19"/>
      <c r="G19"/>
      <c r="H19"/>
      <c r="I19"/>
      <c r="L19"/>
      <c r="M19"/>
      <c r="N19"/>
      <c r="O19"/>
      <c r="P19"/>
    </row>
    <row r="20" spans="1:18" ht="15" x14ac:dyDescent="0.3">
      <c r="A20" s="11">
        <f>'Fantasy Teams'!L61</f>
        <v>17</v>
      </c>
      <c r="B20" s="12" t="e">
        <f ca="1">'Fantasy Teams'!M61</f>
        <v>#REF!</v>
      </c>
      <c r="C20" s="12" t="e">
        <f ca="1">'Fantasy Teams'!N61</f>
        <v>#REF!</v>
      </c>
      <c r="D20" s="11" t="e">
        <f ca="1">'Fantasy Teams'!O61</f>
        <v>#REF!</v>
      </c>
      <c r="F20"/>
      <c r="G20"/>
      <c r="H20"/>
      <c r="K20"/>
      <c r="L20"/>
      <c r="M20"/>
      <c r="N20"/>
      <c r="O20"/>
      <c r="P20"/>
      <c r="R20"/>
    </row>
    <row r="21" spans="1:18" ht="15" x14ac:dyDescent="0.3">
      <c r="A21" s="11">
        <f>'Fantasy Teams'!L62</f>
        <v>18</v>
      </c>
      <c r="B21" s="12" t="e">
        <f ca="1">'Fantasy Teams'!M62</f>
        <v>#REF!</v>
      </c>
      <c r="C21" s="12" t="e">
        <f ca="1">'Fantasy Teams'!N62</f>
        <v>#REF!</v>
      </c>
      <c r="D21" s="11" t="e">
        <f ca="1">'Fantasy Teams'!O62</f>
        <v>#REF!</v>
      </c>
      <c r="F21"/>
      <c r="G21"/>
      <c r="H21"/>
      <c r="K21"/>
      <c r="L21"/>
      <c r="M21"/>
      <c r="N21"/>
      <c r="O21"/>
      <c r="P21"/>
      <c r="R21"/>
    </row>
    <row r="22" spans="1:18" ht="15" x14ac:dyDescent="0.3">
      <c r="A22" s="11">
        <f>'Fantasy Teams'!L63</f>
        <v>19</v>
      </c>
      <c r="B22" s="12" t="e">
        <f ca="1">'Fantasy Teams'!M63</f>
        <v>#REF!</v>
      </c>
      <c r="C22" s="12" t="e">
        <f ca="1">'Fantasy Teams'!N63</f>
        <v>#REF!</v>
      </c>
      <c r="D22" s="11" t="e">
        <f ca="1">'Fantasy Teams'!O63</f>
        <v>#REF!</v>
      </c>
      <c r="F22"/>
      <c r="G22"/>
      <c r="H22"/>
      <c r="N22"/>
      <c r="O22"/>
    </row>
    <row r="23" spans="1:18" ht="15" x14ac:dyDescent="0.3">
      <c r="A23" s="11">
        <f>'Fantasy Teams'!L64</f>
        <v>20</v>
      </c>
      <c r="B23" s="12" t="e">
        <f ca="1">'Fantasy Teams'!M64</f>
        <v>#REF!</v>
      </c>
      <c r="C23" s="12" t="e">
        <f ca="1">'Fantasy Teams'!N64</f>
        <v>#REF!</v>
      </c>
      <c r="D23" s="11" t="e">
        <f ca="1">'Fantasy Teams'!O64</f>
        <v>#REF!</v>
      </c>
      <c r="F23"/>
      <c r="G23"/>
      <c r="H23"/>
      <c r="M23"/>
      <c r="N23"/>
      <c r="O23"/>
      <c r="P23"/>
    </row>
    <row r="24" spans="1:18" ht="15" x14ac:dyDescent="0.3">
      <c r="A24" s="11">
        <f>'Fantasy Teams'!L65</f>
        <v>21</v>
      </c>
      <c r="B24" s="12" t="e">
        <f ca="1">'Fantasy Teams'!M65</f>
        <v>#REF!</v>
      </c>
      <c r="C24" s="12" t="e">
        <f ca="1">'Fantasy Teams'!N65</f>
        <v>#REF!</v>
      </c>
      <c r="D24" s="11" t="e">
        <f ca="1">'Fantasy Teams'!O65</f>
        <v>#REF!</v>
      </c>
      <c r="F24"/>
      <c r="G24"/>
      <c r="H24"/>
      <c r="L24"/>
      <c r="M24"/>
      <c r="N24"/>
      <c r="O24"/>
      <c r="P24"/>
    </row>
    <row r="25" spans="1:18" ht="15" x14ac:dyDescent="0.3">
      <c r="A25" s="11">
        <f>'Fantasy Teams'!L66</f>
        <v>22</v>
      </c>
      <c r="B25" s="12" t="e">
        <f ca="1">'Fantasy Teams'!M66</f>
        <v>#REF!</v>
      </c>
      <c r="C25" s="12" t="e">
        <f ca="1">'Fantasy Teams'!N66</f>
        <v>#REF!</v>
      </c>
      <c r="D25" s="11" t="e">
        <f ca="1">'Fantasy Teams'!O66</f>
        <v>#REF!</v>
      </c>
      <c r="F25"/>
      <c r="G25"/>
      <c r="H25"/>
      <c r="L25"/>
      <c r="M25"/>
      <c r="N25"/>
      <c r="O25"/>
      <c r="P25"/>
      <c r="R25"/>
    </row>
    <row r="26" spans="1:18" ht="15" x14ac:dyDescent="0.3">
      <c r="A26" s="11">
        <f>'Fantasy Teams'!L67</f>
        <v>23</v>
      </c>
      <c r="B26" s="12" t="e">
        <f ca="1">'Fantasy Teams'!M67</f>
        <v>#REF!</v>
      </c>
      <c r="C26" s="12" t="e">
        <f ca="1">'Fantasy Teams'!N67</f>
        <v>#REF!</v>
      </c>
      <c r="D26" s="11" t="e">
        <f ca="1">'Fantasy Teams'!O67</f>
        <v>#REF!</v>
      </c>
      <c r="F26"/>
      <c r="G26"/>
      <c r="H26"/>
      <c r="M26"/>
      <c r="N26"/>
      <c r="O26"/>
      <c r="P26"/>
    </row>
    <row r="27" spans="1:18" ht="15" x14ac:dyDescent="0.3">
      <c r="A27" s="11">
        <f>'Fantasy Teams'!L68</f>
        <v>24</v>
      </c>
      <c r="B27" s="12" t="e">
        <f ca="1">'Fantasy Teams'!M68</f>
        <v>#REF!</v>
      </c>
      <c r="C27" s="12" t="e">
        <f ca="1">'Fantasy Teams'!N68</f>
        <v>#REF!</v>
      </c>
      <c r="D27" s="11" t="e">
        <f ca="1">'Fantasy Teams'!O68</f>
        <v>#REF!</v>
      </c>
      <c r="F27"/>
      <c r="G27"/>
      <c r="H27"/>
      <c r="L27"/>
      <c r="M27"/>
      <c r="N27"/>
      <c r="O27"/>
      <c r="P27"/>
      <c r="R27"/>
    </row>
    <row r="28" spans="1:18" ht="15" x14ac:dyDescent="0.3">
      <c r="A28" s="11">
        <f>'Fantasy Teams'!L69</f>
        <v>25</v>
      </c>
      <c r="B28" s="12" t="e">
        <f ca="1">'Fantasy Teams'!M69</f>
        <v>#REF!</v>
      </c>
      <c r="C28" s="12" t="e">
        <f ca="1">'Fantasy Teams'!N69</f>
        <v>#REF!</v>
      </c>
      <c r="D28" s="11" t="e">
        <f ca="1">'Fantasy Teams'!O69</f>
        <v>#REF!</v>
      </c>
      <c r="F28"/>
      <c r="G28"/>
      <c r="H28"/>
      <c r="I28"/>
      <c r="L28"/>
      <c r="M28"/>
      <c r="N28"/>
      <c r="O28"/>
      <c r="P28"/>
      <c r="R28"/>
    </row>
    <row r="29" spans="1:18" ht="15" x14ac:dyDescent="0.3">
      <c r="A29" s="11">
        <f>'Fantasy Teams'!L70</f>
        <v>26</v>
      </c>
      <c r="B29" s="12" t="e">
        <f ca="1">'Fantasy Teams'!M70</f>
        <v>#REF!</v>
      </c>
      <c r="C29" s="12" t="e">
        <f ca="1">'Fantasy Teams'!N70</f>
        <v>#REF!</v>
      </c>
      <c r="D29" s="11" t="e">
        <f ca="1">'Fantasy Teams'!O70</f>
        <v>#REF!</v>
      </c>
      <c r="F29"/>
      <c r="G29"/>
      <c r="H29"/>
      <c r="I29"/>
      <c r="K29"/>
      <c r="L29"/>
      <c r="M29"/>
      <c r="N29"/>
      <c r="O29"/>
      <c r="P29"/>
      <c r="R29"/>
    </row>
    <row r="30" spans="1:18" ht="15" x14ac:dyDescent="0.3">
      <c r="A30" s="11">
        <f>'Fantasy Teams'!L71</f>
        <v>27</v>
      </c>
      <c r="B30" s="12" t="e">
        <f ca="1">'Fantasy Teams'!M71</f>
        <v>#REF!</v>
      </c>
      <c r="C30" s="12" t="e">
        <f ca="1">'Fantasy Teams'!N71</f>
        <v>#REF!</v>
      </c>
      <c r="D30" s="11" t="e">
        <f ca="1">'Fantasy Teams'!O71</f>
        <v>#REF!</v>
      </c>
      <c r="F30"/>
      <c r="G30"/>
      <c r="H30"/>
      <c r="I30"/>
      <c r="K30"/>
      <c r="L30"/>
      <c r="N30"/>
      <c r="O30"/>
      <c r="R30"/>
    </row>
    <row r="31" spans="1:18" ht="15" x14ac:dyDescent="0.3">
      <c r="A31" s="11">
        <f>'Fantasy Teams'!L72</f>
        <v>28</v>
      </c>
      <c r="B31" s="12" t="e">
        <f ca="1">'Fantasy Teams'!M72</f>
        <v>#REF!</v>
      </c>
      <c r="C31" s="12" t="e">
        <f ca="1">'Fantasy Teams'!N72</f>
        <v>#REF!</v>
      </c>
      <c r="D31" s="11" t="e">
        <f ca="1">'Fantasy Teams'!O72</f>
        <v>#REF!</v>
      </c>
      <c r="F31"/>
      <c r="G31"/>
      <c r="H31"/>
      <c r="I31"/>
      <c r="K31"/>
      <c r="L31"/>
      <c r="M31"/>
      <c r="N31"/>
      <c r="O31"/>
      <c r="P31"/>
      <c r="R31"/>
    </row>
    <row r="32" spans="1:18" ht="15" x14ac:dyDescent="0.3">
      <c r="A32" s="11">
        <f>'Fantasy Teams'!L73</f>
        <v>29</v>
      </c>
      <c r="B32" s="12" t="e">
        <f ca="1">'Fantasy Teams'!M73</f>
        <v>#REF!</v>
      </c>
      <c r="C32" s="12" t="e">
        <f ca="1">'Fantasy Teams'!N73</f>
        <v>#REF!</v>
      </c>
      <c r="D32" s="11" t="e">
        <f ca="1">'Fantasy Teams'!O73</f>
        <v>#REF!</v>
      </c>
      <c r="F32"/>
      <c r="G32"/>
      <c r="H32"/>
      <c r="I32"/>
      <c r="K32"/>
      <c r="L32"/>
      <c r="M32"/>
      <c r="N32"/>
      <c r="O32"/>
      <c r="P32"/>
      <c r="R32"/>
    </row>
    <row r="33" spans="1:18" ht="15" x14ac:dyDescent="0.3">
      <c r="A33" s="11">
        <f>'Fantasy Teams'!L74</f>
        <v>30</v>
      </c>
      <c r="B33" s="12" t="e">
        <f ca="1">'Fantasy Teams'!M74</f>
        <v>#REF!</v>
      </c>
      <c r="C33" s="12" t="e">
        <f ca="1">'Fantasy Teams'!N74</f>
        <v>#REF!</v>
      </c>
      <c r="D33" s="11" t="e">
        <f ca="1">'Fantasy Teams'!O74</f>
        <v>#REF!</v>
      </c>
      <c r="F33"/>
      <c r="G33"/>
      <c r="H33"/>
      <c r="I33"/>
      <c r="L33"/>
      <c r="M33"/>
      <c r="N33"/>
      <c r="O33"/>
      <c r="P33"/>
      <c r="R33"/>
    </row>
    <row r="34" spans="1:18" ht="15" x14ac:dyDescent="0.3">
      <c r="A34" s="11">
        <f>'Fantasy Teams'!L75</f>
        <v>31</v>
      </c>
      <c r="B34" s="12" t="e">
        <f ca="1">'Fantasy Teams'!M75</f>
        <v>#REF!</v>
      </c>
      <c r="C34" s="12" t="e">
        <f ca="1">'Fantasy Teams'!N75</f>
        <v>#REF!</v>
      </c>
      <c r="D34" s="11" t="e">
        <f ca="1">'Fantasy Teams'!O75</f>
        <v>#REF!</v>
      </c>
      <c r="F34"/>
      <c r="G34"/>
      <c r="H34"/>
      <c r="I34"/>
      <c r="K34"/>
      <c r="L34"/>
      <c r="M34"/>
      <c r="N34"/>
      <c r="O34"/>
      <c r="R34"/>
    </row>
    <row r="35" spans="1:18" ht="15" x14ac:dyDescent="0.3">
      <c r="A35" s="11">
        <f>'Fantasy Teams'!L76</f>
        <v>32</v>
      </c>
      <c r="B35" s="12" t="e">
        <f ca="1">'Fantasy Teams'!M76</f>
        <v>#REF!</v>
      </c>
      <c r="C35" s="12" t="e">
        <f ca="1">'Fantasy Teams'!N76</f>
        <v>#REF!</v>
      </c>
      <c r="D35" s="11" t="e">
        <f ca="1">'Fantasy Teams'!O76</f>
        <v>#REF!</v>
      </c>
      <c r="F35"/>
      <c r="G35"/>
      <c r="H35"/>
      <c r="I35"/>
      <c r="K35"/>
      <c r="L35"/>
      <c r="M35"/>
      <c r="N35"/>
      <c r="O35"/>
      <c r="R35"/>
    </row>
    <row r="36" spans="1:18" ht="15" x14ac:dyDescent="0.3">
      <c r="A36" s="11">
        <f>'Fantasy Teams'!L77</f>
        <v>33</v>
      </c>
      <c r="B36" s="12" t="e">
        <f ca="1">'Fantasy Teams'!M77</f>
        <v>#REF!</v>
      </c>
      <c r="C36" s="12" t="e">
        <f ca="1">'Fantasy Teams'!N77</f>
        <v>#REF!</v>
      </c>
      <c r="D36" s="11" t="e">
        <f ca="1">'Fantasy Teams'!O77</f>
        <v>#REF!</v>
      </c>
      <c r="F36"/>
      <c r="G36"/>
      <c r="H36"/>
      <c r="I36"/>
      <c r="K36"/>
      <c r="L36"/>
      <c r="M36"/>
      <c r="N36"/>
      <c r="O36"/>
      <c r="R36"/>
    </row>
    <row r="37" spans="1:18" ht="15" x14ac:dyDescent="0.3">
      <c r="A37" s="11">
        <f>'Fantasy Teams'!L78</f>
        <v>34</v>
      </c>
      <c r="B37" s="12" t="e">
        <f ca="1">'Fantasy Teams'!M78</f>
        <v>#REF!</v>
      </c>
      <c r="C37" s="12" t="e">
        <f ca="1">'Fantasy Teams'!N78</f>
        <v>#REF!</v>
      </c>
      <c r="D37" s="11" t="e">
        <f ca="1">'Fantasy Teams'!O78</f>
        <v>#REF!</v>
      </c>
      <c r="F37"/>
      <c r="G37"/>
      <c r="H37"/>
      <c r="I37"/>
      <c r="K37"/>
      <c r="L37"/>
      <c r="M37"/>
      <c r="N37"/>
      <c r="O37"/>
      <c r="R37"/>
    </row>
    <row r="38" spans="1:18" ht="15" x14ac:dyDescent="0.3">
      <c r="A38" s="11">
        <f>'Fantasy Teams'!L79</f>
        <v>35</v>
      </c>
      <c r="B38" s="12" t="e">
        <f ca="1">'Fantasy Teams'!M79</f>
        <v>#REF!</v>
      </c>
      <c r="C38" s="12" t="e">
        <f ca="1">'Fantasy Teams'!N79</f>
        <v>#REF!</v>
      </c>
      <c r="D38" s="11" t="e">
        <f ca="1">'Fantasy Teams'!O79</f>
        <v>#REF!</v>
      </c>
      <c r="F38"/>
      <c r="G38"/>
      <c r="H38"/>
      <c r="I38"/>
      <c r="K38"/>
      <c r="L38"/>
      <c r="M38"/>
      <c r="N38"/>
      <c r="O38"/>
      <c r="R38"/>
    </row>
    <row r="39" spans="1:18" ht="15" x14ac:dyDescent="0.3">
      <c r="A39" s="11">
        <f>'Fantasy Teams'!L80</f>
        <v>36</v>
      </c>
      <c r="B39" s="12" t="e">
        <f ca="1">'Fantasy Teams'!M80</f>
        <v>#REF!</v>
      </c>
      <c r="C39" s="12" t="e">
        <f ca="1">'Fantasy Teams'!N80</f>
        <v>#REF!</v>
      </c>
      <c r="D39" s="11" t="e">
        <f ca="1">'Fantasy Teams'!O80</f>
        <v>#REF!</v>
      </c>
      <c r="F39"/>
      <c r="G39"/>
      <c r="H39"/>
      <c r="I39"/>
      <c r="N39"/>
      <c r="O39"/>
      <c r="R39"/>
    </row>
    <row r="40" spans="1:18" ht="15" x14ac:dyDescent="0.3">
      <c r="A40" s="11">
        <f>'Fantasy Teams'!L81</f>
        <v>37</v>
      </c>
      <c r="B40" s="12" t="e">
        <f ca="1">'Fantasy Teams'!M81</f>
        <v>#REF!</v>
      </c>
      <c r="C40" s="12" t="e">
        <f ca="1">'Fantasy Teams'!N81</f>
        <v>#REF!</v>
      </c>
      <c r="D40" s="11" t="e">
        <f ca="1">'Fantasy Teams'!O81</f>
        <v>#REF!</v>
      </c>
      <c r="F40"/>
      <c r="G40"/>
      <c r="H40"/>
      <c r="I40"/>
      <c r="M40"/>
      <c r="N40"/>
      <c r="O40"/>
      <c r="R40"/>
    </row>
    <row r="41" spans="1:18" ht="15" x14ac:dyDescent="0.3">
      <c r="A41" s="11"/>
      <c r="B41" s="12"/>
      <c r="C41" s="12"/>
      <c r="D41" s="11"/>
      <c r="F41"/>
      <c r="G41"/>
      <c r="H41"/>
      <c r="I41"/>
      <c r="L41"/>
      <c r="M41"/>
      <c r="N41"/>
      <c r="O41"/>
    </row>
    <row r="42" spans="1:18" ht="15" x14ac:dyDescent="0.3">
      <c r="A42" s="11"/>
      <c r="B42" s="12"/>
      <c r="C42" s="12"/>
      <c r="D42" s="11"/>
      <c r="F42"/>
      <c r="G42"/>
      <c r="H42"/>
      <c r="I42"/>
      <c r="L42"/>
      <c r="M42"/>
      <c r="N42"/>
      <c r="O42"/>
    </row>
    <row r="43" spans="1:18" x14ac:dyDescent="0.15">
      <c r="A43" s="76"/>
      <c r="D43" s="76"/>
      <c r="F43"/>
      <c r="G43"/>
      <c r="H43"/>
      <c r="L43"/>
      <c r="M43"/>
      <c r="N43"/>
      <c r="O43"/>
      <c r="R43"/>
    </row>
    <row r="44" spans="1:18" x14ac:dyDescent="0.25">
      <c r="F44"/>
      <c r="G44"/>
      <c r="H44"/>
      <c r="I44"/>
      <c r="L44"/>
      <c r="M44"/>
      <c r="N44"/>
      <c r="O44"/>
      <c r="R44"/>
    </row>
    <row r="45" spans="1:18" x14ac:dyDescent="0.25">
      <c r="F45"/>
      <c r="G45"/>
      <c r="H45"/>
      <c r="I45"/>
      <c r="L45"/>
      <c r="M45"/>
      <c r="N45"/>
      <c r="O45"/>
      <c r="R45"/>
    </row>
    <row r="46" spans="1:18" x14ac:dyDescent="0.25">
      <c r="F46"/>
      <c r="G46"/>
      <c r="H46"/>
      <c r="I46"/>
      <c r="L46"/>
      <c r="M46"/>
      <c r="N46"/>
      <c r="O46"/>
      <c r="R46"/>
    </row>
    <row r="47" spans="1:18" x14ac:dyDescent="0.25">
      <c r="F47"/>
      <c r="G47"/>
      <c r="H47"/>
      <c r="I47"/>
      <c r="L47"/>
      <c r="M47"/>
      <c r="N47"/>
      <c r="O47"/>
      <c r="R47"/>
    </row>
    <row r="48" spans="1:18" x14ac:dyDescent="0.25">
      <c r="F48"/>
      <c r="G48"/>
      <c r="H48"/>
      <c r="I48"/>
      <c r="L48"/>
      <c r="M48"/>
      <c r="N48"/>
      <c r="O48"/>
      <c r="R48"/>
    </row>
    <row r="49" spans="6:18" x14ac:dyDescent="0.25">
      <c r="F49"/>
      <c r="G49"/>
      <c r="H49"/>
      <c r="I49"/>
      <c r="L49"/>
      <c r="M49"/>
      <c r="N49"/>
      <c r="O49"/>
      <c r="R49"/>
    </row>
    <row r="50" spans="6:18" x14ac:dyDescent="0.25">
      <c r="F50"/>
      <c r="G50"/>
      <c r="H50"/>
      <c r="I50"/>
      <c r="L50"/>
      <c r="M50"/>
      <c r="N50"/>
      <c r="O50"/>
      <c r="R50"/>
    </row>
    <row r="51" spans="6:18" x14ac:dyDescent="0.25">
      <c r="F51"/>
      <c r="G51"/>
      <c r="H51"/>
      <c r="I51"/>
      <c r="L51"/>
      <c r="M51"/>
      <c r="N51"/>
      <c r="O51"/>
      <c r="R51"/>
    </row>
    <row r="52" spans="6:18" x14ac:dyDescent="0.25">
      <c r="F52"/>
      <c r="G52"/>
      <c r="H52"/>
      <c r="I52"/>
      <c r="K52"/>
      <c r="L52"/>
      <c r="M52"/>
      <c r="N52"/>
      <c r="O52"/>
      <c r="R52"/>
    </row>
    <row r="53" spans="6:18" x14ac:dyDescent="0.25">
      <c r="F53"/>
      <c r="G53"/>
      <c r="H53"/>
      <c r="I53"/>
      <c r="K53"/>
      <c r="L53"/>
      <c r="M53"/>
      <c r="N53"/>
      <c r="O53"/>
      <c r="R53"/>
    </row>
    <row r="54" spans="6:18" x14ac:dyDescent="0.25">
      <c r="F54"/>
      <c r="G54"/>
      <c r="H54"/>
      <c r="I54"/>
      <c r="K54"/>
      <c r="L54"/>
      <c r="M54"/>
      <c r="N54"/>
      <c r="O54"/>
      <c r="R54"/>
    </row>
    <row r="55" spans="6:18" x14ac:dyDescent="0.25">
      <c r="F55"/>
      <c r="G55"/>
      <c r="H55"/>
      <c r="I55"/>
      <c r="K55"/>
      <c r="L55"/>
      <c r="M55"/>
      <c r="N55"/>
      <c r="O55"/>
      <c r="R55"/>
    </row>
    <row r="56" spans="6:18" x14ac:dyDescent="0.25">
      <c r="F56"/>
      <c r="G56"/>
      <c r="H56"/>
      <c r="I56"/>
      <c r="K56"/>
      <c r="L56"/>
      <c r="M56"/>
      <c r="N56"/>
      <c r="O56"/>
      <c r="R56"/>
    </row>
    <row r="57" spans="6:18" x14ac:dyDescent="0.25">
      <c r="F57"/>
      <c r="G57"/>
      <c r="H57"/>
      <c r="I57"/>
      <c r="K57"/>
      <c r="L57"/>
      <c r="M57"/>
      <c r="N57"/>
      <c r="O57"/>
      <c r="R57"/>
    </row>
    <row r="58" spans="6:18" x14ac:dyDescent="0.25">
      <c r="F58"/>
      <c r="G58"/>
      <c r="H58"/>
      <c r="I58"/>
      <c r="K58"/>
      <c r="L58"/>
      <c r="M58"/>
      <c r="N58"/>
      <c r="O58"/>
      <c r="R58"/>
    </row>
    <row r="59" spans="6:18" x14ac:dyDescent="0.25">
      <c r="F59"/>
      <c r="G59"/>
      <c r="H59"/>
      <c r="I59"/>
      <c r="K59"/>
      <c r="L59"/>
      <c r="M59"/>
      <c r="N59"/>
      <c r="O59"/>
      <c r="R59"/>
    </row>
    <row r="60" spans="6:18" x14ac:dyDescent="0.25">
      <c r="F60"/>
      <c r="G60"/>
      <c r="H60"/>
      <c r="I60"/>
      <c r="K60"/>
      <c r="L60"/>
      <c r="M60"/>
      <c r="N60"/>
      <c r="O60"/>
      <c r="R60"/>
    </row>
    <row r="61" spans="6:18" x14ac:dyDescent="0.25">
      <c r="F61"/>
      <c r="G61"/>
      <c r="H61"/>
      <c r="I61"/>
      <c r="K61"/>
      <c r="L61"/>
      <c r="M61"/>
      <c r="N61"/>
      <c r="O61"/>
      <c r="R61"/>
    </row>
    <row r="62" spans="6:18" x14ac:dyDescent="0.25">
      <c r="F62"/>
      <c r="G62"/>
      <c r="H62"/>
      <c r="I62"/>
      <c r="K62"/>
      <c r="L62"/>
      <c r="M62"/>
      <c r="N62"/>
      <c r="O62"/>
      <c r="R62"/>
    </row>
    <row r="63" spans="6:18" x14ac:dyDescent="0.25">
      <c r="F63"/>
      <c r="G63"/>
      <c r="H63"/>
      <c r="I63"/>
      <c r="K63"/>
      <c r="L63"/>
      <c r="M63"/>
      <c r="N63"/>
      <c r="O63"/>
      <c r="R63"/>
    </row>
    <row r="64" spans="6:18" x14ac:dyDescent="0.25">
      <c r="F64"/>
      <c r="G64"/>
      <c r="H64"/>
      <c r="I64"/>
      <c r="K64"/>
      <c r="L64"/>
      <c r="M64"/>
      <c r="N64"/>
      <c r="O64"/>
      <c r="R64"/>
    </row>
    <row r="65" spans="11:18" x14ac:dyDescent="0.25">
      <c r="K65"/>
      <c r="R65"/>
    </row>
    <row r="66" spans="11:18" x14ac:dyDescent="0.25">
      <c r="K66"/>
      <c r="R66"/>
    </row>
    <row r="67" spans="11:18" x14ac:dyDescent="0.25">
      <c r="K67"/>
      <c r="R67"/>
    </row>
    <row r="68" spans="11:18" x14ac:dyDescent="0.25">
      <c r="K68"/>
      <c r="R68"/>
    </row>
    <row r="69" spans="11:18" x14ac:dyDescent="0.25">
      <c r="K69"/>
      <c r="R69"/>
    </row>
    <row r="70" spans="11:18" x14ac:dyDescent="0.25">
      <c r="K70"/>
      <c r="R70"/>
    </row>
  </sheetData>
  <phoneticPr fontId="0" type="noConversion"/>
  <pageMargins left="0.75" right="0.75" top="1" bottom="1" header="0.5" footer="0.5"/>
  <pageSetup paperSize="9" orientation="portrait" horizontalDpi="300" verticalDpi="300" r:id="rId1"/>
  <headerFooter alignWithMargins="0">
    <oddHeader>&amp;CFantasy League Table</oddHead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P52"/>
  <sheetViews>
    <sheetView topLeftCell="I1" workbookViewId="0">
      <selection activeCell="N8" sqref="N8"/>
    </sheetView>
  </sheetViews>
  <sheetFormatPr defaultRowHeight="10.5" x14ac:dyDescent="0.15"/>
  <cols>
    <col min="4" max="4" width="13.5703125" bestFit="1" customWidth="1"/>
    <col min="5" max="5" width="16.85546875" bestFit="1" customWidth="1"/>
    <col min="6" max="6" width="2.7109375" customWidth="1"/>
    <col min="7" max="7" width="11.85546875" customWidth="1"/>
    <col min="8" max="8" width="11.85546875" bestFit="1" customWidth="1"/>
    <col min="13" max="13" width="13.42578125" bestFit="1" customWidth="1"/>
    <col min="14" max="14" width="16.7109375" bestFit="1" customWidth="1"/>
    <col min="15" max="15" width="3.28515625" customWidth="1"/>
    <col min="16" max="16" width="11.85546875" bestFit="1" customWidth="1"/>
  </cols>
  <sheetData>
    <row r="1" spans="1:16" x14ac:dyDescent="0.15">
      <c r="A1" t="s">
        <v>309</v>
      </c>
      <c r="B1" t="s">
        <v>12</v>
      </c>
    </row>
    <row r="2" spans="1:16" x14ac:dyDescent="0.15">
      <c r="A2" s="184" t="str">
        <f t="array" ref="A2:A52">TRANSPOSE(Batting!D4:CD4)</f>
        <v>W</v>
      </c>
      <c r="B2" t="str">
        <f t="array" ref="B2:B52">TRANSPOSE(Batting!D67:CD67)</f>
        <v>Springer T</v>
      </c>
    </row>
    <row r="3" spans="1:16" x14ac:dyDescent="0.15">
      <c r="A3" s="184" t="str">
        <v>L</v>
      </c>
      <c r="B3" t="str">
        <v>Springer T</v>
      </c>
      <c r="I3" t="s">
        <v>734</v>
      </c>
      <c r="J3" t="s">
        <v>735</v>
      </c>
    </row>
    <row r="4" spans="1:16" x14ac:dyDescent="0.15">
      <c r="A4" s="184" t="str">
        <v>L</v>
      </c>
      <c r="B4" t="str">
        <v>Springer T</v>
      </c>
      <c r="I4" t="s">
        <v>232</v>
      </c>
      <c r="J4" t="s">
        <v>206</v>
      </c>
    </row>
    <row r="5" spans="1:16" x14ac:dyDescent="0.15">
      <c r="A5" s="184" t="str">
        <v>W</v>
      </c>
      <c r="B5" t="str">
        <v>Springer T</v>
      </c>
      <c r="I5" t="s">
        <v>232</v>
      </c>
      <c r="J5" t="s">
        <v>205</v>
      </c>
    </row>
    <row r="6" spans="1:16" x14ac:dyDescent="0.15">
      <c r="A6" s="184" t="str">
        <v>W</v>
      </c>
      <c r="B6" t="str">
        <v>Springer T</v>
      </c>
      <c r="I6" t="s">
        <v>232</v>
      </c>
      <c r="J6" t="s">
        <v>205</v>
      </c>
      <c r="M6" s="173" t="s">
        <v>736</v>
      </c>
      <c r="N6" s="173" t="s">
        <v>310</v>
      </c>
    </row>
    <row r="7" spans="1:16" x14ac:dyDescent="0.15">
      <c r="A7" s="184" t="str">
        <v>W</v>
      </c>
      <c r="B7" t="str">
        <v>Brocks D</v>
      </c>
      <c r="I7" t="s">
        <v>232</v>
      </c>
      <c r="J7" t="s">
        <v>206</v>
      </c>
      <c r="M7" s="173" t="s">
        <v>260</v>
      </c>
      <c r="N7" t="s">
        <v>205</v>
      </c>
      <c r="O7" t="s">
        <v>206</v>
      </c>
      <c r="P7" t="s">
        <v>261</v>
      </c>
    </row>
    <row r="8" spans="1:16" x14ac:dyDescent="0.15">
      <c r="A8" s="184" t="str">
        <v>W</v>
      </c>
      <c r="B8" t="str">
        <v>Springer T</v>
      </c>
      <c r="I8" t="s">
        <v>232</v>
      </c>
      <c r="J8" t="s">
        <v>206</v>
      </c>
      <c r="M8" s="174" t="s">
        <v>234</v>
      </c>
      <c r="N8" s="175"/>
      <c r="O8" s="175">
        <v>1</v>
      </c>
      <c r="P8" s="175">
        <v>1</v>
      </c>
    </row>
    <row r="9" spans="1:16" x14ac:dyDescent="0.15">
      <c r="A9" s="184" t="str">
        <v>W</v>
      </c>
      <c r="B9" t="str">
        <v>Sharpe D</v>
      </c>
      <c r="D9" s="173" t="s">
        <v>311</v>
      </c>
      <c r="E9" s="173" t="s">
        <v>310</v>
      </c>
      <c r="I9" t="s">
        <v>234</v>
      </c>
      <c r="J9" t="s">
        <v>206</v>
      </c>
      <c r="M9" s="174" t="s">
        <v>200</v>
      </c>
      <c r="N9" s="175">
        <v>1</v>
      </c>
      <c r="O9" s="175"/>
      <c r="P9" s="175">
        <v>1</v>
      </c>
    </row>
    <row r="10" spans="1:16" x14ac:dyDescent="0.15">
      <c r="A10" s="184" t="str">
        <v>L</v>
      </c>
      <c r="B10" t="str">
        <v>Seymour C</v>
      </c>
      <c r="D10" s="173" t="s">
        <v>260</v>
      </c>
      <c r="E10" t="s">
        <v>205</v>
      </c>
      <c r="F10" t="s">
        <v>206</v>
      </c>
      <c r="G10" t="s">
        <v>261</v>
      </c>
      <c r="I10" t="s">
        <v>232</v>
      </c>
      <c r="J10" t="s">
        <v>206</v>
      </c>
      <c r="M10" s="174" t="s">
        <v>138</v>
      </c>
      <c r="N10" s="175"/>
      <c r="O10" s="175">
        <v>1</v>
      </c>
      <c r="P10" s="175">
        <v>1</v>
      </c>
    </row>
    <row r="11" spans="1:16" x14ac:dyDescent="0.15">
      <c r="A11" s="184" t="str">
        <v>L</v>
      </c>
      <c r="B11" t="str">
        <v>Springer T</v>
      </c>
      <c r="D11" s="174" t="s">
        <v>138</v>
      </c>
      <c r="E11" s="175"/>
      <c r="F11" s="175">
        <v>1</v>
      </c>
      <c r="G11" s="175">
        <v>1</v>
      </c>
      <c r="I11" t="s">
        <v>138</v>
      </c>
      <c r="J11" t="s">
        <v>206</v>
      </c>
      <c r="M11" s="174" t="s">
        <v>232</v>
      </c>
      <c r="N11" s="175">
        <v>10</v>
      </c>
      <c r="O11" s="175">
        <v>8</v>
      </c>
      <c r="P11" s="175">
        <v>18</v>
      </c>
    </row>
    <row r="12" spans="1:16" x14ac:dyDescent="0.15">
      <c r="A12" s="184" t="str">
        <v>L</v>
      </c>
      <c r="B12" t="str">
        <v>Springer T</v>
      </c>
      <c r="D12" s="174" t="s">
        <v>232</v>
      </c>
      <c r="E12" s="175">
        <v>8</v>
      </c>
      <c r="F12" s="175">
        <v>6</v>
      </c>
      <c r="G12" s="175">
        <v>14</v>
      </c>
      <c r="I12" t="s">
        <v>200</v>
      </c>
      <c r="J12" t="s">
        <v>205</v>
      </c>
      <c r="M12" s="174" t="s">
        <v>261</v>
      </c>
      <c r="N12" s="175">
        <v>11</v>
      </c>
      <c r="O12" s="175">
        <v>10</v>
      </c>
      <c r="P12" s="175">
        <v>21</v>
      </c>
    </row>
    <row r="13" spans="1:16" x14ac:dyDescent="0.15">
      <c r="A13" s="184" t="str">
        <v>L</v>
      </c>
      <c r="B13" t="str">
        <v>Springer T</v>
      </c>
      <c r="D13" s="174" t="s">
        <v>234</v>
      </c>
      <c r="E13" s="175"/>
      <c r="F13" s="175">
        <v>1</v>
      </c>
      <c r="G13" s="175">
        <v>1</v>
      </c>
      <c r="I13" t="s">
        <v>232</v>
      </c>
      <c r="J13" t="s">
        <v>205</v>
      </c>
    </row>
    <row r="14" spans="1:16" x14ac:dyDescent="0.15">
      <c r="A14" s="184" t="str">
        <v>W</v>
      </c>
      <c r="B14" t="str">
        <v>Springer T</v>
      </c>
      <c r="D14" s="174" t="s">
        <v>200</v>
      </c>
      <c r="E14" s="175">
        <v>1</v>
      </c>
      <c r="F14" s="175"/>
      <c r="G14" s="175">
        <v>1</v>
      </c>
      <c r="I14" t="s">
        <v>232</v>
      </c>
      <c r="J14" t="s">
        <v>205</v>
      </c>
    </row>
    <row r="15" spans="1:16" x14ac:dyDescent="0.15">
      <c r="A15" s="184" t="str">
        <v>W</v>
      </c>
      <c r="B15" t="str">
        <v>Springer T</v>
      </c>
      <c r="D15" s="174" t="s">
        <v>261</v>
      </c>
      <c r="E15" s="175">
        <v>9</v>
      </c>
      <c r="F15" s="175">
        <v>8</v>
      </c>
      <c r="G15" s="175">
        <v>17</v>
      </c>
      <c r="I15" t="s">
        <v>232</v>
      </c>
      <c r="J15" t="s">
        <v>205</v>
      </c>
    </row>
    <row r="16" spans="1:16" x14ac:dyDescent="0.15">
      <c r="A16" s="184" t="str">
        <v>L</v>
      </c>
      <c r="B16" t="str">
        <v>Springer T</v>
      </c>
      <c r="I16" t="s">
        <v>232</v>
      </c>
      <c r="J16" t="s">
        <v>206</v>
      </c>
    </row>
    <row r="17" spans="1:10" x14ac:dyDescent="0.15">
      <c r="A17" s="184" t="str">
        <v>L</v>
      </c>
      <c r="B17" t="str">
        <v>Springer T</v>
      </c>
      <c r="I17" t="s">
        <v>232</v>
      </c>
      <c r="J17" t="s">
        <v>206</v>
      </c>
    </row>
    <row r="18" spans="1:10" x14ac:dyDescent="0.15">
      <c r="A18" s="184" t="str">
        <v>L</v>
      </c>
      <c r="B18" t="str">
        <v>Springer T</v>
      </c>
      <c r="I18" t="s">
        <v>232</v>
      </c>
      <c r="J18" t="s">
        <v>205</v>
      </c>
    </row>
    <row r="19" spans="1:10" x14ac:dyDescent="0.15">
      <c r="A19" s="184" t="str">
        <v>L</v>
      </c>
      <c r="B19" t="str">
        <v>Springer T</v>
      </c>
      <c r="I19" t="s">
        <v>232</v>
      </c>
      <c r="J19" t="s">
        <v>205</v>
      </c>
    </row>
    <row r="20" spans="1:10" x14ac:dyDescent="0.15">
      <c r="A20" s="184" t="str">
        <v>W</v>
      </c>
      <c r="B20" t="str">
        <v>Springer T</v>
      </c>
      <c r="I20" t="s">
        <v>232</v>
      </c>
      <c r="J20" t="s">
        <v>205</v>
      </c>
    </row>
    <row r="21" spans="1:10" x14ac:dyDescent="0.15">
      <c r="A21" s="184" t="str">
        <v>L</v>
      </c>
      <c r="B21" t="str">
        <v>Springer T</v>
      </c>
      <c r="I21" t="s">
        <v>232</v>
      </c>
      <c r="J21" t="s">
        <v>205</v>
      </c>
    </row>
    <row r="22" spans="1:10" x14ac:dyDescent="0.15">
      <c r="A22" s="184" t="str">
        <v>W</v>
      </c>
      <c r="B22" t="str">
        <v>Springer T</v>
      </c>
      <c r="I22" t="s">
        <v>232</v>
      </c>
      <c r="J22" t="s">
        <v>206</v>
      </c>
    </row>
    <row r="23" spans="1:10" x14ac:dyDescent="0.15">
      <c r="A23" s="184">
        <v>0</v>
      </c>
      <c r="B23" t="e">
        <v>#N/A</v>
      </c>
      <c r="I23" t="s">
        <v>232</v>
      </c>
      <c r="J23" t="s">
        <v>205</v>
      </c>
    </row>
    <row r="24" spans="1:10" x14ac:dyDescent="0.15">
      <c r="A24" s="184">
        <v>0</v>
      </c>
      <c r="B24" t="e">
        <v>#N/A</v>
      </c>
      <c r="I24" t="s">
        <v>232</v>
      </c>
      <c r="J24" t="s">
        <v>206</v>
      </c>
    </row>
    <row r="25" spans="1:10" x14ac:dyDescent="0.15">
      <c r="A25" s="184">
        <v>0</v>
      </c>
      <c r="B25" t="e">
        <v>#N/A</v>
      </c>
    </row>
    <row r="26" spans="1:10" x14ac:dyDescent="0.15">
      <c r="A26" s="184">
        <v>0</v>
      </c>
      <c r="B26" t="e">
        <v>#N/A</v>
      </c>
    </row>
    <row r="27" spans="1:10" x14ac:dyDescent="0.15">
      <c r="A27" s="184">
        <v>0</v>
      </c>
      <c r="B27" t="e">
        <v>#N/A</v>
      </c>
    </row>
    <row r="28" spans="1:10" x14ac:dyDescent="0.15">
      <c r="A28" s="184">
        <v>0</v>
      </c>
      <c r="B28" t="e">
        <v>#N/A</v>
      </c>
    </row>
    <row r="29" spans="1:10" x14ac:dyDescent="0.15">
      <c r="A29" s="184">
        <v>0</v>
      </c>
      <c r="B29" t="e">
        <v>#N/A</v>
      </c>
    </row>
    <row r="30" spans="1:10" x14ac:dyDescent="0.15">
      <c r="A30" s="184">
        <v>0</v>
      </c>
      <c r="B30">
        <v>0</v>
      </c>
    </row>
    <row r="31" spans="1:10" x14ac:dyDescent="0.15">
      <c r="A31" s="184">
        <v>0</v>
      </c>
      <c r="B31">
        <v>0</v>
      </c>
    </row>
    <row r="32" spans="1:10" x14ac:dyDescent="0.15">
      <c r="A32" s="184">
        <v>0</v>
      </c>
      <c r="B32">
        <v>0</v>
      </c>
    </row>
    <row r="33" spans="1:2" x14ac:dyDescent="0.15">
      <c r="A33" s="184">
        <v>0</v>
      </c>
      <c r="B33">
        <v>0</v>
      </c>
    </row>
    <row r="34" spans="1:2" x14ac:dyDescent="0.15">
      <c r="A34" s="184">
        <v>0</v>
      </c>
      <c r="B34">
        <v>0</v>
      </c>
    </row>
    <row r="35" spans="1:2" x14ac:dyDescent="0.15">
      <c r="A35" s="184">
        <v>0</v>
      </c>
      <c r="B35">
        <v>0</v>
      </c>
    </row>
    <row r="36" spans="1:2" x14ac:dyDescent="0.15">
      <c r="A36" s="184">
        <v>0</v>
      </c>
      <c r="B36">
        <v>0</v>
      </c>
    </row>
    <row r="37" spans="1:2" x14ac:dyDescent="0.15">
      <c r="A37" s="184">
        <v>0</v>
      </c>
      <c r="B37">
        <v>0</v>
      </c>
    </row>
    <row r="38" spans="1:2" x14ac:dyDescent="0.15">
      <c r="A38" s="184">
        <v>0</v>
      </c>
      <c r="B38">
        <v>0</v>
      </c>
    </row>
    <row r="39" spans="1:2" x14ac:dyDescent="0.15">
      <c r="A39" s="184">
        <v>0</v>
      </c>
      <c r="B39">
        <v>0</v>
      </c>
    </row>
    <row r="40" spans="1:2" x14ac:dyDescent="0.15">
      <c r="A40" s="184">
        <v>0</v>
      </c>
      <c r="B40">
        <v>0</v>
      </c>
    </row>
    <row r="41" spans="1:2" x14ac:dyDescent="0.15">
      <c r="A41" s="184">
        <v>0</v>
      </c>
      <c r="B41">
        <v>0</v>
      </c>
    </row>
    <row r="42" spans="1:2" x14ac:dyDescent="0.15">
      <c r="A42" s="184">
        <v>0</v>
      </c>
      <c r="B42">
        <v>0</v>
      </c>
    </row>
    <row r="43" spans="1:2" x14ac:dyDescent="0.15">
      <c r="A43" s="184">
        <v>0</v>
      </c>
      <c r="B43">
        <v>0</v>
      </c>
    </row>
    <row r="44" spans="1:2" x14ac:dyDescent="0.15">
      <c r="A44" s="184">
        <v>0</v>
      </c>
      <c r="B44">
        <v>0</v>
      </c>
    </row>
    <row r="45" spans="1:2" x14ac:dyDescent="0.15">
      <c r="A45" s="184">
        <v>0</v>
      </c>
      <c r="B45">
        <v>0</v>
      </c>
    </row>
    <row r="46" spans="1:2" x14ac:dyDescent="0.15">
      <c r="A46" s="184">
        <v>0</v>
      </c>
      <c r="B46">
        <v>0</v>
      </c>
    </row>
    <row r="47" spans="1:2" x14ac:dyDescent="0.15">
      <c r="A47" s="184">
        <v>0</v>
      </c>
      <c r="B47">
        <v>0</v>
      </c>
    </row>
    <row r="48" spans="1:2" x14ac:dyDescent="0.15">
      <c r="A48" s="184">
        <v>0</v>
      </c>
      <c r="B48">
        <v>0</v>
      </c>
    </row>
    <row r="49" spans="1:2" x14ac:dyDescent="0.15">
      <c r="A49" s="184">
        <v>0</v>
      </c>
      <c r="B49">
        <v>0</v>
      </c>
    </row>
    <row r="50" spans="1:2" x14ac:dyDescent="0.15">
      <c r="A50" s="184">
        <v>0</v>
      </c>
      <c r="B50">
        <v>0</v>
      </c>
    </row>
    <row r="51" spans="1:2" x14ac:dyDescent="0.15">
      <c r="A51" s="184">
        <v>0</v>
      </c>
      <c r="B51">
        <v>0</v>
      </c>
    </row>
    <row r="52" spans="1:2" x14ac:dyDescent="0.15">
      <c r="A52" s="184" t="e">
        <v>#N/A</v>
      </c>
      <c r="B52">
        <v>0</v>
      </c>
    </row>
  </sheetData>
  <sortState ref="S11:T50">
    <sortCondition descending="1" ref="T11:T50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12</vt:i4>
      </vt:variant>
    </vt:vector>
  </HeadingPairs>
  <TitlesOfParts>
    <vt:vector size="24" baseType="lpstr">
      <vt:lpstr>Matches</vt:lpstr>
      <vt:lpstr>Batting</vt:lpstr>
      <vt:lpstr>Bowling</vt:lpstr>
      <vt:lpstr>Partnerships</vt:lpstr>
      <vt:lpstr>BatAves</vt:lpstr>
      <vt:lpstr>Sheet1</vt:lpstr>
      <vt:lpstr>BowlAves</vt:lpstr>
      <vt:lpstr>Fantasy Teams</vt:lpstr>
      <vt:lpstr>FantasyPts</vt:lpstr>
      <vt:lpstr>Player Stats</vt:lpstr>
      <vt:lpstr>League Table</vt:lpstr>
      <vt:lpstr>Capts</vt:lpstr>
      <vt:lpstr>Extract</vt:lpstr>
      <vt:lpstr>FantasyPlayerCount</vt:lpstr>
      <vt:lpstr>MinValue</vt:lpstr>
      <vt:lpstr>NumFantTeams</vt:lpstr>
      <vt:lpstr>BatAves!Print_Area</vt:lpstr>
      <vt:lpstr>BowlAves!Print_Area</vt:lpstr>
      <vt:lpstr>Bowling!Print_Area</vt:lpstr>
      <vt:lpstr>'League Table'!Print_Area</vt:lpstr>
      <vt:lpstr>Matches!Print_Area</vt:lpstr>
      <vt:lpstr>'Player Stats'!Print_Area</vt:lpstr>
      <vt:lpstr>Sheet1!Print_Area</vt:lpstr>
      <vt:lpstr>Matches!Print_Titles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Mike</dc:creator>
  <cp:lastModifiedBy>Mike Woodhouse</cp:lastModifiedBy>
  <cp:lastPrinted>2019-10-31T16:18:17Z</cp:lastPrinted>
  <dcterms:created xsi:type="dcterms:W3CDTF">1995-07-17T18:41:11Z</dcterms:created>
  <dcterms:modified xsi:type="dcterms:W3CDTF">2025-02-14T11:08:11Z</dcterms:modified>
</cp:coreProperties>
</file>
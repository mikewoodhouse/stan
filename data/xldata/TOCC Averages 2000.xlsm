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1425" windowWidth="19005" windowHeight="12645" tabRatio="475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BatAves!$A$1:$I$46</definedName>
    <definedName name="_xlnm.Print_Area" localSheetId="4">BowlAves!$A$1:$K$31</definedName>
    <definedName name="_xlnm.Print_Area" localSheetId="8">'League Table'!$A$1:$D$36</definedName>
    <definedName name="_xlnm.Print_Area" localSheetId="0">Matches!$A$4:$N$57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A25" i="1" l="1"/>
  <c r="Y25" i="1"/>
  <c r="Z25" i="1"/>
  <c r="C1" i="2" l="1" a="1"/>
  <c r="AT1" i="2" s="1"/>
  <c r="CO5" i="2" a="1"/>
  <c r="CO5" i="2" s="1"/>
  <c r="CP5" i="2" a="1"/>
  <c r="CP5" i="2" s="1"/>
  <c r="CR5" i="2" a="1"/>
  <c r="CR5" i="2" s="1"/>
  <c r="CS5" i="2" a="1"/>
  <c r="CS5" i="2" s="1"/>
  <c r="CT5" i="2" a="1"/>
  <c r="CT5" i="2" s="1"/>
  <c r="CU5" i="2" a="1"/>
  <c r="CU5" i="2" s="1"/>
  <c r="CV5" i="2" a="1"/>
  <c r="CV5" i="2" s="1"/>
  <c r="A6" i="2"/>
  <c r="CO6" i="2" a="1"/>
  <c r="CO6" i="2" s="1"/>
  <c r="CP6" i="2" a="1"/>
  <c r="CP6" i="2" s="1"/>
  <c r="CR6" i="2" a="1"/>
  <c r="CR6" i="2" s="1"/>
  <c r="CS6" i="2" a="1"/>
  <c r="CS6" i="2" s="1"/>
  <c r="CT6" i="2" a="1"/>
  <c r="CT6" i="2" s="1"/>
  <c r="CU6" i="2" a="1"/>
  <c r="CU6" i="2" s="1"/>
  <c r="CV6" i="2" a="1"/>
  <c r="CV6" i="2" s="1"/>
  <c r="CO7" i="2" a="1"/>
  <c r="CO7" i="2" s="1"/>
  <c r="CP7" i="2" a="1"/>
  <c r="CP7" i="2" s="1"/>
  <c r="CR7" i="2" a="1"/>
  <c r="CR7" i="2" s="1"/>
  <c r="CS7" i="2"/>
  <c r="CS7" i="2" a="1"/>
  <c r="CT7" i="2" a="1"/>
  <c r="CT7" i="2" s="1"/>
  <c r="CU7" i="2"/>
  <c r="CU7" i="2" a="1"/>
  <c r="CV7" i="2" a="1"/>
  <c r="CV7" i="2" s="1"/>
  <c r="CO8" i="2"/>
  <c r="CO8" i="2" a="1"/>
  <c r="CP8" i="2" a="1"/>
  <c r="CP8" i="2" s="1"/>
  <c r="CR8" i="2" a="1"/>
  <c r="CR8" i="2" s="1"/>
  <c r="CS8" i="2" a="1"/>
  <c r="CS8" i="2" s="1"/>
  <c r="CT8" i="2" a="1"/>
  <c r="CT8" i="2" s="1"/>
  <c r="CU8" i="2" a="1"/>
  <c r="CU8" i="2" s="1"/>
  <c r="CV8" i="2" a="1"/>
  <c r="CV8" i="2" s="1"/>
  <c r="A9" i="2"/>
  <c r="CO9" i="2" a="1"/>
  <c r="CO9" i="2" s="1"/>
  <c r="CP9" i="2"/>
  <c r="CP9" i="2" a="1"/>
  <c r="CR9" i="2" a="1"/>
  <c r="CR9" i="2" s="1"/>
  <c r="CS9" i="2" a="1"/>
  <c r="CS9" i="2" s="1"/>
  <c r="CT9" i="2" a="1"/>
  <c r="CT9" i="2" s="1"/>
  <c r="CU9" i="2" a="1"/>
  <c r="CU9" i="2" s="1"/>
  <c r="CV9" i="2" a="1"/>
  <c r="CV9" i="2" s="1"/>
  <c r="CO10" i="2" a="1"/>
  <c r="CO10" i="2" s="1"/>
  <c r="CP10" i="2" a="1"/>
  <c r="CP10" i="2" s="1"/>
  <c r="CR10" i="2"/>
  <c r="CR10" i="2" a="1"/>
  <c r="CS10" i="2" a="1"/>
  <c r="CS10" i="2" s="1"/>
  <c r="CT10" i="2" a="1"/>
  <c r="CT10" i="2" s="1"/>
  <c r="CU10" i="2" a="1"/>
  <c r="CU10" i="2" s="1"/>
  <c r="CV10" i="2" a="1"/>
  <c r="CV10" i="2" s="1"/>
  <c r="A11" i="2"/>
  <c r="CO11" i="2" a="1"/>
  <c r="CO11" i="2" s="1"/>
  <c r="CP11" i="2" a="1"/>
  <c r="CP11" i="2" s="1"/>
  <c r="CR11" i="2" a="1"/>
  <c r="CR11" i="2" s="1"/>
  <c r="CS11" i="2"/>
  <c r="CS11" i="2" a="1"/>
  <c r="CT11" i="2" a="1"/>
  <c r="CT11" i="2" s="1"/>
  <c r="CU11" i="2"/>
  <c r="CU11" i="2" a="1"/>
  <c r="CV11" i="2" a="1"/>
  <c r="CV11" i="2" s="1"/>
  <c r="CO12" i="2"/>
  <c r="CO12" i="2" a="1"/>
  <c r="CP12" i="2" a="1"/>
  <c r="CP12" i="2" s="1"/>
  <c r="CR12" i="2" a="1"/>
  <c r="CR12" i="2" s="1"/>
  <c r="CS12" i="2" a="1"/>
  <c r="CS12" i="2" s="1"/>
  <c r="CT12" i="2" a="1"/>
  <c r="CT12" i="2" s="1"/>
  <c r="CU12" i="2" a="1"/>
  <c r="CU12" i="2" s="1"/>
  <c r="CV12" i="2" a="1"/>
  <c r="CV12" i="2" s="1"/>
  <c r="CO13" i="2" a="1"/>
  <c r="CO13" i="2" s="1"/>
  <c r="CP13" i="2" a="1"/>
  <c r="CP13" i="2" s="1"/>
  <c r="CR13" i="2" a="1"/>
  <c r="CR13" i="2" s="1"/>
  <c r="CS13" i="2"/>
  <c r="CS13" i="2" a="1"/>
  <c r="CT13" i="2" a="1"/>
  <c r="CT13" i="2" s="1"/>
  <c r="CU13" i="2"/>
  <c r="CU13" i="2" a="1"/>
  <c r="CV13" i="2" a="1"/>
  <c r="CV13" i="2" s="1"/>
  <c r="A14" i="2"/>
  <c r="CO14" i="2" a="1"/>
  <c r="CO14" i="2" s="1"/>
  <c r="CP14" i="2" a="1"/>
  <c r="CP14" i="2" s="1"/>
  <c r="CR14" i="2"/>
  <c r="CR14" i="2" a="1"/>
  <c r="CS14" i="2" a="1"/>
  <c r="CS14" i="2" s="1"/>
  <c r="CT14" i="2"/>
  <c r="CT14" i="2" a="1"/>
  <c r="CU14" i="2" a="1"/>
  <c r="CU14" i="2" s="1"/>
  <c r="CV14" i="2"/>
  <c r="CV14" i="2" a="1"/>
  <c r="A15" i="2"/>
  <c r="CO15" i="2" a="1"/>
  <c r="CO15" i="2" s="1"/>
  <c r="CP15" i="2" a="1"/>
  <c r="CP15" i="2" s="1"/>
  <c r="CR15" i="2"/>
  <c r="CR15" i="2" a="1"/>
  <c r="CS15" i="2" a="1"/>
  <c r="CS15" i="2" s="1"/>
  <c r="CT15" i="2"/>
  <c r="CT15" i="2" a="1"/>
  <c r="CU15" i="2" a="1"/>
  <c r="CU15" i="2" s="1"/>
  <c r="CV15" i="2" a="1"/>
  <c r="CV15" i="2" s="1"/>
  <c r="CO16" i="2" a="1"/>
  <c r="CO16" i="2" s="1"/>
  <c r="CP16" i="2" a="1"/>
  <c r="CP16" i="2" s="1"/>
  <c r="CR16" i="2" a="1"/>
  <c r="CR16" i="2" s="1"/>
  <c r="CS16" i="2" a="1"/>
  <c r="CS16" i="2" s="1"/>
  <c r="CT16" i="2" a="1"/>
  <c r="CT16" i="2" s="1"/>
  <c r="CU16" i="2" a="1"/>
  <c r="CU16" i="2" s="1"/>
  <c r="CV16" i="2" a="1"/>
  <c r="CV16" i="2" s="1"/>
  <c r="A17" i="2"/>
  <c r="CO17" i="2" a="1"/>
  <c r="CO17" i="2" s="1"/>
  <c r="CP17" i="2" a="1"/>
  <c r="CP17" i="2" s="1"/>
  <c r="CR17" i="2" a="1"/>
  <c r="CR17" i="2" s="1"/>
  <c r="CS17" i="2" a="1"/>
  <c r="CS17" i="2" s="1"/>
  <c r="CT17" i="2" a="1"/>
  <c r="CT17" i="2" s="1"/>
  <c r="CU17" i="2" a="1"/>
  <c r="CU17" i="2" s="1"/>
  <c r="CV17" i="2" a="1"/>
  <c r="CV17" i="2" s="1"/>
  <c r="CO18" i="2" a="1"/>
  <c r="CO18" i="2" s="1"/>
  <c r="CP18" i="2" a="1"/>
  <c r="CP18" i="2" s="1"/>
  <c r="CR18" i="2"/>
  <c r="CR18" i="2" a="1"/>
  <c r="CS18" i="2" a="1"/>
  <c r="CS18" i="2" s="1"/>
  <c r="CT18" i="2"/>
  <c r="CT18" i="2" a="1"/>
  <c r="CU18" i="2" a="1"/>
  <c r="CU18" i="2" s="1"/>
  <c r="CV18" i="2"/>
  <c r="CV18" i="2" a="1"/>
  <c r="A19" i="2"/>
  <c r="CO19" i="2" a="1"/>
  <c r="CO19" i="2" s="1"/>
  <c r="CP19" i="2" a="1"/>
  <c r="CP19" i="2" s="1"/>
  <c r="CR19" i="2" a="1"/>
  <c r="CR19" i="2" s="1"/>
  <c r="CS19" i="2" a="1"/>
  <c r="CS19" i="2" s="1"/>
  <c r="CT19" i="2" a="1"/>
  <c r="CT19" i="2" s="1"/>
  <c r="CU19" i="2" a="1"/>
  <c r="CU19" i="2" s="1"/>
  <c r="CV19" i="2" a="1"/>
  <c r="CV19" i="2" s="1"/>
  <c r="CO20" i="2" a="1"/>
  <c r="CO20" i="2" s="1"/>
  <c r="CP20" i="2" a="1"/>
  <c r="CP20" i="2" s="1"/>
  <c r="CR20" i="2" a="1"/>
  <c r="CR20" i="2" s="1"/>
  <c r="CS20" i="2" a="1"/>
  <c r="CS20" i="2" s="1"/>
  <c r="CT20" i="2" a="1"/>
  <c r="CT20" i="2" s="1"/>
  <c r="CU20" i="2" a="1"/>
  <c r="CU20" i="2" s="1"/>
  <c r="CV20" i="2" a="1"/>
  <c r="CV20" i="2" s="1"/>
  <c r="CO21" i="2" a="1"/>
  <c r="CO21" i="2" s="1"/>
  <c r="CP21" i="2" a="1"/>
  <c r="CP21" i="2" s="1"/>
  <c r="CR21" i="2" a="1"/>
  <c r="CR21" i="2" s="1"/>
  <c r="CS21" i="2"/>
  <c r="CS21" i="2" a="1"/>
  <c r="CT21" i="2" a="1"/>
  <c r="CT21" i="2" s="1"/>
  <c r="CU21" i="2"/>
  <c r="CU21" i="2" a="1"/>
  <c r="CV21" i="2" a="1"/>
  <c r="CV21" i="2" s="1"/>
  <c r="A22" i="2"/>
  <c r="CO22" i="2" a="1"/>
  <c r="CO22" i="2" s="1"/>
  <c r="CP22" i="2" a="1"/>
  <c r="CP22" i="2" s="1"/>
  <c r="CR22" i="2" a="1"/>
  <c r="CR22" i="2" s="1"/>
  <c r="CS22" i="2" a="1"/>
  <c r="CS22" i="2" s="1"/>
  <c r="CT22" i="2" a="1"/>
  <c r="CT22" i="2" s="1"/>
  <c r="CU22" i="2" a="1"/>
  <c r="CU22" i="2" s="1"/>
  <c r="CV22" i="2" a="1"/>
  <c r="CV22" i="2" s="1"/>
  <c r="A23" i="2"/>
  <c r="CO23" i="2" a="1"/>
  <c r="CO23" i="2" s="1"/>
  <c r="CP23" i="2" a="1"/>
  <c r="CP23" i="2" s="1"/>
  <c r="CR23" i="2"/>
  <c r="CR23" i="2" a="1"/>
  <c r="CS23" i="2" a="1"/>
  <c r="CS23" i="2" s="1"/>
  <c r="CT23" i="2" a="1"/>
  <c r="CT23" i="2" s="1"/>
  <c r="CU23" i="2" a="1"/>
  <c r="CU23" i="2" s="1"/>
  <c r="CV23" i="2" a="1"/>
  <c r="CV23" i="2" s="1"/>
  <c r="CO24" i="2"/>
  <c r="CO24" i="2" a="1"/>
  <c r="CP24" i="2" a="1"/>
  <c r="CP24" i="2" s="1"/>
  <c r="CR24" i="2" a="1"/>
  <c r="CR24" i="2" s="1"/>
  <c r="CS24" i="2" a="1"/>
  <c r="CS24" i="2" s="1"/>
  <c r="CT24" i="2" a="1"/>
  <c r="CT24" i="2" s="1"/>
  <c r="CU24" i="2" a="1"/>
  <c r="CU24" i="2" s="1"/>
  <c r="CV24" i="2" a="1"/>
  <c r="CV24" i="2" s="1"/>
  <c r="A25" i="2"/>
  <c r="CO25" i="2" a="1"/>
  <c r="CO25" i="2" s="1"/>
  <c r="CP25" i="2" a="1"/>
  <c r="CP25" i="2" s="1"/>
  <c r="CR25" i="2" a="1"/>
  <c r="CR25" i="2" s="1"/>
  <c r="CS25" i="2" a="1"/>
  <c r="CS25" i="2" s="1"/>
  <c r="CT25" i="2" a="1"/>
  <c r="CT25" i="2" s="1"/>
  <c r="CU25" i="2" a="1"/>
  <c r="CU25" i="2" s="1"/>
  <c r="CV25" i="2" a="1"/>
  <c r="CV25" i="2" s="1"/>
  <c r="CO26" i="2" a="1"/>
  <c r="CO26" i="2" s="1"/>
  <c r="CP26" i="2" a="1"/>
  <c r="CP26" i="2" s="1"/>
  <c r="CR26" i="2" a="1"/>
  <c r="CR26" i="2" s="1"/>
  <c r="CS26" i="2" a="1"/>
  <c r="CS26" i="2" s="1"/>
  <c r="CT26" i="2" a="1"/>
  <c r="CT26" i="2" s="1"/>
  <c r="CU26" i="2" a="1"/>
  <c r="CU26" i="2" s="1"/>
  <c r="CV26" i="2" a="1"/>
  <c r="CV26" i="2" s="1"/>
  <c r="CO27" i="2" a="1"/>
  <c r="CO27" i="2" s="1"/>
  <c r="CP27" i="2" a="1"/>
  <c r="CP27" i="2" s="1"/>
  <c r="CR27" i="2" a="1"/>
  <c r="CR27" i="2" s="1"/>
  <c r="CS27" i="2" a="1"/>
  <c r="CS27" i="2" s="1"/>
  <c r="CT27" i="2" a="1"/>
  <c r="CT27" i="2" s="1"/>
  <c r="CU27" i="2" a="1"/>
  <c r="CU27" i="2" s="1"/>
  <c r="CV27" i="2" a="1"/>
  <c r="CV27" i="2" s="1"/>
  <c r="CO28" i="2" a="1"/>
  <c r="CO28" i="2" s="1"/>
  <c r="CP28" i="2" a="1"/>
  <c r="CP28" i="2" s="1"/>
  <c r="CR28" i="2" a="1"/>
  <c r="CR28" i="2" s="1"/>
  <c r="CS28" i="2"/>
  <c r="CS28" i="2" a="1"/>
  <c r="CT28" i="2" a="1"/>
  <c r="CT28" i="2" s="1"/>
  <c r="CU28" i="2"/>
  <c r="CU28" i="2" a="1"/>
  <c r="CV28" i="2" a="1"/>
  <c r="CV28" i="2" s="1"/>
  <c r="A29" i="2"/>
  <c r="CO29" i="2" a="1"/>
  <c r="CO29" i="2" s="1"/>
  <c r="CP29" i="2" a="1"/>
  <c r="CP29" i="2" s="1"/>
  <c r="CR29" i="2"/>
  <c r="CR29" i="2" a="1"/>
  <c r="CS29" i="2" a="1"/>
  <c r="CS29" i="2" s="1"/>
  <c r="CT29" i="2" a="1"/>
  <c r="CT29" i="2" s="1"/>
  <c r="CU29" i="2" a="1"/>
  <c r="CU29" i="2" s="1"/>
  <c r="CV29" i="2" a="1"/>
  <c r="CV29" i="2" s="1"/>
  <c r="CO30" i="2" a="1"/>
  <c r="CO30" i="2" s="1"/>
  <c r="CP30" i="2" a="1"/>
  <c r="CP30" i="2" s="1"/>
  <c r="CR30" i="2" a="1"/>
  <c r="CR30" i="2" s="1"/>
  <c r="CS30" i="2" a="1"/>
  <c r="CS30" i="2" s="1"/>
  <c r="CT30" i="2" a="1"/>
  <c r="CT30" i="2" s="1"/>
  <c r="CU30" i="2" a="1"/>
  <c r="CU30" i="2" s="1"/>
  <c r="CV30" i="2" a="1"/>
  <c r="CV30" i="2" s="1"/>
  <c r="A31" i="2"/>
  <c r="CO31" i="2" a="1"/>
  <c r="CO31" i="2" s="1"/>
  <c r="CP31" i="2" a="1"/>
  <c r="CP31" i="2" s="1"/>
  <c r="CR31" i="2" a="1"/>
  <c r="CR31" i="2" s="1"/>
  <c r="CS31" i="2" a="1"/>
  <c r="CS31" i="2" s="1"/>
  <c r="CT31" i="2" a="1"/>
  <c r="CT31" i="2" s="1"/>
  <c r="CU31" i="2" a="1"/>
  <c r="CU31" i="2" s="1"/>
  <c r="CV31" i="2" a="1"/>
  <c r="CV31" i="2" s="1"/>
  <c r="CO32" i="2" a="1"/>
  <c r="CO32" i="2" s="1"/>
  <c r="CP32" i="2"/>
  <c r="CP32" i="2" a="1"/>
  <c r="CR32" i="2" a="1"/>
  <c r="CR32" i="2" s="1"/>
  <c r="CS32" i="2" a="1"/>
  <c r="CS32" i="2" s="1"/>
  <c r="CT32" i="2" a="1"/>
  <c r="CT32" i="2" s="1"/>
  <c r="CU32" i="2" a="1"/>
  <c r="CU32" i="2" s="1"/>
  <c r="CV32" i="2" a="1"/>
  <c r="CV32" i="2" s="1"/>
  <c r="A33" i="2"/>
  <c r="CO33" i="2" a="1"/>
  <c r="CO33" i="2" s="1"/>
  <c r="CP33" i="2" a="1"/>
  <c r="CP33" i="2" s="1"/>
  <c r="CR33" i="2" a="1"/>
  <c r="CR33" i="2" s="1"/>
  <c r="CS33" i="2" a="1"/>
  <c r="CS33" i="2" s="1"/>
  <c r="CT33" i="2" a="1"/>
  <c r="CT33" i="2" s="1"/>
  <c r="CU33" i="2" a="1"/>
  <c r="CU33" i="2" s="1"/>
  <c r="CV33" i="2" a="1"/>
  <c r="CV33" i="2" s="1"/>
  <c r="A34" i="2"/>
  <c r="CO34" i="2" a="1"/>
  <c r="CO34" i="2" s="1"/>
  <c r="CP34" i="2" a="1"/>
  <c r="CP34" i="2" s="1"/>
  <c r="CR34" i="2" a="1"/>
  <c r="CR34" i="2" s="1"/>
  <c r="CS34" i="2" a="1"/>
  <c r="CS34" i="2" s="1"/>
  <c r="CT34" i="2" a="1"/>
  <c r="CT34" i="2" s="1"/>
  <c r="CU34" i="2"/>
  <c r="CU34" i="2" a="1"/>
  <c r="CV34" i="2" a="1"/>
  <c r="CV34" i="2" s="1"/>
  <c r="A35" i="2"/>
  <c r="CO35" i="2" a="1"/>
  <c r="CO35" i="2" s="1"/>
  <c r="CP35" i="2" a="1"/>
  <c r="CP35" i="2" s="1"/>
  <c r="CR35" i="2" a="1"/>
  <c r="CR35" i="2" s="1"/>
  <c r="CS35" i="2"/>
  <c r="CS35" i="2" a="1"/>
  <c r="CT35" i="2" a="1"/>
  <c r="CT35" i="2" s="1"/>
  <c r="CU35" i="2" a="1"/>
  <c r="CU35" i="2" s="1"/>
  <c r="CV35" i="2" a="1"/>
  <c r="CV35" i="2" s="1"/>
  <c r="CO36" i="2" a="1"/>
  <c r="CO36" i="2" s="1"/>
  <c r="CP36" i="2" a="1"/>
  <c r="CP36" i="2" s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A37" i="2"/>
  <c r="CO37" i="2" a="1"/>
  <c r="CO37" i="2" s="1"/>
  <c r="CP37" i="2" a="1"/>
  <c r="CP37" i="2" s="1"/>
  <c r="CR37" i="2" a="1"/>
  <c r="CR37" i="2" s="1"/>
  <c r="CS37" i="2" a="1"/>
  <c r="CS37" i="2" s="1"/>
  <c r="CT37" i="2" a="1"/>
  <c r="CT37" i="2" s="1"/>
  <c r="CU37" i="2"/>
  <c r="CU37" i="2" a="1"/>
  <c r="CV37" i="2" a="1"/>
  <c r="CV37" i="2" s="1"/>
  <c r="A38" i="2"/>
  <c r="CO38" i="2"/>
  <c r="CO38" i="2" a="1"/>
  <c r="CP38" i="2" a="1"/>
  <c r="CP38" i="2" s="1"/>
  <c r="CR38" i="2" a="1"/>
  <c r="CR38" i="2" s="1"/>
  <c r="CS38" i="2"/>
  <c r="CS38" i="2" a="1"/>
  <c r="CT38" i="2" a="1"/>
  <c r="CT38" i="2" s="1"/>
  <c r="CU38" i="2" a="1"/>
  <c r="CU38" i="2" s="1"/>
  <c r="CV38" i="2" a="1"/>
  <c r="CV38" i="2" s="1"/>
  <c r="A39" i="2"/>
  <c r="CO39" i="2" a="1"/>
  <c r="CO39" i="2" s="1"/>
  <c r="CP39" i="2" a="1"/>
  <c r="CP39" i="2" s="1"/>
  <c r="CR39" i="2" a="1"/>
  <c r="CR39" i="2" s="1"/>
  <c r="CS39" i="2" a="1"/>
  <c r="CS39" i="2" s="1"/>
  <c r="CT39" i="2" a="1"/>
  <c r="CT39" i="2" s="1"/>
  <c r="CU39" i="2" a="1"/>
  <c r="CU39" i="2" s="1"/>
  <c r="CV39" i="2" a="1"/>
  <c r="CV39" i="2" s="1"/>
  <c r="CO40" i="2" a="1"/>
  <c r="CO40" i="2" s="1"/>
  <c r="CP40" i="2" a="1"/>
  <c r="CP40" i="2" s="1"/>
  <c r="CR40" i="2"/>
  <c r="CR40" i="2" a="1"/>
  <c r="CS40" i="2" a="1"/>
  <c r="CS40" i="2" s="1"/>
  <c r="CT40" i="2"/>
  <c r="CT40" i="2" a="1"/>
  <c r="CU40" i="2" a="1"/>
  <c r="CU40" i="2" s="1"/>
  <c r="CV40" i="2" a="1"/>
  <c r="CV40" i="2" s="1"/>
  <c r="A41" i="2"/>
  <c r="CO41" i="2" a="1"/>
  <c r="CO41" i="2" s="1"/>
  <c r="CP41" i="2" a="1"/>
  <c r="CP41" i="2" s="1"/>
  <c r="CR41" i="2"/>
  <c r="CR41" i="2" a="1"/>
  <c r="CS41" i="2" a="1"/>
  <c r="CS41" i="2" s="1"/>
  <c r="CT41" i="2" a="1"/>
  <c r="CT41" i="2" s="1"/>
  <c r="CU41" i="2" a="1"/>
  <c r="CU41" i="2" s="1"/>
  <c r="CV41" i="2" a="1"/>
  <c r="CV41" i="2" s="1"/>
  <c r="A42" i="2"/>
  <c r="CO42" i="2" a="1"/>
  <c r="CO42" i="2" s="1"/>
  <c r="CP42" i="2" a="1"/>
  <c r="CP42" i="2" s="1"/>
  <c r="CR42" i="2"/>
  <c r="CR42" i="2" a="1"/>
  <c r="CS42" i="2" a="1"/>
  <c r="CS42" i="2" s="1"/>
  <c r="CT42" i="2"/>
  <c r="CT42" i="2" a="1"/>
  <c r="CU42" i="2" a="1"/>
  <c r="CU42" i="2" s="1"/>
  <c r="CV42" i="2" a="1"/>
  <c r="CV42" i="2" s="1"/>
  <c r="CO43" i="2" a="1"/>
  <c r="CO43" i="2" s="1"/>
  <c r="CP43" i="2" a="1"/>
  <c r="CP43" i="2" s="1"/>
  <c r="CR43" i="2" a="1"/>
  <c r="CR43" i="2" s="1"/>
  <c r="CS43" i="2" a="1"/>
  <c r="CS43" i="2" s="1"/>
  <c r="CT43" i="2" a="1"/>
  <c r="CT43" i="2" s="1"/>
  <c r="CU43" i="2" a="1"/>
  <c r="CU43" i="2" s="1"/>
  <c r="CV43" i="2"/>
  <c r="CV43" i="2" a="1"/>
  <c r="A44" i="2"/>
  <c r="CO44" i="2" a="1"/>
  <c r="CO44" i="2" s="1"/>
  <c r="CP44" i="2"/>
  <c r="CP44" i="2" a="1"/>
  <c r="CR44" i="2" a="1"/>
  <c r="CR44" i="2" s="1"/>
  <c r="CS44" i="2" a="1"/>
  <c r="CS44" i="2" s="1"/>
  <c r="CT44" i="2" a="1"/>
  <c r="CT44" i="2" s="1"/>
  <c r="CU44" i="2" a="1"/>
  <c r="CU44" i="2" s="1"/>
  <c r="CV44" i="2"/>
  <c r="CV44" i="2" a="1"/>
  <c r="CO45" i="2" a="1"/>
  <c r="CO45" i="2" s="1"/>
  <c r="CP45" i="2"/>
  <c r="CP45" i="2" a="1"/>
  <c r="CR45" i="2" a="1"/>
  <c r="CR45" i="2" s="1"/>
  <c r="CS45" i="2" a="1"/>
  <c r="CS45" i="2" s="1"/>
  <c r="CT45" i="2" a="1"/>
  <c r="CT45" i="2" s="1"/>
  <c r="CU45" i="2" a="1"/>
  <c r="CU45" i="2" s="1"/>
  <c r="CV45" i="2" a="1"/>
  <c r="CV45" i="2" s="1"/>
  <c r="A46" i="2"/>
  <c r="CO46" i="2" a="1"/>
  <c r="CO46" i="2" s="1"/>
  <c r="CP46" i="2" a="1"/>
  <c r="CP46" i="2" s="1"/>
  <c r="CR46" i="2" a="1"/>
  <c r="CR46" i="2" s="1"/>
  <c r="CS46" i="2" a="1"/>
  <c r="CS46" i="2" s="1"/>
  <c r="CT46" i="2" a="1"/>
  <c r="CT46" i="2" s="1"/>
  <c r="CU46" i="2"/>
  <c r="CU46" i="2" a="1"/>
  <c r="CV46" i="2" a="1"/>
  <c r="CV46" i="2" s="1"/>
  <c r="CO47" i="2"/>
  <c r="CO47" i="2" a="1"/>
  <c r="CP47" i="2" a="1"/>
  <c r="CP47" i="2" s="1"/>
  <c r="CR47" i="2" a="1"/>
  <c r="CR47" i="2" s="1"/>
  <c r="CS47" i="2"/>
  <c r="CS47" i="2" a="1"/>
  <c r="CT47" i="2" a="1"/>
  <c r="CT47" i="2" s="1"/>
  <c r="CU47" i="2" a="1"/>
  <c r="CU47" i="2" s="1"/>
  <c r="CV47" i="2" a="1"/>
  <c r="CV47" i="2" s="1"/>
  <c r="A48" i="2"/>
  <c r="CO48" i="2" a="1"/>
  <c r="CO48" i="2" s="1"/>
  <c r="CP48" i="2" a="1"/>
  <c r="CP48" i="2" s="1"/>
  <c r="CR48" i="2" a="1"/>
  <c r="CR48" i="2" s="1"/>
  <c r="CS48" i="2" a="1"/>
  <c r="CS48" i="2" s="1"/>
  <c r="CT48" i="2" a="1"/>
  <c r="CT48" i="2" s="1"/>
  <c r="CU48" i="2" a="1"/>
  <c r="CU48" i="2" s="1"/>
  <c r="CV48" i="2" a="1"/>
  <c r="CV48" i="2" s="1"/>
  <c r="CO49" i="2"/>
  <c r="CO49" i="2" a="1"/>
  <c r="CP49" i="2" a="1"/>
  <c r="CP49" i="2" s="1"/>
  <c r="CR49" i="2"/>
  <c r="CR49" i="2" a="1"/>
  <c r="CS49" i="2" a="1"/>
  <c r="CS49" i="2" s="1"/>
  <c r="CT49" i="2" a="1"/>
  <c r="CT49" i="2" s="1"/>
  <c r="CU49" i="2" a="1"/>
  <c r="CU49" i="2" s="1"/>
  <c r="CV49" i="2"/>
  <c r="CV49" i="2" a="1"/>
  <c r="A50" i="2"/>
  <c r="CO50" i="2" a="1"/>
  <c r="CO50" i="2" s="1"/>
  <c r="CP50" i="2" a="1"/>
  <c r="CP50" i="2" s="1"/>
  <c r="CR50" i="2" a="1"/>
  <c r="CR50" i="2" s="1"/>
  <c r="CS50" i="2"/>
  <c r="CS50" i="2" a="1"/>
  <c r="CT50" i="2" a="1"/>
  <c r="CT50" i="2" s="1"/>
  <c r="CU50" i="2" a="1"/>
  <c r="CU50" i="2" s="1"/>
  <c r="CV50" i="2" a="1"/>
  <c r="CV50" i="2" s="1"/>
  <c r="CO51" i="2"/>
  <c r="CO51" i="2" a="1"/>
  <c r="CP51" i="2" a="1"/>
  <c r="CP51" i="2" s="1"/>
  <c r="CR51" i="2" a="1"/>
  <c r="CR51" i="2" s="1"/>
  <c r="CS51" i="2" a="1"/>
  <c r="CS51" i="2" s="1"/>
  <c r="CT51" i="2" a="1"/>
  <c r="CT51" i="2" s="1"/>
  <c r="CU51" i="2" a="1"/>
  <c r="CU51" i="2" s="1"/>
  <c r="CV51" i="2"/>
  <c r="CV51" i="2" a="1"/>
  <c r="CO52" i="2" a="1"/>
  <c r="CO52" i="2" s="1"/>
  <c r="CP52" i="2"/>
  <c r="CP52" i="2" a="1"/>
  <c r="CR52" i="2" a="1"/>
  <c r="CR52" i="2" s="1"/>
  <c r="CS52" i="2" a="1"/>
  <c r="CS52" i="2" s="1"/>
  <c r="CT52" i="2" a="1"/>
  <c r="CT52" i="2" s="1"/>
  <c r="CU52" i="2" a="1"/>
  <c r="CU52" i="2" s="1"/>
  <c r="CV52" i="2" a="1"/>
  <c r="CV52" i="2" s="1"/>
  <c r="A53" i="2"/>
  <c r="CO53" i="2" a="1"/>
  <c r="CO53" i="2" s="1"/>
  <c r="CP53" i="2"/>
  <c r="CP53" i="2" a="1"/>
  <c r="CR53" i="2" a="1"/>
  <c r="CR53" i="2" s="1"/>
  <c r="CS53" i="2" a="1"/>
  <c r="CS53" i="2" s="1"/>
  <c r="CT53" i="2"/>
  <c r="CT53" i="2" a="1"/>
  <c r="CU53" i="2" a="1"/>
  <c r="CU53" i="2" s="1"/>
  <c r="CV53" i="2"/>
  <c r="CV53" i="2" a="1"/>
  <c r="A54" i="2"/>
  <c r="CO54" i="2" a="1"/>
  <c r="CO54" i="2" s="1"/>
  <c r="CP54" i="2"/>
  <c r="CP54" i="2" a="1"/>
  <c r="CR54" i="2" a="1"/>
  <c r="CR54" i="2" s="1"/>
  <c r="CS54" i="2" a="1"/>
  <c r="CS54" i="2" s="1"/>
  <c r="CT54" i="2"/>
  <c r="CT54" i="2" a="1"/>
  <c r="CU54" i="2" a="1"/>
  <c r="CU54" i="2" s="1"/>
  <c r="CV54" i="2"/>
  <c r="CV54" i="2" a="1"/>
  <c r="CO55" i="2" a="1"/>
  <c r="CO55" i="2" s="1"/>
  <c r="CP55" i="2" a="1"/>
  <c r="CP55" i="2" s="1"/>
  <c r="CR55" i="2" a="1"/>
  <c r="CR55" i="2" s="1"/>
  <c r="CS55" i="2" a="1"/>
  <c r="CS55" i="2" s="1"/>
  <c r="CT55" i="2" a="1"/>
  <c r="CT55" i="2" s="1"/>
  <c r="CU55" i="2"/>
  <c r="CU55" i="2" a="1"/>
  <c r="CV55" i="2" a="1"/>
  <c r="CV55" i="2" s="1"/>
  <c r="CO56" i="2"/>
  <c r="CO56" i="2" a="1"/>
  <c r="CP56" i="2" a="1"/>
  <c r="CP56" i="2" s="1"/>
  <c r="CR56" i="2" a="1"/>
  <c r="CR56" i="2" s="1"/>
  <c r="CS56" i="2"/>
  <c r="CS56" i="2" a="1"/>
  <c r="CT56" i="2" a="1"/>
  <c r="CT56" i="2" s="1"/>
  <c r="CU56" i="2" a="1"/>
  <c r="CU56" i="2" s="1"/>
  <c r="CV56" i="2" a="1"/>
  <c r="CV56" i="2" s="1"/>
  <c r="A57" i="2"/>
  <c r="CO57" i="2" a="1"/>
  <c r="CO57" i="2" s="1"/>
  <c r="CP57" i="2" a="1"/>
  <c r="CP57" i="2" s="1"/>
  <c r="CR57" i="2" a="1"/>
  <c r="CR57" i="2" s="1"/>
  <c r="CS57" i="2" a="1"/>
  <c r="CS57" i="2" s="1"/>
  <c r="CT57" i="2" a="1"/>
  <c r="CT57" i="2" s="1"/>
  <c r="CU57" i="2" a="1"/>
  <c r="CU57" i="2" s="1"/>
  <c r="CV57" i="2" a="1"/>
  <c r="CV57" i="2" s="1"/>
  <c r="A58" i="2"/>
  <c r="CO58" i="2" a="1"/>
  <c r="CO58" i="2" s="1"/>
  <c r="CP58" i="2" a="1"/>
  <c r="CP58" i="2" s="1"/>
  <c r="CR58" i="2" a="1"/>
  <c r="CR58" i="2" s="1"/>
  <c r="CS58" i="2" a="1"/>
  <c r="CS58" i="2" s="1"/>
  <c r="CT58" i="2" a="1"/>
  <c r="CT58" i="2" s="1"/>
  <c r="CU58" i="2"/>
  <c r="CU58" i="2" a="1"/>
  <c r="CV58" i="2" a="1"/>
  <c r="CV58" i="2" s="1"/>
  <c r="CO59" i="2"/>
  <c r="CO59" i="2" a="1"/>
  <c r="CP59" i="2" a="1"/>
  <c r="CP59" i="2" s="1"/>
  <c r="CR59" i="2" a="1"/>
  <c r="CR59" i="2" s="1"/>
  <c r="CS59" i="2" a="1"/>
  <c r="CS59" i="2" s="1"/>
  <c r="CT59" i="2" a="1"/>
  <c r="CT59" i="2" s="1"/>
  <c r="CU59" i="2" a="1"/>
  <c r="CU59" i="2" s="1"/>
  <c r="CV59" i="2"/>
  <c r="CV59" i="2" a="1"/>
  <c r="A60" i="2"/>
  <c r="CO60" i="2"/>
  <c r="CO60" i="2" a="1"/>
  <c r="CP60" i="2" a="1"/>
  <c r="CP60" i="2" s="1"/>
  <c r="CR60" i="2" a="1"/>
  <c r="CR60" i="2" s="1"/>
  <c r="CS60" i="2" a="1"/>
  <c r="CS60" i="2" s="1"/>
  <c r="CT60" i="2" a="1"/>
  <c r="CT60" i="2" s="1"/>
  <c r="CU60" i="2" a="1"/>
  <c r="CU60" i="2" s="1"/>
  <c r="CV60" i="2"/>
  <c r="CV60" i="2" a="1"/>
  <c r="A61" i="2"/>
  <c r="CO61" i="2"/>
  <c r="CO61" i="2" a="1"/>
  <c r="CP61" i="2" a="1"/>
  <c r="CP61" i="2" s="1"/>
  <c r="CR61" i="2" a="1"/>
  <c r="CR61" i="2" s="1"/>
  <c r="CS61" i="2" a="1"/>
  <c r="CS61" i="2" s="1"/>
  <c r="CT61" i="2" a="1"/>
  <c r="CT61" i="2" s="1"/>
  <c r="CU61" i="2" a="1"/>
  <c r="CU61" i="2" s="1"/>
  <c r="CV61" i="2"/>
  <c r="CV61" i="2" a="1"/>
  <c r="A62" i="2"/>
  <c r="CO62" i="2"/>
  <c r="CO62" i="2" a="1"/>
  <c r="CP62" i="2" a="1"/>
  <c r="CP62" i="2" s="1"/>
  <c r="CR62" i="2" a="1"/>
  <c r="CR62" i="2" s="1"/>
  <c r="CS62" i="2" a="1"/>
  <c r="CS62" i="2" s="1"/>
  <c r="CT62" i="2" a="1"/>
  <c r="CT62" i="2" s="1"/>
  <c r="CU62" i="2" a="1"/>
  <c r="CU62" i="2" s="1"/>
  <c r="CV62" i="2"/>
  <c r="CV62" i="2" a="1"/>
  <c r="A63" i="2"/>
  <c r="CO63" i="2"/>
  <c r="CO63" i="2" a="1"/>
  <c r="CP63" i="2" a="1"/>
  <c r="CP63" i="2" s="1"/>
  <c r="CR63" i="2" a="1"/>
  <c r="CR63" i="2" s="1"/>
  <c r="CS63" i="2" a="1"/>
  <c r="CS63" i="2" s="1"/>
  <c r="CT63" i="2" a="1"/>
  <c r="CT63" i="2" s="1"/>
  <c r="CU63" i="2" a="1"/>
  <c r="CU63" i="2" s="1"/>
  <c r="CV63" i="2" a="1"/>
  <c r="CV63" i="2" s="1"/>
  <c r="A64" i="2"/>
  <c r="CO64" i="2" a="1"/>
  <c r="CO64" i="2" s="1"/>
  <c r="CP64" i="2"/>
  <c r="CP64" i="2" a="1"/>
  <c r="CR64" i="2" a="1"/>
  <c r="CR64" i="2" s="1"/>
  <c r="CS64" i="2" a="1"/>
  <c r="CS64" i="2" s="1"/>
  <c r="CT64" i="2" a="1"/>
  <c r="CT64" i="2" s="1"/>
  <c r="CU64" i="2" a="1"/>
  <c r="CU64" i="2" s="1"/>
  <c r="CV64" i="2" a="1"/>
  <c r="CV64" i="2" s="1"/>
  <c r="A65" i="2"/>
  <c r="CO65" i="2"/>
  <c r="CO65" i="2" a="1"/>
  <c r="CP65" i="2" a="1"/>
  <c r="CP65" i="2" s="1"/>
  <c r="CR65" i="2" a="1"/>
  <c r="CR65" i="2" s="1"/>
  <c r="CS65" i="2" a="1"/>
  <c r="CS65" i="2" s="1"/>
  <c r="CT65" i="2" a="1"/>
  <c r="CT65" i="2" s="1"/>
  <c r="CU65" i="2" a="1"/>
  <c r="CU65" i="2" s="1"/>
  <c r="CV65" i="2" a="1"/>
  <c r="CV65" i="2" s="1"/>
  <c r="D68" i="2" a="1"/>
  <c r="D68" i="2" s="1"/>
  <c r="E68" i="2" a="1"/>
  <c r="E68" i="2" s="1"/>
  <c r="F68" i="2" a="1"/>
  <c r="F68" i="2" s="1"/>
  <c r="G68" i="2" a="1"/>
  <c r="G68" i="2" s="1"/>
  <c r="H68" i="2" a="1"/>
  <c r="H68" i="2" s="1"/>
  <c r="I68" i="2" a="1"/>
  <c r="I68" i="2" s="1"/>
  <c r="J68" i="2" a="1"/>
  <c r="J68" i="2" s="1"/>
  <c r="K68" i="2" a="1"/>
  <c r="K68" i="2" s="1"/>
  <c r="L68" i="2" a="1"/>
  <c r="L68" i="2" s="1"/>
  <c r="M68" i="2" a="1"/>
  <c r="M68" i="2" s="1"/>
  <c r="N68" i="2" a="1"/>
  <c r="N68" i="2" s="1"/>
  <c r="O68" i="2" a="1"/>
  <c r="O68" i="2" s="1"/>
  <c r="P68" i="2" a="1"/>
  <c r="P68" i="2" s="1"/>
  <c r="Q68" i="2" a="1"/>
  <c r="Q68" i="2" s="1"/>
  <c r="R68" i="2" a="1"/>
  <c r="R68" i="2" s="1"/>
  <c r="S68" i="2" a="1"/>
  <c r="S68" i="2" s="1"/>
  <c r="T68" i="2" a="1"/>
  <c r="T68" i="2" s="1"/>
  <c r="U68" i="2" a="1"/>
  <c r="U68" i="2" s="1"/>
  <c r="V68" i="2" a="1"/>
  <c r="V68" i="2" s="1"/>
  <c r="W68" i="2" a="1"/>
  <c r="W68" i="2" s="1"/>
  <c r="X68" i="2" a="1"/>
  <c r="X68" i="2" s="1"/>
  <c r="Y68" i="2" a="1"/>
  <c r="Y68" i="2" s="1"/>
  <c r="Z68" i="2" a="1"/>
  <c r="Z68" i="2" s="1"/>
  <c r="AA68" i="2" a="1"/>
  <c r="AA68" i="2" s="1"/>
  <c r="AB68" i="2" a="1"/>
  <c r="AB68" i="2" s="1"/>
  <c r="AC68" i="2" a="1"/>
  <c r="AC68" i="2" s="1"/>
  <c r="AD68" i="2" a="1"/>
  <c r="AD68" i="2" s="1"/>
  <c r="AE68" i="2" a="1"/>
  <c r="AE68" i="2" s="1"/>
  <c r="AF68" i="2" a="1"/>
  <c r="AF68" i="2" s="1"/>
  <c r="AG68" i="2" a="1"/>
  <c r="AG68" i="2" s="1"/>
  <c r="AH68" i="2" a="1"/>
  <c r="AH68" i="2" s="1"/>
  <c r="AI68" i="2" a="1"/>
  <c r="AI68" i="2" s="1"/>
  <c r="AJ68" i="2" a="1"/>
  <c r="AJ68" i="2" s="1"/>
  <c r="AK68" i="2" a="1"/>
  <c r="AK68" i="2" s="1"/>
  <c r="AL68" i="2" a="1"/>
  <c r="AL68" i="2" s="1"/>
  <c r="AM68" i="2" a="1"/>
  <c r="AM68" i="2" s="1"/>
  <c r="AN68" i="2" a="1"/>
  <c r="AN68" i="2" s="1"/>
  <c r="AO68" i="2" a="1"/>
  <c r="AO68" i="2" s="1"/>
  <c r="AP68" i="2" a="1"/>
  <c r="AP68" i="2" s="1"/>
  <c r="AQ68" i="2" a="1"/>
  <c r="AQ68" i="2" s="1"/>
  <c r="AR68" i="2" a="1"/>
  <c r="AR68" i="2" s="1"/>
  <c r="AS68" i="2" a="1"/>
  <c r="AS68" i="2" s="1"/>
  <c r="AT68" i="2" a="1"/>
  <c r="AT68" i="2" s="1"/>
  <c r="AU68" i="2" a="1"/>
  <c r="AU68" i="2" s="1"/>
  <c r="AV68" i="2" a="1"/>
  <c r="AV68" i="2" s="1"/>
  <c r="AW68" i="2" a="1"/>
  <c r="AW68" i="2" s="1"/>
  <c r="AX68" i="2" a="1"/>
  <c r="AX68" i="2" s="1"/>
  <c r="AY68" i="2" a="1"/>
  <c r="AY68" i="2" s="1"/>
  <c r="AZ68" i="2" a="1"/>
  <c r="AZ68" i="2" s="1"/>
  <c r="BA68" i="2" a="1"/>
  <c r="BA68" i="2" s="1"/>
  <c r="BB68" i="2" a="1"/>
  <c r="BB68" i="2" s="1"/>
  <c r="BC68" i="2" a="1"/>
  <c r="BC68" i="2" s="1"/>
  <c r="BD68" i="2" a="1"/>
  <c r="BD68" i="2" s="1"/>
  <c r="BE68" i="2" a="1"/>
  <c r="BE68" i="2" s="1"/>
  <c r="BF68" i="2" a="1"/>
  <c r="BF68" i="2" s="1"/>
  <c r="D69" i="2" a="1"/>
  <c r="D69" i="2" s="1"/>
  <c r="E69" i="2" a="1"/>
  <c r="E69" i="2" s="1"/>
  <c r="F69" i="2" a="1"/>
  <c r="F69" i="2" s="1"/>
  <c r="G69" i="2"/>
  <c r="G69" i="2" a="1"/>
  <c r="H69" i="2" a="1"/>
  <c r="H69" i="2" s="1"/>
  <c r="I69" i="2"/>
  <c r="I69" i="2" a="1"/>
  <c r="J69" i="2" a="1"/>
  <c r="J69" i="2" s="1"/>
  <c r="K69" i="2" a="1"/>
  <c r="K69" i="2" s="1"/>
  <c r="L69" i="2" a="1"/>
  <c r="L69" i="2" s="1"/>
  <c r="M69" i="2" a="1"/>
  <c r="M69" i="2" s="1"/>
  <c r="N69" i="2" a="1"/>
  <c r="N69" i="2" s="1"/>
  <c r="O69" i="2"/>
  <c r="O69" i="2" a="1"/>
  <c r="P69" i="2" a="1"/>
  <c r="P69" i="2" s="1"/>
  <c r="Q69" i="2"/>
  <c r="Q69" i="2" a="1"/>
  <c r="R69" i="2" a="1"/>
  <c r="R69" i="2" s="1"/>
  <c r="S69" i="2" a="1"/>
  <c r="S69" i="2" s="1"/>
  <c r="T69" i="2" a="1"/>
  <c r="T69" i="2" s="1"/>
  <c r="U69" i="2" a="1"/>
  <c r="U69" i="2" s="1"/>
  <c r="V69" i="2" a="1"/>
  <c r="V69" i="2" s="1"/>
  <c r="W69" i="2"/>
  <c r="W69" i="2" a="1"/>
  <c r="X69" i="2" a="1"/>
  <c r="X69" i="2" s="1"/>
  <c r="Y69" i="2"/>
  <c r="Y69" i="2" a="1"/>
  <c r="Z69" i="2" a="1"/>
  <c r="Z69" i="2" s="1"/>
  <c r="AA69" i="2" a="1"/>
  <c r="AA69" i="2" s="1"/>
  <c r="AB69" i="2" a="1"/>
  <c r="AB69" i="2" s="1"/>
  <c r="AC69" i="2" a="1"/>
  <c r="AC69" i="2" s="1"/>
  <c r="AD69" i="2" a="1"/>
  <c r="AD69" i="2" s="1"/>
  <c r="AE69" i="2"/>
  <c r="AE69" i="2" a="1"/>
  <c r="AF69" i="2" a="1"/>
  <c r="AF69" i="2" s="1"/>
  <c r="AG69" i="2"/>
  <c r="AG69" i="2" a="1"/>
  <c r="AH69" i="2" a="1"/>
  <c r="AH69" i="2" s="1"/>
  <c r="AI69" i="2" a="1"/>
  <c r="AI69" i="2" s="1"/>
  <c r="AJ69" i="2" a="1"/>
  <c r="AJ69" i="2" s="1"/>
  <c r="AK69" i="2" a="1"/>
  <c r="AK69" i="2" s="1"/>
  <c r="AL69" i="2" a="1"/>
  <c r="AL69" i="2" s="1"/>
  <c r="AM69" i="2"/>
  <c r="AM69" i="2" a="1"/>
  <c r="AN69" i="2" a="1"/>
  <c r="AN69" i="2" s="1"/>
  <c r="AO69" i="2"/>
  <c r="AO69" i="2" a="1"/>
  <c r="AP69" i="2" a="1"/>
  <c r="AP69" i="2" s="1"/>
  <c r="AQ69" i="2" a="1"/>
  <c r="AQ69" i="2" s="1"/>
  <c r="AR69" i="2" a="1"/>
  <c r="AR69" i="2" s="1"/>
  <c r="AS69" i="2" a="1"/>
  <c r="AS69" i="2" s="1"/>
  <c r="AT69" i="2" a="1"/>
  <c r="AT69" i="2" s="1"/>
  <c r="AU69" i="2"/>
  <c r="AU69" i="2" a="1"/>
  <c r="AV69" i="2" a="1"/>
  <c r="AV69" i="2" s="1"/>
  <c r="AW69" i="2"/>
  <c r="AW69" i="2" a="1"/>
  <c r="AX69" i="2" a="1"/>
  <c r="AX69" i="2" s="1"/>
  <c r="AY69" i="2" a="1"/>
  <c r="AY69" i="2" s="1"/>
  <c r="AZ69" i="2" a="1"/>
  <c r="AZ69" i="2" s="1"/>
  <c r="BA69" i="2" a="1"/>
  <c r="BA69" i="2" s="1"/>
  <c r="BB69" i="2" a="1"/>
  <c r="BB69" i="2" s="1"/>
  <c r="BC69" i="2" a="1"/>
  <c r="BC69" i="2" s="1"/>
  <c r="BD69" i="2" a="1"/>
  <c r="BD69" i="2" s="1"/>
  <c r="BE69" i="2" a="1"/>
  <c r="BE69" i="2" s="1"/>
  <c r="BF69" i="2" a="1"/>
  <c r="BF69" i="2" s="1"/>
  <c r="CE77" i="2"/>
  <c r="CE78" i="2"/>
  <c r="CE79" i="2"/>
  <c r="CE80" i="2"/>
  <c r="CE81" i="2"/>
  <c r="CE82" i="2"/>
  <c r="CE83" i="2"/>
  <c r="CE84" i="2"/>
  <c r="CE85" i="2"/>
  <c r="CE86" i="2"/>
  <c r="CE87" i="2"/>
  <c r="B1" i="3" a="1"/>
  <c r="E1" i="3" s="1"/>
  <c r="C56" i="3" a="1"/>
  <c r="W57" i="3" s="1"/>
  <c r="C61" i="3" a="1"/>
  <c r="F61" i="3" s="1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D28" i="4"/>
  <c r="I28" i="4"/>
  <c r="L28" i="4"/>
  <c r="M28" i="4"/>
  <c r="N28" i="4"/>
  <c r="P28" i="4"/>
  <c r="AA28" i="4"/>
  <c r="AH29" i="4"/>
  <c r="AH41" i="4" s="1"/>
  <c r="AH42" i="4" s="1"/>
  <c r="AH43" i="4" s="1"/>
  <c r="AI29" i="4"/>
  <c r="AJ29" i="4"/>
  <c r="AJ41" i="4" s="1"/>
  <c r="AJ42" i="4" s="1"/>
  <c r="AJ43" i="4" s="1"/>
  <c r="AK29" i="4"/>
  <c r="AK41" i="4" s="1"/>
  <c r="AK42" i="4" s="1"/>
  <c r="AK43" i="4" s="1"/>
  <c r="AL29" i="4"/>
  <c r="AL41" i="4" s="1"/>
  <c r="AL42" i="4" s="1"/>
  <c r="AL43" i="4" s="1"/>
  <c r="AM29" i="4"/>
  <c r="AN29" i="4"/>
  <c r="AO29" i="4"/>
  <c r="AO41" i="4" s="1"/>
  <c r="AO42" i="4" s="1"/>
  <c r="AO43" i="4" s="1"/>
  <c r="AH30" i="4"/>
  <c r="AI30" i="4"/>
  <c r="AJ30" i="4"/>
  <c r="AK30" i="4"/>
  <c r="AL30" i="4"/>
  <c r="AM30" i="4"/>
  <c r="AN30" i="4"/>
  <c r="AO30" i="4"/>
  <c r="AH31" i="4"/>
  <c r="AI31" i="4"/>
  <c r="AJ31" i="4"/>
  <c r="AK31" i="4"/>
  <c r="AL31" i="4"/>
  <c r="AM31" i="4"/>
  <c r="AN31" i="4"/>
  <c r="AO31" i="4"/>
  <c r="AH32" i="4"/>
  <c r="AI32" i="4"/>
  <c r="AJ32" i="4"/>
  <c r="AK32" i="4"/>
  <c r="AL32" i="4"/>
  <c r="AM32" i="4"/>
  <c r="AN32" i="4"/>
  <c r="AO32" i="4"/>
  <c r="AH33" i="4"/>
  <c r="AI33" i="4"/>
  <c r="AJ33" i="4"/>
  <c r="AK33" i="4"/>
  <c r="AL33" i="4"/>
  <c r="AM33" i="4"/>
  <c r="AN33" i="4"/>
  <c r="AO33" i="4"/>
  <c r="AH34" i="4"/>
  <c r="AI34" i="4"/>
  <c r="AJ34" i="4"/>
  <c r="AK34" i="4"/>
  <c r="AL34" i="4"/>
  <c r="AM34" i="4"/>
  <c r="AN34" i="4"/>
  <c r="AO34" i="4"/>
  <c r="AH35" i="4"/>
  <c r="AI35" i="4"/>
  <c r="AJ35" i="4"/>
  <c r="AK35" i="4"/>
  <c r="AL35" i="4"/>
  <c r="AM35" i="4"/>
  <c r="AN35" i="4"/>
  <c r="AO35" i="4"/>
  <c r="AH36" i="4"/>
  <c r="AI36" i="4"/>
  <c r="AJ36" i="4"/>
  <c r="AK36" i="4"/>
  <c r="AL36" i="4"/>
  <c r="AM36" i="4"/>
  <c r="AN36" i="4"/>
  <c r="AO36" i="4"/>
  <c r="AH37" i="4"/>
  <c r="AI37" i="4"/>
  <c r="AJ37" i="4"/>
  <c r="AK37" i="4"/>
  <c r="AL37" i="4"/>
  <c r="AM37" i="4"/>
  <c r="AN37" i="4"/>
  <c r="AO37" i="4"/>
  <c r="AH38" i="4"/>
  <c r="AI38" i="4"/>
  <c r="AJ38" i="4"/>
  <c r="AK38" i="4"/>
  <c r="AL38" i="4"/>
  <c r="AM38" i="4"/>
  <c r="AN38" i="4"/>
  <c r="AO38" i="4"/>
  <c r="AH39" i="4"/>
  <c r="AI39" i="4"/>
  <c r="AJ39" i="4"/>
  <c r="AK39" i="4"/>
  <c r="AL39" i="4"/>
  <c r="AM39" i="4"/>
  <c r="AN39" i="4"/>
  <c r="AO39" i="4"/>
  <c r="AI41" i="4"/>
  <c r="AI42" i="4" s="1"/>
  <c r="AM41" i="4"/>
  <c r="AM42" i="4" s="1"/>
  <c r="AN41" i="4"/>
  <c r="AN42" i="4" s="1"/>
  <c r="AN43" i="4" s="1"/>
  <c r="AI43" i="4"/>
  <c r="H44" i="4"/>
  <c r="D45" i="4" a="1"/>
  <c r="D45" i="4" s="1"/>
  <c r="D46" i="4" a="1"/>
  <c r="D46" i="4" s="1"/>
  <c r="L46" i="4"/>
  <c r="D47" i="4" a="1"/>
  <c r="D47" i="4" s="1"/>
  <c r="L47" i="4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D81" i="4" a="1"/>
  <c r="D81" i="4" s="1"/>
  <c r="D82" i="4" a="1"/>
  <c r="D82" i="4" s="1"/>
  <c r="D83" i="4" a="1"/>
  <c r="D83" i="4" s="1"/>
  <c r="D84" i="4" a="1"/>
  <c r="D84" i="4" s="1"/>
  <c r="D85" i="4" a="1"/>
  <c r="D85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A4" i="7"/>
  <c r="A5" i="7"/>
  <c r="A6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Y5" i="1"/>
  <c r="Z5" i="1"/>
  <c r="A6" i="1"/>
  <c r="Y6" i="1"/>
  <c r="Z6" i="1"/>
  <c r="A7" i="1"/>
  <c r="Y7" i="1"/>
  <c r="Z7" i="1"/>
  <c r="A8" i="1"/>
  <c r="Y8" i="1"/>
  <c r="Z8" i="1"/>
  <c r="A9" i="1"/>
  <c r="Y9" i="1"/>
  <c r="Z9" i="1"/>
  <c r="A10" i="1"/>
  <c r="Y10" i="1"/>
  <c r="Z10" i="1"/>
  <c r="A11" i="1"/>
  <c r="Y11" i="1"/>
  <c r="Z11" i="1"/>
  <c r="A12" i="1"/>
  <c r="Y12" i="1"/>
  <c r="Z12" i="1"/>
  <c r="A13" i="1"/>
  <c r="Y13" i="1"/>
  <c r="Z13" i="1"/>
  <c r="A14" i="1"/>
  <c r="Y14" i="1"/>
  <c r="Z14" i="1"/>
  <c r="A15" i="1"/>
  <c r="Y15" i="1"/>
  <c r="Z15" i="1"/>
  <c r="A16" i="1"/>
  <c r="Y16" i="1"/>
  <c r="Z16" i="1"/>
  <c r="A17" i="1"/>
  <c r="Y17" i="1"/>
  <c r="Z17" i="1"/>
  <c r="A18" i="1"/>
  <c r="Y18" i="1"/>
  <c r="Z18" i="1"/>
  <c r="A19" i="1"/>
  <c r="Y19" i="1"/>
  <c r="Z19" i="1"/>
  <c r="A20" i="1"/>
  <c r="Y20" i="1"/>
  <c r="Z20" i="1"/>
  <c r="A21" i="1"/>
  <c r="Y21" i="1"/>
  <c r="Z21" i="1"/>
  <c r="A22" i="1"/>
  <c r="Y22" i="1"/>
  <c r="Z22" i="1"/>
  <c r="A23" i="1"/>
  <c r="Y23" i="1"/>
  <c r="Z23" i="1"/>
  <c r="A24" i="1"/>
  <c r="Y24" i="1"/>
  <c r="Z24" i="1"/>
  <c r="A26" i="1"/>
  <c r="Y26" i="1"/>
  <c r="Z26" i="1"/>
  <c r="A27" i="1"/>
  <c r="Y27" i="1"/>
  <c r="Z27" i="1"/>
  <c r="A28" i="1"/>
  <c r="Y28" i="1"/>
  <c r="Z28" i="1"/>
  <c r="A29" i="1"/>
  <c r="Y29" i="1"/>
  <c r="Z29" i="1"/>
  <c r="A30" i="1"/>
  <c r="Y30" i="1"/>
  <c r="Z30" i="1"/>
  <c r="A31" i="1"/>
  <c r="Y31" i="1"/>
  <c r="Z31" i="1"/>
  <c r="A32" i="1"/>
  <c r="Y32" i="1"/>
  <c r="Z32" i="1"/>
  <c r="A33" i="1"/>
  <c r="Y33" i="1"/>
  <c r="Z33" i="1"/>
  <c r="A34" i="1"/>
  <c r="Y34" i="1"/>
  <c r="Z34" i="1"/>
  <c r="A35" i="1"/>
  <c r="Y35" i="1"/>
  <c r="Z35" i="1"/>
  <c r="A36" i="1"/>
  <c r="Y36" i="1"/>
  <c r="Z36" i="1"/>
  <c r="A37" i="1"/>
  <c r="Y37" i="1"/>
  <c r="Z37" i="1"/>
  <c r="A38" i="1"/>
  <c r="Y38" i="1"/>
  <c r="Z38" i="1"/>
  <c r="A39" i="1"/>
  <c r="Y39" i="1"/>
  <c r="Z39" i="1"/>
  <c r="A40" i="1"/>
  <c r="Y40" i="1"/>
  <c r="Z40" i="1"/>
  <c r="A41" i="1"/>
  <c r="Y41" i="1"/>
  <c r="Z41" i="1"/>
  <c r="A42" i="1"/>
  <c r="Y42" i="1"/>
  <c r="Z42" i="1"/>
  <c r="A43" i="1"/>
  <c r="Y43" i="1"/>
  <c r="Z43" i="1"/>
  <c r="A44" i="1"/>
  <c r="Y44" i="1"/>
  <c r="Z44" i="1"/>
  <c r="A45" i="1"/>
  <c r="Y45" i="1"/>
  <c r="Z45" i="1"/>
  <c r="A46" i="1"/>
  <c r="Y46" i="1"/>
  <c r="Z46" i="1"/>
  <c r="A47" i="1"/>
  <c r="Y47" i="1"/>
  <c r="Z47" i="1"/>
  <c r="A48" i="1"/>
  <c r="Y48" i="1"/>
  <c r="Z48" i="1"/>
  <c r="A49" i="1"/>
  <c r="Y49" i="1"/>
  <c r="Z49" i="1"/>
  <c r="A50" i="1"/>
  <c r="Y50" i="1"/>
  <c r="Z50" i="1"/>
  <c r="A51" i="1"/>
  <c r="Y51" i="1"/>
  <c r="Z51" i="1"/>
  <c r="A52" i="1"/>
  <c r="Y52" i="1"/>
  <c r="Z52" i="1"/>
  <c r="A53" i="1"/>
  <c r="Y53" i="1"/>
  <c r="Z53" i="1"/>
  <c r="A54" i="1"/>
  <c r="Y54" i="1"/>
  <c r="Z54" i="1"/>
  <c r="A55" i="1"/>
  <c r="Y55" i="1"/>
  <c r="Z55" i="1"/>
  <c r="A56" i="1"/>
  <c r="Y56" i="1"/>
  <c r="Z56" i="1"/>
  <c r="A57" i="1"/>
  <c r="Y57" i="1"/>
  <c r="Z57" i="1"/>
  <c r="A58" i="1"/>
  <c r="Y58" i="1"/>
  <c r="Z58" i="1"/>
  <c r="A59" i="1"/>
  <c r="Y59" i="1"/>
  <c r="Z59" i="1"/>
  <c r="O61" i="1"/>
  <c r="P61" i="1"/>
  <c r="O63" i="1" a="1"/>
  <c r="O63" i="1" s="1"/>
  <c r="P63" i="1" a="1"/>
  <c r="P63" i="1" s="1"/>
  <c r="P65" i="1" s="1"/>
  <c r="P66" i="1" s="1"/>
  <c r="Q63" i="1"/>
  <c r="R63" i="1"/>
  <c r="S63" i="1"/>
  <c r="T63" i="1"/>
  <c r="U63" i="1"/>
  <c r="V63" i="1"/>
  <c r="W63" i="1"/>
  <c r="X63" i="1"/>
  <c r="O64" i="1" a="1"/>
  <c r="O64" i="1" s="1"/>
  <c r="P64" i="1" a="1"/>
  <c r="P64" i="1" s="1"/>
  <c r="S65" i="1"/>
  <c r="W65" i="1"/>
  <c r="G21" i="6"/>
  <c r="O65" i="1" l="1"/>
  <c r="O66" i="1" s="1"/>
  <c r="K57" i="3"/>
  <c r="AA56" i="3"/>
  <c r="L57" i="3"/>
  <c r="AI56" i="3"/>
  <c r="AZ57" i="3"/>
  <c r="BC56" i="3"/>
  <c r="L56" i="3"/>
  <c r="AQ57" i="3"/>
  <c r="AR56" i="3"/>
  <c r="D56" i="3"/>
  <c r="AD4" i="3"/>
  <c r="BN3" i="3"/>
  <c r="AG3" i="3"/>
  <c r="J3" i="3"/>
  <c r="BU2" i="3"/>
  <c r="AX2" i="3"/>
  <c r="AH2" i="3"/>
  <c r="Q2" i="3"/>
  <c r="BV1" i="3"/>
  <c r="BE1" i="3"/>
  <c r="AO1" i="3"/>
  <c r="R1" i="3"/>
  <c r="B1" i="3"/>
  <c r="AO4" i="3"/>
  <c r="BV3" i="3"/>
  <c r="AP3" i="3"/>
  <c r="N3" i="3"/>
  <c r="BZ2" i="3"/>
  <c r="BF2" i="3"/>
  <c r="AL2" i="3"/>
  <c r="R2" i="3"/>
  <c r="B2" i="3"/>
  <c r="BJ1" i="3"/>
  <c r="AP1" i="3"/>
  <c r="Y1" i="3"/>
  <c r="T57" i="3"/>
  <c r="AU56" i="3"/>
  <c r="W56" i="3"/>
  <c r="BU4" i="3"/>
  <c r="Q4" i="3"/>
  <c r="BB3" i="3"/>
  <c r="Y3" i="3"/>
  <c r="I3" i="3"/>
  <c r="BN2" i="3"/>
  <c r="AW2" i="3"/>
  <c r="AD2" i="3"/>
  <c r="I2" i="3"/>
  <c r="BU1" i="3"/>
  <c r="BB1" i="3"/>
  <c r="AG1" i="3"/>
  <c r="N1" i="3"/>
  <c r="BP4" i="3"/>
  <c r="I4" i="3"/>
  <c r="AT3" i="3"/>
  <c r="V3" i="3"/>
  <c r="CC2" i="3"/>
  <c r="BJ2" i="3"/>
  <c r="AT2" i="3"/>
  <c r="Y2" i="3"/>
  <c r="F2" i="3"/>
  <c r="BN1" i="3"/>
  <c r="AT1" i="3"/>
  <c r="AD1" i="3"/>
  <c r="J1" i="3"/>
  <c r="BJ4" i="3"/>
  <c r="Z4" i="3"/>
  <c r="F4" i="3"/>
  <c r="BM3" i="3"/>
  <c r="AE57" i="3"/>
  <c r="C57" i="3"/>
  <c r="AJ56" i="3"/>
  <c r="O56" i="3"/>
  <c r="CA4" i="3"/>
  <c r="AX4" i="3"/>
  <c r="R4" i="3"/>
  <c r="BZ3" i="3"/>
  <c r="BE3" i="3"/>
  <c r="AH3" i="3"/>
  <c r="R3" i="3"/>
  <c r="B3" i="3"/>
  <c r="BR2" i="3"/>
  <c r="BE2" i="3"/>
  <c r="AO2" i="3"/>
  <c r="Z2" i="3"/>
  <c r="N2" i="3"/>
  <c r="BZ1" i="3"/>
  <c r="BM1" i="3"/>
  <c r="AX1" i="3"/>
  <c r="AH1" i="3"/>
  <c r="V1" i="3"/>
  <c r="I1" i="3"/>
  <c r="AA3" i="2"/>
  <c r="S3" i="2"/>
  <c r="AY57" i="3"/>
  <c r="AM57" i="3"/>
  <c r="AB57" i="3"/>
  <c r="S57" i="3"/>
  <c r="G57" i="3"/>
  <c r="AZ56" i="3"/>
  <c r="AQ56" i="3"/>
  <c r="AE56" i="3"/>
  <c r="T56" i="3"/>
  <c r="K56" i="3"/>
  <c r="CC4" i="3"/>
  <c r="BX4" i="3"/>
  <c r="BS4" i="3"/>
  <c r="BM4" i="3"/>
  <c r="BE4" i="3"/>
  <c r="AT4" i="3"/>
  <c r="AH4" i="3"/>
  <c r="Y4" i="3"/>
  <c r="N4" i="3"/>
  <c r="B4" i="3"/>
  <c r="BU3" i="3"/>
  <c r="BJ3" i="3"/>
  <c r="AX3" i="3"/>
  <c r="AO3" i="3"/>
  <c r="AD3" i="3"/>
  <c r="AU57" i="3"/>
  <c r="AJ57" i="3"/>
  <c r="AA57" i="3"/>
  <c r="O57" i="3"/>
  <c r="D57" i="3"/>
  <c r="AY56" i="3"/>
  <c r="AM56" i="3"/>
  <c r="AB56" i="3"/>
  <c r="S56" i="3"/>
  <c r="G56" i="3"/>
  <c r="CB4" i="3"/>
  <c r="BW4" i="3"/>
  <c r="BQ4" i="3"/>
  <c r="BK4" i="3"/>
  <c r="BB4" i="3"/>
  <c r="AP4" i="3"/>
  <c r="AG4" i="3"/>
  <c r="V4" i="3"/>
  <c r="J4" i="3"/>
  <c r="CC3" i="3"/>
  <c r="BR3" i="3"/>
  <c r="BF3" i="3"/>
  <c r="AW3" i="3"/>
  <c r="AL3" i="3"/>
  <c r="Z3" i="3"/>
  <c r="Q3" i="3"/>
  <c r="F3" i="3"/>
  <c r="BV2" i="3"/>
  <c r="BM2" i="3"/>
  <c r="BB2" i="3"/>
  <c r="AP2" i="3"/>
  <c r="AG2" i="3"/>
  <c r="V2" i="3"/>
  <c r="J2" i="3"/>
  <c r="CC1" i="3"/>
  <c r="BR1" i="3"/>
  <c r="BF1" i="3"/>
  <c r="AW1" i="3"/>
  <c r="AL1" i="3"/>
  <c r="Z1" i="3"/>
  <c r="Q1" i="3"/>
  <c r="F1" i="3"/>
  <c r="BB4" i="2"/>
  <c r="AA2" i="2"/>
  <c r="BC57" i="3"/>
  <c r="AR57" i="3"/>
  <c r="AI57" i="3"/>
  <c r="J4" i="2"/>
  <c r="K2" i="2"/>
  <c r="BY4" i="3"/>
  <c r="BT4" i="3"/>
  <c r="BO4" i="3"/>
  <c r="BF4" i="3"/>
  <c r="AW4" i="3"/>
  <c r="AL4" i="3"/>
  <c r="AT61" i="3"/>
  <c r="BR61" i="3"/>
  <c r="AD61" i="3"/>
  <c r="AT4" i="2"/>
  <c r="F4" i="2"/>
  <c r="BO61" i="3"/>
  <c r="V61" i="3"/>
  <c r="BZ4" i="3"/>
  <c r="BV4" i="3"/>
  <c r="BR4" i="3"/>
  <c r="BN4" i="3"/>
  <c r="BI4" i="3"/>
  <c r="BA4" i="3"/>
  <c r="AS4" i="3"/>
  <c r="AK4" i="3"/>
  <c r="AC4" i="3"/>
  <c r="U4" i="3"/>
  <c r="M4" i="3"/>
  <c r="E4" i="3"/>
  <c r="BY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BV4" i="2"/>
  <c r="AD4" i="2"/>
  <c r="BR3" i="2"/>
  <c r="BO2" i="2"/>
  <c r="BE1" i="2"/>
  <c r="AY61" i="3"/>
  <c r="C1" i="3"/>
  <c r="G1" i="3"/>
  <c r="K1" i="3"/>
  <c r="O1" i="3"/>
  <c r="S1" i="3"/>
  <c r="W1" i="3"/>
  <c r="AA1" i="3"/>
  <c r="AE1" i="3"/>
  <c r="AI1" i="3"/>
  <c r="AM1" i="3"/>
  <c r="AQ1" i="3"/>
  <c r="AU1" i="3"/>
  <c r="AY1" i="3"/>
  <c r="BC1" i="3"/>
  <c r="BG1" i="3"/>
  <c r="BK1" i="3"/>
  <c r="BO1" i="3"/>
  <c r="BS1" i="3"/>
  <c r="BW1" i="3"/>
  <c r="CA1" i="3"/>
  <c r="C2" i="3"/>
  <c r="G2" i="3"/>
  <c r="K2" i="3"/>
  <c r="O2" i="3"/>
  <c r="S2" i="3"/>
  <c r="W2" i="3"/>
  <c r="AA2" i="3"/>
  <c r="AE2" i="3"/>
  <c r="AI2" i="3"/>
  <c r="AM2" i="3"/>
  <c r="AQ2" i="3"/>
  <c r="AU2" i="3"/>
  <c r="AY2" i="3"/>
  <c r="BC2" i="3"/>
  <c r="BG2" i="3"/>
  <c r="BK2" i="3"/>
  <c r="BO2" i="3"/>
  <c r="BS2" i="3"/>
  <c r="BW2" i="3"/>
  <c r="CA2" i="3"/>
  <c r="C3" i="3"/>
  <c r="G3" i="3"/>
  <c r="K3" i="3"/>
  <c r="O3" i="3"/>
  <c r="S3" i="3"/>
  <c r="W3" i="3"/>
  <c r="AA3" i="3"/>
  <c r="AE3" i="3"/>
  <c r="AI3" i="3"/>
  <c r="AM3" i="3"/>
  <c r="AQ3" i="3"/>
  <c r="AU3" i="3"/>
  <c r="AY3" i="3"/>
  <c r="BC3" i="3"/>
  <c r="BG3" i="3"/>
  <c r="BK3" i="3"/>
  <c r="BO3" i="3"/>
  <c r="BS3" i="3"/>
  <c r="BW3" i="3"/>
  <c r="CA3" i="3"/>
  <c r="C4" i="3"/>
  <c r="G4" i="3"/>
  <c r="K4" i="3"/>
  <c r="O4" i="3"/>
  <c r="S4" i="3"/>
  <c r="W4" i="3"/>
  <c r="AA4" i="3"/>
  <c r="AE4" i="3"/>
  <c r="AI4" i="3"/>
  <c r="AM4" i="3"/>
  <c r="AQ4" i="3"/>
  <c r="AU4" i="3"/>
  <c r="AY4" i="3"/>
  <c r="BC4" i="3"/>
  <c r="BG4" i="3"/>
  <c r="D1" i="3"/>
  <c r="H1" i="3"/>
  <c r="L1" i="3"/>
  <c r="P1" i="3"/>
  <c r="T1" i="3"/>
  <c r="X1" i="3"/>
  <c r="AB1" i="3"/>
  <c r="AF1" i="3"/>
  <c r="AJ1" i="3"/>
  <c r="AN1" i="3"/>
  <c r="AR1" i="3"/>
  <c r="AV1" i="3"/>
  <c r="AZ1" i="3"/>
  <c r="BD1" i="3"/>
  <c r="BH1" i="3"/>
  <c r="BL1" i="3"/>
  <c r="BP1" i="3"/>
  <c r="BT1" i="3"/>
  <c r="BX1" i="3"/>
  <c r="CB1" i="3"/>
  <c r="D2" i="3"/>
  <c r="H2" i="3"/>
  <c r="L2" i="3"/>
  <c r="P2" i="3"/>
  <c r="T2" i="3"/>
  <c r="X2" i="3"/>
  <c r="AB2" i="3"/>
  <c r="AF2" i="3"/>
  <c r="AJ2" i="3"/>
  <c r="AN2" i="3"/>
  <c r="AR2" i="3"/>
  <c r="AV2" i="3"/>
  <c r="AZ2" i="3"/>
  <c r="BD2" i="3"/>
  <c r="BH2" i="3"/>
  <c r="BL2" i="3"/>
  <c r="BP2" i="3"/>
  <c r="BT2" i="3"/>
  <c r="BX2" i="3"/>
  <c r="CB2" i="3"/>
  <c r="D3" i="3"/>
  <c r="H3" i="3"/>
  <c r="L3" i="3"/>
  <c r="P3" i="3"/>
  <c r="T3" i="3"/>
  <c r="X3" i="3"/>
  <c r="AB3" i="3"/>
  <c r="AF3" i="3"/>
  <c r="AJ3" i="3"/>
  <c r="AN3" i="3"/>
  <c r="AR3" i="3"/>
  <c r="AV3" i="3"/>
  <c r="AZ3" i="3"/>
  <c r="BD3" i="3"/>
  <c r="BH3" i="3"/>
  <c r="BL3" i="3"/>
  <c r="BP3" i="3"/>
  <c r="BT3" i="3"/>
  <c r="BX3" i="3"/>
  <c r="CB3" i="3"/>
  <c r="D4" i="3"/>
  <c r="H4" i="3"/>
  <c r="L4" i="3"/>
  <c r="P4" i="3"/>
  <c r="T4" i="3"/>
  <c r="X4" i="3"/>
  <c r="AB4" i="3"/>
  <c r="AF4" i="3"/>
  <c r="AJ4" i="3"/>
  <c r="AN4" i="3"/>
  <c r="AR4" i="3"/>
  <c r="AV4" i="3"/>
  <c r="AZ4" i="3"/>
  <c r="BD4" i="3"/>
  <c r="BH4" i="3"/>
  <c r="BL4" i="3"/>
  <c r="BR4" i="2"/>
  <c r="Z4" i="2"/>
  <c r="BG3" i="2"/>
  <c r="BG2" i="2"/>
  <c r="I1" i="2"/>
  <c r="N1" i="2"/>
  <c r="BW1" i="2"/>
  <c r="AI2" i="2"/>
  <c r="BW2" i="2"/>
  <c r="AQ3" i="2"/>
  <c r="BV3" i="2"/>
  <c r="N4" i="2"/>
  <c r="AL4" i="2"/>
  <c r="BF4" i="2"/>
  <c r="BZ4" i="2"/>
  <c r="AI1" i="2"/>
  <c r="C2" i="2"/>
  <c r="AQ2" i="2"/>
  <c r="K3" i="2"/>
  <c r="AY3" i="2"/>
  <c r="BZ3" i="2"/>
  <c r="V4" i="2"/>
  <c r="AP4" i="2"/>
  <c r="BJ4" i="2"/>
  <c r="D72" i="2" a="1"/>
  <c r="Y63" i="1"/>
  <c r="O7" i="5"/>
  <c r="H93" i="4"/>
  <c r="A5" i="5" s="1" a="1"/>
  <c r="L48" i="4"/>
  <c r="AC15" i="4"/>
  <c r="U15" i="4"/>
  <c r="Q15" i="4"/>
  <c r="M15" i="4"/>
  <c r="I15" i="4"/>
  <c r="E15" i="4"/>
  <c r="A15" i="4"/>
  <c r="AD15" i="4"/>
  <c r="Z15" i="4"/>
  <c r="V15" i="4"/>
  <c r="R15" i="4"/>
  <c r="N15" i="4"/>
  <c r="J15" i="4"/>
  <c r="F15" i="4"/>
  <c r="B15" i="4"/>
  <c r="AE15" i="4"/>
  <c r="AA15" i="4"/>
  <c r="W15" i="4"/>
  <c r="S15" i="4"/>
  <c r="O15" i="4"/>
  <c r="K15" i="4"/>
  <c r="G15" i="4"/>
  <c r="C15" i="4"/>
  <c r="AF15" i="4"/>
  <c r="AB15" i="4"/>
  <c r="X15" i="4"/>
  <c r="T15" i="4"/>
  <c r="P15" i="4"/>
  <c r="L15" i="4"/>
  <c r="H15" i="4"/>
  <c r="D15" i="4"/>
  <c r="D61" i="3"/>
  <c r="H61" i="3"/>
  <c r="L61" i="3"/>
  <c r="P61" i="3"/>
  <c r="T61" i="3"/>
  <c r="X61" i="3"/>
  <c r="AB61" i="3"/>
  <c r="AF61" i="3"/>
  <c r="AJ61" i="3"/>
  <c r="AN61" i="3"/>
  <c r="AR61" i="3"/>
  <c r="AV61" i="3"/>
  <c r="AZ61" i="3"/>
  <c r="BD61" i="3"/>
  <c r="BH61" i="3"/>
  <c r="BL61" i="3"/>
  <c r="BP61" i="3"/>
  <c r="BT61" i="3"/>
  <c r="BX61" i="3"/>
  <c r="CB61" i="3"/>
  <c r="E61" i="3"/>
  <c r="I61" i="3"/>
  <c r="M61" i="3"/>
  <c r="Q61" i="3"/>
  <c r="U61" i="3"/>
  <c r="Y61" i="3"/>
  <c r="AC61" i="3"/>
  <c r="AG61" i="3"/>
  <c r="AK61" i="3"/>
  <c r="AO61" i="3"/>
  <c r="AS61" i="3"/>
  <c r="AW61" i="3"/>
  <c r="BA61" i="3"/>
  <c r="BE61" i="3"/>
  <c r="BI61" i="3"/>
  <c r="BM61" i="3"/>
  <c r="BQ61" i="3"/>
  <c r="BU61" i="3"/>
  <c r="BY61" i="3"/>
  <c r="CC61" i="3"/>
  <c r="BV61" i="3"/>
  <c r="BN61" i="3"/>
  <c r="BF61" i="3"/>
  <c r="AX61" i="3"/>
  <c r="AP61" i="3"/>
  <c r="AH61" i="3"/>
  <c r="Z61" i="3"/>
  <c r="R61" i="3"/>
  <c r="J61" i="3"/>
  <c r="C61" i="3"/>
  <c r="E56" i="3"/>
  <c r="I56" i="3"/>
  <c r="M56" i="3"/>
  <c r="Q56" i="3"/>
  <c r="U56" i="3"/>
  <c r="Y56" i="3"/>
  <c r="AC56" i="3"/>
  <c r="AG56" i="3"/>
  <c r="AK56" i="3"/>
  <c r="AO56" i="3"/>
  <c r="AS56" i="3"/>
  <c r="AW56" i="3"/>
  <c r="BA56" i="3"/>
  <c r="BE56" i="3"/>
  <c r="E57" i="3"/>
  <c r="I57" i="3"/>
  <c r="M57" i="3"/>
  <c r="Q57" i="3"/>
  <c r="U57" i="3"/>
  <c r="Y57" i="3"/>
  <c r="AC57" i="3"/>
  <c r="AG57" i="3"/>
  <c r="AK57" i="3"/>
  <c r="AO57" i="3"/>
  <c r="AS57" i="3"/>
  <c r="AW57" i="3"/>
  <c r="BA57" i="3"/>
  <c r="BE57" i="3"/>
  <c r="C56" i="3"/>
  <c r="F56" i="3"/>
  <c r="J56" i="3"/>
  <c r="N56" i="3"/>
  <c r="R56" i="3"/>
  <c r="V56" i="3"/>
  <c r="Z56" i="3"/>
  <c r="AD56" i="3"/>
  <c r="AH56" i="3"/>
  <c r="AL56" i="3"/>
  <c r="AP56" i="3"/>
  <c r="AT56" i="3"/>
  <c r="AX56" i="3"/>
  <c r="BB56" i="3"/>
  <c r="F57" i="3"/>
  <c r="J57" i="3"/>
  <c r="N57" i="3"/>
  <c r="R57" i="3"/>
  <c r="V57" i="3"/>
  <c r="Z57" i="3"/>
  <c r="AD57" i="3"/>
  <c r="AH57" i="3"/>
  <c r="AL57" i="3"/>
  <c r="AP57" i="3"/>
  <c r="AT57" i="3"/>
  <c r="AX57" i="3"/>
  <c r="BB57" i="3"/>
  <c r="CA61" i="3"/>
  <c r="BS61" i="3"/>
  <c r="BK61" i="3"/>
  <c r="BC61" i="3"/>
  <c r="AU61" i="3"/>
  <c r="AM61" i="3"/>
  <c r="AE61" i="3"/>
  <c r="W61" i="3"/>
  <c r="O61" i="3"/>
  <c r="G61" i="3"/>
  <c r="BD57" i="3"/>
  <c r="AV57" i="3"/>
  <c r="AN57" i="3"/>
  <c r="AF57" i="3"/>
  <c r="X57" i="3"/>
  <c r="P57" i="3"/>
  <c r="H57" i="3"/>
  <c r="BD56" i="3"/>
  <c r="AV56" i="3"/>
  <c r="AN56" i="3"/>
  <c r="AF56" i="3"/>
  <c r="X56" i="3"/>
  <c r="P56" i="3"/>
  <c r="H56" i="3"/>
  <c r="CO69" i="2"/>
  <c r="CT67" i="2"/>
  <c r="CP67" i="2"/>
  <c r="CO68" i="2"/>
  <c r="CO67" i="2"/>
  <c r="CU67" i="2"/>
  <c r="CS67" i="2"/>
  <c r="BW4" i="2"/>
  <c r="BO4" i="2"/>
  <c r="BG4" i="2"/>
  <c r="AY4" i="2"/>
  <c r="AQ4" i="2"/>
  <c r="AI4" i="2"/>
  <c r="AA4" i="2"/>
  <c r="S4" i="2"/>
  <c r="K4" i="2"/>
  <c r="C4" i="2"/>
  <c r="BW3" i="2"/>
  <c r="BO3" i="2"/>
  <c r="BC3" i="2"/>
  <c r="AM3" i="2"/>
  <c r="W3" i="2"/>
  <c r="G3" i="2"/>
  <c r="BS2" i="2"/>
  <c r="BC2" i="2"/>
  <c r="AM2" i="2"/>
  <c r="W2" i="2"/>
  <c r="G2" i="2"/>
  <c r="BS1" i="2"/>
  <c r="AY1" i="2"/>
  <c r="AD1" i="2"/>
  <c r="D1" i="2"/>
  <c r="H1" i="2"/>
  <c r="L1" i="2"/>
  <c r="P1" i="2"/>
  <c r="T1" i="2"/>
  <c r="X1" i="2"/>
  <c r="AB1" i="2"/>
  <c r="AF1" i="2"/>
  <c r="AJ1" i="2"/>
  <c r="AN1" i="2"/>
  <c r="AR1" i="2"/>
  <c r="AV1" i="2"/>
  <c r="AZ1" i="2"/>
  <c r="BD1" i="2"/>
  <c r="BH1" i="2"/>
  <c r="BL1" i="2"/>
  <c r="E1" i="2"/>
  <c r="J1" i="2"/>
  <c r="O1" i="2"/>
  <c r="U1" i="2"/>
  <c r="Z1" i="2"/>
  <c r="AE1" i="2"/>
  <c r="AK1" i="2"/>
  <c r="AP1" i="2"/>
  <c r="AU1" i="2"/>
  <c r="BA1" i="2"/>
  <c r="BF1" i="2"/>
  <c r="BK1" i="2"/>
  <c r="BP1" i="2"/>
  <c r="BT1" i="2"/>
  <c r="BX1" i="2"/>
  <c r="CB1" i="2"/>
  <c r="D2" i="2"/>
  <c r="H2" i="2"/>
  <c r="L2" i="2"/>
  <c r="P2" i="2"/>
  <c r="T2" i="2"/>
  <c r="X2" i="2"/>
  <c r="AB2" i="2"/>
  <c r="AF2" i="2"/>
  <c r="AJ2" i="2"/>
  <c r="AN2" i="2"/>
  <c r="AR2" i="2"/>
  <c r="AV2" i="2"/>
  <c r="AZ2" i="2"/>
  <c r="BD2" i="2"/>
  <c r="BH2" i="2"/>
  <c r="BL2" i="2"/>
  <c r="BP2" i="2"/>
  <c r="BT2" i="2"/>
  <c r="BX2" i="2"/>
  <c r="CB2" i="2"/>
  <c r="D3" i="2"/>
  <c r="H3" i="2"/>
  <c r="L3" i="2"/>
  <c r="P3" i="2"/>
  <c r="T3" i="2"/>
  <c r="X3" i="2"/>
  <c r="AB3" i="2"/>
  <c r="AF3" i="2"/>
  <c r="AJ3" i="2"/>
  <c r="AN3" i="2"/>
  <c r="AR3" i="2"/>
  <c r="AV3" i="2"/>
  <c r="AZ3" i="2"/>
  <c r="BD3" i="2"/>
  <c r="BH3" i="2"/>
  <c r="BL3" i="2"/>
  <c r="BP3" i="2"/>
  <c r="BT3" i="2"/>
  <c r="BX3" i="2"/>
  <c r="CB3" i="2"/>
  <c r="D4" i="2"/>
  <c r="H4" i="2"/>
  <c r="L4" i="2"/>
  <c r="P4" i="2"/>
  <c r="T4" i="2"/>
  <c r="X4" i="2"/>
  <c r="AB4" i="2"/>
  <c r="AF4" i="2"/>
  <c r="AJ4" i="2"/>
  <c r="AN4" i="2"/>
  <c r="AR4" i="2"/>
  <c r="AV4" i="2"/>
  <c r="AZ4" i="2"/>
  <c r="BD4" i="2"/>
  <c r="BH4" i="2"/>
  <c r="BL4" i="2"/>
  <c r="BP4" i="2"/>
  <c r="BT4" i="2"/>
  <c r="BX4" i="2"/>
  <c r="CB4" i="2"/>
  <c r="F1" i="2"/>
  <c r="K1" i="2"/>
  <c r="Q1" i="2"/>
  <c r="V1" i="2"/>
  <c r="AA1" i="2"/>
  <c r="AG1" i="2"/>
  <c r="AL1" i="2"/>
  <c r="AQ1" i="2"/>
  <c r="AW1" i="2"/>
  <c r="BB1" i="2"/>
  <c r="BG1" i="2"/>
  <c r="BM1" i="2"/>
  <c r="BQ1" i="2"/>
  <c r="BU1" i="2"/>
  <c r="BY1" i="2"/>
  <c r="CC1" i="2"/>
  <c r="E2" i="2"/>
  <c r="I2" i="2"/>
  <c r="M2" i="2"/>
  <c r="Q2" i="2"/>
  <c r="U2" i="2"/>
  <c r="Y2" i="2"/>
  <c r="AC2" i="2"/>
  <c r="AG2" i="2"/>
  <c r="AK2" i="2"/>
  <c r="AO2" i="2"/>
  <c r="AS2" i="2"/>
  <c r="AW2" i="2"/>
  <c r="BA2" i="2"/>
  <c r="BE2" i="2"/>
  <c r="BI2" i="2"/>
  <c r="BM2" i="2"/>
  <c r="BQ2" i="2"/>
  <c r="BU2" i="2"/>
  <c r="BY2" i="2"/>
  <c r="CC2" i="2"/>
  <c r="E3" i="2"/>
  <c r="I3" i="2"/>
  <c r="M3" i="2"/>
  <c r="Q3" i="2"/>
  <c r="U3" i="2"/>
  <c r="Y3" i="2"/>
  <c r="AC3" i="2"/>
  <c r="AG3" i="2"/>
  <c r="AK3" i="2"/>
  <c r="AO3" i="2"/>
  <c r="AS3" i="2"/>
  <c r="AW3" i="2"/>
  <c r="BA3" i="2"/>
  <c r="BE3" i="2"/>
  <c r="BI3" i="2"/>
  <c r="BM3" i="2"/>
  <c r="BQ3" i="2"/>
  <c r="BU3" i="2"/>
  <c r="BY3" i="2"/>
  <c r="CC3" i="2"/>
  <c r="E4" i="2"/>
  <c r="I4" i="2"/>
  <c r="M4" i="2"/>
  <c r="Q4" i="2"/>
  <c r="U4" i="2"/>
  <c r="Y4" i="2"/>
  <c r="AC4" i="2"/>
  <c r="AG4" i="2"/>
  <c r="AK4" i="2"/>
  <c r="AO4" i="2"/>
  <c r="AS4" i="2"/>
  <c r="AW4" i="2"/>
  <c r="BA4" i="2"/>
  <c r="BE4" i="2"/>
  <c r="BI4" i="2"/>
  <c r="BM4" i="2"/>
  <c r="BQ4" i="2"/>
  <c r="BU4" i="2"/>
  <c r="BY4" i="2"/>
  <c r="CC4" i="2"/>
  <c r="C1" i="2"/>
  <c r="G1" i="2"/>
  <c r="M1" i="2"/>
  <c r="R1" i="2"/>
  <c r="W1" i="2"/>
  <c r="AC1" i="2"/>
  <c r="AH1" i="2"/>
  <c r="AM1" i="2"/>
  <c r="AS1" i="2"/>
  <c r="AX1" i="2"/>
  <c r="BC1" i="2"/>
  <c r="BI1" i="2"/>
  <c r="BN1" i="2"/>
  <c r="BR1" i="2"/>
  <c r="BV1" i="2"/>
  <c r="BZ1" i="2"/>
  <c r="CD1" i="2"/>
  <c r="F2" i="2"/>
  <c r="J2" i="2"/>
  <c r="N2" i="2"/>
  <c r="R2" i="2"/>
  <c r="V2" i="2"/>
  <c r="Z2" i="2"/>
  <c r="AD2" i="2"/>
  <c r="AH2" i="2"/>
  <c r="AL2" i="2"/>
  <c r="AP2" i="2"/>
  <c r="AT2" i="2"/>
  <c r="AX2" i="2"/>
  <c r="BB2" i="2"/>
  <c r="BF2" i="2"/>
  <c r="BJ2" i="2"/>
  <c r="BN2" i="2"/>
  <c r="BR2" i="2"/>
  <c r="BV2" i="2"/>
  <c r="BZ2" i="2"/>
  <c r="CD2" i="2"/>
  <c r="F3" i="2"/>
  <c r="J3" i="2"/>
  <c r="N3" i="2"/>
  <c r="R3" i="2"/>
  <c r="V3" i="2"/>
  <c r="Z3" i="2"/>
  <c r="AD3" i="2"/>
  <c r="AH3" i="2"/>
  <c r="AL3" i="2"/>
  <c r="AP3" i="2"/>
  <c r="AT3" i="2"/>
  <c r="AX3" i="2"/>
  <c r="BB3" i="2"/>
  <c r="BF3" i="2"/>
  <c r="BJ3" i="2"/>
  <c r="CA4" i="2"/>
  <c r="BS4" i="2"/>
  <c r="BK4" i="2"/>
  <c r="BC4" i="2"/>
  <c r="AU4" i="2"/>
  <c r="AM4" i="2"/>
  <c r="AE4" i="2"/>
  <c r="W4" i="2"/>
  <c r="O4" i="2"/>
  <c r="G4" i="2"/>
  <c r="CA3" i="2"/>
  <c r="BS3" i="2"/>
  <c r="BK3" i="2"/>
  <c r="AU3" i="2"/>
  <c r="AE3" i="2"/>
  <c r="O3" i="2"/>
  <c r="CA2" i="2"/>
  <c r="BK2" i="2"/>
  <c r="AU2" i="2"/>
  <c r="AE2" i="2"/>
  <c r="O2" i="2"/>
  <c r="CA1" i="2"/>
  <c r="BJ1" i="2"/>
  <c r="AO1" i="2"/>
  <c r="S1" i="2"/>
  <c r="CN5" i="2"/>
  <c r="CI5" i="2"/>
  <c r="CW6" i="2"/>
  <c r="CQ7" i="2"/>
  <c r="CY8" i="2"/>
  <c r="CI10" i="2"/>
  <c r="CI11" i="2"/>
  <c r="CW12" i="2"/>
  <c r="CQ13" i="2"/>
  <c r="CK14" i="2"/>
  <c r="CG15" i="2"/>
  <c r="DB15" i="2"/>
  <c r="CY17" i="2"/>
  <c r="CZ18" i="2"/>
  <c r="CZ19" i="2"/>
  <c r="CG21" i="2"/>
  <c r="DB21" i="2"/>
  <c r="CX22" i="2"/>
  <c r="CQ23" i="2"/>
  <c r="CY24" i="2"/>
  <c r="CI26" i="2"/>
  <c r="CW27" i="2"/>
  <c r="CQ28" i="2"/>
  <c r="DB5" i="2"/>
  <c r="CX6" i="2"/>
  <c r="CE8" i="2"/>
  <c r="CE9" i="2"/>
  <c r="CN10" i="2"/>
  <c r="CW11" i="2"/>
  <c r="CQ12" i="2"/>
  <c r="CY13" i="2"/>
  <c r="CY15" i="2"/>
  <c r="CZ16" i="2"/>
  <c r="CZ17" i="2"/>
  <c r="CN19" i="2"/>
  <c r="CK20" i="2"/>
  <c r="CH21" i="2"/>
  <c r="CH23" i="2"/>
  <c r="CM24" i="2"/>
  <c r="CM25" i="2"/>
  <c r="CM5" i="2"/>
  <c r="CE7" i="2"/>
  <c r="CN8" i="2"/>
  <c r="CW9" i="2"/>
  <c r="CQ10" i="2"/>
  <c r="CK11" i="2"/>
  <c r="CH12" i="2"/>
  <c r="CM13" i="2"/>
  <c r="CM14" i="2"/>
  <c r="CM15" i="2"/>
  <c r="DA16" i="2"/>
  <c r="CG18" i="2"/>
  <c r="DB18" i="2"/>
  <c r="CX19" i="2"/>
  <c r="CE21" i="2"/>
  <c r="CE22" i="2"/>
  <c r="CE23" i="2"/>
  <c r="CN24" i="2"/>
  <c r="CW25" i="2"/>
  <c r="CQ26" i="2"/>
  <c r="CG8" i="2"/>
  <c r="CH11" i="2"/>
  <c r="CW14" i="2"/>
  <c r="CY19" i="2"/>
  <c r="DA23" i="2"/>
  <c r="CQ27" i="2"/>
  <c r="CH29" i="2"/>
  <c r="CM30" i="2"/>
  <c r="CM31" i="2"/>
  <c r="DA32" i="2"/>
  <c r="CN34" i="2"/>
  <c r="CW35" i="2"/>
  <c r="CQ36" i="2"/>
  <c r="CK37" i="2"/>
  <c r="CG38" i="2"/>
  <c r="DB38" i="2"/>
  <c r="CX39" i="2"/>
  <c r="CH41" i="2"/>
  <c r="CE43" i="2"/>
  <c r="CE44" i="2"/>
  <c r="CN45" i="2"/>
  <c r="CW46" i="2"/>
  <c r="CQ47" i="2"/>
  <c r="CK48" i="2"/>
  <c r="CH49" i="2"/>
  <c r="CE51" i="2"/>
  <c r="CI6" i="2"/>
  <c r="CK9" i="2"/>
  <c r="CW13" i="2"/>
  <c r="CX24" i="2"/>
  <c r="DB26" i="2"/>
  <c r="CW28" i="2"/>
  <c r="CZ29" i="2"/>
  <c r="CN31" i="2"/>
  <c r="CK32" i="2"/>
  <c r="CG33" i="2"/>
  <c r="DB33" i="2"/>
  <c r="CX34" i="2"/>
  <c r="CQ35" i="2"/>
  <c r="CY36" i="2"/>
  <c r="CY38" i="2"/>
  <c r="CI40" i="2"/>
  <c r="CI41" i="2"/>
  <c r="CI42" i="2"/>
  <c r="CW43" i="2"/>
  <c r="DA44" i="2"/>
  <c r="CX45" i="2"/>
  <c r="CQ46" i="2"/>
  <c r="CY47" i="2"/>
  <c r="CI49" i="2"/>
  <c r="CI50" i="2"/>
  <c r="CW51" i="2"/>
  <c r="CQ52" i="2"/>
  <c r="DA7" i="2"/>
  <c r="CM12" i="2"/>
  <c r="CX16" i="2"/>
  <c r="CE20" i="2"/>
  <c r="CG24" i="2"/>
  <c r="CX26" i="2"/>
  <c r="CM28" i="2"/>
  <c r="DA29" i="2"/>
  <c r="CX30" i="2"/>
  <c r="CQ31" i="2"/>
  <c r="CY32" i="2"/>
  <c r="CY34" i="2"/>
  <c r="CI36" i="2"/>
  <c r="CI37" i="2"/>
  <c r="CI38" i="2"/>
  <c r="CI39" i="2"/>
  <c r="CW40" i="2"/>
  <c r="DA41" i="2"/>
  <c r="CG43" i="2"/>
  <c r="DB43" i="2"/>
  <c r="CX44" i="2"/>
  <c r="CH46" i="2"/>
  <c r="CM47" i="2"/>
  <c r="CM48" i="2"/>
  <c r="CI28" i="2"/>
  <c r="CW39" i="2"/>
  <c r="CK42" i="2"/>
  <c r="CY44" i="2"/>
  <c r="CZ48" i="2"/>
  <c r="DB50" i="2"/>
  <c r="CM52" i="2"/>
  <c r="CM53" i="2"/>
  <c r="CM54" i="2"/>
  <c r="DA55" i="2"/>
  <c r="CX56" i="2"/>
  <c r="CQ57" i="2"/>
  <c r="CK58" i="2"/>
  <c r="CH59" i="2"/>
  <c r="CH61" i="2"/>
  <c r="CH63" i="2"/>
  <c r="CH65" i="2"/>
  <c r="CW21" i="2"/>
  <c r="CG29" i="2"/>
  <c r="CE35" i="2"/>
  <c r="CX40" i="2"/>
  <c r="CG49" i="2"/>
  <c r="CK51" i="2"/>
  <c r="CZ52" i="2"/>
  <c r="CN54" i="2"/>
  <c r="CK55" i="2"/>
  <c r="CH56" i="2"/>
  <c r="CH58" i="2"/>
  <c r="CM59" i="2"/>
  <c r="CM60" i="2"/>
  <c r="CM61" i="2"/>
  <c r="CM62" i="2"/>
  <c r="CM63" i="2"/>
  <c r="CM64" i="2"/>
  <c r="CM65" i="2"/>
  <c r="DB17" i="2"/>
  <c r="CH26" i="2"/>
  <c r="CK29" i="2"/>
  <c r="CI32" i="2"/>
  <c r="CI34" i="2"/>
  <c r="CN36" i="2"/>
  <c r="CK41" i="2"/>
  <c r="CE46" i="2"/>
  <c r="CQ50" i="2"/>
  <c r="CE52" i="2"/>
  <c r="CQ53" i="2"/>
  <c r="CK54" i="2"/>
  <c r="CH55" i="2"/>
  <c r="CM56" i="2"/>
  <c r="CM57" i="2"/>
  <c r="CM58" i="2"/>
  <c r="DA59" i="2"/>
  <c r="CN61" i="2"/>
  <c r="CW62" i="2"/>
  <c r="DA63" i="2"/>
  <c r="CN65" i="2"/>
  <c r="CY18" i="2"/>
  <c r="CY31" i="2"/>
  <c r="CM35" i="2"/>
  <c r="CG40" i="2"/>
  <c r="CI45" i="2"/>
  <c r="CN47" i="2"/>
  <c r="CW49" i="2"/>
  <c r="CX51" i="2"/>
  <c r="CH54" i="2"/>
  <c r="CM55" i="2"/>
  <c r="DA56" i="2"/>
  <c r="CN58" i="2"/>
  <c r="CK59" i="2"/>
  <c r="CG60" i="2"/>
  <c r="DB60" i="2"/>
  <c r="CX61" i="2"/>
  <c r="CQ62" i="2"/>
  <c r="CQ65" i="2"/>
  <c r="O71" i="2"/>
  <c r="AE71" i="2"/>
  <c r="AU71" i="2"/>
  <c r="I75" i="2"/>
  <c r="Y75" i="2"/>
  <c r="AO75" i="2"/>
  <c r="BE75" i="2"/>
  <c r="BU75" i="2"/>
  <c r="CO5" i="3"/>
  <c r="CI7" i="3"/>
  <c r="CN8" i="3"/>
  <c r="CP10" i="3"/>
  <c r="CF12" i="3"/>
  <c r="CO13" i="3"/>
  <c r="CI15" i="3"/>
  <c r="CN16" i="3"/>
  <c r="CP18" i="3"/>
  <c r="CF20" i="3"/>
  <c r="CO21" i="3"/>
  <c r="CI23" i="3"/>
  <c r="CN24" i="3"/>
  <c r="CP26" i="3"/>
  <c r="CF28" i="3"/>
  <c r="CO29" i="3"/>
  <c r="CI31" i="3"/>
  <c r="CN32" i="3"/>
  <c r="CP34" i="3"/>
  <c r="CF36" i="3"/>
  <c r="CO37" i="3"/>
  <c r="CI39" i="3"/>
  <c r="CN40" i="3"/>
  <c r="CP42" i="3"/>
  <c r="CF44" i="3"/>
  <c r="CO45" i="3"/>
  <c r="CI47" i="3"/>
  <c r="CG5" i="2"/>
  <c r="DA5" i="2"/>
  <c r="CK7" i="2"/>
  <c r="CH9" i="2"/>
  <c r="CZ10" i="2"/>
  <c r="CN12" i="2"/>
  <c r="CX13" i="2"/>
  <c r="CX14" i="2"/>
  <c r="CX15" i="2"/>
  <c r="CE18" i="2"/>
  <c r="CI19" i="2"/>
  <c r="DA20" i="2"/>
  <c r="CG22" i="2"/>
  <c r="CG23" i="2"/>
  <c r="CH24" i="2"/>
  <c r="CM26" i="2"/>
  <c r="CG28" i="2"/>
  <c r="CX5" i="2"/>
  <c r="DB6" i="2"/>
  <c r="CM8" i="2"/>
  <c r="CZ9" i="2"/>
  <c r="DA11" i="2"/>
  <c r="DB12" i="2"/>
  <c r="CH15" i="2"/>
  <c r="CE17" i="2"/>
  <c r="CW18" i="2"/>
  <c r="CG20" i="2"/>
  <c r="CY21" i="2"/>
  <c r="CE24" i="2"/>
  <c r="CI25" i="2"/>
  <c r="CY5" i="2"/>
  <c r="CM7" i="2"/>
  <c r="CN9" i="2"/>
  <c r="CX10" i="2"/>
  <c r="CX11" i="2"/>
  <c r="CI13" i="2"/>
  <c r="CZ14" i="2"/>
  <c r="CN16" i="2"/>
  <c r="DA17" i="2"/>
  <c r="CG19" i="2"/>
  <c r="CH20" i="2"/>
  <c r="CZ21" i="2"/>
  <c r="CI23" i="2"/>
  <c r="DA24" i="2"/>
  <c r="CK26" i="2"/>
  <c r="CX8" i="2"/>
  <c r="CZ12" i="2"/>
  <c r="CQ17" i="2"/>
  <c r="CX25" i="2"/>
  <c r="CE28" i="2"/>
  <c r="CI30" i="2"/>
  <c r="CZ31" i="2"/>
  <c r="CW33" i="2"/>
  <c r="CN35" i="2"/>
  <c r="CX36" i="2"/>
  <c r="CX37" i="2"/>
  <c r="CX38" i="2"/>
  <c r="DB39" i="2"/>
  <c r="CH42" i="2"/>
  <c r="CZ43" i="2"/>
  <c r="CW45" i="2"/>
  <c r="CG47" i="2"/>
  <c r="CG48" i="2"/>
  <c r="CY49" i="2"/>
  <c r="CM51" i="2"/>
  <c r="DB8" i="2"/>
  <c r="DA14" i="2"/>
  <c r="DB25" i="2"/>
  <c r="CX27" i="2"/>
  <c r="CN30" i="2"/>
  <c r="DA31" i="2"/>
  <c r="DB32" i="2"/>
  <c r="CG34" i="2"/>
  <c r="CG35" i="2"/>
  <c r="CH36" i="2"/>
  <c r="CH39" i="2"/>
  <c r="CZ40" i="2"/>
  <c r="CE42" i="2"/>
  <c r="DA43" i="2"/>
  <c r="CK45" i="2"/>
  <c r="CK46" i="2"/>
  <c r="CH48" i="2"/>
  <c r="CZ49" i="2"/>
  <c r="CN51" i="2"/>
  <c r="CX52" i="2"/>
  <c r="CQ9" i="2"/>
  <c r="CG16" i="2"/>
  <c r="CZ20" i="2"/>
  <c r="CK25" i="2"/>
  <c r="CH28" i="2"/>
  <c r="CG30" i="2"/>
  <c r="CG31" i="2"/>
  <c r="CH32" i="2"/>
  <c r="CH35" i="2"/>
  <c r="CZ36" i="2"/>
  <c r="CE38" i="2"/>
  <c r="CM39" i="2"/>
  <c r="CN41" i="2"/>
  <c r="DA42" i="2"/>
  <c r="CG44" i="2"/>
  <c r="CH45" i="2"/>
  <c r="CI47" i="2"/>
  <c r="CK16" i="2"/>
  <c r="CN38" i="2"/>
  <c r="DB41" i="2"/>
  <c r="CM45" i="2"/>
  <c r="CQ49" i="2"/>
  <c r="CH52" i="2"/>
  <c r="CZ53" i="2"/>
  <c r="CN55" i="2"/>
  <c r="CQ56" i="2"/>
  <c r="CX57" i="2"/>
  <c r="CX58" i="2"/>
  <c r="CY60" i="2"/>
  <c r="CY63" i="2"/>
  <c r="CH5" i="2"/>
  <c r="CN28" i="2"/>
  <c r="CW36" i="2"/>
  <c r="CX42" i="2"/>
  <c r="CW50" i="2"/>
  <c r="CN53" i="2"/>
  <c r="DA54" i="2"/>
  <c r="DB55" i="2"/>
  <c r="CY58" i="2"/>
  <c r="CE60" i="2"/>
  <c r="CI61" i="2"/>
  <c r="CZ62" i="2"/>
  <c r="CK5" i="2"/>
  <c r="DA6" i="2"/>
  <c r="CH8" i="2"/>
  <c r="CE11" i="2"/>
  <c r="CG13" i="2"/>
  <c r="CQ14" i="2"/>
  <c r="CH16" i="2"/>
  <c r="CM18" i="2"/>
  <c r="CW20" i="2"/>
  <c r="CK22" i="2"/>
  <c r="CX23" i="2"/>
  <c r="CE26" i="2"/>
  <c r="CK28" i="2"/>
  <c r="CK6" i="2"/>
  <c r="CI8" i="2"/>
  <c r="CW10" i="2"/>
  <c r="CK12" i="2"/>
  <c r="CY14" i="2"/>
  <c r="CI17" i="2"/>
  <c r="CW19" i="2"/>
  <c r="DB20" i="2"/>
  <c r="CI24" i="2"/>
  <c r="CN26" i="2"/>
  <c r="CI7" i="2"/>
  <c r="DA9" i="2"/>
  <c r="CG11" i="2"/>
  <c r="CE13" i="2"/>
  <c r="CE15" i="2"/>
  <c r="CN17" i="2"/>
  <c r="CX18" i="2"/>
  <c r="CY20" i="2"/>
  <c r="CM22" i="2"/>
  <c r="CW24" i="2"/>
  <c r="CE6" i="2"/>
  <c r="CX9" i="2"/>
  <c r="CQ16" i="2"/>
  <c r="DA26" i="2"/>
  <c r="CY29" i="2"/>
  <c r="CI31" i="2"/>
  <c r="DA33" i="2"/>
  <c r="CG36" i="2"/>
  <c r="CQ37" i="2"/>
  <c r="CG39" i="2"/>
  <c r="CY40" i="2"/>
  <c r="CM43" i="2"/>
  <c r="DA45" i="2"/>
  <c r="CX47" i="2"/>
  <c r="DB48" i="2"/>
  <c r="CZ5" i="2"/>
  <c r="CY10" i="2"/>
  <c r="CG25" i="2"/>
  <c r="CE29" i="2"/>
  <c r="DA30" i="2"/>
  <c r="CX32" i="2"/>
  <c r="CK34" i="2"/>
  <c r="CX35" i="2"/>
  <c r="CH38" i="2"/>
  <c r="CE41" i="2"/>
  <c r="CZ42" i="2"/>
  <c r="CG45" i="2"/>
  <c r="CX46" i="2"/>
  <c r="CE49" i="2"/>
  <c r="CZ50" i="2"/>
  <c r="DB52" i="2"/>
  <c r="DA13" i="2"/>
  <c r="CH19" i="2"/>
  <c r="CQ25" i="2"/>
  <c r="CN29" i="2"/>
  <c r="DB30" i="2"/>
  <c r="CH33" i="2"/>
  <c r="CE36" i="2"/>
  <c r="CZ37" i="2"/>
  <c r="CZ39" i="2"/>
  <c r="CN42" i="2"/>
  <c r="CX43" i="2"/>
  <c r="CY45" i="2"/>
  <c r="CE48" i="2"/>
  <c r="DB29" i="2"/>
  <c r="CQ42" i="2"/>
  <c r="CN48" i="2"/>
  <c r="CY51" i="2"/>
  <c r="CE54" i="2"/>
  <c r="CG56" i="2"/>
  <c r="CK57" i="2"/>
  <c r="DB58" i="2"/>
  <c r="CH62" i="2"/>
  <c r="CY65" i="2"/>
  <c r="CE32" i="2"/>
  <c r="DA39" i="2"/>
  <c r="CK50" i="2"/>
  <c r="CW53" i="2"/>
  <c r="CQ55" i="2"/>
  <c r="CY57" i="2"/>
  <c r="CI60" i="2"/>
  <c r="CE62" i="2"/>
  <c r="CZ63" i="2"/>
  <c r="CE65" i="2"/>
  <c r="DB16" i="2"/>
  <c r="CM27" i="2"/>
  <c r="CH30" i="2"/>
  <c r="CZ33" i="2"/>
  <c r="DA36" i="2"/>
  <c r="DB42" i="2"/>
  <c r="CN50" i="2"/>
  <c r="DA52" i="2"/>
  <c r="DB53" i="2"/>
  <c r="DB54" i="2"/>
  <c r="CZ56" i="2"/>
  <c r="CE58" i="2"/>
  <c r="CW59" i="2"/>
  <c r="CW61" i="2"/>
  <c r="CN63" i="2"/>
  <c r="DA64" i="2"/>
  <c r="CY26" i="2"/>
  <c r="CM33" i="2"/>
  <c r="CW38" i="2"/>
  <c r="CZ45" i="2"/>
  <c r="CW48" i="2"/>
  <c r="CG51" i="2"/>
  <c r="CY54" i="2"/>
  <c r="CN56" i="2"/>
  <c r="DA57" i="2"/>
  <c r="CQ59" i="2"/>
  <c r="CQ60" i="2"/>
  <c r="CQ61" i="2"/>
  <c r="CX62" i="2"/>
  <c r="G71" i="2"/>
  <c r="CQ5" i="2"/>
  <c r="CX7" i="2"/>
  <c r="CM10" i="2"/>
  <c r="CK13" i="2"/>
  <c r="CK15" i="2"/>
  <c r="CI18" i="2"/>
  <c r="CK21" i="2"/>
  <c r="DB22" i="2"/>
  <c r="CY25" i="2"/>
  <c r="CX28" i="2"/>
  <c r="CH7" i="2"/>
  <c r="CM9" i="2"/>
  <c r="CX12" i="2"/>
  <c r="CI16" i="2"/>
  <c r="DA18" i="2"/>
  <c r="CH22" i="2"/>
  <c r="CE25" i="2"/>
  <c r="CY6" i="2"/>
  <c r="CG10" i="2"/>
  <c r="DB11" i="2"/>
  <c r="CI14" i="2"/>
  <c r="CW17" i="2"/>
  <c r="CQ19" i="2"/>
  <c r="CI22" i="2"/>
  <c r="CN25" i="2"/>
  <c r="CN7" i="2"/>
  <c r="DA15" i="2"/>
  <c r="CI27" i="2"/>
  <c r="CZ30" i="2"/>
  <c r="CN33" i="2"/>
  <c r="CK36" i="2"/>
  <c r="CK38" i="2"/>
  <c r="CH40" i="2"/>
  <c r="CI44" i="2"/>
  <c r="DA46" i="2"/>
  <c r="CX48" i="2"/>
  <c r="CW7" i="2"/>
  <c r="CH18" i="2"/>
  <c r="CK27" i="2"/>
  <c r="CW31" i="2"/>
  <c r="CQ33" i="2"/>
  <c r="CK35" i="2"/>
  <c r="CY39" i="2"/>
  <c r="CZ41" i="2"/>
  <c r="CW44" i="2"/>
  <c r="DB46" i="2"/>
  <c r="CE50" i="2"/>
  <c r="CK52" i="2"/>
  <c r="CN15" i="2"/>
  <c r="CW22" i="2"/>
  <c r="CY28" i="2"/>
  <c r="CK31" i="2"/>
  <c r="CH34" i="2"/>
  <c r="CM37" i="2"/>
  <c r="CN40" i="2"/>
  <c r="CK43" i="2"/>
  <c r="DB44" i="2"/>
  <c r="CI48" i="2"/>
  <c r="CK40" i="2"/>
  <c r="CM46" i="2"/>
  <c r="CY52" i="2"/>
  <c r="CZ54" i="2"/>
  <c r="CG57" i="2"/>
  <c r="CY59" i="2"/>
  <c r="CH64" i="2"/>
  <c r="CH27" i="2"/>
  <c r="CG41" i="2"/>
  <c r="CI52" i="2"/>
  <c r="CG55" i="2"/>
  <c r="CE59" i="2"/>
  <c r="CE61" i="2"/>
  <c r="CI63" i="2"/>
  <c r="CI65" i="2"/>
  <c r="CK24" i="2"/>
  <c r="CQ29" i="2"/>
  <c r="CZ34" i="2"/>
  <c r="DB40" i="2"/>
  <c r="DB49" i="2"/>
  <c r="CG53" i="2"/>
  <c r="CQ54" i="2"/>
  <c r="CI56" i="2"/>
  <c r="CI58" i="2"/>
  <c r="CW60" i="2"/>
  <c r="DA62" i="2"/>
  <c r="CW65" i="2"/>
  <c r="CY30" i="2"/>
  <c r="DA37" i="2"/>
  <c r="CI46" i="2"/>
  <c r="CG50" i="2"/>
  <c r="CY53" i="2"/>
  <c r="CW56" i="2"/>
  <c r="DA58" i="2"/>
  <c r="CK60" i="2"/>
  <c r="DB61" i="2"/>
  <c r="CQ64" i="2"/>
  <c r="W71" i="2"/>
  <c r="AQ71" i="2"/>
  <c r="M75" i="2"/>
  <c r="AG75" i="2"/>
  <c r="BA75" i="2"/>
  <c r="BY75" i="2"/>
  <c r="CP6" i="3"/>
  <c r="CJ8" i="3"/>
  <c r="CE11" i="3"/>
  <c r="CN12" i="3"/>
  <c r="CE15" i="3"/>
  <c r="CG17" i="3"/>
  <c r="CI19" i="3"/>
  <c r="CG21" i="3"/>
  <c r="CQ23" i="3"/>
  <c r="CO25" i="3"/>
  <c r="CQ27" i="3"/>
  <c r="CH30" i="3"/>
  <c r="CF32" i="3"/>
  <c r="CH34" i="3"/>
  <c r="CJ36" i="3"/>
  <c r="CP38" i="3"/>
  <c r="CJ40" i="3"/>
  <c r="CE43" i="3"/>
  <c r="CN44" i="3"/>
  <c r="CE47" i="3"/>
  <c r="CN48" i="3"/>
  <c r="CP50" i="3"/>
  <c r="CF52" i="3"/>
  <c r="CK63" i="2"/>
  <c r="CX64" i="2"/>
  <c r="CK64" i="2"/>
  <c r="DB7" i="2"/>
  <c r="CZ11" i="2"/>
  <c r="DB14" i="2"/>
  <c r="CE19" i="2"/>
  <c r="CX21" i="2"/>
  <c r="CH25" i="2"/>
  <c r="DB28" i="2"/>
  <c r="CZ8" i="2"/>
  <c r="CG12" i="2"/>
  <c r="CM16" i="2"/>
  <c r="CQ20" i="2"/>
  <c r="CZ24" i="2"/>
  <c r="CZ7" i="2"/>
  <c r="DB10" i="2"/>
  <c r="CE14" i="2"/>
  <c r="CK18" i="2"/>
  <c r="CI21" i="2"/>
  <c r="CZ23" i="2"/>
  <c r="CG9" i="2"/>
  <c r="DA21" i="2"/>
  <c r="CE30" i="2"/>
  <c r="CW34" i="2"/>
  <c r="CG37" i="2"/>
  <c r="CQ39" i="2"/>
  <c r="CM44" i="2"/>
  <c r="DB47" i="2"/>
  <c r="CI51" i="2"/>
  <c r="CN22" i="2"/>
  <c r="CM29" i="2"/>
  <c r="CK33" i="2"/>
  <c r="DB35" i="2"/>
  <c r="CM40" i="2"/>
  <c r="CN44" i="2"/>
  <c r="CH47" i="2"/>
  <c r="DA51" i="2"/>
  <c r="CY11" i="2"/>
  <c r="DB24" i="2"/>
  <c r="CK30" i="2"/>
  <c r="CY33" i="2"/>
  <c r="CM38" i="2"/>
  <c r="CW41" i="2"/>
  <c r="CQ44" i="2"/>
  <c r="CK17" i="2"/>
  <c r="CH43" i="2"/>
  <c r="CH51" i="2"/>
  <c r="CW55" i="2"/>
  <c r="CG58" i="2"/>
  <c r="CY62" i="2"/>
  <c r="CE33" i="2"/>
  <c r="DA49" i="2"/>
  <c r="CW54" i="2"/>
  <c r="CI59" i="2"/>
  <c r="CI62" i="2"/>
  <c r="CZ64" i="2"/>
  <c r="CQ24" i="2"/>
  <c r="CZ32" i="2"/>
  <c r="CW37" i="2"/>
  <c r="CX50" i="2"/>
  <c r="CX53" i="2"/>
  <c r="CE56" i="2"/>
  <c r="CZ58" i="2"/>
  <c r="DA61" i="2"/>
  <c r="CW64" i="2"/>
  <c r="CM32" i="2"/>
  <c r="CG42" i="2"/>
  <c r="CK49" i="2"/>
  <c r="CE55" i="2"/>
  <c r="CW57" i="2"/>
  <c r="DB59" i="2"/>
  <c r="CG62" i="2"/>
  <c r="K71" i="2"/>
  <c r="AM71" i="2"/>
  <c r="Q75" i="2"/>
  <c r="AS75" i="2"/>
  <c r="BQ75" i="2"/>
  <c r="CE7" i="3"/>
  <c r="CO9" i="3"/>
  <c r="CJ12" i="3"/>
  <c r="CQ15" i="3"/>
  <c r="CH18" i="3"/>
  <c r="CN20" i="3"/>
  <c r="CF24" i="3"/>
  <c r="CE27" i="3"/>
  <c r="CG29" i="3"/>
  <c r="CJ32" i="3"/>
  <c r="CI35" i="3"/>
  <c r="CH38" i="3"/>
  <c r="CG41" i="3"/>
  <c r="CQ43" i="3"/>
  <c r="CP46" i="3"/>
  <c r="CG49" i="3"/>
  <c r="CI51" i="3"/>
  <c r="CG53" i="3"/>
  <c r="CG65" i="2"/>
  <c r="CK65" i="2"/>
  <c r="M71" i="2"/>
  <c r="AC71" i="2"/>
  <c r="AS71" i="2"/>
  <c r="G75" i="2"/>
  <c r="W75" i="2"/>
  <c r="AM75" i="2"/>
  <c r="BC75" i="2"/>
  <c r="BS75" i="2"/>
  <c r="N71" i="2"/>
  <c r="AT71" i="2"/>
  <c r="T75" i="2"/>
  <c r="AZ75" i="2"/>
  <c r="CH5" i="3"/>
  <c r="CO7" i="3"/>
  <c r="CQ9" i="3"/>
  <c r="CI12" i="3"/>
  <c r="CP13" i="3"/>
  <c r="CH16" i="3"/>
  <c r="CJ18" i="3"/>
  <c r="CG20" i="3"/>
  <c r="CN22" i="3"/>
  <c r="CP24" i="3"/>
  <c r="CH27" i="3"/>
  <c r="CE29" i="3"/>
  <c r="CQ30" i="3"/>
  <c r="CN33" i="3"/>
  <c r="CF35" i="3"/>
  <c r="CH37" i="3"/>
  <c r="CO39" i="3"/>
  <c r="CQ41" i="3"/>
  <c r="CI44" i="3"/>
  <c r="CP45" i="3"/>
  <c r="CH48" i="3"/>
  <c r="CJ50" i="3"/>
  <c r="CG52" i="3"/>
  <c r="D55" i="3"/>
  <c r="T55" i="3"/>
  <c r="AJ55" i="3"/>
  <c r="AZ55" i="3"/>
  <c r="N59" i="3"/>
  <c r="AD59" i="3"/>
  <c r="AT59" i="3"/>
  <c r="E60" i="3"/>
  <c r="U60" i="3"/>
  <c r="AK60" i="3"/>
  <c r="BA60" i="3"/>
  <c r="X71" i="2"/>
  <c r="BD71" i="2"/>
  <c r="AD75" i="2"/>
  <c r="BJ75" i="2"/>
  <c r="CN5" i="3"/>
  <c r="CF7" i="3"/>
  <c r="CH9" i="3"/>
  <c r="CO11" i="3"/>
  <c r="CQ13" i="3"/>
  <c r="CI16" i="3"/>
  <c r="CP17" i="3"/>
  <c r="CH20" i="3"/>
  <c r="CJ22" i="3"/>
  <c r="CG24" i="3"/>
  <c r="CN26" i="3"/>
  <c r="CP28" i="3"/>
  <c r="CH31" i="3"/>
  <c r="CE33" i="3"/>
  <c r="CQ34" i="3"/>
  <c r="CN37" i="3"/>
  <c r="CF39" i="3"/>
  <c r="CW5" i="2"/>
  <c r="CY9" i="2"/>
  <c r="DA12" i="2"/>
  <c r="CQ15" i="2"/>
  <c r="CM19" i="2"/>
  <c r="CQ22" i="2"/>
  <c r="CZ26" i="2"/>
  <c r="CG6" i="2"/>
  <c r="CI9" i="2"/>
  <c r="CH13" i="2"/>
  <c r="CM17" i="2"/>
  <c r="CX20" i="2"/>
  <c r="CZ25" i="2"/>
  <c r="CW8" i="2"/>
  <c r="CQ11" i="2"/>
  <c r="CI15" i="2"/>
  <c r="CQ18" i="2"/>
  <c r="CM21" i="2"/>
  <c r="DA25" i="2"/>
  <c r="CE12" i="2"/>
  <c r="CN23" i="2"/>
  <c r="CE31" i="2"/>
  <c r="DA34" i="2"/>
  <c r="DB37" i="2"/>
  <c r="CY41" i="2"/>
  <c r="CZ44" i="2"/>
  <c r="CQ48" i="2"/>
  <c r="CK8" i="2"/>
  <c r="CW26" i="2"/>
  <c r="CW30" i="2"/>
  <c r="CX33" i="2"/>
  <c r="CH37" i="2"/>
  <c r="CM41" i="2"/>
  <c r="CQ45" i="2"/>
  <c r="CY48" i="2"/>
  <c r="CG52" i="2"/>
  <c r="CG17" i="2"/>
  <c r="CG27" i="2"/>
  <c r="CQ30" i="2"/>
  <c r="CY35" i="2"/>
  <c r="CZ38" i="2"/>
  <c r="CW42" i="2"/>
  <c r="CY46" i="2"/>
  <c r="DA22" i="2"/>
  <c r="CY43" i="2"/>
  <c r="CE53" i="2"/>
  <c r="CK56" i="2"/>
  <c r="CQ58" i="2"/>
  <c r="CY64" i="2"/>
  <c r="CE34" i="2"/>
  <c r="CZ51" i="2"/>
  <c r="CX55" i="2"/>
  <c r="CZ59" i="2"/>
  <c r="CE63" i="2"/>
  <c r="CZ65" i="2"/>
  <c r="CZ27" i="2"/>
  <c r="CI33" i="2"/>
  <c r="CQ41" i="2"/>
  <c r="CQ51" i="2"/>
  <c r="CG54" i="2"/>
  <c r="CE57" i="2"/>
  <c r="CN59" i="2"/>
  <c r="CN62" i="2"/>
  <c r="DA65" i="2"/>
  <c r="CM34" i="2"/>
  <c r="CH44" i="2"/>
  <c r="DA50" i="2"/>
  <c r="CI55" i="2"/>
  <c r="CW58" i="2"/>
  <c r="CX60" i="2"/>
  <c r="CK62" i="2"/>
  <c r="S71" i="2"/>
  <c r="AY71" i="2"/>
  <c r="U75" i="2"/>
  <c r="AW75" i="2"/>
  <c r="CC75" i="2"/>
  <c r="CQ7" i="3"/>
  <c r="CH10" i="3"/>
  <c r="CG13" i="3"/>
  <c r="CF16" i="3"/>
  <c r="CE19" i="3"/>
  <c r="CH22" i="3"/>
  <c r="CJ24" i="3"/>
  <c r="CI27" i="3"/>
  <c r="CP30" i="3"/>
  <c r="CG33" i="3"/>
  <c r="CQ35" i="3"/>
  <c r="CE39" i="3"/>
  <c r="CO41" i="3"/>
  <c r="CJ44" i="3"/>
  <c r="CQ47" i="3"/>
  <c r="CO49" i="3"/>
  <c r="CQ51" i="3"/>
  <c r="CQ63" i="2"/>
  <c r="CX65" i="2"/>
  <c r="DB65" i="2"/>
  <c r="Q71" i="2"/>
  <c r="AG71" i="2"/>
  <c r="AW71" i="2"/>
  <c r="K75" i="2"/>
  <c r="AA75" i="2"/>
  <c r="AQ75" i="2"/>
  <c r="BG75" i="2"/>
  <c r="BW75" i="2"/>
  <c r="V71" i="2"/>
  <c r="BB71" i="2"/>
  <c r="AB75" i="2"/>
  <c r="BH75" i="2"/>
  <c r="CI6" i="3"/>
  <c r="CE8" i="3"/>
  <c r="CG10" i="3"/>
  <c r="CO12" i="3"/>
  <c r="CF14" i="3"/>
  <c r="CI17" i="3"/>
  <c r="CO18" i="3"/>
  <c r="CQ20" i="3"/>
  <c r="CJ23" i="3"/>
  <c r="CF25" i="3"/>
  <c r="CN27" i="3"/>
  <c r="CJ29" i="3"/>
  <c r="CG31" i="3"/>
  <c r="CE34" i="3"/>
  <c r="CP35" i="3"/>
  <c r="CI38" i="3"/>
  <c r="CE40" i="3"/>
  <c r="CG42" i="3"/>
  <c r="CO44" i="3"/>
  <c r="CF46" i="3"/>
  <c r="CI49" i="3"/>
  <c r="CO50" i="3"/>
  <c r="CQ52" i="3"/>
  <c r="H55" i="3"/>
  <c r="X55" i="3"/>
  <c r="AN55" i="3"/>
  <c r="BD55" i="3"/>
  <c r="R59" i="3"/>
  <c r="AH59" i="3"/>
  <c r="AX59" i="3"/>
  <c r="I60" i="3"/>
  <c r="Y60" i="3"/>
  <c r="AO60" i="3"/>
  <c r="BE60" i="3"/>
  <c r="AF71" i="2"/>
  <c r="F75" i="2"/>
  <c r="AL75" i="2"/>
  <c r="BR75" i="2"/>
  <c r="CE6" i="3"/>
  <c r="CP7" i="3"/>
  <c r="CI10" i="3"/>
  <c r="CE12" i="3"/>
  <c r="CG14" i="3"/>
  <c r="CO16" i="3"/>
  <c r="CF18" i="3"/>
  <c r="CI21" i="3"/>
  <c r="CO22" i="3"/>
  <c r="CQ24" i="3"/>
  <c r="CJ27" i="3"/>
  <c r="CF29" i="3"/>
  <c r="CN31" i="3"/>
  <c r="CJ33" i="3"/>
  <c r="CG35" i="3"/>
  <c r="CE38" i="3"/>
  <c r="CP39" i="3"/>
  <c r="CI42" i="3"/>
  <c r="CE44" i="3"/>
  <c r="CG46" i="3"/>
  <c r="CO48" i="3"/>
  <c r="CF50" i="3"/>
  <c r="CI53" i="3"/>
  <c r="M55" i="3"/>
  <c r="AC55" i="3"/>
  <c r="AS55" i="3"/>
  <c r="C59" i="3"/>
  <c r="S59" i="3"/>
  <c r="AI59" i="3"/>
  <c r="AY59" i="3"/>
  <c r="N60" i="3"/>
  <c r="AD60" i="3"/>
  <c r="AT60" i="3"/>
  <c r="J71" i="2"/>
  <c r="AP71" i="2"/>
  <c r="P75" i="2"/>
  <c r="AV75" i="2"/>
  <c r="CB75" i="2"/>
  <c r="CF6" i="3"/>
  <c r="CI9" i="3"/>
  <c r="T71" i="2"/>
  <c r="AZ71" i="2"/>
  <c r="AH75" i="2"/>
  <c r="BN75" i="2"/>
  <c r="CQ5" i="3"/>
  <c r="CI8" i="3"/>
  <c r="CP9" i="3"/>
  <c r="CH12" i="3"/>
  <c r="CJ14" i="3"/>
  <c r="CG16" i="3"/>
  <c r="CN18" i="3"/>
  <c r="CP20" i="3"/>
  <c r="CH23" i="3"/>
  <c r="CE25" i="3"/>
  <c r="CQ26" i="3"/>
  <c r="CN29" i="3"/>
  <c r="CN14" i="3"/>
  <c r="CG23" i="3"/>
  <c r="CO30" i="3"/>
  <c r="CO35" i="3"/>
  <c r="CO40" i="3"/>
  <c r="CH44" i="3"/>
  <c r="CP47" i="3"/>
  <c r="CE52" i="3"/>
  <c r="S55" i="3"/>
  <c r="AY55" i="3"/>
  <c r="AC59" i="3"/>
  <c r="D60" i="3"/>
  <c r="AJ60" i="3"/>
  <c r="CG12" i="3"/>
  <c r="CF22" i="3"/>
  <c r="CI30" i="3"/>
  <c r="CH35" i="3"/>
  <c r="CQ38" i="3"/>
  <c r="CF43" i="3"/>
  <c r="CJ47" i="3"/>
  <c r="CN51" i="3"/>
  <c r="F55" i="3"/>
  <c r="AL55" i="3"/>
  <c r="P59" i="3"/>
  <c r="AV59" i="3"/>
  <c r="W60" i="3"/>
  <c r="BC60" i="3"/>
  <c r="CG18" i="3"/>
  <c r="CO26" i="3"/>
  <c r="CP31" i="3"/>
  <c r="CE36" i="3"/>
  <c r="CI40" i="3"/>
  <c r="CI45" i="3"/>
  <c r="CQ48" i="3"/>
  <c r="CP53" i="3"/>
  <c r="AE55" i="3"/>
  <c r="I59" i="3"/>
  <c r="AO59" i="3"/>
  <c r="P60" i="3"/>
  <c r="AV60" i="3"/>
  <c r="CI14" i="3"/>
  <c r="CQ22" i="3"/>
  <c r="CN30" i="3"/>
  <c r="CG34" i="3"/>
  <c r="CP37" i="3"/>
  <c r="CO42" i="3"/>
  <c r="CO47" i="3"/>
  <c r="CO52" i="3"/>
  <c r="Z55" i="3"/>
  <c r="BF55" i="3"/>
  <c r="AB59" i="3"/>
  <c r="C60" i="3"/>
  <c r="AI60" i="3"/>
  <c r="CN6" i="2"/>
  <c r="CE10" i="2"/>
  <c r="DB13" i="2"/>
  <c r="CY16" i="2"/>
  <c r="CN20" i="2"/>
  <c r="CK23" i="2"/>
  <c r="CN27" i="2"/>
  <c r="CQ6" i="2"/>
  <c r="DA10" i="2"/>
  <c r="CH14" i="2"/>
  <c r="CN18" i="2"/>
  <c r="CY22" i="2"/>
  <c r="CE5" i="2"/>
  <c r="DA8" i="2"/>
  <c r="CY12" i="2"/>
  <c r="CZ15" i="2"/>
  <c r="CK19" i="2"/>
  <c r="CZ22" i="2"/>
  <c r="CG26" i="2"/>
  <c r="CN13" i="2"/>
  <c r="DB27" i="2"/>
  <c r="CN32" i="2"/>
  <c r="DA35" i="2"/>
  <c r="CQ38" i="2"/>
  <c r="CY42" i="2"/>
  <c r="CN46" i="2"/>
  <c r="CH50" i="2"/>
  <c r="DB9" i="2"/>
  <c r="CE27" i="2"/>
  <c r="CG32" i="2"/>
  <c r="CQ34" i="2"/>
  <c r="CY37" i="2"/>
  <c r="CM42" i="2"/>
  <c r="DB45" i="2"/>
  <c r="CM49" i="2"/>
  <c r="CM6" i="2"/>
  <c r="CX17" i="2"/>
  <c r="CY27" i="2"/>
  <c r="CX31" i="2"/>
  <c r="CM36" i="2"/>
  <c r="CE39" i="2"/>
  <c r="CQ43" i="2"/>
  <c r="CE47" i="2"/>
  <c r="DA38" i="2"/>
  <c r="CN49" i="2"/>
  <c r="CI53" i="2"/>
  <c r="DB56" i="2"/>
  <c r="CH60" i="2"/>
  <c r="CN14" i="2"/>
  <c r="CN39" i="2"/>
  <c r="CN52" i="2"/>
  <c r="CY56" i="2"/>
  <c r="CZ60" i="2"/>
  <c r="CE64" i="2"/>
  <c r="CH10" i="2"/>
  <c r="CZ28" i="2"/>
  <c r="CI35" i="2"/>
  <c r="CE45" i="2"/>
  <c r="DB51" i="2"/>
  <c r="CX54" i="2"/>
  <c r="CI57" i="2"/>
  <c r="CN60" i="2"/>
  <c r="CW63" i="2"/>
  <c r="CW15" i="2"/>
  <c r="CN37" i="2"/>
  <c r="CZ46" i="2"/>
  <c r="CW52" i="2"/>
  <c r="CZ55" i="2"/>
  <c r="CG59" i="2"/>
  <c r="CG61" i="2"/>
  <c r="DB62" i="2"/>
  <c r="AA71" i="2"/>
  <c r="BC71" i="2"/>
  <c r="AC75" i="2"/>
  <c r="BI75" i="2"/>
  <c r="CG5" i="3"/>
  <c r="CF8" i="3"/>
  <c r="CI11" i="3"/>
  <c r="CH14" i="3"/>
  <c r="CJ16" i="3"/>
  <c r="CQ19" i="3"/>
  <c r="CP22" i="3"/>
  <c r="CG25" i="3"/>
  <c r="CJ28" i="3"/>
  <c r="CE31" i="3"/>
  <c r="CO33" i="3"/>
  <c r="CN36" i="3"/>
  <c r="CQ39" i="3"/>
  <c r="CH42" i="3"/>
  <c r="CG45" i="3"/>
  <c r="CF48" i="3"/>
  <c r="CH50" i="3"/>
  <c r="CJ52" i="3"/>
  <c r="CX63" i="2"/>
  <c r="DB63" i="2"/>
  <c r="E71" i="2"/>
  <c r="U71" i="2"/>
  <c r="AK71" i="2"/>
  <c r="BA71" i="2"/>
  <c r="O75" i="2"/>
  <c r="AE75" i="2"/>
  <c r="AU75" i="2"/>
  <c r="BK75" i="2"/>
  <c r="CA75" i="2"/>
  <c r="AD71" i="2"/>
  <c r="D75" i="2"/>
  <c r="AJ75" i="2"/>
  <c r="BP75" i="2"/>
  <c r="CN6" i="3"/>
  <c r="CP8" i="3"/>
  <c r="CH11" i="3"/>
  <c r="CE13" i="3"/>
  <c r="CQ14" i="3"/>
  <c r="CN17" i="3"/>
  <c r="CF19" i="3"/>
  <c r="CH21" i="3"/>
  <c r="CO23" i="3"/>
  <c r="CQ25" i="3"/>
  <c r="CI28" i="3"/>
  <c r="CP29" i="3"/>
  <c r="CH32" i="3"/>
  <c r="CJ34" i="3"/>
  <c r="CG36" i="3"/>
  <c r="CN38" i="3"/>
  <c r="CP40" i="3"/>
  <c r="CH43" i="3"/>
  <c r="CE45" i="3"/>
  <c r="CQ46" i="3"/>
  <c r="CN49" i="3"/>
  <c r="CF51" i="3"/>
  <c r="CH53" i="3"/>
  <c r="L55" i="3"/>
  <c r="AB55" i="3"/>
  <c r="AR55" i="3"/>
  <c r="F59" i="3"/>
  <c r="V59" i="3"/>
  <c r="AL59" i="3"/>
  <c r="BB59" i="3"/>
  <c r="M60" i="3"/>
  <c r="AC60" i="3"/>
  <c r="AS60" i="3"/>
  <c r="H71" i="2"/>
  <c r="AN71" i="2"/>
  <c r="N75" i="2"/>
  <c r="AT75" i="2"/>
  <c r="BZ75" i="2"/>
  <c r="CJ6" i="3"/>
  <c r="CG8" i="3"/>
  <c r="CN10" i="3"/>
  <c r="CP12" i="3"/>
  <c r="CH15" i="3"/>
  <c r="CE17" i="3"/>
  <c r="CQ18" i="3"/>
  <c r="CN21" i="3"/>
  <c r="CF23" i="3"/>
  <c r="CH25" i="3"/>
  <c r="CO27" i="3"/>
  <c r="CQ29" i="3"/>
  <c r="CI32" i="3"/>
  <c r="CP33" i="3"/>
  <c r="CH36" i="3"/>
  <c r="CJ38" i="3"/>
  <c r="CG40" i="3"/>
  <c r="CN42" i="3"/>
  <c r="CP44" i="3"/>
  <c r="CH47" i="3"/>
  <c r="CE49" i="3"/>
  <c r="CQ50" i="3"/>
  <c r="CN53" i="3"/>
  <c r="Q55" i="3"/>
  <c r="AG55" i="3"/>
  <c r="AW55" i="3"/>
  <c r="G59" i="3"/>
  <c r="W59" i="3"/>
  <c r="AM59" i="3"/>
  <c r="BC59" i="3"/>
  <c r="R60" i="3"/>
  <c r="AH60" i="3"/>
  <c r="AX60" i="3"/>
  <c r="R71" i="2"/>
  <c r="AX71" i="2"/>
  <c r="X75" i="2"/>
  <c r="BD75" i="2"/>
  <c r="CE5" i="3"/>
  <c r="CQ6" i="3"/>
  <c r="CN9" i="3"/>
  <c r="AB71" i="2"/>
  <c r="J75" i="2"/>
  <c r="AP75" i="2"/>
  <c r="BV75" i="2"/>
  <c r="CG6" i="3"/>
  <c r="CO8" i="3"/>
  <c r="CF10" i="3"/>
  <c r="CI13" i="3"/>
  <c r="CO14" i="3"/>
  <c r="CQ16" i="3"/>
  <c r="CJ19" i="3"/>
  <c r="CF21" i="3"/>
  <c r="CN23" i="3"/>
  <c r="CJ25" i="3"/>
  <c r="CG27" i="3"/>
  <c r="CJ10" i="3"/>
  <c r="CE16" i="3"/>
  <c r="CE26" i="3"/>
  <c r="CG32" i="3"/>
  <c r="CF37" i="3"/>
  <c r="CJ41" i="3"/>
  <c r="CN45" i="3"/>
  <c r="CH49" i="3"/>
  <c r="CP52" i="3"/>
  <c r="AA55" i="3"/>
  <c r="E59" i="3"/>
  <c r="AK59" i="3"/>
  <c r="L60" i="3"/>
  <c r="AR60" i="3"/>
  <c r="CQ17" i="3"/>
  <c r="CJ26" i="3"/>
  <c r="CO31" i="3"/>
  <c r="CO36" i="3"/>
  <c r="CH40" i="3"/>
  <c r="CP43" i="3"/>
  <c r="CE48" i="3"/>
  <c r="CI52" i="3"/>
  <c r="N55" i="3"/>
  <c r="AT55" i="3"/>
  <c r="X59" i="3"/>
  <c r="BD59" i="3"/>
  <c r="AE60" i="3"/>
  <c r="CF11" i="3"/>
  <c r="CN19" i="3"/>
  <c r="CG28" i="3"/>
  <c r="CH33" i="3"/>
  <c r="CP36" i="3"/>
  <c r="CE41" i="3"/>
  <c r="CE46" i="3"/>
  <c r="CI50" i="3"/>
  <c r="G55" i="3"/>
  <c r="AM55" i="3"/>
  <c r="Q59" i="3"/>
  <c r="AW59" i="3"/>
  <c r="X60" i="3"/>
  <c r="BD60" i="3"/>
  <c r="CO15" i="3"/>
  <c r="CH24" i="3"/>
  <c r="CJ31" i="3"/>
  <c r="CN35" i="3"/>
  <c r="CG39" i="3"/>
  <c r="CG44" i="3"/>
  <c r="CF49" i="3"/>
  <c r="CJ53" i="3"/>
  <c r="AH55" i="3"/>
  <c r="D59" i="3"/>
  <c r="AJ59" i="3"/>
  <c r="K60" i="3"/>
  <c r="AQ60" i="3"/>
  <c r="CG7" i="2"/>
  <c r="CM11" i="2"/>
  <c r="CG14" i="2"/>
  <c r="CH17" i="2"/>
  <c r="CQ21" i="2"/>
  <c r="DB23" i="2"/>
  <c r="DA27" i="2"/>
  <c r="CY7" i="2"/>
  <c r="CN11" i="2"/>
  <c r="CE16" i="2"/>
  <c r="DA19" i="2"/>
  <c r="CY23" i="2"/>
  <c r="CH6" i="2"/>
  <c r="CK10" i="2"/>
  <c r="CZ13" i="2"/>
  <c r="CW16" i="2"/>
  <c r="DB19" i="2"/>
  <c r="CM23" i="2"/>
  <c r="CZ6" i="2"/>
  <c r="CM20" i="2"/>
  <c r="DA28" i="2"/>
  <c r="CW32" i="2"/>
  <c r="DB36" i="2"/>
  <c r="CK39" i="2"/>
  <c r="CI43" i="2"/>
  <c r="CK47" i="2"/>
  <c r="CY50" i="2"/>
  <c r="CI12" i="2"/>
  <c r="CI29" i="2"/>
  <c r="CQ32" i="2"/>
  <c r="DB34" i="2"/>
  <c r="CE40" i="2"/>
  <c r="CN43" i="2"/>
  <c r="CG46" i="2"/>
  <c r="CM50" i="2"/>
  <c r="CQ8" i="2"/>
  <c r="CN21" i="2"/>
  <c r="CW29" i="2"/>
  <c r="DB31" i="2"/>
  <c r="CE37" i="2"/>
  <c r="DA40" i="2"/>
  <c r="CK44" i="2"/>
  <c r="CZ47" i="2"/>
  <c r="CQ40" i="2"/>
  <c r="CX49" i="2"/>
  <c r="CI54" i="2"/>
  <c r="DB57" i="2"/>
  <c r="CY61" i="2"/>
  <c r="CW23" i="2"/>
  <c r="DA48" i="2"/>
  <c r="DA53" i="2"/>
  <c r="CH57" i="2"/>
  <c r="CZ61" i="2"/>
  <c r="CI64" i="2"/>
  <c r="CI20" i="2"/>
  <c r="CH31" i="2"/>
  <c r="CZ35" i="2"/>
  <c r="CW47" i="2"/>
  <c r="CK53" i="2"/>
  <c r="CY55" i="2"/>
  <c r="CZ57" i="2"/>
  <c r="DA60" i="2"/>
  <c r="CN64" i="2"/>
  <c r="CX29" i="2"/>
  <c r="CX41" i="2"/>
  <c r="DA47" i="2"/>
  <c r="CH53" i="2"/>
  <c r="CN57" i="2"/>
  <c r="CX59" i="2"/>
  <c r="CK61" i="2"/>
  <c r="CG63" i="2"/>
  <c r="AI71" i="2"/>
  <c r="E75" i="2"/>
  <c r="AK75" i="2"/>
  <c r="BM75" i="2"/>
  <c r="CH6" i="3"/>
  <c r="CG9" i="3"/>
  <c r="CQ11" i="3"/>
  <c r="CP14" i="3"/>
  <c r="CO17" i="3"/>
  <c r="CJ20" i="3"/>
  <c r="CE23" i="3"/>
  <c r="CH26" i="3"/>
  <c r="CN28" i="3"/>
  <c r="CQ31" i="3"/>
  <c r="CE35" i="3"/>
  <c r="CG37" i="3"/>
  <c r="CF40" i="3"/>
  <c r="CI43" i="3"/>
  <c r="CH46" i="3"/>
  <c r="CJ48" i="3"/>
  <c r="CE51" i="3"/>
  <c r="CN52" i="3"/>
  <c r="CG64" i="2"/>
  <c r="DB64" i="2"/>
  <c r="I71" i="2"/>
  <c r="Y71" i="2"/>
  <c r="AO71" i="2"/>
  <c r="BE71" i="2"/>
  <c r="S75" i="2"/>
  <c r="AI75" i="2"/>
  <c r="AY75" i="2"/>
  <c r="BO75" i="2"/>
  <c r="F71" i="2"/>
  <c r="AL71" i="2"/>
  <c r="L75" i="2"/>
  <c r="AR75" i="2"/>
  <c r="BX75" i="2"/>
  <c r="CJ7" i="3"/>
  <c r="CN11" i="3"/>
  <c r="CJ13" i="3"/>
  <c r="CE18" i="3"/>
  <c r="CP19" i="3"/>
  <c r="CI22" i="3"/>
  <c r="CE24" i="3"/>
  <c r="CG26" i="3"/>
  <c r="CO28" i="3"/>
  <c r="CF30" i="3"/>
  <c r="CI33" i="3"/>
  <c r="CO34" i="3"/>
  <c r="CQ36" i="3"/>
  <c r="CJ39" i="3"/>
  <c r="CF41" i="3"/>
  <c r="CN43" i="3"/>
  <c r="CJ45" i="3"/>
  <c r="CG47" i="3"/>
  <c r="CE50" i="3"/>
  <c r="CP51" i="3"/>
  <c r="CQ53" i="3"/>
  <c r="P55" i="3"/>
  <c r="AF55" i="3"/>
  <c r="AV55" i="3"/>
  <c r="J59" i="3"/>
  <c r="Z59" i="3"/>
  <c r="AP59" i="3"/>
  <c r="BF59" i="3"/>
  <c r="Q60" i="3"/>
  <c r="AG60" i="3"/>
  <c r="AW60" i="3"/>
  <c r="P71" i="2"/>
  <c r="AV71" i="2"/>
  <c r="V75" i="2"/>
  <c r="BB75" i="2"/>
  <c r="CI5" i="3"/>
  <c r="CF9" i="3"/>
  <c r="CJ11" i="3"/>
  <c r="CG19" i="3"/>
  <c r="CE28" i="3"/>
  <c r="CI37" i="3"/>
  <c r="CJ43" i="3"/>
  <c r="CN47" i="3"/>
  <c r="CG51" i="3"/>
  <c r="U55" i="3"/>
  <c r="BA55" i="3"/>
  <c r="AA59" i="3"/>
  <c r="F60" i="3"/>
  <c r="AL60" i="3"/>
  <c r="Z71" i="2"/>
  <c r="AF75" i="2"/>
  <c r="CJ5" i="3"/>
  <c r="D71" i="2"/>
  <c r="R75" i="2"/>
  <c r="CD75" i="2"/>
  <c r="CE9" i="3"/>
  <c r="CN13" i="3"/>
  <c r="CH17" i="3"/>
  <c r="CQ21" i="3"/>
  <c r="CP25" i="3"/>
  <c r="CP11" i="3"/>
  <c r="CQ28" i="3"/>
  <c r="CQ37" i="3"/>
  <c r="CJ46" i="3"/>
  <c r="C55" i="3"/>
  <c r="M59" i="3"/>
  <c r="T60" i="3"/>
  <c r="CH19" i="3"/>
  <c r="CF33" i="3"/>
  <c r="CN41" i="3"/>
  <c r="CP48" i="3"/>
  <c r="V55" i="3"/>
  <c r="AF59" i="3"/>
  <c r="AM60" i="3"/>
  <c r="CE21" i="3"/>
  <c r="CN34" i="3"/>
  <c r="CP41" i="3"/>
  <c r="CO51" i="3"/>
  <c r="AU55" i="3"/>
  <c r="BE59" i="3"/>
  <c r="CE10" i="3"/>
  <c r="CN25" i="3"/>
  <c r="CI36" i="3"/>
  <c r="CQ44" i="3"/>
  <c r="J55" i="3"/>
  <c r="L59" i="3"/>
  <c r="S60" i="3"/>
  <c r="CI25" i="3"/>
  <c r="CG43" i="3"/>
  <c r="BC55" i="3"/>
  <c r="CQ12" i="3"/>
  <c r="CE37" i="3"/>
  <c r="R55" i="3"/>
  <c r="T59" i="3"/>
  <c r="CO6" i="3"/>
  <c r="AK55" i="3"/>
  <c r="V60" i="3"/>
  <c r="BL75" i="2"/>
  <c r="AJ71" i="2"/>
  <c r="CH7" i="3"/>
  <c r="CQ10" i="3"/>
  <c r="CO19" i="3"/>
  <c r="CH28" i="3"/>
  <c r="CQ32" i="3"/>
  <c r="CN50" i="3"/>
  <c r="AS59" i="3"/>
  <c r="CP27" i="3"/>
  <c r="CH45" i="3"/>
  <c r="CE53" i="3"/>
  <c r="G60" i="3"/>
  <c r="CJ30" i="3"/>
  <c r="O55" i="3"/>
  <c r="AF60" i="3"/>
  <c r="CF17" i="3"/>
  <c r="CI41" i="3"/>
  <c r="AP55" i="3"/>
  <c r="AY60" i="3"/>
  <c r="CJ17" i="3"/>
  <c r="CH41" i="3"/>
  <c r="CP49" i="3"/>
  <c r="I55" i="3"/>
  <c r="O59" i="3"/>
  <c r="Z60" i="3"/>
  <c r="H75" i="2"/>
  <c r="CH8" i="3"/>
  <c r="CN7" i="3"/>
  <c r="CP15" i="3"/>
  <c r="CO24" i="3"/>
  <c r="CP21" i="3"/>
  <c r="CQ42" i="3"/>
  <c r="AQ55" i="3"/>
  <c r="CO10" i="3"/>
  <c r="CF38" i="3"/>
  <c r="CO53" i="3"/>
  <c r="CP16" i="3"/>
  <c r="CN39" i="3"/>
  <c r="W55" i="3"/>
  <c r="AG59" i="3"/>
  <c r="CJ21" i="3"/>
  <c r="CE42" i="3"/>
  <c r="AX55" i="3"/>
  <c r="CG15" i="3"/>
  <c r="CF13" i="3"/>
  <c r="CE22" i="3"/>
  <c r="CG30" i="3"/>
  <c r="CO38" i="3"/>
  <c r="CO43" i="3"/>
  <c r="CI48" i="3"/>
  <c r="CH52" i="3"/>
  <c r="Y55" i="3"/>
  <c r="BE55" i="3"/>
  <c r="AE59" i="3"/>
  <c r="J60" i="3"/>
  <c r="AP60" i="3"/>
  <c r="AH71" i="2"/>
  <c r="AN75" i="2"/>
  <c r="CP5" i="3"/>
  <c r="L71" i="2"/>
  <c r="Z75" i="2"/>
  <c r="CF5" i="3"/>
  <c r="CJ9" i="3"/>
  <c r="CE14" i="3"/>
  <c r="CI18" i="3"/>
  <c r="CG22" i="3"/>
  <c r="CF26" i="3"/>
  <c r="CH13" i="3"/>
  <c r="CE30" i="3"/>
  <c r="CH39" i="3"/>
  <c r="CF47" i="3"/>
  <c r="K55" i="3"/>
  <c r="U59" i="3"/>
  <c r="AB60" i="3"/>
  <c r="CO20" i="3"/>
  <c r="CQ33" i="3"/>
  <c r="CJ42" i="3"/>
  <c r="CG50" i="3"/>
  <c r="AD55" i="3"/>
  <c r="AN59" i="3"/>
  <c r="AU60" i="3"/>
  <c r="CJ35" i="3"/>
  <c r="CF53" i="3"/>
  <c r="H60" i="3"/>
  <c r="CF27" i="3"/>
  <c r="CI46" i="3"/>
  <c r="AA60" i="3"/>
  <c r="CN15" i="3"/>
  <c r="CP23" i="3"/>
  <c r="CO32" i="3"/>
  <c r="CQ40" i="3"/>
  <c r="CF45" i="3"/>
  <c r="CJ49" i="3"/>
  <c r="E55" i="3"/>
  <c r="K59" i="3"/>
  <c r="AQ59" i="3"/>
  <c r="BB60" i="3"/>
  <c r="BF71" i="2"/>
  <c r="CG7" i="3"/>
  <c r="AX75" i="2"/>
  <c r="CF15" i="3"/>
  <c r="CI24" i="3"/>
  <c r="CI20" i="3"/>
  <c r="CF42" i="3"/>
  <c r="AI55" i="3"/>
  <c r="AZ60" i="3"/>
  <c r="CJ37" i="3"/>
  <c r="BB55" i="3"/>
  <c r="CJ15" i="3"/>
  <c r="CG38" i="3"/>
  <c r="CO46" i="3"/>
  <c r="Y59" i="3"/>
  <c r="CE32" i="3"/>
  <c r="CQ49" i="3"/>
  <c r="AR59" i="3"/>
  <c r="CQ8" i="3"/>
  <c r="CI26" i="3"/>
  <c r="CF34" i="3"/>
  <c r="CQ45" i="3"/>
  <c r="AO55" i="3"/>
  <c r="AU59" i="3"/>
  <c r="BF60" i="3"/>
  <c r="BT75" i="2"/>
  <c r="AR71" i="2"/>
  <c r="BF75" i="2"/>
  <c r="CG11" i="3"/>
  <c r="CE20" i="3"/>
  <c r="CI29" i="3"/>
  <c r="CI34" i="3"/>
  <c r="CJ51" i="3"/>
  <c r="BA59" i="3"/>
  <c r="CH29" i="3"/>
  <c r="CN46" i="3"/>
  <c r="H59" i="3"/>
  <c r="O60" i="3"/>
  <c r="CF31" i="3"/>
  <c r="CG48" i="3"/>
  <c r="AN60" i="3"/>
  <c r="CP32" i="3"/>
  <c r="CH51" i="3"/>
  <c r="AZ59" i="3"/>
  <c r="CM31" i="3" l="1"/>
  <c r="CK51" i="3"/>
  <c r="CR51" i="3" s="1"/>
  <c r="CL51" i="3"/>
  <c r="AO58" i="3"/>
  <c r="CM34" i="3"/>
  <c r="CK15" i="3"/>
  <c r="CR15" i="3" s="1"/>
  <c r="CL15" i="3"/>
  <c r="BB58" i="3"/>
  <c r="CK37" i="3"/>
  <c r="CR37" i="3"/>
  <c r="CL37" i="3"/>
  <c r="AI58" i="3"/>
  <c r="CM42" i="3"/>
  <c r="CM15" i="3"/>
  <c r="E58" i="3"/>
  <c r="CL49" i="3"/>
  <c r="CK49" i="3"/>
  <c r="CR49" i="3" s="1"/>
  <c r="CM45" i="3"/>
  <c r="CM27" i="3"/>
  <c r="CM53" i="3"/>
  <c r="CL35" i="3"/>
  <c r="CK35" i="3"/>
  <c r="CR35" i="3" s="1"/>
  <c r="AD58" i="3"/>
  <c r="CL42" i="3"/>
  <c r="CR42" i="3"/>
  <c r="CK42" i="3"/>
  <c r="K58" i="3"/>
  <c r="CM47" i="3"/>
  <c r="CM26" i="3"/>
  <c r="CR9" i="3"/>
  <c r="CK9" i="3"/>
  <c r="CL9" i="3"/>
  <c r="CM5" i="3"/>
  <c r="CP3" i="3"/>
  <c r="BE58" i="3"/>
  <c r="Y58" i="3"/>
  <c r="CM13" i="3"/>
  <c r="AX58" i="3"/>
  <c r="CL21" i="3"/>
  <c r="CK21" i="3"/>
  <c r="CR21" i="3" s="1"/>
  <c r="W58" i="3"/>
  <c r="CM38" i="3"/>
  <c r="AQ58" i="3"/>
  <c r="I58" i="3"/>
  <c r="CR17" i="3"/>
  <c r="CL17" i="3"/>
  <c r="CK17" i="3"/>
  <c r="AP58" i="3"/>
  <c r="CM17" i="3"/>
  <c r="O58" i="3"/>
  <c r="CK30" i="3"/>
  <c r="CR30" i="3"/>
  <c r="CL30" i="3"/>
  <c r="AK58" i="3"/>
  <c r="R58" i="3"/>
  <c r="BC58" i="3"/>
  <c r="J58" i="3"/>
  <c r="AU58" i="3"/>
  <c r="V58" i="3"/>
  <c r="CM33" i="3"/>
  <c r="C58" i="3"/>
  <c r="CE55" i="3"/>
  <c r="CK46" i="3"/>
  <c r="CR46" i="3" s="1"/>
  <c r="CL46" i="3"/>
  <c r="CO71" i="2"/>
  <c r="CE71" i="2"/>
  <c r="CJ55" i="3"/>
  <c r="CR5" i="3"/>
  <c r="CL5" i="3"/>
  <c r="CK5" i="3"/>
  <c r="BA58" i="3"/>
  <c r="U58" i="3"/>
  <c r="CK43" i="3"/>
  <c r="CR43" i="3" s="1"/>
  <c r="CL43" i="3"/>
  <c r="CK11" i="3"/>
  <c r="CR11" i="3" s="1"/>
  <c r="CL11" i="3"/>
  <c r="CM9" i="3"/>
  <c r="AV58" i="3"/>
  <c r="AF58" i="3"/>
  <c r="P58" i="3"/>
  <c r="CK45" i="3"/>
  <c r="CL45" i="3"/>
  <c r="CR45" i="3"/>
  <c r="CM41" i="3"/>
  <c r="CK39" i="3"/>
  <c r="CL39" i="3"/>
  <c r="CR39" i="3"/>
  <c r="CM30" i="3"/>
  <c r="CK13" i="3"/>
  <c r="CR13" i="3"/>
  <c r="CL13" i="3"/>
  <c r="CK7" i="3"/>
  <c r="CR7" i="3" s="1"/>
  <c r="CL7" i="3"/>
  <c r="CL64" i="2"/>
  <c r="DC64" i="2" s="1"/>
  <c r="CR48" i="3"/>
  <c r="CK48" i="3"/>
  <c r="CL48" i="3"/>
  <c r="CM40" i="3"/>
  <c r="CR20" i="3"/>
  <c r="CL20" i="3"/>
  <c r="CK20" i="3"/>
  <c r="CL63" i="2"/>
  <c r="DC63" i="2" s="1"/>
  <c r="DF59" i="2"/>
  <c r="DF41" i="2"/>
  <c r="DF29" i="2"/>
  <c r="CJ20" i="2"/>
  <c r="CJ64" i="2"/>
  <c r="CJ54" i="2"/>
  <c r="DF49" i="2"/>
  <c r="DG40" i="2"/>
  <c r="CF37" i="2"/>
  <c r="DG8" i="2"/>
  <c r="CL46" i="2"/>
  <c r="DC46" i="2" s="1"/>
  <c r="CF40" i="2"/>
  <c r="DG32" i="2"/>
  <c r="CJ29" i="2"/>
  <c r="CJ12" i="2"/>
  <c r="CJ43" i="2"/>
  <c r="CF16" i="2"/>
  <c r="DG21" i="2"/>
  <c r="CL14" i="2"/>
  <c r="DC14" i="2" s="1"/>
  <c r="CL7" i="2"/>
  <c r="DC7" i="2" s="1"/>
  <c r="AH58" i="3"/>
  <c r="CR53" i="3"/>
  <c r="CL53" i="3"/>
  <c r="CK53" i="3"/>
  <c r="CM49" i="3"/>
  <c r="CR31" i="3"/>
  <c r="CL31" i="3"/>
  <c r="CK31" i="3"/>
  <c r="AM58" i="3"/>
  <c r="G58" i="3"/>
  <c r="CM11" i="3"/>
  <c r="AT58" i="3"/>
  <c r="N58" i="3"/>
  <c r="CL26" i="3"/>
  <c r="CR26" i="3"/>
  <c r="CK26" i="3"/>
  <c r="AA58" i="3"/>
  <c r="CR41" i="3"/>
  <c r="CL41" i="3"/>
  <c r="CK41" i="3"/>
  <c r="CM37" i="3"/>
  <c r="CK10" i="3"/>
  <c r="CR10" i="3"/>
  <c r="CL10" i="3"/>
  <c r="CL25" i="3"/>
  <c r="CK25" i="3"/>
  <c r="CR25" i="3" s="1"/>
  <c r="CM21" i="3"/>
  <c r="CR19" i="3"/>
  <c r="CK19" i="3"/>
  <c r="CL19" i="3"/>
  <c r="CM10" i="3"/>
  <c r="AW58" i="3"/>
  <c r="AG58" i="3"/>
  <c r="Q58" i="3"/>
  <c r="CK38" i="3"/>
  <c r="CL38" i="3"/>
  <c r="CR38" i="3"/>
  <c r="CM23" i="3"/>
  <c r="CR6" i="3"/>
  <c r="CK6" i="3"/>
  <c r="CL6" i="3"/>
  <c r="AR58" i="3"/>
  <c r="AB58" i="3"/>
  <c r="L58" i="3"/>
  <c r="CM51" i="3"/>
  <c r="CL34" i="3"/>
  <c r="CK34" i="3"/>
  <c r="CR34" i="3" s="1"/>
  <c r="CM19" i="3"/>
  <c r="DF63" i="2"/>
  <c r="CK52" i="3"/>
  <c r="CR52" i="3"/>
  <c r="CL52" i="3"/>
  <c r="CM48" i="3"/>
  <c r="CK28" i="3"/>
  <c r="CR28" i="3" s="1"/>
  <c r="CL28" i="3"/>
  <c r="CL16" i="3"/>
  <c r="CK16" i="3"/>
  <c r="CR16" i="3" s="1"/>
  <c r="CM8" i="3"/>
  <c r="CL61" i="2"/>
  <c r="DC61" i="2" s="1"/>
  <c r="CL59" i="2"/>
  <c r="DC59" i="2" s="1"/>
  <c r="CJ57" i="2"/>
  <c r="DF54" i="2"/>
  <c r="CF45" i="2"/>
  <c r="CJ35" i="2"/>
  <c r="CF64" i="2"/>
  <c r="CJ53" i="2"/>
  <c r="CF47" i="2"/>
  <c r="DG43" i="2"/>
  <c r="CF39" i="2"/>
  <c r="DF31" i="2"/>
  <c r="DF17" i="2"/>
  <c r="DG34" i="2"/>
  <c r="CL32" i="2"/>
  <c r="DC32" i="2" s="1"/>
  <c r="CF27" i="2"/>
  <c r="DG38" i="2"/>
  <c r="CL26" i="2"/>
  <c r="DC26" i="2" s="1"/>
  <c r="CF5" i="2"/>
  <c r="DG6" i="2"/>
  <c r="CF10" i="2"/>
  <c r="CE60" i="3"/>
  <c r="CF60" i="3" s="1"/>
  <c r="Z58" i="3"/>
  <c r="AE58" i="3"/>
  <c r="AL58" i="3"/>
  <c r="F58" i="3"/>
  <c r="CL47" i="3"/>
  <c r="CR47" i="3"/>
  <c r="CK47" i="3"/>
  <c r="CM43" i="3"/>
  <c r="CM22" i="3"/>
  <c r="AY58" i="3"/>
  <c r="S58" i="3"/>
  <c r="CL14" i="3"/>
  <c r="CR14" i="3"/>
  <c r="CK14" i="3"/>
  <c r="CQ3" i="3"/>
  <c r="CM6" i="3"/>
  <c r="CE59" i="3"/>
  <c r="AS58" i="3"/>
  <c r="AC58" i="3"/>
  <c r="M58" i="3"/>
  <c r="CM50" i="3"/>
  <c r="CK33" i="3"/>
  <c r="CL33" i="3"/>
  <c r="CR33" i="3"/>
  <c r="CM29" i="3"/>
  <c r="CL27" i="3"/>
  <c r="CK27" i="3"/>
  <c r="CR27" i="3" s="1"/>
  <c r="CM18" i="3"/>
  <c r="BD58" i="3"/>
  <c r="AN58" i="3"/>
  <c r="X58" i="3"/>
  <c r="H58" i="3"/>
  <c r="CM46" i="3"/>
  <c r="CL29" i="3"/>
  <c r="CK29" i="3"/>
  <c r="CR29" i="3" s="1"/>
  <c r="CM25" i="3"/>
  <c r="CR23" i="3"/>
  <c r="CL23" i="3"/>
  <c r="CK23" i="3"/>
  <c r="CM14" i="3"/>
  <c r="DF65" i="2"/>
  <c r="DG63" i="2"/>
  <c r="CL44" i="3"/>
  <c r="CK44" i="3"/>
  <c r="CR44" i="3" s="1"/>
  <c r="CR24" i="3"/>
  <c r="CK24" i="3"/>
  <c r="CL24" i="3"/>
  <c r="CM16" i="3"/>
  <c r="DF60" i="2"/>
  <c r="CJ55" i="2"/>
  <c r="CF57" i="2"/>
  <c r="CL54" i="2"/>
  <c r="DC54" i="2" s="1"/>
  <c r="DG51" i="2"/>
  <c r="DG41" i="2"/>
  <c r="CJ33" i="2"/>
  <c r="CF63" i="2"/>
  <c r="DF55" i="2"/>
  <c r="CF34" i="2"/>
  <c r="DG58" i="2"/>
  <c r="CF53" i="2"/>
  <c r="DG30" i="2"/>
  <c r="CL27" i="2"/>
  <c r="DC27" i="2" s="1"/>
  <c r="CL17" i="2"/>
  <c r="DC17" i="2" s="1"/>
  <c r="DD17" i="2" s="1"/>
  <c r="CL52" i="2"/>
  <c r="DC52" i="2" s="1"/>
  <c r="DG45" i="2"/>
  <c r="DF33" i="2"/>
  <c r="DG48" i="2"/>
  <c r="CF31" i="2"/>
  <c r="CF12" i="2"/>
  <c r="DG18" i="2"/>
  <c r="CJ15" i="2"/>
  <c r="DG11" i="2"/>
  <c r="DF20" i="2"/>
  <c r="CJ9" i="2"/>
  <c r="CL6" i="2"/>
  <c r="DC6" i="2" s="1"/>
  <c r="DG22" i="2"/>
  <c r="DG15" i="2"/>
  <c r="CW67" i="2"/>
  <c r="CM39" i="3"/>
  <c r="CL22" i="3"/>
  <c r="CK22" i="3"/>
  <c r="CR22" i="3" s="1"/>
  <c r="CM7" i="3"/>
  <c r="AZ58" i="3"/>
  <c r="AJ58" i="3"/>
  <c r="T58" i="3"/>
  <c r="D58" i="3"/>
  <c r="CL50" i="3"/>
  <c r="CK50" i="3"/>
  <c r="CR50" i="3"/>
  <c r="CM35" i="3"/>
  <c r="CK18" i="3"/>
  <c r="CR18" i="3" s="1"/>
  <c r="CL18" i="3"/>
  <c r="CL65" i="2"/>
  <c r="DC65" i="2" s="1"/>
  <c r="CR32" i="3"/>
  <c r="CK32" i="3"/>
  <c r="CL32" i="3"/>
  <c r="CM24" i="3"/>
  <c r="CK12" i="3"/>
  <c r="CR12" i="3" s="1"/>
  <c r="CL12" i="3"/>
  <c r="CL62" i="2"/>
  <c r="DC62" i="2" s="1"/>
  <c r="CF55" i="2"/>
  <c r="CL42" i="2"/>
  <c r="DC42" i="2" s="1"/>
  <c r="CF56" i="2"/>
  <c r="DF53" i="2"/>
  <c r="DF50" i="2"/>
  <c r="DG24" i="2"/>
  <c r="CJ62" i="2"/>
  <c r="CJ59" i="2"/>
  <c r="CF33" i="2"/>
  <c r="CL58" i="2"/>
  <c r="DC58" i="2" s="1"/>
  <c r="DG44" i="2"/>
  <c r="CJ51" i="2"/>
  <c r="DG39" i="2"/>
  <c r="CL37" i="2"/>
  <c r="DC37" i="2" s="1"/>
  <c r="CF30" i="2"/>
  <c r="CL9" i="2"/>
  <c r="DC9" i="2" s="1"/>
  <c r="CJ21" i="2"/>
  <c r="CF14" i="2"/>
  <c r="DG20" i="2"/>
  <c r="CL12" i="2"/>
  <c r="DC12" i="2" s="1"/>
  <c r="DF21" i="2"/>
  <c r="CF19" i="2"/>
  <c r="DF64" i="2"/>
  <c r="CM52" i="3"/>
  <c r="CR40" i="3"/>
  <c r="CL40" i="3"/>
  <c r="CK40" i="3"/>
  <c r="CL36" i="3"/>
  <c r="CK36" i="3"/>
  <c r="CR36" i="3" s="1"/>
  <c r="CS36" i="3" s="1"/>
  <c r="CM32" i="3"/>
  <c r="CK8" i="3"/>
  <c r="CR8" i="3" s="1"/>
  <c r="CL8" i="3"/>
  <c r="DG64" i="2"/>
  <c r="CL50" i="2"/>
  <c r="DC50" i="2" s="1"/>
  <c r="CJ46" i="2"/>
  <c r="CJ58" i="2"/>
  <c r="CJ56" i="2"/>
  <c r="DG54" i="2"/>
  <c r="CL53" i="2"/>
  <c r="DC53" i="2" s="1"/>
  <c r="DG29" i="2"/>
  <c r="CJ65" i="2"/>
  <c r="CJ63" i="2"/>
  <c r="CF61" i="2"/>
  <c r="CF59" i="2"/>
  <c r="CL55" i="2"/>
  <c r="DC55" i="2" s="1"/>
  <c r="CJ52" i="2"/>
  <c r="CL41" i="2"/>
  <c r="DC41" i="2" s="1"/>
  <c r="CL57" i="2"/>
  <c r="DC57" i="2" s="1"/>
  <c r="CJ48" i="2"/>
  <c r="CF50" i="2"/>
  <c r="DG33" i="2"/>
  <c r="DF48" i="2"/>
  <c r="CJ44" i="2"/>
  <c r="CJ27" i="2"/>
  <c r="CJ22" i="2"/>
  <c r="DG19" i="2"/>
  <c r="CJ14" i="2"/>
  <c r="CL10" i="2"/>
  <c r="DC10" i="2" s="1"/>
  <c r="CF25" i="2"/>
  <c r="CJ16" i="2"/>
  <c r="DF12" i="2"/>
  <c r="DF28" i="2"/>
  <c r="CJ18" i="2"/>
  <c r="DF7" i="2"/>
  <c r="DG5" i="2"/>
  <c r="CQ67" i="2"/>
  <c r="DF62" i="2"/>
  <c r="DG61" i="2"/>
  <c r="DG60" i="2"/>
  <c r="DG59" i="2"/>
  <c r="CL51" i="2"/>
  <c r="DC51" i="2" s="1"/>
  <c r="CF58" i="2"/>
  <c r="CF65" i="2"/>
  <c r="CF62" i="2"/>
  <c r="CJ60" i="2"/>
  <c r="DG55" i="2"/>
  <c r="CF32" i="2"/>
  <c r="CL56" i="2"/>
  <c r="DC56" i="2" s="1"/>
  <c r="CF54" i="2"/>
  <c r="DG42" i="2"/>
  <c r="CF48" i="2"/>
  <c r="DF43" i="2"/>
  <c r="CF36" i="2"/>
  <c r="DG25" i="2"/>
  <c r="CF49" i="2"/>
  <c r="DF46" i="2"/>
  <c r="CL45" i="2"/>
  <c r="DC45" i="2" s="1"/>
  <c r="CF41" i="2"/>
  <c r="DF35" i="2"/>
  <c r="DF32" i="2"/>
  <c r="CF29" i="2"/>
  <c r="CL25" i="2"/>
  <c r="DC25" i="2" s="1"/>
  <c r="CZ67" i="2"/>
  <c r="DF47" i="2"/>
  <c r="CL39" i="2"/>
  <c r="DC39" i="2" s="1"/>
  <c r="DG37" i="2"/>
  <c r="CL36" i="2"/>
  <c r="DC36" i="2" s="1"/>
  <c r="CJ31" i="2"/>
  <c r="DG16" i="2"/>
  <c r="DF9" i="2"/>
  <c r="CF6" i="2"/>
  <c r="DF18" i="2"/>
  <c r="CF15" i="2"/>
  <c r="CF13" i="2"/>
  <c r="CL11" i="2"/>
  <c r="DC11" i="2" s="1"/>
  <c r="CJ7" i="2"/>
  <c r="CJ24" i="2"/>
  <c r="CJ17" i="2"/>
  <c r="CJ8" i="2"/>
  <c r="CF26" i="2"/>
  <c r="DF23" i="2"/>
  <c r="DG14" i="2"/>
  <c r="CL13" i="2"/>
  <c r="DC13" i="2" s="1"/>
  <c r="CF11" i="2"/>
  <c r="CK71" i="2"/>
  <c r="CJ61" i="2"/>
  <c r="CF60" i="2"/>
  <c r="DF42" i="2"/>
  <c r="CH71" i="2"/>
  <c r="DF58" i="2"/>
  <c r="DF57" i="2"/>
  <c r="DG56" i="2"/>
  <c r="DG49" i="2"/>
  <c r="CJ47" i="2"/>
  <c r="CL44" i="2"/>
  <c r="DC44" i="2" s="1"/>
  <c r="CF38" i="2"/>
  <c r="CL31" i="2"/>
  <c r="DC31" i="2" s="1"/>
  <c r="CL30" i="2"/>
  <c r="DC30" i="2" s="1"/>
  <c r="CL16" i="2"/>
  <c r="DC16" i="2" s="1"/>
  <c r="DG9" i="2"/>
  <c r="DF52" i="2"/>
  <c r="CF42" i="2"/>
  <c r="CL35" i="2"/>
  <c r="DC35" i="2" s="1"/>
  <c r="CL34" i="2"/>
  <c r="DC34" i="2" s="1"/>
  <c r="DF27" i="2"/>
  <c r="CL48" i="2"/>
  <c r="DC48" i="2" s="1"/>
  <c r="CL47" i="2"/>
  <c r="DC47" i="2" s="1"/>
  <c r="DF38" i="2"/>
  <c r="DF37" i="2"/>
  <c r="DF36" i="2"/>
  <c r="CJ30" i="2"/>
  <c r="CF28" i="2"/>
  <c r="DF25" i="2"/>
  <c r="DG17" i="2"/>
  <c r="DF8" i="2"/>
  <c r="CJ23" i="2"/>
  <c r="CL19" i="2"/>
  <c r="DC19" i="2" s="1"/>
  <c r="CJ13" i="2"/>
  <c r="DF11" i="2"/>
  <c r="DF10" i="2"/>
  <c r="CY67" i="2"/>
  <c r="CJ25" i="2"/>
  <c r="CF24" i="2"/>
  <c r="CL20" i="2"/>
  <c r="DC20" i="2" s="1"/>
  <c r="CF17" i="2"/>
  <c r="DF5" i="2"/>
  <c r="CX67" i="2"/>
  <c r="CL28" i="2"/>
  <c r="DC28" i="2" s="1"/>
  <c r="CL23" i="2"/>
  <c r="DC23" i="2" s="1"/>
  <c r="CL22" i="2"/>
  <c r="DC22" i="2" s="1"/>
  <c r="CJ19" i="2"/>
  <c r="CF18" i="2"/>
  <c r="DF15" i="2"/>
  <c r="DF14" i="2"/>
  <c r="DF13" i="2"/>
  <c r="DA67" i="2"/>
  <c r="CL5" i="2"/>
  <c r="DC5" i="2" s="1"/>
  <c r="CG71" i="2"/>
  <c r="CM44" i="3"/>
  <c r="CM36" i="3"/>
  <c r="CM28" i="3"/>
  <c r="CM20" i="3"/>
  <c r="CM12" i="3"/>
  <c r="DG65" i="2"/>
  <c r="DG62" i="2"/>
  <c r="DF61" i="2"/>
  <c r="CL60" i="2"/>
  <c r="DC60" i="2" s="1"/>
  <c r="DF51" i="2"/>
  <c r="CJ45" i="2"/>
  <c r="CL40" i="2"/>
  <c r="DC40" i="2" s="1"/>
  <c r="DG53" i="2"/>
  <c r="CF52" i="2"/>
  <c r="DG50" i="2"/>
  <c r="CF46" i="2"/>
  <c r="CJ34" i="2"/>
  <c r="CJ32" i="2"/>
  <c r="CL49" i="2"/>
  <c r="DC49" i="2" s="1"/>
  <c r="DF40" i="2"/>
  <c r="CF35" i="2"/>
  <c r="CL29" i="2"/>
  <c r="DC29" i="2" s="1"/>
  <c r="DG57" i="2"/>
  <c r="DF56" i="2"/>
  <c r="CJ28" i="2"/>
  <c r="DF44" i="2"/>
  <c r="CL43" i="2"/>
  <c r="DC43" i="2" s="1"/>
  <c r="CJ39" i="2"/>
  <c r="CJ38" i="2"/>
  <c r="CJ37" i="2"/>
  <c r="CJ36" i="2"/>
  <c r="DG31" i="2"/>
  <c r="DF30" i="2"/>
  <c r="DF26" i="2"/>
  <c r="CL24" i="2"/>
  <c r="DC24" i="2" s="1"/>
  <c r="CF20" i="2"/>
  <c r="DF16" i="2"/>
  <c r="DG52" i="2"/>
  <c r="CJ50" i="2"/>
  <c r="CJ49" i="2"/>
  <c r="DG46" i="2"/>
  <c r="DF45" i="2"/>
  <c r="CJ42" i="2"/>
  <c r="CJ41" i="2"/>
  <c r="CJ40" i="2"/>
  <c r="DG35" i="2"/>
  <c r="DF34" i="2"/>
  <c r="CL33" i="2"/>
  <c r="DC33" i="2" s="1"/>
  <c r="DF24" i="2"/>
  <c r="CJ6" i="2"/>
  <c r="CF51" i="2"/>
  <c r="DG47" i="2"/>
  <c r="CF44" i="2"/>
  <c r="CF43" i="2"/>
  <c r="DF39" i="2"/>
  <c r="CL38" i="2"/>
  <c r="DC38" i="2" s="1"/>
  <c r="DD38" i="2" s="1"/>
  <c r="DG36" i="2"/>
  <c r="DG27" i="2"/>
  <c r="CL8" i="2"/>
  <c r="DC8" i="2" s="1"/>
  <c r="DG26" i="2"/>
  <c r="CF23" i="2"/>
  <c r="CF22" i="2"/>
  <c r="CF21" i="2"/>
  <c r="DF19" i="2"/>
  <c r="CL18" i="2"/>
  <c r="DC18" i="2" s="1"/>
  <c r="DG10" i="2"/>
  <c r="CF7" i="2"/>
  <c r="DG12" i="2"/>
  <c r="CF9" i="2"/>
  <c r="CF8" i="2"/>
  <c r="DF6" i="2"/>
  <c r="DB67" i="2"/>
  <c r="DG28" i="2"/>
  <c r="CJ26" i="2"/>
  <c r="DG23" i="2"/>
  <c r="DF22" i="2"/>
  <c r="CL21" i="2"/>
  <c r="DC21" i="2" s="1"/>
  <c r="DD21" i="2" s="1"/>
  <c r="CL15" i="2"/>
  <c r="DC15" i="2" s="1"/>
  <c r="DG13" i="2"/>
  <c r="CJ11" i="2"/>
  <c r="CJ10" i="2"/>
  <c r="DG7" i="2"/>
  <c r="CJ5" i="2"/>
  <c r="CI71" i="2"/>
  <c r="CE57" i="3"/>
  <c r="Z63" i="1"/>
  <c r="AM43" i="4"/>
  <c r="CR67" i="2"/>
  <c r="AG15" i="4"/>
  <c r="Y15" i="4"/>
  <c r="K61" i="3"/>
  <c r="AA61" i="3"/>
  <c r="AQ61" i="3"/>
  <c r="BG61" i="3"/>
  <c r="BW61" i="3"/>
  <c r="BJ61" i="3"/>
  <c r="AL61" i="3"/>
  <c r="S61" i="3"/>
  <c r="CV67" i="2"/>
  <c r="BZ61" i="3"/>
  <c r="BB61" i="3"/>
  <c r="AI61" i="3"/>
  <c r="N61" i="3"/>
  <c r="CD4" i="2"/>
  <c r="BN4" i="2"/>
  <c r="AX4" i="2"/>
  <c r="AH4" i="2"/>
  <c r="R4" i="2"/>
  <c r="CD3" i="2"/>
  <c r="BN3" i="2"/>
  <c r="AI3" i="2"/>
  <c r="C3" i="2"/>
  <c r="AY2" i="2"/>
  <c r="S2" i="2"/>
  <c r="BO1" i="2"/>
  <c r="Y1" i="2"/>
  <c r="DD10" i="2"/>
  <c r="DD62" i="2"/>
  <c r="DD33" i="2"/>
  <c r="B6" i="5"/>
  <c r="A3" i="6" s="1"/>
  <c r="B8" i="5"/>
  <c r="A5" i="6" s="1"/>
  <c r="B10" i="5"/>
  <c r="A7" i="6" s="1"/>
  <c r="B12" i="5"/>
  <c r="A9" i="6" s="1"/>
  <c r="B14" i="5"/>
  <c r="A11" i="6" s="1"/>
  <c r="A17" i="5"/>
  <c r="A19" i="5"/>
  <c r="A21" i="5"/>
  <c r="A23" i="5"/>
  <c r="B25" i="5"/>
  <c r="A22" i="6" s="1"/>
  <c r="B27" i="5"/>
  <c r="A24" i="6" s="1"/>
  <c r="B29" i="5"/>
  <c r="A26" i="6" s="1"/>
  <c r="B31" i="5"/>
  <c r="A28" i="6" s="1"/>
  <c r="B33" i="5"/>
  <c r="A30" i="6" s="1"/>
  <c r="B35" i="5"/>
  <c r="A32" i="6" s="1"/>
  <c r="B37" i="5"/>
  <c r="A34" i="6" s="1"/>
  <c r="B39" i="5"/>
  <c r="A36" i="6" s="1"/>
  <c r="B41" i="5"/>
  <c r="A38" i="6" s="1"/>
  <c r="B43" i="5"/>
  <c r="A40" i="6" s="1"/>
  <c r="B5" i="5"/>
  <c r="A2" i="6" s="1"/>
  <c r="A7" i="5"/>
  <c r="B9" i="5"/>
  <c r="A6" i="6" s="1"/>
  <c r="A12" i="5"/>
  <c r="A15" i="5"/>
  <c r="A16" i="5"/>
  <c r="B18" i="5"/>
  <c r="A15" i="6" s="1"/>
  <c r="B21" i="5"/>
  <c r="A18" i="6" s="1"/>
  <c r="A24" i="5"/>
  <c r="A27" i="5"/>
  <c r="A30" i="5"/>
  <c r="B32" i="5"/>
  <c r="A29" i="6" s="1"/>
  <c r="A35" i="5"/>
  <c r="A38" i="5"/>
  <c r="B40" i="5"/>
  <c r="A37" i="6" s="1"/>
  <c r="A43" i="5"/>
  <c r="B45" i="5"/>
  <c r="A42" i="6" s="1"/>
  <c r="B7" i="5"/>
  <c r="A4" i="6" s="1"/>
  <c r="A9" i="5"/>
  <c r="A11" i="5"/>
  <c r="A13" i="5"/>
  <c r="B23" i="5"/>
  <c r="A20" i="6" s="1"/>
  <c r="A29" i="5"/>
  <c r="A31" i="5"/>
  <c r="A33" i="5"/>
  <c r="B42" i="5"/>
  <c r="A39" i="6" s="1"/>
  <c r="B44" i="5"/>
  <c r="A41" i="6" s="1"/>
  <c r="A5" i="5"/>
  <c r="B11" i="5"/>
  <c r="A8" i="6" s="1"/>
  <c r="B13" i="5"/>
  <c r="A10" i="6" s="1"/>
  <c r="B15" i="5"/>
  <c r="A12" i="6" s="1"/>
  <c r="B16" i="5"/>
  <c r="A13" i="6" s="1"/>
  <c r="A18" i="5"/>
  <c r="A20" i="5"/>
  <c r="A22" i="5"/>
  <c r="A26" i="5"/>
  <c r="A28" i="5"/>
  <c r="A37" i="5"/>
  <c r="A39" i="5"/>
  <c r="A41" i="5"/>
  <c r="A45" i="5"/>
  <c r="A6" i="5"/>
  <c r="A8" i="5"/>
  <c r="A10" i="5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A32" i="5"/>
  <c r="A34" i="5"/>
  <c r="A36" i="5"/>
  <c r="A46" i="5"/>
  <c r="A14" i="5"/>
  <c r="B17" i="5"/>
  <c r="A14" i="6" s="1"/>
  <c r="B19" i="5"/>
  <c r="A16" i="6" s="1"/>
  <c r="A25" i="5"/>
  <c r="B34" i="5"/>
  <c r="A31" i="6" s="1"/>
  <c r="B36" i="5"/>
  <c r="A33" i="6" s="1"/>
  <c r="B38" i="5"/>
  <c r="A35" i="6" s="1"/>
  <c r="A40" i="5"/>
  <c r="A42" i="5"/>
  <c r="A44" i="5"/>
  <c r="B46" i="5"/>
  <c r="E72" i="2"/>
  <c r="E73" i="2" s="1"/>
  <c r="I72" i="2"/>
  <c r="I73" i="2" s="1"/>
  <c r="M72" i="2"/>
  <c r="M73" i="2" s="1"/>
  <c r="Q72" i="2"/>
  <c r="Q73" i="2" s="1"/>
  <c r="U72" i="2"/>
  <c r="U73" i="2" s="1"/>
  <c r="Y72" i="2"/>
  <c r="Y73" i="2" s="1"/>
  <c r="AC72" i="2"/>
  <c r="AC73" i="2" s="1"/>
  <c r="AG72" i="2"/>
  <c r="AG73" i="2" s="1"/>
  <c r="AK72" i="2"/>
  <c r="AK73" i="2" s="1"/>
  <c r="AO72" i="2"/>
  <c r="AO73" i="2" s="1"/>
  <c r="AS72" i="2"/>
  <c r="AS73" i="2" s="1"/>
  <c r="AW72" i="2"/>
  <c r="AW73" i="2" s="1"/>
  <c r="BA72" i="2"/>
  <c r="BA73" i="2" s="1"/>
  <c r="BE72" i="2"/>
  <c r="BE73" i="2" s="1"/>
  <c r="D72" i="2"/>
  <c r="G72" i="2"/>
  <c r="G73" i="2" s="1"/>
  <c r="K72" i="2"/>
  <c r="K73" i="2" s="1"/>
  <c r="O72" i="2"/>
  <c r="O73" i="2" s="1"/>
  <c r="S72" i="2"/>
  <c r="S73" i="2" s="1"/>
  <c r="W72" i="2"/>
  <c r="W73" i="2" s="1"/>
  <c r="AA72" i="2"/>
  <c r="AA73" i="2" s="1"/>
  <c r="AE72" i="2"/>
  <c r="AE73" i="2" s="1"/>
  <c r="AI72" i="2"/>
  <c r="AI73" i="2" s="1"/>
  <c r="AM72" i="2"/>
  <c r="AM73" i="2" s="1"/>
  <c r="AQ72" i="2"/>
  <c r="AQ73" i="2" s="1"/>
  <c r="AU72" i="2"/>
  <c r="AU73" i="2" s="1"/>
  <c r="AY72" i="2"/>
  <c r="AY73" i="2" s="1"/>
  <c r="BC72" i="2"/>
  <c r="BC73" i="2" s="1"/>
  <c r="H72" i="2"/>
  <c r="H73" i="2" s="1"/>
  <c r="P72" i="2"/>
  <c r="P73" i="2" s="1"/>
  <c r="X72" i="2"/>
  <c r="X73" i="2" s="1"/>
  <c r="AF72" i="2"/>
  <c r="AF73" i="2" s="1"/>
  <c r="AN72" i="2"/>
  <c r="AN73" i="2" s="1"/>
  <c r="AV72" i="2"/>
  <c r="AV73" i="2" s="1"/>
  <c r="BD72" i="2"/>
  <c r="BD73" i="2" s="1"/>
  <c r="J72" i="2"/>
  <c r="J73" i="2" s="1"/>
  <c r="R72" i="2"/>
  <c r="R73" i="2" s="1"/>
  <c r="Z72" i="2"/>
  <c r="Z73" i="2" s="1"/>
  <c r="AH72" i="2"/>
  <c r="AH73" i="2" s="1"/>
  <c r="AP72" i="2"/>
  <c r="AP73" i="2" s="1"/>
  <c r="AX72" i="2"/>
  <c r="AX73" i="2" s="1"/>
  <c r="BF72" i="2"/>
  <c r="BF73" i="2" s="1"/>
  <c r="L72" i="2"/>
  <c r="L73" i="2" s="1"/>
  <c r="T72" i="2"/>
  <c r="T73" i="2" s="1"/>
  <c r="AB72" i="2"/>
  <c r="AB73" i="2" s="1"/>
  <c r="AJ72" i="2"/>
  <c r="AJ73" i="2" s="1"/>
  <c r="AR72" i="2"/>
  <c r="AR73" i="2" s="1"/>
  <c r="AZ72" i="2"/>
  <c r="AZ73" i="2" s="1"/>
  <c r="F72" i="2"/>
  <c r="F73" i="2" s="1"/>
  <c r="N72" i="2"/>
  <c r="N73" i="2" s="1"/>
  <c r="V72" i="2"/>
  <c r="V73" i="2" s="1"/>
  <c r="AD72" i="2"/>
  <c r="AD73" i="2" s="1"/>
  <c r="AL72" i="2"/>
  <c r="AL73" i="2" s="1"/>
  <c r="AT72" i="2"/>
  <c r="AT73" i="2" s="1"/>
  <c r="BB72" i="2"/>
  <c r="BB73" i="2" s="1"/>
  <c r="O8" i="5"/>
  <c r="CE56" i="3"/>
  <c r="L49" i="4"/>
  <c r="A7" i="7"/>
  <c r="CS12" i="3" l="1"/>
  <c r="CS28" i="3"/>
  <c r="CS21" i="3"/>
  <c r="CS16" i="3"/>
  <c r="CS44" i="3"/>
  <c r="CS35" i="3"/>
  <c r="CS8" i="3"/>
  <c r="CS25" i="3"/>
  <c r="CS46" i="3"/>
  <c r="CS13" i="3"/>
  <c r="CS45" i="3"/>
  <c r="CS7" i="3"/>
  <c r="CS5" i="3"/>
  <c r="CS30" i="3"/>
  <c r="CS51" i="3"/>
  <c r="CS32" i="3"/>
  <c r="CS37" i="3"/>
  <c r="CS18" i="3"/>
  <c r="CS22" i="3"/>
  <c r="CS49" i="3"/>
  <c r="DD18" i="2"/>
  <c r="DD60" i="2"/>
  <c r="DD47" i="2"/>
  <c r="DD35" i="2"/>
  <c r="DD16" i="2"/>
  <c r="DD44" i="2"/>
  <c r="DD13" i="2"/>
  <c r="DD11" i="2"/>
  <c r="DD36" i="2"/>
  <c r="DD55" i="2"/>
  <c r="DD52" i="2"/>
  <c r="DD54" i="2"/>
  <c r="CS23" i="3"/>
  <c r="CS14" i="3"/>
  <c r="DD32" i="2"/>
  <c r="CS52" i="3"/>
  <c r="CS34" i="3"/>
  <c r="CS6" i="3"/>
  <c r="CS10" i="3"/>
  <c r="CS26" i="3"/>
  <c r="DD14" i="2"/>
  <c r="DD46" i="2"/>
  <c r="CS43" i="3"/>
  <c r="CG58" i="3"/>
  <c r="CS17" i="3"/>
  <c r="CS9" i="3"/>
  <c r="DD40" i="2"/>
  <c r="DD22" i="2"/>
  <c r="DD48" i="2"/>
  <c r="DD30" i="2"/>
  <c r="DD25" i="2"/>
  <c r="DD58" i="2"/>
  <c r="DD42" i="2"/>
  <c r="DD6" i="2"/>
  <c r="CS33" i="3"/>
  <c r="DD26" i="2"/>
  <c r="CS41" i="3"/>
  <c r="CS31" i="3"/>
  <c r="CS53" i="3"/>
  <c r="CS42" i="3"/>
  <c r="DD63" i="2"/>
  <c r="DD57" i="2"/>
  <c r="DD24" i="2"/>
  <c r="DD43" i="2"/>
  <c r="DD5" i="2"/>
  <c r="DD31" i="2"/>
  <c r="DD45" i="2"/>
  <c r="DD51" i="2"/>
  <c r="DD41" i="2"/>
  <c r="DD53" i="2"/>
  <c r="CS40" i="3"/>
  <c r="DD27" i="2"/>
  <c r="CS29" i="3"/>
  <c r="CS27" i="3"/>
  <c r="CS38" i="3"/>
  <c r="CS20" i="3"/>
  <c r="CS48" i="3"/>
  <c r="CS39" i="3"/>
  <c r="DD12" i="2"/>
  <c r="DD61" i="2"/>
  <c r="DD7" i="2"/>
  <c r="DD37" i="2"/>
  <c r="DD59" i="2"/>
  <c r="DD8" i="2"/>
  <c r="DD49" i="2"/>
  <c r="DD23" i="2"/>
  <c r="DD19" i="2"/>
  <c r="DD39" i="2"/>
  <c r="CS24" i="3"/>
  <c r="CS47" i="3"/>
  <c r="DD64" i="2"/>
  <c r="CS19" i="3"/>
  <c r="CS11" i="3"/>
  <c r="CS15" i="3"/>
  <c r="DD15" i="2"/>
  <c r="DD29" i="2"/>
  <c r="DD28" i="2"/>
  <c r="DD20" i="2"/>
  <c r="DD34" i="2"/>
  <c r="DD56" i="2"/>
  <c r="DD50" i="2"/>
  <c r="DD9" i="2"/>
  <c r="DD65" i="2"/>
  <c r="CS50" i="3"/>
  <c r="CE58" i="3"/>
  <c r="CH73" i="2"/>
  <c r="B22" i="10"/>
  <c r="B29" i="10"/>
  <c r="D29" i="10" s="1" a="1"/>
  <c r="B15" i="10"/>
  <c r="B44" i="10"/>
  <c r="C44" i="10" s="1"/>
  <c r="B2" i="10"/>
  <c r="B8" i="10"/>
  <c r="B41" i="10"/>
  <c r="CH58" i="3" a="1"/>
  <c r="CH58" i="3" s="1"/>
  <c r="B28" i="10"/>
  <c r="B51" i="10"/>
  <c r="C51" i="10" s="1"/>
  <c r="B45" i="10"/>
  <c r="B39" i="10"/>
  <c r="D39" i="10" s="1" a="1"/>
  <c r="B6" i="10"/>
  <c r="B12" i="10"/>
  <c r="D12" i="10" s="1" a="1"/>
  <c r="B13" i="10"/>
  <c r="B14" i="10"/>
  <c r="C14" i="10" s="1"/>
  <c r="B34" i="10"/>
  <c r="B30" i="10"/>
  <c r="D30" i="10" s="1" a="1"/>
  <c r="B19" i="10"/>
  <c r="B20" i="9"/>
  <c r="H20" i="9" s="1"/>
  <c r="B10" i="9"/>
  <c r="F10" i="9" s="1"/>
  <c r="B28" i="9"/>
  <c r="C28" i="9" s="1"/>
  <c r="B29" i="9"/>
  <c r="G29" i="9" s="1"/>
  <c r="B60" i="9"/>
  <c r="E60" i="9" s="1"/>
  <c r="B6" i="9"/>
  <c r="C6" i="9" s="1"/>
  <c r="B52" i="9"/>
  <c r="E52" i="9" s="1"/>
  <c r="B14" i="9"/>
  <c r="D14" i="9" s="1"/>
  <c r="B36" i="9"/>
  <c r="D36" i="9" s="1"/>
  <c r="B22" i="9"/>
  <c r="D22" i="9" s="1"/>
  <c r="B23" i="9"/>
  <c r="C23" i="9" s="1"/>
  <c r="B59" i="9"/>
  <c r="G59" i="9" s="1"/>
  <c r="B18" i="9"/>
  <c r="F18" i="9" s="1"/>
  <c r="B51" i="9"/>
  <c r="D51" i="9" s="1"/>
  <c r="B38" i="9"/>
  <c r="H38" i="9" s="1"/>
  <c r="B4" i="10"/>
  <c r="B16" i="10"/>
  <c r="C16" i="10" s="1"/>
  <c r="B4" i="9"/>
  <c r="B43" i="10"/>
  <c r="D43" i="10" s="1" a="1"/>
  <c r="B39" i="9"/>
  <c r="B31" i="9"/>
  <c r="C31" i="9" s="1"/>
  <c r="B54" i="9"/>
  <c r="B42" i="9"/>
  <c r="C42" i="9" s="1"/>
  <c r="B26" i="9"/>
  <c r="B33" i="9"/>
  <c r="C33" i="9" s="1"/>
  <c r="B61" i="9"/>
  <c r="B53" i="9"/>
  <c r="D53" i="9" s="1"/>
  <c r="B40" i="9"/>
  <c r="B24" i="9"/>
  <c r="C24" i="9" s="1"/>
  <c r="B19" i="9"/>
  <c r="B15" i="9"/>
  <c r="F15" i="9" s="1"/>
  <c r="B11" i="9"/>
  <c r="B7" i="9"/>
  <c r="F7" i="9" s="1"/>
  <c r="B3" i="9"/>
  <c r="B35" i="10"/>
  <c r="D35" i="10" s="1" a="1"/>
  <c r="B21" i="10"/>
  <c r="C21" i="10" s="1"/>
  <c r="B46" i="10"/>
  <c r="D46" i="10" s="1" a="1"/>
  <c r="B23" i="10"/>
  <c r="B42" i="10"/>
  <c r="D42" i="10" s="1" a="1"/>
  <c r="B9" i="10"/>
  <c r="C9" i="10" s="1"/>
  <c r="B27" i="10"/>
  <c r="D27" i="10" s="1" a="1"/>
  <c r="B26" i="10"/>
  <c r="B10" i="10"/>
  <c r="D10" i="10" s="1" a="1"/>
  <c r="B48" i="10"/>
  <c r="D48" i="10" s="1" a="1"/>
  <c r="B32" i="10"/>
  <c r="D32" i="10" s="1" a="1"/>
  <c r="B43" i="9"/>
  <c r="B35" i="9"/>
  <c r="G35" i="9" s="1"/>
  <c r="B58" i="9"/>
  <c r="D58" i="9" s="1"/>
  <c r="B50" i="9"/>
  <c r="D50" i="9" s="1"/>
  <c r="B34" i="9"/>
  <c r="B41" i="9"/>
  <c r="H41" i="9" s="1"/>
  <c r="B25" i="9"/>
  <c r="C25" i="9" s="1"/>
  <c r="B57" i="9"/>
  <c r="D57" i="9" s="1"/>
  <c r="B49" i="9"/>
  <c r="B32" i="9"/>
  <c r="D32" i="9" s="1"/>
  <c r="B46" i="9"/>
  <c r="D46" i="9" s="1"/>
  <c r="B17" i="9"/>
  <c r="F17" i="9" s="1"/>
  <c r="B13" i="9"/>
  <c r="B9" i="9"/>
  <c r="F9" i="9" s="1"/>
  <c r="B5" i="9"/>
  <c r="F5" i="9" s="1"/>
  <c r="B50" i="10"/>
  <c r="C50" i="10" s="1"/>
  <c r="B33" i="10"/>
  <c r="B5" i="10"/>
  <c r="C5" i="10" s="1"/>
  <c r="B31" i="10"/>
  <c r="B7" i="10"/>
  <c r="D7" i="10" s="1" a="1"/>
  <c r="B25" i="10"/>
  <c r="B38" i="10"/>
  <c r="C38" i="10" s="1"/>
  <c r="B11" i="10"/>
  <c r="B18" i="10"/>
  <c r="D18" i="10" s="1" a="1"/>
  <c r="B40" i="10"/>
  <c r="B24" i="10"/>
  <c r="C24" i="10" s="1"/>
  <c r="B27" i="9"/>
  <c r="G27" i="9" s="1"/>
  <c r="B45" i="9"/>
  <c r="H45" i="9" s="1"/>
  <c r="B56" i="9"/>
  <c r="B48" i="9"/>
  <c r="H48" i="9" s="1"/>
  <c r="B30" i="9"/>
  <c r="B37" i="9"/>
  <c r="D37" i="9" s="1"/>
  <c r="B21" i="9"/>
  <c r="B55" i="9"/>
  <c r="G55" i="9" s="1"/>
  <c r="B47" i="9"/>
  <c r="B44" i="9"/>
  <c r="D44" i="9" s="1"/>
  <c r="B16" i="9"/>
  <c r="B12" i="9"/>
  <c r="F12" i="9" s="1"/>
  <c r="B8" i="9"/>
  <c r="B49" i="10"/>
  <c r="C49" i="10" s="1"/>
  <c r="B47" i="10"/>
  <c r="D47" i="10" s="1" a="1"/>
  <c r="B17" i="10"/>
  <c r="D17" i="10" s="1" a="1"/>
  <c r="B37" i="10"/>
  <c r="C37" i="10" s="1"/>
  <c r="B3" i="10"/>
  <c r="D3" i="10" s="1" a="1"/>
  <c r="B52" i="10"/>
  <c r="C52" i="10" s="1"/>
  <c r="B36" i="10"/>
  <c r="C36" i="10" s="1"/>
  <c r="B20" i="10"/>
  <c r="D20" i="10" s="1" a="1"/>
  <c r="I23" i="9"/>
  <c r="C52" i="9"/>
  <c r="G22" i="9"/>
  <c r="H22" i="9"/>
  <c r="E22" i="9"/>
  <c r="C29" i="9"/>
  <c r="H29" i="9"/>
  <c r="E29" i="9"/>
  <c r="D59" i="9"/>
  <c r="H59" i="9"/>
  <c r="I59" i="9"/>
  <c r="E59" i="9"/>
  <c r="G51" i="9"/>
  <c r="E51" i="9"/>
  <c r="G36" i="9"/>
  <c r="C14" i="9"/>
  <c r="G14" i="9"/>
  <c r="E14" i="9"/>
  <c r="I14" i="9"/>
  <c r="C10" i="9"/>
  <c r="G10" i="9"/>
  <c r="D10" i="9"/>
  <c r="I10" i="9"/>
  <c r="F6" i="9"/>
  <c r="G6" i="9"/>
  <c r="H6" i="9"/>
  <c r="I6" i="9"/>
  <c r="C29" i="10"/>
  <c r="C43" i="10"/>
  <c r="D37" i="10" a="1"/>
  <c r="D36" i="10" a="1"/>
  <c r="C4" i="10"/>
  <c r="D4" i="10" a="1"/>
  <c r="E36" i="5"/>
  <c r="J36" i="5"/>
  <c r="G33" i="6" s="1"/>
  <c r="G36" i="5"/>
  <c r="H36" i="5" s="1"/>
  <c r="E33" i="6" s="1"/>
  <c r="J45" i="5"/>
  <c r="G42" i="6" s="1"/>
  <c r="E45" i="5"/>
  <c r="G45" i="5"/>
  <c r="H45" i="5" s="1"/>
  <c r="E42" i="6" s="1"/>
  <c r="E28" i="5"/>
  <c r="J28" i="5"/>
  <c r="G25" i="6" s="1"/>
  <c r="G28" i="5"/>
  <c r="H28" i="5" s="1"/>
  <c r="E25" i="6" s="1"/>
  <c r="G18" i="5"/>
  <c r="H18" i="5" s="1"/>
  <c r="E15" i="6" s="1"/>
  <c r="J18" i="5"/>
  <c r="G15" i="6" s="1"/>
  <c r="E18" i="5"/>
  <c r="J33" i="5"/>
  <c r="G30" i="6" s="1"/>
  <c r="E33" i="5"/>
  <c r="G33" i="5"/>
  <c r="H33" i="5" s="1"/>
  <c r="E30" i="6" s="1"/>
  <c r="E13" i="5"/>
  <c r="J13" i="5"/>
  <c r="G10" i="6" s="1"/>
  <c r="G13" i="5"/>
  <c r="H13" i="5" s="1"/>
  <c r="E10" i="6" s="1"/>
  <c r="J35" i="5"/>
  <c r="G32" i="6" s="1"/>
  <c r="G35" i="5"/>
  <c r="H35" i="5" s="1"/>
  <c r="E32" i="6" s="1"/>
  <c r="E35" i="5"/>
  <c r="G24" i="5"/>
  <c r="H24" i="5" s="1"/>
  <c r="E21" i="6" s="1"/>
  <c r="E24" i="5"/>
  <c r="G15" i="5"/>
  <c r="H15" i="5" s="1"/>
  <c r="E12" i="6" s="1"/>
  <c r="J15" i="5"/>
  <c r="G12" i="6" s="1"/>
  <c r="E15" i="5"/>
  <c r="E21" i="5"/>
  <c r="G21" i="5"/>
  <c r="H21" i="5" s="1"/>
  <c r="E18" i="6" s="1"/>
  <c r="J21" i="5"/>
  <c r="G18" i="6" s="1"/>
  <c r="CG60" i="3"/>
  <c r="CH60" i="3" s="1"/>
  <c r="C43" i="9"/>
  <c r="G43" i="9"/>
  <c r="D43" i="9"/>
  <c r="I43" i="9"/>
  <c r="E43" i="9"/>
  <c r="F43" i="9"/>
  <c r="H43" i="9"/>
  <c r="C35" i="9"/>
  <c r="E35" i="9"/>
  <c r="H58" i="9"/>
  <c r="F58" i="9"/>
  <c r="I58" i="9"/>
  <c r="C34" i="9"/>
  <c r="G34" i="9"/>
  <c r="D34" i="9"/>
  <c r="H34" i="9"/>
  <c r="E34" i="9"/>
  <c r="F34" i="9"/>
  <c r="I34" i="9"/>
  <c r="D41" i="9"/>
  <c r="I41" i="9"/>
  <c r="G25" i="9"/>
  <c r="H25" i="9"/>
  <c r="F25" i="9"/>
  <c r="D49" i="9"/>
  <c r="H49" i="9"/>
  <c r="G49" i="9"/>
  <c r="C49" i="9"/>
  <c r="I49" i="9"/>
  <c r="E49" i="9"/>
  <c r="F49" i="9"/>
  <c r="G32" i="9"/>
  <c r="F32" i="9"/>
  <c r="H46" i="9"/>
  <c r="F46" i="9"/>
  <c r="C46" i="9"/>
  <c r="F13" i="9"/>
  <c r="C13" i="9"/>
  <c r="G13" i="9"/>
  <c r="D13" i="9"/>
  <c r="H13" i="9"/>
  <c r="E13" i="9"/>
  <c r="I13" i="9"/>
  <c r="D9" i="9"/>
  <c r="C5" i="9"/>
  <c r="D5" i="9"/>
  <c r="E5" i="9"/>
  <c r="L50" i="4"/>
  <c r="A8" i="7"/>
  <c r="O9" i="5"/>
  <c r="D21" i="10" a="1"/>
  <c r="D23" i="10" a="1"/>
  <c r="C23" i="10"/>
  <c r="C42" i="10"/>
  <c r="D9" i="10" a="1"/>
  <c r="D26" i="10" a="1"/>
  <c r="C26" i="10"/>
  <c r="C48" i="10"/>
  <c r="D73" i="2"/>
  <c r="CE72" i="2"/>
  <c r="CO72" i="2"/>
  <c r="G44" i="5"/>
  <c r="H44" i="5" s="1"/>
  <c r="E41" i="6" s="1"/>
  <c r="E44" i="5"/>
  <c r="J44" i="5"/>
  <c r="G41" i="6" s="1"/>
  <c r="E34" i="5"/>
  <c r="G34" i="5"/>
  <c r="H34" i="5" s="1"/>
  <c r="E31" i="6" s="1"/>
  <c r="J34" i="5"/>
  <c r="G31" i="6" s="1"/>
  <c r="J10" i="5"/>
  <c r="G7" i="6" s="1"/>
  <c r="E10" i="5"/>
  <c r="G10" i="5"/>
  <c r="H10" i="5" s="1"/>
  <c r="E7" i="6" s="1"/>
  <c r="J41" i="5"/>
  <c r="G38" i="6" s="1"/>
  <c r="E41" i="5"/>
  <c r="G41" i="5"/>
  <c r="H41" i="5" s="1"/>
  <c r="E38" i="6" s="1"/>
  <c r="G26" i="5"/>
  <c r="H26" i="5" s="1"/>
  <c r="E23" i="6" s="1"/>
  <c r="J26" i="5"/>
  <c r="G23" i="6" s="1"/>
  <c r="E26" i="5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E82" i="4"/>
  <c r="E84" i="4"/>
  <c r="G5" i="5"/>
  <c r="H5" i="5" s="1"/>
  <c r="E2" i="6" s="1"/>
  <c r="E49" i="4"/>
  <c r="E57" i="4"/>
  <c r="E65" i="4"/>
  <c r="E47" i="4"/>
  <c r="E55" i="4"/>
  <c r="E63" i="4"/>
  <c r="E71" i="4"/>
  <c r="E79" i="4"/>
  <c r="E45" i="4"/>
  <c r="E53" i="4"/>
  <c r="E61" i="4"/>
  <c r="E69" i="4"/>
  <c r="E77" i="4"/>
  <c r="E85" i="4"/>
  <c r="E51" i="4"/>
  <c r="E59" i="4"/>
  <c r="E67" i="4"/>
  <c r="E75" i="4"/>
  <c r="E81" i="4"/>
  <c r="J5" i="5"/>
  <c r="G2" i="6" s="1"/>
  <c r="E83" i="4"/>
  <c r="E5" i="5"/>
  <c r="E73" i="4"/>
  <c r="J31" i="5"/>
  <c r="G28" i="6" s="1"/>
  <c r="E31" i="5"/>
  <c r="G31" i="5"/>
  <c r="H31" i="5" s="1"/>
  <c r="E28" i="6" s="1"/>
  <c r="G11" i="5"/>
  <c r="H11" i="5" s="1"/>
  <c r="E8" i="6" s="1"/>
  <c r="J11" i="5"/>
  <c r="G8" i="6" s="1"/>
  <c r="E11" i="5"/>
  <c r="J43" i="5"/>
  <c r="G40" i="6" s="1"/>
  <c r="G43" i="5"/>
  <c r="H43" i="5" s="1"/>
  <c r="E40" i="6" s="1"/>
  <c r="E43" i="5"/>
  <c r="J12" i="5"/>
  <c r="G9" i="6" s="1"/>
  <c r="G12" i="5"/>
  <c r="H12" i="5" s="1"/>
  <c r="E9" i="6" s="1"/>
  <c r="E12" i="5"/>
  <c r="E19" i="5"/>
  <c r="J19" i="5"/>
  <c r="G16" i="6" s="1"/>
  <c r="G19" i="5"/>
  <c r="H19" i="5" s="1"/>
  <c r="E16" i="6" s="1"/>
  <c r="C27" i="9"/>
  <c r="D27" i="9"/>
  <c r="H27" i="9"/>
  <c r="E27" i="9"/>
  <c r="I27" i="9"/>
  <c r="D56" i="9"/>
  <c r="H56" i="9"/>
  <c r="E56" i="9"/>
  <c r="F56" i="9"/>
  <c r="G56" i="9"/>
  <c r="C56" i="9"/>
  <c r="I56" i="9"/>
  <c r="D48" i="9"/>
  <c r="G48" i="9"/>
  <c r="C30" i="9"/>
  <c r="G30" i="9"/>
  <c r="D30" i="9"/>
  <c r="H30" i="9"/>
  <c r="E30" i="9"/>
  <c r="F30" i="9"/>
  <c r="I30" i="9"/>
  <c r="F37" i="9"/>
  <c r="C21" i="9"/>
  <c r="G21" i="9"/>
  <c r="D21" i="9"/>
  <c r="H21" i="9"/>
  <c r="E21" i="9"/>
  <c r="F21" i="9"/>
  <c r="I21" i="9"/>
  <c r="H55" i="9"/>
  <c r="E55" i="9"/>
  <c r="D47" i="9"/>
  <c r="H47" i="9"/>
  <c r="G47" i="9"/>
  <c r="C47" i="9"/>
  <c r="I47" i="9"/>
  <c r="E47" i="9"/>
  <c r="F47" i="9"/>
  <c r="G28" i="9"/>
  <c r="H28" i="9"/>
  <c r="F28" i="9"/>
  <c r="F44" i="9"/>
  <c r="F16" i="9"/>
  <c r="C16" i="9"/>
  <c r="G16" i="9"/>
  <c r="D16" i="9"/>
  <c r="H16" i="9"/>
  <c r="E16" i="9"/>
  <c r="I16" i="9"/>
  <c r="D12" i="9"/>
  <c r="F8" i="9"/>
  <c r="C8" i="9"/>
  <c r="G8" i="9"/>
  <c r="D8" i="9"/>
  <c r="H8" i="9"/>
  <c r="E8" i="9"/>
  <c r="I8" i="9"/>
  <c r="F4" i="9"/>
  <c r="C4" i="9"/>
  <c r="G4" i="9"/>
  <c r="D4" i="9"/>
  <c r="H4" i="9"/>
  <c r="E4" i="9"/>
  <c r="I4" i="9"/>
  <c r="D51" i="10" a="1"/>
  <c r="C34" i="10"/>
  <c r="D34" i="10" a="1"/>
  <c r="C13" i="10"/>
  <c r="D13" i="10" a="1"/>
  <c r="C45" i="10"/>
  <c r="D45" i="10" a="1"/>
  <c r="D15" i="10" a="1"/>
  <c r="C15" i="10"/>
  <c r="C41" i="10"/>
  <c r="D41" i="10" a="1"/>
  <c r="D19" i="10" a="1"/>
  <c r="C19" i="10"/>
  <c r="C22" i="10"/>
  <c r="D22" i="10" a="1"/>
  <c r="C6" i="10"/>
  <c r="D6" i="10" a="1"/>
  <c r="D44" i="10" a="1"/>
  <c r="C28" i="10"/>
  <c r="D28" i="10" a="1"/>
  <c r="C12" i="10"/>
  <c r="J42" i="5"/>
  <c r="G39" i="6" s="1"/>
  <c r="E42" i="5"/>
  <c r="G42" i="5"/>
  <c r="H42" i="5" s="1"/>
  <c r="E39" i="6" s="1"/>
  <c r="J14" i="5"/>
  <c r="G11" i="6" s="1"/>
  <c r="E14" i="5"/>
  <c r="G14" i="5"/>
  <c r="H14" i="5" s="1"/>
  <c r="E11" i="6" s="1"/>
  <c r="G32" i="5"/>
  <c r="H32" i="5" s="1"/>
  <c r="E29" i="6" s="1"/>
  <c r="E32" i="5"/>
  <c r="J32" i="5"/>
  <c r="G29" i="6" s="1"/>
  <c r="J8" i="5"/>
  <c r="G5" i="6" s="1"/>
  <c r="E8" i="5"/>
  <c r="G8" i="5"/>
  <c r="H8" i="5" s="1"/>
  <c r="E5" i="6" s="1"/>
  <c r="J39" i="5"/>
  <c r="G36" i="6" s="1"/>
  <c r="G39" i="5"/>
  <c r="H39" i="5" s="1"/>
  <c r="E36" i="6" s="1"/>
  <c r="E39" i="5"/>
  <c r="G22" i="5"/>
  <c r="H22" i="5" s="1"/>
  <c r="E19" i="6" s="1"/>
  <c r="E22" i="5"/>
  <c r="J22" i="5"/>
  <c r="G19" i="6" s="1"/>
  <c r="J29" i="5"/>
  <c r="G26" i="6" s="1"/>
  <c r="E29" i="5"/>
  <c r="G29" i="5"/>
  <c r="H29" i="5" s="1"/>
  <c r="E26" i="6" s="1"/>
  <c r="G9" i="5"/>
  <c r="H9" i="5" s="1"/>
  <c r="E6" i="6" s="1"/>
  <c r="J9" i="5"/>
  <c r="G6" i="6" s="1"/>
  <c r="E9" i="5"/>
  <c r="E30" i="5"/>
  <c r="G30" i="5"/>
  <c r="H30" i="5" s="1"/>
  <c r="E27" i="6" s="1"/>
  <c r="J30" i="5"/>
  <c r="G27" i="6" s="1"/>
  <c r="E17" i="5"/>
  <c r="J17" i="5"/>
  <c r="G14" i="6" s="1"/>
  <c r="G17" i="5"/>
  <c r="H17" i="5" s="1"/>
  <c r="E14" i="6" s="1"/>
  <c r="C39" i="9"/>
  <c r="G39" i="9"/>
  <c r="D39" i="9"/>
  <c r="H39" i="9"/>
  <c r="E39" i="9"/>
  <c r="F39" i="9"/>
  <c r="I39" i="9"/>
  <c r="G31" i="9"/>
  <c r="D31" i="9"/>
  <c r="F31" i="9"/>
  <c r="I31" i="9"/>
  <c r="D54" i="9"/>
  <c r="H54" i="9"/>
  <c r="E54" i="9"/>
  <c r="F54" i="9"/>
  <c r="G54" i="9"/>
  <c r="C54" i="9"/>
  <c r="I54" i="9"/>
  <c r="G42" i="9"/>
  <c r="H42" i="9"/>
  <c r="F42" i="9"/>
  <c r="C26" i="9"/>
  <c r="G26" i="9"/>
  <c r="D26" i="9"/>
  <c r="H26" i="9"/>
  <c r="E26" i="9"/>
  <c r="F26" i="9"/>
  <c r="I26" i="9"/>
  <c r="G33" i="9"/>
  <c r="D33" i="9"/>
  <c r="F33" i="9"/>
  <c r="I33" i="9"/>
  <c r="D61" i="9"/>
  <c r="H61" i="9"/>
  <c r="G61" i="9"/>
  <c r="C61" i="9"/>
  <c r="I61" i="9"/>
  <c r="E61" i="9"/>
  <c r="F61" i="9"/>
  <c r="H53" i="9"/>
  <c r="C53" i="9"/>
  <c r="E53" i="9"/>
  <c r="C40" i="9"/>
  <c r="G40" i="9"/>
  <c r="D40" i="9"/>
  <c r="H40" i="9"/>
  <c r="E40" i="9"/>
  <c r="F40" i="9"/>
  <c r="I40" i="9"/>
  <c r="G24" i="9"/>
  <c r="D24" i="9"/>
  <c r="F24" i="9"/>
  <c r="I24" i="9"/>
  <c r="C19" i="9"/>
  <c r="G19" i="9"/>
  <c r="D19" i="9"/>
  <c r="H19" i="9"/>
  <c r="E19" i="9"/>
  <c r="F19" i="9"/>
  <c r="I19" i="9"/>
  <c r="C15" i="9"/>
  <c r="D15" i="9"/>
  <c r="E15" i="9"/>
  <c r="F11" i="9"/>
  <c r="C11" i="9"/>
  <c r="G11" i="9"/>
  <c r="D11" i="9"/>
  <c r="H11" i="9"/>
  <c r="E11" i="9"/>
  <c r="I11" i="9"/>
  <c r="C7" i="9"/>
  <c r="G7" i="9"/>
  <c r="E7" i="9"/>
  <c r="I7" i="9"/>
  <c r="F3" i="9"/>
  <c r="C3" i="9"/>
  <c r="G3" i="9"/>
  <c r="D3" i="9"/>
  <c r="H3" i="9"/>
  <c r="E3" i="9"/>
  <c r="I3" i="9"/>
  <c r="C33" i="10"/>
  <c r="D33" i="10" a="1"/>
  <c r="D5" i="10" a="1"/>
  <c r="D31" i="10" a="1"/>
  <c r="C31" i="10"/>
  <c r="C25" i="10"/>
  <c r="D25" i="10" a="1"/>
  <c r="D38" i="10" a="1"/>
  <c r="D11" i="10" a="1"/>
  <c r="C11" i="10"/>
  <c r="D2" i="10" a="1"/>
  <c r="C2" i="10"/>
  <c r="C40" i="10"/>
  <c r="D40" i="10" a="1"/>
  <c r="D24" i="10" a="1"/>
  <c r="C8" i="10"/>
  <c r="D8" i="10" a="1"/>
  <c r="G40" i="5"/>
  <c r="H40" i="5" s="1"/>
  <c r="E37" i="6" s="1"/>
  <c r="J40" i="5"/>
  <c r="G37" i="6" s="1"/>
  <c r="E40" i="5"/>
  <c r="J25" i="5"/>
  <c r="G22" i="6" s="1"/>
  <c r="E25" i="5"/>
  <c r="G25" i="5"/>
  <c r="H25" i="5" s="1"/>
  <c r="E22" i="6" s="1"/>
  <c r="E46" i="5"/>
  <c r="J46" i="5"/>
  <c r="G46" i="5"/>
  <c r="H46" i="5" s="1"/>
  <c r="J6" i="5"/>
  <c r="G3" i="6" s="1"/>
  <c r="E6" i="5"/>
  <c r="G6" i="5"/>
  <c r="H6" i="5" s="1"/>
  <c r="E3" i="6" s="1"/>
  <c r="J37" i="5"/>
  <c r="G34" i="6" s="1"/>
  <c r="G37" i="5"/>
  <c r="H37" i="5" s="1"/>
  <c r="E34" i="6" s="1"/>
  <c r="E37" i="5"/>
  <c r="G20" i="5"/>
  <c r="H20" i="5" s="1"/>
  <c r="E17" i="6" s="1"/>
  <c r="J20" i="5"/>
  <c r="G17" i="6" s="1"/>
  <c r="E20" i="5"/>
  <c r="J38" i="5"/>
  <c r="G35" i="6" s="1"/>
  <c r="E38" i="5"/>
  <c r="G38" i="5"/>
  <c r="H38" i="5" s="1"/>
  <c r="E35" i="6" s="1"/>
  <c r="J27" i="5"/>
  <c r="G24" i="6" s="1"/>
  <c r="G27" i="5"/>
  <c r="H27" i="5" s="1"/>
  <c r="E24" i="6" s="1"/>
  <c r="E27" i="5"/>
  <c r="G16" i="5"/>
  <c r="H16" i="5" s="1"/>
  <c r="E13" i="6" s="1"/>
  <c r="J16" i="5"/>
  <c r="G13" i="6" s="1"/>
  <c r="E16" i="5"/>
  <c r="J7" i="5"/>
  <c r="G4" i="6" s="1"/>
  <c r="E7" i="5"/>
  <c r="G7" i="5"/>
  <c r="H7" i="5" s="1"/>
  <c r="E4" i="6" s="1"/>
  <c r="E23" i="5"/>
  <c r="J23" i="5"/>
  <c r="G20" i="6" s="1"/>
  <c r="G23" i="5"/>
  <c r="H23" i="5" s="1"/>
  <c r="E20" i="6" s="1"/>
  <c r="D7" i="9" l="1"/>
  <c r="H24" i="9"/>
  <c r="H33" i="9"/>
  <c r="H31" i="9"/>
  <c r="G45" i="9"/>
  <c r="D16" i="10" a="1"/>
  <c r="G16" i="10" s="1"/>
  <c r="C46" i="10"/>
  <c r="D17" i="9"/>
  <c r="D14" i="10" a="1"/>
  <c r="I20" i="9"/>
  <c r="C51" i="9"/>
  <c r="H44" i="9"/>
  <c r="D45" i="9"/>
  <c r="F50" i="9"/>
  <c r="D20" i="9"/>
  <c r="C60" i="9"/>
  <c r="H7" i="9"/>
  <c r="E24" i="9"/>
  <c r="E33" i="9"/>
  <c r="E31" i="9"/>
  <c r="G37" i="9"/>
  <c r="D52" i="10" a="1"/>
  <c r="D52" i="10" s="1"/>
  <c r="I15" i="9"/>
  <c r="G15" i="9"/>
  <c r="F53" i="9"/>
  <c r="G53" i="9"/>
  <c r="I42" i="9"/>
  <c r="D42" i="9"/>
  <c r="I12" i="9"/>
  <c r="G12" i="9"/>
  <c r="I28" i="9"/>
  <c r="D28" i="9"/>
  <c r="I55" i="9"/>
  <c r="D55" i="9"/>
  <c r="F48" i="9"/>
  <c r="C35" i="10"/>
  <c r="I9" i="9"/>
  <c r="G9" i="9"/>
  <c r="E32" i="9"/>
  <c r="C32" i="9"/>
  <c r="F41" i="9"/>
  <c r="G41" i="9"/>
  <c r="H35" i="9"/>
  <c r="C30" i="10"/>
  <c r="I38" i="9"/>
  <c r="H52" i="9"/>
  <c r="H23" i="9"/>
  <c r="E12" i="9"/>
  <c r="C12" i="9"/>
  <c r="C55" i="9"/>
  <c r="I48" i="9"/>
  <c r="E48" i="9"/>
  <c r="C10" i="10"/>
  <c r="E9" i="9"/>
  <c r="C9" i="9"/>
  <c r="H32" i="9"/>
  <c r="E41" i="9"/>
  <c r="C41" i="9"/>
  <c r="I35" i="9"/>
  <c r="D35" i="9"/>
  <c r="D38" i="9"/>
  <c r="D52" i="9"/>
  <c r="D23" i="9"/>
  <c r="H15" i="9"/>
  <c r="I53" i="9"/>
  <c r="E42" i="9"/>
  <c r="H12" i="9"/>
  <c r="E28" i="9"/>
  <c r="F55" i="9"/>
  <c r="C48" i="9"/>
  <c r="H9" i="9"/>
  <c r="I32" i="9"/>
  <c r="F35" i="9"/>
  <c r="G38" i="9"/>
  <c r="C57" i="9"/>
  <c r="D6" i="9"/>
  <c r="E10" i="9"/>
  <c r="D18" i="9"/>
  <c r="F51" i="9"/>
  <c r="H51" i="9"/>
  <c r="F22" i="9"/>
  <c r="C22" i="9"/>
  <c r="C47" i="10"/>
  <c r="E6" i="9"/>
  <c r="H10" i="9"/>
  <c r="F36" i="9"/>
  <c r="I51" i="9"/>
  <c r="I22" i="9"/>
  <c r="F38" i="9"/>
  <c r="G52" i="9"/>
  <c r="H60" i="9"/>
  <c r="C18" i="10"/>
  <c r="C7" i="10"/>
  <c r="D50" i="10" a="1"/>
  <c r="G50" i="10" s="1"/>
  <c r="E44" i="9"/>
  <c r="G44" i="9"/>
  <c r="E37" i="9"/>
  <c r="C37" i="9"/>
  <c r="E45" i="9"/>
  <c r="C45" i="9"/>
  <c r="C27" i="10"/>
  <c r="I17" i="9"/>
  <c r="G17" i="9"/>
  <c r="F57" i="9"/>
  <c r="G57" i="9"/>
  <c r="C50" i="9"/>
  <c r="E50" i="9"/>
  <c r="D49" i="10" a="1"/>
  <c r="H49" i="10" s="1"/>
  <c r="I18" i="9"/>
  <c r="G18" i="9"/>
  <c r="F20" i="9"/>
  <c r="G20" i="9"/>
  <c r="E36" i="9"/>
  <c r="C36" i="9"/>
  <c r="G60" i="9"/>
  <c r="D60" i="9"/>
  <c r="C39" i="10"/>
  <c r="I44" i="9"/>
  <c r="C44" i="9"/>
  <c r="H37" i="9"/>
  <c r="F45" i="9"/>
  <c r="C32" i="10"/>
  <c r="E17" i="9"/>
  <c r="C17" i="9"/>
  <c r="E57" i="9"/>
  <c r="H57" i="9"/>
  <c r="I50" i="9"/>
  <c r="H50" i="9"/>
  <c r="C3" i="10"/>
  <c r="E18" i="9"/>
  <c r="C18" i="9"/>
  <c r="E20" i="9"/>
  <c r="C20" i="9"/>
  <c r="H36" i="9"/>
  <c r="F60" i="9"/>
  <c r="I37" i="9"/>
  <c r="I45" i="9"/>
  <c r="H17" i="9"/>
  <c r="I57" i="9"/>
  <c r="G50" i="9"/>
  <c r="H18" i="9"/>
  <c r="I36" i="9"/>
  <c r="I60" i="9"/>
  <c r="I5" i="9"/>
  <c r="G5" i="9"/>
  <c r="I46" i="9"/>
  <c r="E46" i="9"/>
  <c r="I25" i="9"/>
  <c r="D25" i="9"/>
  <c r="C58" i="9"/>
  <c r="E58" i="9"/>
  <c r="H14" i="9"/>
  <c r="F14" i="9"/>
  <c r="C59" i="9"/>
  <c r="I29" i="9"/>
  <c r="D29" i="9"/>
  <c r="E38" i="9"/>
  <c r="C38" i="9"/>
  <c r="F52" i="9"/>
  <c r="F23" i="9"/>
  <c r="G23" i="9"/>
  <c r="F27" i="9"/>
  <c r="H5" i="9"/>
  <c r="G46" i="9"/>
  <c r="E25" i="9"/>
  <c r="G58" i="9"/>
  <c r="F59" i="9"/>
  <c r="F29" i="9"/>
  <c r="I52" i="9"/>
  <c r="E23" i="9"/>
  <c r="C20" i="10"/>
  <c r="C17" i="10"/>
  <c r="D7" i="5"/>
  <c r="C4" i="6" s="1"/>
  <c r="F7" i="5"/>
  <c r="I7" i="5"/>
  <c r="F4" i="6" s="1"/>
  <c r="F25" i="5"/>
  <c r="I25" i="5"/>
  <c r="F22" i="6" s="1"/>
  <c r="D25" i="5"/>
  <c r="C22" i="6" s="1"/>
  <c r="D2" i="10"/>
  <c r="G2" i="10"/>
  <c r="K2" i="10"/>
  <c r="E2" i="10"/>
  <c r="I2" i="10"/>
  <c r="F2" i="10"/>
  <c r="H2" i="10"/>
  <c r="J2" i="10"/>
  <c r="H11" i="10"/>
  <c r="F11" i="10"/>
  <c r="J11" i="10"/>
  <c r="I11" i="10"/>
  <c r="D11" i="10"/>
  <c r="K11" i="10"/>
  <c r="E11" i="10"/>
  <c r="G11" i="10"/>
  <c r="H31" i="10"/>
  <c r="D31" i="10"/>
  <c r="I31" i="10"/>
  <c r="E31" i="10"/>
  <c r="J31" i="10"/>
  <c r="F31" i="10"/>
  <c r="K31" i="10"/>
  <c r="G31" i="10"/>
  <c r="D42" i="5"/>
  <c r="C39" i="6" s="1"/>
  <c r="I42" i="5"/>
  <c r="F39" i="6" s="1"/>
  <c r="F42" i="5"/>
  <c r="E28" i="10"/>
  <c r="I28" i="10"/>
  <c r="D28" i="10"/>
  <c r="G28" i="10"/>
  <c r="K28" i="10"/>
  <c r="F28" i="10"/>
  <c r="H28" i="10"/>
  <c r="J28" i="10"/>
  <c r="D6" i="10"/>
  <c r="G6" i="10"/>
  <c r="K6" i="10"/>
  <c r="E6" i="10"/>
  <c r="I6" i="10"/>
  <c r="H6" i="10"/>
  <c r="J6" i="10"/>
  <c r="F6" i="10"/>
  <c r="F41" i="10"/>
  <c r="J41" i="10"/>
  <c r="E41" i="10"/>
  <c r="K41" i="10"/>
  <c r="G41" i="10"/>
  <c r="D41" i="10"/>
  <c r="H41" i="10"/>
  <c r="I41" i="10"/>
  <c r="F45" i="10"/>
  <c r="J45" i="10"/>
  <c r="I45" i="10"/>
  <c r="E45" i="10"/>
  <c r="K45" i="10"/>
  <c r="G45" i="10"/>
  <c r="D45" i="10"/>
  <c r="H45" i="10"/>
  <c r="D34" i="10"/>
  <c r="G34" i="10"/>
  <c r="K34" i="10"/>
  <c r="H34" i="10"/>
  <c r="I34" i="10"/>
  <c r="E34" i="10"/>
  <c r="J34" i="10"/>
  <c r="F34" i="10"/>
  <c r="F12" i="5"/>
  <c r="D12" i="5"/>
  <c r="C9" i="6" s="1"/>
  <c r="I12" i="5"/>
  <c r="F9" i="6" s="1"/>
  <c r="D26" i="5"/>
  <c r="C23" i="6" s="1"/>
  <c r="I26" i="5"/>
  <c r="F23" i="6" s="1"/>
  <c r="F26" i="5"/>
  <c r="F41" i="5"/>
  <c r="I41" i="5"/>
  <c r="F38" i="6" s="1"/>
  <c r="D41" i="5"/>
  <c r="C38" i="6" s="1"/>
  <c r="D42" i="10"/>
  <c r="G42" i="10"/>
  <c r="K42" i="10"/>
  <c r="E42" i="10"/>
  <c r="J42" i="10"/>
  <c r="F42" i="10"/>
  <c r="H42" i="10"/>
  <c r="I42" i="10"/>
  <c r="I21" i="5"/>
  <c r="F18" i="6" s="1"/>
  <c r="D21" i="5"/>
  <c r="C18" i="6" s="1"/>
  <c r="F21" i="5"/>
  <c r="F24" i="5"/>
  <c r="I24" i="5"/>
  <c r="F21" i="6" s="1"/>
  <c r="D24" i="5"/>
  <c r="C21" i="6" s="1"/>
  <c r="D28" i="5"/>
  <c r="C25" i="6" s="1"/>
  <c r="F28" i="5"/>
  <c r="I28" i="5"/>
  <c r="F25" i="6" s="1"/>
  <c r="H43" i="10"/>
  <c r="E43" i="10"/>
  <c r="J43" i="10"/>
  <c r="F43" i="10"/>
  <c r="K43" i="10"/>
  <c r="G43" i="10"/>
  <c r="D43" i="10"/>
  <c r="I43" i="10"/>
  <c r="H47" i="10"/>
  <c r="D47" i="10"/>
  <c r="I47" i="10"/>
  <c r="E47" i="10"/>
  <c r="J47" i="10"/>
  <c r="F47" i="10"/>
  <c r="K47" i="10"/>
  <c r="G47" i="10"/>
  <c r="F27" i="5"/>
  <c r="I27" i="5"/>
  <c r="F24" i="6" s="1"/>
  <c r="D27" i="5"/>
  <c r="C24" i="6" s="1"/>
  <c r="D38" i="5"/>
  <c r="C35" i="6" s="1"/>
  <c r="F38" i="5"/>
  <c r="I38" i="5"/>
  <c r="F35" i="6" s="1"/>
  <c r="E8" i="10"/>
  <c r="I8" i="10"/>
  <c r="D8" i="10"/>
  <c r="G8" i="10"/>
  <c r="K8" i="10"/>
  <c r="J8" i="10"/>
  <c r="F8" i="10"/>
  <c r="H8" i="10"/>
  <c r="E40" i="10"/>
  <c r="I40" i="10"/>
  <c r="F40" i="10"/>
  <c r="K40" i="10"/>
  <c r="G40" i="10"/>
  <c r="D40" i="10"/>
  <c r="H40" i="10"/>
  <c r="J40" i="10"/>
  <c r="D38" i="10"/>
  <c r="G38" i="10"/>
  <c r="K38" i="10"/>
  <c r="F38" i="10"/>
  <c r="H38" i="10"/>
  <c r="I38" i="10"/>
  <c r="E38" i="10"/>
  <c r="J38" i="10"/>
  <c r="F5" i="10"/>
  <c r="J5" i="10"/>
  <c r="H5" i="10"/>
  <c r="D5" i="10"/>
  <c r="K5" i="10"/>
  <c r="E5" i="10"/>
  <c r="G5" i="10"/>
  <c r="I5" i="10"/>
  <c r="D50" i="10"/>
  <c r="D30" i="5"/>
  <c r="C27" i="6" s="1"/>
  <c r="F30" i="5"/>
  <c r="I30" i="5"/>
  <c r="F27" i="6" s="1"/>
  <c r="F22" i="5"/>
  <c r="I22" i="5"/>
  <c r="F19" i="6" s="1"/>
  <c r="D22" i="5"/>
  <c r="C19" i="6" s="1"/>
  <c r="F14" i="5"/>
  <c r="D14" i="5"/>
  <c r="C11" i="6" s="1"/>
  <c r="I14" i="5"/>
  <c r="F11" i="6" s="1"/>
  <c r="H19" i="10"/>
  <c r="F19" i="10"/>
  <c r="J19" i="10"/>
  <c r="I19" i="10"/>
  <c r="D19" i="10"/>
  <c r="K19" i="10"/>
  <c r="E19" i="10"/>
  <c r="G19" i="10"/>
  <c r="D5" i="5"/>
  <c r="C2" i="6" s="1"/>
  <c r="I5" i="5"/>
  <c r="F2" i="6" s="1"/>
  <c r="F5" i="5"/>
  <c r="D44" i="5"/>
  <c r="C41" i="6" s="1"/>
  <c r="I44" i="5"/>
  <c r="F41" i="6" s="1"/>
  <c r="F44" i="5"/>
  <c r="CE73" i="2"/>
  <c r="CH74" i="2" s="1"/>
  <c r="CO73" i="2"/>
  <c r="CO76" i="2" s="1"/>
  <c r="E32" i="10"/>
  <c r="I32" i="10"/>
  <c r="D32" i="10"/>
  <c r="H32" i="10"/>
  <c r="J32" i="10"/>
  <c r="F32" i="10"/>
  <c r="K32" i="10"/>
  <c r="G32" i="10"/>
  <c r="D10" i="10"/>
  <c r="G10" i="10"/>
  <c r="K10" i="10"/>
  <c r="E10" i="10"/>
  <c r="I10" i="10"/>
  <c r="F10" i="10"/>
  <c r="H10" i="10"/>
  <c r="J10" i="10"/>
  <c r="H27" i="10"/>
  <c r="F27" i="10"/>
  <c r="J27" i="10"/>
  <c r="I27" i="10"/>
  <c r="D27" i="10"/>
  <c r="K27" i="10"/>
  <c r="E27" i="10"/>
  <c r="G27" i="10"/>
  <c r="D46" i="10"/>
  <c r="G46" i="10"/>
  <c r="K46" i="10"/>
  <c r="I46" i="10"/>
  <c r="E46" i="10"/>
  <c r="J46" i="10"/>
  <c r="F46" i="10"/>
  <c r="H46" i="10"/>
  <c r="H35" i="10"/>
  <c r="G35" i="10"/>
  <c r="D35" i="10"/>
  <c r="I35" i="10"/>
  <c r="E35" i="10"/>
  <c r="J35" i="10"/>
  <c r="F35" i="10"/>
  <c r="K35" i="10"/>
  <c r="L51" i="4"/>
  <c r="A9" i="7"/>
  <c r="D15" i="5"/>
  <c r="C12" i="6" s="1"/>
  <c r="F15" i="5"/>
  <c r="I15" i="5"/>
  <c r="F12" i="6" s="1"/>
  <c r="F33" i="5"/>
  <c r="I33" i="5"/>
  <c r="F30" i="6" s="1"/>
  <c r="D33" i="5"/>
  <c r="C30" i="6" s="1"/>
  <c r="E20" i="10"/>
  <c r="I20" i="10"/>
  <c r="D20" i="10"/>
  <c r="G20" i="10"/>
  <c r="K20" i="10"/>
  <c r="F20" i="10"/>
  <c r="H20" i="10"/>
  <c r="J20" i="10"/>
  <c r="F17" i="10"/>
  <c r="J17" i="10"/>
  <c r="H17" i="10"/>
  <c r="G17" i="10"/>
  <c r="I17" i="10"/>
  <c r="D17" i="10"/>
  <c r="K17" i="10"/>
  <c r="E17" i="10"/>
  <c r="F29" i="10"/>
  <c r="J29" i="10"/>
  <c r="D29" i="10"/>
  <c r="I29" i="10"/>
  <c r="E29" i="10"/>
  <c r="K29" i="10"/>
  <c r="G29" i="10"/>
  <c r="H29" i="10"/>
  <c r="I23" i="5"/>
  <c r="F20" i="6" s="1"/>
  <c r="D23" i="5"/>
  <c r="C20" i="6" s="1"/>
  <c r="F23" i="5"/>
  <c r="F16" i="5"/>
  <c r="I16" i="5"/>
  <c r="F13" i="6" s="1"/>
  <c r="D16" i="5"/>
  <c r="C13" i="6" s="1"/>
  <c r="F37" i="5"/>
  <c r="I37" i="5"/>
  <c r="F34" i="6" s="1"/>
  <c r="D37" i="5"/>
  <c r="C34" i="6" s="1"/>
  <c r="F6" i="5"/>
  <c r="I6" i="5"/>
  <c r="F3" i="6" s="1"/>
  <c r="D6" i="5"/>
  <c r="C3" i="6" s="1"/>
  <c r="D46" i="5"/>
  <c r="I46" i="5"/>
  <c r="F46" i="5"/>
  <c r="D40" i="5"/>
  <c r="C37" i="6" s="1"/>
  <c r="F40" i="5"/>
  <c r="I40" i="5"/>
  <c r="F37" i="6" s="1"/>
  <c r="D18" i="10"/>
  <c r="G18" i="10"/>
  <c r="K18" i="10"/>
  <c r="E18" i="10"/>
  <c r="I18" i="10"/>
  <c r="F18" i="10"/>
  <c r="H18" i="10"/>
  <c r="J18" i="10"/>
  <c r="H7" i="10"/>
  <c r="F7" i="10"/>
  <c r="J7" i="10"/>
  <c r="E7" i="10"/>
  <c r="G7" i="10"/>
  <c r="I7" i="10"/>
  <c r="D7" i="10"/>
  <c r="K7" i="10"/>
  <c r="I17" i="5"/>
  <c r="F14" i="6" s="1"/>
  <c r="D17" i="5"/>
  <c r="C14" i="6" s="1"/>
  <c r="F17" i="5"/>
  <c r="D9" i="5"/>
  <c r="C6" i="6" s="1"/>
  <c r="I9" i="5"/>
  <c r="F6" i="6" s="1"/>
  <c r="F9" i="5"/>
  <c r="F29" i="5"/>
  <c r="I29" i="5"/>
  <c r="F26" i="6" s="1"/>
  <c r="D29" i="5"/>
  <c r="C26" i="6" s="1"/>
  <c r="D32" i="5"/>
  <c r="C29" i="6" s="1"/>
  <c r="F32" i="5"/>
  <c r="I32" i="5"/>
  <c r="F29" i="6" s="1"/>
  <c r="E12" i="10"/>
  <c r="I12" i="10"/>
  <c r="D12" i="10"/>
  <c r="G12" i="10"/>
  <c r="K12" i="10"/>
  <c r="F12" i="10"/>
  <c r="H12" i="10"/>
  <c r="J12" i="10"/>
  <c r="D22" i="10"/>
  <c r="G22" i="10"/>
  <c r="K22" i="10"/>
  <c r="E22" i="10"/>
  <c r="I22" i="10"/>
  <c r="H22" i="10"/>
  <c r="J22" i="10"/>
  <c r="F22" i="10"/>
  <c r="F13" i="10"/>
  <c r="J13" i="10"/>
  <c r="H13" i="10"/>
  <c r="D13" i="10"/>
  <c r="K13" i="10"/>
  <c r="E13" i="10"/>
  <c r="G13" i="10"/>
  <c r="I13" i="10"/>
  <c r="D11" i="5"/>
  <c r="C8" i="6" s="1"/>
  <c r="I11" i="5"/>
  <c r="F8" i="6" s="1"/>
  <c r="F11" i="5"/>
  <c r="F31" i="5"/>
  <c r="D31" i="5"/>
  <c r="C28" i="6" s="1"/>
  <c r="I31" i="5"/>
  <c r="F28" i="6" s="1"/>
  <c r="F9" i="10"/>
  <c r="J9" i="10"/>
  <c r="H9" i="10"/>
  <c r="G9" i="10"/>
  <c r="I9" i="10"/>
  <c r="D9" i="10"/>
  <c r="K9" i="10"/>
  <c r="E9" i="10"/>
  <c r="F21" i="10"/>
  <c r="J21" i="10"/>
  <c r="H21" i="10"/>
  <c r="D21" i="10"/>
  <c r="K21" i="10"/>
  <c r="E21" i="10"/>
  <c r="G21" i="10"/>
  <c r="I21" i="10"/>
  <c r="O10" i="5"/>
  <c r="F35" i="5"/>
  <c r="I35" i="5"/>
  <c r="F32" i="6" s="1"/>
  <c r="D35" i="5"/>
  <c r="C32" i="6" s="1"/>
  <c r="F45" i="5"/>
  <c r="D45" i="5"/>
  <c r="C42" i="6" s="1"/>
  <c r="I45" i="5"/>
  <c r="F42" i="6" s="1"/>
  <c r="D36" i="5"/>
  <c r="C33" i="6" s="1"/>
  <c r="F36" i="5"/>
  <c r="I36" i="5"/>
  <c r="F33" i="6" s="1"/>
  <c r="H3" i="10"/>
  <c r="F3" i="10"/>
  <c r="J3" i="10"/>
  <c r="I3" i="10"/>
  <c r="D3" i="10"/>
  <c r="K3" i="10"/>
  <c r="E3" i="10"/>
  <c r="G3" i="10"/>
  <c r="D30" i="10"/>
  <c r="G30" i="10"/>
  <c r="K30" i="10"/>
  <c r="I30" i="10"/>
  <c r="E30" i="10"/>
  <c r="J30" i="10"/>
  <c r="F30" i="10"/>
  <c r="H30" i="10"/>
  <c r="D20" i="5"/>
  <c r="C17" i="6" s="1"/>
  <c r="I20" i="5"/>
  <c r="F17" i="6" s="1"/>
  <c r="F20" i="5"/>
  <c r="E24" i="10"/>
  <c r="I24" i="10"/>
  <c r="D24" i="10"/>
  <c r="G24" i="10"/>
  <c r="K24" i="10"/>
  <c r="J24" i="10"/>
  <c r="F24" i="10"/>
  <c r="H24" i="10"/>
  <c r="F25" i="10"/>
  <c r="J25" i="10"/>
  <c r="H25" i="10"/>
  <c r="G25" i="10"/>
  <c r="I25" i="10"/>
  <c r="D25" i="10"/>
  <c r="K25" i="10"/>
  <c r="E25" i="10"/>
  <c r="F33" i="10"/>
  <c r="J33" i="10"/>
  <c r="D33" i="10"/>
  <c r="H33" i="10"/>
  <c r="I33" i="10"/>
  <c r="E33" i="10"/>
  <c r="K33" i="10"/>
  <c r="G33" i="10"/>
  <c r="F39" i="5"/>
  <c r="D39" i="5"/>
  <c r="C36" i="6" s="1"/>
  <c r="I39" i="5"/>
  <c r="F36" i="6" s="1"/>
  <c r="F8" i="5"/>
  <c r="D8" i="5"/>
  <c r="C5" i="6" s="1"/>
  <c r="I8" i="5"/>
  <c r="F5" i="6" s="1"/>
  <c r="E44" i="10"/>
  <c r="I44" i="10"/>
  <c r="J44" i="10"/>
  <c r="F44" i="10"/>
  <c r="K44" i="10"/>
  <c r="G44" i="10"/>
  <c r="D44" i="10"/>
  <c r="H44" i="10"/>
  <c r="H39" i="10"/>
  <c r="F39" i="10"/>
  <c r="K39" i="10"/>
  <c r="G39" i="10"/>
  <c r="D39" i="10"/>
  <c r="I39" i="10"/>
  <c r="E39" i="10"/>
  <c r="J39" i="10"/>
  <c r="H15" i="10"/>
  <c r="F15" i="10"/>
  <c r="J15" i="10"/>
  <c r="E15" i="10"/>
  <c r="G15" i="10"/>
  <c r="I15" i="10"/>
  <c r="D15" i="10"/>
  <c r="K15" i="10"/>
  <c r="H51" i="10"/>
  <c r="G51" i="10"/>
  <c r="D51" i="10"/>
  <c r="I51" i="10"/>
  <c r="E51" i="10"/>
  <c r="J51" i="10"/>
  <c r="F51" i="10"/>
  <c r="K51" i="10"/>
  <c r="I19" i="5"/>
  <c r="F16" i="6" s="1"/>
  <c r="F19" i="5"/>
  <c r="D19" i="5"/>
  <c r="C16" i="6" s="1"/>
  <c r="F43" i="5"/>
  <c r="I43" i="5"/>
  <c r="F40" i="6" s="1"/>
  <c r="D43" i="5"/>
  <c r="C40" i="6" s="1"/>
  <c r="F10" i="5"/>
  <c r="D10" i="5"/>
  <c r="C7" i="6" s="1"/>
  <c r="I10" i="5"/>
  <c r="F7" i="6" s="1"/>
  <c r="D34" i="5"/>
  <c r="C31" i="6" s="1"/>
  <c r="I34" i="5"/>
  <c r="F31" i="6" s="1"/>
  <c r="F34" i="5"/>
  <c r="E48" i="10"/>
  <c r="I48" i="10"/>
  <c r="D48" i="10"/>
  <c r="H48" i="10"/>
  <c r="J48" i="10"/>
  <c r="F48" i="10"/>
  <c r="K48" i="10"/>
  <c r="G48" i="10"/>
  <c r="D26" i="10"/>
  <c r="G26" i="10"/>
  <c r="K26" i="10"/>
  <c r="E26" i="10"/>
  <c r="I26" i="10"/>
  <c r="F26" i="10"/>
  <c r="H26" i="10"/>
  <c r="J26" i="10"/>
  <c r="H23" i="10"/>
  <c r="F23" i="10"/>
  <c r="J23" i="10"/>
  <c r="E23" i="10"/>
  <c r="G23" i="10"/>
  <c r="I23" i="10"/>
  <c r="D23" i="10"/>
  <c r="K23" i="10"/>
  <c r="D13" i="5"/>
  <c r="C10" i="6" s="1"/>
  <c r="I13" i="5"/>
  <c r="F10" i="6" s="1"/>
  <c r="F13" i="5"/>
  <c r="F18" i="5"/>
  <c r="I18" i="5"/>
  <c r="F15" i="6" s="1"/>
  <c r="D18" i="5"/>
  <c r="C15" i="6" s="1"/>
  <c r="E4" i="10"/>
  <c r="I4" i="10"/>
  <c r="D4" i="10"/>
  <c r="G4" i="10"/>
  <c r="K4" i="10"/>
  <c r="F4" i="10"/>
  <c r="H4" i="10"/>
  <c r="J4" i="10"/>
  <c r="E36" i="10"/>
  <c r="I36" i="10"/>
  <c r="G36" i="10"/>
  <c r="D36" i="10"/>
  <c r="H36" i="10"/>
  <c r="J36" i="10"/>
  <c r="F36" i="10"/>
  <c r="K36" i="10"/>
  <c r="D14" i="10"/>
  <c r="G14" i="10"/>
  <c r="K14" i="10"/>
  <c r="E14" i="10"/>
  <c r="I14" i="10"/>
  <c r="H14" i="10"/>
  <c r="J14" i="10"/>
  <c r="F14" i="10"/>
  <c r="F37" i="10"/>
  <c r="J37" i="10"/>
  <c r="G37" i="10"/>
  <c r="D37" i="10"/>
  <c r="H37" i="10"/>
  <c r="I37" i="10"/>
  <c r="E37" i="10"/>
  <c r="K37" i="10"/>
  <c r="F49" i="10"/>
  <c r="F52" i="10" l="1"/>
  <c r="K16" i="10"/>
  <c r="E16" i="10"/>
  <c r="I50" i="10"/>
  <c r="J16" i="10"/>
  <c r="G52" i="10"/>
  <c r="I52" i="10"/>
  <c r="F16" i="10"/>
  <c r="I16" i="10"/>
  <c r="H52" i="10"/>
  <c r="D16" i="10"/>
  <c r="J52" i="10"/>
  <c r="E52" i="10"/>
  <c r="H16" i="10"/>
  <c r="K52" i="10"/>
  <c r="E49" i="10"/>
  <c r="F50" i="10"/>
  <c r="H50" i="10"/>
  <c r="D49" i="10"/>
  <c r="K49" i="10"/>
  <c r="J49" i="10"/>
  <c r="I49" i="10"/>
  <c r="J50" i="10"/>
  <c r="K50" i="10"/>
  <c r="G49" i="10"/>
  <c r="E50" i="10"/>
  <c r="C46" i="5"/>
  <c r="K46" i="5" s="1"/>
  <c r="L46" i="5" s="1"/>
  <c r="M46" i="5" s="1"/>
  <c r="C18" i="5"/>
  <c r="D15" i="6"/>
  <c r="C34" i="5"/>
  <c r="D31" i="6"/>
  <c r="O11" i="5"/>
  <c r="C9" i="5"/>
  <c r="D6" i="6"/>
  <c r="C16" i="5"/>
  <c r="D13" i="6"/>
  <c r="D12" i="6"/>
  <c r="C15" i="5"/>
  <c r="C5" i="5"/>
  <c r="D2" i="6"/>
  <c r="C22" i="5"/>
  <c r="D19" i="6"/>
  <c r="C21" i="5"/>
  <c r="D18" i="6"/>
  <c r="C25" i="5"/>
  <c r="D22" i="6"/>
  <c r="D10" i="6"/>
  <c r="C13" i="5"/>
  <c r="D7" i="6"/>
  <c r="C10" i="5"/>
  <c r="C43" i="5"/>
  <c r="D40" i="6"/>
  <c r="C37" i="5"/>
  <c r="D34" i="6"/>
  <c r="C23" i="5"/>
  <c r="D20" i="6"/>
  <c r="C14" i="5"/>
  <c r="D11" i="6"/>
  <c r="C38" i="5"/>
  <c r="D35" i="6"/>
  <c r="C27" i="5"/>
  <c r="D24" i="6"/>
  <c r="C41" i="5"/>
  <c r="D38" i="6"/>
  <c r="C39" i="5"/>
  <c r="D36" i="6"/>
  <c r="C35" i="5"/>
  <c r="D32" i="6"/>
  <c r="C31" i="5"/>
  <c r="D28" i="6"/>
  <c r="C6" i="5"/>
  <c r="D3" i="6"/>
  <c r="C33" i="5"/>
  <c r="D30" i="6"/>
  <c r="D27" i="6"/>
  <c r="C30" i="5"/>
  <c r="C26" i="5"/>
  <c r="D23" i="6"/>
  <c r="D9" i="6"/>
  <c r="C12" i="5"/>
  <c r="D4" i="6"/>
  <c r="C7" i="5"/>
  <c r="C19" i="5"/>
  <c r="D16" i="6"/>
  <c r="C8" i="5"/>
  <c r="D5" i="6"/>
  <c r="C20" i="5"/>
  <c r="D17" i="6"/>
  <c r="C36" i="5"/>
  <c r="D33" i="6"/>
  <c r="C45" i="5"/>
  <c r="D42" i="6"/>
  <c r="C11" i="5"/>
  <c r="D8" i="6"/>
  <c r="D29" i="6"/>
  <c r="C32" i="5"/>
  <c r="C29" i="5"/>
  <c r="D26" i="6"/>
  <c r="C17" i="5"/>
  <c r="D14" i="6"/>
  <c r="C40" i="5"/>
  <c r="D37" i="6"/>
  <c r="L52" i="4"/>
  <c r="A10" i="7"/>
  <c r="C44" i="5"/>
  <c r="D41" i="6"/>
  <c r="D25" i="6"/>
  <c r="C28" i="5"/>
  <c r="C24" i="5"/>
  <c r="D21" i="6"/>
  <c r="C42" i="5"/>
  <c r="D39" i="6"/>
  <c r="B21" i="6" l="1"/>
  <c r="I21" i="6" s="1"/>
  <c r="J21" i="6" s="1"/>
  <c r="K24" i="5"/>
  <c r="F64" i="4"/>
  <c r="K44" i="5"/>
  <c r="B41" i="6"/>
  <c r="I41" i="6" s="1"/>
  <c r="J41" i="6" s="1"/>
  <c r="F84" i="4"/>
  <c r="K7" i="5"/>
  <c r="B4" i="6"/>
  <c r="I4" i="6" s="1"/>
  <c r="J4" i="6" s="1"/>
  <c r="F47" i="4"/>
  <c r="K10" i="5"/>
  <c r="B7" i="6"/>
  <c r="I7" i="6" s="1"/>
  <c r="J7" i="6" s="1"/>
  <c r="F50" i="4"/>
  <c r="K15" i="5"/>
  <c r="B12" i="6"/>
  <c r="I12" i="6" s="1"/>
  <c r="J12" i="6" s="1"/>
  <c r="F55" i="4"/>
  <c r="K28" i="5"/>
  <c r="B25" i="6"/>
  <c r="I25" i="6" s="1"/>
  <c r="J25" i="6" s="1"/>
  <c r="F68" i="4"/>
  <c r="K40" i="5"/>
  <c r="B37" i="6"/>
  <c r="I37" i="6" s="1"/>
  <c r="J37" i="6" s="1"/>
  <c r="F80" i="4"/>
  <c r="F36" i="4" s="1"/>
  <c r="K29" i="5"/>
  <c r="B26" i="6"/>
  <c r="I26" i="6" s="1"/>
  <c r="J26" i="6" s="1"/>
  <c r="F69" i="4"/>
  <c r="B8" i="6"/>
  <c r="I8" i="6" s="1"/>
  <c r="J8" i="6" s="1"/>
  <c r="K11" i="5"/>
  <c r="F51" i="4"/>
  <c r="K36" i="5"/>
  <c r="B33" i="6"/>
  <c r="I33" i="6" s="1"/>
  <c r="J33" i="6" s="1"/>
  <c r="F76" i="4"/>
  <c r="B5" i="6"/>
  <c r="I5" i="6" s="1"/>
  <c r="J5" i="6" s="1"/>
  <c r="K8" i="5"/>
  <c r="F48" i="4"/>
  <c r="K26" i="5"/>
  <c r="B23" i="6"/>
  <c r="I23" i="6" s="1"/>
  <c r="J23" i="6" s="1"/>
  <c r="F66" i="4"/>
  <c r="K33" i="5"/>
  <c r="B30" i="6"/>
  <c r="I30" i="6" s="1"/>
  <c r="J30" i="6" s="1"/>
  <c r="F73" i="4"/>
  <c r="K31" i="5"/>
  <c r="B28" i="6"/>
  <c r="I28" i="6" s="1"/>
  <c r="J28" i="6" s="1"/>
  <c r="F71" i="4"/>
  <c r="B36" i="6"/>
  <c r="I36" i="6" s="1"/>
  <c r="J36" i="6" s="1"/>
  <c r="K39" i="5"/>
  <c r="F79" i="4"/>
  <c r="B24" i="6"/>
  <c r="I24" i="6" s="1"/>
  <c r="J24" i="6" s="1"/>
  <c r="K27" i="5"/>
  <c r="F67" i="4"/>
  <c r="K14" i="5"/>
  <c r="B11" i="6"/>
  <c r="I11" i="6" s="1"/>
  <c r="J11" i="6" s="1"/>
  <c r="F54" i="4"/>
  <c r="B34" i="6"/>
  <c r="I34" i="6" s="1"/>
  <c r="J34" i="6" s="1"/>
  <c r="K37" i="5"/>
  <c r="F77" i="4"/>
  <c r="K25" i="5"/>
  <c r="B22" i="6"/>
  <c r="I22" i="6" s="1"/>
  <c r="J22" i="6" s="1"/>
  <c r="F65" i="4"/>
  <c r="K22" i="5"/>
  <c r="B19" i="6"/>
  <c r="I19" i="6" s="1"/>
  <c r="J19" i="6" s="1"/>
  <c r="F62" i="4"/>
  <c r="B6" i="6"/>
  <c r="I6" i="6" s="1"/>
  <c r="J6" i="6" s="1"/>
  <c r="K9" i="5"/>
  <c r="F49" i="4"/>
  <c r="K34" i="5"/>
  <c r="B31" i="6"/>
  <c r="I31" i="6" s="1"/>
  <c r="J31" i="6" s="1"/>
  <c r="F74" i="4"/>
  <c r="K31" i="4" s="1"/>
  <c r="K42" i="5"/>
  <c r="B39" i="6"/>
  <c r="I39" i="6" s="1"/>
  <c r="J39" i="6" s="1"/>
  <c r="F82" i="4"/>
  <c r="L53" i="4"/>
  <c r="A11" i="7"/>
  <c r="K32" i="5"/>
  <c r="B29" i="6"/>
  <c r="I29" i="6" s="1"/>
  <c r="J29" i="6" s="1"/>
  <c r="F72" i="4"/>
  <c r="K12" i="5"/>
  <c r="B9" i="6"/>
  <c r="I9" i="6" s="1"/>
  <c r="J9" i="6" s="1"/>
  <c r="F52" i="4"/>
  <c r="K30" i="5"/>
  <c r="B27" i="6"/>
  <c r="I27" i="6" s="1"/>
  <c r="J27" i="6" s="1"/>
  <c r="F70" i="4"/>
  <c r="K13" i="5"/>
  <c r="B10" i="6"/>
  <c r="I10" i="6" s="1"/>
  <c r="J10" i="6" s="1"/>
  <c r="F53" i="4"/>
  <c r="O12" i="5"/>
  <c r="K17" i="5"/>
  <c r="B14" i="6"/>
  <c r="I14" i="6" s="1"/>
  <c r="J14" i="6" s="1"/>
  <c r="F57" i="4"/>
  <c r="K45" i="5"/>
  <c r="B42" i="6"/>
  <c r="I42" i="6" s="1"/>
  <c r="J42" i="6" s="1"/>
  <c r="F85" i="4"/>
  <c r="K20" i="5"/>
  <c r="B17" i="6"/>
  <c r="I17" i="6" s="1"/>
  <c r="J17" i="6" s="1"/>
  <c r="F60" i="4"/>
  <c r="K19" i="5"/>
  <c r="B16" i="6"/>
  <c r="I16" i="6" s="1"/>
  <c r="J16" i="6" s="1"/>
  <c r="F59" i="4"/>
  <c r="K6" i="5"/>
  <c r="B3" i="6"/>
  <c r="I3" i="6" s="1"/>
  <c r="J3" i="6" s="1"/>
  <c r="F46" i="4"/>
  <c r="B32" i="6"/>
  <c r="I32" i="6" s="1"/>
  <c r="J32" i="6" s="1"/>
  <c r="K35" i="5"/>
  <c r="F75" i="4"/>
  <c r="K41" i="5"/>
  <c r="B38" i="6"/>
  <c r="I38" i="6" s="1"/>
  <c r="J38" i="6" s="1"/>
  <c r="F81" i="4"/>
  <c r="K38" i="5"/>
  <c r="B35" i="6"/>
  <c r="I35" i="6" s="1"/>
  <c r="J35" i="6" s="1"/>
  <c r="F78" i="4"/>
  <c r="K23" i="5"/>
  <c r="B20" i="6"/>
  <c r="I20" i="6" s="1"/>
  <c r="J20" i="6" s="1"/>
  <c r="F63" i="4"/>
  <c r="B40" i="6"/>
  <c r="I40" i="6" s="1"/>
  <c r="J40" i="6" s="1"/>
  <c r="K43" i="5"/>
  <c r="F83" i="4"/>
  <c r="K21" i="5"/>
  <c r="B18" i="6"/>
  <c r="I18" i="6" s="1"/>
  <c r="J18" i="6" s="1"/>
  <c r="F61" i="4"/>
  <c r="K5" i="5"/>
  <c r="B2" i="6"/>
  <c r="I2" i="6" s="1"/>
  <c r="J2" i="6" s="1"/>
  <c r="F45" i="4"/>
  <c r="K16" i="5"/>
  <c r="B13" i="6"/>
  <c r="I13" i="6" s="1"/>
  <c r="J13" i="6" s="1"/>
  <c r="F56" i="4"/>
  <c r="K18" i="5"/>
  <c r="B15" i="6"/>
  <c r="I15" i="6" s="1"/>
  <c r="J15" i="6" s="1"/>
  <c r="F58" i="4"/>
  <c r="AB29" i="4" s="1"/>
  <c r="H15" i="6" l="1"/>
  <c r="L18" i="5"/>
  <c r="F31" i="4"/>
  <c r="AG32" i="4"/>
  <c r="J32" i="4"/>
  <c r="AC33" i="4"/>
  <c r="C39" i="4"/>
  <c r="W39" i="4"/>
  <c r="B29" i="4"/>
  <c r="Q38" i="4"/>
  <c r="AG38" i="4"/>
  <c r="S32" i="4"/>
  <c r="I30" i="4"/>
  <c r="D39" i="4"/>
  <c r="R39" i="4"/>
  <c r="X35" i="4"/>
  <c r="L45" i="5"/>
  <c r="H42" i="6"/>
  <c r="P34" i="4"/>
  <c r="O39" i="4"/>
  <c r="F37" i="4"/>
  <c r="L36" i="4"/>
  <c r="L32" i="5"/>
  <c r="H29" i="6"/>
  <c r="O29" i="4"/>
  <c r="U31" i="4"/>
  <c r="D37" i="4"/>
  <c r="G38" i="4"/>
  <c r="AE38" i="4"/>
  <c r="B39" i="4"/>
  <c r="P30" i="4"/>
  <c r="Y33" i="4"/>
  <c r="AF38" i="4"/>
  <c r="L39" i="4"/>
  <c r="AB39" i="4"/>
  <c r="AG39" i="4"/>
  <c r="T31" i="4"/>
  <c r="E38" i="4"/>
  <c r="J39" i="4"/>
  <c r="F38" i="4"/>
  <c r="H39" i="4"/>
  <c r="N39" i="4"/>
  <c r="AC39" i="4"/>
  <c r="C37" i="4"/>
  <c r="V38" i="4"/>
  <c r="A39" i="4"/>
  <c r="L9" i="5"/>
  <c r="H6" i="6"/>
  <c r="L22" i="5"/>
  <c r="H19" i="6"/>
  <c r="M31" i="4"/>
  <c r="L32" i="4"/>
  <c r="X32" i="4"/>
  <c r="AF32" i="4"/>
  <c r="C30" i="4"/>
  <c r="A32" i="4"/>
  <c r="Y32" i="4"/>
  <c r="P33" i="4"/>
  <c r="E29" i="4"/>
  <c r="D30" i="4"/>
  <c r="AD32" i="4"/>
  <c r="I33" i="4"/>
  <c r="Q33" i="4"/>
  <c r="T34" i="4"/>
  <c r="R33" i="4"/>
  <c r="G32" i="4"/>
  <c r="AA32" i="4"/>
  <c r="C34" i="4"/>
  <c r="Y36" i="4"/>
  <c r="T38" i="4"/>
  <c r="S36" i="4"/>
  <c r="O37" i="4"/>
  <c r="G37" i="4"/>
  <c r="L26" i="5"/>
  <c r="H23" i="6"/>
  <c r="M32" i="4"/>
  <c r="U36" i="4"/>
  <c r="AE31" i="4"/>
  <c r="H34" i="4"/>
  <c r="AC34" i="4"/>
  <c r="L11" i="5"/>
  <c r="H8" i="6"/>
  <c r="L29" i="5"/>
  <c r="H26" i="6"/>
  <c r="H38" i="4"/>
  <c r="AC38" i="4"/>
  <c r="L10" i="5"/>
  <c r="H7" i="6"/>
  <c r="L24" i="5"/>
  <c r="H21" i="6"/>
  <c r="AD30" i="4"/>
  <c r="O30" i="4"/>
  <c r="Q29" i="4"/>
  <c r="U29" i="4"/>
  <c r="H30" i="4"/>
  <c r="AG37" i="4"/>
  <c r="G39" i="4"/>
  <c r="A30" i="4"/>
  <c r="J37" i="4"/>
  <c r="N38" i="4"/>
  <c r="Z39" i="4"/>
  <c r="AE37" i="4"/>
  <c r="AC30" i="4"/>
  <c r="Y35" i="4"/>
  <c r="W37" i="4"/>
  <c r="L21" i="5"/>
  <c r="H18" i="6"/>
  <c r="T37" i="4"/>
  <c r="AA37" i="4"/>
  <c r="K37" i="4"/>
  <c r="N37" i="4"/>
  <c r="L41" i="5"/>
  <c r="H38" i="6"/>
  <c r="E32" i="4"/>
  <c r="T33" i="4"/>
  <c r="Z32" i="4"/>
  <c r="A33" i="4"/>
  <c r="AB34" i="4"/>
  <c r="AF31" i="4"/>
  <c r="AE32" i="4"/>
  <c r="C32" i="4"/>
  <c r="B33" i="4"/>
  <c r="X31" i="4"/>
  <c r="W36" i="4"/>
  <c r="H17" i="6"/>
  <c r="L20" i="5"/>
  <c r="R30" i="4"/>
  <c r="AG31" i="4"/>
  <c r="K30" i="4"/>
  <c r="V36" i="4"/>
  <c r="E30" i="4"/>
  <c r="Q34" i="4"/>
  <c r="D32" i="4"/>
  <c r="H32" i="4"/>
  <c r="N31" i="4"/>
  <c r="AA31" i="4"/>
  <c r="A34" i="4"/>
  <c r="S37" i="4"/>
  <c r="L12" i="5"/>
  <c r="H9" i="6"/>
  <c r="S29" i="4"/>
  <c r="AA29" i="4"/>
  <c r="AE29" i="4"/>
  <c r="B30" i="4"/>
  <c r="A31" i="4"/>
  <c r="I31" i="4"/>
  <c r="AC31" i="4"/>
  <c r="W33" i="4"/>
  <c r="L29" i="4"/>
  <c r="AF29" i="4"/>
  <c r="AD31" i="4"/>
  <c r="T30" i="4"/>
  <c r="X30" i="4"/>
  <c r="O31" i="4"/>
  <c r="P31" i="4"/>
  <c r="F29" i="4"/>
  <c r="U30" i="4"/>
  <c r="N29" i="4"/>
  <c r="H31" i="4"/>
  <c r="M30" i="4"/>
  <c r="AB31" i="4"/>
  <c r="L37" i="5"/>
  <c r="H34" i="6"/>
  <c r="L14" i="5"/>
  <c r="H11" i="6"/>
  <c r="S30" i="4"/>
  <c r="W38" i="4"/>
  <c r="K39" i="4"/>
  <c r="AA39" i="4"/>
  <c r="Q39" i="4"/>
  <c r="Z38" i="4"/>
  <c r="R38" i="4"/>
  <c r="M39" i="4"/>
  <c r="I39" i="4"/>
  <c r="AD39" i="4"/>
  <c r="L33" i="5"/>
  <c r="H30" i="6"/>
  <c r="W29" i="4"/>
  <c r="K33" i="4"/>
  <c r="AA33" i="4"/>
  <c r="AE33" i="4"/>
  <c r="B34" i="4"/>
  <c r="R34" i="4"/>
  <c r="Z34" i="4"/>
  <c r="D33" i="4"/>
  <c r="L33" i="4"/>
  <c r="G34" i="4"/>
  <c r="AD35" i="4"/>
  <c r="AF34" i="4"/>
  <c r="C35" i="4"/>
  <c r="N36" i="4"/>
  <c r="Q30" i="4"/>
  <c r="V29" i="4"/>
  <c r="F33" i="4"/>
  <c r="E34" i="4"/>
  <c r="AC35" i="4"/>
  <c r="H35" i="4"/>
  <c r="U34" i="4"/>
  <c r="AG35" i="4"/>
  <c r="X36" i="4"/>
  <c r="L15" i="5"/>
  <c r="H12" i="6"/>
  <c r="X34" i="4"/>
  <c r="AE39" i="4"/>
  <c r="H2" i="6"/>
  <c r="L5" i="5"/>
  <c r="H29" i="4"/>
  <c r="P29" i="4"/>
  <c r="T29" i="4"/>
  <c r="AF37" i="4"/>
  <c r="C38" i="4"/>
  <c r="K38" i="4"/>
  <c r="AA38" i="4"/>
  <c r="A29" i="4"/>
  <c r="I29" i="4"/>
  <c r="AC29" i="4"/>
  <c r="AB30" i="4"/>
  <c r="S31" i="4"/>
  <c r="D38" i="4"/>
  <c r="L38" i="4"/>
  <c r="R29" i="4"/>
  <c r="F39" i="4"/>
  <c r="Z29" i="4"/>
  <c r="AD29" i="4"/>
  <c r="E39" i="4"/>
  <c r="V37" i="4"/>
  <c r="J38" i="4"/>
  <c r="Y34" i="4"/>
  <c r="M38" i="4"/>
  <c r="L38" i="5"/>
  <c r="H35" i="6"/>
  <c r="G29" i="4"/>
  <c r="F30" i="4"/>
  <c r="AB32" i="4"/>
  <c r="D29" i="4"/>
  <c r="U32" i="4"/>
  <c r="X33" i="4"/>
  <c r="AG29" i="4"/>
  <c r="N32" i="4"/>
  <c r="V33" i="4"/>
  <c r="Z33" i="4"/>
  <c r="L19" i="5"/>
  <c r="H16" i="6"/>
  <c r="J30" i="4"/>
  <c r="Z30" i="4"/>
  <c r="O33" i="4"/>
  <c r="U33" i="4"/>
  <c r="W35" i="4"/>
  <c r="Q37" i="4"/>
  <c r="L30" i="5"/>
  <c r="H27" i="6"/>
  <c r="J31" i="4"/>
  <c r="AC32" i="4"/>
  <c r="H33" i="4"/>
  <c r="I34" i="4"/>
  <c r="P39" i="4"/>
  <c r="L54" i="4"/>
  <c r="A12" i="7"/>
  <c r="L42" i="5"/>
  <c r="H39" i="6"/>
  <c r="L34" i="5"/>
  <c r="H31" i="6"/>
  <c r="K29" i="4"/>
  <c r="N30" i="4"/>
  <c r="V34" i="4"/>
  <c r="G30" i="4"/>
  <c r="B31" i="4"/>
  <c r="R31" i="4"/>
  <c r="O34" i="4"/>
  <c r="C31" i="4"/>
  <c r="Y30" i="4"/>
  <c r="AD34" i="4"/>
  <c r="U39" i="4"/>
  <c r="D36" i="4"/>
  <c r="L39" i="5"/>
  <c r="H36" i="6"/>
  <c r="L31" i="5"/>
  <c r="H28" i="6"/>
  <c r="Q31" i="4"/>
  <c r="W30" i="4"/>
  <c r="N35" i="4"/>
  <c r="A36" i="4"/>
  <c r="L37" i="4"/>
  <c r="K35" i="4"/>
  <c r="AB35" i="4"/>
  <c r="R37" i="4"/>
  <c r="X39" i="4"/>
  <c r="L8" i="5"/>
  <c r="H5" i="6"/>
  <c r="L36" i="5"/>
  <c r="H33" i="6"/>
  <c r="L28" i="5"/>
  <c r="H25" i="6"/>
  <c r="C33" i="4"/>
  <c r="J34" i="4"/>
  <c r="A35" i="4"/>
  <c r="V31" i="4"/>
  <c r="AF33" i="4"/>
  <c r="AE34" i="4"/>
  <c r="F35" i="4"/>
  <c r="R35" i="4"/>
  <c r="Z35" i="4"/>
  <c r="E36" i="4"/>
  <c r="X37" i="4"/>
  <c r="M33" i="4"/>
  <c r="AD36" i="4"/>
  <c r="Y37" i="4"/>
  <c r="Q35" i="4"/>
  <c r="U35" i="4"/>
  <c r="P35" i="4"/>
  <c r="L44" i="5"/>
  <c r="H41" i="6"/>
  <c r="L16" i="5"/>
  <c r="H13" i="6"/>
  <c r="X29" i="4"/>
  <c r="S34" i="4"/>
  <c r="W34" i="4"/>
  <c r="Y29" i="4"/>
  <c r="AG30" i="4"/>
  <c r="L43" i="5"/>
  <c r="H40" i="6"/>
  <c r="L23" i="5"/>
  <c r="H20" i="6"/>
  <c r="G33" i="4"/>
  <c r="AA30" i="4"/>
  <c r="E33" i="4"/>
  <c r="AD33" i="4"/>
  <c r="AF39" i="4"/>
  <c r="L35" i="5"/>
  <c r="H32" i="6"/>
  <c r="L6" i="5"/>
  <c r="H3" i="6"/>
  <c r="F32" i="4"/>
  <c r="V39" i="4"/>
  <c r="L31" i="4"/>
  <c r="L17" i="5"/>
  <c r="H14" i="6"/>
  <c r="O13" i="5"/>
  <c r="L13" i="5"/>
  <c r="H10" i="6"/>
  <c r="AB37" i="4"/>
  <c r="AE35" i="4"/>
  <c r="C36" i="4"/>
  <c r="B37" i="4"/>
  <c r="I38" i="4"/>
  <c r="Y39" i="4"/>
  <c r="AF35" i="4"/>
  <c r="I36" i="4"/>
  <c r="AG36" i="4"/>
  <c r="P37" i="4"/>
  <c r="O38" i="4"/>
  <c r="W31" i="4"/>
  <c r="L34" i="4"/>
  <c r="AA35" i="4"/>
  <c r="B36" i="4"/>
  <c r="R36" i="4"/>
  <c r="Z36" i="4"/>
  <c r="A37" i="4"/>
  <c r="E37" i="4"/>
  <c r="X38" i="4"/>
  <c r="M34" i="4"/>
  <c r="T35" i="4"/>
  <c r="Y38" i="4"/>
  <c r="D35" i="4"/>
  <c r="AD37" i="4"/>
  <c r="L25" i="5"/>
  <c r="H22" i="6"/>
  <c r="J35" i="4"/>
  <c r="AG33" i="4"/>
  <c r="O35" i="4"/>
  <c r="I37" i="4"/>
  <c r="U37" i="4"/>
  <c r="S39" i="4"/>
  <c r="N33" i="4"/>
  <c r="AA36" i="4"/>
  <c r="G36" i="4"/>
  <c r="AB36" i="4"/>
  <c r="M35" i="4"/>
  <c r="L27" i="5"/>
  <c r="H24" i="6"/>
  <c r="C29" i="4"/>
  <c r="E31" i="4"/>
  <c r="Y31" i="4"/>
  <c r="P32" i="4"/>
  <c r="S33" i="4"/>
  <c r="AE30" i="4"/>
  <c r="Z31" i="4"/>
  <c r="I32" i="4"/>
  <c r="Q32" i="4"/>
  <c r="AB33" i="4"/>
  <c r="V35" i="4"/>
  <c r="M29" i="4"/>
  <c r="L30" i="4"/>
  <c r="AF30" i="4"/>
  <c r="G31" i="4"/>
  <c r="B32" i="4"/>
  <c r="R32" i="4"/>
  <c r="O32" i="4"/>
  <c r="D31" i="4"/>
  <c r="J29" i="4"/>
  <c r="K32" i="4"/>
  <c r="T36" i="4"/>
  <c r="V30" i="4"/>
  <c r="T32" i="4"/>
  <c r="F34" i="4"/>
  <c r="E35" i="4"/>
  <c r="I35" i="4"/>
  <c r="K34" i="4"/>
  <c r="AA34" i="4"/>
  <c r="B35" i="4"/>
  <c r="M36" i="4"/>
  <c r="Q36" i="4"/>
  <c r="AC36" i="4"/>
  <c r="D34" i="4"/>
  <c r="G35" i="4"/>
  <c r="S35" i="4"/>
  <c r="AG34" i="4"/>
  <c r="P36" i="4"/>
  <c r="J33" i="4"/>
  <c r="H36" i="4"/>
  <c r="O36" i="4"/>
  <c r="L40" i="5"/>
  <c r="H37" i="6"/>
  <c r="K36" i="4"/>
  <c r="U38" i="4"/>
  <c r="L7" i="5"/>
  <c r="H4" i="6"/>
  <c r="N34" i="4"/>
  <c r="H37" i="4"/>
  <c r="S38" i="4"/>
  <c r="V32" i="4"/>
  <c r="J36" i="4"/>
  <c r="M37" i="4"/>
  <c r="AC37" i="4"/>
  <c r="P38" i="4"/>
  <c r="AB38" i="4"/>
  <c r="L35" i="4"/>
  <c r="Z37" i="4"/>
  <c r="A38" i="4"/>
  <c r="AE36" i="4"/>
  <c r="T39" i="4"/>
  <c r="W32" i="4"/>
  <c r="AF36" i="4"/>
  <c r="AD38" i="4"/>
  <c r="B38" i="4"/>
  <c r="M7" i="5" l="1"/>
  <c r="AG41" i="4"/>
  <c r="AG42" i="4" s="1"/>
  <c r="AB41" i="4"/>
  <c r="AB42" i="4" s="1"/>
  <c r="M27" i="5"/>
  <c r="M13" i="5"/>
  <c r="M6" i="5"/>
  <c r="X41" i="4"/>
  <c r="X42" i="4" s="1"/>
  <c r="M44" i="5"/>
  <c r="M39" i="5"/>
  <c r="K41" i="4"/>
  <c r="K42" i="4" s="1"/>
  <c r="M42" i="5"/>
  <c r="D41" i="4"/>
  <c r="D42" i="4" s="1"/>
  <c r="Z41" i="4"/>
  <c r="Z42" i="4" s="1"/>
  <c r="I41" i="4"/>
  <c r="I42" i="4" s="1"/>
  <c r="H41" i="4"/>
  <c r="H42" i="4" s="1"/>
  <c r="AE41" i="4"/>
  <c r="AE42" i="4" s="1"/>
  <c r="M12" i="5"/>
  <c r="M10" i="5"/>
  <c r="M29" i="5"/>
  <c r="E41" i="4"/>
  <c r="E42" i="4" s="1"/>
  <c r="M9" i="5"/>
  <c r="M32" i="5"/>
  <c r="M40" i="5"/>
  <c r="M25" i="5"/>
  <c r="M23" i="5"/>
  <c r="Y41" i="4"/>
  <c r="Y42" i="4" s="1"/>
  <c r="M36" i="5"/>
  <c r="M30" i="5"/>
  <c r="M19" i="5"/>
  <c r="M38" i="5"/>
  <c r="A41" i="4"/>
  <c r="A42" i="4" s="1"/>
  <c r="M5" i="5"/>
  <c r="W41" i="4"/>
  <c r="W42" i="4" s="1"/>
  <c r="M37" i="5"/>
  <c r="N41" i="4"/>
  <c r="N42" i="4" s="1"/>
  <c r="AF41" i="4"/>
  <c r="AF42" i="4" s="1"/>
  <c r="AA41" i="4"/>
  <c r="AA42" i="4" s="1"/>
  <c r="M20" i="5"/>
  <c r="M21" i="5"/>
  <c r="U41" i="4"/>
  <c r="U42" i="4" s="1"/>
  <c r="M26" i="5"/>
  <c r="M18" i="5"/>
  <c r="C41" i="4"/>
  <c r="C42" i="4" s="1"/>
  <c r="M35" i="5"/>
  <c r="M16" i="5"/>
  <c r="M31" i="5"/>
  <c r="M34" i="5"/>
  <c r="R41" i="4"/>
  <c r="R42" i="4" s="1"/>
  <c r="T41" i="4"/>
  <c r="T42" i="4" s="1"/>
  <c r="M15" i="5"/>
  <c r="V41" i="4"/>
  <c r="V42" i="4" s="1"/>
  <c r="L41" i="4"/>
  <c r="L42" i="4" s="1"/>
  <c r="S41" i="4"/>
  <c r="S42" i="4" s="1"/>
  <c r="Q41" i="4"/>
  <c r="Q42" i="4" s="1"/>
  <c r="M24" i="5"/>
  <c r="M11" i="5"/>
  <c r="M22" i="5"/>
  <c r="O41" i="4"/>
  <c r="O42" i="4" s="1"/>
  <c r="M45" i="5"/>
  <c r="B41" i="4"/>
  <c r="B42" i="4" s="1"/>
  <c r="J41" i="4"/>
  <c r="J42" i="4" s="1"/>
  <c r="M41" i="4"/>
  <c r="M42" i="4" s="1"/>
  <c r="M17" i="5"/>
  <c r="M43" i="5"/>
  <c r="M28" i="5"/>
  <c r="M8" i="5"/>
  <c r="G41" i="4"/>
  <c r="G42" i="4" s="1"/>
  <c r="AD41" i="4"/>
  <c r="AD42" i="4" s="1"/>
  <c r="AC41" i="4"/>
  <c r="AC42" i="4" s="1"/>
  <c r="P41" i="4"/>
  <c r="P42" i="4" s="1"/>
  <c r="M33" i="5"/>
  <c r="M14" i="5"/>
  <c r="F41" i="4"/>
  <c r="F42" i="4" s="1"/>
  <c r="M41" i="5"/>
  <c r="O14" i="5"/>
  <c r="L55" i="4"/>
  <c r="A13" i="7"/>
  <c r="N11" i="5" l="1"/>
  <c r="P11" i="5" s="1"/>
  <c r="AG43" i="4"/>
  <c r="N7" i="5"/>
  <c r="Q7" i="5" s="1"/>
  <c r="AD43" i="4"/>
  <c r="N6" i="5"/>
  <c r="R6" i="5" s="1"/>
  <c r="N13" i="5"/>
  <c r="P13" i="5" s="1"/>
  <c r="N10" i="5"/>
  <c r="R10" i="5" s="1"/>
  <c r="N9" i="5"/>
  <c r="P9" i="5" s="1"/>
  <c r="N5" i="5"/>
  <c r="R5" i="5" s="1"/>
  <c r="O43" i="4"/>
  <c r="N8" i="5"/>
  <c r="P8" i="5" s="1"/>
  <c r="F43" i="4"/>
  <c r="AC43" i="4"/>
  <c r="J43" i="4"/>
  <c r="S43" i="4"/>
  <c r="T43" i="4"/>
  <c r="AA43" i="4"/>
  <c r="W43" i="4"/>
  <c r="Y43" i="4"/>
  <c r="I43" i="4"/>
  <c r="K43" i="4"/>
  <c r="N12" i="5"/>
  <c r="B43" i="4"/>
  <c r="L43" i="4"/>
  <c r="R43" i="4"/>
  <c r="U43" i="4"/>
  <c r="AF43" i="4"/>
  <c r="Z43" i="4"/>
  <c r="G43" i="4"/>
  <c r="V43" i="4"/>
  <c r="C43" i="4"/>
  <c r="N43" i="4"/>
  <c r="A43" i="4"/>
  <c r="E43" i="4"/>
  <c r="AE43" i="4"/>
  <c r="D43" i="4"/>
  <c r="P43" i="4"/>
  <c r="M43" i="4"/>
  <c r="Q43" i="4"/>
  <c r="H43" i="4"/>
  <c r="X43" i="4"/>
  <c r="AB43" i="4"/>
  <c r="N14" i="5"/>
  <c r="O15" i="5"/>
  <c r="R11" i="5"/>
  <c r="L56" i="4"/>
  <c r="A14" i="7"/>
  <c r="Q5" i="5" l="1"/>
  <c r="Q11" i="5"/>
  <c r="R7" i="5"/>
  <c r="P7" i="5"/>
  <c r="P10" i="5"/>
  <c r="Q13" i="5"/>
  <c r="Q10" i="5"/>
  <c r="Q8" i="5"/>
  <c r="R13" i="5"/>
  <c r="R8" i="5"/>
  <c r="Q6" i="5"/>
  <c r="P6" i="5"/>
  <c r="R9" i="5"/>
  <c r="Q9" i="5"/>
  <c r="P5" i="5"/>
  <c r="R12" i="5"/>
  <c r="Q12" i="5"/>
  <c r="P12" i="5"/>
  <c r="H46" i="4"/>
  <c r="H45" i="4"/>
  <c r="H50" i="4"/>
  <c r="H54" i="4"/>
  <c r="H47" i="4"/>
  <c r="H48" i="4"/>
  <c r="H52" i="4"/>
  <c r="H49" i="4"/>
  <c r="H51" i="4"/>
  <c r="H55" i="4"/>
  <c r="K55" i="4" s="1"/>
  <c r="N55" i="4" s="1"/>
  <c r="C14" i="7" s="1"/>
  <c r="H53" i="4"/>
  <c r="H56" i="4"/>
  <c r="L57" i="4"/>
  <c r="A15" i="7"/>
  <c r="O16" i="5"/>
  <c r="N15" i="5"/>
  <c r="R14" i="5"/>
  <c r="Q14" i="5"/>
  <c r="P14" i="5"/>
  <c r="O55" i="4" l="1"/>
  <c r="D14" i="7" s="1"/>
  <c r="M55" i="4"/>
  <c r="B14" i="7" s="1"/>
  <c r="K53" i="4"/>
  <c r="N53" i="4" s="1"/>
  <c r="C12" i="7" s="1"/>
  <c r="M53" i="4"/>
  <c r="B12" i="7" s="1"/>
  <c r="O53" i="4"/>
  <c r="D12" i="7" s="1"/>
  <c r="O52" i="4"/>
  <c r="D11" i="7" s="1"/>
  <c r="K52" i="4"/>
  <c r="N52" i="4" s="1"/>
  <c r="C11" i="7" s="1"/>
  <c r="M52" i="4"/>
  <c r="B11" i="7" s="1"/>
  <c r="K50" i="4"/>
  <c r="N50" i="4" s="1"/>
  <c r="C9" i="7" s="1"/>
  <c r="M50" i="4"/>
  <c r="B9" i="7" s="1"/>
  <c r="O50" i="4"/>
  <c r="D9" i="7" s="1"/>
  <c r="O48" i="4"/>
  <c r="D7" i="7" s="1"/>
  <c r="K48" i="4"/>
  <c r="N48" i="4" s="1"/>
  <c r="C7" i="7" s="1"/>
  <c r="M48" i="4"/>
  <c r="B7" i="7" s="1"/>
  <c r="K45" i="4"/>
  <c r="N45" i="4" s="1"/>
  <c r="C4" i="7" s="1"/>
  <c r="M45" i="4"/>
  <c r="B4" i="7" s="1"/>
  <c r="O45" i="4"/>
  <c r="D4" i="7" s="1"/>
  <c r="K51" i="4"/>
  <c r="N51" i="4" s="1"/>
  <c r="C10" i="7" s="1"/>
  <c r="O51" i="4"/>
  <c r="D10" i="7" s="1"/>
  <c r="M51" i="4"/>
  <c r="B10" i="7" s="1"/>
  <c r="M46" i="4"/>
  <c r="B5" i="7" s="1"/>
  <c r="K46" i="4"/>
  <c r="N46" i="4" s="1"/>
  <c r="C5" i="7" s="1"/>
  <c r="O46" i="4"/>
  <c r="D5" i="7" s="1"/>
  <c r="K47" i="4"/>
  <c r="N47" i="4" s="1"/>
  <c r="C6" i="7" s="1"/>
  <c r="M47" i="4"/>
  <c r="B6" i="7" s="1"/>
  <c r="O47" i="4"/>
  <c r="D6" i="7" s="1"/>
  <c r="M49" i="4"/>
  <c r="B8" i="7" s="1"/>
  <c r="O49" i="4"/>
  <c r="D8" i="7" s="1"/>
  <c r="K49" i="4"/>
  <c r="N49" i="4" s="1"/>
  <c r="C8" i="7" s="1"/>
  <c r="K54" i="4"/>
  <c r="N54" i="4" s="1"/>
  <c r="C13" i="7" s="1"/>
  <c r="M54" i="4"/>
  <c r="B13" i="7" s="1"/>
  <c r="O54" i="4"/>
  <c r="D13" i="7" s="1"/>
  <c r="P15" i="5"/>
  <c r="Q15" i="5"/>
  <c r="R15" i="5"/>
  <c r="S15" i="5" s="1"/>
  <c r="O17" i="5"/>
  <c r="N16" i="5"/>
  <c r="H57" i="4"/>
  <c r="L58" i="4"/>
  <c r="A16" i="7"/>
  <c r="M56" i="4"/>
  <c r="B15" i="7" s="1"/>
  <c r="O56" i="4"/>
  <c r="D15" i="7" s="1"/>
  <c r="K56" i="4"/>
  <c r="N56" i="4" s="1"/>
  <c r="C15" i="7" s="1"/>
  <c r="T15" i="5" l="1" a="1"/>
  <c r="T15" i="5" s="1"/>
  <c r="O18" i="5"/>
  <c r="N17" i="5"/>
  <c r="H58" i="4"/>
  <c r="L59" i="4"/>
  <c r="A17" i="7"/>
  <c r="M57" i="4"/>
  <c r="B16" i="7" s="1"/>
  <c r="O57" i="4"/>
  <c r="D16" i="7" s="1"/>
  <c r="K57" i="4"/>
  <c r="N57" i="4" s="1"/>
  <c r="C16" i="7" s="1"/>
  <c r="Q16" i="5"/>
  <c r="P16" i="5"/>
  <c r="R16" i="5"/>
  <c r="H59" i="4" l="1"/>
  <c r="L60" i="4"/>
  <c r="A18" i="7"/>
  <c r="O58" i="4"/>
  <c r="D17" i="7" s="1"/>
  <c r="K58" i="4"/>
  <c r="N58" i="4" s="1"/>
  <c r="C17" i="7" s="1"/>
  <c r="M58" i="4"/>
  <c r="B17" i="7" s="1"/>
  <c r="Q17" i="5"/>
  <c r="R17" i="5"/>
  <c r="P17" i="5"/>
  <c r="N18" i="5"/>
  <c r="O19" i="5"/>
  <c r="O20" i="5" l="1"/>
  <c r="N19" i="5"/>
  <c r="R18" i="5"/>
  <c r="P18" i="5"/>
  <c r="Q18" i="5"/>
  <c r="H60" i="4"/>
  <c r="L61" i="4"/>
  <c r="A19" i="7"/>
  <c r="O59" i="4"/>
  <c r="D18" i="7" s="1"/>
  <c r="K59" i="4"/>
  <c r="N59" i="4" s="1"/>
  <c r="C18" i="7" s="1"/>
  <c r="M59" i="4"/>
  <c r="B18" i="7" s="1"/>
  <c r="H61" i="4" l="1"/>
  <c r="L62" i="4"/>
  <c r="A20" i="7"/>
  <c r="O60" i="4"/>
  <c r="D19" i="7" s="1"/>
  <c r="K60" i="4"/>
  <c r="N60" i="4" s="1"/>
  <c r="C19" i="7" s="1"/>
  <c r="M60" i="4"/>
  <c r="B19" i="7" s="1"/>
  <c r="Q19" i="5"/>
  <c r="P19" i="5"/>
  <c r="R19" i="5"/>
  <c r="N20" i="5"/>
  <c r="O21" i="5"/>
  <c r="O22" i="5" l="1"/>
  <c r="N21" i="5"/>
  <c r="P20" i="5"/>
  <c r="Q20" i="5"/>
  <c r="R20" i="5"/>
  <c r="L63" i="4"/>
  <c r="H62" i="4"/>
  <c r="A21" i="7"/>
  <c r="K61" i="4"/>
  <c r="N61" i="4" s="1"/>
  <c r="C20" i="7" s="1"/>
  <c r="M61" i="4"/>
  <c r="B20" i="7" s="1"/>
  <c r="O61" i="4"/>
  <c r="D20" i="7" s="1"/>
  <c r="K62" i="4" l="1"/>
  <c r="N62" i="4" s="1"/>
  <c r="C21" i="7" s="1"/>
  <c r="M62" i="4"/>
  <c r="B21" i="7" s="1"/>
  <c r="O62" i="4"/>
  <c r="D21" i="7" s="1"/>
  <c r="H63" i="4"/>
  <c r="L64" i="4"/>
  <c r="A22" i="7"/>
  <c r="Q21" i="5"/>
  <c r="R21" i="5"/>
  <c r="P21" i="5"/>
  <c r="N22" i="5"/>
  <c r="O23" i="5"/>
  <c r="M63" i="4" l="1"/>
  <c r="B22" i="7" s="1"/>
  <c r="O63" i="4"/>
  <c r="D22" i="7" s="1"/>
  <c r="K63" i="4"/>
  <c r="N63" i="4" s="1"/>
  <c r="C22" i="7" s="1"/>
  <c r="N23" i="5"/>
  <c r="O24" i="5"/>
  <c r="P22" i="5"/>
  <c r="Q22" i="5"/>
  <c r="R22" i="5"/>
  <c r="H64" i="4"/>
  <c r="L65" i="4"/>
  <c r="A23" i="7"/>
  <c r="Q23" i="5" l="1"/>
  <c r="P23" i="5"/>
  <c r="R23" i="5"/>
  <c r="H65" i="4"/>
  <c r="L66" i="4"/>
  <c r="A24" i="7"/>
  <c r="M64" i="4"/>
  <c r="B23" i="7" s="1"/>
  <c r="O64" i="4"/>
  <c r="D23" i="7" s="1"/>
  <c r="K64" i="4"/>
  <c r="N64" i="4" s="1"/>
  <c r="C23" i="7" s="1"/>
  <c r="N24" i="5"/>
  <c r="O25" i="5"/>
  <c r="M65" i="4" l="1"/>
  <c r="B24" i="7" s="1"/>
  <c r="O65" i="4"/>
  <c r="D24" i="7" s="1"/>
  <c r="K65" i="4"/>
  <c r="N65" i="4" s="1"/>
  <c r="C24" i="7" s="1"/>
  <c r="N25" i="5"/>
  <c r="O26" i="5"/>
  <c r="P24" i="5"/>
  <c r="R24" i="5"/>
  <c r="Q24" i="5"/>
  <c r="H66" i="4"/>
  <c r="L67" i="4"/>
  <c r="A25" i="7"/>
  <c r="R25" i="5" l="1"/>
  <c r="P25" i="5"/>
  <c r="Q25" i="5"/>
  <c r="H67" i="4"/>
  <c r="L68" i="4"/>
  <c r="A26" i="7"/>
  <c r="O66" i="4"/>
  <c r="D25" i="7" s="1"/>
  <c r="K66" i="4"/>
  <c r="N66" i="4" s="1"/>
  <c r="C25" i="7" s="1"/>
  <c r="M66" i="4"/>
  <c r="B25" i="7" s="1"/>
  <c r="N26" i="5"/>
  <c r="O27" i="5"/>
  <c r="N27" i="5" l="1"/>
  <c r="O28" i="5"/>
  <c r="O67" i="4"/>
  <c r="D26" i="7" s="1"/>
  <c r="K67" i="4"/>
  <c r="N67" i="4" s="1"/>
  <c r="C26" i="7" s="1"/>
  <c r="M67" i="4"/>
  <c r="B26" i="7" s="1"/>
  <c r="P26" i="5"/>
  <c r="Q26" i="5"/>
  <c r="R26" i="5"/>
  <c r="H68" i="4"/>
  <c r="L69" i="4"/>
  <c r="A27" i="7"/>
  <c r="H69" i="4" l="1"/>
  <c r="L70" i="4"/>
  <c r="A28" i="7"/>
  <c r="N28" i="5"/>
  <c r="O29" i="5"/>
  <c r="O68" i="4"/>
  <c r="D27" i="7" s="1"/>
  <c r="K68" i="4"/>
  <c r="N68" i="4" s="1"/>
  <c r="C27" i="7" s="1"/>
  <c r="M68" i="4"/>
  <c r="B27" i="7" s="1"/>
  <c r="R27" i="5"/>
  <c r="Q27" i="5"/>
  <c r="P27" i="5"/>
  <c r="P28" i="5" l="1"/>
  <c r="Q28" i="5"/>
  <c r="R28" i="5"/>
  <c r="L71" i="4"/>
  <c r="H70" i="4"/>
  <c r="A29" i="7"/>
  <c r="N29" i="5"/>
  <c r="O30" i="5"/>
  <c r="K69" i="4"/>
  <c r="N69" i="4" s="1"/>
  <c r="C28" i="7" s="1"/>
  <c r="M69" i="4"/>
  <c r="B28" i="7" s="1"/>
  <c r="O69" i="4"/>
  <c r="D28" i="7" s="1"/>
  <c r="R29" i="5" l="1"/>
  <c r="P29" i="5"/>
  <c r="Q29" i="5"/>
  <c r="H71" i="4"/>
  <c r="L72" i="4"/>
  <c r="A30" i="7"/>
  <c r="O31" i="5"/>
  <c r="N30" i="5"/>
  <c r="K70" i="4"/>
  <c r="N70" i="4" s="1"/>
  <c r="C29" i="7" s="1"/>
  <c r="M70" i="4"/>
  <c r="B29" i="7" s="1"/>
  <c r="O70" i="4"/>
  <c r="D29" i="7" s="1"/>
  <c r="P30" i="5" l="1"/>
  <c r="Q30" i="5"/>
  <c r="R30" i="5"/>
  <c r="M71" i="4"/>
  <c r="B30" i="7" s="1"/>
  <c r="O71" i="4"/>
  <c r="D30" i="7" s="1"/>
  <c r="K71" i="4"/>
  <c r="N71" i="4" s="1"/>
  <c r="C30" i="7" s="1"/>
  <c r="N31" i="5"/>
  <c r="O32" i="5"/>
  <c r="H72" i="4"/>
  <c r="L73" i="4"/>
  <c r="A31" i="7"/>
  <c r="O33" i="5" l="1"/>
  <c r="N32" i="5"/>
  <c r="R31" i="5"/>
  <c r="P31" i="5"/>
  <c r="Q31" i="5"/>
  <c r="H73" i="4"/>
  <c r="L74" i="4"/>
  <c r="A32" i="7"/>
  <c r="O72" i="4"/>
  <c r="D31" i="7" s="1"/>
  <c r="K72" i="4"/>
  <c r="N72" i="4" s="1"/>
  <c r="C31" i="7" s="1"/>
  <c r="M72" i="4"/>
  <c r="B31" i="7" s="1"/>
  <c r="H74" i="4" l="1"/>
  <c r="L75" i="4"/>
  <c r="A33" i="7"/>
  <c r="O73" i="4"/>
  <c r="D32" i="7" s="1"/>
  <c r="K73" i="4"/>
  <c r="N73" i="4" s="1"/>
  <c r="C32" i="7" s="1"/>
  <c r="M73" i="4"/>
  <c r="B32" i="7" s="1"/>
  <c r="P32" i="5"/>
  <c r="R32" i="5"/>
  <c r="Q32" i="5"/>
  <c r="N33" i="5"/>
  <c r="O34" i="5"/>
  <c r="N34" i="5" l="1"/>
  <c r="O35" i="5"/>
  <c r="R33" i="5"/>
  <c r="P33" i="5"/>
  <c r="Q33" i="5"/>
  <c r="H75" i="4"/>
  <c r="L76" i="4"/>
  <c r="A34" i="7"/>
  <c r="O74" i="4"/>
  <c r="D33" i="7" s="1"/>
  <c r="K74" i="4"/>
  <c r="N74" i="4" s="1"/>
  <c r="C33" i="7" s="1"/>
  <c r="M74" i="4"/>
  <c r="B33" i="7" s="1"/>
  <c r="L77" i="4" l="1"/>
  <c r="H76" i="4"/>
  <c r="A35" i="7"/>
  <c r="K75" i="4"/>
  <c r="N75" i="4" s="1"/>
  <c r="C34" i="7" s="1"/>
  <c r="M75" i="4"/>
  <c r="B34" i="7" s="1"/>
  <c r="O75" i="4"/>
  <c r="D34" i="7" s="1"/>
  <c r="N35" i="5"/>
  <c r="O36" i="5"/>
  <c r="P34" i="5"/>
  <c r="R34" i="5"/>
  <c r="Q34" i="5"/>
  <c r="O37" i="5" l="1"/>
  <c r="N36" i="5"/>
  <c r="R35" i="5"/>
  <c r="Q35" i="5"/>
  <c r="P35" i="5"/>
  <c r="K76" i="4"/>
  <c r="N76" i="4" s="1"/>
  <c r="C35" i="7" s="1"/>
  <c r="M76" i="4"/>
  <c r="B35" i="7" s="1"/>
  <c r="O76" i="4"/>
  <c r="D35" i="7" s="1"/>
  <c r="H77" i="4"/>
  <c r="L78" i="4"/>
  <c r="A36" i="7"/>
  <c r="P36" i="5" l="1"/>
  <c r="R36" i="5"/>
  <c r="Q36" i="5"/>
  <c r="H78" i="4"/>
  <c r="L79" i="4"/>
  <c r="A37" i="7"/>
  <c r="M77" i="4"/>
  <c r="B36" i="7" s="1"/>
  <c r="O77" i="4"/>
  <c r="D36" i="7" s="1"/>
  <c r="K77" i="4"/>
  <c r="N77" i="4" s="1"/>
  <c r="C36" i="7" s="1"/>
  <c r="N37" i="5"/>
  <c r="O38" i="5"/>
  <c r="M78" i="4" l="1"/>
  <c r="B37" i="7" s="1"/>
  <c r="O78" i="4"/>
  <c r="D37" i="7" s="1"/>
  <c r="K78" i="4"/>
  <c r="N78" i="4" s="1"/>
  <c r="C37" i="7" s="1"/>
  <c r="O39" i="5"/>
  <c r="N38" i="5"/>
  <c r="R37" i="5"/>
  <c r="P37" i="5"/>
  <c r="Q37" i="5"/>
  <c r="H79" i="4"/>
  <c r="L80" i="4"/>
  <c r="A38" i="7"/>
  <c r="N39" i="5" l="1"/>
  <c r="O40" i="5"/>
  <c r="H80" i="4"/>
  <c r="L81" i="4"/>
  <c r="M79" i="4"/>
  <c r="B38" i="7" s="1"/>
  <c r="O79" i="4"/>
  <c r="D38" i="7" s="1"/>
  <c r="K79" i="4"/>
  <c r="N79" i="4" s="1"/>
  <c r="C38" i="7" s="1"/>
  <c r="P38" i="5"/>
  <c r="Q38" i="5"/>
  <c r="R38" i="5"/>
  <c r="H81" i="4" l="1"/>
  <c r="L82" i="4"/>
  <c r="O80" i="4"/>
  <c r="K80" i="4"/>
  <c r="N80" i="4" s="1"/>
  <c r="M80" i="4"/>
  <c r="O41" i="5"/>
  <c r="N40" i="5"/>
  <c r="R39" i="5"/>
  <c r="P39" i="5"/>
  <c r="Q39" i="5"/>
  <c r="P40" i="5" l="1"/>
  <c r="R40" i="5"/>
  <c r="Q40" i="5"/>
  <c r="N41" i="5"/>
  <c r="O42" i="5"/>
  <c r="H82" i="4"/>
  <c r="L83" i="4"/>
  <c r="O81" i="4"/>
  <c r="K81" i="4"/>
  <c r="N81" i="4" s="1"/>
  <c r="M81" i="4"/>
  <c r="R41" i="5" l="1"/>
  <c r="P41" i="5"/>
  <c r="Q41" i="5"/>
  <c r="H83" i="4"/>
  <c r="L84" i="4"/>
  <c r="O82" i="4"/>
  <c r="K82" i="4"/>
  <c r="N82" i="4" s="1"/>
  <c r="M82" i="4"/>
  <c r="N42" i="5"/>
  <c r="O43" i="5"/>
  <c r="K83" i="4" l="1"/>
  <c r="N83" i="4" s="1"/>
  <c r="M83" i="4"/>
  <c r="O83" i="4"/>
  <c r="N43" i="5"/>
  <c r="O44" i="5"/>
  <c r="P42" i="5"/>
  <c r="Q42" i="5"/>
  <c r="R42" i="5"/>
  <c r="L85" i="4"/>
  <c r="H84" i="4"/>
  <c r="R43" i="5" l="1"/>
  <c r="Q43" i="5"/>
  <c r="P43" i="5"/>
  <c r="K84" i="4"/>
  <c r="N84" i="4" s="1"/>
  <c r="M84" i="4"/>
  <c r="O84" i="4"/>
  <c r="H85" i="4"/>
  <c r="L86" i="4"/>
  <c r="L87" i="4" s="1"/>
  <c r="N44" i="5"/>
  <c r="O45" i="5"/>
  <c r="N45" i="5" l="1"/>
  <c r="O46" i="5"/>
  <c r="N46" i="5" s="1"/>
  <c r="M85" i="4"/>
  <c r="K85" i="4"/>
  <c r="N85" i="4" s="1"/>
  <c r="O85" i="4"/>
  <c r="P44" i="5"/>
  <c r="R44" i="5"/>
  <c r="Q44" i="5"/>
  <c r="P46" i="5" l="1"/>
  <c r="Q46" i="5"/>
  <c r="R46" i="5"/>
  <c r="R45" i="5"/>
  <c r="P45" i="5"/>
  <c r="Q45" i="5"/>
</calcChain>
</file>

<file path=xl/comments1.xml><?xml version="1.0" encoding="utf-8"?>
<comments xmlns="http://schemas.openxmlformats.org/spreadsheetml/2006/main">
  <authors>
    <author>Mike Woodhouse</author>
  </authors>
  <commentList>
    <comment ref="C35" authorId="0" shapeId="0">
      <text>
        <r>
          <rPr>
            <b/>
            <sz val="8"/>
            <color indexed="81"/>
            <rFont val="Tahoma"/>
            <family val="2"/>
          </rPr>
          <t>Mike Woodhouse:</t>
        </r>
        <r>
          <rPr>
            <sz val="8"/>
            <color indexed="81"/>
            <rFont val="Tahoma"/>
            <family val="2"/>
          </rPr>
          <t xml:space="preserve">
40-over match</t>
        </r>
      </text>
    </comment>
    <comment ref="C37" authorId="0" shapeId="0">
      <text>
        <r>
          <rPr>
            <b/>
            <sz val="8"/>
            <color indexed="81"/>
            <rFont val="Tahoma"/>
            <family val="2"/>
          </rPr>
          <t>Mike Woodhouse:</t>
        </r>
        <r>
          <rPr>
            <sz val="8"/>
            <color indexed="81"/>
            <rFont val="Tahoma"/>
            <family val="2"/>
          </rPr>
          <t xml:space="preserve">
45-over match</t>
        </r>
      </text>
    </comment>
    <comment ref="C38" authorId="0" shapeId="0">
      <text>
        <r>
          <rPr>
            <b/>
            <sz val="8"/>
            <color indexed="81"/>
            <rFont val="Tahoma"/>
            <family val="2"/>
          </rPr>
          <t>Mike Woodhouse:</t>
        </r>
        <r>
          <rPr>
            <sz val="8"/>
            <color indexed="81"/>
            <rFont val="Tahoma"/>
            <family val="2"/>
          </rPr>
          <t xml:space="preserve">
30-over match agreed due to inclement weather</t>
        </r>
      </text>
    </comment>
  </commentList>
</comments>
</file>

<file path=xl/sharedStrings.xml><?xml version="1.0" encoding="utf-8"?>
<sst xmlns="http://schemas.openxmlformats.org/spreadsheetml/2006/main" count="1770" uniqueCount="992">
  <si>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</si>
  <si>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</si>
  <si>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</si>
  <si>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</si>
  <si>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</si>
  <si>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</si>
  <si>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</si>
  <si>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</si>
  <si>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</si>
  <si>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</si>
  <si>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</si>
  <si>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</si>
  <si>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</si>
  <si>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</si>
  <si>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</si>
  <si>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</si>
  <si>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</si>
  <si>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</si>
  <si>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</si>
  <si>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</si>
  <si>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</si>
  <si>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</si>
  <si>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</si>
  <si>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</si>
  <si>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</si>
  <si>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</si>
  <si>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Glyn</t>
  </si>
  <si>
    <t>John</t>
  </si>
  <si>
    <t>Mike</t>
  </si>
  <si>
    <t>David</t>
  </si>
  <si>
    <t>Geoff</t>
  </si>
  <si>
    <t>Ted</t>
  </si>
  <si>
    <t>Craig</t>
  </si>
  <si>
    <t>Tony</t>
  </si>
  <si>
    <t>Luke</t>
  </si>
  <si>
    <t>Paul</t>
  </si>
  <si>
    <t>Andy</t>
  </si>
  <si>
    <t>Colin</t>
  </si>
  <si>
    <t>Jeff</t>
  </si>
  <si>
    <t>Dave</t>
  </si>
  <si>
    <t>Vince</t>
  </si>
  <si>
    <t>Rick</t>
  </si>
  <si>
    <t>Jon</t>
  </si>
  <si>
    <t>Rob</t>
  </si>
  <si>
    <t>Bob</t>
  </si>
  <si>
    <t>Alex</t>
  </si>
  <si>
    <t>Chris</t>
  </si>
  <si>
    <t>Austen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</si>
  <si>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</si>
  <si>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</si>
  <si>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</si>
  <si>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</si>
  <si>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</si>
  <si>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</si>
  <si>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</si>
  <si>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</si>
  <si>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</si>
  <si>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</si>
  <si>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</si>
  <si>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</si>
  <si>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</si>
  <si>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LUHI</t>
  </si>
  <si>
    <t>JOLE</t>
  </si>
  <si>
    <t>Leadley J</t>
  </si>
  <si>
    <t>ANMA</t>
  </si>
  <si>
    <t>Mander A</t>
  </si>
  <si>
    <t>COMA</t>
  </si>
  <si>
    <t>Mander C</t>
  </si>
  <si>
    <t>JEMI</t>
  </si>
  <si>
    <t>DAMO</t>
  </si>
  <si>
    <t>Morris D</t>
  </si>
  <si>
    <t>VIRE</t>
  </si>
  <si>
    <t>DASH</t>
  </si>
  <si>
    <t>DESH</t>
  </si>
  <si>
    <t>DASN</t>
  </si>
  <si>
    <t>TOSP</t>
  </si>
  <si>
    <t>RIWO</t>
  </si>
  <si>
    <t>JOWO</t>
  </si>
  <si>
    <t>Worthy J</t>
  </si>
  <si>
    <t>ROWO</t>
  </si>
  <si>
    <t>Worthy R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</si>
  <si>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</si>
  <si>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</si>
  <si>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</si>
  <si>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</si>
  <si>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</si>
  <si>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</si>
  <si>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</si>
  <si>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</si>
  <si>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</si>
  <si>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</si>
  <si>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</si>
  <si>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</si>
  <si>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Paul Oakes</t>
  </si>
  <si>
    <t>Bob Young</t>
  </si>
  <si>
    <t>Andy Mander</t>
  </si>
  <si>
    <t>David Sharpe</t>
  </si>
  <si>
    <t>Mike Hosking</t>
  </si>
  <si>
    <t>GLAN</t>
  </si>
  <si>
    <t>NAPA</t>
  </si>
  <si>
    <t>MIHO</t>
  </si>
  <si>
    <t>PAOA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</si>
  <si>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</si>
  <si>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</si>
  <si>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</si>
  <si>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</si>
  <si>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</si>
  <si>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</si>
  <si>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</si>
  <si>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</si>
  <si>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</si>
  <si>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</si>
  <si>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</si>
  <si>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</si>
  <si>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</si>
  <si>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Bangs/ Buck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</si>
  <si>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</si>
  <si>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</si>
  <si>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</si>
  <si>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</si>
  <si>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</si>
  <si>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</si>
  <si>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</si>
  <si>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</si>
  <si>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AUME</t>
  </si>
  <si>
    <t>CHCL</t>
  </si>
  <si>
    <t>ALHA</t>
  </si>
  <si>
    <t>Alex Hamilton</t>
  </si>
  <si>
    <t>Colin Mander</t>
  </si>
  <si>
    <t>David Brocks</t>
  </si>
  <si>
    <t>Glyn Angell</t>
  </si>
  <si>
    <t>Jeff Middleton</t>
  </si>
  <si>
    <t>John Elliston</t>
  </si>
  <si>
    <t>Jon Worthy</t>
  </si>
  <si>
    <t>Luke Hickey</t>
  </si>
  <si>
    <t>Namish Patel</t>
  </si>
  <si>
    <t>Rick Worthington</t>
  </si>
  <si>
    <t>Rob Worthy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</si>
  <si>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</si>
  <si>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</si>
  <si>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</si>
  <si>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</si>
  <si>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</si>
  <si>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</si>
  <si>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</si>
  <si>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</si>
  <si>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</si>
  <si>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</si>
  <si>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</si>
  <si>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</si>
  <si>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</si>
  <si>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Aidan</t>
  </si>
  <si>
    <t>Mander N</t>
  </si>
  <si>
    <t>Neil</t>
  </si>
  <si>
    <t>Kris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</si>
  <si>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</si>
  <si>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</si>
  <si>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</si>
  <si>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</si>
  <si>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</si>
  <si>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</si>
  <si>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</si>
  <si>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</si>
  <si>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Dugdale E</t>
  </si>
  <si>
    <t>Ct Wkt</t>
  </si>
  <si>
    <t>25+s</t>
  </si>
  <si>
    <t>Day</t>
  </si>
  <si>
    <t>Captain</t>
  </si>
  <si>
    <t>CRTH</t>
  </si>
  <si>
    <t>AICO</t>
  </si>
  <si>
    <t>NEMA</t>
  </si>
  <si>
    <t>KRLI</t>
  </si>
  <si>
    <t>Kris Ligory</t>
  </si>
  <si>
    <t>Neil Mander</t>
  </si>
  <si>
    <t>Bat</t>
  </si>
  <si>
    <t>Bowl</t>
  </si>
  <si>
    <t>AR</t>
  </si>
  <si>
    <t>JELE</t>
  </si>
  <si>
    <t>Jeff Lestrelle</t>
  </si>
  <si>
    <t>Dan</t>
  </si>
  <si>
    <t>Captain Name</t>
  </si>
  <si>
    <t>Nick</t>
  </si>
  <si>
    <t>Catley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</si>
  <si>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</si>
  <si>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</si>
  <si>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</si>
  <si>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</si>
  <si>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</si>
  <si>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</si>
  <si>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</si>
  <si>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</si>
  <si>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Cooper D</t>
  </si>
  <si>
    <t>Thomas C</t>
  </si>
  <si>
    <t>Angell G</t>
  </si>
  <si>
    <t>Bowers M</t>
  </si>
  <si>
    <t>Brocks D</t>
  </si>
  <si>
    <t>Catley N</t>
  </si>
  <si>
    <t>Chick G</t>
  </si>
  <si>
    <t>Clark C</t>
  </si>
  <si>
    <t>Coloe A</t>
  </si>
  <si>
    <t>Elliston J</t>
  </si>
  <si>
    <t>Hamilton A</t>
  </si>
  <si>
    <t>Hickey L</t>
  </si>
  <si>
    <t>Hosking M</t>
  </si>
  <si>
    <t>Lestrelle J</t>
  </si>
  <si>
    <t>Ligory K</t>
  </si>
  <si>
    <t>Merritt A</t>
  </si>
  <si>
    <t>Middleton J</t>
  </si>
  <si>
    <t>Oakes P</t>
  </si>
  <si>
    <t>Patel N</t>
  </si>
  <si>
    <t>Porter D</t>
  </si>
  <si>
    <t>Reid V</t>
  </si>
  <si>
    <t>Sharpe D</t>
  </si>
  <si>
    <t>Shewan D</t>
  </si>
  <si>
    <t>Snow D</t>
  </si>
  <si>
    <t>Springer T</t>
  </si>
  <si>
    <t>Woodhouse M</t>
  </si>
  <si>
    <t>Worthington R</t>
  </si>
  <si>
    <t>Young R</t>
  </si>
  <si>
    <t>Opp Overs</t>
  </si>
  <si>
    <t>TOCC Overs</t>
  </si>
  <si>
    <t>Total balls</t>
  </si>
  <si>
    <t>Max Overs</t>
  </si>
  <si>
    <t>DACO</t>
  </si>
  <si>
    <t>David Cooper</t>
  </si>
  <si>
    <t>DAPO</t>
  </si>
  <si>
    <t>Dan Porter</t>
  </si>
  <si>
    <t>NICA</t>
  </si>
  <si>
    <t>Players</t>
  </si>
  <si>
    <t>times chosen</t>
  </si>
  <si>
    <t>Tate P</t>
  </si>
  <si>
    <t>1st Inns</t>
  </si>
  <si>
    <t>Phil</t>
  </si>
  <si>
    <t>Hammond P</t>
  </si>
  <si>
    <t>Peter</t>
  </si>
  <si>
    <t>Buckingham P</t>
  </si>
  <si>
    <t>Steve</t>
  </si>
  <si>
    <t>Gorham S</t>
  </si>
  <si>
    <t>Haynes J</t>
  </si>
  <si>
    <t>Mark</t>
  </si>
  <si>
    <t>Richardson M</t>
  </si>
  <si>
    <t>Vic</t>
  </si>
  <si>
    <t>Howe V</t>
  </si>
  <si>
    <t>Nicky</t>
  </si>
  <si>
    <t>Ball N</t>
  </si>
  <si>
    <t>PctInBdries</t>
  </si>
  <si>
    <t>Mick</t>
  </si>
  <si>
    <t>Clark M</t>
  </si>
  <si>
    <t>Mills S</t>
  </si>
  <si>
    <t>Sergio</t>
  </si>
  <si>
    <t>Afonso S</t>
  </si>
  <si>
    <t>Chris Clark</t>
  </si>
  <si>
    <t>Naimish</t>
  </si>
  <si>
    <t>Partnerships</t>
  </si>
  <si>
    <t>Maranzano</t>
  </si>
  <si>
    <t>Maranzano M</t>
  </si>
  <si>
    <t>Adrian</t>
  </si>
  <si>
    <t>Hawksworth A</t>
  </si>
  <si>
    <t>Roy</t>
  </si>
  <si>
    <t>Odeneal R</t>
  </si>
  <si>
    <t>DuckPct</t>
  </si>
  <si>
    <t>Aiden Coloe</t>
  </si>
  <si>
    <t>Bell M</t>
  </si>
  <si>
    <t>Jason</t>
  </si>
  <si>
    <t>max</t>
  </si>
  <si>
    <t>min</t>
  </si>
  <si>
    <t>PATA</t>
  </si>
  <si>
    <t>MARI</t>
  </si>
  <si>
    <t>ROOD</t>
  </si>
  <si>
    <t>STMI</t>
  </si>
  <si>
    <t>MIMA</t>
  </si>
  <si>
    <t>VIHO</t>
  </si>
  <si>
    <t>JOHA</t>
  </si>
  <si>
    <t>ADHA</t>
  </si>
  <si>
    <t>PHHA</t>
  </si>
  <si>
    <t>STGO</t>
  </si>
  <si>
    <t>MICL</t>
  </si>
  <si>
    <t>SEAF</t>
  </si>
  <si>
    <t>NIBA</t>
  </si>
  <si>
    <t>MABE</t>
  </si>
  <si>
    <t>PEBU</t>
  </si>
  <si>
    <t>Sergio Afonso</t>
  </si>
  <si>
    <t>Nicky Ball</t>
  </si>
  <si>
    <t>Mark Bell</t>
  </si>
  <si>
    <t>Mick Clark</t>
  </si>
  <si>
    <t>Adrian Hawksworth</t>
  </si>
  <si>
    <t>Vic Howe</t>
  </si>
  <si>
    <t>Paul Tate</t>
  </si>
  <si>
    <t>2000 Season</t>
  </si>
  <si>
    <t>Hi Octane Cruisers</t>
  </si>
  <si>
    <t>Two Stroke Oilers</t>
  </si>
  <si>
    <t>The Millenium Bugs</t>
  </si>
  <si>
    <t>Jane Mander</t>
  </si>
  <si>
    <t>"Stumped" for a name</t>
  </si>
  <si>
    <t>Neil/Jane Mander</t>
  </si>
  <si>
    <t>Bowler's Name Please?</t>
  </si>
  <si>
    <t>The Chairman's Chappies</t>
  </si>
  <si>
    <t>"Full Team Today?"</t>
  </si>
  <si>
    <t>Geoff's Sooper's</t>
  </si>
  <si>
    <t>Geoff's Looper's</t>
  </si>
  <si>
    <t>What's this bat thing for?</t>
  </si>
  <si>
    <t>We're s***t and we know we are</t>
  </si>
  <si>
    <t>The Fat Show</t>
  </si>
  <si>
    <t>Millenium Buggers</t>
  </si>
  <si>
    <t>Tired Old Hasbeens</t>
  </si>
  <si>
    <t>Dave Snow</t>
  </si>
  <si>
    <t>Ooze Class</t>
  </si>
  <si>
    <t>Better Value than Chris Sutton</t>
  </si>
  <si>
    <t>Dave Sharpe</t>
  </si>
  <si>
    <t>Sharpey's 1sts</t>
  </si>
  <si>
    <t>Sharpey's 2nds</t>
  </si>
  <si>
    <t>Pikey's Army</t>
  </si>
  <si>
    <t>Slappers XI</t>
  </si>
  <si>
    <t>Bromley Common</t>
  </si>
  <si>
    <t>H</t>
  </si>
  <si>
    <t>[No Play - waterlogged pitch]</t>
  </si>
  <si>
    <t>Blackheath Select XI</t>
  </si>
  <si>
    <t>D</t>
  </si>
  <si>
    <t>TOCC</t>
  </si>
  <si>
    <t>Springer 82</t>
  </si>
  <si>
    <t>Mander N 3-9, Bowers 3-14</t>
  </si>
  <si>
    <t>1/82/b/0/10.0</t>
  </si>
  <si>
    <t>2/14/b*+/0/2.0</t>
  </si>
  <si>
    <t>3/22/c/0/2.0</t>
  </si>
  <si>
    <t>4/14/no+/0/1.0</t>
  </si>
  <si>
    <t>5/21/b/0/2.0</t>
  </si>
  <si>
    <t>6/2/b/1/0.0</t>
  </si>
  <si>
    <t>7/0/b/1/0.0</t>
  </si>
  <si>
    <t>8/0/dnb/1/0</t>
  </si>
  <si>
    <t>9/0/dnb/0/0</t>
  </si>
  <si>
    <t>10/0/dnb/0/0</t>
  </si>
  <si>
    <t>11/0/dnb/1/0</t>
  </si>
  <si>
    <t>8/1/21/0/0/0</t>
  </si>
  <si>
    <t>9/3/12/1/0/0</t>
  </si>
  <si>
    <t>6/2/27/1/1/0</t>
  </si>
  <si>
    <t>8/3/9/3/1/0</t>
  </si>
  <si>
    <t>6/2/14/3/1/0</t>
  </si>
  <si>
    <t>4/1/6/1/0/0</t>
  </si>
  <si>
    <t>Jason Crisford</t>
  </si>
  <si>
    <t>JACR</t>
  </si>
  <si>
    <t>Crisford J</t>
  </si>
  <si>
    <t>Holly's Hotshots</t>
  </si>
  <si>
    <t>Bailey's Battlers</t>
  </si>
  <si>
    <t>The New Theories?</t>
  </si>
  <si>
    <t>The Name Game</t>
  </si>
  <si>
    <t>Can we fix it?</t>
  </si>
  <si>
    <t>Yes we can!</t>
  </si>
  <si>
    <t>Commonwealth Offices</t>
  </si>
  <si>
    <t>[No Opposition]</t>
  </si>
  <si>
    <t>Legless XI</t>
  </si>
  <si>
    <t>W</t>
  </si>
  <si>
    <t>Leadley 84*, Worthington 56</t>
  </si>
  <si>
    <t>Clark C 5-21</t>
  </si>
  <si>
    <t>1/84/no/0/11.0</t>
  </si>
  <si>
    <t>2/12/c+/1.1/2.0</t>
  </si>
  <si>
    <t>3/56/c/0/7.2</t>
  </si>
  <si>
    <t>4/5/c/1/0</t>
  </si>
  <si>
    <t>5/4/b*/0/0</t>
  </si>
  <si>
    <t>6/0/c/2/0</t>
  </si>
  <si>
    <t>8/5/ro/1/0</t>
  </si>
  <si>
    <t>9/0/dnb/1/0</t>
  </si>
  <si>
    <t>10/0/dnb/1/0</t>
  </si>
  <si>
    <t>11/0/dnb/0/0</t>
  </si>
  <si>
    <t>3/0/10/0/4/0</t>
  </si>
  <si>
    <t>7.2/1/21/5/0/0</t>
  </si>
  <si>
    <t>5/0/26/0/0/1</t>
  </si>
  <si>
    <t>4/1/17/0/0/0</t>
  </si>
  <si>
    <t>1/0/4/0/0/0</t>
  </si>
  <si>
    <t>2/0/5/0/1/0</t>
  </si>
  <si>
    <t>7/3/14/1/0/0</t>
  </si>
  <si>
    <t>4/1/8/2/1/0</t>
  </si>
  <si>
    <t>23/JOLE/TEDU</t>
  </si>
  <si>
    <t>112/JOLE/RIWO</t>
  </si>
  <si>
    <t>8/JOLE/JEMI</t>
  </si>
  <si>
    <t>25/JOLE/MIWO</t>
  </si>
  <si>
    <t>5/JOLE/JACR</t>
  </si>
  <si>
    <t>17/JOLE/MICL</t>
  </si>
  <si>
    <t>32/TOSP/MIWO</t>
  </si>
  <si>
    <t>83/TOSP/NEMA</t>
  </si>
  <si>
    <t>8/TOSP/JELE</t>
  </si>
  <si>
    <t>37/JELE/VIRE</t>
  </si>
  <si>
    <t>2/JELE/JOHA</t>
  </si>
  <si>
    <t>0/JELE/MABE</t>
  </si>
  <si>
    <t>Riverside</t>
  </si>
  <si>
    <t>A</t>
  </si>
  <si>
    <t>L</t>
  </si>
  <si>
    <t>Clark C 3-24, Young 3-36</t>
  </si>
  <si>
    <t>Zahid 10-14</t>
  </si>
  <si>
    <t>1/0/b/1/0</t>
  </si>
  <si>
    <t>2/10/c/3/0</t>
  </si>
  <si>
    <t>3/1/b/0/0</t>
  </si>
  <si>
    <t>5/10/c/0/1.0</t>
  </si>
  <si>
    <t>4/2/c/1/0</t>
  </si>
  <si>
    <t>6/0/b*+/0/0</t>
  </si>
  <si>
    <t>7/2/b/0/0</t>
  </si>
  <si>
    <t>8/5/c/0/0</t>
  </si>
  <si>
    <t>9/3/lb/0/0</t>
  </si>
  <si>
    <t>10/0/c/0/0</t>
  </si>
  <si>
    <t>11/0/no/0/0</t>
  </si>
  <si>
    <t>8/6/6/0/2/0</t>
  </si>
  <si>
    <t>4.4/2/3/2/0/0</t>
  </si>
  <si>
    <t>2/1/5/0/0/0</t>
  </si>
  <si>
    <t>Tired Old Crap Cricketers</t>
  </si>
  <si>
    <t>Falcon</t>
  </si>
  <si>
    <t>Thurlow Park RAFA</t>
  </si>
  <si>
    <t>Woodgreen</t>
  </si>
  <si>
    <t>Steeple Langford</t>
  </si>
  <si>
    <t>Cove</t>
  </si>
  <si>
    <t>Deansbank</t>
  </si>
  <si>
    <t>Norwood Exiles</t>
  </si>
  <si>
    <t>4 C's</t>
  </si>
  <si>
    <t>Prospect Park</t>
  </si>
  <si>
    <t>Sunderland Supporters</t>
  </si>
  <si>
    <t>Murray</t>
  </si>
  <si>
    <t>The Priory</t>
  </si>
  <si>
    <t>Wild Geese</t>
  </si>
  <si>
    <t>Whyteleaf</t>
  </si>
  <si>
    <t>Addington</t>
  </si>
  <si>
    <t>Hextable</t>
  </si>
  <si>
    <t>Lessa Wanderers</t>
  </si>
  <si>
    <t>Estonia</t>
  </si>
  <si>
    <t>Old Paulines</t>
  </si>
  <si>
    <t>Beddington</t>
  </si>
  <si>
    <t>Selsdon</t>
  </si>
  <si>
    <t>East Cheam</t>
  </si>
  <si>
    <t>Mander N 34</t>
  </si>
  <si>
    <t>1/1/1c/0/0</t>
  </si>
  <si>
    <t>2/6/b/3/0</t>
  </si>
  <si>
    <t>4/34/c/0/1.0</t>
  </si>
  <si>
    <t>5/3/b+/0/0</t>
  </si>
  <si>
    <t>3/8/lb*/0/1.0</t>
  </si>
  <si>
    <t>6/0/b/0/0</t>
  </si>
  <si>
    <t>7/11/b/1/1.0</t>
  </si>
  <si>
    <t>8/10/c/0/0</t>
  </si>
  <si>
    <t>9/6/b/0/1.0</t>
  </si>
  <si>
    <t>10/5/c/0/0</t>
  </si>
  <si>
    <t>11/1/no/0/0</t>
  </si>
  <si>
    <t>8/3/16/2/0/0</t>
  </si>
  <si>
    <t>6/2/8/1/2/0</t>
  </si>
  <si>
    <t>3/1/8/2/0/0</t>
  </si>
  <si>
    <t>7/1/19/1/2/0</t>
  </si>
  <si>
    <t>8/2/9/1/1/0</t>
  </si>
  <si>
    <t>6/3/7/1/0/0</t>
  </si>
  <si>
    <t>Leadley 71, Patel 26</t>
  </si>
  <si>
    <t>Springer 3-9</t>
  </si>
  <si>
    <t>Lestrelle 4/39</t>
  </si>
  <si>
    <t>Mander C 88*</t>
  </si>
  <si>
    <t>Brocks 67*, Sharpe 55*</t>
  </si>
  <si>
    <t>Clark M 2-21</t>
  </si>
  <si>
    <t>1/71/b/1/9.2</t>
  </si>
  <si>
    <t>2/11/b/0/0</t>
  </si>
  <si>
    <t>4/26/no/0/0</t>
  </si>
  <si>
    <t>5/8/c/0/1.0</t>
  </si>
  <si>
    <t>3/9/b*/1/1.0</t>
  </si>
  <si>
    <t>6/11/no/0/1.0</t>
  </si>
  <si>
    <t>7/0/dnb+/0/0</t>
  </si>
  <si>
    <t>8/0/dnb/0/0</t>
  </si>
  <si>
    <t>1/0/c/0/0</t>
  </si>
  <si>
    <t>2/27/c/0/1.0</t>
  </si>
  <si>
    <t>3/88/no/1/11.1</t>
  </si>
  <si>
    <t>4/3/lb*/1/0</t>
  </si>
  <si>
    <t>5/6/b+/0.2/0</t>
  </si>
  <si>
    <t>8/6/no/0/0</t>
  </si>
  <si>
    <t>1/49/lb+/0.1/4.0</t>
  </si>
  <si>
    <t>2/19/c/0/1.0</t>
  </si>
  <si>
    <t>3/67/no/0/4.3</t>
  </si>
  <si>
    <t>4/55/no/1/5.2</t>
  </si>
  <si>
    <t>5/0/dnb*/0/0</t>
  </si>
  <si>
    <t>6/0/dnb/0/0</t>
  </si>
  <si>
    <t>7/0/dnb/0/0</t>
  </si>
  <si>
    <t>2/0/7/0/2/0</t>
  </si>
  <si>
    <t>5/1/9/3/0/0</t>
  </si>
  <si>
    <t>3/0/6/0/0/0</t>
  </si>
  <si>
    <t>5/0/16/2/2/0</t>
  </si>
  <si>
    <t>5/0/10/1/2/0</t>
  </si>
  <si>
    <t>5/0/14/1/0/0</t>
  </si>
  <si>
    <t>5/0/10/0/2/0</t>
  </si>
  <si>
    <t>6/1/26/3/0/0</t>
  </si>
  <si>
    <t>7/2/8/0/2/0</t>
  </si>
  <si>
    <t>13/1/42/0/0/2</t>
  </si>
  <si>
    <t>7/0/39/4/3/1</t>
  </si>
  <si>
    <t>7/2/18/1/0/1</t>
  </si>
  <si>
    <t>6/2/30/0/1/0</t>
  </si>
  <si>
    <t>3/0/16/0/0/0</t>
  </si>
  <si>
    <t>4/0/33/0/1/0</t>
  </si>
  <si>
    <t>4/0/26/1/6/0</t>
  </si>
  <si>
    <t>9/2/21/2/1/0</t>
  </si>
  <si>
    <t>14/1/42/1/0/0</t>
  </si>
  <si>
    <t>5/0/25/0/0/0</t>
  </si>
  <si>
    <t>7/6/b/0/1.0</t>
  </si>
  <si>
    <t>Joanne Shewan</t>
  </si>
  <si>
    <t>Cameron Shewan</t>
  </si>
  <si>
    <t>Wot, the curtains?</t>
  </si>
  <si>
    <t>Stuck in the crease</t>
  </si>
  <si>
    <t>Cameron's 1st XI</t>
  </si>
  <si>
    <t>Elliston 3-31</t>
  </si>
  <si>
    <t>Springer 58, Oakes 21*</t>
  </si>
  <si>
    <t>1/58/lb+/2.0/8.0</t>
  </si>
  <si>
    <t>2/0/c/0/0</t>
  </si>
  <si>
    <t>3/1/c/0/0</t>
  </si>
  <si>
    <t>4/2/b/0/0</t>
  </si>
  <si>
    <t>5/2/b/0/0</t>
  </si>
  <si>
    <t>6/21/no/0/1.0</t>
  </si>
  <si>
    <t>7/0/b*/0/0</t>
  </si>
  <si>
    <t>8/9/lb/0/1.0</t>
  </si>
  <si>
    <t>10/6/c/3/1.0</t>
  </si>
  <si>
    <t>11/0/no/1/0</t>
  </si>
  <si>
    <t>9/8/c/0/1.0</t>
  </si>
  <si>
    <t>2/TOSP/MIHO</t>
  </si>
  <si>
    <t>6/TOSP/VIRE</t>
  </si>
  <si>
    <t>19/TOSP/JACR</t>
  </si>
  <si>
    <t>7/TOSP/DACO</t>
  </si>
  <si>
    <t>45/TOSP/PAOA</t>
  </si>
  <si>
    <t>2/PAOA/MIWO</t>
  </si>
  <si>
    <t>17/PAOA/GECO</t>
  </si>
  <si>
    <t>13/PAOA/DESH</t>
  </si>
  <si>
    <t>6/PAOA/BOYO</t>
  </si>
  <si>
    <t>14/PAOA/JOEL</t>
  </si>
  <si>
    <t>11/1/36/1/0/0</t>
  </si>
  <si>
    <t>5/0/27/0/3/0</t>
  </si>
  <si>
    <t>11/2/37/2/0/0</t>
  </si>
  <si>
    <t>13/3/31/3/1/0</t>
  </si>
  <si>
    <t>7.4/0/22/2/0/0</t>
  </si>
  <si>
    <t>Ted's Maybes</t>
  </si>
  <si>
    <t>Jenny Dugdale</t>
  </si>
  <si>
    <t>Jenny's Pets</t>
  </si>
  <si>
    <t>Sue Dugdale</t>
  </si>
  <si>
    <t>The Crusaders</t>
  </si>
  <si>
    <t>0/ANMA/NEMA</t>
  </si>
  <si>
    <t>2/NEMA/DESH</t>
  </si>
  <si>
    <t>7/NEMA/SEAF</t>
  </si>
  <si>
    <t>18/NEMA/PAOA</t>
  </si>
  <si>
    <t>0/PAOA/MIWO</t>
  </si>
  <si>
    <t>5/PAOA/ROOD</t>
  </si>
  <si>
    <t>7/PAOA/JOEL</t>
  </si>
  <si>
    <t>4/JOEL/DAMO</t>
  </si>
  <si>
    <t>0/JOEL/BOYO</t>
  </si>
  <si>
    <t>1/JOEL/CHCL</t>
  </si>
  <si>
    <t>Leadley 136*, Middleton 51*</t>
  </si>
  <si>
    <t>Clark C 6-18, Williams 56</t>
  </si>
  <si>
    <t>1/136/no+/1.0/20.0</t>
  </si>
  <si>
    <t>2/7/b*/2/1.0</t>
  </si>
  <si>
    <t>3/51/no/0/6.1</t>
  </si>
  <si>
    <t>4/0/dnb/1/0</t>
  </si>
  <si>
    <t>5/0/dnb/0/0</t>
  </si>
  <si>
    <t>7/0/dnb/2/0</t>
  </si>
  <si>
    <t>9/3/18/6/0/0</t>
  </si>
  <si>
    <t>5/1/21/0/2/0</t>
  </si>
  <si>
    <t>5/0/31/0/1/0</t>
  </si>
  <si>
    <t>4/0/14/1/6/0</t>
  </si>
  <si>
    <t>11/3/34/1/0/0</t>
  </si>
  <si>
    <t>5/0/42/0/0/0</t>
  </si>
  <si>
    <t>31/JOLE/MIWO</t>
  </si>
  <si>
    <t>175/JOLE/JEMI</t>
  </si>
  <si>
    <t>Worthy J 4-6, Mander A 4-14</t>
  </si>
  <si>
    <t>Springer 36</t>
  </si>
  <si>
    <t>Sharpe 24</t>
  </si>
  <si>
    <t>1/8/b/1/1.0</t>
  </si>
  <si>
    <t>2/2/ro/0/0</t>
  </si>
  <si>
    <t>3/36/lb*/0/6.0</t>
  </si>
  <si>
    <t>4/13/no/1/3.0</t>
  </si>
  <si>
    <t>5/1/b/0/0</t>
  </si>
  <si>
    <t>6/12/no/1/2.0</t>
  </si>
  <si>
    <t>7/0/dnb+/1/0</t>
  </si>
  <si>
    <t>1/24/b/0/3.0</t>
  </si>
  <si>
    <t>2/8/b/0/1.0</t>
  </si>
  <si>
    <t>3/9/lb/0/2.0</t>
  </si>
  <si>
    <t>4/18/b*/0/3.0</t>
  </si>
  <si>
    <t>5/0/c+/0/0</t>
  </si>
  <si>
    <t>6/19/b/0/1.0</t>
  </si>
  <si>
    <t>7/10/c/0/1.0</t>
  </si>
  <si>
    <t>8/14/b/1/1.0</t>
  </si>
  <si>
    <t>10/10/b/0/1.0</t>
  </si>
  <si>
    <t>10/9/no/0/1.0</t>
  </si>
  <si>
    <t>11/2/b/0/0</t>
  </si>
  <si>
    <t>0.3/0/6/1/0/0</t>
  </si>
  <si>
    <t>1/0/5/0/0/0</t>
  </si>
  <si>
    <t>6/2/15/0/0/0</t>
  </si>
  <si>
    <t>7/2/6/4/0/0</t>
  </si>
  <si>
    <t>8/2/14/4/0/0</t>
  </si>
  <si>
    <t>4/0/23/0/1/0</t>
  </si>
  <si>
    <t>5/0/16/2/1/0</t>
  </si>
  <si>
    <t>8/3/21/2/4/1</t>
  </si>
  <si>
    <t>7/1/30/0/0/0</t>
  </si>
  <si>
    <t>8/1/42/0/0/0</t>
  </si>
  <si>
    <t>7/0/32/1/2/0</t>
  </si>
  <si>
    <t>5/0/22/0/0/0</t>
  </si>
  <si>
    <t>Cypos</t>
  </si>
  <si>
    <t>8/2/22/2/0/0</t>
  </si>
  <si>
    <t>9/2/34/3/0/0</t>
  </si>
  <si>
    <t>STBR</t>
  </si>
  <si>
    <t>Brady S</t>
  </si>
  <si>
    <t>RISM</t>
  </si>
  <si>
    <t>Ricky</t>
  </si>
  <si>
    <t>Smith R</t>
  </si>
  <si>
    <t>Brady 4-11, Clark C 3-18</t>
  </si>
  <si>
    <t>Middleton 48</t>
  </si>
  <si>
    <t>1/13/rh/2/1.0</t>
  </si>
  <si>
    <t>2/4/c/0/1.0</t>
  </si>
  <si>
    <t>3/48/c/0/10.0</t>
  </si>
  <si>
    <t>4/0/c/3/0</t>
  </si>
  <si>
    <t>5/2/c/0/0</t>
  </si>
  <si>
    <t>6/4/b/0/0</t>
  </si>
  <si>
    <t>7/0/no*+/1.0/0</t>
  </si>
  <si>
    <t>8/8/no/0/1.0</t>
  </si>
  <si>
    <t>6/1/11/4/4/0</t>
  </si>
  <si>
    <t>6.3/0/21/2/0/0</t>
  </si>
  <si>
    <t>11/5/18/3/0/0</t>
  </si>
  <si>
    <t>10/1/27/0/0/0</t>
  </si>
  <si>
    <t>1/0/2/1/0/0</t>
  </si>
  <si>
    <t>1/28/c+/0.1/4.1</t>
  </si>
  <si>
    <t>2/6/c/0/1.0</t>
  </si>
  <si>
    <t>3/0/c/0/0</t>
  </si>
  <si>
    <t>4/22/c*/0/4.0</t>
  </si>
  <si>
    <t>5/0/c/0/0</t>
  </si>
  <si>
    <t>6/23/c/0/5.0</t>
  </si>
  <si>
    <t>7/0/c/1/0</t>
  </si>
  <si>
    <t>8/7/b/0/1.0</t>
  </si>
  <si>
    <t>9/1/b/0/0</t>
  </si>
  <si>
    <t>10/4/no/1/1.0</t>
  </si>
  <si>
    <t>11/8/no/0/2.0</t>
  </si>
  <si>
    <t>8/2/26/2/0/0</t>
  </si>
  <si>
    <t>3/0/22/0/2/1</t>
  </si>
  <si>
    <t>9.5/1/23/2/1/0</t>
  </si>
  <si>
    <t>10/2/36/0/0/0</t>
  </si>
  <si>
    <t>11/1/44/4/1/2</t>
  </si>
  <si>
    <t>Wilmington</t>
  </si>
  <si>
    <t>Mander N 65*, Reid 48*</t>
  </si>
  <si>
    <t>Mander C 3-5</t>
  </si>
  <si>
    <t>Dugdale 32</t>
  </si>
  <si>
    <t>1/34/c+/0/6.0</t>
  </si>
  <si>
    <t>2/10/c/0/1.0</t>
  </si>
  <si>
    <t>4/65/no/0/7.0</t>
  </si>
  <si>
    <t>5/11/c/0/2.0</t>
  </si>
  <si>
    <t>1/5/c/0/1.0</t>
  </si>
  <si>
    <t>2/32/c+/0/5.0</t>
  </si>
  <si>
    <t>3/0/b/1/0</t>
  </si>
  <si>
    <t>6/19/lb/0/0</t>
  </si>
  <si>
    <t>7/1/c/0/0</t>
  </si>
  <si>
    <t>8/0/b/1/0</t>
  </si>
  <si>
    <t>9/17/b/0/3.0</t>
  </si>
  <si>
    <t>10/12/no/0/2.0</t>
  </si>
  <si>
    <t>11/6/no/1/0</t>
  </si>
  <si>
    <t>10/3/11/2/0/0</t>
  </si>
  <si>
    <t>10/2/24/0/0/0</t>
  </si>
  <si>
    <t>2/0/5/3/0/0</t>
  </si>
  <si>
    <t>3/1/5/0/0/0</t>
  </si>
  <si>
    <t>1.4/0/4/1/0/0</t>
  </si>
  <si>
    <t>12.2/5/19/0/0/0</t>
  </si>
  <si>
    <t>4/0/19/0/6/0</t>
  </si>
  <si>
    <t>10/0/61/2/0/0</t>
  </si>
  <si>
    <t>7/1/27/1/4/2</t>
  </si>
  <si>
    <t>26/6/00-TOSP+DASH</t>
  </si>
  <si>
    <t>6/48/no/1/7.0</t>
  </si>
  <si>
    <t>3/0/c*+/0/0</t>
  </si>
  <si>
    <t>4/21/c*/0/4.0</t>
  </si>
  <si>
    <t>7/2/23/3/0/0</t>
  </si>
  <si>
    <t>Rahul 117*, Worthy J 5-45</t>
  </si>
  <si>
    <t>Dugdale 51*, Mander N 34</t>
  </si>
  <si>
    <t>1/0/b*/0/0</t>
  </si>
  <si>
    <t>2/51/no+/1.1/4.0</t>
  </si>
  <si>
    <t>3/3/c/0/0</t>
  </si>
  <si>
    <t>4/34/c/1/3.0</t>
  </si>
  <si>
    <t>5/16/b/0/2.0</t>
  </si>
  <si>
    <t>6/10/no/1/1.0</t>
  </si>
  <si>
    <t>7/0/dnb/1/0</t>
  </si>
  <si>
    <t>13.2/3/45/5/1/0</t>
  </si>
  <si>
    <t>5/2/6/0/1/0</t>
  </si>
  <si>
    <t>8/1/29/0/0/0</t>
  </si>
  <si>
    <t>8/2/24/2/6/0</t>
  </si>
  <si>
    <t>8/0/64/1/1/0</t>
  </si>
  <si>
    <t>1/0/c*+/0/0</t>
  </si>
  <si>
    <t>2/16/c/1/1.1</t>
  </si>
  <si>
    <t>3/13/b/1/2.0</t>
  </si>
  <si>
    <t>4/30/c/0/4.0</t>
  </si>
  <si>
    <t>5/22/st/0/5.0</t>
  </si>
  <si>
    <t>7/5/c/2/1.0</t>
  </si>
  <si>
    <t>8/39/c/0/7.1</t>
  </si>
  <si>
    <t>9/21/no/0/3.0</t>
  </si>
  <si>
    <t>10/15/no/1/3.0</t>
  </si>
  <si>
    <t>5/4/1/2/1/0</t>
  </si>
  <si>
    <t>8/4/6/4/0/0</t>
  </si>
  <si>
    <t>4/1/6/1/2/0</t>
  </si>
  <si>
    <t>2/1/2/2/0/0</t>
  </si>
  <si>
    <t>2/1/1/1/0/0</t>
  </si>
  <si>
    <t>Mander A 39, Mander N 30</t>
  </si>
  <si>
    <t>Clark C 4-6</t>
  </si>
  <si>
    <t>0/DASH/COMA</t>
  </si>
  <si>
    <t>23/COMA/AICO</t>
  </si>
  <si>
    <t>48/NEMA/SEAF</t>
  </si>
  <si>
    <t>10/AICO/NEMA</t>
  </si>
  <si>
    <t>6/SEAF/DACO</t>
  </si>
  <si>
    <t>0/SEAF/MIWO</t>
  </si>
  <si>
    <t>51/MIWO/ANMA</t>
  </si>
  <si>
    <t>16/MIWO/DAMO</t>
  </si>
  <si>
    <t>20/DAMO/MIBO</t>
  </si>
  <si>
    <t>Springer 3-8</t>
  </si>
  <si>
    <t>Dugdale 63*</t>
  </si>
  <si>
    <t>1/19/c*/0/4.0</t>
  </si>
  <si>
    <t>2/63/no+/1/12.0</t>
  </si>
  <si>
    <t>3/2/lb/0/0</t>
  </si>
  <si>
    <t>4/11/no/0/2.0</t>
  </si>
  <si>
    <t>Daragh</t>
  </si>
  <si>
    <t>Corrigan D</t>
  </si>
  <si>
    <t>8/0/dnb/2/0</t>
  </si>
  <si>
    <t>44/MIWO/TEDU</t>
  </si>
  <si>
    <t>19/TEDU/MIHO</t>
  </si>
  <si>
    <t>56/TEDU/RIWO</t>
  </si>
  <si>
    <t>6/2/8/3/0/0</t>
  </si>
  <si>
    <t>6/0/20/0/4/0</t>
  </si>
  <si>
    <t>7/3/14/2/1/0</t>
  </si>
  <si>
    <t>7/0/31/2/1/0</t>
  </si>
  <si>
    <t>3/1/5/1/1/0</t>
  </si>
  <si>
    <t>4/0/28/2/1/0</t>
  </si>
  <si>
    <t>18/6/00-TOSP+ANMA 23/6/00-DASN+NEMA</t>
  </si>
  <si>
    <t>Old Dunstonians</t>
  </si>
  <si>
    <t>Woodhouse 18, Toot 4-4</t>
  </si>
  <si>
    <t>1/18/b*/0/1.0</t>
  </si>
  <si>
    <t>2/0/b+/0/0</t>
  </si>
  <si>
    <t>3/0/b/0/0</t>
  </si>
  <si>
    <t>4/2/b/1/0</t>
  </si>
  <si>
    <t>5/0/b/0/0</t>
  </si>
  <si>
    <t>6/3/c/1/0</t>
  </si>
  <si>
    <t>7/0/b/0/0</t>
  </si>
  <si>
    <t>9/0/c/0/0</t>
  </si>
  <si>
    <t>10/1/c/0/0</t>
  </si>
  <si>
    <t>Glenn</t>
  </si>
  <si>
    <t>Lilley G</t>
  </si>
  <si>
    <t>8/14/st/0/0</t>
  </si>
  <si>
    <t>4/0/27/0/3/0</t>
  </si>
  <si>
    <t>8/0/52/2/2/0</t>
  </si>
  <si>
    <t>8/0/74/0/0/0</t>
  </si>
  <si>
    <t>4/0/38/1/0/0</t>
  </si>
  <si>
    <t>Williamson 74, Westmacott 66, Giddins 63*</t>
  </si>
  <si>
    <t>8/0/42/0/0/0</t>
  </si>
  <si>
    <t>8/0/52/1/0/0</t>
  </si>
  <si>
    <t>Old Josephians</t>
  </si>
  <si>
    <t>Cooper G 5-31, Clark C 3-36</t>
  </si>
  <si>
    <t>Springer 64, Woodhouse 41</t>
  </si>
  <si>
    <t>1/64/c/0/11.0</t>
  </si>
  <si>
    <t>2/41/c*/1/7.0</t>
  </si>
  <si>
    <t>3/2/c/0/0</t>
  </si>
  <si>
    <t>4/8/c/1/2.0</t>
  </si>
  <si>
    <t>5/23/b/0/1.1</t>
  </si>
  <si>
    <t>6/7/no/0/1.0</t>
  </si>
  <si>
    <t>8/6/no+/4.1/1.0</t>
  </si>
  <si>
    <t>7/2/c/0/0</t>
  </si>
  <si>
    <t>8/2/25/1/0/0</t>
  </si>
  <si>
    <t>11/3/41/0/1/0</t>
  </si>
  <si>
    <t>10/2/36/3/0/0</t>
  </si>
  <si>
    <t>11/3/31/5/0/0</t>
  </si>
  <si>
    <t>4/1/20/0/0/0</t>
  </si>
  <si>
    <t>Springer 94</t>
  </si>
  <si>
    <t>Sharpe 6-22</t>
  </si>
  <si>
    <t>Springer 59</t>
  </si>
  <si>
    <t>Shewan 4-24</t>
  </si>
  <si>
    <t>1/14/c/1/3.0</t>
  </si>
  <si>
    <t>2/0/b/0/0</t>
  </si>
  <si>
    <t>3/6/b/0/0</t>
  </si>
  <si>
    <t>4/94/c*+/1/13.2</t>
  </si>
  <si>
    <t>6/22/c/0/3.0</t>
  </si>
  <si>
    <t>Newell</t>
  </si>
  <si>
    <t>8/0/b/0/0</t>
  </si>
  <si>
    <t>9/6/c/0/1.0</t>
  </si>
  <si>
    <t>10/11/no/0/1.0</t>
  </si>
  <si>
    <t>8/1/42/1/0/0</t>
  </si>
  <si>
    <t>6/2/22/6/0/0</t>
  </si>
  <si>
    <t>3.2/0/13/1/0/0</t>
  </si>
  <si>
    <t>8/0/16/1/0/0</t>
  </si>
  <si>
    <t>6/1/16/1/0/0</t>
  </si>
  <si>
    <t>26/6/00-TOSP+DASH 28/7/00 +TOSP-DASH</t>
  </si>
  <si>
    <t>17/6/00 -TOSP+JEMI 28/7/00 +TOSP-DESH</t>
  </si>
  <si>
    <t>11/8/00-AICO-DAPO+MIHO+DAMO</t>
  </si>
  <si>
    <t>11/8/00 -MABE-DABR+MIHO+JOEL</t>
  </si>
  <si>
    <t>1/12/c/1/2</t>
  </si>
  <si>
    <t>2/18/c*+/0/4.0</t>
  </si>
  <si>
    <t>4/1/c/0/0</t>
  </si>
  <si>
    <t>5/7/c/1/1</t>
  </si>
  <si>
    <t>6/4/c/1/2</t>
  </si>
  <si>
    <t>7/11/c/1/1</t>
  </si>
  <si>
    <t>9/2/b/0/0</t>
  </si>
  <si>
    <t>10/0/lb/0/0</t>
  </si>
  <si>
    <t>6/1/33/1/0/1</t>
  </si>
  <si>
    <t>4/0/25/2/0/0</t>
  </si>
  <si>
    <t>8/3/22/2/0/2</t>
  </si>
  <si>
    <t>8/2/38/1/1/0</t>
  </si>
  <si>
    <t>6/0/30/1/1/0</t>
  </si>
  <si>
    <t>8/0/42/1/1/0</t>
  </si>
  <si>
    <t>1/5/c+/0.2/0</t>
  </si>
  <si>
    <t>2/59/c*/0/7.0</t>
  </si>
  <si>
    <t>3/4/b/1/0</t>
  </si>
  <si>
    <t>4/9/b/1/1</t>
  </si>
  <si>
    <t>5/3/b/0/0</t>
  </si>
  <si>
    <t>6/5/c/1/0</t>
  </si>
  <si>
    <t>7/14/c/0/2</t>
  </si>
  <si>
    <t>8/9/b/0/2</t>
  </si>
  <si>
    <t>9/6/c/0/1</t>
  </si>
  <si>
    <t>11/2/no/0/0</t>
  </si>
  <si>
    <t>4.5/0/25/2/1/0</t>
  </si>
  <si>
    <t>9/3/24/4/0/0</t>
  </si>
  <si>
    <t>6/0/22/0/0/0</t>
  </si>
  <si>
    <t>6/1/19/1/2/0</t>
  </si>
  <si>
    <t>5/0/13/2/0/0</t>
  </si>
  <si>
    <t>2/0/14/0/0/0</t>
  </si>
  <si>
    <t>Rugg K 50, Bowers 4-7</t>
  </si>
  <si>
    <t>Baxter 3-27</t>
  </si>
  <si>
    <t>1/5/b*/0/1</t>
  </si>
  <si>
    <t>2/2/lb/0/0</t>
  </si>
  <si>
    <t>3/18/b/0/2</t>
  </si>
  <si>
    <t>4/4/c+/0.1/0</t>
  </si>
  <si>
    <t>5/6/c/1/0</t>
  </si>
  <si>
    <t>6/25/no/2/0</t>
  </si>
  <si>
    <t>7/20/no/0/1</t>
  </si>
  <si>
    <t>Simmons M</t>
  </si>
  <si>
    <t>12/2/27/2/0/0</t>
  </si>
  <si>
    <t>8/2/15/0/0/0</t>
  </si>
  <si>
    <t>12/3/35/2/0/0</t>
  </si>
  <si>
    <t>4/0/16/0/1/0</t>
  </si>
  <si>
    <t>3.2/1/7/4/0/0</t>
  </si>
  <si>
    <t>7/0/40/2/2/0</t>
  </si>
  <si>
    <t>Apps</t>
  </si>
  <si>
    <t>11/20/c/2/3.0</t>
  </si>
  <si>
    <t>5/2/b/2/0</t>
  </si>
  <si>
    <t>1/31/c+/1.1/2</t>
  </si>
  <si>
    <t>2/20/c/0/2.0</t>
  </si>
  <si>
    <t>3/35/c/1/4.0</t>
  </si>
  <si>
    <t>4/28/b*/0/2.1</t>
  </si>
  <si>
    <t>5/6/c/0/1.0</t>
  </si>
  <si>
    <t>6/30/no/1/1</t>
  </si>
  <si>
    <t>7/15/b/0/2.0</t>
  </si>
  <si>
    <t>8/26/c/1/3.0</t>
  </si>
  <si>
    <t>9/11/b/0/2.0</t>
  </si>
  <si>
    <t>10/0/dnb/2/0</t>
  </si>
  <si>
    <t>Graham</t>
  </si>
  <si>
    <t>Sabine G</t>
  </si>
  <si>
    <t>9/3/21/4/0/0</t>
  </si>
  <si>
    <t>2/0/21/0/3/0</t>
  </si>
  <si>
    <t>9/2/17/1/1/0</t>
  </si>
  <si>
    <t>8/2/16/1/0/0</t>
  </si>
  <si>
    <t>8/3/14/0/0/0</t>
  </si>
  <si>
    <t>9/5/21/3/0/0</t>
  </si>
  <si>
    <t>Woodhouse 35, Leadley 31, Mander N 30*</t>
  </si>
  <si>
    <t>Brocks 4-21, Springer 3-21</t>
  </si>
  <si>
    <t>Leadley 113*, Springer 103*</t>
  </si>
  <si>
    <t>Williams 56, Young 3-28</t>
  </si>
  <si>
    <t>1/113/no+/1.0/20.0</t>
  </si>
  <si>
    <t>3/103/no/1/19.1</t>
  </si>
  <si>
    <t>2/25/c*/0/0</t>
  </si>
  <si>
    <t>4/0/dnb/0/0</t>
  </si>
  <si>
    <t>5/0/dnb/1/0</t>
  </si>
  <si>
    <t>2/0/6/0/1/0</t>
  </si>
  <si>
    <t>6/1/16/2/0/0</t>
  </si>
  <si>
    <t>6/0/28/3/1/0</t>
  </si>
  <si>
    <t>6/0/27/2/3/0</t>
  </si>
  <si>
    <t>1/0/4/1/0/0</t>
  </si>
  <si>
    <t>7/2/14/1/0/0</t>
  </si>
  <si>
    <t>4/0/28/0/1/0</t>
  </si>
  <si>
    <t>Worthy J 2-20</t>
  </si>
  <si>
    <t>Ullah 5-15</t>
  </si>
  <si>
    <t>1/18/rh/1/1.0</t>
  </si>
  <si>
    <t>2/16/b+/0/3.0</t>
  </si>
  <si>
    <t>4/0/b/0/0</t>
  </si>
  <si>
    <t>5/13/c/0/1.0</t>
  </si>
  <si>
    <t>Hogan</t>
  </si>
  <si>
    <t>7/2/b/2/0</t>
  </si>
  <si>
    <t>9/5/b/0/1</t>
  </si>
  <si>
    <t>10/1/c/1/0</t>
  </si>
  <si>
    <t>11/18/no/0/3.0</t>
  </si>
  <si>
    <t>10/6/20/2/0/0</t>
  </si>
  <si>
    <t>6/2/11/0/0/0</t>
  </si>
  <si>
    <t>8/1/33/1/3/4</t>
  </si>
  <si>
    <t>8/1/27/2/1/0</t>
  </si>
  <si>
    <t>4/0/14/1/0/0</t>
  </si>
  <si>
    <t>8/0/b*/1/0</t>
  </si>
  <si>
    <t>Springer 90</t>
  </si>
  <si>
    <t>Cooper 4-13</t>
  </si>
  <si>
    <t>[Cancelled]</t>
  </si>
  <si>
    <t>[Opposition withdrew]</t>
  </si>
  <si>
    <t>Leadley 85, Springer 43</t>
  </si>
  <si>
    <t>1/85/ro+/2.1/7.1</t>
  </si>
  <si>
    <t>3/11/b//0/1</t>
  </si>
  <si>
    <t>4/8/b/0/0</t>
  </si>
  <si>
    <t>5/43/c*/0/7.0</t>
  </si>
  <si>
    <t>6/1/b/0/0</t>
  </si>
  <si>
    <t>7/3/b/0/0</t>
  </si>
  <si>
    <t>8/7/no/0/0</t>
  </si>
  <si>
    <t>9/6/no/0/1.0</t>
  </si>
  <si>
    <t>1/10/c/0/2.0</t>
  </si>
  <si>
    <t>2/8/c/0/2.0</t>
  </si>
  <si>
    <t>3/5/c/1/0</t>
  </si>
  <si>
    <t>4/23/c/0/4.0</t>
  </si>
  <si>
    <t>5/90/c*/1/16.0</t>
  </si>
  <si>
    <t>6/8/c/0/2.0</t>
  </si>
  <si>
    <t>7/24/c/1/5.0</t>
  </si>
  <si>
    <t>8/7/c+/1.2/1.0</t>
  </si>
  <si>
    <t>9/0/b/0/0</t>
  </si>
  <si>
    <t>10/0/no/1/0</t>
  </si>
  <si>
    <t>8/2/13/4/0/0</t>
  </si>
  <si>
    <t>2/1/2/0/0/2</t>
  </si>
  <si>
    <t>3.1/0/20/1/4/1</t>
  </si>
  <si>
    <t>8/0/25/2/2/0</t>
  </si>
  <si>
    <t>8/1/28/2/5/0</t>
  </si>
  <si>
    <t>10/1/27/2/1/1</t>
  </si>
  <si>
    <t>12/2/54/2/5/0</t>
  </si>
  <si>
    <t>6/0/33/1/0/0</t>
  </si>
  <si>
    <t>12/1/33/1/1/0</t>
  </si>
  <si>
    <t>5/0/22/1/0/0</t>
  </si>
  <si>
    <t>20/6/00-JACR+PAOA 4/9/00-DESH+JOEL</t>
  </si>
  <si>
    <t>4/9/00-DACO-MICL+MIBO+PAOA</t>
  </si>
  <si>
    <t>Table to September 3</t>
  </si>
  <si>
    <t>Mander N 64*, Woodhouse 26</t>
  </si>
  <si>
    <t>Baxter 96, Bishop 42</t>
  </si>
  <si>
    <t>1/18/c+/0.1/2.0</t>
  </si>
  <si>
    <t>2/26/c*/0/1.0</t>
  </si>
  <si>
    <t>3/14/c/1/2.1</t>
  </si>
  <si>
    <t>4/64/no/0/9.1</t>
  </si>
  <si>
    <t>6/21/no/0/2.0</t>
  </si>
  <si>
    <t>2/0/11/1/0/0</t>
  </si>
  <si>
    <t>0.2/0/8/0/0/0</t>
  </si>
  <si>
    <t>7/1/46/1/2/0</t>
  </si>
  <si>
    <t>7/1/21/0/0/0</t>
  </si>
  <si>
    <t>6/1/24/0/0/0</t>
  </si>
  <si>
    <t>4/0/43/0/1/0</t>
  </si>
  <si>
    <t>T</t>
  </si>
  <si>
    <t>Morris 3-17</t>
  </si>
  <si>
    <t>Springer 32, D Shivmangle 4-29</t>
  </si>
  <si>
    <t>D Shivmangle 38, Mander A 4-1</t>
  </si>
  <si>
    <t>1/20/b/0/1.0</t>
  </si>
  <si>
    <t>2/8/c+/5.0/2.0</t>
  </si>
  <si>
    <t>3/1/st/2/0</t>
  </si>
  <si>
    <t>4/9/b/0/2.0</t>
  </si>
  <si>
    <t>5/0/st/0/0</t>
  </si>
  <si>
    <t>6/0/b/1/0</t>
  </si>
  <si>
    <t>7/32/c*/0/3.1</t>
  </si>
  <si>
    <t>9/3/no/0/0</t>
  </si>
  <si>
    <t>10/10/b/0/2.0</t>
  </si>
  <si>
    <t>11/2/ro/1/0</t>
  </si>
  <si>
    <t>1/9/c/0/0</t>
  </si>
  <si>
    <t>2/19/b/0/1.0</t>
  </si>
  <si>
    <t>3/4/b/0/1.0</t>
  </si>
  <si>
    <t>4/15/c*/1/3.0</t>
  </si>
  <si>
    <t>5/8/b/1/1.0</t>
  </si>
  <si>
    <t>6/8/no/1/2.0</t>
  </si>
  <si>
    <t>7/18/no+/2.1/3.0</t>
  </si>
  <si>
    <t>2/0/3/0/0/0</t>
  </si>
  <si>
    <t>6/1/33/2/0/0</t>
  </si>
  <si>
    <t>1.4/0/5/1/0/0</t>
  </si>
  <si>
    <t>6/0/32/2/0/0</t>
  </si>
  <si>
    <t>7/2/13/1/0/0</t>
  </si>
  <si>
    <t>6/3/13/0/4/0</t>
  </si>
  <si>
    <t>8/3/30/1/0/0</t>
  </si>
  <si>
    <t>8/2/15/2/2/0</t>
  </si>
  <si>
    <t>3/1/6/1/0/0</t>
  </si>
  <si>
    <t>7/6/1/4/0/0</t>
  </si>
  <si>
    <t>6/1/17/3/4/0</t>
  </si>
  <si>
    <t>2.3/1/4/2/0/0</t>
  </si>
  <si>
    <t>13/9/00 -JEMI-NIBA+MIHO+MIBO</t>
  </si>
  <si>
    <t>Mander N 4-3</t>
  </si>
  <si>
    <t>Springer 24*</t>
  </si>
  <si>
    <t>1/4/b*/0/0</t>
  </si>
  <si>
    <t>2/4/b/0/0/0</t>
  </si>
  <si>
    <t>4/3/c/1/0</t>
  </si>
  <si>
    <t>5/3/no+/1.0/0</t>
  </si>
  <si>
    <t>7/24/no/2/5.0</t>
  </si>
  <si>
    <t>4/0/20/1/4/0</t>
  </si>
  <si>
    <t>1/0/3/1/2/0</t>
  </si>
  <si>
    <t>5/2/3/4/0/1</t>
  </si>
  <si>
    <t>5/4/1/2/0/0</t>
  </si>
  <si>
    <t>4.2/0/17/2/2/0</t>
  </si>
  <si>
    <t>[No play - Rain]</t>
  </si>
  <si>
    <t>Carshalton &amp; Croydon Gas</t>
  </si>
  <si>
    <t>Cooper 3-33</t>
  </si>
  <si>
    <t>Springer 32, Jones 5-12</t>
  </si>
  <si>
    <t>1/3/c*/0/0</t>
  </si>
  <si>
    <t>2/4/c/0/0</t>
  </si>
  <si>
    <t>3/32/b/0/6.1</t>
  </si>
  <si>
    <t>4/12/b/0/1.0</t>
  </si>
  <si>
    <t>5/5/c/0/1</t>
  </si>
  <si>
    <t>6/0/c+/0.1/0</t>
  </si>
  <si>
    <t>7/4/no/3/0</t>
  </si>
  <si>
    <t>8/0/c/0/0</t>
  </si>
  <si>
    <t>9/12/c/0/0</t>
  </si>
  <si>
    <t>10/1/b/1/0</t>
  </si>
  <si>
    <t>9/2/33/3/0/0</t>
  </si>
  <si>
    <t>7/2/13/0/1/0</t>
  </si>
  <si>
    <t>9/2/27/1/1/0</t>
  </si>
  <si>
    <t>6/0/30/1/0/0</t>
  </si>
  <si>
    <t>11/1/36/0/1/0</t>
  </si>
  <si>
    <t>2/0/19/0/0/0</t>
  </si>
  <si>
    <t>Parker 50</t>
  </si>
  <si>
    <t>May 4-15</t>
  </si>
  <si>
    <t>x-Check TOCC overs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</si>
</sst>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Red]0;0;0"/>
  </numFmts>
  <fonts count="20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i/>
      <sz val="8"/>
      <name val="Verdana"/>
      <family val="2"/>
    </font>
    <font>
      <b/>
      <sz val="8"/>
      <color indexed="9"/>
      <name val="Verdana"/>
      <family val="2"/>
    </font>
    <font>
      <b/>
      <sz val="8"/>
      <color indexed="9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30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164" fontId="7" fillId="0" borderId="2" xfId="0" applyNumberFormat="1" applyFont="1" applyBorder="1" applyAlignment="1">
      <alignment horizontal="center"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" fontId="10" fillId="0" borderId="0" xfId="0" applyNumberFormat="1" applyFont="1">
      <alignment vertical="top"/>
    </xf>
    <xf numFmtId="0" fontId="10" fillId="0" borderId="0" xfId="0" quotePrefix="1" applyFont="1">
      <alignment vertical="top"/>
    </xf>
    <xf numFmtId="2" fontId="10" fillId="0" borderId="0" xfId="0" applyNumberFormat="1" applyFont="1">
      <alignment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7" fillId="0" borderId="0" xfId="0" applyFont="1" applyFill="1">
      <alignment vertical="top"/>
    </xf>
    <xf numFmtId="165" fontId="7" fillId="0" borderId="2" xfId="0" applyNumberFormat="1" applyFont="1" applyBorder="1" applyAlignment="1">
      <alignment vertical="top" wrapText="1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0" fontId="7" fillId="0" borderId="2" xfId="0" applyFont="1" applyBorder="1" applyAlignment="1">
      <alignment horizontal="lef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13" fillId="3" borderId="9" xfId="0" applyFont="1" applyFill="1" applyBorder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14" fillId="0" borderId="2" xfId="0" applyFont="1" applyBorder="1" applyAlignment="1">
      <alignment vertical="top" wrapText="1"/>
    </xf>
    <xf numFmtId="168" fontId="10" fillId="0" borderId="0" xfId="0" applyNumberFormat="1" applyFont="1">
      <alignment vertical="top"/>
    </xf>
    <xf numFmtId="0" fontId="15" fillId="7" borderId="4" xfId="0" applyFont="1" applyFill="1" applyBorder="1" applyAlignment="1">
      <alignment horizontal="center" vertical="top" wrapText="1"/>
    </xf>
    <xf numFmtId="15" fontId="15" fillId="7" borderId="4" xfId="0" applyNumberFormat="1" applyFont="1" applyFill="1" applyBorder="1" applyAlignment="1">
      <alignment horizontal="center" vertical="top" wrapText="1"/>
    </xf>
    <xf numFmtId="0" fontId="15" fillId="7" borderId="4" xfId="0" applyFont="1" applyFill="1" applyBorder="1" applyAlignment="1">
      <alignment vertical="top" wrapText="1"/>
    </xf>
    <xf numFmtId="0" fontId="15" fillId="7" borderId="4" xfId="0" applyFont="1" applyFill="1" applyBorder="1" applyAlignment="1">
      <alignment horizontal="left" vertical="top" wrapText="1"/>
    </xf>
    <xf numFmtId="0" fontId="15" fillId="7" borderId="4" xfId="0" applyFont="1" applyFill="1" applyBorder="1" applyAlignment="1">
      <alignment horizontal="right" vertical="top" wrapText="1"/>
    </xf>
    <xf numFmtId="0" fontId="16" fillId="7" borderId="4" xfId="0" applyFont="1" applyFill="1" applyBorder="1" applyAlignment="1">
      <alignment horizontal="right" vertical="top" wrapText="1"/>
    </xf>
    <xf numFmtId="0" fontId="7" fillId="0" borderId="0" xfId="0" applyFo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9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38" fontId="5" fillId="0" borderId="0" xfId="0" applyNumberFormat="1" applyFont="1" applyAlignment="1">
      <alignment horizontal="center" vertical="top"/>
    </xf>
    <xf numFmtId="0" fontId="0" fillId="0" borderId="2" xfId="0" applyFont="1" applyBorder="1" applyAlignment="1">
      <alignment horizontal="center" vertical="top"/>
    </xf>
  </cellXfs>
  <cellStyles count="2">
    <cellStyle name="Normal" xfId="0" builtinId="0"/>
    <cellStyle name="Percent" xfId="1" builtinId="5"/>
  </cellStyles>
  <dxfs count="5"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60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67"/>
  <sheetViews>
    <sheetView tabSelected="1" workbookViewId="0">
      <pane xSplit="3" ySplit="4" topLeftCell="D5" activePane="bottomRight" state="frozenSplit"/>
      <selection pane="topRight" activeCell="C1" sqref="C1"/>
      <selection pane="bottomLeft" activeCell="K43" sqref="K43"/>
      <selection pane="bottomRight" activeCell="D49" sqref="D49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111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6.8554687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26" s="22" customFormat="1" ht="12.75" x14ac:dyDescent="0.15">
      <c r="A1" s="126" t="s">
        <v>288</v>
      </c>
      <c r="B1" s="29"/>
      <c r="C1" s="39" t="str">
        <f t="array" ref="C1">"Won:"&amp;SUM(IF($E$5:$E$67="W",1,0))</f>
        <v>Won:16</v>
      </c>
      <c r="D1" s="125" t="str">
        <f t="array" ref="D1">"N/D:"&amp;SUM(IF($E$5:$E$67="ND",1,0))</f>
        <v>N/D:0</v>
      </c>
      <c r="E1" s="30"/>
      <c r="F1" s="30"/>
      <c r="H1" s="65"/>
      <c r="J1" s="112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26" s="45" customFormat="1" x14ac:dyDescent="0.15">
      <c r="A2" s="40"/>
      <c r="B2" s="41"/>
      <c r="C2" s="39" t="str">
        <f t="array" ref="C2">"Lost:"&amp;SUM(IF($E$5:$E$67="L",1,0))</f>
        <v>Lost:8</v>
      </c>
      <c r="D2" s="66" t="str">
        <f t="array" ref="D2">"Tied:"&amp;SUM(IF($E$5:$E$67="T",1,0))</f>
        <v>Tied:1</v>
      </c>
      <c r="E2" s="42"/>
      <c r="F2" s="42"/>
      <c r="G2" s="64"/>
      <c r="H2" s="66"/>
      <c r="J2" s="113"/>
      <c r="K2" s="40"/>
      <c r="L2" s="42"/>
      <c r="M2" s="42"/>
      <c r="N2" s="43"/>
      <c r="O2" s="43"/>
      <c r="P2" s="43"/>
      <c r="Q2" s="44"/>
      <c r="R2" s="44"/>
      <c r="S2" s="44"/>
      <c r="T2" s="44"/>
      <c r="U2" s="44"/>
      <c r="V2" s="44"/>
      <c r="W2" s="44"/>
      <c r="X2" s="44"/>
    </row>
    <row r="3" spans="1:26" s="45" customFormat="1" ht="12" thickBot="1" x14ac:dyDescent="0.2">
      <c r="A3" s="40"/>
      <c r="B3" s="41"/>
      <c r="C3" s="39" t="str">
        <f t="array" ref="C3">"Drawn:"&amp;SUM(IF($E$5:$E$67="D",1,0))</f>
        <v>Drawn:9</v>
      </c>
      <c r="D3" s="42"/>
      <c r="E3" s="42"/>
      <c r="F3" s="42"/>
      <c r="G3" s="40"/>
      <c r="H3" s="42"/>
      <c r="I3" s="40"/>
      <c r="J3" s="108"/>
      <c r="K3" s="40"/>
      <c r="L3" s="42"/>
      <c r="M3" s="42"/>
      <c r="N3" s="43"/>
      <c r="O3" s="43"/>
      <c r="P3" s="43"/>
      <c r="Q3" s="44"/>
      <c r="R3" s="44"/>
      <c r="S3" s="44"/>
      <c r="T3" s="44"/>
      <c r="U3" s="44"/>
      <c r="V3" s="44"/>
      <c r="W3" s="44"/>
      <c r="X3" s="44"/>
    </row>
    <row r="4" spans="1:26" s="46" customFormat="1" ht="23.25" thickBot="1" x14ac:dyDescent="0.2">
      <c r="A4" s="117" t="s">
        <v>166</v>
      </c>
      <c r="B4" s="118" t="s">
        <v>0</v>
      </c>
      <c r="C4" s="119" t="s">
        <v>1</v>
      </c>
      <c r="D4" s="117" t="s">
        <v>2</v>
      </c>
      <c r="E4" s="117" t="s">
        <v>3</v>
      </c>
      <c r="F4" s="117" t="s">
        <v>231</v>
      </c>
      <c r="G4" s="119" t="s">
        <v>9</v>
      </c>
      <c r="H4" s="117" t="s">
        <v>51</v>
      </c>
      <c r="I4" s="117" t="s">
        <v>139</v>
      </c>
      <c r="J4" s="120"/>
      <c r="K4" s="119" t="s">
        <v>9</v>
      </c>
      <c r="L4" s="117" t="s">
        <v>51</v>
      </c>
      <c r="M4" s="117" t="s">
        <v>139</v>
      </c>
      <c r="N4" s="119"/>
      <c r="O4" s="119" t="s">
        <v>219</v>
      </c>
      <c r="P4" s="119" t="s">
        <v>220</v>
      </c>
      <c r="Q4" s="119" t="s">
        <v>141</v>
      </c>
      <c r="R4" s="121" t="s">
        <v>142</v>
      </c>
      <c r="S4" s="121" t="s">
        <v>143</v>
      </c>
      <c r="T4" s="121" t="s">
        <v>144</v>
      </c>
      <c r="U4" s="121" t="s">
        <v>145</v>
      </c>
      <c r="V4" s="121" t="s">
        <v>146</v>
      </c>
      <c r="W4" s="121" t="s">
        <v>147</v>
      </c>
      <c r="X4" s="121" t="s">
        <v>148</v>
      </c>
      <c r="Y4" s="122" t="s">
        <v>155</v>
      </c>
      <c r="Z4" s="122" t="s">
        <v>156</v>
      </c>
    </row>
    <row r="5" spans="1:26" s="22" customFormat="1" x14ac:dyDescent="0.15">
      <c r="A5" s="63" t="str">
        <f t="shared" ref="A5:A59" si="0">TEXT(WEEKDAY(B5),"ddd")</f>
        <v>Sun</v>
      </c>
      <c r="B5" s="29">
        <v>36646</v>
      </c>
      <c r="C5" s="31" t="s">
        <v>313</v>
      </c>
      <c r="D5" s="30" t="s">
        <v>314</v>
      </c>
      <c r="F5" s="30"/>
      <c r="G5" s="28"/>
      <c r="H5" s="30"/>
      <c r="I5" s="30"/>
      <c r="J5" s="103" t="s">
        <v>315</v>
      </c>
      <c r="K5" s="28"/>
      <c r="L5" s="30"/>
      <c r="M5" s="30"/>
      <c r="N5" s="31"/>
      <c r="O5" s="94"/>
      <c r="P5" s="94"/>
      <c r="Q5" s="32">
        <v>0</v>
      </c>
      <c r="R5" s="32">
        <v>0</v>
      </c>
      <c r="S5" s="32">
        <v>0</v>
      </c>
      <c r="T5" s="32">
        <v>0</v>
      </c>
      <c r="U5" s="32">
        <v>0</v>
      </c>
      <c r="V5" s="32">
        <v>0</v>
      </c>
      <c r="W5" s="32">
        <v>0</v>
      </c>
      <c r="X5" s="32">
        <v>0</v>
      </c>
      <c r="Y5" s="22">
        <f>SUM(Q5:T5)</f>
        <v>0</v>
      </c>
      <c r="Z5" s="22">
        <f>SUM(U5:X5)</f>
        <v>0</v>
      </c>
    </row>
    <row r="6" spans="1:26" s="51" customFormat="1" x14ac:dyDescent="0.15">
      <c r="A6" s="63" t="str">
        <f>TEXT(WEEKDAY(B6),"ddd")</f>
        <v>Sat</v>
      </c>
      <c r="B6" s="29">
        <v>36652</v>
      </c>
      <c r="C6" s="31" t="s">
        <v>316</v>
      </c>
      <c r="D6" s="30" t="s">
        <v>314</v>
      </c>
      <c r="E6" s="30" t="s">
        <v>317</v>
      </c>
      <c r="F6" s="30" t="s">
        <v>318</v>
      </c>
      <c r="G6" s="28">
        <v>162</v>
      </c>
      <c r="H6" s="30">
        <v>6</v>
      </c>
      <c r="I6" s="30"/>
      <c r="J6" s="109" t="s">
        <v>319</v>
      </c>
      <c r="K6" s="28">
        <v>102</v>
      </c>
      <c r="L6" s="30">
        <v>9</v>
      </c>
      <c r="M6" s="30"/>
      <c r="N6" s="31" t="s">
        <v>320</v>
      </c>
      <c r="O6" s="94">
        <v>38</v>
      </c>
      <c r="P6" s="94">
        <v>41</v>
      </c>
      <c r="Q6" s="32">
        <v>3</v>
      </c>
      <c r="R6" s="32">
        <v>0</v>
      </c>
      <c r="S6" s="32">
        <v>12</v>
      </c>
      <c r="T6" s="32">
        <v>1</v>
      </c>
      <c r="U6" s="32">
        <v>2</v>
      </c>
      <c r="V6" s="32">
        <v>3</v>
      </c>
      <c r="W6" s="32">
        <v>1</v>
      </c>
      <c r="X6" s="32">
        <v>1</v>
      </c>
      <c r="Y6" s="22">
        <f t="shared" ref="Y6:Y59" si="1">SUM(Q6:T6)</f>
        <v>16</v>
      </c>
      <c r="Z6" s="22">
        <f t="shared" ref="Z6:Z59" si="2">SUM(U6:X6)</f>
        <v>7</v>
      </c>
    </row>
    <row r="7" spans="1:26" s="45" customFormat="1" ht="21" x14ac:dyDescent="0.15">
      <c r="A7" s="63" t="str">
        <f t="shared" si="0"/>
        <v>Sun</v>
      </c>
      <c r="B7" s="29">
        <v>36653</v>
      </c>
      <c r="C7" s="31" t="s">
        <v>347</v>
      </c>
      <c r="D7" s="30" t="s">
        <v>314</v>
      </c>
      <c r="F7" s="30"/>
      <c r="G7" s="28"/>
      <c r="H7" s="30"/>
      <c r="I7" s="30"/>
      <c r="J7" s="103" t="s">
        <v>348</v>
      </c>
      <c r="K7" s="28"/>
      <c r="L7" s="30"/>
      <c r="M7" s="30"/>
      <c r="N7" s="31"/>
      <c r="O7" s="94"/>
      <c r="P7" s="94"/>
      <c r="Q7" s="32">
        <v>0</v>
      </c>
      <c r="R7" s="32">
        <v>0</v>
      </c>
      <c r="S7" s="32">
        <v>0</v>
      </c>
      <c r="T7" s="32">
        <v>0</v>
      </c>
      <c r="U7" s="32">
        <v>0</v>
      </c>
      <c r="V7" s="32">
        <v>0</v>
      </c>
      <c r="W7" s="32">
        <v>0</v>
      </c>
      <c r="X7" s="32">
        <v>0</v>
      </c>
      <c r="Y7" s="22">
        <f t="shared" si="1"/>
        <v>0</v>
      </c>
      <c r="Z7" s="22">
        <f t="shared" si="2"/>
        <v>0</v>
      </c>
    </row>
    <row r="8" spans="1:26" s="51" customFormat="1" x14ac:dyDescent="0.15">
      <c r="A8" s="63" t="str">
        <f t="shared" si="0"/>
        <v>Sat</v>
      </c>
      <c r="B8" s="29">
        <v>36659</v>
      </c>
      <c r="C8" s="31" t="s">
        <v>349</v>
      </c>
      <c r="D8" s="30" t="s">
        <v>314</v>
      </c>
      <c r="E8" s="30" t="s">
        <v>350</v>
      </c>
      <c r="F8" s="30" t="s">
        <v>318</v>
      </c>
      <c r="G8" s="28">
        <v>190</v>
      </c>
      <c r="H8" s="30">
        <v>6</v>
      </c>
      <c r="I8" s="30"/>
      <c r="J8" s="109" t="s">
        <v>351</v>
      </c>
      <c r="K8" s="28">
        <v>102</v>
      </c>
      <c r="L8" s="30">
        <v>8</v>
      </c>
      <c r="M8" s="30"/>
      <c r="N8" s="31" t="s">
        <v>352</v>
      </c>
      <c r="O8" s="94">
        <v>39</v>
      </c>
      <c r="P8" s="94">
        <v>33.200000000000003</v>
      </c>
      <c r="Q8" s="32">
        <v>7</v>
      </c>
      <c r="R8" s="32">
        <v>1</v>
      </c>
      <c r="S8" s="32">
        <v>0</v>
      </c>
      <c r="T8" s="32">
        <v>0</v>
      </c>
      <c r="U8" s="32">
        <v>10</v>
      </c>
      <c r="V8" s="32">
        <v>0</v>
      </c>
      <c r="W8" s="32">
        <v>10</v>
      </c>
      <c r="X8" s="32">
        <v>3</v>
      </c>
      <c r="Y8" s="22">
        <f t="shared" si="1"/>
        <v>8</v>
      </c>
      <c r="Z8" s="22">
        <f t="shared" si="2"/>
        <v>23</v>
      </c>
    </row>
    <row r="9" spans="1:26" s="45" customFormat="1" x14ac:dyDescent="0.15">
      <c r="A9" s="63" t="str">
        <f t="shared" si="0"/>
        <v>Sun</v>
      </c>
      <c r="B9" s="29">
        <v>36660</v>
      </c>
      <c r="C9" s="31" t="s">
        <v>403</v>
      </c>
      <c r="D9" s="30" t="s">
        <v>384</v>
      </c>
      <c r="E9" s="30" t="s">
        <v>317</v>
      </c>
      <c r="F9" s="30" t="s">
        <v>318</v>
      </c>
      <c r="G9" s="28">
        <v>108</v>
      </c>
      <c r="H9" s="30">
        <v>10</v>
      </c>
      <c r="I9" s="30"/>
      <c r="J9" s="109" t="s">
        <v>425</v>
      </c>
      <c r="K9" s="28">
        <v>79</v>
      </c>
      <c r="L9" s="30">
        <v>9</v>
      </c>
      <c r="M9" s="30"/>
      <c r="N9" s="31"/>
      <c r="O9" s="94">
        <v>42.4</v>
      </c>
      <c r="P9" s="94">
        <v>38</v>
      </c>
      <c r="Q9" s="32">
        <v>11</v>
      </c>
      <c r="R9" s="32">
        <v>1</v>
      </c>
      <c r="S9" s="32">
        <v>8</v>
      </c>
      <c r="T9" s="32">
        <v>3</v>
      </c>
      <c r="U9" s="32">
        <v>6</v>
      </c>
      <c r="V9" s="32">
        <v>0</v>
      </c>
      <c r="W9" s="32">
        <v>12</v>
      </c>
      <c r="X9" s="32">
        <v>0</v>
      </c>
      <c r="Y9" s="22">
        <f t="shared" si="1"/>
        <v>23</v>
      </c>
      <c r="Z9" s="22">
        <f t="shared" si="2"/>
        <v>18</v>
      </c>
    </row>
    <row r="10" spans="1:26" x14ac:dyDescent="0.15">
      <c r="A10" s="63" t="str">
        <f t="shared" si="0"/>
        <v>Sat</v>
      </c>
      <c r="B10" s="29">
        <v>36666</v>
      </c>
      <c r="C10" s="31" t="s">
        <v>383</v>
      </c>
      <c r="D10" s="30" t="s">
        <v>384</v>
      </c>
      <c r="E10" s="30" t="s">
        <v>385</v>
      </c>
      <c r="F10" s="30" t="s">
        <v>1</v>
      </c>
      <c r="G10" s="28">
        <v>97</v>
      </c>
      <c r="H10" s="30">
        <v>10</v>
      </c>
      <c r="I10" s="30"/>
      <c r="J10" s="109" t="s">
        <v>386</v>
      </c>
      <c r="K10" s="28">
        <v>44</v>
      </c>
      <c r="L10" s="30">
        <v>10</v>
      </c>
      <c r="M10" s="30"/>
      <c r="N10" s="31" t="s">
        <v>387</v>
      </c>
      <c r="O10" s="94">
        <v>22.4</v>
      </c>
      <c r="P10" s="94">
        <v>38</v>
      </c>
      <c r="Q10" s="32">
        <v>2</v>
      </c>
      <c r="R10" s="32">
        <v>0</v>
      </c>
      <c r="S10" s="32">
        <v>3</v>
      </c>
      <c r="T10" s="32">
        <v>1</v>
      </c>
      <c r="U10" s="32">
        <v>7</v>
      </c>
      <c r="V10" s="32">
        <v>1</v>
      </c>
      <c r="W10" s="32">
        <v>3</v>
      </c>
      <c r="X10" s="32">
        <v>0</v>
      </c>
      <c r="Y10" s="22">
        <f t="shared" si="1"/>
        <v>6</v>
      </c>
      <c r="Z10" s="22">
        <f t="shared" si="2"/>
        <v>11</v>
      </c>
    </row>
    <row r="11" spans="1:26" x14ac:dyDescent="0.15">
      <c r="A11" s="63" t="str">
        <f t="shared" si="0"/>
        <v>Sun</v>
      </c>
      <c r="B11" s="29">
        <v>36667</v>
      </c>
      <c r="C11" s="31" t="s">
        <v>404</v>
      </c>
      <c r="D11" s="30" t="s">
        <v>314</v>
      </c>
      <c r="F11" s="30"/>
      <c r="G11" s="28"/>
      <c r="H11" s="30"/>
      <c r="I11" s="30"/>
      <c r="J11" s="103" t="s">
        <v>315</v>
      </c>
      <c r="K11" s="28"/>
      <c r="L11" s="30"/>
      <c r="M11" s="30"/>
      <c r="N11" s="31"/>
      <c r="O11" s="94"/>
      <c r="P11" s="94"/>
      <c r="Q11" s="32">
        <v>0</v>
      </c>
      <c r="R11" s="32">
        <v>0</v>
      </c>
      <c r="S11" s="32">
        <v>0</v>
      </c>
      <c r="T11" s="32">
        <v>0</v>
      </c>
      <c r="U11" s="32">
        <v>0</v>
      </c>
      <c r="V11" s="32">
        <v>0</v>
      </c>
      <c r="W11" s="32">
        <v>0</v>
      </c>
      <c r="X11" s="32">
        <v>0</v>
      </c>
      <c r="Y11" s="22">
        <f t="shared" si="1"/>
        <v>0</v>
      </c>
      <c r="Z11" s="22">
        <f t="shared" si="2"/>
        <v>0</v>
      </c>
    </row>
    <row r="12" spans="1:26" x14ac:dyDescent="0.15">
      <c r="A12" s="63" t="str">
        <f t="shared" si="0"/>
        <v>Sun</v>
      </c>
      <c r="B12" s="29">
        <v>36674</v>
      </c>
      <c r="C12" s="31" t="s">
        <v>405</v>
      </c>
      <c r="D12" s="30" t="s">
        <v>384</v>
      </c>
      <c r="E12" s="30" t="s">
        <v>350</v>
      </c>
      <c r="F12" s="30" t="s">
        <v>318</v>
      </c>
      <c r="G12" s="28">
        <v>156</v>
      </c>
      <c r="H12" s="30">
        <v>4</v>
      </c>
      <c r="I12" s="30"/>
      <c r="J12" s="109" t="s">
        <v>443</v>
      </c>
      <c r="K12" s="28">
        <v>78</v>
      </c>
      <c r="L12" s="30">
        <v>9</v>
      </c>
      <c r="M12" s="30"/>
      <c r="N12" s="31" t="s">
        <v>444</v>
      </c>
      <c r="O12" s="94">
        <v>30</v>
      </c>
      <c r="P12" s="94">
        <v>30</v>
      </c>
      <c r="Q12" s="32">
        <v>13</v>
      </c>
      <c r="R12" s="32">
        <v>1</v>
      </c>
      <c r="S12" s="32">
        <v>3</v>
      </c>
      <c r="T12" s="32">
        <v>3</v>
      </c>
      <c r="U12" s="32">
        <v>8</v>
      </c>
      <c r="V12" s="32">
        <v>1</v>
      </c>
      <c r="W12" s="32">
        <v>5</v>
      </c>
      <c r="X12" s="32">
        <v>1</v>
      </c>
      <c r="Y12" s="22">
        <f t="shared" si="1"/>
        <v>20</v>
      </c>
      <c r="Z12" s="22">
        <f t="shared" si="2"/>
        <v>15</v>
      </c>
    </row>
    <row r="13" spans="1:26" x14ac:dyDescent="0.15">
      <c r="A13" s="63" t="str">
        <f t="shared" si="0"/>
        <v>Mon</v>
      </c>
      <c r="B13" s="29">
        <v>36675</v>
      </c>
      <c r="C13" s="31" t="s">
        <v>406</v>
      </c>
      <c r="D13" s="30" t="s">
        <v>384</v>
      </c>
      <c r="E13" s="30" t="s">
        <v>350</v>
      </c>
      <c r="F13" s="30" t="s">
        <v>1</v>
      </c>
      <c r="G13" s="28">
        <v>145</v>
      </c>
      <c r="H13" s="30">
        <v>8</v>
      </c>
      <c r="I13" s="30"/>
      <c r="J13" s="109" t="s">
        <v>445</v>
      </c>
      <c r="K13" s="28">
        <v>146</v>
      </c>
      <c r="L13" s="30">
        <v>6</v>
      </c>
      <c r="M13" s="30"/>
      <c r="N13" s="31" t="s">
        <v>446</v>
      </c>
      <c r="O13" s="94">
        <v>29.1</v>
      </c>
      <c r="P13" s="94">
        <v>40</v>
      </c>
      <c r="Q13" s="32">
        <v>5</v>
      </c>
      <c r="R13" s="32">
        <v>4</v>
      </c>
      <c r="S13" s="32">
        <v>9</v>
      </c>
      <c r="T13" s="32">
        <v>4</v>
      </c>
      <c r="U13" s="32">
        <v>0</v>
      </c>
      <c r="V13" s="32">
        <v>2</v>
      </c>
      <c r="W13" s="32">
        <v>3</v>
      </c>
      <c r="X13" s="32">
        <v>5</v>
      </c>
      <c r="Y13" s="22">
        <f t="shared" si="1"/>
        <v>22</v>
      </c>
      <c r="Z13" s="22">
        <f t="shared" si="2"/>
        <v>10</v>
      </c>
    </row>
    <row r="14" spans="1:26" x14ac:dyDescent="0.15">
      <c r="A14" s="63" t="str">
        <f t="shared" si="0"/>
        <v>Tue</v>
      </c>
      <c r="B14" s="29">
        <v>36676</v>
      </c>
      <c r="C14" s="31" t="s">
        <v>407</v>
      </c>
      <c r="D14" s="30" t="s">
        <v>384</v>
      </c>
      <c r="E14" s="30" t="s">
        <v>317</v>
      </c>
      <c r="F14" s="30" t="s">
        <v>318</v>
      </c>
      <c r="G14" s="28">
        <v>208</v>
      </c>
      <c r="H14" s="30">
        <v>2</v>
      </c>
      <c r="I14" s="30"/>
      <c r="J14" s="109" t="s">
        <v>447</v>
      </c>
      <c r="K14" s="28">
        <v>200</v>
      </c>
      <c r="L14" s="30">
        <v>5</v>
      </c>
      <c r="M14" s="30"/>
      <c r="N14" s="31" t="s">
        <v>448</v>
      </c>
      <c r="O14" s="94">
        <v>40</v>
      </c>
      <c r="P14" s="94">
        <v>45</v>
      </c>
      <c r="Q14" s="32">
        <v>9</v>
      </c>
      <c r="R14" s="32">
        <v>0</v>
      </c>
      <c r="S14" s="32">
        <v>2</v>
      </c>
      <c r="T14" s="32">
        <v>6</v>
      </c>
      <c r="U14" s="32">
        <v>14</v>
      </c>
      <c r="V14" s="32">
        <v>1</v>
      </c>
      <c r="W14" s="32">
        <v>1</v>
      </c>
      <c r="X14" s="32">
        <v>2</v>
      </c>
      <c r="Y14" s="22">
        <f t="shared" si="1"/>
        <v>17</v>
      </c>
      <c r="Z14" s="22">
        <f t="shared" si="2"/>
        <v>18</v>
      </c>
    </row>
    <row r="15" spans="1:26" x14ac:dyDescent="0.15">
      <c r="A15" s="63" t="str">
        <f t="shared" si="0"/>
        <v>Sat</v>
      </c>
      <c r="B15" s="29">
        <v>36680</v>
      </c>
      <c r="C15" s="31" t="s">
        <v>408</v>
      </c>
      <c r="D15" s="30" t="s">
        <v>314</v>
      </c>
      <c r="E15" s="30" t="s">
        <v>317</v>
      </c>
      <c r="F15" s="30" t="s">
        <v>1</v>
      </c>
      <c r="G15" s="28">
        <v>154</v>
      </c>
      <c r="H15" s="30">
        <v>9</v>
      </c>
      <c r="I15" s="30"/>
      <c r="J15" s="109" t="s">
        <v>495</v>
      </c>
      <c r="K15" s="28">
        <v>131</v>
      </c>
      <c r="L15" s="30">
        <v>9</v>
      </c>
      <c r="M15" s="30"/>
      <c r="N15" s="31" t="s">
        <v>496</v>
      </c>
      <c r="O15" s="94">
        <v>38</v>
      </c>
      <c r="P15" s="94">
        <v>47.4</v>
      </c>
      <c r="Q15" s="32">
        <v>4</v>
      </c>
      <c r="R15" s="32">
        <v>0</v>
      </c>
      <c r="S15" s="32">
        <v>1</v>
      </c>
      <c r="T15" s="32">
        <v>0</v>
      </c>
      <c r="U15" s="32">
        <v>10</v>
      </c>
      <c r="V15" s="32">
        <v>1</v>
      </c>
      <c r="W15" s="32">
        <v>5</v>
      </c>
      <c r="X15" s="32">
        <v>8</v>
      </c>
      <c r="Y15" s="22">
        <f t="shared" si="1"/>
        <v>5</v>
      </c>
      <c r="Z15" s="22">
        <f t="shared" si="2"/>
        <v>24</v>
      </c>
    </row>
    <row r="16" spans="1:26" x14ac:dyDescent="0.15">
      <c r="A16" s="63" t="str">
        <f t="shared" si="0"/>
        <v>Sun</v>
      </c>
      <c r="B16" s="29">
        <v>36681</v>
      </c>
      <c r="C16" s="31" t="s">
        <v>418</v>
      </c>
      <c r="D16" s="30" t="s">
        <v>314</v>
      </c>
      <c r="E16" s="30" t="s">
        <v>350</v>
      </c>
      <c r="F16" s="30" t="s">
        <v>1</v>
      </c>
      <c r="G16" s="28">
        <v>81</v>
      </c>
      <c r="H16" s="30">
        <v>9</v>
      </c>
      <c r="I16" s="30"/>
      <c r="J16" s="109" t="s">
        <v>554</v>
      </c>
      <c r="K16" s="28">
        <v>82</v>
      </c>
      <c r="L16" s="30">
        <v>4</v>
      </c>
      <c r="M16" s="30"/>
      <c r="N16" s="31" t="s">
        <v>555</v>
      </c>
      <c r="O16" s="94">
        <v>22</v>
      </c>
      <c r="P16" s="94">
        <v>26.3</v>
      </c>
      <c r="Q16" s="32">
        <v>1</v>
      </c>
      <c r="R16" s="32">
        <v>0</v>
      </c>
      <c r="S16" s="32">
        <v>2</v>
      </c>
      <c r="T16" s="32">
        <v>9</v>
      </c>
      <c r="U16" s="32">
        <v>3</v>
      </c>
      <c r="V16" s="32">
        <v>4</v>
      </c>
      <c r="W16" s="32">
        <v>0</v>
      </c>
      <c r="X16" s="32">
        <v>3</v>
      </c>
      <c r="Y16" s="22">
        <f t="shared" si="1"/>
        <v>12</v>
      </c>
      <c r="Z16" s="22">
        <f t="shared" si="2"/>
        <v>10</v>
      </c>
    </row>
    <row r="17" spans="1:26" x14ac:dyDescent="0.15">
      <c r="A17" s="63" t="str">
        <f t="shared" si="0"/>
        <v>Sat</v>
      </c>
      <c r="B17" s="29">
        <v>36687</v>
      </c>
      <c r="C17" s="31" t="s">
        <v>409</v>
      </c>
      <c r="D17" s="30" t="s">
        <v>314</v>
      </c>
      <c r="E17" s="30" t="s">
        <v>317</v>
      </c>
      <c r="F17" s="30" t="s">
        <v>318</v>
      </c>
      <c r="G17" s="28">
        <v>206</v>
      </c>
      <c r="H17" s="30">
        <v>1</v>
      </c>
      <c r="I17" s="30"/>
      <c r="J17" s="109" t="s">
        <v>538</v>
      </c>
      <c r="K17" s="28">
        <v>166</v>
      </c>
      <c r="L17" s="30">
        <v>8</v>
      </c>
      <c r="M17" s="30"/>
      <c r="N17" s="31" t="s">
        <v>539</v>
      </c>
      <c r="O17" s="94">
        <v>43</v>
      </c>
      <c r="P17" s="94">
        <v>39</v>
      </c>
      <c r="Q17" s="32">
        <v>9</v>
      </c>
      <c r="R17" s="32">
        <v>0</v>
      </c>
      <c r="S17" s="32">
        <v>0</v>
      </c>
      <c r="T17" s="32">
        <v>6</v>
      </c>
      <c r="U17" s="32">
        <v>3</v>
      </c>
      <c r="V17" s="32">
        <v>0</v>
      </c>
      <c r="W17" s="32">
        <v>9</v>
      </c>
      <c r="X17" s="32">
        <v>0</v>
      </c>
      <c r="Y17" s="22">
        <f t="shared" si="1"/>
        <v>15</v>
      </c>
      <c r="Z17" s="22">
        <f t="shared" si="2"/>
        <v>12</v>
      </c>
    </row>
    <row r="18" spans="1:26" x14ac:dyDescent="0.15">
      <c r="A18" s="63" t="str">
        <f t="shared" si="0"/>
        <v>Sun</v>
      </c>
      <c r="B18" s="29">
        <v>36688</v>
      </c>
      <c r="C18" s="31" t="s">
        <v>587</v>
      </c>
      <c r="D18" s="30" t="s">
        <v>384</v>
      </c>
      <c r="E18" s="30" t="s">
        <v>385</v>
      </c>
      <c r="F18" s="30" t="s">
        <v>1</v>
      </c>
      <c r="G18" s="28">
        <v>170</v>
      </c>
      <c r="H18" s="30">
        <v>7</v>
      </c>
      <c r="I18" s="30"/>
      <c r="J18" s="109"/>
      <c r="K18" s="28">
        <v>142</v>
      </c>
      <c r="L18" s="30">
        <v>10</v>
      </c>
      <c r="M18" s="30"/>
      <c r="N18" s="31" t="s">
        <v>556</v>
      </c>
      <c r="O18" s="94">
        <v>36</v>
      </c>
      <c r="P18" s="94">
        <v>40</v>
      </c>
      <c r="Q18" s="32">
        <v>7</v>
      </c>
      <c r="R18" s="32">
        <v>1</v>
      </c>
      <c r="S18" s="32">
        <v>4</v>
      </c>
      <c r="T18" s="32">
        <v>2</v>
      </c>
      <c r="U18" s="32">
        <v>12</v>
      </c>
      <c r="V18" s="32">
        <v>0</v>
      </c>
      <c r="W18" s="32">
        <v>6</v>
      </c>
      <c r="X18" s="32">
        <v>1</v>
      </c>
      <c r="Y18" s="22">
        <f t="shared" si="1"/>
        <v>14</v>
      </c>
      <c r="Z18" s="22">
        <f t="shared" si="2"/>
        <v>19</v>
      </c>
    </row>
    <row r="19" spans="1:26" x14ac:dyDescent="0.15">
      <c r="A19" s="63" t="str">
        <f t="shared" si="0"/>
        <v>Sat</v>
      </c>
      <c r="B19" s="29">
        <v>36694</v>
      </c>
      <c r="C19" s="31" t="s">
        <v>316</v>
      </c>
      <c r="D19" s="30" t="s">
        <v>384</v>
      </c>
      <c r="E19" s="30" t="s">
        <v>350</v>
      </c>
      <c r="F19" s="30" t="s">
        <v>1</v>
      </c>
      <c r="G19" s="28">
        <v>82</v>
      </c>
      <c r="H19" s="30">
        <v>10</v>
      </c>
      <c r="I19" s="30"/>
      <c r="J19" s="109" t="s">
        <v>595</v>
      </c>
      <c r="K19" s="28">
        <v>83</v>
      </c>
      <c r="L19" s="30">
        <v>5</v>
      </c>
      <c r="M19" s="30"/>
      <c r="N19" s="31" t="s">
        <v>596</v>
      </c>
      <c r="O19" s="94">
        <v>20.5</v>
      </c>
      <c r="P19" s="94">
        <v>34.299999999999997</v>
      </c>
      <c r="Q19" s="32">
        <v>4</v>
      </c>
      <c r="R19" s="32">
        <v>0</v>
      </c>
      <c r="S19" s="32">
        <v>2</v>
      </c>
      <c r="T19" s="32">
        <v>1</v>
      </c>
      <c r="U19" s="32">
        <v>2</v>
      </c>
      <c r="V19" s="32">
        <v>1</v>
      </c>
      <c r="W19" s="32">
        <v>1</v>
      </c>
      <c r="X19" s="32">
        <v>0</v>
      </c>
      <c r="Y19" s="22">
        <f t="shared" si="1"/>
        <v>7</v>
      </c>
      <c r="Z19" s="22">
        <f t="shared" si="2"/>
        <v>4</v>
      </c>
    </row>
    <row r="20" spans="1:26" x14ac:dyDescent="0.15">
      <c r="A20" s="63" t="str">
        <f t="shared" si="0"/>
        <v>Sun</v>
      </c>
      <c r="B20" s="29">
        <v>36695</v>
      </c>
      <c r="C20" s="31" t="s">
        <v>410</v>
      </c>
      <c r="D20" s="30" t="s">
        <v>314</v>
      </c>
      <c r="E20" s="30" t="s">
        <v>317</v>
      </c>
      <c r="F20" s="30" t="s">
        <v>1</v>
      </c>
      <c r="G20" s="28">
        <v>153</v>
      </c>
      <c r="H20" s="30">
        <v>10</v>
      </c>
      <c r="I20" s="30"/>
      <c r="J20" s="109"/>
      <c r="K20" s="28">
        <v>117</v>
      </c>
      <c r="L20" s="30">
        <v>9</v>
      </c>
      <c r="M20" s="30"/>
      <c r="N20" s="31"/>
      <c r="O20" s="94">
        <v>37</v>
      </c>
      <c r="P20" s="94">
        <v>41.5</v>
      </c>
      <c r="Q20" s="32">
        <v>4</v>
      </c>
      <c r="R20" s="32">
        <v>3</v>
      </c>
      <c r="S20" s="32">
        <v>0</v>
      </c>
      <c r="T20" s="32">
        <v>2</v>
      </c>
      <c r="U20" s="32">
        <v>13</v>
      </c>
      <c r="V20" s="32">
        <v>4</v>
      </c>
      <c r="W20" s="32">
        <v>0</v>
      </c>
      <c r="X20" s="32">
        <v>1</v>
      </c>
      <c r="Y20" s="22">
        <f t="shared" si="1"/>
        <v>9</v>
      </c>
      <c r="Z20" s="22">
        <f t="shared" si="2"/>
        <v>18</v>
      </c>
    </row>
    <row r="21" spans="1:26" x14ac:dyDescent="0.15">
      <c r="A21" s="63" t="str">
        <f t="shared" si="0"/>
        <v>Sat</v>
      </c>
      <c r="B21" s="29">
        <v>36701</v>
      </c>
      <c r="C21" s="31" t="s">
        <v>626</v>
      </c>
      <c r="D21" s="30" t="s">
        <v>314</v>
      </c>
      <c r="E21" s="30" t="s">
        <v>350</v>
      </c>
      <c r="F21" s="30" t="s">
        <v>318</v>
      </c>
      <c r="G21" s="28">
        <v>193</v>
      </c>
      <c r="H21" s="30">
        <v>4</v>
      </c>
      <c r="I21" s="30"/>
      <c r="J21" s="109" t="s">
        <v>627</v>
      </c>
      <c r="K21" s="28">
        <v>49</v>
      </c>
      <c r="L21" s="30">
        <v>6</v>
      </c>
      <c r="M21" s="30"/>
      <c r="N21" s="31" t="s">
        <v>628</v>
      </c>
      <c r="O21" s="94">
        <v>33</v>
      </c>
      <c r="P21" s="94">
        <v>26.4</v>
      </c>
      <c r="Q21" s="32">
        <v>0</v>
      </c>
      <c r="R21" s="32">
        <v>0</v>
      </c>
      <c r="S21" s="32">
        <v>0</v>
      </c>
      <c r="T21" s="32">
        <v>0</v>
      </c>
      <c r="U21" s="32">
        <v>12</v>
      </c>
      <c r="V21" s="32">
        <v>4</v>
      </c>
      <c r="W21" s="32">
        <v>2</v>
      </c>
      <c r="X21" s="32">
        <v>7</v>
      </c>
      <c r="Y21" s="22">
        <f t="shared" si="1"/>
        <v>0</v>
      </c>
      <c r="Z21" s="22">
        <f t="shared" si="2"/>
        <v>25</v>
      </c>
    </row>
    <row r="22" spans="1:26" x14ac:dyDescent="0.15">
      <c r="A22" s="63" t="str">
        <f t="shared" si="0"/>
        <v>Sun</v>
      </c>
      <c r="B22" s="29">
        <v>36702</v>
      </c>
      <c r="C22" s="31" t="s">
        <v>411</v>
      </c>
      <c r="D22" s="30" t="s">
        <v>384</v>
      </c>
      <c r="E22" s="30" t="s">
        <v>385</v>
      </c>
      <c r="F22" s="30" t="s">
        <v>318</v>
      </c>
      <c r="G22" s="28">
        <v>136</v>
      </c>
      <c r="H22" s="30">
        <v>9</v>
      </c>
      <c r="I22" s="30"/>
      <c r="J22" s="109" t="s">
        <v>629</v>
      </c>
      <c r="K22" s="28">
        <v>140</v>
      </c>
      <c r="L22" s="30">
        <v>3</v>
      </c>
      <c r="M22" s="30"/>
      <c r="N22" s="31"/>
      <c r="O22" s="94">
        <v>40</v>
      </c>
      <c r="P22" s="94">
        <v>33.200000000000003</v>
      </c>
      <c r="Q22" s="32">
        <v>10</v>
      </c>
      <c r="R22" s="32">
        <v>1</v>
      </c>
      <c r="S22" s="32">
        <v>13</v>
      </c>
      <c r="T22" s="32">
        <v>0</v>
      </c>
      <c r="U22" s="32">
        <v>14</v>
      </c>
      <c r="V22" s="32">
        <v>1</v>
      </c>
      <c r="W22" s="32">
        <v>6</v>
      </c>
      <c r="X22" s="32">
        <v>2</v>
      </c>
      <c r="Y22" s="22">
        <f t="shared" si="1"/>
        <v>24</v>
      </c>
      <c r="Z22" s="22">
        <f t="shared" si="2"/>
        <v>23</v>
      </c>
    </row>
    <row r="23" spans="1:26" x14ac:dyDescent="0.15">
      <c r="A23" s="63" t="str">
        <f t="shared" si="0"/>
        <v>Sat</v>
      </c>
      <c r="B23" s="29">
        <v>36708</v>
      </c>
      <c r="C23" s="31" t="s">
        <v>410</v>
      </c>
      <c r="D23" s="30" t="s">
        <v>314</v>
      </c>
      <c r="E23" s="30" t="s">
        <v>317</v>
      </c>
      <c r="F23" s="30" t="s">
        <v>1</v>
      </c>
      <c r="G23" s="28">
        <v>172</v>
      </c>
      <c r="H23" s="30">
        <v>9</v>
      </c>
      <c r="I23" s="30"/>
      <c r="J23" s="109" t="s">
        <v>657</v>
      </c>
      <c r="K23" s="28">
        <v>134</v>
      </c>
      <c r="L23" s="30">
        <v>4</v>
      </c>
      <c r="M23" s="30"/>
      <c r="N23" s="31" t="s">
        <v>658</v>
      </c>
      <c r="O23" s="94">
        <v>35</v>
      </c>
      <c r="P23" s="94">
        <v>42.2</v>
      </c>
      <c r="Q23" s="32">
        <v>9</v>
      </c>
      <c r="R23" s="32">
        <v>2</v>
      </c>
      <c r="S23" s="32">
        <v>2</v>
      </c>
      <c r="T23" s="32">
        <v>0</v>
      </c>
      <c r="U23" s="32">
        <v>12</v>
      </c>
      <c r="V23" s="32">
        <v>5</v>
      </c>
      <c r="W23" s="32">
        <v>1</v>
      </c>
      <c r="X23" s="32">
        <v>2</v>
      </c>
      <c r="Y23" s="22">
        <f t="shared" si="1"/>
        <v>13</v>
      </c>
      <c r="Z23" s="22">
        <f t="shared" si="2"/>
        <v>20</v>
      </c>
    </row>
    <row r="24" spans="1:26" ht="21" x14ac:dyDescent="0.15">
      <c r="A24" s="63" t="str">
        <f t="shared" si="0"/>
        <v>Sun</v>
      </c>
      <c r="B24" s="29">
        <v>36709</v>
      </c>
      <c r="C24" s="31" t="s">
        <v>412</v>
      </c>
      <c r="D24" s="30" t="s">
        <v>314</v>
      </c>
      <c r="E24" s="30" t="s">
        <v>350</v>
      </c>
      <c r="F24" s="30" t="s">
        <v>318</v>
      </c>
      <c r="G24" s="28">
        <v>174</v>
      </c>
      <c r="H24" s="30">
        <v>9</v>
      </c>
      <c r="I24" s="30"/>
      <c r="J24" s="109" t="s">
        <v>685</v>
      </c>
      <c r="K24" s="28">
        <v>31</v>
      </c>
      <c r="L24" s="30">
        <v>10</v>
      </c>
      <c r="M24" s="30"/>
      <c r="N24" s="31" t="s">
        <v>686</v>
      </c>
      <c r="O24" s="94">
        <v>40</v>
      </c>
      <c r="P24" s="94">
        <v>21</v>
      </c>
      <c r="Q24" s="32">
        <v>3</v>
      </c>
      <c r="R24" s="32">
        <v>0</v>
      </c>
      <c r="S24" s="32">
        <v>13</v>
      </c>
      <c r="T24" s="32">
        <v>2</v>
      </c>
      <c r="U24" s="32">
        <v>10</v>
      </c>
      <c r="V24" s="32">
        <v>0</v>
      </c>
      <c r="W24" s="32">
        <v>3</v>
      </c>
      <c r="X24" s="32">
        <v>0</v>
      </c>
      <c r="Y24" s="22">
        <f t="shared" si="1"/>
        <v>18</v>
      </c>
      <c r="Z24" s="22">
        <f t="shared" si="2"/>
        <v>13</v>
      </c>
    </row>
    <row r="25" spans="1:26" x14ac:dyDescent="0.15">
      <c r="A25" s="63" t="str">
        <f t="shared" si="0"/>
        <v>Sat</v>
      </c>
      <c r="B25" s="29">
        <v>36715</v>
      </c>
      <c r="C25" s="115"/>
      <c r="D25" s="30" t="s">
        <v>384</v>
      </c>
      <c r="E25" s="30"/>
      <c r="F25" s="30"/>
      <c r="G25" s="28"/>
      <c r="H25" s="30"/>
      <c r="I25" s="30"/>
      <c r="J25" s="109"/>
      <c r="K25" s="28"/>
      <c r="L25" s="30"/>
      <c r="M25" s="30"/>
      <c r="N25" s="31"/>
      <c r="O25" s="94"/>
      <c r="P25" s="94"/>
      <c r="Q25" s="32">
        <v>0</v>
      </c>
      <c r="R25" s="32">
        <v>0</v>
      </c>
      <c r="S25" s="32">
        <v>0</v>
      </c>
      <c r="T25" s="32">
        <v>0</v>
      </c>
      <c r="U25" s="32">
        <v>0</v>
      </c>
      <c r="V25" s="32">
        <v>0</v>
      </c>
      <c r="W25" s="32">
        <v>0</v>
      </c>
      <c r="X25" s="32">
        <v>0</v>
      </c>
      <c r="Y25" s="22">
        <f t="shared" si="1"/>
        <v>0</v>
      </c>
      <c r="Z25" s="22">
        <f t="shared" si="2"/>
        <v>0</v>
      </c>
    </row>
    <row r="26" spans="1:26" x14ac:dyDescent="0.15">
      <c r="A26" s="63" t="str">
        <f t="shared" si="0"/>
        <v>Sun</v>
      </c>
      <c r="B26" s="29">
        <v>36716</v>
      </c>
      <c r="C26" s="31" t="s">
        <v>413</v>
      </c>
      <c r="D26" s="30" t="s">
        <v>384</v>
      </c>
      <c r="E26" s="30"/>
      <c r="F26" s="30"/>
      <c r="G26" s="28"/>
      <c r="H26" s="30"/>
      <c r="I26" s="30"/>
      <c r="J26" s="109"/>
      <c r="K26" s="28"/>
      <c r="L26" s="30"/>
      <c r="M26" s="30"/>
      <c r="N26" s="31"/>
      <c r="O26" s="94"/>
      <c r="P26" s="94"/>
      <c r="Q26" s="32">
        <v>0</v>
      </c>
      <c r="R26" s="32">
        <v>0</v>
      </c>
      <c r="S26" s="32">
        <v>0</v>
      </c>
      <c r="T26" s="32">
        <v>0</v>
      </c>
      <c r="U26" s="32">
        <v>0</v>
      </c>
      <c r="V26" s="32">
        <v>0</v>
      </c>
      <c r="W26" s="32">
        <v>0</v>
      </c>
      <c r="X26" s="32">
        <v>0</v>
      </c>
      <c r="Y26" s="22">
        <f t="shared" si="1"/>
        <v>0</v>
      </c>
      <c r="Z26" s="22">
        <f t="shared" si="2"/>
        <v>0</v>
      </c>
    </row>
    <row r="27" spans="1:26" x14ac:dyDescent="0.15">
      <c r="A27" s="63" t="str">
        <f t="shared" si="0"/>
        <v>Sat</v>
      </c>
      <c r="B27" s="29">
        <v>36722</v>
      </c>
      <c r="C27" s="31"/>
      <c r="D27" s="30" t="s">
        <v>314</v>
      </c>
      <c r="E27" s="30"/>
      <c r="F27" s="30"/>
      <c r="G27" s="28"/>
      <c r="H27" s="30"/>
      <c r="I27" s="30"/>
      <c r="J27" s="109"/>
      <c r="K27" s="28"/>
      <c r="L27" s="30"/>
      <c r="M27" s="30"/>
      <c r="N27" s="31"/>
      <c r="O27" s="94"/>
      <c r="P27" s="94"/>
      <c r="Q27" s="32">
        <v>0</v>
      </c>
      <c r="R27" s="32">
        <v>0</v>
      </c>
      <c r="S27" s="32">
        <v>0</v>
      </c>
      <c r="T27" s="32">
        <v>0</v>
      </c>
      <c r="U27" s="32">
        <v>0</v>
      </c>
      <c r="V27" s="32">
        <v>0</v>
      </c>
      <c r="W27" s="32">
        <v>0</v>
      </c>
      <c r="X27" s="32">
        <v>0</v>
      </c>
      <c r="Y27" s="22">
        <f t="shared" si="1"/>
        <v>0</v>
      </c>
      <c r="Z27" s="22">
        <f t="shared" si="2"/>
        <v>0</v>
      </c>
    </row>
    <row r="28" spans="1:26" x14ac:dyDescent="0.15">
      <c r="A28" s="63" t="str">
        <f t="shared" si="0"/>
        <v>Sat</v>
      </c>
      <c r="B28" s="29">
        <v>36729</v>
      </c>
      <c r="C28" s="31" t="s">
        <v>414</v>
      </c>
      <c r="D28" s="30" t="s">
        <v>384</v>
      </c>
      <c r="E28" s="30" t="s">
        <v>350</v>
      </c>
      <c r="F28" s="30" t="s">
        <v>1</v>
      </c>
      <c r="G28" s="28">
        <v>118</v>
      </c>
      <c r="H28" s="30">
        <v>10</v>
      </c>
      <c r="I28" s="30"/>
      <c r="J28" s="109" t="s">
        <v>696</v>
      </c>
      <c r="K28" s="28">
        <v>119</v>
      </c>
      <c r="L28" s="30">
        <v>2</v>
      </c>
      <c r="M28" s="30"/>
      <c r="N28" s="31" t="s">
        <v>697</v>
      </c>
      <c r="O28" s="94">
        <v>27.5</v>
      </c>
      <c r="P28" s="94">
        <v>33</v>
      </c>
      <c r="Q28" s="32">
        <v>8</v>
      </c>
      <c r="R28" s="32">
        <v>0</v>
      </c>
      <c r="S28" s="32">
        <v>6</v>
      </c>
      <c r="T28" s="32">
        <v>6</v>
      </c>
      <c r="U28" s="32">
        <v>1</v>
      </c>
      <c r="V28" s="32">
        <v>1</v>
      </c>
      <c r="W28" s="32">
        <v>15</v>
      </c>
      <c r="X28" s="32">
        <v>7</v>
      </c>
      <c r="Y28" s="22">
        <f t="shared" si="1"/>
        <v>20</v>
      </c>
      <c r="Z28" s="22">
        <f t="shared" si="2"/>
        <v>24</v>
      </c>
    </row>
    <row r="29" spans="1:26" x14ac:dyDescent="0.15">
      <c r="A29" s="63" t="str">
        <f t="shared" si="0"/>
        <v>Sun</v>
      </c>
      <c r="B29" s="29">
        <v>36730</v>
      </c>
      <c r="C29" s="31" t="s">
        <v>403</v>
      </c>
      <c r="D29" s="30" t="s">
        <v>384</v>
      </c>
      <c r="E29" s="30" t="s">
        <v>350</v>
      </c>
      <c r="F29" s="30" t="s">
        <v>318</v>
      </c>
      <c r="G29" s="28">
        <v>203</v>
      </c>
      <c r="H29" s="30">
        <v>10</v>
      </c>
      <c r="I29" s="30"/>
      <c r="J29" s="109" t="s">
        <v>752</v>
      </c>
      <c r="K29" s="28">
        <v>114</v>
      </c>
      <c r="L29" s="30">
        <v>10</v>
      </c>
      <c r="M29" s="30"/>
      <c r="N29" s="31" t="s">
        <v>753</v>
      </c>
      <c r="O29" s="94">
        <v>40</v>
      </c>
      <c r="P29" s="94">
        <v>31.2</v>
      </c>
      <c r="Q29" s="32">
        <v>0</v>
      </c>
      <c r="R29" s="32">
        <v>0</v>
      </c>
      <c r="S29" s="32">
        <v>4</v>
      </c>
      <c r="T29" s="32">
        <v>1</v>
      </c>
      <c r="U29" s="32">
        <v>7</v>
      </c>
      <c r="V29" s="32">
        <v>0</v>
      </c>
      <c r="W29" s="32">
        <v>8</v>
      </c>
      <c r="X29" s="32">
        <v>3</v>
      </c>
      <c r="Y29" s="22">
        <f t="shared" si="1"/>
        <v>5</v>
      </c>
      <c r="Z29" s="22">
        <f t="shared" si="2"/>
        <v>18</v>
      </c>
    </row>
    <row r="30" spans="1:26" ht="21" x14ac:dyDescent="0.15">
      <c r="A30" s="63" t="str">
        <f t="shared" si="0"/>
        <v>Sat</v>
      </c>
      <c r="B30" s="29">
        <v>36736</v>
      </c>
      <c r="C30" s="31" t="s">
        <v>715</v>
      </c>
      <c r="D30" s="30" t="s">
        <v>384</v>
      </c>
      <c r="E30" s="30" t="s">
        <v>385</v>
      </c>
      <c r="F30" s="30" t="s">
        <v>1</v>
      </c>
      <c r="G30" s="28">
        <v>294</v>
      </c>
      <c r="H30" s="30">
        <v>4</v>
      </c>
      <c r="I30" s="30"/>
      <c r="J30" s="109" t="s">
        <v>733</v>
      </c>
      <c r="K30" s="28">
        <v>38</v>
      </c>
      <c r="L30" s="30">
        <v>10</v>
      </c>
      <c r="M30" s="30"/>
      <c r="N30" s="31" t="s">
        <v>716</v>
      </c>
      <c r="O30" s="94">
        <v>18.100000000000001</v>
      </c>
      <c r="P30" s="94">
        <v>40</v>
      </c>
      <c r="Q30" s="32">
        <v>5</v>
      </c>
      <c r="R30" s="32">
        <v>0</v>
      </c>
      <c r="S30" s="32">
        <v>5</v>
      </c>
      <c r="T30" s="32">
        <v>7</v>
      </c>
      <c r="U30" s="32">
        <v>0</v>
      </c>
      <c r="V30" s="32">
        <v>0</v>
      </c>
      <c r="W30" s="32">
        <v>0</v>
      </c>
      <c r="X30" s="32">
        <v>0</v>
      </c>
      <c r="Y30" s="22">
        <f t="shared" si="1"/>
        <v>17</v>
      </c>
      <c r="Z30" s="22">
        <f t="shared" si="2"/>
        <v>0</v>
      </c>
    </row>
    <row r="31" spans="1:26" x14ac:dyDescent="0.15">
      <c r="A31" s="63" t="str">
        <f t="shared" si="0"/>
        <v>Sun</v>
      </c>
      <c r="B31" s="29">
        <v>36737</v>
      </c>
      <c r="C31" s="31" t="s">
        <v>415</v>
      </c>
      <c r="D31" s="30" t="s">
        <v>314</v>
      </c>
      <c r="E31" s="30" t="s">
        <v>385</v>
      </c>
      <c r="F31" s="30" t="s">
        <v>1</v>
      </c>
      <c r="G31" s="28">
        <v>205</v>
      </c>
      <c r="H31" s="30">
        <v>8</v>
      </c>
      <c r="I31" s="30"/>
      <c r="J31" s="109" t="s">
        <v>989</v>
      </c>
      <c r="K31" s="28">
        <v>69</v>
      </c>
      <c r="L31" s="30">
        <v>9</v>
      </c>
      <c r="M31" s="30"/>
      <c r="N31" s="31" t="s">
        <v>990</v>
      </c>
      <c r="O31" s="94">
        <v>22.1</v>
      </c>
      <c r="P31" s="94">
        <v>40</v>
      </c>
      <c r="Q31" s="32">
        <v>8</v>
      </c>
      <c r="R31" s="32">
        <v>3</v>
      </c>
      <c r="S31" s="32">
        <v>13</v>
      </c>
      <c r="T31" s="32">
        <v>3</v>
      </c>
      <c r="U31" s="32">
        <v>3</v>
      </c>
      <c r="V31" s="32">
        <v>0</v>
      </c>
      <c r="W31" s="32">
        <v>0</v>
      </c>
      <c r="X31" s="32">
        <v>2</v>
      </c>
      <c r="Y31" s="22">
        <f t="shared" si="1"/>
        <v>27</v>
      </c>
      <c r="Z31" s="22">
        <f t="shared" si="2"/>
        <v>5</v>
      </c>
    </row>
    <row r="32" spans="1:26" x14ac:dyDescent="0.15">
      <c r="A32" s="63" t="str">
        <f t="shared" si="0"/>
        <v>Sat</v>
      </c>
      <c r="B32" s="29">
        <v>36743</v>
      </c>
      <c r="C32" s="31" t="s">
        <v>736</v>
      </c>
      <c r="D32" s="30" t="s">
        <v>314</v>
      </c>
      <c r="E32" s="30" t="s">
        <v>350</v>
      </c>
      <c r="F32" s="30" t="s">
        <v>1</v>
      </c>
      <c r="G32" s="28">
        <v>159</v>
      </c>
      <c r="H32" s="30">
        <v>9</v>
      </c>
      <c r="I32" s="30"/>
      <c r="J32" s="109" t="s">
        <v>737</v>
      </c>
      <c r="K32" s="28">
        <v>162</v>
      </c>
      <c r="L32" s="30">
        <v>6</v>
      </c>
      <c r="M32" s="30"/>
      <c r="N32" s="31" t="s">
        <v>738</v>
      </c>
      <c r="O32" s="94">
        <v>32.200000000000003</v>
      </c>
      <c r="P32" s="94">
        <v>44</v>
      </c>
      <c r="Q32" s="32">
        <v>1</v>
      </c>
      <c r="R32" s="32">
        <v>0</v>
      </c>
      <c r="S32" s="32">
        <v>5</v>
      </c>
      <c r="T32" s="32">
        <v>0</v>
      </c>
      <c r="U32" s="32">
        <v>4</v>
      </c>
      <c r="V32" s="32">
        <v>2</v>
      </c>
      <c r="W32" s="32">
        <v>2</v>
      </c>
      <c r="X32" s="32">
        <v>1</v>
      </c>
      <c r="Y32" s="22">
        <f t="shared" si="1"/>
        <v>6</v>
      </c>
      <c r="Z32" s="22">
        <f t="shared" si="2"/>
        <v>9</v>
      </c>
    </row>
    <row r="33" spans="1:26" x14ac:dyDescent="0.15">
      <c r="A33" s="63" t="str">
        <f t="shared" si="0"/>
        <v>Sun</v>
      </c>
      <c r="B33" s="29">
        <v>36744</v>
      </c>
      <c r="C33" s="31" t="s">
        <v>416</v>
      </c>
      <c r="D33" s="30" t="s">
        <v>384</v>
      </c>
      <c r="E33" s="30" t="s">
        <v>350</v>
      </c>
      <c r="F33" s="30" t="s">
        <v>318</v>
      </c>
      <c r="G33" s="28">
        <v>144</v>
      </c>
      <c r="H33" s="30">
        <v>10</v>
      </c>
      <c r="I33" s="30"/>
      <c r="J33" s="109" t="s">
        <v>754</v>
      </c>
      <c r="K33" s="28">
        <v>117</v>
      </c>
      <c r="L33" s="30">
        <v>10</v>
      </c>
      <c r="M33" s="30"/>
      <c r="N33" s="31" t="s">
        <v>755</v>
      </c>
      <c r="O33" s="94">
        <v>33.299999999999997</v>
      </c>
      <c r="P33" s="94">
        <v>32.5</v>
      </c>
      <c r="Q33" s="32">
        <v>4</v>
      </c>
      <c r="R33" s="32">
        <v>0</v>
      </c>
      <c r="S33" s="32">
        <v>4</v>
      </c>
      <c r="T33" s="32">
        <v>0</v>
      </c>
      <c r="U33" s="32">
        <v>9</v>
      </c>
      <c r="V33" s="32">
        <v>5</v>
      </c>
      <c r="W33" s="32">
        <v>14</v>
      </c>
      <c r="X33" s="32">
        <v>2</v>
      </c>
      <c r="Y33" s="22">
        <f t="shared" si="1"/>
        <v>8</v>
      </c>
      <c r="Z33" s="22">
        <f t="shared" si="2"/>
        <v>30</v>
      </c>
    </row>
    <row r="34" spans="1:26" x14ac:dyDescent="0.15">
      <c r="A34" s="63" t="str">
        <f t="shared" si="0"/>
        <v>Sat</v>
      </c>
      <c r="B34" s="29">
        <v>36750</v>
      </c>
      <c r="C34" s="31" t="s">
        <v>419</v>
      </c>
      <c r="D34" s="129" t="s">
        <v>314</v>
      </c>
      <c r="E34" s="30" t="s">
        <v>317</v>
      </c>
      <c r="F34" s="30" t="s">
        <v>1</v>
      </c>
      <c r="G34" s="28">
        <v>141</v>
      </c>
      <c r="H34" s="30">
        <v>10</v>
      </c>
      <c r="I34" s="30"/>
      <c r="J34" s="109" t="s">
        <v>804</v>
      </c>
      <c r="K34" s="28">
        <v>89</v>
      </c>
      <c r="L34" s="30">
        <v>5</v>
      </c>
      <c r="M34" s="30"/>
      <c r="N34" s="31" t="s">
        <v>805</v>
      </c>
      <c r="O34" s="94">
        <v>38</v>
      </c>
      <c r="P34" s="94">
        <v>46.2</v>
      </c>
      <c r="Q34" s="32">
        <v>3</v>
      </c>
      <c r="R34" s="32">
        <v>0</v>
      </c>
      <c r="S34" s="32">
        <v>0</v>
      </c>
      <c r="T34" s="32">
        <v>2</v>
      </c>
      <c r="U34" s="32">
        <v>2</v>
      </c>
      <c r="V34" s="32">
        <v>0</v>
      </c>
      <c r="W34" s="32">
        <v>7</v>
      </c>
      <c r="X34" s="32">
        <v>0</v>
      </c>
      <c r="Y34" s="22">
        <f t="shared" si="1"/>
        <v>5</v>
      </c>
      <c r="Z34" s="22">
        <f t="shared" si="2"/>
        <v>9</v>
      </c>
    </row>
    <row r="35" spans="1:26" x14ac:dyDescent="0.15">
      <c r="A35" s="63" t="str">
        <f t="shared" si="0"/>
        <v>Sun</v>
      </c>
      <c r="B35" s="29">
        <v>36751</v>
      </c>
      <c r="C35" s="31" t="s">
        <v>417</v>
      </c>
      <c r="D35" s="30" t="s">
        <v>314</v>
      </c>
      <c r="E35" s="30" t="s">
        <v>350</v>
      </c>
      <c r="F35" s="30" t="s">
        <v>318</v>
      </c>
      <c r="G35" s="28">
        <v>195</v>
      </c>
      <c r="H35" s="30">
        <v>9</v>
      </c>
      <c r="I35" s="30"/>
      <c r="J35" s="109" t="s">
        <v>874</v>
      </c>
      <c r="K35" s="28">
        <v>121</v>
      </c>
      <c r="L35" s="30">
        <v>10</v>
      </c>
      <c r="M35" s="30"/>
      <c r="N35" s="31" t="s">
        <v>875</v>
      </c>
      <c r="O35" s="94">
        <v>40</v>
      </c>
      <c r="P35" s="94">
        <v>34.1</v>
      </c>
      <c r="Q35" s="32">
        <v>9</v>
      </c>
      <c r="R35" s="32">
        <v>3</v>
      </c>
      <c r="S35" s="32">
        <v>10</v>
      </c>
      <c r="T35" s="32">
        <v>1</v>
      </c>
      <c r="U35" s="32">
        <v>8</v>
      </c>
      <c r="V35" s="32">
        <v>1</v>
      </c>
      <c r="W35" s="32">
        <v>10</v>
      </c>
      <c r="X35" s="32">
        <v>1</v>
      </c>
      <c r="Y35" s="22">
        <f t="shared" si="1"/>
        <v>23</v>
      </c>
      <c r="Z35" s="22">
        <f t="shared" si="2"/>
        <v>20</v>
      </c>
    </row>
    <row r="36" spans="1:26" x14ac:dyDescent="0.15">
      <c r="A36" s="63" t="str">
        <f t="shared" si="0"/>
        <v>Sat</v>
      </c>
      <c r="B36" s="29">
        <v>36757</v>
      </c>
      <c r="C36" s="31" t="s">
        <v>383</v>
      </c>
      <c r="D36" s="30" t="s">
        <v>314</v>
      </c>
      <c r="E36" s="30" t="s">
        <v>385</v>
      </c>
      <c r="F36" s="30" t="s">
        <v>1</v>
      </c>
      <c r="G36" s="28">
        <v>134</v>
      </c>
      <c r="H36" s="30">
        <v>8</v>
      </c>
      <c r="I36" s="30"/>
      <c r="J36" s="109" t="s">
        <v>857</v>
      </c>
      <c r="K36" s="28">
        <v>95</v>
      </c>
      <c r="L36" s="30">
        <v>9</v>
      </c>
      <c r="M36" s="30"/>
      <c r="N36" s="31" t="s">
        <v>858</v>
      </c>
      <c r="O36" s="94">
        <v>26</v>
      </c>
      <c r="P36" s="94">
        <v>44</v>
      </c>
      <c r="Q36" s="32">
        <v>5</v>
      </c>
      <c r="R36" s="32">
        <v>3</v>
      </c>
      <c r="S36" s="32">
        <v>0</v>
      </c>
      <c r="T36" s="32">
        <v>4</v>
      </c>
      <c r="U36" s="32">
        <v>15</v>
      </c>
      <c r="V36" s="32">
        <v>0</v>
      </c>
      <c r="W36" s="32">
        <v>6</v>
      </c>
      <c r="X36" s="32">
        <v>1</v>
      </c>
      <c r="Y36" s="22">
        <f t="shared" si="1"/>
        <v>12</v>
      </c>
      <c r="Z36" s="22">
        <f t="shared" si="2"/>
        <v>22</v>
      </c>
    </row>
    <row r="37" spans="1:26" ht="21" x14ac:dyDescent="0.15">
      <c r="A37" s="63" t="str">
        <f t="shared" si="0"/>
        <v>Sun</v>
      </c>
      <c r="B37" s="29">
        <v>36758</v>
      </c>
      <c r="C37" s="31" t="s">
        <v>418</v>
      </c>
      <c r="D37" s="30" t="s">
        <v>314</v>
      </c>
      <c r="E37" s="30" t="s">
        <v>350</v>
      </c>
      <c r="F37" s="30" t="s">
        <v>318</v>
      </c>
      <c r="G37" s="28">
        <v>213</v>
      </c>
      <c r="H37" s="30">
        <v>8</v>
      </c>
      <c r="I37" s="30"/>
      <c r="J37" s="109" t="s">
        <v>841</v>
      </c>
      <c r="K37" s="28">
        <v>127</v>
      </c>
      <c r="L37" s="30">
        <v>9</v>
      </c>
      <c r="M37" s="30"/>
      <c r="N37" s="31" t="s">
        <v>842</v>
      </c>
      <c r="O37" s="94">
        <v>45</v>
      </c>
      <c r="P37" s="94">
        <v>45</v>
      </c>
      <c r="Q37" s="32">
        <v>3</v>
      </c>
      <c r="R37" s="32">
        <v>0</v>
      </c>
      <c r="S37" s="32">
        <v>14</v>
      </c>
      <c r="T37" s="32">
        <v>2</v>
      </c>
      <c r="U37" s="32">
        <v>4</v>
      </c>
      <c r="V37" s="32">
        <v>1</v>
      </c>
      <c r="W37" s="32">
        <v>4</v>
      </c>
      <c r="X37" s="32">
        <v>2</v>
      </c>
      <c r="Y37" s="22">
        <f t="shared" si="1"/>
        <v>19</v>
      </c>
      <c r="Z37" s="22">
        <f t="shared" si="2"/>
        <v>11</v>
      </c>
    </row>
    <row r="38" spans="1:26" x14ac:dyDescent="0.15">
      <c r="A38" s="63" t="str">
        <f t="shared" si="0"/>
        <v>Sat</v>
      </c>
      <c r="B38" s="29">
        <v>36764</v>
      </c>
      <c r="C38" s="31" t="s">
        <v>349</v>
      </c>
      <c r="D38" s="30" t="s">
        <v>314</v>
      </c>
      <c r="E38" s="30" t="s">
        <v>350</v>
      </c>
      <c r="F38" s="30" t="s">
        <v>318</v>
      </c>
      <c r="G38" s="28">
        <v>259</v>
      </c>
      <c r="H38" s="30">
        <v>1</v>
      </c>
      <c r="I38" s="30"/>
      <c r="J38" s="109" t="s">
        <v>843</v>
      </c>
      <c r="K38" s="28">
        <v>128</v>
      </c>
      <c r="L38" s="30">
        <v>10</v>
      </c>
      <c r="M38" s="30"/>
      <c r="N38" s="31" t="s">
        <v>844</v>
      </c>
      <c r="O38" s="94">
        <v>30</v>
      </c>
      <c r="P38" s="94">
        <v>32</v>
      </c>
      <c r="Q38" s="32">
        <v>6</v>
      </c>
      <c r="R38" s="32">
        <v>0</v>
      </c>
      <c r="S38" s="32">
        <v>3</v>
      </c>
      <c r="T38" s="32">
        <v>0</v>
      </c>
      <c r="U38" s="32">
        <v>11</v>
      </c>
      <c r="V38" s="32">
        <v>1</v>
      </c>
      <c r="W38" s="32">
        <v>1</v>
      </c>
      <c r="X38" s="32">
        <v>5</v>
      </c>
      <c r="Y38" s="22">
        <f t="shared" si="1"/>
        <v>9</v>
      </c>
      <c r="Z38" s="22">
        <f t="shared" si="2"/>
        <v>18</v>
      </c>
    </row>
    <row r="39" spans="1:26" x14ac:dyDescent="0.15">
      <c r="A39" s="63" t="str">
        <f t="shared" si="0"/>
        <v>Sun</v>
      </c>
      <c r="B39" s="29">
        <v>36765</v>
      </c>
      <c r="C39" s="31" t="s">
        <v>420</v>
      </c>
      <c r="D39" s="30" t="s">
        <v>314</v>
      </c>
      <c r="F39" s="30"/>
      <c r="G39" s="28"/>
      <c r="H39" s="30"/>
      <c r="I39" s="30"/>
      <c r="J39" s="103" t="s">
        <v>876</v>
      </c>
      <c r="K39" s="28"/>
      <c r="L39" s="30"/>
      <c r="M39" s="30"/>
      <c r="N39" s="31"/>
      <c r="O39" s="94"/>
      <c r="P39" s="94"/>
      <c r="Q39" s="32">
        <v>0</v>
      </c>
      <c r="R39" s="32">
        <v>0</v>
      </c>
      <c r="S39" s="32">
        <v>0</v>
      </c>
      <c r="T39" s="32">
        <v>0</v>
      </c>
      <c r="U39" s="32">
        <v>0</v>
      </c>
      <c r="V39" s="32">
        <v>0</v>
      </c>
      <c r="W39" s="32">
        <v>0</v>
      </c>
      <c r="X39" s="32">
        <v>0</v>
      </c>
      <c r="Y39" s="22">
        <f t="shared" si="1"/>
        <v>0</v>
      </c>
      <c r="Z39" s="22">
        <f t="shared" si="2"/>
        <v>0</v>
      </c>
    </row>
    <row r="40" spans="1:26" x14ac:dyDescent="0.15">
      <c r="A40" s="63" t="str">
        <f t="shared" si="0"/>
        <v>Sat</v>
      </c>
      <c r="B40" s="29">
        <v>36771</v>
      </c>
      <c r="C40" s="31" t="s">
        <v>421</v>
      </c>
      <c r="D40" s="30" t="s">
        <v>384</v>
      </c>
      <c r="F40" s="30"/>
      <c r="G40" s="28"/>
      <c r="H40" s="30"/>
      <c r="I40" s="30"/>
      <c r="J40" s="103" t="s">
        <v>877</v>
      </c>
      <c r="K40" s="28"/>
      <c r="L40" s="30"/>
      <c r="M40" s="30"/>
      <c r="N40" s="31"/>
      <c r="O40" s="94"/>
      <c r="P40" s="94"/>
      <c r="Q40" s="32">
        <v>0</v>
      </c>
      <c r="R40" s="32">
        <v>0</v>
      </c>
      <c r="S40" s="32">
        <v>0</v>
      </c>
      <c r="T40" s="32">
        <v>0</v>
      </c>
      <c r="U40" s="32">
        <v>0</v>
      </c>
      <c r="V40" s="32">
        <v>0</v>
      </c>
      <c r="W40" s="32">
        <v>0</v>
      </c>
      <c r="X40" s="32">
        <v>0</v>
      </c>
      <c r="Y40" s="22">
        <f t="shared" si="1"/>
        <v>0</v>
      </c>
      <c r="Z40" s="22">
        <f t="shared" si="2"/>
        <v>0</v>
      </c>
    </row>
    <row r="41" spans="1:26" x14ac:dyDescent="0.15">
      <c r="A41" s="63" t="str">
        <f t="shared" si="0"/>
        <v>Sun</v>
      </c>
      <c r="B41" s="29">
        <v>36772</v>
      </c>
      <c r="C41" s="31" t="s">
        <v>422</v>
      </c>
      <c r="D41" s="30" t="s">
        <v>384</v>
      </c>
      <c r="E41" s="30" t="s">
        <v>317</v>
      </c>
      <c r="F41" s="30" t="s">
        <v>1</v>
      </c>
      <c r="G41" s="28">
        <v>175</v>
      </c>
      <c r="H41" s="30">
        <v>8</v>
      </c>
      <c r="I41" s="30"/>
      <c r="J41" s="109"/>
      <c r="K41" s="28">
        <v>175</v>
      </c>
      <c r="L41" s="30">
        <v>7</v>
      </c>
      <c r="M41" s="30"/>
      <c r="N41" s="31" t="s">
        <v>878</v>
      </c>
      <c r="O41" s="94">
        <v>42</v>
      </c>
      <c r="P41" s="94">
        <v>45</v>
      </c>
      <c r="Q41" s="32">
        <v>8</v>
      </c>
      <c r="R41" s="32">
        <v>4</v>
      </c>
      <c r="S41" s="32">
        <v>0</v>
      </c>
      <c r="T41" s="32">
        <v>2</v>
      </c>
      <c r="U41" s="32">
        <v>2</v>
      </c>
      <c r="V41" s="32">
        <v>2</v>
      </c>
      <c r="W41" s="32">
        <v>7</v>
      </c>
      <c r="X41" s="32">
        <v>0</v>
      </c>
      <c r="Y41" s="22">
        <f t="shared" si="1"/>
        <v>14</v>
      </c>
      <c r="Z41" s="22">
        <f t="shared" si="2"/>
        <v>11</v>
      </c>
    </row>
    <row r="42" spans="1:26" x14ac:dyDescent="0.15">
      <c r="A42" s="63" t="str">
        <f t="shared" si="0"/>
        <v>Sat</v>
      </c>
      <c r="B42" s="29">
        <v>36778</v>
      </c>
      <c r="C42" s="31" t="s">
        <v>419</v>
      </c>
      <c r="D42" s="30" t="s">
        <v>314</v>
      </c>
      <c r="E42" s="30" t="s">
        <v>385</v>
      </c>
      <c r="F42" s="30" t="s">
        <v>318</v>
      </c>
      <c r="G42" s="28">
        <v>152</v>
      </c>
      <c r="H42" s="30">
        <v>4</v>
      </c>
      <c r="I42" s="30"/>
      <c r="J42" s="109" t="s">
        <v>910</v>
      </c>
      <c r="K42" s="28">
        <v>154</v>
      </c>
      <c r="L42" s="30">
        <v>2</v>
      </c>
      <c r="M42" s="30"/>
      <c r="N42" s="31" t="s">
        <v>911</v>
      </c>
      <c r="O42" s="94">
        <v>38</v>
      </c>
      <c r="P42" s="94">
        <v>26.2</v>
      </c>
      <c r="Q42" s="32">
        <v>3</v>
      </c>
      <c r="R42" s="32">
        <v>0</v>
      </c>
      <c r="S42" s="32">
        <v>1</v>
      </c>
      <c r="T42" s="32">
        <v>0</v>
      </c>
      <c r="U42" s="32">
        <v>3</v>
      </c>
      <c r="V42" s="32">
        <v>0</v>
      </c>
      <c r="W42" s="32">
        <v>2</v>
      </c>
      <c r="X42" s="32">
        <v>4</v>
      </c>
      <c r="Y42" s="22">
        <f t="shared" si="1"/>
        <v>4</v>
      </c>
      <c r="Z42" s="22">
        <f t="shared" si="2"/>
        <v>9</v>
      </c>
    </row>
    <row r="43" spans="1:26" x14ac:dyDescent="0.15">
      <c r="A43" s="63" t="str">
        <f t="shared" si="0"/>
        <v>Sun</v>
      </c>
      <c r="B43" s="29">
        <v>36779</v>
      </c>
      <c r="C43" s="31" t="s">
        <v>423</v>
      </c>
      <c r="D43" s="30" t="s">
        <v>314</v>
      </c>
      <c r="E43" s="30" t="s">
        <v>923</v>
      </c>
      <c r="F43" s="30" t="s">
        <v>1</v>
      </c>
      <c r="G43" s="28">
        <v>94</v>
      </c>
      <c r="H43" s="30">
        <v>10</v>
      </c>
      <c r="I43" s="30"/>
      <c r="J43" s="109" t="s">
        <v>926</v>
      </c>
      <c r="K43" s="28">
        <v>94</v>
      </c>
      <c r="L43" s="30">
        <v>10</v>
      </c>
      <c r="M43" s="30"/>
      <c r="N43" s="31" t="s">
        <v>925</v>
      </c>
      <c r="O43" s="94">
        <v>26.3</v>
      </c>
      <c r="P43" s="94">
        <v>29.4</v>
      </c>
      <c r="Q43" s="32">
        <v>0</v>
      </c>
      <c r="R43" s="32">
        <v>0</v>
      </c>
      <c r="S43" s="32">
        <v>5</v>
      </c>
      <c r="T43" s="32">
        <v>1</v>
      </c>
      <c r="U43" s="32">
        <v>1</v>
      </c>
      <c r="V43" s="32">
        <v>0</v>
      </c>
      <c r="W43" s="32">
        <v>6</v>
      </c>
      <c r="X43" s="32">
        <v>1</v>
      </c>
      <c r="Y43" s="22">
        <f t="shared" si="1"/>
        <v>6</v>
      </c>
      <c r="Z43" s="22">
        <f t="shared" si="2"/>
        <v>8</v>
      </c>
    </row>
    <row r="44" spans="1:26" x14ac:dyDescent="0.15">
      <c r="A44" s="63" t="str">
        <f t="shared" si="0"/>
        <v>Sat</v>
      </c>
      <c r="B44" s="29">
        <v>36785</v>
      </c>
      <c r="C44" s="31" t="s">
        <v>411</v>
      </c>
      <c r="D44" s="30" t="s">
        <v>314</v>
      </c>
      <c r="F44" s="30"/>
      <c r="G44" s="28"/>
      <c r="H44" s="30"/>
      <c r="I44" s="30"/>
      <c r="J44" s="103" t="s">
        <v>315</v>
      </c>
      <c r="K44" s="28"/>
      <c r="L44" s="30"/>
      <c r="M44" s="30"/>
      <c r="N44" s="31"/>
      <c r="O44" s="94"/>
      <c r="P44" s="94"/>
      <c r="Q44" s="32">
        <v>0</v>
      </c>
      <c r="R44" s="32">
        <v>0</v>
      </c>
      <c r="S44" s="32">
        <v>0</v>
      </c>
      <c r="T44" s="32">
        <v>0</v>
      </c>
      <c r="U44" s="32">
        <v>0</v>
      </c>
      <c r="V44" s="32">
        <v>0</v>
      </c>
      <c r="W44" s="32">
        <v>0</v>
      </c>
      <c r="X44" s="32">
        <v>0</v>
      </c>
      <c r="Y44" s="22">
        <f t="shared" si="1"/>
        <v>0</v>
      </c>
      <c r="Z44" s="22">
        <f t="shared" si="2"/>
        <v>0</v>
      </c>
    </row>
    <row r="45" spans="1:26" x14ac:dyDescent="0.15">
      <c r="A45" s="63" t="str">
        <f t="shared" si="0"/>
        <v>Sun</v>
      </c>
      <c r="B45" s="29">
        <v>36786</v>
      </c>
      <c r="C45" s="31" t="s">
        <v>424</v>
      </c>
      <c r="D45" s="30" t="s">
        <v>314</v>
      </c>
      <c r="E45" s="30" t="s">
        <v>350</v>
      </c>
      <c r="F45" s="30" t="s">
        <v>1</v>
      </c>
      <c r="G45" s="28">
        <v>85</v>
      </c>
      <c r="H45" s="30">
        <v>9</v>
      </c>
      <c r="I45" s="30"/>
      <c r="J45" s="109" t="s">
        <v>924</v>
      </c>
      <c r="K45" s="28">
        <v>88</v>
      </c>
      <c r="L45" s="30">
        <v>5</v>
      </c>
      <c r="M45" s="30"/>
      <c r="N45" s="31"/>
      <c r="O45" s="94">
        <v>23.5</v>
      </c>
      <c r="P45" s="94">
        <v>33.299999999999997</v>
      </c>
      <c r="Q45" s="32">
        <v>0</v>
      </c>
      <c r="R45" s="32">
        <v>0</v>
      </c>
      <c r="S45" s="32">
        <v>0</v>
      </c>
      <c r="T45" s="32">
        <v>0</v>
      </c>
      <c r="U45" s="32">
        <v>0</v>
      </c>
      <c r="V45" s="32">
        <v>0</v>
      </c>
      <c r="W45" s="32">
        <v>0</v>
      </c>
      <c r="X45" s="32">
        <v>0</v>
      </c>
      <c r="Y45" s="22">
        <f t="shared" si="1"/>
        <v>0</v>
      </c>
      <c r="Z45" s="22">
        <f t="shared" si="2"/>
        <v>0</v>
      </c>
    </row>
    <row r="46" spans="1:26" x14ac:dyDescent="0.15">
      <c r="A46" s="63" t="str">
        <f t="shared" si="0"/>
        <v>Sat</v>
      </c>
      <c r="B46" s="29">
        <v>36792</v>
      </c>
      <c r="C46" s="31" t="s">
        <v>414</v>
      </c>
      <c r="D46" s="30" t="s">
        <v>314</v>
      </c>
      <c r="E46" s="30" t="s">
        <v>350</v>
      </c>
      <c r="F46" s="30" t="s">
        <v>1</v>
      </c>
      <c r="G46" s="28">
        <v>44</v>
      </c>
      <c r="H46" s="30">
        <v>10</v>
      </c>
      <c r="I46" s="30"/>
      <c r="J46" s="109" t="s">
        <v>957</v>
      </c>
      <c r="K46" s="28">
        <v>48</v>
      </c>
      <c r="L46" s="30">
        <v>5</v>
      </c>
      <c r="M46" s="30"/>
      <c r="N46" s="31" t="s">
        <v>958</v>
      </c>
      <c r="O46" s="94">
        <v>17.2</v>
      </c>
      <c r="P46" s="94">
        <v>19.2</v>
      </c>
      <c r="Q46" s="32">
        <v>6</v>
      </c>
      <c r="R46" s="32">
        <v>1</v>
      </c>
      <c r="S46" s="32">
        <v>0</v>
      </c>
      <c r="T46" s="32">
        <v>0</v>
      </c>
      <c r="U46" s="32">
        <v>5</v>
      </c>
      <c r="V46" s="32">
        <v>1</v>
      </c>
      <c r="W46" s="32">
        <v>3</v>
      </c>
      <c r="X46" s="32">
        <v>1</v>
      </c>
      <c r="Y46" s="22">
        <f t="shared" si="1"/>
        <v>7</v>
      </c>
      <c r="Z46" s="22">
        <f t="shared" si="2"/>
        <v>10</v>
      </c>
    </row>
    <row r="47" spans="1:26" x14ac:dyDescent="0.15">
      <c r="A47" s="63" t="str">
        <f t="shared" si="0"/>
        <v>Sun</v>
      </c>
      <c r="B47" s="29">
        <v>36793</v>
      </c>
      <c r="C47" s="31" t="s">
        <v>413</v>
      </c>
      <c r="D47" s="30" t="s">
        <v>314</v>
      </c>
      <c r="F47" s="30"/>
      <c r="G47" s="28"/>
      <c r="H47" s="30"/>
      <c r="I47" s="30"/>
      <c r="J47" s="103" t="s">
        <v>969</v>
      </c>
      <c r="K47" s="28"/>
      <c r="L47" s="30"/>
      <c r="M47" s="30"/>
      <c r="N47" s="31"/>
      <c r="O47" s="94"/>
      <c r="P47" s="94"/>
      <c r="Q47" s="32">
        <v>0</v>
      </c>
      <c r="R47" s="32">
        <v>0</v>
      </c>
      <c r="S47" s="32">
        <v>0</v>
      </c>
      <c r="T47" s="32">
        <v>0</v>
      </c>
      <c r="U47" s="32">
        <v>0</v>
      </c>
      <c r="V47" s="32">
        <v>0</v>
      </c>
      <c r="W47" s="32">
        <v>0</v>
      </c>
      <c r="X47" s="32">
        <v>0</v>
      </c>
      <c r="Y47" s="22">
        <f t="shared" si="1"/>
        <v>0</v>
      </c>
      <c r="Z47" s="22">
        <f t="shared" si="2"/>
        <v>0</v>
      </c>
    </row>
    <row r="48" spans="1:26" ht="21" x14ac:dyDescent="0.15">
      <c r="A48" s="63" t="str">
        <f t="shared" si="0"/>
        <v>Sat</v>
      </c>
      <c r="B48" s="29">
        <v>36799</v>
      </c>
      <c r="C48" s="31" t="s">
        <v>970</v>
      </c>
      <c r="D48" s="30" t="s">
        <v>314</v>
      </c>
      <c r="E48" s="30" t="s">
        <v>385</v>
      </c>
      <c r="F48" s="30" t="s">
        <v>1</v>
      </c>
      <c r="G48" s="28">
        <v>161</v>
      </c>
      <c r="H48" s="30">
        <v>5</v>
      </c>
      <c r="I48" s="30"/>
      <c r="J48" s="109" t="s">
        <v>971</v>
      </c>
      <c r="K48" s="28">
        <v>78</v>
      </c>
      <c r="L48" s="30">
        <v>9</v>
      </c>
      <c r="M48" s="30"/>
      <c r="N48" s="31" t="s">
        <v>972</v>
      </c>
      <c r="O48" s="94">
        <v>31.3</v>
      </c>
      <c r="P48" s="94">
        <v>44</v>
      </c>
      <c r="Q48" s="32">
        <v>3</v>
      </c>
      <c r="R48" s="32">
        <v>0</v>
      </c>
      <c r="S48" s="32">
        <v>2</v>
      </c>
      <c r="T48" s="32">
        <v>1</v>
      </c>
      <c r="U48" s="32">
        <v>3</v>
      </c>
      <c r="V48" s="32">
        <v>0</v>
      </c>
      <c r="W48" s="32">
        <v>1</v>
      </c>
      <c r="X48" s="32">
        <v>1</v>
      </c>
      <c r="Y48" s="22">
        <f t="shared" si="1"/>
        <v>6</v>
      </c>
      <c r="Z48" s="22">
        <f t="shared" si="2"/>
        <v>5</v>
      </c>
    </row>
    <row r="49" spans="1:26" x14ac:dyDescent="0.15">
      <c r="A49" s="63" t="str">
        <f t="shared" si="0"/>
        <v>Sat</v>
      </c>
      <c r="B49" s="29"/>
      <c r="C49" s="31"/>
      <c r="D49" s="30"/>
      <c r="E49" s="30"/>
      <c r="F49" s="30"/>
      <c r="G49" s="28"/>
      <c r="H49" s="30"/>
      <c r="I49" s="30"/>
      <c r="J49" s="109"/>
      <c r="K49" s="28"/>
      <c r="L49" s="30"/>
      <c r="M49" s="30"/>
      <c r="N49" s="31"/>
      <c r="O49" s="94"/>
      <c r="P49" s="94"/>
      <c r="Q49" s="32">
        <v>0</v>
      </c>
      <c r="R49" s="32">
        <v>0</v>
      </c>
      <c r="S49" s="32">
        <v>0</v>
      </c>
      <c r="T49" s="32">
        <v>0</v>
      </c>
      <c r="U49" s="32">
        <v>0</v>
      </c>
      <c r="V49" s="32">
        <v>0</v>
      </c>
      <c r="W49" s="32">
        <v>0</v>
      </c>
      <c r="X49" s="32">
        <v>0</v>
      </c>
      <c r="Y49" s="22">
        <f t="shared" si="1"/>
        <v>0</v>
      </c>
      <c r="Z49" s="22">
        <f t="shared" si="2"/>
        <v>0</v>
      </c>
    </row>
    <row r="50" spans="1:26" x14ac:dyDescent="0.15">
      <c r="A50" s="63" t="str">
        <f t="shared" si="0"/>
        <v>Sat</v>
      </c>
      <c r="B50" s="29"/>
      <c r="C50" s="31"/>
      <c r="D50" s="30"/>
      <c r="E50" s="103"/>
      <c r="F50" s="30"/>
      <c r="G50" s="28"/>
      <c r="H50" s="30"/>
      <c r="I50" s="30"/>
      <c r="J50" s="109"/>
      <c r="K50" s="28"/>
      <c r="L50" s="30"/>
      <c r="M50" s="30"/>
      <c r="N50" s="31"/>
      <c r="O50" s="94"/>
      <c r="P50" s="94"/>
      <c r="Q50" s="32">
        <v>0</v>
      </c>
      <c r="R50" s="32">
        <v>0</v>
      </c>
      <c r="S50" s="32">
        <v>0</v>
      </c>
      <c r="T50" s="32">
        <v>0</v>
      </c>
      <c r="U50" s="32">
        <v>0</v>
      </c>
      <c r="V50" s="32">
        <v>0</v>
      </c>
      <c r="W50" s="32">
        <v>0</v>
      </c>
      <c r="X50" s="32">
        <v>0</v>
      </c>
      <c r="Y50" s="22">
        <f t="shared" si="1"/>
        <v>0</v>
      </c>
      <c r="Z50" s="22">
        <f t="shared" si="2"/>
        <v>0</v>
      </c>
    </row>
    <row r="51" spans="1:26" x14ac:dyDescent="0.15">
      <c r="A51" s="63" t="str">
        <f t="shared" si="0"/>
        <v>Sat</v>
      </c>
      <c r="B51" s="29"/>
      <c r="C51" s="31"/>
      <c r="D51" s="30"/>
      <c r="E51" s="30"/>
      <c r="F51" s="30"/>
      <c r="G51" s="28"/>
      <c r="H51" s="30"/>
      <c r="I51" s="30"/>
      <c r="J51" s="109"/>
      <c r="K51" s="28"/>
      <c r="L51" s="30"/>
      <c r="M51" s="30"/>
      <c r="N51" s="31"/>
      <c r="O51" s="94"/>
      <c r="P51" s="94"/>
      <c r="Q51" s="32">
        <v>0</v>
      </c>
      <c r="R51" s="32">
        <v>0</v>
      </c>
      <c r="S51" s="32">
        <v>0</v>
      </c>
      <c r="T51" s="32">
        <v>0</v>
      </c>
      <c r="U51" s="32">
        <v>0</v>
      </c>
      <c r="V51" s="32">
        <v>0</v>
      </c>
      <c r="W51" s="32">
        <v>0</v>
      </c>
      <c r="X51" s="32">
        <v>0</v>
      </c>
      <c r="Y51" s="22">
        <f t="shared" si="1"/>
        <v>0</v>
      </c>
      <c r="Z51" s="22">
        <f t="shared" si="2"/>
        <v>0</v>
      </c>
    </row>
    <row r="52" spans="1:26" x14ac:dyDescent="0.15">
      <c r="A52" s="63" t="str">
        <f t="shared" si="0"/>
        <v>Sat</v>
      </c>
      <c r="B52" s="29"/>
      <c r="C52" s="31"/>
      <c r="D52" s="30"/>
      <c r="E52" s="30"/>
      <c r="F52" s="30"/>
      <c r="G52" s="28"/>
      <c r="H52" s="30"/>
      <c r="I52" s="30"/>
      <c r="J52" s="109"/>
      <c r="K52" s="28"/>
      <c r="L52" s="30"/>
      <c r="M52" s="30"/>
      <c r="N52" s="31"/>
      <c r="O52" s="94"/>
      <c r="P52" s="94"/>
      <c r="Q52" s="32">
        <v>0</v>
      </c>
      <c r="R52" s="32">
        <v>0</v>
      </c>
      <c r="S52" s="32">
        <v>0</v>
      </c>
      <c r="T52" s="32">
        <v>0</v>
      </c>
      <c r="U52" s="32">
        <v>0</v>
      </c>
      <c r="V52" s="32">
        <v>0</v>
      </c>
      <c r="W52" s="32">
        <v>0</v>
      </c>
      <c r="X52" s="32">
        <v>0</v>
      </c>
      <c r="Y52" s="22">
        <f t="shared" si="1"/>
        <v>0</v>
      </c>
      <c r="Z52" s="22">
        <f t="shared" si="2"/>
        <v>0</v>
      </c>
    </row>
    <row r="53" spans="1:26" x14ac:dyDescent="0.15">
      <c r="A53" s="63" t="str">
        <f t="shared" si="0"/>
        <v>Sat</v>
      </c>
      <c r="B53" s="29"/>
      <c r="C53" s="31"/>
      <c r="D53" s="30"/>
      <c r="E53" s="30"/>
      <c r="F53" s="30"/>
      <c r="G53" s="28"/>
      <c r="H53" s="30"/>
      <c r="I53" s="30"/>
      <c r="J53" s="109"/>
      <c r="K53" s="28"/>
      <c r="L53" s="30"/>
      <c r="M53" s="30"/>
      <c r="N53" s="31"/>
      <c r="O53" s="94"/>
      <c r="P53" s="94"/>
      <c r="Q53" s="32">
        <v>0</v>
      </c>
      <c r="R53" s="32">
        <v>0</v>
      </c>
      <c r="S53" s="32">
        <v>0</v>
      </c>
      <c r="T53" s="32">
        <v>0</v>
      </c>
      <c r="U53" s="32">
        <v>0</v>
      </c>
      <c r="V53" s="32">
        <v>0</v>
      </c>
      <c r="W53" s="32">
        <v>0</v>
      </c>
      <c r="X53" s="32">
        <v>0</v>
      </c>
      <c r="Y53" s="22">
        <f t="shared" si="1"/>
        <v>0</v>
      </c>
      <c r="Z53" s="22">
        <f t="shared" si="2"/>
        <v>0</v>
      </c>
    </row>
    <row r="54" spans="1:26" x14ac:dyDescent="0.15">
      <c r="A54" s="63" t="str">
        <f t="shared" si="0"/>
        <v>Sat</v>
      </c>
      <c r="B54" s="29"/>
      <c r="C54" s="115"/>
      <c r="D54" s="30"/>
      <c r="E54" s="30"/>
      <c r="F54" s="30"/>
      <c r="G54" s="28"/>
      <c r="H54" s="30"/>
      <c r="I54" s="30"/>
      <c r="J54" s="109"/>
      <c r="K54" s="28"/>
      <c r="L54" s="30"/>
      <c r="M54" s="30"/>
      <c r="N54" s="31"/>
      <c r="O54" s="94"/>
      <c r="P54" s="94"/>
      <c r="Q54" s="32">
        <v>0</v>
      </c>
      <c r="R54" s="32">
        <v>0</v>
      </c>
      <c r="S54" s="32">
        <v>0</v>
      </c>
      <c r="T54" s="32">
        <v>0</v>
      </c>
      <c r="U54" s="32">
        <v>0</v>
      </c>
      <c r="V54" s="32">
        <v>0</v>
      </c>
      <c r="W54" s="32">
        <v>0</v>
      </c>
      <c r="X54" s="32">
        <v>0</v>
      </c>
      <c r="Y54" s="22">
        <f t="shared" si="1"/>
        <v>0</v>
      </c>
      <c r="Z54" s="22">
        <f t="shared" si="2"/>
        <v>0</v>
      </c>
    </row>
    <row r="55" spans="1:26" x14ac:dyDescent="0.15">
      <c r="A55" s="63" t="str">
        <f t="shared" si="0"/>
        <v>Sat</v>
      </c>
      <c r="B55" s="29"/>
      <c r="C55" s="31"/>
      <c r="D55" s="30"/>
      <c r="E55" s="30"/>
      <c r="F55" s="30"/>
      <c r="G55" s="28"/>
      <c r="H55" s="30"/>
      <c r="I55" s="30"/>
      <c r="J55" s="109"/>
      <c r="K55" s="28"/>
      <c r="L55" s="30"/>
      <c r="M55" s="30"/>
      <c r="N55" s="31"/>
      <c r="O55" s="94"/>
      <c r="P55" s="94"/>
      <c r="Q55" s="32">
        <v>0</v>
      </c>
      <c r="R55" s="32">
        <v>0</v>
      </c>
      <c r="S55" s="32">
        <v>0</v>
      </c>
      <c r="T55" s="32">
        <v>0</v>
      </c>
      <c r="U55" s="32">
        <v>0</v>
      </c>
      <c r="V55" s="32">
        <v>0</v>
      </c>
      <c r="W55" s="32">
        <v>0</v>
      </c>
      <c r="X55" s="32">
        <v>0</v>
      </c>
      <c r="Y55" s="22">
        <f t="shared" si="1"/>
        <v>0</v>
      </c>
      <c r="Z55" s="22">
        <f t="shared" si="2"/>
        <v>0</v>
      </c>
    </row>
    <row r="56" spans="1:26" x14ac:dyDescent="0.15">
      <c r="A56" s="63" t="str">
        <f t="shared" si="0"/>
        <v>Sat</v>
      </c>
      <c r="B56" s="29"/>
      <c r="C56" s="31"/>
      <c r="D56" s="30"/>
      <c r="E56" s="103"/>
      <c r="F56" s="30"/>
      <c r="G56" s="28"/>
      <c r="H56" s="30"/>
      <c r="I56" s="30"/>
      <c r="J56" s="109"/>
      <c r="K56" s="28"/>
      <c r="L56" s="30"/>
      <c r="M56" s="30"/>
      <c r="N56" s="31"/>
      <c r="O56" s="94"/>
      <c r="P56" s="94"/>
      <c r="Q56" s="32">
        <v>0</v>
      </c>
      <c r="R56" s="32">
        <v>0</v>
      </c>
      <c r="S56" s="32">
        <v>0</v>
      </c>
      <c r="T56" s="32">
        <v>0</v>
      </c>
      <c r="U56" s="32">
        <v>0</v>
      </c>
      <c r="V56" s="32">
        <v>0</v>
      </c>
      <c r="W56" s="32">
        <v>0</v>
      </c>
      <c r="X56" s="32">
        <v>0</v>
      </c>
      <c r="Y56" s="22">
        <f t="shared" si="1"/>
        <v>0</v>
      </c>
      <c r="Z56" s="22">
        <f t="shared" si="2"/>
        <v>0</v>
      </c>
    </row>
    <row r="57" spans="1:26" x14ac:dyDescent="0.15">
      <c r="A57" s="63" t="str">
        <f t="shared" si="0"/>
        <v>Sat</v>
      </c>
      <c r="B57" s="29"/>
      <c r="C57" s="31"/>
      <c r="D57" s="30"/>
      <c r="E57" s="30"/>
      <c r="F57" s="30"/>
      <c r="G57" s="28"/>
      <c r="H57" s="30"/>
      <c r="I57" s="30"/>
      <c r="J57" s="109"/>
      <c r="K57" s="28"/>
      <c r="L57" s="30"/>
      <c r="M57" s="30"/>
      <c r="N57" s="31"/>
      <c r="O57" s="94"/>
      <c r="P57" s="94"/>
      <c r="Q57" s="32">
        <v>0</v>
      </c>
      <c r="R57" s="32">
        <v>0</v>
      </c>
      <c r="S57" s="32">
        <v>0</v>
      </c>
      <c r="T57" s="32">
        <v>0</v>
      </c>
      <c r="U57" s="32">
        <v>0</v>
      </c>
      <c r="V57" s="32">
        <v>0</v>
      </c>
      <c r="W57" s="32">
        <v>0</v>
      </c>
      <c r="X57" s="32">
        <v>0</v>
      </c>
      <c r="Y57" s="22">
        <f t="shared" si="1"/>
        <v>0</v>
      </c>
      <c r="Z57" s="22">
        <f t="shared" si="2"/>
        <v>0</v>
      </c>
    </row>
    <row r="58" spans="1:26" x14ac:dyDescent="0.15">
      <c r="A58" s="63" t="str">
        <f t="shared" si="0"/>
        <v>Sat</v>
      </c>
      <c r="B58" s="29"/>
      <c r="C58" s="31"/>
      <c r="D58" s="30"/>
      <c r="E58" s="30"/>
      <c r="F58" s="30"/>
      <c r="G58" s="28"/>
      <c r="H58" s="30"/>
      <c r="I58" s="30" t="s">
        <v>140</v>
      </c>
      <c r="J58" s="109"/>
      <c r="K58" s="28"/>
      <c r="L58" s="30"/>
      <c r="M58" s="30"/>
      <c r="N58" s="31"/>
      <c r="O58" s="94"/>
      <c r="P58" s="94"/>
      <c r="Q58" s="32">
        <v>0</v>
      </c>
      <c r="R58" s="32">
        <v>0</v>
      </c>
      <c r="S58" s="32">
        <v>0</v>
      </c>
      <c r="T58" s="32">
        <v>0</v>
      </c>
      <c r="U58" s="32">
        <v>0</v>
      </c>
      <c r="V58" s="32">
        <v>0</v>
      </c>
      <c r="W58" s="32">
        <v>0</v>
      </c>
      <c r="X58" s="32">
        <v>0</v>
      </c>
      <c r="Y58" s="22">
        <f t="shared" si="1"/>
        <v>0</v>
      </c>
      <c r="Z58" s="22">
        <f t="shared" si="2"/>
        <v>0</v>
      </c>
    </row>
    <row r="59" spans="1:26" x14ac:dyDescent="0.15">
      <c r="A59" s="63" t="str">
        <f t="shared" si="0"/>
        <v>Sat</v>
      </c>
      <c r="B59" s="29"/>
      <c r="C59" s="31"/>
      <c r="D59" s="30"/>
      <c r="E59" s="30"/>
      <c r="F59" s="30"/>
      <c r="G59" s="28"/>
      <c r="H59" s="30"/>
      <c r="I59" s="30" t="s">
        <v>140</v>
      </c>
      <c r="J59" s="109"/>
      <c r="K59" s="28"/>
      <c r="L59" s="30"/>
      <c r="M59" s="30"/>
      <c r="N59" s="31"/>
      <c r="O59" s="94"/>
      <c r="P59" s="94"/>
      <c r="Q59" s="32">
        <v>0</v>
      </c>
      <c r="R59" s="32">
        <v>0</v>
      </c>
      <c r="S59" s="32">
        <v>0</v>
      </c>
      <c r="T59" s="32">
        <v>0</v>
      </c>
      <c r="U59" s="32">
        <v>0</v>
      </c>
      <c r="V59" s="32">
        <v>0</v>
      </c>
      <c r="W59" s="32">
        <v>0</v>
      </c>
      <c r="X59" s="32">
        <v>0</v>
      </c>
      <c r="Y59" s="22">
        <f t="shared" si="1"/>
        <v>0</v>
      </c>
      <c r="Z59" s="22">
        <f t="shared" si="2"/>
        <v>0</v>
      </c>
    </row>
    <row r="60" spans="1:26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110"/>
      <c r="K60" s="33"/>
      <c r="L60" s="35"/>
      <c r="M60" s="35"/>
      <c r="N60" s="36"/>
      <c r="O60" s="36"/>
      <c r="P60" s="36"/>
      <c r="Q60" s="37"/>
      <c r="R60" s="37"/>
      <c r="S60" s="37"/>
      <c r="T60" s="37"/>
      <c r="U60" s="37"/>
      <c r="V60" s="37"/>
      <c r="W60" s="37"/>
      <c r="X60" s="37"/>
    </row>
    <row r="61" spans="1:26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110"/>
      <c r="K61" s="33"/>
      <c r="L61" s="35"/>
      <c r="M61" s="35"/>
      <c r="N61" s="36" t="s">
        <v>222</v>
      </c>
      <c r="O61" s="36">
        <f>MAX(O5:O59)</f>
        <v>45</v>
      </c>
      <c r="P61" s="36">
        <f>MAX(P5:P59)</f>
        <v>47.4</v>
      </c>
      <c r="Q61" s="37"/>
      <c r="R61" s="37"/>
      <c r="S61" s="37"/>
      <c r="T61" s="37"/>
      <c r="U61" s="37"/>
      <c r="V61" s="37"/>
      <c r="W61" s="37"/>
      <c r="X61" s="37"/>
    </row>
    <row r="62" spans="1:26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110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26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110"/>
      <c r="K63" s="33"/>
      <c r="L63" s="35"/>
      <c r="M63" s="35"/>
      <c r="N63" s="36"/>
      <c r="O63" s="36">
        <f t="array" ref="O63">SUM(FLOOR(O5:O59,1))</f>
        <v>1112</v>
      </c>
      <c r="P63" s="36">
        <f t="array" ref="P63">SUM(FLOOR(P5:P59,1))</f>
        <v>1231</v>
      </c>
      <c r="Q63" s="37">
        <f>SUM(Q5:Q59)</f>
        <v>173</v>
      </c>
      <c r="R63" s="37">
        <f t="shared" ref="R63:Z63" si="3">SUM(R5:R59)</f>
        <v>28</v>
      </c>
      <c r="S63" s="37">
        <f t="shared" si="3"/>
        <v>146</v>
      </c>
      <c r="T63" s="37">
        <f t="shared" si="3"/>
        <v>70</v>
      </c>
      <c r="U63" s="37">
        <f t="shared" si="3"/>
        <v>216</v>
      </c>
      <c r="V63" s="37">
        <f t="shared" si="3"/>
        <v>42</v>
      </c>
      <c r="W63" s="37">
        <f t="shared" si="3"/>
        <v>154</v>
      </c>
      <c r="X63" s="37">
        <f t="shared" si="3"/>
        <v>67</v>
      </c>
      <c r="Y63" s="37">
        <f t="shared" si="3"/>
        <v>417</v>
      </c>
      <c r="Z63" s="37">
        <f t="shared" si="3"/>
        <v>479</v>
      </c>
    </row>
    <row r="64" spans="1:26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110"/>
      <c r="K64" s="33"/>
      <c r="L64" s="35"/>
      <c r="M64" s="35"/>
      <c r="N64" s="36"/>
      <c r="O64" s="36">
        <f t="array" ref="O64">SUM(O5:O59-FLOOR(O5:O59,1))*10</f>
        <v>39.000000000000021</v>
      </c>
      <c r="P64" s="36">
        <f t="array" ref="P64">SUM(P5:P59-FLOOR(P5:P59,1))*10</f>
        <v>46.000000000000014</v>
      </c>
      <c r="Q64" s="37"/>
      <c r="R64" s="37"/>
      <c r="S64" s="37"/>
      <c r="T64" s="37"/>
      <c r="U64" s="37"/>
      <c r="V64" s="37"/>
      <c r="W64" s="37"/>
      <c r="X64" s="37"/>
    </row>
    <row r="65" spans="1:24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110"/>
      <c r="K65" s="33"/>
      <c r="L65" s="35"/>
      <c r="M65" s="35"/>
      <c r="N65" s="36" t="s">
        <v>221</v>
      </c>
      <c r="O65" s="36">
        <f>O63*6+O64</f>
        <v>6711</v>
      </c>
      <c r="P65" s="36">
        <f>P63*6+P64</f>
        <v>7432</v>
      </c>
      <c r="Q65" s="37"/>
      <c r="R65" s="37"/>
      <c r="S65" s="37">
        <f>MAX(S7:S59)</f>
        <v>14</v>
      </c>
      <c r="T65" s="37"/>
      <c r="U65" s="37"/>
      <c r="V65" s="37"/>
      <c r="W65" s="37">
        <f>MAX(W7:W59)</f>
        <v>15</v>
      </c>
      <c r="X65" s="37"/>
    </row>
    <row r="66" spans="1:24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110"/>
      <c r="K66" s="33"/>
      <c r="L66" s="35"/>
      <c r="M66" s="35"/>
      <c r="N66" s="36"/>
      <c r="O66" s="36">
        <f>INT(O65/6)+(O65-INT(O65/6)*6)/10</f>
        <v>1118.3</v>
      </c>
      <c r="P66" s="36">
        <f>INT(P65/6)+(P65-INT(P65/6)*6)/10</f>
        <v>1238.4000000000001</v>
      </c>
      <c r="Q66" s="37"/>
      <c r="R66" s="37"/>
      <c r="S66" s="37"/>
      <c r="T66" s="37"/>
      <c r="U66" s="37"/>
      <c r="V66" s="37"/>
      <c r="W66" s="37"/>
      <c r="X66" s="37"/>
    </row>
    <row r="67" spans="1:24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110"/>
      <c r="K67" s="33"/>
      <c r="L67" s="35"/>
      <c r="M67" s="35"/>
      <c r="N67" s="36"/>
      <c r="O67" s="36"/>
      <c r="P67" s="36"/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4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85" orientation="landscape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G87"/>
  <sheetViews>
    <sheetView workbookViewId="0">
      <pane xSplit="3" ySplit="4" topLeftCell="D20" activePane="bottomRight" state="frozenSplit"/>
      <selection pane="topRight" activeCell="D1" sqref="D1"/>
      <selection pane="bottomLeft" activeCell="A4" sqref="A4"/>
      <selection pane="bottomRight" activeCell="C89" sqref="C89"/>
    </sheetView>
  </sheetViews>
  <sheetFormatPr defaultRowHeight="10.5" x14ac:dyDescent="0.15"/>
  <cols>
    <col min="1" max="1" width="6.28515625" style="71" bestFit="1" customWidth="1"/>
    <col min="2" max="2" width="7" style="71" bestFit="1" customWidth="1"/>
    <col min="3" max="3" width="12.85546875" style="71" bestFit="1" customWidth="1"/>
    <col min="4" max="4" width="3.28515625" style="71" customWidth="1"/>
    <col min="5" max="5" width="13.7109375" style="71" bestFit="1" customWidth="1"/>
    <col min="6" max="6" width="3.5703125" style="71" customWidth="1"/>
    <col min="7" max="7" width="14.140625" style="71" bestFit="1" customWidth="1"/>
    <col min="8" max="8" width="11.85546875" style="71" bestFit="1" customWidth="1"/>
    <col min="9" max="9" width="13.5703125" style="71" bestFit="1" customWidth="1"/>
    <col min="10" max="10" width="12.28515625" style="71" bestFit="1" customWidth="1"/>
    <col min="11" max="11" width="12.42578125" style="71" bestFit="1" customWidth="1"/>
    <col min="12" max="12" width="13.42578125" style="71" bestFit="1" customWidth="1"/>
    <col min="13" max="14" width="14.7109375" style="71" bestFit="1" customWidth="1"/>
    <col min="15" max="15" width="12.85546875" style="71" bestFit="1" customWidth="1"/>
    <col min="16" max="16" width="13.140625" style="71" bestFit="1" customWidth="1"/>
    <col min="17" max="17" width="12.42578125" style="71" bestFit="1" customWidth="1"/>
    <col min="18" max="18" width="13.7109375" style="71" bestFit="1" customWidth="1"/>
    <col min="19" max="19" width="14.140625" style="71" bestFit="1" customWidth="1"/>
    <col min="20" max="21" width="13.42578125" style="71" bestFit="1" customWidth="1"/>
    <col min="22" max="22" width="15.28515625" style="71" bestFit="1" customWidth="1"/>
    <col min="23" max="23" width="13.42578125" style="71" bestFit="1" customWidth="1"/>
    <col min="24" max="26" width="3.42578125" style="71" customWidth="1"/>
    <col min="27" max="27" width="14.7109375" style="71" bestFit="1" customWidth="1"/>
    <col min="28" max="28" width="14.5703125" style="71" bestFit="1" customWidth="1"/>
    <col min="29" max="29" width="12.42578125" style="71" bestFit="1" customWidth="1"/>
    <col min="30" max="30" width="13.5703125" style="71" bestFit="1" customWidth="1"/>
    <col min="31" max="31" width="14.28515625" style="71" bestFit="1" customWidth="1"/>
    <col min="32" max="33" width="12.28515625" style="71" bestFit="1" customWidth="1"/>
    <col min="34" max="34" width="11.28515625" style="71" bestFit="1" customWidth="1"/>
    <col min="35" max="35" width="12.140625" style="71" bestFit="1" customWidth="1"/>
    <col min="36" max="36" width="12.5703125" style="71" bestFit="1" customWidth="1"/>
    <col min="37" max="37" width="17.28515625" style="71" bestFit="1" customWidth="1"/>
    <col min="38" max="39" width="3.42578125" style="71" customWidth="1"/>
    <col min="40" max="40" width="15" style="71" bestFit="1" customWidth="1"/>
    <col min="41" max="41" width="14.140625" style="71" bestFit="1" customWidth="1"/>
    <col min="42" max="42" width="13.140625" style="71" bestFit="1" customWidth="1"/>
    <col min="43" max="43" width="3.42578125" style="71" customWidth="1"/>
    <col min="44" max="44" width="15.28515625" style="71" bestFit="1" customWidth="1"/>
    <col min="45" max="45" width="12.7109375" style="71" bestFit="1" customWidth="1"/>
    <col min="46" max="82" width="3.42578125" style="71" customWidth="1"/>
    <col min="83" max="83" width="7.5703125" style="71" bestFit="1" customWidth="1"/>
    <col min="84" max="85" width="4.5703125" style="71" bestFit="1" customWidth="1"/>
    <col min="86" max="86" width="7.140625" style="71" bestFit="1" customWidth="1"/>
    <col min="87" max="87" width="8" style="71" hidden="1" customWidth="1"/>
    <col min="88" max="88" width="4.5703125" style="71" bestFit="1" customWidth="1"/>
    <col min="89" max="89" width="5" style="71" bestFit="1" customWidth="1"/>
    <col min="90" max="90" width="7.28515625" style="62" bestFit="1" customWidth="1"/>
    <col min="91" max="91" width="6.140625" style="71" bestFit="1" customWidth="1"/>
    <col min="92" max="92" width="5.7109375" style="71" bestFit="1" customWidth="1"/>
    <col min="93" max="93" width="5.5703125" style="71" bestFit="1" customWidth="1"/>
    <col min="94" max="94" width="4.140625" style="71" bestFit="1" customWidth="1"/>
    <col min="95" max="95" width="6" style="71" bestFit="1" customWidth="1"/>
    <col min="96" max="97" width="4.42578125" style="71" bestFit="1" customWidth="1"/>
    <col min="98" max="98" width="3.28515625" style="71" bestFit="1" customWidth="1"/>
    <col min="99" max="99" width="3.140625" style="71" bestFit="1" customWidth="1"/>
    <col min="100" max="100" width="3.42578125" style="71" bestFit="1" customWidth="1"/>
    <col min="101" max="101" width="7.5703125" style="71" bestFit="1" customWidth="1"/>
    <col min="102" max="103" width="5.42578125" style="71" bestFit="1" customWidth="1"/>
    <col min="104" max="104" width="9.5703125" style="71" bestFit="1" customWidth="1"/>
    <col min="105" max="105" width="6.5703125" style="71" bestFit="1" customWidth="1"/>
    <col min="106" max="106" width="5.140625" style="71" bestFit="1" customWidth="1"/>
    <col min="107" max="107" width="8" style="71" hidden="1" customWidth="1"/>
    <col min="108" max="109" width="5.140625" style="71" bestFit="1" customWidth="1"/>
    <col min="110" max="16384" width="9.140625" style="71"/>
  </cols>
  <sheetData>
    <row r="1" spans="1:111" s="70" customFormat="1" ht="50.25" customHeight="1" x14ac:dyDescent="0.15">
      <c r="A1" s="67"/>
      <c r="B1" s="67"/>
      <c r="C1" s="52" t="str">
        <f t="array" ref="C1:CD4">TRANSPOSE(Matches!B4:E82)</f>
        <v>Date</v>
      </c>
      <c r="D1" s="68">
        <v>36646</v>
      </c>
      <c r="E1" s="68">
        <v>36652</v>
      </c>
      <c r="F1" s="68">
        <v>36653</v>
      </c>
      <c r="G1" s="68">
        <v>36659</v>
      </c>
      <c r="H1" s="68">
        <v>36660</v>
      </c>
      <c r="I1" s="68">
        <v>36666</v>
      </c>
      <c r="J1" s="68">
        <v>36667</v>
      </c>
      <c r="K1" s="68">
        <v>36674</v>
      </c>
      <c r="L1" s="68">
        <v>36675</v>
      </c>
      <c r="M1" s="68">
        <v>36676</v>
      </c>
      <c r="N1" s="68">
        <v>36680</v>
      </c>
      <c r="O1" s="68">
        <v>36681</v>
      </c>
      <c r="P1" s="68">
        <v>36687</v>
      </c>
      <c r="Q1" s="68">
        <v>36688</v>
      </c>
      <c r="R1" s="68">
        <v>36694</v>
      </c>
      <c r="S1" s="68">
        <v>36695</v>
      </c>
      <c r="T1" s="68">
        <v>36701</v>
      </c>
      <c r="U1" s="68">
        <v>36702</v>
      </c>
      <c r="V1" s="68">
        <v>36708</v>
      </c>
      <c r="W1" s="68">
        <v>36709</v>
      </c>
      <c r="X1" s="68">
        <v>36715</v>
      </c>
      <c r="Y1" s="68">
        <v>36716</v>
      </c>
      <c r="Z1" s="68">
        <v>36722</v>
      </c>
      <c r="AA1" s="68">
        <v>36729</v>
      </c>
      <c r="AB1" s="68">
        <v>36730</v>
      </c>
      <c r="AC1" s="68">
        <v>36736</v>
      </c>
      <c r="AD1" s="68">
        <v>36737</v>
      </c>
      <c r="AE1" s="68">
        <v>36743</v>
      </c>
      <c r="AF1" s="68">
        <v>36744</v>
      </c>
      <c r="AG1" s="68">
        <v>36750</v>
      </c>
      <c r="AH1" s="68">
        <v>36751</v>
      </c>
      <c r="AI1" s="68">
        <v>36757</v>
      </c>
      <c r="AJ1" s="68">
        <v>36758</v>
      </c>
      <c r="AK1" s="68">
        <v>36764</v>
      </c>
      <c r="AL1" s="68">
        <v>36765</v>
      </c>
      <c r="AM1" s="68">
        <v>36771</v>
      </c>
      <c r="AN1" s="68">
        <v>36772</v>
      </c>
      <c r="AO1" s="68">
        <v>36778</v>
      </c>
      <c r="AP1" s="68">
        <v>36779</v>
      </c>
      <c r="AQ1" s="68">
        <v>36785</v>
      </c>
      <c r="AR1" s="68">
        <v>36786</v>
      </c>
      <c r="AS1" s="68">
        <v>36792</v>
      </c>
      <c r="AT1" s="68">
        <v>36793</v>
      </c>
      <c r="AU1" s="68">
        <v>36799</v>
      </c>
      <c r="AV1" s="68">
        <v>0</v>
      </c>
      <c r="AW1" s="68">
        <v>0</v>
      </c>
      <c r="AX1" s="68">
        <v>0</v>
      </c>
      <c r="AY1" s="68">
        <v>0</v>
      </c>
      <c r="AZ1" s="68">
        <v>0</v>
      </c>
      <c r="BA1" s="68">
        <v>0</v>
      </c>
      <c r="BB1" s="68">
        <v>0</v>
      </c>
      <c r="BC1" s="68">
        <v>0</v>
      </c>
      <c r="BD1" s="68">
        <v>0</v>
      </c>
      <c r="BE1" s="68">
        <v>0</v>
      </c>
      <c r="BF1" s="68">
        <v>0</v>
      </c>
      <c r="BG1" s="68">
        <v>0</v>
      </c>
      <c r="BH1" s="68">
        <v>0</v>
      </c>
      <c r="BI1" s="68">
        <v>0</v>
      </c>
      <c r="BJ1" s="68">
        <v>0</v>
      </c>
      <c r="BK1" s="68">
        <v>0</v>
      </c>
      <c r="BL1" s="68">
        <v>0</v>
      </c>
      <c r="BM1" s="68">
        <v>0</v>
      </c>
      <c r="BN1" s="68">
        <v>0</v>
      </c>
      <c r="BO1" s="68">
        <v>0</v>
      </c>
      <c r="BP1" s="68">
        <v>0</v>
      </c>
      <c r="BQ1" s="68">
        <v>0</v>
      </c>
      <c r="BR1" s="68">
        <v>0</v>
      </c>
      <c r="BS1" s="68">
        <v>0</v>
      </c>
      <c r="BT1" s="68">
        <v>0</v>
      </c>
      <c r="BU1" s="68">
        <v>0</v>
      </c>
      <c r="BV1" s="68">
        <v>0</v>
      </c>
      <c r="BW1" s="68">
        <v>0</v>
      </c>
      <c r="BX1" s="68">
        <v>0</v>
      </c>
      <c r="BY1" s="68">
        <v>0</v>
      </c>
      <c r="BZ1" s="68">
        <v>0</v>
      </c>
      <c r="CA1" s="68">
        <v>0</v>
      </c>
      <c r="CB1" s="68">
        <v>0</v>
      </c>
      <c r="CC1" s="68">
        <v>0</v>
      </c>
      <c r="CD1" s="68" t="e">
        <v>#N/A</v>
      </c>
      <c r="CE1" s="67"/>
      <c r="CF1" s="67"/>
      <c r="CG1" s="67"/>
      <c r="CH1" s="67"/>
      <c r="CI1" s="67"/>
      <c r="CJ1" s="67"/>
      <c r="CK1" s="67"/>
      <c r="CL1" s="69"/>
    </row>
    <row r="2" spans="1:111" ht="83.25" customHeight="1" x14ac:dyDescent="0.15">
      <c r="C2" s="55" t="str">
        <v>Opp</v>
      </c>
      <c r="D2" s="72" t="str">
        <v>Bromley Common</v>
      </c>
      <c r="E2" s="72" t="str">
        <v>Blackheath Select XI</v>
      </c>
      <c r="F2" s="72" t="str">
        <v>Commonwealth Offices</v>
      </c>
      <c r="G2" s="72" t="str">
        <v>Legless XI</v>
      </c>
      <c r="H2" s="72" t="str">
        <v>Falcon</v>
      </c>
      <c r="I2" s="72" t="str">
        <v>Riverside</v>
      </c>
      <c r="J2" s="72" t="str">
        <v>Thurlow Park RAFA</v>
      </c>
      <c r="K2" s="72" t="str">
        <v>Woodgreen</v>
      </c>
      <c r="L2" s="72" t="str">
        <v>Steeple Langford</v>
      </c>
      <c r="M2" s="72" t="str">
        <v>Cove</v>
      </c>
      <c r="N2" s="72" t="str">
        <v>Deansbank</v>
      </c>
      <c r="O2" s="72" t="str">
        <v>Hextable</v>
      </c>
      <c r="P2" s="72" t="str">
        <v>Norwood Exiles</v>
      </c>
      <c r="Q2" s="72" t="str">
        <v>Cypos</v>
      </c>
      <c r="R2" s="72" t="str">
        <v>Blackheath Select XI</v>
      </c>
      <c r="S2" s="72" t="str">
        <v>4 C's</v>
      </c>
      <c r="T2" s="72" t="str">
        <v>Wilmington</v>
      </c>
      <c r="U2" s="72" t="str">
        <v>Prospect Park</v>
      </c>
      <c r="V2" s="72" t="str">
        <v>4 C's</v>
      </c>
      <c r="W2" s="72" t="str">
        <v>Sunderland Supporters</v>
      </c>
      <c r="X2" s="72">
        <v>0</v>
      </c>
      <c r="Y2" s="72" t="str">
        <v>Murray</v>
      </c>
      <c r="Z2" s="72">
        <v>0</v>
      </c>
      <c r="AA2" s="72" t="str">
        <v>The Priory</v>
      </c>
      <c r="AB2" s="72" t="str">
        <v>Falcon</v>
      </c>
      <c r="AC2" s="72" t="str">
        <v>Old Dunstonians</v>
      </c>
      <c r="AD2" s="72" t="str">
        <v>Wild Geese</v>
      </c>
      <c r="AE2" s="72" t="str">
        <v>Old Josephians</v>
      </c>
      <c r="AF2" s="72" t="str">
        <v>Whyteleaf</v>
      </c>
      <c r="AG2" s="72" t="str">
        <v>Lessa Wanderers</v>
      </c>
      <c r="AH2" s="72" t="str">
        <v>Addington</v>
      </c>
      <c r="AI2" s="72" t="str">
        <v>Riverside</v>
      </c>
      <c r="AJ2" s="72" t="str">
        <v>Hextable</v>
      </c>
      <c r="AK2" s="72" t="str">
        <v>Legless XI</v>
      </c>
      <c r="AL2" s="72" t="str">
        <v>Estonia</v>
      </c>
      <c r="AM2" s="72" t="str">
        <v>Old Paulines</v>
      </c>
      <c r="AN2" s="72" t="str">
        <v>Beddington</v>
      </c>
      <c r="AO2" s="72" t="str">
        <v>Lessa Wanderers</v>
      </c>
      <c r="AP2" s="72" t="str">
        <v>Selsdon</v>
      </c>
      <c r="AQ2" s="72" t="str">
        <v>Prospect Park</v>
      </c>
      <c r="AR2" s="72" t="str">
        <v>East Cheam</v>
      </c>
      <c r="AS2" s="72" t="str">
        <v>The Priory</v>
      </c>
      <c r="AT2" s="72" t="str">
        <v>Murray</v>
      </c>
      <c r="AU2" s="72" t="str">
        <v>Carshalton &amp; Croydon Gas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 t="e">
        <v>#N/A</v>
      </c>
      <c r="CO2" s="71" t="s">
        <v>4</v>
      </c>
    </row>
    <row r="3" spans="1:111" x14ac:dyDescent="0.15">
      <c r="C3" s="55" t="str">
        <v>Venue</v>
      </c>
      <c r="D3" s="55" t="str">
        <v>H</v>
      </c>
      <c r="E3" s="55" t="str">
        <v>H</v>
      </c>
      <c r="F3" s="55" t="str">
        <v>H</v>
      </c>
      <c r="G3" s="55" t="str">
        <v>H</v>
      </c>
      <c r="H3" s="55" t="str">
        <v>A</v>
      </c>
      <c r="I3" s="55" t="str">
        <v>A</v>
      </c>
      <c r="J3" s="55" t="str">
        <v>H</v>
      </c>
      <c r="K3" s="55" t="str">
        <v>A</v>
      </c>
      <c r="L3" s="55" t="str">
        <v>A</v>
      </c>
      <c r="M3" s="55" t="str">
        <v>A</v>
      </c>
      <c r="N3" s="55" t="str">
        <v>H</v>
      </c>
      <c r="O3" s="55" t="str">
        <v>H</v>
      </c>
      <c r="P3" s="55" t="str">
        <v>H</v>
      </c>
      <c r="Q3" s="55" t="str">
        <v>A</v>
      </c>
      <c r="R3" s="55" t="str">
        <v>A</v>
      </c>
      <c r="S3" s="55" t="str">
        <v>H</v>
      </c>
      <c r="T3" s="55" t="str">
        <v>H</v>
      </c>
      <c r="U3" s="55" t="str">
        <v>A</v>
      </c>
      <c r="V3" s="55" t="str">
        <v>H</v>
      </c>
      <c r="W3" s="55" t="str">
        <v>H</v>
      </c>
      <c r="X3" s="55" t="str">
        <v>A</v>
      </c>
      <c r="Y3" s="55" t="str">
        <v>A</v>
      </c>
      <c r="Z3" s="55" t="str">
        <v>H</v>
      </c>
      <c r="AA3" s="55" t="str">
        <v>A</v>
      </c>
      <c r="AB3" s="55" t="str">
        <v>A</v>
      </c>
      <c r="AC3" s="55" t="str">
        <v>A</v>
      </c>
      <c r="AD3" s="55" t="str">
        <v>H</v>
      </c>
      <c r="AE3" s="55" t="str">
        <v>H</v>
      </c>
      <c r="AF3" s="55" t="str">
        <v>A</v>
      </c>
      <c r="AG3" s="55" t="str">
        <v>H</v>
      </c>
      <c r="AH3" s="55" t="str">
        <v>H</v>
      </c>
      <c r="AI3" s="55" t="str">
        <v>H</v>
      </c>
      <c r="AJ3" s="55" t="str">
        <v>H</v>
      </c>
      <c r="AK3" s="55" t="str">
        <v>H</v>
      </c>
      <c r="AL3" s="55" t="str">
        <v>H</v>
      </c>
      <c r="AM3" s="55" t="str">
        <v>A</v>
      </c>
      <c r="AN3" s="55" t="str">
        <v>A</v>
      </c>
      <c r="AO3" s="55" t="str">
        <v>H</v>
      </c>
      <c r="AP3" s="55" t="str">
        <v>H</v>
      </c>
      <c r="AQ3" s="55" t="str">
        <v>H</v>
      </c>
      <c r="AR3" s="55" t="str">
        <v>H</v>
      </c>
      <c r="AS3" s="55" t="str">
        <v>H</v>
      </c>
      <c r="AT3" s="55" t="str">
        <v>H</v>
      </c>
      <c r="AU3" s="55" t="str">
        <v>H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1" x14ac:dyDescent="0.15">
      <c r="C4" s="55" t="str">
        <v>Result</v>
      </c>
      <c r="D4" s="71">
        <v>0</v>
      </c>
      <c r="E4" s="55" t="str">
        <v>D</v>
      </c>
      <c r="F4" s="55">
        <v>0</v>
      </c>
      <c r="G4" s="55" t="str">
        <v>W</v>
      </c>
      <c r="H4" s="55" t="str">
        <v>D</v>
      </c>
      <c r="I4" s="55" t="str">
        <v>L</v>
      </c>
      <c r="J4" s="55">
        <v>0</v>
      </c>
      <c r="K4" s="55" t="str">
        <v>W</v>
      </c>
      <c r="L4" s="55" t="str">
        <v>W</v>
      </c>
      <c r="M4" s="55" t="str">
        <v>D</v>
      </c>
      <c r="N4" s="55" t="str">
        <v>D</v>
      </c>
      <c r="O4" s="55" t="str">
        <v>W</v>
      </c>
      <c r="P4" s="55" t="str">
        <v>D</v>
      </c>
      <c r="Q4" s="55" t="str">
        <v>L</v>
      </c>
      <c r="R4" s="55" t="str">
        <v>W</v>
      </c>
      <c r="S4" s="55" t="str">
        <v>D</v>
      </c>
      <c r="T4" s="55" t="str">
        <v>W</v>
      </c>
      <c r="U4" s="55" t="str">
        <v>L</v>
      </c>
      <c r="V4" s="55" t="str">
        <v>D</v>
      </c>
      <c r="W4" s="55" t="str">
        <v>W</v>
      </c>
      <c r="X4" s="55">
        <v>0</v>
      </c>
      <c r="Y4" s="55">
        <v>0</v>
      </c>
      <c r="Z4" s="55">
        <v>0</v>
      </c>
      <c r="AA4" s="55" t="str">
        <v>W</v>
      </c>
      <c r="AB4" s="55" t="str">
        <v>W</v>
      </c>
      <c r="AC4" s="55" t="str">
        <v>L</v>
      </c>
      <c r="AD4" s="55" t="str">
        <v>L</v>
      </c>
      <c r="AE4" s="55" t="str">
        <v>W</v>
      </c>
      <c r="AF4" s="55" t="str">
        <v>W</v>
      </c>
      <c r="AG4" s="55" t="str">
        <v>D</v>
      </c>
      <c r="AH4" s="55" t="str">
        <v>W</v>
      </c>
      <c r="AI4" s="55" t="str">
        <v>L</v>
      </c>
      <c r="AJ4" s="55" t="str">
        <v>W</v>
      </c>
      <c r="AK4" s="55" t="str">
        <v>W</v>
      </c>
      <c r="AL4" s="55">
        <v>0</v>
      </c>
      <c r="AM4" s="55">
        <v>0</v>
      </c>
      <c r="AN4" s="55" t="str">
        <v>D</v>
      </c>
      <c r="AO4" s="55" t="str">
        <v>L</v>
      </c>
      <c r="AP4" s="55" t="str">
        <v>T</v>
      </c>
      <c r="AQ4" s="55">
        <v>0</v>
      </c>
      <c r="AR4" s="55" t="str">
        <v>W</v>
      </c>
      <c r="AS4" s="55" t="str">
        <v>W</v>
      </c>
      <c r="AT4" s="55">
        <v>0</v>
      </c>
      <c r="AU4" s="55" t="str">
        <v>L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162</v>
      </c>
      <c r="CJ4" s="50" t="s">
        <v>186</v>
      </c>
      <c r="CK4" s="50" t="s">
        <v>9</v>
      </c>
      <c r="CL4" s="47" t="s">
        <v>52</v>
      </c>
      <c r="CM4" s="71" t="s">
        <v>11</v>
      </c>
      <c r="CN4" s="71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21</v>
      </c>
      <c r="CX4" s="50" t="s">
        <v>22</v>
      </c>
      <c r="CY4" s="50" t="s">
        <v>23</v>
      </c>
      <c r="CZ4" s="50" t="s">
        <v>24</v>
      </c>
      <c r="DA4" s="71" t="s">
        <v>164</v>
      </c>
      <c r="DB4" s="71" t="s">
        <v>165</v>
      </c>
      <c r="DC4" s="71" t="s">
        <v>184</v>
      </c>
      <c r="DD4" s="71" t="s">
        <v>183</v>
      </c>
      <c r="DE4" s="71" t="s">
        <v>190</v>
      </c>
      <c r="DF4" s="71" t="s">
        <v>245</v>
      </c>
      <c r="DG4" s="71" t="s">
        <v>260</v>
      </c>
    </row>
    <row r="5" spans="1:111" x14ac:dyDescent="0.15">
      <c r="A5" s="71" t="s">
        <v>277</v>
      </c>
      <c r="B5" s="71" t="s">
        <v>249</v>
      </c>
      <c r="C5" s="71" t="s">
        <v>250</v>
      </c>
      <c r="H5" s="71" t="s">
        <v>431</v>
      </c>
      <c r="I5" s="71" t="s">
        <v>392</v>
      </c>
      <c r="U5" s="71" t="s">
        <v>636</v>
      </c>
      <c r="W5" s="71" t="s">
        <v>675</v>
      </c>
      <c r="AG5" s="71" t="s">
        <v>810</v>
      </c>
      <c r="CE5" s="71">
        <f t="shared" ref="CE5:CE16" si="0">BatSplit(D5:CD5,MatchesPlayed)</f>
        <v>5</v>
      </c>
      <c r="CF5" s="71">
        <f t="shared" ref="CF5:CF19" si="1">CE5-CG5</f>
        <v>0</v>
      </c>
      <c r="CG5" s="71">
        <f t="shared" ref="CG5:CG19" si="2">BatSplit(D5:CD5,InnsBattedIn)</f>
        <v>5</v>
      </c>
      <c r="CH5" s="71">
        <f t="shared" ref="CH5:CH19" si="3">BatSplit(D5:CD5,NotOuts)</f>
        <v>0</v>
      </c>
      <c r="CI5" s="71">
        <f t="shared" ref="CI5:CI19" si="4">BatSplit(D5:CD5,HighestScore)</f>
        <v>22</v>
      </c>
      <c r="CJ5" s="71">
        <f>IF(CI5&lt;0,-CI5&amp;"*",CI5)</f>
        <v>22</v>
      </c>
      <c r="CK5" s="71">
        <f t="shared" ref="CK5:CK19" si="5">BatSplit(D5:CD5,RunsScored)</f>
        <v>30</v>
      </c>
      <c r="CL5" s="73">
        <f>IF(CG5=CH5,0,CK5/(CG5-CH5))</f>
        <v>6</v>
      </c>
      <c r="CM5" s="71">
        <f t="shared" ref="CM5:CM19" si="6">BatSplit(D5:CD5,BatPts)</f>
        <v>20</v>
      </c>
      <c r="CN5" s="71">
        <f t="shared" ref="CN5:CN19" si="7">BatSplit(D5:CD5,FldPts)</f>
        <v>15</v>
      </c>
      <c r="CO5" s="74">
        <f t="array" ref="CO5">SUM(IF(ISERR(FIND("*",D5:CD5)),0,1))</f>
        <v>0</v>
      </c>
      <c r="CP5" s="74">
        <f t="array" ref="CP5">SUM(IF(ISERR(FIND("+",D5:CD5)),0,1))</f>
        <v>0</v>
      </c>
      <c r="CQ5" s="71">
        <f t="shared" ref="CQ5:CQ19" si="8">BatSplit(D5:CD5,Ducks)</f>
        <v>2</v>
      </c>
      <c r="CR5" s="74">
        <f t="array" ref="CR5">SUM(IF(ISERR(FIND(CR$4,$D5:$CD5)),0,1))</f>
        <v>2</v>
      </c>
      <c r="CS5" s="74">
        <f t="array" ref="CS5">SUM(IF(ISERR(FIND(CS$4,$D5:$CD5)),0,1))</f>
        <v>2</v>
      </c>
      <c r="CT5" s="74">
        <f t="array" ref="CT5">SUM(IF(ISERR(FIND(CT$4,$D5:$CD5)),0,1))</f>
        <v>0</v>
      </c>
      <c r="CU5" s="74">
        <f t="array" ref="CU5">SUM(IF(ISERR(FIND(CU$4,$D5:$CD5)),0,1))</f>
        <v>1</v>
      </c>
      <c r="CV5" s="74">
        <f t="array" ref="CV5">SUM(IF(ISERR(FIND(CV$4,$D5:$CD5)),0,1))</f>
        <v>0</v>
      </c>
      <c r="CW5" s="71">
        <f t="shared" ref="CW5:CW19" si="9">BatSplit(D5:CD5,Catches)</f>
        <v>3</v>
      </c>
      <c r="CX5" s="71">
        <f t="shared" ref="CX5:CX19" si="10">BatSplit(D5:CD5,Fours)</f>
        <v>5</v>
      </c>
      <c r="CY5" s="71">
        <f t="shared" ref="CY5:CY19" si="11">BatSplit(D5:CD5,Sixes)</f>
        <v>0</v>
      </c>
      <c r="CZ5" s="116">
        <f t="shared" ref="CZ5:CZ19" si="12">BatSplit(D5:CD5,Stumpings)</f>
        <v>0</v>
      </c>
      <c r="DA5" s="71">
        <f>BatSplit(D5:CD5,CaughtWkt)</f>
        <v>0</v>
      </c>
      <c r="DB5" s="71">
        <f>BatSplit(D5:CD5,TwentyFives)</f>
        <v>0</v>
      </c>
      <c r="DC5" s="71">
        <f>ROUND(IF(ISERROR(CL5),0,CL5),2)*100000+CG5*100+CE5+ROW(DB5)/1000</f>
        <v>600505.005</v>
      </c>
      <c r="DD5" s="71">
        <f t="shared" ref="DD5:DD37" si="13">RANK(DC5,$DC$5:$DC$65)</f>
        <v>26</v>
      </c>
      <c r="DF5" s="104">
        <f>(CX5*4+CY5*6)/CK5</f>
        <v>0.66666666666666663</v>
      </c>
      <c r="DG5" s="114">
        <f>CQ5/(CG5-CH5)</f>
        <v>0.4</v>
      </c>
    </row>
    <row r="6" spans="1:111" x14ac:dyDescent="0.15">
      <c r="A6" s="71" t="str">
        <f>UPPER(LEFT(B6,2)&amp;LEFT(C6,2))</f>
        <v>GLAN</v>
      </c>
      <c r="B6" s="71" t="s">
        <v>26</v>
      </c>
      <c r="C6" s="71" t="s">
        <v>193</v>
      </c>
      <c r="O6" s="71" t="s">
        <v>362</v>
      </c>
      <c r="CE6" s="71">
        <f t="shared" si="0"/>
        <v>1</v>
      </c>
      <c r="CF6" s="71">
        <f t="shared" si="1"/>
        <v>1</v>
      </c>
      <c r="CG6" s="71">
        <f t="shared" si="2"/>
        <v>0</v>
      </c>
      <c r="CH6" s="71">
        <f t="shared" si="3"/>
        <v>0</v>
      </c>
      <c r="CI6" s="71">
        <f t="shared" si="4"/>
        <v>0</v>
      </c>
      <c r="CJ6" s="71">
        <f>IF(CI6&lt;0,-CI6&amp;"*",CI6)</f>
        <v>0</v>
      </c>
      <c r="CK6" s="71">
        <f t="shared" si="5"/>
        <v>0</v>
      </c>
      <c r="CL6" s="73">
        <f>IF(CG6=CH6,0,CK6/(CG6-CH6))</f>
        <v>0</v>
      </c>
      <c r="CM6" s="71">
        <f t="shared" si="6"/>
        <v>0</v>
      </c>
      <c r="CN6" s="71">
        <f t="shared" si="7"/>
        <v>0</v>
      </c>
      <c r="CO6" s="74">
        <f t="array" ref="CO6">SUM(IF(ISERR(FIND("*",D6:CD6)),0,1))</f>
        <v>0</v>
      </c>
      <c r="CP6" s="74">
        <f t="array" ref="CP6">SUM(IF(ISERR(FIND("+",D6:CD6)),0,1))</f>
        <v>0</v>
      </c>
      <c r="CQ6" s="71">
        <f t="shared" si="8"/>
        <v>0</v>
      </c>
      <c r="CR6" s="74">
        <f t="array" ref="CR6">SUM(IF(ISERR(FIND(CR$4,$D6:$CD6)),0,1))</f>
        <v>0</v>
      </c>
      <c r="CS6" s="74">
        <f t="array" ref="CS6">SUM(IF(ISERR(FIND(CS$4,$D6:$CD6)),0,1))</f>
        <v>0</v>
      </c>
      <c r="CT6" s="74">
        <f t="array" ref="CT6">SUM(IF(ISERR(FIND(CT$4,$D6:$CD6)),0,1))</f>
        <v>0</v>
      </c>
      <c r="CU6" s="74">
        <f t="array" ref="CU6">SUM(IF(ISERR(FIND(CU$4,$D6:$CD6)),0,1))</f>
        <v>0</v>
      </c>
      <c r="CV6" s="74">
        <f t="array" ref="CV6">SUM(IF(ISERR(FIND(CV$4,$D6:$CD6)),0,1))</f>
        <v>0</v>
      </c>
      <c r="CW6" s="71">
        <f t="shared" si="9"/>
        <v>0</v>
      </c>
      <c r="CX6" s="71">
        <f t="shared" si="10"/>
        <v>0</v>
      </c>
      <c r="CY6" s="71">
        <f t="shared" si="11"/>
        <v>0</v>
      </c>
      <c r="CZ6" s="116">
        <f t="shared" si="12"/>
        <v>0</v>
      </c>
      <c r="DA6" s="71">
        <f>BatSplit(D6:CD6,CaughtWkt)</f>
        <v>0</v>
      </c>
      <c r="DB6" s="71">
        <f>BatSplit(D6:CD6,TwentyFives)</f>
        <v>0</v>
      </c>
      <c r="DC6" s="71">
        <f>ROUND(IF(ISERROR(CL6),0,CL6),2)*100000+CG6*100+CE6+ROW(DB6)/1000</f>
        <v>1.006</v>
      </c>
      <c r="DD6" s="71">
        <f t="shared" si="13"/>
        <v>44</v>
      </c>
      <c r="DF6" s="104" t="e">
        <f t="shared" ref="DF6:DF65" si="14">(CX6*4+CY6*6)/CK6</f>
        <v>#DIV/0!</v>
      </c>
      <c r="DG6" s="114" t="e">
        <f t="shared" ref="DG6:DG65" si="15">CQ6/(CG6-CH6)</f>
        <v>#DIV/0!</v>
      </c>
    </row>
    <row r="7" spans="1:111" x14ac:dyDescent="0.15">
      <c r="A7" s="71" t="s">
        <v>278</v>
      </c>
      <c r="B7" s="71" t="s">
        <v>243</v>
      </c>
      <c r="C7" s="71" t="s">
        <v>244</v>
      </c>
      <c r="CE7" s="71">
        <f t="shared" si="0"/>
        <v>0</v>
      </c>
      <c r="CF7" s="71">
        <f t="shared" si="1"/>
        <v>0</v>
      </c>
      <c r="CG7" s="71">
        <f t="shared" si="2"/>
        <v>0</v>
      </c>
      <c r="CH7" s="71">
        <f t="shared" si="3"/>
        <v>0</v>
      </c>
      <c r="CI7" s="71">
        <f t="shared" si="4"/>
        <v>0</v>
      </c>
      <c r="CJ7" s="71">
        <f>IF(CI7&lt;0,-CI7&amp;"*",CI7)</f>
        <v>0</v>
      </c>
      <c r="CK7" s="71">
        <f t="shared" si="5"/>
        <v>0</v>
      </c>
      <c r="CL7" s="73">
        <f>IF(CG7=CH7,0,CK7/(CG7-CH7))</f>
        <v>0</v>
      </c>
      <c r="CM7" s="71">
        <f t="shared" si="6"/>
        <v>0</v>
      </c>
      <c r="CN7" s="71">
        <f t="shared" si="7"/>
        <v>0</v>
      </c>
      <c r="CO7" s="74">
        <f t="array" ref="CO7">SUM(IF(ISERR(FIND("*",D7:CD7)),0,1))</f>
        <v>0</v>
      </c>
      <c r="CP7" s="74">
        <f t="array" ref="CP7">SUM(IF(ISERR(FIND("+",D7:CD7)),0,1))</f>
        <v>0</v>
      </c>
      <c r="CQ7" s="71">
        <f t="shared" si="8"/>
        <v>0</v>
      </c>
      <c r="CR7" s="74">
        <f t="array" ref="CR7">SUM(IF(ISERR(FIND(CR$4,$D7:$CD7)),0,1))</f>
        <v>0</v>
      </c>
      <c r="CS7" s="74">
        <f t="array" ref="CS7">SUM(IF(ISERR(FIND(CS$4,$D7:$CD7)),0,1))</f>
        <v>0</v>
      </c>
      <c r="CT7" s="74">
        <f t="array" ref="CT7">SUM(IF(ISERR(FIND(CT$4,$D7:$CD7)),0,1))</f>
        <v>0</v>
      </c>
      <c r="CU7" s="74">
        <f t="array" ref="CU7">SUM(IF(ISERR(FIND(CU$4,$D7:$CD7)),0,1))</f>
        <v>0</v>
      </c>
      <c r="CV7" s="74">
        <f t="array" ref="CV7">SUM(IF(ISERR(FIND(CV$4,$D7:$CD7)),0,1))</f>
        <v>0</v>
      </c>
      <c r="CW7" s="71">
        <f t="shared" si="9"/>
        <v>0</v>
      </c>
      <c r="CX7" s="71">
        <f t="shared" si="10"/>
        <v>0</v>
      </c>
      <c r="CY7" s="71">
        <f t="shared" si="11"/>
        <v>0</v>
      </c>
      <c r="CZ7" s="116">
        <f t="shared" si="12"/>
        <v>0</v>
      </c>
      <c r="DA7" s="71">
        <f>BatSplit(D7:CD7,CaughtWkt)</f>
        <v>0</v>
      </c>
      <c r="DB7" s="71">
        <f>BatSplit(D7:CD7,TwentyFives)</f>
        <v>0</v>
      </c>
      <c r="DC7" s="71">
        <f t="shared" ref="DC7:DC65" si="16">ROUND(IF(ISERROR(CL7),0,CL7),2)*100000+CG7*100+CE7+ROW(DB7)/1000</f>
        <v>7.0000000000000001E-3</v>
      </c>
      <c r="DD7" s="71">
        <f t="shared" si="13"/>
        <v>61</v>
      </c>
      <c r="DF7" s="104" t="e">
        <f t="shared" si="14"/>
        <v>#DIV/0!</v>
      </c>
      <c r="DG7" s="114" t="e">
        <f t="shared" si="15"/>
        <v>#DIV/0!</v>
      </c>
    </row>
    <row r="8" spans="1:111" x14ac:dyDescent="0.15">
      <c r="A8" s="71" t="s">
        <v>279</v>
      </c>
      <c r="B8" s="71" t="s">
        <v>239</v>
      </c>
      <c r="C8" s="71" t="s">
        <v>262</v>
      </c>
      <c r="E8" s="71" t="s">
        <v>327</v>
      </c>
      <c r="CE8" s="71">
        <f t="shared" si="0"/>
        <v>1</v>
      </c>
      <c r="CF8" s="71">
        <f t="shared" si="1"/>
        <v>0</v>
      </c>
      <c r="CG8" s="71">
        <f t="shared" si="2"/>
        <v>1</v>
      </c>
      <c r="CH8" s="71">
        <f t="shared" si="3"/>
        <v>0</v>
      </c>
      <c r="CI8" s="71">
        <f t="shared" si="4"/>
        <v>0</v>
      </c>
      <c r="CJ8" s="71">
        <f>IF(CI8&lt;0,-CI8&amp;"*",CI8)</f>
        <v>0</v>
      </c>
      <c r="CK8" s="71">
        <f t="shared" si="5"/>
        <v>0</v>
      </c>
      <c r="CL8" s="73">
        <f>IF(CG8=CH8,0,CK8/(CG8-CH8))</f>
        <v>0</v>
      </c>
      <c r="CM8" s="71">
        <f t="shared" si="6"/>
        <v>-5</v>
      </c>
      <c r="CN8" s="71">
        <f t="shared" si="7"/>
        <v>5</v>
      </c>
      <c r="CO8" s="74">
        <f t="array" ref="CO8">SUM(IF(ISERR(FIND("*",D8:CD8)),0,1))</f>
        <v>0</v>
      </c>
      <c r="CP8" s="74">
        <f t="array" ref="CP8">SUM(IF(ISERR(FIND("+",D8:CD8)),0,1))</f>
        <v>0</v>
      </c>
      <c r="CQ8" s="71">
        <f t="shared" si="8"/>
        <v>1</v>
      </c>
      <c r="CR8" s="74">
        <f t="array" ref="CR8">SUM(IF(ISERR(FIND(CR$4,$D8:$CD8)),0,1))</f>
        <v>1</v>
      </c>
      <c r="CS8" s="74">
        <f t="array" ref="CS8">SUM(IF(ISERR(FIND(CS$4,$D8:$CD8)),0,1))</f>
        <v>0</v>
      </c>
      <c r="CT8" s="74">
        <f t="array" ref="CT8">SUM(IF(ISERR(FIND(CT$4,$D8:$CD8)),0,1))</f>
        <v>0</v>
      </c>
      <c r="CU8" s="74">
        <f t="array" ref="CU8">SUM(IF(ISERR(FIND(CU$4,$D8:$CD8)),0,1))</f>
        <v>0</v>
      </c>
      <c r="CV8" s="74">
        <f t="array" ref="CV8">SUM(IF(ISERR(FIND(CV$4,$D8:$CD8)),0,1))</f>
        <v>0</v>
      </c>
      <c r="CW8" s="71">
        <f t="shared" si="9"/>
        <v>1</v>
      </c>
      <c r="CX8" s="71">
        <f t="shared" si="10"/>
        <v>0</v>
      </c>
      <c r="CY8" s="71">
        <f t="shared" si="11"/>
        <v>0</v>
      </c>
      <c r="CZ8" s="116">
        <f t="shared" si="12"/>
        <v>0</v>
      </c>
      <c r="DA8" s="71">
        <f>BatSplit(D8:CD8,CaughtWkt)</f>
        <v>0</v>
      </c>
      <c r="DB8" s="71">
        <f>BatSplit(D8:CD8,TwentyFives)</f>
        <v>0</v>
      </c>
      <c r="DC8" s="71">
        <f>ROUND(IF(ISERROR(CL8),0,CL8),2)*100000+CG8*100+CE8+ROW(DB8)/1000</f>
        <v>101.008</v>
      </c>
      <c r="DD8" s="71">
        <f t="shared" si="13"/>
        <v>40</v>
      </c>
      <c r="DF8" s="104" t="e">
        <f t="shared" si="14"/>
        <v>#DIV/0!</v>
      </c>
      <c r="DG8" s="114">
        <f t="shared" si="15"/>
        <v>1</v>
      </c>
    </row>
    <row r="9" spans="1:111" x14ac:dyDescent="0.15">
      <c r="A9" s="71" t="str">
        <f t="shared" ref="A9:A65" si="17">UPPER(LEFT(B9,2)&amp;LEFT(C9,2))</f>
        <v>MIBO</v>
      </c>
      <c r="B9" s="71" t="s">
        <v>28</v>
      </c>
      <c r="C9" s="71" t="s">
        <v>194</v>
      </c>
      <c r="E9" s="71" t="s">
        <v>328</v>
      </c>
      <c r="L9" s="71" t="s">
        <v>489</v>
      </c>
      <c r="Q9" s="71" t="s">
        <v>573</v>
      </c>
      <c r="S9" s="71" t="s">
        <v>620</v>
      </c>
      <c r="U9" s="71" t="s">
        <v>642</v>
      </c>
      <c r="W9" s="71" t="s">
        <v>679</v>
      </c>
      <c r="AB9" s="71" t="s">
        <v>764</v>
      </c>
      <c r="AF9" s="71" t="s">
        <v>796</v>
      </c>
      <c r="AG9" s="71" t="s">
        <v>330</v>
      </c>
      <c r="AI9" s="71" t="s">
        <v>865</v>
      </c>
      <c r="AK9" s="71" t="s">
        <v>330</v>
      </c>
      <c r="AN9" s="71" t="s">
        <v>330</v>
      </c>
      <c r="AR9" s="71" t="s">
        <v>331</v>
      </c>
      <c r="AU9" s="71" t="s">
        <v>981</v>
      </c>
      <c r="CE9" s="71">
        <f t="shared" si="0"/>
        <v>14</v>
      </c>
      <c r="CF9" s="71">
        <f t="shared" si="1"/>
        <v>5</v>
      </c>
      <c r="CG9" s="71">
        <f t="shared" si="2"/>
        <v>9</v>
      </c>
      <c r="CH9" s="71">
        <f t="shared" si="3"/>
        <v>5</v>
      </c>
      <c r="CI9" s="71">
        <f t="shared" si="4"/>
        <v>-15</v>
      </c>
      <c r="CJ9" s="75" t="str">
        <f t="shared" ref="CJ9:CJ65" si="18">IF(CI9&lt;0,-CI9&amp;"*",CI9)</f>
        <v>15*</v>
      </c>
      <c r="CK9" s="71">
        <f t="shared" si="5"/>
        <v>78</v>
      </c>
      <c r="CL9" s="73">
        <f t="shared" ref="CL9:CL65" si="19">IF(CG9=CH9,0,CK9/(CG9-CH9))</f>
        <v>19.5</v>
      </c>
      <c r="CM9" s="71">
        <f t="shared" si="6"/>
        <v>78</v>
      </c>
      <c r="CN9" s="71">
        <f t="shared" si="7"/>
        <v>20</v>
      </c>
      <c r="CO9" s="74">
        <f t="array" ref="CO9">SUM(IF(ISERR(FIND("*",D9:CD9)),0,1))</f>
        <v>0</v>
      </c>
      <c r="CP9" s="74">
        <f t="array" ref="CP9">SUM(IF(ISERR(FIND("+",D9:CD9)),0,1))</f>
        <v>0</v>
      </c>
      <c r="CQ9" s="71">
        <f t="shared" si="8"/>
        <v>0</v>
      </c>
      <c r="CR9" s="74">
        <f t="array" ref="CR9">SUM(IF(ISERR(FIND(CR$4,$D9:$CD9)),0,1))</f>
        <v>2</v>
      </c>
      <c r="CS9" s="74">
        <f t="array" ref="CS9">SUM(IF(ISERR(FIND(CS$4,$D9:$CD9)),0,1))</f>
        <v>2</v>
      </c>
      <c r="CT9" s="74">
        <f t="array" ref="CT9">SUM(IF(ISERR(FIND(CT$4,$D9:$CD9)),0,1))</f>
        <v>0</v>
      </c>
      <c r="CU9" s="74">
        <f t="array" ref="CU9">SUM(IF(ISERR(FIND(CU$4,$D9:$CD9)),0,1))</f>
        <v>0</v>
      </c>
      <c r="CV9" s="74">
        <f t="array" ref="CV9">SUM(IF(ISERR(FIND(CV$4,$D9:$CD9)),0,1))</f>
        <v>0</v>
      </c>
      <c r="CW9" s="71">
        <f t="shared" si="9"/>
        <v>4</v>
      </c>
      <c r="CX9" s="71">
        <f t="shared" si="10"/>
        <v>10</v>
      </c>
      <c r="CY9" s="71">
        <f t="shared" si="11"/>
        <v>0</v>
      </c>
      <c r="CZ9" s="116">
        <f t="shared" si="12"/>
        <v>0</v>
      </c>
      <c r="DA9" s="71">
        <f t="shared" ref="DA9:DA65" si="20">BatSplit(D9:CD9,CaughtWkt)</f>
        <v>0</v>
      </c>
      <c r="DB9" s="71">
        <f t="shared" ref="DB9:DB65" si="21">BatSplit(D9:CD9,TwentyFives)</f>
        <v>0</v>
      </c>
      <c r="DC9" s="71">
        <f t="shared" si="16"/>
        <v>1950914.0090000001</v>
      </c>
      <c r="DD9" s="71">
        <f t="shared" si="13"/>
        <v>10</v>
      </c>
      <c r="DF9" s="104">
        <f t="shared" si="14"/>
        <v>0.51282051282051277</v>
      </c>
      <c r="DG9" s="114">
        <f t="shared" si="15"/>
        <v>0</v>
      </c>
    </row>
    <row r="10" spans="1:111" x14ac:dyDescent="0.15">
      <c r="A10" s="71" t="s">
        <v>590</v>
      </c>
      <c r="B10" s="71" t="s">
        <v>236</v>
      </c>
      <c r="C10" s="71" t="s">
        <v>591</v>
      </c>
      <c r="R10" s="71" t="s">
        <v>362</v>
      </c>
      <c r="CE10" s="71">
        <f t="shared" si="0"/>
        <v>1</v>
      </c>
      <c r="CF10" s="71">
        <f t="shared" si="1"/>
        <v>1</v>
      </c>
      <c r="CG10" s="71">
        <f t="shared" si="2"/>
        <v>0</v>
      </c>
      <c r="CH10" s="71">
        <f t="shared" si="3"/>
        <v>0</v>
      </c>
      <c r="CI10" s="71">
        <f t="shared" si="4"/>
        <v>0</v>
      </c>
      <c r="CJ10" s="75">
        <f t="shared" si="18"/>
        <v>0</v>
      </c>
      <c r="CK10" s="71">
        <f t="shared" si="5"/>
        <v>0</v>
      </c>
      <c r="CL10" s="73">
        <f>IF(CG10=CH10,0,CK10/(CG10-CH10))</f>
        <v>0</v>
      </c>
      <c r="CM10" s="71">
        <f t="shared" si="6"/>
        <v>0</v>
      </c>
      <c r="CN10" s="71">
        <f t="shared" si="7"/>
        <v>0</v>
      </c>
      <c r="CO10" s="74">
        <f t="array" ref="CO10">SUM(IF(ISERR(FIND("*",D10:CD10)),0,1))</f>
        <v>0</v>
      </c>
      <c r="CP10" s="74">
        <f t="array" ref="CP10">SUM(IF(ISERR(FIND("+",D10:CD10)),0,1))</f>
        <v>0</v>
      </c>
      <c r="CQ10" s="71">
        <f t="shared" si="8"/>
        <v>0</v>
      </c>
      <c r="CR10" s="74">
        <f t="array" ref="CR10">SUM(IF(ISERR(FIND(CR$4,$D10:$CD10)),0,1))</f>
        <v>0</v>
      </c>
      <c r="CS10" s="74">
        <f t="array" ref="CS10">SUM(IF(ISERR(FIND(CS$4,$D10:$CD10)),0,1))</f>
        <v>0</v>
      </c>
      <c r="CT10" s="74">
        <f t="array" ref="CT10">SUM(IF(ISERR(FIND(CT$4,$D10:$CD10)),0,1))</f>
        <v>0</v>
      </c>
      <c r="CU10" s="74">
        <f t="array" ref="CU10">SUM(IF(ISERR(FIND(CU$4,$D10:$CD10)),0,1))</f>
        <v>0</v>
      </c>
      <c r="CV10" s="74">
        <f t="array" ref="CV10">SUM(IF(ISERR(FIND(CV$4,$D10:$CD10)),0,1))</f>
        <v>0</v>
      </c>
      <c r="CW10" s="71">
        <f t="shared" si="9"/>
        <v>0</v>
      </c>
      <c r="CX10" s="71">
        <f t="shared" si="10"/>
        <v>0</v>
      </c>
      <c r="CY10" s="71">
        <f t="shared" si="11"/>
        <v>0</v>
      </c>
      <c r="CZ10" s="116">
        <f t="shared" si="12"/>
        <v>0</v>
      </c>
      <c r="DA10" s="71">
        <f>BatSplit(D10:CD10,CaughtWkt)</f>
        <v>0</v>
      </c>
      <c r="DB10" s="71">
        <f>BatSplit(D10:CD10,TwentyFives)</f>
        <v>0</v>
      </c>
      <c r="DC10" s="71">
        <f>ROUND(IF(ISERROR(CL10),0,CL10),2)*100000+CG10*100+CE10+ROW(DB10)/1000</f>
        <v>1.01</v>
      </c>
      <c r="DD10" s="71">
        <f t="shared" si="13"/>
        <v>43</v>
      </c>
      <c r="DF10" s="104" t="e">
        <f>(CX10*4+CY10*6)/CK10</f>
        <v>#DIV/0!</v>
      </c>
      <c r="DG10" s="114" t="e">
        <f>CQ10/(CG10-CH10)</f>
        <v>#DIV/0!</v>
      </c>
    </row>
    <row r="11" spans="1:111" x14ac:dyDescent="0.15">
      <c r="A11" s="71" t="str">
        <f t="shared" si="17"/>
        <v>DABR</v>
      </c>
      <c r="B11" s="71" t="s">
        <v>29</v>
      </c>
      <c r="C11" s="71" t="s">
        <v>195</v>
      </c>
      <c r="K11" s="71" t="s">
        <v>455</v>
      </c>
      <c r="L11" s="71" t="s">
        <v>462</v>
      </c>
      <c r="M11" s="71" t="s">
        <v>465</v>
      </c>
      <c r="AJ11" s="71" t="s">
        <v>830</v>
      </c>
      <c r="CE11" s="71">
        <f t="shared" si="0"/>
        <v>4</v>
      </c>
      <c r="CF11" s="71">
        <f t="shared" si="1"/>
        <v>1</v>
      </c>
      <c r="CG11" s="71">
        <f t="shared" si="2"/>
        <v>3</v>
      </c>
      <c r="CH11" s="71">
        <f t="shared" si="3"/>
        <v>2</v>
      </c>
      <c r="CI11" s="71">
        <f t="shared" si="4"/>
        <v>-67</v>
      </c>
      <c r="CJ11" s="75" t="str">
        <f t="shared" si="18"/>
        <v>67*</v>
      </c>
      <c r="CK11" s="71">
        <f t="shared" si="5"/>
        <v>99</v>
      </c>
      <c r="CL11" s="73">
        <f t="shared" si="19"/>
        <v>99</v>
      </c>
      <c r="CM11" s="71">
        <f t="shared" si="6"/>
        <v>109</v>
      </c>
      <c r="CN11" s="71">
        <f t="shared" si="7"/>
        <v>5</v>
      </c>
      <c r="CO11" s="74">
        <f t="array" ref="CO11">SUM(IF(ISERR(FIND("*",D11:CD11)),0,1))</f>
        <v>0</v>
      </c>
      <c r="CP11" s="74">
        <f t="array" ref="CP11">SUM(IF(ISERR(FIND("+",D11:CD11)),0,1))</f>
        <v>1</v>
      </c>
      <c r="CQ11" s="71">
        <f t="shared" si="8"/>
        <v>0</v>
      </c>
      <c r="CR11" s="74">
        <f t="array" ref="CR11">SUM(IF(ISERR(FIND(CR$4,$D11:$CD11)),0,1))</f>
        <v>0</v>
      </c>
      <c r="CS11" s="74">
        <f t="array" ref="CS11">SUM(IF(ISERR(FIND(CS$4,$D11:$CD11)),0,1))</f>
        <v>1</v>
      </c>
      <c r="CT11" s="74">
        <f t="array" ref="CT11">SUM(IF(ISERR(FIND(CT$4,$D11:$CD11)),0,1))</f>
        <v>0</v>
      </c>
      <c r="CU11" s="74">
        <f t="array" ref="CU11">SUM(IF(ISERR(FIND(CU$4,$D11:$CD11)),0,1))</f>
        <v>0</v>
      </c>
      <c r="CV11" s="74">
        <f t="array" ref="CV11">SUM(IF(ISERR(FIND(CV$4,$D11:$CD11)),0,1))</f>
        <v>0</v>
      </c>
      <c r="CW11" s="71">
        <f t="shared" si="9"/>
        <v>1</v>
      </c>
      <c r="CX11" s="71">
        <f t="shared" si="10"/>
        <v>7</v>
      </c>
      <c r="CY11" s="71">
        <f t="shared" si="11"/>
        <v>3</v>
      </c>
      <c r="CZ11" s="116">
        <f t="shared" si="12"/>
        <v>0</v>
      </c>
      <c r="DA11" s="71">
        <f t="shared" si="20"/>
        <v>0</v>
      </c>
      <c r="DB11" s="71">
        <f t="shared" si="21"/>
        <v>2</v>
      </c>
      <c r="DC11" s="71">
        <f t="shared" si="16"/>
        <v>9900304.0109999999</v>
      </c>
      <c r="DD11" s="71">
        <f t="shared" si="13"/>
        <v>1</v>
      </c>
      <c r="DF11" s="104">
        <f t="shared" si="14"/>
        <v>0.46464646464646464</v>
      </c>
      <c r="DG11" s="114">
        <f t="shared" si="15"/>
        <v>0</v>
      </c>
    </row>
    <row r="12" spans="1:111" x14ac:dyDescent="0.15">
      <c r="A12" s="71" t="s">
        <v>280</v>
      </c>
      <c r="B12" s="71" t="s">
        <v>234</v>
      </c>
      <c r="C12" s="71" t="s">
        <v>235</v>
      </c>
      <c r="CE12" s="71">
        <f t="shared" si="0"/>
        <v>0</v>
      </c>
      <c r="CF12" s="71">
        <f t="shared" si="1"/>
        <v>0</v>
      </c>
      <c r="CG12" s="71">
        <f t="shared" si="2"/>
        <v>0</v>
      </c>
      <c r="CH12" s="71">
        <f t="shared" si="3"/>
        <v>0</v>
      </c>
      <c r="CI12" s="71">
        <f t="shared" si="4"/>
        <v>0</v>
      </c>
      <c r="CJ12" s="75">
        <f t="shared" si="18"/>
        <v>0</v>
      </c>
      <c r="CK12" s="71">
        <f t="shared" si="5"/>
        <v>0</v>
      </c>
      <c r="CL12" s="73">
        <f>IF(CG12=CH12,0,CK12/(CG12-CH12))</f>
        <v>0</v>
      </c>
      <c r="CM12" s="71">
        <f t="shared" si="6"/>
        <v>0</v>
      </c>
      <c r="CN12" s="71">
        <f t="shared" si="7"/>
        <v>0</v>
      </c>
      <c r="CO12" s="74">
        <f t="array" ref="CO12">SUM(IF(ISERR(FIND("*",D12:CD12)),0,1))</f>
        <v>0</v>
      </c>
      <c r="CP12" s="74">
        <f t="array" ref="CP12">SUM(IF(ISERR(FIND("+",D12:CD12)),0,1))</f>
        <v>0</v>
      </c>
      <c r="CQ12" s="71">
        <f t="shared" si="8"/>
        <v>0</v>
      </c>
      <c r="CR12" s="74">
        <f t="array" ref="CR12">SUM(IF(ISERR(FIND(CR$4,$D12:$CD12)),0,1))</f>
        <v>0</v>
      </c>
      <c r="CS12" s="74">
        <f t="array" ref="CS12">SUM(IF(ISERR(FIND(CS$4,$D12:$CD12)),0,1))</f>
        <v>0</v>
      </c>
      <c r="CT12" s="74">
        <f t="array" ref="CT12">SUM(IF(ISERR(FIND(CT$4,$D12:$CD12)),0,1))</f>
        <v>0</v>
      </c>
      <c r="CU12" s="74">
        <f t="array" ref="CU12">SUM(IF(ISERR(FIND(CU$4,$D12:$CD12)),0,1))</f>
        <v>0</v>
      </c>
      <c r="CV12" s="74">
        <f t="array" ref="CV12">SUM(IF(ISERR(FIND(CV$4,$D12:$CD12)),0,1))</f>
        <v>0</v>
      </c>
      <c r="CW12" s="71">
        <f t="shared" si="9"/>
        <v>0</v>
      </c>
      <c r="CX12" s="71">
        <f t="shared" si="10"/>
        <v>0</v>
      </c>
      <c r="CY12" s="71">
        <f t="shared" si="11"/>
        <v>0</v>
      </c>
      <c r="CZ12" s="116">
        <f t="shared" si="12"/>
        <v>0</v>
      </c>
      <c r="DA12" s="71">
        <f>BatSplit(D12:CD12,CaughtWkt)</f>
        <v>0</v>
      </c>
      <c r="DB12" s="71">
        <f>BatSplit(D12:CD12,TwentyFives)</f>
        <v>0</v>
      </c>
      <c r="DC12" s="71">
        <f t="shared" si="16"/>
        <v>1.2E-2</v>
      </c>
      <c r="DD12" s="71">
        <f t="shared" si="13"/>
        <v>60</v>
      </c>
      <c r="DF12" s="104" t="e">
        <f t="shared" si="14"/>
        <v>#DIV/0!</v>
      </c>
      <c r="DG12" s="114" t="e">
        <f t="shared" si="15"/>
        <v>#DIV/0!</v>
      </c>
    </row>
    <row r="13" spans="1:111" x14ac:dyDescent="0.15">
      <c r="A13" s="71" t="s">
        <v>227</v>
      </c>
      <c r="B13" s="71" t="s">
        <v>181</v>
      </c>
      <c r="C13" s="71" t="s">
        <v>182</v>
      </c>
      <c r="CE13" s="71">
        <f t="shared" si="0"/>
        <v>0</v>
      </c>
      <c r="CF13" s="71">
        <f t="shared" si="1"/>
        <v>0</v>
      </c>
      <c r="CG13" s="71">
        <f t="shared" si="2"/>
        <v>0</v>
      </c>
      <c r="CH13" s="71">
        <f t="shared" si="3"/>
        <v>0</v>
      </c>
      <c r="CI13" s="71">
        <f t="shared" si="4"/>
        <v>0</v>
      </c>
      <c r="CJ13" s="75">
        <f t="shared" si="18"/>
        <v>0</v>
      </c>
      <c r="CK13" s="71">
        <f t="shared" si="5"/>
        <v>0</v>
      </c>
      <c r="CL13" s="73">
        <f>IF(CG13=CH13,0,CK13/(CG13-CH13))</f>
        <v>0</v>
      </c>
      <c r="CM13" s="71">
        <f t="shared" si="6"/>
        <v>0</v>
      </c>
      <c r="CN13" s="71">
        <f t="shared" si="7"/>
        <v>0</v>
      </c>
      <c r="CO13" s="74">
        <f t="array" ref="CO13">SUM(IF(ISERR(FIND("*",D13:CD13)),0,1))</f>
        <v>0</v>
      </c>
      <c r="CP13" s="74">
        <f t="array" ref="CP13">SUM(IF(ISERR(FIND("+",D13:CD13)),0,1))</f>
        <v>0</v>
      </c>
      <c r="CQ13" s="71">
        <f t="shared" si="8"/>
        <v>0</v>
      </c>
      <c r="CR13" s="74">
        <f t="array" ref="CR13">SUM(IF(ISERR(FIND(CR$4,$D13:$CD13)),0,1))</f>
        <v>0</v>
      </c>
      <c r="CS13" s="74">
        <f t="array" ref="CS13">SUM(IF(ISERR(FIND(CS$4,$D13:$CD13)),0,1))</f>
        <v>0</v>
      </c>
      <c r="CT13" s="74">
        <f t="array" ref="CT13">SUM(IF(ISERR(FIND(CT$4,$D13:$CD13)),0,1))</f>
        <v>0</v>
      </c>
      <c r="CU13" s="74">
        <f t="array" ref="CU13">SUM(IF(ISERR(FIND(CU$4,$D13:$CD13)),0,1))</f>
        <v>0</v>
      </c>
      <c r="CV13" s="74">
        <f t="array" ref="CV13">SUM(IF(ISERR(FIND(CV$4,$D13:$CD13)),0,1))</f>
        <v>0</v>
      </c>
      <c r="CW13" s="71">
        <f t="shared" si="9"/>
        <v>0</v>
      </c>
      <c r="CX13" s="71">
        <f t="shared" si="10"/>
        <v>0</v>
      </c>
      <c r="CY13" s="71">
        <f t="shared" si="11"/>
        <v>0</v>
      </c>
      <c r="CZ13" s="116">
        <f t="shared" si="12"/>
        <v>0</v>
      </c>
      <c r="DA13" s="71">
        <f>BatSplit(D13:CD13,CaughtWkt)</f>
        <v>0</v>
      </c>
      <c r="DB13" s="71">
        <f>BatSplit(D13:CD13,TwentyFives)</f>
        <v>0</v>
      </c>
      <c r="DC13" s="71">
        <f t="shared" si="16"/>
        <v>1.2999999999999999E-2</v>
      </c>
      <c r="DD13" s="71">
        <f t="shared" si="13"/>
        <v>59</v>
      </c>
      <c r="DF13" s="104" t="e">
        <f t="shared" si="14"/>
        <v>#DIV/0!</v>
      </c>
      <c r="DG13" s="114" t="e">
        <f t="shared" si="15"/>
        <v>#DIV/0!</v>
      </c>
    </row>
    <row r="14" spans="1:111" x14ac:dyDescent="0.15">
      <c r="A14" s="71" t="str">
        <f t="shared" si="17"/>
        <v>GECH</v>
      </c>
      <c r="B14" s="71" t="s">
        <v>30</v>
      </c>
      <c r="C14" s="71" t="s">
        <v>197</v>
      </c>
      <c r="CE14" s="71">
        <f t="shared" si="0"/>
        <v>0</v>
      </c>
      <c r="CF14" s="71">
        <f t="shared" si="1"/>
        <v>0</v>
      </c>
      <c r="CG14" s="71">
        <f t="shared" si="2"/>
        <v>0</v>
      </c>
      <c r="CH14" s="71">
        <f t="shared" si="3"/>
        <v>0</v>
      </c>
      <c r="CI14" s="71">
        <f t="shared" si="4"/>
        <v>0</v>
      </c>
      <c r="CJ14" s="75">
        <f t="shared" si="18"/>
        <v>0</v>
      </c>
      <c r="CK14" s="71">
        <f t="shared" si="5"/>
        <v>0</v>
      </c>
      <c r="CL14" s="73">
        <f t="shared" si="19"/>
        <v>0</v>
      </c>
      <c r="CM14" s="71">
        <f t="shared" si="6"/>
        <v>0</v>
      </c>
      <c r="CN14" s="71">
        <f t="shared" si="7"/>
        <v>0</v>
      </c>
      <c r="CO14" s="74">
        <f t="array" ref="CO14">SUM(IF(ISERR(FIND("*",D14:CD14)),0,1))</f>
        <v>0</v>
      </c>
      <c r="CP14" s="74">
        <f t="array" ref="CP14">SUM(IF(ISERR(FIND("+",D14:CD14)),0,1))</f>
        <v>0</v>
      </c>
      <c r="CQ14" s="71">
        <f t="shared" si="8"/>
        <v>0</v>
      </c>
      <c r="CR14" s="74">
        <f t="array" ref="CR14">SUM(IF(ISERR(FIND(CR$4,$D14:$CD14)),0,1))</f>
        <v>0</v>
      </c>
      <c r="CS14" s="74">
        <f t="array" ref="CS14">SUM(IF(ISERR(FIND(CS$4,$D14:$CD14)),0,1))</f>
        <v>0</v>
      </c>
      <c r="CT14" s="74">
        <f t="array" ref="CT14">SUM(IF(ISERR(FIND(CT$4,$D14:$CD14)),0,1))</f>
        <v>0</v>
      </c>
      <c r="CU14" s="74">
        <f t="array" ref="CU14">SUM(IF(ISERR(FIND(CU$4,$D14:$CD14)),0,1))</f>
        <v>0</v>
      </c>
      <c r="CV14" s="74">
        <f t="array" ref="CV14">SUM(IF(ISERR(FIND(CV$4,$D14:$CD14)),0,1))</f>
        <v>0</v>
      </c>
      <c r="CW14" s="71">
        <f t="shared" si="9"/>
        <v>0</v>
      </c>
      <c r="CX14" s="71">
        <f t="shared" si="10"/>
        <v>0</v>
      </c>
      <c r="CY14" s="71">
        <f t="shared" si="11"/>
        <v>0</v>
      </c>
      <c r="CZ14" s="116">
        <f t="shared" si="12"/>
        <v>0</v>
      </c>
      <c r="DA14" s="71">
        <f t="shared" si="20"/>
        <v>0</v>
      </c>
      <c r="DB14" s="71">
        <f t="shared" si="21"/>
        <v>0</v>
      </c>
      <c r="DC14" s="71">
        <f t="shared" si="16"/>
        <v>1.4E-2</v>
      </c>
      <c r="DD14" s="71">
        <f t="shared" si="13"/>
        <v>58</v>
      </c>
      <c r="DF14" s="104" t="e">
        <f t="shared" si="14"/>
        <v>#DIV/0!</v>
      </c>
      <c r="DG14" s="114" t="e">
        <f t="shared" si="15"/>
        <v>#DIV/0!</v>
      </c>
    </row>
    <row r="15" spans="1:111" x14ac:dyDescent="0.15">
      <c r="A15" s="71" t="str">
        <f t="shared" si="17"/>
        <v>CHCL</v>
      </c>
      <c r="B15" s="71" t="s">
        <v>46</v>
      </c>
      <c r="C15" s="71" t="s">
        <v>198</v>
      </c>
      <c r="G15" s="71" t="s">
        <v>360</v>
      </c>
      <c r="I15" s="71" t="s">
        <v>398</v>
      </c>
      <c r="K15" s="71" t="s">
        <v>362</v>
      </c>
      <c r="L15" s="71" t="s">
        <v>331</v>
      </c>
      <c r="M15" s="71" t="s">
        <v>331</v>
      </c>
      <c r="P15" s="71" t="s">
        <v>456</v>
      </c>
      <c r="R15" s="71" t="s">
        <v>330</v>
      </c>
      <c r="T15" s="71" t="s">
        <v>330</v>
      </c>
      <c r="W15" s="71" t="s">
        <v>362</v>
      </c>
      <c r="AB15" s="71" t="s">
        <v>821</v>
      </c>
      <c r="AC15" s="71" t="s">
        <v>331</v>
      </c>
      <c r="AE15" s="71" t="s">
        <v>362</v>
      </c>
      <c r="AG15" s="71" t="s">
        <v>812</v>
      </c>
      <c r="AP15" s="71" t="s">
        <v>935</v>
      </c>
      <c r="AR15" s="71" t="s">
        <v>456</v>
      </c>
      <c r="CE15" s="71">
        <f t="shared" si="0"/>
        <v>15</v>
      </c>
      <c r="CF15" s="71">
        <f t="shared" si="1"/>
        <v>11</v>
      </c>
      <c r="CG15" s="71">
        <f t="shared" si="2"/>
        <v>4</v>
      </c>
      <c r="CH15" s="71">
        <f t="shared" si="3"/>
        <v>2</v>
      </c>
      <c r="CI15" s="71">
        <f t="shared" si="4"/>
        <v>-20</v>
      </c>
      <c r="CJ15" s="75" t="str">
        <f t="shared" si="18"/>
        <v>20*</v>
      </c>
      <c r="CK15" s="71">
        <f t="shared" si="5"/>
        <v>50</v>
      </c>
      <c r="CL15" s="73">
        <f t="shared" si="19"/>
        <v>25</v>
      </c>
      <c r="CM15" s="71">
        <f t="shared" si="6"/>
        <v>50</v>
      </c>
      <c r="CN15" s="71">
        <f t="shared" si="7"/>
        <v>30</v>
      </c>
      <c r="CO15" s="74">
        <f t="array" ref="CO15">SUM(IF(ISERR(FIND("*",D15:CD15)),0,1))</f>
        <v>0</v>
      </c>
      <c r="CP15" s="74">
        <f t="array" ref="CP15">SUM(IF(ISERR(FIND("+",D15:CD15)),0,1))</f>
        <v>0</v>
      </c>
      <c r="CQ15" s="71">
        <f t="shared" si="8"/>
        <v>0</v>
      </c>
      <c r="CR15" s="74">
        <f t="array" ref="CR15">SUM(IF(ISERR(FIND(CR$4,$D15:$CD15)),0,1))</f>
        <v>1</v>
      </c>
      <c r="CS15" s="74">
        <f t="array" ref="CS15">SUM(IF(ISERR(FIND(CS$4,$D15:$CD15)),0,1))</f>
        <v>1</v>
      </c>
      <c r="CT15" s="74">
        <f t="array" ref="CT15">SUM(IF(ISERR(FIND(CT$4,$D15:$CD15)),0,1))</f>
        <v>0</v>
      </c>
      <c r="CU15" s="74">
        <f t="array" ref="CU15">SUM(IF(ISERR(FIND(CU$4,$D15:$CD15)),0,1))</f>
        <v>0</v>
      </c>
      <c r="CV15" s="74">
        <f t="array" ref="CV15">SUM(IF(ISERR(FIND(CV$4,$D15:$CD15)),0,1))</f>
        <v>0</v>
      </c>
      <c r="CW15" s="71">
        <f t="shared" si="9"/>
        <v>6</v>
      </c>
      <c r="CX15" s="71">
        <f t="shared" si="10"/>
        <v>6</v>
      </c>
      <c r="CY15" s="71">
        <f t="shared" si="11"/>
        <v>0</v>
      </c>
      <c r="CZ15" s="116">
        <f t="shared" si="12"/>
        <v>0</v>
      </c>
      <c r="DA15" s="71">
        <f t="shared" si="20"/>
        <v>0</v>
      </c>
      <c r="DB15" s="71">
        <f t="shared" si="21"/>
        <v>0</v>
      </c>
      <c r="DC15" s="71">
        <f t="shared" si="16"/>
        <v>2500415.0150000001</v>
      </c>
      <c r="DD15" s="71">
        <f t="shared" si="13"/>
        <v>7</v>
      </c>
      <c r="DF15" s="104">
        <f t="shared" si="14"/>
        <v>0.48</v>
      </c>
      <c r="DG15" s="114">
        <f t="shared" si="15"/>
        <v>0</v>
      </c>
    </row>
    <row r="16" spans="1:111" x14ac:dyDescent="0.15">
      <c r="A16" s="71" t="s">
        <v>276</v>
      </c>
      <c r="B16" s="71" t="s">
        <v>246</v>
      </c>
      <c r="C16" s="71" t="s">
        <v>247</v>
      </c>
      <c r="G16" s="71" t="s">
        <v>359</v>
      </c>
      <c r="M16" s="71" t="s">
        <v>329</v>
      </c>
      <c r="O16" s="71" t="s">
        <v>330</v>
      </c>
      <c r="R16" s="71" t="s">
        <v>601</v>
      </c>
      <c r="V16" s="71" t="s">
        <v>329</v>
      </c>
      <c r="AD16" s="71" t="s">
        <v>780</v>
      </c>
      <c r="AF16" s="71" t="s">
        <v>797</v>
      </c>
      <c r="CE16" s="71">
        <f t="shared" si="0"/>
        <v>7</v>
      </c>
      <c r="CF16" s="71">
        <f t="shared" si="1"/>
        <v>3</v>
      </c>
      <c r="CG16" s="71">
        <f t="shared" si="2"/>
        <v>4</v>
      </c>
      <c r="CH16" s="71">
        <f t="shared" si="3"/>
        <v>1</v>
      </c>
      <c r="CI16" s="71">
        <f t="shared" si="4"/>
        <v>5</v>
      </c>
      <c r="CJ16" s="75">
        <f t="shared" si="18"/>
        <v>5</v>
      </c>
      <c r="CK16" s="71">
        <f t="shared" si="5"/>
        <v>11</v>
      </c>
      <c r="CL16" s="73">
        <f>IF(CG16=CH16,0,CK16/(CG16-CH16))</f>
        <v>3.6666666666666665</v>
      </c>
      <c r="CM16" s="71">
        <f t="shared" si="6"/>
        <v>11</v>
      </c>
      <c r="CN16" s="71">
        <f t="shared" si="7"/>
        <v>5</v>
      </c>
      <c r="CO16" s="74">
        <f t="array" ref="CO16">SUM(IF(ISERR(FIND("*",D16:CD16)),0,1))</f>
        <v>0</v>
      </c>
      <c r="CP16" s="74">
        <f t="array" ref="CP16">SUM(IF(ISERR(FIND("+",D16:CD16)),0,1))</f>
        <v>0</v>
      </c>
      <c r="CQ16" s="71">
        <f t="shared" si="8"/>
        <v>0</v>
      </c>
      <c r="CR16" s="74">
        <f t="array" ref="CR16">SUM(IF(ISERR(FIND(CR$4,$D16:$CD16)),0,1))</f>
        <v>1</v>
      </c>
      <c r="CS16" s="74">
        <f t="array" ref="CS16">SUM(IF(ISERR(FIND(CS$4,$D16:$CD16)),0,1))</f>
        <v>1</v>
      </c>
      <c r="CT16" s="74">
        <f t="array" ref="CT16">SUM(IF(ISERR(FIND(CT$4,$D16:$CD16)),0,1))</f>
        <v>0</v>
      </c>
      <c r="CU16" s="74">
        <f t="array" ref="CU16">SUM(IF(ISERR(FIND(CU$4,$D16:$CD16)),0,1))</f>
        <v>0</v>
      </c>
      <c r="CV16" s="74">
        <f t="array" ref="CV16">SUM(IF(ISERR(FIND(CV$4,$D16:$CD16)),0,1))</f>
        <v>1</v>
      </c>
      <c r="CW16" s="71">
        <f t="shared" si="9"/>
        <v>1</v>
      </c>
      <c r="CX16" s="71">
        <f t="shared" si="10"/>
        <v>0</v>
      </c>
      <c r="CY16" s="71">
        <f t="shared" si="11"/>
        <v>0</v>
      </c>
      <c r="CZ16" s="116">
        <f t="shared" si="12"/>
        <v>0</v>
      </c>
      <c r="DA16" s="71">
        <f>BatSplit(D16:CD16,CaughtWkt)</f>
        <v>0</v>
      </c>
      <c r="DB16" s="71">
        <f>BatSplit(D16:CD16,TwentyFives)</f>
        <v>0</v>
      </c>
      <c r="DC16" s="71">
        <f>ROUND(IF(ISERROR(CL16),0,CL16),2)*100000+CG16*100+CE16+ROW(DB16)/1000</f>
        <v>367407.016</v>
      </c>
      <c r="DD16" s="71">
        <f t="shared" si="13"/>
        <v>28</v>
      </c>
      <c r="DF16" s="104">
        <f t="shared" si="14"/>
        <v>0</v>
      </c>
      <c r="DG16" s="114">
        <f t="shared" si="15"/>
        <v>0</v>
      </c>
    </row>
    <row r="17" spans="1:111" x14ac:dyDescent="0.15">
      <c r="A17" s="71" t="str">
        <f t="shared" si="17"/>
        <v>AICO</v>
      </c>
      <c r="B17" s="71" t="s">
        <v>151</v>
      </c>
      <c r="C17" s="71" t="s">
        <v>199</v>
      </c>
      <c r="P17" s="71" t="s">
        <v>543</v>
      </c>
      <c r="S17" s="71" t="s">
        <v>617</v>
      </c>
      <c r="U17" s="71" t="s">
        <v>641</v>
      </c>
      <c r="W17" s="71" t="s">
        <v>673</v>
      </c>
      <c r="AD17" s="71" t="s">
        <v>700</v>
      </c>
      <c r="AE17" s="71" t="s">
        <v>741</v>
      </c>
      <c r="AH17" s="71" t="s">
        <v>890</v>
      </c>
      <c r="AR17" s="71" t="s">
        <v>939</v>
      </c>
      <c r="CE17" s="71">
        <f t="shared" ref="CE17:CE37" si="22">BatSplit(D17:CD17,MatchesPlayed)</f>
        <v>8</v>
      </c>
      <c r="CF17" s="71">
        <f t="shared" si="1"/>
        <v>1</v>
      </c>
      <c r="CG17" s="71">
        <f t="shared" si="2"/>
        <v>7</v>
      </c>
      <c r="CH17" s="71">
        <f t="shared" si="3"/>
        <v>1</v>
      </c>
      <c r="CI17" s="71">
        <f t="shared" si="4"/>
        <v>23</v>
      </c>
      <c r="CJ17" s="75">
        <f t="shared" si="18"/>
        <v>23</v>
      </c>
      <c r="CK17" s="71">
        <f t="shared" si="5"/>
        <v>63</v>
      </c>
      <c r="CL17" s="73">
        <f t="shared" si="19"/>
        <v>10.5</v>
      </c>
      <c r="CM17" s="71">
        <f t="shared" si="6"/>
        <v>63</v>
      </c>
      <c r="CN17" s="71">
        <f t="shared" si="7"/>
        <v>10</v>
      </c>
      <c r="CO17" s="74">
        <f t="array" ref="CO17">SUM(IF(ISERR(FIND("*",D17:CD17)),0,1))</f>
        <v>0</v>
      </c>
      <c r="CP17" s="74">
        <f t="array" ref="CP17">SUM(IF(ISERR(FIND("+",D17:CD17)),0,1))</f>
        <v>0</v>
      </c>
      <c r="CQ17" s="71">
        <f t="shared" si="8"/>
        <v>0</v>
      </c>
      <c r="CR17" s="74">
        <f t="array" ref="CR17">SUM(IF(ISERR(FIND(CR$4,$D17:$CD17)),0,1))</f>
        <v>3</v>
      </c>
      <c r="CS17" s="74">
        <f t="array" ref="CS17">SUM(IF(ISERR(FIND(CS$4,$D17:$CD17)),0,1))</f>
        <v>2</v>
      </c>
      <c r="CT17" s="74">
        <f t="array" ref="CT17">SUM(IF(ISERR(FIND(CT$4,$D17:$CD17)),0,1))</f>
        <v>1</v>
      </c>
      <c r="CU17" s="74">
        <f t="array" ref="CU17">SUM(IF(ISERR(FIND(CU$4,$D17:$CD17)),0,1))</f>
        <v>0</v>
      </c>
      <c r="CV17" s="74">
        <f t="array" ref="CV17">SUM(IF(ISERR(FIND(CV$4,$D17:$CD17)),0,1))</f>
        <v>0</v>
      </c>
      <c r="CW17" s="71">
        <f t="shared" si="9"/>
        <v>2</v>
      </c>
      <c r="CX17" s="71">
        <f t="shared" si="10"/>
        <v>10</v>
      </c>
      <c r="CY17" s="71">
        <f t="shared" si="11"/>
        <v>0</v>
      </c>
      <c r="CZ17" s="116">
        <f t="shared" si="12"/>
        <v>0</v>
      </c>
      <c r="DA17" s="71">
        <f t="shared" si="20"/>
        <v>0</v>
      </c>
      <c r="DB17" s="71">
        <f t="shared" si="21"/>
        <v>0</v>
      </c>
      <c r="DC17" s="71">
        <f t="shared" si="16"/>
        <v>1050708.017</v>
      </c>
      <c r="DD17" s="71">
        <f t="shared" si="13"/>
        <v>18</v>
      </c>
      <c r="DF17" s="104">
        <f t="shared" si="14"/>
        <v>0.63492063492063489</v>
      </c>
      <c r="DG17" s="114">
        <f t="shared" si="15"/>
        <v>0</v>
      </c>
    </row>
    <row r="18" spans="1:111" x14ac:dyDescent="0.15">
      <c r="A18" s="71" t="s">
        <v>223</v>
      </c>
      <c r="B18" s="71" t="s">
        <v>29</v>
      </c>
      <c r="C18" s="71" t="s">
        <v>191</v>
      </c>
      <c r="H18" s="71" t="s">
        <v>434</v>
      </c>
      <c r="N18" s="71" t="s">
        <v>501</v>
      </c>
      <c r="S18" s="71" t="s">
        <v>616</v>
      </c>
      <c r="W18" s="71" t="s">
        <v>431</v>
      </c>
      <c r="CE18" s="71">
        <f t="shared" si="22"/>
        <v>4</v>
      </c>
      <c r="CF18" s="71">
        <f t="shared" si="1"/>
        <v>0</v>
      </c>
      <c r="CG18" s="71">
        <f t="shared" si="2"/>
        <v>4</v>
      </c>
      <c r="CH18" s="71">
        <f t="shared" si="3"/>
        <v>0</v>
      </c>
      <c r="CI18" s="71">
        <f t="shared" si="4"/>
        <v>6</v>
      </c>
      <c r="CJ18" s="75">
        <f t="shared" si="18"/>
        <v>6</v>
      </c>
      <c r="CK18" s="71">
        <f t="shared" si="5"/>
        <v>8</v>
      </c>
      <c r="CL18" s="73">
        <f>IF(CG18=CH18,0,CK18/(CG18-CH18))</f>
        <v>2</v>
      </c>
      <c r="CM18" s="71">
        <f t="shared" si="6"/>
        <v>-2</v>
      </c>
      <c r="CN18" s="71">
        <f t="shared" si="7"/>
        <v>5</v>
      </c>
      <c r="CO18" s="74">
        <f t="array" ref="CO18">SUM(IF(ISERR(FIND("*",D18:CD18)),0,1))</f>
        <v>0</v>
      </c>
      <c r="CP18" s="74">
        <f t="array" ref="CP18">SUM(IF(ISERR(FIND("+",D18:CD18)),0,1))</f>
        <v>0</v>
      </c>
      <c r="CQ18" s="71">
        <f t="shared" si="8"/>
        <v>2</v>
      </c>
      <c r="CR18" s="74">
        <f t="array" ref="CR18">SUM(IF(ISERR(FIND(CR$4,$D18:$CD18)),0,1))</f>
        <v>3</v>
      </c>
      <c r="CS18" s="74">
        <f t="array" ref="CS18">SUM(IF(ISERR(FIND(CS$4,$D18:$CD18)),0,1))</f>
        <v>1</v>
      </c>
      <c r="CT18" s="74">
        <f t="array" ref="CT18">SUM(IF(ISERR(FIND(CT$4,$D18:$CD18)),0,1))</f>
        <v>0</v>
      </c>
      <c r="CU18" s="74">
        <f t="array" ref="CU18">SUM(IF(ISERR(FIND(CU$4,$D18:$CD18)),0,1))</f>
        <v>0</v>
      </c>
      <c r="CV18" s="74">
        <f t="array" ref="CV18">SUM(IF(ISERR(FIND(CV$4,$D18:$CD18)),0,1))</f>
        <v>0</v>
      </c>
      <c r="CW18" s="71">
        <f t="shared" si="9"/>
        <v>1</v>
      </c>
      <c r="CX18" s="71">
        <f t="shared" si="10"/>
        <v>1</v>
      </c>
      <c r="CY18" s="71">
        <f t="shared" si="11"/>
        <v>0</v>
      </c>
      <c r="CZ18" s="116">
        <f t="shared" si="12"/>
        <v>0</v>
      </c>
      <c r="DA18" s="71">
        <f>BatSplit(D18:CD18,CaughtWkt)</f>
        <v>0</v>
      </c>
      <c r="DB18" s="71">
        <f>BatSplit(D18:CD18,TwentyFives)</f>
        <v>0</v>
      </c>
      <c r="DC18" s="71">
        <f t="shared" si="16"/>
        <v>200404.01800000001</v>
      </c>
      <c r="DD18" s="71">
        <f t="shared" si="13"/>
        <v>33</v>
      </c>
      <c r="DF18" s="104">
        <f t="shared" si="14"/>
        <v>0.5</v>
      </c>
      <c r="DG18" s="114">
        <f t="shared" si="15"/>
        <v>0.5</v>
      </c>
    </row>
    <row r="19" spans="1:111" x14ac:dyDescent="0.15">
      <c r="A19" s="71" t="str">
        <f t="shared" si="17"/>
        <v>GECO</v>
      </c>
      <c r="B19" s="71" t="s">
        <v>30</v>
      </c>
      <c r="C19" s="71" t="s">
        <v>58</v>
      </c>
      <c r="H19" s="71" t="s">
        <v>427</v>
      </c>
      <c r="L19" s="71" t="s">
        <v>457</v>
      </c>
      <c r="N19" s="71" t="s">
        <v>504</v>
      </c>
      <c r="Q19" s="71" t="s">
        <v>569</v>
      </c>
      <c r="R19" s="71" t="s">
        <v>597</v>
      </c>
      <c r="AB19" s="71" t="s">
        <v>756</v>
      </c>
      <c r="AD19" s="71" t="s">
        <v>777</v>
      </c>
      <c r="AE19" s="71" t="s">
        <v>744</v>
      </c>
      <c r="AH19" s="71" t="s">
        <v>888</v>
      </c>
      <c r="AI19" s="71" t="s">
        <v>859</v>
      </c>
      <c r="AK19" s="71" t="s">
        <v>665</v>
      </c>
      <c r="AN19" s="71" t="s">
        <v>884</v>
      </c>
      <c r="AO19" s="71" t="s">
        <v>614</v>
      </c>
      <c r="AP19" s="71" t="s">
        <v>934</v>
      </c>
      <c r="AS19" s="71" t="s">
        <v>960</v>
      </c>
      <c r="AU19" s="71" t="s">
        <v>979</v>
      </c>
      <c r="CE19" s="71">
        <f t="shared" si="22"/>
        <v>16</v>
      </c>
      <c r="CF19" s="71">
        <f t="shared" si="1"/>
        <v>1</v>
      </c>
      <c r="CG19" s="71">
        <f t="shared" si="2"/>
        <v>15</v>
      </c>
      <c r="CH19" s="71">
        <f t="shared" si="3"/>
        <v>5</v>
      </c>
      <c r="CI19" s="71">
        <f t="shared" si="4"/>
        <v>19</v>
      </c>
      <c r="CJ19" s="75">
        <f t="shared" si="18"/>
        <v>19</v>
      </c>
      <c r="CK19" s="71">
        <f t="shared" si="5"/>
        <v>115</v>
      </c>
      <c r="CL19" s="73">
        <f t="shared" si="19"/>
        <v>11.5</v>
      </c>
      <c r="CM19" s="71">
        <f t="shared" si="6"/>
        <v>105</v>
      </c>
      <c r="CN19" s="71">
        <f t="shared" si="7"/>
        <v>60</v>
      </c>
      <c r="CO19" s="74">
        <f t="array" ref="CO19">SUM(IF(ISERR(FIND("*",D19:CD19)),0,1))</f>
        <v>0</v>
      </c>
      <c r="CP19" s="74">
        <f t="array" ref="CP19">SUM(IF(ISERR(FIND("+",D19:CD19)),0,1))</f>
        <v>0</v>
      </c>
      <c r="CQ19" s="71">
        <f t="shared" si="8"/>
        <v>2</v>
      </c>
      <c r="CR19" s="74">
        <f t="array" ref="CR19">SUM(IF(ISERR(FIND(CR$4,$D19:$CD19)),0,1))</f>
        <v>4</v>
      </c>
      <c r="CS19" s="74">
        <f t="array" ref="CS19">SUM(IF(ISERR(FIND(CS$4,$D19:$CD19)),0,1))</f>
        <v>5</v>
      </c>
      <c r="CT19" s="74">
        <f t="array" ref="CT19">SUM(IF(ISERR(FIND(CT$4,$D19:$CD19)),0,1))</f>
        <v>1</v>
      </c>
      <c r="CU19" s="74">
        <f t="array" ref="CU19">SUM(IF(ISERR(FIND(CU$4,$D19:$CD19)),0,1))</f>
        <v>0</v>
      </c>
      <c r="CV19" s="74">
        <f t="array" ref="CV19">SUM(IF(ISERR(FIND(CV$4,$D19:$CD19)),0,1))</f>
        <v>0</v>
      </c>
      <c r="CW19" s="71">
        <f t="shared" si="9"/>
        <v>12</v>
      </c>
      <c r="CX19" s="71">
        <f t="shared" si="10"/>
        <v>11</v>
      </c>
      <c r="CY19" s="71">
        <f t="shared" si="11"/>
        <v>0</v>
      </c>
      <c r="CZ19" s="116">
        <f t="shared" si="12"/>
        <v>0</v>
      </c>
      <c r="DA19" s="71">
        <f>BatSplit(D19:CD19,CaughtWkt)</f>
        <v>0</v>
      </c>
      <c r="DB19" s="71">
        <f t="shared" si="21"/>
        <v>0</v>
      </c>
      <c r="DC19" s="71">
        <f t="shared" si="16"/>
        <v>1151516.0190000001</v>
      </c>
      <c r="DD19" s="71">
        <f t="shared" si="13"/>
        <v>16</v>
      </c>
      <c r="DF19" s="104">
        <f t="shared" si="14"/>
        <v>0.38260869565217392</v>
      </c>
      <c r="DG19" s="114">
        <f t="shared" si="15"/>
        <v>0.2</v>
      </c>
    </row>
    <row r="20" spans="1:111" x14ac:dyDescent="0.15">
      <c r="B20" s="71" t="s">
        <v>702</v>
      </c>
      <c r="C20" s="71" t="s">
        <v>703</v>
      </c>
      <c r="AA20" s="71" t="s">
        <v>704</v>
      </c>
      <c r="AC20" s="71" t="s">
        <v>722</v>
      </c>
      <c r="AE20" s="71" t="s">
        <v>360</v>
      </c>
      <c r="AS20" s="71" t="s">
        <v>360</v>
      </c>
      <c r="CE20" s="71">
        <f>BatSplit(D20:CD20,MatchesPlayed)</f>
        <v>4</v>
      </c>
      <c r="CF20" s="71">
        <f t="shared" ref="CF20:CF33" si="23">CE20-CG20</f>
        <v>3</v>
      </c>
      <c r="CG20" s="71">
        <f t="shared" ref="CG20:CG33" si="24">BatSplit(D20:CD20,InnsBattedIn)</f>
        <v>1</v>
      </c>
      <c r="CH20" s="71">
        <f t="shared" ref="CH20:CH33" si="25">BatSplit(D20:CD20,NotOuts)</f>
        <v>0</v>
      </c>
      <c r="CI20" s="71">
        <f t="shared" ref="CI20:CI33" si="26">BatSplit(D20:CD20,HighestScore)</f>
        <v>3</v>
      </c>
      <c r="CJ20" s="75">
        <f t="shared" si="18"/>
        <v>3</v>
      </c>
      <c r="CK20" s="71">
        <f>BatSplit(D20:CD20,RunsScored)</f>
        <v>3</v>
      </c>
      <c r="CL20" s="73">
        <f>IF(CG20=CH20,0,CK20/(CG20-CH20))</f>
        <v>3</v>
      </c>
      <c r="CM20" s="71">
        <f>BatSplit(D20:CD20,BatPts)</f>
        <v>3</v>
      </c>
      <c r="CN20" s="71">
        <f>BatSplit(D20:CD20,FldPts)</f>
        <v>25</v>
      </c>
      <c r="CO20" s="74">
        <f t="array" ref="CO20">SUM(IF(ISERR(FIND("*",D20:CD20)),0,1))</f>
        <v>0</v>
      </c>
      <c r="CP20" s="74">
        <f t="array" ref="CP20">SUM(IF(ISERR(FIND("+",D20:CD20)),0,1))</f>
        <v>0</v>
      </c>
      <c r="CQ20" s="71">
        <f t="shared" ref="CQ20:CQ33" si="27">BatSplit(D20:CD20,Ducks)</f>
        <v>0</v>
      </c>
      <c r="CR20" s="74">
        <f t="array" ref="CR20">SUM(IF(ISERR(FIND(CR$4,$D20:$CD20)),0,1))</f>
        <v>0</v>
      </c>
      <c r="CS20" s="74">
        <f t="array" ref="CS20">SUM(IF(ISERR(FIND(CS$4,$D20:$CD20)),0,1))</f>
        <v>1</v>
      </c>
      <c r="CT20" s="74">
        <f t="array" ref="CT20">SUM(IF(ISERR(FIND(CT$4,$D20:$CD20)),0,1))</f>
        <v>0</v>
      </c>
      <c r="CU20" s="74">
        <f t="array" ref="CU20">SUM(IF(ISERR(FIND(CU$4,$D20:$CD20)),0,1))</f>
        <v>0</v>
      </c>
      <c r="CV20" s="74">
        <f t="array" ref="CV20">SUM(IF(ISERR(FIND(CV$4,$D20:$CD20)),0,1))</f>
        <v>0</v>
      </c>
      <c r="CW20" s="71">
        <f t="shared" ref="CW20:CW33" si="28">BatSplit(D20:CD20,Catches)</f>
        <v>5</v>
      </c>
      <c r="CX20" s="71">
        <f t="shared" ref="CX20:CX33" si="29">BatSplit(D20:CD20,Fours)</f>
        <v>0</v>
      </c>
      <c r="CY20" s="71">
        <f t="shared" ref="CY20:CY33" si="30">BatSplit(D20:CD20,Sixes)</f>
        <v>0</v>
      </c>
      <c r="CZ20" s="116">
        <f t="shared" ref="CZ20:CZ33" si="31">BatSplit(D20:CD20,Stumpings)</f>
        <v>0</v>
      </c>
      <c r="DA20" s="71">
        <f>BatSplit(D20:CD20,CaughtWkt)</f>
        <v>0</v>
      </c>
      <c r="DB20" s="71">
        <f>BatSplit(D20:CD20,TwentyFives)</f>
        <v>0</v>
      </c>
      <c r="DC20" s="71">
        <f>ROUND(IF(ISERROR(CL20),0,CL20),2)*100000+CG20*100+CE20+ROW(DB20)/1000</f>
        <v>300104.02</v>
      </c>
      <c r="DD20" s="71">
        <f t="shared" si="13"/>
        <v>31</v>
      </c>
      <c r="DF20" s="104">
        <f>(CX20*4+CY20*6)/CK20</f>
        <v>0</v>
      </c>
      <c r="DG20" s="114">
        <f>CQ20/(CG20-CH20)</f>
        <v>0</v>
      </c>
    </row>
    <row r="21" spans="1:111" x14ac:dyDescent="0.15">
      <c r="A21" s="71" t="s">
        <v>339</v>
      </c>
      <c r="B21" s="71" t="s">
        <v>263</v>
      </c>
      <c r="C21" s="71" t="s">
        <v>340</v>
      </c>
      <c r="G21" s="71" t="s">
        <v>358</v>
      </c>
      <c r="N21" s="71" t="s">
        <v>500</v>
      </c>
      <c r="P21" s="71" t="s">
        <v>545</v>
      </c>
      <c r="S21" s="71" t="s">
        <v>612</v>
      </c>
      <c r="U21" s="71" t="s">
        <v>614</v>
      </c>
      <c r="V21" s="71" t="s">
        <v>664</v>
      </c>
      <c r="AB21" s="71" t="s">
        <v>822</v>
      </c>
      <c r="AH21" s="71" t="s">
        <v>892</v>
      </c>
      <c r="AI21" s="71" t="s">
        <v>719</v>
      </c>
      <c r="AJ21" s="71" t="s">
        <v>829</v>
      </c>
      <c r="AP21" s="71" t="s">
        <v>931</v>
      </c>
      <c r="AS21" s="71" t="s">
        <v>719</v>
      </c>
      <c r="AU21" s="71" t="s">
        <v>980</v>
      </c>
      <c r="CE21" s="71">
        <f>BatSplit(D21:CD21,MatchesPlayed)</f>
        <v>13</v>
      </c>
      <c r="CF21" s="71">
        <f t="shared" si="23"/>
        <v>1</v>
      </c>
      <c r="CG21" s="71">
        <f t="shared" si="24"/>
        <v>12</v>
      </c>
      <c r="CH21" s="71">
        <f t="shared" si="25"/>
        <v>1</v>
      </c>
      <c r="CI21" s="71">
        <f t="shared" si="26"/>
        <v>15</v>
      </c>
      <c r="CJ21" s="75">
        <f t="shared" si="18"/>
        <v>15</v>
      </c>
      <c r="CK21" s="71">
        <f>BatSplit(D21:CD21,RunsScored)</f>
        <v>37</v>
      </c>
      <c r="CL21" s="73">
        <f>IF(CG21=CH21,0,CK21/(CG21-CH21))</f>
        <v>3.3636363636363638</v>
      </c>
      <c r="CM21" s="71">
        <f>BatSplit(D21:CD21,BatPts)</f>
        <v>2</v>
      </c>
      <c r="CN21" s="71">
        <f>BatSplit(D21:CD21,FldPts)</f>
        <v>35</v>
      </c>
      <c r="CO21" s="74">
        <f t="array" ref="CO21">SUM(IF(ISERR(FIND("*",D21:CD21)),0,1))</f>
        <v>0</v>
      </c>
      <c r="CP21" s="74">
        <f t="array" ref="CP21">SUM(IF(ISERR(FIND("+",D21:CD21)),0,1))</f>
        <v>0</v>
      </c>
      <c r="CQ21" s="71">
        <f t="shared" si="27"/>
        <v>7</v>
      </c>
      <c r="CR21" s="74">
        <f t="array" ref="CR21">SUM(IF(ISERR(FIND(CR$4,$D21:$CD21)),0,1))</f>
        <v>5</v>
      </c>
      <c r="CS21" s="74">
        <f t="array" ref="CS21">SUM(IF(ISERR(FIND(CS$4,$D21:$CD21)),0,1))</f>
        <v>5</v>
      </c>
      <c r="CT21" s="74">
        <f t="array" ref="CT21">SUM(IF(ISERR(FIND(CT$4,$D21:$CD21)),0,1))</f>
        <v>0</v>
      </c>
      <c r="CU21" s="74">
        <f t="array" ref="CU21">SUM(IF(ISERR(FIND(CU$4,$D21:$CD21)),0,1))</f>
        <v>1</v>
      </c>
      <c r="CV21" s="74">
        <f t="array" ref="CV21">SUM(IF(ISERR(FIND(CV$4,$D21:$CD21)),0,1))</f>
        <v>0</v>
      </c>
      <c r="CW21" s="71">
        <f t="shared" si="28"/>
        <v>7</v>
      </c>
      <c r="CX21" s="71">
        <f t="shared" si="29"/>
        <v>5</v>
      </c>
      <c r="CY21" s="71">
        <f t="shared" si="30"/>
        <v>0</v>
      </c>
      <c r="CZ21" s="116">
        <f t="shared" si="31"/>
        <v>0</v>
      </c>
      <c r="DA21" s="71">
        <f>BatSplit(D21:CD21,CaughtWkt)</f>
        <v>0</v>
      </c>
      <c r="DB21" s="71">
        <f>BatSplit(D21:CD21,TwentyFives)</f>
        <v>0</v>
      </c>
      <c r="DC21" s="71">
        <f>ROUND(IF(ISERROR(CL21),0,CL21),2)*100000+CG21*100+CE21+ROW(DB21)/1000</f>
        <v>337213.02100000001</v>
      </c>
      <c r="DD21" s="71">
        <f t="shared" si="13"/>
        <v>29</v>
      </c>
      <c r="DF21" s="104">
        <f>(CX21*4+CY21*6)/CK21</f>
        <v>0.54054054054054057</v>
      </c>
      <c r="DG21" s="114">
        <f>CQ21/(CG21-CH21)</f>
        <v>0.63636363636363635</v>
      </c>
    </row>
    <row r="22" spans="1:111" x14ac:dyDescent="0.15">
      <c r="A22" s="71" t="str">
        <f t="shared" si="17"/>
        <v>TEDU</v>
      </c>
      <c r="B22" s="71" t="s">
        <v>31</v>
      </c>
      <c r="C22" s="71" t="s">
        <v>163</v>
      </c>
      <c r="G22" s="71" t="s">
        <v>354</v>
      </c>
      <c r="T22" s="71" t="s">
        <v>631</v>
      </c>
      <c r="U22" s="71" t="s">
        <v>635</v>
      </c>
      <c r="V22" s="71" t="s">
        <v>660</v>
      </c>
      <c r="AA22" s="71" t="s">
        <v>699</v>
      </c>
      <c r="AC22" s="71" t="s">
        <v>718</v>
      </c>
      <c r="AH22" s="71" t="s">
        <v>887</v>
      </c>
      <c r="AI22" s="71" t="s">
        <v>860</v>
      </c>
      <c r="AJ22" s="71" t="s">
        <v>824</v>
      </c>
      <c r="AK22" s="71" t="s">
        <v>468</v>
      </c>
      <c r="CE22" s="71">
        <f t="shared" si="22"/>
        <v>10</v>
      </c>
      <c r="CF22" s="71">
        <f t="shared" si="23"/>
        <v>1</v>
      </c>
      <c r="CG22" s="71">
        <f t="shared" si="24"/>
        <v>9</v>
      </c>
      <c r="CH22" s="71">
        <f t="shared" si="25"/>
        <v>2</v>
      </c>
      <c r="CI22" s="71">
        <f t="shared" si="26"/>
        <v>-63</v>
      </c>
      <c r="CJ22" s="75" t="str">
        <f t="shared" si="18"/>
        <v>63*</v>
      </c>
      <c r="CK22" s="71">
        <f t="shared" ref="CK22:CK31" si="32">BatSplit(D22:CD22,RunsScored)</f>
        <v>214</v>
      </c>
      <c r="CL22" s="73">
        <f t="shared" si="19"/>
        <v>30.571428571428573</v>
      </c>
      <c r="CM22" s="71">
        <f t="shared" ref="CM22:CM33" si="33">BatSplit(D22:CD22,BatPts)</f>
        <v>229</v>
      </c>
      <c r="CN22" s="71">
        <f t="shared" ref="CN22:CN33" si="34">BatSplit(D22:CD22,FldPts)</f>
        <v>26</v>
      </c>
      <c r="CO22" s="74">
        <f t="array" ref="CO22">SUM(IF(ISERR(FIND("*",D22:CD22)),0,1))</f>
        <v>0</v>
      </c>
      <c r="CP22" s="74">
        <f t="array" ref="CP22">SUM(IF(ISERR(FIND("+",D22:CD22)),0,1))</f>
        <v>6</v>
      </c>
      <c r="CQ22" s="71">
        <f t="shared" si="27"/>
        <v>1</v>
      </c>
      <c r="CR22" s="74">
        <f t="array" ref="CR22">SUM(IF(ISERR(FIND(CR$4,$D22:$CD22)),0,1))</f>
        <v>2</v>
      </c>
      <c r="CS22" s="74">
        <f t="array" ref="CS22">SUM(IF(ISERR(FIND(CS$4,$D22:$CD22)),0,1))</f>
        <v>5</v>
      </c>
      <c r="CT22" s="74">
        <f t="array" ref="CT22">SUM(IF(ISERR(FIND(CT$4,$D22:$CD22)),0,1))</f>
        <v>0</v>
      </c>
      <c r="CU22" s="74">
        <f t="array" ref="CU22">SUM(IF(ISERR(FIND(CU$4,$D22:$CD22)),0,1))</f>
        <v>0</v>
      </c>
      <c r="CV22" s="74">
        <f t="array" ref="CV22">SUM(IF(ISERR(FIND(CV$4,$D22:$CD22)),0,1))</f>
        <v>0</v>
      </c>
      <c r="CW22" s="71">
        <f t="shared" si="28"/>
        <v>3</v>
      </c>
      <c r="CX22" s="71">
        <f t="shared" si="29"/>
        <v>31</v>
      </c>
      <c r="CY22" s="71">
        <f t="shared" si="30"/>
        <v>0</v>
      </c>
      <c r="CZ22" s="116">
        <f t="shared" si="31"/>
        <v>2</v>
      </c>
      <c r="DA22" s="71">
        <f t="shared" si="20"/>
        <v>3</v>
      </c>
      <c r="DB22" s="71">
        <f t="shared" si="21"/>
        <v>3</v>
      </c>
      <c r="DC22" s="71">
        <f t="shared" si="16"/>
        <v>3057910.0219999999</v>
      </c>
      <c r="DD22" s="71">
        <f t="shared" si="13"/>
        <v>6</v>
      </c>
      <c r="DF22" s="104">
        <f t="shared" si="14"/>
        <v>0.57943925233644855</v>
      </c>
      <c r="DG22" s="114">
        <f t="shared" si="15"/>
        <v>0.14285714285714285</v>
      </c>
    </row>
    <row r="23" spans="1:111" x14ac:dyDescent="0.15">
      <c r="A23" s="71" t="str">
        <f t="shared" si="17"/>
        <v>JOEL</v>
      </c>
      <c r="B23" s="71" t="s">
        <v>27</v>
      </c>
      <c r="C23" s="71" t="s">
        <v>200</v>
      </c>
      <c r="E23" s="71" t="s">
        <v>330</v>
      </c>
      <c r="G23" s="71" t="s">
        <v>361</v>
      </c>
      <c r="I23" s="71" t="s">
        <v>395</v>
      </c>
      <c r="N23" s="71" t="s">
        <v>506</v>
      </c>
      <c r="P23" s="71" t="s">
        <v>329</v>
      </c>
      <c r="R23" s="71" t="s">
        <v>329</v>
      </c>
      <c r="AA23" s="71" t="s">
        <v>362</v>
      </c>
      <c r="AC23" s="71" t="s">
        <v>725</v>
      </c>
      <c r="AG23" s="71" t="s">
        <v>329</v>
      </c>
      <c r="AI23" s="71" t="s">
        <v>873</v>
      </c>
      <c r="AK23" s="71" t="s">
        <v>360</v>
      </c>
      <c r="AO23" s="71" t="s">
        <v>469</v>
      </c>
      <c r="CE23" s="71">
        <f t="shared" si="22"/>
        <v>12</v>
      </c>
      <c r="CF23" s="71">
        <f t="shared" si="23"/>
        <v>8</v>
      </c>
      <c r="CG23" s="71">
        <f t="shared" si="24"/>
        <v>4</v>
      </c>
      <c r="CH23" s="71">
        <f t="shared" si="25"/>
        <v>1</v>
      </c>
      <c r="CI23" s="71">
        <f t="shared" si="26"/>
        <v>5</v>
      </c>
      <c r="CJ23" s="75">
        <f t="shared" si="18"/>
        <v>5</v>
      </c>
      <c r="CK23" s="71">
        <f t="shared" si="32"/>
        <v>6</v>
      </c>
      <c r="CL23" s="73">
        <f t="shared" si="19"/>
        <v>2</v>
      </c>
      <c r="CM23" s="71">
        <f t="shared" si="33"/>
        <v>1</v>
      </c>
      <c r="CN23" s="71">
        <f t="shared" si="34"/>
        <v>20</v>
      </c>
      <c r="CO23" s="74">
        <f t="array" ref="CO23">SUM(IF(ISERR(FIND("*",D23:CD23)),0,1))</f>
        <v>1</v>
      </c>
      <c r="CP23" s="74">
        <f t="array" ref="CP23">SUM(IF(ISERR(FIND("+",D23:CD23)),0,1))</f>
        <v>0</v>
      </c>
      <c r="CQ23" s="71">
        <f t="shared" si="27"/>
        <v>1</v>
      </c>
      <c r="CR23" s="74">
        <f t="array" ref="CR23">SUM(IF(ISERR(FIND(CR$4,$D23:$CD23)),0,1))</f>
        <v>1</v>
      </c>
      <c r="CS23" s="74">
        <f t="array" ref="CS23">SUM(IF(ISERR(FIND(CS$4,$D23:$CD23)),0,1))</f>
        <v>2</v>
      </c>
      <c r="CT23" s="74">
        <f t="array" ref="CT23">SUM(IF(ISERR(FIND(CT$4,$D23:$CD23)),0,1))</f>
        <v>0</v>
      </c>
      <c r="CU23" s="74">
        <f t="array" ref="CU23">SUM(IF(ISERR(FIND(CU$4,$D23:$CD23)),0,1))</f>
        <v>0</v>
      </c>
      <c r="CV23" s="74">
        <f t="array" ref="CV23">SUM(IF(ISERR(FIND(CV$4,$D23:$CD23)),0,1))</f>
        <v>0</v>
      </c>
      <c r="CW23" s="71">
        <f t="shared" si="28"/>
        <v>4</v>
      </c>
      <c r="CX23" s="71">
        <f t="shared" si="29"/>
        <v>0</v>
      </c>
      <c r="CY23" s="71">
        <f t="shared" si="30"/>
        <v>0</v>
      </c>
      <c r="CZ23" s="116">
        <f t="shared" si="31"/>
        <v>0</v>
      </c>
      <c r="DA23" s="71">
        <f t="shared" si="20"/>
        <v>0</v>
      </c>
      <c r="DB23" s="71">
        <f t="shared" si="21"/>
        <v>0</v>
      </c>
      <c r="DC23" s="71">
        <f t="shared" si="16"/>
        <v>200412.02299999999</v>
      </c>
      <c r="DD23" s="71">
        <f t="shared" si="13"/>
        <v>32</v>
      </c>
      <c r="DF23" s="104">
        <f t="shared" si="14"/>
        <v>0</v>
      </c>
      <c r="DG23" s="114">
        <f t="shared" si="15"/>
        <v>0.33333333333333331</v>
      </c>
    </row>
    <row r="24" spans="1:111" x14ac:dyDescent="0.15">
      <c r="A24" s="71" t="s">
        <v>275</v>
      </c>
      <c r="B24" s="71" t="s">
        <v>236</v>
      </c>
      <c r="C24" s="71" t="s">
        <v>237</v>
      </c>
      <c r="CE24" s="71">
        <f>BatSplit(D24:CD24,MatchesPlayed)</f>
        <v>0</v>
      </c>
      <c r="CF24" s="71">
        <f t="shared" si="23"/>
        <v>0</v>
      </c>
      <c r="CG24" s="71">
        <f t="shared" si="24"/>
        <v>0</v>
      </c>
      <c r="CH24" s="71">
        <f t="shared" si="25"/>
        <v>0</v>
      </c>
      <c r="CI24" s="71">
        <f t="shared" si="26"/>
        <v>0</v>
      </c>
      <c r="CJ24" s="75">
        <f t="shared" si="18"/>
        <v>0</v>
      </c>
      <c r="CK24" s="71">
        <f>BatSplit(D24:CD24,RunsScored)</f>
        <v>0</v>
      </c>
      <c r="CL24" s="73">
        <f>IF(CG24=CH24,0,CK24/(CG24-CH24))</f>
        <v>0</v>
      </c>
      <c r="CM24" s="71">
        <f t="shared" si="33"/>
        <v>0</v>
      </c>
      <c r="CN24" s="71">
        <f>BatSplit(D24:CD24,FldPts)</f>
        <v>0</v>
      </c>
      <c r="CO24" s="74">
        <f t="array" ref="CO24">SUM(IF(ISERR(FIND("*",D24:CD24)),0,1))</f>
        <v>0</v>
      </c>
      <c r="CP24" s="74">
        <f t="array" ref="CP24">SUM(IF(ISERR(FIND("+",D24:CD24)),0,1))</f>
        <v>0</v>
      </c>
      <c r="CQ24" s="71">
        <f t="shared" si="27"/>
        <v>0</v>
      </c>
      <c r="CR24" s="74">
        <f t="array" ref="CR24">SUM(IF(ISERR(FIND(CR$4,$D24:$CD24)),0,1))</f>
        <v>0</v>
      </c>
      <c r="CS24" s="74">
        <f t="array" ref="CS24">SUM(IF(ISERR(FIND(CS$4,$D24:$CD24)),0,1))</f>
        <v>0</v>
      </c>
      <c r="CT24" s="74">
        <f t="array" ref="CT24">SUM(IF(ISERR(FIND(CT$4,$D24:$CD24)),0,1))</f>
        <v>0</v>
      </c>
      <c r="CU24" s="74">
        <f t="array" ref="CU24">SUM(IF(ISERR(FIND(CU$4,$D24:$CD24)),0,1))</f>
        <v>0</v>
      </c>
      <c r="CV24" s="74">
        <f t="array" ref="CV24">SUM(IF(ISERR(FIND(CV$4,$D24:$CD24)),0,1))</f>
        <v>0</v>
      </c>
      <c r="CW24" s="71">
        <f t="shared" si="28"/>
        <v>0</v>
      </c>
      <c r="CX24" s="71">
        <f t="shared" si="29"/>
        <v>0</v>
      </c>
      <c r="CY24" s="71">
        <f t="shared" si="30"/>
        <v>0</v>
      </c>
      <c r="CZ24" s="116">
        <f t="shared" si="31"/>
        <v>0</v>
      </c>
      <c r="DA24" s="71">
        <f>BatSplit(D24:CD24,CaughtWkt)</f>
        <v>0</v>
      </c>
      <c r="DB24" s="71">
        <f>BatSplit(D24:CD24,TwentyFives)</f>
        <v>0</v>
      </c>
      <c r="DC24" s="71">
        <f t="shared" si="16"/>
        <v>2.4E-2</v>
      </c>
      <c r="DD24" s="71">
        <f t="shared" si="13"/>
        <v>57</v>
      </c>
      <c r="DF24" s="104" t="e">
        <f t="shared" si="14"/>
        <v>#DIV/0!</v>
      </c>
      <c r="DG24" s="114" t="e">
        <f t="shared" si="15"/>
        <v>#DIV/0!</v>
      </c>
    </row>
    <row r="25" spans="1:111" x14ac:dyDescent="0.15">
      <c r="A25" s="71" t="str">
        <f t="shared" si="17"/>
        <v>ALHA</v>
      </c>
      <c r="B25" s="71" t="s">
        <v>45</v>
      </c>
      <c r="C25" s="71" t="s">
        <v>201</v>
      </c>
      <c r="CE25" s="71">
        <f t="shared" si="22"/>
        <v>0</v>
      </c>
      <c r="CF25" s="71">
        <f t="shared" si="23"/>
        <v>0</v>
      </c>
      <c r="CG25" s="71">
        <f t="shared" si="24"/>
        <v>0</v>
      </c>
      <c r="CH25" s="71">
        <f t="shared" si="25"/>
        <v>0</v>
      </c>
      <c r="CI25" s="71">
        <f t="shared" si="26"/>
        <v>0</v>
      </c>
      <c r="CJ25" s="75">
        <f t="shared" si="18"/>
        <v>0</v>
      </c>
      <c r="CK25" s="71">
        <f t="shared" si="32"/>
        <v>0</v>
      </c>
      <c r="CL25" s="73">
        <f>IF(CG25=CH25,0,CK25/(CG25-CH25))</f>
        <v>0</v>
      </c>
      <c r="CM25" s="71">
        <f t="shared" si="33"/>
        <v>0</v>
      </c>
      <c r="CN25" s="71">
        <f t="shared" si="34"/>
        <v>0</v>
      </c>
      <c r="CO25" s="74">
        <f t="array" ref="CO25">SUM(IF(ISERR(FIND("*",D25:CD25)),0,1))</f>
        <v>0</v>
      </c>
      <c r="CP25" s="74">
        <f t="array" ref="CP25">SUM(IF(ISERR(FIND("+",D25:CD25)),0,1))</f>
        <v>0</v>
      </c>
      <c r="CQ25" s="71">
        <f t="shared" si="27"/>
        <v>0</v>
      </c>
      <c r="CR25" s="74">
        <f t="array" ref="CR25">SUM(IF(ISERR(FIND(CR$4,$D25:$CD25)),0,1))</f>
        <v>0</v>
      </c>
      <c r="CS25" s="74">
        <f t="array" ref="CS25">SUM(IF(ISERR(FIND(CS$4,$D25:$CD25)),0,1))</f>
        <v>0</v>
      </c>
      <c r="CT25" s="74">
        <f t="array" ref="CT25">SUM(IF(ISERR(FIND(CT$4,$D25:$CD25)),0,1))</f>
        <v>0</v>
      </c>
      <c r="CU25" s="74">
        <f t="array" ref="CU25">SUM(IF(ISERR(FIND(CU$4,$D25:$CD25)),0,1))</f>
        <v>0</v>
      </c>
      <c r="CV25" s="74">
        <f t="array" ref="CV25">SUM(IF(ISERR(FIND(CV$4,$D25:$CD25)),0,1))</f>
        <v>0</v>
      </c>
      <c r="CW25" s="71">
        <f t="shared" si="28"/>
        <v>0</v>
      </c>
      <c r="CX25" s="71">
        <f t="shared" si="29"/>
        <v>0</v>
      </c>
      <c r="CY25" s="71">
        <f t="shared" si="30"/>
        <v>0</v>
      </c>
      <c r="CZ25" s="116">
        <f t="shared" si="31"/>
        <v>0</v>
      </c>
      <c r="DA25" s="71">
        <f>BatSplit(D25:CD25,CaughtWkt)</f>
        <v>0</v>
      </c>
      <c r="DB25" s="71">
        <f>BatSplit(D25:CD25,TwentyFives)</f>
        <v>0</v>
      </c>
      <c r="DC25" s="71">
        <f t="shared" si="16"/>
        <v>2.5000000000000001E-2</v>
      </c>
      <c r="DD25" s="71">
        <f t="shared" si="13"/>
        <v>56</v>
      </c>
      <c r="DF25" s="104" t="e">
        <f t="shared" si="14"/>
        <v>#DIV/0!</v>
      </c>
      <c r="DG25" s="114" t="e">
        <f t="shared" si="15"/>
        <v>#DIV/0!</v>
      </c>
    </row>
    <row r="26" spans="1:111" x14ac:dyDescent="0.15">
      <c r="A26" s="71" t="s">
        <v>274</v>
      </c>
      <c r="B26" s="71" t="s">
        <v>232</v>
      </c>
      <c r="C26" s="71" t="s">
        <v>233</v>
      </c>
      <c r="CE26" s="71">
        <f>BatSplit(D26:CD26,MatchesPlayed)</f>
        <v>0</v>
      </c>
      <c r="CF26" s="71">
        <f t="shared" si="23"/>
        <v>0</v>
      </c>
      <c r="CG26" s="71">
        <f t="shared" si="24"/>
        <v>0</v>
      </c>
      <c r="CH26" s="71">
        <f t="shared" si="25"/>
        <v>0</v>
      </c>
      <c r="CI26" s="71">
        <f t="shared" si="26"/>
        <v>0</v>
      </c>
      <c r="CJ26" s="75">
        <f t="shared" si="18"/>
        <v>0</v>
      </c>
      <c r="CK26" s="71">
        <f t="shared" si="32"/>
        <v>0</v>
      </c>
      <c r="CL26" s="73">
        <f>IF(CG26=CH26,0,CK26/(CG26-CH26))</f>
        <v>0</v>
      </c>
      <c r="CM26" s="71">
        <f t="shared" si="33"/>
        <v>0</v>
      </c>
      <c r="CN26" s="71">
        <f>BatSplit(D26:CD26,FldPts)</f>
        <v>0</v>
      </c>
      <c r="CO26" s="74">
        <f t="array" ref="CO26">SUM(IF(ISERR(FIND("*",D26:CD26)),0,1))</f>
        <v>0</v>
      </c>
      <c r="CP26" s="74">
        <f t="array" ref="CP26">SUM(IF(ISERR(FIND("+",D26:CD26)),0,1))</f>
        <v>0</v>
      </c>
      <c r="CQ26" s="71">
        <f t="shared" si="27"/>
        <v>0</v>
      </c>
      <c r="CR26" s="74">
        <f t="array" ref="CR26">SUM(IF(ISERR(FIND(CR$4,$D26:$CD26)),0,1))</f>
        <v>0</v>
      </c>
      <c r="CS26" s="74">
        <f t="array" ref="CS26">SUM(IF(ISERR(FIND(CS$4,$D26:$CD26)),0,1))</f>
        <v>0</v>
      </c>
      <c r="CT26" s="74">
        <f t="array" ref="CT26">SUM(IF(ISERR(FIND(CT$4,$D26:$CD26)),0,1))</f>
        <v>0</v>
      </c>
      <c r="CU26" s="74">
        <f t="array" ref="CU26">SUM(IF(ISERR(FIND(CU$4,$D26:$CD26)),0,1))</f>
        <v>0</v>
      </c>
      <c r="CV26" s="74">
        <f t="array" ref="CV26">SUM(IF(ISERR(FIND(CV$4,$D26:$CD26)),0,1))</f>
        <v>0</v>
      </c>
      <c r="CW26" s="71">
        <f t="shared" si="28"/>
        <v>0</v>
      </c>
      <c r="CX26" s="71">
        <f t="shared" si="29"/>
        <v>0</v>
      </c>
      <c r="CY26" s="71">
        <f t="shared" si="30"/>
        <v>0</v>
      </c>
      <c r="CZ26" s="116">
        <f t="shared" si="31"/>
        <v>0</v>
      </c>
      <c r="DA26" s="71">
        <f>BatSplit(D26:CD26,CaughtWkt)</f>
        <v>0</v>
      </c>
      <c r="DB26" s="71">
        <f>BatSplit(D26:CD26,TwentyFives)</f>
        <v>0</v>
      </c>
      <c r="DC26" s="71">
        <f t="shared" si="16"/>
        <v>2.5999999999999999E-2</v>
      </c>
      <c r="DD26" s="71">
        <f t="shared" si="13"/>
        <v>55</v>
      </c>
      <c r="DF26" s="104" t="e">
        <f t="shared" si="14"/>
        <v>#DIV/0!</v>
      </c>
      <c r="DG26" s="114" t="e">
        <f t="shared" si="15"/>
        <v>#DIV/0!</v>
      </c>
    </row>
    <row r="27" spans="1:111" x14ac:dyDescent="0.15">
      <c r="A27" s="71" t="s">
        <v>273</v>
      </c>
      <c r="B27" s="71" t="s">
        <v>256</v>
      </c>
      <c r="C27" s="71" t="s">
        <v>257</v>
      </c>
      <c r="CE27" s="71">
        <f>BatSplit(D27:CD27,MatchesPlayed)</f>
        <v>0</v>
      </c>
      <c r="CF27" s="71">
        <f t="shared" si="23"/>
        <v>0</v>
      </c>
      <c r="CG27" s="71">
        <f t="shared" si="24"/>
        <v>0</v>
      </c>
      <c r="CH27" s="71">
        <f t="shared" si="25"/>
        <v>0</v>
      </c>
      <c r="CI27" s="71">
        <f t="shared" si="26"/>
        <v>0</v>
      </c>
      <c r="CJ27" s="75">
        <f t="shared" si="18"/>
        <v>0</v>
      </c>
      <c r="CK27" s="71">
        <f>BatSplit(D27:CD27,RunsScored)</f>
        <v>0</v>
      </c>
      <c r="CL27" s="73">
        <f>IF(CG27=CH27,0,CK27/(CG27-CH27))</f>
        <v>0</v>
      </c>
      <c r="CM27" s="71">
        <f t="shared" si="33"/>
        <v>0</v>
      </c>
      <c r="CN27" s="71">
        <f>BatSplit(D27:CD27,FldPts)</f>
        <v>0</v>
      </c>
      <c r="CO27" s="74">
        <f t="array" ref="CO27">SUM(IF(ISERR(FIND("*",D27:CD27)),0,1))</f>
        <v>0</v>
      </c>
      <c r="CP27" s="74">
        <f t="array" ref="CP27">SUM(IF(ISERR(FIND("+",D27:CD27)),0,1))</f>
        <v>0</v>
      </c>
      <c r="CQ27" s="71">
        <f t="shared" si="27"/>
        <v>0</v>
      </c>
      <c r="CR27" s="74">
        <f t="array" ref="CR27">SUM(IF(ISERR(FIND(CR$4,$D27:$CD27)),0,1))</f>
        <v>0</v>
      </c>
      <c r="CS27" s="74">
        <f t="array" ref="CS27">SUM(IF(ISERR(FIND(CS$4,$D27:$CD27)),0,1))</f>
        <v>0</v>
      </c>
      <c r="CT27" s="74">
        <f t="array" ref="CT27">SUM(IF(ISERR(FIND(CT$4,$D27:$CD27)),0,1))</f>
        <v>0</v>
      </c>
      <c r="CU27" s="74">
        <f t="array" ref="CU27">SUM(IF(ISERR(FIND(CU$4,$D27:$CD27)),0,1))</f>
        <v>0</v>
      </c>
      <c r="CV27" s="74">
        <f t="array" ref="CV27">SUM(IF(ISERR(FIND(CV$4,$D27:$CD27)),0,1))</f>
        <v>0</v>
      </c>
      <c r="CW27" s="71">
        <f t="shared" si="28"/>
        <v>0</v>
      </c>
      <c r="CX27" s="71">
        <f t="shared" si="29"/>
        <v>0</v>
      </c>
      <c r="CY27" s="71">
        <f t="shared" si="30"/>
        <v>0</v>
      </c>
      <c r="CZ27" s="116">
        <f t="shared" si="31"/>
        <v>0</v>
      </c>
      <c r="DA27" s="71">
        <f>BatSplit(D27:CD27,CaughtWkt)</f>
        <v>0</v>
      </c>
      <c r="DB27" s="71">
        <f>BatSplit(D27:CD27,TwentyFives)</f>
        <v>0</v>
      </c>
      <c r="DC27" s="71">
        <f>ROUND(IF(ISERROR(CL27),0,CL27),2)*100000+CG27*100+CE27+ROW(DB27)/1000</f>
        <v>2.7E-2</v>
      </c>
      <c r="DD27" s="71">
        <f t="shared" si="13"/>
        <v>54</v>
      </c>
      <c r="DF27" s="104" t="e">
        <f t="shared" si="14"/>
        <v>#DIV/0!</v>
      </c>
      <c r="DG27" s="114" t="e">
        <f t="shared" si="15"/>
        <v>#DIV/0!</v>
      </c>
    </row>
    <row r="28" spans="1:111" x14ac:dyDescent="0.15">
      <c r="A28" s="71" t="s">
        <v>272</v>
      </c>
      <c r="B28" s="71" t="s">
        <v>27</v>
      </c>
      <c r="C28" s="71" t="s">
        <v>238</v>
      </c>
      <c r="E28" s="71" t="s">
        <v>326</v>
      </c>
      <c r="CE28" s="71">
        <f>BatSplit(D28:CD28,MatchesPlayed)</f>
        <v>1</v>
      </c>
      <c r="CF28" s="71">
        <f t="shared" si="23"/>
        <v>0</v>
      </c>
      <c r="CG28" s="71">
        <f t="shared" si="24"/>
        <v>1</v>
      </c>
      <c r="CH28" s="71">
        <f t="shared" si="25"/>
        <v>0</v>
      </c>
      <c r="CI28" s="71">
        <f t="shared" si="26"/>
        <v>2</v>
      </c>
      <c r="CJ28" s="75">
        <f t="shared" si="18"/>
        <v>2</v>
      </c>
      <c r="CK28" s="71">
        <f>BatSplit(D28:CD28,RunsScored)</f>
        <v>2</v>
      </c>
      <c r="CL28" s="73">
        <f>IF(CG28=CH28,0,CK28/(CG28-CH28))</f>
        <v>2</v>
      </c>
      <c r="CM28" s="71">
        <f t="shared" si="33"/>
        <v>2</v>
      </c>
      <c r="CN28" s="71">
        <f>BatSplit(D28:CD28,FldPts)</f>
        <v>5</v>
      </c>
      <c r="CO28" s="74">
        <f t="array" ref="CO28">SUM(IF(ISERR(FIND("*",D28:CD28)),0,1))</f>
        <v>0</v>
      </c>
      <c r="CP28" s="74">
        <f t="array" ref="CP28">SUM(IF(ISERR(FIND("+",D28:CD28)),0,1))</f>
        <v>0</v>
      </c>
      <c r="CQ28" s="71">
        <f t="shared" si="27"/>
        <v>0</v>
      </c>
      <c r="CR28" s="74">
        <f t="array" ref="CR28">SUM(IF(ISERR(FIND(CR$4,$D28:$CD28)),0,1))</f>
        <v>1</v>
      </c>
      <c r="CS28" s="74">
        <f t="array" ref="CS28">SUM(IF(ISERR(FIND(CS$4,$D28:$CD28)),0,1))</f>
        <v>0</v>
      </c>
      <c r="CT28" s="74">
        <f t="array" ref="CT28">SUM(IF(ISERR(FIND(CT$4,$D28:$CD28)),0,1))</f>
        <v>0</v>
      </c>
      <c r="CU28" s="74">
        <f t="array" ref="CU28">SUM(IF(ISERR(FIND(CU$4,$D28:$CD28)),0,1))</f>
        <v>0</v>
      </c>
      <c r="CV28" s="74">
        <f t="array" ref="CV28">SUM(IF(ISERR(FIND(CV$4,$D28:$CD28)),0,1))</f>
        <v>0</v>
      </c>
      <c r="CW28" s="71">
        <f t="shared" si="28"/>
        <v>1</v>
      </c>
      <c r="CX28" s="71">
        <f t="shared" si="29"/>
        <v>0</v>
      </c>
      <c r="CY28" s="71">
        <f t="shared" si="30"/>
        <v>0</v>
      </c>
      <c r="CZ28" s="116">
        <f t="shared" si="31"/>
        <v>0</v>
      </c>
      <c r="DA28" s="71">
        <f>BatSplit(D28:CD28,CaughtWkt)</f>
        <v>0</v>
      </c>
      <c r="DB28" s="71">
        <f>BatSplit(D28:CD28,TwentyFives)</f>
        <v>0</v>
      </c>
      <c r="DC28" s="71">
        <f t="shared" si="16"/>
        <v>200101.02799999999</v>
      </c>
      <c r="DD28" s="71">
        <f t="shared" si="13"/>
        <v>34</v>
      </c>
      <c r="DF28" s="104">
        <f t="shared" si="14"/>
        <v>0</v>
      </c>
      <c r="DG28" s="114">
        <f t="shared" si="15"/>
        <v>0</v>
      </c>
    </row>
    <row r="29" spans="1:111" x14ac:dyDescent="0.15">
      <c r="A29" s="71" t="str">
        <f t="shared" si="17"/>
        <v>LUHI</v>
      </c>
      <c r="B29" s="71" t="s">
        <v>34</v>
      </c>
      <c r="C29" s="71" t="s">
        <v>202</v>
      </c>
      <c r="K29" s="71" t="s">
        <v>329</v>
      </c>
      <c r="L29" s="71" t="s">
        <v>431</v>
      </c>
      <c r="M29" s="71" t="s">
        <v>456</v>
      </c>
      <c r="CE29" s="71">
        <f t="shared" si="22"/>
        <v>3</v>
      </c>
      <c r="CF29" s="71">
        <f t="shared" si="23"/>
        <v>2</v>
      </c>
      <c r="CG29" s="71">
        <f t="shared" si="24"/>
        <v>1</v>
      </c>
      <c r="CH29" s="71">
        <f t="shared" si="25"/>
        <v>0</v>
      </c>
      <c r="CI29" s="71">
        <f t="shared" si="26"/>
        <v>0</v>
      </c>
      <c r="CJ29" s="75">
        <f t="shared" si="18"/>
        <v>0</v>
      </c>
      <c r="CK29" s="71">
        <f t="shared" si="32"/>
        <v>0</v>
      </c>
      <c r="CL29" s="73">
        <f t="shared" si="19"/>
        <v>0</v>
      </c>
      <c r="CM29" s="71">
        <f t="shared" si="33"/>
        <v>-5</v>
      </c>
      <c r="CN29" s="71">
        <f t="shared" si="34"/>
        <v>0</v>
      </c>
      <c r="CO29" s="74">
        <f t="array" ref="CO29">SUM(IF(ISERR(FIND("*",D29:CD29)),0,1))</f>
        <v>0</v>
      </c>
      <c r="CP29" s="74">
        <f t="array" ref="CP29">SUM(IF(ISERR(FIND("+",D29:CD29)),0,1))</f>
        <v>0</v>
      </c>
      <c r="CQ29" s="71">
        <f t="shared" si="27"/>
        <v>1</v>
      </c>
      <c r="CR29" s="74">
        <f t="array" ref="CR29">SUM(IF(ISERR(FIND(CR$4,$D29:$CD29)),0,1))</f>
        <v>1</v>
      </c>
      <c r="CS29" s="74">
        <f t="array" ref="CS29">SUM(IF(ISERR(FIND(CS$4,$D29:$CD29)),0,1))</f>
        <v>0</v>
      </c>
      <c r="CT29" s="74">
        <f t="array" ref="CT29">SUM(IF(ISERR(FIND(CT$4,$D29:$CD29)),0,1))</f>
        <v>0</v>
      </c>
      <c r="CU29" s="74">
        <f t="array" ref="CU29">SUM(IF(ISERR(FIND(CU$4,$D29:$CD29)),0,1))</f>
        <v>0</v>
      </c>
      <c r="CV29" s="74">
        <f t="array" ref="CV29">SUM(IF(ISERR(FIND(CV$4,$D29:$CD29)),0,1))</f>
        <v>0</v>
      </c>
      <c r="CW29" s="71">
        <f t="shared" si="28"/>
        <v>0</v>
      </c>
      <c r="CX29" s="71">
        <f t="shared" si="29"/>
        <v>0</v>
      </c>
      <c r="CY29" s="71">
        <f t="shared" si="30"/>
        <v>0</v>
      </c>
      <c r="CZ29" s="116">
        <f t="shared" si="31"/>
        <v>0</v>
      </c>
      <c r="DA29" s="71">
        <f t="shared" si="20"/>
        <v>0</v>
      </c>
      <c r="DB29" s="71">
        <f t="shared" si="21"/>
        <v>0</v>
      </c>
      <c r="DC29" s="71">
        <f t="shared" si="16"/>
        <v>103.029</v>
      </c>
      <c r="DD29" s="71">
        <f t="shared" si="13"/>
        <v>37</v>
      </c>
      <c r="DF29" s="104" t="e">
        <f t="shared" si="14"/>
        <v>#DIV/0!</v>
      </c>
      <c r="DG29" s="114">
        <f t="shared" si="15"/>
        <v>1</v>
      </c>
    </row>
    <row r="30" spans="1:111" x14ac:dyDescent="0.15">
      <c r="C30" s="71" t="s">
        <v>863</v>
      </c>
      <c r="AI30" s="71" t="s">
        <v>431</v>
      </c>
      <c r="CE30" s="71">
        <f>BatSplit(D30:CD30,MatchesPlayed)</f>
        <v>1</v>
      </c>
      <c r="CF30" s="71">
        <f t="shared" si="23"/>
        <v>0</v>
      </c>
      <c r="CG30" s="71">
        <f t="shared" si="24"/>
        <v>1</v>
      </c>
      <c r="CH30" s="71">
        <f t="shared" si="25"/>
        <v>0</v>
      </c>
      <c r="CI30" s="71">
        <f t="shared" si="26"/>
        <v>0</v>
      </c>
      <c r="CJ30" s="75">
        <f t="shared" si="18"/>
        <v>0</v>
      </c>
      <c r="CK30" s="71">
        <f>BatSplit(D30:CD30,RunsScored)</f>
        <v>0</v>
      </c>
      <c r="CL30" s="73">
        <f>IF(CG30=CH30,0,CK30/(CG30-CH30))</f>
        <v>0</v>
      </c>
      <c r="CM30" s="71">
        <f>BatSplit(D30:CD30,BatPts)</f>
        <v>-5</v>
      </c>
      <c r="CN30" s="71">
        <f>BatSplit(D30:CD30,FldPts)</f>
        <v>0</v>
      </c>
      <c r="CO30" s="74">
        <f t="array" ref="CO30">SUM(IF(ISERR(FIND("*",D30:CD30)),0,1))</f>
        <v>0</v>
      </c>
      <c r="CP30" s="74">
        <f t="array" ref="CP30">SUM(IF(ISERR(FIND("+",D30:CD30)),0,1))</f>
        <v>0</v>
      </c>
      <c r="CQ30" s="71">
        <f t="shared" si="27"/>
        <v>1</v>
      </c>
      <c r="CR30" s="74">
        <f t="array" ref="CR30">SUM(IF(ISERR(FIND(CR$4,$D30:$CD30)),0,1))</f>
        <v>1</v>
      </c>
      <c r="CS30" s="74">
        <f t="array" ref="CS30">SUM(IF(ISERR(FIND(CS$4,$D30:$CD30)),0,1))</f>
        <v>0</v>
      </c>
      <c r="CT30" s="74">
        <f t="array" ref="CT30">SUM(IF(ISERR(FIND(CT$4,$D30:$CD30)),0,1))</f>
        <v>0</v>
      </c>
      <c r="CU30" s="74">
        <f t="array" ref="CU30">SUM(IF(ISERR(FIND(CU$4,$D30:$CD30)),0,1))</f>
        <v>0</v>
      </c>
      <c r="CV30" s="74">
        <f t="array" ref="CV30">SUM(IF(ISERR(FIND(CV$4,$D30:$CD30)),0,1))</f>
        <v>0</v>
      </c>
      <c r="CW30" s="71">
        <f t="shared" si="28"/>
        <v>0</v>
      </c>
      <c r="CX30" s="71">
        <f t="shared" si="29"/>
        <v>0</v>
      </c>
      <c r="CY30" s="71">
        <f t="shared" si="30"/>
        <v>0</v>
      </c>
      <c r="CZ30" s="116">
        <f t="shared" si="31"/>
        <v>0</v>
      </c>
      <c r="DA30" s="71">
        <f>BatSplit(D30:CD30,CaughtWkt)</f>
        <v>0</v>
      </c>
      <c r="DB30" s="71">
        <f>BatSplit(D30:CD30,TwentyFives)</f>
        <v>0</v>
      </c>
      <c r="DC30" s="71">
        <f>ROUND(IF(ISERROR(CL30),0,CL30),2)*100000+CG30*100+CE30+ROW(DB30)/1000</f>
        <v>101.03</v>
      </c>
      <c r="DD30" s="71">
        <f t="shared" si="13"/>
        <v>39</v>
      </c>
      <c r="DF30" s="104" t="e">
        <f>(CX30*4+CY30*6)/CK30</f>
        <v>#DIV/0!</v>
      </c>
      <c r="DG30" s="114">
        <f>CQ30/(CG30-CH30)</f>
        <v>1</v>
      </c>
    </row>
    <row r="31" spans="1:111" x14ac:dyDescent="0.15">
      <c r="A31" s="71" t="str">
        <f t="shared" si="17"/>
        <v>MIHO</v>
      </c>
      <c r="B31" s="71" t="s">
        <v>28</v>
      </c>
      <c r="C31" s="71" t="s">
        <v>203</v>
      </c>
      <c r="L31" s="71" t="s">
        <v>458</v>
      </c>
      <c r="N31" s="71" t="s">
        <v>498</v>
      </c>
      <c r="AA31" s="71" t="s">
        <v>700</v>
      </c>
      <c r="AC31" s="71" t="s">
        <v>723</v>
      </c>
      <c r="AE31" s="71" t="s">
        <v>745</v>
      </c>
      <c r="AS31" s="71" t="s">
        <v>962</v>
      </c>
      <c r="CE31" s="71">
        <f t="shared" si="22"/>
        <v>6</v>
      </c>
      <c r="CF31" s="71">
        <f t="shared" si="23"/>
        <v>0</v>
      </c>
      <c r="CG31" s="71">
        <f t="shared" si="24"/>
        <v>6</v>
      </c>
      <c r="CH31" s="71">
        <f t="shared" si="25"/>
        <v>2</v>
      </c>
      <c r="CI31" s="71">
        <f t="shared" si="26"/>
        <v>27</v>
      </c>
      <c r="CJ31" s="75">
        <f t="shared" si="18"/>
        <v>27</v>
      </c>
      <c r="CK31" s="71">
        <f t="shared" si="32"/>
        <v>38</v>
      </c>
      <c r="CL31" s="73">
        <f t="shared" si="19"/>
        <v>9.5</v>
      </c>
      <c r="CM31" s="71">
        <f t="shared" si="33"/>
        <v>28</v>
      </c>
      <c r="CN31" s="71">
        <f t="shared" si="34"/>
        <v>20</v>
      </c>
      <c r="CO31" s="74">
        <f t="array" ref="CO31">SUM(IF(ISERR(FIND("*",D31:CD31)),0,1))</f>
        <v>0</v>
      </c>
      <c r="CP31" s="74">
        <f t="array" ref="CP31">SUM(IF(ISERR(FIND("+",D31:CD31)),0,1))</f>
        <v>2</v>
      </c>
      <c r="CQ31" s="71">
        <f t="shared" si="27"/>
        <v>2</v>
      </c>
      <c r="CR31" s="74">
        <f t="array" ref="CR31">SUM(IF(ISERR(FIND(CR$4,$D31:$CD31)),0,1))</f>
        <v>1</v>
      </c>
      <c r="CS31" s="74">
        <f t="array" ref="CS31">SUM(IF(ISERR(FIND(CS$4,$D31:$CD31)),0,1))</f>
        <v>2</v>
      </c>
      <c r="CT31" s="74">
        <f t="array" ref="CT31">SUM(IF(ISERR(FIND(CT$4,$D31:$CD31)),0,1))</f>
        <v>1</v>
      </c>
      <c r="CU31" s="74">
        <f t="array" ref="CU31">SUM(IF(ISERR(FIND(CU$4,$D31:$CD31)),0,1))</f>
        <v>0</v>
      </c>
      <c r="CV31" s="74">
        <f t="array" ref="CV31">SUM(IF(ISERR(FIND(CV$4,$D31:$CD31)),0,1))</f>
        <v>0</v>
      </c>
      <c r="CW31" s="71">
        <f t="shared" si="28"/>
        <v>5</v>
      </c>
      <c r="CX31" s="71">
        <f t="shared" si="29"/>
        <v>2</v>
      </c>
      <c r="CY31" s="71">
        <f t="shared" si="30"/>
        <v>0</v>
      </c>
      <c r="CZ31" s="116">
        <f t="shared" si="31"/>
        <v>1</v>
      </c>
      <c r="DA31" s="71">
        <f t="shared" si="20"/>
        <v>5</v>
      </c>
      <c r="DB31" s="71">
        <f t="shared" si="21"/>
        <v>1</v>
      </c>
      <c r="DC31" s="71">
        <f t="shared" si="16"/>
        <v>950606.03099999996</v>
      </c>
      <c r="DD31" s="71">
        <f t="shared" si="13"/>
        <v>22</v>
      </c>
      <c r="DF31" s="104">
        <f t="shared" si="14"/>
        <v>0.21052631578947367</v>
      </c>
      <c r="DG31" s="114">
        <f t="shared" si="15"/>
        <v>0.5</v>
      </c>
    </row>
    <row r="32" spans="1:111" x14ac:dyDescent="0.15">
      <c r="A32" s="71" t="s">
        <v>271</v>
      </c>
      <c r="B32" s="71" t="s">
        <v>241</v>
      </c>
      <c r="C32" s="71" t="s">
        <v>242</v>
      </c>
      <c r="CE32" s="71">
        <f>BatSplit(D32:CD32,MatchesPlayed)</f>
        <v>0</v>
      </c>
      <c r="CF32" s="71">
        <f t="shared" si="23"/>
        <v>0</v>
      </c>
      <c r="CG32" s="71">
        <f t="shared" si="24"/>
        <v>0</v>
      </c>
      <c r="CH32" s="71">
        <f t="shared" si="25"/>
        <v>0</v>
      </c>
      <c r="CI32" s="71">
        <f t="shared" si="26"/>
        <v>0</v>
      </c>
      <c r="CJ32" s="75">
        <f t="shared" si="18"/>
        <v>0</v>
      </c>
      <c r="CK32" s="71">
        <f>BatSplit(D32:CD32,RunsScored)</f>
        <v>0</v>
      </c>
      <c r="CL32" s="73">
        <f>IF(CG32=CH32,0,CK32/(CG32-CH32))</f>
        <v>0</v>
      </c>
      <c r="CM32" s="71">
        <f t="shared" si="33"/>
        <v>0</v>
      </c>
      <c r="CN32" s="71">
        <f>BatSplit(D32:CD32,FldPts)</f>
        <v>0</v>
      </c>
      <c r="CO32" s="74">
        <f t="array" ref="CO32">SUM(IF(ISERR(FIND("*",D32:CD32)),0,1))</f>
        <v>0</v>
      </c>
      <c r="CP32" s="74">
        <f t="array" ref="CP32">SUM(IF(ISERR(FIND("+",D32:CD32)),0,1))</f>
        <v>0</v>
      </c>
      <c r="CQ32" s="71">
        <f t="shared" si="27"/>
        <v>0</v>
      </c>
      <c r="CR32" s="74">
        <f t="array" ref="CR32">SUM(IF(ISERR(FIND(CR$4,$D32:$CD32)),0,1))</f>
        <v>0</v>
      </c>
      <c r="CS32" s="74">
        <f t="array" ref="CS32">SUM(IF(ISERR(FIND(CS$4,$D32:$CD32)),0,1))</f>
        <v>0</v>
      </c>
      <c r="CT32" s="74">
        <f t="array" ref="CT32">SUM(IF(ISERR(FIND(CT$4,$D32:$CD32)),0,1))</f>
        <v>0</v>
      </c>
      <c r="CU32" s="74">
        <f t="array" ref="CU32">SUM(IF(ISERR(FIND(CU$4,$D32:$CD32)),0,1))</f>
        <v>0</v>
      </c>
      <c r="CV32" s="74">
        <f t="array" ref="CV32">SUM(IF(ISERR(FIND(CV$4,$D32:$CD32)),0,1))</f>
        <v>0</v>
      </c>
      <c r="CW32" s="71">
        <f t="shared" si="28"/>
        <v>0</v>
      </c>
      <c r="CX32" s="71">
        <f t="shared" si="29"/>
        <v>0</v>
      </c>
      <c r="CY32" s="71">
        <f t="shared" si="30"/>
        <v>0</v>
      </c>
      <c r="CZ32" s="116">
        <f t="shared" si="31"/>
        <v>0</v>
      </c>
      <c r="DA32" s="71">
        <f>BatSplit(D32:CD32,CaughtWkt)</f>
        <v>0</v>
      </c>
      <c r="DB32" s="71">
        <f>BatSplit(D32:CD32,TwentyFives)</f>
        <v>0</v>
      </c>
      <c r="DC32" s="71">
        <f t="shared" si="16"/>
        <v>3.2000000000000001E-2</v>
      </c>
      <c r="DD32" s="71">
        <f t="shared" si="13"/>
        <v>53</v>
      </c>
      <c r="DF32" s="104" t="e">
        <f t="shared" si="14"/>
        <v>#DIV/0!</v>
      </c>
      <c r="DG32" s="114" t="e">
        <f t="shared" si="15"/>
        <v>#DIV/0!</v>
      </c>
    </row>
    <row r="33" spans="1:111" x14ac:dyDescent="0.15">
      <c r="A33" s="71" t="str">
        <f t="shared" si="17"/>
        <v>JOLE</v>
      </c>
      <c r="B33" s="71" t="s">
        <v>27</v>
      </c>
      <c r="C33" s="71" t="s">
        <v>63</v>
      </c>
      <c r="G33" s="71" t="s">
        <v>353</v>
      </c>
      <c r="K33" s="71" t="s">
        <v>449</v>
      </c>
      <c r="L33" s="71" t="s">
        <v>330</v>
      </c>
      <c r="M33" s="71" t="s">
        <v>463</v>
      </c>
      <c r="O33" s="71" t="s">
        <v>563</v>
      </c>
      <c r="P33" s="71" t="s">
        <v>540</v>
      </c>
      <c r="S33" s="71" t="s">
        <v>610</v>
      </c>
      <c r="T33" s="71" t="s">
        <v>630</v>
      </c>
      <c r="AF33" s="71" t="s">
        <v>788</v>
      </c>
      <c r="AJ33" s="71" t="s">
        <v>823</v>
      </c>
      <c r="AK33" s="71" t="s">
        <v>845</v>
      </c>
      <c r="AN33" s="71" t="s">
        <v>879</v>
      </c>
      <c r="AO33" s="71" t="s">
        <v>912</v>
      </c>
      <c r="CE33" s="71">
        <f t="shared" si="22"/>
        <v>13</v>
      </c>
      <c r="CF33" s="71">
        <f t="shared" si="23"/>
        <v>2</v>
      </c>
      <c r="CG33" s="71">
        <f t="shared" si="24"/>
        <v>11</v>
      </c>
      <c r="CH33" s="71">
        <f t="shared" si="25"/>
        <v>3</v>
      </c>
      <c r="CI33" s="71">
        <f t="shared" si="26"/>
        <v>-136</v>
      </c>
      <c r="CJ33" s="75" t="str">
        <f t="shared" si="18"/>
        <v>136*</v>
      </c>
      <c r="CK33" s="71">
        <f t="shared" ref="CK33:CK39" si="35">BatSplit(D33:CD33,RunsScored)</f>
        <v>654</v>
      </c>
      <c r="CL33" s="73">
        <f t="shared" si="19"/>
        <v>81.75</v>
      </c>
      <c r="CM33" s="71">
        <f t="shared" si="33"/>
        <v>704</v>
      </c>
      <c r="CN33" s="71">
        <f t="shared" si="34"/>
        <v>87</v>
      </c>
      <c r="CO33" s="74">
        <f t="array" ref="CO33">SUM(IF(ISERR(FIND("*",D33:CD33)),0,1))</f>
        <v>0</v>
      </c>
      <c r="CP33" s="74">
        <f t="array" ref="CP33">SUM(IF(ISERR(FIND("+",D33:CD33)),0,1))</f>
        <v>10</v>
      </c>
      <c r="CQ33" s="71">
        <f t="shared" si="27"/>
        <v>0</v>
      </c>
      <c r="CR33" s="74">
        <f t="array" ref="CR33">SUM(IF(ISERR(FIND(CR$4,$D33:$CD33)),0,1))</f>
        <v>1</v>
      </c>
      <c r="CS33" s="74">
        <f t="array" ref="CS33">SUM(IF(ISERR(FIND(CS$4,$D33:$CD33)),0,1))</f>
        <v>5</v>
      </c>
      <c r="CT33" s="74">
        <f t="array" ref="CT33">SUM(IF(ISERR(FIND(CT$4,$D33:$CD33)),0,1))</f>
        <v>1</v>
      </c>
      <c r="CU33" s="74">
        <f t="array" ref="CU33">SUM(IF(ISERR(FIND(CU$4,$D33:$CD33)),0,1))</f>
        <v>0</v>
      </c>
      <c r="CV33" s="74">
        <f t="array" ref="CV33">SUM(IF(ISERR(FIND(CV$4,$D33:$CD33)),0,1))</f>
        <v>1</v>
      </c>
      <c r="CW33" s="71">
        <f t="shared" si="28"/>
        <v>7</v>
      </c>
      <c r="CX33" s="71">
        <f t="shared" si="29"/>
        <v>85</v>
      </c>
      <c r="CY33" s="71">
        <f t="shared" si="30"/>
        <v>4</v>
      </c>
      <c r="CZ33" s="116">
        <f t="shared" si="31"/>
        <v>7</v>
      </c>
      <c r="DA33" s="71">
        <f t="shared" si="20"/>
        <v>6</v>
      </c>
      <c r="DB33" s="71">
        <f t="shared" si="21"/>
        <v>9</v>
      </c>
      <c r="DC33" s="71">
        <f t="shared" si="16"/>
        <v>8176113.0329999998</v>
      </c>
      <c r="DD33" s="71">
        <f t="shared" si="13"/>
        <v>2</v>
      </c>
      <c r="DF33" s="104">
        <f t="shared" si="14"/>
        <v>0.55657492354740057</v>
      </c>
      <c r="DG33" s="114">
        <f t="shared" si="15"/>
        <v>0</v>
      </c>
    </row>
    <row r="34" spans="1:111" x14ac:dyDescent="0.15">
      <c r="A34" s="71" t="str">
        <f t="shared" si="17"/>
        <v>JELE</v>
      </c>
      <c r="B34" s="71" t="s">
        <v>38</v>
      </c>
      <c r="C34" s="71" t="s">
        <v>204</v>
      </c>
      <c r="E34" s="71" t="s">
        <v>324</v>
      </c>
      <c r="H34" s="71" t="s">
        <v>429</v>
      </c>
      <c r="K34" s="71" t="s">
        <v>454</v>
      </c>
      <c r="L34" s="71" t="s">
        <v>360</v>
      </c>
      <c r="M34" s="123" t="s">
        <v>469</v>
      </c>
      <c r="O34" s="71" t="s">
        <v>561</v>
      </c>
      <c r="P34" s="71" t="s">
        <v>468</v>
      </c>
      <c r="R34" s="88"/>
      <c r="AB34" s="71" t="s">
        <v>758</v>
      </c>
      <c r="AC34" s="71" t="s">
        <v>719</v>
      </c>
      <c r="AN34" s="71" t="s">
        <v>885</v>
      </c>
      <c r="AR34" s="71" t="s">
        <v>942</v>
      </c>
      <c r="AU34" s="71" t="s">
        <v>976</v>
      </c>
      <c r="CE34" s="71">
        <f t="shared" si="22"/>
        <v>12</v>
      </c>
      <c r="CF34" s="71">
        <f t="shared" ref="CF34:CF41" si="36">CE34-CG34</f>
        <v>3</v>
      </c>
      <c r="CG34" s="71">
        <f t="shared" ref="CG34:CG41" si="37">BatSplit(D34:CD34,InnsBattedIn)</f>
        <v>9</v>
      </c>
      <c r="CH34" s="71">
        <f t="shared" ref="CH34:CH41" si="38">BatSplit(D34:CD34,NotOuts)</f>
        <v>4</v>
      </c>
      <c r="CI34" s="71">
        <f t="shared" ref="CI34:CI41" si="39">BatSplit(D34:CD34,HighestScore)</f>
        <v>-14</v>
      </c>
      <c r="CJ34" s="75" t="str">
        <f t="shared" si="18"/>
        <v>14*</v>
      </c>
      <c r="CK34" s="71">
        <f t="shared" si="35"/>
        <v>62</v>
      </c>
      <c r="CL34" s="73">
        <f t="shared" si="19"/>
        <v>12.4</v>
      </c>
      <c r="CM34" s="71">
        <f t="shared" ref="CM34:CM41" si="40">BatSplit(D34:CD34,BatPts)</f>
        <v>57</v>
      </c>
      <c r="CN34" s="71">
        <f t="shared" ref="CN34:CN41" si="41">BatSplit(D34:CD34,FldPts)</f>
        <v>10</v>
      </c>
      <c r="CO34" s="74">
        <f t="array" ref="CO34">SUM(IF(ISERR(FIND("*",D34:CD34)),0,1))</f>
        <v>0</v>
      </c>
      <c r="CP34" s="74">
        <f t="array" ref="CP34">SUM(IF(ISERR(FIND("+",D34:CD34)),0,1))</f>
        <v>2</v>
      </c>
      <c r="CQ34" s="71">
        <f t="shared" ref="CQ34:CQ41" si="42">BatSplit(D34:CD34,Ducks)</f>
        <v>1</v>
      </c>
      <c r="CR34" s="74">
        <f t="array" ref="CR34">SUM(IF(ISERR(FIND(CR$4,$D34:$CD34)),0,1))</f>
        <v>5</v>
      </c>
      <c r="CS34" s="74">
        <f t="array" ref="CS34">SUM(IF(ISERR(FIND(CS$4,$D34:$CD34)),0,1))</f>
        <v>0</v>
      </c>
      <c r="CT34" s="74">
        <f t="array" ref="CT34">SUM(IF(ISERR(FIND(CT$4,$D34:$CD34)),0,1))</f>
        <v>0</v>
      </c>
      <c r="CU34" s="74">
        <f t="array" ref="CU34">SUM(IF(ISERR(FIND(CU$4,$D34:$CD34)),0,1))</f>
        <v>0</v>
      </c>
      <c r="CV34" s="74">
        <f t="array" ref="CV34">SUM(IF(ISERR(FIND(CV$4,$D34:$CD34)),0,1))</f>
        <v>0</v>
      </c>
      <c r="CW34" s="71">
        <f t="shared" ref="CW34:CW41" si="43">BatSplit(D34:CD34,Catches)</f>
        <v>2</v>
      </c>
      <c r="CX34" s="71">
        <f t="shared" ref="CX34:CX41" si="44">BatSplit(D34:CD34,Fours)</f>
        <v>5</v>
      </c>
      <c r="CY34" s="71">
        <f t="shared" ref="CY34:CY41" si="45">BatSplit(D34:CD34,Sixes)</f>
        <v>0</v>
      </c>
      <c r="CZ34" s="116">
        <f t="shared" ref="CZ34:CZ41" si="46">BatSplit(D34:CD34,Stumpings)</f>
        <v>0</v>
      </c>
      <c r="DA34" s="71">
        <f t="shared" si="20"/>
        <v>0</v>
      </c>
      <c r="DB34" s="71">
        <f t="shared" si="21"/>
        <v>0</v>
      </c>
      <c r="DC34" s="71">
        <f t="shared" si="16"/>
        <v>1240912.034</v>
      </c>
      <c r="DD34" s="71">
        <f t="shared" si="13"/>
        <v>13</v>
      </c>
      <c r="DF34" s="104">
        <f t="shared" si="14"/>
        <v>0.32258064516129031</v>
      </c>
      <c r="DG34" s="114">
        <f t="shared" si="15"/>
        <v>0.2</v>
      </c>
    </row>
    <row r="35" spans="1:111" x14ac:dyDescent="0.15">
      <c r="A35" s="71" t="str">
        <f t="shared" si="17"/>
        <v>KRLI</v>
      </c>
      <c r="B35" s="71" t="s">
        <v>154</v>
      </c>
      <c r="C35" s="71" t="s">
        <v>205</v>
      </c>
      <c r="CE35" s="71">
        <f t="shared" si="22"/>
        <v>0</v>
      </c>
      <c r="CF35" s="71">
        <f t="shared" si="36"/>
        <v>0</v>
      </c>
      <c r="CG35" s="71">
        <f t="shared" si="37"/>
        <v>0</v>
      </c>
      <c r="CH35" s="71">
        <f t="shared" si="38"/>
        <v>0</v>
      </c>
      <c r="CI35" s="71">
        <f t="shared" si="39"/>
        <v>0</v>
      </c>
      <c r="CJ35" s="75">
        <f t="shared" si="18"/>
        <v>0</v>
      </c>
      <c r="CK35" s="71">
        <f t="shared" si="35"/>
        <v>0</v>
      </c>
      <c r="CL35" s="73">
        <f t="shared" si="19"/>
        <v>0</v>
      </c>
      <c r="CM35" s="71">
        <f t="shared" si="40"/>
        <v>0</v>
      </c>
      <c r="CN35" s="71">
        <f t="shared" si="41"/>
        <v>0</v>
      </c>
      <c r="CO35" s="74">
        <f t="array" ref="CO35">SUM(IF(ISERR(FIND("*",D35:CD35)),0,1))</f>
        <v>0</v>
      </c>
      <c r="CP35" s="74">
        <f t="array" ref="CP35">SUM(IF(ISERR(FIND("+",D35:CD35)),0,1))</f>
        <v>0</v>
      </c>
      <c r="CQ35" s="71">
        <f t="shared" si="42"/>
        <v>0</v>
      </c>
      <c r="CR35" s="74">
        <f t="array" ref="CR35">SUM(IF(ISERR(FIND(CR$4,$D35:$CD35)),0,1))</f>
        <v>0</v>
      </c>
      <c r="CS35" s="74">
        <f t="array" ref="CS35">SUM(IF(ISERR(FIND(CS$4,$D35:$CD35)),0,1))</f>
        <v>0</v>
      </c>
      <c r="CT35" s="74">
        <f t="array" ref="CT35">SUM(IF(ISERR(FIND(CT$4,$D35:$CD35)),0,1))</f>
        <v>0</v>
      </c>
      <c r="CU35" s="74">
        <f t="array" ref="CU35">SUM(IF(ISERR(FIND(CU$4,$D35:$CD35)),0,1))</f>
        <v>0</v>
      </c>
      <c r="CV35" s="74">
        <f t="array" ref="CV35">SUM(IF(ISERR(FIND(CV$4,$D35:$CD35)),0,1))</f>
        <v>0</v>
      </c>
      <c r="CW35" s="71">
        <f t="shared" si="43"/>
        <v>0</v>
      </c>
      <c r="CX35" s="71">
        <f t="shared" si="44"/>
        <v>0</v>
      </c>
      <c r="CY35" s="71">
        <f t="shared" si="45"/>
        <v>0</v>
      </c>
      <c r="CZ35" s="116">
        <f t="shared" si="46"/>
        <v>0</v>
      </c>
      <c r="DA35" s="71">
        <f t="shared" si="20"/>
        <v>0</v>
      </c>
      <c r="DB35" s="71">
        <f t="shared" si="21"/>
        <v>0</v>
      </c>
      <c r="DC35" s="71">
        <f t="shared" si="16"/>
        <v>3.5000000000000003E-2</v>
      </c>
      <c r="DD35" s="71">
        <f t="shared" si="13"/>
        <v>52</v>
      </c>
      <c r="DF35" s="104" t="e">
        <f t="shared" si="14"/>
        <v>#DIV/0!</v>
      </c>
      <c r="DG35" s="114" t="e">
        <f t="shared" si="15"/>
        <v>#DIV/0!</v>
      </c>
    </row>
    <row r="36" spans="1:111" x14ac:dyDescent="0.15">
      <c r="B36" s="71" t="s">
        <v>726</v>
      </c>
      <c r="C36" s="71" t="s">
        <v>727</v>
      </c>
      <c r="AC36" s="71" t="s">
        <v>728</v>
      </c>
      <c r="AS36" s="71" t="s">
        <v>431</v>
      </c>
      <c r="CE36" s="71">
        <f>BatSplit(D36:CD36,MatchesPlayed)</f>
        <v>2</v>
      </c>
      <c r="CF36" s="71">
        <f>CE36-CG36</f>
        <v>0</v>
      </c>
      <c r="CG36" s="71">
        <f>BatSplit(D36:CD36,InnsBattedIn)</f>
        <v>2</v>
      </c>
      <c r="CH36" s="71">
        <f>BatSplit(D36:CD36,NotOuts)</f>
        <v>0</v>
      </c>
      <c r="CI36" s="71">
        <f>BatSplit(D36:CD36,HighestScore)</f>
        <v>14</v>
      </c>
      <c r="CJ36" s="75">
        <f t="shared" si="18"/>
        <v>14</v>
      </c>
      <c r="CK36" s="71">
        <f>BatSplit(D36:CD36,RunsScored)</f>
        <v>14</v>
      </c>
      <c r="CL36" s="73">
        <f>IF(CG36=CH36,0,CK36/(CG36-CH36))</f>
        <v>7</v>
      </c>
      <c r="CM36" s="71">
        <f>BatSplit(D36:CD36,BatPts)</f>
        <v>9</v>
      </c>
      <c r="CN36" s="71">
        <f>BatSplit(D36:CD36,FldPts)</f>
        <v>0</v>
      </c>
      <c r="CO36" s="74">
        <f t="array" ref="CO36">SUM(IF(ISERR(FIND("*",D36:CD36)),0,1))</f>
        <v>0</v>
      </c>
      <c r="CP36" s="74">
        <f t="array" ref="CP36">SUM(IF(ISERR(FIND("+",D36:CD36)),0,1))</f>
        <v>0</v>
      </c>
      <c r="CQ36" s="71">
        <f>BatSplit(D36:CD36,Ducks)</f>
        <v>1</v>
      </c>
      <c r="CR36" s="74">
        <f t="array" ref="CR36">SUM(IF(ISERR(FIND(CR$4,$D36:$CD36)),0,1))</f>
        <v>1</v>
      </c>
      <c r="CS36" s="74">
        <f t="array" ref="CS36">SUM(IF(ISERR(FIND(CS$4,$D36:$CD36)),0,1))</f>
        <v>0</v>
      </c>
      <c r="CT36" s="74">
        <f t="array" ref="CT36">SUM(IF(ISERR(FIND(CT$4,$D36:$CD36)),0,1))</f>
        <v>0</v>
      </c>
      <c r="CU36" s="74">
        <f t="array" ref="CU36">SUM(IF(ISERR(FIND(CU$4,$D36:$CD36)),0,1))</f>
        <v>1</v>
      </c>
      <c r="CV36" s="74">
        <f t="array" ref="CV36">SUM(IF(ISERR(FIND(CV$4,$D36:$CD36)),0,1))</f>
        <v>0</v>
      </c>
      <c r="CW36" s="71">
        <f>BatSplit(D36:CD36,Catches)</f>
        <v>0</v>
      </c>
      <c r="CX36" s="71">
        <f>BatSplit(D36:CD36,Fours)</f>
        <v>0</v>
      </c>
      <c r="CY36" s="71">
        <f>BatSplit(D36:CD36,Sixes)</f>
        <v>0</v>
      </c>
      <c r="CZ36" s="116">
        <f>BatSplit(D36:CD36,Stumpings)</f>
        <v>0</v>
      </c>
      <c r="DA36" s="71">
        <f>BatSplit(D36:CD36,CaughtWkt)</f>
        <v>0</v>
      </c>
      <c r="DB36" s="71">
        <f>BatSplit(D36:CD36,TwentyFives)</f>
        <v>0</v>
      </c>
      <c r="DC36" s="71">
        <f>ROUND(IF(ISERROR(CL36),0,CL36),2)*100000+CG36*100+CE36+ROW(DB36)/1000</f>
        <v>700202.03599999996</v>
      </c>
      <c r="DD36" s="71">
        <f t="shared" si="13"/>
        <v>25</v>
      </c>
      <c r="DF36" s="104">
        <f>(CX36*4+CY36*6)/CK36</f>
        <v>0</v>
      </c>
      <c r="DG36" s="114">
        <f>CQ36/(CG36-CH36)</f>
        <v>0.5</v>
      </c>
    </row>
    <row r="37" spans="1:111" x14ac:dyDescent="0.15">
      <c r="A37" s="71" t="str">
        <f t="shared" si="17"/>
        <v>ANMA</v>
      </c>
      <c r="B37" s="71" t="s">
        <v>36</v>
      </c>
      <c r="C37" s="71" t="s">
        <v>65</v>
      </c>
      <c r="E37" s="71" t="s">
        <v>329</v>
      </c>
      <c r="H37" s="71" t="s">
        <v>435</v>
      </c>
      <c r="I37" s="71" t="s">
        <v>388</v>
      </c>
      <c r="K37" s="71" t="s">
        <v>330</v>
      </c>
      <c r="M37" s="71" t="s">
        <v>330</v>
      </c>
      <c r="O37" s="71" t="s">
        <v>329</v>
      </c>
      <c r="Q37" s="71" t="s">
        <v>572</v>
      </c>
      <c r="W37" s="71" t="s">
        <v>677</v>
      </c>
      <c r="AB37" s="71" t="s">
        <v>763</v>
      </c>
      <c r="AG37" s="71" t="s">
        <v>704</v>
      </c>
      <c r="AH37" s="71" t="s">
        <v>398</v>
      </c>
      <c r="AJ37" s="71" t="s">
        <v>831</v>
      </c>
      <c r="AO37" s="71" t="s">
        <v>330</v>
      </c>
      <c r="AP37" s="71" t="s">
        <v>936</v>
      </c>
      <c r="AR37" s="71" t="s">
        <v>329</v>
      </c>
      <c r="CE37" s="71">
        <f t="shared" si="22"/>
        <v>15</v>
      </c>
      <c r="CF37" s="71">
        <f t="shared" si="36"/>
        <v>7</v>
      </c>
      <c r="CG37" s="71">
        <f t="shared" si="37"/>
        <v>8</v>
      </c>
      <c r="CH37" s="71">
        <f t="shared" si="38"/>
        <v>1</v>
      </c>
      <c r="CI37" s="71">
        <f t="shared" si="39"/>
        <v>39</v>
      </c>
      <c r="CJ37" s="75">
        <f t="shared" si="18"/>
        <v>39</v>
      </c>
      <c r="CK37" s="71">
        <f t="shared" si="35"/>
        <v>73</v>
      </c>
      <c r="CL37" s="73">
        <f t="shared" si="19"/>
        <v>10.428571428571429</v>
      </c>
      <c r="CM37" s="71">
        <f t="shared" si="40"/>
        <v>68</v>
      </c>
      <c r="CN37" s="71">
        <f t="shared" si="41"/>
        <v>20</v>
      </c>
      <c r="CO37" s="74">
        <f t="array" ref="CO37">SUM(IF(ISERR(FIND("*",D37:CD37)),0,1))</f>
        <v>0</v>
      </c>
      <c r="CP37" s="74">
        <f t="array" ref="CP37">SUM(IF(ISERR(FIND("+",D37:CD37)),0,1))</f>
        <v>0</v>
      </c>
      <c r="CQ37" s="71">
        <f t="shared" si="42"/>
        <v>1</v>
      </c>
      <c r="CR37" s="74">
        <f t="array" ref="CR37">SUM(IF(ISERR(FIND(CR$4,$D37:$CD37)),0,1))</f>
        <v>3</v>
      </c>
      <c r="CS37" s="74">
        <f t="array" ref="CS37">SUM(IF(ISERR(FIND(CS$4,$D37:$CD37)),0,1))</f>
        <v>3</v>
      </c>
      <c r="CT37" s="74">
        <f t="array" ref="CT37">SUM(IF(ISERR(FIND(CT$4,$D37:$CD37)),0,1))</f>
        <v>0</v>
      </c>
      <c r="CU37" s="74">
        <f t="array" ref="CU37">SUM(IF(ISERR(FIND(CU$4,$D37:$CD37)),0,1))</f>
        <v>0</v>
      </c>
      <c r="CV37" s="74">
        <f t="array" ref="CV37">SUM(IF(ISERR(FIND(CV$4,$D37:$CD37)),0,1))</f>
        <v>1</v>
      </c>
      <c r="CW37" s="71">
        <f t="shared" si="43"/>
        <v>4</v>
      </c>
      <c r="CX37" s="71">
        <f t="shared" si="44"/>
        <v>11</v>
      </c>
      <c r="CY37" s="71">
        <f t="shared" si="45"/>
        <v>1</v>
      </c>
      <c r="CZ37" s="116">
        <f t="shared" si="46"/>
        <v>0</v>
      </c>
      <c r="DA37" s="71">
        <f t="shared" si="20"/>
        <v>0</v>
      </c>
      <c r="DB37" s="71">
        <f t="shared" si="21"/>
        <v>1</v>
      </c>
      <c r="DC37" s="71">
        <f t="shared" si="16"/>
        <v>1043815.037</v>
      </c>
      <c r="DD37" s="71">
        <f t="shared" si="13"/>
        <v>19</v>
      </c>
      <c r="DF37" s="104">
        <f t="shared" si="14"/>
        <v>0.68493150684931503</v>
      </c>
      <c r="DG37" s="114">
        <f t="shared" si="15"/>
        <v>0.14285714285714285</v>
      </c>
    </row>
    <row r="38" spans="1:111" x14ac:dyDescent="0.15">
      <c r="A38" s="71" t="str">
        <f t="shared" si="17"/>
        <v>COMA</v>
      </c>
      <c r="B38" s="71" t="s">
        <v>37</v>
      </c>
      <c r="C38" s="71" t="s">
        <v>67</v>
      </c>
      <c r="H38" s="71" t="s">
        <v>432</v>
      </c>
      <c r="K38" s="71" t="s">
        <v>456</v>
      </c>
      <c r="L38" s="71" t="s">
        <v>459</v>
      </c>
      <c r="O38" s="71" t="s">
        <v>562</v>
      </c>
      <c r="Q38" s="71" t="s">
        <v>570</v>
      </c>
      <c r="T38" s="71" t="s">
        <v>360</v>
      </c>
      <c r="U38" s="71" t="s">
        <v>638</v>
      </c>
      <c r="W38" s="71" t="s">
        <v>672</v>
      </c>
      <c r="AB38" s="71" t="s">
        <v>762</v>
      </c>
      <c r="AD38" s="71" t="s">
        <v>778</v>
      </c>
      <c r="AH38" s="71" t="s">
        <v>894</v>
      </c>
      <c r="AJ38" s="71" t="s">
        <v>832</v>
      </c>
      <c r="AP38" s="71" t="s">
        <v>928</v>
      </c>
      <c r="AR38" s="71" t="s">
        <v>943</v>
      </c>
      <c r="CE38" s="71">
        <f t="shared" ref="CE38:CE53" si="47">BatSplit(D38:CD38,MatchesPlayed)</f>
        <v>14</v>
      </c>
      <c r="CF38" s="71">
        <f t="shared" si="36"/>
        <v>3</v>
      </c>
      <c r="CG38" s="71">
        <f t="shared" si="37"/>
        <v>11</v>
      </c>
      <c r="CH38" s="71">
        <f t="shared" si="38"/>
        <v>3</v>
      </c>
      <c r="CI38" s="71">
        <f t="shared" si="39"/>
        <v>-88</v>
      </c>
      <c r="CJ38" s="75" t="str">
        <f t="shared" si="18"/>
        <v>88*</v>
      </c>
      <c r="CK38" s="71">
        <f t="shared" si="35"/>
        <v>175</v>
      </c>
      <c r="CL38" s="73">
        <f t="shared" si="19"/>
        <v>21.875</v>
      </c>
      <c r="CM38" s="71">
        <f t="shared" si="40"/>
        <v>180</v>
      </c>
      <c r="CN38" s="71">
        <f>BatSplit(D38:CD38,FldPts)</f>
        <v>86</v>
      </c>
      <c r="CO38" s="74">
        <f t="array" ref="CO38">SUM(IF(ISERR(FIND("*",D38:CD38)),0,1))</f>
        <v>0</v>
      </c>
      <c r="CP38" s="74">
        <f t="array" ref="CP38">SUM(IF(ISERR(FIND("+",D38:CD38)),0,1))</f>
        <v>3</v>
      </c>
      <c r="CQ38" s="71">
        <f t="shared" si="42"/>
        <v>1</v>
      </c>
      <c r="CR38" s="74">
        <f t="array" ref="CR38">SUM(IF(ISERR(FIND(CR$4,$D38:$CD38)),0,1))</f>
        <v>2</v>
      </c>
      <c r="CS38" s="74">
        <f t="array" ref="CS38">SUM(IF(ISERR(FIND(CS$4,$D38:$CD38)),0,1))</f>
        <v>6</v>
      </c>
      <c r="CT38" s="74">
        <f t="array" ref="CT38">SUM(IF(ISERR(FIND(CT$4,$D38:$CD38)),0,1))</f>
        <v>0</v>
      </c>
      <c r="CU38" s="74">
        <f t="array" ref="CU38">SUM(IF(ISERR(FIND(CU$4,$D38:$CD38)),0,1))</f>
        <v>0</v>
      </c>
      <c r="CV38" s="74">
        <f t="array" ref="CV38">SUM(IF(ISERR(FIND(CV$4,$D38:$CD38)),0,1))</f>
        <v>0</v>
      </c>
      <c r="CW38" s="71">
        <f t="shared" si="43"/>
        <v>16</v>
      </c>
      <c r="CX38" s="71">
        <f t="shared" si="44"/>
        <v>24</v>
      </c>
      <c r="CY38" s="71">
        <f t="shared" si="45"/>
        <v>2</v>
      </c>
      <c r="CZ38" s="116">
        <f t="shared" si="46"/>
        <v>3</v>
      </c>
      <c r="DA38" s="71">
        <f t="shared" si="20"/>
        <v>8</v>
      </c>
      <c r="DB38" s="71">
        <f t="shared" si="21"/>
        <v>1</v>
      </c>
      <c r="DC38" s="71">
        <f t="shared" si="16"/>
        <v>2189114.0380000002</v>
      </c>
      <c r="DD38" s="71">
        <f t="shared" ref="DD38:DD65" si="48">RANK(DC38,$DC$5:$DC$65)</f>
        <v>9</v>
      </c>
      <c r="DF38" s="104">
        <f t="shared" si="14"/>
        <v>0.6171428571428571</v>
      </c>
      <c r="DG38" s="114">
        <f t="shared" si="15"/>
        <v>0.125</v>
      </c>
    </row>
    <row r="39" spans="1:111" x14ac:dyDescent="0.15">
      <c r="A39" s="71" t="str">
        <f t="shared" si="17"/>
        <v>NEMA</v>
      </c>
      <c r="B39" s="71" t="s">
        <v>153</v>
      </c>
      <c r="C39" s="71" t="s">
        <v>152</v>
      </c>
      <c r="E39" s="71" t="s">
        <v>323</v>
      </c>
      <c r="H39" s="71" t="s">
        <v>428</v>
      </c>
      <c r="I39" s="71" t="s">
        <v>389</v>
      </c>
      <c r="O39" s="71" t="s">
        <v>557</v>
      </c>
      <c r="T39" s="71" t="s">
        <v>632</v>
      </c>
      <c r="V39" s="71" t="s">
        <v>662</v>
      </c>
      <c r="W39" s="71" t="s">
        <v>674</v>
      </c>
      <c r="AB39" s="71" t="s">
        <v>760</v>
      </c>
      <c r="AG39" s="71" t="s">
        <v>809</v>
      </c>
      <c r="AI39" s="71" t="s">
        <v>864</v>
      </c>
      <c r="AJ39" s="71" t="s">
        <v>828</v>
      </c>
      <c r="AO39" s="71" t="s">
        <v>915</v>
      </c>
      <c r="AP39" s="71" t="s">
        <v>927</v>
      </c>
      <c r="AR39" s="71" t="s">
        <v>938</v>
      </c>
      <c r="AS39" s="71" t="s">
        <v>328</v>
      </c>
      <c r="CE39" s="71">
        <f t="shared" si="47"/>
        <v>15</v>
      </c>
      <c r="CF39" s="71">
        <f t="shared" si="36"/>
        <v>1</v>
      </c>
      <c r="CG39" s="71">
        <f t="shared" si="37"/>
        <v>14</v>
      </c>
      <c r="CH39" s="71">
        <f t="shared" si="38"/>
        <v>3</v>
      </c>
      <c r="CI39" s="71">
        <f t="shared" si="39"/>
        <v>-65</v>
      </c>
      <c r="CJ39" s="75" t="str">
        <f t="shared" si="18"/>
        <v>65*</v>
      </c>
      <c r="CK39" s="71">
        <f t="shared" si="35"/>
        <v>364</v>
      </c>
      <c r="CL39" s="73">
        <f t="shared" si="19"/>
        <v>33.090909090909093</v>
      </c>
      <c r="CM39" s="71">
        <f t="shared" si="40"/>
        <v>384</v>
      </c>
      <c r="CN39" s="71">
        <f t="shared" si="41"/>
        <v>55</v>
      </c>
      <c r="CO39" s="74">
        <f t="array" ref="CO39">SUM(IF(ISERR(FIND("*",D39:CD39)),0,1))</f>
        <v>0</v>
      </c>
      <c r="CP39" s="74">
        <f t="array" ref="CP39">SUM(IF(ISERR(FIND("+",D39:CD39)),0,1))</f>
        <v>1</v>
      </c>
      <c r="CQ39" s="71">
        <f t="shared" si="42"/>
        <v>0</v>
      </c>
      <c r="CR39" s="74">
        <f t="array" ref="CR39">SUM(IF(ISERR(FIND(CR$4,$D39:$CD39)),0,1))</f>
        <v>4</v>
      </c>
      <c r="CS39" s="74">
        <f t="array" ref="CS39">SUM(IF(ISERR(FIND(CS$4,$D39:$CD39)),0,1))</f>
        <v>7</v>
      </c>
      <c r="CT39" s="74">
        <f t="array" ref="CT39">SUM(IF(ISERR(FIND(CT$4,$D39:$CD39)),0,1))</f>
        <v>0</v>
      </c>
      <c r="CU39" s="74">
        <f t="array" ref="CU39">SUM(IF(ISERR(FIND(CU$4,$D39:$CD39)),0,1))</f>
        <v>0</v>
      </c>
      <c r="CV39" s="74">
        <f t="array" ref="CV39">SUM(IF(ISERR(FIND(CV$4,$D39:$CD39)),0,1))</f>
        <v>0</v>
      </c>
      <c r="CW39" s="71">
        <f t="shared" si="43"/>
        <v>9</v>
      </c>
      <c r="CX39" s="71">
        <f t="shared" si="44"/>
        <v>33</v>
      </c>
      <c r="CY39" s="71">
        <f t="shared" si="45"/>
        <v>1</v>
      </c>
      <c r="CZ39" s="116">
        <f t="shared" si="46"/>
        <v>1</v>
      </c>
      <c r="DA39" s="71">
        <f t="shared" si="20"/>
        <v>0</v>
      </c>
      <c r="DB39" s="71">
        <f t="shared" si="21"/>
        <v>6</v>
      </c>
      <c r="DC39" s="71">
        <f t="shared" si="16"/>
        <v>3310415.0390000003</v>
      </c>
      <c r="DD39" s="71">
        <f t="shared" si="48"/>
        <v>4</v>
      </c>
      <c r="DF39" s="104">
        <f t="shared" si="14"/>
        <v>0.37912087912087911</v>
      </c>
      <c r="DG39" s="114">
        <f t="shared" si="15"/>
        <v>0</v>
      </c>
    </row>
    <row r="40" spans="1:111" x14ac:dyDescent="0.15">
      <c r="A40" s="71" t="s">
        <v>270</v>
      </c>
      <c r="B40" s="71" t="s">
        <v>28</v>
      </c>
      <c r="C40" s="71" t="s">
        <v>254</v>
      </c>
      <c r="CE40" s="71">
        <f>BatSplit(D40:CD40,MatchesPlayed)</f>
        <v>0</v>
      </c>
      <c r="CF40" s="71">
        <f>CE40-CG40</f>
        <v>0</v>
      </c>
      <c r="CG40" s="71">
        <f>BatSplit(D40:CD40,InnsBattedIn)</f>
        <v>0</v>
      </c>
      <c r="CH40" s="71">
        <f>BatSplit(D40:CD40,NotOuts)</f>
        <v>0</v>
      </c>
      <c r="CI40" s="71">
        <f>BatSplit(D40:CD40,HighestScore)</f>
        <v>0</v>
      </c>
      <c r="CJ40" s="75">
        <f t="shared" si="18"/>
        <v>0</v>
      </c>
      <c r="CK40" s="71">
        <f>BatSplit(D40:CD40,RunsScored)</f>
        <v>0</v>
      </c>
      <c r="CL40" s="73">
        <f>IF(CG40=CH40,0,CK40/(CG40-CH40))</f>
        <v>0</v>
      </c>
      <c r="CM40" s="71">
        <f>BatSplit(D40:CD40,BatPts)</f>
        <v>0</v>
      </c>
      <c r="CN40" s="71">
        <f>BatSplit(D40:CD40,FldPts)</f>
        <v>0</v>
      </c>
      <c r="CO40" s="74">
        <f t="array" ref="CO40">SUM(IF(ISERR(FIND("*",D40:CD40)),0,1))</f>
        <v>0</v>
      </c>
      <c r="CP40" s="74">
        <f t="array" ref="CP40">SUM(IF(ISERR(FIND("+",D40:CD40)),0,1))</f>
        <v>0</v>
      </c>
      <c r="CQ40" s="71">
        <f>BatSplit(D40:CD40,Ducks)</f>
        <v>0</v>
      </c>
      <c r="CR40" s="74">
        <f t="array" ref="CR40">SUM(IF(ISERR(FIND(CR$4,$D40:$CD40)),0,1))</f>
        <v>0</v>
      </c>
      <c r="CS40" s="74">
        <f t="array" ref="CS40">SUM(IF(ISERR(FIND(CS$4,$D40:$CD40)),0,1))</f>
        <v>0</v>
      </c>
      <c r="CT40" s="74">
        <f t="array" ref="CT40">SUM(IF(ISERR(FIND(CT$4,$D40:$CD40)),0,1))</f>
        <v>0</v>
      </c>
      <c r="CU40" s="74">
        <f t="array" ref="CU40">SUM(IF(ISERR(FIND(CU$4,$D40:$CD40)),0,1))</f>
        <v>0</v>
      </c>
      <c r="CV40" s="74">
        <f t="array" ref="CV40">SUM(IF(ISERR(FIND(CV$4,$D40:$CD40)),0,1))</f>
        <v>0</v>
      </c>
      <c r="CW40" s="71">
        <f>BatSplit(D40:CD40,Catches)</f>
        <v>0</v>
      </c>
      <c r="CX40" s="71">
        <f>BatSplit(D40:CD40,Fours)</f>
        <v>0</v>
      </c>
      <c r="CY40" s="71">
        <f>BatSplit(D40:CD40,Sixes)</f>
        <v>0</v>
      </c>
      <c r="CZ40" s="116">
        <f>BatSplit(D40:CD40,Stumpings)</f>
        <v>0</v>
      </c>
      <c r="DA40" s="71">
        <f>BatSplit(D40:CD40,CaughtWkt)</f>
        <v>0</v>
      </c>
      <c r="DB40" s="71">
        <f>BatSplit(D40:CD40,TwentyFives)</f>
        <v>0</v>
      </c>
      <c r="DC40" s="71">
        <f>ROUND(IF(ISERROR(CL40),0,CL40),2)*100000+CG40*100+CE40+ROW(DB40)/1000</f>
        <v>0.04</v>
      </c>
      <c r="DD40" s="71">
        <f t="shared" si="48"/>
        <v>51</v>
      </c>
      <c r="DF40" s="104" t="e">
        <f t="shared" si="14"/>
        <v>#DIV/0!</v>
      </c>
      <c r="DG40" s="114" t="e">
        <f t="shared" si="15"/>
        <v>#DIV/0!</v>
      </c>
    </row>
    <row r="41" spans="1:111" x14ac:dyDescent="0.15">
      <c r="A41" s="71" t="str">
        <f t="shared" si="17"/>
        <v>AUME</v>
      </c>
      <c r="B41" s="71" t="s">
        <v>47</v>
      </c>
      <c r="C41" s="71" t="s">
        <v>206</v>
      </c>
      <c r="CE41" s="71">
        <f t="shared" si="47"/>
        <v>0</v>
      </c>
      <c r="CF41" s="71">
        <f t="shared" si="36"/>
        <v>0</v>
      </c>
      <c r="CG41" s="71">
        <f t="shared" si="37"/>
        <v>0</v>
      </c>
      <c r="CH41" s="71">
        <f t="shared" si="38"/>
        <v>0</v>
      </c>
      <c r="CI41" s="71">
        <f t="shared" si="39"/>
        <v>0</v>
      </c>
      <c r="CJ41" s="75">
        <f t="shared" si="18"/>
        <v>0</v>
      </c>
      <c r="CK41" s="71">
        <f t="shared" ref="CK41:CK53" si="49">BatSplit(D41:CD41,RunsScored)</f>
        <v>0</v>
      </c>
      <c r="CL41" s="73">
        <f t="shared" si="19"/>
        <v>0</v>
      </c>
      <c r="CM41" s="71">
        <f t="shared" si="40"/>
        <v>0</v>
      </c>
      <c r="CN41" s="71">
        <f t="shared" si="41"/>
        <v>0</v>
      </c>
      <c r="CO41" s="74">
        <f t="array" ref="CO41">SUM(IF(ISERR(FIND("*",D41:CD41)),0,1))</f>
        <v>0</v>
      </c>
      <c r="CP41" s="74">
        <f t="array" ref="CP41">SUM(IF(ISERR(FIND("+",D41:CD41)),0,1))</f>
        <v>0</v>
      </c>
      <c r="CQ41" s="71">
        <f t="shared" si="42"/>
        <v>0</v>
      </c>
      <c r="CR41" s="74">
        <f t="array" ref="CR41">SUM(IF(ISERR(FIND(CR$4,$D41:$CD41)),0,1))</f>
        <v>0</v>
      </c>
      <c r="CS41" s="74">
        <f t="array" ref="CS41">SUM(IF(ISERR(FIND(CS$4,$D41:$CD41)),0,1))</f>
        <v>0</v>
      </c>
      <c r="CT41" s="74">
        <f t="array" ref="CT41">SUM(IF(ISERR(FIND(CT$4,$D41:$CD41)),0,1))</f>
        <v>0</v>
      </c>
      <c r="CU41" s="74">
        <f t="array" ref="CU41">SUM(IF(ISERR(FIND(CU$4,$D41:$CD41)),0,1))</f>
        <v>0</v>
      </c>
      <c r="CV41" s="74">
        <f t="array" ref="CV41">SUM(IF(ISERR(FIND(CV$4,$D41:$CD41)),0,1))</f>
        <v>0</v>
      </c>
      <c r="CW41" s="71">
        <f t="shared" si="43"/>
        <v>0</v>
      </c>
      <c r="CX41" s="71">
        <f t="shared" si="44"/>
        <v>0</v>
      </c>
      <c r="CY41" s="71">
        <f t="shared" si="45"/>
        <v>0</v>
      </c>
      <c r="CZ41" s="116">
        <f t="shared" si="46"/>
        <v>0</v>
      </c>
      <c r="DA41" s="71">
        <f t="shared" si="20"/>
        <v>0</v>
      </c>
      <c r="DB41" s="71">
        <f t="shared" si="21"/>
        <v>0</v>
      </c>
      <c r="DC41" s="71">
        <f t="shared" si="16"/>
        <v>4.1000000000000002E-2</v>
      </c>
      <c r="DD41" s="71">
        <f t="shared" si="48"/>
        <v>50</v>
      </c>
      <c r="DF41" s="104" t="e">
        <f t="shared" si="14"/>
        <v>#DIV/0!</v>
      </c>
      <c r="DG41" s="114" t="e">
        <f t="shared" si="15"/>
        <v>#DIV/0!</v>
      </c>
    </row>
    <row r="42" spans="1:111" x14ac:dyDescent="0.15">
      <c r="A42" s="71" t="str">
        <f t="shared" si="17"/>
        <v>JEMI</v>
      </c>
      <c r="B42" s="71" t="s">
        <v>38</v>
      </c>
      <c r="C42" s="71" t="s">
        <v>207</v>
      </c>
      <c r="G42" s="71" t="s">
        <v>356</v>
      </c>
      <c r="P42" s="71" t="s">
        <v>542</v>
      </c>
      <c r="R42" s="71" t="s">
        <v>599</v>
      </c>
      <c r="T42" s="71" t="s">
        <v>633</v>
      </c>
      <c r="V42" s="71" t="s">
        <v>663</v>
      </c>
      <c r="AA42" s="71" t="s">
        <v>665</v>
      </c>
      <c r="BO42" s="76"/>
      <c r="CE42" s="71">
        <f t="shared" si="47"/>
        <v>6</v>
      </c>
      <c r="CF42" s="71">
        <f t="shared" ref="CF42:CF53" si="50">CE42-CG42</f>
        <v>1</v>
      </c>
      <c r="CG42" s="71">
        <f t="shared" ref="CG42:CG53" si="51">BatSplit(D42:CD42,InnsBattedIn)</f>
        <v>5</v>
      </c>
      <c r="CH42" s="71">
        <f t="shared" ref="CH42:CH53" si="52">BatSplit(D42:CD42,NotOuts)</f>
        <v>1</v>
      </c>
      <c r="CI42" s="71">
        <f t="shared" ref="CI42:CI53" si="53">BatSplit(D42:CD42,HighestScore)</f>
        <v>-51</v>
      </c>
      <c r="CJ42" s="75" t="str">
        <f t="shared" si="18"/>
        <v>51*</v>
      </c>
      <c r="CK42" s="71">
        <f t="shared" si="49"/>
        <v>131</v>
      </c>
      <c r="CL42" s="73">
        <f t="shared" si="19"/>
        <v>32.75</v>
      </c>
      <c r="CM42" s="71">
        <f t="shared" ref="CM42:CM53" si="54">BatSplit(D42:CD42,BatPts)</f>
        <v>141</v>
      </c>
      <c r="CN42" s="71">
        <f t="shared" ref="CN42:CN53" si="55">BatSplit(D42:CD42,FldPts)</f>
        <v>10</v>
      </c>
      <c r="CO42" s="74">
        <f t="array" ref="CO42">SUM(IF(ISERR(FIND("*",D42:CD42)),0,1))</f>
        <v>0</v>
      </c>
      <c r="CP42" s="74">
        <f t="array" ref="CP42">SUM(IF(ISERR(FIND("+",D42:CD42)),0,1))</f>
        <v>0</v>
      </c>
      <c r="CQ42" s="71">
        <f t="shared" ref="CQ42:CQ53" si="56">BatSplit(D42:CD42,Ducks)</f>
        <v>0</v>
      </c>
      <c r="CR42" s="74">
        <f t="array" ref="CR42">SUM(IF(ISERR(FIND(CR$4,$D42:$CD42)),0,1))</f>
        <v>1</v>
      </c>
      <c r="CS42" s="74">
        <f t="array" ref="CS42">SUM(IF(ISERR(FIND(CS$4,$D42:$CD42)),0,1))</f>
        <v>3</v>
      </c>
      <c r="CT42" s="74">
        <f t="array" ref="CT42">SUM(IF(ISERR(FIND(CT$4,$D42:$CD42)),0,1))</f>
        <v>0</v>
      </c>
      <c r="CU42" s="74">
        <f t="array" ref="CU42">SUM(IF(ISERR(FIND(CU$4,$D42:$CD42)),0,1))</f>
        <v>0</v>
      </c>
      <c r="CV42" s="74">
        <f t="array" ref="CV42">SUM(IF(ISERR(FIND(CV$4,$D42:$CD42)),0,1))</f>
        <v>0</v>
      </c>
      <c r="CW42" s="71">
        <f t="shared" ref="CW42:CW53" si="57">BatSplit(D42:CD42,Catches)</f>
        <v>2</v>
      </c>
      <c r="CX42" s="71">
        <f t="shared" ref="CX42:CX53" si="58">BatSplit(D42:CD42,Fours)</f>
        <v>20</v>
      </c>
      <c r="CY42" s="71">
        <f t="shared" ref="CY42:CY53" si="59">BatSplit(D42:CD42,Sixes)</f>
        <v>1</v>
      </c>
      <c r="CZ42" s="116">
        <f t="shared" ref="CZ42:CZ53" si="60">BatSplit(D42:CD42,Stumpings)</f>
        <v>0</v>
      </c>
      <c r="DA42" s="71">
        <f t="shared" si="20"/>
        <v>0</v>
      </c>
      <c r="DB42" s="71">
        <f t="shared" si="21"/>
        <v>2</v>
      </c>
      <c r="DC42" s="71">
        <f t="shared" si="16"/>
        <v>3275506.0419999999</v>
      </c>
      <c r="DD42" s="71">
        <f t="shared" si="48"/>
        <v>5</v>
      </c>
      <c r="DF42" s="104">
        <f t="shared" si="14"/>
        <v>0.65648854961832059</v>
      </c>
      <c r="DG42" s="114">
        <f t="shared" si="15"/>
        <v>0</v>
      </c>
    </row>
    <row r="43" spans="1:111" x14ac:dyDescent="0.15">
      <c r="A43" s="71" t="s">
        <v>269</v>
      </c>
      <c r="B43" s="71" t="s">
        <v>236</v>
      </c>
      <c r="C43" s="71" t="s">
        <v>248</v>
      </c>
      <c r="BO43" s="76"/>
      <c r="CE43" s="71">
        <f>BatSplit(D43:CD43,MatchesPlayed)</f>
        <v>0</v>
      </c>
      <c r="CF43" s="71">
        <f>CE43-CG43</f>
        <v>0</v>
      </c>
      <c r="CG43" s="71">
        <f>BatSplit(D43:CD43,InnsBattedIn)</f>
        <v>0</v>
      </c>
      <c r="CH43" s="71">
        <f>BatSplit(D43:CD43,NotOuts)</f>
        <v>0</v>
      </c>
      <c r="CI43" s="71">
        <f>BatSplit(D43:CD43,HighestScore)</f>
        <v>0</v>
      </c>
      <c r="CJ43" s="75">
        <f t="shared" si="18"/>
        <v>0</v>
      </c>
      <c r="CK43" s="71">
        <f>BatSplit(D43:CD43,RunsScored)</f>
        <v>0</v>
      </c>
      <c r="CL43" s="73">
        <f>IF(CG43=CH43,0,CK43/(CG43-CH43))</f>
        <v>0</v>
      </c>
      <c r="CM43" s="71">
        <f>BatSplit(D43:CD43,BatPts)</f>
        <v>0</v>
      </c>
      <c r="CN43" s="71">
        <f>BatSplit(D43:CD43,FldPts)</f>
        <v>0</v>
      </c>
      <c r="CO43" s="74">
        <f t="array" ref="CO43">SUM(IF(ISERR(FIND("*",D43:CD43)),0,1))</f>
        <v>0</v>
      </c>
      <c r="CP43" s="74">
        <f t="array" ref="CP43">SUM(IF(ISERR(FIND("+",D43:CD43)),0,1))</f>
        <v>0</v>
      </c>
      <c r="CQ43" s="71">
        <f>BatSplit(D43:CD43,Ducks)</f>
        <v>0</v>
      </c>
      <c r="CR43" s="74">
        <f t="array" ref="CR43">SUM(IF(ISERR(FIND(CR$4,$D43:$CD43)),0,1))</f>
        <v>0</v>
      </c>
      <c r="CS43" s="74">
        <f t="array" ref="CS43">SUM(IF(ISERR(FIND(CS$4,$D43:$CD43)),0,1))</f>
        <v>0</v>
      </c>
      <c r="CT43" s="74">
        <f t="array" ref="CT43">SUM(IF(ISERR(FIND(CT$4,$D43:$CD43)),0,1))</f>
        <v>0</v>
      </c>
      <c r="CU43" s="74">
        <f t="array" ref="CU43">SUM(IF(ISERR(FIND(CU$4,$D43:$CD43)),0,1))</f>
        <v>0</v>
      </c>
      <c r="CV43" s="74">
        <f t="array" ref="CV43">SUM(IF(ISERR(FIND(CV$4,$D43:$CD43)),0,1))</f>
        <v>0</v>
      </c>
      <c r="CW43" s="71">
        <f>BatSplit(D43:CD43,Catches)</f>
        <v>0</v>
      </c>
      <c r="CX43" s="71">
        <f>BatSplit(D43:CD43,Fours)</f>
        <v>0</v>
      </c>
      <c r="CY43" s="71">
        <f>BatSplit(D43:CD43,Sixes)</f>
        <v>0</v>
      </c>
      <c r="CZ43" s="116">
        <f>BatSplit(D43:CD43,Stumpings)</f>
        <v>0</v>
      </c>
      <c r="DA43" s="71">
        <f>BatSplit(D43:CD43,CaughtWkt)</f>
        <v>0</v>
      </c>
      <c r="DB43" s="71">
        <f>BatSplit(D43:CD43,TwentyFives)</f>
        <v>0</v>
      </c>
      <c r="DC43" s="71">
        <f>ROUND(IF(ISERROR(CL43),0,CL43),2)*100000+CG43*100+CE43+ROW(DB43)/1000</f>
        <v>4.2999999999999997E-2</v>
      </c>
      <c r="DD43" s="71">
        <f t="shared" si="48"/>
        <v>49</v>
      </c>
      <c r="DF43" s="104" t="e">
        <f t="shared" si="14"/>
        <v>#DIV/0!</v>
      </c>
      <c r="DG43" s="114" t="e">
        <f t="shared" si="15"/>
        <v>#DIV/0!</v>
      </c>
    </row>
    <row r="44" spans="1:111" x14ac:dyDescent="0.15">
      <c r="A44" s="71" t="str">
        <f t="shared" si="17"/>
        <v>DAMO</v>
      </c>
      <c r="B44" s="71" t="s">
        <v>39</v>
      </c>
      <c r="C44" s="71" t="s">
        <v>70</v>
      </c>
      <c r="E44" s="71" t="s">
        <v>331</v>
      </c>
      <c r="H44" s="71" t="s">
        <v>436</v>
      </c>
      <c r="I44" s="71" t="s">
        <v>396</v>
      </c>
      <c r="Q44" s="71" t="s">
        <v>574</v>
      </c>
      <c r="T44" s="71" t="s">
        <v>362</v>
      </c>
      <c r="W44" s="71" t="s">
        <v>678</v>
      </c>
      <c r="AA44" s="71" t="s">
        <v>330</v>
      </c>
      <c r="AD44" s="71" t="s">
        <v>781</v>
      </c>
      <c r="AE44" s="71" t="s">
        <v>361</v>
      </c>
      <c r="AF44" s="71" t="s">
        <v>781</v>
      </c>
      <c r="AG44" s="71" t="s">
        <v>807</v>
      </c>
      <c r="AI44" s="71" t="s">
        <v>867</v>
      </c>
      <c r="AN44" s="71" t="s">
        <v>886</v>
      </c>
      <c r="AO44" s="71" t="s">
        <v>456</v>
      </c>
      <c r="AR44" s="71" t="s">
        <v>330</v>
      </c>
      <c r="AU44" s="71" t="s">
        <v>974</v>
      </c>
      <c r="CE44" s="71">
        <f t="shared" si="47"/>
        <v>16</v>
      </c>
      <c r="CF44" s="71">
        <f t="shared" si="50"/>
        <v>6</v>
      </c>
      <c r="CG44" s="71">
        <f t="shared" si="51"/>
        <v>10</v>
      </c>
      <c r="CH44" s="71">
        <f t="shared" si="52"/>
        <v>4</v>
      </c>
      <c r="CI44" s="71">
        <f t="shared" si="53"/>
        <v>-21</v>
      </c>
      <c r="CJ44" s="75" t="str">
        <f t="shared" si="18"/>
        <v>21*</v>
      </c>
      <c r="CK44" s="71">
        <f t="shared" si="49"/>
        <v>57</v>
      </c>
      <c r="CL44" s="73">
        <f t="shared" si="19"/>
        <v>9.5</v>
      </c>
      <c r="CM44" s="71">
        <f t="shared" si="54"/>
        <v>47</v>
      </c>
      <c r="CN44" s="71">
        <f t="shared" si="55"/>
        <v>10</v>
      </c>
      <c r="CO44" s="74">
        <f t="array" ref="CO44">SUM(IF(ISERR(FIND("*",D44:CD44)),0,1))</f>
        <v>0</v>
      </c>
      <c r="CP44" s="74">
        <f t="array" ref="CP44">SUM(IF(ISERR(FIND("+",D44:CD44)),0,1))</f>
        <v>0</v>
      </c>
      <c r="CQ44" s="71">
        <f t="shared" si="56"/>
        <v>2</v>
      </c>
      <c r="CR44" s="74">
        <f t="array" ref="CR44">SUM(IF(ISERR(FIND(CR$4,$D44:$CD44)),0,1))</f>
        <v>1</v>
      </c>
      <c r="CS44" s="74">
        <f t="array" ref="CS44">SUM(IF(ISERR(FIND(CS$4,$D44:$CD44)),0,1))</f>
        <v>1</v>
      </c>
      <c r="CT44" s="74">
        <f t="array" ref="CT44">SUM(IF(ISERR(FIND(CT$4,$D44:$CD44)),0,1))</f>
        <v>4</v>
      </c>
      <c r="CU44" s="74">
        <f t="array" ref="CU44">SUM(IF(ISERR(FIND(CU$4,$D44:$CD44)),0,1))</f>
        <v>0</v>
      </c>
      <c r="CV44" s="74">
        <f t="array" ref="CV44">SUM(IF(ISERR(FIND(CV$4,$D44:$CD44)),0,1))</f>
        <v>0</v>
      </c>
      <c r="CW44" s="71">
        <f t="shared" si="57"/>
        <v>2</v>
      </c>
      <c r="CX44" s="71">
        <f t="shared" si="58"/>
        <v>7</v>
      </c>
      <c r="CY44" s="71">
        <f t="shared" si="59"/>
        <v>0</v>
      </c>
      <c r="CZ44" s="116">
        <f t="shared" si="60"/>
        <v>0</v>
      </c>
      <c r="DA44" s="71">
        <f t="shared" si="20"/>
        <v>0</v>
      </c>
      <c r="DB44" s="71">
        <f t="shared" si="21"/>
        <v>0</v>
      </c>
      <c r="DC44" s="71">
        <f t="shared" si="16"/>
        <v>951016.04399999999</v>
      </c>
      <c r="DD44" s="71">
        <f t="shared" si="48"/>
        <v>21</v>
      </c>
      <c r="DF44" s="104">
        <f t="shared" si="14"/>
        <v>0.49122807017543857</v>
      </c>
      <c r="DG44" s="114">
        <f t="shared" si="15"/>
        <v>0.33333333333333331</v>
      </c>
    </row>
    <row r="45" spans="1:111" x14ac:dyDescent="0.15">
      <c r="C45" s="71" t="s">
        <v>761</v>
      </c>
      <c r="AB45" s="71" t="s">
        <v>570</v>
      </c>
      <c r="CE45" s="71">
        <f>BatSplit(D45:CD45,MatchesPlayed)</f>
        <v>1</v>
      </c>
      <c r="CF45" s="71">
        <f>CE45-CG45</f>
        <v>0</v>
      </c>
      <c r="CG45" s="71">
        <f>BatSplit(D45:CD45,InnsBattedIn)</f>
        <v>1</v>
      </c>
      <c r="CH45" s="71">
        <f>BatSplit(D45:CD45,NotOuts)</f>
        <v>0</v>
      </c>
      <c r="CI45" s="71">
        <f>BatSplit(D45:CD45,HighestScore)</f>
        <v>10</v>
      </c>
      <c r="CJ45" s="75">
        <f t="shared" si="18"/>
        <v>10</v>
      </c>
      <c r="CK45" s="71">
        <f>BatSplit(D45:CD45,RunsScored)</f>
        <v>10</v>
      </c>
      <c r="CL45" s="73">
        <f>IF(CG45=CH45,0,CK45/(CG45-CH45))</f>
        <v>10</v>
      </c>
      <c r="CM45" s="71">
        <f>BatSplit(D45:CD45,BatPts)</f>
        <v>10</v>
      </c>
      <c r="CN45" s="71">
        <f>BatSplit(D45:CD45,FldPts)</f>
        <v>0</v>
      </c>
      <c r="CO45" s="74">
        <f t="array" ref="CO45">SUM(IF(ISERR(FIND("*",D45:CD45)),0,1))</f>
        <v>0</v>
      </c>
      <c r="CP45" s="74">
        <f t="array" ref="CP45">SUM(IF(ISERR(FIND("+",D45:CD45)),0,1))</f>
        <v>0</v>
      </c>
      <c r="CQ45" s="71">
        <f>BatSplit(D45:CD45,Ducks)</f>
        <v>0</v>
      </c>
      <c r="CR45" s="74">
        <f t="array" ref="CR45">SUM(IF(ISERR(FIND(CR$4,$D45:$CD45)),0,1))</f>
        <v>0</v>
      </c>
      <c r="CS45" s="74">
        <f t="array" ref="CS45">SUM(IF(ISERR(FIND(CS$4,$D45:$CD45)),0,1))</f>
        <v>1</v>
      </c>
      <c r="CT45" s="74">
        <f t="array" ref="CT45">SUM(IF(ISERR(FIND(CT$4,$D45:$CD45)),0,1))</f>
        <v>0</v>
      </c>
      <c r="CU45" s="74">
        <f t="array" ref="CU45">SUM(IF(ISERR(FIND(CU$4,$D45:$CD45)),0,1))</f>
        <v>0</v>
      </c>
      <c r="CV45" s="74">
        <f t="array" ref="CV45">SUM(IF(ISERR(FIND(CV$4,$D45:$CD45)),0,1))</f>
        <v>0</v>
      </c>
      <c r="CW45" s="71">
        <f>BatSplit(D45:CD45,Catches)</f>
        <v>0</v>
      </c>
      <c r="CX45" s="71">
        <f>BatSplit(D45:CD45,Fours)</f>
        <v>1</v>
      </c>
      <c r="CY45" s="71">
        <f>BatSplit(D45:CD45,Sixes)</f>
        <v>0</v>
      </c>
      <c r="CZ45" s="116">
        <f>BatSplit(D45:CD45,Stumpings)</f>
        <v>0</v>
      </c>
      <c r="DA45" s="71">
        <f>BatSplit(D45:CD45,CaughtWkt)</f>
        <v>0</v>
      </c>
      <c r="DB45" s="71">
        <f>BatSplit(D45:CD45,TwentyFives)</f>
        <v>0</v>
      </c>
      <c r="DC45" s="71">
        <f>ROUND(IF(ISERROR(CL45),0,CL45),2)*100000+CG45*100+CE45+ROW(DB45)/1000</f>
        <v>1000101.045</v>
      </c>
      <c r="DD45" s="71">
        <f t="shared" si="48"/>
        <v>20</v>
      </c>
      <c r="DF45" s="104">
        <f>(CX45*4+CY45*6)/CK45</f>
        <v>0.4</v>
      </c>
      <c r="DG45" s="114">
        <f>CQ45/(CG45-CH45)</f>
        <v>0</v>
      </c>
    </row>
    <row r="46" spans="1:111" x14ac:dyDescent="0.15">
      <c r="A46" s="71" t="str">
        <f t="shared" si="17"/>
        <v>PAOA</v>
      </c>
      <c r="B46" s="71" t="s">
        <v>35</v>
      </c>
      <c r="C46" s="71" t="s">
        <v>208</v>
      </c>
      <c r="H46" s="71" t="s">
        <v>433</v>
      </c>
      <c r="I46" s="71" t="s">
        <v>391</v>
      </c>
      <c r="M46" s="123" t="s">
        <v>468</v>
      </c>
      <c r="N46" s="71" t="s">
        <v>502</v>
      </c>
      <c r="Q46" s="71" t="s">
        <v>571</v>
      </c>
      <c r="R46" s="71" t="s">
        <v>602</v>
      </c>
      <c r="S46" s="71" t="s">
        <v>614</v>
      </c>
      <c r="U46" s="71" t="s">
        <v>639</v>
      </c>
      <c r="AD46" s="71" t="s">
        <v>779</v>
      </c>
      <c r="AE46" s="71" t="s">
        <v>746</v>
      </c>
      <c r="AF46" s="71" t="s">
        <v>793</v>
      </c>
      <c r="AG46" s="71" t="s">
        <v>811</v>
      </c>
      <c r="AI46" s="71" t="s">
        <v>862</v>
      </c>
      <c r="AK46" s="71" t="s">
        <v>848</v>
      </c>
      <c r="AO46" s="71" t="s">
        <v>916</v>
      </c>
      <c r="AP46" s="71" t="s">
        <v>932</v>
      </c>
      <c r="AS46" s="71" t="s">
        <v>961</v>
      </c>
      <c r="CE46" s="71">
        <f t="shared" si="47"/>
        <v>17</v>
      </c>
      <c r="CF46" s="71">
        <f t="shared" si="50"/>
        <v>2</v>
      </c>
      <c r="CG46" s="71">
        <f t="shared" si="51"/>
        <v>15</v>
      </c>
      <c r="CH46" s="71">
        <f t="shared" si="52"/>
        <v>3</v>
      </c>
      <c r="CI46" s="71">
        <f t="shared" si="53"/>
        <v>-25</v>
      </c>
      <c r="CJ46" s="75" t="str">
        <f t="shared" si="18"/>
        <v>25*</v>
      </c>
      <c r="CK46" s="71">
        <f t="shared" si="49"/>
        <v>139</v>
      </c>
      <c r="CL46" s="73">
        <f t="shared" si="19"/>
        <v>11.583333333333334</v>
      </c>
      <c r="CM46" s="71">
        <f t="shared" si="54"/>
        <v>124</v>
      </c>
      <c r="CN46" s="71">
        <f t="shared" si="55"/>
        <v>40</v>
      </c>
      <c r="CO46" s="74">
        <f t="array" ref="CO46">SUM(IF(ISERR(FIND("*",D46:CD46)),0,1))</f>
        <v>0</v>
      </c>
      <c r="CP46" s="74">
        <f t="array" ref="CP46">SUM(IF(ISERR(FIND("+",D46:CD46)),0,1))</f>
        <v>0</v>
      </c>
      <c r="CQ46" s="71">
        <f t="shared" si="56"/>
        <v>3</v>
      </c>
      <c r="CR46" s="74">
        <f t="array" ref="CR46">SUM(IF(ISERR(FIND(CR$4,$D46:$CD46)),0,1))</f>
        <v>4</v>
      </c>
      <c r="CS46" s="74">
        <f t="array" ref="CS46">SUM(IF(ISERR(FIND(CS$4,$D46:$CD46)),0,1))</f>
        <v>8</v>
      </c>
      <c r="CT46" s="74">
        <f t="array" ref="CT46">SUM(IF(ISERR(FIND(CT$4,$D46:$CD46)),0,1))</f>
        <v>0</v>
      </c>
      <c r="CU46" s="74">
        <f t="array" ref="CU46">SUM(IF(ISERR(FIND(CU$4,$D46:$CD46)),0,1))</f>
        <v>0</v>
      </c>
      <c r="CV46" s="74">
        <f t="array" ref="CV46">SUM(IF(ISERR(FIND(CV$4,$D46:$CD46)),0,1))</f>
        <v>0</v>
      </c>
      <c r="CW46" s="71">
        <f t="shared" si="57"/>
        <v>8</v>
      </c>
      <c r="CX46" s="71">
        <f t="shared" si="58"/>
        <v>7</v>
      </c>
      <c r="CY46" s="71">
        <f t="shared" si="59"/>
        <v>0</v>
      </c>
      <c r="CZ46" s="116">
        <f t="shared" si="60"/>
        <v>0</v>
      </c>
      <c r="DA46" s="71">
        <f t="shared" si="20"/>
        <v>0</v>
      </c>
      <c r="DB46" s="71">
        <f t="shared" si="21"/>
        <v>1</v>
      </c>
      <c r="DC46" s="71">
        <f t="shared" si="16"/>
        <v>1159517.0460000001</v>
      </c>
      <c r="DD46" s="71">
        <f t="shared" si="48"/>
        <v>15</v>
      </c>
      <c r="DE46" s="71">
        <v>1</v>
      </c>
      <c r="DF46" s="104">
        <f t="shared" si="14"/>
        <v>0.20143884892086331</v>
      </c>
      <c r="DG46" s="114">
        <f t="shared" si="15"/>
        <v>0.25</v>
      </c>
    </row>
    <row r="47" spans="1:111" x14ac:dyDescent="0.15">
      <c r="A47" s="71" t="s">
        <v>268</v>
      </c>
      <c r="B47" s="71" t="s">
        <v>258</v>
      </c>
      <c r="C47" s="71" t="s">
        <v>259</v>
      </c>
      <c r="I47" s="71" t="s">
        <v>394</v>
      </c>
      <c r="P47" s="71" t="s">
        <v>544</v>
      </c>
      <c r="V47" s="71" t="s">
        <v>665</v>
      </c>
      <c r="AA47" s="71" t="s">
        <v>544</v>
      </c>
      <c r="AC47" s="71" t="s">
        <v>721</v>
      </c>
      <c r="CE47" s="71">
        <f>BatSplit(D47:CD47,MatchesPlayed)</f>
        <v>5</v>
      </c>
      <c r="CF47" s="71">
        <f>CE47-CG47</f>
        <v>3</v>
      </c>
      <c r="CG47" s="71">
        <f>BatSplit(D47:CD47,InnsBattedIn)</f>
        <v>2</v>
      </c>
      <c r="CH47" s="71">
        <f>BatSplit(D47:CD47,NotOuts)</f>
        <v>0</v>
      </c>
      <c r="CI47" s="71">
        <f>BatSplit(D47:CD47,HighestScore)</f>
        <v>2</v>
      </c>
      <c r="CJ47" s="75">
        <f t="shared" si="18"/>
        <v>2</v>
      </c>
      <c r="CK47" s="71">
        <f>BatSplit(D47:CD47,RunsScored)</f>
        <v>2</v>
      </c>
      <c r="CL47" s="73">
        <f>IF(CG47=CH47,0,CK47/(CG47-CH47))</f>
        <v>1</v>
      </c>
      <c r="CM47" s="71">
        <f>BatSplit(D47:CD47,BatPts)</f>
        <v>-3</v>
      </c>
      <c r="CN47" s="71">
        <f>BatSplit(D47:CD47,FldPts)</f>
        <v>5</v>
      </c>
      <c r="CO47" s="74">
        <f t="array" ref="CO47">SUM(IF(ISERR(FIND("*",D47:CD47)),0,1))</f>
        <v>0</v>
      </c>
      <c r="CP47" s="74">
        <f t="array" ref="CP47">SUM(IF(ISERR(FIND("+",D47:CD47)),0,1))</f>
        <v>0</v>
      </c>
      <c r="CQ47" s="71">
        <f>BatSplit(D47:CD47,Ducks)</f>
        <v>1</v>
      </c>
      <c r="CR47" s="74">
        <f t="array" ref="CR47">SUM(IF(ISERR(FIND(CR$4,$D47:$CD47)),0,1))</f>
        <v>2</v>
      </c>
      <c r="CS47" s="74">
        <f t="array" ref="CS47">SUM(IF(ISERR(FIND(CS$4,$D47:$CD47)),0,1))</f>
        <v>0</v>
      </c>
      <c r="CT47" s="74">
        <f t="array" ref="CT47">SUM(IF(ISERR(FIND(CT$4,$D47:$CD47)),0,1))</f>
        <v>0</v>
      </c>
      <c r="CU47" s="74">
        <f t="array" ref="CU47">SUM(IF(ISERR(FIND(CU$4,$D47:$CD47)),0,1))</f>
        <v>0</v>
      </c>
      <c r="CV47" s="74">
        <f t="array" ref="CV47">SUM(IF(ISERR(FIND(CV$4,$D47:$CD47)),0,1))</f>
        <v>0</v>
      </c>
      <c r="CW47" s="71">
        <f>BatSplit(D47:CD47,Catches)</f>
        <v>1</v>
      </c>
      <c r="CX47" s="71">
        <f>BatSplit(D47:CD47,Fours)</f>
        <v>0</v>
      </c>
      <c r="CY47" s="71">
        <f>BatSplit(D47:CD47,Sixes)</f>
        <v>0</v>
      </c>
      <c r="CZ47" s="116">
        <f>BatSplit(D47:CD47,Stumpings)</f>
        <v>0</v>
      </c>
      <c r="DA47" s="71">
        <f>BatSplit(D47:CD47,CaughtWkt)</f>
        <v>0</v>
      </c>
      <c r="DB47" s="71">
        <f>BatSplit(D47:CD47,TwentyFives)</f>
        <v>0</v>
      </c>
      <c r="DC47" s="71">
        <f>ROUND(IF(ISERROR(CL47),0,CL47),2)*100000+CG47*100+CE47+ROW(DB47)/1000</f>
        <v>100205.04700000001</v>
      </c>
      <c r="DD47" s="71">
        <f t="shared" si="48"/>
        <v>35</v>
      </c>
      <c r="DF47" s="104">
        <f t="shared" si="14"/>
        <v>0</v>
      </c>
      <c r="DG47" s="114">
        <f t="shared" si="15"/>
        <v>0.5</v>
      </c>
    </row>
    <row r="48" spans="1:111" x14ac:dyDescent="0.15">
      <c r="A48" s="71" t="str">
        <f t="shared" si="17"/>
        <v>NAPA</v>
      </c>
      <c r="B48" s="71" t="s">
        <v>252</v>
      </c>
      <c r="C48" s="71" t="s">
        <v>209</v>
      </c>
      <c r="H48" s="71" t="s">
        <v>426</v>
      </c>
      <c r="K48" s="71" t="s">
        <v>451</v>
      </c>
      <c r="Q48" s="71" t="s">
        <v>566</v>
      </c>
      <c r="U48" s="71" t="s">
        <v>637</v>
      </c>
      <c r="AH48" s="71" t="s">
        <v>889</v>
      </c>
      <c r="AN48" s="71" t="s">
        <v>880</v>
      </c>
      <c r="AP48" s="71" t="s">
        <v>929</v>
      </c>
      <c r="CE48" s="71">
        <f t="shared" si="47"/>
        <v>7</v>
      </c>
      <c r="CF48" s="71">
        <f t="shared" si="50"/>
        <v>0</v>
      </c>
      <c r="CG48" s="71">
        <f t="shared" si="51"/>
        <v>7</v>
      </c>
      <c r="CH48" s="71">
        <f t="shared" si="52"/>
        <v>1</v>
      </c>
      <c r="CI48" s="71">
        <f t="shared" si="53"/>
        <v>-26</v>
      </c>
      <c r="CJ48" s="75" t="str">
        <f t="shared" si="18"/>
        <v>26*</v>
      </c>
      <c r="CK48" s="71">
        <f t="shared" si="49"/>
        <v>72</v>
      </c>
      <c r="CL48" s="73">
        <f t="shared" si="19"/>
        <v>12</v>
      </c>
      <c r="CM48" s="71">
        <f t="shared" si="54"/>
        <v>72</v>
      </c>
      <c r="CN48" s="71">
        <f t="shared" si="55"/>
        <v>15</v>
      </c>
      <c r="CO48" s="74">
        <f t="array" ref="CO48">SUM(IF(ISERR(FIND("*",D48:CD48)),0,1))</f>
        <v>0</v>
      </c>
      <c r="CP48" s="74">
        <f t="array" ref="CP48">SUM(IF(ISERR(FIND("+",D48:CD48)),0,1))</f>
        <v>0</v>
      </c>
      <c r="CQ48" s="71">
        <f t="shared" si="56"/>
        <v>0</v>
      </c>
      <c r="CR48" s="74">
        <f t="array" ref="CR48">SUM(IF(ISERR(FIND(CR$4,$D48:$CD48)),0,1))</f>
        <v>1</v>
      </c>
      <c r="CS48" s="74">
        <f t="array" ref="CS48">SUM(IF(ISERR(FIND(CS$4,$D48:$CD48)),0,1))</f>
        <v>1</v>
      </c>
      <c r="CT48" s="74">
        <f t="array" ref="CT48">SUM(IF(ISERR(FIND(CT$4,$D48:$CD48)),0,1))</f>
        <v>2</v>
      </c>
      <c r="CU48" s="74">
        <f t="array" ref="CU48">SUM(IF(ISERR(FIND(CU$4,$D48:$CD48)),0,1))</f>
        <v>1</v>
      </c>
      <c r="CV48" s="74">
        <f t="array" ref="CV48">SUM(IF(ISERR(FIND(CV$4,$D48:$CD48)),0,1))</f>
        <v>0</v>
      </c>
      <c r="CW48" s="71">
        <f t="shared" si="57"/>
        <v>3</v>
      </c>
      <c r="CX48" s="71">
        <f t="shared" si="58"/>
        <v>2</v>
      </c>
      <c r="CY48" s="71">
        <f t="shared" si="59"/>
        <v>0</v>
      </c>
      <c r="CZ48" s="116">
        <f t="shared" si="60"/>
        <v>0</v>
      </c>
      <c r="DA48" s="71">
        <f t="shared" si="20"/>
        <v>0</v>
      </c>
      <c r="DB48" s="71">
        <f t="shared" si="21"/>
        <v>1</v>
      </c>
      <c r="DC48" s="71">
        <f t="shared" si="16"/>
        <v>1200707.048</v>
      </c>
      <c r="DD48" s="71">
        <f t="shared" si="48"/>
        <v>14</v>
      </c>
      <c r="DF48" s="104">
        <f t="shared" si="14"/>
        <v>0.1111111111111111</v>
      </c>
      <c r="DG48" s="114">
        <f t="shared" si="15"/>
        <v>0</v>
      </c>
    </row>
    <row r="49" spans="1:111" x14ac:dyDescent="0.15">
      <c r="A49" s="71" t="s">
        <v>225</v>
      </c>
      <c r="B49" s="71" t="s">
        <v>179</v>
      </c>
      <c r="C49" s="71" t="s">
        <v>210</v>
      </c>
      <c r="W49" s="93"/>
      <c r="CE49" s="71">
        <f>BatSplit(D49:CD49,MatchesPlayed)</f>
        <v>0</v>
      </c>
      <c r="CF49" s="71">
        <f>CE49-CG49</f>
        <v>0</v>
      </c>
      <c r="CG49" s="71">
        <f>BatSplit(D49:CD49,InnsBattedIn)</f>
        <v>0</v>
      </c>
      <c r="CH49" s="71">
        <f>BatSplit(D49:CD49,NotOuts)</f>
        <v>0</v>
      </c>
      <c r="CI49" s="71">
        <f>BatSplit(D49:CD49,HighestScore)</f>
        <v>0</v>
      </c>
      <c r="CJ49" s="75">
        <f t="shared" si="18"/>
        <v>0</v>
      </c>
      <c r="CK49" s="71">
        <f>BatSplit(D49:CD49,RunsScored)</f>
        <v>0</v>
      </c>
      <c r="CL49" s="73">
        <f t="shared" si="19"/>
        <v>0</v>
      </c>
      <c r="CM49" s="71">
        <f>BatSplit(D49:CD49,BatPts)</f>
        <v>0</v>
      </c>
      <c r="CN49" s="71">
        <f>BatSplit(D49:CD49,FldPts)</f>
        <v>0</v>
      </c>
      <c r="CO49" s="74">
        <f t="array" ref="CO49">SUM(IF(ISERR(FIND("*",D49:CD49)),0,1))</f>
        <v>0</v>
      </c>
      <c r="CP49" s="74">
        <f t="array" ref="CP49">SUM(IF(ISERR(FIND("+",D49:CD49)),0,1))</f>
        <v>0</v>
      </c>
      <c r="CQ49" s="71">
        <f>BatSplit(D49:CD49,Ducks)</f>
        <v>0</v>
      </c>
      <c r="CR49" s="74">
        <f t="array" ref="CR49">SUM(IF(ISERR(FIND(CR$4,$D49:$CD49)),0,1))</f>
        <v>0</v>
      </c>
      <c r="CS49" s="74">
        <f t="array" ref="CS49">SUM(IF(ISERR(FIND(CS$4,$D49:$CD49)),0,1))</f>
        <v>0</v>
      </c>
      <c r="CT49" s="74">
        <f t="array" ref="CT49">SUM(IF(ISERR(FIND(CT$4,$D49:$CD49)),0,1))</f>
        <v>0</v>
      </c>
      <c r="CU49" s="74">
        <f t="array" ref="CU49">SUM(IF(ISERR(FIND(CU$4,$D49:$CD49)),0,1))</f>
        <v>0</v>
      </c>
      <c r="CV49" s="74">
        <f t="array" ref="CV49">SUM(IF(ISERR(FIND(CV$4,$D49:$CD49)),0,1))</f>
        <v>0</v>
      </c>
      <c r="CW49" s="71">
        <f>BatSplit(D49:CD49,Catches)</f>
        <v>0</v>
      </c>
      <c r="CX49" s="71">
        <f>BatSplit(D49:CD49,Fours)</f>
        <v>0</v>
      </c>
      <c r="CY49" s="71">
        <f>BatSplit(D49:CD49,Sixes)</f>
        <v>0</v>
      </c>
      <c r="CZ49" s="116">
        <f>BatSplit(D49:CD49,Stumpings)</f>
        <v>0</v>
      </c>
      <c r="DA49" s="71">
        <f>BatSplit(D49:CD49,CaughtWkt)</f>
        <v>0</v>
      </c>
      <c r="DB49" s="71">
        <f>BatSplit(D49:CD49,TwentyFives)</f>
        <v>0</v>
      </c>
      <c r="DC49" s="71">
        <f t="shared" si="16"/>
        <v>4.9000000000000002E-2</v>
      </c>
      <c r="DD49" s="71">
        <f t="shared" si="48"/>
        <v>48</v>
      </c>
      <c r="DF49" s="104" t="e">
        <f t="shared" si="14"/>
        <v>#DIV/0!</v>
      </c>
      <c r="DG49" s="114" t="e">
        <f t="shared" si="15"/>
        <v>#DIV/0!</v>
      </c>
    </row>
    <row r="50" spans="1:111" x14ac:dyDescent="0.15">
      <c r="A50" s="71" t="str">
        <f t="shared" si="17"/>
        <v>VIRE</v>
      </c>
      <c r="B50" s="71" t="s">
        <v>40</v>
      </c>
      <c r="C50" s="71" t="s">
        <v>211</v>
      </c>
      <c r="E50" s="71" t="s">
        <v>325</v>
      </c>
      <c r="N50" s="71" t="s">
        <v>499</v>
      </c>
      <c r="R50" s="71" t="s">
        <v>598</v>
      </c>
      <c r="T50" s="71" t="s">
        <v>653</v>
      </c>
      <c r="CE50" s="71">
        <f t="shared" si="47"/>
        <v>4</v>
      </c>
      <c r="CF50" s="71">
        <f t="shared" si="50"/>
        <v>0</v>
      </c>
      <c r="CG50" s="71">
        <f t="shared" si="51"/>
        <v>4</v>
      </c>
      <c r="CH50" s="71">
        <f t="shared" si="52"/>
        <v>1</v>
      </c>
      <c r="CI50" s="71">
        <f t="shared" si="53"/>
        <v>-48</v>
      </c>
      <c r="CJ50" s="75" t="str">
        <f t="shared" si="18"/>
        <v>48*</v>
      </c>
      <c r="CK50" s="71">
        <f t="shared" si="49"/>
        <v>74</v>
      </c>
      <c r="CL50" s="73">
        <f t="shared" si="19"/>
        <v>24.666666666666668</v>
      </c>
      <c r="CM50" s="71">
        <f t="shared" si="54"/>
        <v>74</v>
      </c>
      <c r="CN50" s="71">
        <f t="shared" si="55"/>
        <v>5</v>
      </c>
      <c r="CO50" s="74">
        <f t="array" ref="CO50">SUM(IF(ISERR(FIND("*",D50:CD50)),0,1))</f>
        <v>0</v>
      </c>
      <c r="CP50" s="74">
        <f t="array" ref="CP50">SUM(IF(ISERR(FIND("+",D50:CD50)),0,1))</f>
        <v>0</v>
      </c>
      <c r="CQ50" s="71">
        <f t="shared" si="56"/>
        <v>0</v>
      </c>
      <c r="CR50" s="74">
        <f t="array" ref="CR50">SUM(IF(ISERR(FIND(CR$4,$D50:$CD50)),0,1))</f>
        <v>1</v>
      </c>
      <c r="CS50" s="74">
        <f t="array" ref="CS50">SUM(IF(ISERR(FIND(CS$4,$D50:$CD50)),0,1))</f>
        <v>2</v>
      </c>
      <c r="CT50" s="74">
        <f t="array" ref="CT50">SUM(IF(ISERR(FIND(CT$4,$D50:$CD50)),0,1))</f>
        <v>0</v>
      </c>
      <c r="CU50" s="74">
        <f t="array" ref="CU50">SUM(IF(ISERR(FIND(CU$4,$D50:$CD50)),0,1))</f>
        <v>0</v>
      </c>
      <c r="CV50" s="74">
        <f t="array" ref="CV50">SUM(IF(ISERR(FIND(CV$4,$D50:$CD50)),0,1))</f>
        <v>0</v>
      </c>
      <c r="CW50" s="71">
        <f t="shared" si="57"/>
        <v>1</v>
      </c>
      <c r="CX50" s="71">
        <f t="shared" si="58"/>
        <v>10</v>
      </c>
      <c r="CY50" s="71">
        <f t="shared" si="59"/>
        <v>0</v>
      </c>
      <c r="CZ50" s="116">
        <f t="shared" si="60"/>
        <v>0</v>
      </c>
      <c r="DA50" s="71">
        <f t="shared" si="20"/>
        <v>0</v>
      </c>
      <c r="DB50" s="71">
        <f t="shared" si="21"/>
        <v>1</v>
      </c>
      <c r="DC50" s="71">
        <f t="shared" si="16"/>
        <v>2467404.0499999998</v>
      </c>
      <c r="DD50" s="71">
        <f t="shared" si="48"/>
        <v>8</v>
      </c>
      <c r="DF50" s="104">
        <f t="shared" si="14"/>
        <v>0.54054054054054057</v>
      </c>
      <c r="DG50" s="114">
        <f t="shared" si="15"/>
        <v>0</v>
      </c>
    </row>
    <row r="51" spans="1:111" x14ac:dyDescent="0.15">
      <c r="A51" s="71" t="s">
        <v>267</v>
      </c>
      <c r="B51" s="71" t="s">
        <v>239</v>
      </c>
      <c r="C51" s="71" t="s">
        <v>240</v>
      </c>
      <c r="CE51" s="71">
        <f>BatSplit(D51:CD51,MatchesPlayed)</f>
        <v>0</v>
      </c>
      <c r="CF51" s="71">
        <f>CE51-CG51</f>
        <v>0</v>
      </c>
      <c r="CG51" s="71">
        <f>BatSplit(D51:CD51,InnsBattedIn)</f>
        <v>0</v>
      </c>
      <c r="CH51" s="71">
        <f>BatSplit(D51:CD51,NotOuts)</f>
        <v>0</v>
      </c>
      <c r="CI51" s="71">
        <f>BatSplit(D51:CD51,HighestScore)</f>
        <v>0</v>
      </c>
      <c r="CJ51" s="75">
        <f t="shared" si="18"/>
        <v>0</v>
      </c>
      <c r="CK51" s="71">
        <f>BatSplit(D51:CD51,RunsScored)</f>
        <v>0</v>
      </c>
      <c r="CL51" s="73">
        <f>IF(CG51=CH51,0,CK51/(CG51-CH51))</f>
        <v>0</v>
      </c>
      <c r="CM51" s="71">
        <f>BatSplit(D51:CD51,BatPts)</f>
        <v>0</v>
      </c>
      <c r="CN51" s="71">
        <f>BatSplit(D51:CD51,FldPts)</f>
        <v>0</v>
      </c>
      <c r="CO51" s="74">
        <f t="array" ref="CO51">SUM(IF(ISERR(FIND("*",D51:CD51)),0,1))</f>
        <v>0</v>
      </c>
      <c r="CP51" s="74">
        <f t="array" ref="CP51">SUM(IF(ISERR(FIND("+",D51:CD51)),0,1))</f>
        <v>0</v>
      </c>
      <c r="CQ51" s="71">
        <f>BatSplit(D51:CD51,Ducks)</f>
        <v>0</v>
      </c>
      <c r="CR51" s="74">
        <f t="array" ref="CR51">SUM(IF(ISERR(FIND(CR$4,$D51:$CD51)),0,1))</f>
        <v>0</v>
      </c>
      <c r="CS51" s="74">
        <f t="array" ref="CS51">SUM(IF(ISERR(FIND(CS$4,$D51:$CD51)),0,1))</f>
        <v>0</v>
      </c>
      <c r="CT51" s="74">
        <f t="array" ref="CT51">SUM(IF(ISERR(FIND(CT$4,$D51:$CD51)),0,1))</f>
        <v>0</v>
      </c>
      <c r="CU51" s="74">
        <f t="array" ref="CU51">SUM(IF(ISERR(FIND(CU$4,$D51:$CD51)),0,1))</f>
        <v>0</v>
      </c>
      <c r="CV51" s="74">
        <f t="array" ref="CV51">SUM(IF(ISERR(FIND(CV$4,$D51:$CD51)),0,1))</f>
        <v>0</v>
      </c>
      <c r="CW51" s="71">
        <f>BatSplit(D51:CD51,Catches)</f>
        <v>0</v>
      </c>
      <c r="CX51" s="71">
        <f>BatSplit(D51:CD51,Fours)</f>
        <v>0</v>
      </c>
      <c r="CY51" s="71">
        <f>BatSplit(D51:CD51,Sixes)</f>
        <v>0</v>
      </c>
      <c r="CZ51" s="116">
        <f>BatSplit(D51:CD51,Stumpings)</f>
        <v>0</v>
      </c>
      <c r="DA51" s="71">
        <f>BatSplit(D51:CD51,CaughtWkt)</f>
        <v>0</v>
      </c>
      <c r="DB51" s="71">
        <f>BatSplit(D51:CD51,TwentyFives)</f>
        <v>0</v>
      </c>
      <c r="DC51" s="71">
        <f t="shared" si="16"/>
        <v>5.0999999999999997E-2</v>
      </c>
      <c r="DD51" s="71">
        <f t="shared" si="48"/>
        <v>47</v>
      </c>
      <c r="DF51" s="104" t="e">
        <f t="shared" si="14"/>
        <v>#DIV/0!</v>
      </c>
      <c r="DG51" s="114" t="e">
        <f t="shared" si="15"/>
        <v>#DIV/0!</v>
      </c>
    </row>
    <row r="52" spans="1:111" x14ac:dyDescent="0.15">
      <c r="B52" s="71" t="s">
        <v>833</v>
      </c>
      <c r="C52" s="71" t="s">
        <v>834</v>
      </c>
      <c r="AJ52" s="71" t="s">
        <v>362</v>
      </c>
      <c r="CE52" s="71">
        <f>BatSplit(D52:CD52,MatchesPlayed)</f>
        <v>1</v>
      </c>
      <c r="CF52" s="71">
        <f>CE52-CG52</f>
        <v>1</v>
      </c>
      <c r="CG52" s="71">
        <f>BatSplit(D52:CD52,InnsBattedIn)</f>
        <v>0</v>
      </c>
      <c r="CH52" s="71">
        <f>BatSplit(D52:CD52,NotOuts)</f>
        <v>0</v>
      </c>
      <c r="CI52" s="71">
        <f>BatSplit(D52:CD52,HighestScore)</f>
        <v>0</v>
      </c>
      <c r="CJ52" s="75">
        <f t="shared" si="18"/>
        <v>0</v>
      </c>
      <c r="CK52" s="71">
        <f>BatSplit(D52:CD52,RunsScored)</f>
        <v>0</v>
      </c>
      <c r="CL52" s="73">
        <f>IF(CG52=CH52,0,CK52/(CG52-CH52))</f>
        <v>0</v>
      </c>
      <c r="CM52" s="71">
        <f>BatSplit(D52:CD52,BatPts)</f>
        <v>0</v>
      </c>
      <c r="CN52" s="71">
        <f>BatSplit(D52:CD52,FldPts)</f>
        <v>0</v>
      </c>
      <c r="CO52" s="74">
        <f t="array" ref="CO52">SUM(IF(ISERR(FIND("*",D52:CD52)),0,1))</f>
        <v>0</v>
      </c>
      <c r="CP52" s="74">
        <f t="array" ref="CP52">SUM(IF(ISERR(FIND("+",D52:CD52)),0,1))</f>
        <v>0</v>
      </c>
      <c r="CQ52" s="71">
        <f>BatSplit(D52:CD52,Ducks)</f>
        <v>0</v>
      </c>
      <c r="CR52" s="74">
        <f t="array" ref="CR52">SUM(IF(ISERR(FIND(CR$4,$D52:$CD52)),0,1))</f>
        <v>0</v>
      </c>
      <c r="CS52" s="74">
        <f t="array" ref="CS52">SUM(IF(ISERR(FIND(CS$4,$D52:$CD52)),0,1))</f>
        <v>0</v>
      </c>
      <c r="CT52" s="74">
        <f t="array" ref="CT52">SUM(IF(ISERR(FIND(CT$4,$D52:$CD52)),0,1))</f>
        <v>0</v>
      </c>
      <c r="CU52" s="74">
        <f t="array" ref="CU52">SUM(IF(ISERR(FIND(CU$4,$D52:$CD52)),0,1))</f>
        <v>0</v>
      </c>
      <c r="CV52" s="74">
        <f t="array" ref="CV52">SUM(IF(ISERR(FIND(CV$4,$D52:$CD52)),0,1))</f>
        <v>0</v>
      </c>
      <c r="CW52" s="71">
        <f>BatSplit(D52:CD52,Catches)</f>
        <v>0</v>
      </c>
      <c r="CX52" s="71">
        <f>BatSplit(D52:CD52,Fours)</f>
        <v>0</v>
      </c>
      <c r="CY52" s="71">
        <f>BatSplit(D52:CD52,Sixes)</f>
        <v>0</v>
      </c>
      <c r="CZ52" s="116">
        <f>BatSplit(D52:CD52,Stumpings)</f>
        <v>0</v>
      </c>
      <c r="DA52" s="71">
        <f>BatSplit(D52:CD52,CaughtWkt)</f>
        <v>0</v>
      </c>
      <c r="DB52" s="71">
        <f>BatSplit(D52:CD52,TwentyFives)</f>
        <v>0</v>
      </c>
      <c r="DC52" s="71">
        <f>ROUND(IF(ISERROR(CL52),0,CL52),2)*100000+CG52*100+CE52+ROW(DB52)/1000</f>
        <v>1.052</v>
      </c>
      <c r="DD52" s="71">
        <f t="shared" si="48"/>
        <v>42</v>
      </c>
      <c r="DF52" s="104" t="e">
        <f>(CX52*4+CY52*6)/CK52</f>
        <v>#DIV/0!</v>
      </c>
      <c r="DG52" s="114" t="e">
        <f>CQ52/(CG52-CH52)</f>
        <v>#DIV/0!</v>
      </c>
    </row>
    <row r="53" spans="1:111" x14ac:dyDescent="0.15">
      <c r="A53" s="71" t="str">
        <f t="shared" si="17"/>
        <v>DASH</v>
      </c>
      <c r="B53" s="71" t="s">
        <v>29</v>
      </c>
      <c r="C53" s="71" t="s">
        <v>212</v>
      </c>
      <c r="K53" s="71" t="s">
        <v>452</v>
      </c>
      <c r="L53" s="71" t="s">
        <v>460</v>
      </c>
      <c r="M53" s="71" t="s">
        <v>466</v>
      </c>
      <c r="O53" s="71" t="s">
        <v>560</v>
      </c>
      <c r="Q53" s="71" t="s">
        <v>564</v>
      </c>
      <c r="S53" s="71" t="s">
        <v>613</v>
      </c>
      <c r="U53" s="71" t="s">
        <v>655</v>
      </c>
      <c r="W53" s="71" t="s">
        <v>671</v>
      </c>
      <c r="AB53" s="71" t="s">
        <v>757</v>
      </c>
      <c r="AD53" s="71" t="s">
        <v>774</v>
      </c>
      <c r="AE53" s="71" t="s">
        <v>743</v>
      </c>
      <c r="AF53" s="71" t="s">
        <v>790</v>
      </c>
      <c r="AH53" s="71" t="s">
        <v>893</v>
      </c>
      <c r="AJ53" s="71" t="s">
        <v>827</v>
      </c>
      <c r="AN53" s="71" t="s">
        <v>883</v>
      </c>
      <c r="AP53" s="71" t="s">
        <v>639</v>
      </c>
      <c r="AR53" s="71" t="s">
        <v>941</v>
      </c>
      <c r="AU53" s="71" t="s">
        <v>977</v>
      </c>
      <c r="CE53" s="71">
        <f t="shared" si="47"/>
        <v>18</v>
      </c>
      <c r="CF53" s="71">
        <f t="shared" si="50"/>
        <v>0</v>
      </c>
      <c r="CG53" s="71">
        <f t="shared" si="51"/>
        <v>18</v>
      </c>
      <c r="CH53" s="71">
        <f t="shared" si="52"/>
        <v>2</v>
      </c>
      <c r="CI53" s="71">
        <f t="shared" si="53"/>
        <v>-55</v>
      </c>
      <c r="CJ53" s="75" t="str">
        <f t="shared" si="18"/>
        <v>55*</v>
      </c>
      <c r="CK53" s="71">
        <f t="shared" si="49"/>
        <v>229</v>
      </c>
      <c r="CL53" s="73">
        <f t="shared" si="19"/>
        <v>14.3125</v>
      </c>
      <c r="CM53" s="71">
        <f t="shared" si="54"/>
        <v>224</v>
      </c>
      <c r="CN53" s="71">
        <f t="shared" si="55"/>
        <v>40</v>
      </c>
      <c r="CO53" s="74">
        <f t="array" ref="CO53">SUM(IF(ISERR(FIND("*",D53:CD53)),0,1))</f>
        <v>4</v>
      </c>
      <c r="CP53" s="74">
        <f t="array" ref="CP53">SUM(IF(ISERR(FIND("+",D53:CD53)),0,1))</f>
        <v>1</v>
      </c>
      <c r="CQ53" s="71">
        <f t="shared" si="56"/>
        <v>3</v>
      </c>
      <c r="CR53" s="74">
        <f t="array" ref="CR53">SUM(IF(ISERR(FIND(CR$4,$D53:$CD53)),0,1))</f>
        <v>7</v>
      </c>
      <c r="CS53" s="74">
        <f t="array" ref="CS53">SUM(IF(ISERR(FIND(CS$4,$D53:$CD53)),0,1))</f>
        <v>8</v>
      </c>
      <c r="CT53" s="74">
        <f t="array" ref="CT53">SUM(IF(ISERR(FIND(CT$4,$D53:$CD53)),0,1))</f>
        <v>1</v>
      </c>
      <c r="CU53" s="74">
        <f t="array" ref="CU53">SUM(IF(ISERR(FIND(CU$4,$D53:$CD53)),0,1))</f>
        <v>0</v>
      </c>
      <c r="CV53" s="74">
        <f t="array" ref="CV53">SUM(IF(ISERR(FIND(CV$4,$D53:$CD53)),0,1))</f>
        <v>0</v>
      </c>
      <c r="CW53" s="71">
        <f t="shared" si="57"/>
        <v>8</v>
      </c>
      <c r="CX53" s="71">
        <f t="shared" si="58"/>
        <v>31</v>
      </c>
      <c r="CY53" s="71">
        <f t="shared" si="59"/>
        <v>3</v>
      </c>
      <c r="CZ53" s="116">
        <f t="shared" si="60"/>
        <v>0</v>
      </c>
      <c r="DA53" s="71">
        <f t="shared" si="20"/>
        <v>0</v>
      </c>
      <c r="DB53" s="71">
        <f t="shared" si="21"/>
        <v>1</v>
      </c>
      <c r="DC53" s="71">
        <f t="shared" si="16"/>
        <v>1432818.0530000001</v>
      </c>
      <c r="DD53" s="71">
        <f t="shared" si="48"/>
        <v>11</v>
      </c>
      <c r="DF53" s="104">
        <f t="shared" si="14"/>
        <v>0.62008733624454149</v>
      </c>
      <c r="DG53" s="114">
        <f t="shared" si="15"/>
        <v>0.1875</v>
      </c>
    </row>
    <row r="54" spans="1:111" x14ac:dyDescent="0.15">
      <c r="A54" s="71" t="str">
        <f t="shared" si="17"/>
        <v>DESH</v>
      </c>
      <c r="B54" s="71" t="s">
        <v>25</v>
      </c>
      <c r="C54" s="71" t="s">
        <v>213</v>
      </c>
      <c r="I54" s="71" t="s">
        <v>390</v>
      </c>
      <c r="N54" s="71" t="s">
        <v>507</v>
      </c>
      <c r="S54" s="71" t="s">
        <v>618</v>
      </c>
      <c r="AF54" s="71" t="s">
        <v>792</v>
      </c>
      <c r="AH54" s="71" t="s">
        <v>896</v>
      </c>
      <c r="AK54" s="71" t="s">
        <v>849</v>
      </c>
      <c r="CE54" s="71">
        <f t="shared" ref="CE54:CE65" si="61">BatSplit(D54:CD54,MatchesPlayed)</f>
        <v>6</v>
      </c>
      <c r="CF54" s="71">
        <f t="shared" ref="CF54:CF65" si="62">CE54-CG54</f>
        <v>1</v>
      </c>
      <c r="CG54" s="71">
        <f t="shared" ref="CG54:CG65" si="63">BatSplit(D54:CD54,InnsBattedIn)</f>
        <v>5</v>
      </c>
      <c r="CH54" s="71">
        <f t="shared" ref="CH54:CH65" si="64">BatSplit(D54:CD54,NotOuts)</f>
        <v>1</v>
      </c>
      <c r="CI54" s="71">
        <f t="shared" ref="CI54:CI65" si="65">BatSplit(D54:CD54,HighestScore)</f>
        <v>8</v>
      </c>
      <c r="CJ54" s="75">
        <f t="shared" si="18"/>
        <v>8</v>
      </c>
      <c r="CK54" s="71">
        <f t="shared" ref="CK54:CK65" si="66">BatSplit(D54:CD54,RunsScored)</f>
        <v>13</v>
      </c>
      <c r="CL54" s="73">
        <f t="shared" si="19"/>
        <v>3.25</v>
      </c>
      <c r="CM54" s="71">
        <f t="shared" ref="CM54:CM65" si="67">BatSplit(D54:CD54,BatPts)</f>
        <v>13</v>
      </c>
      <c r="CN54" s="71">
        <f t="shared" ref="CN54:CN65" si="68">BatSplit(D54:CD54,FldPts)</f>
        <v>10</v>
      </c>
      <c r="CO54" s="74">
        <f t="array" ref="CO54">SUM(IF(ISERR(FIND("*",D54:CD54)),0,1))</f>
        <v>0</v>
      </c>
      <c r="CP54" s="74">
        <f t="array" ref="CP54">SUM(IF(ISERR(FIND("+",D54:CD54)),0,1))</f>
        <v>0</v>
      </c>
      <c r="CQ54" s="71">
        <f t="shared" ref="CQ54:CQ65" si="69">BatSplit(D54:CD54,Ducks)</f>
        <v>0</v>
      </c>
      <c r="CR54" s="74">
        <f t="array" ref="CR54">SUM(IF(ISERR(FIND(CR$4,$D54:$CD54)),0,1))</f>
        <v>3</v>
      </c>
      <c r="CS54" s="74">
        <f t="array" ref="CS54">SUM(IF(ISERR(FIND(CS$4,$D54:$CD54)),0,1))</f>
        <v>1</v>
      </c>
      <c r="CT54" s="74">
        <f t="array" ref="CT54">SUM(IF(ISERR(FIND(CT$4,$D54:$CD54)),0,1))</f>
        <v>0</v>
      </c>
      <c r="CU54" s="74">
        <f t="array" ref="CU54">SUM(IF(ISERR(FIND(CU$4,$D54:$CD54)),0,1))</f>
        <v>0</v>
      </c>
      <c r="CV54" s="74">
        <f t="array" ref="CV54">SUM(IF(ISERR(FIND(CV$4,$D54:$CD54)),0,1))</f>
        <v>0</v>
      </c>
      <c r="CW54" s="71">
        <f t="shared" ref="CW54:CW65" si="70">BatSplit(D54:CD54,Catches)</f>
        <v>2</v>
      </c>
      <c r="CX54" s="71">
        <f t="shared" ref="CX54:CX65" si="71">BatSplit(D54:CD54,Fours)</f>
        <v>1</v>
      </c>
      <c r="CY54" s="71">
        <f t="shared" ref="CY54:CY65" si="72">BatSplit(D54:CD54,Sixes)</f>
        <v>0</v>
      </c>
      <c r="CZ54" s="116">
        <f t="shared" ref="CZ54:CZ65" si="73">BatSplit(D54:CD54,Stumpings)</f>
        <v>0</v>
      </c>
      <c r="DA54" s="71">
        <f t="shared" si="20"/>
        <v>0</v>
      </c>
      <c r="DB54" s="71">
        <f t="shared" si="21"/>
        <v>0</v>
      </c>
      <c r="DC54" s="71">
        <f t="shared" si="16"/>
        <v>325506.054</v>
      </c>
      <c r="DD54" s="71">
        <f t="shared" si="48"/>
        <v>30</v>
      </c>
      <c r="DF54" s="104">
        <f t="shared" si="14"/>
        <v>0.30769230769230771</v>
      </c>
      <c r="DG54" s="114">
        <f t="shared" si="15"/>
        <v>0</v>
      </c>
    </row>
    <row r="55" spans="1:111" x14ac:dyDescent="0.15">
      <c r="B55" s="71" t="s">
        <v>28</v>
      </c>
      <c r="C55" s="71" t="s">
        <v>813</v>
      </c>
      <c r="AG55" s="71" t="s">
        <v>362</v>
      </c>
      <c r="CE55" s="71">
        <f>BatSplit(D55:CD55,MatchesPlayed)</f>
        <v>1</v>
      </c>
      <c r="CF55" s="71">
        <f>CE55-CG55</f>
        <v>1</v>
      </c>
      <c r="CG55" s="71">
        <f>BatSplit(D55:CD55,InnsBattedIn)</f>
        <v>0</v>
      </c>
      <c r="CH55" s="71">
        <f>BatSplit(D55:CD55,NotOuts)</f>
        <v>0</v>
      </c>
      <c r="CI55" s="71">
        <f>BatSplit(D55:CD55,HighestScore)</f>
        <v>0</v>
      </c>
      <c r="CJ55" s="75">
        <f t="shared" si="18"/>
        <v>0</v>
      </c>
      <c r="CK55" s="71">
        <f>BatSplit(D55:CD55,RunsScored)</f>
        <v>0</v>
      </c>
      <c r="CL55" s="73">
        <f>IF(CG55=CH55,0,CK55/(CG55-CH55))</f>
        <v>0</v>
      </c>
      <c r="CM55" s="71">
        <f>BatSplit(D55:CD55,BatPts)</f>
        <v>0</v>
      </c>
      <c r="CN55" s="71">
        <f>BatSplit(D55:CD55,FldPts)</f>
        <v>0</v>
      </c>
      <c r="CO55" s="74">
        <f t="array" ref="CO55">SUM(IF(ISERR(FIND("*",D55:CD55)),0,1))</f>
        <v>0</v>
      </c>
      <c r="CP55" s="74">
        <f t="array" ref="CP55">SUM(IF(ISERR(FIND("+",D55:CD55)),0,1))</f>
        <v>0</v>
      </c>
      <c r="CQ55" s="71">
        <f>BatSplit(D55:CD55,Ducks)</f>
        <v>0</v>
      </c>
      <c r="CR55" s="74">
        <f t="array" ref="CR55">SUM(IF(ISERR(FIND(CR$4,$D55:$CD55)),0,1))</f>
        <v>0</v>
      </c>
      <c r="CS55" s="74">
        <f t="array" ref="CS55">SUM(IF(ISERR(FIND(CS$4,$D55:$CD55)),0,1))</f>
        <v>0</v>
      </c>
      <c r="CT55" s="74">
        <f t="array" ref="CT55">SUM(IF(ISERR(FIND(CT$4,$D55:$CD55)),0,1))</f>
        <v>0</v>
      </c>
      <c r="CU55" s="74">
        <f t="array" ref="CU55">SUM(IF(ISERR(FIND(CU$4,$D55:$CD55)),0,1))</f>
        <v>0</v>
      </c>
      <c r="CV55" s="74">
        <f t="array" ref="CV55">SUM(IF(ISERR(FIND(CV$4,$D55:$CD55)),0,1))</f>
        <v>0</v>
      </c>
      <c r="CW55" s="71">
        <f>BatSplit(D55:CD55,Catches)</f>
        <v>0</v>
      </c>
      <c r="CX55" s="71">
        <f>BatSplit(D55:CD55,Fours)</f>
        <v>0</v>
      </c>
      <c r="CY55" s="71">
        <f>BatSplit(D55:CD55,Sixes)</f>
        <v>0</v>
      </c>
      <c r="CZ55" s="116">
        <f>BatSplit(D55:CD55,Stumpings)</f>
        <v>0</v>
      </c>
      <c r="DA55" s="71">
        <f>BatSplit(D55:CD55,CaughtWkt)</f>
        <v>0</v>
      </c>
      <c r="DB55" s="71">
        <f>BatSplit(D55:CD55,TwentyFives)</f>
        <v>0</v>
      </c>
      <c r="DC55" s="71">
        <f>ROUND(IF(ISERROR(CL55),0,CL55),2)*100000+CG55*100+CE55+ROW(DB55)/1000</f>
        <v>1.0549999999999999</v>
      </c>
      <c r="DD55" s="71">
        <f t="shared" si="48"/>
        <v>41</v>
      </c>
      <c r="DF55" s="104" t="e">
        <f>(CX55*4+CY55*6)/CK55</f>
        <v>#DIV/0!</v>
      </c>
      <c r="DG55" s="114" t="e">
        <f>CQ55/(CG55-CH55)</f>
        <v>#DIV/0!</v>
      </c>
    </row>
    <row r="56" spans="1:111" x14ac:dyDescent="0.15">
      <c r="A56" s="71" t="s">
        <v>592</v>
      </c>
      <c r="B56" s="71" t="s">
        <v>593</v>
      </c>
      <c r="C56" s="71" t="s">
        <v>594</v>
      </c>
      <c r="R56" s="71" t="s">
        <v>600</v>
      </c>
      <c r="CE56" s="71">
        <f>BatSplit(D56:CD56,MatchesPlayed)</f>
        <v>1</v>
      </c>
      <c r="CF56" s="71">
        <f>CE56-CG56</f>
        <v>0</v>
      </c>
      <c r="CG56" s="71">
        <f>BatSplit(D56:CD56,InnsBattedIn)</f>
        <v>1</v>
      </c>
      <c r="CH56" s="71">
        <f>BatSplit(D56:CD56,NotOuts)</f>
        <v>0</v>
      </c>
      <c r="CI56" s="71">
        <f>BatSplit(D56:CD56,HighestScore)</f>
        <v>0</v>
      </c>
      <c r="CJ56" s="75">
        <f t="shared" si="18"/>
        <v>0</v>
      </c>
      <c r="CK56" s="71">
        <f>BatSplit(D56:CD56,RunsScored)</f>
        <v>0</v>
      </c>
      <c r="CL56" s="73">
        <f>IF(CG56=CH56,0,CK56/(CG56-CH56))</f>
        <v>0</v>
      </c>
      <c r="CM56" s="71">
        <f>BatSplit(D56:CD56,BatPts)</f>
        <v>-5</v>
      </c>
      <c r="CN56" s="71">
        <f>BatSplit(D56:CD56,FldPts)</f>
        <v>15</v>
      </c>
      <c r="CO56" s="74">
        <f t="array" ref="CO56">SUM(IF(ISERR(FIND("*",D56:CD56)),0,1))</f>
        <v>0</v>
      </c>
      <c r="CP56" s="74">
        <f t="array" ref="CP56">SUM(IF(ISERR(FIND("+",D56:CD56)),0,1))</f>
        <v>0</v>
      </c>
      <c r="CQ56" s="71">
        <f>BatSplit(D56:CD56,Ducks)</f>
        <v>1</v>
      </c>
      <c r="CR56" s="74">
        <f t="array" ref="CR56">SUM(IF(ISERR(FIND(CR$4,$D56:$CD56)),0,1))</f>
        <v>0</v>
      </c>
      <c r="CS56" s="74">
        <f t="array" ref="CS56">SUM(IF(ISERR(FIND(CS$4,$D56:$CD56)),0,1))</f>
        <v>1</v>
      </c>
      <c r="CT56" s="74">
        <f t="array" ref="CT56">SUM(IF(ISERR(FIND(CT$4,$D56:$CD56)),0,1))</f>
        <v>0</v>
      </c>
      <c r="CU56" s="74">
        <f t="array" ref="CU56">SUM(IF(ISERR(FIND(CU$4,$D56:$CD56)),0,1))</f>
        <v>0</v>
      </c>
      <c r="CV56" s="74">
        <f t="array" ref="CV56">SUM(IF(ISERR(FIND(CV$4,$D56:$CD56)),0,1))</f>
        <v>0</v>
      </c>
      <c r="CW56" s="71">
        <f>BatSplit(D56:CD56,Catches)</f>
        <v>3</v>
      </c>
      <c r="CX56" s="71">
        <f>BatSplit(D56:CD56,Fours)</f>
        <v>0</v>
      </c>
      <c r="CY56" s="71">
        <f>BatSplit(D56:CD56,Sixes)</f>
        <v>0</v>
      </c>
      <c r="CZ56" s="116">
        <f>BatSplit(D56:CD56,Stumpings)</f>
        <v>0</v>
      </c>
      <c r="DA56" s="71">
        <f>BatSplit(D56:CD56,CaughtWkt)</f>
        <v>0</v>
      </c>
      <c r="DB56" s="71">
        <f>BatSplit(D56:CD56,TwentyFives)</f>
        <v>0</v>
      </c>
      <c r="DC56" s="71">
        <f>ROUND(IF(ISERROR(CL56),0,CL56),2)*100000+CG56*100+CE56+ROW(DB56)/1000</f>
        <v>101.056</v>
      </c>
      <c r="DD56" s="71">
        <f t="shared" si="48"/>
        <v>38</v>
      </c>
      <c r="DF56" s="104" t="e">
        <f>(CX56*4+CY56*6)/CK56</f>
        <v>#DIV/0!</v>
      </c>
      <c r="DG56" s="114">
        <f>CQ56/(CG56-CH56)</f>
        <v>1</v>
      </c>
    </row>
    <row r="57" spans="1:111" x14ac:dyDescent="0.15">
      <c r="A57" s="71" t="str">
        <f t="shared" si="17"/>
        <v>DASN</v>
      </c>
      <c r="B57" s="71" t="s">
        <v>29</v>
      </c>
      <c r="C57" s="71" t="s">
        <v>214</v>
      </c>
      <c r="AD57" s="71" t="s">
        <v>776</v>
      </c>
      <c r="CE57" s="71">
        <f t="shared" si="61"/>
        <v>1</v>
      </c>
      <c r="CF57" s="71">
        <f t="shared" si="62"/>
        <v>0</v>
      </c>
      <c r="CG57" s="71">
        <f t="shared" si="63"/>
        <v>1</v>
      </c>
      <c r="CH57" s="71">
        <f t="shared" si="64"/>
        <v>0</v>
      </c>
      <c r="CI57" s="71">
        <f t="shared" si="65"/>
        <v>1</v>
      </c>
      <c r="CJ57" s="75">
        <f t="shared" si="18"/>
        <v>1</v>
      </c>
      <c r="CK57" s="71">
        <f t="shared" si="66"/>
        <v>1</v>
      </c>
      <c r="CL57" s="73">
        <f t="shared" si="19"/>
        <v>1</v>
      </c>
      <c r="CM57" s="71">
        <f t="shared" si="67"/>
        <v>1</v>
      </c>
      <c r="CN57" s="71">
        <f t="shared" si="68"/>
        <v>0</v>
      </c>
      <c r="CO57" s="74">
        <f t="array" ref="CO57">SUM(IF(ISERR(FIND("*",D57:CD57)),0,1))</f>
        <v>0</v>
      </c>
      <c r="CP57" s="74">
        <f t="array" ref="CP57">SUM(IF(ISERR(FIND("+",D57:CD57)),0,1))</f>
        <v>0</v>
      </c>
      <c r="CQ57" s="71">
        <f t="shared" si="69"/>
        <v>0</v>
      </c>
      <c r="CR57" s="74">
        <f t="array" ref="CR57">SUM(IF(ISERR(FIND(CR$4,$D57:$CD57)),0,1))</f>
        <v>0</v>
      </c>
      <c r="CS57" s="74">
        <f t="array" ref="CS57">SUM(IF(ISERR(FIND(CS$4,$D57:$CD57)),0,1))</f>
        <v>1</v>
      </c>
      <c r="CT57" s="74">
        <f t="array" ref="CT57">SUM(IF(ISERR(FIND(CT$4,$D57:$CD57)),0,1))</f>
        <v>0</v>
      </c>
      <c r="CU57" s="74">
        <f t="array" ref="CU57">SUM(IF(ISERR(FIND(CU$4,$D57:$CD57)),0,1))</f>
        <v>0</v>
      </c>
      <c r="CV57" s="74">
        <f t="array" ref="CV57">SUM(IF(ISERR(FIND(CV$4,$D57:$CD57)),0,1))</f>
        <v>0</v>
      </c>
      <c r="CW57" s="71">
        <f t="shared" si="70"/>
        <v>0</v>
      </c>
      <c r="CX57" s="71">
        <f t="shared" si="71"/>
        <v>0</v>
      </c>
      <c r="CY57" s="71">
        <f t="shared" si="72"/>
        <v>0</v>
      </c>
      <c r="CZ57" s="116">
        <f t="shared" si="73"/>
        <v>0</v>
      </c>
      <c r="DA57" s="71">
        <f t="shared" si="20"/>
        <v>0</v>
      </c>
      <c r="DB57" s="71">
        <f t="shared" si="21"/>
        <v>0</v>
      </c>
      <c r="DC57" s="71">
        <f t="shared" si="16"/>
        <v>100101.057</v>
      </c>
      <c r="DD57" s="71">
        <f t="shared" si="48"/>
        <v>36</v>
      </c>
      <c r="DF57" s="104">
        <f t="shared" si="14"/>
        <v>0</v>
      </c>
      <c r="DG57" s="114">
        <f t="shared" si="15"/>
        <v>0</v>
      </c>
    </row>
    <row r="58" spans="1:111" x14ac:dyDescent="0.15">
      <c r="A58" s="71" t="str">
        <f t="shared" si="17"/>
        <v>TOSP</v>
      </c>
      <c r="B58" s="71" t="s">
        <v>33</v>
      </c>
      <c r="C58" s="71" t="s">
        <v>215</v>
      </c>
      <c r="D58" s="77"/>
      <c r="E58" s="71" t="s">
        <v>321</v>
      </c>
      <c r="H58" s="71" t="s">
        <v>430</v>
      </c>
      <c r="K58" s="71" t="s">
        <v>453</v>
      </c>
      <c r="L58" s="71" t="s">
        <v>461</v>
      </c>
      <c r="M58" s="71" t="s">
        <v>464</v>
      </c>
      <c r="N58" s="71" t="s">
        <v>497</v>
      </c>
      <c r="O58" s="71" t="s">
        <v>559</v>
      </c>
      <c r="Q58" s="71" t="s">
        <v>567</v>
      </c>
      <c r="AA58" s="71" t="s">
        <v>468</v>
      </c>
      <c r="AB58" s="71" t="s">
        <v>759</v>
      </c>
      <c r="AD58" s="71" t="s">
        <v>775</v>
      </c>
      <c r="AE58" s="71" t="s">
        <v>739</v>
      </c>
      <c r="AF58" s="71" t="s">
        <v>789</v>
      </c>
      <c r="AH58" s="71" t="s">
        <v>891</v>
      </c>
      <c r="AJ58" s="71" t="s">
        <v>826</v>
      </c>
      <c r="AK58" s="71" t="s">
        <v>846</v>
      </c>
      <c r="AN58" s="71" t="s">
        <v>882</v>
      </c>
      <c r="AO58" s="71" t="s">
        <v>914</v>
      </c>
      <c r="AP58" s="71" t="s">
        <v>933</v>
      </c>
      <c r="AR58" s="71" t="s">
        <v>940</v>
      </c>
      <c r="AS58" s="71" t="s">
        <v>963</v>
      </c>
      <c r="AU58" s="71" t="s">
        <v>975</v>
      </c>
      <c r="CE58" s="71">
        <f t="shared" si="61"/>
        <v>22</v>
      </c>
      <c r="CF58" s="71">
        <f t="shared" si="62"/>
        <v>1</v>
      </c>
      <c r="CG58" s="71">
        <f t="shared" si="63"/>
        <v>21</v>
      </c>
      <c r="CH58" s="71">
        <f t="shared" si="64"/>
        <v>2</v>
      </c>
      <c r="CI58" s="71">
        <f t="shared" si="65"/>
        <v>-103</v>
      </c>
      <c r="CJ58" s="75" t="str">
        <f t="shared" si="18"/>
        <v>103*</v>
      </c>
      <c r="CK58" s="71">
        <f t="shared" si="66"/>
        <v>852</v>
      </c>
      <c r="CL58" s="73">
        <f t="shared" si="19"/>
        <v>44.842105263157897</v>
      </c>
      <c r="CM58" s="71">
        <f t="shared" si="67"/>
        <v>922</v>
      </c>
      <c r="CN58" s="71">
        <f t="shared" si="68"/>
        <v>61</v>
      </c>
      <c r="CO58" s="74">
        <f t="array" ref="CO58">SUM(IF(ISERR(FIND("*",D58:CD58)),0,1))</f>
        <v>12</v>
      </c>
      <c r="CP58" s="74">
        <f t="array" ref="CP58">SUM(IF(ISERR(FIND("+",D58:CD58)),0,1))</f>
        <v>4</v>
      </c>
      <c r="CQ58" s="71">
        <f t="shared" si="69"/>
        <v>0</v>
      </c>
      <c r="CR58" s="74">
        <f t="array" ref="CR58">SUM(IF(ISERR(FIND(CR$4,$D58:$CD58)),0,1))</f>
        <v>6</v>
      </c>
      <c r="CS58" s="74">
        <f t="array" ref="CS58">SUM(IF(ISERR(FIND(CS$4,$D58:$CD58)),0,1))</f>
        <v>10</v>
      </c>
      <c r="CT58" s="74">
        <f t="array" ref="CT58">SUM(IF(ISERR(FIND(CT$4,$D58:$CD58)),0,1))</f>
        <v>3</v>
      </c>
      <c r="CU58" s="74">
        <f t="array" ref="CU58">SUM(IF(ISERR(FIND(CU$4,$D58:$CD58)),0,1))</f>
        <v>0</v>
      </c>
      <c r="CV58" s="74">
        <f t="array" ref="CV58">SUM(IF(ISERR(FIND(CV$4,$D58:$CD58)),0,1))</f>
        <v>0</v>
      </c>
      <c r="CW58" s="71">
        <f t="shared" si="70"/>
        <v>10</v>
      </c>
      <c r="CX58" s="71">
        <f t="shared" si="71"/>
        <v>128</v>
      </c>
      <c r="CY58" s="71">
        <f t="shared" si="72"/>
        <v>7</v>
      </c>
      <c r="CZ58" s="116">
        <f t="shared" si="73"/>
        <v>2</v>
      </c>
      <c r="DA58" s="71">
        <f t="shared" si="20"/>
        <v>3</v>
      </c>
      <c r="DB58" s="71">
        <f t="shared" si="21"/>
        <v>12</v>
      </c>
      <c r="DC58" s="71">
        <f t="shared" si="16"/>
        <v>4486122.0580000002</v>
      </c>
      <c r="DD58" s="71">
        <f t="shared" si="48"/>
        <v>3</v>
      </c>
      <c r="DF58" s="104">
        <f t="shared" si="14"/>
        <v>0.65023474178403751</v>
      </c>
      <c r="DG58" s="114">
        <f t="shared" si="15"/>
        <v>0</v>
      </c>
    </row>
    <row r="59" spans="1:111" x14ac:dyDescent="0.15">
      <c r="A59" s="71" t="s">
        <v>266</v>
      </c>
      <c r="B59" s="71" t="s">
        <v>35</v>
      </c>
      <c r="C59" s="71" t="s">
        <v>230</v>
      </c>
      <c r="D59" s="77"/>
      <c r="CE59" s="71">
        <f>BatSplit(D59:CD59,MatchesPlayed)</f>
        <v>0</v>
      </c>
      <c r="CF59" s="71">
        <f>CE59-CG59</f>
        <v>0</v>
      </c>
      <c r="CG59" s="71">
        <f>BatSplit(D59:CD59,InnsBattedIn)</f>
        <v>0</v>
      </c>
      <c r="CH59" s="71">
        <f>BatSplit(D59:CD59,NotOuts)</f>
        <v>0</v>
      </c>
      <c r="CI59" s="71">
        <f>BatSplit(D59:CD59,HighestScore)</f>
        <v>0</v>
      </c>
      <c r="CJ59" s="75">
        <f t="shared" si="18"/>
        <v>0</v>
      </c>
      <c r="CK59" s="71">
        <f>BatSplit(D59:CD59,RunsScored)</f>
        <v>0</v>
      </c>
      <c r="CL59" s="73">
        <f>IF(CG59=CH59,0,CK59/(CG59-CH59))</f>
        <v>0</v>
      </c>
      <c r="CM59" s="71">
        <f>BatSplit(D59:CD59,BatPts)</f>
        <v>0</v>
      </c>
      <c r="CN59" s="71">
        <f>BatSplit(D59:CD59,FldPts)</f>
        <v>0</v>
      </c>
      <c r="CO59" s="74">
        <f t="array" ref="CO59">SUM(IF(ISERR(FIND("*",D59:CD59)),0,1))</f>
        <v>0</v>
      </c>
      <c r="CP59" s="74">
        <f t="array" ref="CP59">SUM(IF(ISERR(FIND("+",D59:CD59)),0,1))</f>
        <v>0</v>
      </c>
      <c r="CQ59" s="71">
        <f>BatSplit(D59:CD59,Ducks)</f>
        <v>0</v>
      </c>
      <c r="CR59" s="74">
        <f t="array" ref="CR59">SUM(IF(ISERR(FIND(CR$4,$D59:$CD59)),0,1))</f>
        <v>0</v>
      </c>
      <c r="CS59" s="74">
        <f t="array" ref="CS59">SUM(IF(ISERR(FIND(CS$4,$D59:$CD59)),0,1))</f>
        <v>0</v>
      </c>
      <c r="CT59" s="74">
        <f t="array" ref="CT59">SUM(IF(ISERR(FIND(CT$4,$D59:$CD59)),0,1))</f>
        <v>0</v>
      </c>
      <c r="CU59" s="74">
        <f t="array" ref="CU59">SUM(IF(ISERR(FIND(CU$4,$D59:$CD59)),0,1))</f>
        <v>0</v>
      </c>
      <c r="CV59" s="74">
        <f t="array" ref="CV59">SUM(IF(ISERR(FIND(CV$4,$D59:$CD59)),0,1))</f>
        <v>0</v>
      </c>
      <c r="CW59" s="71">
        <f>BatSplit(D59:CD59,Catches)</f>
        <v>0</v>
      </c>
      <c r="CX59" s="71">
        <f>BatSplit(D59:CD59,Fours)</f>
        <v>0</v>
      </c>
      <c r="CY59" s="71">
        <f>BatSplit(D59:CD59,Sixes)</f>
        <v>0</v>
      </c>
      <c r="CZ59" s="116">
        <f>BatSplit(D59:CD59,Stumpings)</f>
        <v>0</v>
      </c>
      <c r="DA59" s="71">
        <f>BatSplit(D59:CD59,CaughtWkt)</f>
        <v>0</v>
      </c>
      <c r="DB59" s="71">
        <f>BatSplit(D59:CD59,TwentyFives)</f>
        <v>0</v>
      </c>
      <c r="DC59" s="71">
        <f t="shared" si="16"/>
        <v>5.8999999999999997E-2</v>
      </c>
      <c r="DD59" s="71">
        <f t="shared" si="48"/>
        <v>46</v>
      </c>
      <c r="DF59" s="104" t="e">
        <f t="shared" si="14"/>
        <v>#DIV/0!</v>
      </c>
      <c r="DG59" s="114" t="e">
        <f t="shared" si="15"/>
        <v>#DIV/0!</v>
      </c>
    </row>
    <row r="60" spans="1:111" x14ac:dyDescent="0.15">
      <c r="A60" s="71" t="str">
        <f t="shared" si="17"/>
        <v>CRTH</v>
      </c>
      <c r="B60" s="71" t="s">
        <v>32</v>
      </c>
      <c r="C60" s="71" t="s">
        <v>192</v>
      </c>
      <c r="D60" s="77"/>
      <c r="CE60" s="71">
        <f t="shared" si="61"/>
        <v>0</v>
      </c>
      <c r="CF60" s="71">
        <f t="shared" si="62"/>
        <v>0</v>
      </c>
      <c r="CG60" s="71">
        <f t="shared" si="63"/>
        <v>0</v>
      </c>
      <c r="CH60" s="71">
        <f t="shared" si="64"/>
        <v>0</v>
      </c>
      <c r="CI60" s="71">
        <f t="shared" si="65"/>
        <v>0</v>
      </c>
      <c r="CJ60" s="75">
        <f t="shared" si="18"/>
        <v>0</v>
      </c>
      <c r="CK60" s="71">
        <f t="shared" si="66"/>
        <v>0</v>
      </c>
      <c r="CL60" s="73">
        <f t="shared" si="19"/>
        <v>0</v>
      </c>
      <c r="CM60" s="71">
        <f t="shared" si="67"/>
        <v>0</v>
      </c>
      <c r="CN60" s="71">
        <f t="shared" si="68"/>
        <v>0</v>
      </c>
      <c r="CO60" s="74">
        <f t="array" ref="CO60">SUM(IF(ISERR(FIND("*",D60:CD60)),0,1))</f>
        <v>0</v>
      </c>
      <c r="CP60" s="74">
        <f t="array" ref="CP60">SUM(IF(ISERR(FIND("+",D60:CD60)),0,1))</f>
        <v>0</v>
      </c>
      <c r="CQ60" s="71">
        <f t="shared" si="69"/>
        <v>0</v>
      </c>
      <c r="CR60" s="74">
        <f t="array" ref="CR60">SUM(IF(ISERR(FIND(CR$4,$D60:$CD60)),0,1))</f>
        <v>0</v>
      </c>
      <c r="CS60" s="74">
        <f t="array" ref="CS60">SUM(IF(ISERR(FIND(CS$4,$D60:$CD60)),0,1))</f>
        <v>0</v>
      </c>
      <c r="CT60" s="74">
        <f t="array" ref="CT60">SUM(IF(ISERR(FIND(CT$4,$D60:$CD60)),0,1))</f>
        <v>0</v>
      </c>
      <c r="CU60" s="74">
        <f t="array" ref="CU60">SUM(IF(ISERR(FIND(CU$4,$D60:$CD60)),0,1))</f>
        <v>0</v>
      </c>
      <c r="CV60" s="74">
        <f t="array" ref="CV60">SUM(IF(ISERR(FIND(CV$4,$D60:$CD60)),0,1))</f>
        <v>0</v>
      </c>
      <c r="CW60" s="71">
        <f t="shared" si="70"/>
        <v>0</v>
      </c>
      <c r="CX60" s="71">
        <f t="shared" si="71"/>
        <v>0</v>
      </c>
      <c r="CY60" s="71">
        <f t="shared" si="72"/>
        <v>0</v>
      </c>
      <c r="CZ60" s="116">
        <f t="shared" si="73"/>
        <v>0</v>
      </c>
      <c r="DA60" s="71">
        <f t="shared" si="20"/>
        <v>0</v>
      </c>
      <c r="DB60" s="71">
        <f t="shared" si="21"/>
        <v>0</v>
      </c>
      <c r="DC60" s="71">
        <f t="shared" si="16"/>
        <v>0.06</v>
      </c>
      <c r="DD60" s="71">
        <f t="shared" si="48"/>
        <v>45</v>
      </c>
      <c r="DF60" s="104" t="e">
        <f t="shared" si="14"/>
        <v>#DIV/0!</v>
      </c>
      <c r="DG60" s="114" t="e">
        <f t="shared" si="15"/>
        <v>#DIV/0!</v>
      </c>
    </row>
    <row r="61" spans="1:111" x14ac:dyDescent="0.15">
      <c r="A61" s="71" t="str">
        <f t="shared" si="17"/>
        <v>MIWO</v>
      </c>
      <c r="B61" s="71" t="s">
        <v>28</v>
      </c>
      <c r="C61" s="71" t="s">
        <v>216</v>
      </c>
      <c r="E61" s="71" t="s">
        <v>322</v>
      </c>
      <c r="G61" s="71" t="s">
        <v>357</v>
      </c>
      <c r="I61" s="71" t="s">
        <v>393</v>
      </c>
      <c r="K61" s="71" t="s">
        <v>450</v>
      </c>
      <c r="M61" s="71" t="s">
        <v>467</v>
      </c>
      <c r="N61" s="71" t="s">
        <v>503</v>
      </c>
      <c r="P61" s="71" t="s">
        <v>541</v>
      </c>
      <c r="Q61" s="71" t="s">
        <v>565</v>
      </c>
      <c r="R61" s="71" t="s">
        <v>603</v>
      </c>
      <c r="S61" s="71" t="s">
        <v>611</v>
      </c>
      <c r="T61" s="71" t="s">
        <v>654</v>
      </c>
      <c r="U61" s="71" t="s">
        <v>634</v>
      </c>
      <c r="V61" s="71" t="s">
        <v>659</v>
      </c>
      <c r="W61" s="71" t="s">
        <v>676</v>
      </c>
      <c r="AA61" s="71" t="s">
        <v>698</v>
      </c>
      <c r="AC61" s="71" t="s">
        <v>717</v>
      </c>
      <c r="AE61" s="71" t="s">
        <v>740</v>
      </c>
      <c r="AG61" s="71" t="s">
        <v>806</v>
      </c>
      <c r="AJ61" s="71" t="s">
        <v>825</v>
      </c>
      <c r="AK61" s="71" t="s">
        <v>847</v>
      </c>
      <c r="AN61" s="71" t="s">
        <v>498</v>
      </c>
      <c r="AO61" s="71" t="s">
        <v>913</v>
      </c>
      <c r="AR61" s="71" t="s">
        <v>937</v>
      </c>
      <c r="AS61" s="71" t="s">
        <v>959</v>
      </c>
      <c r="AU61" s="71" t="s">
        <v>973</v>
      </c>
      <c r="CE61" s="71">
        <f t="shared" si="61"/>
        <v>25</v>
      </c>
      <c r="CF61" s="71">
        <f t="shared" si="62"/>
        <v>1</v>
      </c>
      <c r="CG61" s="71">
        <f t="shared" si="63"/>
        <v>24</v>
      </c>
      <c r="CH61" s="71">
        <f t="shared" si="64"/>
        <v>1</v>
      </c>
      <c r="CI61" s="71">
        <f t="shared" si="65"/>
        <v>41</v>
      </c>
      <c r="CJ61" s="75">
        <f t="shared" si="18"/>
        <v>41</v>
      </c>
      <c r="CK61" s="71">
        <f t="shared" si="66"/>
        <v>245</v>
      </c>
      <c r="CL61" s="73">
        <f t="shared" si="19"/>
        <v>10.652173913043478</v>
      </c>
      <c r="CM61" s="71">
        <f t="shared" si="67"/>
        <v>220</v>
      </c>
      <c r="CN61" s="71">
        <f t="shared" si="68"/>
        <v>32</v>
      </c>
      <c r="CO61" s="74">
        <f t="array" ref="CO61">SUM(IF(ISERR(FIND("*",D61:CD61)),0,1))</f>
        <v>17</v>
      </c>
      <c r="CP61" s="74">
        <f t="array" ref="CP61">SUM(IF(ISERR(FIND("+",D61:CD61)),0,1))</f>
        <v>4</v>
      </c>
      <c r="CQ61" s="71">
        <f t="shared" si="69"/>
        <v>5</v>
      </c>
      <c r="CR61" s="74">
        <f t="array" ref="CR61">SUM(IF(ISERR(FIND(CR$4,$D61:$CD61)),0,1))</f>
        <v>11</v>
      </c>
      <c r="CS61" s="74">
        <f t="array" ref="CS61">SUM(IF(ISERR(FIND(CS$4,$D61:$CD61)),0,1))</f>
        <v>12</v>
      </c>
      <c r="CT61" s="74">
        <f t="array" ref="CT61">SUM(IF(ISERR(FIND(CT$4,$D61:$CD61)),0,1))</f>
        <v>0</v>
      </c>
      <c r="CU61" s="74">
        <f t="array" ref="CU61">SUM(IF(ISERR(FIND(CU$4,$D61:$CD61)),0,1))</f>
        <v>0</v>
      </c>
      <c r="CV61" s="74">
        <f t="array" ref="CV61">SUM(IF(ISERR(FIND(CV$4,$D61:$CD61)),0,1))</f>
        <v>0</v>
      </c>
      <c r="CW61" s="71">
        <f t="shared" si="70"/>
        <v>7</v>
      </c>
      <c r="CX61" s="71">
        <f t="shared" si="71"/>
        <v>25</v>
      </c>
      <c r="CY61" s="71">
        <f t="shared" si="72"/>
        <v>0</v>
      </c>
      <c r="CZ61" s="116">
        <f t="shared" si="73"/>
        <v>0</v>
      </c>
      <c r="DA61" s="71">
        <f t="shared" si="20"/>
        <v>1</v>
      </c>
      <c r="DB61" s="71">
        <f t="shared" si="21"/>
        <v>4</v>
      </c>
      <c r="DC61" s="71">
        <f t="shared" si="16"/>
        <v>1067425.061</v>
      </c>
      <c r="DD61" s="71">
        <f t="shared" si="48"/>
        <v>17</v>
      </c>
      <c r="DF61" s="104">
        <f t="shared" si="14"/>
        <v>0.40816326530612246</v>
      </c>
      <c r="DG61" s="114">
        <f t="shared" si="15"/>
        <v>0.21739130434782608</v>
      </c>
    </row>
    <row r="62" spans="1:111" x14ac:dyDescent="0.15">
      <c r="A62" s="71" t="str">
        <f t="shared" si="17"/>
        <v>RIWO</v>
      </c>
      <c r="B62" s="71" t="s">
        <v>41</v>
      </c>
      <c r="C62" s="71" t="s">
        <v>217</v>
      </c>
      <c r="G62" s="71" t="s">
        <v>355</v>
      </c>
      <c r="O62" s="71" t="s">
        <v>558</v>
      </c>
      <c r="Q62" s="71" t="s">
        <v>568</v>
      </c>
      <c r="S62" s="71" t="s">
        <v>615</v>
      </c>
      <c r="U62" s="71" t="s">
        <v>640</v>
      </c>
      <c r="V62" s="71" t="s">
        <v>661</v>
      </c>
      <c r="AA62" s="71" t="s">
        <v>701</v>
      </c>
      <c r="AC62" s="71" t="s">
        <v>720</v>
      </c>
      <c r="AF62" s="71" t="s">
        <v>791</v>
      </c>
      <c r="AG62" s="71" t="s">
        <v>808</v>
      </c>
      <c r="AN62" s="71" t="s">
        <v>881</v>
      </c>
      <c r="AP62" s="71" t="s">
        <v>930</v>
      </c>
      <c r="AU62" s="71" t="s">
        <v>978</v>
      </c>
      <c r="CE62" s="71">
        <f t="shared" si="61"/>
        <v>13</v>
      </c>
      <c r="CF62" s="71">
        <f t="shared" si="62"/>
        <v>0</v>
      </c>
      <c r="CG62" s="71">
        <f t="shared" si="63"/>
        <v>13</v>
      </c>
      <c r="CH62" s="71">
        <f t="shared" si="64"/>
        <v>1</v>
      </c>
      <c r="CI62" s="71">
        <f t="shared" si="65"/>
        <v>56</v>
      </c>
      <c r="CJ62" s="75">
        <f t="shared" si="18"/>
        <v>56</v>
      </c>
      <c r="CK62" s="71">
        <f t="shared" si="66"/>
        <v>158</v>
      </c>
      <c r="CL62" s="73">
        <f t="shared" si="19"/>
        <v>13.166666666666666</v>
      </c>
      <c r="CM62" s="71">
        <f t="shared" si="67"/>
        <v>158</v>
      </c>
      <c r="CN62" s="71">
        <f t="shared" si="68"/>
        <v>20</v>
      </c>
      <c r="CO62" s="74">
        <f t="array" ref="CO62">SUM(IF(ISERR(FIND("*",D62:CD62)),0,1))</f>
        <v>0</v>
      </c>
      <c r="CP62" s="74">
        <f t="array" ref="CP62">SUM(IF(ISERR(FIND("+",D62:CD62)),0,1))</f>
        <v>2</v>
      </c>
      <c r="CQ62" s="71">
        <f t="shared" si="69"/>
        <v>2</v>
      </c>
      <c r="CR62" s="74">
        <f t="array" ref="CR62">SUM(IF(ISERR(FIND(CR$4,$D62:$CD62)),0,1))</f>
        <v>6</v>
      </c>
      <c r="CS62" s="74">
        <f t="array" ref="CS62">SUM(IF(ISERR(FIND(CS$4,$D62:$CD62)),0,1))</f>
        <v>5</v>
      </c>
      <c r="CT62" s="74">
        <f t="array" ref="CT62">SUM(IF(ISERR(FIND(CT$4,$D62:$CD62)),0,1))</f>
        <v>0</v>
      </c>
      <c r="CU62" s="74">
        <f t="array" ref="CU62">SUM(IF(ISERR(FIND(CU$4,$D62:$CD62)),0,1))</f>
        <v>0</v>
      </c>
      <c r="CV62" s="74">
        <f t="array" ref="CV62">SUM(IF(ISERR(FIND(CV$4,$D62:$CD62)),0,1))</f>
        <v>1</v>
      </c>
      <c r="CW62" s="71">
        <f t="shared" si="70"/>
        <v>2</v>
      </c>
      <c r="CX62" s="71">
        <f t="shared" si="71"/>
        <v>22</v>
      </c>
      <c r="CY62" s="71">
        <f t="shared" si="72"/>
        <v>2</v>
      </c>
      <c r="CZ62" s="116">
        <f t="shared" si="73"/>
        <v>1</v>
      </c>
      <c r="DA62" s="71">
        <f t="shared" si="20"/>
        <v>0</v>
      </c>
      <c r="DB62" s="71">
        <f t="shared" si="21"/>
        <v>1</v>
      </c>
      <c r="DC62" s="71">
        <f t="shared" si="16"/>
        <v>1318313.0619999999</v>
      </c>
      <c r="DD62" s="71">
        <f t="shared" si="48"/>
        <v>12</v>
      </c>
      <c r="DF62" s="104">
        <f t="shared" si="14"/>
        <v>0.63291139240506333</v>
      </c>
      <c r="DG62" s="114">
        <f t="shared" si="15"/>
        <v>0.16666666666666666</v>
      </c>
    </row>
    <row r="63" spans="1:111" x14ac:dyDescent="0.15">
      <c r="A63" s="71" t="str">
        <f t="shared" si="17"/>
        <v>JOWO</v>
      </c>
      <c r="B63" s="71" t="s">
        <v>42</v>
      </c>
      <c r="C63" s="71" t="s">
        <v>78</v>
      </c>
      <c r="G63" s="71" t="s">
        <v>330</v>
      </c>
      <c r="O63" s="71" t="s">
        <v>456</v>
      </c>
      <c r="P63" s="71" t="s">
        <v>330</v>
      </c>
      <c r="S63" s="71" t="s">
        <v>619</v>
      </c>
      <c r="T63" s="71" t="s">
        <v>469</v>
      </c>
      <c r="V63" s="71" t="s">
        <v>361</v>
      </c>
      <c r="AD63" s="71" t="s">
        <v>462</v>
      </c>
      <c r="AF63" s="71" t="s">
        <v>794</v>
      </c>
      <c r="AH63" s="71" t="s">
        <v>895</v>
      </c>
      <c r="AI63" s="71" t="s">
        <v>866</v>
      </c>
      <c r="CE63" s="71">
        <f t="shared" si="61"/>
        <v>10</v>
      </c>
      <c r="CF63" s="71">
        <f t="shared" si="62"/>
        <v>5</v>
      </c>
      <c r="CG63" s="71">
        <f t="shared" si="63"/>
        <v>5</v>
      </c>
      <c r="CH63" s="71">
        <f t="shared" si="64"/>
        <v>2</v>
      </c>
      <c r="CI63" s="71">
        <f t="shared" si="65"/>
        <v>14</v>
      </c>
      <c r="CJ63" s="75">
        <f t="shared" si="18"/>
        <v>14</v>
      </c>
      <c r="CK63" s="71">
        <f t="shared" si="66"/>
        <v>25</v>
      </c>
      <c r="CL63" s="73">
        <f t="shared" si="19"/>
        <v>8.3333333333333339</v>
      </c>
      <c r="CM63" s="71">
        <f t="shared" si="67"/>
        <v>20</v>
      </c>
      <c r="CN63" s="71">
        <f t="shared" si="68"/>
        <v>15</v>
      </c>
      <c r="CO63" s="74">
        <f t="array" ref="CO63">SUM(IF(ISERR(FIND("*",D63:CD63)),0,1))</f>
        <v>0</v>
      </c>
      <c r="CP63" s="74">
        <f t="array" ref="CP63">SUM(IF(ISERR(FIND("+",D63:CD63)),0,1))</f>
        <v>0</v>
      </c>
      <c r="CQ63" s="71">
        <f t="shared" si="69"/>
        <v>1</v>
      </c>
      <c r="CR63" s="74">
        <f t="array" ref="CR63">SUM(IF(ISERR(FIND(CR$4,$D63:$CD63)),0,1))</f>
        <v>1</v>
      </c>
      <c r="CS63" s="74">
        <f t="array" ref="CS63">SUM(IF(ISERR(FIND(CS$4,$D63:$CD63)),0,1))</f>
        <v>2</v>
      </c>
      <c r="CT63" s="74">
        <f t="array" ref="CT63">SUM(IF(ISERR(FIND(CT$4,$D63:$CD63)),0,1))</f>
        <v>0</v>
      </c>
      <c r="CU63" s="74">
        <f t="array" ref="CU63">SUM(IF(ISERR(FIND(CU$4,$D63:$CD63)),0,1))</f>
        <v>0</v>
      </c>
      <c r="CV63" s="74">
        <f t="array" ref="CV63">SUM(IF(ISERR(FIND(CV$4,$D63:$CD63)),0,1))</f>
        <v>0</v>
      </c>
      <c r="CW63" s="71">
        <f t="shared" si="70"/>
        <v>3</v>
      </c>
      <c r="CX63" s="71">
        <f t="shared" si="71"/>
        <v>3</v>
      </c>
      <c r="CY63" s="71">
        <f t="shared" si="72"/>
        <v>0</v>
      </c>
      <c r="CZ63" s="116">
        <f t="shared" si="73"/>
        <v>0</v>
      </c>
      <c r="DA63" s="71">
        <f t="shared" si="20"/>
        <v>0</v>
      </c>
      <c r="DB63" s="71">
        <f t="shared" si="21"/>
        <v>0</v>
      </c>
      <c r="DC63" s="71">
        <f t="shared" si="16"/>
        <v>833510.06299999997</v>
      </c>
      <c r="DD63" s="71">
        <f t="shared" si="48"/>
        <v>24</v>
      </c>
      <c r="DF63" s="104">
        <f t="shared" si="14"/>
        <v>0.48</v>
      </c>
      <c r="DG63" s="114">
        <f t="shared" si="15"/>
        <v>0.33333333333333331</v>
      </c>
    </row>
    <row r="64" spans="1:111" x14ac:dyDescent="0.15">
      <c r="A64" s="71" t="str">
        <f t="shared" si="17"/>
        <v>ROWO</v>
      </c>
      <c r="B64" s="71" t="s">
        <v>43</v>
      </c>
      <c r="C64" s="71" t="s">
        <v>80</v>
      </c>
      <c r="AF64" s="71" t="s">
        <v>795</v>
      </c>
      <c r="CE64" s="71">
        <f t="shared" si="61"/>
        <v>1</v>
      </c>
      <c r="CF64" s="71">
        <f t="shared" si="62"/>
        <v>0</v>
      </c>
      <c r="CG64" s="71">
        <f t="shared" si="63"/>
        <v>1</v>
      </c>
      <c r="CH64" s="71">
        <f t="shared" si="64"/>
        <v>0</v>
      </c>
      <c r="CI64" s="71">
        <f t="shared" si="65"/>
        <v>9</v>
      </c>
      <c r="CJ64" s="75">
        <f t="shared" si="18"/>
        <v>9</v>
      </c>
      <c r="CK64" s="71">
        <f t="shared" si="66"/>
        <v>9</v>
      </c>
      <c r="CL64" s="73">
        <f t="shared" si="19"/>
        <v>9</v>
      </c>
      <c r="CM64" s="71">
        <f t="shared" si="67"/>
        <v>9</v>
      </c>
      <c r="CN64" s="71">
        <f t="shared" si="68"/>
        <v>0</v>
      </c>
      <c r="CO64" s="74">
        <f t="array" ref="CO64">SUM(IF(ISERR(FIND("*",D64:CD64)),0,1))</f>
        <v>0</v>
      </c>
      <c r="CP64" s="74">
        <f t="array" ref="CP64">SUM(IF(ISERR(FIND("+",D64:CD64)),0,1))</f>
        <v>0</v>
      </c>
      <c r="CQ64" s="71">
        <f t="shared" si="69"/>
        <v>0</v>
      </c>
      <c r="CR64" s="74">
        <f t="array" ref="CR64">SUM(IF(ISERR(FIND(CR$4,$D64:$CD64)),0,1))</f>
        <v>1</v>
      </c>
      <c r="CS64" s="74">
        <f t="array" ref="CS64">SUM(IF(ISERR(FIND(CS$4,$D64:$CD64)),0,1))</f>
        <v>0</v>
      </c>
      <c r="CT64" s="74">
        <f t="array" ref="CT64">SUM(IF(ISERR(FIND(CT$4,$D64:$CD64)),0,1))</f>
        <v>0</v>
      </c>
      <c r="CU64" s="74">
        <f t="array" ref="CU64">SUM(IF(ISERR(FIND(CU$4,$D64:$CD64)),0,1))</f>
        <v>0</v>
      </c>
      <c r="CV64" s="74">
        <f t="array" ref="CV64">SUM(IF(ISERR(FIND(CV$4,$D64:$CD64)),0,1))</f>
        <v>0</v>
      </c>
      <c r="CW64" s="71">
        <f t="shared" si="70"/>
        <v>0</v>
      </c>
      <c r="CX64" s="71">
        <f t="shared" si="71"/>
        <v>2</v>
      </c>
      <c r="CY64" s="71">
        <f t="shared" si="72"/>
        <v>0</v>
      </c>
      <c r="CZ64" s="116">
        <f t="shared" si="73"/>
        <v>0</v>
      </c>
      <c r="DA64" s="71">
        <f t="shared" si="20"/>
        <v>0</v>
      </c>
      <c r="DB64" s="71">
        <f t="shared" si="21"/>
        <v>0</v>
      </c>
      <c r="DC64" s="71">
        <f t="shared" si="16"/>
        <v>900101.06400000001</v>
      </c>
      <c r="DD64" s="71">
        <f t="shared" si="48"/>
        <v>23</v>
      </c>
      <c r="DF64" s="104">
        <f t="shared" si="14"/>
        <v>0.88888888888888884</v>
      </c>
      <c r="DG64" s="114">
        <f t="shared" si="15"/>
        <v>0</v>
      </c>
    </row>
    <row r="65" spans="1:111" x14ac:dyDescent="0.15">
      <c r="A65" s="71" t="str">
        <f t="shared" si="17"/>
        <v>BOYO</v>
      </c>
      <c r="B65" s="71" t="s">
        <v>44</v>
      </c>
      <c r="C65" s="71" t="s">
        <v>218</v>
      </c>
      <c r="G65" s="71" t="s">
        <v>362</v>
      </c>
      <c r="I65" s="71" t="s">
        <v>397</v>
      </c>
      <c r="N65" s="71" t="s">
        <v>505</v>
      </c>
      <c r="P65" s="71" t="s">
        <v>362</v>
      </c>
      <c r="R65" s="71" t="s">
        <v>604</v>
      </c>
      <c r="T65" s="71" t="s">
        <v>456</v>
      </c>
      <c r="V65" s="71" t="s">
        <v>456</v>
      </c>
      <c r="AA65" s="71" t="s">
        <v>360</v>
      </c>
      <c r="AC65" s="71" t="s">
        <v>724</v>
      </c>
      <c r="AE65" s="71" t="s">
        <v>742</v>
      </c>
      <c r="AI65" s="71" t="s">
        <v>861</v>
      </c>
      <c r="AK65" s="71" t="s">
        <v>328</v>
      </c>
      <c r="AO65" s="71" t="s">
        <v>329</v>
      </c>
      <c r="AS65" s="71" t="s">
        <v>330</v>
      </c>
      <c r="AU65" s="71" t="s">
        <v>982</v>
      </c>
      <c r="CE65" s="71">
        <f t="shared" si="61"/>
        <v>15</v>
      </c>
      <c r="CF65" s="71">
        <f t="shared" si="62"/>
        <v>8</v>
      </c>
      <c r="CG65" s="71">
        <f t="shared" si="63"/>
        <v>7</v>
      </c>
      <c r="CH65" s="71">
        <f t="shared" si="64"/>
        <v>1</v>
      </c>
      <c r="CI65" s="71">
        <f t="shared" si="65"/>
        <v>8</v>
      </c>
      <c r="CJ65" s="75">
        <f t="shared" si="18"/>
        <v>8</v>
      </c>
      <c r="CK65" s="71">
        <f t="shared" si="66"/>
        <v>23</v>
      </c>
      <c r="CL65" s="73">
        <f t="shared" si="19"/>
        <v>3.8333333333333335</v>
      </c>
      <c r="CM65" s="71">
        <f t="shared" si="67"/>
        <v>8</v>
      </c>
      <c r="CN65" s="71">
        <f t="shared" si="68"/>
        <v>35</v>
      </c>
      <c r="CO65" s="74">
        <f t="array" ref="CO65">SUM(IF(ISERR(FIND("*",D65:CD65)),0,1))</f>
        <v>0</v>
      </c>
      <c r="CP65" s="74">
        <f t="array" ref="CP65">SUM(IF(ISERR(FIND("+",D65:CD65)),0,1))</f>
        <v>0</v>
      </c>
      <c r="CQ65" s="71">
        <f t="shared" si="69"/>
        <v>3</v>
      </c>
      <c r="CR65" s="74">
        <f t="array" ref="CR65">SUM(IF(ISERR(FIND(CR$4,$D65:$CD65)),0,1))</f>
        <v>2</v>
      </c>
      <c r="CS65" s="74">
        <f t="array" ref="CS65">SUM(IF(ISERR(FIND(CS$4,$D65:$CD65)),0,1))</f>
        <v>4</v>
      </c>
      <c r="CT65" s="74">
        <f t="array" ref="CT65">SUM(IF(ISERR(FIND(CT$4,$D65:$CD65)),0,1))</f>
        <v>0</v>
      </c>
      <c r="CU65" s="74">
        <f t="array" ref="CU65">SUM(IF(ISERR(FIND(CU$4,$D65:$CD65)),0,1))</f>
        <v>0</v>
      </c>
      <c r="CV65" s="74">
        <f t="array" ref="CV65">SUM(IF(ISERR(FIND(CV$4,$D65:$CD65)),0,1))</f>
        <v>0</v>
      </c>
      <c r="CW65" s="71">
        <f t="shared" si="70"/>
        <v>7</v>
      </c>
      <c r="CX65" s="71">
        <f t="shared" si="71"/>
        <v>4</v>
      </c>
      <c r="CY65" s="71">
        <f t="shared" si="72"/>
        <v>0</v>
      </c>
      <c r="CZ65" s="116">
        <f t="shared" si="73"/>
        <v>0</v>
      </c>
      <c r="DA65" s="71">
        <f t="shared" si="20"/>
        <v>0</v>
      </c>
      <c r="DB65" s="71">
        <f t="shared" si="21"/>
        <v>0</v>
      </c>
      <c r="DC65" s="71">
        <f t="shared" si="16"/>
        <v>383715.065</v>
      </c>
      <c r="DD65" s="71">
        <f t="shared" si="48"/>
        <v>27</v>
      </c>
      <c r="DF65" s="104">
        <f t="shared" si="14"/>
        <v>0.69565217391304346</v>
      </c>
      <c r="DG65" s="114">
        <f t="shared" si="15"/>
        <v>0.5</v>
      </c>
    </row>
    <row r="66" spans="1:111" x14ac:dyDescent="0.15">
      <c r="CJ66" s="75"/>
      <c r="CL66" s="73"/>
      <c r="CO66" s="74"/>
      <c r="CP66" s="74"/>
      <c r="CR66" s="74"/>
      <c r="CS66" s="74"/>
      <c r="CT66" s="74"/>
      <c r="CU66" s="74"/>
      <c r="CV66" s="74"/>
    </row>
    <row r="67" spans="1:111" x14ac:dyDescent="0.15">
      <c r="CO67" s="105">
        <f>SUM(CO5:CO66)</f>
        <v>34</v>
      </c>
      <c r="CP67" s="105">
        <f>SUM(CP5:CP66)</f>
        <v>36</v>
      </c>
      <c r="CQ67" s="62">
        <f t="shared" ref="CQ67:DB67" si="74">SUM(CQ5:CQ66)</f>
        <v>45</v>
      </c>
      <c r="CR67" s="79">
        <f t="shared" si="74"/>
        <v>92</v>
      </c>
      <c r="CS67" s="79">
        <f t="shared" si="74"/>
        <v>111</v>
      </c>
      <c r="CT67" s="79">
        <f t="shared" si="74"/>
        <v>14</v>
      </c>
      <c r="CU67" s="79">
        <f t="shared" si="74"/>
        <v>4</v>
      </c>
      <c r="CV67" s="79">
        <f t="shared" si="74"/>
        <v>4</v>
      </c>
      <c r="CW67" s="62">
        <f t="shared" si="74"/>
        <v>153</v>
      </c>
      <c r="CX67" s="62">
        <f t="shared" si="74"/>
        <v>509</v>
      </c>
      <c r="CY67" s="62">
        <f t="shared" si="74"/>
        <v>24</v>
      </c>
      <c r="CZ67" s="62">
        <f t="shared" si="74"/>
        <v>17</v>
      </c>
      <c r="DA67" s="62">
        <f t="shared" si="74"/>
        <v>26</v>
      </c>
      <c r="DB67" s="62">
        <f t="shared" si="74"/>
        <v>46</v>
      </c>
    </row>
    <row r="68" spans="1:111" x14ac:dyDescent="0.15">
      <c r="C68" s="71" t="s">
        <v>167</v>
      </c>
      <c r="D68" s="71">
        <f t="array" ref="D68">SUM(IF(NOT(ISERR(FIND("*",D5:D65))),1,0))</f>
        <v>0</v>
      </c>
      <c r="E68" s="71">
        <f t="array" ref="E68">SUM(IF(NOT(ISERR(FIND("*",E5:E65))),1,0))</f>
        <v>1</v>
      </c>
      <c r="F68" s="71">
        <f t="array" ref="F68">SUM(IF(NOT(ISERR(FIND("*",F5:F65))),1,0))</f>
        <v>0</v>
      </c>
      <c r="G68" s="71">
        <f t="array" ref="G68">SUM(IF(NOT(ISERR(FIND("*",G5:G65))),1,0))</f>
        <v>1</v>
      </c>
      <c r="H68" s="71">
        <f t="array" ref="H68">SUM(IF(NOT(ISERR(FIND("*",H5:H65))),1,0))</f>
        <v>1</v>
      </c>
      <c r="I68" s="71">
        <f t="array" ref="I68">SUM(IF(NOT(ISERR(FIND("*",I5:I65))),1,0))</f>
        <v>1</v>
      </c>
      <c r="J68" s="71">
        <f t="array" ref="J68">SUM(IF(NOT(ISERR(FIND("*",J5:J65))),1,0))</f>
        <v>0</v>
      </c>
      <c r="K68" s="71">
        <f t="array" ref="K68">SUM(IF(NOT(ISERR(FIND("*",K5:K65))),1,0))</f>
        <v>1</v>
      </c>
      <c r="L68" s="71">
        <f t="array" ref="L68">SUM(IF(NOT(ISERR(FIND("*",L5:L65))),1,0))</f>
        <v>1</v>
      </c>
      <c r="M68" s="71">
        <f t="array" ref="M68">SUM(IF(NOT(ISERR(FIND("*",M5:M65))),1,0))</f>
        <v>1</v>
      </c>
      <c r="N68" s="71">
        <f t="array" ref="N68">SUM(IF(NOT(ISERR(FIND("*",N5:N65))),1,0))</f>
        <v>1</v>
      </c>
      <c r="O68" s="71">
        <f t="array" ref="O68">SUM(IF(NOT(ISERR(FIND("*",O5:O65))),1,0))</f>
        <v>1</v>
      </c>
      <c r="P68" s="71">
        <f t="array" ref="P68">SUM(IF(NOT(ISERR(FIND("*",P5:P65))),1,0))</f>
        <v>1</v>
      </c>
      <c r="Q68" s="71">
        <f t="array" ref="Q68">SUM(IF(NOT(ISERR(FIND("*",Q5:Q65))),1,0))</f>
        <v>1</v>
      </c>
      <c r="R68" s="71">
        <f t="array" ref="R68">SUM(IF(NOT(ISERR(FIND("*",R5:R65))),1,0))</f>
        <v>1</v>
      </c>
      <c r="S68" s="71">
        <f t="array" ref="S68">SUM(IF(NOT(ISERR(FIND("*",S5:S65))),1,0))</f>
        <v>1</v>
      </c>
      <c r="T68" s="71">
        <f t="array" ref="T68">SUM(IF(NOT(ISERR(FIND("*",T5:T65))),1,0))</f>
        <v>1</v>
      </c>
      <c r="U68" s="71">
        <f t="array" ref="U68">SUM(IF(NOT(ISERR(FIND("*",U5:U65))),1,0))</f>
        <v>1</v>
      </c>
      <c r="V68" s="71">
        <f t="array" ref="V68">SUM(IF(NOT(ISERR(FIND("*",V5:V65))),1,0))</f>
        <v>1</v>
      </c>
      <c r="W68" s="71">
        <f t="array" ref="W68">SUM(IF(NOT(ISERR(FIND("*",W5:W65))),1,0))</f>
        <v>1</v>
      </c>
      <c r="X68" s="71">
        <f t="array" ref="X68">SUM(IF(NOT(ISERR(FIND("*",X5:X65))),1,0))</f>
        <v>0</v>
      </c>
      <c r="Y68" s="71">
        <f t="array" ref="Y68">SUM(IF(NOT(ISERR(FIND("*",Y5:Y65))),1,0))</f>
        <v>0</v>
      </c>
      <c r="Z68" s="71">
        <f t="array" ref="Z68">SUM(IF(NOT(ISERR(FIND("*",Z5:Z65))),1,0))</f>
        <v>0</v>
      </c>
      <c r="AA68" s="71">
        <f t="array" ref="AA68">SUM(IF(NOT(ISERR(FIND("*",AA5:AA65))),1,0))</f>
        <v>1</v>
      </c>
      <c r="AB68" s="71">
        <f t="array" ref="AB68">SUM(IF(NOT(ISERR(FIND("*",AB5:AB65))),1,0))</f>
        <v>1</v>
      </c>
      <c r="AC68" s="71">
        <f t="array" ref="AC68">SUM(IF(NOT(ISERR(FIND("*",AC5:AC65))),1,0))</f>
        <v>1</v>
      </c>
      <c r="AD68" s="71">
        <f t="array" ref="AD68">SUM(IF(NOT(ISERR(FIND("*",AD5:AD65))),1,0))</f>
        <v>1</v>
      </c>
      <c r="AE68" s="71">
        <f t="array" ref="AE68">SUM(IF(NOT(ISERR(FIND("*",AE5:AE65))),1,0))</f>
        <v>1</v>
      </c>
      <c r="AF68" s="71">
        <f t="array" ref="AF68">SUM(IF(NOT(ISERR(FIND("*",AF5:AF65))),1,0))</f>
        <v>1</v>
      </c>
      <c r="AG68" s="71">
        <f t="array" ref="AG68">SUM(IF(NOT(ISERR(FIND("*",AG5:AG65))),1,0))</f>
        <v>1</v>
      </c>
      <c r="AH68" s="71">
        <f t="array" ref="AH68">SUM(IF(NOT(ISERR(FIND("*",AH5:AH65))),1,0))</f>
        <v>1</v>
      </c>
      <c r="AI68" s="71">
        <f t="array" ref="AI68">SUM(IF(NOT(ISERR(FIND("*",AI5:AI65))),1,0))</f>
        <v>1</v>
      </c>
      <c r="AJ68" s="71">
        <f t="array" ref="AJ68">SUM(IF(NOT(ISERR(FIND("*",AJ5:AJ65))),1,0))</f>
        <v>1</v>
      </c>
      <c r="AK68" s="71">
        <f t="array" ref="AK68">SUM(IF(NOT(ISERR(FIND("*",AK5:AK65))),1,0))</f>
        <v>1</v>
      </c>
      <c r="AL68" s="71">
        <f t="array" ref="AL68">SUM(IF(NOT(ISERR(FIND("*",AL5:AL65))),1,0))</f>
        <v>0</v>
      </c>
      <c r="AM68" s="71">
        <f t="array" ref="AM68">SUM(IF(NOT(ISERR(FIND("*",AM5:AM65))),1,0))</f>
        <v>0</v>
      </c>
      <c r="AN68" s="71">
        <f t="array" ref="AN68">SUM(IF(NOT(ISERR(FIND("*",AN5:AN65))),1,0))</f>
        <v>1</v>
      </c>
      <c r="AO68" s="71">
        <f t="array" ref="AO68">SUM(IF(NOT(ISERR(FIND("*",AO5:AO65))),1,0))</f>
        <v>1</v>
      </c>
      <c r="AP68" s="71">
        <f t="array" ref="AP68">SUM(IF(NOT(ISERR(FIND("*",AP5:AP65))),1,0))</f>
        <v>1</v>
      </c>
      <c r="AQ68" s="71">
        <f t="array" ref="AQ68">SUM(IF(NOT(ISERR(FIND("*",AQ5:AQ65))),1,0))</f>
        <v>0</v>
      </c>
      <c r="AR68" s="71">
        <f t="array" ref="AR68">SUM(IF(NOT(ISERR(FIND("*",AR5:AR65))),1,0))</f>
        <v>1</v>
      </c>
      <c r="AS68" s="71">
        <f t="array" ref="AS68">SUM(IF(NOT(ISERR(FIND("*",AS5:AS65))),1,0))</f>
        <v>1</v>
      </c>
      <c r="AT68" s="71">
        <f t="array" ref="AT68">SUM(IF(NOT(ISERR(FIND("*",AT5:AT65))),1,0))</f>
        <v>0</v>
      </c>
      <c r="AU68" s="71">
        <f t="array" ref="AU68">SUM(IF(NOT(ISERR(FIND("*",AU5:AU65))),1,0))</f>
        <v>1</v>
      </c>
      <c r="AV68" s="71">
        <f t="array" ref="AV68">SUM(IF(NOT(ISERR(FIND("*",AV5:AV65))),1,0))</f>
        <v>0</v>
      </c>
      <c r="AW68" s="71">
        <f t="array" ref="AW68">SUM(IF(NOT(ISERR(FIND("*",AW5:AW65))),1,0))</f>
        <v>0</v>
      </c>
      <c r="AX68" s="71">
        <f t="array" ref="AX68">SUM(IF(NOT(ISERR(FIND("*",AX5:AX65))),1,0))</f>
        <v>0</v>
      </c>
      <c r="AY68" s="71">
        <f t="array" ref="AY68">SUM(IF(NOT(ISERR(FIND("*",AY5:AY65))),1,0))</f>
        <v>0</v>
      </c>
      <c r="AZ68" s="71">
        <f t="array" ref="AZ68">SUM(IF(NOT(ISERR(FIND("*",AZ5:AZ65))),1,0))</f>
        <v>0</v>
      </c>
      <c r="BA68" s="71">
        <f t="array" ref="BA68">SUM(IF(NOT(ISERR(FIND("*",BA5:BA65))),1,0))</f>
        <v>0</v>
      </c>
      <c r="BB68" s="71">
        <f t="array" ref="BB68">SUM(IF(NOT(ISERR(FIND("*",BB5:BB65))),1,0))</f>
        <v>0</v>
      </c>
      <c r="BC68" s="71">
        <f t="array" ref="BC68">SUM(IF(NOT(ISERR(FIND("*",BC5:BC65))),1,0))</f>
        <v>0</v>
      </c>
      <c r="BD68" s="71">
        <f t="array" ref="BD68">SUM(IF(NOT(ISERR(FIND("*",BD5:BD65))),1,0))</f>
        <v>0</v>
      </c>
      <c r="BE68" s="71">
        <f t="array" ref="BE68">SUM(IF(NOT(ISERR(FIND("*",BE5:BE65))),1,0))</f>
        <v>0</v>
      </c>
      <c r="BF68" s="71">
        <f t="array" ref="BF68">SUM(IF(NOT(ISERR(FIND("*",BF5:BF65))),1,0))</f>
        <v>0</v>
      </c>
      <c r="CO68" s="106">
        <f>SUM(D68:BF68)</f>
        <v>34</v>
      </c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A68" s="62"/>
      <c r="DB68" s="62"/>
    </row>
    <row r="69" spans="1:111" x14ac:dyDescent="0.15">
      <c r="C69" s="71" t="s">
        <v>14</v>
      </c>
      <c r="D69" s="71">
        <f t="array" ref="D69">SUM(IF(NOT(ISERR(FIND("+",D5:D65))),1,0))</f>
        <v>0</v>
      </c>
      <c r="E69" s="71">
        <f t="array" ref="E69">SUM(IF(NOT(ISERR(FIND("+",E5:E65))),1,0))</f>
        <v>2</v>
      </c>
      <c r="F69" s="71">
        <f t="array" ref="F69">SUM(IF(NOT(ISERR(FIND("+",F5:F65))),1,0))</f>
        <v>0</v>
      </c>
      <c r="G69" s="71">
        <f t="array" ref="G69">SUM(IF(NOT(ISERR(FIND("+",G5:G65))),1,0))</f>
        <v>1</v>
      </c>
      <c r="H69" s="71">
        <f t="array" ref="H69">SUM(IF(NOT(ISERR(FIND("+",H5:H65))),1,0))</f>
        <v>1</v>
      </c>
      <c r="I69" s="71">
        <f t="array" ref="I69">SUM(IF(NOT(ISERR(FIND("+",I5:I65))),1,0))</f>
        <v>1</v>
      </c>
      <c r="J69" s="71">
        <f t="array" ref="J69">SUM(IF(NOT(ISERR(FIND("+",J5:J65))),1,0))</f>
        <v>0</v>
      </c>
      <c r="K69" s="71">
        <f t="array" ref="K69">SUM(IF(NOT(ISERR(FIND("+",K5:K65))),1,0))</f>
        <v>1</v>
      </c>
      <c r="L69" s="71">
        <f t="array" ref="L69">SUM(IF(NOT(ISERR(FIND("+",L5:L65))),1,0))</f>
        <v>1</v>
      </c>
      <c r="M69" s="71">
        <f t="array" ref="M69">SUM(IF(NOT(ISERR(FIND("+",M5:M65))),1,0))</f>
        <v>1</v>
      </c>
      <c r="N69" s="71">
        <f t="array" ref="N69">SUM(IF(NOT(ISERR(FIND("+",N5:N65))),1,0))</f>
        <v>1</v>
      </c>
      <c r="O69" s="71">
        <f t="array" ref="O69">SUM(IF(NOT(ISERR(FIND("+",O5:O65))),1,0))</f>
        <v>1</v>
      </c>
      <c r="P69" s="71">
        <f t="array" ref="P69">SUM(IF(NOT(ISERR(FIND("+",P5:P65))),1,0))</f>
        <v>1</v>
      </c>
      <c r="Q69" s="71">
        <f t="array" ref="Q69">SUM(IF(NOT(ISERR(FIND("+",Q5:Q65))),1,0))</f>
        <v>1</v>
      </c>
      <c r="R69" s="71">
        <f t="array" ref="R69">SUM(IF(NOT(ISERR(FIND("+",R5:R65))),1,0))</f>
        <v>1</v>
      </c>
      <c r="S69" s="71">
        <f t="array" ref="S69">SUM(IF(NOT(ISERR(FIND("+",S5:S65))),1,0))</f>
        <v>1</v>
      </c>
      <c r="T69" s="71">
        <f t="array" ref="T69">SUM(IF(NOT(ISERR(FIND("+",T5:T65))),1,0))</f>
        <v>2</v>
      </c>
      <c r="U69" s="71">
        <f t="array" ref="U69">SUM(IF(NOT(ISERR(FIND("+",U5:U65))),1,0))</f>
        <v>1</v>
      </c>
      <c r="V69" s="71">
        <f t="array" ref="V69">SUM(IF(NOT(ISERR(FIND("+",V5:V65))),1,0))</f>
        <v>1</v>
      </c>
      <c r="W69" s="71">
        <f t="array" ref="W69">SUM(IF(NOT(ISERR(FIND("+",W5:W65))),1,0))</f>
        <v>1</v>
      </c>
      <c r="X69" s="71">
        <f t="array" ref="X69">SUM(IF(NOT(ISERR(FIND("+",X5:X65))),1,0))</f>
        <v>0</v>
      </c>
      <c r="Y69" s="71">
        <f t="array" ref="Y69">SUM(IF(NOT(ISERR(FIND("+",Y5:Y65))),1,0))</f>
        <v>0</v>
      </c>
      <c r="Z69" s="71">
        <f t="array" ref="Z69">SUM(IF(NOT(ISERR(FIND("+",Z5:Z65))),1,0))</f>
        <v>0</v>
      </c>
      <c r="AA69" s="71">
        <f t="array" ref="AA69">SUM(IF(NOT(ISERR(FIND("+",AA5:AA65))),1,0))</f>
        <v>1</v>
      </c>
      <c r="AB69" s="71">
        <f t="array" ref="AB69">SUM(IF(NOT(ISERR(FIND("+",AB5:AB65))),1,0))</f>
        <v>1</v>
      </c>
      <c r="AC69" s="71">
        <f t="array" ref="AC69">SUM(IF(NOT(ISERR(FIND("+",AC5:AC65))),1,0))</f>
        <v>1</v>
      </c>
      <c r="AD69" s="71">
        <f t="array" ref="AD69">SUM(IF(NOT(ISERR(FIND("+",AD5:AD65))),1,0))</f>
        <v>1</v>
      </c>
      <c r="AE69" s="71">
        <f t="array" ref="AE69">SUM(IF(NOT(ISERR(FIND("+",AE5:AE65))),1,0))</f>
        <v>1</v>
      </c>
      <c r="AF69" s="71">
        <f t="array" ref="AF69">SUM(IF(NOT(ISERR(FIND("+",AF5:AF65))),1,0))</f>
        <v>1</v>
      </c>
      <c r="AG69" s="71">
        <f t="array" ref="AG69">SUM(IF(NOT(ISERR(FIND("+",AG5:AG65))),1,0))</f>
        <v>1</v>
      </c>
      <c r="AH69" s="71">
        <f t="array" ref="AH69">SUM(IF(NOT(ISERR(FIND("+",AH5:AH65))),1,0))</f>
        <v>1</v>
      </c>
      <c r="AI69" s="71">
        <f t="array" ref="AI69">SUM(IF(NOT(ISERR(FIND("+",AI5:AI65))),1,0))</f>
        <v>1</v>
      </c>
      <c r="AJ69" s="71">
        <f t="array" ref="AJ69">SUM(IF(NOT(ISERR(FIND("+",AJ5:AJ65))),1,0))</f>
        <v>1</v>
      </c>
      <c r="AK69" s="71">
        <f t="array" ref="AK69">SUM(IF(NOT(ISERR(FIND("+",AK5:AK65))),1,0))</f>
        <v>1</v>
      </c>
      <c r="AL69" s="71">
        <f t="array" ref="AL69">SUM(IF(NOT(ISERR(FIND("+",AL5:AL65))),1,0))</f>
        <v>0</v>
      </c>
      <c r="AM69" s="71">
        <f t="array" ref="AM69">SUM(IF(NOT(ISERR(FIND("+",AM5:AM65))),1,0))</f>
        <v>0</v>
      </c>
      <c r="AN69" s="71">
        <f t="array" ref="AN69">SUM(IF(NOT(ISERR(FIND("+",AN5:AN65))),1,0))</f>
        <v>1</v>
      </c>
      <c r="AO69" s="71">
        <f t="array" ref="AO69">SUM(IF(NOT(ISERR(FIND("+",AO5:AO65))),1,0))</f>
        <v>1</v>
      </c>
      <c r="AP69" s="71">
        <f t="array" ref="AP69">SUM(IF(NOT(ISERR(FIND("+",AP5:AP65))),1,0))</f>
        <v>1</v>
      </c>
      <c r="AQ69" s="71">
        <f t="array" ref="AQ69">SUM(IF(NOT(ISERR(FIND("+",AQ5:AQ65))),1,0))</f>
        <v>0</v>
      </c>
      <c r="AR69" s="71">
        <f t="array" ref="AR69">SUM(IF(NOT(ISERR(FIND("+",AR5:AR65))),1,0))</f>
        <v>1</v>
      </c>
      <c r="AS69" s="71">
        <f t="array" ref="AS69">SUM(IF(NOT(ISERR(FIND("+",AS5:AS65))),1,0))</f>
        <v>1</v>
      </c>
      <c r="AT69" s="71">
        <f t="array" ref="AT69">SUM(IF(NOT(ISERR(FIND("+",AT5:AT65))),1,0))</f>
        <v>0</v>
      </c>
      <c r="AU69" s="71">
        <f t="array" ref="AU69">SUM(IF(NOT(ISERR(FIND("+",AU5:AU65))),1,0))</f>
        <v>1</v>
      </c>
      <c r="AV69" s="71">
        <f t="array" ref="AV69">SUM(IF(NOT(ISERR(FIND("+",AV5:AV65))),1,0))</f>
        <v>0</v>
      </c>
      <c r="AW69" s="71">
        <f t="array" ref="AW69">SUM(IF(NOT(ISERR(FIND("+",AW5:AW65))),1,0))</f>
        <v>0</v>
      </c>
      <c r="AX69" s="71">
        <f t="array" ref="AX69">SUM(IF(NOT(ISERR(FIND("+",AX5:AX65))),1,0))</f>
        <v>0</v>
      </c>
      <c r="AY69" s="71">
        <f t="array" ref="AY69">SUM(IF(NOT(ISERR(FIND("+",AY5:AY65))),1,0))</f>
        <v>0</v>
      </c>
      <c r="AZ69" s="71">
        <f t="array" ref="AZ69">SUM(IF(NOT(ISERR(FIND("+",AZ5:AZ65))),1,0))</f>
        <v>0</v>
      </c>
      <c r="BA69" s="71">
        <f t="array" ref="BA69">SUM(IF(NOT(ISERR(FIND("+",BA5:BA65))),1,0))</f>
        <v>0</v>
      </c>
      <c r="BB69" s="71">
        <f t="array" ref="BB69">SUM(IF(NOT(ISERR(FIND("+",BB5:BB65))),1,0))</f>
        <v>0</v>
      </c>
      <c r="BC69" s="71">
        <f t="array" ref="BC69">SUM(IF(NOT(ISERR(FIND("+",BC5:BC65))),1,0))</f>
        <v>0</v>
      </c>
      <c r="BD69" s="71">
        <f t="array" ref="BD69">SUM(IF(NOT(ISERR(FIND("+",BD5:BD65))),1,0))</f>
        <v>0</v>
      </c>
      <c r="BE69" s="71">
        <f t="array" ref="BE69">SUM(IF(NOT(ISERR(FIND("+",BE5:BE65))),1,0))</f>
        <v>0</v>
      </c>
      <c r="BF69" s="71">
        <f t="array" ref="BF69">SUM(IF(NOT(ISERR(FIND("+",BF5:BF65))),1,0))</f>
        <v>0</v>
      </c>
      <c r="CO69" s="106">
        <f>SUM(D69:BF69)</f>
        <v>36</v>
      </c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A69" s="62"/>
      <c r="DB69" s="62"/>
    </row>
    <row r="71" spans="1:111" x14ac:dyDescent="0.15">
      <c r="C71" s="71" t="s">
        <v>157</v>
      </c>
      <c r="D71" s="71">
        <f>BatSplit(D5:D65,RunsScored)</f>
        <v>0</v>
      </c>
      <c r="E71" s="71">
        <f t="shared" ref="E71:BF71" si="75">BatSplit(E5:E65,RunsScored)</f>
        <v>155</v>
      </c>
      <c r="F71" s="71">
        <f t="shared" si="75"/>
        <v>0</v>
      </c>
      <c r="G71" s="71">
        <f t="shared" si="75"/>
        <v>166</v>
      </c>
      <c r="H71" s="71">
        <f t="shared" si="75"/>
        <v>85</v>
      </c>
      <c r="I71" s="71">
        <f t="shared" si="75"/>
        <v>33</v>
      </c>
      <c r="J71" s="71">
        <f t="shared" si="75"/>
        <v>0</v>
      </c>
      <c r="K71" s="71">
        <f t="shared" si="75"/>
        <v>136</v>
      </c>
      <c r="L71" s="71">
        <f>BatSplit(L5:L65,RunsScored)</f>
        <v>136</v>
      </c>
      <c r="M71" s="71">
        <f t="shared" si="75"/>
        <v>190</v>
      </c>
      <c r="N71" s="71">
        <f t="shared" si="75"/>
        <v>107</v>
      </c>
      <c r="O71" s="71">
        <f t="shared" si="75"/>
        <v>72</v>
      </c>
      <c r="P71" s="71">
        <f t="shared" si="75"/>
        <v>194</v>
      </c>
      <c r="Q71" s="71">
        <f t="shared" si="75"/>
        <v>123</v>
      </c>
      <c r="R71" s="71">
        <f t="shared" si="75"/>
        <v>79</v>
      </c>
      <c r="S71" s="71">
        <f t="shared" si="75"/>
        <v>99</v>
      </c>
      <c r="T71" s="71">
        <f t="shared" si="75"/>
        <v>168</v>
      </c>
      <c r="U71" s="71">
        <f t="shared" si="75"/>
        <v>113</v>
      </c>
      <c r="V71" s="71">
        <f t="shared" si="75"/>
        <v>114</v>
      </c>
      <c r="W71" s="71">
        <f t="shared" si="75"/>
        <v>161</v>
      </c>
      <c r="X71" s="71">
        <f t="shared" si="75"/>
        <v>0</v>
      </c>
      <c r="Y71" s="71">
        <f t="shared" si="75"/>
        <v>0</v>
      </c>
      <c r="Z71" s="71">
        <f t="shared" si="75"/>
        <v>0</v>
      </c>
      <c r="AA71" s="71">
        <f t="shared" si="75"/>
        <v>95</v>
      </c>
      <c r="AB71" s="71">
        <f t="shared" si="75"/>
        <v>185</v>
      </c>
      <c r="AC71" s="71">
        <f t="shared" si="75"/>
        <v>38</v>
      </c>
      <c r="AD71" s="71">
        <f t="shared" si="75"/>
        <v>63</v>
      </c>
      <c r="AE71" s="71">
        <f t="shared" si="75"/>
        <v>153</v>
      </c>
      <c r="AF71" s="71">
        <f t="shared" si="75"/>
        <v>116</v>
      </c>
      <c r="AG71" s="71">
        <f t="shared" si="75"/>
        <v>80</v>
      </c>
      <c r="AH71" s="71">
        <f t="shared" si="75"/>
        <v>175</v>
      </c>
      <c r="AI71" s="71">
        <f t="shared" si="75"/>
        <v>73</v>
      </c>
      <c r="AJ71" s="71">
        <f t="shared" si="75"/>
        <v>202</v>
      </c>
      <c r="AK71" s="71">
        <f t="shared" si="75"/>
        <v>241</v>
      </c>
      <c r="AL71" s="71">
        <f t="shared" si="75"/>
        <v>0</v>
      </c>
      <c r="AM71" s="71">
        <f t="shared" si="75"/>
        <v>0</v>
      </c>
      <c r="AN71" s="71">
        <f t="shared" si="75"/>
        <v>164</v>
      </c>
      <c r="AO71" s="71">
        <f t="shared" si="75"/>
        <v>143</v>
      </c>
      <c r="AP71" s="71">
        <f t="shared" si="75"/>
        <v>85</v>
      </c>
      <c r="AQ71" s="71">
        <f t="shared" si="75"/>
        <v>0</v>
      </c>
      <c r="AR71" s="71">
        <f t="shared" si="75"/>
        <v>81</v>
      </c>
      <c r="AS71" s="71">
        <f t="shared" si="75"/>
        <v>38</v>
      </c>
      <c r="AT71" s="71">
        <f t="shared" si="75"/>
        <v>0</v>
      </c>
      <c r="AU71" s="71">
        <f t="shared" si="75"/>
        <v>73</v>
      </c>
      <c r="AV71" s="71">
        <f t="shared" si="75"/>
        <v>0</v>
      </c>
      <c r="AW71" s="71">
        <f t="shared" si="75"/>
        <v>0</v>
      </c>
      <c r="AX71" s="71">
        <f t="shared" si="75"/>
        <v>0</v>
      </c>
      <c r="AY71" s="71">
        <f t="shared" si="75"/>
        <v>0</v>
      </c>
      <c r="AZ71" s="71">
        <f t="shared" si="75"/>
        <v>0</v>
      </c>
      <c r="BA71" s="71">
        <f t="shared" si="75"/>
        <v>0</v>
      </c>
      <c r="BB71" s="71">
        <f t="shared" si="75"/>
        <v>0</v>
      </c>
      <c r="BC71" s="71">
        <f t="shared" si="75"/>
        <v>0</v>
      </c>
      <c r="BD71" s="71">
        <f t="shared" si="75"/>
        <v>0</v>
      </c>
      <c r="BE71" s="71">
        <f t="shared" si="75"/>
        <v>0</v>
      </c>
      <c r="BF71" s="71">
        <f t="shared" si="75"/>
        <v>0</v>
      </c>
      <c r="CE71" s="71">
        <f>SUM(D71:BD71)</f>
        <v>4136</v>
      </c>
      <c r="CG71" s="71">
        <f>SUM(CG5:CG66)</f>
        <v>282</v>
      </c>
      <c r="CH71" s="71">
        <f>SUM(CH5:CH66)</f>
        <v>56</v>
      </c>
      <c r="CI71" s="71">
        <f>SUM(CI5:CI65)</f>
        <v>-468</v>
      </c>
      <c r="CK71" s="71">
        <f>SUM(CK5:CK66)</f>
        <v>4136</v>
      </c>
      <c r="CO71" s="71">
        <f>SUM(D71:BF71)</f>
        <v>4136</v>
      </c>
    </row>
    <row r="72" spans="1:111" x14ac:dyDescent="0.15">
      <c r="C72" s="71" t="s">
        <v>156</v>
      </c>
      <c r="D72" s="71">
        <f t="array" ref="D72:BF72">TRANSPOSE(Matches!Z5:Z59)</f>
        <v>0</v>
      </c>
      <c r="E72" s="71">
        <v>7</v>
      </c>
      <c r="F72" s="71">
        <v>0</v>
      </c>
      <c r="G72" s="71">
        <v>23</v>
      </c>
      <c r="H72" s="71">
        <v>18</v>
      </c>
      <c r="I72" s="71">
        <v>11</v>
      </c>
      <c r="J72" s="71">
        <v>0</v>
      </c>
      <c r="K72" s="71">
        <v>15</v>
      </c>
      <c r="L72" s="71">
        <v>10</v>
      </c>
      <c r="M72" s="71">
        <v>18</v>
      </c>
      <c r="N72" s="71">
        <v>24</v>
      </c>
      <c r="O72" s="71">
        <v>10</v>
      </c>
      <c r="P72" s="71">
        <v>12</v>
      </c>
      <c r="Q72" s="71">
        <v>19</v>
      </c>
      <c r="R72" s="71">
        <v>4</v>
      </c>
      <c r="S72" s="71">
        <v>18</v>
      </c>
      <c r="T72" s="71">
        <v>25</v>
      </c>
      <c r="U72" s="71">
        <v>23</v>
      </c>
      <c r="V72" s="71">
        <v>20</v>
      </c>
      <c r="W72" s="71">
        <v>13</v>
      </c>
      <c r="X72" s="71">
        <v>0</v>
      </c>
      <c r="Y72" s="71">
        <v>0</v>
      </c>
      <c r="Z72" s="71">
        <v>0</v>
      </c>
      <c r="AA72" s="71">
        <v>24</v>
      </c>
      <c r="AB72" s="71">
        <v>18</v>
      </c>
      <c r="AC72" s="71">
        <v>0</v>
      </c>
      <c r="AD72" s="71">
        <v>5</v>
      </c>
      <c r="AE72" s="71">
        <v>9</v>
      </c>
      <c r="AF72" s="71">
        <v>30</v>
      </c>
      <c r="AG72" s="71">
        <v>9</v>
      </c>
      <c r="AH72" s="71">
        <v>20</v>
      </c>
      <c r="AI72" s="71">
        <v>22</v>
      </c>
      <c r="AJ72" s="71">
        <v>11</v>
      </c>
      <c r="AK72" s="71">
        <v>18</v>
      </c>
      <c r="AL72" s="71">
        <v>0</v>
      </c>
      <c r="AM72" s="71">
        <v>0</v>
      </c>
      <c r="AN72" s="71">
        <v>11</v>
      </c>
      <c r="AO72" s="71">
        <v>9</v>
      </c>
      <c r="AP72" s="71">
        <v>8</v>
      </c>
      <c r="AQ72" s="71">
        <v>0</v>
      </c>
      <c r="AR72" s="71">
        <v>0</v>
      </c>
      <c r="AS72" s="71">
        <v>10</v>
      </c>
      <c r="AT72" s="71">
        <v>0</v>
      </c>
      <c r="AU72" s="71">
        <v>5</v>
      </c>
      <c r="AV72" s="71">
        <v>0</v>
      </c>
      <c r="AW72" s="71">
        <v>0</v>
      </c>
      <c r="AX72" s="71">
        <v>0</v>
      </c>
      <c r="AY72" s="71">
        <v>0</v>
      </c>
      <c r="AZ72" s="71">
        <v>0</v>
      </c>
      <c r="BA72" s="71">
        <v>0</v>
      </c>
      <c r="BB72" s="71">
        <v>0</v>
      </c>
      <c r="BC72" s="71">
        <v>0</v>
      </c>
      <c r="BD72" s="71">
        <v>0</v>
      </c>
      <c r="BE72" s="71">
        <v>0</v>
      </c>
      <c r="BF72" s="71">
        <v>0</v>
      </c>
      <c r="CE72" s="71">
        <f>SUM(D72:BD72)</f>
        <v>479</v>
      </c>
      <c r="CO72" s="71">
        <f>SUM(D72:BF72)</f>
        <v>479</v>
      </c>
    </row>
    <row r="73" spans="1:111" s="62" customFormat="1" x14ac:dyDescent="0.15">
      <c r="C73" s="62" t="s">
        <v>158</v>
      </c>
      <c r="D73" s="62">
        <f>D72+D71</f>
        <v>0</v>
      </c>
      <c r="E73" s="62">
        <f t="shared" ref="E73:BF73" si="76">E72+E71</f>
        <v>162</v>
      </c>
      <c r="F73" s="62">
        <f t="shared" si="76"/>
        <v>0</v>
      </c>
      <c r="G73" s="62">
        <f t="shared" si="76"/>
        <v>189</v>
      </c>
      <c r="H73" s="62">
        <f t="shared" si="76"/>
        <v>103</v>
      </c>
      <c r="I73" s="62">
        <f t="shared" si="76"/>
        <v>44</v>
      </c>
      <c r="J73" s="62">
        <f t="shared" si="76"/>
        <v>0</v>
      </c>
      <c r="K73" s="62">
        <f t="shared" si="76"/>
        <v>151</v>
      </c>
      <c r="L73" s="62">
        <f t="shared" si="76"/>
        <v>146</v>
      </c>
      <c r="M73" s="62">
        <f t="shared" si="76"/>
        <v>208</v>
      </c>
      <c r="N73" s="62">
        <f t="shared" si="76"/>
        <v>131</v>
      </c>
      <c r="O73" s="62">
        <f t="shared" si="76"/>
        <v>82</v>
      </c>
      <c r="P73" s="62">
        <f t="shared" si="76"/>
        <v>206</v>
      </c>
      <c r="Q73" s="62">
        <f t="shared" si="76"/>
        <v>142</v>
      </c>
      <c r="R73" s="62">
        <f t="shared" si="76"/>
        <v>83</v>
      </c>
      <c r="S73" s="62">
        <f t="shared" si="76"/>
        <v>117</v>
      </c>
      <c r="T73" s="62">
        <f t="shared" si="76"/>
        <v>193</v>
      </c>
      <c r="U73" s="62">
        <f t="shared" si="76"/>
        <v>136</v>
      </c>
      <c r="V73" s="62">
        <f t="shared" si="76"/>
        <v>134</v>
      </c>
      <c r="W73" s="62">
        <f t="shared" si="76"/>
        <v>174</v>
      </c>
      <c r="X73" s="62">
        <f t="shared" si="76"/>
        <v>0</v>
      </c>
      <c r="Y73" s="62">
        <f t="shared" si="76"/>
        <v>0</v>
      </c>
      <c r="Z73" s="62">
        <f t="shared" si="76"/>
        <v>0</v>
      </c>
      <c r="AA73" s="62">
        <f t="shared" si="76"/>
        <v>119</v>
      </c>
      <c r="AB73" s="62">
        <f t="shared" si="76"/>
        <v>203</v>
      </c>
      <c r="AC73" s="62">
        <f t="shared" si="76"/>
        <v>38</v>
      </c>
      <c r="AD73" s="62">
        <f t="shared" si="76"/>
        <v>68</v>
      </c>
      <c r="AE73" s="62">
        <f t="shared" si="76"/>
        <v>162</v>
      </c>
      <c r="AF73" s="62">
        <f t="shared" si="76"/>
        <v>146</v>
      </c>
      <c r="AG73" s="62">
        <f t="shared" si="76"/>
        <v>89</v>
      </c>
      <c r="AH73" s="62">
        <f t="shared" si="76"/>
        <v>195</v>
      </c>
      <c r="AI73" s="62">
        <f t="shared" si="76"/>
        <v>95</v>
      </c>
      <c r="AJ73" s="62">
        <f t="shared" si="76"/>
        <v>213</v>
      </c>
      <c r="AK73" s="62">
        <f t="shared" si="76"/>
        <v>259</v>
      </c>
      <c r="AL73" s="62">
        <f t="shared" si="76"/>
        <v>0</v>
      </c>
      <c r="AM73" s="62">
        <f t="shared" si="76"/>
        <v>0</v>
      </c>
      <c r="AN73" s="62">
        <f t="shared" si="76"/>
        <v>175</v>
      </c>
      <c r="AO73" s="62">
        <f t="shared" si="76"/>
        <v>152</v>
      </c>
      <c r="AP73" s="62">
        <f t="shared" si="76"/>
        <v>93</v>
      </c>
      <c r="AQ73" s="62">
        <f t="shared" si="76"/>
        <v>0</v>
      </c>
      <c r="AR73" s="62">
        <f t="shared" si="76"/>
        <v>81</v>
      </c>
      <c r="AS73" s="62">
        <f t="shared" si="76"/>
        <v>48</v>
      </c>
      <c r="AT73" s="62">
        <f t="shared" si="76"/>
        <v>0</v>
      </c>
      <c r="AU73" s="62">
        <f t="shared" si="76"/>
        <v>78</v>
      </c>
      <c r="AV73" s="62">
        <f t="shared" si="76"/>
        <v>0</v>
      </c>
      <c r="AW73" s="62">
        <f t="shared" si="76"/>
        <v>0</v>
      </c>
      <c r="AX73" s="62">
        <f t="shared" si="76"/>
        <v>0</v>
      </c>
      <c r="AY73" s="62">
        <f t="shared" si="76"/>
        <v>0</v>
      </c>
      <c r="AZ73" s="62">
        <f t="shared" si="76"/>
        <v>0</v>
      </c>
      <c r="BA73" s="62">
        <f t="shared" si="76"/>
        <v>0</v>
      </c>
      <c r="BB73" s="62">
        <f t="shared" si="76"/>
        <v>0</v>
      </c>
      <c r="BC73" s="62">
        <f t="shared" si="76"/>
        <v>0</v>
      </c>
      <c r="BD73" s="62">
        <f t="shared" si="76"/>
        <v>0</v>
      </c>
      <c r="BE73" s="62">
        <f t="shared" si="76"/>
        <v>0</v>
      </c>
      <c r="BF73" s="62">
        <f t="shared" si="76"/>
        <v>0</v>
      </c>
      <c r="CE73" s="71">
        <f>SUM(D73:BD73)</f>
        <v>4615</v>
      </c>
      <c r="CG73" s="71" t="s">
        <v>51</v>
      </c>
      <c r="CH73" s="71">
        <f>CG71-CH71</f>
        <v>226</v>
      </c>
      <c r="CI73" s="71"/>
      <c r="CJ73" s="71"/>
      <c r="CK73" s="71"/>
      <c r="CO73" s="62">
        <f>SUM(D73:BF73)</f>
        <v>4615</v>
      </c>
    </row>
    <row r="74" spans="1:111" x14ac:dyDescent="0.15">
      <c r="D74" s="55"/>
      <c r="CG74" s="71" t="s">
        <v>52</v>
      </c>
      <c r="CH74" s="71">
        <f>CE73/CH73</f>
        <v>20.420353982300885</v>
      </c>
    </row>
    <row r="75" spans="1:111" x14ac:dyDescent="0.15">
      <c r="C75" s="71" t="s">
        <v>180</v>
      </c>
      <c r="D75" s="55" t="e">
        <f t="shared" ref="D75:AI75" ca="1" si="77">OFFSET($C$4,findcellcontaining("*",D5:D65),0)</f>
        <v>#N/A</v>
      </c>
      <c r="E75" s="55" t="str">
        <f t="shared" ca="1" si="77"/>
        <v>Woodhouse M</v>
      </c>
      <c r="F75" s="55" t="e">
        <f t="shared" ca="1" si="77"/>
        <v>#N/A</v>
      </c>
      <c r="G75" s="55" t="str">
        <f t="shared" ca="1" si="77"/>
        <v>Woodhouse M</v>
      </c>
      <c r="H75" s="55" t="str">
        <f t="shared" ca="1" si="77"/>
        <v>Springer T</v>
      </c>
      <c r="I75" s="55" t="str">
        <f t="shared" ca="1" si="77"/>
        <v>Woodhouse M</v>
      </c>
      <c r="J75" s="55" t="e">
        <f t="shared" ca="1" si="77"/>
        <v>#N/A</v>
      </c>
      <c r="K75" s="55" t="str">
        <f t="shared" ca="1" si="77"/>
        <v>Springer T</v>
      </c>
      <c r="L75" s="55" t="str">
        <f t="shared" ca="1" si="77"/>
        <v>Sharpe D</v>
      </c>
      <c r="M75" s="55" t="str">
        <f t="shared" ca="1" si="77"/>
        <v>Woodhouse M</v>
      </c>
      <c r="N75" s="55" t="str">
        <f t="shared" ca="1" si="77"/>
        <v>Woodhouse M</v>
      </c>
      <c r="O75" s="55" t="str">
        <f t="shared" ca="1" si="77"/>
        <v>Springer T</v>
      </c>
      <c r="P75" s="55" t="str">
        <f t="shared" ca="1" si="77"/>
        <v>Woodhouse M</v>
      </c>
      <c r="Q75" s="55" t="str">
        <f t="shared" ca="1" si="77"/>
        <v>Springer T</v>
      </c>
      <c r="R75" s="55" t="str">
        <f t="shared" ca="1" si="77"/>
        <v>Woodhouse M</v>
      </c>
      <c r="S75" s="55" t="str">
        <f t="shared" ca="1" si="77"/>
        <v>Sharpe D</v>
      </c>
      <c r="T75" s="55" t="str">
        <f t="shared" ca="1" si="77"/>
        <v>Woodhouse M</v>
      </c>
      <c r="U75" s="55" t="str">
        <f t="shared" ca="1" si="77"/>
        <v>Sharpe D</v>
      </c>
      <c r="V75" s="55" t="str">
        <f t="shared" ca="1" si="77"/>
        <v>Woodhouse M</v>
      </c>
      <c r="W75" s="55" t="str">
        <f t="shared" ca="1" si="77"/>
        <v>Sharpe D</v>
      </c>
      <c r="X75" s="55" t="e">
        <f t="shared" ca="1" si="77"/>
        <v>#N/A</v>
      </c>
      <c r="Y75" s="55" t="e">
        <f t="shared" ca="1" si="77"/>
        <v>#N/A</v>
      </c>
      <c r="Z75" s="55" t="e">
        <f t="shared" ca="1" si="77"/>
        <v>#N/A</v>
      </c>
      <c r="AA75" s="55" t="str">
        <f t="shared" ca="1" si="77"/>
        <v>Woodhouse M</v>
      </c>
      <c r="AB75" s="55" t="str">
        <f t="shared" ca="1" si="77"/>
        <v>Springer T</v>
      </c>
      <c r="AC75" s="55" t="str">
        <f t="shared" ca="1" si="77"/>
        <v>Woodhouse M</v>
      </c>
      <c r="AD75" s="55" t="str">
        <f t="shared" ca="1" si="77"/>
        <v>Springer T</v>
      </c>
      <c r="AE75" s="55" t="str">
        <f t="shared" ca="1" si="77"/>
        <v>Woodhouse M</v>
      </c>
      <c r="AF75" s="55" t="str">
        <f t="shared" ca="1" si="77"/>
        <v>Springer T</v>
      </c>
      <c r="AG75" s="55" t="str">
        <f t="shared" ca="1" si="77"/>
        <v>Woodhouse M</v>
      </c>
      <c r="AH75" s="55" t="str">
        <f t="shared" ca="1" si="77"/>
        <v>Springer T</v>
      </c>
      <c r="AI75" s="55" t="str">
        <f t="shared" ca="1" si="77"/>
        <v>Elliston J</v>
      </c>
      <c r="AJ75" s="55" t="str">
        <f t="shared" ref="AJ75:BO75" ca="1" si="78">OFFSET($C$4,findcellcontaining("*",AJ5:AJ65),0)</f>
        <v>Springer T</v>
      </c>
      <c r="AK75" s="55" t="str">
        <f t="shared" ca="1" si="78"/>
        <v>Woodhouse M</v>
      </c>
      <c r="AL75" s="55" t="e">
        <f t="shared" ca="1" si="78"/>
        <v>#N/A</v>
      </c>
      <c r="AM75" s="55" t="e">
        <f t="shared" ca="1" si="78"/>
        <v>#N/A</v>
      </c>
      <c r="AN75" s="55" t="str">
        <f t="shared" ca="1" si="78"/>
        <v>Springer T</v>
      </c>
      <c r="AO75" s="55" t="str">
        <f t="shared" ca="1" si="78"/>
        <v>Woodhouse M</v>
      </c>
      <c r="AP75" s="55" t="str">
        <f t="shared" ca="1" si="78"/>
        <v>Springer T</v>
      </c>
      <c r="AQ75" s="55" t="e">
        <f t="shared" ca="1" si="78"/>
        <v>#N/A</v>
      </c>
      <c r="AR75" s="55" t="str">
        <f t="shared" ca="1" si="78"/>
        <v>Springer T</v>
      </c>
      <c r="AS75" s="55" t="str">
        <f t="shared" ca="1" si="78"/>
        <v>Woodhouse M</v>
      </c>
      <c r="AT75" s="55" t="e">
        <f t="shared" ca="1" si="78"/>
        <v>#N/A</v>
      </c>
      <c r="AU75" s="55" t="str">
        <f t="shared" ca="1" si="78"/>
        <v>Woodhouse M</v>
      </c>
      <c r="AV75" s="55" t="e">
        <f t="shared" ca="1" si="78"/>
        <v>#N/A</v>
      </c>
      <c r="AW75" s="55" t="e">
        <f t="shared" ca="1" si="78"/>
        <v>#N/A</v>
      </c>
      <c r="AX75" s="55" t="e">
        <f t="shared" ca="1" si="78"/>
        <v>#N/A</v>
      </c>
      <c r="AY75" s="55" t="e">
        <f t="shared" ca="1" si="78"/>
        <v>#N/A</v>
      </c>
      <c r="AZ75" s="55" t="e">
        <f t="shared" ca="1" si="78"/>
        <v>#N/A</v>
      </c>
      <c r="BA75" s="55" t="e">
        <f t="shared" ca="1" si="78"/>
        <v>#N/A</v>
      </c>
      <c r="BB75" s="55" t="e">
        <f t="shared" ca="1" si="78"/>
        <v>#N/A</v>
      </c>
      <c r="BC75" s="55" t="e">
        <f t="shared" ca="1" si="78"/>
        <v>#N/A</v>
      </c>
      <c r="BD75" s="55" t="e">
        <f t="shared" ca="1" si="78"/>
        <v>#N/A</v>
      </c>
      <c r="BE75" s="55" t="e">
        <f t="shared" ca="1" si="78"/>
        <v>#N/A</v>
      </c>
      <c r="BF75" s="55" t="e">
        <f t="shared" ca="1" si="78"/>
        <v>#N/A</v>
      </c>
      <c r="BG75" s="55" t="e">
        <f t="shared" ca="1" si="78"/>
        <v>#N/A</v>
      </c>
      <c r="BH75" s="55" t="e">
        <f t="shared" ca="1" si="78"/>
        <v>#N/A</v>
      </c>
      <c r="BI75" s="55" t="e">
        <f t="shared" ca="1" si="78"/>
        <v>#N/A</v>
      </c>
      <c r="BJ75" s="55" t="e">
        <f t="shared" ca="1" si="78"/>
        <v>#N/A</v>
      </c>
      <c r="BK75" s="55" t="e">
        <f t="shared" ca="1" si="78"/>
        <v>#N/A</v>
      </c>
      <c r="BL75" s="55" t="e">
        <f t="shared" ca="1" si="78"/>
        <v>#N/A</v>
      </c>
      <c r="BM75" s="55" t="e">
        <f t="shared" ca="1" si="78"/>
        <v>#N/A</v>
      </c>
      <c r="BN75" s="55" t="e">
        <f t="shared" ca="1" si="78"/>
        <v>#N/A</v>
      </c>
      <c r="BO75" s="55" t="e">
        <f t="shared" ca="1" si="78"/>
        <v>#N/A</v>
      </c>
      <c r="BP75" s="55" t="e">
        <f t="shared" ref="BP75:CD75" ca="1" si="79">OFFSET($C$4,findcellcontaining("*",BP5:BP65),0)</f>
        <v>#N/A</v>
      </c>
      <c r="BQ75" s="55" t="e">
        <f t="shared" ca="1" si="79"/>
        <v>#N/A</v>
      </c>
      <c r="BR75" s="55" t="e">
        <f t="shared" ca="1" si="79"/>
        <v>#N/A</v>
      </c>
      <c r="BS75" s="55" t="e">
        <f t="shared" ca="1" si="79"/>
        <v>#N/A</v>
      </c>
      <c r="BT75" s="55" t="e">
        <f t="shared" ca="1" si="79"/>
        <v>#N/A</v>
      </c>
      <c r="BU75" s="55" t="e">
        <f t="shared" ca="1" si="79"/>
        <v>#N/A</v>
      </c>
      <c r="BV75" s="55" t="e">
        <f t="shared" ca="1" si="79"/>
        <v>#N/A</v>
      </c>
      <c r="BW75" s="55" t="e">
        <f t="shared" ca="1" si="79"/>
        <v>#N/A</v>
      </c>
      <c r="BX75" s="55" t="e">
        <f t="shared" ca="1" si="79"/>
        <v>#N/A</v>
      </c>
      <c r="BY75" s="55" t="e">
        <f t="shared" ca="1" si="79"/>
        <v>#N/A</v>
      </c>
      <c r="BZ75" s="55" t="e">
        <f t="shared" ca="1" si="79"/>
        <v>#N/A</v>
      </c>
      <c r="CA75" s="55" t="e">
        <f t="shared" ca="1" si="79"/>
        <v>#N/A</v>
      </c>
      <c r="CB75" s="55" t="e">
        <f t="shared" ca="1" si="79"/>
        <v>#N/A</v>
      </c>
      <c r="CC75" s="55" t="e">
        <f t="shared" ca="1" si="79"/>
        <v>#N/A</v>
      </c>
      <c r="CD75" s="55" t="e">
        <f t="shared" ca="1" si="79"/>
        <v>#N/A</v>
      </c>
    </row>
    <row r="76" spans="1:111" x14ac:dyDescent="0.15">
      <c r="C76" s="107" t="s">
        <v>253</v>
      </c>
      <c r="CO76" s="78">
        <f>CO73/(CG71-CH71)</f>
        <v>20.420353982300885</v>
      </c>
    </row>
    <row r="77" spans="1:111" x14ac:dyDescent="0.15">
      <c r="C77" s="71">
        <v>1</v>
      </c>
      <c r="E77" s="71" t="s">
        <v>377</v>
      </c>
      <c r="G77" s="71" t="s">
        <v>371</v>
      </c>
      <c r="I77" s="71" t="s">
        <v>528</v>
      </c>
      <c r="N77" s="71" t="s">
        <v>508</v>
      </c>
      <c r="P77" s="71" t="s">
        <v>552</v>
      </c>
      <c r="W77" s="71" t="s">
        <v>687</v>
      </c>
      <c r="AA77" s="71" t="s">
        <v>705</v>
      </c>
      <c r="CE77" s="71">
        <f>MAX(D77:CD77)</f>
        <v>0</v>
      </c>
    </row>
    <row r="78" spans="1:111" x14ac:dyDescent="0.15">
      <c r="C78" s="71">
        <v>2</v>
      </c>
      <c r="E78" s="71" t="s">
        <v>378</v>
      </c>
      <c r="G78" s="71" t="s">
        <v>372</v>
      </c>
      <c r="I78" s="71" t="s">
        <v>529</v>
      </c>
      <c r="N78" s="71" t="s">
        <v>509</v>
      </c>
      <c r="P78" s="71" t="s">
        <v>553</v>
      </c>
      <c r="W78" s="71" t="s">
        <v>688</v>
      </c>
      <c r="AA78" s="71" t="s">
        <v>706</v>
      </c>
      <c r="CE78" s="71">
        <f t="shared" ref="CE78:CE87" si="80">MAX(D78:CD78)</f>
        <v>0</v>
      </c>
    </row>
    <row r="79" spans="1:111" x14ac:dyDescent="0.15">
      <c r="C79" s="71">
        <v>3</v>
      </c>
      <c r="E79" s="71" t="s">
        <v>379</v>
      </c>
      <c r="G79" s="71" t="s">
        <v>373</v>
      </c>
      <c r="I79" s="71" t="s">
        <v>530</v>
      </c>
      <c r="N79" s="71" t="s">
        <v>510</v>
      </c>
      <c r="W79" s="71" t="s">
        <v>690</v>
      </c>
      <c r="AA79" s="71" t="s">
        <v>707</v>
      </c>
      <c r="CE79" s="71">
        <f t="shared" si="80"/>
        <v>0</v>
      </c>
    </row>
    <row r="80" spans="1:111" x14ac:dyDescent="0.15">
      <c r="C80" s="71">
        <v>4</v>
      </c>
      <c r="E80" s="71" t="s">
        <v>380</v>
      </c>
      <c r="G80" s="71" t="s">
        <v>374</v>
      </c>
      <c r="I80" s="71" t="s">
        <v>531</v>
      </c>
      <c r="N80" s="71" t="s">
        <v>511</v>
      </c>
      <c r="W80" s="71" t="s">
        <v>689</v>
      </c>
      <c r="CE80" s="71">
        <f t="shared" si="80"/>
        <v>0</v>
      </c>
    </row>
    <row r="81" spans="3:83" x14ac:dyDescent="0.15">
      <c r="C81" s="71">
        <v>5</v>
      </c>
      <c r="E81" s="71" t="s">
        <v>381</v>
      </c>
      <c r="G81" s="71" t="s">
        <v>375</v>
      </c>
      <c r="I81" s="71" t="s">
        <v>532</v>
      </c>
      <c r="N81" s="71" t="s">
        <v>512</v>
      </c>
      <c r="W81" s="71" t="s">
        <v>691</v>
      </c>
      <c r="CE81" s="71">
        <f t="shared" si="80"/>
        <v>0</v>
      </c>
    </row>
    <row r="82" spans="3:83" x14ac:dyDescent="0.15">
      <c r="C82" s="71">
        <v>6</v>
      </c>
      <c r="E82" s="71" t="s">
        <v>382</v>
      </c>
      <c r="G82" s="71" t="s">
        <v>376</v>
      </c>
      <c r="I82" s="71" t="s">
        <v>533</v>
      </c>
      <c r="N82" s="71" t="s">
        <v>513</v>
      </c>
      <c r="W82" s="71" t="s">
        <v>692</v>
      </c>
      <c r="CE82" s="71">
        <f t="shared" si="80"/>
        <v>0</v>
      </c>
    </row>
    <row r="83" spans="3:83" x14ac:dyDescent="0.15">
      <c r="C83" s="71">
        <v>7</v>
      </c>
      <c r="I83" s="71" t="s">
        <v>534</v>
      </c>
      <c r="N83" s="71" t="s">
        <v>514</v>
      </c>
      <c r="W83" s="71" t="s">
        <v>693</v>
      </c>
      <c r="CE83" s="71">
        <f t="shared" si="80"/>
        <v>0</v>
      </c>
    </row>
    <row r="84" spans="3:83" x14ac:dyDescent="0.15">
      <c r="C84" s="71">
        <v>8</v>
      </c>
      <c r="I84" s="71" t="s">
        <v>535</v>
      </c>
      <c r="N84" s="71" t="s">
        <v>515</v>
      </c>
      <c r="W84" s="71" t="s">
        <v>694</v>
      </c>
      <c r="CE84" s="71">
        <f t="shared" si="80"/>
        <v>0</v>
      </c>
    </row>
    <row r="85" spans="3:83" x14ac:dyDescent="0.15">
      <c r="C85" s="71">
        <v>9</v>
      </c>
      <c r="I85" s="71" t="s">
        <v>536</v>
      </c>
      <c r="N85" s="71" t="s">
        <v>516</v>
      </c>
      <c r="W85" s="71" t="s">
        <v>695</v>
      </c>
      <c r="CE85" s="71">
        <f t="shared" si="80"/>
        <v>0</v>
      </c>
    </row>
    <row r="86" spans="3:83" x14ac:dyDescent="0.15">
      <c r="C86" s="71">
        <v>10</v>
      </c>
      <c r="I86" s="71" t="s">
        <v>537</v>
      </c>
      <c r="N86" s="71" t="s">
        <v>517</v>
      </c>
      <c r="CE86" s="71">
        <f t="shared" si="80"/>
        <v>0</v>
      </c>
    </row>
    <row r="87" spans="3:83" x14ac:dyDescent="0.15">
      <c r="C87" s="71">
        <v>11</v>
      </c>
      <c r="CE87" s="71">
        <f t="shared" si="80"/>
        <v>0</v>
      </c>
    </row>
  </sheetData>
  <phoneticPr fontId="0" type="noConversion"/>
  <conditionalFormatting sqref="CE77:CE87">
    <cfRule type="cellIs" dxfId="3" priority="1" stopIfTrue="1" operator="greaterThanOrEqual">
      <formula>75</formula>
    </cfRule>
  </conditionalFormatting>
  <conditionalFormatting sqref="AV89:BC89">
    <cfRule type="cellIs" dxfId="2" priority="2" stopIfTrue="1" operator="greaterThanOrEqual">
      <formula>50</formula>
    </cfRule>
  </conditionalFormatting>
  <conditionalFormatting sqref="D89:AU150">
    <cfRule type="cellIs" dxfId="1" priority="3" stopIfTrue="1" operator="greaterThanOrEqual">
      <formula>3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S68"/>
  <sheetViews>
    <sheetView workbookViewId="0">
      <pane xSplit="2" ySplit="4" topLeftCell="C5" activePane="bottomRight" state="frozenSplit"/>
      <selection pane="topRight" activeCell="B1" sqref="B1"/>
      <selection pane="bottomLeft" activeCell="A5" sqref="A5"/>
      <selection pane="bottomRight" activeCell="C5" sqref="C5"/>
    </sheetView>
  </sheetViews>
  <sheetFormatPr defaultRowHeight="10.5" x14ac:dyDescent="0.15"/>
  <cols>
    <col min="1" max="1" width="6.28515625" style="2" bestFit="1" customWidth="1"/>
    <col min="2" max="2" width="13.7109375" style="2" bestFit="1" customWidth="1"/>
    <col min="3" max="4" width="5.42578125" style="2" customWidth="1"/>
    <col min="5" max="5" width="13.28515625" style="2" bestFit="1" customWidth="1"/>
    <col min="6" max="6" width="12.28515625" style="2" bestFit="1" customWidth="1"/>
    <col min="7" max="7" width="11.7109375" style="2" bestFit="1" customWidth="1"/>
    <col min="8" max="8" width="13.28515625" style="2" bestFit="1" customWidth="1"/>
    <col min="9" max="9" width="11.7109375" style="2" bestFit="1" customWidth="1"/>
    <col min="10" max="10" width="12.7109375" style="2" bestFit="1" customWidth="1"/>
    <col min="11" max="12" width="13.28515625" style="2" bestFit="1" customWidth="1"/>
    <col min="13" max="13" width="12.7109375" style="2" bestFit="1" customWidth="1"/>
    <col min="14" max="14" width="12.28515625" style="2" bestFit="1" customWidth="1"/>
    <col min="15" max="15" width="12.7109375" style="2" bestFit="1" customWidth="1"/>
    <col min="16" max="16" width="11.7109375" style="2" bestFit="1" customWidth="1"/>
    <col min="17" max="18" width="13.28515625" style="2" bestFit="1" customWidth="1"/>
    <col min="19" max="19" width="12.7109375" style="2" bestFit="1" customWidth="1"/>
    <col min="20" max="21" width="14.28515625" style="2" bestFit="1" customWidth="1"/>
    <col min="22" max="22" width="10.7109375" style="2" bestFit="1" customWidth="1"/>
    <col min="23" max="25" width="3" style="2" customWidth="1"/>
    <col min="26" max="29" width="11.7109375" style="2" bestFit="1" customWidth="1"/>
    <col min="30" max="30" width="12.7109375" style="2" bestFit="1" customWidth="1"/>
    <col min="31" max="31" width="13.28515625" style="2" bestFit="1" customWidth="1"/>
    <col min="32" max="32" width="12.7109375" style="2" bestFit="1" customWidth="1"/>
    <col min="33" max="33" width="13.28515625" style="2" bestFit="1" customWidth="1"/>
    <col min="34" max="34" width="12.5703125" style="2" bestFit="1" customWidth="1"/>
    <col min="35" max="36" width="11.7109375" style="2" bestFit="1" customWidth="1"/>
    <col min="37" max="38" width="3" style="2" customWidth="1"/>
    <col min="39" max="39" width="12.7109375" style="2" bestFit="1" customWidth="1"/>
    <col min="40" max="41" width="12.28515625" style="2" bestFit="1" customWidth="1"/>
    <col min="42" max="42" width="3" style="2" customWidth="1"/>
    <col min="43" max="43" width="12.28515625" style="2" bestFit="1" customWidth="1"/>
    <col min="44" max="44" width="13.28515625" style="2" bestFit="1" customWidth="1"/>
    <col min="45" max="45" width="3" style="2" customWidth="1"/>
    <col min="46" max="46" width="12.7109375" style="2" bestFit="1" customWidth="1"/>
    <col min="47" max="58" width="2.85546875" style="2" customWidth="1"/>
    <col min="59" max="81" width="5.28515625" style="2" bestFit="1" customWidth="1"/>
    <col min="82" max="82" width="9.140625" style="2"/>
    <col min="83" max="83" width="6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7.28515625" style="56" bestFit="1" customWidth="1"/>
    <col min="90" max="90" width="6.5703125" style="55" bestFit="1" customWidth="1"/>
    <col min="91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7" s="3" customFormat="1" ht="50.25" customHeight="1" x14ac:dyDescent="0.15">
      <c r="B1" s="3" t="str">
        <f t="array" ref="B1:CC4">TRANSPOSE(Matches!B4:E82)</f>
        <v>Date</v>
      </c>
      <c r="C1" s="4">
        <v>36646</v>
      </c>
      <c r="D1" s="4">
        <v>36652</v>
      </c>
      <c r="E1" s="4">
        <v>36653</v>
      </c>
      <c r="F1" s="4">
        <v>36659</v>
      </c>
      <c r="G1" s="4">
        <v>36660</v>
      </c>
      <c r="H1" s="4">
        <v>36666</v>
      </c>
      <c r="I1" s="4">
        <v>36667</v>
      </c>
      <c r="J1" s="4">
        <v>36674</v>
      </c>
      <c r="K1" s="4">
        <v>36675</v>
      </c>
      <c r="L1" s="4">
        <v>36676</v>
      </c>
      <c r="M1" s="4">
        <v>36680</v>
      </c>
      <c r="N1" s="4">
        <v>36681</v>
      </c>
      <c r="O1" s="4">
        <v>36687</v>
      </c>
      <c r="P1" s="4">
        <v>36688</v>
      </c>
      <c r="Q1" s="4">
        <v>36694</v>
      </c>
      <c r="R1" s="4">
        <v>36695</v>
      </c>
      <c r="S1" s="4">
        <v>36701</v>
      </c>
      <c r="T1" s="4">
        <v>36702</v>
      </c>
      <c r="U1" s="4">
        <v>36708</v>
      </c>
      <c r="V1" s="4">
        <v>36709</v>
      </c>
      <c r="W1" s="4">
        <v>36715</v>
      </c>
      <c r="X1" s="4">
        <v>36716</v>
      </c>
      <c r="Y1" s="4">
        <v>36722</v>
      </c>
      <c r="Z1" s="4">
        <v>36729</v>
      </c>
      <c r="AA1" s="4">
        <v>36730</v>
      </c>
      <c r="AB1" s="4">
        <v>36736</v>
      </c>
      <c r="AC1" s="4">
        <v>36737</v>
      </c>
      <c r="AD1" s="4">
        <v>36743</v>
      </c>
      <c r="AE1" s="4">
        <v>36744</v>
      </c>
      <c r="AF1" s="4">
        <v>36750</v>
      </c>
      <c r="AG1" s="4">
        <v>36751</v>
      </c>
      <c r="AH1" s="4">
        <v>36757</v>
      </c>
      <c r="AI1" s="4">
        <v>36758</v>
      </c>
      <c r="AJ1" s="4">
        <v>36764</v>
      </c>
      <c r="AK1" s="4">
        <v>36765</v>
      </c>
      <c r="AL1" s="4">
        <v>36771</v>
      </c>
      <c r="AM1" s="4">
        <v>36772</v>
      </c>
      <c r="AN1" s="4">
        <v>36778</v>
      </c>
      <c r="AO1" s="4">
        <v>36779</v>
      </c>
      <c r="AP1" s="4">
        <v>36785</v>
      </c>
      <c r="AQ1" s="4">
        <v>36786</v>
      </c>
      <c r="AR1" s="4">
        <v>36792</v>
      </c>
      <c r="AS1" s="4">
        <v>36793</v>
      </c>
      <c r="AT1" s="4">
        <v>36799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7" ht="87.75" customHeight="1" x14ac:dyDescent="0.15">
      <c r="B2" s="2" t="str">
        <v>Opp</v>
      </c>
      <c r="C2" s="1" t="str">
        <v>Bromley Common</v>
      </c>
      <c r="D2" s="1" t="str">
        <v>Blackheath Select XI</v>
      </c>
      <c r="E2" s="1" t="str">
        <v>Commonwealth Offices</v>
      </c>
      <c r="F2" s="1" t="str">
        <v>Legless XI</v>
      </c>
      <c r="G2" s="1" t="str">
        <v>Falcon</v>
      </c>
      <c r="H2" s="1" t="str">
        <v>Riverside</v>
      </c>
      <c r="I2" s="1" t="str">
        <v>Thurlow Park RAFA</v>
      </c>
      <c r="J2" s="1" t="str">
        <v>Woodgreen</v>
      </c>
      <c r="K2" s="1" t="str">
        <v>Steeple Langford</v>
      </c>
      <c r="L2" s="1" t="str">
        <v>Cove</v>
      </c>
      <c r="M2" s="1" t="str">
        <v>Deansbank</v>
      </c>
      <c r="N2" s="1" t="str">
        <v>Hextable</v>
      </c>
      <c r="O2" s="1" t="str">
        <v>Norwood Exiles</v>
      </c>
      <c r="P2" s="1" t="str">
        <v>Cypos</v>
      </c>
      <c r="Q2" s="1" t="str">
        <v>Blackheath Select XI</v>
      </c>
      <c r="R2" s="1" t="str">
        <v>4 C's</v>
      </c>
      <c r="S2" s="1" t="str">
        <v>Wilmington</v>
      </c>
      <c r="T2" s="1" t="str">
        <v>Prospect Park</v>
      </c>
      <c r="U2" s="1" t="str">
        <v>4 C's</v>
      </c>
      <c r="V2" s="1" t="str">
        <v>Sunderland Supporters</v>
      </c>
      <c r="W2" s="1">
        <v>0</v>
      </c>
      <c r="X2" s="1" t="str">
        <v>Murray</v>
      </c>
      <c r="Y2" s="1">
        <v>0</v>
      </c>
      <c r="Z2" s="1" t="str">
        <v>The Priory</v>
      </c>
      <c r="AA2" s="1" t="str">
        <v>Falcon</v>
      </c>
      <c r="AB2" s="1" t="str">
        <v>Old Dunstonians</v>
      </c>
      <c r="AC2" s="1" t="str">
        <v>Wild Geese</v>
      </c>
      <c r="AD2" s="1" t="str">
        <v>Old Josephians</v>
      </c>
      <c r="AE2" s="1" t="str">
        <v>Whyteleaf</v>
      </c>
      <c r="AF2" s="1" t="str">
        <v>Lessa Wanderers</v>
      </c>
      <c r="AG2" s="1" t="str">
        <v>Addington</v>
      </c>
      <c r="AH2" s="1" t="str">
        <v>Riverside</v>
      </c>
      <c r="AI2" s="1" t="str">
        <v>Hextable</v>
      </c>
      <c r="AJ2" s="1" t="str">
        <v>Legless XI</v>
      </c>
      <c r="AK2" s="1" t="str">
        <v>Estonia</v>
      </c>
      <c r="AL2" s="1" t="str">
        <v>Old Paulines</v>
      </c>
      <c r="AM2" s="1" t="str">
        <v>Beddington</v>
      </c>
      <c r="AN2" s="1" t="str">
        <v>Lessa Wanderers</v>
      </c>
      <c r="AO2" s="1" t="str">
        <v>Selsdon</v>
      </c>
      <c r="AP2" s="1" t="str">
        <v>Prospect Park</v>
      </c>
      <c r="AQ2" s="1" t="str">
        <v>East Cheam</v>
      </c>
      <c r="AR2" s="1" t="str">
        <v>The Priory</v>
      </c>
      <c r="AS2" s="1" t="str">
        <v>Murray</v>
      </c>
      <c r="AT2" s="1" t="str">
        <v>Carshalton &amp; Croydon Gas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7" ht="11.25" customHeight="1" x14ac:dyDescent="0.15">
      <c r="B3" s="2" t="str">
        <v>Venue</v>
      </c>
      <c r="C3" s="1" t="str">
        <v>H</v>
      </c>
      <c r="D3" s="1" t="str">
        <v>H</v>
      </c>
      <c r="E3" s="1" t="str">
        <v>H</v>
      </c>
      <c r="F3" s="1" t="str">
        <v>H</v>
      </c>
      <c r="G3" s="1" t="str">
        <v>A</v>
      </c>
      <c r="H3" s="1" t="str">
        <v>A</v>
      </c>
      <c r="I3" s="1" t="str">
        <v>H</v>
      </c>
      <c r="J3" s="1" t="str">
        <v>A</v>
      </c>
      <c r="K3" s="1" t="str">
        <v>A</v>
      </c>
      <c r="L3" s="1" t="str">
        <v>A</v>
      </c>
      <c r="M3" s="1" t="str">
        <v>H</v>
      </c>
      <c r="N3" s="1" t="str">
        <v>H</v>
      </c>
      <c r="O3" s="1" t="str">
        <v>H</v>
      </c>
      <c r="P3" s="1" t="str">
        <v>A</v>
      </c>
      <c r="Q3" s="1" t="str">
        <v>A</v>
      </c>
      <c r="R3" s="1" t="str">
        <v>H</v>
      </c>
      <c r="S3" s="1" t="str">
        <v>H</v>
      </c>
      <c r="T3" s="1" t="str">
        <v>A</v>
      </c>
      <c r="U3" s="1" t="str">
        <v>H</v>
      </c>
      <c r="V3" s="1" t="str">
        <v>H</v>
      </c>
      <c r="W3" s="1" t="str">
        <v>A</v>
      </c>
      <c r="X3" s="1" t="str">
        <v>A</v>
      </c>
      <c r="Y3" s="1" t="str">
        <v>H</v>
      </c>
      <c r="Z3" s="1" t="str">
        <v>A</v>
      </c>
      <c r="AA3" s="1" t="str">
        <v>A</v>
      </c>
      <c r="AB3" s="1" t="str">
        <v>A</v>
      </c>
      <c r="AC3" s="1" t="str">
        <v>H</v>
      </c>
      <c r="AD3" s="1" t="str">
        <v>H</v>
      </c>
      <c r="AE3" s="1" t="str">
        <v>A</v>
      </c>
      <c r="AF3" s="1" t="str">
        <v>H</v>
      </c>
      <c r="AG3" s="1" t="str">
        <v>H</v>
      </c>
      <c r="AH3" s="1" t="str">
        <v>H</v>
      </c>
      <c r="AI3" s="1" t="str">
        <v>H</v>
      </c>
      <c r="AJ3" s="1" t="str">
        <v>H</v>
      </c>
      <c r="AK3" s="1" t="str">
        <v>H</v>
      </c>
      <c r="AL3" s="1" t="str">
        <v>A</v>
      </c>
      <c r="AM3" s="1" t="str">
        <v>A</v>
      </c>
      <c r="AN3" s="1" t="str">
        <v>H</v>
      </c>
      <c r="AO3" s="1" t="str">
        <v>H</v>
      </c>
      <c r="AP3" s="1" t="str">
        <v>H</v>
      </c>
      <c r="AQ3" s="1" t="str">
        <v>H</v>
      </c>
      <c r="AR3" s="1" t="str">
        <v>H</v>
      </c>
      <c r="AS3" s="1" t="str">
        <v>H</v>
      </c>
      <c r="AT3" s="1" t="str">
        <v>H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SUM(CP5:CP59)</f>
        <v>168</v>
      </c>
      <c r="CQ3" s="55">
        <f>SUM(CQ5:CQ59)</f>
        <v>23</v>
      </c>
    </row>
    <row r="4" spans="1:97" ht="11.25" customHeight="1" x14ac:dyDescent="0.15">
      <c r="B4" s="2" t="str">
        <v>Result</v>
      </c>
      <c r="C4" s="1">
        <v>0</v>
      </c>
      <c r="D4" s="1" t="str">
        <v>D</v>
      </c>
      <c r="E4" s="1">
        <v>0</v>
      </c>
      <c r="F4" s="1" t="str">
        <v>W</v>
      </c>
      <c r="G4" s="1" t="str">
        <v>D</v>
      </c>
      <c r="H4" s="1" t="str">
        <v>L</v>
      </c>
      <c r="I4" s="1">
        <v>0</v>
      </c>
      <c r="J4" s="1" t="str">
        <v>W</v>
      </c>
      <c r="K4" s="1" t="str">
        <v>W</v>
      </c>
      <c r="L4" s="1" t="str">
        <v>D</v>
      </c>
      <c r="M4" s="1" t="str">
        <v>D</v>
      </c>
      <c r="N4" s="1" t="str">
        <v>W</v>
      </c>
      <c r="O4" s="1" t="str">
        <v>D</v>
      </c>
      <c r="P4" s="1" t="str">
        <v>L</v>
      </c>
      <c r="Q4" s="1" t="str">
        <v>W</v>
      </c>
      <c r="R4" s="1" t="str">
        <v>D</v>
      </c>
      <c r="S4" s="1" t="str">
        <v>W</v>
      </c>
      <c r="T4" s="1" t="str">
        <v>L</v>
      </c>
      <c r="U4" s="1" t="str">
        <v>D</v>
      </c>
      <c r="V4" s="1" t="str">
        <v>W</v>
      </c>
      <c r="W4" s="1">
        <v>0</v>
      </c>
      <c r="X4" s="1">
        <v>0</v>
      </c>
      <c r="Y4" s="1">
        <v>0</v>
      </c>
      <c r="Z4" s="1" t="str">
        <v>W</v>
      </c>
      <c r="AA4" s="1" t="str">
        <v>W</v>
      </c>
      <c r="AB4" s="1" t="str">
        <v>L</v>
      </c>
      <c r="AC4" s="1" t="str">
        <v>L</v>
      </c>
      <c r="AD4" s="1" t="str">
        <v>W</v>
      </c>
      <c r="AE4" s="1" t="str">
        <v>W</v>
      </c>
      <c r="AF4" s="1" t="str">
        <v>D</v>
      </c>
      <c r="AG4" s="1" t="str">
        <v>W</v>
      </c>
      <c r="AH4" s="1" t="str">
        <v>L</v>
      </c>
      <c r="AI4" s="1" t="str">
        <v>W</v>
      </c>
      <c r="AJ4" s="1" t="str">
        <v>W</v>
      </c>
      <c r="AK4" s="1">
        <v>0</v>
      </c>
      <c r="AL4" s="1">
        <v>0</v>
      </c>
      <c r="AM4" s="1" t="str">
        <v>D</v>
      </c>
      <c r="AN4" s="1" t="str">
        <v>L</v>
      </c>
      <c r="AO4" s="1" t="str">
        <v>T</v>
      </c>
      <c r="AP4" s="1">
        <v>0</v>
      </c>
      <c r="AQ4" s="1" t="str">
        <v>W</v>
      </c>
      <c r="AR4" s="1" t="str">
        <v>W</v>
      </c>
      <c r="AS4" s="1">
        <v>0</v>
      </c>
      <c r="AT4" s="1" t="str">
        <v>L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48</v>
      </c>
      <c r="CG4" s="50" t="s">
        <v>49</v>
      </c>
      <c r="CH4" s="50" t="s">
        <v>50</v>
      </c>
      <c r="CI4" s="50" t="s">
        <v>9</v>
      </c>
      <c r="CJ4" s="50" t="s">
        <v>51</v>
      </c>
      <c r="CK4" s="47" t="s">
        <v>52</v>
      </c>
      <c r="CL4" s="50" t="s">
        <v>53</v>
      </c>
      <c r="CM4" s="50" t="s">
        <v>54</v>
      </c>
      <c r="CN4" s="49" t="s">
        <v>123</v>
      </c>
      <c r="CO4" s="55" t="s">
        <v>55</v>
      </c>
      <c r="CP4" s="55" t="s">
        <v>149</v>
      </c>
      <c r="CQ4" s="55" t="s">
        <v>150</v>
      </c>
      <c r="CR4" s="80" t="s">
        <v>188</v>
      </c>
      <c r="CS4" s="2" t="s">
        <v>183</v>
      </c>
    </row>
    <row r="5" spans="1:97" ht="11.25" customHeight="1" x14ac:dyDescent="0.15">
      <c r="A5" s="2" t="s">
        <v>277</v>
      </c>
      <c r="B5" s="2" t="s">
        <v>250</v>
      </c>
      <c r="T5" s="2" t="s">
        <v>649</v>
      </c>
      <c r="CE5" s="55">
        <f>BowlSplit(C5:BC5,InnsBowledIn)</f>
        <v>1</v>
      </c>
      <c r="CF5" s="55">
        <f t="shared" ref="CF5:CF46" si="0">BowlSplit(C5:CC5,BallsBowled)</f>
        <v>24</v>
      </c>
      <c r="CG5" s="57">
        <f t="shared" ref="CG5:CG46" si="1">BowlSplit(C5:CC5,OversBowled)</f>
        <v>4</v>
      </c>
      <c r="CH5" s="55">
        <f t="shared" ref="CH5:CH46" si="2">BowlSplit(C5:CC5,Maidens)</f>
        <v>0</v>
      </c>
      <c r="CI5" s="55">
        <f t="shared" ref="CI5:CI46" si="3">BowlSplit(C5:CC5,RunsConceded)</f>
        <v>19</v>
      </c>
      <c r="CJ5" s="55">
        <f t="shared" ref="CJ5:CJ46" si="4">BowlSplit(C5:CC5,WicketsTaken)</f>
        <v>0</v>
      </c>
      <c r="CK5" s="58" t="str">
        <f>IF(CJ5&gt;0,CI5/CJ5,"")</f>
        <v/>
      </c>
      <c r="CL5" s="59" t="str">
        <f>IF(CJ5&gt;0,CF5/CJ5,"")</f>
        <v/>
      </c>
      <c r="CM5" s="59">
        <f>IF(CF5&gt;0,6*CI5/CF5,"")</f>
        <v>4.75</v>
      </c>
      <c r="CN5" s="49" t="str">
        <f t="shared" ref="CN5:CN46" si="5">BowlSplit(C5:CC5,BestBowling)</f>
        <v>0-19</v>
      </c>
      <c r="CO5" s="55">
        <f t="shared" ref="CO5:CO46" si="6">BowlSplit(C5:CC5,BowlPts)</f>
        <v>0</v>
      </c>
      <c r="CP5" s="55">
        <f t="shared" ref="CP5:CP46" si="7">BowlSplit(C5:CC5,Wides)</f>
        <v>6</v>
      </c>
      <c r="CQ5" s="55">
        <f t="shared" ref="CQ5:CQ46" si="8">BowlSplit(C5:CC5,NoBalls)</f>
        <v>0</v>
      </c>
      <c r="CR5" s="60">
        <f>IF(CJ5&gt;0,CK5,IF(CF5&gt;0,CF5+1000,99999))+ROW(CQ5)/10000</f>
        <v>1024.0005000000001</v>
      </c>
      <c r="CS5" s="2">
        <f t="shared" ref="CS5:CS53" si="9">RANK(CR5,$CR$5:$CR$53,1)</f>
        <v>28</v>
      </c>
    </row>
    <row r="6" spans="1:97" ht="11.25" customHeight="1" x14ac:dyDescent="0.15">
      <c r="A6" s="2" t="s">
        <v>83</v>
      </c>
      <c r="B6" s="2" t="s">
        <v>194</v>
      </c>
      <c r="D6" s="2" t="s">
        <v>336</v>
      </c>
      <c r="R6" s="2" t="s">
        <v>625</v>
      </c>
      <c r="T6" s="2" t="s">
        <v>650</v>
      </c>
      <c r="V6" s="2" t="s">
        <v>682</v>
      </c>
      <c r="AF6" s="2" t="s">
        <v>818</v>
      </c>
      <c r="AH6" s="2" t="s">
        <v>872</v>
      </c>
      <c r="AJ6" s="2" t="s">
        <v>856</v>
      </c>
      <c r="AM6" s="2" t="s">
        <v>906</v>
      </c>
      <c r="AQ6" s="2" t="s">
        <v>955</v>
      </c>
      <c r="AT6" s="2" t="s">
        <v>988</v>
      </c>
      <c r="CE6" s="55">
        <f>BowlSplit(C6:BC6,InnsBowledIn)</f>
        <v>10</v>
      </c>
      <c r="CF6" s="55">
        <f>BowlSplit(C6:CC6,BallsBowled)</f>
        <v>311</v>
      </c>
      <c r="CG6" s="57">
        <f>BowlSplit(C6:CC6,OversBowled)</f>
        <v>51.5</v>
      </c>
      <c r="CH6" s="55">
        <f>BowlSplit(C6:CC6,Maidens)</f>
        <v>6</v>
      </c>
      <c r="CI6" s="55">
        <f>BowlSplit(C6:CC6,RunsConceded)</f>
        <v>219</v>
      </c>
      <c r="CJ6" s="55">
        <f>BowlSplit(C6:CC6,WicketsTaken)</f>
        <v>18</v>
      </c>
      <c r="CK6" s="58">
        <f>IF(CJ6&gt;0,CI6/CJ6,"")</f>
        <v>12.166666666666666</v>
      </c>
      <c r="CL6" s="59">
        <f>IF(CJ6&gt;0,CF6/CJ6,"")</f>
        <v>17.277777777777779</v>
      </c>
      <c r="CM6" s="59">
        <f>IF(CF6&gt;0,6*CI6/CF6,"")</f>
        <v>4.22508038585209</v>
      </c>
      <c r="CN6" s="49" t="str">
        <f>BowlSplit(C6:CC6,BestBowling)</f>
        <v>4-7</v>
      </c>
      <c r="CO6" s="55">
        <f>BowlSplit(C6:CC6,BowlPts)</f>
        <v>216</v>
      </c>
      <c r="CP6" s="55">
        <f>BowlSplit(C6:CC6,Wides)</f>
        <v>5</v>
      </c>
      <c r="CQ6" s="55">
        <f>BowlSplit(C6:CC6,NoBalls)</f>
        <v>2</v>
      </c>
      <c r="CR6" s="60">
        <f>IF(CJ6&gt;0,CK6,IF(CF6&gt;0,CF6+1000,99999))+ROW(CQ6)/10000</f>
        <v>12.167266666666666</v>
      </c>
      <c r="CS6" s="2">
        <f t="shared" si="9"/>
        <v>7</v>
      </c>
    </row>
    <row r="7" spans="1:97" ht="11.25" customHeight="1" x14ac:dyDescent="0.15">
      <c r="A7" s="2" t="s">
        <v>590</v>
      </c>
      <c r="B7" s="2" t="s">
        <v>591</v>
      </c>
      <c r="Q7" s="2" t="s">
        <v>605</v>
      </c>
      <c r="CE7" s="55">
        <f>BowlSplit(C7:BC7,InnsBowledIn)</f>
        <v>1</v>
      </c>
      <c r="CF7" s="55">
        <f>BowlSplit(C7:CC7,BallsBowled)</f>
        <v>36</v>
      </c>
      <c r="CG7" s="57">
        <f>BowlSplit(C7:CC7,OversBowled)</f>
        <v>6</v>
      </c>
      <c r="CH7" s="55">
        <f>BowlSplit(C7:CC7,Maidens)</f>
        <v>1</v>
      </c>
      <c r="CI7" s="55">
        <f>BowlSplit(C7:CC7,RunsConceded)</f>
        <v>11</v>
      </c>
      <c r="CJ7" s="55">
        <f>BowlSplit(C7:CC7,WicketsTaken)</f>
        <v>4</v>
      </c>
      <c r="CK7" s="58">
        <f>IF(CJ7&gt;0,CI7/CJ7,"")</f>
        <v>2.75</v>
      </c>
      <c r="CL7" s="59">
        <f>IF(CJ7&gt;0,CF7/CJ7,"")</f>
        <v>9</v>
      </c>
      <c r="CM7" s="59">
        <f>IF(CF7&gt;0,6*CI7/CF7,"")</f>
        <v>1.8333333333333333</v>
      </c>
      <c r="CN7" s="49" t="str">
        <f>BowlSplit(C7:CC7,BestBowling)</f>
        <v>4-11</v>
      </c>
      <c r="CO7" s="55">
        <f>BowlSplit(C7:CC7,BowlPts)</f>
        <v>51</v>
      </c>
      <c r="CP7" s="55">
        <f>BowlSplit(C7:CC7,Wides)</f>
        <v>4</v>
      </c>
      <c r="CQ7" s="55">
        <f>BowlSplit(C7:CC7,NoBalls)</f>
        <v>0</v>
      </c>
      <c r="CR7" s="60">
        <f>IF(CJ7&gt;0,CK7,IF(CF7&gt;0,CF7+1000,99999))+ROW(CQ7)/10000</f>
        <v>2.7507000000000001</v>
      </c>
      <c r="CS7" s="2">
        <f t="shared" si="9"/>
        <v>1</v>
      </c>
    </row>
    <row r="8" spans="1:97" ht="11.25" customHeight="1" x14ac:dyDescent="0.15">
      <c r="A8" s="2" t="s">
        <v>56</v>
      </c>
      <c r="B8" s="2" t="s">
        <v>195</v>
      </c>
      <c r="K8" s="2" t="s">
        <v>479</v>
      </c>
      <c r="M8" s="60"/>
      <c r="AI8" s="2" t="s">
        <v>835</v>
      </c>
      <c r="CE8" s="55">
        <f t="shared" ref="CE8:CE46" si="10">BowlSplit(C8:CC8,InnsBowledIn)</f>
        <v>2</v>
      </c>
      <c r="CF8" s="55">
        <f t="shared" si="0"/>
        <v>132</v>
      </c>
      <c r="CG8" s="57">
        <f t="shared" si="1"/>
        <v>22</v>
      </c>
      <c r="CH8" s="55">
        <f t="shared" si="2"/>
        <v>4</v>
      </c>
      <c r="CI8" s="55">
        <f t="shared" si="3"/>
        <v>63</v>
      </c>
      <c r="CJ8" s="55">
        <f t="shared" si="4"/>
        <v>4</v>
      </c>
      <c r="CK8" s="58">
        <f t="shared" ref="CK8:CK46" si="11">IF(CJ8&gt;0,CI8/CJ8,"")</f>
        <v>15.75</v>
      </c>
      <c r="CL8" s="59">
        <f t="shared" ref="CL8:CL46" si="12">IF(CJ8&gt;0,CF8/CJ8,"")</f>
        <v>33</v>
      </c>
      <c r="CM8" s="59">
        <f t="shared" ref="CM8:CM46" si="13">IF(CF8&gt;0,6*CI8/CF8,"")</f>
        <v>2.8636363636363638</v>
      </c>
      <c r="CN8" s="49" t="str">
        <f t="shared" si="5"/>
        <v>4-21</v>
      </c>
      <c r="CO8" s="55">
        <f t="shared" si="6"/>
        <v>59</v>
      </c>
      <c r="CP8" s="55">
        <f t="shared" si="7"/>
        <v>0</v>
      </c>
      <c r="CQ8" s="55">
        <f t="shared" si="8"/>
        <v>2</v>
      </c>
      <c r="CR8" s="60">
        <f t="shared" ref="CR8:CR53" si="14">IF(CJ8&gt;0,CK8,IF(CF8&gt;0,CF8+1000,99999))+ROW(CQ8)/10000</f>
        <v>15.7508</v>
      </c>
      <c r="CS8" s="2">
        <f t="shared" si="9"/>
        <v>13</v>
      </c>
    </row>
    <row r="9" spans="1:97" ht="11.25" customHeight="1" x14ac:dyDescent="0.15">
      <c r="A9" s="2" t="s">
        <v>227</v>
      </c>
      <c r="B9" s="2" t="s">
        <v>196</v>
      </c>
      <c r="M9" s="60"/>
      <c r="CE9" s="55">
        <f>BowlSplit(C9:CC9,InnsBowledIn)</f>
        <v>0</v>
      </c>
      <c r="CF9" s="55">
        <f>BowlSplit(C9:CC9,BallsBowled)</f>
        <v>0</v>
      </c>
      <c r="CG9" s="57">
        <f>BowlSplit(C9:CC9,OversBowled)</f>
        <v>0</v>
      </c>
      <c r="CH9" s="55">
        <f>BowlSplit(C9:CC9,Maidens)</f>
        <v>0</v>
      </c>
      <c r="CI9" s="55">
        <f>BowlSplit(C9:CC9,RunsConceded)</f>
        <v>0</v>
      </c>
      <c r="CJ9" s="55">
        <f>BowlSplit(C9:CC9,WicketsTaken)</f>
        <v>0</v>
      </c>
      <c r="CK9" s="58" t="str">
        <f>IF(CJ9&gt;0,CI9/CJ9,"")</f>
        <v/>
      </c>
      <c r="CL9" s="59" t="str">
        <f>IF(CJ9&gt;0,CF9/CJ9,"")</f>
        <v/>
      </c>
      <c r="CM9" s="59" t="str">
        <f>IF(CF9&gt;0,6*CI9/CF9,"")</f>
        <v/>
      </c>
      <c r="CN9" s="49" t="str">
        <f>BowlSplit(C9:CC9,BestBowling)</f>
        <v/>
      </c>
      <c r="CO9" s="55">
        <f>BowlSplit(C9:CC9,BowlPts)</f>
        <v>0</v>
      </c>
      <c r="CP9" s="55">
        <f>BowlSplit(C9:CC9,Wides)</f>
        <v>0</v>
      </c>
      <c r="CQ9" s="55">
        <f>BowlSplit(C9:CC9,NoBalls)</f>
        <v>0</v>
      </c>
      <c r="CR9" s="60">
        <f t="shared" si="14"/>
        <v>99999.000899999999</v>
      </c>
      <c r="CS9" s="2">
        <f t="shared" si="9"/>
        <v>31</v>
      </c>
    </row>
    <row r="10" spans="1:97" ht="11.25" customHeight="1" x14ac:dyDescent="0.15">
      <c r="A10" s="2" t="s">
        <v>339</v>
      </c>
      <c r="B10" s="2" t="s">
        <v>340</v>
      </c>
      <c r="F10" s="2" t="s">
        <v>363</v>
      </c>
      <c r="M10" s="60"/>
      <c r="AI10" s="2" t="s">
        <v>836</v>
      </c>
      <c r="CE10" s="55">
        <f>BowlSplit(C10:CC10,InnsBowledIn)</f>
        <v>2</v>
      </c>
      <c r="CF10" s="55">
        <f>BowlSplit(C10:CC10,BallsBowled)</f>
        <v>30</v>
      </c>
      <c r="CG10" s="57">
        <f>BowlSplit(C10:CC10,OversBowled)</f>
        <v>5</v>
      </c>
      <c r="CH10" s="55">
        <f>BowlSplit(C10:CC10,Maidens)</f>
        <v>0</v>
      </c>
      <c r="CI10" s="55">
        <f>BowlSplit(C10:CC10,RunsConceded)</f>
        <v>31</v>
      </c>
      <c r="CJ10" s="55">
        <f>BowlSplit(C10:CC10,WicketsTaken)</f>
        <v>0</v>
      </c>
      <c r="CK10" s="58" t="str">
        <f>IF(CJ10&gt;0,CI10/CJ10,"")</f>
        <v/>
      </c>
      <c r="CL10" s="59" t="str">
        <f>IF(CJ10&gt;0,CF10/CJ10,"")</f>
        <v/>
      </c>
      <c r="CM10" s="59">
        <f>IF(CF10&gt;0,6*CI10/CF10,"")</f>
        <v>6.2</v>
      </c>
      <c r="CN10" s="49" t="str">
        <f>BowlSplit(C10:CC10,BestBowling)</f>
        <v>0-10</v>
      </c>
      <c r="CO10" s="55">
        <f>BowlSplit(C10:CC10,BowlPts)</f>
        <v>0</v>
      </c>
      <c r="CP10" s="55">
        <f>BowlSplit(C10:CC10,Wides)</f>
        <v>7</v>
      </c>
      <c r="CQ10" s="55">
        <f>BowlSplit(C10:CC10,NoBalls)</f>
        <v>0</v>
      </c>
      <c r="CR10" s="60">
        <f>IF(CJ10&gt;0,CK10,IF(CF10&gt;0,CF10+1000,99999))+ROW(CQ10)/10000</f>
        <v>1030.001</v>
      </c>
      <c r="CS10" s="2">
        <f t="shared" si="9"/>
        <v>29</v>
      </c>
    </row>
    <row r="11" spans="1:97" ht="11.25" customHeight="1" x14ac:dyDescent="0.15">
      <c r="A11" s="2" t="s">
        <v>125</v>
      </c>
      <c r="B11" s="2" t="s">
        <v>198</v>
      </c>
      <c r="F11" s="2" t="s">
        <v>364</v>
      </c>
      <c r="H11" s="2" t="s">
        <v>656</v>
      </c>
      <c r="J11" s="2" t="s">
        <v>476</v>
      </c>
      <c r="K11" s="2" t="s">
        <v>481</v>
      </c>
      <c r="L11" s="2" t="s">
        <v>488</v>
      </c>
      <c r="O11" s="2" t="s">
        <v>546</v>
      </c>
      <c r="Q11" s="2" t="s">
        <v>607</v>
      </c>
      <c r="S11" s="2" t="s">
        <v>647</v>
      </c>
      <c r="V11" s="2" t="s">
        <v>681</v>
      </c>
      <c r="AA11" s="2" t="s">
        <v>765</v>
      </c>
      <c r="AB11" s="2" t="s">
        <v>730</v>
      </c>
      <c r="AD11" s="2" t="s">
        <v>749</v>
      </c>
      <c r="AF11" s="2" t="s">
        <v>817</v>
      </c>
      <c r="AO11" s="2" t="s">
        <v>948</v>
      </c>
      <c r="AQ11" s="2" t="s">
        <v>951</v>
      </c>
      <c r="CE11" s="55">
        <f t="shared" si="10"/>
        <v>15</v>
      </c>
      <c r="CF11" s="55">
        <f t="shared" si="0"/>
        <v>636</v>
      </c>
      <c r="CG11" s="57">
        <f t="shared" si="1"/>
        <v>106</v>
      </c>
      <c r="CH11" s="55">
        <f t="shared" si="2"/>
        <v>24</v>
      </c>
      <c r="CI11" s="55">
        <f t="shared" si="3"/>
        <v>317</v>
      </c>
      <c r="CJ11" s="55">
        <f t="shared" si="4"/>
        <v>32</v>
      </c>
      <c r="CK11" s="58">
        <f t="shared" si="11"/>
        <v>9.90625</v>
      </c>
      <c r="CL11" s="59">
        <f t="shared" si="12"/>
        <v>19.875</v>
      </c>
      <c r="CM11" s="59">
        <f t="shared" si="13"/>
        <v>2.9905660377358489</v>
      </c>
      <c r="CN11" s="49" t="str">
        <f t="shared" si="5"/>
        <v>6-18</v>
      </c>
      <c r="CO11" s="55">
        <f t="shared" si="6"/>
        <v>449</v>
      </c>
      <c r="CP11" s="55">
        <f t="shared" si="7"/>
        <v>7</v>
      </c>
      <c r="CQ11" s="55">
        <f t="shared" si="8"/>
        <v>1</v>
      </c>
      <c r="CR11" s="60">
        <f t="shared" si="14"/>
        <v>9.9073499999999992</v>
      </c>
      <c r="CS11" s="2">
        <f t="shared" si="9"/>
        <v>4</v>
      </c>
    </row>
    <row r="12" spans="1:97" ht="11.25" customHeight="1" x14ac:dyDescent="0.15">
      <c r="A12" s="2" t="s">
        <v>276</v>
      </c>
      <c r="B12" s="2" t="s">
        <v>247</v>
      </c>
      <c r="F12" s="2" t="s">
        <v>365</v>
      </c>
      <c r="L12" s="2" t="s">
        <v>486</v>
      </c>
      <c r="N12" s="2" t="s">
        <v>580</v>
      </c>
      <c r="U12" s="2" t="s">
        <v>668</v>
      </c>
      <c r="AC12" s="2" t="s">
        <v>786</v>
      </c>
      <c r="AE12" s="2" t="s">
        <v>803</v>
      </c>
      <c r="CE12" s="55">
        <f>BowlSplit(C12:CC12,InnsBowledIn)</f>
        <v>6</v>
      </c>
      <c r="CF12" s="55">
        <f>BowlSplit(C12:CC12,BallsBowled)</f>
        <v>204</v>
      </c>
      <c r="CG12" s="57">
        <f>BowlSplit(C12:CC12,OversBowled)</f>
        <v>34</v>
      </c>
      <c r="CH12" s="55">
        <f>BowlSplit(C12:CC12,Maidens)</f>
        <v>3</v>
      </c>
      <c r="CI12" s="55">
        <f>BowlSplit(C12:CC12,RunsConceded)</f>
        <v>143</v>
      </c>
      <c r="CJ12" s="55">
        <f>BowlSplit(C12:CC12,WicketsTaken)</f>
        <v>3</v>
      </c>
      <c r="CK12" s="58">
        <f>IF(CJ12&gt;0,CI12/CJ12,"")</f>
        <v>47.666666666666664</v>
      </c>
      <c r="CL12" s="59">
        <f>IF(CJ12&gt;0,CF12/CJ12,"")</f>
        <v>68</v>
      </c>
      <c r="CM12" s="59">
        <f>IF(CF12&gt;0,6*CI12/CF12,"")</f>
        <v>4.2058823529411766</v>
      </c>
      <c r="CN12" s="49" t="str">
        <f>BowlSplit(C12:CC12,BestBowling)</f>
        <v>2-21</v>
      </c>
      <c r="CO12" s="55">
        <f>BowlSplit(C12:CC12,BowlPts)</f>
        <v>33</v>
      </c>
      <c r="CP12" s="55">
        <f>BowlSplit(C12:CC12,Wides)</f>
        <v>3</v>
      </c>
      <c r="CQ12" s="55">
        <f>BowlSplit(C12:CC12,NoBalls)</f>
        <v>1</v>
      </c>
      <c r="CR12" s="60">
        <f>IF(CJ12&gt;0,CK12,IF(CF12&gt;0,CF12+1000,99999))+ROW(CQ12)/10000</f>
        <v>47.667866666666662</v>
      </c>
      <c r="CS12" s="2">
        <f t="shared" si="9"/>
        <v>26</v>
      </c>
    </row>
    <row r="13" spans="1:97" ht="11.25" customHeight="1" x14ac:dyDescent="0.15">
      <c r="A13" s="2" t="s">
        <v>169</v>
      </c>
      <c r="B13" s="2" t="s">
        <v>199</v>
      </c>
      <c r="M13" s="60"/>
      <c r="O13" s="2" t="s">
        <v>547</v>
      </c>
      <c r="R13" s="2" t="s">
        <v>622</v>
      </c>
      <c r="CE13" s="55">
        <f t="shared" si="10"/>
        <v>2</v>
      </c>
      <c r="CF13" s="55">
        <f t="shared" si="0"/>
        <v>48</v>
      </c>
      <c r="CG13" s="57">
        <f t="shared" si="1"/>
        <v>8</v>
      </c>
      <c r="CH13" s="55">
        <f t="shared" si="2"/>
        <v>1</v>
      </c>
      <c r="CI13" s="55">
        <f t="shared" si="3"/>
        <v>43</v>
      </c>
      <c r="CJ13" s="55">
        <f t="shared" si="4"/>
        <v>0</v>
      </c>
      <c r="CK13" s="58" t="str">
        <f t="shared" si="11"/>
        <v/>
      </c>
      <c r="CL13" s="59" t="str">
        <f t="shared" si="12"/>
        <v/>
      </c>
      <c r="CM13" s="59">
        <f t="shared" si="13"/>
        <v>5.375</v>
      </c>
      <c r="CN13" s="49" t="str">
        <f t="shared" si="5"/>
        <v>0-21</v>
      </c>
      <c r="CO13" s="55">
        <f t="shared" si="6"/>
        <v>-4</v>
      </c>
      <c r="CP13" s="55">
        <f t="shared" si="7"/>
        <v>4</v>
      </c>
      <c r="CQ13" s="55">
        <f t="shared" si="8"/>
        <v>1</v>
      </c>
      <c r="CR13" s="60">
        <f t="shared" si="14"/>
        <v>1048.0012999999999</v>
      </c>
      <c r="CS13" s="2">
        <f t="shared" si="9"/>
        <v>30</v>
      </c>
    </row>
    <row r="14" spans="1:97" ht="11.25" customHeight="1" x14ac:dyDescent="0.15">
      <c r="A14" s="2" t="s">
        <v>223</v>
      </c>
      <c r="B14" s="2" t="s">
        <v>191</v>
      </c>
      <c r="M14" s="60"/>
      <c r="CE14" s="55">
        <f>BowlSplit(C14:CC14,InnsBowledIn)</f>
        <v>0</v>
      </c>
      <c r="CF14" s="55">
        <f>BowlSplit(C14:CC14,BallsBowled)</f>
        <v>0</v>
      </c>
      <c r="CG14" s="57">
        <f>BowlSplit(C14:CC14,OversBowled)</f>
        <v>0</v>
      </c>
      <c r="CH14" s="55">
        <f>BowlSplit(C14:CC14,Maidens)</f>
        <v>0</v>
      </c>
      <c r="CI14" s="55">
        <f>BowlSplit(C14:CC14,RunsConceded)</f>
        <v>0</v>
      </c>
      <c r="CJ14" s="55">
        <f>BowlSplit(C14:CC14,WicketsTaken)</f>
        <v>0</v>
      </c>
      <c r="CK14" s="58" t="str">
        <f>IF(CJ14&gt;0,CI14/CJ14,"")</f>
        <v/>
      </c>
      <c r="CL14" s="59" t="str">
        <f>IF(CJ14&gt;0,CF14/CJ14,"")</f>
        <v/>
      </c>
      <c r="CM14" s="59" t="str">
        <f>IF(CF14&gt;0,6*CI14/CF14,"")</f>
        <v/>
      </c>
      <c r="CN14" s="49" t="str">
        <f>BowlSplit(C14:CC14,BestBowling)</f>
        <v/>
      </c>
      <c r="CO14" s="55">
        <f>BowlSplit(C14:CC14,BowlPts)</f>
        <v>0</v>
      </c>
      <c r="CP14" s="55">
        <f>BowlSplit(C14:CC14,Wides)</f>
        <v>0</v>
      </c>
      <c r="CQ14" s="55">
        <f>BowlSplit(C14:CC14,NoBalls)</f>
        <v>0</v>
      </c>
      <c r="CR14" s="60">
        <f>IF(CJ14&gt;0,CK14,IF(CF14&gt;0,CF14+1000,99999))+ROW(CQ14)/10000</f>
        <v>99999.001399999994</v>
      </c>
      <c r="CS14" s="2">
        <f t="shared" si="9"/>
        <v>32</v>
      </c>
    </row>
    <row r="15" spans="1:97" ht="11.25" customHeight="1" x14ac:dyDescent="0.15">
      <c r="A15" s="2" t="s">
        <v>57</v>
      </c>
      <c r="B15" s="2" t="s">
        <v>58</v>
      </c>
      <c r="G15" s="2" t="s">
        <v>437</v>
      </c>
      <c r="K15" s="2" t="s">
        <v>477</v>
      </c>
      <c r="M15" s="2" t="s">
        <v>520</v>
      </c>
      <c r="P15" s="2" t="s">
        <v>583</v>
      </c>
      <c r="AC15" s="2" t="s">
        <v>783</v>
      </c>
      <c r="AD15" s="2" t="s">
        <v>750</v>
      </c>
      <c r="AG15" s="2" t="s">
        <v>897</v>
      </c>
      <c r="AJ15" s="2" t="s">
        <v>855</v>
      </c>
      <c r="AM15" s="2" t="s">
        <v>904</v>
      </c>
      <c r="AN15" s="2" t="s">
        <v>917</v>
      </c>
      <c r="AO15" s="2" t="s">
        <v>947</v>
      </c>
      <c r="AT15" s="2" t="s">
        <v>983</v>
      </c>
      <c r="CE15" s="55">
        <f t="shared" si="10"/>
        <v>12</v>
      </c>
      <c r="CF15" s="55">
        <f t="shared" si="0"/>
        <v>510</v>
      </c>
      <c r="CG15" s="57">
        <f t="shared" si="1"/>
        <v>85</v>
      </c>
      <c r="CH15" s="55">
        <f t="shared" si="2"/>
        <v>16</v>
      </c>
      <c r="CI15" s="55">
        <f t="shared" si="3"/>
        <v>301</v>
      </c>
      <c r="CJ15" s="55">
        <f t="shared" si="4"/>
        <v>26</v>
      </c>
      <c r="CK15" s="58">
        <f t="shared" si="11"/>
        <v>11.576923076923077</v>
      </c>
      <c r="CL15" s="59">
        <f t="shared" si="12"/>
        <v>19.615384615384617</v>
      </c>
      <c r="CM15" s="59">
        <f t="shared" si="13"/>
        <v>3.5411764705882351</v>
      </c>
      <c r="CN15" s="49" t="str">
        <f t="shared" si="5"/>
        <v>5-31</v>
      </c>
      <c r="CO15" s="55">
        <f t="shared" si="6"/>
        <v>311</v>
      </c>
      <c r="CP15" s="55">
        <f t="shared" si="7"/>
        <v>0</v>
      </c>
      <c r="CQ15" s="55">
        <f t="shared" si="8"/>
        <v>0</v>
      </c>
      <c r="CR15" s="60">
        <f t="shared" si="14"/>
        <v>11.578423076923077</v>
      </c>
      <c r="CS15" s="2">
        <f t="shared" si="9"/>
        <v>6</v>
      </c>
    </row>
    <row r="16" spans="1:97" ht="11.25" customHeight="1" x14ac:dyDescent="0.15">
      <c r="B16" s="2" t="s">
        <v>703</v>
      </c>
      <c r="Z16" s="2" t="s">
        <v>713</v>
      </c>
      <c r="AB16" s="2" t="s">
        <v>735</v>
      </c>
      <c r="AD16" s="2" t="s">
        <v>751</v>
      </c>
      <c r="AR16" s="2" t="s">
        <v>964</v>
      </c>
      <c r="CE16" s="55">
        <f>BowlSplit(C16:CC16,InnsBowledIn)</f>
        <v>4</v>
      </c>
      <c r="CF16" s="55">
        <f>BowlSplit(C16:CC16,BallsBowled)</f>
        <v>120</v>
      </c>
      <c r="CG16" s="57">
        <f>BowlSplit(C16:CC16,OversBowled)</f>
        <v>20</v>
      </c>
      <c r="CH16" s="55">
        <f>BowlSplit(C16:CC16,Maidens)</f>
        <v>1</v>
      </c>
      <c r="CI16" s="55">
        <f>BowlSplit(C16:CC16,RunsConceded)</f>
        <v>120</v>
      </c>
      <c r="CJ16" s="55">
        <f>BowlSplit(C16:CC16,WicketsTaken)</f>
        <v>4</v>
      </c>
      <c r="CK16" s="58">
        <f>IF(CJ16&gt;0,CI16/CJ16,"")</f>
        <v>30</v>
      </c>
      <c r="CL16" s="59">
        <f>IF(CJ16&gt;0,CF16/CJ16,"")</f>
        <v>30</v>
      </c>
      <c r="CM16" s="59">
        <f>IF(CF16&gt;0,6*CI16/CF16,"")</f>
        <v>6</v>
      </c>
      <c r="CN16" s="49" t="str">
        <f>BowlSplit(C16:CC16,BestBowling)</f>
        <v>2-28</v>
      </c>
      <c r="CO16" s="55">
        <f>BowlSplit(C16:CC16,BowlPts)</f>
        <v>31</v>
      </c>
      <c r="CP16" s="55">
        <f>BowlSplit(C16:CC16,Wides)</f>
        <v>5</v>
      </c>
      <c r="CQ16" s="55">
        <f>BowlSplit(C16:CC16,NoBalls)</f>
        <v>0</v>
      </c>
      <c r="CR16" s="60">
        <f>IF(CJ16&gt;0,CK16,IF(CF16&gt;0,CF16+1000,99999))+ROW(CQ16)/10000</f>
        <v>30.0016</v>
      </c>
      <c r="CS16" s="2">
        <f t="shared" si="9"/>
        <v>24</v>
      </c>
    </row>
    <row r="17" spans="1:97" ht="11.25" customHeight="1" x14ac:dyDescent="0.15">
      <c r="A17" s="2" t="s">
        <v>59</v>
      </c>
      <c r="B17" s="2" t="s">
        <v>163</v>
      </c>
      <c r="M17" s="60"/>
      <c r="AJ17" s="2" t="s">
        <v>854</v>
      </c>
      <c r="CE17" s="55">
        <f t="shared" si="10"/>
        <v>1</v>
      </c>
      <c r="CF17" s="55">
        <f t="shared" si="0"/>
        <v>6</v>
      </c>
      <c r="CG17" s="57">
        <f t="shared" si="1"/>
        <v>1</v>
      </c>
      <c r="CH17" s="55">
        <f t="shared" si="2"/>
        <v>0</v>
      </c>
      <c r="CI17" s="55">
        <f t="shared" si="3"/>
        <v>4</v>
      </c>
      <c r="CJ17" s="55">
        <f t="shared" si="4"/>
        <v>1</v>
      </c>
      <c r="CK17" s="58">
        <f t="shared" si="11"/>
        <v>4</v>
      </c>
      <c r="CL17" s="59">
        <f t="shared" si="12"/>
        <v>6</v>
      </c>
      <c r="CM17" s="59">
        <f t="shared" si="13"/>
        <v>4</v>
      </c>
      <c r="CN17" s="49" t="str">
        <f t="shared" si="5"/>
        <v>1-4</v>
      </c>
      <c r="CO17" s="55">
        <f t="shared" si="6"/>
        <v>10</v>
      </c>
      <c r="CP17" s="55">
        <f t="shared" si="7"/>
        <v>0</v>
      </c>
      <c r="CQ17" s="55">
        <f t="shared" si="8"/>
        <v>0</v>
      </c>
      <c r="CR17" s="60">
        <f t="shared" si="14"/>
        <v>4.0016999999999996</v>
      </c>
      <c r="CS17" s="2">
        <f t="shared" si="9"/>
        <v>2</v>
      </c>
    </row>
    <row r="18" spans="1:97" ht="11.25" customHeight="1" x14ac:dyDescent="0.15">
      <c r="A18" s="2" t="s">
        <v>60</v>
      </c>
      <c r="B18" s="2" t="s">
        <v>200</v>
      </c>
      <c r="D18" s="2" t="s">
        <v>334</v>
      </c>
      <c r="F18" s="2" t="s">
        <v>366</v>
      </c>
      <c r="H18" s="2" t="s">
        <v>401</v>
      </c>
      <c r="M18" s="2" t="s">
        <v>521</v>
      </c>
      <c r="O18" s="2" t="s">
        <v>548</v>
      </c>
      <c r="Q18" s="2" t="s">
        <v>609</v>
      </c>
      <c r="Z18" s="2" t="s">
        <v>712</v>
      </c>
      <c r="AB18" s="2" t="s">
        <v>731</v>
      </c>
      <c r="AF18" s="2" t="s">
        <v>819</v>
      </c>
      <c r="AJ18" s="2" t="s">
        <v>853</v>
      </c>
      <c r="AN18" s="2" t="s">
        <v>918</v>
      </c>
      <c r="CE18" s="55">
        <f t="shared" si="10"/>
        <v>11</v>
      </c>
      <c r="CF18" s="55">
        <f t="shared" si="0"/>
        <v>332</v>
      </c>
      <c r="CG18" s="57">
        <f t="shared" si="1"/>
        <v>55.2</v>
      </c>
      <c r="CH18" s="55">
        <f t="shared" si="2"/>
        <v>8</v>
      </c>
      <c r="CI18" s="55">
        <f t="shared" si="3"/>
        <v>267</v>
      </c>
      <c r="CJ18" s="55">
        <f t="shared" si="4"/>
        <v>10</v>
      </c>
      <c r="CK18" s="58">
        <f t="shared" si="11"/>
        <v>26.7</v>
      </c>
      <c r="CL18" s="59">
        <f t="shared" si="12"/>
        <v>33.200000000000003</v>
      </c>
      <c r="CM18" s="59">
        <f t="shared" si="13"/>
        <v>4.8253012048192767</v>
      </c>
      <c r="CN18" s="49" t="str">
        <f t="shared" si="5"/>
        <v>3-31</v>
      </c>
      <c r="CO18" s="55">
        <f t="shared" si="6"/>
        <v>128</v>
      </c>
      <c r="CP18" s="55">
        <f t="shared" si="7"/>
        <v>9</v>
      </c>
      <c r="CQ18" s="55">
        <f t="shared" si="8"/>
        <v>0</v>
      </c>
      <c r="CR18" s="60">
        <f t="shared" si="14"/>
        <v>26.701799999999999</v>
      </c>
      <c r="CS18" s="2">
        <f t="shared" si="9"/>
        <v>23</v>
      </c>
    </row>
    <row r="19" spans="1:97" ht="11.25" customHeight="1" x14ac:dyDescent="0.15">
      <c r="A19" s="2" t="s">
        <v>275</v>
      </c>
      <c r="B19" s="2" t="s">
        <v>237</v>
      </c>
      <c r="CE19" s="55">
        <f>BowlSplit(C19:CC19,InnsBowledIn)</f>
        <v>0</v>
      </c>
      <c r="CF19" s="55">
        <f>BowlSplit(C19:CC19,BallsBowled)</f>
        <v>0</v>
      </c>
      <c r="CG19" s="57">
        <f>BowlSplit(C19:CC19,OversBowled)</f>
        <v>0</v>
      </c>
      <c r="CH19" s="55">
        <f>BowlSplit(C19:CC19,Maidens)</f>
        <v>0</v>
      </c>
      <c r="CI19" s="55">
        <f>BowlSplit(C19:CC19,RunsConceded)</f>
        <v>0</v>
      </c>
      <c r="CJ19" s="55">
        <f>BowlSplit(C19:CC19,WicketsTaken)</f>
        <v>0</v>
      </c>
      <c r="CK19" s="58" t="str">
        <f>IF(CJ19&gt;0,CI19/CJ19,"")</f>
        <v/>
      </c>
      <c r="CL19" s="59" t="str">
        <f>IF(CJ19&gt;0,CF19/CJ19,"")</f>
        <v/>
      </c>
      <c r="CM19" s="59" t="str">
        <f>IF(CF19&gt;0,6*CI19/CF19,"")</f>
        <v/>
      </c>
      <c r="CN19" s="49" t="str">
        <f>BowlSplit(C19:CC19,BestBowling)</f>
        <v/>
      </c>
      <c r="CO19" s="55">
        <f>BowlSplit(C19:CC19,BowlPts)</f>
        <v>0</v>
      </c>
      <c r="CP19" s="55">
        <f>BowlSplit(C19:CC19,Wides)</f>
        <v>0</v>
      </c>
      <c r="CQ19" s="55">
        <f>BowlSplit(C19:CC19,NoBalls)</f>
        <v>0</v>
      </c>
      <c r="CR19" s="60">
        <f>IF(CJ19&gt;0,CK19,IF(CF19&gt;0,CF19+1000,99999))+ROW(CQ19)/10000</f>
        <v>99999.001900000003</v>
      </c>
      <c r="CS19" s="2">
        <f t="shared" si="9"/>
        <v>33</v>
      </c>
    </row>
    <row r="20" spans="1:97" ht="11.25" customHeight="1" x14ac:dyDescent="0.15">
      <c r="A20" s="2" t="s">
        <v>272</v>
      </c>
      <c r="B20" s="2" t="s">
        <v>238</v>
      </c>
      <c r="CE20" s="55">
        <f>BowlSplit(C20:CC20,InnsBowledIn)</f>
        <v>0</v>
      </c>
      <c r="CF20" s="55">
        <f>BowlSplit(C20:CC20,BallsBowled)</f>
        <v>0</v>
      </c>
      <c r="CG20" s="57">
        <f>BowlSplit(C20:CC20,OversBowled)</f>
        <v>0</v>
      </c>
      <c r="CH20" s="55">
        <f>BowlSplit(C20:CC20,Maidens)</f>
        <v>0</v>
      </c>
      <c r="CI20" s="55">
        <f>BowlSplit(C20:CC20,RunsConceded)</f>
        <v>0</v>
      </c>
      <c r="CJ20" s="55">
        <f>BowlSplit(C20:CC20,WicketsTaken)</f>
        <v>0</v>
      </c>
      <c r="CK20" s="58" t="str">
        <f>IF(CJ20&gt;0,CI20/CJ20,"")</f>
        <v/>
      </c>
      <c r="CL20" s="59" t="str">
        <f>IF(CJ20&gt;0,CF20/CJ20,"")</f>
        <v/>
      </c>
      <c r="CM20" s="59" t="str">
        <f>IF(CF20&gt;0,6*CI20/CF20,"")</f>
        <v/>
      </c>
      <c r="CN20" s="49" t="str">
        <f>BowlSplit(C20:CC20,BestBowling)</f>
        <v/>
      </c>
      <c r="CO20" s="55">
        <f>BowlSplit(C20:CC20,BowlPts)</f>
        <v>0</v>
      </c>
      <c r="CP20" s="55">
        <f>BowlSplit(C20:CC20,Wides)</f>
        <v>0</v>
      </c>
      <c r="CQ20" s="55">
        <f>BowlSplit(C20:CC20,NoBalls)</f>
        <v>0</v>
      </c>
      <c r="CR20" s="60">
        <f>IF(CJ20&gt;0,CK20,IF(CF20&gt;0,CF20+1000,99999))+ROW(CQ20)/10000</f>
        <v>99999.001999999993</v>
      </c>
      <c r="CS20" s="2">
        <f t="shared" si="9"/>
        <v>34</v>
      </c>
    </row>
    <row r="21" spans="1:97" ht="11.25" customHeight="1" x14ac:dyDescent="0.15">
      <c r="A21" s="2" t="s">
        <v>61</v>
      </c>
      <c r="B21" s="2" t="s">
        <v>202</v>
      </c>
      <c r="J21" s="2" t="s">
        <v>474</v>
      </c>
      <c r="L21" s="2" t="s">
        <v>485</v>
      </c>
      <c r="M21" s="60"/>
      <c r="CE21" s="55">
        <f t="shared" si="10"/>
        <v>2</v>
      </c>
      <c r="CF21" s="55">
        <f t="shared" si="0"/>
        <v>54</v>
      </c>
      <c r="CG21" s="57">
        <f t="shared" si="1"/>
        <v>9</v>
      </c>
      <c r="CH21" s="55">
        <f t="shared" si="2"/>
        <v>0</v>
      </c>
      <c r="CI21" s="55">
        <f t="shared" si="3"/>
        <v>36</v>
      </c>
      <c r="CJ21" s="55">
        <f t="shared" si="4"/>
        <v>2</v>
      </c>
      <c r="CK21" s="58">
        <f t="shared" si="11"/>
        <v>18</v>
      </c>
      <c r="CL21" s="59">
        <f t="shared" si="12"/>
        <v>27</v>
      </c>
      <c r="CM21" s="59">
        <f t="shared" si="13"/>
        <v>4</v>
      </c>
      <c r="CN21" s="49" t="str">
        <f t="shared" si="5"/>
        <v>1-10</v>
      </c>
      <c r="CO21" s="55">
        <f t="shared" si="6"/>
        <v>25</v>
      </c>
      <c r="CP21" s="55">
        <f t="shared" si="7"/>
        <v>8</v>
      </c>
      <c r="CQ21" s="55">
        <f t="shared" si="8"/>
        <v>0</v>
      </c>
      <c r="CR21" s="60">
        <f t="shared" si="14"/>
        <v>18.002099999999999</v>
      </c>
      <c r="CS21" s="2">
        <f t="shared" si="9"/>
        <v>17</v>
      </c>
    </row>
    <row r="22" spans="1:97" ht="11.25" customHeight="1" x14ac:dyDescent="0.15">
      <c r="B22" s="2" t="s">
        <v>863</v>
      </c>
      <c r="M22" s="60"/>
      <c r="AH22" s="2" t="s">
        <v>870</v>
      </c>
      <c r="CE22" s="55">
        <f>BowlSplit(C22:CC22,InnsBowledIn)</f>
        <v>1</v>
      </c>
      <c r="CF22" s="55">
        <f>BowlSplit(C22:CC22,BallsBowled)</f>
        <v>48</v>
      </c>
      <c r="CG22" s="57">
        <f>BowlSplit(C22:CC22,OversBowled)</f>
        <v>8</v>
      </c>
      <c r="CH22" s="55">
        <f>BowlSplit(C22:CC22,Maidens)</f>
        <v>1</v>
      </c>
      <c r="CI22" s="55">
        <f>BowlSplit(C22:CC22,RunsConceded)</f>
        <v>33</v>
      </c>
      <c r="CJ22" s="55">
        <f>BowlSplit(C22:CC22,WicketsTaken)</f>
        <v>1</v>
      </c>
      <c r="CK22" s="58">
        <f>IF(CJ22&gt;0,CI22/CJ22,"")</f>
        <v>33</v>
      </c>
      <c r="CL22" s="59">
        <f>IF(CJ22&gt;0,CF22/CJ22,"")</f>
        <v>48</v>
      </c>
      <c r="CM22" s="59">
        <f>IF(CF22&gt;0,6*CI22/CF22,"")</f>
        <v>4.125</v>
      </c>
      <c r="CN22" s="49" t="str">
        <f>BowlSplit(C22:CC22,BestBowling)</f>
        <v>1-33</v>
      </c>
      <c r="CO22" s="55">
        <f>BowlSplit(C22:CC22,BowlPts)</f>
        <v>11</v>
      </c>
      <c r="CP22" s="55">
        <f>BowlSplit(C22:CC22,Wides)</f>
        <v>3</v>
      </c>
      <c r="CQ22" s="55">
        <f>BowlSplit(C22:CC22,NoBalls)</f>
        <v>4</v>
      </c>
      <c r="CR22" s="60">
        <f>IF(CJ22&gt;0,CK22,IF(CF22&gt;0,CF22+1000,99999))+ROW(CQ22)/10000</f>
        <v>33.002200000000002</v>
      </c>
      <c r="CS22" s="2">
        <f t="shared" si="9"/>
        <v>25</v>
      </c>
    </row>
    <row r="23" spans="1:97" ht="11.25" customHeight="1" x14ac:dyDescent="0.15">
      <c r="A23" s="2" t="s">
        <v>271</v>
      </c>
      <c r="B23" s="2" t="s">
        <v>242</v>
      </c>
      <c r="M23" s="60"/>
      <c r="CE23" s="55">
        <f>BowlSplit(C23:CC23,InnsBowledIn)</f>
        <v>0</v>
      </c>
      <c r="CF23" s="55">
        <f>BowlSplit(C23:CC23,BallsBowled)</f>
        <v>0</v>
      </c>
      <c r="CG23" s="57">
        <f>BowlSplit(C23:CC23,OversBowled)</f>
        <v>0</v>
      </c>
      <c r="CH23" s="55">
        <f>BowlSplit(C23:CC23,Maidens)</f>
        <v>0</v>
      </c>
      <c r="CI23" s="55">
        <f>BowlSplit(C23:CC23,RunsConceded)</f>
        <v>0</v>
      </c>
      <c r="CJ23" s="55">
        <f>BowlSplit(C23:CC23,WicketsTaken)</f>
        <v>0</v>
      </c>
      <c r="CK23" s="58" t="str">
        <f>IF(CJ23&gt;0,CI23/CJ23,"")</f>
        <v/>
      </c>
      <c r="CL23" s="59" t="str">
        <f>IF(CJ23&gt;0,CF23/CJ23,"")</f>
        <v/>
      </c>
      <c r="CM23" s="59" t="str">
        <f>IF(CF23&gt;0,6*CI23/CF23,"")</f>
        <v/>
      </c>
      <c r="CN23" s="49" t="str">
        <f>BowlSplit(C23:CC23,BestBowling)</f>
        <v/>
      </c>
      <c r="CO23" s="55">
        <f>BowlSplit(C23:CC23,BowlPts)</f>
        <v>0</v>
      </c>
      <c r="CP23" s="55">
        <f>BowlSplit(C23:CC23,Wides)</f>
        <v>0</v>
      </c>
      <c r="CQ23" s="55">
        <f>BowlSplit(C23:CC23,NoBalls)</f>
        <v>0</v>
      </c>
      <c r="CR23" s="60">
        <f>IF(CJ23&gt;0,CK23,IF(CF23&gt;0,CF23+1000,99999))+ROW(CQ23)/10000</f>
        <v>99999.002299999993</v>
      </c>
      <c r="CS23" s="2">
        <f t="shared" si="9"/>
        <v>35</v>
      </c>
    </row>
    <row r="24" spans="1:97" ht="11.25" customHeight="1" x14ac:dyDescent="0.15">
      <c r="A24" s="2" t="s">
        <v>62</v>
      </c>
      <c r="B24" s="2" t="s">
        <v>63</v>
      </c>
      <c r="M24" s="60"/>
      <c r="CE24" s="55">
        <f t="shared" si="10"/>
        <v>0</v>
      </c>
      <c r="CF24" s="55">
        <f t="shared" si="0"/>
        <v>0</v>
      </c>
      <c r="CG24" s="57">
        <f t="shared" si="1"/>
        <v>0</v>
      </c>
      <c r="CH24" s="55">
        <f t="shared" si="2"/>
        <v>0</v>
      </c>
      <c r="CI24" s="55">
        <f t="shared" si="3"/>
        <v>0</v>
      </c>
      <c r="CJ24" s="55">
        <f t="shared" si="4"/>
        <v>0</v>
      </c>
      <c r="CK24" s="58" t="str">
        <f t="shared" si="11"/>
        <v/>
      </c>
      <c r="CL24" s="59" t="str">
        <f t="shared" si="12"/>
        <v/>
      </c>
      <c r="CM24" s="59" t="str">
        <f t="shared" si="13"/>
        <v/>
      </c>
      <c r="CN24" s="49" t="str">
        <f t="shared" si="5"/>
        <v/>
      </c>
      <c r="CO24" s="55">
        <f t="shared" si="6"/>
        <v>0</v>
      </c>
      <c r="CP24" s="55">
        <f t="shared" si="7"/>
        <v>0</v>
      </c>
      <c r="CQ24" s="55">
        <f t="shared" si="8"/>
        <v>0</v>
      </c>
      <c r="CR24" s="60">
        <f t="shared" si="14"/>
        <v>99999.002399999998</v>
      </c>
      <c r="CS24" s="2">
        <f t="shared" si="9"/>
        <v>36</v>
      </c>
    </row>
    <row r="25" spans="1:97" ht="11.25" customHeight="1" x14ac:dyDescent="0.15">
      <c r="A25" s="2" t="s">
        <v>177</v>
      </c>
      <c r="B25" s="2" t="s">
        <v>204</v>
      </c>
      <c r="K25" s="2" t="s">
        <v>480</v>
      </c>
      <c r="L25" s="2" t="s">
        <v>484</v>
      </c>
      <c r="N25" s="2" t="s">
        <v>576</v>
      </c>
      <c r="CE25" s="55">
        <f t="shared" si="10"/>
        <v>3</v>
      </c>
      <c r="CF25" s="55">
        <f t="shared" si="0"/>
        <v>72</v>
      </c>
      <c r="CG25" s="57">
        <f t="shared" si="1"/>
        <v>12</v>
      </c>
      <c r="CH25" s="55">
        <f t="shared" si="2"/>
        <v>0</v>
      </c>
      <c r="CI25" s="55">
        <f t="shared" si="3"/>
        <v>77</v>
      </c>
      <c r="CJ25" s="55">
        <f t="shared" si="4"/>
        <v>4</v>
      </c>
      <c r="CK25" s="58">
        <f t="shared" si="11"/>
        <v>19.25</v>
      </c>
      <c r="CL25" s="59">
        <f t="shared" si="12"/>
        <v>18</v>
      </c>
      <c r="CM25" s="59">
        <f t="shared" si="13"/>
        <v>6.416666666666667</v>
      </c>
      <c r="CN25" s="49" t="str">
        <f t="shared" si="5"/>
        <v>4-39</v>
      </c>
      <c r="CO25" s="55">
        <f t="shared" si="6"/>
        <v>30</v>
      </c>
      <c r="CP25" s="55">
        <f t="shared" si="7"/>
        <v>4</v>
      </c>
      <c r="CQ25" s="55">
        <f t="shared" si="8"/>
        <v>1</v>
      </c>
      <c r="CR25" s="60">
        <f t="shared" si="14"/>
        <v>19.252500000000001</v>
      </c>
      <c r="CS25" s="2">
        <f t="shared" si="9"/>
        <v>19</v>
      </c>
    </row>
    <row r="26" spans="1:97" ht="11.25" customHeight="1" x14ac:dyDescent="0.15">
      <c r="A26" s="2" t="s">
        <v>171</v>
      </c>
      <c r="B26" s="2" t="s">
        <v>205</v>
      </c>
      <c r="CE26" s="55">
        <f t="shared" si="10"/>
        <v>0</v>
      </c>
      <c r="CF26" s="55">
        <f t="shared" si="0"/>
        <v>0</v>
      </c>
      <c r="CG26" s="57">
        <f t="shared" si="1"/>
        <v>0</v>
      </c>
      <c r="CH26" s="55">
        <f t="shared" si="2"/>
        <v>0</v>
      </c>
      <c r="CI26" s="55">
        <f t="shared" si="3"/>
        <v>0</v>
      </c>
      <c r="CJ26" s="55">
        <f t="shared" si="4"/>
        <v>0</v>
      </c>
      <c r="CK26" s="58" t="str">
        <f t="shared" si="11"/>
        <v/>
      </c>
      <c r="CL26" s="59" t="str">
        <f t="shared" si="12"/>
        <v/>
      </c>
      <c r="CM26" s="59" t="str">
        <f t="shared" si="13"/>
        <v/>
      </c>
      <c r="CN26" s="49" t="str">
        <f t="shared" si="5"/>
        <v/>
      </c>
      <c r="CO26" s="55">
        <f t="shared" si="6"/>
        <v>0</v>
      </c>
      <c r="CP26" s="55">
        <f t="shared" si="7"/>
        <v>0</v>
      </c>
      <c r="CQ26" s="55">
        <f t="shared" si="8"/>
        <v>0</v>
      </c>
      <c r="CR26" s="60">
        <f t="shared" si="14"/>
        <v>99999.002600000007</v>
      </c>
      <c r="CS26" s="2">
        <f t="shared" si="9"/>
        <v>37</v>
      </c>
    </row>
    <row r="27" spans="1:97" ht="11.25" customHeight="1" x14ac:dyDescent="0.15">
      <c r="B27" s="2" t="s">
        <v>727</v>
      </c>
      <c r="AB27" s="2" t="s">
        <v>732</v>
      </c>
      <c r="AR27" s="2" t="s">
        <v>965</v>
      </c>
      <c r="CE27" s="55">
        <f>BowlSplit(C27:CC27,InnsBowledIn)</f>
        <v>2</v>
      </c>
      <c r="CF27" s="55">
        <f>BowlSplit(C27:CC27,BallsBowled)</f>
        <v>30</v>
      </c>
      <c r="CG27" s="57">
        <f>BowlSplit(C27:CC27,OversBowled)</f>
        <v>5</v>
      </c>
      <c r="CH27" s="55">
        <f>BowlSplit(C27:CC27,Maidens)</f>
        <v>0</v>
      </c>
      <c r="CI27" s="55">
        <f>BowlSplit(C27:CC27,RunsConceded)</f>
        <v>41</v>
      </c>
      <c r="CJ27" s="55">
        <f>BowlSplit(C27:CC27,WicketsTaken)</f>
        <v>2</v>
      </c>
      <c r="CK27" s="58">
        <f>IF(CJ27&gt;0,CI27/CJ27,"")</f>
        <v>20.5</v>
      </c>
      <c r="CL27" s="59">
        <f>IF(CJ27&gt;0,CF27/CJ27,"")</f>
        <v>15</v>
      </c>
      <c r="CM27" s="59">
        <f>IF(CF27&gt;0,6*CI27/CF27,"")</f>
        <v>8.1999999999999993</v>
      </c>
      <c r="CN27" s="49" t="str">
        <f>BowlSplit(C27:CC27,BestBowling)</f>
        <v>1-3</v>
      </c>
      <c r="CO27" s="55">
        <f>BowlSplit(C27:CC27,BowlPts)</f>
        <v>20</v>
      </c>
      <c r="CP27" s="55">
        <f>BowlSplit(C27:CC27,Wides)</f>
        <v>2</v>
      </c>
      <c r="CQ27" s="55">
        <f>BowlSplit(C27:CC27,NoBalls)</f>
        <v>0</v>
      </c>
      <c r="CR27" s="60">
        <f>IF(CJ27&gt;0,CK27,IF(CF27&gt;0,CF27+1000,99999))+ROW(CQ27)/10000</f>
        <v>20.502700000000001</v>
      </c>
      <c r="CS27" s="2">
        <f t="shared" si="9"/>
        <v>20</v>
      </c>
    </row>
    <row r="28" spans="1:97" ht="11.25" customHeight="1" x14ac:dyDescent="0.15">
      <c r="A28" s="2" t="s">
        <v>64</v>
      </c>
      <c r="B28" s="2" t="s">
        <v>65</v>
      </c>
      <c r="D28" s="2" t="s">
        <v>332</v>
      </c>
      <c r="G28" s="2" t="s">
        <v>441</v>
      </c>
      <c r="H28" s="2" t="s">
        <v>588</v>
      </c>
      <c r="J28" s="2" t="s">
        <v>475</v>
      </c>
      <c r="L28" s="2" t="s">
        <v>487</v>
      </c>
      <c r="N28" s="2" t="s">
        <v>579</v>
      </c>
      <c r="P28" s="2" t="s">
        <v>585</v>
      </c>
      <c r="V28" s="2" t="s">
        <v>683</v>
      </c>
      <c r="AA28" s="2" t="s">
        <v>769</v>
      </c>
      <c r="AF28" s="2" t="s">
        <v>814</v>
      </c>
      <c r="AG28" s="2" t="s">
        <v>901</v>
      </c>
      <c r="AI28" s="2" t="s">
        <v>837</v>
      </c>
      <c r="AN28" s="2" t="s">
        <v>919</v>
      </c>
      <c r="AO28" s="2" t="s">
        <v>953</v>
      </c>
      <c r="AQ28" s="2" t="s">
        <v>952</v>
      </c>
      <c r="CE28" s="55">
        <f t="shared" si="10"/>
        <v>15</v>
      </c>
      <c r="CF28" s="55">
        <f t="shared" si="0"/>
        <v>672</v>
      </c>
      <c r="CG28" s="57">
        <f t="shared" si="1"/>
        <v>112</v>
      </c>
      <c r="CH28" s="55">
        <f t="shared" si="2"/>
        <v>23</v>
      </c>
      <c r="CI28" s="55">
        <f t="shared" si="3"/>
        <v>297</v>
      </c>
      <c r="CJ28" s="55">
        <f t="shared" si="4"/>
        <v>24</v>
      </c>
      <c r="CK28" s="58">
        <f t="shared" si="11"/>
        <v>12.375</v>
      </c>
      <c r="CL28" s="59">
        <f t="shared" si="12"/>
        <v>28</v>
      </c>
      <c r="CM28" s="59">
        <f t="shared" si="13"/>
        <v>2.6517857142857144</v>
      </c>
      <c r="CN28" s="49" t="str">
        <f t="shared" si="5"/>
        <v>4-1</v>
      </c>
      <c r="CO28" s="55">
        <f t="shared" si="6"/>
        <v>378</v>
      </c>
      <c r="CP28" s="55">
        <f t="shared" si="7"/>
        <v>11</v>
      </c>
      <c r="CQ28" s="55">
        <f t="shared" si="8"/>
        <v>0</v>
      </c>
      <c r="CR28" s="60">
        <f t="shared" si="14"/>
        <v>12.377800000000001</v>
      </c>
      <c r="CS28" s="2">
        <f t="shared" si="9"/>
        <v>8</v>
      </c>
    </row>
    <row r="29" spans="1:97" ht="11.25" customHeight="1" x14ac:dyDescent="0.15">
      <c r="A29" s="2" t="s">
        <v>66</v>
      </c>
      <c r="B29" s="2" t="s">
        <v>67</v>
      </c>
      <c r="G29" s="2" t="s">
        <v>440</v>
      </c>
      <c r="J29" s="2" t="s">
        <v>473</v>
      </c>
      <c r="K29" s="2" t="s">
        <v>478</v>
      </c>
      <c r="N29" s="2" t="s">
        <v>577</v>
      </c>
      <c r="P29" s="2" t="s">
        <v>584</v>
      </c>
      <c r="S29" s="2" t="s">
        <v>645</v>
      </c>
      <c r="T29" s="2" t="s">
        <v>648</v>
      </c>
      <c r="V29" s="2" t="s">
        <v>680</v>
      </c>
      <c r="AA29" s="2" t="s">
        <v>768</v>
      </c>
      <c r="AC29" s="2" t="s">
        <v>784</v>
      </c>
      <c r="AI29" s="2" t="s">
        <v>838</v>
      </c>
      <c r="CE29" s="55">
        <f t="shared" si="10"/>
        <v>11</v>
      </c>
      <c r="CF29" s="55">
        <f t="shared" si="0"/>
        <v>458</v>
      </c>
      <c r="CG29" s="57">
        <f t="shared" si="1"/>
        <v>76.2</v>
      </c>
      <c r="CH29" s="55">
        <f t="shared" si="2"/>
        <v>20</v>
      </c>
      <c r="CI29" s="55">
        <f t="shared" si="3"/>
        <v>179</v>
      </c>
      <c r="CJ29" s="55">
        <f t="shared" si="4"/>
        <v>12</v>
      </c>
      <c r="CK29" s="58">
        <f t="shared" si="11"/>
        <v>14.916666666666666</v>
      </c>
      <c r="CL29" s="59">
        <f t="shared" si="12"/>
        <v>38.166666666666664</v>
      </c>
      <c r="CM29" s="59">
        <f t="shared" si="13"/>
        <v>2.3449781659388647</v>
      </c>
      <c r="CN29" s="49" t="str">
        <f t="shared" si="5"/>
        <v>3-5</v>
      </c>
      <c r="CO29" s="55">
        <f t="shared" si="6"/>
        <v>230</v>
      </c>
      <c r="CP29" s="55">
        <f t="shared" si="7"/>
        <v>7</v>
      </c>
      <c r="CQ29" s="55">
        <f t="shared" si="8"/>
        <v>2</v>
      </c>
      <c r="CR29" s="60">
        <f t="shared" si="14"/>
        <v>14.919566666666666</v>
      </c>
      <c r="CS29" s="2">
        <f t="shared" si="9"/>
        <v>12</v>
      </c>
    </row>
    <row r="30" spans="1:97" ht="11.25" customHeight="1" x14ac:dyDescent="0.15">
      <c r="A30" s="2" t="s">
        <v>170</v>
      </c>
      <c r="B30" s="2" t="s">
        <v>152</v>
      </c>
      <c r="D30" s="2" t="s">
        <v>335</v>
      </c>
      <c r="G30" s="2" t="s">
        <v>439</v>
      </c>
      <c r="M30" s="60"/>
      <c r="U30" s="2" t="s">
        <v>667</v>
      </c>
      <c r="AH30" s="2" t="s">
        <v>869</v>
      </c>
      <c r="AO30" s="2" t="s">
        <v>944</v>
      </c>
      <c r="AR30" s="2" t="s">
        <v>966</v>
      </c>
      <c r="CE30" s="55">
        <f t="shared" si="10"/>
        <v>6</v>
      </c>
      <c r="CF30" s="55">
        <f t="shared" si="0"/>
        <v>174</v>
      </c>
      <c r="CG30" s="57">
        <f t="shared" si="1"/>
        <v>29</v>
      </c>
      <c r="CH30" s="55">
        <f t="shared" si="2"/>
        <v>10</v>
      </c>
      <c r="CI30" s="55">
        <f t="shared" si="3"/>
        <v>40</v>
      </c>
      <c r="CJ30" s="55">
        <f t="shared" si="4"/>
        <v>9</v>
      </c>
      <c r="CK30" s="58">
        <f t="shared" si="11"/>
        <v>4.4444444444444446</v>
      </c>
      <c r="CL30" s="59">
        <f t="shared" si="12"/>
        <v>19.333333333333332</v>
      </c>
      <c r="CM30" s="59">
        <f t="shared" si="13"/>
        <v>1.3793103448275863</v>
      </c>
      <c r="CN30" s="49" t="str">
        <f t="shared" si="5"/>
        <v>4-3</v>
      </c>
      <c r="CO30" s="55">
        <f t="shared" si="6"/>
        <v>160</v>
      </c>
      <c r="CP30" s="55">
        <f t="shared" si="7"/>
        <v>2</v>
      </c>
      <c r="CQ30" s="55">
        <f t="shared" si="8"/>
        <v>1</v>
      </c>
      <c r="CR30" s="60">
        <f t="shared" si="14"/>
        <v>4.4474444444444448</v>
      </c>
      <c r="CS30" s="2">
        <f t="shared" si="9"/>
        <v>3</v>
      </c>
    </row>
    <row r="31" spans="1:97" ht="11.25" customHeight="1" x14ac:dyDescent="0.15">
      <c r="A31" s="2" t="s">
        <v>270</v>
      </c>
      <c r="B31" s="2" t="s">
        <v>255</v>
      </c>
      <c r="M31" s="60"/>
      <c r="CE31" s="55">
        <f>BowlSplit(C31:CC31,InnsBowledIn)</f>
        <v>0</v>
      </c>
      <c r="CF31" s="55">
        <f>BowlSplit(C31:CC31,BallsBowled)</f>
        <v>0</v>
      </c>
      <c r="CG31" s="57">
        <f>BowlSplit(C31:CC31,OversBowled)</f>
        <v>0</v>
      </c>
      <c r="CH31" s="55">
        <f>BowlSplit(C31:CC31,Maidens)</f>
        <v>0</v>
      </c>
      <c r="CI31" s="55">
        <f>BowlSplit(C31:CC31,RunsConceded)</f>
        <v>0</v>
      </c>
      <c r="CJ31" s="55">
        <f>BowlSplit(C31:CC31,WicketsTaken)</f>
        <v>0</v>
      </c>
      <c r="CK31" s="58" t="str">
        <f>IF(CJ31&gt;0,CI31/CJ31,"")</f>
        <v/>
      </c>
      <c r="CL31" s="59" t="str">
        <f>IF(CJ31&gt;0,CF31/CJ31,"")</f>
        <v/>
      </c>
      <c r="CM31" s="59" t="str">
        <f>IF(CF31&gt;0,6*CI31/CF31,"")</f>
        <v/>
      </c>
      <c r="CN31" s="49" t="str">
        <f>BowlSplit(C31:CC31,BestBowling)</f>
        <v/>
      </c>
      <c r="CO31" s="55">
        <f>BowlSplit(C31:CC31,BowlPts)</f>
        <v>0</v>
      </c>
      <c r="CP31" s="55">
        <f>BowlSplit(C31:CC31,Wides)</f>
        <v>0</v>
      </c>
      <c r="CQ31" s="55">
        <f>BowlSplit(C31:CC31,NoBalls)</f>
        <v>0</v>
      </c>
      <c r="CR31" s="60">
        <f>IF(CJ31&gt;0,CK31,IF(CF31&gt;0,CF31+1000,99999))+ROW(CQ31)/10000</f>
        <v>99999.003100000002</v>
      </c>
      <c r="CS31" s="2">
        <f t="shared" si="9"/>
        <v>38</v>
      </c>
    </row>
    <row r="32" spans="1:97" ht="11.25" customHeight="1" x14ac:dyDescent="0.15">
      <c r="A32" s="2" t="s">
        <v>124</v>
      </c>
      <c r="B32" s="2" t="s">
        <v>206</v>
      </c>
      <c r="CE32" s="55">
        <f>BowlSplit(C32:CC32,InnsBowledIn)</f>
        <v>0</v>
      </c>
      <c r="CF32" s="55">
        <f>BowlSplit(C32:CC32,BallsBowled)</f>
        <v>0</v>
      </c>
      <c r="CG32" s="57">
        <f>BowlSplit(C32:CC32,OversBowled)</f>
        <v>0</v>
      </c>
      <c r="CH32" s="55">
        <f>BowlSplit(C32:CC32,Maidens)</f>
        <v>0</v>
      </c>
      <c r="CI32" s="55">
        <f>BowlSplit(C32:CC32,RunsConceded)</f>
        <v>0</v>
      </c>
      <c r="CJ32" s="55">
        <f>BowlSplit(C32:CC32,WicketsTaken)</f>
        <v>0</v>
      </c>
      <c r="CK32" s="58" t="str">
        <f>IF(CJ32&gt;0,CI32/CJ32,"")</f>
        <v/>
      </c>
      <c r="CL32" s="59" t="str">
        <f>IF(CJ32&gt;0,CF32/CJ32,"")</f>
        <v/>
      </c>
      <c r="CM32" s="59" t="str">
        <f>IF(CF32&gt;0,6*CI32/CF32,"")</f>
        <v/>
      </c>
      <c r="CN32" s="49" t="str">
        <f>BowlSplit(C32:CC32,BestBowling)</f>
        <v/>
      </c>
      <c r="CO32" s="55">
        <f>BowlSplit(C32:CC32,BowlPts)</f>
        <v>0</v>
      </c>
      <c r="CP32" s="55">
        <f>BowlSplit(C32:CC32,Wides)</f>
        <v>0</v>
      </c>
      <c r="CQ32" s="55">
        <f>BowlSplit(C32:CC32,NoBalls)</f>
        <v>0</v>
      </c>
      <c r="CR32" s="60">
        <f t="shared" si="14"/>
        <v>99999.003200000006</v>
      </c>
      <c r="CS32" s="2">
        <f t="shared" si="9"/>
        <v>39</v>
      </c>
    </row>
    <row r="33" spans="1:97" ht="11.25" customHeight="1" x14ac:dyDescent="0.15">
      <c r="A33" s="2" t="s">
        <v>269</v>
      </c>
      <c r="B33" s="2" t="s">
        <v>248</v>
      </c>
      <c r="CE33" s="55">
        <f>BowlSplit(C33:CC33,InnsBowledIn)</f>
        <v>0</v>
      </c>
      <c r="CF33" s="55">
        <f>BowlSplit(C33:CC33,BallsBowled)</f>
        <v>0</v>
      </c>
      <c r="CG33" s="57">
        <f>BowlSplit(C33:CC33,OversBowled)</f>
        <v>0</v>
      </c>
      <c r="CH33" s="55">
        <f>BowlSplit(C33:CC33,Maidens)</f>
        <v>0</v>
      </c>
      <c r="CI33" s="55">
        <f>BowlSplit(C33:CC33,RunsConceded)</f>
        <v>0</v>
      </c>
      <c r="CJ33" s="55">
        <f>BowlSplit(C33:CC33,WicketsTaken)</f>
        <v>0</v>
      </c>
      <c r="CK33" s="58" t="str">
        <f>IF(CJ33&gt;0,CI33/CJ33,"")</f>
        <v/>
      </c>
      <c r="CL33" s="59" t="str">
        <f>IF(CJ33&gt;0,CF33/CJ33,"")</f>
        <v/>
      </c>
      <c r="CM33" s="59" t="str">
        <f>IF(CF33&gt;0,6*CI33/CF33,"")</f>
        <v/>
      </c>
      <c r="CN33" s="49" t="str">
        <f>BowlSplit(C33:CC33,BestBowling)</f>
        <v/>
      </c>
      <c r="CO33" s="55">
        <f>BowlSplit(C33:CC33,BowlPts)</f>
        <v>0</v>
      </c>
      <c r="CP33" s="55">
        <f>BowlSplit(C33:CC33,Wides)</f>
        <v>0</v>
      </c>
      <c r="CQ33" s="55">
        <f>BowlSplit(C33:CC33,NoBalls)</f>
        <v>0</v>
      </c>
      <c r="CR33" s="60">
        <f>IF(CJ33&gt;0,CK33,IF(CF33&gt;0,CF33+1000,99999))+ROW(CQ33)/10000</f>
        <v>99999.003299999997</v>
      </c>
      <c r="CS33" s="2">
        <f t="shared" si="9"/>
        <v>40</v>
      </c>
    </row>
    <row r="34" spans="1:97" ht="11.25" customHeight="1" x14ac:dyDescent="0.15">
      <c r="A34" s="2" t="s">
        <v>68</v>
      </c>
      <c r="B34" s="2" t="s">
        <v>207</v>
      </c>
      <c r="F34" s="2" t="s">
        <v>367</v>
      </c>
      <c r="M34" s="60"/>
      <c r="Q34" s="2" t="s">
        <v>606</v>
      </c>
      <c r="U34" s="2" t="s">
        <v>669</v>
      </c>
      <c r="Z34" s="2" t="s">
        <v>709</v>
      </c>
      <c r="CE34" s="55">
        <f t="shared" si="10"/>
        <v>4</v>
      </c>
      <c r="CF34" s="55">
        <f t="shared" si="0"/>
        <v>129</v>
      </c>
      <c r="CG34" s="57">
        <f t="shared" si="1"/>
        <v>21.3</v>
      </c>
      <c r="CH34" s="55">
        <f t="shared" si="2"/>
        <v>2</v>
      </c>
      <c r="CI34" s="55">
        <f t="shared" si="3"/>
        <v>69</v>
      </c>
      <c r="CJ34" s="55">
        <f t="shared" si="4"/>
        <v>4</v>
      </c>
      <c r="CK34" s="58">
        <f t="shared" si="11"/>
        <v>17.25</v>
      </c>
      <c r="CL34" s="59">
        <f t="shared" si="12"/>
        <v>32.25</v>
      </c>
      <c r="CM34" s="59">
        <f t="shared" si="13"/>
        <v>3.2093023255813953</v>
      </c>
      <c r="CN34" s="49" t="str">
        <f t="shared" si="5"/>
        <v>2-21</v>
      </c>
      <c r="CO34" s="55">
        <f t="shared" si="6"/>
        <v>57</v>
      </c>
      <c r="CP34" s="55">
        <f t="shared" si="7"/>
        <v>10</v>
      </c>
      <c r="CQ34" s="55">
        <f t="shared" si="8"/>
        <v>0</v>
      </c>
      <c r="CR34" s="60">
        <f t="shared" si="14"/>
        <v>17.253399999999999</v>
      </c>
      <c r="CS34" s="2">
        <f t="shared" si="9"/>
        <v>15</v>
      </c>
    </row>
    <row r="35" spans="1:97" ht="11.25" customHeight="1" x14ac:dyDescent="0.15">
      <c r="A35" s="2" t="s">
        <v>69</v>
      </c>
      <c r="B35" s="2" t="s">
        <v>70</v>
      </c>
      <c r="D35" s="2" t="s">
        <v>333</v>
      </c>
      <c r="G35" s="2" t="s">
        <v>442</v>
      </c>
      <c r="H35" s="2" t="s">
        <v>400</v>
      </c>
      <c r="M35" s="60"/>
      <c r="P35" s="2" t="s">
        <v>586</v>
      </c>
      <c r="S35" s="2" t="s">
        <v>644</v>
      </c>
      <c r="V35" s="2" t="s">
        <v>684</v>
      </c>
      <c r="Z35" s="2" t="s">
        <v>710</v>
      </c>
      <c r="AC35" s="2" t="s">
        <v>787</v>
      </c>
      <c r="AD35" s="2" t="s">
        <v>748</v>
      </c>
      <c r="AE35" s="2" t="s">
        <v>802</v>
      </c>
      <c r="AF35" s="2" t="s">
        <v>815</v>
      </c>
      <c r="AH35" s="2" t="s">
        <v>747</v>
      </c>
      <c r="AM35" s="2" t="s">
        <v>905</v>
      </c>
      <c r="AN35" s="2" t="s">
        <v>920</v>
      </c>
      <c r="AQ35" s="2" t="s">
        <v>954</v>
      </c>
      <c r="AT35" s="2" t="s">
        <v>987</v>
      </c>
      <c r="CE35" s="55">
        <f t="shared" si="10"/>
        <v>16</v>
      </c>
      <c r="CF35" s="55">
        <f t="shared" si="0"/>
        <v>718</v>
      </c>
      <c r="CG35" s="57">
        <f t="shared" si="1"/>
        <v>119.4</v>
      </c>
      <c r="CH35" s="55">
        <f t="shared" si="2"/>
        <v>25</v>
      </c>
      <c r="CI35" s="55">
        <f t="shared" si="3"/>
        <v>326</v>
      </c>
      <c r="CJ35" s="55">
        <f t="shared" si="4"/>
        <v>15</v>
      </c>
      <c r="CK35" s="58">
        <f t="shared" si="11"/>
        <v>21.733333333333334</v>
      </c>
      <c r="CL35" s="59">
        <f t="shared" si="12"/>
        <v>47.866666666666667</v>
      </c>
      <c r="CM35" s="59">
        <f t="shared" si="13"/>
        <v>2.7242339832869082</v>
      </c>
      <c r="CN35" s="49" t="str">
        <f t="shared" si="5"/>
        <v>3-17</v>
      </c>
      <c r="CO35" s="55">
        <f t="shared" si="6"/>
        <v>290</v>
      </c>
      <c r="CP35" s="55">
        <f t="shared" si="7"/>
        <v>9</v>
      </c>
      <c r="CQ35" s="55">
        <f t="shared" si="8"/>
        <v>0</v>
      </c>
      <c r="CR35" s="60">
        <f t="shared" si="14"/>
        <v>21.736833333333333</v>
      </c>
      <c r="CS35" s="2">
        <f t="shared" si="9"/>
        <v>21</v>
      </c>
    </row>
    <row r="36" spans="1:97" ht="11.25" customHeight="1" x14ac:dyDescent="0.15">
      <c r="B36" s="2" t="s">
        <v>761</v>
      </c>
      <c r="M36" s="60"/>
      <c r="AA36" s="2" t="s">
        <v>767</v>
      </c>
      <c r="CE36" s="55">
        <f>BowlSplit(C36:CC36,InnsBowledIn)</f>
        <v>1</v>
      </c>
      <c r="CF36" s="55">
        <f>BowlSplit(C36:CC36,BallsBowled)</f>
        <v>20</v>
      </c>
      <c r="CG36" s="57">
        <f>BowlSplit(C36:CC36,OversBowled)</f>
        <v>3.2</v>
      </c>
      <c r="CH36" s="55">
        <f>BowlSplit(C36:CC36,Maidens)</f>
        <v>0</v>
      </c>
      <c r="CI36" s="55">
        <f>BowlSplit(C36:CC36,RunsConceded)</f>
        <v>13</v>
      </c>
      <c r="CJ36" s="55">
        <f>BowlSplit(C36:CC36,WicketsTaken)</f>
        <v>1</v>
      </c>
      <c r="CK36" s="58">
        <f>IF(CJ36&gt;0,CI36/CJ36,"")</f>
        <v>13</v>
      </c>
      <c r="CL36" s="59">
        <f>IF(CJ36&gt;0,CF36/CJ36,"")</f>
        <v>20</v>
      </c>
      <c r="CM36" s="59">
        <f>IF(CF36&gt;0,6*CI36/CF36,"")</f>
        <v>3.9</v>
      </c>
      <c r="CN36" s="49" t="str">
        <f>BowlSplit(C36:CC36,BestBowling)</f>
        <v>1-13</v>
      </c>
      <c r="CO36" s="55">
        <f>BowlSplit(C36:CC36,BowlPts)</f>
        <v>15</v>
      </c>
      <c r="CP36" s="55">
        <f>BowlSplit(C36:CC36,Wides)</f>
        <v>0</v>
      </c>
      <c r="CQ36" s="55">
        <f>BowlSplit(C36:CC36,NoBalls)</f>
        <v>0</v>
      </c>
      <c r="CR36" s="60">
        <f>IF(CJ36&gt;0,CK36,IF(CF36&gt;0,CF36+1000,99999))+ROW(CQ36)/10000</f>
        <v>13.0036</v>
      </c>
      <c r="CS36" s="2">
        <f t="shared" si="9"/>
        <v>9</v>
      </c>
    </row>
    <row r="37" spans="1:97" ht="11.25" customHeight="1" x14ac:dyDescent="0.15">
      <c r="A37" s="2" t="s">
        <v>101</v>
      </c>
      <c r="B37" s="2" t="s">
        <v>208</v>
      </c>
      <c r="M37" s="60"/>
      <c r="CE37" s="55">
        <f>BowlSplit(C37:CC37,InnsBowledIn)</f>
        <v>0</v>
      </c>
      <c r="CF37" s="55">
        <f>BowlSplit(C37:CC37,BallsBowled)</f>
        <v>0</v>
      </c>
      <c r="CG37" s="57">
        <f>BowlSplit(C37:CC37,OversBowled)</f>
        <v>0</v>
      </c>
      <c r="CH37" s="55">
        <f>BowlSplit(C37:CC37,Maidens)</f>
        <v>0</v>
      </c>
      <c r="CI37" s="55">
        <f>BowlSplit(C37:CC37,RunsConceded)</f>
        <v>0</v>
      </c>
      <c r="CJ37" s="55">
        <f>BowlSplit(C37:CC37,WicketsTaken)</f>
        <v>0</v>
      </c>
      <c r="CK37" s="58" t="str">
        <f>IF(CJ37&gt;0,CI37/CJ37,"")</f>
        <v/>
      </c>
      <c r="CL37" s="59" t="str">
        <f>IF(CJ37&gt;0,CF37/CJ37,"")</f>
        <v/>
      </c>
      <c r="CM37" s="59" t="str">
        <f>IF(CF37&gt;0,6*CI37/CF37,"")</f>
        <v/>
      </c>
      <c r="CN37" s="49" t="str">
        <f>BowlSplit(C37:CC37,BestBowling)</f>
        <v/>
      </c>
      <c r="CO37" s="55">
        <f>BowlSplit(C37:CC37,BowlPts)</f>
        <v>0</v>
      </c>
      <c r="CP37" s="55">
        <f>BowlSplit(C37:CC37,Wides)</f>
        <v>0</v>
      </c>
      <c r="CQ37" s="55">
        <f>BowlSplit(C37:CC37,NoBalls)</f>
        <v>0</v>
      </c>
      <c r="CR37" s="60">
        <f>IF(CJ37&gt;0,CK37,IF(CF37&gt;0,CF37+1000,99999))+ROW(CQ37)/10000</f>
        <v>99999.003700000001</v>
      </c>
      <c r="CS37" s="2">
        <f t="shared" si="9"/>
        <v>41</v>
      </c>
    </row>
    <row r="38" spans="1:97" ht="11.25" customHeight="1" x14ac:dyDescent="0.15">
      <c r="A38" s="2" t="s">
        <v>99</v>
      </c>
      <c r="B38" s="2" t="s">
        <v>209</v>
      </c>
      <c r="M38" s="60"/>
      <c r="CE38" s="55">
        <f t="shared" si="10"/>
        <v>0</v>
      </c>
      <c r="CF38" s="55">
        <f t="shared" si="0"/>
        <v>0</v>
      </c>
      <c r="CG38" s="57">
        <f t="shared" si="1"/>
        <v>0</v>
      </c>
      <c r="CH38" s="55">
        <f t="shared" si="2"/>
        <v>0</v>
      </c>
      <c r="CI38" s="55">
        <f t="shared" si="3"/>
        <v>0</v>
      </c>
      <c r="CJ38" s="55">
        <f t="shared" si="4"/>
        <v>0</v>
      </c>
      <c r="CK38" s="58" t="str">
        <f t="shared" si="11"/>
        <v/>
      </c>
      <c r="CL38" s="59" t="str">
        <f t="shared" si="12"/>
        <v/>
      </c>
      <c r="CM38" s="59" t="str">
        <f t="shared" si="13"/>
        <v/>
      </c>
      <c r="CN38" s="49" t="str">
        <f t="shared" si="5"/>
        <v/>
      </c>
      <c r="CO38" s="55">
        <f t="shared" si="6"/>
        <v>0</v>
      </c>
      <c r="CP38" s="55">
        <f t="shared" si="7"/>
        <v>0</v>
      </c>
      <c r="CQ38" s="55">
        <f t="shared" si="8"/>
        <v>0</v>
      </c>
      <c r="CR38" s="60">
        <f t="shared" si="14"/>
        <v>99999.003800000006</v>
      </c>
      <c r="CS38" s="2">
        <f t="shared" si="9"/>
        <v>42</v>
      </c>
    </row>
    <row r="39" spans="1:97" ht="11.25" customHeight="1" x14ac:dyDescent="0.15">
      <c r="A39" s="2" t="s">
        <v>225</v>
      </c>
      <c r="B39" s="2" t="s">
        <v>210</v>
      </c>
      <c r="M39" s="60"/>
      <c r="CE39" s="55">
        <f>BowlSplit(C39:CC39,InnsBowledIn)</f>
        <v>0</v>
      </c>
      <c r="CF39" s="55">
        <f>BowlSplit(C39:CC39,BallsBowled)</f>
        <v>0</v>
      </c>
      <c r="CG39" s="57">
        <f>BowlSplit(C39:CC39,OversBowled)</f>
        <v>0</v>
      </c>
      <c r="CH39" s="55">
        <f>BowlSplit(C39:CC39,Maidens)</f>
        <v>0</v>
      </c>
      <c r="CI39" s="55">
        <f>BowlSplit(C39:CC39,RunsConceded)</f>
        <v>0</v>
      </c>
      <c r="CJ39" s="55">
        <f>BowlSplit(C39:CC39,WicketsTaken)</f>
        <v>0</v>
      </c>
      <c r="CK39" s="58" t="str">
        <f>IF(CJ39&gt;0,CI39/CJ39,"")</f>
        <v/>
      </c>
      <c r="CL39" s="59" t="str">
        <f>IF(CJ39&gt;0,CF39/CJ39,"")</f>
        <v/>
      </c>
      <c r="CM39" s="59" t="str">
        <f>IF(CF39&gt;0,6*CI39/CF39,"")</f>
        <v/>
      </c>
      <c r="CN39" s="49" t="str">
        <f>BowlSplit(C39:CC39,BestBowling)</f>
        <v/>
      </c>
      <c r="CO39" s="55">
        <f>BowlSplit(C39:CC39,BowlPts)</f>
        <v>0</v>
      </c>
      <c r="CP39" s="55">
        <f>BowlSplit(C39:CC39,Wides)</f>
        <v>0</v>
      </c>
      <c r="CQ39" s="55">
        <f>BowlSplit(C39:CC39,NoBalls)</f>
        <v>0</v>
      </c>
      <c r="CR39" s="60">
        <f t="shared" si="14"/>
        <v>99999.003899999996</v>
      </c>
      <c r="CS39" s="2">
        <f t="shared" si="9"/>
        <v>43</v>
      </c>
    </row>
    <row r="40" spans="1:97" ht="11.25" customHeight="1" x14ac:dyDescent="0.15">
      <c r="A40" s="2" t="s">
        <v>71</v>
      </c>
      <c r="B40" s="2" t="s">
        <v>211</v>
      </c>
      <c r="CE40" s="55">
        <f t="shared" si="10"/>
        <v>0</v>
      </c>
      <c r="CF40" s="55">
        <f t="shared" si="0"/>
        <v>0</v>
      </c>
      <c r="CG40" s="57">
        <f t="shared" si="1"/>
        <v>0</v>
      </c>
      <c r="CH40" s="55">
        <f t="shared" si="2"/>
        <v>0</v>
      </c>
      <c r="CI40" s="55">
        <f t="shared" si="3"/>
        <v>0</v>
      </c>
      <c r="CJ40" s="55">
        <f t="shared" si="4"/>
        <v>0</v>
      </c>
      <c r="CK40" s="58" t="str">
        <f t="shared" si="11"/>
        <v/>
      </c>
      <c r="CL40" s="59" t="str">
        <f t="shared" si="12"/>
        <v/>
      </c>
      <c r="CM40" s="59" t="str">
        <f t="shared" si="13"/>
        <v/>
      </c>
      <c r="CN40" s="49" t="str">
        <f t="shared" si="5"/>
        <v/>
      </c>
      <c r="CO40" s="55">
        <f t="shared" si="6"/>
        <v>0</v>
      </c>
      <c r="CP40" s="55">
        <f t="shared" si="7"/>
        <v>0</v>
      </c>
      <c r="CQ40" s="55">
        <f t="shared" si="8"/>
        <v>0</v>
      </c>
      <c r="CR40" s="60">
        <f t="shared" si="14"/>
        <v>99999.004000000001</v>
      </c>
      <c r="CS40" s="2">
        <f t="shared" si="9"/>
        <v>44</v>
      </c>
    </row>
    <row r="41" spans="1:97" ht="11.25" customHeight="1" x14ac:dyDescent="0.15">
      <c r="A41" s="2" t="s">
        <v>267</v>
      </c>
      <c r="B41" s="2" t="s">
        <v>240</v>
      </c>
      <c r="CE41" s="55">
        <f>BowlSplit(C41:CC41,InnsBowledIn)</f>
        <v>0</v>
      </c>
      <c r="CF41" s="55">
        <f>BowlSplit(C41:CC41,BallsBowled)</f>
        <v>0</v>
      </c>
      <c r="CG41" s="57">
        <f>BowlSplit(C41:CC41,OversBowled)</f>
        <v>0</v>
      </c>
      <c r="CH41" s="55">
        <f>BowlSplit(C41:CC41,Maidens)</f>
        <v>0</v>
      </c>
      <c r="CI41" s="55">
        <f>BowlSplit(C41:CC41,RunsConceded)</f>
        <v>0</v>
      </c>
      <c r="CJ41" s="55">
        <f>BowlSplit(C41:CC41,WicketsTaken)</f>
        <v>0</v>
      </c>
      <c r="CK41" s="58" t="str">
        <f>IF(CJ41&gt;0,CI41/CJ41,"")</f>
        <v/>
      </c>
      <c r="CL41" s="59" t="str">
        <f>IF(CJ41&gt;0,CF41/CJ41,"")</f>
        <v/>
      </c>
      <c r="CM41" s="59" t="str">
        <f>IF(CF41&gt;0,6*CI41/CF41,"")</f>
        <v/>
      </c>
      <c r="CN41" s="49" t="str">
        <f>BowlSplit(C41:CC41,BestBowling)</f>
        <v/>
      </c>
      <c r="CO41" s="55">
        <f>BowlSplit(C41:CC41,BowlPts)</f>
        <v>0</v>
      </c>
      <c r="CP41" s="55">
        <f>BowlSplit(C41:CC41,Wides)</f>
        <v>0</v>
      </c>
      <c r="CQ41" s="55">
        <f>BowlSplit(C41:CC41,NoBalls)</f>
        <v>0</v>
      </c>
      <c r="CR41" s="60">
        <f>IF(CJ41&gt;0,CK41,IF(CF41&gt;0,CF41+1000,99999))+ROW(CQ41)/10000</f>
        <v>99999.004100000006</v>
      </c>
      <c r="CS41" s="2">
        <f t="shared" si="9"/>
        <v>45</v>
      </c>
    </row>
    <row r="42" spans="1:97" ht="11.25" customHeight="1" x14ac:dyDescent="0.15">
      <c r="A42" s="2" t="s">
        <v>72</v>
      </c>
      <c r="B42" s="2" t="s">
        <v>212</v>
      </c>
      <c r="J42" s="2" t="s">
        <v>472</v>
      </c>
      <c r="L42" s="2" t="s">
        <v>483</v>
      </c>
      <c r="M42" s="60"/>
      <c r="P42" s="2" t="s">
        <v>581</v>
      </c>
      <c r="R42" s="2" t="s">
        <v>621</v>
      </c>
      <c r="AA42" s="2" t="s">
        <v>766</v>
      </c>
      <c r="AC42" s="2" t="s">
        <v>782</v>
      </c>
      <c r="AD42" s="2" t="s">
        <v>747</v>
      </c>
      <c r="AG42" s="2" t="s">
        <v>899</v>
      </c>
      <c r="AI42" s="2" t="s">
        <v>839</v>
      </c>
      <c r="AM42" s="2" t="s">
        <v>903</v>
      </c>
      <c r="AO42" s="2" t="s">
        <v>946</v>
      </c>
      <c r="AQ42" s="2" t="s">
        <v>950</v>
      </c>
      <c r="AT42" s="2" t="s">
        <v>985</v>
      </c>
      <c r="CE42" s="55">
        <f t="shared" si="10"/>
        <v>13</v>
      </c>
      <c r="CF42" s="55">
        <f t="shared" si="0"/>
        <v>485</v>
      </c>
      <c r="CG42" s="57">
        <f t="shared" si="1"/>
        <v>80.5</v>
      </c>
      <c r="CH42" s="55">
        <f t="shared" si="2"/>
        <v>17</v>
      </c>
      <c r="CI42" s="55">
        <f t="shared" si="3"/>
        <v>294</v>
      </c>
      <c r="CJ42" s="55">
        <f t="shared" si="4"/>
        <v>18</v>
      </c>
      <c r="CK42" s="58">
        <f t="shared" si="11"/>
        <v>16.333333333333332</v>
      </c>
      <c r="CL42" s="59">
        <f t="shared" si="12"/>
        <v>26.944444444444443</v>
      </c>
      <c r="CM42" s="59">
        <f t="shared" si="13"/>
        <v>3.6371134020618556</v>
      </c>
      <c r="CN42" s="49" t="str">
        <f t="shared" si="5"/>
        <v>6-22</v>
      </c>
      <c r="CO42" s="55">
        <f t="shared" si="6"/>
        <v>247</v>
      </c>
      <c r="CP42" s="55">
        <f t="shared" si="7"/>
        <v>11</v>
      </c>
      <c r="CQ42" s="55">
        <f t="shared" si="8"/>
        <v>2</v>
      </c>
      <c r="CR42" s="60">
        <f t="shared" si="14"/>
        <v>16.337533333333333</v>
      </c>
      <c r="CS42" s="2">
        <f t="shared" si="9"/>
        <v>14</v>
      </c>
    </row>
    <row r="43" spans="1:97" ht="11.25" customHeight="1" x14ac:dyDescent="0.15">
      <c r="A43" s="2" t="s">
        <v>73</v>
      </c>
      <c r="B43" s="2" t="s">
        <v>213</v>
      </c>
      <c r="H43" s="2" t="s">
        <v>399</v>
      </c>
      <c r="M43" s="2" t="s">
        <v>518</v>
      </c>
      <c r="R43" s="2" t="s">
        <v>623</v>
      </c>
      <c r="AE43" s="2" t="s">
        <v>799</v>
      </c>
      <c r="AG43" s="2" t="s">
        <v>586</v>
      </c>
      <c r="AJ43" s="2" t="s">
        <v>851</v>
      </c>
      <c r="CE43" s="55">
        <f t="shared" si="10"/>
        <v>6</v>
      </c>
      <c r="CF43" s="55">
        <f t="shared" si="0"/>
        <v>293</v>
      </c>
      <c r="CG43" s="57">
        <f t="shared" si="1"/>
        <v>48.5</v>
      </c>
      <c r="CH43" s="55">
        <f t="shared" si="2"/>
        <v>12</v>
      </c>
      <c r="CI43" s="55">
        <f t="shared" si="3"/>
        <v>127</v>
      </c>
      <c r="CJ43" s="55">
        <f t="shared" si="4"/>
        <v>9</v>
      </c>
      <c r="CK43" s="58">
        <f t="shared" si="11"/>
        <v>14.111111111111111</v>
      </c>
      <c r="CL43" s="59">
        <f t="shared" si="12"/>
        <v>32.555555555555557</v>
      </c>
      <c r="CM43" s="59">
        <f t="shared" si="13"/>
        <v>2.6006825938566553</v>
      </c>
      <c r="CN43" s="49" t="str">
        <f t="shared" si="5"/>
        <v>4-24</v>
      </c>
      <c r="CO43" s="55">
        <f t="shared" si="6"/>
        <v>147</v>
      </c>
      <c r="CP43" s="55">
        <f t="shared" si="7"/>
        <v>3</v>
      </c>
      <c r="CQ43" s="55">
        <f t="shared" si="8"/>
        <v>0</v>
      </c>
      <c r="CR43" s="60">
        <f t="shared" si="14"/>
        <v>14.115411111111111</v>
      </c>
      <c r="CS43" s="2">
        <f t="shared" si="9"/>
        <v>11</v>
      </c>
    </row>
    <row r="44" spans="1:97" ht="11.25" customHeight="1" x14ac:dyDescent="0.15">
      <c r="B44" s="2" t="s">
        <v>813</v>
      </c>
      <c r="AF44" s="2" t="s">
        <v>816</v>
      </c>
      <c r="CE44" s="55">
        <f>BowlSplit(C44:CC44,InnsBowledIn)</f>
        <v>1</v>
      </c>
      <c r="CF44" s="55">
        <f>BowlSplit(C44:CC44,BallsBowled)</f>
        <v>72</v>
      </c>
      <c r="CG44" s="57">
        <f>BowlSplit(C44:CC44,OversBowled)</f>
        <v>12</v>
      </c>
      <c r="CH44" s="55">
        <f>BowlSplit(C44:CC44,Maidens)</f>
        <v>3</v>
      </c>
      <c r="CI44" s="55">
        <f>BowlSplit(C44:CC44,RunsConceded)</f>
        <v>35</v>
      </c>
      <c r="CJ44" s="55">
        <f>BowlSplit(C44:CC44,WicketsTaken)</f>
        <v>2</v>
      </c>
      <c r="CK44" s="58">
        <f>IF(CJ44&gt;0,CI44/CJ44,"")</f>
        <v>17.5</v>
      </c>
      <c r="CL44" s="59">
        <f>IF(CJ44&gt;0,CF44/CJ44,"")</f>
        <v>36</v>
      </c>
      <c r="CM44" s="59">
        <f>IF(CF44&gt;0,6*CI44/CF44,"")</f>
        <v>2.9166666666666665</v>
      </c>
      <c r="CN44" s="49" t="str">
        <f>BowlSplit(C44:CC44,BestBowling)</f>
        <v>2-35</v>
      </c>
      <c r="CO44" s="55">
        <f>BowlSplit(C44:CC44,BowlPts)</f>
        <v>33</v>
      </c>
      <c r="CP44" s="55">
        <f>BowlSplit(C44:CC44,Wides)</f>
        <v>0</v>
      </c>
      <c r="CQ44" s="55">
        <f>BowlSplit(C44:CC44,NoBalls)</f>
        <v>0</v>
      </c>
      <c r="CR44" s="60">
        <f>IF(CJ44&gt;0,CK44,IF(CF44&gt;0,CF44+1000,99999))+ROW(CQ44)/10000</f>
        <v>17.5044</v>
      </c>
      <c r="CS44" s="2">
        <f t="shared" si="9"/>
        <v>16</v>
      </c>
    </row>
    <row r="45" spans="1:97" ht="11.25" customHeight="1" x14ac:dyDescent="0.15">
      <c r="A45" s="2" t="s">
        <v>74</v>
      </c>
      <c r="B45" s="2" t="s">
        <v>214</v>
      </c>
      <c r="CE45" s="55">
        <f>BowlSplit(C45:CC45,InnsBowledIn)</f>
        <v>0</v>
      </c>
      <c r="CF45" s="55">
        <f>BowlSplit(C45:CC45,BallsBowled)</f>
        <v>0</v>
      </c>
      <c r="CG45" s="57">
        <f>BowlSplit(C45:CC45,OversBowled)</f>
        <v>0</v>
      </c>
      <c r="CH45" s="55">
        <f>BowlSplit(C45:CC45,Maidens)</f>
        <v>0</v>
      </c>
      <c r="CI45" s="55">
        <f>BowlSplit(C45:CC45,RunsConceded)</f>
        <v>0</v>
      </c>
      <c r="CJ45" s="55">
        <f>BowlSplit(C45:CC45,WicketsTaken)</f>
        <v>0</v>
      </c>
      <c r="CK45" s="58" t="str">
        <f>IF(CJ45&gt;0,CI45/CJ45,"")</f>
        <v/>
      </c>
      <c r="CL45" s="59" t="str">
        <f>IF(CJ45&gt;0,CF45/CJ45,"")</f>
        <v/>
      </c>
      <c r="CM45" s="59" t="str">
        <f>IF(CF45&gt;0,6*CI45/CF45,"")</f>
        <v/>
      </c>
      <c r="CN45" s="49" t="str">
        <f>BowlSplit(C45:CC45,BestBowling)</f>
        <v/>
      </c>
      <c r="CO45" s="55">
        <f>BowlSplit(C45:CC45,BowlPts)</f>
        <v>0</v>
      </c>
      <c r="CP45" s="55">
        <f>BowlSplit(C45:CC45,Wides)</f>
        <v>0</v>
      </c>
      <c r="CQ45" s="55">
        <f>BowlSplit(C45:CC45,NoBalls)</f>
        <v>0</v>
      </c>
      <c r="CR45" s="60">
        <f>IF(CJ45&gt;0,CK45,IF(CF45&gt;0,CF45+1000,99999))+ROW(CQ45)/10000</f>
        <v>99999.004499999995</v>
      </c>
      <c r="CS45" s="2">
        <f t="shared" si="9"/>
        <v>46</v>
      </c>
    </row>
    <row r="46" spans="1:97" ht="11.25" customHeight="1" x14ac:dyDescent="0.15">
      <c r="A46" s="2" t="s">
        <v>75</v>
      </c>
      <c r="B46" s="2" t="s">
        <v>215</v>
      </c>
      <c r="D46" s="2" t="s">
        <v>337</v>
      </c>
      <c r="G46" s="2" t="s">
        <v>438</v>
      </c>
      <c r="J46" s="2" t="s">
        <v>471</v>
      </c>
      <c r="L46" s="2" t="s">
        <v>482</v>
      </c>
      <c r="N46" s="2" t="s">
        <v>575</v>
      </c>
      <c r="P46" s="2" t="s">
        <v>582</v>
      </c>
      <c r="Z46" s="2" t="s">
        <v>708</v>
      </c>
      <c r="AE46" s="2" t="s">
        <v>798</v>
      </c>
      <c r="AG46" s="2" t="s">
        <v>898</v>
      </c>
      <c r="AI46" s="2" t="s">
        <v>840</v>
      </c>
      <c r="AM46" s="2" t="s">
        <v>902</v>
      </c>
      <c r="AN46" s="2" t="s">
        <v>921</v>
      </c>
      <c r="AO46" s="2" t="s">
        <v>945</v>
      </c>
      <c r="AQ46" s="2" t="s">
        <v>949</v>
      </c>
      <c r="AR46" s="2" t="s">
        <v>967</v>
      </c>
      <c r="AT46" s="2" t="s">
        <v>984</v>
      </c>
      <c r="CE46" s="55">
        <f t="shared" si="10"/>
        <v>16</v>
      </c>
      <c r="CF46" s="55">
        <f t="shared" si="0"/>
        <v>548</v>
      </c>
      <c r="CG46" s="57">
        <f t="shared" si="1"/>
        <v>91.2</v>
      </c>
      <c r="CH46" s="55">
        <f t="shared" si="2"/>
        <v>29</v>
      </c>
      <c r="CI46" s="55">
        <f t="shared" si="3"/>
        <v>247</v>
      </c>
      <c r="CJ46" s="55">
        <f t="shared" si="4"/>
        <v>22</v>
      </c>
      <c r="CK46" s="58">
        <f t="shared" si="11"/>
        <v>11.227272727272727</v>
      </c>
      <c r="CL46" s="59">
        <f t="shared" si="12"/>
        <v>24.90909090909091</v>
      </c>
      <c r="CM46" s="59">
        <f t="shared" si="13"/>
        <v>2.7043795620437958</v>
      </c>
      <c r="CN46" s="49" t="str">
        <f t="shared" si="5"/>
        <v>3-8</v>
      </c>
      <c r="CO46" s="55">
        <f t="shared" si="6"/>
        <v>344</v>
      </c>
      <c r="CP46" s="55">
        <f t="shared" si="7"/>
        <v>14</v>
      </c>
      <c r="CQ46" s="55">
        <f t="shared" si="8"/>
        <v>4</v>
      </c>
      <c r="CR46" s="60">
        <f t="shared" si="14"/>
        <v>11.231872727272727</v>
      </c>
      <c r="CS46" s="2">
        <f t="shared" si="9"/>
        <v>5</v>
      </c>
    </row>
    <row r="47" spans="1:97" ht="11.25" customHeight="1" x14ac:dyDescent="0.15">
      <c r="A47" s="2" t="s">
        <v>266</v>
      </c>
      <c r="B47" s="2" t="s">
        <v>230</v>
      </c>
      <c r="CE47" s="55">
        <f>BowlSplit(C47:CC47,InnsBowledIn)</f>
        <v>0</v>
      </c>
      <c r="CF47" s="55">
        <f>BowlSplit(C47:CC47,BallsBowled)</f>
        <v>0</v>
      </c>
      <c r="CG47" s="57">
        <f>BowlSplit(C47:CC47,OversBowled)</f>
        <v>0</v>
      </c>
      <c r="CH47" s="55">
        <f>BowlSplit(C47:CC47,Maidens)</f>
        <v>0</v>
      </c>
      <c r="CI47" s="55">
        <f>BowlSplit(C47:CC47,RunsConceded)</f>
        <v>0</v>
      </c>
      <c r="CJ47" s="55">
        <f>BowlSplit(C47:CC47,WicketsTaken)</f>
        <v>0</v>
      </c>
      <c r="CK47" s="58" t="str">
        <f>IF(CJ47&gt;0,CI47/CJ47,"")</f>
        <v/>
      </c>
      <c r="CL47" s="59" t="str">
        <f>IF(CJ47&gt;0,CF47/CJ47,"")</f>
        <v/>
      </c>
      <c r="CM47" s="59" t="str">
        <f>IF(CF47&gt;0,6*CI47/CF47,"")</f>
        <v/>
      </c>
      <c r="CN47" s="49" t="str">
        <f>BowlSplit(C47:CC47,BestBowling)</f>
        <v/>
      </c>
      <c r="CO47" s="55">
        <f>BowlSplit(C47:CC47,BowlPts)</f>
        <v>0</v>
      </c>
      <c r="CP47" s="55">
        <f>BowlSplit(C47:CC47,Wides)</f>
        <v>0</v>
      </c>
      <c r="CQ47" s="55">
        <f>BowlSplit(C47:CC47,NoBalls)</f>
        <v>0</v>
      </c>
      <c r="CR47" s="60">
        <f>IF(CJ47&gt;0,CK47,IF(CF47&gt;0,CF47+1000,99999))+ROW(CQ47)/10000</f>
        <v>99999.004700000005</v>
      </c>
      <c r="CS47" s="2">
        <f t="shared" si="9"/>
        <v>47</v>
      </c>
    </row>
    <row r="48" spans="1:97" x14ac:dyDescent="0.15">
      <c r="A48" s="2" t="s">
        <v>168</v>
      </c>
      <c r="B48" s="2" t="s">
        <v>192</v>
      </c>
      <c r="CE48" s="55">
        <f t="shared" ref="CE48:CE53" si="15">BowlSplit(C48:CC48,InnsBowledIn)</f>
        <v>0</v>
      </c>
      <c r="CF48" s="55">
        <f t="shared" ref="CF48:CF53" si="16">BowlSplit(C48:CC48,BallsBowled)</f>
        <v>0</v>
      </c>
      <c r="CG48" s="57">
        <f t="shared" ref="CG48:CG53" si="17">BowlSplit(C48:CC48,OversBowled)</f>
        <v>0</v>
      </c>
      <c r="CH48" s="55">
        <f t="shared" ref="CH48:CH53" si="18">BowlSplit(C48:CC48,Maidens)</f>
        <v>0</v>
      </c>
      <c r="CI48" s="55">
        <f t="shared" ref="CI48:CI53" si="19">BowlSplit(C48:CC48,RunsConceded)</f>
        <v>0</v>
      </c>
      <c r="CJ48" s="55">
        <f t="shared" ref="CJ48:CJ53" si="20">BowlSplit(C48:CC48,WicketsTaken)</f>
        <v>0</v>
      </c>
      <c r="CK48" s="58" t="str">
        <f t="shared" ref="CK48:CK53" si="21">IF(CJ48&gt;0,CI48/CJ48,"")</f>
        <v/>
      </c>
      <c r="CL48" s="59" t="str">
        <f t="shared" ref="CL48:CL53" si="22">IF(CJ48&gt;0,CF48/CJ48,"")</f>
        <v/>
      </c>
      <c r="CM48" s="59" t="str">
        <f t="shared" ref="CM48:CM53" si="23">IF(CF48&gt;0,6*CI48/CF48,"")</f>
        <v/>
      </c>
      <c r="CN48" s="49" t="str">
        <f t="shared" ref="CN48:CN53" si="24">BowlSplit(C48:CC48,BestBowling)</f>
        <v/>
      </c>
      <c r="CO48" s="55">
        <f t="shared" ref="CO48:CO53" si="25">BowlSplit(C48:CC48,BowlPts)</f>
        <v>0</v>
      </c>
      <c r="CP48" s="55">
        <f t="shared" ref="CP48:CP53" si="26">BowlSplit(C48:CC48,Wides)</f>
        <v>0</v>
      </c>
      <c r="CQ48" s="55">
        <f t="shared" ref="CQ48:CQ53" si="27">BowlSplit(C48:CC48,NoBalls)</f>
        <v>0</v>
      </c>
      <c r="CR48" s="60">
        <f t="shared" si="14"/>
        <v>99999.004799999995</v>
      </c>
      <c r="CS48" s="2">
        <f t="shared" si="9"/>
        <v>48</v>
      </c>
    </row>
    <row r="49" spans="1:97" x14ac:dyDescent="0.15">
      <c r="A49" s="2" t="s">
        <v>82</v>
      </c>
      <c r="B49" s="2" t="s">
        <v>216</v>
      </c>
      <c r="F49" s="2" t="s">
        <v>368</v>
      </c>
      <c r="J49" s="2" t="s">
        <v>470</v>
      </c>
      <c r="M49" s="2" t="s">
        <v>519</v>
      </c>
      <c r="O49" s="2" t="s">
        <v>549</v>
      </c>
      <c r="T49" s="2" t="s">
        <v>651</v>
      </c>
      <c r="AB49" s="2" t="s">
        <v>729</v>
      </c>
      <c r="AJ49" s="2" t="s">
        <v>850</v>
      </c>
      <c r="CE49" s="55">
        <f t="shared" si="15"/>
        <v>7</v>
      </c>
      <c r="CF49" s="55">
        <f t="shared" si="16"/>
        <v>156</v>
      </c>
      <c r="CG49" s="57">
        <f t="shared" si="17"/>
        <v>26</v>
      </c>
      <c r="CH49" s="55">
        <f t="shared" si="18"/>
        <v>1</v>
      </c>
      <c r="CI49" s="55">
        <f t="shared" si="19"/>
        <v>113</v>
      </c>
      <c r="CJ49" s="55">
        <f t="shared" si="20"/>
        <v>2</v>
      </c>
      <c r="CK49" s="58">
        <f t="shared" si="21"/>
        <v>56.5</v>
      </c>
      <c r="CL49" s="59">
        <f t="shared" si="22"/>
        <v>78</v>
      </c>
      <c r="CM49" s="59">
        <f t="shared" si="23"/>
        <v>4.3461538461538458</v>
      </c>
      <c r="CN49" s="49" t="str">
        <f t="shared" si="24"/>
        <v>1-14</v>
      </c>
      <c r="CO49" s="55">
        <f t="shared" si="25"/>
        <v>41</v>
      </c>
      <c r="CP49" s="55">
        <f t="shared" si="26"/>
        <v>20</v>
      </c>
      <c r="CQ49" s="55">
        <f t="shared" si="27"/>
        <v>2</v>
      </c>
      <c r="CR49" s="60">
        <f>IF(CJ49&gt;0,CK49,IF(CF49&gt;0,CF49+1000,99999))+ROW(CQ49)/10000</f>
        <v>56.504899999999999</v>
      </c>
      <c r="CS49" s="2">
        <f t="shared" si="9"/>
        <v>27</v>
      </c>
    </row>
    <row r="50" spans="1:97" x14ac:dyDescent="0.15">
      <c r="A50" s="2" t="s">
        <v>76</v>
      </c>
      <c r="B50" s="2" t="s">
        <v>217</v>
      </c>
      <c r="CE50" s="55">
        <f t="shared" si="15"/>
        <v>0</v>
      </c>
      <c r="CF50" s="55">
        <f t="shared" si="16"/>
        <v>0</v>
      </c>
      <c r="CG50" s="57">
        <f t="shared" si="17"/>
        <v>0</v>
      </c>
      <c r="CH50" s="55">
        <f t="shared" si="18"/>
        <v>0</v>
      </c>
      <c r="CI50" s="55">
        <f t="shared" si="19"/>
        <v>0</v>
      </c>
      <c r="CJ50" s="55">
        <f t="shared" si="20"/>
        <v>0</v>
      </c>
      <c r="CK50" s="58" t="str">
        <f t="shared" si="21"/>
        <v/>
      </c>
      <c r="CL50" s="59" t="str">
        <f t="shared" si="22"/>
        <v/>
      </c>
      <c r="CM50" s="59" t="str">
        <f t="shared" si="23"/>
        <v/>
      </c>
      <c r="CN50" s="49" t="str">
        <f t="shared" si="24"/>
        <v/>
      </c>
      <c r="CO50" s="55">
        <f t="shared" si="25"/>
        <v>0</v>
      </c>
      <c r="CP50" s="55">
        <f t="shared" si="26"/>
        <v>0</v>
      </c>
      <c r="CQ50" s="55">
        <f t="shared" si="27"/>
        <v>0</v>
      </c>
      <c r="CR50" s="60">
        <f t="shared" si="14"/>
        <v>99999.005000000005</v>
      </c>
      <c r="CS50" s="2">
        <f t="shared" si="9"/>
        <v>49</v>
      </c>
    </row>
    <row r="51" spans="1:97" x14ac:dyDescent="0.15">
      <c r="A51" s="2" t="s">
        <v>77</v>
      </c>
      <c r="B51" s="2" t="s">
        <v>78</v>
      </c>
      <c r="F51" s="2" t="s">
        <v>369</v>
      </c>
      <c r="N51" s="2" t="s">
        <v>578</v>
      </c>
      <c r="O51" s="2" t="s">
        <v>550</v>
      </c>
      <c r="R51" s="2" t="s">
        <v>624</v>
      </c>
      <c r="S51" s="2" t="s">
        <v>643</v>
      </c>
      <c r="U51" s="2" t="s">
        <v>666</v>
      </c>
      <c r="AC51" s="2" t="s">
        <v>785</v>
      </c>
      <c r="AE51" s="2" t="s">
        <v>800</v>
      </c>
      <c r="AG51" s="2" t="s">
        <v>900</v>
      </c>
      <c r="AH51" s="2" t="s">
        <v>868</v>
      </c>
      <c r="CE51" s="55">
        <f t="shared" si="15"/>
        <v>10</v>
      </c>
      <c r="CF51" s="55">
        <f t="shared" si="16"/>
        <v>542</v>
      </c>
      <c r="CG51" s="57">
        <f t="shared" si="17"/>
        <v>90.2</v>
      </c>
      <c r="CH51" s="55">
        <f t="shared" si="18"/>
        <v>24</v>
      </c>
      <c r="CI51" s="55">
        <f t="shared" si="19"/>
        <v>251</v>
      </c>
      <c r="CJ51" s="55">
        <f t="shared" si="20"/>
        <v>18</v>
      </c>
      <c r="CK51" s="58">
        <f t="shared" si="21"/>
        <v>13.944444444444445</v>
      </c>
      <c r="CL51" s="59">
        <f t="shared" si="22"/>
        <v>30.111111111111111</v>
      </c>
      <c r="CM51" s="59">
        <f t="shared" si="23"/>
        <v>2.7785977859778597</v>
      </c>
      <c r="CN51" s="49" t="str">
        <f t="shared" si="24"/>
        <v>5-45</v>
      </c>
      <c r="CO51" s="55">
        <f t="shared" si="25"/>
        <v>274</v>
      </c>
      <c r="CP51" s="55">
        <f t="shared" si="26"/>
        <v>4</v>
      </c>
      <c r="CQ51" s="55">
        <f t="shared" si="27"/>
        <v>0</v>
      </c>
      <c r="CR51" s="60">
        <f t="shared" si="14"/>
        <v>13.949544444444445</v>
      </c>
      <c r="CS51" s="2">
        <f t="shared" si="9"/>
        <v>10</v>
      </c>
    </row>
    <row r="52" spans="1:97" x14ac:dyDescent="0.15">
      <c r="A52" s="2" t="s">
        <v>79</v>
      </c>
      <c r="B52" s="2" t="s">
        <v>80</v>
      </c>
      <c r="AE52" s="2" t="s">
        <v>801</v>
      </c>
      <c r="CE52" s="55">
        <f t="shared" si="15"/>
        <v>1</v>
      </c>
      <c r="CF52" s="55">
        <f t="shared" si="16"/>
        <v>36</v>
      </c>
      <c r="CG52" s="57">
        <f t="shared" si="17"/>
        <v>6</v>
      </c>
      <c r="CH52" s="55">
        <f t="shared" si="18"/>
        <v>1</v>
      </c>
      <c r="CI52" s="55">
        <f t="shared" si="19"/>
        <v>19</v>
      </c>
      <c r="CJ52" s="55">
        <f t="shared" si="20"/>
        <v>1</v>
      </c>
      <c r="CK52" s="58">
        <f t="shared" si="21"/>
        <v>19</v>
      </c>
      <c r="CL52" s="59">
        <f t="shared" si="22"/>
        <v>36</v>
      </c>
      <c r="CM52" s="59">
        <f t="shared" si="23"/>
        <v>3.1666666666666665</v>
      </c>
      <c r="CN52" s="49" t="str">
        <f t="shared" si="24"/>
        <v>1-19</v>
      </c>
      <c r="CO52" s="55">
        <f t="shared" si="25"/>
        <v>16</v>
      </c>
      <c r="CP52" s="55">
        <f t="shared" si="26"/>
        <v>2</v>
      </c>
      <c r="CQ52" s="55">
        <f t="shared" si="27"/>
        <v>0</v>
      </c>
      <c r="CR52" s="60">
        <f t="shared" si="14"/>
        <v>19.005199999999999</v>
      </c>
      <c r="CS52" s="2">
        <f t="shared" si="9"/>
        <v>18</v>
      </c>
    </row>
    <row r="53" spans="1:97" x14ac:dyDescent="0.15">
      <c r="A53" s="2" t="s">
        <v>81</v>
      </c>
      <c r="B53" s="2" t="s">
        <v>218</v>
      </c>
      <c r="F53" s="2" t="s">
        <v>370</v>
      </c>
      <c r="H53" s="2" t="s">
        <v>589</v>
      </c>
      <c r="M53" s="2" t="s">
        <v>522</v>
      </c>
      <c r="O53" s="2" t="s">
        <v>551</v>
      </c>
      <c r="Q53" s="2" t="s">
        <v>608</v>
      </c>
      <c r="S53" s="2" t="s">
        <v>646</v>
      </c>
      <c r="U53" s="2" t="s">
        <v>670</v>
      </c>
      <c r="Z53" s="2" t="s">
        <v>711</v>
      </c>
      <c r="AB53" s="2" t="s">
        <v>734</v>
      </c>
      <c r="AH53" s="2" t="s">
        <v>871</v>
      </c>
      <c r="AJ53" s="2" t="s">
        <v>852</v>
      </c>
      <c r="AN53" s="2" t="s">
        <v>922</v>
      </c>
      <c r="AR53" s="2" t="s">
        <v>968</v>
      </c>
      <c r="AT53" s="2" t="s">
        <v>986</v>
      </c>
      <c r="CE53" s="55">
        <f t="shared" si="15"/>
        <v>14</v>
      </c>
      <c r="CF53" s="55">
        <f t="shared" si="16"/>
        <v>540</v>
      </c>
      <c r="CG53" s="57">
        <f t="shared" si="17"/>
        <v>90</v>
      </c>
      <c r="CH53" s="55">
        <f t="shared" si="18"/>
        <v>6</v>
      </c>
      <c r="CI53" s="55">
        <f t="shared" si="19"/>
        <v>420</v>
      </c>
      <c r="CJ53" s="55">
        <f t="shared" si="20"/>
        <v>18</v>
      </c>
      <c r="CK53" s="58">
        <f t="shared" si="21"/>
        <v>23.333333333333332</v>
      </c>
      <c r="CL53" s="59">
        <f t="shared" si="22"/>
        <v>30</v>
      </c>
      <c r="CM53" s="59">
        <f t="shared" si="23"/>
        <v>4.666666666666667</v>
      </c>
      <c r="CN53" s="49" t="str">
        <f t="shared" si="24"/>
        <v>3-28</v>
      </c>
      <c r="CO53" s="55">
        <f t="shared" si="25"/>
        <v>221</v>
      </c>
      <c r="CP53" s="55">
        <f t="shared" si="26"/>
        <v>8</v>
      </c>
      <c r="CQ53" s="55">
        <f t="shared" si="27"/>
        <v>0</v>
      </c>
      <c r="CR53" s="60">
        <f t="shared" si="14"/>
        <v>23.33863333333333</v>
      </c>
      <c r="CS53" s="2">
        <f t="shared" si="9"/>
        <v>22</v>
      </c>
    </row>
    <row r="55" spans="1:97" x14ac:dyDescent="0.15">
      <c r="B55" s="2" t="s">
        <v>159</v>
      </c>
      <c r="C55" s="2">
        <f>BowlSplit(C5:C53,RunsConceded)</f>
        <v>0</v>
      </c>
      <c r="D55" s="2">
        <f t="shared" ref="D55:BF55" si="28">BowlSplit(D5:D53,RunsConceded)</f>
        <v>89</v>
      </c>
      <c r="E55" s="2">
        <f t="shared" si="28"/>
        <v>0</v>
      </c>
      <c r="F55" s="2">
        <f t="shared" si="28"/>
        <v>105</v>
      </c>
      <c r="G55" s="2">
        <f t="shared" si="28"/>
        <v>67</v>
      </c>
      <c r="H55" s="2">
        <f t="shared" si="28"/>
        <v>93</v>
      </c>
      <c r="I55" s="2">
        <f t="shared" si="28"/>
        <v>0</v>
      </c>
      <c r="J55" s="2">
        <f t="shared" si="28"/>
        <v>72</v>
      </c>
      <c r="K55" s="2">
        <f>BowlSplit(K5:K53,RunsConceded)</f>
        <v>133</v>
      </c>
      <c r="L55" s="2">
        <f t="shared" si="28"/>
        <v>193</v>
      </c>
      <c r="M55" s="2">
        <f t="shared" si="28"/>
        <v>153</v>
      </c>
      <c r="N55" s="2">
        <f t="shared" si="28"/>
        <v>69</v>
      </c>
      <c r="O55" s="2">
        <f t="shared" si="28"/>
        <v>160</v>
      </c>
      <c r="P55" s="2">
        <f t="shared" si="28"/>
        <v>163</v>
      </c>
      <c r="Q55" s="2">
        <f t="shared" si="28"/>
        <v>79</v>
      </c>
      <c r="R55" s="2">
        <f t="shared" si="28"/>
        <v>151</v>
      </c>
      <c r="S55" s="2">
        <f t="shared" si="28"/>
        <v>49</v>
      </c>
      <c r="T55" s="2">
        <f t="shared" si="28"/>
        <v>126</v>
      </c>
      <c r="U55" s="2">
        <f t="shared" si="28"/>
        <v>168</v>
      </c>
      <c r="V55" s="2">
        <f t="shared" si="28"/>
        <v>16</v>
      </c>
      <c r="W55" s="2">
        <f t="shared" si="28"/>
        <v>0</v>
      </c>
      <c r="X55" s="2">
        <f t="shared" si="28"/>
        <v>0</v>
      </c>
      <c r="Y55" s="2">
        <f t="shared" si="28"/>
        <v>0</v>
      </c>
      <c r="Z55" s="2">
        <f t="shared" si="28"/>
        <v>106</v>
      </c>
      <c r="AA55" s="2">
        <f t="shared" si="28"/>
        <v>109</v>
      </c>
      <c r="AB55" s="2">
        <f t="shared" si="28"/>
        <v>285</v>
      </c>
      <c r="AC55" s="2">
        <f t="shared" si="28"/>
        <v>190</v>
      </c>
      <c r="AD55" s="2">
        <f t="shared" si="28"/>
        <v>153</v>
      </c>
      <c r="AE55" s="2">
        <f t="shared" si="28"/>
        <v>117</v>
      </c>
      <c r="AF55" s="2">
        <f t="shared" si="28"/>
        <v>140</v>
      </c>
      <c r="AG55" s="2">
        <f t="shared" si="28"/>
        <v>110</v>
      </c>
      <c r="AH55" s="2">
        <f t="shared" si="28"/>
        <v>130</v>
      </c>
      <c r="AI55" s="2">
        <f t="shared" si="28"/>
        <v>110</v>
      </c>
      <c r="AJ55" s="2">
        <f t="shared" si="28"/>
        <v>123</v>
      </c>
      <c r="AK55" s="2">
        <f t="shared" si="28"/>
        <v>0</v>
      </c>
      <c r="AL55" s="2">
        <f t="shared" si="28"/>
        <v>0</v>
      </c>
      <c r="AM55" s="2">
        <f t="shared" si="28"/>
        <v>169</v>
      </c>
      <c r="AN55" s="2">
        <f t="shared" si="28"/>
        <v>153</v>
      </c>
      <c r="AO55" s="2">
        <f t="shared" si="28"/>
        <v>87</v>
      </c>
      <c r="AP55" s="2">
        <f t="shared" si="28"/>
        <v>0</v>
      </c>
      <c r="AQ55" s="2">
        <f t="shared" si="28"/>
        <v>85</v>
      </c>
      <c r="AR55" s="2">
        <f t="shared" si="28"/>
        <v>44</v>
      </c>
      <c r="AS55" s="2">
        <f t="shared" si="28"/>
        <v>0</v>
      </c>
      <c r="AT55" s="2">
        <f t="shared" si="28"/>
        <v>158</v>
      </c>
      <c r="AU55" s="2">
        <f t="shared" si="28"/>
        <v>0</v>
      </c>
      <c r="AV55" s="2">
        <f t="shared" si="28"/>
        <v>0</v>
      </c>
      <c r="AW55" s="2">
        <f t="shared" si="28"/>
        <v>0</v>
      </c>
      <c r="AX55" s="2">
        <f t="shared" si="28"/>
        <v>0</v>
      </c>
      <c r="AY55" s="2">
        <f t="shared" si="28"/>
        <v>0</v>
      </c>
      <c r="AZ55" s="2">
        <f t="shared" si="28"/>
        <v>0</v>
      </c>
      <c r="BA55" s="2">
        <f t="shared" si="28"/>
        <v>0</v>
      </c>
      <c r="BB55" s="2">
        <f t="shared" si="28"/>
        <v>0</v>
      </c>
      <c r="BC55" s="2">
        <f t="shared" si="28"/>
        <v>0</v>
      </c>
      <c r="BD55" s="2">
        <f t="shared" si="28"/>
        <v>0</v>
      </c>
      <c r="BE55" s="2">
        <f t="shared" si="28"/>
        <v>0</v>
      </c>
      <c r="BF55" s="2">
        <f t="shared" si="28"/>
        <v>0</v>
      </c>
      <c r="CE55" s="55">
        <f>SUM(C55:BF55)</f>
        <v>4155</v>
      </c>
      <c r="CJ55" s="55">
        <f>SUM(CJ5:CJ53)</f>
        <v>266</v>
      </c>
    </row>
    <row r="56" spans="1:97" x14ac:dyDescent="0.15">
      <c r="B56" s="2" t="s">
        <v>160</v>
      </c>
      <c r="C56" s="2">
        <f t="array" ref="C56:BE57">TRANSPOSE(Matches!S5:T59)</f>
        <v>0</v>
      </c>
      <c r="D56" s="2">
        <v>12</v>
      </c>
      <c r="E56" s="2">
        <v>0</v>
      </c>
      <c r="F56" s="2">
        <v>0</v>
      </c>
      <c r="G56" s="2">
        <v>8</v>
      </c>
      <c r="H56" s="2">
        <v>3</v>
      </c>
      <c r="I56" s="2">
        <v>0</v>
      </c>
      <c r="J56" s="2">
        <v>3</v>
      </c>
      <c r="K56" s="2">
        <v>9</v>
      </c>
      <c r="L56" s="2">
        <v>2</v>
      </c>
      <c r="M56" s="2">
        <v>1</v>
      </c>
      <c r="N56" s="2">
        <v>2</v>
      </c>
      <c r="O56" s="2">
        <v>0</v>
      </c>
      <c r="P56" s="2">
        <v>4</v>
      </c>
      <c r="Q56" s="2">
        <v>2</v>
      </c>
      <c r="R56" s="2">
        <v>0</v>
      </c>
      <c r="S56" s="2">
        <v>0</v>
      </c>
      <c r="T56" s="2">
        <v>13</v>
      </c>
      <c r="U56" s="2">
        <v>2</v>
      </c>
      <c r="V56" s="2">
        <v>13</v>
      </c>
      <c r="W56" s="2">
        <v>0</v>
      </c>
      <c r="X56" s="2">
        <v>0</v>
      </c>
      <c r="Y56" s="2">
        <v>0</v>
      </c>
      <c r="Z56" s="2">
        <v>6</v>
      </c>
      <c r="AA56" s="2">
        <v>4</v>
      </c>
      <c r="AB56" s="2">
        <v>5</v>
      </c>
      <c r="AC56" s="2">
        <v>13</v>
      </c>
      <c r="AD56" s="2">
        <v>5</v>
      </c>
      <c r="AE56" s="2">
        <v>4</v>
      </c>
      <c r="AF56" s="2">
        <v>0</v>
      </c>
      <c r="AG56" s="2">
        <v>10</v>
      </c>
      <c r="AH56" s="2">
        <v>0</v>
      </c>
      <c r="AI56" s="2">
        <v>14</v>
      </c>
      <c r="AJ56" s="2">
        <v>3</v>
      </c>
      <c r="AK56" s="2">
        <v>0</v>
      </c>
      <c r="AL56" s="2">
        <v>0</v>
      </c>
      <c r="AM56" s="2">
        <v>0</v>
      </c>
      <c r="AN56" s="2">
        <v>1</v>
      </c>
      <c r="AO56" s="2">
        <v>5</v>
      </c>
      <c r="AP56" s="2">
        <v>0</v>
      </c>
      <c r="AQ56" s="2">
        <v>0</v>
      </c>
      <c r="AR56" s="2">
        <v>0</v>
      </c>
      <c r="AS56" s="2">
        <v>0</v>
      </c>
      <c r="AT56" s="2">
        <v>2</v>
      </c>
      <c r="AU56" s="2">
        <v>0</v>
      </c>
      <c r="AV56" s="2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2">
        <v>0</v>
      </c>
      <c r="BD56" s="2">
        <v>0</v>
      </c>
      <c r="BE56" s="2">
        <v>0</v>
      </c>
      <c r="CE56" s="55">
        <f>SUM(C56:BF56)</f>
        <v>146</v>
      </c>
    </row>
    <row r="57" spans="1:97" x14ac:dyDescent="0.15">
      <c r="B57" s="2" t="s">
        <v>161</v>
      </c>
      <c r="C57" s="2">
        <v>0</v>
      </c>
      <c r="D57" s="2">
        <v>1</v>
      </c>
      <c r="E57" s="2">
        <v>0</v>
      </c>
      <c r="F57" s="2">
        <v>0</v>
      </c>
      <c r="G57" s="2">
        <v>3</v>
      </c>
      <c r="H57" s="2">
        <v>1</v>
      </c>
      <c r="I57" s="2">
        <v>0</v>
      </c>
      <c r="J57" s="2">
        <v>3</v>
      </c>
      <c r="K57" s="2">
        <v>4</v>
      </c>
      <c r="L57" s="2">
        <v>6</v>
      </c>
      <c r="M57" s="2">
        <v>0</v>
      </c>
      <c r="N57" s="2">
        <v>9</v>
      </c>
      <c r="O57" s="2">
        <v>6</v>
      </c>
      <c r="P57" s="2">
        <v>2</v>
      </c>
      <c r="Q57" s="2">
        <v>1</v>
      </c>
      <c r="R57" s="2">
        <v>2</v>
      </c>
      <c r="S57" s="2">
        <v>0</v>
      </c>
      <c r="T57" s="2">
        <v>0</v>
      </c>
      <c r="U57" s="2">
        <v>0</v>
      </c>
      <c r="V57" s="2">
        <v>2</v>
      </c>
      <c r="W57" s="2">
        <v>0</v>
      </c>
      <c r="X57" s="2">
        <v>0</v>
      </c>
      <c r="Y57" s="2">
        <v>0</v>
      </c>
      <c r="Z57" s="2">
        <v>6</v>
      </c>
      <c r="AA57" s="2">
        <v>1</v>
      </c>
      <c r="AB57" s="2">
        <v>7</v>
      </c>
      <c r="AC57" s="2">
        <v>3</v>
      </c>
      <c r="AD57" s="2">
        <v>0</v>
      </c>
      <c r="AE57" s="2">
        <v>0</v>
      </c>
      <c r="AF57" s="2">
        <v>2</v>
      </c>
      <c r="AG57" s="2">
        <v>1</v>
      </c>
      <c r="AH57" s="2">
        <v>4</v>
      </c>
      <c r="AI57" s="2">
        <v>2</v>
      </c>
      <c r="AJ57" s="2">
        <v>0</v>
      </c>
      <c r="AK57" s="2">
        <v>0</v>
      </c>
      <c r="AL57" s="2">
        <v>0</v>
      </c>
      <c r="AM57" s="2">
        <v>2</v>
      </c>
      <c r="AN57" s="2">
        <v>0</v>
      </c>
      <c r="AO57" s="2">
        <v>1</v>
      </c>
      <c r="AP57" s="2">
        <v>0</v>
      </c>
      <c r="AQ57" s="2">
        <v>0</v>
      </c>
      <c r="AR57" s="2">
        <v>0</v>
      </c>
      <c r="AS57" s="2">
        <v>0</v>
      </c>
      <c r="AT57" s="2">
        <v>1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E57" s="2">
        <v>0</v>
      </c>
      <c r="CE57" s="55">
        <f>SUM(C57:BF57)</f>
        <v>70</v>
      </c>
      <c r="CG57" s="55" t="s">
        <v>264</v>
      </c>
      <c r="CH57" s="55" t="s">
        <v>265</v>
      </c>
    </row>
    <row r="58" spans="1:97" s="56" customFormat="1" x14ac:dyDescent="0.15">
      <c r="B58" s="56" t="s">
        <v>158</v>
      </c>
      <c r="C58" s="56">
        <f>SUM(C55:C57)</f>
        <v>0</v>
      </c>
      <c r="D58" s="56">
        <f t="shared" ref="D58:BE58" si="29">SUM(D55:D57)</f>
        <v>102</v>
      </c>
      <c r="E58" s="56">
        <f t="shared" si="29"/>
        <v>0</v>
      </c>
      <c r="F58" s="56">
        <f t="shared" si="29"/>
        <v>105</v>
      </c>
      <c r="G58" s="56">
        <f t="shared" si="29"/>
        <v>78</v>
      </c>
      <c r="H58" s="56">
        <f t="shared" si="29"/>
        <v>97</v>
      </c>
      <c r="I58" s="56">
        <f t="shared" si="29"/>
        <v>0</v>
      </c>
      <c r="J58" s="56">
        <f t="shared" si="29"/>
        <v>78</v>
      </c>
      <c r="K58" s="56">
        <f t="shared" si="29"/>
        <v>146</v>
      </c>
      <c r="L58" s="56">
        <f t="shared" si="29"/>
        <v>201</v>
      </c>
      <c r="M58" s="56">
        <f t="shared" si="29"/>
        <v>154</v>
      </c>
      <c r="N58" s="56">
        <f t="shared" si="29"/>
        <v>80</v>
      </c>
      <c r="O58" s="56">
        <f t="shared" si="29"/>
        <v>166</v>
      </c>
      <c r="P58" s="56">
        <f t="shared" si="29"/>
        <v>169</v>
      </c>
      <c r="Q58" s="56">
        <f t="shared" si="29"/>
        <v>82</v>
      </c>
      <c r="R58" s="56">
        <f t="shared" si="29"/>
        <v>153</v>
      </c>
      <c r="S58" s="56">
        <f t="shared" si="29"/>
        <v>49</v>
      </c>
      <c r="T58" s="56">
        <f t="shared" si="29"/>
        <v>139</v>
      </c>
      <c r="U58" s="56">
        <f t="shared" si="29"/>
        <v>170</v>
      </c>
      <c r="V58" s="56">
        <f t="shared" si="29"/>
        <v>31</v>
      </c>
      <c r="W58" s="56">
        <f t="shared" si="29"/>
        <v>0</v>
      </c>
      <c r="X58" s="56">
        <f t="shared" si="29"/>
        <v>0</v>
      </c>
      <c r="Y58" s="56">
        <f t="shared" si="29"/>
        <v>0</v>
      </c>
      <c r="Z58" s="56">
        <f t="shared" si="29"/>
        <v>118</v>
      </c>
      <c r="AA58" s="56">
        <f t="shared" si="29"/>
        <v>114</v>
      </c>
      <c r="AB58" s="56">
        <f t="shared" si="29"/>
        <v>297</v>
      </c>
      <c r="AC58" s="56">
        <f t="shared" si="29"/>
        <v>206</v>
      </c>
      <c r="AD58" s="56">
        <f t="shared" si="29"/>
        <v>158</v>
      </c>
      <c r="AE58" s="56">
        <f t="shared" si="29"/>
        <v>121</v>
      </c>
      <c r="AF58" s="56">
        <f t="shared" si="29"/>
        <v>142</v>
      </c>
      <c r="AG58" s="56">
        <f t="shared" si="29"/>
        <v>121</v>
      </c>
      <c r="AH58" s="56">
        <f t="shared" si="29"/>
        <v>134</v>
      </c>
      <c r="AI58" s="56">
        <f t="shared" si="29"/>
        <v>126</v>
      </c>
      <c r="AJ58" s="56">
        <f t="shared" si="29"/>
        <v>126</v>
      </c>
      <c r="AK58" s="56">
        <f t="shared" si="29"/>
        <v>0</v>
      </c>
      <c r="AL58" s="56">
        <f t="shared" si="29"/>
        <v>0</v>
      </c>
      <c r="AM58" s="56">
        <f t="shared" si="29"/>
        <v>171</v>
      </c>
      <c r="AN58" s="56">
        <f t="shared" si="29"/>
        <v>154</v>
      </c>
      <c r="AO58" s="56">
        <f t="shared" si="29"/>
        <v>93</v>
      </c>
      <c r="AP58" s="56">
        <f t="shared" si="29"/>
        <v>0</v>
      </c>
      <c r="AQ58" s="56">
        <f t="shared" si="29"/>
        <v>85</v>
      </c>
      <c r="AR58" s="56">
        <f t="shared" si="29"/>
        <v>44</v>
      </c>
      <c r="AS58" s="56">
        <f t="shared" si="29"/>
        <v>0</v>
      </c>
      <c r="AT58" s="56">
        <f t="shared" si="29"/>
        <v>161</v>
      </c>
      <c r="AU58" s="56">
        <f t="shared" si="29"/>
        <v>0</v>
      </c>
      <c r="AV58" s="56">
        <f t="shared" si="29"/>
        <v>0</v>
      </c>
      <c r="AW58" s="56">
        <f t="shared" si="29"/>
        <v>0</v>
      </c>
      <c r="AX58" s="56">
        <f t="shared" si="29"/>
        <v>0</v>
      </c>
      <c r="AY58" s="56">
        <f t="shared" si="29"/>
        <v>0</v>
      </c>
      <c r="AZ58" s="56">
        <f t="shared" si="29"/>
        <v>0</v>
      </c>
      <c r="BA58" s="56">
        <f t="shared" si="29"/>
        <v>0</v>
      </c>
      <c r="BB58" s="56">
        <f t="shared" si="29"/>
        <v>0</v>
      </c>
      <c r="BC58" s="56">
        <f t="shared" si="29"/>
        <v>0</v>
      </c>
      <c r="BD58" s="56">
        <f t="shared" si="29"/>
        <v>0</v>
      </c>
      <c r="BE58" s="56">
        <f t="shared" si="29"/>
        <v>0</v>
      </c>
      <c r="CE58" s="56">
        <f>SUM(C58:BF58)</f>
        <v>4371</v>
      </c>
      <c r="CG58" s="56">
        <f>MAX(C58:CB58)</f>
        <v>297</v>
      </c>
      <c r="CH58" s="56">
        <f t="array" ref="CH58">MIN(IF(C58:CB58&gt;0,C58:CB58,9999))</f>
        <v>31</v>
      </c>
      <c r="CN58" s="61"/>
    </row>
    <row r="59" spans="1:97" x14ac:dyDescent="0.15">
      <c r="B59" s="2" t="s">
        <v>49</v>
      </c>
      <c r="C59" s="2">
        <f>BowlSplit(C5:C53,OversBowled)</f>
        <v>0</v>
      </c>
      <c r="D59" s="2">
        <f t="shared" ref="D59:BF59" si="30">BowlSplit(D5:D53,OversBowled)</f>
        <v>41</v>
      </c>
      <c r="E59" s="2">
        <f t="shared" si="30"/>
        <v>0</v>
      </c>
      <c r="F59" s="2">
        <f t="shared" si="30"/>
        <v>33.200000000000003</v>
      </c>
      <c r="G59" s="2">
        <f t="shared" si="30"/>
        <v>38</v>
      </c>
      <c r="H59" s="2">
        <f t="shared" si="30"/>
        <v>38.4</v>
      </c>
      <c r="I59" s="2">
        <f t="shared" si="30"/>
        <v>0</v>
      </c>
      <c r="J59" s="2">
        <f t="shared" si="30"/>
        <v>30</v>
      </c>
      <c r="K59" s="2">
        <f>BowlSplit(K5:K53,OversBowled)</f>
        <v>40</v>
      </c>
      <c r="L59" s="2">
        <f t="shared" si="30"/>
        <v>45</v>
      </c>
      <c r="M59" s="2">
        <f t="shared" si="30"/>
        <v>47.4</v>
      </c>
      <c r="N59" s="2">
        <f t="shared" si="30"/>
        <v>26.3</v>
      </c>
      <c r="O59" s="2">
        <f t="shared" si="30"/>
        <v>39</v>
      </c>
      <c r="P59" s="2">
        <f t="shared" si="30"/>
        <v>40</v>
      </c>
      <c r="Q59" s="2">
        <f t="shared" si="30"/>
        <v>34.299999999999997</v>
      </c>
      <c r="R59" s="2">
        <f t="shared" si="30"/>
        <v>41.5</v>
      </c>
      <c r="S59" s="2">
        <f t="shared" si="30"/>
        <v>26.4</v>
      </c>
      <c r="T59" s="2">
        <f t="shared" si="30"/>
        <v>33.200000000000003</v>
      </c>
      <c r="U59" s="2">
        <f t="shared" si="30"/>
        <v>42.2</v>
      </c>
      <c r="V59" s="2">
        <f t="shared" si="30"/>
        <v>21</v>
      </c>
      <c r="W59" s="2">
        <f t="shared" si="30"/>
        <v>0</v>
      </c>
      <c r="X59" s="2">
        <f t="shared" si="30"/>
        <v>0</v>
      </c>
      <c r="Y59" s="2">
        <f t="shared" si="30"/>
        <v>0</v>
      </c>
      <c r="Z59" s="2">
        <f t="shared" si="30"/>
        <v>33</v>
      </c>
      <c r="AA59" s="2">
        <f t="shared" si="30"/>
        <v>31.2</v>
      </c>
      <c r="AB59" s="2">
        <f t="shared" si="30"/>
        <v>40</v>
      </c>
      <c r="AC59" s="2">
        <f t="shared" si="30"/>
        <v>40</v>
      </c>
      <c r="AD59" s="2">
        <f t="shared" si="30"/>
        <v>44</v>
      </c>
      <c r="AE59" s="2">
        <f t="shared" si="30"/>
        <v>32.5</v>
      </c>
      <c r="AF59" s="2">
        <f t="shared" si="30"/>
        <v>46.2</v>
      </c>
      <c r="AG59" s="2">
        <f t="shared" si="30"/>
        <v>34.1</v>
      </c>
      <c r="AH59" s="2">
        <f t="shared" si="30"/>
        <v>44</v>
      </c>
      <c r="AI59" s="2">
        <f t="shared" si="30"/>
        <v>45</v>
      </c>
      <c r="AJ59" s="2">
        <f t="shared" si="30"/>
        <v>32</v>
      </c>
      <c r="AK59" s="2">
        <f t="shared" si="30"/>
        <v>0</v>
      </c>
      <c r="AL59" s="2">
        <f t="shared" si="30"/>
        <v>0</v>
      </c>
      <c r="AM59" s="2">
        <f t="shared" si="30"/>
        <v>45</v>
      </c>
      <c r="AN59" s="2">
        <f t="shared" si="30"/>
        <v>26.2</v>
      </c>
      <c r="AO59" s="2">
        <f t="shared" si="30"/>
        <v>29.4</v>
      </c>
      <c r="AP59" s="2">
        <f t="shared" si="30"/>
        <v>0</v>
      </c>
      <c r="AQ59" s="2">
        <f t="shared" si="30"/>
        <v>33.299999999999997</v>
      </c>
      <c r="AR59" s="2">
        <f t="shared" si="30"/>
        <v>19.2</v>
      </c>
      <c r="AS59" s="2">
        <f t="shared" si="30"/>
        <v>0</v>
      </c>
      <c r="AT59" s="2">
        <f t="shared" si="30"/>
        <v>44</v>
      </c>
      <c r="AU59" s="2">
        <f t="shared" si="30"/>
        <v>0</v>
      </c>
      <c r="AV59" s="2">
        <f t="shared" si="30"/>
        <v>0</v>
      </c>
      <c r="AW59" s="2">
        <f t="shared" si="30"/>
        <v>0</v>
      </c>
      <c r="AX59" s="2">
        <f t="shared" si="30"/>
        <v>0</v>
      </c>
      <c r="AY59" s="2">
        <f t="shared" si="30"/>
        <v>0</v>
      </c>
      <c r="AZ59" s="2">
        <f t="shared" si="30"/>
        <v>0</v>
      </c>
      <c r="BA59" s="2">
        <f t="shared" si="30"/>
        <v>0</v>
      </c>
      <c r="BB59" s="2">
        <f t="shared" si="30"/>
        <v>0</v>
      </c>
      <c r="BC59" s="2">
        <f t="shared" si="30"/>
        <v>0</v>
      </c>
      <c r="BD59" s="2">
        <f t="shared" si="30"/>
        <v>0</v>
      </c>
      <c r="BE59" s="2">
        <f t="shared" si="30"/>
        <v>0</v>
      </c>
      <c r="BF59" s="2">
        <f t="shared" si="30"/>
        <v>0</v>
      </c>
      <c r="CE59" s="55">
        <f>MAX(C59:CC59)</f>
        <v>47.4</v>
      </c>
    </row>
    <row r="60" spans="1:97" x14ac:dyDescent="0.15">
      <c r="B60" s="2" t="s">
        <v>48</v>
      </c>
      <c r="C60" s="2">
        <f>BowlSplit(C5:C53,BallsBowled)</f>
        <v>0</v>
      </c>
      <c r="D60" s="2">
        <f t="shared" ref="D60:BF60" si="31">BowlSplit(D5:D53,BallsBowled)</f>
        <v>246</v>
      </c>
      <c r="E60" s="2">
        <f t="shared" si="31"/>
        <v>0</v>
      </c>
      <c r="F60" s="2">
        <f t="shared" si="31"/>
        <v>200</v>
      </c>
      <c r="G60" s="2">
        <f t="shared" si="31"/>
        <v>228</v>
      </c>
      <c r="H60" s="2">
        <f t="shared" si="31"/>
        <v>232</v>
      </c>
      <c r="I60" s="2">
        <f t="shared" si="31"/>
        <v>0</v>
      </c>
      <c r="J60" s="2">
        <f t="shared" si="31"/>
        <v>180</v>
      </c>
      <c r="K60" s="2">
        <f>BowlSplit(K5:K53,BallsBowled)</f>
        <v>240</v>
      </c>
      <c r="L60" s="2">
        <f t="shared" si="31"/>
        <v>270</v>
      </c>
      <c r="M60" s="2">
        <f t="shared" si="31"/>
        <v>286</v>
      </c>
      <c r="N60" s="2">
        <f t="shared" si="31"/>
        <v>159</v>
      </c>
      <c r="O60" s="2">
        <f t="shared" si="31"/>
        <v>234</v>
      </c>
      <c r="P60" s="2">
        <f t="shared" si="31"/>
        <v>240</v>
      </c>
      <c r="Q60" s="2">
        <f t="shared" si="31"/>
        <v>207</v>
      </c>
      <c r="R60" s="2">
        <f t="shared" si="31"/>
        <v>251</v>
      </c>
      <c r="S60" s="2">
        <f t="shared" si="31"/>
        <v>160</v>
      </c>
      <c r="T60" s="2">
        <f t="shared" si="31"/>
        <v>200</v>
      </c>
      <c r="U60" s="2">
        <f t="shared" si="31"/>
        <v>254</v>
      </c>
      <c r="V60" s="2">
        <f t="shared" si="31"/>
        <v>126</v>
      </c>
      <c r="W60" s="2">
        <f t="shared" si="31"/>
        <v>0</v>
      </c>
      <c r="X60" s="2">
        <f t="shared" si="31"/>
        <v>0</v>
      </c>
      <c r="Y60" s="2">
        <f t="shared" si="31"/>
        <v>0</v>
      </c>
      <c r="Z60" s="2">
        <f t="shared" si="31"/>
        <v>198</v>
      </c>
      <c r="AA60" s="2">
        <f t="shared" si="31"/>
        <v>188</v>
      </c>
      <c r="AB60" s="2">
        <f t="shared" si="31"/>
        <v>240</v>
      </c>
      <c r="AC60" s="2">
        <f t="shared" si="31"/>
        <v>240</v>
      </c>
      <c r="AD60" s="2">
        <f t="shared" si="31"/>
        <v>264</v>
      </c>
      <c r="AE60" s="2">
        <f t="shared" si="31"/>
        <v>197</v>
      </c>
      <c r="AF60" s="2">
        <f t="shared" si="31"/>
        <v>278</v>
      </c>
      <c r="AG60" s="2">
        <f t="shared" si="31"/>
        <v>205</v>
      </c>
      <c r="AH60" s="2">
        <f t="shared" si="31"/>
        <v>264</v>
      </c>
      <c r="AI60" s="2">
        <f t="shared" si="31"/>
        <v>270</v>
      </c>
      <c r="AJ60" s="2">
        <f t="shared" si="31"/>
        <v>192</v>
      </c>
      <c r="AK60" s="2">
        <f t="shared" si="31"/>
        <v>0</v>
      </c>
      <c r="AL60" s="2">
        <f t="shared" si="31"/>
        <v>0</v>
      </c>
      <c r="AM60" s="2">
        <f t="shared" si="31"/>
        <v>270</v>
      </c>
      <c r="AN60" s="2">
        <f t="shared" si="31"/>
        <v>158</v>
      </c>
      <c r="AO60" s="2">
        <f t="shared" si="31"/>
        <v>178</v>
      </c>
      <c r="AP60" s="2">
        <f t="shared" si="31"/>
        <v>0</v>
      </c>
      <c r="AQ60" s="2">
        <f t="shared" si="31"/>
        <v>201</v>
      </c>
      <c r="AR60" s="2">
        <f t="shared" si="31"/>
        <v>116</v>
      </c>
      <c r="AS60" s="2">
        <f t="shared" si="31"/>
        <v>0</v>
      </c>
      <c r="AT60" s="2">
        <f t="shared" si="31"/>
        <v>264</v>
      </c>
      <c r="AU60" s="2">
        <f t="shared" si="31"/>
        <v>0</v>
      </c>
      <c r="AV60" s="2">
        <f t="shared" si="31"/>
        <v>0</v>
      </c>
      <c r="AW60" s="2">
        <f t="shared" si="31"/>
        <v>0</v>
      </c>
      <c r="AX60" s="2">
        <f t="shared" si="31"/>
        <v>0</v>
      </c>
      <c r="AY60" s="2">
        <f t="shared" si="31"/>
        <v>0</v>
      </c>
      <c r="AZ60" s="2">
        <f t="shared" si="31"/>
        <v>0</v>
      </c>
      <c r="BA60" s="2">
        <f t="shared" si="31"/>
        <v>0</v>
      </c>
      <c r="BB60" s="2">
        <f t="shared" si="31"/>
        <v>0</v>
      </c>
      <c r="BC60" s="2">
        <f t="shared" si="31"/>
        <v>0</v>
      </c>
      <c r="BD60" s="2">
        <f t="shared" si="31"/>
        <v>0</v>
      </c>
      <c r="BE60" s="2">
        <f t="shared" si="31"/>
        <v>0</v>
      </c>
      <c r="BF60" s="2">
        <f t="shared" si="31"/>
        <v>0</v>
      </c>
      <c r="CE60" s="55">
        <f>SUM(C60:BF60)</f>
        <v>7436</v>
      </c>
      <c r="CF60" s="55">
        <f>INT(CE60/6)</f>
        <v>1239</v>
      </c>
      <c r="CG60" s="55">
        <f>CE60-CF60*6</f>
        <v>2</v>
      </c>
      <c r="CH60" s="55">
        <f>CF60+CG60/10</f>
        <v>1239.2</v>
      </c>
    </row>
    <row r="61" spans="1:97" x14ac:dyDescent="0.15">
      <c r="B61" s="2" t="s">
        <v>991</v>
      </c>
      <c r="C61" s="2">
        <f t="array" ref="C61:CC61">TRANSPOSE(Matches!P5:P59)</f>
        <v>0</v>
      </c>
      <c r="D61" s="2">
        <v>41</v>
      </c>
      <c r="E61" s="2">
        <v>0</v>
      </c>
      <c r="F61" s="2">
        <v>33.200000000000003</v>
      </c>
      <c r="G61" s="2">
        <v>38</v>
      </c>
      <c r="H61" s="2">
        <v>38</v>
      </c>
      <c r="I61" s="2">
        <v>0</v>
      </c>
      <c r="J61" s="2">
        <v>30</v>
      </c>
      <c r="K61" s="2">
        <v>40</v>
      </c>
      <c r="L61" s="2">
        <v>45</v>
      </c>
      <c r="M61" s="2">
        <v>47.4</v>
      </c>
      <c r="N61" s="2">
        <v>26.3</v>
      </c>
      <c r="O61" s="2">
        <v>39</v>
      </c>
      <c r="P61" s="2">
        <v>40</v>
      </c>
      <c r="Q61" s="2">
        <v>34.299999999999997</v>
      </c>
      <c r="R61" s="2">
        <v>41.5</v>
      </c>
      <c r="S61" s="2">
        <v>26.4</v>
      </c>
      <c r="T61" s="2">
        <v>33.200000000000003</v>
      </c>
      <c r="U61" s="2">
        <v>42.2</v>
      </c>
      <c r="V61" s="2">
        <v>21</v>
      </c>
      <c r="W61" s="2">
        <v>0</v>
      </c>
      <c r="X61" s="2">
        <v>0</v>
      </c>
      <c r="Y61" s="2">
        <v>0</v>
      </c>
      <c r="Z61" s="2">
        <v>33</v>
      </c>
      <c r="AA61" s="2">
        <v>31.2</v>
      </c>
      <c r="AB61" s="2">
        <v>40</v>
      </c>
      <c r="AC61" s="2">
        <v>40</v>
      </c>
      <c r="AD61" s="2">
        <v>44</v>
      </c>
      <c r="AE61" s="2">
        <v>32.5</v>
      </c>
      <c r="AF61" s="2">
        <v>46.2</v>
      </c>
      <c r="AG61" s="2">
        <v>34.1</v>
      </c>
      <c r="AH61" s="2">
        <v>44</v>
      </c>
      <c r="AI61" s="2">
        <v>45</v>
      </c>
      <c r="AJ61" s="2">
        <v>32</v>
      </c>
      <c r="AK61" s="2">
        <v>0</v>
      </c>
      <c r="AL61" s="2">
        <v>0</v>
      </c>
      <c r="AM61" s="2">
        <v>45</v>
      </c>
      <c r="AN61" s="2">
        <v>26.2</v>
      </c>
      <c r="AO61" s="2">
        <v>29.4</v>
      </c>
      <c r="AP61" s="2">
        <v>0</v>
      </c>
      <c r="AQ61" s="2">
        <v>33.299999999999997</v>
      </c>
      <c r="AR61" s="2">
        <v>19.2</v>
      </c>
      <c r="AS61" s="2">
        <v>0</v>
      </c>
      <c r="AT61" s="2">
        <v>44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0</v>
      </c>
      <c r="BA61" s="2">
        <v>0</v>
      </c>
      <c r="BB61" s="2">
        <v>0</v>
      </c>
      <c r="BC61" s="2">
        <v>0</v>
      </c>
      <c r="BD61" s="2">
        <v>0</v>
      </c>
      <c r="BE61" s="2">
        <v>0</v>
      </c>
      <c r="BF61" s="2" t="e">
        <v>#N/A</v>
      </c>
      <c r="BG61" s="2" t="e">
        <v>#N/A</v>
      </c>
      <c r="BH61" s="2" t="e">
        <v>#N/A</v>
      </c>
      <c r="BI61" s="2" t="e">
        <v>#N/A</v>
      </c>
      <c r="BJ61" s="2" t="e">
        <v>#N/A</v>
      </c>
      <c r="BK61" s="2" t="e">
        <v>#N/A</v>
      </c>
      <c r="BL61" s="2" t="e">
        <v>#N/A</v>
      </c>
      <c r="BM61" s="2" t="e">
        <v>#N/A</v>
      </c>
      <c r="BN61" s="2" t="e">
        <v>#N/A</v>
      </c>
      <c r="BO61" s="2" t="e">
        <v>#N/A</v>
      </c>
      <c r="BP61" s="2" t="e">
        <v>#N/A</v>
      </c>
      <c r="BQ61" s="2" t="e">
        <v>#N/A</v>
      </c>
      <c r="BR61" s="2" t="e">
        <v>#N/A</v>
      </c>
      <c r="BS61" s="2" t="e">
        <v>#N/A</v>
      </c>
      <c r="BT61" s="2" t="e">
        <v>#N/A</v>
      </c>
      <c r="BU61" s="2" t="e">
        <v>#N/A</v>
      </c>
      <c r="BV61" s="2" t="e">
        <v>#N/A</v>
      </c>
      <c r="BW61" s="2" t="e">
        <v>#N/A</v>
      </c>
      <c r="BX61" s="2" t="e">
        <v>#N/A</v>
      </c>
      <c r="BY61" s="2" t="e">
        <v>#N/A</v>
      </c>
      <c r="BZ61" s="2" t="e">
        <v>#N/A</v>
      </c>
      <c r="CA61" s="2" t="e">
        <v>#N/A</v>
      </c>
      <c r="CB61" s="2" t="e">
        <v>#N/A</v>
      </c>
      <c r="CC61" s="2" t="e">
        <v>#N/A</v>
      </c>
    </row>
    <row r="68" spans="83:83" x14ac:dyDescent="0.15">
      <c r="CE68" s="59"/>
    </row>
  </sheetData>
  <phoneticPr fontId="0" type="noConversion"/>
  <conditionalFormatting sqref="AG114:AG125 AU63:BB105 C63:AT113">
    <cfRule type="cellIs" dxfId="0" priority="1" stopIfTrue="1" operator="greaterThan">
      <formula>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61"/>
  <sheetViews>
    <sheetView workbookViewId="0">
      <selection activeCell="J53" sqref="J53"/>
    </sheetView>
  </sheetViews>
  <sheetFormatPr defaultRowHeight="10.5" x14ac:dyDescent="0.15"/>
  <cols>
    <col min="2" max="2" width="0" hidden="1" customWidth="1"/>
    <col min="3" max="3" width="12.5703125" bestFit="1" customWidth="1"/>
    <col min="4" max="4" width="7.5703125" style="81" bestFit="1" customWidth="1"/>
    <col min="5" max="5" width="4.5703125" style="81" bestFit="1" customWidth="1"/>
    <col min="6" max="6" width="7.140625" style="81" bestFit="1" customWidth="1"/>
    <col min="7" max="8" width="5" style="81" bestFit="1" customWidth="1"/>
    <col min="9" max="9" width="8.85546875" style="87" bestFit="1" customWidth="1"/>
  </cols>
  <sheetData>
    <row r="1" spans="1:9" x14ac:dyDescent="0.15">
      <c r="A1" t="s">
        <v>185</v>
      </c>
    </row>
    <row r="2" spans="1:9" x14ac:dyDescent="0.15">
      <c r="C2" t="s">
        <v>108</v>
      </c>
      <c r="D2" s="81" t="s">
        <v>5</v>
      </c>
      <c r="E2" s="81" t="s">
        <v>7</v>
      </c>
      <c r="F2" s="81" t="s">
        <v>8</v>
      </c>
      <c r="G2" s="81" t="s">
        <v>186</v>
      </c>
      <c r="H2" s="81" t="s">
        <v>9</v>
      </c>
      <c r="I2" s="87" t="s">
        <v>10</v>
      </c>
    </row>
    <row r="3" spans="1:9" x14ac:dyDescent="0.15">
      <c r="A3">
        <v>1</v>
      </c>
      <c r="B3">
        <f>MATCH(A3,Batting!$DD$5:$DD$65,0)</f>
        <v>7</v>
      </c>
      <c r="C3" t="str">
        <f ca="1">OFFSET(Batting!$C$4,BatAves!$B3,0)</f>
        <v>Brocks D</v>
      </c>
      <c r="D3" s="81">
        <f ca="1">OFFSET(Batting!$CE$4,BatAves!$B3,0)</f>
        <v>4</v>
      </c>
      <c r="E3" s="81">
        <f ca="1">OFFSET(Batting!$CG$4,BatAves!$B3,0)</f>
        <v>3</v>
      </c>
      <c r="F3" s="81">
        <f ca="1">OFFSET(Batting!$CH$4,BatAves!$B3,0)</f>
        <v>2</v>
      </c>
      <c r="G3" s="81" t="str">
        <f ca="1">OFFSET(Batting!$CJ$4,BatAves!$B3,0)</f>
        <v>67*</v>
      </c>
      <c r="H3" s="81">
        <f ca="1">OFFSET(Batting!$CK$4,BatAves!$B3,0)</f>
        <v>99</v>
      </c>
      <c r="I3" s="85">
        <f ca="1">OFFSET(Batting!$CL$4,BatAves!$B3,0)</f>
        <v>99</v>
      </c>
    </row>
    <row r="4" spans="1:9" x14ac:dyDescent="0.15">
      <c r="A4">
        <v>2</v>
      </c>
      <c r="B4">
        <f>MATCH(A4,Batting!$DD$5:$DD$65,0)</f>
        <v>29</v>
      </c>
      <c r="C4" t="str">
        <f ca="1">OFFSET(Batting!$C$4,BatAves!$B4,0)</f>
        <v>Leadley J</v>
      </c>
      <c r="D4" s="81">
        <f ca="1">OFFSET(Batting!$CE$4,BatAves!$B4,0)</f>
        <v>13</v>
      </c>
      <c r="E4" s="81">
        <f ca="1">OFFSET(Batting!$CG$4,BatAves!$B4,0)</f>
        <v>11</v>
      </c>
      <c r="F4" s="81">
        <f ca="1">OFFSET(Batting!$CH$4,BatAves!$B4,0)</f>
        <v>3</v>
      </c>
      <c r="G4" s="81" t="str">
        <f ca="1">OFFSET(Batting!$CJ$4,BatAves!$B4,0)</f>
        <v>136*</v>
      </c>
      <c r="H4" s="81">
        <f ca="1">OFFSET(Batting!$CK$4,BatAves!$B4,0)</f>
        <v>654</v>
      </c>
      <c r="I4" s="85">
        <f ca="1">OFFSET(Batting!$CL$4,BatAves!$B4,0)</f>
        <v>81.75</v>
      </c>
    </row>
    <row r="5" spans="1:9" x14ac:dyDescent="0.15">
      <c r="A5">
        <v>3</v>
      </c>
      <c r="B5">
        <f>MATCH(A5,Batting!$DD$5:$DD$65,0)</f>
        <v>54</v>
      </c>
      <c r="C5" t="str">
        <f ca="1">OFFSET(Batting!$C$4,BatAves!$B5,0)</f>
        <v>Springer T</v>
      </c>
      <c r="D5" s="81">
        <f ca="1">OFFSET(Batting!$CE$4,BatAves!$B5,0)</f>
        <v>22</v>
      </c>
      <c r="E5" s="81">
        <f ca="1">OFFSET(Batting!$CG$4,BatAves!$B5,0)</f>
        <v>21</v>
      </c>
      <c r="F5" s="81">
        <f ca="1">OFFSET(Batting!$CH$4,BatAves!$B5,0)</f>
        <v>2</v>
      </c>
      <c r="G5" s="81" t="str">
        <f ca="1">OFFSET(Batting!$CJ$4,BatAves!$B5,0)</f>
        <v>103*</v>
      </c>
      <c r="H5" s="81">
        <f ca="1">OFFSET(Batting!$CK$4,BatAves!$B5,0)</f>
        <v>852</v>
      </c>
      <c r="I5" s="85">
        <f ca="1">OFFSET(Batting!$CL$4,BatAves!$B5,0)</f>
        <v>44.842105263157897</v>
      </c>
    </row>
    <row r="6" spans="1:9" x14ac:dyDescent="0.15">
      <c r="A6">
        <v>4</v>
      </c>
      <c r="B6">
        <f>MATCH(A6,Batting!$DD$5:$DD$65,0)</f>
        <v>35</v>
      </c>
      <c r="C6" t="str">
        <f ca="1">OFFSET(Batting!$C$4,BatAves!$B6,0)</f>
        <v>Mander N</v>
      </c>
      <c r="D6" s="81">
        <f ca="1">OFFSET(Batting!$CE$4,BatAves!$B6,0)</f>
        <v>15</v>
      </c>
      <c r="E6" s="81">
        <f ca="1">OFFSET(Batting!$CG$4,BatAves!$B6,0)</f>
        <v>14</v>
      </c>
      <c r="F6" s="81">
        <f ca="1">OFFSET(Batting!$CH$4,BatAves!$B6,0)</f>
        <v>3</v>
      </c>
      <c r="G6" s="81" t="str">
        <f ca="1">OFFSET(Batting!$CJ$4,BatAves!$B6,0)</f>
        <v>65*</v>
      </c>
      <c r="H6" s="81">
        <f ca="1">OFFSET(Batting!$CK$4,BatAves!$B6,0)</f>
        <v>364</v>
      </c>
      <c r="I6" s="85">
        <f ca="1">OFFSET(Batting!$CL$4,BatAves!$B6,0)</f>
        <v>33.090909090909093</v>
      </c>
    </row>
    <row r="7" spans="1:9" x14ac:dyDescent="0.15">
      <c r="A7">
        <v>5</v>
      </c>
      <c r="B7">
        <f>MATCH(A7,Batting!$DD$5:$DD$65,0)</f>
        <v>38</v>
      </c>
      <c r="C7" t="str">
        <f ca="1">OFFSET(Batting!$C$4,BatAves!$B7,0)</f>
        <v>Middleton J</v>
      </c>
      <c r="D7" s="81">
        <f ca="1">OFFSET(Batting!$CE$4,BatAves!$B7,0)</f>
        <v>6</v>
      </c>
      <c r="E7" s="81">
        <f ca="1">OFFSET(Batting!$CG$4,BatAves!$B7,0)</f>
        <v>5</v>
      </c>
      <c r="F7" s="81">
        <f ca="1">OFFSET(Batting!$CH$4,BatAves!$B7,0)</f>
        <v>1</v>
      </c>
      <c r="G7" s="81" t="str">
        <f ca="1">OFFSET(Batting!$CJ$4,BatAves!$B7,0)</f>
        <v>51*</v>
      </c>
      <c r="H7" s="81">
        <f ca="1">OFFSET(Batting!$CK$4,BatAves!$B7,0)</f>
        <v>131</v>
      </c>
      <c r="I7" s="85">
        <f ca="1">OFFSET(Batting!$CL$4,BatAves!$B7,0)</f>
        <v>32.75</v>
      </c>
    </row>
    <row r="8" spans="1:9" x14ac:dyDescent="0.15">
      <c r="A8">
        <v>6</v>
      </c>
      <c r="B8">
        <f>MATCH(A8,Batting!$DD$5:$DD$65,0)</f>
        <v>18</v>
      </c>
      <c r="C8" t="str">
        <f ca="1">OFFSET(Batting!$C$4,BatAves!$B8,0)</f>
        <v>Dugdale E</v>
      </c>
      <c r="D8" s="81">
        <f ca="1">OFFSET(Batting!$CE$4,BatAves!$B8,0)</f>
        <v>10</v>
      </c>
      <c r="E8" s="81">
        <f ca="1">OFFSET(Batting!$CG$4,BatAves!$B8,0)</f>
        <v>9</v>
      </c>
      <c r="F8" s="81">
        <f ca="1">OFFSET(Batting!$CH$4,BatAves!$B8,0)</f>
        <v>2</v>
      </c>
      <c r="G8" s="81" t="str">
        <f ca="1">OFFSET(Batting!$CJ$4,BatAves!$B8,0)</f>
        <v>63*</v>
      </c>
      <c r="H8" s="81">
        <f ca="1">OFFSET(Batting!$CK$4,BatAves!$B8,0)</f>
        <v>214</v>
      </c>
      <c r="I8" s="85">
        <f ca="1">OFFSET(Batting!$CL$4,BatAves!$B8,0)</f>
        <v>30.571428571428573</v>
      </c>
    </row>
    <row r="9" spans="1:9" x14ac:dyDescent="0.15">
      <c r="A9">
        <v>7</v>
      </c>
      <c r="B9">
        <f>MATCH(A9,Batting!$DD$5:$DD$65,0)</f>
        <v>11</v>
      </c>
      <c r="C9" t="str">
        <f ca="1">OFFSET(Batting!$C$4,BatAves!$B9,0)</f>
        <v>Clark C</v>
      </c>
      <c r="D9" s="81">
        <f ca="1">OFFSET(Batting!$CE$4,BatAves!$B9,0)</f>
        <v>15</v>
      </c>
      <c r="E9" s="81">
        <f ca="1">OFFSET(Batting!$CG$4,BatAves!$B9,0)</f>
        <v>4</v>
      </c>
      <c r="F9" s="81">
        <f ca="1">OFFSET(Batting!$CH$4,BatAves!$B9,0)</f>
        <v>2</v>
      </c>
      <c r="G9" s="81" t="str">
        <f ca="1">OFFSET(Batting!$CJ$4,BatAves!$B9,0)</f>
        <v>20*</v>
      </c>
      <c r="H9" s="81">
        <f ca="1">OFFSET(Batting!$CK$4,BatAves!$B9,0)</f>
        <v>50</v>
      </c>
      <c r="I9" s="85">
        <f ca="1">OFFSET(Batting!$CL$4,BatAves!$B9,0)</f>
        <v>25</v>
      </c>
    </row>
    <row r="10" spans="1:9" x14ac:dyDescent="0.15">
      <c r="A10">
        <v>8</v>
      </c>
      <c r="B10">
        <f>MATCH(A10,Batting!$DD$5:$DD$65,0)</f>
        <v>46</v>
      </c>
      <c r="C10" t="str">
        <f ca="1">OFFSET(Batting!$C$4,BatAves!$B10,0)</f>
        <v>Reid V</v>
      </c>
      <c r="D10" s="81">
        <f ca="1">OFFSET(Batting!$CE$4,BatAves!$B10,0)</f>
        <v>4</v>
      </c>
      <c r="E10" s="81">
        <f ca="1">OFFSET(Batting!$CG$4,BatAves!$B10,0)</f>
        <v>4</v>
      </c>
      <c r="F10" s="81">
        <f ca="1">OFFSET(Batting!$CH$4,BatAves!$B10,0)</f>
        <v>1</v>
      </c>
      <c r="G10" s="81" t="str">
        <f ca="1">OFFSET(Batting!$CJ$4,BatAves!$B10,0)</f>
        <v>48*</v>
      </c>
      <c r="H10" s="81">
        <f ca="1">OFFSET(Batting!$CK$4,BatAves!$B10,0)</f>
        <v>74</v>
      </c>
      <c r="I10" s="85">
        <f ca="1">OFFSET(Batting!$CL$4,BatAves!$B10,0)</f>
        <v>24.666666666666668</v>
      </c>
    </row>
    <row r="11" spans="1:9" x14ac:dyDescent="0.15">
      <c r="A11">
        <v>9</v>
      </c>
      <c r="B11">
        <f>MATCH(A11,Batting!$DD$5:$DD$65,0)</f>
        <v>34</v>
      </c>
      <c r="C11" t="str">
        <f ca="1">OFFSET(Batting!$C$4,BatAves!$B11,0)</f>
        <v>Mander C</v>
      </c>
      <c r="D11" s="81">
        <f ca="1">OFFSET(Batting!$CE$4,BatAves!$B11,0)</f>
        <v>14</v>
      </c>
      <c r="E11" s="81">
        <f ca="1">OFFSET(Batting!$CG$4,BatAves!$B11,0)</f>
        <v>11</v>
      </c>
      <c r="F11" s="81">
        <f ca="1">OFFSET(Batting!$CH$4,BatAves!$B11,0)</f>
        <v>3</v>
      </c>
      <c r="G11" s="81" t="str">
        <f ca="1">OFFSET(Batting!$CJ$4,BatAves!$B11,0)</f>
        <v>88*</v>
      </c>
      <c r="H11" s="81">
        <f ca="1">OFFSET(Batting!$CK$4,BatAves!$B11,0)</f>
        <v>175</v>
      </c>
      <c r="I11" s="85">
        <f ca="1">OFFSET(Batting!$CL$4,BatAves!$B11,0)</f>
        <v>21.875</v>
      </c>
    </row>
    <row r="12" spans="1:9" x14ac:dyDescent="0.15">
      <c r="A12">
        <v>10</v>
      </c>
      <c r="B12">
        <f>MATCH(A12,Batting!$DD$5:$DD$65,0)</f>
        <v>5</v>
      </c>
      <c r="C12" t="str">
        <f ca="1">OFFSET(Batting!$C$4,BatAves!$B12,0)</f>
        <v>Bowers M</v>
      </c>
      <c r="D12" s="81">
        <f ca="1">OFFSET(Batting!$CE$4,BatAves!$B12,0)</f>
        <v>14</v>
      </c>
      <c r="E12" s="81">
        <f ca="1">OFFSET(Batting!$CG$4,BatAves!$B12,0)</f>
        <v>9</v>
      </c>
      <c r="F12" s="81">
        <f ca="1">OFFSET(Batting!$CH$4,BatAves!$B12,0)</f>
        <v>5</v>
      </c>
      <c r="G12" s="81" t="str">
        <f ca="1">OFFSET(Batting!$CJ$4,BatAves!$B12,0)</f>
        <v>15*</v>
      </c>
      <c r="H12" s="81">
        <f ca="1">OFFSET(Batting!$CK$4,BatAves!$B12,0)</f>
        <v>78</v>
      </c>
      <c r="I12" s="85">
        <f ca="1">OFFSET(Batting!$CL$4,BatAves!$B12,0)</f>
        <v>19.5</v>
      </c>
    </row>
    <row r="13" spans="1:9" x14ac:dyDescent="0.15">
      <c r="A13">
        <v>11</v>
      </c>
      <c r="B13">
        <f>MATCH(A13,Batting!$DD$5:$DD$65,0)</f>
        <v>49</v>
      </c>
      <c r="C13" t="str">
        <f ca="1">OFFSET(Batting!$C$4,BatAves!$B13,0)</f>
        <v>Sharpe D</v>
      </c>
      <c r="D13" s="81">
        <f ca="1">OFFSET(Batting!$CE$4,BatAves!$B13,0)</f>
        <v>18</v>
      </c>
      <c r="E13" s="81">
        <f ca="1">OFFSET(Batting!$CG$4,BatAves!$B13,0)</f>
        <v>18</v>
      </c>
      <c r="F13" s="81">
        <f ca="1">OFFSET(Batting!$CH$4,BatAves!$B13,0)</f>
        <v>2</v>
      </c>
      <c r="G13" s="81" t="str">
        <f ca="1">OFFSET(Batting!$CJ$4,BatAves!$B13,0)</f>
        <v>55*</v>
      </c>
      <c r="H13" s="81">
        <f ca="1">OFFSET(Batting!$CK$4,BatAves!$B13,0)</f>
        <v>229</v>
      </c>
      <c r="I13" s="85">
        <f ca="1">OFFSET(Batting!$CL$4,BatAves!$B13,0)</f>
        <v>14.3125</v>
      </c>
    </row>
    <row r="14" spans="1:9" x14ac:dyDescent="0.15">
      <c r="A14">
        <v>12</v>
      </c>
      <c r="B14">
        <f>MATCH(A14,Batting!$DD$5:$DD$65,0)</f>
        <v>58</v>
      </c>
      <c r="C14" t="str">
        <f ca="1">OFFSET(Batting!$C$4,BatAves!$B14,0)</f>
        <v>Worthington R</v>
      </c>
      <c r="D14" s="81">
        <f ca="1">OFFSET(Batting!$CE$4,BatAves!$B14,0)</f>
        <v>13</v>
      </c>
      <c r="E14" s="81">
        <f ca="1">OFFSET(Batting!$CG$4,BatAves!$B14,0)</f>
        <v>13</v>
      </c>
      <c r="F14" s="81">
        <f ca="1">OFFSET(Batting!$CH$4,BatAves!$B14,0)</f>
        <v>1</v>
      </c>
      <c r="G14" s="81">
        <f ca="1">OFFSET(Batting!$CJ$4,BatAves!$B14,0)</f>
        <v>56</v>
      </c>
      <c r="H14" s="81">
        <f ca="1">OFFSET(Batting!$CK$4,BatAves!$B14,0)</f>
        <v>158</v>
      </c>
      <c r="I14" s="85">
        <f ca="1">OFFSET(Batting!$CL$4,BatAves!$B14,0)</f>
        <v>13.166666666666666</v>
      </c>
    </row>
    <row r="15" spans="1:9" x14ac:dyDescent="0.15">
      <c r="A15">
        <v>13</v>
      </c>
      <c r="B15">
        <f>MATCH(A15,Batting!$DD$5:$DD$65,0)</f>
        <v>30</v>
      </c>
      <c r="C15" t="str">
        <f ca="1">OFFSET(Batting!$C$4,BatAves!$B15,0)</f>
        <v>Lestrelle J</v>
      </c>
      <c r="D15" s="81">
        <f ca="1">OFFSET(Batting!$CE$4,BatAves!$B15,0)</f>
        <v>12</v>
      </c>
      <c r="E15" s="81">
        <f ca="1">OFFSET(Batting!$CG$4,BatAves!$B15,0)</f>
        <v>9</v>
      </c>
      <c r="F15" s="81">
        <f ca="1">OFFSET(Batting!$CH$4,BatAves!$B15,0)</f>
        <v>4</v>
      </c>
      <c r="G15" s="81" t="str">
        <f ca="1">OFFSET(Batting!$CJ$4,BatAves!$B15,0)</f>
        <v>14*</v>
      </c>
      <c r="H15" s="81">
        <f ca="1">OFFSET(Batting!$CK$4,BatAves!$B15,0)</f>
        <v>62</v>
      </c>
      <c r="I15" s="85">
        <f ca="1">OFFSET(Batting!$CL$4,BatAves!$B15,0)</f>
        <v>12.4</v>
      </c>
    </row>
    <row r="16" spans="1:9" x14ac:dyDescent="0.15">
      <c r="A16">
        <v>14</v>
      </c>
      <c r="B16">
        <f>MATCH(A16,Batting!$DD$5:$DD$65,0)</f>
        <v>44</v>
      </c>
      <c r="C16" t="str">
        <f ca="1">OFFSET(Batting!$C$4,BatAves!$B16,0)</f>
        <v>Patel N</v>
      </c>
      <c r="D16" s="81">
        <f ca="1">OFFSET(Batting!$CE$4,BatAves!$B16,0)</f>
        <v>7</v>
      </c>
      <c r="E16" s="81">
        <f ca="1">OFFSET(Batting!$CG$4,BatAves!$B16,0)</f>
        <v>7</v>
      </c>
      <c r="F16" s="81">
        <f ca="1">OFFSET(Batting!$CH$4,BatAves!$B16,0)</f>
        <v>1</v>
      </c>
      <c r="G16" s="81" t="str">
        <f ca="1">OFFSET(Batting!$CJ$4,BatAves!$B16,0)</f>
        <v>26*</v>
      </c>
      <c r="H16" s="81">
        <f ca="1">OFFSET(Batting!$CK$4,BatAves!$B16,0)</f>
        <v>72</v>
      </c>
      <c r="I16" s="85">
        <f ca="1">OFFSET(Batting!$CL$4,BatAves!$B16,0)</f>
        <v>12</v>
      </c>
    </row>
    <row r="17" spans="1:9" x14ac:dyDescent="0.15">
      <c r="A17">
        <v>15</v>
      </c>
      <c r="B17">
        <f>MATCH(A17,Batting!$DD$5:$DD$65,0)</f>
        <v>42</v>
      </c>
      <c r="C17" t="str">
        <f ca="1">OFFSET(Batting!$C$4,BatAves!$B17,0)</f>
        <v>Oakes P</v>
      </c>
      <c r="D17" s="81">
        <f ca="1">OFFSET(Batting!$CE$4,BatAves!$B17,0)</f>
        <v>17</v>
      </c>
      <c r="E17" s="81">
        <f ca="1">OFFSET(Batting!$CG$4,BatAves!$B17,0)</f>
        <v>15</v>
      </c>
      <c r="F17" s="81">
        <f ca="1">OFFSET(Batting!$CH$4,BatAves!$B17,0)</f>
        <v>3</v>
      </c>
      <c r="G17" s="81" t="str">
        <f ca="1">OFFSET(Batting!$CJ$4,BatAves!$B17,0)</f>
        <v>25*</v>
      </c>
      <c r="H17" s="81">
        <f ca="1">OFFSET(Batting!$CK$4,BatAves!$B17,0)</f>
        <v>139</v>
      </c>
      <c r="I17" s="85">
        <f ca="1">OFFSET(Batting!$CL$4,BatAves!$B17,0)</f>
        <v>11.583333333333334</v>
      </c>
    </row>
    <row r="18" spans="1:9" x14ac:dyDescent="0.15">
      <c r="A18">
        <v>16</v>
      </c>
      <c r="B18">
        <f>MATCH(A18,Batting!$DD$5:$DD$65,0)</f>
        <v>15</v>
      </c>
      <c r="C18" t="str">
        <f ca="1">OFFSET(Batting!$C$4,BatAves!$B18,0)</f>
        <v>Cooper G</v>
      </c>
      <c r="D18" s="81">
        <f ca="1">OFFSET(Batting!$CE$4,BatAves!$B18,0)</f>
        <v>16</v>
      </c>
      <c r="E18" s="81">
        <f ca="1">OFFSET(Batting!$CG$4,BatAves!$B18,0)</f>
        <v>15</v>
      </c>
      <c r="F18" s="81">
        <f ca="1">OFFSET(Batting!$CH$4,BatAves!$B18,0)</f>
        <v>5</v>
      </c>
      <c r="G18" s="81">
        <f ca="1">OFFSET(Batting!$CJ$4,BatAves!$B18,0)</f>
        <v>19</v>
      </c>
      <c r="H18" s="81">
        <f ca="1">OFFSET(Batting!$CK$4,BatAves!$B18,0)</f>
        <v>115</v>
      </c>
      <c r="I18" s="85">
        <f ca="1">OFFSET(Batting!$CL$4,BatAves!$B18,0)</f>
        <v>11.5</v>
      </c>
    </row>
    <row r="19" spans="1:9" x14ac:dyDescent="0.15">
      <c r="A19">
        <v>17</v>
      </c>
      <c r="B19">
        <f>MATCH(A19,Batting!$DD$5:$DD$65,0)</f>
        <v>57</v>
      </c>
      <c r="C19" t="str">
        <f ca="1">OFFSET(Batting!$C$4,BatAves!$B19,0)</f>
        <v>Woodhouse M</v>
      </c>
      <c r="D19" s="81">
        <f ca="1">OFFSET(Batting!$CE$4,BatAves!$B19,0)</f>
        <v>25</v>
      </c>
      <c r="E19" s="81">
        <f ca="1">OFFSET(Batting!$CG$4,BatAves!$B19,0)</f>
        <v>24</v>
      </c>
      <c r="F19" s="81">
        <f ca="1">OFFSET(Batting!$CH$4,BatAves!$B19,0)</f>
        <v>1</v>
      </c>
      <c r="G19" s="81">
        <f ca="1">OFFSET(Batting!$CJ$4,BatAves!$B19,0)</f>
        <v>41</v>
      </c>
      <c r="H19" s="81">
        <f ca="1">OFFSET(Batting!$CK$4,BatAves!$B19,0)</f>
        <v>245</v>
      </c>
      <c r="I19" s="85">
        <f ca="1">OFFSET(Batting!$CL$4,BatAves!$B19,0)</f>
        <v>10.652173913043478</v>
      </c>
    </row>
    <row r="20" spans="1:9" x14ac:dyDescent="0.15">
      <c r="A20">
        <v>18</v>
      </c>
      <c r="B20">
        <f>MATCH(A20,Batting!$DD$5:$DD$65,0)</f>
        <v>13</v>
      </c>
      <c r="C20" t="str">
        <f ca="1">OFFSET(Batting!$C$4,BatAves!$B20,0)</f>
        <v>Coloe A</v>
      </c>
      <c r="D20" s="81">
        <f ca="1">OFFSET(Batting!$CE$4,BatAves!$B20,0)</f>
        <v>8</v>
      </c>
      <c r="E20" s="81">
        <f ca="1">OFFSET(Batting!$CG$4,BatAves!$B20,0)</f>
        <v>7</v>
      </c>
      <c r="F20" s="81">
        <f ca="1">OFFSET(Batting!$CH$4,BatAves!$B20,0)</f>
        <v>1</v>
      </c>
      <c r="G20" s="81">
        <f ca="1">OFFSET(Batting!$CJ$4,BatAves!$B20,0)</f>
        <v>23</v>
      </c>
      <c r="H20" s="81">
        <f ca="1">OFFSET(Batting!$CK$4,BatAves!$B20,0)</f>
        <v>63</v>
      </c>
      <c r="I20" s="85">
        <f ca="1">OFFSET(Batting!$CL$4,BatAves!$B20,0)</f>
        <v>10.5</v>
      </c>
    </row>
    <row r="21" spans="1:9" x14ac:dyDescent="0.15">
      <c r="A21">
        <v>19</v>
      </c>
      <c r="B21">
        <f>MATCH(A21,Batting!$DD$5:$DD$65,0)</f>
        <v>33</v>
      </c>
      <c r="C21" t="str">
        <f ca="1">OFFSET(Batting!$C$4,BatAves!$B21,0)</f>
        <v>Mander A</v>
      </c>
      <c r="D21" s="81">
        <f ca="1">OFFSET(Batting!$CE$4,BatAves!$B21,0)</f>
        <v>15</v>
      </c>
      <c r="E21" s="81">
        <f ca="1">OFFSET(Batting!$CG$4,BatAves!$B21,0)</f>
        <v>8</v>
      </c>
      <c r="F21" s="81">
        <f ca="1">OFFSET(Batting!$CH$4,BatAves!$B21,0)</f>
        <v>1</v>
      </c>
      <c r="G21" s="81">
        <f ca="1">OFFSET(Batting!$CJ$4,BatAves!$B21,0)</f>
        <v>39</v>
      </c>
      <c r="H21" s="81">
        <f ca="1">OFFSET(Batting!$CK$4,BatAves!$B21,0)</f>
        <v>73</v>
      </c>
      <c r="I21" s="85">
        <f ca="1">OFFSET(Batting!$CL$4,BatAves!$B21,0)</f>
        <v>10.428571428571429</v>
      </c>
    </row>
    <row r="22" spans="1:9" x14ac:dyDescent="0.15">
      <c r="A22">
        <v>20</v>
      </c>
      <c r="B22">
        <f>MATCH(A22,Batting!$DD$5:$DD$65,0)</f>
        <v>41</v>
      </c>
      <c r="C22" t="str">
        <f ca="1">OFFSET(Batting!$C$4,BatAves!$B22,0)</f>
        <v>Newell</v>
      </c>
      <c r="D22" s="81">
        <f ca="1">OFFSET(Batting!$CE$4,BatAves!$B22,0)</f>
        <v>1</v>
      </c>
      <c r="E22" s="81">
        <f ca="1">OFFSET(Batting!$CG$4,BatAves!$B22,0)</f>
        <v>1</v>
      </c>
      <c r="F22" s="81">
        <f ca="1">OFFSET(Batting!$CH$4,BatAves!$B22,0)</f>
        <v>0</v>
      </c>
      <c r="G22" s="81">
        <f ca="1">OFFSET(Batting!$CJ$4,BatAves!$B22,0)</f>
        <v>10</v>
      </c>
      <c r="H22" s="81">
        <f ca="1">OFFSET(Batting!$CK$4,BatAves!$B22,0)</f>
        <v>10</v>
      </c>
      <c r="I22" s="85">
        <f ca="1">OFFSET(Batting!$CL$4,BatAves!$B22,0)</f>
        <v>10</v>
      </c>
    </row>
    <row r="23" spans="1:9" x14ac:dyDescent="0.15">
      <c r="A23">
        <v>21</v>
      </c>
      <c r="B23">
        <f>MATCH(A23,Batting!$DD$5:$DD$65,0)</f>
        <v>40</v>
      </c>
      <c r="C23" t="str">
        <f ca="1">OFFSET(Batting!$C$4,BatAves!$B23,0)</f>
        <v>Morris D</v>
      </c>
      <c r="D23" s="81">
        <f ca="1">OFFSET(Batting!$CE$4,BatAves!$B23,0)</f>
        <v>16</v>
      </c>
      <c r="E23" s="81">
        <f ca="1">OFFSET(Batting!$CG$4,BatAves!$B23,0)</f>
        <v>10</v>
      </c>
      <c r="F23" s="81">
        <f ca="1">OFFSET(Batting!$CH$4,BatAves!$B23,0)</f>
        <v>4</v>
      </c>
      <c r="G23" s="81" t="str">
        <f ca="1">OFFSET(Batting!$CJ$4,BatAves!$B23,0)</f>
        <v>21*</v>
      </c>
      <c r="H23" s="81">
        <f ca="1">OFFSET(Batting!$CK$4,BatAves!$B23,0)</f>
        <v>57</v>
      </c>
      <c r="I23" s="85">
        <f ca="1">OFFSET(Batting!$CL$4,BatAves!$B23,0)</f>
        <v>9.5</v>
      </c>
    </row>
    <row r="24" spans="1:9" x14ac:dyDescent="0.15">
      <c r="A24">
        <v>22</v>
      </c>
      <c r="B24">
        <f>MATCH(A24,Batting!$DD$5:$DD$65,0)</f>
        <v>27</v>
      </c>
      <c r="C24" t="str">
        <f ca="1">OFFSET(Batting!$C$4,BatAves!$B24,0)</f>
        <v>Hosking M</v>
      </c>
      <c r="D24" s="81">
        <f ca="1">OFFSET(Batting!$CE$4,BatAves!$B24,0)</f>
        <v>6</v>
      </c>
      <c r="E24" s="81">
        <f ca="1">OFFSET(Batting!$CG$4,BatAves!$B24,0)</f>
        <v>6</v>
      </c>
      <c r="F24" s="81">
        <f ca="1">OFFSET(Batting!$CH$4,BatAves!$B24,0)</f>
        <v>2</v>
      </c>
      <c r="G24" s="81">
        <f ca="1">OFFSET(Batting!$CJ$4,BatAves!$B24,0)</f>
        <v>27</v>
      </c>
      <c r="H24" s="81">
        <f ca="1">OFFSET(Batting!$CK$4,BatAves!$B24,0)</f>
        <v>38</v>
      </c>
      <c r="I24" s="85">
        <f ca="1">OFFSET(Batting!$CL$4,BatAves!$B24,0)</f>
        <v>9.5</v>
      </c>
    </row>
    <row r="25" spans="1:9" x14ac:dyDescent="0.15">
      <c r="A25">
        <v>23</v>
      </c>
      <c r="B25">
        <f>MATCH(A25,Batting!$DD$5:$DD$65,0)</f>
        <v>60</v>
      </c>
      <c r="C25" t="str">
        <f ca="1">OFFSET(Batting!$C$4,BatAves!$B25,0)</f>
        <v>Worthy R</v>
      </c>
      <c r="D25" s="81">
        <f ca="1">OFFSET(Batting!$CE$4,BatAves!$B25,0)</f>
        <v>1</v>
      </c>
      <c r="E25" s="81">
        <f ca="1">OFFSET(Batting!$CG$4,BatAves!$B25,0)</f>
        <v>1</v>
      </c>
      <c r="F25" s="81">
        <f ca="1">OFFSET(Batting!$CH$4,BatAves!$B25,0)</f>
        <v>0</v>
      </c>
      <c r="G25" s="81">
        <f ca="1">OFFSET(Batting!$CJ$4,BatAves!$B25,0)</f>
        <v>9</v>
      </c>
      <c r="H25" s="81">
        <f ca="1">OFFSET(Batting!$CK$4,BatAves!$B25,0)</f>
        <v>9</v>
      </c>
      <c r="I25" s="85">
        <f ca="1">OFFSET(Batting!$CL$4,BatAves!$B25,0)</f>
        <v>9</v>
      </c>
    </row>
    <row r="26" spans="1:9" x14ac:dyDescent="0.15">
      <c r="A26">
        <v>24</v>
      </c>
      <c r="B26">
        <f>MATCH(A26,Batting!$DD$5:$DD$65,0)</f>
        <v>59</v>
      </c>
      <c r="C26" t="str">
        <f ca="1">OFFSET(Batting!$C$4,BatAves!$B26,0)</f>
        <v>Worthy J</v>
      </c>
      <c r="D26" s="81">
        <f ca="1">OFFSET(Batting!$CE$4,BatAves!$B26,0)</f>
        <v>10</v>
      </c>
      <c r="E26" s="81">
        <f ca="1">OFFSET(Batting!$CG$4,BatAves!$B26,0)</f>
        <v>5</v>
      </c>
      <c r="F26" s="81">
        <f ca="1">OFFSET(Batting!$CH$4,BatAves!$B26,0)</f>
        <v>2</v>
      </c>
      <c r="G26" s="81">
        <f ca="1">OFFSET(Batting!$CJ$4,BatAves!$B26,0)</f>
        <v>14</v>
      </c>
      <c r="H26" s="81">
        <f ca="1">OFFSET(Batting!$CK$4,BatAves!$B26,0)</f>
        <v>25</v>
      </c>
      <c r="I26" s="85">
        <f ca="1">OFFSET(Batting!$CL$4,BatAves!$B26,0)</f>
        <v>8.3333333333333339</v>
      </c>
    </row>
    <row r="27" spans="1:9" x14ac:dyDescent="0.15">
      <c r="A27">
        <v>25</v>
      </c>
      <c r="B27">
        <f>MATCH(A27,Batting!$DD$5:$DD$65,0)</f>
        <v>32</v>
      </c>
      <c r="C27" t="str">
        <f ca="1">OFFSET(Batting!$C$4,BatAves!$B27,0)</f>
        <v>Lilley G</v>
      </c>
      <c r="D27" s="81">
        <f ca="1">OFFSET(Batting!$CE$4,BatAves!$B27,0)</f>
        <v>2</v>
      </c>
      <c r="E27" s="81">
        <f ca="1">OFFSET(Batting!$CG$4,BatAves!$B27,0)</f>
        <v>2</v>
      </c>
      <c r="F27" s="81">
        <f ca="1">OFFSET(Batting!$CH$4,BatAves!$B27,0)</f>
        <v>0</v>
      </c>
      <c r="G27" s="81">
        <f ca="1">OFFSET(Batting!$CJ$4,BatAves!$B27,0)</f>
        <v>14</v>
      </c>
      <c r="H27" s="81">
        <f ca="1">OFFSET(Batting!$CK$4,BatAves!$B27,0)</f>
        <v>14</v>
      </c>
      <c r="I27" s="85">
        <f ca="1">OFFSET(Batting!$CL$4,BatAves!$B27,0)</f>
        <v>7</v>
      </c>
    </row>
    <row r="28" spans="1:9" x14ac:dyDescent="0.15">
      <c r="A28">
        <v>26</v>
      </c>
      <c r="B28">
        <f>MATCH(A28,Batting!$DD$5:$DD$65,0)</f>
        <v>1</v>
      </c>
      <c r="C28" t="str">
        <f ca="1">OFFSET(Batting!$C$4,BatAves!$B28,0)</f>
        <v>Afonso S</v>
      </c>
      <c r="D28" s="81">
        <f ca="1">OFFSET(Batting!$CE$4,BatAves!$B28,0)</f>
        <v>5</v>
      </c>
      <c r="E28" s="81">
        <f ca="1">OFFSET(Batting!$CG$4,BatAves!$B28,0)</f>
        <v>5</v>
      </c>
      <c r="F28" s="81">
        <f ca="1">OFFSET(Batting!$CH$4,BatAves!$B28,0)</f>
        <v>0</v>
      </c>
      <c r="G28" s="81">
        <f ca="1">OFFSET(Batting!$CJ$4,BatAves!$B28,0)</f>
        <v>22</v>
      </c>
      <c r="H28" s="81">
        <f ca="1">OFFSET(Batting!$CK$4,BatAves!$B28,0)</f>
        <v>30</v>
      </c>
      <c r="I28" s="85">
        <f ca="1">OFFSET(Batting!$CL$4,BatAves!$B28,0)</f>
        <v>6</v>
      </c>
    </row>
    <row r="29" spans="1:9" x14ac:dyDescent="0.15">
      <c r="A29">
        <v>27</v>
      </c>
      <c r="B29">
        <f>MATCH(A29,Batting!$DD$5:$DD$65,0)</f>
        <v>61</v>
      </c>
      <c r="C29" t="str">
        <f ca="1">OFFSET(Batting!$C$4,BatAves!$B29,0)</f>
        <v>Young R</v>
      </c>
      <c r="D29" s="81">
        <f ca="1">OFFSET(Batting!$CE$4,BatAves!$B29,0)</f>
        <v>15</v>
      </c>
      <c r="E29" s="81">
        <f ca="1">OFFSET(Batting!$CG$4,BatAves!$B29,0)</f>
        <v>7</v>
      </c>
      <c r="F29" s="81">
        <f ca="1">OFFSET(Batting!$CH$4,BatAves!$B29,0)</f>
        <v>1</v>
      </c>
      <c r="G29" s="81">
        <f ca="1">OFFSET(Batting!$CJ$4,BatAves!$B29,0)</f>
        <v>8</v>
      </c>
      <c r="H29" s="81">
        <f ca="1">OFFSET(Batting!$CK$4,BatAves!$B29,0)</f>
        <v>23</v>
      </c>
      <c r="I29" s="85">
        <f ca="1">OFFSET(Batting!$CL$4,BatAves!$B29,0)</f>
        <v>3.8333333333333335</v>
      </c>
    </row>
    <row r="30" spans="1:9" x14ac:dyDescent="0.15">
      <c r="A30">
        <v>28</v>
      </c>
      <c r="B30">
        <f>MATCH(A30,Batting!$DD$5:$DD$65,0)</f>
        <v>12</v>
      </c>
      <c r="C30" t="str">
        <f ca="1">OFFSET(Batting!$C$4,BatAves!$B30,0)</f>
        <v>Clark M</v>
      </c>
      <c r="D30" s="81">
        <f ca="1">OFFSET(Batting!$CE$4,BatAves!$B30,0)</f>
        <v>7</v>
      </c>
      <c r="E30" s="81">
        <f ca="1">OFFSET(Batting!$CG$4,BatAves!$B30,0)</f>
        <v>4</v>
      </c>
      <c r="F30" s="81">
        <f ca="1">OFFSET(Batting!$CH$4,BatAves!$B30,0)</f>
        <v>1</v>
      </c>
      <c r="G30" s="81">
        <f ca="1">OFFSET(Batting!$CJ$4,BatAves!$B30,0)</f>
        <v>5</v>
      </c>
      <c r="H30" s="81">
        <f ca="1">OFFSET(Batting!$CK$4,BatAves!$B30,0)</f>
        <v>11</v>
      </c>
      <c r="I30" s="85">
        <f ca="1">OFFSET(Batting!$CL$4,BatAves!$B30,0)</f>
        <v>3.6666666666666665</v>
      </c>
    </row>
    <row r="31" spans="1:9" x14ac:dyDescent="0.15">
      <c r="A31">
        <v>29</v>
      </c>
      <c r="B31">
        <f>MATCH(A31,Batting!$DD$5:$DD$65,0)</f>
        <v>17</v>
      </c>
      <c r="C31" t="str">
        <f ca="1">OFFSET(Batting!$C$4,BatAves!$B31,0)</f>
        <v>Crisford J</v>
      </c>
      <c r="D31" s="81">
        <f ca="1">OFFSET(Batting!$CE$4,BatAves!$B31,0)</f>
        <v>13</v>
      </c>
      <c r="E31" s="81">
        <f ca="1">OFFSET(Batting!$CG$4,BatAves!$B31,0)</f>
        <v>12</v>
      </c>
      <c r="F31" s="81">
        <f ca="1">OFFSET(Batting!$CH$4,BatAves!$B31,0)</f>
        <v>1</v>
      </c>
      <c r="G31" s="81">
        <f ca="1">OFFSET(Batting!$CJ$4,BatAves!$B31,0)</f>
        <v>15</v>
      </c>
      <c r="H31" s="81">
        <f ca="1">OFFSET(Batting!$CK$4,BatAves!$B31,0)</f>
        <v>37</v>
      </c>
      <c r="I31" s="85">
        <f ca="1">OFFSET(Batting!$CL$4,BatAves!$B31,0)</f>
        <v>3.3636363636363638</v>
      </c>
    </row>
    <row r="32" spans="1:9" x14ac:dyDescent="0.15">
      <c r="A32">
        <v>30</v>
      </c>
      <c r="B32">
        <f>MATCH(A32,Batting!$DD$5:$DD$65,0)</f>
        <v>50</v>
      </c>
      <c r="C32" t="str">
        <f ca="1">OFFSET(Batting!$C$4,BatAves!$B32,0)</f>
        <v>Shewan D</v>
      </c>
      <c r="D32" s="81">
        <f ca="1">OFFSET(Batting!$CE$4,BatAves!$B32,0)</f>
        <v>6</v>
      </c>
      <c r="E32" s="81">
        <f ca="1">OFFSET(Batting!$CG$4,BatAves!$B32,0)</f>
        <v>5</v>
      </c>
      <c r="F32" s="81">
        <f ca="1">OFFSET(Batting!$CH$4,BatAves!$B32,0)</f>
        <v>1</v>
      </c>
      <c r="G32" s="81">
        <f ca="1">OFFSET(Batting!$CJ$4,BatAves!$B32,0)</f>
        <v>8</v>
      </c>
      <c r="H32" s="81">
        <f ca="1">OFFSET(Batting!$CK$4,BatAves!$B32,0)</f>
        <v>13</v>
      </c>
      <c r="I32" s="85">
        <f ca="1">OFFSET(Batting!$CL$4,BatAves!$B32,0)</f>
        <v>3.25</v>
      </c>
    </row>
    <row r="33" spans="1:9" x14ac:dyDescent="0.15">
      <c r="A33">
        <v>31</v>
      </c>
      <c r="B33">
        <f>MATCH(A33,Batting!$DD$5:$DD$65,0)</f>
        <v>16</v>
      </c>
      <c r="C33" t="str">
        <f ca="1">OFFSET(Batting!$C$4,BatAves!$B33,0)</f>
        <v>Corrigan D</v>
      </c>
      <c r="D33" s="81">
        <f ca="1">OFFSET(Batting!$CE$4,BatAves!$B33,0)</f>
        <v>4</v>
      </c>
      <c r="E33" s="81">
        <f ca="1">OFFSET(Batting!$CG$4,BatAves!$B33,0)</f>
        <v>1</v>
      </c>
      <c r="F33" s="81">
        <f ca="1">OFFSET(Batting!$CH$4,BatAves!$B33,0)</f>
        <v>0</v>
      </c>
      <c r="G33" s="81">
        <f ca="1">OFFSET(Batting!$CJ$4,BatAves!$B33,0)</f>
        <v>3</v>
      </c>
      <c r="H33" s="81">
        <f ca="1">OFFSET(Batting!$CK$4,BatAves!$B33,0)</f>
        <v>3</v>
      </c>
      <c r="I33" s="85">
        <f ca="1">OFFSET(Batting!$CL$4,BatAves!$B33,0)</f>
        <v>3</v>
      </c>
    </row>
    <row r="34" spans="1:9" x14ac:dyDescent="0.15">
      <c r="A34">
        <v>32</v>
      </c>
      <c r="B34">
        <f>MATCH(A34,Batting!$DD$5:$DD$65,0)</f>
        <v>19</v>
      </c>
      <c r="C34" t="str">
        <f ca="1">OFFSET(Batting!$C$4,BatAves!$B34,0)</f>
        <v>Elliston J</v>
      </c>
      <c r="D34" s="81">
        <f ca="1">OFFSET(Batting!$CE$4,BatAves!$B34,0)</f>
        <v>12</v>
      </c>
      <c r="E34" s="81">
        <f ca="1">OFFSET(Batting!$CG$4,BatAves!$B34,0)</f>
        <v>4</v>
      </c>
      <c r="F34" s="81">
        <f ca="1">OFFSET(Batting!$CH$4,BatAves!$B34,0)</f>
        <v>1</v>
      </c>
      <c r="G34" s="81">
        <f ca="1">OFFSET(Batting!$CJ$4,BatAves!$B34,0)</f>
        <v>5</v>
      </c>
      <c r="H34" s="81">
        <f ca="1">OFFSET(Batting!$CK$4,BatAves!$B34,0)</f>
        <v>6</v>
      </c>
      <c r="I34" s="85">
        <f ca="1">OFFSET(Batting!$CL$4,BatAves!$B34,0)</f>
        <v>2</v>
      </c>
    </row>
    <row r="35" spans="1:9" x14ac:dyDescent="0.15">
      <c r="A35">
        <v>33</v>
      </c>
      <c r="B35">
        <f>MATCH(A35,Batting!$DD$5:$DD$65,0)</f>
        <v>14</v>
      </c>
      <c r="C35" t="str">
        <f ca="1">OFFSET(Batting!$C$4,BatAves!$B35,0)</f>
        <v>Cooper D</v>
      </c>
      <c r="D35" s="81">
        <f ca="1">OFFSET(Batting!$CE$4,BatAves!$B35,0)</f>
        <v>4</v>
      </c>
      <c r="E35" s="81">
        <f ca="1">OFFSET(Batting!$CG$4,BatAves!$B35,0)</f>
        <v>4</v>
      </c>
      <c r="F35" s="81">
        <f ca="1">OFFSET(Batting!$CH$4,BatAves!$B35,0)</f>
        <v>0</v>
      </c>
      <c r="G35" s="81">
        <f ca="1">OFFSET(Batting!$CJ$4,BatAves!$B35,0)</f>
        <v>6</v>
      </c>
      <c r="H35" s="81">
        <f ca="1">OFFSET(Batting!$CK$4,BatAves!$B35,0)</f>
        <v>8</v>
      </c>
      <c r="I35" s="85">
        <f ca="1">OFFSET(Batting!$CL$4,BatAves!$B35,0)</f>
        <v>2</v>
      </c>
    </row>
    <row r="36" spans="1:9" x14ac:dyDescent="0.15">
      <c r="A36">
        <v>34</v>
      </c>
      <c r="B36">
        <f>MATCH(A36,Batting!$DD$5:$DD$65,0)</f>
        <v>24</v>
      </c>
      <c r="C36" t="str">
        <f ca="1">OFFSET(Batting!$C$4,BatAves!$B36,0)</f>
        <v>Haynes J</v>
      </c>
      <c r="D36" s="81">
        <f ca="1">OFFSET(Batting!$CE$4,BatAves!$B36,0)</f>
        <v>1</v>
      </c>
      <c r="E36" s="81">
        <f ca="1">OFFSET(Batting!$CG$4,BatAves!$B36,0)</f>
        <v>1</v>
      </c>
      <c r="F36" s="81">
        <f ca="1">OFFSET(Batting!$CH$4,BatAves!$B36,0)</f>
        <v>0</v>
      </c>
      <c r="G36" s="81">
        <f ca="1">OFFSET(Batting!$CJ$4,BatAves!$B36,0)</f>
        <v>2</v>
      </c>
      <c r="H36" s="81">
        <f ca="1">OFFSET(Batting!$CK$4,BatAves!$B36,0)</f>
        <v>2</v>
      </c>
      <c r="I36" s="85">
        <f ca="1">OFFSET(Batting!$CL$4,BatAves!$B36,0)</f>
        <v>2</v>
      </c>
    </row>
    <row r="37" spans="1:9" x14ac:dyDescent="0.15">
      <c r="A37">
        <v>35</v>
      </c>
      <c r="B37">
        <f>MATCH(A37,Batting!$DD$5:$DD$65,0)</f>
        <v>43</v>
      </c>
      <c r="C37" t="str">
        <f ca="1">OFFSET(Batting!$C$4,BatAves!$B37,0)</f>
        <v>Odeneal R</v>
      </c>
      <c r="D37" s="81">
        <f ca="1">OFFSET(Batting!$CE$4,BatAves!$B37,0)</f>
        <v>5</v>
      </c>
      <c r="E37" s="81">
        <f ca="1">OFFSET(Batting!$CG$4,BatAves!$B37,0)</f>
        <v>2</v>
      </c>
      <c r="F37" s="81">
        <f ca="1">OFFSET(Batting!$CH$4,BatAves!$B37,0)</f>
        <v>0</v>
      </c>
      <c r="G37" s="81">
        <f ca="1">OFFSET(Batting!$CJ$4,BatAves!$B37,0)</f>
        <v>2</v>
      </c>
      <c r="H37" s="81">
        <f ca="1">OFFSET(Batting!$CK$4,BatAves!$B37,0)</f>
        <v>2</v>
      </c>
      <c r="I37" s="85">
        <f ca="1">OFFSET(Batting!$CL$4,BatAves!$B37,0)</f>
        <v>1</v>
      </c>
    </row>
    <row r="38" spans="1:9" x14ac:dyDescent="0.15">
      <c r="A38">
        <v>36</v>
      </c>
      <c r="B38">
        <f>MATCH(A38,Batting!$DD$5:$DD$65,0)</f>
        <v>53</v>
      </c>
      <c r="C38" t="str">
        <f ca="1">OFFSET(Batting!$C$4,BatAves!$B38,0)</f>
        <v>Snow D</v>
      </c>
      <c r="D38" s="81">
        <f ca="1">OFFSET(Batting!$CE$4,BatAves!$B38,0)</f>
        <v>1</v>
      </c>
      <c r="E38" s="81">
        <f ca="1">OFFSET(Batting!$CG$4,BatAves!$B38,0)</f>
        <v>1</v>
      </c>
      <c r="F38" s="81">
        <f ca="1">OFFSET(Batting!$CH$4,BatAves!$B38,0)</f>
        <v>0</v>
      </c>
      <c r="G38" s="81">
        <f ca="1">OFFSET(Batting!$CJ$4,BatAves!$B38,0)</f>
        <v>1</v>
      </c>
      <c r="H38" s="81">
        <f ca="1">OFFSET(Batting!$CK$4,BatAves!$B38,0)</f>
        <v>1</v>
      </c>
      <c r="I38" s="85">
        <f ca="1">OFFSET(Batting!$CL$4,BatAves!$B38,0)</f>
        <v>1</v>
      </c>
    </row>
    <row r="39" spans="1:9" x14ac:dyDescent="0.15">
      <c r="A39">
        <v>37</v>
      </c>
      <c r="B39">
        <f>MATCH(A39,Batting!$DD$5:$DD$65,0)</f>
        <v>25</v>
      </c>
      <c r="C39" t="str">
        <f ca="1">OFFSET(Batting!$C$4,BatAves!$B39,0)</f>
        <v>Hickey L</v>
      </c>
      <c r="D39" s="81">
        <f ca="1">OFFSET(Batting!$CE$4,BatAves!$B39,0)</f>
        <v>3</v>
      </c>
      <c r="E39" s="81">
        <f ca="1">OFFSET(Batting!$CG$4,BatAves!$B39,0)</f>
        <v>1</v>
      </c>
      <c r="F39" s="81">
        <f ca="1">OFFSET(Batting!$CH$4,BatAves!$B39,0)</f>
        <v>0</v>
      </c>
      <c r="G39" s="81">
        <f ca="1">OFFSET(Batting!$CJ$4,BatAves!$B39,0)</f>
        <v>0</v>
      </c>
      <c r="H39" s="81">
        <f ca="1">OFFSET(Batting!$CK$4,BatAves!$B39,0)</f>
        <v>0</v>
      </c>
      <c r="I39" s="85">
        <f ca="1">OFFSET(Batting!$CL$4,BatAves!$B39,0)</f>
        <v>0</v>
      </c>
    </row>
    <row r="40" spans="1:9" x14ac:dyDescent="0.15">
      <c r="A40">
        <v>38</v>
      </c>
      <c r="B40">
        <f>MATCH(A40,Batting!$DD$5:$DD$65,0)</f>
        <v>52</v>
      </c>
      <c r="C40" t="str">
        <f ca="1">OFFSET(Batting!$C$4,BatAves!$B40,0)</f>
        <v>Smith R</v>
      </c>
      <c r="D40" s="81">
        <f ca="1">OFFSET(Batting!$CE$4,BatAves!$B40,0)</f>
        <v>1</v>
      </c>
      <c r="E40" s="81">
        <f ca="1">OFFSET(Batting!$CG$4,BatAves!$B40,0)</f>
        <v>1</v>
      </c>
      <c r="F40" s="81">
        <f ca="1">OFFSET(Batting!$CH$4,BatAves!$B40,0)</f>
        <v>0</v>
      </c>
      <c r="G40" s="81">
        <f ca="1">OFFSET(Batting!$CJ$4,BatAves!$B40,0)</f>
        <v>0</v>
      </c>
      <c r="H40" s="81">
        <f ca="1">OFFSET(Batting!$CK$4,BatAves!$B40,0)</f>
        <v>0</v>
      </c>
      <c r="I40" s="85">
        <f ca="1">OFFSET(Batting!$CL$4,BatAves!$B40,0)</f>
        <v>0</v>
      </c>
    </row>
    <row r="41" spans="1:9" x14ac:dyDescent="0.15">
      <c r="A41">
        <v>39</v>
      </c>
      <c r="B41">
        <f>MATCH(A41,Batting!$DD$5:$DD$65,0)</f>
        <v>26</v>
      </c>
      <c r="C41" t="str">
        <f ca="1">OFFSET(Batting!$C$4,BatAves!$B41,0)</f>
        <v>Hogan</v>
      </c>
      <c r="D41" s="81">
        <f ca="1">OFFSET(Batting!$CE$4,BatAves!$B41,0)</f>
        <v>1</v>
      </c>
      <c r="E41" s="81">
        <f ca="1">OFFSET(Batting!$CG$4,BatAves!$B41,0)</f>
        <v>1</v>
      </c>
      <c r="F41" s="81">
        <f ca="1">OFFSET(Batting!$CH$4,BatAves!$B41,0)</f>
        <v>0</v>
      </c>
      <c r="G41" s="81">
        <f ca="1">OFFSET(Batting!$CJ$4,BatAves!$B41,0)</f>
        <v>0</v>
      </c>
      <c r="H41" s="81">
        <f ca="1">OFFSET(Batting!$CK$4,BatAves!$B41,0)</f>
        <v>0</v>
      </c>
      <c r="I41" s="85">
        <f ca="1">OFFSET(Batting!$CL$4,BatAves!$B41,0)</f>
        <v>0</v>
      </c>
    </row>
    <row r="42" spans="1:9" x14ac:dyDescent="0.15">
      <c r="A42">
        <v>40</v>
      </c>
      <c r="B42">
        <f>MATCH(A42,Batting!$DD$5:$DD$65,0)</f>
        <v>4</v>
      </c>
      <c r="C42" t="str">
        <f ca="1">OFFSET(Batting!$C$4,BatAves!$B42,0)</f>
        <v>Bell M</v>
      </c>
      <c r="D42" s="81">
        <f ca="1">OFFSET(Batting!$CE$4,BatAves!$B42,0)</f>
        <v>1</v>
      </c>
      <c r="E42" s="81">
        <f ca="1">OFFSET(Batting!$CG$4,BatAves!$B42,0)</f>
        <v>1</v>
      </c>
      <c r="F42" s="81">
        <f ca="1">OFFSET(Batting!$CH$4,BatAves!$B42,0)</f>
        <v>0</v>
      </c>
      <c r="G42" s="81">
        <f ca="1">OFFSET(Batting!$CJ$4,BatAves!$B42,0)</f>
        <v>0</v>
      </c>
      <c r="H42" s="81">
        <f ca="1">OFFSET(Batting!$CK$4,BatAves!$B42,0)</f>
        <v>0</v>
      </c>
      <c r="I42" s="85">
        <f ca="1">OFFSET(Batting!$CL$4,BatAves!$B42,0)</f>
        <v>0</v>
      </c>
    </row>
    <row r="43" spans="1:9" x14ac:dyDescent="0.15">
      <c r="A43">
        <v>41</v>
      </c>
      <c r="B43">
        <f>MATCH(A43,Batting!$DD$5:$DD$65,0)</f>
        <v>51</v>
      </c>
      <c r="C43" t="str">
        <f ca="1">OFFSET(Batting!$C$4,BatAves!$B43,0)</f>
        <v>Simmons M</v>
      </c>
      <c r="D43" s="81">
        <f ca="1">OFFSET(Batting!$CE$4,BatAves!$B43,0)</f>
        <v>1</v>
      </c>
      <c r="E43" s="81">
        <f ca="1">OFFSET(Batting!$CG$4,BatAves!$B43,0)</f>
        <v>0</v>
      </c>
      <c r="F43" s="81">
        <f ca="1">OFFSET(Batting!$CH$4,BatAves!$B43,0)</f>
        <v>0</v>
      </c>
      <c r="G43" s="81">
        <f ca="1">OFFSET(Batting!$CJ$4,BatAves!$B43,0)</f>
        <v>0</v>
      </c>
      <c r="H43" s="81">
        <f ca="1">OFFSET(Batting!$CK$4,BatAves!$B43,0)</f>
        <v>0</v>
      </c>
      <c r="I43" s="85">
        <f ca="1">OFFSET(Batting!$CL$4,BatAves!$B43,0)</f>
        <v>0</v>
      </c>
    </row>
    <row r="44" spans="1:9" x14ac:dyDescent="0.15">
      <c r="A44">
        <v>42</v>
      </c>
      <c r="B44">
        <f>MATCH(A44,Batting!$DD$5:$DD$65,0)</f>
        <v>48</v>
      </c>
      <c r="C44" t="str">
        <f ca="1">OFFSET(Batting!$C$4,BatAves!$B44,0)</f>
        <v>Sabine G</v>
      </c>
      <c r="D44" s="81">
        <f ca="1">OFFSET(Batting!$CE$4,BatAves!$B44,0)</f>
        <v>1</v>
      </c>
      <c r="E44" s="81">
        <f ca="1">OFFSET(Batting!$CG$4,BatAves!$B44,0)</f>
        <v>0</v>
      </c>
      <c r="F44" s="81">
        <f ca="1">OFFSET(Batting!$CH$4,BatAves!$B44,0)</f>
        <v>0</v>
      </c>
      <c r="G44" s="81">
        <f ca="1">OFFSET(Batting!$CJ$4,BatAves!$B44,0)</f>
        <v>0</v>
      </c>
      <c r="H44" s="81">
        <f ca="1">OFFSET(Batting!$CK$4,BatAves!$B44,0)</f>
        <v>0</v>
      </c>
      <c r="I44" s="85">
        <f ca="1">OFFSET(Batting!$CL$4,BatAves!$B44,0)</f>
        <v>0</v>
      </c>
    </row>
    <row r="45" spans="1:9" x14ac:dyDescent="0.15">
      <c r="A45">
        <v>43</v>
      </c>
      <c r="B45">
        <f>MATCH(A45,Batting!$DD$5:$DD$65,0)</f>
        <v>6</v>
      </c>
      <c r="C45" t="str">
        <f ca="1">OFFSET(Batting!$C$4,BatAves!$B45,0)</f>
        <v>Brady S</v>
      </c>
      <c r="D45" s="81">
        <f ca="1">OFFSET(Batting!$CE$4,BatAves!$B45,0)</f>
        <v>1</v>
      </c>
      <c r="E45" s="81">
        <f ca="1">OFFSET(Batting!$CG$4,BatAves!$B45,0)</f>
        <v>0</v>
      </c>
      <c r="F45" s="81">
        <f ca="1">OFFSET(Batting!$CH$4,BatAves!$B45,0)</f>
        <v>0</v>
      </c>
      <c r="G45" s="81">
        <f ca="1">OFFSET(Batting!$CJ$4,BatAves!$B45,0)</f>
        <v>0</v>
      </c>
      <c r="H45" s="81">
        <f ca="1">OFFSET(Batting!$CK$4,BatAves!$B45,0)</f>
        <v>0</v>
      </c>
      <c r="I45" s="85">
        <f ca="1">OFFSET(Batting!$CL$4,BatAves!$B45,0)</f>
        <v>0</v>
      </c>
    </row>
    <row r="46" spans="1:9" x14ac:dyDescent="0.15">
      <c r="A46">
        <v>44</v>
      </c>
      <c r="B46">
        <f>MATCH(A46,Batting!$DD$5:$DD$65,0)</f>
        <v>2</v>
      </c>
      <c r="C46" t="str">
        <f ca="1">OFFSET(Batting!$C$4,BatAves!$B46,0)</f>
        <v>Angell G</v>
      </c>
      <c r="D46" s="81">
        <f ca="1">OFFSET(Batting!$CE$4,BatAves!$B46,0)</f>
        <v>1</v>
      </c>
      <c r="E46" s="81">
        <f ca="1">OFFSET(Batting!$CG$4,BatAves!$B46,0)</f>
        <v>0</v>
      </c>
      <c r="F46" s="81">
        <f ca="1">OFFSET(Batting!$CH$4,BatAves!$B46,0)</f>
        <v>0</v>
      </c>
      <c r="G46" s="81">
        <f ca="1">OFFSET(Batting!$CJ$4,BatAves!$B46,0)</f>
        <v>0</v>
      </c>
      <c r="H46" s="81">
        <f ca="1">OFFSET(Batting!$CK$4,BatAves!$B46,0)</f>
        <v>0</v>
      </c>
      <c r="I46" s="85">
        <f ca="1">OFFSET(Batting!$CL$4,BatAves!$B46,0)</f>
        <v>0</v>
      </c>
    </row>
    <row r="47" spans="1:9" x14ac:dyDescent="0.15">
      <c r="A47">
        <v>45</v>
      </c>
      <c r="B47">
        <f>MATCH(A47,Batting!$DD$5:$DD$65,0)</f>
        <v>56</v>
      </c>
      <c r="C47" t="str">
        <f ca="1">OFFSET(Batting!$C$4,BatAves!$B47,0)</f>
        <v>Thomas C</v>
      </c>
      <c r="D47" s="81">
        <f ca="1">OFFSET(Batting!$CE$4,BatAves!$B47,0)</f>
        <v>0</v>
      </c>
      <c r="E47" s="81">
        <f ca="1">OFFSET(Batting!$CG$4,BatAves!$B47,0)</f>
        <v>0</v>
      </c>
      <c r="F47" s="81">
        <f ca="1">OFFSET(Batting!$CH$4,BatAves!$B47,0)</f>
        <v>0</v>
      </c>
      <c r="G47" s="81">
        <f ca="1">OFFSET(Batting!$CJ$4,BatAves!$B47,0)</f>
        <v>0</v>
      </c>
      <c r="H47" s="81">
        <f ca="1">OFFSET(Batting!$CK$4,BatAves!$B47,0)</f>
        <v>0</v>
      </c>
      <c r="I47" s="85">
        <f ca="1">OFFSET(Batting!$CL$4,BatAves!$B47,0)</f>
        <v>0</v>
      </c>
    </row>
    <row r="48" spans="1:9" x14ac:dyDescent="0.15">
      <c r="A48">
        <v>46</v>
      </c>
      <c r="B48">
        <f>MATCH(A48,Batting!$DD$5:$DD$65,0)</f>
        <v>55</v>
      </c>
      <c r="C48" t="str">
        <f ca="1">OFFSET(Batting!$C$4,BatAves!$B48,0)</f>
        <v>Tate P</v>
      </c>
      <c r="D48" s="81">
        <f ca="1">OFFSET(Batting!$CE$4,BatAves!$B48,0)</f>
        <v>0</v>
      </c>
      <c r="E48" s="81">
        <f ca="1">OFFSET(Batting!$CG$4,BatAves!$B48,0)</f>
        <v>0</v>
      </c>
      <c r="F48" s="81">
        <f ca="1">OFFSET(Batting!$CH$4,BatAves!$B48,0)</f>
        <v>0</v>
      </c>
      <c r="G48" s="81">
        <f ca="1">OFFSET(Batting!$CJ$4,BatAves!$B48,0)</f>
        <v>0</v>
      </c>
      <c r="H48" s="81">
        <f ca="1">OFFSET(Batting!$CK$4,BatAves!$B48,0)</f>
        <v>0</v>
      </c>
      <c r="I48" s="85">
        <f ca="1">OFFSET(Batting!$CL$4,BatAves!$B48,0)</f>
        <v>0</v>
      </c>
    </row>
    <row r="49" spans="1:9" x14ac:dyDescent="0.15">
      <c r="A49">
        <v>47</v>
      </c>
      <c r="B49">
        <f>MATCH(A49,Batting!$DD$5:$DD$65,0)</f>
        <v>47</v>
      </c>
      <c r="C49" t="str">
        <f ca="1">OFFSET(Batting!$C$4,BatAves!$B49,0)</f>
        <v>Richardson M</v>
      </c>
      <c r="D49" s="81">
        <f ca="1">OFFSET(Batting!$CE$4,BatAves!$B49,0)</f>
        <v>0</v>
      </c>
      <c r="E49" s="81">
        <f ca="1">OFFSET(Batting!$CG$4,BatAves!$B49,0)</f>
        <v>0</v>
      </c>
      <c r="F49" s="81">
        <f ca="1">OFFSET(Batting!$CH$4,BatAves!$B49,0)</f>
        <v>0</v>
      </c>
      <c r="G49" s="81">
        <f ca="1">OFFSET(Batting!$CJ$4,BatAves!$B49,0)</f>
        <v>0</v>
      </c>
      <c r="H49" s="81">
        <f ca="1">OFFSET(Batting!$CK$4,BatAves!$B49,0)</f>
        <v>0</v>
      </c>
      <c r="I49" s="85">
        <f ca="1">OFFSET(Batting!$CL$4,BatAves!$B49,0)</f>
        <v>0</v>
      </c>
    </row>
    <row r="50" spans="1:9" x14ac:dyDescent="0.15">
      <c r="A50">
        <v>48</v>
      </c>
      <c r="B50">
        <f>MATCH(A50,Batting!$DD$5:$DD$65,0)</f>
        <v>45</v>
      </c>
      <c r="C50" t="str">
        <f ca="1">OFFSET(Batting!$C$4,BatAves!$B50,0)</f>
        <v>Porter D</v>
      </c>
      <c r="D50" s="81">
        <f ca="1">OFFSET(Batting!$CE$4,BatAves!$B50,0)</f>
        <v>0</v>
      </c>
      <c r="E50" s="81">
        <f ca="1">OFFSET(Batting!$CG$4,BatAves!$B50,0)</f>
        <v>0</v>
      </c>
      <c r="F50" s="81">
        <f ca="1">OFFSET(Batting!$CH$4,BatAves!$B50,0)</f>
        <v>0</v>
      </c>
      <c r="G50" s="81">
        <f ca="1">OFFSET(Batting!$CJ$4,BatAves!$B50,0)</f>
        <v>0</v>
      </c>
      <c r="H50" s="81">
        <f ca="1">OFFSET(Batting!$CK$4,BatAves!$B50,0)</f>
        <v>0</v>
      </c>
      <c r="I50" s="85">
        <f ca="1">OFFSET(Batting!$CL$4,BatAves!$B50,0)</f>
        <v>0</v>
      </c>
    </row>
    <row r="51" spans="1:9" x14ac:dyDescent="0.15">
      <c r="A51">
        <v>49</v>
      </c>
      <c r="B51">
        <f>MATCH(A51,Batting!$DD$5:$DD$65,0)</f>
        <v>39</v>
      </c>
      <c r="C51" t="str">
        <f ca="1">OFFSET(Batting!$C$4,BatAves!$B51,0)</f>
        <v>Mills S</v>
      </c>
      <c r="D51" s="81">
        <f ca="1">OFFSET(Batting!$CE$4,BatAves!$B51,0)</f>
        <v>0</v>
      </c>
      <c r="E51" s="81">
        <f ca="1">OFFSET(Batting!$CG$4,BatAves!$B51,0)</f>
        <v>0</v>
      </c>
      <c r="F51" s="81">
        <f ca="1">OFFSET(Batting!$CH$4,BatAves!$B51,0)</f>
        <v>0</v>
      </c>
      <c r="G51" s="81">
        <f ca="1">OFFSET(Batting!$CJ$4,BatAves!$B51,0)</f>
        <v>0</v>
      </c>
      <c r="H51" s="81">
        <f ca="1">OFFSET(Batting!$CK$4,BatAves!$B51,0)</f>
        <v>0</v>
      </c>
      <c r="I51" s="85">
        <f ca="1">OFFSET(Batting!$CL$4,BatAves!$B51,0)</f>
        <v>0</v>
      </c>
    </row>
    <row r="52" spans="1:9" x14ac:dyDescent="0.15">
      <c r="A52">
        <v>50</v>
      </c>
      <c r="B52">
        <f>MATCH(A52,Batting!$DD$5:$DD$65,0)</f>
        <v>37</v>
      </c>
      <c r="C52" t="str">
        <f ca="1">OFFSET(Batting!$C$4,BatAves!$B52,0)</f>
        <v>Merritt A</v>
      </c>
      <c r="D52" s="81">
        <f ca="1">OFFSET(Batting!$CE$4,BatAves!$B52,0)</f>
        <v>0</v>
      </c>
      <c r="E52" s="81">
        <f ca="1">OFFSET(Batting!$CG$4,BatAves!$B52,0)</f>
        <v>0</v>
      </c>
      <c r="F52" s="81">
        <f ca="1">OFFSET(Batting!$CH$4,BatAves!$B52,0)</f>
        <v>0</v>
      </c>
      <c r="G52" s="81">
        <f ca="1">OFFSET(Batting!$CJ$4,BatAves!$B52,0)</f>
        <v>0</v>
      </c>
      <c r="H52" s="81">
        <f ca="1">OFFSET(Batting!$CK$4,BatAves!$B52,0)</f>
        <v>0</v>
      </c>
      <c r="I52" s="85">
        <f ca="1">OFFSET(Batting!$CL$4,BatAves!$B52,0)</f>
        <v>0</v>
      </c>
    </row>
    <row r="53" spans="1:9" x14ac:dyDescent="0.15">
      <c r="A53">
        <v>51</v>
      </c>
      <c r="B53">
        <f>MATCH(A53,Batting!$DD$5:$DD$65,0)</f>
        <v>36</v>
      </c>
      <c r="C53" t="str">
        <f ca="1">OFFSET(Batting!$C$4,BatAves!$B53,0)</f>
        <v>Maranzano</v>
      </c>
      <c r="D53" s="81">
        <f ca="1">OFFSET(Batting!$CE$4,BatAves!$B53,0)</f>
        <v>0</v>
      </c>
      <c r="E53" s="81">
        <f ca="1">OFFSET(Batting!$CG$4,BatAves!$B53,0)</f>
        <v>0</v>
      </c>
      <c r="F53" s="81">
        <f ca="1">OFFSET(Batting!$CH$4,BatAves!$B53,0)</f>
        <v>0</v>
      </c>
      <c r="G53" s="81">
        <f ca="1">OFFSET(Batting!$CJ$4,BatAves!$B53,0)</f>
        <v>0</v>
      </c>
      <c r="H53" s="81">
        <f ca="1">OFFSET(Batting!$CK$4,BatAves!$B53,0)</f>
        <v>0</v>
      </c>
      <c r="I53" s="85">
        <f ca="1">OFFSET(Batting!$CL$4,BatAves!$B53,0)</f>
        <v>0</v>
      </c>
    </row>
    <row r="54" spans="1:9" x14ac:dyDescent="0.15">
      <c r="A54">
        <v>52</v>
      </c>
      <c r="B54">
        <f>MATCH(A54,Batting!$DD$5:$DD$65,0)</f>
        <v>31</v>
      </c>
      <c r="C54" t="str">
        <f ca="1">OFFSET(Batting!$C$4,BatAves!$B54,0)</f>
        <v>Ligory K</v>
      </c>
      <c r="D54" s="81">
        <f ca="1">OFFSET(Batting!$CE$4,BatAves!$B54,0)</f>
        <v>0</v>
      </c>
      <c r="E54" s="81">
        <f ca="1">OFFSET(Batting!$CG$4,BatAves!$B54,0)</f>
        <v>0</v>
      </c>
      <c r="F54" s="81">
        <f ca="1">OFFSET(Batting!$CH$4,BatAves!$B54,0)</f>
        <v>0</v>
      </c>
      <c r="G54" s="81">
        <f ca="1">OFFSET(Batting!$CJ$4,BatAves!$B54,0)</f>
        <v>0</v>
      </c>
      <c r="H54" s="81">
        <f ca="1">OFFSET(Batting!$CK$4,BatAves!$B54,0)</f>
        <v>0</v>
      </c>
      <c r="I54" s="85">
        <f ca="1">OFFSET(Batting!$CL$4,BatAves!$B54,0)</f>
        <v>0</v>
      </c>
    </row>
    <row r="55" spans="1:9" x14ac:dyDescent="0.15">
      <c r="A55">
        <v>53</v>
      </c>
      <c r="B55">
        <f>MATCH(A55,Batting!$DD$5:$DD$65,0)</f>
        <v>28</v>
      </c>
      <c r="C55" t="str">
        <f ca="1">OFFSET(Batting!$C$4,BatAves!$B55,0)</f>
        <v>Howe V</v>
      </c>
      <c r="D55" s="81">
        <f ca="1">OFFSET(Batting!$CE$4,BatAves!$B55,0)</f>
        <v>0</v>
      </c>
      <c r="E55" s="81">
        <f ca="1">OFFSET(Batting!$CG$4,BatAves!$B55,0)</f>
        <v>0</v>
      </c>
      <c r="F55" s="81">
        <f ca="1">OFFSET(Batting!$CH$4,BatAves!$B55,0)</f>
        <v>0</v>
      </c>
      <c r="G55" s="81">
        <f ca="1">OFFSET(Batting!$CJ$4,BatAves!$B55,0)</f>
        <v>0</v>
      </c>
      <c r="H55" s="81">
        <f ca="1">OFFSET(Batting!$CK$4,BatAves!$B55,0)</f>
        <v>0</v>
      </c>
      <c r="I55" s="85">
        <f ca="1">OFFSET(Batting!$CL$4,BatAves!$B55,0)</f>
        <v>0</v>
      </c>
    </row>
    <row r="56" spans="1:9" x14ac:dyDescent="0.15">
      <c r="A56">
        <v>54</v>
      </c>
      <c r="B56">
        <f>MATCH(A56,Batting!$DD$5:$DD$65,0)</f>
        <v>23</v>
      </c>
      <c r="C56" t="str">
        <f ca="1">OFFSET(Batting!$C$4,BatAves!$B56,0)</f>
        <v>Hawksworth A</v>
      </c>
      <c r="D56" s="81">
        <f ca="1">OFFSET(Batting!$CE$4,BatAves!$B56,0)</f>
        <v>0</v>
      </c>
      <c r="E56" s="81">
        <f ca="1">OFFSET(Batting!$CG$4,BatAves!$B56,0)</f>
        <v>0</v>
      </c>
      <c r="F56" s="81">
        <f ca="1">OFFSET(Batting!$CH$4,BatAves!$B56,0)</f>
        <v>0</v>
      </c>
      <c r="G56" s="81">
        <f ca="1">OFFSET(Batting!$CJ$4,BatAves!$B56,0)</f>
        <v>0</v>
      </c>
      <c r="H56" s="81">
        <f ca="1">OFFSET(Batting!$CK$4,BatAves!$B56,0)</f>
        <v>0</v>
      </c>
      <c r="I56" s="85">
        <f ca="1">OFFSET(Batting!$CL$4,BatAves!$B56,0)</f>
        <v>0</v>
      </c>
    </row>
    <row r="57" spans="1:9" x14ac:dyDescent="0.15">
      <c r="A57">
        <v>55</v>
      </c>
      <c r="B57">
        <f>MATCH(A57,Batting!$DD$5:$DD$65,0)</f>
        <v>22</v>
      </c>
      <c r="C57" t="str">
        <f ca="1">OFFSET(Batting!$C$4,BatAves!$B57,0)</f>
        <v>Hammond P</v>
      </c>
      <c r="D57" s="81">
        <f ca="1">OFFSET(Batting!$CE$4,BatAves!$B57,0)</f>
        <v>0</v>
      </c>
      <c r="E57" s="81">
        <f ca="1">OFFSET(Batting!$CG$4,BatAves!$B57,0)</f>
        <v>0</v>
      </c>
      <c r="F57" s="81">
        <f ca="1">OFFSET(Batting!$CH$4,BatAves!$B57,0)</f>
        <v>0</v>
      </c>
      <c r="G57" s="81">
        <f ca="1">OFFSET(Batting!$CJ$4,BatAves!$B57,0)</f>
        <v>0</v>
      </c>
      <c r="H57" s="81">
        <f ca="1">OFFSET(Batting!$CK$4,BatAves!$B57,0)</f>
        <v>0</v>
      </c>
      <c r="I57" s="85">
        <f ca="1">OFFSET(Batting!$CL$4,BatAves!$B57,0)</f>
        <v>0</v>
      </c>
    </row>
    <row r="58" spans="1:9" x14ac:dyDescent="0.15">
      <c r="A58">
        <v>56</v>
      </c>
      <c r="B58">
        <f>MATCH(A58,Batting!$DD$5:$DD$65,0)</f>
        <v>21</v>
      </c>
      <c r="C58" t="str">
        <f ca="1">OFFSET(Batting!$C$4,BatAves!$B58,0)</f>
        <v>Hamilton A</v>
      </c>
      <c r="D58" s="81">
        <f ca="1">OFFSET(Batting!$CE$4,BatAves!$B58,0)</f>
        <v>0</v>
      </c>
      <c r="E58" s="81">
        <f ca="1">OFFSET(Batting!$CG$4,BatAves!$B58,0)</f>
        <v>0</v>
      </c>
      <c r="F58" s="81">
        <f ca="1">OFFSET(Batting!$CH$4,BatAves!$B58,0)</f>
        <v>0</v>
      </c>
      <c r="G58" s="81">
        <f ca="1">OFFSET(Batting!$CJ$4,BatAves!$B58,0)</f>
        <v>0</v>
      </c>
      <c r="H58" s="81">
        <f ca="1">OFFSET(Batting!$CK$4,BatAves!$B58,0)</f>
        <v>0</v>
      </c>
      <c r="I58" s="85">
        <f ca="1">OFFSET(Batting!$CL$4,BatAves!$B58,0)</f>
        <v>0</v>
      </c>
    </row>
    <row r="59" spans="1:9" x14ac:dyDescent="0.15">
      <c r="A59">
        <v>57</v>
      </c>
      <c r="B59">
        <f>MATCH(A59,Batting!$DD$5:$DD$65,0)</f>
        <v>20</v>
      </c>
      <c r="C59" t="str">
        <f ca="1">OFFSET(Batting!$C$4,BatAves!$B59,0)</f>
        <v>Gorham S</v>
      </c>
      <c r="D59" s="81">
        <f ca="1">OFFSET(Batting!$CE$4,BatAves!$B59,0)</f>
        <v>0</v>
      </c>
      <c r="E59" s="81">
        <f ca="1">OFFSET(Batting!$CG$4,BatAves!$B59,0)</f>
        <v>0</v>
      </c>
      <c r="F59" s="81">
        <f ca="1">OFFSET(Batting!$CH$4,BatAves!$B59,0)</f>
        <v>0</v>
      </c>
      <c r="G59" s="81">
        <f ca="1">OFFSET(Batting!$CJ$4,BatAves!$B59,0)</f>
        <v>0</v>
      </c>
      <c r="H59" s="81">
        <f ca="1">OFFSET(Batting!$CK$4,BatAves!$B59,0)</f>
        <v>0</v>
      </c>
      <c r="I59" s="85">
        <f ca="1">OFFSET(Batting!$CL$4,BatAves!$B59,0)</f>
        <v>0</v>
      </c>
    </row>
    <row r="60" spans="1:9" x14ac:dyDescent="0.15">
      <c r="A60">
        <v>58</v>
      </c>
      <c r="B60">
        <f>MATCH(A60,Batting!$DD$5:$DD$65,0)</f>
        <v>10</v>
      </c>
      <c r="C60" t="str">
        <f ca="1">OFFSET(Batting!$C$4,BatAves!$B60,0)</f>
        <v>Chick G</v>
      </c>
      <c r="D60" s="81">
        <f ca="1">OFFSET(Batting!$CE$4,BatAves!$B60,0)</f>
        <v>0</v>
      </c>
      <c r="E60" s="81">
        <f ca="1">OFFSET(Batting!$CG$4,BatAves!$B60,0)</f>
        <v>0</v>
      </c>
      <c r="F60" s="81">
        <f ca="1">OFFSET(Batting!$CH$4,BatAves!$B60,0)</f>
        <v>0</v>
      </c>
      <c r="G60" s="81">
        <f ca="1">OFFSET(Batting!$CJ$4,BatAves!$B60,0)</f>
        <v>0</v>
      </c>
      <c r="H60" s="81">
        <f ca="1">OFFSET(Batting!$CK$4,BatAves!$B60,0)</f>
        <v>0</v>
      </c>
      <c r="I60" s="85">
        <f ca="1">OFFSET(Batting!$CL$4,BatAves!$B60,0)</f>
        <v>0</v>
      </c>
    </row>
    <row r="61" spans="1:9" x14ac:dyDescent="0.15">
      <c r="A61">
        <v>59</v>
      </c>
      <c r="B61">
        <f>MATCH(A61,Batting!$DD$5:$DD$65,0)</f>
        <v>9</v>
      </c>
      <c r="C61" t="str">
        <f ca="1">OFFSET(Batting!$C$4,BatAves!$B61,0)</f>
        <v>Catley</v>
      </c>
      <c r="D61" s="81">
        <f ca="1">OFFSET(Batting!$CE$4,BatAves!$B61,0)</f>
        <v>0</v>
      </c>
      <c r="E61" s="81">
        <f ca="1">OFFSET(Batting!$CG$4,BatAves!$B61,0)</f>
        <v>0</v>
      </c>
      <c r="F61" s="81">
        <f ca="1">OFFSET(Batting!$CH$4,BatAves!$B61,0)</f>
        <v>0</v>
      </c>
      <c r="G61" s="81">
        <f ca="1">OFFSET(Batting!$CJ$4,BatAves!$B61,0)</f>
        <v>0</v>
      </c>
      <c r="H61" s="81">
        <f ca="1">OFFSET(Batting!$CK$4,BatAves!$B61,0)</f>
        <v>0</v>
      </c>
      <c r="I61" s="85">
        <f ca="1">OFFSET(Batting!$CL$4,BatAves!$B61,0)</f>
        <v>0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52"/>
  <sheetViews>
    <sheetView workbookViewId="0">
      <selection activeCell="C2" sqref="C2:K31"/>
    </sheetView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86" bestFit="1" customWidth="1"/>
    <col min="5" max="5" width="5.140625" style="81" bestFit="1" customWidth="1"/>
    <col min="6" max="6" width="5" style="81" bestFit="1" customWidth="1"/>
    <col min="7" max="7" width="7.28515625" style="81" bestFit="1" customWidth="1"/>
    <col min="8" max="8" width="6.140625" style="85" bestFit="1" customWidth="1"/>
    <col min="9" max="9" width="5.5703125" style="82" bestFit="1" customWidth="1"/>
    <col min="10" max="10" width="4.85546875" style="82" bestFit="1" customWidth="1"/>
    <col min="11" max="11" width="4.7109375" style="81" bestFit="1" customWidth="1"/>
  </cols>
  <sheetData>
    <row r="1" spans="1:11" x14ac:dyDescent="0.15">
      <c r="A1" s="62" t="s">
        <v>187</v>
      </c>
      <c r="D1" s="86" t="s">
        <v>49</v>
      </c>
      <c r="E1" s="81" t="s">
        <v>50</v>
      </c>
      <c r="F1" s="81" t="s">
        <v>9</v>
      </c>
      <c r="G1" s="81" t="s">
        <v>189</v>
      </c>
      <c r="H1" s="83" t="s">
        <v>52</v>
      </c>
      <c r="I1" s="84" t="s">
        <v>53</v>
      </c>
      <c r="J1" s="84" t="s">
        <v>54</v>
      </c>
      <c r="K1" s="50" t="s">
        <v>123</v>
      </c>
    </row>
    <row r="2" spans="1:11" x14ac:dyDescent="0.15">
      <c r="A2">
        <v>1</v>
      </c>
      <c r="B2">
        <f>MATCH(A2,Bowling!$CS$5:$CS$53,0)</f>
        <v>3</v>
      </c>
      <c r="C2" t="str">
        <f ca="1">OFFSET(Bowling!$B$4,BowlAves!B2,0)</f>
        <v>Brady S</v>
      </c>
      <c r="D2" s="86">
        <f t="array" aca="1" ref="D2:K2" ca="1">OFFSET(Bowling!$CG$4,BowlAves!B2,0,1,8)</f>
        <v>6</v>
      </c>
      <c r="E2" s="81">
        <f ca="1"/>
        <v>1</v>
      </c>
      <c r="F2" s="81">
        <f ca="1"/>
        <v>11</v>
      </c>
      <c r="G2" s="81">
        <f ca="1"/>
        <v>4</v>
      </c>
      <c r="H2" s="85">
        <f ca="1"/>
        <v>2.75</v>
      </c>
      <c r="I2" s="82">
        <f ca="1"/>
        <v>9</v>
      </c>
      <c r="J2" s="82">
        <f ca="1"/>
        <v>1.8333333333333333</v>
      </c>
      <c r="K2" s="89" t="str">
        <f ca="1"/>
        <v>4-11</v>
      </c>
    </row>
    <row r="3" spans="1:11" x14ac:dyDescent="0.15">
      <c r="A3">
        <v>2</v>
      </c>
      <c r="B3">
        <f>MATCH(A3,Bowling!$CS$5:$CS$53,0)</f>
        <v>13</v>
      </c>
      <c r="C3" t="str">
        <f ca="1">OFFSET(Bowling!$B$4,BowlAves!B3,0)</f>
        <v>Dugdale E</v>
      </c>
      <c r="D3" s="86">
        <f t="array" aca="1" ref="D3:K3" ca="1">OFFSET(Bowling!$CG$4,BowlAves!B3,0,1,8)</f>
        <v>1</v>
      </c>
      <c r="E3" s="81">
        <f ca="1"/>
        <v>0</v>
      </c>
      <c r="F3" s="81">
        <f ca="1"/>
        <v>4</v>
      </c>
      <c r="G3" s="81">
        <f ca="1"/>
        <v>1</v>
      </c>
      <c r="H3" s="85">
        <f ca="1"/>
        <v>4</v>
      </c>
      <c r="I3" s="82">
        <f ca="1"/>
        <v>6</v>
      </c>
      <c r="J3" s="82">
        <f ca="1"/>
        <v>4</v>
      </c>
      <c r="K3" s="89" t="str">
        <f ca="1"/>
        <v>1-4</v>
      </c>
    </row>
    <row r="4" spans="1:11" x14ac:dyDescent="0.15">
      <c r="A4">
        <v>3</v>
      </c>
      <c r="B4">
        <f>MATCH(A4,Bowling!$CS$5:$CS$53,0)</f>
        <v>26</v>
      </c>
      <c r="C4" t="str">
        <f ca="1">OFFSET(Bowling!$B$4,BowlAves!B4,0)</f>
        <v>Mander N</v>
      </c>
      <c r="D4" s="86">
        <f t="array" aca="1" ref="D4:K4" ca="1">OFFSET(Bowling!$CG$4,BowlAves!B4,0,1,8)</f>
        <v>29</v>
      </c>
      <c r="E4" s="81">
        <f ca="1"/>
        <v>10</v>
      </c>
      <c r="F4" s="81">
        <f ca="1"/>
        <v>40</v>
      </c>
      <c r="G4" s="81">
        <f ca="1"/>
        <v>9</v>
      </c>
      <c r="H4" s="85">
        <f ca="1"/>
        <v>4.4444444444444446</v>
      </c>
      <c r="I4" s="82">
        <f ca="1"/>
        <v>19.333333333333332</v>
      </c>
      <c r="J4" s="82">
        <f ca="1"/>
        <v>1.3793103448275863</v>
      </c>
      <c r="K4" s="89" t="str">
        <f ca="1"/>
        <v>4-3</v>
      </c>
    </row>
    <row r="5" spans="1:11" x14ac:dyDescent="0.15">
      <c r="A5">
        <v>4</v>
      </c>
      <c r="B5">
        <f>MATCH(A5,Bowling!$CS$5:$CS$53,0)</f>
        <v>7</v>
      </c>
      <c r="C5" t="str">
        <f ca="1">OFFSET(Bowling!$B$4,BowlAves!B5,0)</f>
        <v>Clark C</v>
      </c>
      <c r="D5" s="86">
        <f t="array" aca="1" ref="D5:K5" ca="1">OFFSET(Bowling!$CG$4,BowlAves!B5,0,1,8)</f>
        <v>106</v>
      </c>
      <c r="E5" s="81">
        <f ca="1"/>
        <v>24</v>
      </c>
      <c r="F5" s="81">
        <f ca="1"/>
        <v>317</v>
      </c>
      <c r="G5" s="81">
        <f ca="1"/>
        <v>32</v>
      </c>
      <c r="H5" s="85">
        <f ca="1"/>
        <v>9.90625</v>
      </c>
      <c r="I5" s="82">
        <f ca="1"/>
        <v>19.875</v>
      </c>
      <c r="J5" s="82">
        <f ca="1"/>
        <v>2.9905660377358489</v>
      </c>
      <c r="K5" s="89" t="str">
        <f ca="1"/>
        <v>6-18</v>
      </c>
    </row>
    <row r="6" spans="1:11" x14ac:dyDescent="0.15">
      <c r="A6">
        <v>5</v>
      </c>
      <c r="B6">
        <f>MATCH(A6,Bowling!$CS$5:$CS$53,0)</f>
        <v>42</v>
      </c>
      <c r="C6" t="str">
        <f ca="1">OFFSET(Bowling!$B$4,BowlAves!B6,0)</f>
        <v>Springer T</v>
      </c>
      <c r="D6" s="86">
        <f t="array" aca="1" ref="D6:K6" ca="1">OFFSET(Bowling!$CG$4,BowlAves!B6,0,1,8)</f>
        <v>91.2</v>
      </c>
      <c r="E6" s="81">
        <f ca="1"/>
        <v>29</v>
      </c>
      <c r="F6" s="81">
        <f ca="1"/>
        <v>247</v>
      </c>
      <c r="G6" s="81">
        <f ca="1"/>
        <v>22</v>
      </c>
      <c r="H6" s="85">
        <f ca="1"/>
        <v>11.227272727272727</v>
      </c>
      <c r="I6" s="82">
        <f ca="1"/>
        <v>24.90909090909091</v>
      </c>
      <c r="J6" s="82">
        <f ca="1"/>
        <v>2.7043795620437958</v>
      </c>
      <c r="K6" s="89" t="str">
        <f ca="1"/>
        <v>3-8</v>
      </c>
    </row>
    <row r="7" spans="1:11" x14ac:dyDescent="0.15">
      <c r="A7">
        <v>6</v>
      </c>
      <c r="B7">
        <f>MATCH(A7,Bowling!$CS$5:$CS$53,0)</f>
        <v>11</v>
      </c>
      <c r="C7" t="str">
        <f ca="1">OFFSET(Bowling!$B$4,BowlAves!B7,0)</f>
        <v>Cooper G</v>
      </c>
      <c r="D7" s="86">
        <f t="array" aca="1" ref="D7:K7" ca="1">OFFSET(Bowling!$CG$4,BowlAves!B7,0,1,8)</f>
        <v>85</v>
      </c>
      <c r="E7" s="81">
        <f ca="1"/>
        <v>16</v>
      </c>
      <c r="F7" s="81">
        <f ca="1"/>
        <v>301</v>
      </c>
      <c r="G7" s="81">
        <f ca="1"/>
        <v>26</v>
      </c>
      <c r="H7" s="85">
        <f ca="1"/>
        <v>11.576923076923077</v>
      </c>
      <c r="I7" s="82">
        <f ca="1"/>
        <v>19.615384615384617</v>
      </c>
      <c r="J7" s="82">
        <f ca="1"/>
        <v>3.5411764705882351</v>
      </c>
      <c r="K7" s="89" t="str">
        <f ca="1"/>
        <v>5-31</v>
      </c>
    </row>
    <row r="8" spans="1:11" x14ac:dyDescent="0.15">
      <c r="A8">
        <v>7</v>
      </c>
      <c r="B8">
        <f>MATCH(A8,Bowling!$CS$5:$CS$53,0)</f>
        <v>2</v>
      </c>
      <c r="C8" t="str">
        <f ca="1">OFFSET(Bowling!$B$4,BowlAves!B8,0)</f>
        <v>Bowers M</v>
      </c>
      <c r="D8" s="86">
        <f t="array" aca="1" ref="D8:K8" ca="1">OFFSET(Bowling!$CG$4,BowlAves!B8,0,1,8)</f>
        <v>51.5</v>
      </c>
      <c r="E8" s="81">
        <f ca="1"/>
        <v>6</v>
      </c>
      <c r="F8" s="81">
        <f ca="1"/>
        <v>219</v>
      </c>
      <c r="G8" s="81">
        <f ca="1"/>
        <v>18</v>
      </c>
      <c r="H8" s="85">
        <f ca="1"/>
        <v>12.166666666666666</v>
      </c>
      <c r="I8" s="82">
        <f ca="1"/>
        <v>17.277777777777779</v>
      </c>
      <c r="J8" s="82">
        <f ca="1"/>
        <v>4.22508038585209</v>
      </c>
      <c r="K8" s="89" t="str">
        <f ca="1"/>
        <v>4-7</v>
      </c>
    </row>
    <row r="9" spans="1:11" x14ac:dyDescent="0.15">
      <c r="A9">
        <v>8</v>
      </c>
      <c r="B9">
        <f>MATCH(A9,Bowling!$CS$5:$CS$53,0)</f>
        <v>24</v>
      </c>
      <c r="C9" t="str">
        <f ca="1">OFFSET(Bowling!$B$4,BowlAves!B9,0)</f>
        <v>Mander A</v>
      </c>
      <c r="D9" s="86">
        <f t="array" aca="1" ref="D9:K9" ca="1">OFFSET(Bowling!$CG$4,BowlAves!B9,0,1,8)</f>
        <v>112</v>
      </c>
      <c r="E9" s="81">
        <f ca="1"/>
        <v>23</v>
      </c>
      <c r="F9" s="81">
        <f ca="1"/>
        <v>297</v>
      </c>
      <c r="G9" s="81">
        <f ca="1"/>
        <v>24</v>
      </c>
      <c r="H9" s="85">
        <f ca="1"/>
        <v>12.375</v>
      </c>
      <c r="I9" s="82">
        <f ca="1"/>
        <v>28</v>
      </c>
      <c r="J9" s="82">
        <f ca="1"/>
        <v>2.6517857142857144</v>
      </c>
      <c r="K9" s="89" t="str">
        <f ca="1"/>
        <v>4-1</v>
      </c>
    </row>
    <row r="10" spans="1:11" x14ac:dyDescent="0.15">
      <c r="A10">
        <v>9</v>
      </c>
      <c r="B10">
        <f>MATCH(A10,Bowling!$CS$5:$CS$53,0)</f>
        <v>32</v>
      </c>
      <c r="C10" t="str">
        <f ca="1">OFFSET(Bowling!$B$4,BowlAves!B10,0)</f>
        <v>Newell</v>
      </c>
      <c r="D10" s="86">
        <f t="array" aca="1" ref="D10:K10" ca="1">OFFSET(Bowling!$CG$4,BowlAves!B10,0,1,8)</f>
        <v>3.2</v>
      </c>
      <c r="E10" s="81">
        <f ca="1"/>
        <v>0</v>
      </c>
      <c r="F10" s="81">
        <f ca="1"/>
        <v>13</v>
      </c>
      <c r="G10" s="81">
        <f ca="1"/>
        <v>1</v>
      </c>
      <c r="H10" s="85">
        <f ca="1"/>
        <v>13</v>
      </c>
      <c r="I10" s="82">
        <f ca="1"/>
        <v>20</v>
      </c>
      <c r="J10" s="82">
        <f ca="1"/>
        <v>3.9</v>
      </c>
      <c r="K10" s="89" t="str">
        <f ca="1"/>
        <v>1-13</v>
      </c>
    </row>
    <row r="11" spans="1:11" x14ac:dyDescent="0.15">
      <c r="A11">
        <v>10</v>
      </c>
      <c r="B11">
        <f>MATCH(A11,Bowling!$CS$5:$CS$53,0)</f>
        <v>47</v>
      </c>
      <c r="C11" t="str">
        <f ca="1">OFFSET(Bowling!$B$4,BowlAves!B11,0)</f>
        <v>Worthy J</v>
      </c>
      <c r="D11" s="86">
        <f t="array" aca="1" ref="D11:K11" ca="1">OFFSET(Bowling!$CG$4,BowlAves!B11,0,1,8)</f>
        <v>90.2</v>
      </c>
      <c r="E11" s="81">
        <f ca="1"/>
        <v>24</v>
      </c>
      <c r="F11" s="81">
        <f ca="1"/>
        <v>251</v>
      </c>
      <c r="G11" s="81">
        <f ca="1"/>
        <v>18</v>
      </c>
      <c r="H11" s="85">
        <f ca="1"/>
        <v>13.944444444444445</v>
      </c>
      <c r="I11" s="82">
        <f ca="1"/>
        <v>30.111111111111111</v>
      </c>
      <c r="J11" s="82">
        <f ca="1"/>
        <v>2.7785977859778597</v>
      </c>
      <c r="K11" s="89" t="str">
        <f ca="1"/>
        <v>5-45</v>
      </c>
    </row>
    <row r="12" spans="1:11" x14ac:dyDescent="0.15">
      <c r="A12">
        <v>11</v>
      </c>
      <c r="B12">
        <f>MATCH(A12,Bowling!$CS$5:$CS$53,0)</f>
        <v>39</v>
      </c>
      <c r="C12" t="str">
        <f ca="1">OFFSET(Bowling!$B$4,BowlAves!B12,0)</f>
        <v>Shewan D</v>
      </c>
      <c r="D12" s="86">
        <f t="array" aca="1" ref="D12:K12" ca="1">OFFSET(Bowling!$CG$4,BowlAves!B12,0,1,8)</f>
        <v>48.5</v>
      </c>
      <c r="E12" s="81">
        <f ca="1"/>
        <v>12</v>
      </c>
      <c r="F12" s="81">
        <f ca="1"/>
        <v>127</v>
      </c>
      <c r="G12" s="81">
        <f ca="1"/>
        <v>9</v>
      </c>
      <c r="H12" s="85">
        <f ca="1"/>
        <v>14.111111111111111</v>
      </c>
      <c r="I12" s="82">
        <f ca="1"/>
        <v>32.555555555555557</v>
      </c>
      <c r="J12" s="82">
        <f ca="1"/>
        <v>2.6006825938566553</v>
      </c>
      <c r="K12" s="89" t="str">
        <f ca="1"/>
        <v>4-24</v>
      </c>
    </row>
    <row r="13" spans="1:11" x14ac:dyDescent="0.15">
      <c r="A13">
        <v>12</v>
      </c>
      <c r="B13">
        <f>MATCH(A13,Bowling!$CS$5:$CS$53,0)</f>
        <v>25</v>
      </c>
      <c r="C13" t="str">
        <f ca="1">OFFSET(Bowling!$B$4,BowlAves!B13,0)</f>
        <v>Mander C</v>
      </c>
      <c r="D13" s="86">
        <f t="array" aca="1" ref="D13:K13" ca="1">OFFSET(Bowling!$CG$4,BowlAves!B13,0,1,8)</f>
        <v>76.2</v>
      </c>
      <c r="E13" s="81">
        <f ca="1"/>
        <v>20</v>
      </c>
      <c r="F13" s="81">
        <f ca="1"/>
        <v>179</v>
      </c>
      <c r="G13" s="81">
        <f ca="1"/>
        <v>12</v>
      </c>
      <c r="H13" s="85">
        <f ca="1"/>
        <v>14.916666666666666</v>
      </c>
      <c r="I13" s="82">
        <f ca="1"/>
        <v>38.166666666666664</v>
      </c>
      <c r="J13" s="82">
        <f ca="1"/>
        <v>2.3449781659388647</v>
      </c>
      <c r="K13" s="89" t="str">
        <f ca="1"/>
        <v>3-5</v>
      </c>
    </row>
    <row r="14" spans="1:11" x14ac:dyDescent="0.15">
      <c r="A14">
        <v>13</v>
      </c>
      <c r="B14">
        <f>MATCH(A14,Bowling!$CS$5:$CS$53,0)</f>
        <v>4</v>
      </c>
      <c r="C14" t="str">
        <f ca="1">OFFSET(Bowling!$B$4,BowlAves!B14,0)</f>
        <v>Brocks D</v>
      </c>
      <c r="D14" s="86">
        <f t="array" aca="1" ref="D14:K14" ca="1">OFFSET(Bowling!$CG$4,BowlAves!B14,0,1,8)</f>
        <v>22</v>
      </c>
      <c r="E14" s="81">
        <f ca="1"/>
        <v>4</v>
      </c>
      <c r="F14" s="81">
        <f ca="1"/>
        <v>63</v>
      </c>
      <c r="G14" s="81">
        <f ca="1"/>
        <v>4</v>
      </c>
      <c r="H14" s="85">
        <f ca="1"/>
        <v>15.75</v>
      </c>
      <c r="I14" s="82">
        <f ca="1"/>
        <v>33</v>
      </c>
      <c r="J14" s="82">
        <f ca="1"/>
        <v>2.8636363636363638</v>
      </c>
      <c r="K14" s="89" t="str">
        <f ca="1"/>
        <v>4-21</v>
      </c>
    </row>
    <row r="15" spans="1:11" x14ac:dyDescent="0.15">
      <c r="A15">
        <v>14</v>
      </c>
      <c r="B15">
        <f>MATCH(A15,Bowling!$CS$5:$CS$53,0)</f>
        <v>38</v>
      </c>
      <c r="C15" t="str">
        <f ca="1">OFFSET(Bowling!$B$4,BowlAves!B15,0)</f>
        <v>Sharpe D</v>
      </c>
      <c r="D15" s="86">
        <f t="array" aca="1" ref="D15:K15" ca="1">OFFSET(Bowling!$CG$4,BowlAves!B15,0,1,8)</f>
        <v>80.5</v>
      </c>
      <c r="E15" s="81">
        <f ca="1"/>
        <v>17</v>
      </c>
      <c r="F15" s="81">
        <f ca="1"/>
        <v>294</v>
      </c>
      <c r="G15" s="81">
        <f ca="1"/>
        <v>18</v>
      </c>
      <c r="H15" s="85">
        <f ca="1"/>
        <v>16.333333333333332</v>
      </c>
      <c r="I15" s="82">
        <f ca="1"/>
        <v>26.944444444444443</v>
      </c>
      <c r="J15" s="82">
        <f ca="1"/>
        <v>3.6371134020618556</v>
      </c>
      <c r="K15" s="89" t="str">
        <f ca="1"/>
        <v>6-22</v>
      </c>
    </row>
    <row r="16" spans="1:11" x14ac:dyDescent="0.15">
      <c r="A16">
        <v>15</v>
      </c>
      <c r="B16">
        <f>MATCH(A16,Bowling!$CS$5:$CS$53,0)</f>
        <v>30</v>
      </c>
      <c r="C16" t="str">
        <f ca="1">OFFSET(Bowling!$B$4,BowlAves!B16,0)</f>
        <v>Middleton J</v>
      </c>
      <c r="D16" s="86">
        <f t="array" aca="1" ref="D16:K16" ca="1">OFFSET(Bowling!$CG$4,BowlAves!B16,0,1,8)</f>
        <v>21.3</v>
      </c>
      <c r="E16" s="81">
        <f ca="1"/>
        <v>2</v>
      </c>
      <c r="F16" s="81">
        <f ca="1"/>
        <v>69</v>
      </c>
      <c r="G16" s="81">
        <f ca="1"/>
        <v>4</v>
      </c>
      <c r="H16" s="85">
        <f ca="1"/>
        <v>17.25</v>
      </c>
      <c r="I16" s="82">
        <f ca="1"/>
        <v>32.25</v>
      </c>
      <c r="J16" s="82">
        <f ca="1"/>
        <v>3.2093023255813953</v>
      </c>
      <c r="K16" s="89" t="str">
        <f ca="1"/>
        <v>2-21</v>
      </c>
    </row>
    <row r="17" spans="1:11" x14ac:dyDescent="0.15">
      <c r="A17">
        <v>16</v>
      </c>
      <c r="B17">
        <f>MATCH(A17,Bowling!$CS$5:$CS$53,0)</f>
        <v>40</v>
      </c>
      <c r="C17" t="str">
        <f ca="1">OFFSET(Bowling!$B$4,BowlAves!B17,0)</f>
        <v>Simmons M</v>
      </c>
      <c r="D17" s="86">
        <f t="array" aca="1" ref="D17:K17" ca="1">OFFSET(Bowling!$CG$4,BowlAves!B17,0,1,8)</f>
        <v>12</v>
      </c>
      <c r="E17" s="81">
        <f ca="1"/>
        <v>3</v>
      </c>
      <c r="F17" s="81">
        <f ca="1"/>
        <v>35</v>
      </c>
      <c r="G17" s="81">
        <f ca="1"/>
        <v>2</v>
      </c>
      <c r="H17" s="85">
        <f ca="1"/>
        <v>17.5</v>
      </c>
      <c r="I17" s="82">
        <f ca="1"/>
        <v>36</v>
      </c>
      <c r="J17" s="82">
        <f ca="1"/>
        <v>2.9166666666666665</v>
      </c>
      <c r="K17" s="89" t="str">
        <f ca="1"/>
        <v>2-35</v>
      </c>
    </row>
    <row r="18" spans="1:11" x14ac:dyDescent="0.15">
      <c r="A18">
        <v>17</v>
      </c>
      <c r="B18">
        <f>MATCH(A18,Bowling!$CS$5:$CS$53,0)</f>
        <v>17</v>
      </c>
      <c r="C18" t="str">
        <f ca="1">OFFSET(Bowling!$B$4,BowlAves!B18,0)</f>
        <v>Hickey L</v>
      </c>
      <c r="D18" s="86">
        <f t="array" aca="1" ref="D18:K18" ca="1">OFFSET(Bowling!$CG$4,BowlAves!B18,0,1,8)</f>
        <v>9</v>
      </c>
      <c r="E18" s="81">
        <f ca="1"/>
        <v>0</v>
      </c>
      <c r="F18" s="81">
        <f ca="1"/>
        <v>36</v>
      </c>
      <c r="G18" s="81">
        <f ca="1"/>
        <v>2</v>
      </c>
      <c r="H18" s="85">
        <f ca="1"/>
        <v>18</v>
      </c>
      <c r="I18" s="82">
        <f ca="1"/>
        <v>27</v>
      </c>
      <c r="J18" s="82">
        <f ca="1"/>
        <v>4</v>
      </c>
      <c r="K18" s="89" t="str">
        <f ca="1"/>
        <v>1-10</v>
      </c>
    </row>
    <row r="19" spans="1:11" x14ac:dyDescent="0.15">
      <c r="A19">
        <v>18</v>
      </c>
      <c r="B19">
        <f>MATCH(A19,Bowling!$CS$5:$CS$53,0)</f>
        <v>48</v>
      </c>
      <c r="C19" t="str">
        <f ca="1">OFFSET(Bowling!$B$4,BowlAves!B19,0)</f>
        <v>Worthy R</v>
      </c>
      <c r="D19" s="86">
        <f t="array" aca="1" ref="D19:K19" ca="1">OFFSET(Bowling!$CG$4,BowlAves!B19,0,1,8)</f>
        <v>6</v>
      </c>
      <c r="E19" s="81">
        <f ca="1"/>
        <v>1</v>
      </c>
      <c r="F19" s="81">
        <f ca="1"/>
        <v>19</v>
      </c>
      <c r="G19" s="81">
        <f ca="1"/>
        <v>1</v>
      </c>
      <c r="H19" s="85">
        <f ca="1"/>
        <v>19</v>
      </c>
      <c r="I19" s="82">
        <f ca="1"/>
        <v>36</v>
      </c>
      <c r="J19" s="82">
        <f ca="1"/>
        <v>3.1666666666666665</v>
      </c>
      <c r="K19" s="89" t="str">
        <f ca="1"/>
        <v>1-19</v>
      </c>
    </row>
    <row r="20" spans="1:11" x14ac:dyDescent="0.15">
      <c r="A20">
        <v>19</v>
      </c>
      <c r="B20">
        <f>MATCH(A20,Bowling!$CS$5:$CS$53,0)</f>
        <v>21</v>
      </c>
      <c r="C20" t="str">
        <f ca="1">OFFSET(Bowling!$B$4,BowlAves!B20,0)</f>
        <v>Lestrelle J</v>
      </c>
      <c r="D20" s="86">
        <f t="array" aca="1" ref="D20:K20" ca="1">OFFSET(Bowling!$CG$4,BowlAves!B20,0,1,8)</f>
        <v>12</v>
      </c>
      <c r="E20" s="81">
        <f ca="1"/>
        <v>0</v>
      </c>
      <c r="F20" s="81">
        <f ca="1"/>
        <v>77</v>
      </c>
      <c r="G20" s="81">
        <f ca="1"/>
        <v>4</v>
      </c>
      <c r="H20" s="85">
        <f ca="1"/>
        <v>19.25</v>
      </c>
      <c r="I20" s="82">
        <f ca="1"/>
        <v>18</v>
      </c>
      <c r="J20" s="82">
        <f ca="1"/>
        <v>6.416666666666667</v>
      </c>
      <c r="K20" s="89" t="str">
        <f ca="1"/>
        <v>4-39</v>
      </c>
    </row>
    <row r="21" spans="1:11" x14ac:dyDescent="0.15">
      <c r="A21">
        <v>20</v>
      </c>
      <c r="B21">
        <f>MATCH(A21,Bowling!$CS$5:$CS$53,0)</f>
        <v>23</v>
      </c>
      <c r="C21" t="str">
        <f ca="1">OFFSET(Bowling!$B$4,BowlAves!B21,0)</f>
        <v>Lilley G</v>
      </c>
      <c r="D21" s="86">
        <f t="array" aca="1" ref="D21:K21" ca="1">OFFSET(Bowling!$CG$4,BowlAves!B21,0,1,8)</f>
        <v>5</v>
      </c>
      <c r="E21" s="81">
        <f ca="1"/>
        <v>0</v>
      </c>
      <c r="F21" s="81">
        <f ca="1"/>
        <v>41</v>
      </c>
      <c r="G21" s="81">
        <f ca="1"/>
        <v>2</v>
      </c>
      <c r="H21" s="85">
        <f ca="1"/>
        <v>20.5</v>
      </c>
      <c r="I21" s="82">
        <f ca="1"/>
        <v>15</v>
      </c>
      <c r="J21" s="82">
        <f ca="1"/>
        <v>8.1999999999999993</v>
      </c>
      <c r="K21" s="89" t="str">
        <f ca="1"/>
        <v>1-3</v>
      </c>
    </row>
    <row r="22" spans="1:11" x14ac:dyDescent="0.15">
      <c r="A22">
        <v>21</v>
      </c>
      <c r="B22">
        <f>MATCH(A22,Bowling!$CS$5:$CS$53,0)</f>
        <v>31</v>
      </c>
      <c r="C22" t="str">
        <f ca="1">OFFSET(Bowling!$B$4,BowlAves!B22,0)</f>
        <v>Morris D</v>
      </c>
      <c r="D22" s="86">
        <f t="array" aca="1" ref="D22:K22" ca="1">OFFSET(Bowling!$CG$4,BowlAves!B22,0,1,8)</f>
        <v>119.4</v>
      </c>
      <c r="E22" s="81">
        <f ca="1"/>
        <v>25</v>
      </c>
      <c r="F22" s="81">
        <f ca="1"/>
        <v>326</v>
      </c>
      <c r="G22" s="81">
        <f ca="1"/>
        <v>15</v>
      </c>
      <c r="H22" s="85">
        <f ca="1"/>
        <v>21.733333333333334</v>
      </c>
      <c r="I22" s="82">
        <f ca="1"/>
        <v>47.866666666666667</v>
      </c>
      <c r="J22" s="82">
        <f ca="1"/>
        <v>2.7242339832869082</v>
      </c>
      <c r="K22" s="89" t="str">
        <f ca="1"/>
        <v>3-17</v>
      </c>
    </row>
    <row r="23" spans="1:11" x14ac:dyDescent="0.15">
      <c r="A23">
        <v>22</v>
      </c>
      <c r="B23">
        <f>MATCH(A23,Bowling!$CS$5:$CS$53,0)</f>
        <v>49</v>
      </c>
      <c r="C23" t="str">
        <f ca="1">OFFSET(Bowling!$B$4,BowlAves!B23,0)</f>
        <v>Young R</v>
      </c>
      <c r="D23" s="86">
        <f t="array" aca="1" ref="D23:K23" ca="1">OFFSET(Bowling!$CG$4,BowlAves!B23,0,1,8)</f>
        <v>90</v>
      </c>
      <c r="E23" s="81">
        <f ca="1"/>
        <v>6</v>
      </c>
      <c r="F23" s="81">
        <f ca="1"/>
        <v>420</v>
      </c>
      <c r="G23" s="81">
        <f ca="1"/>
        <v>18</v>
      </c>
      <c r="H23" s="85">
        <f ca="1"/>
        <v>23.333333333333332</v>
      </c>
      <c r="I23" s="82">
        <f ca="1"/>
        <v>30</v>
      </c>
      <c r="J23" s="82">
        <f ca="1"/>
        <v>4.666666666666667</v>
      </c>
      <c r="K23" s="89" t="str">
        <f ca="1"/>
        <v>3-28</v>
      </c>
    </row>
    <row r="24" spans="1:11" x14ac:dyDescent="0.15">
      <c r="A24">
        <v>23</v>
      </c>
      <c r="B24">
        <f>MATCH(A24,Bowling!$CS$5:$CS$53,0)</f>
        <v>14</v>
      </c>
      <c r="C24" t="str">
        <f ca="1">OFFSET(Bowling!$B$4,BowlAves!B24,0)</f>
        <v>Elliston J</v>
      </c>
      <c r="D24" s="86">
        <f t="array" aca="1" ref="D24:K24" ca="1">OFFSET(Bowling!$CG$4,BowlAves!B24,0,1,8)</f>
        <v>55.2</v>
      </c>
      <c r="E24" s="81">
        <f ca="1"/>
        <v>8</v>
      </c>
      <c r="F24" s="81">
        <f ca="1"/>
        <v>267</v>
      </c>
      <c r="G24" s="81">
        <f ca="1"/>
        <v>10</v>
      </c>
      <c r="H24" s="85">
        <f ca="1"/>
        <v>26.7</v>
      </c>
      <c r="I24" s="82">
        <f ca="1"/>
        <v>33.200000000000003</v>
      </c>
      <c r="J24" s="82">
        <f ca="1"/>
        <v>4.8253012048192767</v>
      </c>
      <c r="K24" s="89" t="str">
        <f ca="1"/>
        <v>3-31</v>
      </c>
    </row>
    <row r="25" spans="1:11" x14ac:dyDescent="0.15">
      <c r="A25">
        <v>24</v>
      </c>
      <c r="B25">
        <f>MATCH(A25,Bowling!$CS$5:$CS$53,0)</f>
        <v>12</v>
      </c>
      <c r="C25" t="str">
        <f ca="1">OFFSET(Bowling!$B$4,BowlAves!B25,0)</f>
        <v>Corrigan D</v>
      </c>
      <c r="D25" s="86">
        <f t="array" aca="1" ref="D25:K25" ca="1">OFFSET(Bowling!$CG$4,BowlAves!B25,0,1,8)</f>
        <v>20</v>
      </c>
      <c r="E25" s="81">
        <f ca="1"/>
        <v>1</v>
      </c>
      <c r="F25" s="81">
        <f ca="1"/>
        <v>120</v>
      </c>
      <c r="G25" s="81">
        <f ca="1"/>
        <v>4</v>
      </c>
      <c r="H25" s="85">
        <f ca="1"/>
        <v>30</v>
      </c>
      <c r="I25" s="82">
        <f ca="1"/>
        <v>30</v>
      </c>
      <c r="J25" s="82">
        <f ca="1"/>
        <v>6</v>
      </c>
      <c r="K25" s="89" t="str">
        <f ca="1"/>
        <v>2-28</v>
      </c>
    </row>
    <row r="26" spans="1:11" x14ac:dyDescent="0.15">
      <c r="A26">
        <v>25</v>
      </c>
      <c r="B26">
        <f>MATCH(A26,Bowling!$CS$5:$CS$53,0)</f>
        <v>18</v>
      </c>
      <c r="C26" t="str">
        <f ca="1">OFFSET(Bowling!$B$4,BowlAves!B26,0)</f>
        <v>Hogan</v>
      </c>
      <c r="D26" s="86">
        <f t="array" aca="1" ref="D26:K26" ca="1">OFFSET(Bowling!$CG$4,BowlAves!B26,0,1,8)</f>
        <v>8</v>
      </c>
      <c r="E26" s="81">
        <f ca="1"/>
        <v>1</v>
      </c>
      <c r="F26" s="81">
        <f ca="1"/>
        <v>33</v>
      </c>
      <c r="G26" s="81">
        <f ca="1"/>
        <v>1</v>
      </c>
      <c r="H26" s="85">
        <f ca="1"/>
        <v>33</v>
      </c>
      <c r="I26" s="82">
        <f ca="1"/>
        <v>48</v>
      </c>
      <c r="J26" s="82">
        <f ca="1"/>
        <v>4.125</v>
      </c>
      <c r="K26" s="89" t="str">
        <f ca="1"/>
        <v>1-33</v>
      </c>
    </row>
    <row r="27" spans="1:11" x14ac:dyDescent="0.15">
      <c r="A27">
        <v>26</v>
      </c>
      <c r="B27">
        <f>MATCH(A27,Bowling!$CS$5:$CS$53,0)</f>
        <v>8</v>
      </c>
      <c r="C27" t="str">
        <f ca="1">OFFSET(Bowling!$B$4,BowlAves!B27,0)</f>
        <v>Clark M</v>
      </c>
      <c r="D27" s="86">
        <f t="array" aca="1" ref="D27:K27" ca="1">OFFSET(Bowling!$CG$4,BowlAves!B27,0,1,8)</f>
        <v>34</v>
      </c>
      <c r="E27" s="81">
        <f ca="1"/>
        <v>3</v>
      </c>
      <c r="F27" s="81">
        <f ca="1"/>
        <v>143</v>
      </c>
      <c r="G27" s="81">
        <f ca="1"/>
        <v>3</v>
      </c>
      <c r="H27" s="85">
        <f ca="1"/>
        <v>47.666666666666664</v>
      </c>
      <c r="I27" s="82">
        <f ca="1"/>
        <v>68</v>
      </c>
      <c r="J27" s="82">
        <f ca="1"/>
        <v>4.2058823529411766</v>
      </c>
      <c r="K27" s="89" t="str">
        <f ca="1"/>
        <v>2-21</v>
      </c>
    </row>
    <row r="28" spans="1:11" x14ac:dyDescent="0.15">
      <c r="A28">
        <v>27</v>
      </c>
      <c r="B28">
        <f>MATCH(A28,Bowling!$CS$5:$CS$53,0)</f>
        <v>45</v>
      </c>
      <c r="C28" t="str">
        <f ca="1">OFFSET(Bowling!$B$4,BowlAves!B28,0)</f>
        <v>Woodhouse M</v>
      </c>
      <c r="D28" s="86">
        <f t="array" aca="1" ref="D28:K28" ca="1">OFFSET(Bowling!$CG$4,BowlAves!B28,0,1,8)</f>
        <v>26</v>
      </c>
      <c r="E28" s="81">
        <f ca="1"/>
        <v>1</v>
      </c>
      <c r="F28" s="81">
        <f ca="1"/>
        <v>113</v>
      </c>
      <c r="G28" s="81">
        <f ca="1"/>
        <v>2</v>
      </c>
      <c r="H28" s="85">
        <f ca="1"/>
        <v>56.5</v>
      </c>
      <c r="I28" s="82">
        <f ca="1"/>
        <v>78</v>
      </c>
      <c r="J28" s="82">
        <f ca="1"/>
        <v>4.3461538461538458</v>
      </c>
      <c r="K28" s="89" t="str">
        <f ca="1"/>
        <v>1-14</v>
      </c>
    </row>
    <row r="29" spans="1:11" x14ac:dyDescent="0.15">
      <c r="A29">
        <v>28</v>
      </c>
      <c r="B29">
        <f>MATCH(A29,Bowling!$CS$5:$CS$53,0)</f>
        <v>1</v>
      </c>
      <c r="C29" t="str">
        <f ca="1">OFFSET(Bowling!$B$4,BowlAves!B29,0)</f>
        <v>Afonso S</v>
      </c>
      <c r="D29" s="86">
        <f t="array" aca="1" ref="D29:K29" ca="1">OFFSET(Bowling!$CG$4,BowlAves!B29,0,1,8)</f>
        <v>4</v>
      </c>
      <c r="E29" s="81">
        <f ca="1"/>
        <v>0</v>
      </c>
      <c r="F29" s="81">
        <f ca="1"/>
        <v>19</v>
      </c>
      <c r="G29" s="81">
        <f ca="1"/>
        <v>0</v>
      </c>
      <c r="H29" s="85" t="str">
        <f ca="1"/>
        <v/>
      </c>
      <c r="I29" s="82" t="str">
        <f ca="1"/>
        <v/>
      </c>
      <c r="J29" s="82">
        <f ca="1"/>
        <v>4.75</v>
      </c>
      <c r="K29" s="89" t="str">
        <f ca="1"/>
        <v>0-19</v>
      </c>
    </row>
    <row r="30" spans="1:11" x14ac:dyDescent="0.15">
      <c r="A30">
        <v>29</v>
      </c>
      <c r="B30">
        <f>MATCH(A30,Bowling!$CS$5:$CS$53,0)</f>
        <v>6</v>
      </c>
      <c r="C30" t="str">
        <f ca="1">OFFSET(Bowling!$B$4,BowlAves!B30,0)</f>
        <v>Crisford J</v>
      </c>
      <c r="D30" s="86">
        <f t="array" aca="1" ref="D30:K30" ca="1">OFFSET(Bowling!$CG$4,BowlAves!B30,0,1,8)</f>
        <v>5</v>
      </c>
      <c r="E30" s="81">
        <f ca="1"/>
        <v>0</v>
      </c>
      <c r="F30" s="81">
        <f ca="1"/>
        <v>31</v>
      </c>
      <c r="G30" s="81">
        <f ca="1"/>
        <v>0</v>
      </c>
      <c r="H30" s="85" t="str">
        <f ca="1"/>
        <v/>
      </c>
      <c r="I30" s="82" t="str">
        <f ca="1"/>
        <v/>
      </c>
      <c r="J30" s="82">
        <f ca="1"/>
        <v>6.2</v>
      </c>
      <c r="K30" s="89" t="str">
        <f ca="1"/>
        <v>0-10</v>
      </c>
    </row>
    <row r="31" spans="1:11" x14ac:dyDescent="0.15">
      <c r="A31">
        <v>30</v>
      </c>
      <c r="B31">
        <f>MATCH(A31,Bowling!$CS$5:$CS$53,0)</f>
        <v>9</v>
      </c>
      <c r="C31" t="str">
        <f ca="1">OFFSET(Bowling!$B$4,BowlAves!B31,0)</f>
        <v>Coloe A</v>
      </c>
      <c r="D31" s="86">
        <f t="array" aca="1" ref="D31:K31" ca="1">OFFSET(Bowling!$CG$4,BowlAves!B31,0,1,8)</f>
        <v>8</v>
      </c>
      <c r="E31" s="81">
        <f ca="1"/>
        <v>1</v>
      </c>
      <c r="F31" s="81">
        <f ca="1"/>
        <v>43</v>
      </c>
      <c r="G31" s="81">
        <f ca="1"/>
        <v>0</v>
      </c>
      <c r="H31" s="85" t="str">
        <f ca="1"/>
        <v/>
      </c>
      <c r="I31" s="82" t="str">
        <f ca="1"/>
        <v/>
      </c>
      <c r="J31" s="82">
        <f ca="1"/>
        <v>5.375</v>
      </c>
      <c r="K31" s="89" t="str">
        <f ca="1"/>
        <v>0-21</v>
      </c>
    </row>
    <row r="32" spans="1:11" x14ac:dyDescent="0.15">
      <c r="A32">
        <v>31</v>
      </c>
      <c r="B32">
        <f>MATCH(A32,Bowling!$CS$5:$CS$53,0)</f>
        <v>5</v>
      </c>
      <c r="C32" t="str">
        <f ca="1">OFFSET(Bowling!$B$4,BowlAves!B32,0)</f>
        <v>Catley N</v>
      </c>
      <c r="D32" s="86">
        <f t="array" aca="1" ref="D32:K32" ca="1">OFFSET(Bowling!$CG$4,BowlAves!B32,0,1,8)</f>
        <v>0</v>
      </c>
      <c r="E32" s="81">
        <f ca="1"/>
        <v>0</v>
      </c>
      <c r="F32" s="81">
        <f ca="1"/>
        <v>0</v>
      </c>
      <c r="G32" s="81">
        <f ca="1"/>
        <v>0</v>
      </c>
      <c r="H32" s="85" t="str">
        <f ca="1"/>
        <v/>
      </c>
      <c r="I32" s="82" t="str">
        <f ca="1"/>
        <v/>
      </c>
      <c r="J32" s="82" t="str">
        <f ca="1"/>
        <v/>
      </c>
      <c r="K32" s="89" t="str">
        <f ca="1"/>
        <v/>
      </c>
    </row>
    <row r="33" spans="1:11" x14ac:dyDescent="0.15">
      <c r="A33">
        <v>32</v>
      </c>
      <c r="B33">
        <f>MATCH(A33,Bowling!$CS$5:$CS$53,0)</f>
        <v>10</v>
      </c>
      <c r="C33" t="str">
        <f ca="1">OFFSET(Bowling!$B$4,BowlAves!B33,0)</f>
        <v>Cooper D</v>
      </c>
      <c r="D33" s="86">
        <f t="array" aca="1" ref="D33:K33" ca="1">OFFSET(Bowling!$CG$4,BowlAves!B33,0,1,8)</f>
        <v>0</v>
      </c>
      <c r="E33" s="81">
        <f ca="1"/>
        <v>0</v>
      </c>
      <c r="F33" s="81">
        <f ca="1"/>
        <v>0</v>
      </c>
      <c r="G33" s="81">
        <f ca="1"/>
        <v>0</v>
      </c>
      <c r="H33" s="85" t="str">
        <f ca="1"/>
        <v/>
      </c>
      <c r="I33" s="82" t="str">
        <f ca="1"/>
        <v/>
      </c>
      <c r="J33" s="82" t="str">
        <f ca="1"/>
        <v/>
      </c>
      <c r="K33" s="89" t="str">
        <f ca="1"/>
        <v/>
      </c>
    </row>
    <row r="34" spans="1:11" x14ac:dyDescent="0.15">
      <c r="A34">
        <v>33</v>
      </c>
      <c r="B34">
        <f>MATCH(A34,Bowling!$CS$5:$CS$53,0)</f>
        <v>15</v>
      </c>
      <c r="C34" t="str">
        <f ca="1">OFFSET(Bowling!$B$4,BowlAves!B34,0)</f>
        <v>Gorham S</v>
      </c>
      <c r="D34" s="86">
        <f t="array" aca="1" ref="D34:K34" ca="1">OFFSET(Bowling!$CG$4,BowlAves!B34,0,1,8)</f>
        <v>0</v>
      </c>
      <c r="E34" s="81">
        <f ca="1"/>
        <v>0</v>
      </c>
      <c r="F34" s="81">
        <f ca="1"/>
        <v>0</v>
      </c>
      <c r="G34" s="81">
        <f ca="1"/>
        <v>0</v>
      </c>
      <c r="H34" s="85" t="str">
        <f ca="1"/>
        <v/>
      </c>
      <c r="I34" s="82" t="str">
        <f ca="1"/>
        <v/>
      </c>
      <c r="J34" s="82" t="str">
        <f ca="1"/>
        <v/>
      </c>
      <c r="K34" s="89" t="str">
        <f ca="1"/>
        <v/>
      </c>
    </row>
    <row r="35" spans="1:11" x14ac:dyDescent="0.15">
      <c r="A35">
        <v>34</v>
      </c>
      <c r="B35">
        <f>MATCH(A35,Bowling!$CS$5:$CS$53,0)</f>
        <v>16</v>
      </c>
      <c r="C35" t="str">
        <f ca="1">OFFSET(Bowling!$B$4,BowlAves!B35,0)</f>
        <v>Haynes J</v>
      </c>
      <c r="D35" s="86">
        <f t="array" aca="1" ref="D35:K35" ca="1">OFFSET(Bowling!$CG$4,BowlAves!B35,0,1,8)</f>
        <v>0</v>
      </c>
      <c r="E35" s="81">
        <f ca="1"/>
        <v>0</v>
      </c>
      <c r="F35" s="81">
        <f ca="1"/>
        <v>0</v>
      </c>
      <c r="G35" s="81">
        <f ca="1"/>
        <v>0</v>
      </c>
      <c r="H35" s="85" t="str">
        <f ca="1"/>
        <v/>
      </c>
      <c r="I35" s="82" t="str">
        <f ca="1"/>
        <v/>
      </c>
      <c r="J35" s="82" t="str">
        <f ca="1"/>
        <v/>
      </c>
      <c r="K35" s="89" t="str">
        <f ca="1"/>
        <v/>
      </c>
    </row>
    <row r="36" spans="1:11" x14ac:dyDescent="0.15">
      <c r="A36">
        <v>35</v>
      </c>
      <c r="B36">
        <f>MATCH(A36,Bowling!$CS$5:$CS$53,0)</f>
        <v>19</v>
      </c>
      <c r="C36" t="str">
        <f ca="1">OFFSET(Bowling!$B$4,BowlAves!B36,0)</f>
        <v>Howe V</v>
      </c>
      <c r="D36" s="86">
        <f t="array" aca="1" ref="D36:K36" ca="1">OFFSET(Bowling!$CG$4,BowlAves!B36,0,1,8)</f>
        <v>0</v>
      </c>
      <c r="E36" s="81">
        <f ca="1"/>
        <v>0</v>
      </c>
      <c r="F36" s="81">
        <f ca="1"/>
        <v>0</v>
      </c>
      <c r="G36" s="81">
        <f ca="1"/>
        <v>0</v>
      </c>
      <c r="H36" s="85" t="str">
        <f ca="1"/>
        <v/>
      </c>
      <c r="I36" s="82" t="str">
        <f ca="1"/>
        <v/>
      </c>
      <c r="J36" s="82" t="str">
        <f ca="1"/>
        <v/>
      </c>
      <c r="K36" s="89" t="str">
        <f ca="1"/>
        <v/>
      </c>
    </row>
    <row r="37" spans="1:11" x14ac:dyDescent="0.15">
      <c r="A37">
        <v>36</v>
      </c>
      <c r="B37">
        <f>MATCH(A37,Bowling!$CS$5:$CS$53,0)</f>
        <v>20</v>
      </c>
      <c r="C37" t="str">
        <f ca="1">OFFSET(Bowling!$B$4,BowlAves!B37,0)</f>
        <v>Leadley J</v>
      </c>
      <c r="D37" s="86">
        <f t="array" aca="1" ref="D37:K37" ca="1">OFFSET(Bowling!$CG$4,BowlAves!B37,0,1,8)</f>
        <v>0</v>
      </c>
      <c r="E37" s="81">
        <f ca="1"/>
        <v>0</v>
      </c>
      <c r="F37" s="81">
        <f ca="1"/>
        <v>0</v>
      </c>
      <c r="G37" s="81">
        <f ca="1"/>
        <v>0</v>
      </c>
      <c r="H37" s="85" t="str">
        <f ca="1"/>
        <v/>
      </c>
      <c r="I37" s="82" t="str">
        <f ca="1"/>
        <v/>
      </c>
      <c r="J37" s="82" t="str">
        <f ca="1"/>
        <v/>
      </c>
      <c r="K37" s="89" t="str">
        <f ca="1"/>
        <v/>
      </c>
    </row>
    <row r="38" spans="1:11" x14ac:dyDescent="0.15">
      <c r="A38">
        <v>37</v>
      </c>
      <c r="B38">
        <f>MATCH(A38,Bowling!$CS$5:$CS$53,0)</f>
        <v>22</v>
      </c>
      <c r="C38" t="str">
        <f ca="1">OFFSET(Bowling!$B$4,BowlAves!B38,0)</f>
        <v>Ligory K</v>
      </c>
      <c r="D38" s="86">
        <f t="array" aca="1" ref="D38:K38" ca="1">OFFSET(Bowling!$CG$4,BowlAves!B38,0,1,8)</f>
        <v>0</v>
      </c>
      <c r="E38" s="81">
        <f ca="1"/>
        <v>0</v>
      </c>
      <c r="F38" s="81">
        <f ca="1"/>
        <v>0</v>
      </c>
      <c r="G38" s="81">
        <f ca="1"/>
        <v>0</v>
      </c>
      <c r="H38" s="85" t="str">
        <f ca="1"/>
        <v/>
      </c>
      <c r="I38" s="82" t="str">
        <f ca="1"/>
        <v/>
      </c>
      <c r="J38" s="82" t="str">
        <f ca="1"/>
        <v/>
      </c>
      <c r="K38" s="89" t="str">
        <f ca="1"/>
        <v/>
      </c>
    </row>
    <row r="39" spans="1:11" x14ac:dyDescent="0.15">
      <c r="A39">
        <v>38</v>
      </c>
      <c r="B39">
        <f>MATCH(A39,Bowling!$CS$5:$CS$53,0)</f>
        <v>27</v>
      </c>
      <c r="C39" t="str">
        <f ca="1">OFFSET(Bowling!$B$4,BowlAves!B39,0)</f>
        <v>Maranzano M</v>
      </c>
      <c r="D39" s="86">
        <f t="array" aca="1" ref="D39:K39" ca="1">OFFSET(Bowling!$CG$4,BowlAves!B39,0,1,8)</f>
        <v>0</v>
      </c>
      <c r="E39" s="81">
        <f ca="1"/>
        <v>0</v>
      </c>
      <c r="F39" s="81">
        <f ca="1"/>
        <v>0</v>
      </c>
      <c r="G39" s="81">
        <f ca="1"/>
        <v>0</v>
      </c>
      <c r="H39" s="85" t="str">
        <f ca="1"/>
        <v/>
      </c>
      <c r="I39" s="82" t="str">
        <f ca="1"/>
        <v/>
      </c>
      <c r="J39" s="82" t="str">
        <f ca="1"/>
        <v/>
      </c>
      <c r="K39" s="89" t="str">
        <f ca="1"/>
        <v/>
      </c>
    </row>
    <row r="40" spans="1:11" x14ac:dyDescent="0.15">
      <c r="A40">
        <v>39</v>
      </c>
      <c r="B40">
        <f>MATCH(A40,Bowling!$CS$5:$CS$53,0)</f>
        <v>28</v>
      </c>
      <c r="C40" t="str">
        <f ca="1">OFFSET(Bowling!$B$4,BowlAves!B40,0)</f>
        <v>Merritt A</v>
      </c>
      <c r="D40" s="86">
        <f t="array" aca="1" ref="D40:K40" ca="1">OFFSET(Bowling!$CG$4,BowlAves!B40,0,1,8)</f>
        <v>0</v>
      </c>
      <c r="E40" s="81">
        <f ca="1"/>
        <v>0</v>
      </c>
      <c r="F40" s="81">
        <f ca="1"/>
        <v>0</v>
      </c>
      <c r="G40" s="81">
        <f ca="1"/>
        <v>0</v>
      </c>
      <c r="H40" s="85" t="str">
        <f ca="1"/>
        <v/>
      </c>
      <c r="I40" s="82" t="str">
        <f ca="1"/>
        <v/>
      </c>
      <c r="J40" s="82" t="str">
        <f ca="1"/>
        <v/>
      </c>
      <c r="K40" s="89" t="str">
        <f ca="1"/>
        <v/>
      </c>
    </row>
    <row r="41" spans="1:11" x14ac:dyDescent="0.15">
      <c r="A41">
        <v>40</v>
      </c>
      <c r="B41">
        <f>MATCH(A41,Bowling!$CS$5:$CS$53,0)</f>
        <v>29</v>
      </c>
      <c r="C41" t="str">
        <f ca="1">OFFSET(Bowling!$B$4,BowlAves!B41,0)</f>
        <v>Mills S</v>
      </c>
      <c r="D41" s="86">
        <f t="array" aca="1" ref="D41:K41" ca="1">OFFSET(Bowling!$CG$4,BowlAves!B41,0,1,8)</f>
        <v>0</v>
      </c>
      <c r="E41" s="81">
        <f ca="1"/>
        <v>0</v>
      </c>
      <c r="F41" s="81">
        <f ca="1"/>
        <v>0</v>
      </c>
      <c r="G41" s="81">
        <f ca="1"/>
        <v>0</v>
      </c>
      <c r="H41" s="85" t="str">
        <f ca="1"/>
        <v/>
      </c>
      <c r="I41" s="82" t="str">
        <f ca="1"/>
        <v/>
      </c>
      <c r="J41" s="82" t="str">
        <f ca="1"/>
        <v/>
      </c>
      <c r="K41" s="89" t="str">
        <f ca="1"/>
        <v/>
      </c>
    </row>
    <row r="42" spans="1:11" x14ac:dyDescent="0.15">
      <c r="A42">
        <v>41</v>
      </c>
      <c r="B42">
        <f>MATCH(A42,Bowling!$CS$5:$CS$53,0)</f>
        <v>33</v>
      </c>
      <c r="C42" t="str">
        <f ca="1">OFFSET(Bowling!$B$4,BowlAves!B42,0)</f>
        <v>Oakes P</v>
      </c>
      <c r="D42" s="86">
        <f t="array" aca="1" ref="D42:K42" ca="1">OFFSET(Bowling!$CG$4,BowlAves!B42,0,1,8)</f>
        <v>0</v>
      </c>
      <c r="E42" s="81">
        <f ca="1"/>
        <v>0</v>
      </c>
      <c r="F42" s="81">
        <f ca="1"/>
        <v>0</v>
      </c>
      <c r="G42" s="81">
        <f ca="1"/>
        <v>0</v>
      </c>
      <c r="H42" s="85" t="str">
        <f ca="1"/>
        <v/>
      </c>
      <c r="I42" s="82" t="str">
        <f ca="1"/>
        <v/>
      </c>
      <c r="J42" s="82" t="str">
        <f ca="1"/>
        <v/>
      </c>
      <c r="K42" s="89" t="str">
        <f ca="1"/>
        <v/>
      </c>
    </row>
    <row r="43" spans="1:11" x14ac:dyDescent="0.15">
      <c r="A43">
        <v>42</v>
      </c>
      <c r="B43">
        <f>MATCH(A43,Bowling!$CS$5:$CS$53,0)</f>
        <v>34</v>
      </c>
      <c r="C43" t="str">
        <f ca="1">OFFSET(Bowling!$B$4,BowlAves!B43,0)</f>
        <v>Patel N</v>
      </c>
      <c r="D43" s="86">
        <f t="array" aca="1" ref="D43:K43" ca="1">OFFSET(Bowling!$CG$4,BowlAves!B43,0,1,8)</f>
        <v>0</v>
      </c>
      <c r="E43" s="81">
        <f ca="1"/>
        <v>0</v>
      </c>
      <c r="F43" s="81">
        <f ca="1"/>
        <v>0</v>
      </c>
      <c r="G43" s="81">
        <f ca="1"/>
        <v>0</v>
      </c>
      <c r="H43" s="85" t="str">
        <f ca="1"/>
        <v/>
      </c>
      <c r="I43" s="82" t="str">
        <f ca="1"/>
        <v/>
      </c>
      <c r="J43" s="82" t="str">
        <f ca="1"/>
        <v/>
      </c>
      <c r="K43" s="89" t="str">
        <f ca="1"/>
        <v/>
      </c>
    </row>
    <row r="44" spans="1:11" x14ac:dyDescent="0.15">
      <c r="A44">
        <v>43</v>
      </c>
      <c r="B44">
        <f>MATCH(A44,Bowling!$CS$5:$CS$53,0)</f>
        <v>35</v>
      </c>
      <c r="C44" t="str">
        <f ca="1">OFFSET(Bowling!$B$4,BowlAves!B44,0)</f>
        <v>Porter D</v>
      </c>
      <c r="D44" s="86">
        <f t="array" aca="1" ref="D44:K44" ca="1">OFFSET(Bowling!$CG$4,BowlAves!B44,0,1,8)</f>
        <v>0</v>
      </c>
      <c r="E44" s="81">
        <f ca="1"/>
        <v>0</v>
      </c>
      <c r="F44" s="81">
        <f ca="1"/>
        <v>0</v>
      </c>
      <c r="G44" s="81">
        <f ca="1"/>
        <v>0</v>
      </c>
      <c r="H44" s="85" t="str">
        <f ca="1"/>
        <v/>
      </c>
      <c r="I44" s="82" t="str">
        <f ca="1"/>
        <v/>
      </c>
      <c r="J44" s="82" t="str">
        <f ca="1"/>
        <v/>
      </c>
      <c r="K44" s="89" t="str">
        <f ca="1"/>
        <v/>
      </c>
    </row>
    <row r="45" spans="1:11" x14ac:dyDescent="0.15">
      <c r="A45">
        <v>44</v>
      </c>
      <c r="B45">
        <f>MATCH(A45,Bowling!$CS$5:$CS$53,0)</f>
        <v>36</v>
      </c>
      <c r="C45" t="str">
        <f ca="1">OFFSET(Bowling!$B$4,BowlAves!B45,0)</f>
        <v>Reid V</v>
      </c>
      <c r="D45" s="86">
        <f t="array" aca="1" ref="D45:K45" ca="1">OFFSET(Bowling!$CG$4,BowlAves!B45,0,1,8)</f>
        <v>0</v>
      </c>
      <c r="E45" s="81">
        <f ca="1"/>
        <v>0</v>
      </c>
      <c r="F45" s="81">
        <f ca="1"/>
        <v>0</v>
      </c>
      <c r="G45" s="81">
        <f ca="1"/>
        <v>0</v>
      </c>
      <c r="H45" s="85" t="str">
        <f ca="1"/>
        <v/>
      </c>
      <c r="I45" s="82" t="str">
        <f ca="1"/>
        <v/>
      </c>
      <c r="J45" s="82" t="str">
        <f ca="1"/>
        <v/>
      </c>
      <c r="K45" s="89" t="str">
        <f ca="1"/>
        <v/>
      </c>
    </row>
    <row r="46" spans="1:11" x14ac:dyDescent="0.15">
      <c r="A46">
        <v>45</v>
      </c>
      <c r="B46">
        <f>MATCH(A46,Bowling!$CS$5:$CS$53,0)</f>
        <v>37</v>
      </c>
      <c r="C46" t="str">
        <f ca="1">OFFSET(Bowling!$B$4,BowlAves!B46,0)</f>
        <v>Richardson M</v>
      </c>
      <c r="D46" s="86">
        <f t="array" aca="1" ref="D46:K46" ca="1">OFFSET(Bowling!$CG$4,BowlAves!B46,0,1,8)</f>
        <v>0</v>
      </c>
      <c r="E46" s="81">
        <f ca="1"/>
        <v>0</v>
      </c>
      <c r="F46" s="81">
        <f ca="1"/>
        <v>0</v>
      </c>
      <c r="G46" s="81">
        <f ca="1"/>
        <v>0</v>
      </c>
      <c r="H46" s="85" t="str">
        <f ca="1"/>
        <v/>
      </c>
      <c r="I46" s="82" t="str">
        <f ca="1"/>
        <v/>
      </c>
      <c r="J46" s="82" t="str">
        <f ca="1"/>
        <v/>
      </c>
      <c r="K46" s="89" t="str">
        <f ca="1"/>
        <v/>
      </c>
    </row>
    <row r="47" spans="1:11" x14ac:dyDescent="0.15">
      <c r="A47">
        <v>46</v>
      </c>
      <c r="B47">
        <f>MATCH(A47,Bowling!$CS$5:$CS$53,0)</f>
        <v>41</v>
      </c>
      <c r="C47" t="str">
        <f ca="1">OFFSET(Bowling!$B$4,BowlAves!B47,0)</f>
        <v>Snow D</v>
      </c>
      <c r="D47" s="86">
        <f t="array" aca="1" ref="D47:K47" ca="1">OFFSET(Bowling!$CG$4,BowlAves!B47,0,1,8)</f>
        <v>0</v>
      </c>
      <c r="E47" s="81">
        <f ca="1"/>
        <v>0</v>
      </c>
      <c r="F47" s="81">
        <f ca="1"/>
        <v>0</v>
      </c>
      <c r="G47" s="81">
        <f ca="1"/>
        <v>0</v>
      </c>
      <c r="H47" s="85" t="str">
        <f ca="1"/>
        <v/>
      </c>
      <c r="I47" s="82" t="str">
        <f ca="1"/>
        <v/>
      </c>
      <c r="J47" s="82" t="str">
        <f ca="1"/>
        <v/>
      </c>
      <c r="K47" s="89" t="str">
        <f ca="1"/>
        <v/>
      </c>
    </row>
    <row r="48" spans="1:11" x14ac:dyDescent="0.15">
      <c r="A48">
        <v>47</v>
      </c>
      <c r="B48">
        <f>MATCH(A48,Bowling!$CS$5:$CS$53,0)</f>
        <v>43</v>
      </c>
      <c r="C48" t="str">
        <f ca="1">OFFSET(Bowling!$B$4,BowlAves!B48,0)</f>
        <v>Tate P</v>
      </c>
      <c r="D48" s="86">
        <f t="array" aca="1" ref="D48:K48" ca="1">OFFSET(Bowling!$CG$4,BowlAves!B48,0,1,8)</f>
        <v>0</v>
      </c>
      <c r="E48" s="81">
        <f ca="1"/>
        <v>0</v>
      </c>
      <c r="F48" s="81">
        <f ca="1"/>
        <v>0</v>
      </c>
      <c r="G48" s="81">
        <f ca="1"/>
        <v>0</v>
      </c>
      <c r="H48" s="85" t="str">
        <f ca="1"/>
        <v/>
      </c>
      <c r="I48" s="82" t="str">
        <f ca="1"/>
        <v/>
      </c>
      <c r="J48" s="82" t="str">
        <f ca="1"/>
        <v/>
      </c>
      <c r="K48" s="89" t="str">
        <f ca="1"/>
        <v/>
      </c>
    </row>
    <row r="49" spans="1:11" x14ac:dyDescent="0.15">
      <c r="A49">
        <v>48</v>
      </c>
      <c r="B49">
        <f>MATCH(A49,Bowling!$CS$5:$CS$53,0)</f>
        <v>44</v>
      </c>
      <c r="C49" t="str">
        <f ca="1">OFFSET(Bowling!$B$4,BowlAves!B49,0)</f>
        <v>Thomas C</v>
      </c>
      <c r="D49" s="86">
        <f t="array" aca="1" ref="D49:K49" ca="1">OFFSET(Bowling!$CG$4,BowlAves!B49,0,1,8)</f>
        <v>0</v>
      </c>
      <c r="E49" s="81">
        <f ca="1"/>
        <v>0</v>
      </c>
      <c r="F49" s="81">
        <f ca="1"/>
        <v>0</v>
      </c>
      <c r="G49" s="81">
        <f ca="1"/>
        <v>0</v>
      </c>
      <c r="H49" s="85" t="str">
        <f ca="1"/>
        <v/>
      </c>
      <c r="I49" s="82" t="str">
        <f ca="1"/>
        <v/>
      </c>
      <c r="J49" s="82" t="str">
        <f ca="1"/>
        <v/>
      </c>
      <c r="K49" s="89" t="str">
        <f ca="1"/>
        <v/>
      </c>
    </row>
    <row r="50" spans="1:11" x14ac:dyDescent="0.15">
      <c r="A50">
        <v>49</v>
      </c>
      <c r="B50">
        <f>MATCH(A50,Bowling!$CS$5:$CS$53,0)</f>
        <v>46</v>
      </c>
      <c r="C50" t="str">
        <f ca="1">OFFSET(Bowling!$B$4,BowlAves!B50,0)</f>
        <v>Worthington R</v>
      </c>
      <c r="D50" s="86">
        <f t="array" aca="1" ref="D50:K50" ca="1">OFFSET(Bowling!$CG$4,BowlAves!B50,0,1,8)</f>
        <v>0</v>
      </c>
      <c r="E50" s="81">
        <f ca="1"/>
        <v>0</v>
      </c>
      <c r="F50" s="81">
        <f ca="1"/>
        <v>0</v>
      </c>
      <c r="G50" s="81">
        <f ca="1"/>
        <v>0</v>
      </c>
      <c r="H50" s="85" t="str">
        <f ca="1"/>
        <v/>
      </c>
      <c r="I50" s="82" t="str">
        <f ca="1"/>
        <v/>
      </c>
      <c r="J50" s="82" t="str">
        <f ca="1"/>
        <v/>
      </c>
      <c r="K50" s="89" t="str">
        <f ca="1"/>
        <v/>
      </c>
    </row>
    <row r="51" spans="1:11" x14ac:dyDescent="0.15">
      <c r="A51">
        <v>50</v>
      </c>
      <c r="B51" t="e">
        <f>MATCH(A51,Bowling!$CS$5:$CS$53,0)</f>
        <v>#N/A</v>
      </c>
      <c r="C51" t="e">
        <f ca="1">OFFSET(Bowling!$B$4,BowlAves!B51,0)</f>
        <v>#N/A</v>
      </c>
      <c r="D51" s="86" t="e">
        <f t="array" aca="1" ref="D51:K51" ca="1">OFFSET(Bowling!$CG$4,BowlAves!B51,0,1,8)</f>
        <v>#N/A</v>
      </c>
      <c r="E51" s="81" t="e">
        <f ca="1"/>
        <v>#N/A</v>
      </c>
      <c r="F51" s="81" t="e">
        <f ca="1"/>
        <v>#N/A</v>
      </c>
      <c r="G51" s="81" t="e">
        <f ca="1"/>
        <v>#N/A</v>
      </c>
      <c r="H51" s="85" t="e">
        <f ca="1"/>
        <v>#N/A</v>
      </c>
      <c r="I51" s="82" t="e">
        <f ca="1"/>
        <v>#N/A</v>
      </c>
      <c r="J51" s="82" t="e">
        <f ca="1"/>
        <v>#N/A</v>
      </c>
      <c r="K51" s="89" t="e">
        <f ca="1"/>
        <v>#N/A</v>
      </c>
    </row>
    <row r="52" spans="1:11" x14ac:dyDescent="0.15">
      <c r="A52">
        <v>51</v>
      </c>
      <c r="B52" t="e">
        <f>MATCH(A52,Bowling!$CS$5:$CS$53,0)</f>
        <v>#N/A</v>
      </c>
      <c r="C52" t="e">
        <f ca="1">OFFSET(Bowling!$B$4,BowlAves!B52,0)</f>
        <v>#N/A</v>
      </c>
      <c r="D52" s="86" t="e">
        <f t="array" aca="1" ref="D52:K52" ca="1">OFFSET(Bowling!$CG$4,BowlAves!B52,0,1,8)</f>
        <v>#N/A</v>
      </c>
      <c r="E52" s="81" t="e">
        <f ca="1"/>
        <v>#N/A</v>
      </c>
      <c r="F52" s="81" t="e">
        <f ca="1"/>
        <v>#N/A</v>
      </c>
      <c r="G52" s="81" t="e">
        <f ca="1"/>
        <v>#N/A</v>
      </c>
      <c r="H52" s="85" t="e">
        <f ca="1"/>
        <v>#N/A</v>
      </c>
      <c r="I52" s="82" t="e">
        <f ca="1"/>
        <v>#N/A</v>
      </c>
      <c r="J52" s="82" t="e">
        <f ca="1"/>
        <v>#N/A</v>
      </c>
      <c r="K52" s="89" t="e">
        <f ca="1"/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>
      <selection activeCell="A24" sqref="A24"/>
    </sheetView>
  </sheetViews>
  <sheetFormatPr defaultColWidth="11.5703125" defaultRowHeight="10.5" x14ac:dyDescent="0.15"/>
  <cols>
    <col min="1" max="1" width="11.5703125" customWidth="1"/>
    <col min="2" max="2" width="16.7109375" bestFit="1" customWidth="1"/>
  </cols>
  <sheetData>
    <row r="1" spans="1:41" s="96" customFormat="1" x14ac:dyDescent="0.15">
      <c r="A1" s="96" t="s">
        <v>87</v>
      </c>
      <c r="B1" s="96" t="s">
        <v>87</v>
      </c>
      <c r="C1" s="96" t="s">
        <v>173</v>
      </c>
      <c r="D1" s="96" t="s">
        <v>292</v>
      </c>
      <c r="E1" s="96" t="s">
        <v>294</v>
      </c>
      <c r="F1" s="96" t="s">
        <v>95</v>
      </c>
      <c r="G1" s="96" t="s">
        <v>128</v>
      </c>
      <c r="H1" s="96" t="s">
        <v>89</v>
      </c>
      <c r="I1" s="96" t="s">
        <v>89</v>
      </c>
      <c r="J1" s="96" t="s">
        <v>134</v>
      </c>
      <c r="K1" s="96" t="s">
        <v>134</v>
      </c>
      <c r="L1" s="96" t="s">
        <v>91</v>
      </c>
      <c r="M1" s="96" t="s">
        <v>91</v>
      </c>
      <c r="N1" s="96" t="s">
        <v>91</v>
      </c>
      <c r="O1" s="96" t="s">
        <v>92</v>
      </c>
      <c r="P1" s="96" t="s">
        <v>138</v>
      </c>
      <c r="Q1" s="96" t="s">
        <v>138</v>
      </c>
      <c r="R1" s="96" t="s">
        <v>305</v>
      </c>
      <c r="S1" s="96" t="s">
        <v>86</v>
      </c>
      <c r="T1" s="96" t="s">
        <v>308</v>
      </c>
      <c r="U1" s="96" t="s">
        <v>308</v>
      </c>
      <c r="V1" s="96" t="s">
        <v>178</v>
      </c>
      <c r="W1" s="96" t="s">
        <v>178</v>
      </c>
      <c r="X1" s="96" t="s">
        <v>338</v>
      </c>
      <c r="Y1" s="96" t="s">
        <v>338</v>
      </c>
      <c r="Z1" s="96" t="s">
        <v>251</v>
      </c>
      <c r="AA1" s="96" t="s">
        <v>93</v>
      </c>
      <c r="AB1" s="96" t="s">
        <v>90</v>
      </c>
      <c r="AC1" s="96" t="s">
        <v>490</v>
      </c>
      <c r="AD1" s="96" t="s">
        <v>491</v>
      </c>
      <c r="AE1" s="96" t="s">
        <v>84</v>
      </c>
      <c r="AF1" s="96" t="s">
        <v>524</v>
      </c>
      <c r="AG1" s="96" t="s">
        <v>526</v>
      </c>
    </row>
    <row r="2" spans="1:41" s="97" customFormat="1" x14ac:dyDescent="0.15">
      <c r="A2" s="97" t="s">
        <v>289</v>
      </c>
      <c r="B2" s="97" t="s">
        <v>290</v>
      </c>
      <c r="C2" s="97" t="s">
        <v>291</v>
      </c>
      <c r="D2" s="97" t="s">
        <v>293</v>
      </c>
      <c r="E2" s="97" t="s">
        <v>295</v>
      </c>
      <c r="F2" s="97" t="s">
        <v>296</v>
      </c>
      <c r="G2" s="97" t="s">
        <v>297</v>
      </c>
      <c r="H2" s="97" t="s">
        <v>298</v>
      </c>
      <c r="I2" s="97" t="s">
        <v>299</v>
      </c>
      <c r="J2" s="97" t="s">
        <v>300</v>
      </c>
      <c r="K2" s="97" t="s">
        <v>301</v>
      </c>
      <c r="L2" s="97" t="s">
        <v>345</v>
      </c>
      <c r="M2" s="97" t="s">
        <v>346</v>
      </c>
      <c r="N2" s="97" t="s">
        <v>344</v>
      </c>
      <c r="O2" s="97" t="s">
        <v>302</v>
      </c>
      <c r="P2" s="97" t="s">
        <v>303</v>
      </c>
      <c r="Q2" s="97" t="s">
        <v>304</v>
      </c>
      <c r="R2" s="97" t="s">
        <v>306</v>
      </c>
      <c r="S2" s="97" t="s">
        <v>307</v>
      </c>
      <c r="T2" s="97" t="s">
        <v>309</v>
      </c>
      <c r="U2" s="97" t="s">
        <v>310</v>
      </c>
      <c r="V2" s="97" t="s">
        <v>311</v>
      </c>
      <c r="W2" s="97" t="s">
        <v>312</v>
      </c>
      <c r="X2" s="97" t="s">
        <v>341</v>
      </c>
      <c r="Y2" s="97" t="s">
        <v>342</v>
      </c>
      <c r="Z2" s="97" t="s">
        <v>343</v>
      </c>
      <c r="AA2" s="97" t="s">
        <v>402</v>
      </c>
      <c r="AB2" s="97" t="s">
        <v>492</v>
      </c>
      <c r="AC2" s="97" t="s">
        <v>493</v>
      </c>
      <c r="AD2" s="97" t="s">
        <v>494</v>
      </c>
      <c r="AE2" s="97" t="s">
        <v>523</v>
      </c>
      <c r="AF2" s="97" t="s">
        <v>525</v>
      </c>
      <c r="AG2" s="97" t="s">
        <v>527</v>
      </c>
    </row>
    <row r="3" spans="1:41" x14ac:dyDescent="0.15">
      <c r="A3" t="s">
        <v>75</v>
      </c>
      <c r="B3" t="s">
        <v>57</v>
      </c>
      <c r="C3" t="s">
        <v>82</v>
      </c>
      <c r="D3" t="s">
        <v>170</v>
      </c>
      <c r="E3" t="s">
        <v>101</v>
      </c>
      <c r="F3" t="s">
        <v>62</v>
      </c>
      <c r="G3" t="s">
        <v>170</v>
      </c>
      <c r="H3" t="s">
        <v>75</v>
      </c>
      <c r="I3" t="s">
        <v>75</v>
      </c>
      <c r="J3" t="s">
        <v>82</v>
      </c>
      <c r="K3" t="s">
        <v>177</v>
      </c>
      <c r="L3" t="s">
        <v>62</v>
      </c>
      <c r="M3" t="s">
        <v>82</v>
      </c>
      <c r="N3" t="s">
        <v>62</v>
      </c>
      <c r="O3" t="s">
        <v>59</v>
      </c>
      <c r="P3" t="s">
        <v>75</v>
      </c>
      <c r="Q3" t="s">
        <v>72</v>
      </c>
      <c r="R3" t="s">
        <v>75</v>
      </c>
      <c r="S3" t="s">
        <v>62</v>
      </c>
      <c r="T3" t="s">
        <v>75</v>
      </c>
      <c r="U3" t="s">
        <v>72</v>
      </c>
      <c r="V3" t="s">
        <v>64</v>
      </c>
      <c r="W3" t="s">
        <v>64</v>
      </c>
      <c r="X3" t="s">
        <v>339</v>
      </c>
      <c r="Y3" t="s">
        <v>339</v>
      </c>
      <c r="Z3" t="s">
        <v>75</v>
      </c>
      <c r="AA3" t="s">
        <v>62</v>
      </c>
      <c r="AB3" t="s">
        <v>73</v>
      </c>
      <c r="AC3" t="s">
        <v>75</v>
      </c>
      <c r="AD3" t="s">
        <v>75</v>
      </c>
      <c r="AE3" t="s">
        <v>62</v>
      </c>
      <c r="AF3" t="s">
        <v>62</v>
      </c>
      <c r="AG3" t="s">
        <v>170</v>
      </c>
    </row>
    <row r="4" spans="1:41" x14ac:dyDescent="0.15">
      <c r="A4" t="s">
        <v>72</v>
      </c>
      <c r="B4" t="s">
        <v>62</v>
      </c>
      <c r="C4" t="s">
        <v>101</v>
      </c>
      <c r="D4" t="s">
        <v>101</v>
      </c>
      <c r="E4" t="s">
        <v>74</v>
      </c>
      <c r="F4" t="s">
        <v>170</v>
      </c>
      <c r="G4" t="s">
        <v>177</v>
      </c>
      <c r="H4" t="s">
        <v>72</v>
      </c>
      <c r="I4" t="s">
        <v>57</v>
      </c>
      <c r="J4" t="s">
        <v>71</v>
      </c>
      <c r="K4" t="s">
        <v>74</v>
      </c>
      <c r="L4" t="s">
        <v>82</v>
      </c>
      <c r="M4" t="s">
        <v>62</v>
      </c>
      <c r="N4" t="s">
        <v>177</v>
      </c>
      <c r="O4" t="s">
        <v>72</v>
      </c>
      <c r="P4" t="s">
        <v>59</v>
      </c>
      <c r="Q4" t="s">
        <v>64</v>
      </c>
      <c r="R4" t="s">
        <v>74</v>
      </c>
      <c r="S4" t="s">
        <v>76</v>
      </c>
      <c r="T4" t="s">
        <v>62</v>
      </c>
      <c r="U4" t="s">
        <v>62</v>
      </c>
      <c r="V4" t="s">
        <v>66</v>
      </c>
      <c r="W4" t="s">
        <v>77</v>
      </c>
      <c r="X4" t="s">
        <v>62</v>
      </c>
      <c r="Y4" t="s">
        <v>177</v>
      </c>
      <c r="Z4" t="s">
        <v>71</v>
      </c>
      <c r="AA4" t="s">
        <v>277</v>
      </c>
      <c r="AB4" t="s">
        <v>75</v>
      </c>
      <c r="AC4" t="s">
        <v>72</v>
      </c>
      <c r="AD4" t="s">
        <v>72</v>
      </c>
      <c r="AE4" t="s">
        <v>82</v>
      </c>
      <c r="AF4" t="s">
        <v>82</v>
      </c>
      <c r="AG4" t="s">
        <v>339</v>
      </c>
    </row>
    <row r="5" spans="1:41" x14ac:dyDescent="0.15">
      <c r="A5" t="s">
        <v>62</v>
      </c>
      <c r="B5" t="s">
        <v>177</v>
      </c>
      <c r="C5" t="s">
        <v>177</v>
      </c>
      <c r="D5" t="s">
        <v>82</v>
      </c>
      <c r="E5" t="s">
        <v>82</v>
      </c>
      <c r="F5" t="s">
        <v>273</v>
      </c>
      <c r="G5" t="s">
        <v>82</v>
      </c>
      <c r="H5" t="s">
        <v>62</v>
      </c>
      <c r="I5" t="s">
        <v>62</v>
      </c>
      <c r="J5" t="s">
        <v>100</v>
      </c>
      <c r="K5" t="s">
        <v>99</v>
      </c>
      <c r="L5" t="s">
        <v>98</v>
      </c>
      <c r="M5" t="s">
        <v>101</v>
      </c>
      <c r="N5" t="s">
        <v>223</v>
      </c>
      <c r="O5" t="s">
        <v>62</v>
      </c>
      <c r="P5" t="s">
        <v>62</v>
      </c>
      <c r="Q5" t="s">
        <v>77</v>
      </c>
      <c r="R5" t="s">
        <v>177</v>
      </c>
      <c r="S5" t="s">
        <v>75</v>
      </c>
      <c r="T5" t="s">
        <v>59</v>
      </c>
      <c r="U5" t="s">
        <v>59</v>
      </c>
      <c r="V5" t="s">
        <v>125</v>
      </c>
      <c r="W5" t="s">
        <v>81</v>
      </c>
      <c r="X5" t="s">
        <v>169</v>
      </c>
      <c r="Y5" t="s">
        <v>82</v>
      </c>
      <c r="Z5" t="s">
        <v>82</v>
      </c>
      <c r="AA5" t="s">
        <v>223</v>
      </c>
      <c r="AB5" t="s">
        <v>62</v>
      </c>
      <c r="AC5" t="s">
        <v>62</v>
      </c>
      <c r="AD5" t="s">
        <v>62</v>
      </c>
      <c r="AE5" t="s">
        <v>278</v>
      </c>
      <c r="AF5" t="s">
        <v>169</v>
      </c>
      <c r="AG5" t="s">
        <v>74</v>
      </c>
    </row>
    <row r="6" spans="1:41" x14ac:dyDescent="0.15">
      <c r="A6" t="s">
        <v>101</v>
      </c>
      <c r="B6" t="s">
        <v>82</v>
      </c>
      <c r="C6" t="s">
        <v>169</v>
      </c>
      <c r="D6" t="s">
        <v>223</v>
      </c>
      <c r="E6" t="s">
        <v>169</v>
      </c>
      <c r="F6" t="s">
        <v>98</v>
      </c>
      <c r="G6" t="s">
        <v>101</v>
      </c>
      <c r="H6" t="s">
        <v>223</v>
      </c>
      <c r="I6" t="s">
        <v>82</v>
      </c>
      <c r="J6" t="s">
        <v>273</v>
      </c>
      <c r="K6" t="s">
        <v>82</v>
      </c>
      <c r="L6" t="s">
        <v>101</v>
      </c>
      <c r="M6" t="s">
        <v>278</v>
      </c>
      <c r="N6" t="s">
        <v>170</v>
      </c>
      <c r="O6" t="s">
        <v>82</v>
      </c>
      <c r="P6" t="s">
        <v>82</v>
      </c>
      <c r="Q6" t="s">
        <v>82</v>
      </c>
      <c r="R6" t="s">
        <v>82</v>
      </c>
      <c r="S6" t="s">
        <v>57</v>
      </c>
      <c r="T6" t="s">
        <v>66</v>
      </c>
      <c r="U6" t="s">
        <v>170</v>
      </c>
      <c r="V6" t="s">
        <v>60</v>
      </c>
      <c r="W6" t="s">
        <v>60</v>
      </c>
      <c r="X6" t="s">
        <v>101</v>
      </c>
      <c r="Y6" t="s">
        <v>101</v>
      </c>
      <c r="Z6" t="s">
        <v>169</v>
      </c>
      <c r="AA6" t="s">
        <v>101</v>
      </c>
      <c r="AB6" t="s">
        <v>170</v>
      </c>
      <c r="AC6" t="s">
        <v>100</v>
      </c>
      <c r="AD6" t="s">
        <v>101</v>
      </c>
      <c r="AE6" t="s">
        <v>169</v>
      </c>
      <c r="AF6" t="s">
        <v>101</v>
      </c>
      <c r="AG6" t="s">
        <v>273</v>
      </c>
    </row>
    <row r="7" spans="1:41" x14ac:dyDescent="0.15">
      <c r="A7" t="s">
        <v>169</v>
      </c>
      <c r="B7" t="s">
        <v>169</v>
      </c>
      <c r="C7" t="s">
        <v>125</v>
      </c>
      <c r="D7" t="s">
        <v>64</v>
      </c>
      <c r="E7" t="s">
        <v>277</v>
      </c>
      <c r="F7" t="s">
        <v>64</v>
      </c>
      <c r="G7" t="s">
        <v>277</v>
      </c>
      <c r="H7" t="s">
        <v>100</v>
      </c>
      <c r="I7" t="s">
        <v>101</v>
      </c>
      <c r="J7" t="s">
        <v>66</v>
      </c>
      <c r="K7" t="s">
        <v>64</v>
      </c>
      <c r="L7" t="s">
        <v>64</v>
      </c>
      <c r="M7" t="s">
        <v>125</v>
      </c>
      <c r="N7" t="s">
        <v>69</v>
      </c>
      <c r="O7" t="s">
        <v>71</v>
      </c>
      <c r="P7" t="s">
        <v>101</v>
      </c>
      <c r="Q7" t="s">
        <v>101</v>
      </c>
      <c r="R7" t="s">
        <v>101</v>
      </c>
      <c r="S7" t="s">
        <v>82</v>
      </c>
      <c r="T7" t="s">
        <v>169</v>
      </c>
      <c r="U7" t="s">
        <v>71</v>
      </c>
      <c r="V7" t="s">
        <v>170</v>
      </c>
      <c r="W7" t="s">
        <v>62</v>
      </c>
      <c r="X7" t="s">
        <v>170</v>
      </c>
      <c r="Y7" t="s">
        <v>59</v>
      </c>
      <c r="Z7" t="s">
        <v>170</v>
      </c>
      <c r="AA7" t="s">
        <v>64</v>
      </c>
      <c r="AB7" t="s">
        <v>82</v>
      </c>
      <c r="AC7" t="s">
        <v>273</v>
      </c>
      <c r="AD7" t="s">
        <v>277</v>
      </c>
      <c r="AE7" t="s">
        <v>64</v>
      </c>
      <c r="AF7" t="s">
        <v>125</v>
      </c>
      <c r="AG7" t="s">
        <v>69</v>
      </c>
    </row>
    <row r="8" spans="1:41" x14ac:dyDescent="0.15">
      <c r="A8" t="s">
        <v>223</v>
      </c>
      <c r="B8" t="s">
        <v>64</v>
      </c>
      <c r="C8" t="s">
        <v>276</v>
      </c>
      <c r="D8" t="s">
        <v>66</v>
      </c>
      <c r="E8" t="s">
        <v>64</v>
      </c>
      <c r="F8" t="s">
        <v>66</v>
      </c>
      <c r="G8" t="s">
        <v>64</v>
      </c>
      <c r="H8" t="s">
        <v>278</v>
      </c>
      <c r="I8" t="s">
        <v>100</v>
      </c>
      <c r="J8" t="s">
        <v>125</v>
      </c>
      <c r="K8" t="s">
        <v>66</v>
      </c>
      <c r="L8" t="s">
        <v>81</v>
      </c>
      <c r="M8" t="s">
        <v>81</v>
      </c>
      <c r="N8" t="s">
        <v>60</v>
      </c>
      <c r="O8" t="s">
        <v>177</v>
      </c>
      <c r="P8" t="s">
        <v>83</v>
      </c>
      <c r="Q8" t="s">
        <v>74</v>
      </c>
      <c r="R8" t="s">
        <v>64</v>
      </c>
      <c r="S8" t="s">
        <v>339</v>
      </c>
      <c r="T8" t="s">
        <v>101</v>
      </c>
      <c r="U8" t="s">
        <v>64</v>
      </c>
      <c r="V8" t="s">
        <v>177</v>
      </c>
      <c r="W8" t="s">
        <v>339</v>
      </c>
      <c r="X8" t="s">
        <v>126</v>
      </c>
      <c r="Y8" t="s">
        <v>75</v>
      </c>
      <c r="Z8" t="s">
        <v>64</v>
      </c>
      <c r="AA8" t="s">
        <v>66</v>
      </c>
      <c r="AB8" t="s">
        <v>169</v>
      </c>
      <c r="AC8" t="s">
        <v>278</v>
      </c>
      <c r="AD8" t="s">
        <v>171</v>
      </c>
      <c r="AE8" t="s">
        <v>125</v>
      </c>
      <c r="AF8" t="s">
        <v>64</v>
      </c>
      <c r="AG8" t="s">
        <v>66</v>
      </c>
    </row>
    <row r="9" spans="1:41" x14ac:dyDescent="0.15">
      <c r="A9" t="s">
        <v>125</v>
      </c>
      <c r="B9" t="s">
        <v>66</v>
      </c>
      <c r="C9" t="s">
        <v>64</v>
      </c>
      <c r="D9" t="s">
        <v>81</v>
      </c>
      <c r="E9" t="s">
        <v>66</v>
      </c>
      <c r="F9" t="s">
        <v>125</v>
      </c>
      <c r="G9" t="s">
        <v>66</v>
      </c>
      <c r="H9" t="s">
        <v>64</v>
      </c>
      <c r="I9" t="s">
        <v>66</v>
      </c>
      <c r="J9" t="s">
        <v>69</v>
      </c>
      <c r="K9" t="s">
        <v>77</v>
      </c>
      <c r="L9" t="s">
        <v>60</v>
      </c>
      <c r="M9" t="s">
        <v>69</v>
      </c>
      <c r="N9" t="s">
        <v>77</v>
      </c>
      <c r="O9" t="s">
        <v>69</v>
      </c>
      <c r="P9" t="s">
        <v>125</v>
      </c>
      <c r="Q9" t="s">
        <v>125</v>
      </c>
      <c r="R9" t="s">
        <v>125</v>
      </c>
      <c r="S9" t="s">
        <v>66</v>
      </c>
      <c r="T9" t="s">
        <v>81</v>
      </c>
      <c r="U9" t="s">
        <v>125</v>
      </c>
      <c r="V9" t="s">
        <v>82</v>
      </c>
      <c r="W9" t="s">
        <v>71</v>
      </c>
      <c r="X9" t="s">
        <v>57</v>
      </c>
      <c r="Y9" t="s">
        <v>72</v>
      </c>
      <c r="Z9" t="s">
        <v>125</v>
      </c>
      <c r="AA9" t="s">
        <v>81</v>
      </c>
      <c r="AB9" t="s">
        <v>77</v>
      </c>
      <c r="AC9" t="s">
        <v>64</v>
      </c>
      <c r="AD9" t="s">
        <v>64</v>
      </c>
      <c r="AE9" t="s">
        <v>56</v>
      </c>
      <c r="AF9" t="s">
        <v>56</v>
      </c>
      <c r="AG9" t="s">
        <v>64</v>
      </c>
    </row>
    <row r="10" spans="1:41" x14ac:dyDescent="0.15">
      <c r="A10" t="s">
        <v>77</v>
      </c>
      <c r="B10" t="s">
        <v>81</v>
      </c>
      <c r="C10" t="s">
        <v>56</v>
      </c>
      <c r="D10" t="s">
        <v>171</v>
      </c>
      <c r="E10" t="s">
        <v>125</v>
      </c>
      <c r="F10" t="s">
        <v>79</v>
      </c>
      <c r="G10" t="s">
        <v>69</v>
      </c>
      <c r="H10" t="s">
        <v>66</v>
      </c>
      <c r="I10" t="s">
        <v>81</v>
      </c>
      <c r="J10" t="s">
        <v>60</v>
      </c>
      <c r="K10" t="s">
        <v>225</v>
      </c>
      <c r="L10" t="s">
        <v>83</v>
      </c>
      <c r="M10" t="s">
        <v>66</v>
      </c>
      <c r="N10" t="s">
        <v>64</v>
      </c>
      <c r="O10" t="s">
        <v>66</v>
      </c>
      <c r="P10" t="s">
        <v>66</v>
      </c>
      <c r="Q10" t="s">
        <v>66</v>
      </c>
      <c r="R10" t="s">
        <v>81</v>
      </c>
      <c r="S10" t="s">
        <v>276</v>
      </c>
      <c r="T10" t="s">
        <v>82</v>
      </c>
      <c r="U10" t="s">
        <v>278</v>
      </c>
      <c r="V10" t="s">
        <v>74</v>
      </c>
      <c r="W10" t="s">
        <v>169</v>
      </c>
      <c r="X10" t="s">
        <v>64</v>
      </c>
      <c r="Y10" t="s">
        <v>276</v>
      </c>
      <c r="Z10" t="s">
        <v>81</v>
      </c>
      <c r="AA10" t="s">
        <v>69</v>
      </c>
      <c r="AB10" t="s">
        <v>69</v>
      </c>
      <c r="AC10" t="s">
        <v>66</v>
      </c>
      <c r="AD10" t="s">
        <v>125</v>
      </c>
      <c r="AE10" t="s">
        <v>60</v>
      </c>
      <c r="AF10" t="s">
        <v>60</v>
      </c>
      <c r="AG10" t="s">
        <v>81</v>
      </c>
    </row>
    <row r="11" spans="1:41" x14ac:dyDescent="0.15">
      <c r="A11" t="s">
        <v>81</v>
      </c>
      <c r="B11" t="s">
        <v>56</v>
      </c>
      <c r="C11" t="s">
        <v>59</v>
      </c>
      <c r="D11" t="s">
        <v>59</v>
      </c>
      <c r="E11" t="s">
        <v>81</v>
      </c>
      <c r="F11" t="s">
        <v>83</v>
      </c>
      <c r="G11" t="s">
        <v>276</v>
      </c>
      <c r="H11" t="s">
        <v>60</v>
      </c>
      <c r="I11" t="s">
        <v>69</v>
      </c>
      <c r="J11" t="s">
        <v>72</v>
      </c>
      <c r="K11" t="s">
        <v>68</v>
      </c>
      <c r="L11" t="s">
        <v>77</v>
      </c>
      <c r="M11" t="s">
        <v>60</v>
      </c>
      <c r="N11" t="s">
        <v>68</v>
      </c>
      <c r="O11" t="s">
        <v>276</v>
      </c>
      <c r="P11" t="s">
        <v>81</v>
      </c>
      <c r="Q11" t="s">
        <v>71</v>
      </c>
      <c r="R11" t="s">
        <v>77</v>
      </c>
      <c r="S11" t="s">
        <v>223</v>
      </c>
      <c r="T11" t="s">
        <v>68</v>
      </c>
      <c r="U11" t="s">
        <v>69</v>
      </c>
      <c r="V11" t="s">
        <v>75</v>
      </c>
      <c r="W11" t="s">
        <v>72</v>
      </c>
      <c r="X11" t="s">
        <v>125</v>
      </c>
      <c r="Y11" t="s">
        <v>125</v>
      </c>
      <c r="Z11" t="s">
        <v>60</v>
      </c>
      <c r="AA11" t="s">
        <v>68</v>
      </c>
      <c r="AB11" t="s">
        <v>56</v>
      </c>
      <c r="AC11" t="s">
        <v>60</v>
      </c>
      <c r="AD11" t="s">
        <v>81</v>
      </c>
      <c r="AE11" t="s">
        <v>72</v>
      </c>
      <c r="AF11" t="s">
        <v>75</v>
      </c>
      <c r="AG11" t="s">
        <v>72</v>
      </c>
    </row>
    <row r="12" spans="1:41" x14ac:dyDescent="0.15">
      <c r="A12" t="s">
        <v>60</v>
      </c>
      <c r="B12" t="s">
        <v>60</v>
      </c>
      <c r="C12" t="s">
        <v>75</v>
      </c>
      <c r="D12" t="s">
        <v>75</v>
      </c>
      <c r="E12" t="s">
        <v>59</v>
      </c>
      <c r="F12" t="s">
        <v>59</v>
      </c>
      <c r="G12" t="s">
        <v>59</v>
      </c>
      <c r="H12" t="s">
        <v>61</v>
      </c>
      <c r="I12" t="s">
        <v>56</v>
      </c>
      <c r="J12" t="s">
        <v>75</v>
      </c>
      <c r="K12" t="s">
        <v>75</v>
      </c>
      <c r="L12" t="s">
        <v>75</v>
      </c>
      <c r="M12" t="s">
        <v>75</v>
      </c>
      <c r="N12" t="s">
        <v>72</v>
      </c>
      <c r="O12" t="s">
        <v>81</v>
      </c>
      <c r="P12" t="s">
        <v>60</v>
      </c>
      <c r="Q12" t="s">
        <v>57</v>
      </c>
      <c r="R12" t="s">
        <v>76</v>
      </c>
      <c r="S12" t="s">
        <v>60</v>
      </c>
      <c r="T12" t="s">
        <v>276</v>
      </c>
      <c r="U12" t="s">
        <v>225</v>
      </c>
      <c r="V12" t="s">
        <v>59</v>
      </c>
      <c r="W12" t="s">
        <v>76</v>
      </c>
      <c r="X12" t="s">
        <v>81</v>
      </c>
      <c r="Y12" t="s">
        <v>81</v>
      </c>
      <c r="Z12" t="s">
        <v>76</v>
      </c>
      <c r="AA12" t="s">
        <v>75</v>
      </c>
      <c r="AB12" t="s">
        <v>60</v>
      </c>
      <c r="AC12" t="s">
        <v>61</v>
      </c>
      <c r="AD12" t="s">
        <v>60</v>
      </c>
      <c r="AE12" t="s">
        <v>59</v>
      </c>
      <c r="AF12" t="s">
        <v>59</v>
      </c>
      <c r="AG12" t="s">
        <v>57</v>
      </c>
    </row>
    <row r="13" spans="1:41" s="6" customFormat="1" x14ac:dyDescent="0.15">
      <c r="A13" s="6" t="s">
        <v>59</v>
      </c>
      <c r="B13" s="6" t="s">
        <v>59</v>
      </c>
      <c r="C13" s="6" t="s">
        <v>57</v>
      </c>
      <c r="D13" s="6" t="s">
        <v>57</v>
      </c>
      <c r="E13" s="6" t="s">
        <v>75</v>
      </c>
      <c r="F13" s="6" t="s">
        <v>75</v>
      </c>
      <c r="G13" s="6" t="s">
        <v>72</v>
      </c>
      <c r="H13" s="6" t="s">
        <v>59</v>
      </c>
      <c r="I13" s="6" t="s">
        <v>76</v>
      </c>
      <c r="J13" s="6" t="s">
        <v>59</v>
      </c>
      <c r="K13" s="6" t="s">
        <v>76</v>
      </c>
      <c r="L13" s="6" t="s">
        <v>59</v>
      </c>
      <c r="M13" s="6" t="s">
        <v>76</v>
      </c>
      <c r="N13" s="6" t="s">
        <v>59</v>
      </c>
      <c r="O13" s="6" t="s">
        <v>83</v>
      </c>
      <c r="P13" s="6" t="s">
        <v>100</v>
      </c>
      <c r="Q13" s="6" t="s">
        <v>76</v>
      </c>
      <c r="R13" s="6" t="s">
        <v>57</v>
      </c>
      <c r="S13" s="6" t="s">
        <v>69</v>
      </c>
      <c r="T13" s="6" t="s">
        <v>60</v>
      </c>
      <c r="U13" s="6" t="s">
        <v>171</v>
      </c>
      <c r="V13" s="6" t="s">
        <v>98</v>
      </c>
      <c r="W13" s="6" t="s">
        <v>57</v>
      </c>
      <c r="X13" s="6" t="s">
        <v>77</v>
      </c>
      <c r="Y13" s="6" t="s">
        <v>56</v>
      </c>
      <c r="Z13" s="6" t="s">
        <v>72</v>
      </c>
      <c r="AA13" s="6" t="s">
        <v>76</v>
      </c>
      <c r="AB13" s="6" t="s">
        <v>59</v>
      </c>
      <c r="AC13" s="6" t="s">
        <v>59</v>
      </c>
      <c r="AD13" s="6" t="s">
        <v>76</v>
      </c>
      <c r="AE13" s="6" t="s">
        <v>126</v>
      </c>
      <c r="AF13" s="6" t="s">
        <v>277</v>
      </c>
      <c r="AG13" s="6" t="s">
        <v>59</v>
      </c>
    </row>
    <row r="14" spans="1:41" s="124" customFormat="1" ht="52.5" x14ac:dyDescent="0.15">
      <c r="D14" s="124" t="s">
        <v>770</v>
      </c>
      <c r="H14" s="124" t="s">
        <v>773</v>
      </c>
      <c r="I14" s="124" t="s">
        <v>772</v>
      </c>
      <c r="L14" s="124" t="s">
        <v>908</v>
      </c>
      <c r="M14" s="124" t="s">
        <v>907</v>
      </c>
      <c r="N14" s="124" t="s">
        <v>714</v>
      </c>
      <c r="P14" s="124" t="s">
        <v>956</v>
      </c>
      <c r="AA14" s="124" t="s">
        <v>771</v>
      </c>
      <c r="AE14" s="124" t="s">
        <v>652</v>
      </c>
    </row>
    <row r="15" spans="1:41" x14ac:dyDescent="0.15">
      <c r="A15" s="95">
        <f>SUM(A16:A26)</f>
        <v>55</v>
      </c>
      <c r="B15" s="95">
        <f t="shared" ref="B15:Q15" si="0">SUM(B16:B26)</f>
        <v>55</v>
      </c>
      <c r="C15" s="95">
        <f t="shared" si="0"/>
        <v>55</v>
      </c>
      <c r="D15" s="95">
        <f t="shared" si="0"/>
        <v>55</v>
      </c>
      <c r="E15" s="95">
        <f t="shared" si="0"/>
        <v>55</v>
      </c>
      <c r="F15" s="95">
        <f t="shared" si="0"/>
        <v>55</v>
      </c>
      <c r="G15" s="95">
        <f t="shared" si="0"/>
        <v>55</v>
      </c>
      <c r="H15" s="95">
        <f t="shared" si="0"/>
        <v>55</v>
      </c>
      <c r="I15" s="95">
        <f t="shared" si="0"/>
        <v>55</v>
      </c>
      <c r="J15" s="95">
        <f t="shared" si="0"/>
        <v>53</v>
      </c>
      <c r="K15" s="95">
        <f t="shared" si="0"/>
        <v>55</v>
      </c>
      <c r="L15" s="95">
        <f t="shared" si="0"/>
        <v>54</v>
      </c>
      <c r="M15" s="95">
        <f t="shared" si="0"/>
        <v>53</v>
      </c>
      <c r="N15" s="95">
        <f t="shared" si="0"/>
        <v>54</v>
      </c>
      <c r="O15" s="95">
        <f t="shared" si="0"/>
        <v>55</v>
      </c>
      <c r="P15" s="95">
        <f t="shared" si="0"/>
        <v>54</v>
      </c>
      <c r="Q15" s="95">
        <f t="shared" si="0"/>
        <v>55</v>
      </c>
      <c r="R15" s="95">
        <f t="shared" ref="R15:AG15" si="1">SUM(R16:R26)</f>
        <v>55</v>
      </c>
      <c r="S15" s="95">
        <f t="shared" si="1"/>
        <v>54</v>
      </c>
      <c r="T15" s="95">
        <f t="shared" si="1"/>
        <v>54</v>
      </c>
      <c r="U15" s="95">
        <f t="shared" si="1"/>
        <v>55</v>
      </c>
      <c r="V15" s="95">
        <f t="shared" si="1"/>
        <v>56</v>
      </c>
      <c r="W15" s="95">
        <f t="shared" si="1"/>
        <v>54</v>
      </c>
      <c r="X15" s="95">
        <f t="shared" si="1"/>
        <v>54</v>
      </c>
      <c r="Y15" s="95">
        <f t="shared" si="1"/>
        <v>55</v>
      </c>
      <c r="Z15" s="95">
        <f t="shared" si="1"/>
        <v>55</v>
      </c>
      <c r="AA15" s="95">
        <f t="shared" si="1"/>
        <v>54</v>
      </c>
      <c r="AB15" s="95">
        <f t="shared" si="1"/>
        <v>54</v>
      </c>
      <c r="AC15" s="95">
        <f t="shared" si="1"/>
        <v>55</v>
      </c>
      <c r="AD15" s="95">
        <f t="shared" si="1"/>
        <v>55</v>
      </c>
      <c r="AE15" s="95">
        <f t="shared" si="1"/>
        <v>52</v>
      </c>
      <c r="AF15" s="95">
        <f t="shared" si="1"/>
        <v>55</v>
      </c>
      <c r="AG15" s="95">
        <f t="shared" si="1"/>
        <v>55</v>
      </c>
      <c r="AH15" s="95" t="e">
        <f t="shared" ref="AH15:AO15" si="2">SUM(AH16:AH26)</f>
        <v>#N/A</v>
      </c>
      <c r="AI15" s="95" t="e">
        <f t="shared" si="2"/>
        <v>#N/A</v>
      </c>
      <c r="AJ15" s="95" t="e">
        <f t="shared" si="2"/>
        <v>#N/A</v>
      </c>
      <c r="AK15" s="95" t="e">
        <f t="shared" si="2"/>
        <v>#N/A</v>
      </c>
      <c r="AL15" s="95" t="e">
        <f t="shared" si="2"/>
        <v>#N/A</v>
      </c>
      <c r="AM15" s="95" t="e">
        <f t="shared" si="2"/>
        <v>#N/A</v>
      </c>
      <c r="AN15" s="95" t="e">
        <f t="shared" si="2"/>
        <v>#N/A</v>
      </c>
      <c r="AO15" s="95" t="e">
        <f t="shared" si="2"/>
        <v>#N/A</v>
      </c>
    </row>
    <row r="16" spans="1:41" x14ac:dyDescent="0.15">
      <c r="A16">
        <f>VLOOKUP(A3,$A$45:$C$97,3,FALSE)</f>
        <v>10</v>
      </c>
      <c r="B16">
        <f t="shared" ref="B16:AO16" si="3">VLOOKUP(B3,$A$45:$C$97,3,FALSE)</f>
        <v>5</v>
      </c>
      <c r="C16">
        <f t="shared" si="3"/>
        <v>4</v>
      </c>
      <c r="D16">
        <f t="shared" si="3"/>
        <v>5</v>
      </c>
      <c r="E16">
        <f t="shared" si="3"/>
        <v>3</v>
      </c>
      <c r="F16">
        <f t="shared" si="3"/>
        <v>9</v>
      </c>
      <c r="G16">
        <f t="shared" si="3"/>
        <v>5</v>
      </c>
      <c r="H16">
        <f t="shared" si="3"/>
        <v>10</v>
      </c>
      <c r="I16">
        <f t="shared" si="3"/>
        <v>10</v>
      </c>
      <c r="J16">
        <f t="shared" si="3"/>
        <v>4</v>
      </c>
      <c r="K16">
        <f t="shared" si="3"/>
        <v>4</v>
      </c>
      <c r="L16">
        <f t="shared" si="3"/>
        <v>9</v>
      </c>
      <c r="M16">
        <f t="shared" si="3"/>
        <v>4</v>
      </c>
      <c r="N16">
        <f t="shared" si="3"/>
        <v>9</v>
      </c>
      <c r="O16">
        <f t="shared" si="3"/>
        <v>7</v>
      </c>
      <c r="P16">
        <f t="shared" si="3"/>
        <v>10</v>
      </c>
      <c r="Q16">
        <f t="shared" si="3"/>
        <v>7</v>
      </c>
      <c r="R16">
        <f t="shared" si="3"/>
        <v>10</v>
      </c>
      <c r="S16">
        <f t="shared" si="3"/>
        <v>9</v>
      </c>
      <c r="T16">
        <f t="shared" si="3"/>
        <v>10</v>
      </c>
      <c r="U16">
        <f t="shared" si="3"/>
        <v>7</v>
      </c>
      <c r="V16">
        <f t="shared" si="3"/>
        <v>8</v>
      </c>
      <c r="W16">
        <f t="shared" si="3"/>
        <v>8</v>
      </c>
      <c r="X16">
        <f t="shared" si="3"/>
        <v>4</v>
      </c>
      <c r="Y16">
        <f t="shared" si="3"/>
        <v>4</v>
      </c>
      <c r="Z16">
        <f t="shared" si="3"/>
        <v>10</v>
      </c>
      <c r="AA16">
        <f t="shared" si="3"/>
        <v>9</v>
      </c>
      <c r="AB16">
        <f t="shared" si="3"/>
        <v>3</v>
      </c>
      <c r="AC16">
        <f t="shared" si="3"/>
        <v>10</v>
      </c>
      <c r="AD16">
        <f t="shared" si="3"/>
        <v>10</v>
      </c>
      <c r="AE16">
        <f t="shared" si="3"/>
        <v>9</v>
      </c>
      <c r="AF16">
        <f t="shared" si="3"/>
        <v>9</v>
      </c>
      <c r="AG16">
        <f t="shared" si="3"/>
        <v>5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VLOOKUP(A4,$A$45:$C$97,3,FALSE)</f>
        <v>7</v>
      </c>
      <c r="B17">
        <f t="shared" si="4"/>
        <v>9</v>
      </c>
      <c r="C17">
        <f t="shared" si="4"/>
        <v>3</v>
      </c>
      <c r="D17">
        <f t="shared" si="4"/>
        <v>3</v>
      </c>
      <c r="E17">
        <f t="shared" si="4"/>
        <v>3</v>
      </c>
      <c r="F17">
        <f t="shared" si="4"/>
        <v>5</v>
      </c>
      <c r="G17">
        <f t="shared" si="4"/>
        <v>4</v>
      </c>
      <c r="H17">
        <f t="shared" si="4"/>
        <v>7</v>
      </c>
      <c r="I17">
        <f t="shared" si="4"/>
        <v>5</v>
      </c>
      <c r="J17">
        <f t="shared" si="4"/>
        <v>4</v>
      </c>
      <c r="K17">
        <f t="shared" si="4"/>
        <v>3</v>
      </c>
      <c r="L17">
        <f t="shared" si="4"/>
        <v>4</v>
      </c>
      <c r="M17">
        <f t="shared" si="4"/>
        <v>9</v>
      </c>
      <c r="N17">
        <f t="shared" si="4"/>
        <v>4</v>
      </c>
      <c r="O17">
        <f t="shared" si="4"/>
        <v>7</v>
      </c>
      <c r="P17">
        <f t="shared" si="4"/>
        <v>7</v>
      </c>
      <c r="Q17">
        <f t="shared" si="4"/>
        <v>8</v>
      </c>
      <c r="R17">
        <f t="shared" si="4"/>
        <v>3</v>
      </c>
      <c r="S17">
        <f t="shared" si="4"/>
        <v>4</v>
      </c>
      <c r="T17">
        <f t="shared" si="4"/>
        <v>9</v>
      </c>
      <c r="U17">
        <f t="shared" si="4"/>
        <v>9</v>
      </c>
      <c r="V17">
        <f t="shared" si="4"/>
        <v>7</v>
      </c>
      <c r="W17">
        <f t="shared" si="4"/>
        <v>5</v>
      </c>
      <c r="X17">
        <f t="shared" si="4"/>
        <v>9</v>
      </c>
      <c r="Y17">
        <f t="shared" si="4"/>
        <v>4</v>
      </c>
      <c r="Z17">
        <f t="shared" si="4"/>
        <v>4</v>
      </c>
      <c r="AA17">
        <f t="shared" si="4"/>
        <v>2</v>
      </c>
      <c r="AB17">
        <f t="shared" si="4"/>
        <v>10</v>
      </c>
      <c r="AC17">
        <f t="shared" si="4"/>
        <v>7</v>
      </c>
      <c r="AD17">
        <f t="shared" si="4"/>
        <v>7</v>
      </c>
      <c r="AE17">
        <f t="shared" si="4"/>
        <v>4</v>
      </c>
      <c r="AF17">
        <f t="shared" si="4"/>
        <v>4</v>
      </c>
      <c r="AG17">
        <f t="shared" si="4"/>
        <v>4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VLOOKUP(A5,$A$45:$C$97,3,FALSE)</f>
        <v>9</v>
      </c>
      <c r="B18">
        <f t="shared" si="5"/>
        <v>4</v>
      </c>
      <c r="C18">
        <f t="shared" si="5"/>
        <v>4</v>
      </c>
      <c r="D18">
        <f t="shared" si="5"/>
        <v>4</v>
      </c>
      <c r="E18">
        <f t="shared" si="5"/>
        <v>4</v>
      </c>
      <c r="F18">
        <f t="shared" si="5"/>
        <v>1</v>
      </c>
      <c r="G18">
        <f t="shared" si="5"/>
        <v>4</v>
      </c>
      <c r="H18">
        <f t="shared" si="5"/>
        <v>9</v>
      </c>
      <c r="I18">
        <f t="shared" si="5"/>
        <v>9</v>
      </c>
      <c r="J18">
        <f t="shared" si="5"/>
        <v>2</v>
      </c>
      <c r="K18">
        <f t="shared" si="5"/>
        <v>4</v>
      </c>
      <c r="L18">
        <f t="shared" si="5"/>
        <v>1</v>
      </c>
      <c r="M18">
        <f t="shared" si="5"/>
        <v>3</v>
      </c>
      <c r="N18">
        <f t="shared" si="5"/>
        <v>1</v>
      </c>
      <c r="O18">
        <f t="shared" si="5"/>
        <v>9</v>
      </c>
      <c r="P18">
        <f t="shared" si="5"/>
        <v>9</v>
      </c>
      <c r="Q18">
        <f t="shared" si="5"/>
        <v>5</v>
      </c>
      <c r="R18">
        <f t="shared" si="5"/>
        <v>4</v>
      </c>
      <c r="S18">
        <f t="shared" si="5"/>
        <v>10</v>
      </c>
      <c r="T18">
        <f t="shared" si="5"/>
        <v>7</v>
      </c>
      <c r="U18">
        <f t="shared" si="5"/>
        <v>7</v>
      </c>
      <c r="V18">
        <f t="shared" si="5"/>
        <v>5</v>
      </c>
      <c r="W18">
        <f t="shared" si="5"/>
        <v>4</v>
      </c>
      <c r="X18">
        <f t="shared" si="5"/>
        <v>2</v>
      </c>
      <c r="Y18">
        <f t="shared" si="5"/>
        <v>4</v>
      </c>
      <c r="Z18">
        <f t="shared" si="5"/>
        <v>4</v>
      </c>
      <c r="AA18">
        <f t="shared" si="5"/>
        <v>1</v>
      </c>
      <c r="AB18">
        <f t="shared" si="5"/>
        <v>9</v>
      </c>
      <c r="AC18">
        <f t="shared" si="5"/>
        <v>9</v>
      </c>
      <c r="AD18">
        <f t="shared" si="5"/>
        <v>9</v>
      </c>
      <c r="AE18">
        <f t="shared" si="5"/>
        <v>1</v>
      </c>
      <c r="AF18">
        <f t="shared" si="5"/>
        <v>2</v>
      </c>
      <c r="AG18">
        <f t="shared" si="5"/>
        <v>3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VLOOKUP(A6,$A$45:$C$97,3,FALSE)</f>
        <v>3</v>
      </c>
      <c r="B19">
        <f t="shared" si="6"/>
        <v>4</v>
      </c>
      <c r="C19">
        <f t="shared" si="6"/>
        <v>2</v>
      </c>
      <c r="D19">
        <f t="shared" si="6"/>
        <v>1</v>
      </c>
      <c r="E19">
        <f t="shared" si="6"/>
        <v>2</v>
      </c>
      <c r="F19">
        <f t="shared" si="6"/>
        <v>1</v>
      </c>
      <c r="G19">
        <f t="shared" si="6"/>
        <v>3</v>
      </c>
      <c r="H19">
        <f t="shared" si="6"/>
        <v>1</v>
      </c>
      <c r="I19">
        <f t="shared" si="6"/>
        <v>4</v>
      </c>
      <c r="J19">
        <f t="shared" si="6"/>
        <v>1</v>
      </c>
      <c r="K19">
        <f t="shared" si="6"/>
        <v>4</v>
      </c>
      <c r="L19">
        <f t="shared" si="6"/>
        <v>3</v>
      </c>
      <c r="M19">
        <f t="shared" si="6"/>
        <v>1</v>
      </c>
      <c r="N19">
        <f t="shared" si="6"/>
        <v>5</v>
      </c>
      <c r="O19">
        <f t="shared" si="6"/>
        <v>4</v>
      </c>
      <c r="P19">
        <f t="shared" si="6"/>
        <v>4</v>
      </c>
      <c r="Q19">
        <f t="shared" si="6"/>
        <v>4</v>
      </c>
      <c r="R19">
        <f t="shared" si="6"/>
        <v>4</v>
      </c>
      <c r="S19">
        <f t="shared" si="6"/>
        <v>5</v>
      </c>
      <c r="T19">
        <f t="shared" si="6"/>
        <v>7</v>
      </c>
      <c r="U19">
        <f t="shared" si="6"/>
        <v>5</v>
      </c>
      <c r="V19">
        <f t="shared" si="6"/>
        <v>2</v>
      </c>
      <c r="W19">
        <f t="shared" si="6"/>
        <v>2</v>
      </c>
      <c r="X19">
        <f t="shared" si="6"/>
        <v>3</v>
      </c>
      <c r="Y19">
        <f t="shared" si="6"/>
        <v>3</v>
      </c>
      <c r="Z19">
        <f t="shared" si="6"/>
        <v>2</v>
      </c>
      <c r="AA19">
        <f t="shared" si="6"/>
        <v>3</v>
      </c>
      <c r="AB19">
        <f t="shared" si="6"/>
        <v>5</v>
      </c>
      <c r="AC19">
        <f t="shared" si="6"/>
        <v>2</v>
      </c>
      <c r="AD19">
        <f t="shared" si="6"/>
        <v>3</v>
      </c>
      <c r="AE19">
        <f t="shared" si="6"/>
        <v>2</v>
      </c>
      <c r="AF19">
        <f t="shared" si="6"/>
        <v>3</v>
      </c>
      <c r="AG19">
        <f t="shared" si="6"/>
        <v>1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VLOOKUP(A7,$A$45:$C$97,3,FALSE)</f>
        <v>2</v>
      </c>
      <c r="B20">
        <f t="shared" si="7"/>
        <v>2</v>
      </c>
      <c r="C20">
        <f t="shared" si="7"/>
        <v>5</v>
      </c>
      <c r="D20">
        <f t="shared" si="7"/>
        <v>8</v>
      </c>
      <c r="E20">
        <f t="shared" si="7"/>
        <v>2</v>
      </c>
      <c r="F20">
        <f t="shared" si="7"/>
        <v>8</v>
      </c>
      <c r="G20">
        <f t="shared" si="7"/>
        <v>2</v>
      </c>
      <c r="H20">
        <f t="shared" si="7"/>
        <v>2</v>
      </c>
      <c r="I20">
        <f t="shared" si="7"/>
        <v>3</v>
      </c>
      <c r="J20">
        <f t="shared" si="7"/>
        <v>7</v>
      </c>
      <c r="K20">
        <f t="shared" si="7"/>
        <v>8</v>
      </c>
      <c r="L20">
        <f t="shared" si="7"/>
        <v>8</v>
      </c>
      <c r="M20">
        <f t="shared" si="7"/>
        <v>5</v>
      </c>
      <c r="N20">
        <f t="shared" si="7"/>
        <v>4</v>
      </c>
      <c r="O20">
        <f t="shared" si="7"/>
        <v>4</v>
      </c>
      <c r="P20">
        <f t="shared" si="7"/>
        <v>3</v>
      </c>
      <c r="Q20">
        <f t="shared" si="7"/>
        <v>3</v>
      </c>
      <c r="R20">
        <f t="shared" si="7"/>
        <v>3</v>
      </c>
      <c r="S20">
        <f t="shared" si="7"/>
        <v>4</v>
      </c>
      <c r="T20">
        <f t="shared" si="7"/>
        <v>2</v>
      </c>
      <c r="U20">
        <f t="shared" si="7"/>
        <v>4</v>
      </c>
      <c r="V20">
        <f t="shared" si="7"/>
        <v>5</v>
      </c>
      <c r="W20">
        <f t="shared" si="7"/>
        <v>9</v>
      </c>
      <c r="X20">
        <f t="shared" si="7"/>
        <v>5</v>
      </c>
      <c r="Y20">
        <f t="shared" si="7"/>
        <v>7</v>
      </c>
      <c r="Z20">
        <f t="shared" si="7"/>
        <v>5</v>
      </c>
      <c r="AA20">
        <f t="shared" si="7"/>
        <v>8</v>
      </c>
      <c r="AB20">
        <f t="shared" si="7"/>
        <v>4</v>
      </c>
      <c r="AC20">
        <f t="shared" si="7"/>
        <v>1</v>
      </c>
      <c r="AD20">
        <f t="shared" si="7"/>
        <v>2</v>
      </c>
      <c r="AE20">
        <f t="shared" si="7"/>
        <v>8</v>
      </c>
      <c r="AF20">
        <f t="shared" si="7"/>
        <v>5</v>
      </c>
      <c r="AG20">
        <f t="shared" si="7"/>
        <v>4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VLOOKUP(A8,$A$45:$C$97,3,FALSE)</f>
        <v>1</v>
      </c>
      <c r="B21">
        <f t="shared" si="8"/>
        <v>8</v>
      </c>
      <c r="C21">
        <f t="shared" si="8"/>
        <v>4</v>
      </c>
      <c r="D21">
        <f t="shared" si="8"/>
        <v>7</v>
      </c>
      <c r="E21">
        <f t="shared" si="8"/>
        <v>8</v>
      </c>
      <c r="F21">
        <f t="shared" si="8"/>
        <v>7</v>
      </c>
      <c r="G21">
        <f t="shared" si="8"/>
        <v>8</v>
      </c>
      <c r="H21">
        <f t="shared" si="8"/>
        <v>1</v>
      </c>
      <c r="I21">
        <f t="shared" si="8"/>
        <v>2</v>
      </c>
      <c r="J21">
        <f t="shared" si="8"/>
        <v>5</v>
      </c>
      <c r="K21">
        <f t="shared" si="8"/>
        <v>7</v>
      </c>
      <c r="L21">
        <f t="shared" si="8"/>
        <v>4</v>
      </c>
      <c r="M21">
        <f t="shared" si="8"/>
        <v>4</v>
      </c>
      <c r="N21">
        <f t="shared" si="8"/>
        <v>2</v>
      </c>
      <c r="O21">
        <f t="shared" si="8"/>
        <v>4</v>
      </c>
      <c r="P21">
        <f t="shared" si="8"/>
        <v>1</v>
      </c>
      <c r="Q21">
        <f t="shared" si="8"/>
        <v>3</v>
      </c>
      <c r="R21">
        <f t="shared" si="8"/>
        <v>8</v>
      </c>
      <c r="S21">
        <f t="shared" si="8"/>
        <v>4</v>
      </c>
      <c r="T21">
        <f t="shared" si="8"/>
        <v>3</v>
      </c>
      <c r="U21">
        <f t="shared" si="8"/>
        <v>8</v>
      </c>
      <c r="V21">
        <f t="shared" si="8"/>
        <v>4</v>
      </c>
      <c r="W21">
        <f t="shared" si="8"/>
        <v>4</v>
      </c>
      <c r="X21">
        <f t="shared" si="8"/>
        <v>4</v>
      </c>
      <c r="Y21">
        <f t="shared" si="8"/>
        <v>10</v>
      </c>
      <c r="Z21">
        <f t="shared" si="8"/>
        <v>8</v>
      </c>
      <c r="AA21">
        <f t="shared" si="8"/>
        <v>7</v>
      </c>
      <c r="AB21">
        <f t="shared" si="8"/>
        <v>2</v>
      </c>
      <c r="AC21">
        <f t="shared" si="8"/>
        <v>1</v>
      </c>
      <c r="AD21">
        <f t="shared" si="8"/>
        <v>1</v>
      </c>
      <c r="AE21">
        <f t="shared" si="8"/>
        <v>5</v>
      </c>
      <c r="AF21">
        <f t="shared" si="8"/>
        <v>8</v>
      </c>
      <c r="AG21">
        <f t="shared" si="8"/>
        <v>7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VLOOKUP(A9,$A$45:$C$97,3,FALSE)</f>
        <v>5</v>
      </c>
      <c r="B22">
        <f t="shared" si="9"/>
        <v>7</v>
      </c>
      <c r="C22">
        <f t="shared" si="9"/>
        <v>8</v>
      </c>
      <c r="D22">
        <f t="shared" si="9"/>
        <v>4</v>
      </c>
      <c r="E22">
        <f t="shared" si="9"/>
        <v>7</v>
      </c>
      <c r="F22">
        <f t="shared" si="9"/>
        <v>5</v>
      </c>
      <c r="G22">
        <f t="shared" si="9"/>
        <v>7</v>
      </c>
      <c r="H22">
        <f t="shared" si="9"/>
        <v>8</v>
      </c>
      <c r="I22">
        <f t="shared" si="9"/>
        <v>7</v>
      </c>
      <c r="J22">
        <f t="shared" si="9"/>
        <v>4</v>
      </c>
      <c r="K22">
        <f t="shared" si="9"/>
        <v>5</v>
      </c>
      <c r="L22">
        <f t="shared" si="9"/>
        <v>2</v>
      </c>
      <c r="M22">
        <f t="shared" si="9"/>
        <v>4</v>
      </c>
      <c r="N22">
        <f t="shared" si="9"/>
        <v>5</v>
      </c>
      <c r="O22">
        <f t="shared" si="9"/>
        <v>4</v>
      </c>
      <c r="P22">
        <f t="shared" si="9"/>
        <v>5</v>
      </c>
      <c r="Q22">
        <f t="shared" si="9"/>
        <v>5</v>
      </c>
      <c r="R22">
        <f t="shared" si="9"/>
        <v>5</v>
      </c>
      <c r="S22">
        <f t="shared" si="9"/>
        <v>7</v>
      </c>
      <c r="T22">
        <f t="shared" si="9"/>
        <v>4</v>
      </c>
      <c r="U22">
        <f t="shared" si="9"/>
        <v>5</v>
      </c>
      <c r="V22">
        <f t="shared" si="9"/>
        <v>4</v>
      </c>
      <c r="W22">
        <f t="shared" si="9"/>
        <v>4</v>
      </c>
      <c r="X22">
        <f t="shared" si="9"/>
        <v>5</v>
      </c>
      <c r="Y22">
        <f t="shared" si="9"/>
        <v>7</v>
      </c>
      <c r="Z22">
        <f t="shared" si="9"/>
        <v>5</v>
      </c>
      <c r="AA22">
        <f t="shared" si="9"/>
        <v>4</v>
      </c>
      <c r="AB22">
        <f t="shared" si="9"/>
        <v>5</v>
      </c>
      <c r="AC22">
        <f t="shared" si="9"/>
        <v>8</v>
      </c>
      <c r="AD22">
        <f t="shared" si="9"/>
        <v>8</v>
      </c>
      <c r="AE22">
        <f t="shared" si="9"/>
        <v>3</v>
      </c>
      <c r="AF22">
        <f t="shared" si="9"/>
        <v>3</v>
      </c>
      <c r="AG22">
        <f t="shared" si="9"/>
        <v>8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VLOOKUP(A10,$A$45:$C$97,3,FALSE)</f>
        <v>5</v>
      </c>
      <c r="B23">
        <f t="shared" si="10"/>
        <v>4</v>
      </c>
      <c r="C23">
        <f t="shared" si="10"/>
        <v>3</v>
      </c>
      <c r="D23">
        <f t="shared" si="10"/>
        <v>1</v>
      </c>
      <c r="E23">
        <f t="shared" si="10"/>
        <v>5</v>
      </c>
      <c r="F23">
        <f t="shared" si="10"/>
        <v>1</v>
      </c>
      <c r="G23">
        <f t="shared" si="10"/>
        <v>4</v>
      </c>
      <c r="H23">
        <f t="shared" si="10"/>
        <v>7</v>
      </c>
      <c r="I23">
        <f t="shared" si="10"/>
        <v>4</v>
      </c>
      <c r="J23">
        <f t="shared" si="10"/>
        <v>2</v>
      </c>
      <c r="K23">
        <f t="shared" si="10"/>
        <v>4</v>
      </c>
      <c r="L23">
        <f t="shared" si="10"/>
        <v>1</v>
      </c>
      <c r="M23">
        <f t="shared" si="10"/>
        <v>7</v>
      </c>
      <c r="N23">
        <f t="shared" si="10"/>
        <v>8</v>
      </c>
      <c r="O23">
        <f t="shared" si="10"/>
        <v>7</v>
      </c>
      <c r="P23">
        <f t="shared" si="10"/>
        <v>7</v>
      </c>
      <c r="Q23">
        <f t="shared" si="10"/>
        <v>7</v>
      </c>
      <c r="R23">
        <f t="shared" si="10"/>
        <v>4</v>
      </c>
      <c r="S23">
        <f t="shared" si="10"/>
        <v>4</v>
      </c>
      <c r="T23">
        <f t="shared" si="10"/>
        <v>4</v>
      </c>
      <c r="U23">
        <f t="shared" si="10"/>
        <v>1</v>
      </c>
      <c r="V23">
        <f t="shared" si="10"/>
        <v>3</v>
      </c>
      <c r="W23">
        <f t="shared" si="10"/>
        <v>2</v>
      </c>
      <c r="X23">
        <f t="shared" si="10"/>
        <v>8</v>
      </c>
      <c r="Y23">
        <f t="shared" si="10"/>
        <v>4</v>
      </c>
      <c r="Z23">
        <f t="shared" si="10"/>
        <v>4</v>
      </c>
      <c r="AA23">
        <f t="shared" si="10"/>
        <v>4</v>
      </c>
      <c r="AB23">
        <f t="shared" si="10"/>
        <v>4</v>
      </c>
      <c r="AC23">
        <f t="shared" si="10"/>
        <v>7</v>
      </c>
      <c r="AD23">
        <f t="shared" si="10"/>
        <v>5</v>
      </c>
      <c r="AE23">
        <f t="shared" si="10"/>
        <v>2</v>
      </c>
      <c r="AF23">
        <f t="shared" si="10"/>
        <v>2</v>
      </c>
      <c r="AG23">
        <f t="shared" si="10"/>
        <v>4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VLOOKUP(A11,$A$45:$C$97,3,FALSE)</f>
        <v>4</v>
      </c>
      <c r="B24">
        <f t="shared" si="11"/>
        <v>3</v>
      </c>
      <c r="C24">
        <f t="shared" si="11"/>
        <v>7</v>
      </c>
      <c r="D24">
        <f t="shared" si="11"/>
        <v>7</v>
      </c>
      <c r="E24">
        <f t="shared" si="11"/>
        <v>4</v>
      </c>
      <c r="F24">
        <f t="shared" si="11"/>
        <v>1</v>
      </c>
      <c r="G24">
        <f t="shared" si="11"/>
        <v>4</v>
      </c>
      <c r="H24">
        <f t="shared" si="11"/>
        <v>2</v>
      </c>
      <c r="I24">
        <f t="shared" si="11"/>
        <v>4</v>
      </c>
      <c r="J24">
        <f t="shared" si="11"/>
        <v>7</v>
      </c>
      <c r="K24">
        <f t="shared" si="11"/>
        <v>2</v>
      </c>
      <c r="L24">
        <f t="shared" si="11"/>
        <v>5</v>
      </c>
      <c r="M24">
        <f t="shared" si="11"/>
        <v>2</v>
      </c>
      <c r="N24">
        <f t="shared" si="11"/>
        <v>2</v>
      </c>
      <c r="O24">
        <f t="shared" si="11"/>
        <v>4</v>
      </c>
      <c r="P24">
        <f t="shared" si="11"/>
        <v>4</v>
      </c>
      <c r="Q24">
        <f t="shared" si="11"/>
        <v>4</v>
      </c>
      <c r="R24">
        <f t="shared" si="11"/>
        <v>5</v>
      </c>
      <c r="S24">
        <f t="shared" si="11"/>
        <v>1</v>
      </c>
      <c r="T24">
        <f t="shared" si="11"/>
        <v>2</v>
      </c>
      <c r="U24">
        <f t="shared" si="11"/>
        <v>4</v>
      </c>
      <c r="V24">
        <f t="shared" si="11"/>
        <v>10</v>
      </c>
      <c r="W24">
        <f t="shared" si="11"/>
        <v>7</v>
      </c>
      <c r="X24">
        <f t="shared" si="11"/>
        <v>5</v>
      </c>
      <c r="Y24">
        <f t="shared" si="11"/>
        <v>5</v>
      </c>
      <c r="Z24">
        <f t="shared" si="11"/>
        <v>2</v>
      </c>
      <c r="AA24">
        <f t="shared" si="11"/>
        <v>2</v>
      </c>
      <c r="AB24">
        <f t="shared" si="11"/>
        <v>3</v>
      </c>
      <c r="AC24">
        <f t="shared" si="11"/>
        <v>2</v>
      </c>
      <c r="AD24">
        <f t="shared" si="11"/>
        <v>4</v>
      </c>
      <c r="AE24">
        <f t="shared" si="11"/>
        <v>7</v>
      </c>
      <c r="AF24">
        <f t="shared" si="11"/>
        <v>10</v>
      </c>
      <c r="AG24">
        <f t="shared" si="11"/>
        <v>7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VLOOKUP(A12,$A$45:$C$97,3,FALSE)</f>
        <v>2</v>
      </c>
      <c r="B25">
        <f t="shared" si="12"/>
        <v>2</v>
      </c>
      <c r="C25">
        <f t="shared" si="12"/>
        <v>10</v>
      </c>
      <c r="D25">
        <f t="shared" si="12"/>
        <v>10</v>
      </c>
      <c r="E25">
        <f t="shared" si="12"/>
        <v>7</v>
      </c>
      <c r="F25">
        <f t="shared" si="12"/>
        <v>7</v>
      </c>
      <c r="G25">
        <f t="shared" si="12"/>
        <v>7</v>
      </c>
      <c r="H25">
        <f t="shared" si="12"/>
        <v>1</v>
      </c>
      <c r="I25">
        <f t="shared" si="12"/>
        <v>3</v>
      </c>
      <c r="J25">
        <f t="shared" si="12"/>
        <v>10</v>
      </c>
      <c r="K25">
        <f t="shared" si="12"/>
        <v>10</v>
      </c>
      <c r="L25">
        <f t="shared" si="12"/>
        <v>10</v>
      </c>
      <c r="M25">
        <f t="shared" si="12"/>
        <v>10</v>
      </c>
      <c r="N25">
        <f t="shared" si="12"/>
        <v>7</v>
      </c>
      <c r="O25">
        <f t="shared" si="12"/>
        <v>4</v>
      </c>
      <c r="P25">
        <f t="shared" si="12"/>
        <v>2</v>
      </c>
      <c r="Q25">
        <f t="shared" si="12"/>
        <v>5</v>
      </c>
      <c r="R25">
        <f t="shared" si="12"/>
        <v>4</v>
      </c>
      <c r="S25">
        <f t="shared" si="12"/>
        <v>2</v>
      </c>
      <c r="T25">
        <f t="shared" si="12"/>
        <v>4</v>
      </c>
      <c r="U25">
        <f t="shared" si="12"/>
        <v>4</v>
      </c>
      <c r="V25">
        <f t="shared" si="12"/>
        <v>7</v>
      </c>
      <c r="W25">
        <f t="shared" si="12"/>
        <v>4</v>
      </c>
      <c r="X25">
        <f t="shared" si="12"/>
        <v>4</v>
      </c>
      <c r="Y25">
        <f t="shared" si="12"/>
        <v>4</v>
      </c>
      <c r="Z25">
        <f t="shared" si="12"/>
        <v>4</v>
      </c>
      <c r="AA25">
        <f t="shared" si="12"/>
        <v>10</v>
      </c>
      <c r="AB25">
        <f t="shared" si="12"/>
        <v>2</v>
      </c>
      <c r="AC25">
        <f t="shared" si="12"/>
        <v>1</v>
      </c>
      <c r="AD25">
        <f t="shared" si="12"/>
        <v>2</v>
      </c>
      <c r="AE25">
        <f t="shared" si="12"/>
        <v>7</v>
      </c>
      <c r="AF25">
        <f t="shared" si="12"/>
        <v>7</v>
      </c>
      <c r="AG25">
        <f t="shared" si="12"/>
        <v>5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VLOOKUP(A13,$A$45:$C$97,3,FALSE)</f>
        <v>7</v>
      </c>
      <c r="B26">
        <f t="shared" si="13"/>
        <v>7</v>
      </c>
      <c r="C26">
        <f t="shared" si="13"/>
        <v>5</v>
      </c>
      <c r="D26">
        <f t="shared" si="13"/>
        <v>5</v>
      </c>
      <c r="E26">
        <f t="shared" si="13"/>
        <v>10</v>
      </c>
      <c r="F26">
        <f t="shared" si="13"/>
        <v>10</v>
      </c>
      <c r="G26">
        <f t="shared" si="13"/>
        <v>7</v>
      </c>
      <c r="H26">
        <f t="shared" si="13"/>
        <v>7</v>
      </c>
      <c r="I26">
        <f t="shared" si="13"/>
        <v>4</v>
      </c>
      <c r="J26">
        <f t="shared" si="13"/>
        <v>7</v>
      </c>
      <c r="K26">
        <f t="shared" si="13"/>
        <v>4</v>
      </c>
      <c r="L26">
        <f t="shared" si="13"/>
        <v>7</v>
      </c>
      <c r="M26">
        <f t="shared" si="13"/>
        <v>4</v>
      </c>
      <c r="N26">
        <f t="shared" si="13"/>
        <v>7</v>
      </c>
      <c r="O26">
        <f t="shared" si="13"/>
        <v>1</v>
      </c>
      <c r="P26">
        <f t="shared" si="13"/>
        <v>2</v>
      </c>
      <c r="Q26">
        <f t="shared" si="13"/>
        <v>4</v>
      </c>
      <c r="R26">
        <f t="shared" si="13"/>
        <v>5</v>
      </c>
      <c r="S26">
        <f t="shared" si="13"/>
        <v>4</v>
      </c>
      <c r="T26">
        <f t="shared" si="13"/>
        <v>2</v>
      </c>
      <c r="U26">
        <f t="shared" si="13"/>
        <v>1</v>
      </c>
      <c r="V26">
        <f t="shared" si="13"/>
        <v>1</v>
      </c>
      <c r="W26">
        <f t="shared" si="13"/>
        <v>5</v>
      </c>
      <c r="X26">
        <f t="shared" si="13"/>
        <v>5</v>
      </c>
      <c r="Y26">
        <f t="shared" si="13"/>
        <v>3</v>
      </c>
      <c r="Z26">
        <f t="shared" si="13"/>
        <v>7</v>
      </c>
      <c r="AA26">
        <f t="shared" si="13"/>
        <v>4</v>
      </c>
      <c r="AB26">
        <f t="shared" si="13"/>
        <v>7</v>
      </c>
      <c r="AC26">
        <f t="shared" si="13"/>
        <v>7</v>
      </c>
      <c r="AD26">
        <f t="shared" si="13"/>
        <v>4</v>
      </c>
      <c r="AE26">
        <f t="shared" si="13"/>
        <v>4</v>
      </c>
      <c r="AF26">
        <f t="shared" si="13"/>
        <v>2</v>
      </c>
      <c r="AG26">
        <f t="shared" si="13"/>
        <v>7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98" customFormat="1" x14ac:dyDescent="0.15">
      <c r="A28" s="99">
        <v>0</v>
      </c>
      <c r="B28" s="99">
        <v>0</v>
      </c>
      <c r="C28" s="99">
        <v>0</v>
      </c>
      <c r="D28" s="99">
        <f>212-267</f>
        <v>-55</v>
      </c>
      <c r="E28" s="99">
        <v>0</v>
      </c>
      <c r="F28" s="99">
        <v>0</v>
      </c>
      <c r="G28" s="99">
        <v>0</v>
      </c>
      <c r="H28" s="99">
        <v>-113</v>
      </c>
      <c r="I28" s="99">
        <f>72-264-68</f>
        <v>-260</v>
      </c>
      <c r="J28" s="99">
        <v>0</v>
      </c>
      <c r="K28" s="99">
        <v>0</v>
      </c>
      <c r="L28" s="99">
        <f>23+84-331-205</f>
        <v>-429</v>
      </c>
      <c r="M28" s="99">
        <f>-57+200-209</f>
        <v>-66</v>
      </c>
      <c r="N28" s="99">
        <f>449-213-359</f>
        <v>-123</v>
      </c>
      <c r="O28" s="99">
        <v>0</v>
      </c>
      <c r="P28" s="99">
        <f>238-399</f>
        <v>-161</v>
      </c>
      <c r="Q28" s="99">
        <v>0</v>
      </c>
      <c r="R28" s="99">
        <v>0</v>
      </c>
      <c r="S28" s="99">
        <v>0</v>
      </c>
      <c r="T28" s="99">
        <v>0</v>
      </c>
      <c r="U28" s="99">
        <v>0</v>
      </c>
      <c r="V28" s="99">
        <v>0</v>
      </c>
      <c r="W28" s="99">
        <v>0</v>
      </c>
      <c r="X28" s="99">
        <v>0</v>
      </c>
      <c r="Y28" s="99">
        <v>0</v>
      </c>
      <c r="Z28" s="99">
        <v>0</v>
      </c>
      <c r="AA28" s="99">
        <f>368-519</f>
        <v>-151</v>
      </c>
      <c r="AB28" s="99">
        <v>0</v>
      </c>
      <c r="AC28" s="99">
        <v>0</v>
      </c>
      <c r="AD28" s="99">
        <v>0</v>
      </c>
      <c r="AE28" s="99">
        <v>212</v>
      </c>
      <c r="AF28" s="99">
        <v>0</v>
      </c>
      <c r="AG28" s="99">
        <v>0</v>
      </c>
      <c r="AH28" s="99">
        <v>-100</v>
      </c>
      <c r="AI28" s="99">
        <v>-100</v>
      </c>
      <c r="AJ28" s="99">
        <v>0</v>
      </c>
      <c r="AK28" s="99">
        <v>0</v>
      </c>
      <c r="AL28" s="99">
        <v>0</v>
      </c>
      <c r="AM28" s="99">
        <v>0</v>
      </c>
      <c r="AN28" s="99">
        <v>0</v>
      </c>
      <c r="AO28" s="99">
        <v>0</v>
      </c>
    </row>
    <row r="29" spans="1:41" x14ac:dyDescent="0.15">
      <c r="A29">
        <f ca="1">VLOOKUP(A3,$A$45:$F$87,6,FALSE)</f>
        <v>1437</v>
      </c>
      <c r="B29">
        <f t="shared" ref="B29:AO29" ca="1" si="14">VLOOKUP(B3,$A$45:$F$87,6,FALSE)</f>
        <v>556</v>
      </c>
      <c r="C29">
        <f t="shared" ca="1" si="14"/>
        <v>418</v>
      </c>
      <c r="D29">
        <f t="shared" ca="1" si="14"/>
        <v>674</v>
      </c>
      <c r="E29">
        <f t="shared" ca="1" si="14"/>
        <v>249</v>
      </c>
      <c r="F29">
        <f t="shared" ca="1" si="14"/>
        <v>856</v>
      </c>
      <c r="G29">
        <f t="shared" ca="1" si="14"/>
        <v>674</v>
      </c>
      <c r="H29">
        <f t="shared" ca="1" si="14"/>
        <v>1437</v>
      </c>
      <c r="I29">
        <f t="shared" ca="1" si="14"/>
        <v>1437</v>
      </c>
      <c r="J29">
        <f t="shared" ca="1" si="14"/>
        <v>418</v>
      </c>
      <c r="K29">
        <f t="shared" ca="1" si="14"/>
        <v>157</v>
      </c>
      <c r="L29">
        <f t="shared" ca="1" si="14"/>
        <v>856</v>
      </c>
      <c r="M29">
        <f t="shared" ca="1" si="14"/>
        <v>418</v>
      </c>
      <c r="N29">
        <f t="shared" ca="1" si="14"/>
        <v>856</v>
      </c>
      <c r="O29">
        <f t="shared" ca="1" si="14"/>
        <v>315</v>
      </c>
      <c r="P29">
        <f t="shared" ca="1" si="14"/>
        <v>1437</v>
      </c>
      <c r="Q29">
        <f t="shared" ca="1" si="14"/>
        <v>601</v>
      </c>
      <c r="R29">
        <f t="shared" ca="1" si="14"/>
        <v>1437</v>
      </c>
      <c r="S29">
        <f t="shared" ca="1" si="14"/>
        <v>856</v>
      </c>
      <c r="T29">
        <f t="shared" ca="1" si="14"/>
        <v>1437</v>
      </c>
      <c r="U29">
        <f t="shared" ca="1" si="14"/>
        <v>601</v>
      </c>
      <c r="V29">
        <f t="shared" ca="1" si="14"/>
        <v>541</v>
      </c>
      <c r="W29">
        <f t="shared" ca="1" si="14"/>
        <v>541</v>
      </c>
      <c r="X29">
        <f t="shared" ca="1" si="14"/>
        <v>102</v>
      </c>
      <c r="Y29">
        <f t="shared" ca="1" si="14"/>
        <v>102</v>
      </c>
      <c r="Z29">
        <f t="shared" ca="1" si="14"/>
        <v>1437</v>
      </c>
      <c r="AA29">
        <f t="shared" ca="1" si="14"/>
        <v>856</v>
      </c>
      <c r="AB29">
        <f t="shared" ca="1" si="14"/>
        <v>200</v>
      </c>
      <c r="AC29">
        <f t="shared" ca="1" si="14"/>
        <v>1437</v>
      </c>
      <c r="AD29">
        <f t="shared" ca="1" si="14"/>
        <v>1437</v>
      </c>
      <c r="AE29">
        <f t="shared" ca="1" si="14"/>
        <v>856</v>
      </c>
      <c r="AF29">
        <f t="shared" ca="1" si="14"/>
        <v>856</v>
      </c>
      <c r="AG29">
        <f t="shared" ca="1" si="14"/>
        <v>674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>
        <f t="shared" ref="A30:AO30" ca="1" si="15">VLOOKUP(A4,$A$45:$F$87,6,FALSE)</f>
        <v>601</v>
      </c>
      <c r="B30">
        <f t="shared" ca="1" si="15"/>
        <v>856</v>
      </c>
      <c r="C30">
        <f t="shared" ca="1" si="15"/>
        <v>249</v>
      </c>
      <c r="D30">
        <f t="shared" ca="1" si="15"/>
        <v>249</v>
      </c>
      <c r="E30">
        <f t="shared" ca="1" si="15"/>
        <v>6</v>
      </c>
      <c r="F30">
        <f t="shared" ca="1" si="15"/>
        <v>674</v>
      </c>
      <c r="G30">
        <f t="shared" ca="1" si="15"/>
        <v>157</v>
      </c>
      <c r="H30">
        <f t="shared" ca="1" si="15"/>
        <v>601</v>
      </c>
      <c r="I30">
        <f t="shared" ca="1" si="15"/>
        <v>556</v>
      </c>
      <c r="J30">
        <f t="shared" ca="1" si="15"/>
        <v>99</v>
      </c>
      <c r="K30">
        <f t="shared" ca="1" si="15"/>
        <v>6</v>
      </c>
      <c r="L30">
        <f t="shared" ca="1" si="15"/>
        <v>418</v>
      </c>
      <c r="M30">
        <f t="shared" ca="1" si="15"/>
        <v>856</v>
      </c>
      <c r="N30">
        <f t="shared" ca="1" si="15"/>
        <v>157</v>
      </c>
      <c r="O30">
        <f t="shared" ca="1" si="15"/>
        <v>601</v>
      </c>
      <c r="P30">
        <f t="shared" ca="1" si="15"/>
        <v>315</v>
      </c>
      <c r="Q30">
        <f t="shared" ca="1" si="15"/>
        <v>541</v>
      </c>
      <c r="R30">
        <f t="shared" ca="1" si="15"/>
        <v>6</v>
      </c>
      <c r="S30">
        <f t="shared" ca="1" si="15"/>
        <v>243</v>
      </c>
      <c r="T30">
        <f t="shared" ca="1" si="15"/>
        <v>856</v>
      </c>
      <c r="U30">
        <f t="shared" ca="1" si="15"/>
        <v>856</v>
      </c>
      <c r="V30">
        <f t="shared" ca="1" si="15"/>
        <v>566</v>
      </c>
      <c r="W30">
        <f t="shared" ca="1" si="15"/>
        <v>359</v>
      </c>
      <c r="X30">
        <f t="shared" ca="1" si="15"/>
        <v>856</v>
      </c>
      <c r="Y30">
        <f t="shared" ca="1" si="15"/>
        <v>157</v>
      </c>
      <c r="Z30">
        <f t="shared" ca="1" si="15"/>
        <v>99</v>
      </c>
      <c r="AA30">
        <f t="shared" ca="1" si="15"/>
        <v>60</v>
      </c>
      <c r="AB30">
        <f t="shared" ca="1" si="15"/>
        <v>1437</v>
      </c>
      <c r="AC30">
        <f t="shared" ca="1" si="15"/>
        <v>601</v>
      </c>
      <c r="AD30">
        <f t="shared" ca="1" si="15"/>
        <v>601</v>
      </c>
      <c r="AE30">
        <f t="shared" ca="1" si="15"/>
        <v>418</v>
      </c>
      <c r="AF30">
        <f t="shared" ca="1" si="15"/>
        <v>418</v>
      </c>
      <c r="AG30">
        <f t="shared" ca="1" si="15"/>
        <v>102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>
        <f t="shared" ref="A31:AO31" ca="1" si="16">VLOOKUP(A5,$A$45:$F$87,6,FALSE)</f>
        <v>856</v>
      </c>
      <c r="B31">
        <f t="shared" ca="1" si="16"/>
        <v>157</v>
      </c>
      <c r="C31">
        <f t="shared" ca="1" si="16"/>
        <v>157</v>
      </c>
      <c r="D31">
        <f t="shared" ca="1" si="16"/>
        <v>418</v>
      </c>
      <c r="E31">
        <f t="shared" ca="1" si="16"/>
        <v>418</v>
      </c>
      <c r="F31">
        <f t="shared" ca="1" si="16"/>
        <v>0</v>
      </c>
      <c r="G31">
        <f t="shared" ca="1" si="16"/>
        <v>418</v>
      </c>
      <c r="H31">
        <f t="shared" ca="1" si="16"/>
        <v>856</v>
      </c>
      <c r="I31">
        <f t="shared" ca="1" si="16"/>
        <v>856</v>
      </c>
      <c r="J31">
        <f t="shared" ca="1" si="16"/>
        <v>78</v>
      </c>
      <c r="K31">
        <f t="shared" ca="1" si="16"/>
        <v>122</v>
      </c>
      <c r="L31">
        <f t="shared" ca="1" si="16"/>
        <v>5</v>
      </c>
      <c r="M31">
        <f t="shared" ca="1" si="16"/>
        <v>249</v>
      </c>
      <c r="N31">
        <f t="shared" ca="1" si="16"/>
        <v>23</v>
      </c>
      <c r="O31">
        <f t="shared" ca="1" si="16"/>
        <v>856</v>
      </c>
      <c r="P31">
        <f t="shared" ca="1" si="16"/>
        <v>856</v>
      </c>
      <c r="Q31">
        <f t="shared" ca="1" si="16"/>
        <v>359</v>
      </c>
      <c r="R31">
        <f t="shared" ca="1" si="16"/>
        <v>157</v>
      </c>
      <c r="S31">
        <f t="shared" ca="1" si="16"/>
        <v>1437</v>
      </c>
      <c r="T31">
        <f t="shared" ca="1" si="16"/>
        <v>315</v>
      </c>
      <c r="U31">
        <f t="shared" ca="1" si="16"/>
        <v>315</v>
      </c>
      <c r="V31">
        <f t="shared" ca="1" si="16"/>
        <v>604</v>
      </c>
      <c r="W31">
        <f t="shared" ca="1" si="16"/>
        <v>339</v>
      </c>
      <c r="X31">
        <f t="shared" ca="1" si="16"/>
        <v>109</v>
      </c>
      <c r="Y31">
        <f t="shared" ca="1" si="16"/>
        <v>418</v>
      </c>
      <c r="Z31">
        <f t="shared" ca="1" si="16"/>
        <v>418</v>
      </c>
      <c r="AA31">
        <f t="shared" ca="1" si="16"/>
        <v>23</v>
      </c>
      <c r="AB31">
        <f t="shared" ca="1" si="16"/>
        <v>856</v>
      </c>
      <c r="AC31">
        <f t="shared" ca="1" si="16"/>
        <v>856</v>
      </c>
      <c r="AD31">
        <f t="shared" ca="1" si="16"/>
        <v>856</v>
      </c>
      <c r="AE31">
        <f t="shared" ca="1" si="16"/>
        <v>0</v>
      </c>
      <c r="AF31">
        <f t="shared" ca="1" si="16"/>
        <v>109</v>
      </c>
      <c r="AG31">
        <f t="shared" ca="1" si="16"/>
        <v>6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>
        <f t="shared" ref="A32:AO32" ca="1" si="17">VLOOKUP(A6,$A$45:$F$87,6,FALSE)</f>
        <v>249</v>
      </c>
      <c r="B32">
        <f t="shared" ca="1" si="17"/>
        <v>418</v>
      </c>
      <c r="C32">
        <f t="shared" ca="1" si="17"/>
        <v>109</v>
      </c>
      <c r="D32">
        <f t="shared" ca="1" si="17"/>
        <v>23</v>
      </c>
      <c r="E32">
        <f t="shared" ca="1" si="17"/>
        <v>109</v>
      </c>
      <c r="F32">
        <f t="shared" ca="1" si="17"/>
        <v>5</v>
      </c>
      <c r="G32">
        <f t="shared" ca="1" si="17"/>
        <v>249</v>
      </c>
      <c r="H32">
        <f t="shared" ca="1" si="17"/>
        <v>23</v>
      </c>
      <c r="I32">
        <f t="shared" ca="1" si="17"/>
        <v>418</v>
      </c>
      <c r="J32">
        <f t="shared" ca="1" si="17"/>
        <v>0</v>
      </c>
      <c r="K32">
        <f t="shared" ca="1" si="17"/>
        <v>418</v>
      </c>
      <c r="L32">
        <f t="shared" ca="1" si="17"/>
        <v>249</v>
      </c>
      <c r="M32">
        <f t="shared" ca="1" si="17"/>
        <v>0</v>
      </c>
      <c r="N32">
        <f t="shared" ca="1" si="17"/>
        <v>674</v>
      </c>
      <c r="O32">
        <f t="shared" ca="1" si="17"/>
        <v>418</v>
      </c>
      <c r="P32">
        <f t="shared" ca="1" si="17"/>
        <v>418</v>
      </c>
      <c r="Q32">
        <f t="shared" ca="1" si="17"/>
        <v>418</v>
      </c>
      <c r="R32">
        <f t="shared" ca="1" si="17"/>
        <v>418</v>
      </c>
      <c r="S32">
        <f t="shared" ca="1" si="17"/>
        <v>556</v>
      </c>
      <c r="T32">
        <f t="shared" ca="1" si="17"/>
        <v>566</v>
      </c>
      <c r="U32">
        <f t="shared" ca="1" si="17"/>
        <v>674</v>
      </c>
      <c r="V32">
        <f t="shared" ca="1" si="17"/>
        <v>209</v>
      </c>
      <c r="W32">
        <f t="shared" ca="1" si="17"/>
        <v>209</v>
      </c>
      <c r="X32">
        <f t="shared" ca="1" si="17"/>
        <v>249</v>
      </c>
      <c r="Y32">
        <f t="shared" ca="1" si="17"/>
        <v>249</v>
      </c>
      <c r="Z32">
        <f t="shared" ca="1" si="17"/>
        <v>109</v>
      </c>
      <c r="AA32">
        <f t="shared" ca="1" si="17"/>
        <v>249</v>
      </c>
      <c r="AB32">
        <f t="shared" ca="1" si="17"/>
        <v>674</v>
      </c>
      <c r="AC32">
        <f t="shared" ca="1" si="17"/>
        <v>78</v>
      </c>
      <c r="AD32">
        <f t="shared" ca="1" si="17"/>
        <v>249</v>
      </c>
      <c r="AE32">
        <f t="shared" ca="1" si="17"/>
        <v>109</v>
      </c>
      <c r="AF32">
        <f t="shared" ca="1" si="17"/>
        <v>249</v>
      </c>
      <c r="AG32">
        <f t="shared" ca="1" si="17"/>
        <v>0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>
        <f t="shared" ref="A33:AO33" ca="1" si="18">VLOOKUP(A7,$A$45:$F$87,6,FALSE)</f>
        <v>109</v>
      </c>
      <c r="B33">
        <f t="shared" ca="1" si="18"/>
        <v>109</v>
      </c>
      <c r="C33">
        <f t="shared" ca="1" si="18"/>
        <v>604</v>
      </c>
      <c r="D33">
        <f t="shared" ca="1" si="18"/>
        <v>541</v>
      </c>
      <c r="E33">
        <f t="shared" ca="1" si="18"/>
        <v>60</v>
      </c>
      <c r="F33">
        <f t="shared" ca="1" si="18"/>
        <v>541</v>
      </c>
      <c r="G33">
        <f t="shared" ca="1" si="18"/>
        <v>60</v>
      </c>
      <c r="H33">
        <f t="shared" ca="1" si="18"/>
        <v>78</v>
      </c>
      <c r="I33">
        <f t="shared" ca="1" si="18"/>
        <v>249</v>
      </c>
      <c r="J33">
        <f t="shared" ca="1" si="18"/>
        <v>566</v>
      </c>
      <c r="K33">
        <f t="shared" ca="1" si="18"/>
        <v>541</v>
      </c>
      <c r="L33">
        <f t="shared" ca="1" si="18"/>
        <v>541</v>
      </c>
      <c r="M33">
        <f t="shared" ca="1" si="18"/>
        <v>604</v>
      </c>
      <c r="N33">
        <f t="shared" ca="1" si="18"/>
        <v>427</v>
      </c>
      <c r="O33">
        <f t="shared" ca="1" si="18"/>
        <v>99</v>
      </c>
      <c r="P33">
        <f t="shared" ca="1" si="18"/>
        <v>249</v>
      </c>
      <c r="Q33">
        <f t="shared" ca="1" si="18"/>
        <v>249</v>
      </c>
      <c r="R33">
        <f t="shared" ca="1" si="18"/>
        <v>249</v>
      </c>
      <c r="S33">
        <f t="shared" ca="1" si="18"/>
        <v>418</v>
      </c>
      <c r="T33">
        <f t="shared" ca="1" si="18"/>
        <v>109</v>
      </c>
      <c r="U33">
        <f t="shared" ca="1" si="18"/>
        <v>99</v>
      </c>
      <c r="V33">
        <f t="shared" ca="1" si="18"/>
        <v>674</v>
      </c>
      <c r="W33">
        <f t="shared" ca="1" si="18"/>
        <v>856</v>
      </c>
      <c r="X33">
        <f t="shared" ca="1" si="18"/>
        <v>674</v>
      </c>
      <c r="Y33">
        <f t="shared" ca="1" si="18"/>
        <v>315</v>
      </c>
      <c r="Z33">
        <f t="shared" ca="1" si="18"/>
        <v>674</v>
      </c>
      <c r="AA33">
        <f t="shared" ca="1" si="18"/>
        <v>541</v>
      </c>
      <c r="AB33">
        <f t="shared" ca="1" si="18"/>
        <v>418</v>
      </c>
      <c r="AC33">
        <f t="shared" ca="1" si="18"/>
        <v>0</v>
      </c>
      <c r="AD33">
        <f t="shared" ca="1" si="18"/>
        <v>60</v>
      </c>
      <c r="AE33">
        <f t="shared" ca="1" si="18"/>
        <v>541</v>
      </c>
      <c r="AF33">
        <f t="shared" ca="1" si="18"/>
        <v>604</v>
      </c>
      <c r="AG33">
        <f t="shared" ca="1" si="18"/>
        <v>427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VLOOKUP(A8,$A$45:$F$87,6,FALSE)</f>
        <v>23</v>
      </c>
      <c r="B34">
        <f t="shared" ca="1" si="19"/>
        <v>541</v>
      </c>
      <c r="C34">
        <f t="shared" ca="1" si="19"/>
        <v>84</v>
      </c>
      <c r="D34">
        <f t="shared" ca="1" si="19"/>
        <v>566</v>
      </c>
      <c r="E34">
        <f t="shared" ca="1" si="19"/>
        <v>541</v>
      </c>
      <c r="F34">
        <f t="shared" ca="1" si="19"/>
        <v>566</v>
      </c>
      <c r="G34">
        <f t="shared" ca="1" si="19"/>
        <v>541</v>
      </c>
      <c r="H34">
        <f t="shared" ca="1" si="19"/>
        <v>0</v>
      </c>
      <c r="I34">
        <f t="shared" ca="1" si="19"/>
        <v>78</v>
      </c>
      <c r="J34">
        <f t="shared" ca="1" si="19"/>
        <v>604</v>
      </c>
      <c r="K34">
        <f t="shared" ca="1" si="19"/>
        <v>566</v>
      </c>
      <c r="L34">
        <f t="shared" ca="1" si="19"/>
        <v>339</v>
      </c>
      <c r="M34">
        <f t="shared" ca="1" si="19"/>
        <v>339</v>
      </c>
      <c r="N34">
        <f t="shared" ca="1" si="19"/>
        <v>209</v>
      </c>
      <c r="O34">
        <f t="shared" ca="1" si="19"/>
        <v>157</v>
      </c>
      <c r="P34">
        <f t="shared" ca="1" si="19"/>
        <v>384</v>
      </c>
      <c r="Q34">
        <f t="shared" ca="1" si="19"/>
        <v>6</v>
      </c>
      <c r="R34">
        <f t="shared" ca="1" si="19"/>
        <v>541</v>
      </c>
      <c r="S34">
        <f t="shared" ca="1" si="19"/>
        <v>102</v>
      </c>
      <c r="T34">
        <f t="shared" ca="1" si="19"/>
        <v>249</v>
      </c>
      <c r="U34">
        <f t="shared" ca="1" si="19"/>
        <v>541</v>
      </c>
      <c r="V34">
        <f t="shared" ca="1" si="19"/>
        <v>157</v>
      </c>
      <c r="W34">
        <f t="shared" ca="1" si="19"/>
        <v>102</v>
      </c>
      <c r="X34">
        <f t="shared" ca="1" si="19"/>
        <v>0</v>
      </c>
      <c r="Y34">
        <f t="shared" ca="1" si="19"/>
        <v>1437</v>
      </c>
      <c r="Z34">
        <f t="shared" ca="1" si="19"/>
        <v>541</v>
      </c>
      <c r="AA34">
        <f t="shared" ca="1" si="19"/>
        <v>566</v>
      </c>
      <c r="AB34">
        <f t="shared" ca="1" si="19"/>
        <v>109</v>
      </c>
      <c r="AC34">
        <f t="shared" ca="1" si="19"/>
        <v>0</v>
      </c>
      <c r="AD34">
        <f t="shared" ca="1" si="19"/>
        <v>0</v>
      </c>
      <c r="AE34">
        <f t="shared" ca="1" si="19"/>
        <v>604</v>
      </c>
      <c r="AF34">
        <f t="shared" ca="1" si="19"/>
        <v>541</v>
      </c>
      <c r="AG34">
        <f t="shared" ca="1" si="19"/>
        <v>566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>
        <f t="shared" ref="A35:AO35" ca="1" si="20">VLOOKUP(A9,$A$45:$F$87,6,FALSE)</f>
        <v>604</v>
      </c>
      <c r="B35">
        <f t="shared" ca="1" si="20"/>
        <v>566</v>
      </c>
      <c r="C35">
        <f t="shared" ca="1" si="20"/>
        <v>541</v>
      </c>
      <c r="D35">
        <f t="shared" ca="1" si="20"/>
        <v>339</v>
      </c>
      <c r="E35">
        <f t="shared" ca="1" si="20"/>
        <v>566</v>
      </c>
      <c r="F35">
        <f t="shared" ca="1" si="20"/>
        <v>604</v>
      </c>
      <c r="G35">
        <f t="shared" ca="1" si="20"/>
        <v>566</v>
      </c>
      <c r="H35">
        <f t="shared" ca="1" si="20"/>
        <v>541</v>
      </c>
      <c r="I35">
        <f t="shared" ca="1" si="20"/>
        <v>566</v>
      </c>
      <c r="J35">
        <f t="shared" ca="1" si="20"/>
        <v>427</v>
      </c>
      <c r="K35">
        <f t="shared" ca="1" si="20"/>
        <v>359</v>
      </c>
      <c r="L35">
        <f t="shared" ca="1" si="20"/>
        <v>209</v>
      </c>
      <c r="M35">
        <f t="shared" ca="1" si="20"/>
        <v>427</v>
      </c>
      <c r="N35">
        <f t="shared" ca="1" si="20"/>
        <v>359</v>
      </c>
      <c r="O35">
        <f t="shared" ca="1" si="20"/>
        <v>427</v>
      </c>
      <c r="P35">
        <f t="shared" ca="1" si="20"/>
        <v>604</v>
      </c>
      <c r="Q35">
        <f t="shared" ca="1" si="20"/>
        <v>604</v>
      </c>
      <c r="R35">
        <f t="shared" ca="1" si="20"/>
        <v>604</v>
      </c>
      <c r="S35">
        <f t="shared" ca="1" si="20"/>
        <v>566</v>
      </c>
      <c r="T35">
        <f t="shared" ca="1" si="20"/>
        <v>339</v>
      </c>
      <c r="U35">
        <f t="shared" ca="1" si="20"/>
        <v>604</v>
      </c>
      <c r="V35">
        <f t="shared" ca="1" si="20"/>
        <v>418</v>
      </c>
      <c r="W35">
        <f t="shared" ca="1" si="20"/>
        <v>99</v>
      </c>
      <c r="X35">
        <f t="shared" ca="1" si="20"/>
        <v>556</v>
      </c>
      <c r="Y35">
        <f t="shared" ca="1" si="20"/>
        <v>601</v>
      </c>
      <c r="Z35">
        <f t="shared" ca="1" si="20"/>
        <v>604</v>
      </c>
      <c r="AA35">
        <f t="shared" ca="1" si="20"/>
        <v>339</v>
      </c>
      <c r="AB35">
        <f t="shared" ca="1" si="20"/>
        <v>359</v>
      </c>
      <c r="AC35">
        <f t="shared" ca="1" si="20"/>
        <v>541</v>
      </c>
      <c r="AD35">
        <f t="shared" ca="1" si="20"/>
        <v>541</v>
      </c>
      <c r="AE35">
        <f t="shared" ca="1" si="20"/>
        <v>193</v>
      </c>
      <c r="AF35">
        <f t="shared" ca="1" si="20"/>
        <v>193</v>
      </c>
      <c r="AG35">
        <f t="shared" ca="1" si="20"/>
        <v>541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>
        <f t="shared" ref="A36:AO36" ca="1" si="21">VLOOKUP(A10,$A$45:$F$87,6,FALSE)</f>
        <v>359</v>
      </c>
      <c r="B36">
        <f t="shared" ca="1" si="21"/>
        <v>339</v>
      </c>
      <c r="C36">
        <f t="shared" ca="1" si="21"/>
        <v>193</v>
      </c>
      <c r="D36">
        <f t="shared" ca="1" si="21"/>
        <v>0</v>
      </c>
      <c r="E36">
        <f t="shared" ca="1" si="21"/>
        <v>604</v>
      </c>
      <c r="F36">
        <f t="shared" ca="1" si="21"/>
        <v>30</v>
      </c>
      <c r="G36">
        <f t="shared" ca="1" si="21"/>
        <v>427</v>
      </c>
      <c r="H36">
        <f t="shared" ca="1" si="21"/>
        <v>566</v>
      </c>
      <c r="I36">
        <f t="shared" ca="1" si="21"/>
        <v>339</v>
      </c>
      <c r="J36">
        <f t="shared" ca="1" si="21"/>
        <v>209</v>
      </c>
      <c r="K36">
        <f t="shared" ca="1" si="21"/>
        <v>0</v>
      </c>
      <c r="L36">
        <f t="shared" ca="1" si="21"/>
        <v>384</v>
      </c>
      <c r="M36">
        <f t="shared" ca="1" si="21"/>
        <v>566</v>
      </c>
      <c r="N36">
        <f t="shared" ca="1" si="21"/>
        <v>541</v>
      </c>
      <c r="O36">
        <f t="shared" ca="1" si="21"/>
        <v>566</v>
      </c>
      <c r="P36">
        <f t="shared" ca="1" si="21"/>
        <v>566</v>
      </c>
      <c r="Q36">
        <f t="shared" ca="1" si="21"/>
        <v>566</v>
      </c>
      <c r="R36">
        <f t="shared" ca="1" si="21"/>
        <v>339</v>
      </c>
      <c r="S36">
        <f t="shared" ca="1" si="21"/>
        <v>84</v>
      </c>
      <c r="T36">
        <f t="shared" ca="1" si="21"/>
        <v>418</v>
      </c>
      <c r="U36">
        <f t="shared" ca="1" si="21"/>
        <v>0</v>
      </c>
      <c r="V36">
        <f t="shared" ca="1" si="21"/>
        <v>6</v>
      </c>
      <c r="W36">
        <f t="shared" ca="1" si="21"/>
        <v>109</v>
      </c>
      <c r="X36">
        <f t="shared" ca="1" si="21"/>
        <v>541</v>
      </c>
      <c r="Y36">
        <f t="shared" ca="1" si="21"/>
        <v>84</v>
      </c>
      <c r="Z36">
        <f t="shared" ca="1" si="21"/>
        <v>339</v>
      </c>
      <c r="AA36">
        <f t="shared" ca="1" si="21"/>
        <v>427</v>
      </c>
      <c r="AB36">
        <f t="shared" ca="1" si="21"/>
        <v>427</v>
      </c>
      <c r="AC36">
        <f t="shared" ca="1" si="21"/>
        <v>566</v>
      </c>
      <c r="AD36">
        <f t="shared" ca="1" si="21"/>
        <v>604</v>
      </c>
      <c r="AE36">
        <f t="shared" ca="1" si="21"/>
        <v>209</v>
      </c>
      <c r="AF36">
        <f t="shared" ca="1" si="21"/>
        <v>209</v>
      </c>
      <c r="AG36">
        <f t="shared" ca="1" si="21"/>
        <v>339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VLOOKUP(A11,$A$45:$F$87,6,FALSE)</f>
        <v>339</v>
      </c>
      <c r="B37">
        <f t="shared" ca="1" si="22"/>
        <v>193</v>
      </c>
      <c r="C37">
        <f t="shared" ca="1" si="22"/>
        <v>315</v>
      </c>
      <c r="D37">
        <f t="shared" ca="1" si="22"/>
        <v>315</v>
      </c>
      <c r="E37">
        <f t="shared" ca="1" si="22"/>
        <v>339</v>
      </c>
      <c r="F37">
        <f t="shared" ca="1" si="22"/>
        <v>384</v>
      </c>
      <c r="G37">
        <f t="shared" ca="1" si="22"/>
        <v>84</v>
      </c>
      <c r="H37">
        <f t="shared" ca="1" si="22"/>
        <v>209</v>
      </c>
      <c r="I37">
        <f t="shared" ca="1" si="22"/>
        <v>427</v>
      </c>
      <c r="J37">
        <f t="shared" ca="1" si="22"/>
        <v>601</v>
      </c>
      <c r="K37">
        <f t="shared" ca="1" si="22"/>
        <v>238</v>
      </c>
      <c r="L37">
        <f t="shared" ca="1" si="22"/>
        <v>359</v>
      </c>
      <c r="M37">
        <f t="shared" ca="1" si="22"/>
        <v>209</v>
      </c>
      <c r="N37">
        <f t="shared" ca="1" si="22"/>
        <v>238</v>
      </c>
      <c r="O37">
        <f t="shared" ca="1" si="22"/>
        <v>84</v>
      </c>
      <c r="P37">
        <f t="shared" ca="1" si="22"/>
        <v>339</v>
      </c>
      <c r="Q37">
        <f t="shared" ca="1" si="22"/>
        <v>99</v>
      </c>
      <c r="R37">
        <f t="shared" ca="1" si="22"/>
        <v>359</v>
      </c>
      <c r="S37">
        <f t="shared" ca="1" si="22"/>
        <v>23</v>
      </c>
      <c r="T37">
        <f t="shared" ca="1" si="22"/>
        <v>238</v>
      </c>
      <c r="U37">
        <f t="shared" ca="1" si="22"/>
        <v>427</v>
      </c>
      <c r="V37">
        <f t="shared" ca="1" si="22"/>
        <v>1437</v>
      </c>
      <c r="W37">
        <f t="shared" ca="1" si="22"/>
        <v>601</v>
      </c>
      <c r="X37">
        <f t="shared" ca="1" si="22"/>
        <v>604</v>
      </c>
      <c r="Y37">
        <f t="shared" ca="1" si="22"/>
        <v>604</v>
      </c>
      <c r="Z37">
        <f t="shared" ca="1" si="22"/>
        <v>209</v>
      </c>
      <c r="AA37">
        <f t="shared" ca="1" si="22"/>
        <v>238</v>
      </c>
      <c r="AB37">
        <f t="shared" ca="1" si="22"/>
        <v>193</v>
      </c>
      <c r="AC37">
        <f t="shared" ca="1" si="22"/>
        <v>209</v>
      </c>
      <c r="AD37">
        <f t="shared" ca="1" si="22"/>
        <v>339</v>
      </c>
      <c r="AE37">
        <f t="shared" ca="1" si="22"/>
        <v>601</v>
      </c>
      <c r="AF37">
        <f t="shared" ca="1" si="22"/>
        <v>1437</v>
      </c>
      <c r="AG37">
        <f t="shared" ca="1" si="22"/>
        <v>601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>
        <f t="shared" ref="A38:AO38" ca="1" si="23">VLOOKUP(A12,$A$45:$F$87,6,FALSE)</f>
        <v>209</v>
      </c>
      <c r="B38">
        <f t="shared" ca="1" si="23"/>
        <v>209</v>
      </c>
      <c r="C38">
        <f t="shared" ca="1" si="23"/>
        <v>1437</v>
      </c>
      <c r="D38">
        <f t="shared" ca="1" si="23"/>
        <v>1437</v>
      </c>
      <c r="E38">
        <f t="shared" ca="1" si="23"/>
        <v>315</v>
      </c>
      <c r="F38">
        <f t="shared" ca="1" si="23"/>
        <v>315</v>
      </c>
      <c r="G38">
        <f t="shared" ca="1" si="23"/>
        <v>315</v>
      </c>
      <c r="H38">
        <f t="shared" ca="1" si="23"/>
        <v>35</v>
      </c>
      <c r="I38">
        <f t="shared" ca="1" si="23"/>
        <v>193</v>
      </c>
      <c r="J38">
        <f t="shared" ca="1" si="23"/>
        <v>1437</v>
      </c>
      <c r="K38">
        <f t="shared" ca="1" si="23"/>
        <v>1437</v>
      </c>
      <c r="L38">
        <f t="shared" ca="1" si="23"/>
        <v>1437</v>
      </c>
      <c r="M38">
        <f t="shared" ca="1" si="23"/>
        <v>1437</v>
      </c>
      <c r="N38">
        <f t="shared" ca="1" si="23"/>
        <v>601</v>
      </c>
      <c r="O38">
        <f t="shared" ca="1" si="23"/>
        <v>339</v>
      </c>
      <c r="P38">
        <f t="shared" ca="1" si="23"/>
        <v>209</v>
      </c>
      <c r="Q38">
        <f t="shared" ca="1" si="23"/>
        <v>556</v>
      </c>
      <c r="R38">
        <f t="shared" ca="1" si="23"/>
        <v>243</v>
      </c>
      <c r="S38">
        <f t="shared" ca="1" si="23"/>
        <v>209</v>
      </c>
      <c r="T38">
        <f t="shared" ca="1" si="23"/>
        <v>84</v>
      </c>
      <c r="U38">
        <f t="shared" ca="1" si="23"/>
        <v>0</v>
      </c>
      <c r="V38">
        <f t="shared" ca="1" si="23"/>
        <v>315</v>
      </c>
      <c r="W38">
        <f t="shared" ca="1" si="23"/>
        <v>243</v>
      </c>
      <c r="X38">
        <f t="shared" ca="1" si="23"/>
        <v>339</v>
      </c>
      <c r="Y38">
        <f t="shared" ca="1" si="23"/>
        <v>339</v>
      </c>
      <c r="Z38">
        <f t="shared" ca="1" si="23"/>
        <v>243</v>
      </c>
      <c r="AA38">
        <f t="shared" ca="1" si="23"/>
        <v>1437</v>
      </c>
      <c r="AB38">
        <f t="shared" ca="1" si="23"/>
        <v>209</v>
      </c>
      <c r="AC38">
        <f t="shared" ca="1" si="23"/>
        <v>35</v>
      </c>
      <c r="AD38">
        <f t="shared" ca="1" si="23"/>
        <v>209</v>
      </c>
      <c r="AE38">
        <f t="shared" ca="1" si="23"/>
        <v>315</v>
      </c>
      <c r="AF38">
        <f t="shared" ca="1" si="23"/>
        <v>315</v>
      </c>
      <c r="AG38">
        <f t="shared" ca="1" si="23"/>
        <v>556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>
        <f t="shared" ref="A39:AO39" ca="1" si="24">VLOOKUP(A13,$A$45:$F$87,6,FALSE)</f>
        <v>315</v>
      </c>
      <c r="B39">
        <f t="shared" ca="1" si="24"/>
        <v>315</v>
      </c>
      <c r="C39">
        <f t="shared" ca="1" si="24"/>
        <v>556</v>
      </c>
      <c r="D39">
        <f t="shared" ca="1" si="24"/>
        <v>556</v>
      </c>
      <c r="E39">
        <f t="shared" ca="1" si="24"/>
        <v>1437</v>
      </c>
      <c r="F39">
        <f t="shared" ca="1" si="24"/>
        <v>1437</v>
      </c>
      <c r="G39">
        <f t="shared" ca="1" si="24"/>
        <v>601</v>
      </c>
      <c r="H39">
        <f t="shared" ca="1" si="24"/>
        <v>315</v>
      </c>
      <c r="I39">
        <f t="shared" ca="1" si="24"/>
        <v>243</v>
      </c>
      <c r="J39">
        <f t="shared" ca="1" si="24"/>
        <v>315</v>
      </c>
      <c r="K39">
        <f t="shared" ca="1" si="24"/>
        <v>243</v>
      </c>
      <c r="L39">
        <f t="shared" ca="1" si="24"/>
        <v>315</v>
      </c>
      <c r="M39">
        <f t="shared" ca="1" si="24"/>
        <v>243</v>
      </c>
      <c r="N39">
        <f t="shared" ca="1" si="24"/>
        <v>315</v>
      </c>
      <c r="O39">
        <f t="shared" ca="1" si="24"/>
        <v>384</v>
      </c>
      <c r="P39">
        <f t="shared" ca="1" si="24"/>
        <v>78</v>
      </c>
      <c r="Q39">
        <f t="shared" ca="1" si="24"/>
        <v>243</v>
      </c>
      <c r="R39">
        <f t="shared" ca="1" si="24"/>
        <v>556</v>
      </c>
      <c r="S39">
        <f t="shared" ca="1" si="24"/>
        <v>427</v>
      </c>
      <c r="T39">
        <f t="shared" ca="1" si="24"/>
        <v>209</v>
      </c>
      <c r="U39">
        <f t="shared" ca="1" si="24"/>
        <v>0</v>
      </c>
      <c r="V39">
        <f t="shared" ca="1" si="24"/>
        <v>5</v>
      </c>
      <c r="W39">
        <f t="shared" ca="1" si="24"/>
        <v>556</v>
      </c>
      <c r="X39">
        <f t="shared" ca="1" si="24"/>
        <v>359</v>
      </c>
      <c r="Y39">
        <f t="shared" ca="1" si="24"/>
        <v>193</v>
      </c>
      <c r="Z39">
        <f t="shared" ca="1" si="24"/>
        <v>601</v>
      </c>
      <c r="AA39">
        <f t="shared" ca="1" si="24"/>
        <v>243</v>
      </c>
      <c r="AB39">
        <f t="shared" ca="1" si="24"/>
        <v>315</v>
      </c>
      <c r="AC39">
        <f t="shared" ca="1" si="24"/>
        <v>315</v>
      </c>
      <c r="AD39">
        <f t="shared" ca="1" si="24"/>
        <v>243</v>
      </c>
      <c r="AE39">
        <f t="shared" ca="1" si="24"/>
        <v>0</v>
      </c>
      <c r="AF39">
        <f t="shared" ca="1" si="24"/>
        <v>60</v>
      </c>
      <c r="AG39">
        <f t="shared" ca="1" si="24"/>
        <v>315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>
        <f ca="1">SUM(A28:A39)</f>
        <v>5101</v>
      </c>
      <c r="B41">
        <f t="shared" ref="B41:AO41" ca="1" si="25">SUM(B28:B39)</f>
        <v>4259</v>
      </c>
      <c r="C41">
        <f t="shared" ca="1" si="25"/>
        <v>4663</v>
      </c>
      <c r="D41">
        <f t="shared" ca="1" si="25"/>
        <v>5063</v>
      </c>
      <c r="E41">
        <f t="shared" ca="1" si="25"/>
        <v>4644</v>
      </c>
      <c r="F41">
        <f t="shared" ca="1" si="25"/>
        <v>5412</v>
      </c>
      <c r="G41">
        <f t="shared" ca="1" si="25"/>
        <v>4092</v>
      </c>
      <c r="H41">
        <f t="shared" ca="1" si="25"/>
        <v>4548</v>
      </c>
      <c r="I41">
        <f t="shared" ca="1" si="25"/>
        <v>5102</v>
      </c>
      <c r="J41">
        <f t="shared" ca="1" si="25"/>
        <v>4754</v>
      </c>
      <c r="K41">
        <f t="shared" ca="1" si="25"/>
        <v>4087</v>
      </c>
      <c r="L41">
        <f t="shared" ca="1" si="25"/>
        <v>4683</v>
      </c>
      <c r="M41">
        <f t="shared" ca="1" si="25"/>
        <v>5282</v>
      </c>
      <c r="N41">
        <f t="shared" ca="1" si="25"/>
        <v>4277</v>
      </c>
      <c r="O41">
        <f t="shared" ca="1" si="25"/>
        <v>4246</v>
      </c>
      <c r="P41">
        <f t="shared" ca="1" si="25"/>
        <v>5294</v>
      </c>
      <c r="Q41">
        <f t="shared" ca="1" si="25"/>
        <v>4242</v>
      </c>
      <c r="R41">
        <f t="shared" ca="1" si="25"/>
        <v>4909</v>
      </c>
      <c r="S41">
        <f t="shared" ca="1" si="25"/>
        <v>4921</v>
      </c>
      <c r="T41">
        <f t="shared" ca="1" si="25"/>
        <v>4820</v>
      </c>
      <c r="U41">
        <f t="shared" ca="1" si="25"/>
        <v>4117</v>
      </c>
      <c r="V41">
        <f t="shared" ca="1" si="25"/>
        <v>4932</v>
      </c>
      <c r="W41">
        <f t="shared" ca="1" si="25"/>
        <v>4014</v>
      </c>
      <c r="X41">
        <f t="shared" ca="1" si="25"/>
        <v>4389</v>
      </c>
      <c r="Y41">
        <f t="shared" ca="1" si="25"/>
        <v>4499</v>
      </c>
      <c r="Z41">
        <f t="shared" ca="1" si="25"/>
        <v>5274</v>
      </c>
      <c r="AA41">
        <f t="shared" ca="1" si="25"/>
        <v>4828</v>
      </c>
      <c r="AB41">
        <f t="shared" ca="1" si="25"/>
        <v>5197</v>
      </c>
      <c r="AC41">
        <f t="shared" ca="1" si="25"/>
        <v>4638</v>
      </c>
      <c r="AD41">
        <f t="shared" ca="1" si="25"/>
        <v>5139</v>
      </c>
      <c r="AE41">
        <f t="shared" ca="1" si="25"/>
        <v>4058</v>
      </c>
      <c r="AF41">
        <f t="shared" ca="1" si="25"/>
        <v>4991</v>
      </c>
      <c r="AG41">
        <f t="shared" ca="1" si="25"/>
        <v>4127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>
        <f ca="1">A41+COLUMN(A41)/1000</f>
        <v>5101.0010000000002</v>
      </c>
      <c r="B42">
        <f t="shared" ref="B42:AO42" ca="1" si="26">B41+COLUMN(B41)/1000</f>
        <v>4259.0020000000004</v>
      </c>
      <c r="C42">
        <f t="shared" ca="1" si="26"/>
        <v>4663.0029999999997</v>
      </c>
      <c r="D42">
        <f t="shared" ca="1" si="26"/>
        <v>5063.0039999999999</v>
      </c>
      <c r="E42">
        <f t="shared" ca="1" si="26"/>
        <v>4644.0050000000001</v>
      </c>
      <c r="F42">
        <f t="shared" ca="1" si="26"/>
        <v>5412.0060000000003</v>
      </c>
      <c r="G42">
        <f t="shared" ca="1" si="26"/>
        <v>4092.0070000000001</v>
      </c>
      <c r="H42">
        <f t="shared" ca="1" si="26"/>
        <v>4548.0079999999998</v>
      </c>
      <c r="I42">
        <f t="shared" ca="1" si="26"/>
        <v>5102.009</v>
      </c>
      <c r="J42">
        <f t="shared" ca="1" si="26"/>
        <v>4754.01</v>
      </c>
      <c r="K42">
        <f t="shared" ca="1" si="26"/>
        <v>4087.011</v>
      </c>
      <c r="L42">
        <f t="shared" ca="1" si="26"/>
        <v>4683.0119999999997</v>
      </c>
      <c r="M42">
        <f t="shared" ca="1" si="26"/>
        <v>5282.0129999999999</v>
      </c>
      <c r="N42">
        <f t="shared" ca="1" si="26"/>
        <v>4277.0140000000001</v>
      </c>
      <c r="O42">
        <f t="shared" ca="1" si="26"/>
        <v>4246.0150000000003</v>
      </c>
      <c r="P42">
        <f t="shared" ca="1" si="26"/>
        <v>5294.0159999999996</v>
      </c>
      <c r="Q42">
        <f t="shared" ca="1" si="26"/>
        <v>4242.0169999999998</v>
      </c>
      <c r="R42">
        <f t="shared" ca="1" si="26"/>
        <v>4909.018</v>
      </c>
      <c r="S42">
        <f t="shared" ca="1" si="26"/>
        <v>4921.0190000000002</v>
      </c>
      <c r="T42">
        <f t="shared" ca="1" si="26"/>
        <v>4820.0200000000004</v>
      </c>
      <c r="U42">
        <f t="shared" ca="1" si="26"/>
        <v>4117.0209999999997</v>
      </c>
      <c r="V42">
        <f t="shared" ca="1" si="26"/>
        <v>4932.0219999999999</v>
      </c>
      <c r="W42">
        <f t="shared" ca="1" si="26"/>
        <v>4014.0230000000001</v>
      </c>
      <c r="X42">
        <f t="shared" ca="1" si="26"/>
        <v>4389.0240000000003</v>
      </c>
      <c r="Y42">
        <f t="shared" ca="1" si="26"/>
        <v>4499.0249999999996</v>
      </c>
      <c r="Z42">
        <f t="shared" ca="1" si="26"/>
        <v>5274.0259999999998</v>
      </c>
      <c r="AA42">
        <f t="shared" ca="1" si="26"/>
        <v>4828.027</v>
      </c>
      <c r="AB42">
        <f t="shared" ca="1" si="26"/>
        <v>5197.0280000000002</v>
      </c>
      <c r="AC42">
        <f t="shared" ca="1" si="26"/>
        <v>4638.0290000000005</v>
      </c>
      <c r="AD42">
        <f t="shared" ca="1" si="26"/>
        <v>5139.03</v>
      </c>
      <c r="AE42">
        <f t="shared" ca="1" si="26"/>
        <v>4058.0309999999999</v>
      </c>
      <c r="AF42">
        <f t="shared" ca="1" si="26"/>
        <v>4991.0320000000002</v>
      </c>
      <c r="AG42">
        <f t="shared" ca="1" si="26"/>
        <v>4127.0330000000004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>
        <f ca="1">RANK(A42,OFFSET($A$42,0,0,1,NumFantTeams))</f>
        <v>8</v>
      </c>
      <c r="B43">
        <f t="shared" ref="B43:AO43" ca="1" si="27">RANK(B42,OFFSET($A$42,0,0,1,NumFantTeams))</f>
        <v>25</v>
      </c>
      <c r="C43">
        <f t="shared" ca="1" si="27"/>
        <v>18</v>
      </c>
      <c r="D43">
        <f t="shared" ca="1" si="27"/>
        <v>9</v>
      </c>
      <c r="E43">
        <f t="shared" ca="1" si="27"/>
        <v>19</v>
      </c>
      <c r="F43">
        <f t="shared" ca="1" si="27"/>
        <v>1</v>
      </c>
      <c r="G43">
        <f t="shared" ca="1" si="27"/>
        <v>30</v>
      </c>
      <c r="H43">
        <f t="shared" ca="1" si="27"/>
        <v>21</v>
      </c>
      <c r="I43">
        <f t="shared" ca="1" si="27"/>
        <v>7</v>
      </c>
      <c r="J43">
        <f t="shared" ca="1" si="27"/>
        <v>16</v>
      </c>
      <c r="K43">
        <f t="shared" ca="1" si="27"/>
        <v>31</v>
      </c>
      <c r="L43">
        <f t="shared" ca="1" si="27"/>
        <v>17</v>
      </c>
      <c r="M43">
        <f t="shared" ca="1" si="27"/>
        <v>3</v>
      </c>
      <c r="N43">
        <f t="shared" ca="1" si="27"/>
        <v>24</v>
      </c>
      <c r="O43">
        <f t="shared" ca="1" si="27"/>
        <v>26</v>
      </c>
      <c r="P43">
        <f t="shared" ca="1" si="27"/>
        <v>2</v>
      </c>
      <c r="Q43">
        <f t="shared" ca="1" si="27"/>
        <v>27</v>
      </c>
      <c r="R43">
        <f t="shared" ca="1" si="27"/>
        <v>13</v>
      </c>
      <c r="S43">
        <f t="shared" ca="1" si="27"/>
        <v>12</v>
      </c>
      <c r="T43">
        <f t="shared" ca="1" si="27"/>
        <v>15</v>
      </c>
      <c r="U43">
        <f t="shared" ca="1" si="27"/>
        <v>29</v>
      </c>
      <c r="V43">
        <f t="shared" ca="1" si="27"/>
        <v>11</v>
      </c>
      <c r="W43">
        <f t="shared" ca="1" si="27"/>
        <v>33</v>
      </c>
      <c r="X43">
        <f t="shared" ca="1" si="27"/>
        <v>23</v>
      </c>
      <c r="Y43">
        <f t="shared" ca="1" si="27"/>
        <v>22</v>
      </c>
      <c r="Z43">
        <f t="shared" ca="1" si="27"/>
        <v>4</v>
      </c>
      <c r="AA43">
        <f t="shared" ca="1" si="27"/>
        <v>14</v>
      </c>
      <c r="AB43">
        <f t="shared" ca="1" si="27"/>
        <v>5</v>
      </c>
      <c r="AC43">
        <f t="shared" ca="1" si="27"/>
        <v>20</v>
      </c>
      <c r="AD43">
        <f t="shared" ca="1" si="27"/>
        <v>6</v>
      </c>
      <c r="AE43">
        <f t="shared" ca="1" si="27"/>
        <v>32</v>
      </c>
      <c r="AF43">
        <f t="shared" ca="1" si="27"/>
        <v>10</v>
      </c>
      <c r="AG43">
        <f t="shared" ca="1" si="27"/>
        <v>28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102" t="s">
        <v>102</v>
      </c>
      <c r="D44" s="102" t="s">
        <v>229</v>
      </c>
      <c r="E44" s="102" t="s">
        <v>103</v>
      </c>
      <c r="F44" s="102" t="s">
        <v>104</v>
      </c>
      <c r="G44" s="100" t="s">
        <v>105</v>
      </c>
      <c r="H44" s="101">
        <f>COUNTA(1:1)</f>
        <v>33</v>
      </c>
    </row>
    <row r="45" spans="1:41" x14ac:dyDescent="0.15">
      <c r="A45" s="71" t="s">
        <v>273</v>
      </c>
      <c r="B45" t="s">
        <v>285</v>
      </c>
      <c r="C45">
        <v>1</v>
      </c>
      <c r="D45">
        <f t="array" ref="D45">SUM(IF($3:$13=A45,1,0))</f>
        <v>4</v>
      </c>
      <c r="E45">
        <f ca="1">MATCH(A45,FantasyPts!$A$5:$A$57,0)</f>
        <v>1</v>
      </c>
      <c r="F45">
        <f ca="1">OFFSET(FantasyPts!$C$4,'Fantasy Teams'!E45,0)</f>
        <v>0</v>
      </c>
      <c r="G45" t="s">
        <v>174</v>
      </c>
      <c r="H45">
        <f ca="1">MATCH(L45,OFFSET($A$43,0,0,1,$H$44),0)</f>
        <v>6</v>
      </c>
      <c r="K45" t="str">
        <f ca="1">OFFSET($A$2,0,H45-1)</f>
        <v>The Chairman's Chappies</v>
      </c>
      <c r="L45">
        <v>1</v>
      </c>
      <c r="M45" t="str">
        <f ca="1">OFFSET($A$1,0,H45-1)</f>
        <v>Andy Mander</v>
      </c>
      <c r="N45" t="str">
        <f ca="1">IF(K45=0,"",K45)</f>
        <v>The Chairman's Chappies</v>
      </c>
      <c r="O45">
        <f ca="1">OFFSET($A$41,0,H45-1)</f>
        <v>5412</v>
      </c>
    </row>
    <row r="46" spans="1:41" x14ac:dyDescent="0.15">
      <c r="A46" s="71" t="s">
        <v>169</v>
      </c>
      <c r="B46" t="s">
        <v>261</v>
      </c>
      <c r="C46">
        <v>2</v>
      </c>
      <c r="D46">
        <f t="array" ref="D46">SUM(IF($3:$13=A46,1,0))</f>
        <v>11</v>
      </c>
      <c r="E46">
        <f ca="1">MATCH(A46,FantasyPts!$A$5:$A$57,0)</f>
        <v>2</v>
      </c>
      <c r="F46">
        <f ca="1">OFFSET(FantasyPts!$C$4,'Fantasy Teams'!E46,0)</f>
        <v>109</v>
      </c>
      <c r="G46" t="s">
        <v>174</v>
      </c>
      <c r="H46">
        <f t="shared" ref="H46:H85" ca="1" si="28">MATCH(L46,OFFSET($A$43,0,0,1,$H$44),0)</f>
        <v>16</v>
      </c>
      <c r="K46" t="str">
        <f t="shared" ref="K46:K87" ca="1" si="29">OFFSET($A$2,0,H46-1)</f>
        <v>Millenium Buggers</v>
      </c>
      <c r="L46">
        <f>L45+1</f>
        <v>2</v>
      </c>
      <c r="M46" t="str">
        <f t="shared" ref="M46:M87" ca="1" si="30">OFFSET($A$1,0,H46-1)</f>
        <v>Tony Springer</v>
      </c>
      <c r="N46" t="str">
        <f t="shared" ref="N46:N62" ca="1" si="31">IF(K46=0,"",K46)</f>
        <v>Millenium Buggers</v>
      </c>
      <c r="O46">
        <f t="shared" ref="O46:O87" ca="1" si="32">OFFSET($A$41,0,H46-1)</f>
        <v>5294</v>
      </c>
    </row>
    <row r="47" spans="1:41" x14ac:dyDescent="0.15">
      <c r="A47" s="71" t="s">
        <v>126</v>
      </c>
      <c r="B47" t="s">
        <v>127</v>
      </c>
      <c r="C47">
        <v>4</v>
      </c>
      <c r="D47">
        <f t="array" ref="D47">SUM(IF($3:$13=A47,1,0))</f>
        <v>2</v>
      </c>
      <c r="E47">
        <f ca="1">MATCH(A47,FantasyPts!$A$5:$A$57,0)</f>
        <v>3</v>
      </c>
      <c r="F47">
        <f ca="1">OFFSET(FantasyPts!$C$4,'Fantasy Teams'!E47,0)</f>
        <v>0</v>
      </c>
      <c r="G47" t="s">
        <v>14</v>
      </c>
      <c r="H47">
        <f t="shared" ca="1" si="28"/>
        <v>13</v>
      </c>
      <c r="K47" t="str">
        <f t="shared" ca="1" si="29"/>
        <v>Yes we can!</v>
      </c>
      <c r="L47">
        <f>L46+1</f>
        <v>3</v>
      </c>
      <c r="M47" t="str">
        <f t="shared" ca="1" si="30"/>
        <v>Mike Woodhouse</v>
      </c>
      <c r="N47" t="str">
        <f t="shared" ca="1" si="31"/>
        <v>Yes we can!</v>
      </c>
      <c r="O47">
        <f t="shared" ca="1" si="32"/>
        <v>5282</v>
      </c>
    </row>
    <row r="48" spans="1:41" x14ac:dyDescent="0.15">
      <c r="A48" s="71" t="s">
        <v>64</v>
      </c>
      <c r="B48" t="s">
        <v>95</v>
      </c>
      <c r="C48">
        <v>8</v>
      </c>
      <c r="D48">
        <f t="array" ref="D48">SUM(IF($3:$13=A48,1,0))</f>
        <v>23</v>
      </c>
      <c r="E48">
        <f ca="1">MATCH(A48,FantasyPts!$A$5:$A$57,0)</f>
        <v>4</v>
      </c>
      <c r="F48">
        <f ca="1">OFFSET(FantasyPts!$C$4,'Fantasy Teams'!E48,0)</f>
        <v>541</v>
      </c>
      <c r="G48" t="s">
        <v>175</v>
      </c>
      <c r="H48">
        <f t="shared" ca="1" si="28"/>
        <v>26</v>
      </c>
      <c r="K48" t="str">
        <f ca="1">OFFSET($A$2,0,H48-1)</f>
        <v>The New Theories?</v>
      </c>
      <c r="L48">
        <f t="shared" ref="L48:L87" si="33">L47+1</f>
        <v>4</v>
      </c>
      <c r="M48" t="str">
        <f ca="1">OFFSET($A$1,0,H48-1)</f>
        <v>Chris Clark</v>
      </c>
      <c r="N48" t="str">
        <f ca="1">IF(K48=0,"",K48)</f>
        <v>The New Theories?</v>
      </c>
      <c r="O48">
        <f ca="1">OFFSET($A$41,0,H48-1)</f>
        <v>5274</v>
      </c>
    </row>
    <row r="49" spans="1:15" x14ac:dyDescent="0.15">
      <c r="A49" s="71" t="s">
        <v>81</v>
      </c>
      <c r="B49" t="s">
        <v>94</v>
      </c>
      <c r="C49">
        <v>4</v>
      </c>
      <c r="D49">
        <f t="array" ref="D49">SUM(IF($3:$13=A49,1,0))</f>
        <v>18</v>
      </c>
      <c r="E49">
        <f ca="1">MATCH(A49,FantasyPts!$A$5:$A$57,0)</f>
        <v>5</v>
      </c>
      <c r="F49">
        <f ca="1">OFFSET(FantasyPts!$C$4,'Fantasy Teams'!E49,0)</f>
        <v>339</v>
      </c>
      <c r="G49" t="s">
        <v>175</v>
      </c>
      <c r="H49">
        <f t="shared" ca="1" si="28"/>
        <v>28</v>
      </c>
      <c r="K49" t="str">
        <f t="shared" ca="1" si="29"/>
        <v>Wot, the curtains?</v>
      </c>
      <c r="L49">
        <f t="shared" si="33"/>
        <v>5</v>
      </c>
      <c r="M49" t="str">
        <f t="shared" ca="1" si="30"/>
        <v>Del Shewan</v>
      </c>
      <c r="N49" t="str">
        <f t="shared" ca="1" si="31"/>
        <v>Wot, the curtains?</v>
      </c>
      <c r="O49">
        <f t="shared" ca="1" si="32"/>
        <v>5197</v>
      </c>
    </row>
    <row r="50" spans="1:15" x14ac:dyDescent="0.15">
      <c r="A50" s="71" t="s">
        <v>125</v>
      </c>
      <c r="B50" t="s">
        <v>251</v>
      </c>
      <c r="C50">
        <v>5</v>
      </c>
      <c r="D50">
        <f t="array" ref="D50">SUM(IF($3:$13=A50,1,0))</f>
        <v>17</v>
      </c>
      <c r="E50">
        <f ca="1">MATCH(A50,FantasyPts!$A$5:$A$57,0)</f>
        <v>6</v>
      </c>
      <c r="F50">
        <f ca="1">OFFSET(FantasyPts!$C$4,'Fantasy Teams'!E50,0)</f>
        <v>604</v>
      </c>
      <c r="G50" t="s">
        <v>175</v>
      </c>
      <c r="H50">
        <f t="shared" ca="1" si="28"/>
        <v>30</v>
      </c>
      <c r="K50" t="str">
        <f t="shared" ca="1" si="29"/>
        <v>Cameron's 1st XI</v>
      </c>
      <c r="L50">
        <f t="shared" si="33"/>
        <v>6</v>
      </c>
      <c r="M50" t="str">
        <f t="shared" ca="1" si="30"/>
        <v>Cameron Shewan</v>
      </c>
      <c r="N50" t="str">
        <f t="shared" ca="1" si="31"/>
        <v>Cameron's 1st XI</v>
      </c>
      <c r="O50">
        <f t="shared" ca="1" si="32"/>
        <v>5139</v>
      </c>
    </row>
    <row r="51" spans="1:15" x14ac:dyDescent="0.15">
      <c r="A51" s="71" t="s">
        <v>66</v>
      </c>
      <c r="B51" t="s">
        <v>128</v>
      </c>
      <c r="C51">
        <v>7</v>
      </c>
      <c r="D51">
        <f t="array" ref="D51">SUM(IF($3:$13=A51,1,0))</f>
        <v>19</v>
      </c>
      <c r="E51">
        <f ca="1">MATCH(A51,FantasyPts!$A$5:$A$57,0)</f>
        <v>7</v>
      </c>
      <c r="F51">
        <f ca="1">OFFSET(FantasyPts!$C$4,'Fantasy Teams'!E51,0)</f>
        <v>566</v>
      </c>
      <c r="G51" t="s">
        <v>175</v>
      </c>
      <c r="H51">
        <f t="shared" ca="1" si="28"/>
        <v>9</v>
      </c>
      <c r="K51" t="str">
        <f t="shared" ca="1" si="29"/>
        <v>Geoff's Looper's</v>
      </c>
      <c r="L51">
        <f t="shared" si="33"/>
        <v>7</v>
      </c>
      <c r="M51" t="str">
        <f t="shared" ca="1" si="30"/>
        <v>Geoff Cooper</v>
      </c>
      <c r="N51" t="str">
        <f t="shared" ca="1" si="31"/>
        <v>Geoff's Looper's</v>
      </c>
      <c r="O51">
        <f t="shared" ca="1" si="32"/>
        <v>5102</v>
      </c>
    </row>
    <row r="52" spans="1:15" x14ac:dyDescent="0.15">
      <c r="A52" s="71" t="s">
        <v>56</v>
      </c>
      <c r="B52" t="s">
        <v>129</v>
      </c>
      <c r="C52">
        <v>3</v>
      </c>
      <c r="D52">
        <f t="array" ref="D52">SUM(IF($3:$13=A52,1,0))</f>
        <v>7</v>
      </c>
      <c r="E52">
        <f ca="1">MATCH(A52,FantasyPts!$A$5:$A$57,0)</f>
        <v>8</v>
      </c>
      <c r="F52">
        <f ca="1">OFFSET(FantasyPts!$C$4,'Fantasy Teams'!E52,0)</f>
        <v>193</v>
      </c>
      <c r="G52" t="s">
        <v>175</v>
      </c>
      <c r="H52">
        <f t="shared" ca="1" si="28"/>
        <v>1</v>
      </c>
      <c r="K52" t="str">
        <f t="shared" ca="1" si="29"/>
        <v>Hi Octane Cruisers</v>
      </c>
      <c r="L52">
        <f t="shared" si="33"/>
        <v>8</v>
      </c>
      <c r="M52" t="str">
        <f t="shared" ca="1" si="30"/>
        <v>John Leadley</v>
      </c>
      <c r="N52" t="str">
        <f t="shared" ca="1" si="31"/>
        <v>Hi Octane Cruisers</v>
      </c>
      <c r="O52">
        <f t="shared" ca="1" si="32"/>
        <v>5101</v>
      </c>
    </row>
    <row r="53" spans="1:15" x14ac:dyDescent="0.15">
      <c r="A53" s="71" t="s">
        <v>223</v>
      </c>
      <c r="B53" t="s">
        <v>224</v>
      </c>
      <c r="C53">
        <v>1</v>
      </c>
      <c r="D53">
        <f t="array" ref="D53">SUM(IF($3:$13=A53,1,0))</f>
        <v>6</v>
      </c>
      <c r="E53">
        <f ca="1">MATCH(A53,FantasyPts!$A$5:$A$57,0)</f>
        <v>9</v>
      </c>
      <c r="F53">
        <f ca="1">OFFSET(FantasyPts!$C$4,'Fantasy Teams'!E53,0)</f>
        <v>23</v>
      </c>
      <c r="G53" t="s">
        <v>174</v>
      </c>
      <c r="H53">
        <f t="shared" ca="1" si="28"/>
        <v>4</v>
      </c>
      <c r="K53" t="str">
        <f t="shared" ca="1" si="29"/>
        <v>"Stumped" for a name</v>
      </c>
      <c r="L53">
        <f t="shared" si="33"/>
        <v>9</v>
      </c>
      <c r="M53" t="str">
        <f t="shared" ca="1" si="30"/>
        <v>Jane Mander</v>
      </c>
      <c r="N53" t="str">
        <f t="shared" ca="1" si="31"/>
        <v>"Stumped" for a name</v>
      </c>
      <c r="O53">
        <f t="shared" ca="1" si="32"/>
        <v>5063</v>
      </c>
    </row>
    <row r="54" spans="1:15" x14ac:dyDescent="0.15">
      <c r="A54" s="71" t="s">
        <v>69</v>
      </c>
      <c r="B54" t="s">
        <v>92</v>
      </c>
      <c r="C54">
        <v>4</v>
      </c>
      <c r="D54">
        <f t="array" ref="D54">SUM(IF($3:$13=A54,1,0))</f>
        <v>11</v>
      </c>
      <c r="E54">
        <f ca="1">MATCH(A54,FantasyPts!$A$5:$A$57,0)</f>
        <v>10</v>
      </c>
      <c r="F54">
        <f ca="1">OFFSET(FantasyPts!$C$4,'Fantasy Teams'!E54,0)</f>
        <v>427</v>
      </c>
      <c r="G54" t="s">
        <v>175</v>
      </c>
      <c r="H54">
        <f t="shared" ca="1" si="28"/>
        <v>32</v>
      </c>
      <c r="K54" t="str">
        <f t="shared" ca="1" si="29"/>
        <v>Jenny's Pets</v>
      </c>
      <c r="L54">
        <f t="shared" si="33"/>
        <v>10</v>
      </c>
      <c r="M54" t="str">
        <f t="shared" ca="1" si="30"/>
        <v>Jenny Dugdale</v>
      </c>
      <c r="N54" t="str">
        <f t="shared" ca="1" si="31"/>
        <v>Jenny's Pets</v>
      </c>
      <c r="O54">
        <f t="shared" ca="1" si="32"/>
        <v>4991</v>
      </c>
    </row>
    <row r="55" spans="1:15" x14ac:dyDescent="0.15">
      <c r="A55" s="71" t="s">
        <v>225</v>
      </c>
      <c r="B55" t="s">
        <v>226</v>
      </c>
      <c r="C55">
        <v>4</v>
      </c>
      <c r="D55">
        <f t="array" ref="D55">SUM(IF($3:$13=A55,1,0))</f>
        <v>2</v>
      </c>
      <c r="E55">
        <f ca="1">MATCH(A55,FantasyPts!$A$5:$A$57,0)</f>
        <v>11</v>
      </c>
      <c r="F55">
        <f ca="1">OFFSET(FantasyPts!$C$4,'Fantasy Teams'!E55,0)</f>
        <v>0</v>
      </c>
      <c r="G55" t="s">
        <v>175</v>
      </c>
      <c r="H55">
        <f t="shared" ca="1" si="28"/>
        <v>22</v>
      </c>
      <c r="K55" t="str">
        <f t="shared" ca="1" si="29"/>
        <v>Pikey's Army</v>
      </c>
      <c r="L55">
        <f t="shared" si="33"/>
        <v>11</v>
      </c>
      <c r="M55" t="str">
        <f t="shared" ca="1" si="30"/>
        <v>Jeff Lestrelle</v>
      </c>
      <c r="N55" t="str">
        <f t="shared" ca="1" si="31"/>
        <v>Pikey's Army</v>
      </c>
      <c r="O55">
        <f t="shared" ca="1" si="32"/>
        <v>4932</v>
      </c>
    </row>
    <row r="56" spans="1:15" x14ac:dyDescent="0.15">
      <c r="A56" s="71" t="s">
        <v>72</v>
      </c>
      <c r="B56" t="s">
        <v>96</v>
      </c>
      <c r="C56">
        <v>7</v>
      </c>
      <c r="D56">
        <f t="array" ref="D56">SUM(IF($3:$13=A56,1,0))</f>
        <v>15</v>
      </c>
      <c r="E56">
        <f ca="1">MATCH(A56,FantasyPts!$A$5:$A$57,0)</f>
        <v>12</v>
      </c>
      <c r="F56">
        <f ca="1">OFFSET(FantasyPts!$C$4,'Fantasy Teams'!E56,0)</f>
        <v>601</v>
      </c>
      <c r="G56" t="s">
        <v>176</v>
      </c>
      <c r="H56">
        <f t="shared" ca="1" si="28"/>
        <v>19</v>
      </c>
      <c r="K56" t="str">
        <f t="shared" ca="1" si="29"/>
        <v>Better Value than Chris Sutton</v>
      </c>
      <c r="L56">
        <f t="shared" si="33"/>
        <v>12</v>
      </c>
      <c r="M56" t="str">
        <f t="shared" ca="1" si="30"/>
        <v>Mike Bowers</v>
      </c>
      <c r="N56" t="str">
        <f t="shared" ca="1" si="31"/>
        <v>Better Value than Chris Sutton</v>
      </c>
      <c r="O56">
        <f t="shared" ca="1" si="32"/>
        <v>4921</v>
      </c>
    </row>
    <row r="57" spans="1:15" x14ac:dyDescent="0.15">
      <c r="A57" s="71" t="s">
        <v>74</v>
      </c>
      <c r="B57" t="s">
        <v>88</v>
      </c>
      <c r="C57">
        <v>3</v>
      </c>
      <c r="D57">
        <f t="array" ref="D57">SUM(IF($3:$13=A57,1,0))</f>
        <v>6</v>
      </c>
      <c r="E57">
        <f ca="1">MATCH(A57,FantasyPts!$A$5:$A$57,0)</f>
        <v>13</v>
      </c>
      <c r="F57">
        <f ca="1">OFFSET(FantasyPts!$C$4,'Fantasy Teams'!E57,0)</f>
        <v>6</v>
      </c>
      <c r="G57" t="s">
        <v>174</v>
      </c>
      <c r="H57">
        <f t="shared" ca="1" si="28"/>
        <v>18</v>
      </c>
      <c r="K57" t="str">
        <f t="shared" ca="1" si="29"/>
        <v>Ooze Class</v>
      </c>
      <c r="L57">
        <f t="shared" si="33"/>
        <v>13</v>
      </c>
      <c r="M57" t="str">
        <f t="shared" ca="1" si="30"/>
        <v>Dave Snow</v>
      </c>
      <c r="N57" t="str">
        <f t="shared" ca="1" si="31"/>
        <v>Ooze Class</v>
      </c>
      <c r="O57">
        <f t="shared" ca="1" si="32"/>
        <v>4909</v>
      </c>
    </row>
    <row r="58" spans="1:15" x14ac:dyDescent="0.15">
      <c r="A58" s="71" t="s">
        <v>73</v>
      </c>
      <c r="B58" t="s">
        <v>90</v>
      </c>
      <c r="C58">
        <v>3</v>
      </c>
      <c r="D58">
        <f t="array" ref="D58">SUM(IF($3:$13=A58,1,0))</f>
        <v>1</v>
      </c>
      <c r="E58">
        <f ca="1">MATCH(A58,FantasyPts!$A$5:$A$57,0)</f>
        <v>14</v>
      </c>
      <c r="F58">
        <f ca="1">OFFSET(FantasyPts!$C$4,'Fantasy Teams'!E58,0)</f>
        <v>200</v>
      </c>
      <c r="G58" t="s">
        <v>176</v>
      </c>
      <c r="H58">
        <f t="shared" ca="1" si="28"/>
        <v>27</v>
      </c>
      <c r="K58" t="str">
        <f t="shared" ca="1" si="29"/>
        <v>Tired Old Crap Cricketers</v>
      </c>
      <c r="L58">
        <f t="shared" si="33"/>
        <v>14</v>
      </c>
      <c r="M58" t="str">
        <f t="shared" ca="1" si="30"/>
        <v>Paul Oakes</v>
      </c>
      <c r="N58" t="str">
        <f t="shared" ca="1" si="31"/>
        <v>Tired Old Crap Cricketers</v>
      </c>
      <c r="O58">
        <f t="shared" ca="1" si="32"/>
        <v>4828</v>
      </c>
    </row>
    <row r="59" spans="1:15" x14ac:dyDescent="0.15">
      <c r="A59" s="71" t="s">
        <v>57</v>
      </c>
      <c r="B59" t="s">
        <v>89</v>
      </c>
      <c r="C59">
        <v>5</v>
      </c>
      <c r="D59">
        <f t="array" ref="D59">SUM(IF($3:$13=A59,1,0))</f>
        <v>10</v>
      </c>
      <c r="E59">
        <f ca="1">MATCH(A59,FantasyPts!$A$5:$A$57,0)</f>
        <v>15</v>
      </c>
      <c r="F59">
        <f ca="1">OFFSET(FantasyPts!$C$4,'Fantasy Teams'!E59,0)</f>
        <v>556</v>
      </c>
      <c r="G59" t="s">
        <v>176</v>
      </c>
      <c r="H59">
        <f t="shared" ca="1" si="28"/>
        <v>20</v>
      </c>
      <c r="K59" t="str">
        <f t="shared" ca="1" si="29"/>
        <v>Sharpey's 1sts</v>
      </c>
      <c r="L59">
        <f t="shared" si="33"/>
        <v>15</v>
      </c>
      <c r="M59" t="str">
        <f t="shared" ca="1" si="30"/>
        <v>Dave Sharpe</v>
      </c>
      <c r="N59" t="str">
        <f t="shared" ca="1" si="31"/>
        <v>Sharpey's 1sts</v>
      </c>
      <c r="O59">
        <f t="shared" ca="1" si="32"/>
        <v>4820</v>
      </c>
    </row>
    <row r="60" spans="1:15" x14ac:dyDescent="0.15">
      <c r="A60" s="71" t="s">
        <v>98</v>
      </c>
      <c r="B60" t="s">
        <v>130</v>
      </c>
      <c r="C60">
        <v>1</v>
      </c>
      <c r="D60">
        <f t="array" ref="D60">SUM(IF($3:$13=A60,1,0))</f>
        <v>3</v>
      </c>
      <c r="E60">
        <f ca="1">MATCH(A60,FantasyPts!$A$5:$A$57,0)</f>
        <v>16</v>
      </c>
      <c r="F60">
        <f ca="1">OFFSET(FantasyPts!$C$4,'Fantasy Teams'!E60,0)</f>
        <v>5</v>
      </c>
      <c r="G60" t="s">
        <v>174</v>
      </c>
      <c r="H60">
        <f t="shared" ca="1" si="28"/>
        <v>10</v>
      </c>
      <c r="K60" t="str">
        <f t="shared" ca="1" si="29"/>
        <v>What's this bat thing for?</v>
      </c>
      <c r="L60">
        <f t="shared" si="33"/>
        <v>16</v>
      </c>
      <c r="M60" t="str">
        <f t="shared" ca="1" si="30"/>
        <v>Luke Hickey</v>
      </c>
      <c r="N60" t="str">
        <f t="shared" ca="1" si="31"/>
        <v>What's this bat thing for?</v>
      </c>
      <c r="O60">
        <f t="shared" ca="1" si="32"/>
        <v>4754</v>
      </c>
    </row>
    <row r="61" spans="1:15" x14ac:dyDescent="0.15">
      <c r="A61" s="71" t="s">
        <v>339</v>
      </c>
      <c r="B61" t="s">
        <v>338</v>
      </c>
      <c r="C61">
        <v>4</v>
      </c>
      <c r="D61">
        <f t="array" ref="D61">SUM(IF($3:$13=A61,1,0))</f>
        <v>5</v>
      </c>
      <c r="E61">
        <f ca="1">MATCH(A61,FantasyPts!$A$5:$A$57,0)</f>
        <v>17</v>
      </c>
      <c r="F61">
        <f ca="1">OFFSET(FantasyPts!$C$4,'Fantasy Teams'!E61,0)</f>
        <v>102</v>
      </c>
      <c r="G61" t="s">
        <v>174</v>
      </c>
      <c r="H61">
        <f t="shared" ca="1" si="28"/>
        <v>12</v>
      </c>
      <c r="K61" t="str">
        <f t="shared" ca="1" si="29"/>
        <v>Can we fix it?</v>
      </c>
      <c r="L61">
        <f t="shared" si="33"/>
        <v>17</v>
      </c>
      <c r="M61" t="str">
        <f t="shared" ca="1" si="30"/>
        <v>Mike Woodhouse</v>
      </c>
      <c r="N61" t="str">
        <f t="shared" ca="1" si="31"/>
        <v>Can we fix it?</v>
      </c>
      <c r="O61">
        <f t="shared" ca="1" si="32"/>
        <v>4683</v>
      </c>
    </row>
    <row r="62" spans="1:15" x14ac:dyDescent="0.15">
      <c r="A62" s="71" t="s">
        <v>177</v>
      </c>
      <c r="B62" t="s">
        <v>178</v>
      </c>
      <c r="C62">
        <v>4</v>
      </c>
      <c r="D62">
        <f t="array" ref="D62">SUM(IF($3:$13=A62,1,0))</f>
        <v>9</v>
      </c>
      <c r="E62">
        <f ca="1">MATCH(A62,FantasyPts!$A$5:$A$57,0)</f>
        <v>18</v>
      </c>
      <c r="F62">
        <f ca="1">OFFSET(FantasyPts!$C$4,'Fantasy Teams'!E62,0)</f>
        <v>157</v>
      </c>
      <c r="G62" t="s">
        <v>174</v>
      </c>
      <c r="H62">
        <f t="shared" ca="1" si="28"/>
        <v>3</v>
      </c>
      <c r="K62" t="str">
        <f t="shared" ca="1" si="29"/>
        <v>The Millenium Bugs</v>
      </c>
      <c r="L62">
        <f t="shared" si="33"/>
        <v>18</v>
      </c>
      <c r="M62" t="str">
        <f t="shared" ca="1" si="30"/>
        <v>Neil Mander</v>
      </c>
      <c r="N62" t="str">
        <f t="shared" ca="1" si="31"/>
        <v>The Millenium Bugs</v>
      </c>
      <c r="O62">
        <f t="shared" ca="1" si="32"/>
        <v>4663</v>
      </c>
    </row>
    <row r="63" spans="1:15" x14ac:dyDescent="0.15">
      <c r="A63" s="71" t="s">
        <v>68</v>
      </c>
      <c r="B63" t="s">
        <v>131</v>
      </c>
      <c r="C63">
        <v>2</v>
      </c>
      <c r="D63">
        <f t="array" ref="D63">SUM(IF($3:$13=A63,1,0))</f>
        <v>4</v>
      </c>
      <c r="E63">
        <f ca="1">MATCH(A63,FantasyPts!$A$5:$A$57,0)</f>
        <v>19</v>
      </c>
      <c r="F63">
        <f ca="1">OFFSET(FantasyPts!$C$4,'Fantasy Teams'!E63,0)</f>
        <v>238</v>
      </c>
      <c r="G63" t="s">
        <v>176</v>
      </c>
      <c r="H63">
        <f t="shared" ca="1" si="28"/>
        <v>5</v>
      </c>
      <c r="K63" t="str">
        <f t="shared" ca="1" si="29"/>
        <v>Bowler's Name Please?</v>
      </c>
      <c r="L63">
        <f t="shared" si="33"/>
        <v>19</v>
      </c>
      <c r="M63" t="str">
        <f t="shared" ca="1" si="30"/>
        <v>Neil/Jane Mander</v>
      </c>
      <c r="N63" t="str">
        <f t="shared" ref="N63:N78" ca="1" si="34">IF(K63=0,"",K63)</f>
        <v>Bowler's Name Please?</v>
      </c>
      <c r="O63">
        <f t="shared" ca="1" si="32"/>
        <v>4644</v>
      </c>
    </row>
    <row r="64" spans="1:15" x14ac:dyDescent="0.15">
      <c r="A64" s="71" t="s">
        <v>60</v>
      </c>
      <c r="B64" t="s">
        <v>132</v>
      </c>
      <c r="C64">
        <v>2</v>
      </c>
      <c r="D64">
        <f t="array" ref="D64">SUM(IF($3:$13=A64,1,0))</f>
        <v>18</v>
      </c>
      <c r="E64">
        <f ca="1">MATCH(A64,FantasyPts!$A$5:$A$57,0)</f>
        <v>20</v>
      </c>
      <c r="F64">
        <f ca="1">OFFSET(FantasyPts!$C$4,'Fantasy Teams'!E64,0)</f>
        <v>209</v>
      </c>
      <c r="G64" t="s">
        <v>175</v>
      </c>
      <c r="H64">
        <f t="shared" ca="1" si="28"/>
        <v>29</v>
      </c>
      <c r="K64" t="str">
        <f t="shared" ca="1" si="29"/>
        <v>Stuck in the crease</v>
      </c>
      <c r="L64">
        <f t="shared" si="33"/>
        <v>20</v>
      </c>
      <c r="M64" t="str">
        <f t="shared" ca="1" si="30"/>
        <v>Joanne Shewan</v>
      </c>
      <c r="N64" t="str">
        <f t="shared" ca="1" si="34"/>
        <v>Stuck in the crease</v>
      </c>
      <c r="O64">
        <f t="shared" ca="1" si="32"/>
        <v>4638</v>
      </c>
    </row>
    <row r="65" spans="1:15" x14ac:dyDescent="0.15">
      <c r="A65" s="71" t="s">
        <v>62</v>
      </c>
      <c r="B65" t="s">
        <v>87</v>
      </c>
      <c r="C65">
        <v>9</v>
      </c>
      <c r="D65">
        <f t="array" ref="D65">SUM(IF($3:$13=A65,1,0))</f>
        <v>21</v>
      </c>
      <c r="E65">
        <f ca="1">MATCH(A65,FantasyPts!$A$5:$A$57,0)</f>
        <v>21</v>
      </c>
      <c r="F65">
        <f ca="1">OFFSET(FantasyPts!$C$4,'Fantasy Teams'!E65,0)</f>
        <v>856</v>
      </c>
      <c r="G65" t="s">
        <v>174</v>
      </c>
      <c r="H65">
        <f t="shared" ca="1" si="28"/>
        <v>8</v>
      </c>
      <c r="K65" t="str">
        <f t="shared" ca="1" si="29"/>
        <v>Geoff's Sooper's</v>
      </c>
      <c r="L65">
        <f t="shared" si="33"/>
        <v>21</v>
      </c>
      <c r="M65" t="str">
        <f t="shared" ca="1" si="30"/>
        <v>Geoff Cooper</v>
      </c>
      <c r="N65" t="str">
        <f t="shared" ca="1" si="34"/>
        <v>Geoff's Sooper's</v>
      </c>
      <c r="O65">
        <f t="shared" ca="1" si="32"/>
        <v>4548</v>
      </c>
    </row>
    <row r="66" spans="1:15" x14ac:dyDescent="0.15">
      <c r="A66" s="71" t="s">
        <v>77</v>
      </c>
      <c r="B66" t="s">
        <v>133</v>
      </c>
      <c r="C66">
        <v>5</v>
      </c>
      <c r="D66">
        <f t="array" ref="D66">SUM(IF($3:$13=A66,1,0))</f>
        <v>9</v>
      </c>
      <c r="E66">
        <f ca="1">MATCH(A66,FantasyPts!$A$5:$A$57,0)</f>
        <v>22</v>
      </c>
      <c r="F66">
        <f ca="1">OFFSET(FantasyPts!$C$4,'Fantasy Teams'!E66,0)</f>
        <v>359</v>
      </c>
      <c r="G66" t="s">
        <v>175</v>
      </c>
      <c r="H66">
        <f t="shared" ca="1" si="28"/>
        <v>25</v>
      </c>
      <c r="K66" t="str">
        <f t="shared" ca="1" si="29"/>
        <v>Bailey's Battlers</v>
      </c>
      <c r="L66">
        <f t="shared" si="33"/>
        <v>22</v>
      </c>
      <c r="M66" t="str">
        <f t="shared" ca="1" si="30"/>
        <v>Jason Crisford</v>
      </c>
      <c r="N66" t="str">
        <f t="shared" ca="1" si="34"/>
        <v>Bailey's Battlers</v>
      </c>
      <c r="O66">
        <f t="shared" ca="1" si="32"/>
        <v>4499</v>
      </c>
    </row>
    <row r="67" spans="1:15" x14ac:dyDescent="0.15">
      <c r="A67" s="71" t="s">
        <v>171</v>
      </c>
      <c r="B67" t="s">
        <v>172</v>
      </c>
      <c r="C67">
        <v>1</v>
      </c>
      <c r="D67">
        <f t="array" ref="D67">SUM(IF($3:$13=A67,1,0))</f>
        <v>3</v>
      </c>
      <c r="E67">
        <f ca="1">MATCH(A67,FantasyPts!$A$5:$A$57,0)</f>
        <v>23</v>
      </c>
      <c r="F67">
        <f ca="1">OFFSET(FantasyPts!$C$4,'Fantasy Teams'!E67,0)</f>
        <v>0</v>
      </c>
      <c r="G67" t="s">
        <v>174</v>
      </c>
      <c r="H67">
        <f t="shared" ca="1" si="28"/>
        <v>24</v>
      </c>
      <c r="K67" t="str">
        <f t="shared" ca="1" si="29"/>
        <v>Holly's Hotshots</v>
      </c>
      <c r="L67">
        <f t="shared" si="33"/>
        <v>23</v>
      </c>
      <c r="M67" t="str">
        <f t="shared" ca="1" si="30"/>
        <v>Jason Crisford</v>
      </c>
      <c r="N67" t="str">
        <f t="shared" ca="1" si="34"/>
        <v>Holly's Hotshots</v>
      </c>
      <c r="O67">
        <f t="shared" ca="1" si="32"/>
        <v>4389</v>
      </c>
    </row>
    <row r="68" spans="1:15" x14ac:dyDescent="0.15">
      <c r="A68" s="71" t="s">
        <v>61</v>
      </c>
      <c r="B68" t="s">
        <v>134</v>
      </c>
      <c r="C68">
        <v>1</v>
      </c>
      <c r="D68">
        <f t="array" ref="D68">SUM(IF($3:$13=A68,1,0))</f>
        <v>2</v>
      </c>
      <c r="E68">
        <f ca="1">MATCH(A68,FantasyPts!$A$5:$A$57,0)</f>
        <v>24</v>
      </c>
      <c r="F68">
        <f ca="1">OFFSET(FantasyPts!$C$4,'Fantasy Teams'!E68,0)</f>
        <v>35</v>
      </c>
      <c r="G68" t="s">
        <v>175</v>
      </c>
      <c r="H68">
        <f t="shared" ca="1" si="28"/>
        <v>14</v>
      </c>
      <c r="K68" t="str">
        <f t="shared" ca="1" si="29"/>
        <v>The Name Game</v>
      </c>
      <c r="L68">
        <f t="shared" si="33"/>
        <v>24</v>
      </c>
      <c r="M68" t="str">
        <f t="shared" ca="1" si="30"/>
        <v>Mike Woodhouse</v>
      </c>
      <c r="N68" t="str">
        <f t="shared" ca="1" si="34"/>
        <v>The Name Game</v>
      </c>
      <c r="O68">
        <f t="shared" ca="1" si="32"/>
        <v>4277</v>
      </c>
    </row>
    <row r="69" spans="1:15" x14ac:dyDescent="0.15">
      <c r="A69" s="71" t="s">
        <v>279</v>
      </c>
      <c r="B69" t="s">
        <v>283</v>
      </c>
      <c r="C69">
        <v>1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OFFSET(FantasyPts!$C$4,'Fantasy Teams'!E69,0)</f>
        <v>5</v>
      </c>
      <c r="G69" t="s">
        <v>174</v>
      </c>
      <c r="H69">
        <f t="shared" ca="1" si="28"/>
        <v>2</v>
      </c>
      <c r="K69" t="str">
        <f t="shared" ca="1" si="29"/>
        <v>Two Stroke Oilers</v>
      </c>
      <c r="L69">
        <f t="shared" si="33"/>
        <v>25</v>
      </c>
      <c r="M69" t="str">
        <f t="shared" ca="1" si="30"/>
        <v>John Leadley</v>
      </c>
      <c r="N69" t="str">
        <f t="shared" ca="1" si="34"/>
        <v>Two Stroke Oilers</v>
      </c>
      <c r="O69">
        <f t="shared" ca="1" si="32"/>
        <v>4259</v>
      </c>
    </row>
    <row r="70" spans="1:15" x14ac:dyDescent="0.15">
      <c r="A70" s="71" t="s">
        <v>83</v>
      </c>
      <c r="B70" t="s">
        <v>86</v>
      </c>
      <c r="C70">
        <v>1</v>
      </c>
      <c r="D70">
        <f t="array" ref="D70">SUM(IF($3:$13=A70,1,0))</f>
        <v>4</v>
      </c>
      <c r="E70">
        <f ca="1">MATCH(A70,FantasyPts!$A$5:$A$57,0)</f>
        <v>26</v>
      </c>
      <c r="F70">
        <f ca="1">OFFSET(FantasyPts!$C$4,'Fantasy Teams'!E70,0)</f>
        <v>384</v>
      </c>
      <c r="G70" t="s">
        <v>175</v>
      </c>
      <c r="H70">
        <f t="shared" ca="1" si="28"/>
        <v>15</v>
      </c>
      <c r="K70" t="str">
        <f t="shared" ca="1" si="29"/>
        <v>The Fat Show</v>
      </c>
      <c r="L70">
        <f t="shared" si="33"/>
        <v>26</v>
      </c>
      <c r="M70" t="str">
        <f t="shared" ca="1" si="30"/>
        <v>Dave Morris</v>
      </c>
      <c r="N70" t="str">
        <f t="shared" ca="1" si="34"/>
        <v>The Fat Show</v>
      </c>
      <c r="O70">
        <f t="shared" ca="1" si="32"/>
        <v>4246</v>
      </c>
    </row>
    <row r="71" spans="1:15" x14ac:dyDescent="0.15">
      <c r="A71" s="71" t="s">
        <v>276</v>
      </c>
      <c r="B71" t="s">
        <v>284</v>
      </c>
      <c r="C71">
        <v>4</v>
      </c>
      <c r="D71">
        <f t="array" ref="D71">SUM(IF($3:$13=A71,1,0))</f>
        <v>6</v>
      </c>
      <c r="E71">
        <f ca="1">MATCH(A71,FantasyPts!$A$5:$A$57,0)</f>
        <v>27</v>
      </c>
      <c r="F71">
        <f ca="1">OFFSET(FantasyPts!$C$4,'Fantasy Teams'!E71,0)</f>
        <v>84</v>
      </c>
      <c r="G71" t="s">
        <v>175</v>
      </c>
      <c r="H71">
        <f t="shared" ca="1" si="28"/>
        <v>17</v>
      </c>
      <c r="K71" t="str">
        <f t="shared" ca="1" si="29"/>
        <v>Tired Old Hasbeens</v>
      </c>
      <c r="L71">
        <f t="shared" si="33"/>
        <v>27</v>
      </c>
      <c r="M71" t="str">
        <f t="shared" ca="1" si="30"/>
        <v>Tony Springer</v>
      </c>
      <c r="N71" t="str">
        <f t="shared" ca="1" si="34"/>
        <v>Tired Old Hasbeens</v>
      </c>
      <c r="O71">
        <f t="shared" ca="1" si="32"/>
        <v>4242</v>
      </c>
    </row>
    <row r="72" spans="1:15" x14ac:dyDescent="0.15">
      <c r="A72" s="71" t="s">
        <v>100</v>
      </c>
      <c r="B72" t="s">
        <v>97</v>
      </c>
      <c r="C72">
        <v>2</v>
      </c>
      <c r="D72">
        <f t="array" ref="D72">SUM(IF($3:$13=A72,1,0))</f>
        <v>5</v>
      </c>
      <c r="E72">
        <f ca="1">MATCH(A72,FantasyPts!$A$5:$A$57,0)</f>
        <v>28</v>
      </c>
      <c r="F72">
        <f ca="1">OFFSET(FantasyPts!$C$4,'Fantasy Teams'!E72,0)</f>
        <v>78</v>
      </c>
      <c r="G72" t="s">
        <v>174</v>
      </c>
      <c r="H72">
        <f t="shared" ca="1" si="28"/>
        <v>33</v>
      </c>
      <c r="K72" t="str">
        <f t="shared" ca="1" si="29"/>
        <v>The Crusaders</v>
      </c>
      <c r="L72">
        <f t="shared" si="33"/>
        <v>28</v>
      </c>
      <c r="M72" t="str">
        <f t="shared" ca="1" si="30"/>
        <v>Sue Dugdale</v>
      </c>
      <c r="N72" t="str">
        <f t="shared" ca="1" si="34"/>
        <v>The Crusaders</v>
      </c>
      <c r="O72">
        <f t="shared" ca="1" si="32"/>
        <v>4127</v>
      </c>
    </row>
    <row r="73" spans="1:15" x14ac:dyDescent="0.15">
      <c r="A73" s="71" t="s">
        <v>82</v>
      </c>
      <c r="B73" t="s">
        <v>91</v>
      </c>
      <c r="C73">
        <v>4</v>
      </c>
      <c r="D73">
        <f t="array" ref="D73">SUM(IF($3:$13=A73,1,0))</f>
        <v>22</v>
      </c>
      <c r="E73">
        <f ca="1">MATCH(A73,FantasyPts!$A$5:$A$57,0)</f>
        <v>29</v>
      </c>
      <c r="F73">
        <f ca="1">OFFSET(FantasyPts!$C$4,'Fantasy Teams'!E73,0)</f>
        <v>418</v>
      </c>
      <c r="G73" t="s">
        <v>174</v>
      </c>
      <c r="H73">
        <f t="shared" ca="1" si="28"/>
        <v>21</v>
      </c>
      <c r="K73" t="str">
        <f t="shared" ca="1" si="29"/>
        <v>Sharpey's 2nds</v>
      </c>
      <c r="L73">
        <f t="shared" si="33"/>
        <v>29</v>
      </c>
      <c r="M73" t="str">
        <f t="shared" ca="1" si="30"/>
        <v>Dave Sharpe</v>
      </c>
      <c r="N73" t="str">
        <f t="shared" ca="1" si="34"/>
        <v>Sharpey's 2nds</v>
      </c>
      <c r="O73">
        <f t="shared" ca="1" si="32"/>
        <v>4117</v>
      </c>
    </row>
    <row r="74" spans="1:15" x14ac:dyDescent="0.15">
      <c r="A74" s="71" t="s">
        <v>99</v>
      </c>
      <c r="B74" t="s">
        <v>135</v>
      </c>
      <c r="C74">
        <v>4</v>
      </c>
      <c r="D74">
        <f t="array" ref="D74">SUM(IF($3:$13=A74,1,0))</f>
        <v>1</v>
      </c>
      <c r="E74">
        <f ca="1">MATCH(A74,FantasyPts!$A$5:$A$57,0)</f>
        <v>30</v>
      </c>
      <c r="F74">
        <f ca="1">OFFSET(FantasyPts!$C$4,'Fantasy Teams'!E74,0)</f>
        <v>122</v>
      </c>
      <c r="G74" t="s">
        <v>174</v>
      </c>
      <c r="H74">
        <f t="shared" ca="1" si="28"/>
        <v>7</v>
      </c>
      <c r="K74" t="str">
        <f t="shared" ca="1" si="29"/>
        <v>"Full Team Today?"</v>
      </c>
      <c r="L74">
        <f t="shared" si="33"/>
        <v>30</v>
      </c>
      <c r="M74" t="str">
        <f t="shared" ca="1" si="30"/>
        <v>Colin Mander</v>
      </c>
      <c r="N74" t="str">
        <f t="shared" ca="1" si="34"/>
        <v>"Full Team Today?"</v>
      </c>
      <c r="O74">
        <f t="shared" ca="1" si="32"/>
        <v>4092</v>
      </c>
    </row>
    <row r="75" spans="1:15" x14ac:dyDescent="0.15">
      <c r="A75" s="71" t="s">
        <v>170</v>
      </c>
      <c r="B75" t="s">
        <v>173</v>
      </c>
      <c r="C75">
        <v>5</v>
      </c>
      <c r="D75">
        <f t="array" ref="D75">SUM(IF($3:$13=A75,1,0))</f>
        <v>10</v>
      </c>
      <c r="E75">
        <f ca="1">MATCH(A75,FantasyPts!$A$5:$A$57,0)</f>
        <v>31</v>
      </c>
      <c r="F75">
        <f ca="1">OFFSET(FantasyPts!$C$4,'Fantasy Teams'!E75,0)</f>
        <v>674</v>
      </c>
      <c r="G75" t="s">
        <v>174</v>
      </c>
      <c r="H75">
        <f t="shared" ca="1" si="28"/>
        <v>11</v>
      </c>
      <c r="K75" t="str">
        <f t="shared" ca="1" si="29"/>
        <v>We're s***t and we know we are</v>
      </c>
      <c r="L75">
        <f t="shared" si="33"/>
        <v>31</v>
      </c>
      <c r="M75" t="str">
        <f t="shared" ca="1" si="30"/>
        <v>Luke Hickey</v>
      </c>
      <c r="N75" t="str">
        <f t="shared" ca="1" si="34"/>
        <v>We're s***t and we know we are</v>
      </c>
      <c r="O75">
        <f t="shared" ca="1" si="32"/>
        <v>4087</v>
      </c>
    </row>
    <row r="76" spans="1:15" x14ac:dyDescent="0.15">
      <c r="A76" s="71" t="s">
        <v>278</v>
      </c>
      <c r="B76" t="s">
        <v>282</v>
      </c>
      <c r="C76">
        <v>1</v>
      </c>
      <c r="D76">
        <f t="array" ref="D76">SUM(IF($3:$13=A76,1,0))</f>
        <v>5</v>
      </c>
      <c r="E76">
        <f ca="1">MATCH(A76,FantasyPts!$A$5:$A$57,0)</f>
        <v>32</v>
      </c>
      <c r="F76">
        <f ca="1">OFFSET(FantasyPts!$C$4,'Fantasy Teams'!E76,0)</f>
        <v>0</v>
      </c>
      <c r="G76" t="s">
        <v>174</v>
      </c>
      <c r="H76">
        <f t="shared" ca="1" si="28"/>
        <v>31</v>
      </c>
      <c r="K76" t="str">
        <f t="shared" ca="1" si="29"/>
        <v>Ted's Maybes</v>
      </c>
      <c r="L76">
        <f t="shared" si="33"/>
        <v>32</v>
      </c>
      <c r="M76" t="str">
        <f t="shared" ca="1" si="30"/>
        <v>Ted Dugdale</v>
      </c>
      <c r="N76" t="str">
        <f t="shared" ca="1" si="34"/>
        <v>Ted's Maybes</v>
      </c>
      <c r="O76">
        <f t="shared" ca="1" si="32"/>
        <v>4058</v>
      </c>
    </row>
    <row r="77" spans="1:15" x14ac:dyDescent="0.15">
      <c r="A77" s="71" t="s">
        <v>101</v>
      </c>
      <c r="B77" t="s">
        <v>93</v>
      </c>
      <c r="C77">
        <v>3</v>
      </c>
      <c r="D77">
        <f t="array" ref="D77">SUM(IF($3:$13=A77,1,0))</f>
        <v>17</v>
      </c>
      <c r="E77">
        <f ca="1">MATCH(A77,FantasyPts!$A$5:$A$57,0)</f>
        <v>33</v>
      </c>
      <c r="F77">
        <f ca="1">OFFSET(FantasyPts!$C$4,'Fantasy Teams'!E77,0)</f>
        <v>249</v>
      </c>
      <c r="G77" t="s">
        <v>174</v>
      </c>
      <c r="H77">
        <f t="shared" ca="1" si="28"/>
        <v>23</v>
      </c>
      <c r="K77" t="str">
        <f t="shared" ca="1" si="29"/>
        <v>Slappers XI</v>
      </c>
      <c r="L77">
        <f t="shared" si="33"/>
        <v>33</v>
      </c>
      <c r="M77" t="str">
        <f t="shared" ca="1" si="30"/>
        <v>Jeff Lestrelle</v>
      </c>
      <c r="N77" t="str">
        <f t="shared" ca="1" si="34"/>
        <v>Slappers XI</v>
      </c>
      <c r="O77">
        <f t="shared" ca="1" si="32"/>
        <v>4014</v>
      </c>
    </row>
    <row r="78" spans="1:15" x14ac:dyDescent="0.15">
      <c r="A78" s="71" t="s">
        <v>266</v>
      </c>
      <c r="B78" t="s">
        <v>287</v>
      </c>
      <c r="C78">
        <v>2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OFFSET(FantasyPts!$C$4,'Fantasy Teams'!E78,0)</f>
        <v>0</v>
      </c>
      <c r="G78" t="s">
        <v>174</v>
      </c>
      <c r="H78" t="e">
        <f t="shared" ca="1" si="28"/>
        <v>#N/A</v>
      </c>
      <c r="K78" t="e">
        <f t="shared" ca="1" si="29"/>
        <v>#N/A</v>
      </c>
      <c r="L78">
        <f t="shared" si="33"/>
        <v>34</v>
      </c>
      <c r="M78" t="e">
        <f t="shared" ca="1" si="30"/>
        <v>#N/A</v>
      </c>
      <c r="N78" t="e">
        <f t="shared" ca="1" si="34"/>
        <v>#N/A</v>
      </c>
      <c r="O78" t="e">
        <f t="shared" ca="1" si="32"/>
        <v>#N/A</v>
      </c>
    </row>
    <row r="79" spans="1:15" x14ac:dyDescent="0.15">
      <c r="A79" s="71" t="s">
        <v>76</v>
      </c>
      <c r="B79" t="s">
        <v>136</v>
      </c>
      <c r="C79">
        <v>4</v>
      </c>
      <c r="D79">
        <f t="array" ref="D79">SUM(IF($3:$13=A79,1,0))</f>
        <v>10</v>
      </c>
      <c r="E79">
        <f ca="1">MATCH(A79,FantasyPts!$A$5:$A$57,0)</f>
        <v>35</v>
      </c>
      <c r="F79">
        <f ca="1">OFFSET(FantasyPts!$C$4,'Fantasy Teams'!E79,0)</f>
        <v>243</v>
      </c>
      <c r="G79" t="s">
        <v>14</v>
      </c>
      <c r="H79" t="e">
        <f t="shared" ca="1" si="28"/>
        <v>#N/A</v>
      </c>
      <c r="K79" t="e">
        <f t="shared" ca="1" si="29"/>
        <v>#N/A</v>
      </c>
      <c r="L79">
        <f t="shared" si="33"/>
        <v>35</v>
      </c>
      <c r="M79" t="e">
        <f t="shared" ca="1" si="30"/>
        <v>#N/A</v>
      </c>
      <c r="N79" t="e">
        <f t="shared" ref="N79:N87" ca="1" si="35">IF(K79=0,"",K79)</f>
        <v>#N/A</v>
      </c>
      <c r="O79" t="e">
        <f t="shared" ca="1" si="32"/>
        <v>#N/A</v>
      </c>
    </row>
    <row r="80" spans="1:15" x14ac:dyDescent="0.15">
      <c r="A80" s="71" t="s">
        <v>79</v>
      </c>
      <c r="B80" t="s">
        <v>137</v>
      </c>
      <c r="C80">
        <v>1</v>
      </c>
      <c r="D80">
        <f t="array" ref="D80">SUM(IF($3:$13=A80,1,0))</f>
        <v>1</v>
      </c>
      <c r="E80">
        <f ca="1">MATCH(A80,FantasyPts!$A$5:$A$57,0)</f>
        <v>36</v>
      </c>
      <c r="F80">
        <f ca="1">OFFSET(FantasyPts!$C$4,'Fantasy Teams'!E80,0)</f>
        <v>30</v>
      </c>
      <c r="G80" t="s">
        <v>175</v>
      </c>
      <c r="H80" t="e">
        <f t="shared" ca="1" si="28"/>
        <v>#N/A</v>
      </c>
      <c r="K80" t="e">
        <f t="shared" ca="1" si="29"/>
        <v>#N/A</v>
      </c>
      <c r="L80">
        <f t="shared" si="33"/>
        <v>36</v>
      </c>
      <c r="M80" t="e">
        <f t="shared" ca="1" si="30"/>
        <v>#N/A</v>
      </c>
      <c r="N80" t="e">
        <f t="shared" ca="1" si="35"/>
        <v>#N/A</v>
      </c>
      <c r="O80" t="e">
        <f t="shared" ca="1" si="32"/>
        <v>#N/A</v>
      </c>
    </row>
    <row r="81" spans="1:15" x14ac:dyDescent="0.15">
      <c r="A81" s="71" t="s">
        <v>277</v>
      </c>
      <c r="B81" t="s">
        <v>281</v>
      </c>
      <c r="C81">
        <v>2</v>
      </c>
      <c r="D81">
        <f t="array" ref="D81">SUM(IF($3:$13=A81,1,0))</f>
        <v>5</v>
      </c>
      <c r="E81">
        <f ca="1">MATCH(A81,FantasyPts!$A$5:$A$57,0)</f>
        <v>37</v>
      </c>
      <c r="F81">
        <f ca="1">OFFSET(FantasyPts!$C$4,'Fantasy Teams'!E81,0)</f>
        <v>60</v>
      </c>
      <c r="G81" t="s">
        <v>174</v>
      </c>
      <c r="H81" t="e">
        <f t="shared" ca="1" si="28"/>
        <v>#N/A</v>
      </c>
      <c r="K81" t="e">
        <f t="shared" ca="1" si="29"/>
        <v>#N/A</v>
      </c>
      <c r="L81">
        <f t="shared" si="33"/>
        <v>37</v>
      </c>
      <c r="M81" t="e">
        <f t="shared" ca="1" si="30"/>
        <v>#N/A</v>
      </c>
      <c r="N81" t="e">
        <f t="shared" ca="1" si="35"/>
        <v>#N/A</v>
      </c>
      <c r="O81" t="e">
        <f t="shared" ca="1" si="32"/>
        <v>#N/A</v>
      </c>
    </row>
    <row r="82" spans="1:15" x14ac:dyDescent="0.15">
      <c r="A82" s="71" t="s">
        <v>59</v>
      </c>
      <c r="B82" t="s">
        <v>84</v>
      </c>
      <c r="C82">
        <v>7</v>
      </c>
      <c r="D82">
        <f t="array" ref="D82">SUM(IF($3:$13=A82,1,0))</f>
        <v>22</v>
      </c>
      <c r="E82">
        <f ca="1">MATCH(A82,FantasyPts!$A$5:$A$57,0)</f>
        <v>38</v>
      </c>
      <c r="F82">
        <f ca="1">OFFSET(FantasyPts!$C$4,'Fantasy Teams'!E82,0)</f>
        <v>315</v>
      </c>
      <c r="G82" t="s">
        <v>14</v>
      </c>
      <c r="H82" t="e">
        <f t="shared" ca="1" si="28"/>
        <v>#N/A</v>
      </c>
      <c r="K82" t="e">
        <f t="shared" ca="1" si="29"/>
        <v>#N/A</v>
      </c>
      <c r="L82">
        <f t="shared" si="33"/>
        <v>38</v>
      </c>
      <c r="M82" t="e">
        <f t="shared" ca="1" si="30"/>
        <v>#N/A</v>
      </c>
      <c r="N82" t="e">
        <f t="shared" ca="1" si="35"/>
        <v>#N/A</v>
      </c>
      <c r="O82" t="e">
        <f t="shared" ca="1" si="32"/>
        <v>#N/A</v>
      </c>
    </row>
    <row r="83" spans="1:15" x14ac:dyDescent="0.15">
      <c r="A83" s="71" t="s">
        <v>75</v>
      </c>
      <c r="B83" t="s">
        <v>138</v>
      </c>
      <c r="C83">
        <v>10</v>
      </c>
      <c r="D83">
        <f t="array" ref="D83">SUM(IF($3:$13=A83,1,0))</f>
        <v>23</v>
      </c>
      <c r="E83">
        <f ca="1">MATCH(A83,FantasyPts!$A$5:$A$57,0)</f>
        <v>39</v>
      </c>
      <c r="F83">
        <f ca="1">OFFSET(FantasyPts!$C$4,'Fantasy Teams'!E83,0)</f>
        <v>1437</v>
      </c>
      <c r="G83" t="s">
        <v>176</v>
      </c>
      <c r="H83" t="e">
        <f t="shared" ca="1" si="28"/>
        <v>#N/A</v>
      </c>
      <c r="K83" t="e">
        <f t="shared" ca="1" si="29"/>
        <v>#N/A</v>
      </c>
      <c r="L83">
        <f t="shared" si="33"/>
        <v>39</v>
      </c>
      <c r="M83" t="e">
        <f t="shared" ca="1" si="30"/>
        <v>#N/A</v>
      </c>
      <c r="N83" t="e">
        <f t="shared" ca="1" si="35"/>
        <v>#N/A</v>
      </c>
      <c r="O83" t="e">
        <f t="shared" ca="1" si="32"/>
        <v>#N/A</v>
      </c>
    </row>
    <row r="84" spans="1:15" x14ac:dyDescent="0.15">
      <c r="A84" s="71" t="s">
        <v>271</v>
      </c>
      <c r="B84" t="s">
        <v>286</v>
      </c>
      <c r="C84">
        <v>2</v>
      </c>
      <c r="D84">
        <f t="array" ref="D84">SUM(IF($3:$13=A84,1,0))</f>
        <v>0</v>
      </c>
      <c r="E84">
        <f ca="1">MATCH(A84,FantasyPts!$A$5:$A$57,0)</f>
        <v>40</v>
      </c>
      <c r="F84">
        <f ca="1">OFFSET(FantasyPts!$C$4,'Fantasy Teams'!E84,0)</f>
        <v>0</v>
      </c>
      <c r="G84" t="s">
        <v>176</v>
      </c>
      <c r="H84" t="e">
        <f t="shared" ca="1" si="28"/>
        <v>#N/A</v>
      </c>
      <c r="K84" t="e">
        <f t="shared" ca="1" si="29"/>
        <v>#N/A</v>
      </c>
      <c r="L84">
        <f t="shared" si="33"/>
        <v>40</v>
      </c>
      <c r="M84" t="e">
        <f t="shared" ca="1" si="30"/>
        <v>#N/A</v>
      </c>
      <c r="N84" t="e">
        <f t="shared" ca="1" si="35"/>
        <v>#N/A</v>
      </c>
      <c r="O84" t="e">
        <f t="shared" ca="1" si="32"/>
        <v>#N/A</v>
      </c>
    </row>
    <row r="85" spans="1:15" x14ac:dyDescent="0.15">
      <c r="A85" s="71" t="s">
        <v>71</v>
      </c>
      <c r="B85" t="s">
        <v>85</v>
      </c>
      <c r="C85">
        <v>4</v>
      </c>
      <c r="D85">
        <f t="array" ref="D85">SUM(IF($3:$13=A85,1,0))</f>
        <v>6</v>
      </c>
      <c r="E85">
        <f ca="1">MATCH(A85,FantasyPts!$A$5:$A$57,0)</f>
        <v>41</v>
      </c>
      <c r="F85">
        <f ca="1">OFFSET(FantasyPts!$C$4,'Fantasy Teams'!E85,0)</f>
        <v>99</v>
      </c>
      <c r="G85" t="s">
        <v>174</v>
      </c>
      <c r="H85" t="e">
        <f t="shared" ca="1" si="28"/>
        <v>#N/A</v>
      </c>
      <c r="K85" t="e">
        <f t="shared" ca="1" si="29"/>
        <v>#N/A</v>
      </c>
      <c r="L85">
        <f t="shared" si="33"/>
        <v>41</v>
      </c>
      <c r="M85" t="e">
        <f t="shared" ca="1" si="30"/>
        <v>#N/A</v>
      </c>
      <c r="N85" t="e">
        <f t="shared" ca="1" si="35"/>
        <v>#N/A</v>
      </c>
      <c r="O85" t="e">
        <f t="shared" ca="1" si="32"/>
        <v>#N/A</v>
      </c>
    </row>
    <row r="86" spans="1:15" x14ac:dyDescent="0.15">
      <c r="A86" s="71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1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176</v>
      </c>
      <c r="H89">
        <f t="array" ref="H89">SUM(IF($G$45:$G$87=G89,1,0))</f>
        <v>6</v>
      </c>
    </row>
    <row r="90" spans="1:15" x14ac:dyDescent="0.15">
      <c r="G90" t="s">
        <v>174</v>
      </c>
      <c r="H90">
        <f t="array" ref="H90">SUM(IF($G$45:$G$87=G90,1,0))</f>
        <v>19</v>
      </c>
    </row>
    <row r="91" spans="1:15" x14ac:dyDescent="0.15">
      <c r="G91" t="s">
        <v>175</v>
      </c>
      <c r="H91">
        <f t="array" ref="H91">SUM(IF($G$45:$G$87=G91,1,0))</f>
        <v>13</v>
      </c>
    </row>
    <row r="92" spans="1:15" x14ac:dyDescent="0.15">
      <c r="G92" t="s">
        <v>14</v>
      </c>
      <c r="H92">
        <f t="array" ref="H92">SUM(IF($G$45:$G$87=G92,1,0))</f>
        <v>3</v>
      </c>
    </row>
    <row r="93" spans="1:15" x14ac:dyDescent="0.15">
      <c r="G93" t="s">
        <v>228</v>
      </c>
      <c r="H93">
        <f>SUM(H89:H92)</f>
        <v>41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>
      <selection activeCell="P58" sqref="P58:P59"/>
    </sheetView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hidden="1" customWidth="1"/>
    <col min="12" max="12" width="8.7109375" style="5" hidden="1" customWidth="1"/>
    <col min="13" max="13" width="6.42578125" style="5" hidden="1" customWidth="1"/>
    <col min="14" max="14" width="4.42578125" style="5" hidden="1" customWidth="1"/>
    <col min="15" max="15" width="5.5703125" style="5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106</v>
      </c>
      <c r="C1" s="9">
        <v>89</v>
      </c>
    </row>
    <row r="2" spans="1:20" x14ac:dyDescent="0.2">
      <c r="A2" s="5" t="s">
        <v>107</v>
      </c>
      <c r="C2" s="9">
        <v>91</v>
      </c>
    </row>
    <row r="4" spans="1:20" ht="22.5" x14ac:dyDescent="0.2">
      <c r="A4" s="8"/>
      <c r="B4" s="8" t="s">
        <v>108</v>
      </c>
      <c r="C4" s="8" t="s">
        <v>109</v>
      </c>
      <c r="D4" s="8" t="s">
        <v>820</v>
      </c>
      <c r="E4" s="8" t="s">
        <v>110</v>
      </c>
      <c r="F4" s="8" t="s">
        <v>111</v>
      </c>
      <c r="G4" s="8" t="s">
        <v>112</v>
      </c>
      <c r="H4" s="8" t="s">
        <v>113</v>
      </c>
      <c r="I4" s="8" t="s">
        <v>114</v>
      </c>
      <c r="J4" s="8" t="s">
        <v>102</v>
      </c>
      <c r="K4" s="8" t="s">
        <v>115</v>
      </c>
      <c r="M4" s="8" t="s">
        <v>116</v>
      </c>
    </row>
    <row r="5" spans="1:20" x14ac:dyDescent="0.2">
      <c r="A5" s="71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>
        <f ca="1">MATCH(A5,Batting!$A$5:$A$77,0)</f>
        <v>23</v>
      </c>
      <c r="F5" s="9">
        <f ca="1">IF(NOT(ISNA(E5)),OFFSET(Batting!$B$4,E5,$C$1,1,1),0)</f>
        <v>0</v>
      </c>
      <c r="G5" s="9" t="e">
        <f ca="1">MATCH(A5,Bowling!$A$5:$A$57,0)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1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RANK(L5,$L$5:$L$45)</f>
        <v>41</v>
      </c>
      <c r="N5" s="5">
        <f ca="1">MATCH(O5,$M$5:$M$55,0)</f>
        <v>26</v>
      </c>
      <c r="O5" s="5">
        <v>1</v>
      </c>
      <c r="P5" s="5" t="str">
        <f t="shared" ref="P5:P31" ca="1" si="1">OFFSET($B$4,N5,0)</f>
        <v>Mike Bowers</v>
      </c>
      <c r="Q5" s="7">
        <f t="shared" ref="Q5:Q31" ca="1" si="2">OFFSET($K$4,N5,0)</f>
        <v>384</v>
      </c>
      <c r="R5" s="5">
        <f t="shared" ref="R5:R46" ca="1" si="3">OFFSET($J$4,N5,0)</f>
        <v>1</v>
      </c>
    </row>
    <row r="6" spans="1:20" x14ac:dyDescent="0.2">
      <c r="A6" s="71" t="str">
        <f ca="1"/>
        <v>AICO</v>
      </c>
      <c r="B6" t="str">
        <f ca="1"/>
        <v>Aiden Coloe</v>
      </c>
      <c r="C6" s="9">
        <f t="shared" ca="1" si="0"/>
        <v>109</v>
      </c>
      <c r="D6" s="9">
        <f ca="1">IF(NOT(ISNA(E6)),5*OFFSET(Batting!$CE$4,E6,0,1,1),0)</f>
        <v>40</v>
      </c>
      <c r="E6" s="9">
        <f ca="1">MATCH(A6,Batting!$A$5:$A$77,0)</f>
        <v>13</v>
      </c>
      <c r="F6" s="9">
        <f ca="1">IF(NOT(ISNA(E6)),OFFSET(Batting!$B$4,E6,$C$1,1,1),0)</f>
        <v>63</v>
      </c>
      <c r="G6" s="9">
        <f ca="1">MATCH(A6,Bowling!$A$5:$A$57,0)</f>
        <v>9</v>
      </c>
      <c r="H6" s="9">
        <f ca="1">IF(NOT(ISNA(G6)),OFFSET(Bowling!$CO$4,G6,0,1,1),0)</f>
        <v>-4</v>
      </c>
      <c r="I6" s="9">
        <f ca="1">IF(NOT(ISNA(E6)),OFFSET(Batting!$B$4,E6,$C$1+1,1,1),0)</f>
        <v>10</v>
      </c>
      <c r="J6" s="9">
        <f ca="1">VLOOKUP(A6,'Fantasy Teams'!$A$45:$C$87,3,FALSE)</f>
        <v>2</v>
      </c>
      <c r="K6" s="10">
        <f t="shared" ref="K6:K46" ca="1" si="4">INT(C6*1000/J6)/1000</f>
        <v>54.5</v>
      </c>
      <c r="L6" s="5">
        <f t="shared" ref="L6:L46" ca="1" si="5">K6+ROW(K6)/100000</f>
        <v>54.500059999999998</v>
      </c>
      <c r="M6" s="5">
        <f t="shared" ref="M6:M46" ca="1" si="6">RANK(L6,$L$5:$L$45)</f>
        <v>20</v>
      </c>
      <c r="N6" s="5">
        <f t="shared" ref="N6:N46" ca="1" si="7">MATCH(O6,$M$5:$M$55,0)</f>
        <v>39</v>
      </c>
      <c r="O6" s="5">
        <f>O5+1</f>
        <v>2</v>
      </c>
      <c r="P6" s="5" t="str">
        <f t="shared" ca="1" si="1"/>
        <v>Tony Springer</v>
      </c>
      <c r="Q6" s="7">
        <f t="shared" ca="1" si="2"/>
        <v>143.69999999999999</v>
      </c>
      <c r="R6" s="5">
        <f t="shared" ca="1" si="3"/>
        <v>10</v>
      </c>
    </row>
    <row r="7" spans="1:20" x14ac:dyDescent="0.2">
      <c r="A7" s="71" t="str">
        <f ca="1"/>
        <v>ALHA</v>
      </c>
      <c r="B7" t="str">
        <f ca="1"/>
        <v>Alex Hamilton</v>
      </c>
      <c r="C7" s="9">
        <f t="shared" ca="1" si="0"/>
        <v>0</v>
      </c>
      <c r="D7" s="9">
        <f ca="1">IF(NOT(ISNA(E7)),5*OFFSET(Batting!$CE$4,E7,0,1,1),0)</f>
        <v>0</v>
      </c>
      <c r="E7" s="9">
        <f ca="1">MATCH(A7,Batting!$A$5:$A$77,0)</f>
        <v>21</v>
      </c>
      <c r="F7" s="9">
        <f ca="1">IF(NOT(ISNA(E7)),OFFSET(Batting!$B$4,E7,$C$1,1,1),0)</f>
        <v>0</v>
      </c>
      <c r="G7" s="9" t="e">
        <f ca="1">MATCH(A7,Bowling!$A$5:$A$57,0)</f>
        <v>#N/A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4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40</v>
      </c>
      <c r="N7" s="5">
        <f t="shared" ca="1" si="7"/>
        <v>31</v>
      </c>
      <c r="O7" s="5">
        <f t="shared" ref="O7:O46" si="8">O6+1</f>
        <v>3</v>
      </c>
      <c r="P7" s="5" t="str">
        <f t="shared" ca="1" si="1"/>
        <v>Neil Mander</v>
      </c>
      <c r="Q7" s="7">
        <f t="shared" ca="1" si="2"/>
        <v>134.80000000000001</v>
      </c>
      <c r="R7" s="5">
        <f t="shared" ca="1" si="3"/>
        <v>5</v>
      </c>
    </row>
    <row r="8" spans="1:20" x14ac:dyDescent="0.2">
      <c r="A8" s="71" t="str">
        <f ca="1"/>
        <v>ANMA</v>
      </c>
      <c r="B8" t="str">
        <f ca="1"/>
        <v>Andy Mander</v>
      </c>
      <c r="C8" s="9">
        <f t="shared" ca="1" si="0"/>
        <v>541</v>
      </c>
      <c r="D8" s="9">
        <f ca="1">IF(NOT(ISNA(E8)),5*OFFSET(Batting!$CE$4,E8,0,1,1),0)</f>
        <v>75</v>
      </c>
      <c r="E8" s="9">
        <f ca="1">MATCH(A8,Batting!$A$5:$A$77,0)</f>
        <v>33</v>
      </c>
      <c r="F8" s="9">
        <f ca="1">IF(NOT(ISNA(E8)),OFFSET(Batting!$B$4,E8,$C$1,1,1),0)</f>
        <v>68</v>
      </c>
      <c r="G8" s="9">
        <f ca="1">MATCH(A8,Bowling!$A$5:$A$57,0)</f>
        <v>24</v>
      </c>
      <c r="H8" s="9">
        <f ca="1">IF(NOT(ISNA(G8)),OFFSET(Bowling!$CO$4,G8,0,1,1),0)</f>
        <v>378</v>
      </c>
      <c r="I8" s="9">
        <f ca="1">IF(NOT(ISNA(E8)),OFFSET(Batting!$B$4,E8,$C$1+1,1,1),0)</f>
        <v>20</v>
      </c>
      <c r="J8" s="9">
        <f ca="1">VLOOKUP(A8,'Fantasy Teams'!$A$45:$C$87,3,FALSE)</f>
        <v>8</v>
      </c>
      <c r="K8" s="10">
        <f t="shared" ca="1" si="4"/>
        <v>67.625</v>
      </c>
      <c r="L8" s="5">
        <f t="shared" ca="1" si="5"/>
        <v>67.625079999999997</v>
      </c>
      <c r="M8" s="5">
        <f t="shared" ca="1" si="6"/>
        <v>16</v>
      </c>
      <c r="N8" s="5">
        <f t="shared" ca="1" si="7"/>
        <v>6</v>
      </c>
      <c r="O8" s="5">
        <f t="shared" si="8"/>
        <v>4</v>
      </c>
      <c r="P8" s="5" t="str">
        <f t="shared" ca="1" si="1"/>
        <v>Chris Clark</v>
      </c>
      <c r="Q8" s="7">
        <f t="shared" ca="1" si="2"/>
        <v>120.8</v>
      </c>
      <c r="R8" s="5">
        <f t="shared" ca="1" si="3"/>
        <v>5</v>
      </c>
    </row>
    <row r="9" spans="1:20" x14ac:dyDescent="0.2">
      <c r="A9" s="71" t="str">
        <f ca="1"/>
        <v>BOYO</v>
      </c>
      <c r="B9" t="str">
        <f ca="1"/>
        <v>Bob Young</v>
      </c>
      <c r="C9" s="9">
        <f t="shared" ca="1" si="0"/>
        <v>339</v>
      </c>
      <c r="D9" s="9">
        <f ca="1">IF(NOT(ISNA(E9)),5*OFFSET(Batting!$CE$4,E9,0,1,1),0)</f>
        <v>75</v>
      </c>
      <c r="E9" s="9">
        <f ca="1">MATCH(A9,Batting!$A$5:$A$77,0)</f>
        <v>61</v>
      </c>
      <c r="F9" s="9">
        <f ca="1">IF(NOT(ISNA(E9)),OFFSET(Batting!$B$4,E9,$C$1,1,1),0)</f>
        <v>8</v>
      </c>
      <c r="G9" s="9">
        <f ca="1">MATCH(A9,Bowling!$A$5:$A$57,0)</f>
        <v>49</v>
      </c>
      <c r="H9" s="9">
        <f ca="1">IF(NOT(ISNA(G9)),OFFSET(Bowling!$CO$4,G9,0,1,1),0)</f>
        <v>221</v>
      </c>
      <c r="I9" s="9">
        <f ca="1">IF(NOT(ISNA(E9)),OFFSET(Batting!$B$4,E9,$C$1+1,1,1),0)</f>
        <v>35</v>
      </c>
      <c r="J9" s="9">
        <f ca="1">VLOOKUP(A9,'Fantasy Teams'!$A$45:$C$87,3,FALSE)</f>
        <v>4</v>
      </c>
      <c r="K9" s="10">
        <f t="shared" ca="1" si="4"/>
        <v>84.75</v>
      </c>
      <c r="L9" s="5">
        <f t="shared" ca="1" si="5"/>
        <v>84.75009</v>
      </c>
      <c r="M9" s="5">
        <f t="shared" ca="1" si="6"/>
        <v>11</v>
      </c>
      <c r="N9" s="5">
        <f t="shared" ca="1" si="7"/>
        <v>19</v>
      </c>
      <c r="O9" s="5">
        <f t="shared" si="8"/>
        <v>5</v>
      </c>
      <c r="P9" s="5" t="str">
        <f t="shared" ca="1" si="1"/>
        <v>Jeff Middleton</v>
      </c>
      <c r="Q9" s="7">
        <f t="shared" ca="1" si="2"/>
        <v>119</v>
      </c>
      <c r="R9" s="5">
        <f t="shared" ca="1" si="3"/>
        <v>2</v>
      </c>
    </row>
    <row r="10" spans="1:20" x14ac:dyDescent="0.2">
      <c r="A10" s="71" t="str">
        <f ca="1"/>
        <v>CHCL</v>
      </c>
      <c r="B10" t="str">
        <f ca="1"/>
        <v>Chris Clark</v>
      </c>
      <c r="C10" s="9">
        <f t="shared" ca="1" si="0"/>
        <v>604</v>
      </c>
      <c r="D10" s="9">
        <f ca="1">IF(NOT(ISNA(E10)),5*OFFSET(Batting!$CE$4,E10,0,1,1),0)</f>
        <v>75</v>
      </c>
      <c r="E10" s="9">
        <f ca="1">MATCH(A10,Batting!$A$5:$A$77,0)</f>
        <v>11</v>
      </c>
      <c r="F10" s="9">
        <f ca="1">IF(NOT(ISNA(E10)),OFFSET(Batting!$B$4,E10,$C$1,1,1),0)</f>
        <v>50</v>
      </c>
      <c r="G10" s="9">
        <f ca="1">MATCH(A10,Bowling!$A$5:$A$57,0)</f>
        <v>7</v>
      </c>
      <c r="H10" s="9">
        <f ca="1">IF(NOT(ISNA(G10)),OFFSET(Bowling!$CO$4,G10,0,1,1),0)</f>
        <v>449</v>
      </c>
      <c r="I10" s="9">
        <f ca="1">IF(NOT(ISNA(E10)),OFFSET(Batting!$B$4,E10,$C$1+1,1,1),0)</f>
        <v>30</v>
      </c>
      <c r="J10" s="9">
        <f ca="1">VLOOKUP(A10,'Fantasy Teams'!$A$45:$C$87,3,FALSE)</f>
        <v>5</v>
      </c>
      <c r="K10" s="10">
        <f t="shared" ca="1" si="4"/>
        <v>120.8</v>
      </c>
      <c r="L10" s="5">
        <f t="shared" ca="1" si="5"/>
        <v>120.8001</v>
      </c>
      <c r="M10" s="5">
        <f t="shared" ca="1" si="6"/>
        <v>4</v>
      </c>
      <c r="N10" s="5">
        <f t="shared" ca="1" si="7"/>
        <v>15</v>
      </c>
      <c r="O10" s="5">
        <f t="shared" si="8"/>
        <v>6</v>
      </c>
      <c r="P10" s="5" t="str">
        <f t="shared" ca="1" si="1"/>
        <v>Geoff Cooper</v>
      </c>
      <c r="Q10" s="7">
        <f t="shared" ca="1" si="2"/>
        <v>111.2</v>
      </c>
      <c r="R10" s="5">
        <f t="shared" ca="1" si="3"/>
        <v>5</v>
      </c>
    </row>
    <row r="11" spans="1:20" x14ac:dyDescent="0.2">
      <c r="A11" s="71" t="str">
        <f ca="1"/>
        <v>COMA</v>
      </c>
      <c r="B11" t="str">
        <f ca="1"/>
        <v>Colin Mander</v>
      </c>
      <c r="C11" s="9">
        <f t="shared" ca="1" si="0"/>
        <v>566</v>
      </c>
      <c r="D11" s="9">
        <f ca="1">IF(NOT(ISNA(E11)),5*OFFSET(Batting!$CE$4,E11,0,1,1),0)</f>
        <v>70</v>
      </c>
      <c r="E11" s="9">
        <f ca="1">MATCH(A11,Batting!$A$5:$A$77,0)</f>
        <v>34</v>
      </c>
      <c r="F11" s="9">
        <f ca="1">IF(NOT(ISNA(E11)),OFFSET(Batting!$B$4,E11,$C$1,1,1),0)</f>
        <v>180</v>
      </c>
      <c r="G11" s="9">
        <f ca="1">MATCH(A11,Bowling!$A$5:$A$57,0)</f>
        <v>25</v>
      </c>
      <c r="H11" s="9">
        <f ca="1">IF(NOT(ISNA(G11)),OFFSET(Bowling!$CO$4,G11,0,1,1),0)</f>
        <v>230</v>
      </c>
      <c r="I11" s="9">
        <f ca="1">IF(NOT(ISNA(E11)),OFFSET(Batting!$B$4,E11,$C$1+1,1,1),0)</f>
        <v>86</v>
      </c>
      <c r="J11" s="9">
        <f ca="1">VLOOKUP(A11,'Fantasy Teams'!$A$45:$C$87,3,FALSE)</f>
        <v>7</v>
      </c>
      <c r="K11" s="10">
        <f t="shared" ca="1" si="4"/>
        <v>80.856999999999999</v>
      </c>
      <c r="L11" s="5">
        <f t="shared" ca="1" si="5"/>
        <v>80.857110000000006</v>
      </c>
      <c r="M11" s="5">
        <f t="shared" ca="1" si="6"/>
        <v>13</v>
      </c>
      <c r="N11" s="5">
        <f t="shared" ca="1" si="7"/>
        <v>10</v>
      </c>
      <c r="O11" s="5">
        <f t="shared" si="8"/>
        <v>7</v>
      </c>
      <c r="P11" s="5" t="str">
        <f t="shared" ca="1" si="1"/>
        <v>Dave Morris</v>
      </c>
      <c r="Q11" s="7">
        <f t="shared" ca="1" si="2"/>
        <v>106.75</v>
      </c>
      <c r="R11" s="5">
        <f t="shared" ca="1" si="3"/>
        <v>4</v>
      </c>
    </row>
    <row r="12" spans="1:20" x14ac:dyDescent="0.2">
      <c r="A12" s="71" t="str">
        <f ca="1"/>
        <v>DABR</v>
      </c>
      <c r="B12" t="str">
        <f ca="1"/>
        <v>David Brocks</v>
      </c>
      <c r="C12" s="9">
        <f t="shared" ca="1" si="0"/>
        <v>193</v>
      </c>
      <c r="D12" s="9">
        <f ca="1">IF(NOT(ISNA(E12)),5*OFFSET(Batting!$CE$4,E12,0,1,1),0)</f>
        <v>20</v>
      </c>
      <c r="E12" s="9">
        <f ca="1">MATCH(A12,Batting!$A$5:$A$77,0)</f>
        <v>7</v>
      </c>
      <c r="F12" s="9">
        <f ca="1">IF(NOT(ISNA(E12)),OFFSET(Batting!$B$4,E12,$C$1,1,1),0)</f>
        <v>109</v>
      </c>
      <c r="G12" s="9">
        <f ca="1">MATCH(A12,Bowling!$A$5:$A$57,0)</f>
        <v>4</v>
      </c>
      <c r="H12" s="9">
        <f ca="1">IF(NOT(ISNA(G12)),OFFSET(Bowling!$CO$4,G12,0,1,1),0)</f>
        <v>59</v>
      </c>
      <c r="I12" s="9">
        <f ca="1">IF(NOT(ISNA(E12)),OFFSET(Batting!$B$4,E12,$C$1+1,1,1),0)</f>
        <v>5</v>
      </c>
      <c r="J12" s="9">
        <f ca="1">VLOOKUP(A12,'Fantasy Teams'!$A$45:$C$87,3,FALSE)</f>
        <v>3</v>
      </c>
      <c r="K12" s="10">
        <f t="shared" ca="1" si="4"/>
        <v>64.332999999999998</v>
      </c>
      <c r="L12" s="5">
        <f t="shared" ca="1" si="5"/>
        <v>64.333119999999994</v>
      </c>
      <c r="M12" s="5">
        <f t="shared" ca="1" si="6"/>
        <v>18</v>
      </c>
      <c r="N12" s="5">
        <f t="shared" ca="1" si="7"/>
        <v>29</v>
      </c>
      <c r="O12" s="5">
        <f t="shared" si="8"/>
        <v>8</v>
      </c>
      <c r="P12" s="5" t="str">
        <f t="shared" ca="1" si="1"/>
        <v>Mike Woodhouse</v>
      </c>
      <c r="Q12" s="7">
        <f t="shared" ca="1" si="2"/>
        <v>104.5</v>
      </c>
      <c r="R12" s="5">
        <f t="shared" ca="1" si="3"/>
        <v>4</v>
      </c>
    </row>
    <row r="13" spans="1:20" x14ac:dyDescent="0.2">
      <c r="A13" s="71" t="str">
        <f ca="1"/>
        <v>DACO</v>
      </c>
      <c r="B13" t="str">
        <f ca="1"/>
        <v>David Cooper</v>
      </c>
      <c r="C13" s="9">
        <f t="shared" ca="1" si="0"/>
        <v>23</v>
      </c>
      <c r="D13" s="9">
        <f ca="1">IF(NOT(ISNA(E13)),5*OFFSET(Batting!$CE$4,E13,0,1,1),0)</f>
        <v>20</v>
      </c>
      <c r="E13" s="9">
        <f ca="1">MATCH(A13,Batting!$A$5:$A$77,0)</f>
        <v>14</v>
      </c>
      <c r="F13" s="9">
        <f ca="1">IF(NOT(ISNA(E13)),OFFSET(Batting!$B$4,E13,$C$1,1,1),0)</f>
        <v>-2</v>
      </c>
      <c r="G13" s="9">
        <f ca="1">MATCH(A13,Bowling!$A$5:$A$57,0)</f>
        <v>10</v>
      </c>
      <c r="H13" s="9">
        <f ca="1">IF(NOT(ISNA(G13)),OFFSET(Bowling!$CO$4,G13,0,1,1),0)</f>
        <v>0</v>
      </c>
      <c r="I13" s="9">
        <f ca="1">IF(NOT(ISNA(E13)),OFFSET(Batting!$B$4,E13,$C$1+1,1,1),0)</f>
        <v>5</v>
      </c>
      <c r="J13" s="9">
        <f ca="1">VLOOKUP(A13,'Fantasy Teams'!$A$45:$C$87,3,FALSE)</f>
        <v>1</v>
      </c>
      <c r="K13" s="10">
        <f t="shared" ca="1" si="4"/>
        <v>23</v>
      </c>
      <c r="L13" s="5">
        <f t="shared" ca="1" si="5"/>
        <v>23.000129999999999</v>
      </c>
      <c r="M13" s="5">
        <f t="shared" ca="1" si="6"/>
        <v>30</v>
      </c>
      <c r="N13" s="5">
        <f t="shared" ca="1" si="7"/>
        <v>21</v>
      </c>
      <c r="O13" s="5">
        <f t="shared" si="8"/>
        <v>9</v>
      </c>
      <c r="P13" s="5" t="str">
        <f t="shared" ca="1" si="1"/>
        <v>John Leadley</v>
      </c>
      <c r="Q13" s="7">
        <f t="shared" ca="1" si="2"/>
        <v>95.111000000000004</v>
      </c>
      <c r="R13" s="5">
        <f t="shared" ca="1" si="3"/>
        <v>9</v>
      </c>
    </row>
    <row r="14" spans="1:20" x14ac:dyDescent="0.2">
      <c r="A14" s="71" t="str">
        <f ca="1"/>
        <v>DAMO</v>
      </c>
      <c r="B14" t="str">
        <f ca="1"/>
        <v>Dave Morris</v>
      </c>
      <c r="C14" s="9">
        <f t="shared" ca="1" si="0"/>
        <v>427</v>
      </c>
      <c r="D14" s="9">
        <f ca="1">IF(NOT(ISNA(E14)),5*OFFSET(Batting!$CE$4,E14,0,1,1),0)</f>
        <v>80</v>
      </c>
      <c r="E14" s="9">
        <f ca="1">MATCH(A14,Batting!$A$5:$A$77,0)</f>
        <v>40</v>
      </c>
      <c r="F14" s="9">
        <f ca="1">IF(NOT(ISNA(E14)),OFFSET(Batting!$B$4,E14,$C$1,1,1),0)</f>
        <v>47</v>
      </c>
      <c r="G14" s="9">
        <f ca="1">MATCH(A14,Bowling!$A$5:$A$57,0)</f>
        <v>31</v>
      </c>
      <c r="H14" s="9">
        <f ca="1">IF(NOT(ISNA(G14)),OFFSET(Bowling!$CO$4,G14,0,1,1),0)</f>
        <v>290</v>
      </c>
      <c r="I14" s="9">
        <f ca="1">IF(NOT(ISNA(E14)),OFFSET(Batting!$B$4,E14,$C$1+1,1,1),0)</f>
        <v>10</v>
      </c>
      <c r="J14" s="9">
        <f ca="1">VLOOKUP(A14,'Fantasy Teams'!$A$45:$C$87,3,FALSE)</f>
        <v>4</v>
      </c>
      <c r="K14" s="10">
        <f t="shared" ca="1" si="4"/>
        <v>106.75</v>
      </c>
      <c r="L14" s="5">
        <f t="shared" ca="1" si="5"/>
        <v>106.75014</v>
      </c>
      <c r="M14" s="5">
        <f t="shared" ca="1" si="6"/>
        <v>7</v>
      </c>
      <c r="N14" s="5">
        <f t="shared" ca="1" si="7"/>
        <v>12</v>
      </c>
      <c r="O14" s="5">
        <f t="shared" si="8"/>
        <v>10</v>
      </c>
      <c r="P14" s="5" t="str">
        <f t="shared" ca="1" si="1"/>
        <v>David Sharpe</v>
      </c>
      <c r="Q14" s="7">
        <f t="shared" ca="1" si="2"/>
        <v>85.856999999999999</v>
      </c>
      <c r="R14" s="5">
        <f t="shared" ca="1" si="3"/>
        <v>7</v>
      </c>
    </row>
    <row r="15" spans="1:20" x14ac:dyDescent="0.2">
      <c r="A15" s="71" t="str">
        <f ca="1"/>
        <v>DAPO</v>
      </c>
      <c r="B15" t="str">
        <f ca="1"/>
        <v>Dan Porter</v>
      </c>
      <c r="C15" s="9">
        <f t="shared" ca="1" si="0"/>
        <v>0</v>
      </c>
      <c r="D15" s="9">
        <f ca="1">IF(NOT(ISNA(E15)),5*OFFSET(Batting!$CE$4,E15,0,1,1),0)</f>
        <v>0</v>
      </c>
      <c r="E15" s="9">
        <f ca="1">MATCH(A15,Batting!$A$5:$A$77,0)</f>
        <v>45</v>
      </c>
      <c r="F15" s="9">
        <f ca="1">IF(NOT(ISNA(E15)),OFFSET(Batting!$B$4,E15,$C$1,1,1),0)</f>
        <v>0</v>
      </c>
      <c r="G15" s="9">
        <f ca="1">MATCH(A15,Bowling!$A$5:$A$57,0)</f>
        <v>35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39</v>
      </c>
      <c r="N15" s="5">
        <f t="shared" ca="1" si="7"/>
        <v>5</v>
      </c>
      <c r="O15" s="5">
        <f t="shared" si="8"/>
        <v>11</v>
      </c>
      <c r="P15" s="5" t="str">
        <f t="shared" ca="1" si="1"/>
        <v>Bob Young</v>
      </c>
      <c r="Q15" s="7">
        <f t="shared" ca="1" si="2"/>
        <v>84.75</v>
      </c>
      <c r="R15" s="5">
        <f t="shared" ca="1" si="3"/>
        <v>4</v>
      </c>
      <c r="S15" s="5">
        <f ca="1">SUM(R5:R15)</f>
        <v>56</v>
      </c>
      <c r="T15" s="5">
        <f t="array" aca="1" ref="T15" ca="1">SUM(Q5:Q15*R5:R15)</f>
        <v>6533.9979999999996</v>
      </c>
    </row>
    <row r="16" spans="1:20" x14ac:dyDescent="0.2">
      <c r="A16" s="71" t="str">
        <f ca="1"/>
        <v>DASH</v>
      </c>
      <c r="B16" t="str">
        <f ca="1"/>
        <v>David Sharpe</v>
      </c>
      <c r="C16" s="9">
        <f t="shared" ca="1" si="0"/>
        <v>601</v>
      </c>
      <c r="D16" s="9">
        <f ca="1">IF(NOT(ISNA(E16)),5*OFFSET(Batting!$CE$4,E16,0,1,1),0)</f>
        <v>90</v>
      </c>
      <c r="E16" s="9">
        <f ca="1">MATCH(A16,Batting!$A$5:$A$77,0)</f>
        <v>49</v>
      </c>
      <c r="F16" s="9">
        <f ca="1">IF(NOT(ISNA(E16)),OFFSET(Batting!$B$4,E16,$C$1,1,1),0)</f>
        <v>224</v>
      </c>
      <c r="G16" s="9">
        <f ca="1">MATCH(A16,Bowling!$A$5:$A$57,0)</f>
        <v>38</v>
      </c>
      <c r="H16" s="9">
        <f ca="1">IF(NOT(ISNA(G16)),OFFSET(Bowling!$CO$4,G16,0,1,1),0)</f>
        <v>247</v>
      </c>
      <c r="I16" s="9">
        <f ca="1">IF(NOT(ISNA(E16)),OFFSET(Batting!$B$4,E16,$C$1+1,1,1),0)</f>
        <v>40</v>
      </c>
      <c r="J16" s="9">
        <f ca="1">VLOOKUP(A16,'Fantasy Teams'!$A$45:$C$87,3,FALSE)</f>
        <v>7</v>
      </c>
      <c r="K16" s="10">
        <f t="shared" ca="1" si="4"/>
        <v>85.856999999999999</v>
      </c>
      <c r="L16" s="5">
        <f t="shared" ca="1" si="5"/>
        <v>85.857159999999993</v>
      </c>
      <c r="M16" s="5">
        <f t="shared" ca="1" si="6"/>
        <v>10</v>
      </c>
      <c r="N16" s="5">
        <f t="shared" ca="1" si="7"/>
        <v>33</v>
      </c>
      <c r="O16" s="5">
        <f t="shared" si="8"/>
        <v>12</v>
      </c>
      <c r="P16" s="5" t="str">
        <f t="shared" ca="1" si="1"/>
        <v>Paul Oakes</v>
      </c>
      <c r="Q16" s="7">
        <f t="shared" ca="1" si="2"/>
        <v>83</v>
      </c>
      <c r="R16" s="5">
        <f t="shared" ca="1" si="3"/>
        <v>3</v>
      </c>
    </row>
    <row r="17" spans="1:18" x14ac:dyDescent="0.2">
      <c r="A17" s="71" t="str">
        <f ca="1"/>
        <v>DASN</v>
      </c>
      <c r="B17" t="str">
        <f ca="1"/>
        <v>David Snow</v>
      </c>
      <c r="C17" s="9">
        <f t="shared" ca="1" si="0"/>
        <v>6</v>
      </c>
      <c r="D17" s="9">
        <f ca="1">IF(NOT(ISNA(E17)),5*OFFSET(Batting!$CE$4,E17,0,1,1),0)</f>
        <v>5</v>
      </c>
      <c r="E17" s="9">
        <f ca="1">MATCH(A17,Batting!$A$5:$A$77,0)</f>
        <v>53</v>
      </c>
      <c r="F17" s="9">
        <f ca="1">IF(NOT(ISNA(E17)),OFFSET(Batting!$B$4,E17,$C$1,1,1),0)</f>
        <v>1</v>
      </c>
      <c r="G17" s="9">
        <f ca="1">MATCH(A17,Bowling!$A$5:$A$57,0)</f>
        <v>41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2</v>
      </c>
      <c r="L17" s="5">
        <f t="shared" ca="1" si="5"/>
        <v>2.0001699999999998</v>
      </c>
      <c r="M17" s="5">
        <f t="shared" ca="1" si="6"/>
        <v>34</v>
      </c>
      <c r="N17" s="5">
        <f t="shared" ca="1" si="7"/>
        <v>7</v>
      </c>
      <c r="O17" s="5">
        <f t="shared" si="8"/>
        <v>13</v>
      </c>
      <c r="P17" s="5" t="str">
        <f t="shared" ca="1" si="1"/>
        <v>Colin Mander</v>
      </c>
      <c r="Q17" s="7">
        <f t="shared" ca="1" si="2"/>
        <v>80.856999999999999</v>
      </c>
      <c r="R17" s="5">
        <f t="shared" ca="1" si="3"/>
        <v>7</v>
      </c>
    </row>
    <row r="18" spans="1:18" x14ac:dyDescent="0.2">
      <c r="A18" s="71" t="str">
        <f ca="1"/>
        <v>DESH</v>
      </c>
      <c r="B18" t="str">
        <f ca="1"/>
        <v>Del Shewan</v>
      </c>
      <c r="C18" s="9">
        <f t="shared" ref="C18:C32" ca="1" si="9">F18+H18+I18+D18</f>
        <v>200</v>
      </c>
      <c r="D18" s="9">
        <f ca="1">IF(NOT(ISNA(E18)),5*OFFSET(Batting!$CE$4,E18,0,1,1),0)</f>
        <v>30</v>
      </c>
      <c r="E18" s="9">
        <f ca="1">MATCH(A18,Batting!$A$5:$A$77,0)</f>
        <v>50</v>
      </c>
      <c r="F18" s="9">
        <f ca="1">IF(NOT(ISNA(E18)),OFFSET(Batting!$B$4,E18,$C$1,1,1),0)</f>
        <v>13</v>
      </c>
      <c r="G18" s="9">
        <f ca="1">MATCH(A18,Bowling!$A$5:$A$57,0)</f>
        <v>39</v>
      </c>
      <c r="H18" s="9">
        <f ca="1">IF(NOT(ISNA(G18)),OFFSET(Bowling!$CO$4,G18,0,1,1),0)</f>
        <v>147</v>
      </c>
      <c r="I18" s="9">
        <f ca="1">IF(NOT(ISNA(E18)),OFFSET(Batting!$B$4,E18,$C$1+1,1,1),0)</f>
        <v>10</v>
      </c>
      <c r="J18" s="9">
        <f ca="1">VLOOKUP(A18,'Fantasy Teams'!$A$45:$C$87,3,FALSE)</f>
        <v>3</v>
      </c>
      <c r="K18" s="10">
        <f t="shared" ca="1" si="4"/>
        <v>66.665999999999997</v>
      </c>
      <c r="L18" s="5">
        <f t="shared" ca="1" si="5"/>
        <v>66.666179999999997</v>
      </c>
      <c r="M18" s="5">
        <f t="shared" ca="1" si="6"/>
        <v>17</v>
      </c>
      <c r="N18" s="5">
        <f t="shared" ca="1" si="7"/>
        <v>22</v>
      </c>
      <c r="O18" s="5">
        <f t="shared" si="8"/>
        <v>14</v>
      </c>
      <c r="P18" s="5" t="str">
        <f t="shared" ca="1" si="1"/>
        <v>Jon Worthy</v>
      </c>
      <c r="Q18" s="7">
        <f t="shared" ca="1" si="2"/>
        <v>71.8</v>
      </c>
      <c r="R18" s="5">
        <f t="shared" ca="1" si="3"/>
        <v>5</v>
      </c>
    </row>
    <row r="19" spans="1:18" x14ac:dyDescent="0.2">
      <c r="A19" s="71" t="str">
        <f ca="1"/>
        <v>GECO</v>
      </c>
      <c r="B19" t="str">
        <f ca="1"/>
        <v>Geoff Cooper</v>
      </c>
      <c r="C19" s="9">
        <f t="shared" ca="1" si="9"/>
        <v>556</v>
      </c>
      <c r="D19" s="9">
        <f ca="1">IF(NOT(ISNA(E19)),5*OFFSET(Batting!$CE$4,E19,0,1,1),0)</f>
        <v>80</v>
      </c>
      <c r="E19" s="9">
        <f ca="1">MATCH(A19,Batting!$A$5:$A$77,0)</f>
        <v>15</v>
      </c>
      <c r="F19" s="9">
        <f ca="1">IF(NOT(ISNA(E19)),OFFSET(Batting!$B$4,E19,$C$1,1,1),0)</f>
        <v>105</v>
      </c>
      <c r="G19" s="9">
        <f ca="1">MATCH(A19,Bowling!$A$5:$A$57,0)</f>
        <v>11</v>
      </c>
      <c r="H19" s="9">
        <f ca="1">IF(NOT(ISNA(G19)),OFFSET(Bowling!$CO$4,G19,0,1,1),0)</f>
        <v>311</v>
      </c>
      <c r="I19" s="9">
        <f ca="1">IF(NOT(ISNA(E19)),OFFSET(Batting!$B$4,E19,$C$1+1,1,1),0)</f>
        <v>60</v>
      </c>
      <c r="J19" s="9">
        <f ca="1">VLOOKUP(A19,'Fantasy Teams'!$A$45:$C$87,3,FALSE)</f>
        <v>5</v>
      </c>
      <c r="K19" s="10">
        <f t="shared" ca="1" si="4"/>
        <v>111.2</v>
      </c>
      <c r="L19" s="5">
        <f t="shared" ca="1" si="5"/>
        <v>111.20019000000001</v>
      </c>
      <c r="M19" s="5">
        <f t="shared" ca="1" si="6"/>
        <v>6</v>
      </c>
      <c r="N19" s="5">
        <f t="shared" ca="1" si="7"/>
        <v>20</v>
      </c>
      <c r="O19" s="5">
        <f t="shared" si="8"/>
        <v>15</v>
      </c>
      <c r="P19" s="5" t="str">
        <f t="shared" ca="1" si="1"/>
        <v>John Elliston</v>
      </c>
      <c r="Q19" s="7">
        <f t="shared" ca="1" si="2"/>
        <v>69.665999999999997</v>
      </c>
      <c r="R19" s="5">
        <f t="shared" ca="1" si="3"/>
        <v>3</v>
      </c>
    </row>
    <row r="20" spans="1:18" x14ac:dyDescent="0.2">
      <c r="A20" s="71" t="str">
        <f ca="1"/>
        <v>GLAN</v>
      </c>
      <c r="B20" t="str">
        <f ca="1"/>
        <v>Glyn Angell</v>
      </c>
      <c r="C20" s="9">
        <f t="shared" ca="1" si="9"/>
        <v>5</v>
      </c>
      <c r="D20" s="9">
        <f ca="1">IF(NOT(ISNA(E20)),5*OFFSET(Batting!$CE$4,E20,0,1,1),0)</f>
        <v>5</v>
      </c>
      <c r="E20" s="9">
        <f ca="1">MATCH(A20,Batting!$A$5:$A$77,0)</f>
        <v>2</v>
      </c>
      <c r="F20" s="9">
        <f ca="1">IF(NOT(ISNA(E20)),OFFSET(Batting!$B$4,E20,$C$1,1,1),0)</f>
        <v>0</v>
      </c>
      <c r="G20" s="9" t="e">
        <f ca="1">MATCH(A20,Bowling!$A$5:$A$57,0)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1</v>
      </c>
      <c r="K20" s="10">
        <f t="shared" ca="1" si="4"/>
        <v>5</v>
      </c>
      <c r="L20" s="5">
        <f t="shared" ca="1" si="5"/>
        <v>5.0002000000000004</v>
      </c>
      <c r="M20" s="5">
        <f t="shared" ca="1" si="6"/>
        <v>33</v>
      </c>
      <c r="N20" s="5">
        <f t="shared" ca="1" si="7"/>
        <v>4</v>
      </c>
      <c r="O20" s="5">
        <f t="shared" si="8"/>
        <v>16</v>
      </c>
      <c r="P20" s="5" t="str">
        <f t="shared" ca="1" si="1"/>
        <v>Andy Mander</v>
      </c>
      <c r="Q20" s="7">
        <f t="shared" ca="1" si="2"/>
        <v>67.625</v>
      </c>
      <c r="R20" s="5">
        <f t="shared" ca="1" si="3"/>
        <v>8</v>
      </c>
    </row>
    <row r="21" spans="1:18" x14ac:dyDescent="0.2">
      <c r="A21" s="71" t="str">
        <f ca="1"/>
        <v>JACR</v>
      </c>
      <c r="B21" t="str">
        <f ca="1"/>
        <v>Jason Crisford</v>
      </c>
      <c r="C21" s="9">
        <f t="shared" ca="1" si="9"/>
        <v>102</v>
      </c>
      <c r="D21" s="9">
        <f ca="1">IF(NOT(ISNA(E21)),5*OFFSET(Batting!$CE$4,E21,0,1,1),0)</f>
        <v>65</v>
      </c>
      <c r="E21" s="9">
        <f ca="1">MATCH(A21,Batting!$A$5:$A$77,0)</f>
        <v>17</v>
      </c>
      <c r="F21" s="9">
        <f ca="1">IF(NOT(ISNA(E21)),OFFSET(Batting!$B$4,E21,$C$1,1,1),0)</f>
        <v>2</v>
      </c>
      <c r="G21" s="9">
        <f ca="1">MATCH(A21,Bowling!$A$5:$A$57,0)</f>
        <v>6</v>
      </c>
      <c r="H21" s="9">
        <f ca="1">IF(NOT(ISNA(G21)),OFFSET(Bowling!$CO$4,G21,0,1,1),0)</f>
        <v>0</v>
      </c>
      <c r="I21" s="9">
        <f ca="1">IF(NOT(ISNA(E21)),OFFSET(Batting!$B$4,E21,$C$1+1,1,1),0)</f>
        <v>35</v>
      </c>
      <c r="J21" s="9">
        <f ca="1">VLOOKUP(A21,'Fantasy Teams'!$A$45:$C$87,3,FALSE)</f>
        <v>4</v>
      </c>
      <c r="K21" s="10">
        <f t="shared" ca="1" si="4"/>
        <v>25.5</v>
      </c>
      <c r="L21" s="5">
        <f t="shared" ca="1" si="5"/>
        <v>25.500209999999999</v>
      </c>
      <c r="M21" s="5">
        <f t="shared" ca="1" si="6"/>
        <v>28</v>
      </c>
      <c r="N21" s="5">
        <f t="shared" ca="1" si="7"/>
        <v>14</v>
      </c>
      <c r="O21" s="5">
        <f t="shared" si="8"/>
        <v>17</v>
      </c>
      <c r="P21" s="5" t="str">
        <f t="shared" ca="1" si="1"/>
        <v>Del Shewan</v>
      </c>
      <c r="Q21" s="7">
        <f t="shared" ca="1" si="2"/>
        <v>66.665999999999997</v>
      </c>
      <c r="R21" s="5">
        <f t="shared" ca="1" si="3"/>
        <v>3</v>
      </c>
    </row>
    <row r="22" spans="1:18" x14ac:dyDescent="0.2">
      <c r="A22" s="71" t="str">
        <f ca="1"/>
        <v>JELE</v>
      </c>
      <c r="B22" t="str">
        <f ca="1"/>
        <v>Jeff Lestrelle</v>
      </c>
      <c r="C22" s="9">
        <f t="shared" ca="1" si="9"/>
        <v>157</v>
      </c>
      <c r="D22" s="9">
        <f ca="1">IF(NOT(ISNA(E22)),5*OFFSET(Batting!$CE$4,E22,0,1,1),0)</f>
        <v>60</v>
      </c>
      <c r="E22" s="9">
        <f ca="1">MATCH(A22,Batting!$A$5:$A$77,0)</f>
        <v>30</v>
      </c>
      <c r="F22" s="9">
        <f ca="1">IF(NOT(ISNA(E22)),OFFSET(Batting!$B$4,E22,$C$1,1,1),0)</f>
        <v>57</v>
      </c>
      <c r="G22" s="9">
        <f ca="1">MATCH(A22,Bowling!$A$5:$A$57,0)</f>
        <v>21</v>
      </c>
      <c r="H22" s="9">
        <f ca="1">IF(NOT(ISNA(G22)),OFFSET(Bowling!$CO$4,G22,0,1,1),0)</f>
        <v>30</v>
      </c>
      <c r="I22" s="9">
        <f ca="1">IF(NOT(ISNA(E22)),OFFSET(Batting!$B$4,E22,$C$1+1,1,1),0)</f>
        <v>10</v>
      </c>
      <c r="J22" s="9">
        <f ca="1">VLOOKUP(A22,'Fantasy Teams'!$A$45:$C$87,3,FALSE)</f>
        <v>4</v>
      </c>
      <c r="K22" s="10">
        <f t="shared" ca="1" si="4"/>
        <v>39.25</v>
      </c>
      <c r="L22" s="5">
        <f t="shared" ca="1" si="5"/>
        <v>39.250219999999999</v>
      </c>
      <c r="M22" s="5">
        <f t="shared" ca="1" si="6"/>
        <v>22</v>
      </c>
      <c r="N22" s="5">
        <f t="shared" ca="1" si="7"/>
        <v>8</v>
      </c>
      <c r="O22" s="5">
        <f t="shared" si="8"/>
        <v>18</v>
      </c>
      <c r="P22" s="5" t="str">
        <f t="shared" ca="1" si="1"/>
        <v>David Brocks</v>
      </c>
      <c r="Q22" s="7">
        <f t="shared" ca="1" si="2"/>
        <v>64.332999999999998</v>
      </c>
      <c r="R22" s="5">
        <f t="shared" ca="1" si="3"/>
        <v>3</v>
      </c>
    </row>
    <row r="23" spans="1:18" x14ac:dyDescent="0.2">
      <c r="A23" s="71" t="str">
        <f ca="1"/>
        <v>JEMI</v>
      </c>
      <c r="B23" t="str">
        <f ca="1"/>
        <v>Jeff Middleton</v>
      </c>
      <c r="C23" s="9">
        <f t="shared" ca="1" si="9"/>
        <v>238</v>
      </c>
      <c r="D23" s="9">
        <f ca="1">IF(NOT(ISNA(E23)),5*OFFSET(Batting!$CE$4,E23,0,1,1),0)</f>
        <v>30</v>
      </c>
      <c r="E23" s="9">
        <f ca="1">MATCH(A23,Batting!$A$5:$A$77,0)</f>
        <v>38</v>
      </c>
      <c r="F23" s="9">
        <f ca="1">IF(NOT(ISNA(E23)),OFFSET(Batting!$B$4,E23,$C$1,1,1),0)</f>
        <v>141</v>
      </c>
      <c r="G23" s="9">
        <f ca="1">MATCH(A23,Bowling!$A$5:$A$57,0)</f>
        <v>30</v>
      </c>
      <c r="H23" s="9">
        <f ca="1">IF(NOT(ISNA(G23)),OFFSET(Bowling!$CO$4,G23,0,1,1),0)</f>
        <v>57</v>
      </c>
      <c r="I23" s="9">
        <f ca="1">IF(NOT(ISNA(E23)),OFFSET(Batting!$B$4,E23,$C$1+1,1,1),0)</f>
        <v>10</v>
      </c>
      <c r="J23" s="9">
        <f ca="1">VLOOKUP(A23,'Fantasy Teams'!$A$45:$C$87,3,FALSE)</f>
        <v>2</v>
      </c>
      <c r="K23" s="10">
        <f t="shared" ca="1" si="4"/>
        <v>119</v>
      </c>
      <c r="L23" s="5">
        <f t="shared" ca="1" si="5"/>
        <v>119.00023</v>
      </c>
      <c r="M23" s="5">
        <f t="shared" ca="1" si="6"/>
        <v>5</v>
      </c>
      <c r="N23" s="5">
        <f t="shared" ca="1" si="7"/>
        <v>35</v>
      </c>
      <c r="O23" s="5">
        <f t="shared" si="8"/>
        <v>19</v>
      </c>
      <c r="P23" s="5" t="str">
        <f t="shared" ca="1" si="1"/>
        <v>Rick Worthington</v>
      </c>
      <c r="Q23" s="7">
        <f t="shared" ca="1" si="2"/>
        <v>60.75</v>
      </c>
      <c r="R23" s="5">
        <f t="shared" ca="1" si="3"/>
        <v>4</v>
      </c>
    </row>
    <row r="24" spans="1:18" x14ac:dyDescent="0.2">
      <c r="A24" s="71" t="str">
        <f ca="1"/>
        <v>JOEL</v>
      </c>
      <c r="B24" t="str">
        <f ca="1"/>
        <v>John Elliston</v>
      </c>
      <c r="C24" s="9">
        <f t="shared" ca="1" si="9"/>
        <v>209</v>
      </c>
      <c r="D24" s="9">
        <f ca="1">IF(NOT(ISNA(E24)),5*OFFSET(Batting!$CE$4,E24,0,1,1),0)</f>
        <v>60</v>
      </c>
      <c r="E24" s="9">
        <f ca="1">MATCH(A24,Batting!$A$5:$A$77,0)</f>
        <v>19</v>
      </c>
      <c r="F24" s="9">
        <f ca="1">IF(NOT(ISNA(E24)),OFFSET(Batting!$B$4,E24,$C$1,1,1),0)</f>
        <v>1</v>
      </c>
      <c r="G24" s="9">
        <f ca="1">MATCH(A24,Bowling!$A$5:$A$57,0)</f>
        <v>14</v>
      </c>
      <c r="H24" s="9">
        <f ca="1">IF(NOT(ISNA(G24)),OFFSET(Bowling!$CO$4,G24,0,1,1),0)</f>
        <v>128</v>
      </c>
      <c r="I24" s="9">
        <f ca="1">IF(NOT(ISNA(E24)),OFFSET(Batting!$B$4,E24,$C$1+1,1,1),0)</f>
        <v>20</v>
      </c>
      <c r="J24" s="9">
        <v>3</v>
      </c>
      <c r="K24" s="10">
        <f t="shared" ca="1" si="4"/>
        <v>69.665999999999997</v>
      </c>
      <c r="L24" s="5">
        <f t="shared" ca="1" si="5"/>
        <v>69.666240000000002</v>
      </c>
      <c r="M24" s="5">
        <f t="shared" ca="1" si="6"/>
        <v>15</v>
      </c>
      <c r="N24" s="5">
        <f t="shared" ca="1" si="7"/>
        <v>2</v>
      </c>
      <c r="O24" s="5">
        <f t="shared" si="8"/>
        <v>20</v>
      </c>
      <c r="P24" s="5" t="str">
        <f t="shared" ca="1" si="1"/>
        <v>Aiden Coloe</v>
      </c>
      <c r="Q24" s="7">
        <f t="shared" ca="1" si="2"/>
        <v>54.5</v>
      </c>
      <c r="R24" s="5">
        <f t="shared" ca="1" si="3"/>
        <v>2</v>
      </c>
    </row>
    <row r="25" spans="1:18" x14ac:dyDescent="0.2">
      <c r="A25" s="71" t="str">
        <f ca="1"/>
        <v>JOLE</v>
      </c>
      <c r="B25" t="str">
        <f ca="1"/>
        <v>John Leadley</v>
      </c>
      <c r="C25" s="9">
        <f t="shared" ca="1" si="9"/>
        <v>856</v>
      </c>
      <c r="D25" s="9">
        <f ca="1">IF(NOT(ISNA(E25)),5*OFFSET(Batting!$CE$4,E25,0,1,1),0)</f>
        <v>65</v>
      </c>
      <c r="E25" s="9">
        <f ca="1">MATCH(A25,Batting!$A$5:$A$77,0)</f>
        <v>29</v>
      </c>
      <c r="F25" s="9">
        <f ca="1">IF(NOT(ISNA(E25)),OFFSET(Batting!$B$4,E25,$C$1,1,1),0)</f>
        <v>704</v>
      </c>
      <c r="G25" s="9">
        <f ca="1">MATCH(A25,Bowling!$A$5:$A$57,0)</f>
        <v>20</v>
      </c>
      <c r="H25" s="9">
        <f ca="1">IF(NOT(ISNA(G25)),OFFSET(Bowling!$CO$4,G25,0,1,1),0)</f>
        <v>0</v>
      </c>
      <c r="I25" s="9">
        <f ca="1">IF(NOT(ISNA(E25)),OFFSET(Batting!$B$4,E25,$C$1+1,1,1),0)</f>
        <v>87</v>
      </c>
      <c r="J25" s="9">
        <f ca="1">VLOOKUP(A25,'Fantasy Teams'!$A$45:$C$87,3,FALSE)</f>
        <v>9</v>
      </c>
      <c r="K25" s="10">
        <f t="shared" ca="1" si="4"/>
        <v>95.111000000000004</v>
      </c>
      <c r="L25" s="5">
        <f t="shared" ca="1" si="5"/>
        <v>95.111249999999998</v>
      </c>
      <c r="M25" s="5">
        <f t="shared" ca="1" si="6"/>
        <v>9</v>
      </c>
      <c r="N25" s="5">
        <f t="shared" ca="1" si="7"/>
        <v>38</v>
      </c>
      <c r="O25" s="5">
        <f t="shared" si="8"/>
        <v>21</v>
      </c>
      <c r="P25" s="5" t="str">
        <f t="shared" ca="1" si="1"/>
        <v>Ted Dugdale</v>
      </c>
      <c r="Q25" s="7">
        <f t="shared" ca="1" si="2"/>
        <v>45</v>
      </c>
      <c r="R25" s="5">
        <f t="shared" ca="1" si="3"/>
        <v>7</v>
      </c>
    </row>
    <row r="26" spans="1:18" x14ac:dyDescent="0.2">
      <c r="A26" s="71" t="str">
        <f ca="1"/>
        <v>JOWO</v>
      </c>
      <c r="B26" t="str">
        <f ca="1"/>
        <v>Jon Worthy</v>
      </c>
      <c r="C26" s="9">
        <f t="shared" ca="1" si="9"/>
        <v>359</v>
      </c>
      <c r="D26" s="9">
        <f ca="1">IF(NOT(ISNA(E26)),5*OFFSET(Batting!$CE$4,E26,0,1,1),0)</f>
        <v>50</v>
      </c>
      <c r="E26" s="9">
        <f ca="1">MATCH(A26,Batting!$A$5:$A$77,0)</f>
        <v>59</v>
      </c>
      <c r="F26" s="9">
        <f ca="1">IF(NOT(ISNA(E26)),OFFSET(Batting!$B$4,E26,$C$1,1,1),0)</f>
        <v>20</v>
      </c>
      <c r="G26" s="9">
        <f ca="1">MATCH(A26,Bowling!$A$5:$A$57,0)</f>
        <v>47</v>
      </c>
      <c r="H26" s="9">
        <f ca="1">IF(NOT(ISNA(G26)),OFFSET(Bowling!$CO$4,G26,0,1,1),0)</f>
        <v>274</v>
      </c>
      <c r="I26" s="9">
        <f ca="1">IF(NOT(ISNA(E26)),OFFSET(Batting!$B$4,E26,$C$1+1,1,1),0)</f>
        <v>15</v>
      </c>
      <c r="J26" s="9">
        <f ca="1">VLOOKUP(A26,'Fantasy Teams'!$A$45:$C$87,3,FALSE)</f>
        <v>5</v>
      </c>
      <c r="K26" s="10">
        <f t="shared" ca="1" si="4"/>
        <v>71.8</v>
      </c>
      <c r="L26" s="5">
        <f t="shared" ca="1" si="5"/>
        <v>71.800259999999994</v>
      </c>
      <c r="M26" s="5">
        <f t="shared" ca="1" si="6"/>
        <v>14</v>
      </c>
      <c r="N26" s="5">
        <f t="shared" ca="1" si="7"/>
        <v>18</v>
      </c>
      <c r="O26" s="5">
        <f t="shared" si="8"/>
        <v>22</v>
      </c>
      <c r="P26" s="5" t="str">
        <f t="shared" ca="1" si="1"/>
        <v>Jeff Lestrelle</v>
      </c>
      <c r="Q26" s="7">
        <f t="shared" ca="1" si="2"/>
        <v>39.25</v>
      </c>
      <c r="R26" s="5">
        <f t="shared" ca="1" si="3"/>
        <v>4</v>
      </c>
    </row>
    <row r="27" spans="1:18" x14ac:dyDescent="0.2">
      <c r="A27" s="71" t="str">
        <f ca="1"/>
        <v>KRLI</v>
      </c>
      <c r="B27" t="str">
        <f ca="1"/>
        <v>Kris Ligory</v>
      </c>
      <c r="C27" s="9">
        <f t="shared" ca="1" si="9"/>
        <v>0</v>
      </c>
      <c r="D27" s="9">
        <f ca="1">IF(NOT(ISNA(E27)),5*OFFSET(Batting!$CE$4,E27,0,1,1),0)</f>
        <v>0</v>
      </c>
      <c r="E27" s="9">
        <f ca="1">MATCH(A27,Batting!$A$5:$A$77,0)</f>
        <v>31</v>
      </c>
      <c r="F27" s="9">
        <f ca="1">IF(NOT(ISNA(E27)),OFFSET(Batting!$B$4,E27,$C$1,1,1),0)</f>
        <v>0</v>
      </c>
      <c r="G27" s="9">
        <f ca="1">MATCH(A27,Bowling!$A$5:$A$57,0)</f>
        <v>22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1</v>
      </c>
      <c r="K27" s="10">
        <f t="shared" ca="1" si="4"/>
        <v>0</v>
      </c>
      <c r="L27" s="5">
        <f t="shared" ca="1" si="5"/>
        <v>2.7E-4</v>
      </c>
      <c r="M27" s="5">
        <f t="shared" ca="1" si="6"/>
        <v>38</v>
      </c>
      <c r="N27" s="5">
        <f t="shared" ca="1" si="7"/>
        <v>28</v>
      </c>
      <c r="O27" s="5">
        <f t="shared" si="8"/>
        <v>23</v>
      </c>
      <c r="P27" s="5" t="str">
        <f t="shared" ca="1" si="1"/>
        <v>Mike Hosking</v>
      </c>
      <c r="Q27" s="7">
        <f t="shared" ca="1" si="2"/>
        <v>39</v>
      </c>
      <c r="R27" s="5">
        <f t="shared" ca="1" si="3"/>
        <v>2</v>
      </c>
    </row>
    <row r="28" spans="1:18" x14ac:dyDescent="0.2">
      <c r="A28" s="71" t="str">
        <f ca="1"/>
        <v>LUHI</v>
      </c>
      <c r="B28" t="str">
        <f ca="1"/>
        <v>Luke Hickey</v>
      </c>
      <c r="C28" s="9">
        <f t="shared" ca="1" si="9"/>
        <v>35</v>
      </c>
      <c r="D28" s="9">
        <f ca="1">IF(NOT(ISNA(E28)),5*OFFSET(Batting!$CE$4,E28,0,1,1),0)</f>
        <v>15</v>
      </c>
      <c r="E28" s="9">
        <f ca="1">MATCH(A28,Batting!$A$5:$A$77,0)</f>
        <v>25</v>
      </c>
      <c r="F28" s="9">
        <f ca="1">IF(NOT(ISNA(E28)),OFFSET(Batting!$B$4,E28,$C$1,1,1),0)</f>
        <v>-5</v>
      </c>
      <c r="G28" s="9">
        <f ca="1">MATCH(A28,Bowling!$A$5:$A$57,0)</f>
        <v>17</v>
      </c>
      <c r="H28" s="9">
        <f ca="1">IF(NOT(ISNA(G28)),OFFSET(Bowling!$CO$4,G28,0,1,1),0)</f>
        <v>25</v>
      </c>
      <c r="I28" s="9">
        <f ca="1">IF(NOT(ISNA(E28)),OFFSET(Batting!$B$4,E28,$C$1+1,1,1),0)</f>
        <v>0</v>
      </c>
      <c r="J28" s="9">
        <f ca="1">VLOOKUP(A28,'Fantasy Teams'!$A$45:$C$87,3,FALSE)</f>
        <v>1</v>
      </c>
      <c r="K28" s="10">
        <f t="shared" ca="1" si="4"/>
        <v>35</v>
      </c>
      <c r="L28" s="5">
        <f t="shared" ca="1" si="5"/>
        <v>35.000279999999997</v>
      </c>
      <c r="M28" s="5">
        <f t="shared" ca="1" si="6"/>
        <v>24</v>
      </c>
      <c r="N28" s="5">
        <f t="shared" ca="1" si="7"/>
        <v>24</v>
      </c>
      <c r="O28" s="5">
        <f t="shared" si="8"/>
        <v>24</v>
      </c>
      <c r="P28" s="5" t="str">
        <f t="shared" ca="1" si="1"/>
        <v>Luke Hickey</v>
      </c>
      <c r="Q28" s="7">
        <f t="shared" ca="1" si="2"/>
        <v>35</v>
      </c>
      <c r="R28" s="5">
        <f t="shared" ca="1" si="3"/>
        <v>1</v>
      </c>
    </row>
    <row r="29" spans="1:18" x14ac:dyDescent="0.2">
      <c r="A29" s="71" t="str">
        <f ca="1"/>
        <v>MABE</v>
      </c>
      <c r="B29" t="str">
        <f ca="1"/>
        <v>Mark Bell</v>
      </c>
      <c r="C29" s="9">
        <f t="shared" ca="1" si="9"/>
        <v>5</v>
      </c>
      <c r="D29" s="9">
        <f ca="1">IF(NOT(ISNA(E29)),5*OFFSET(Batting!$CE$4,E29,0,1,1),0)</f>
        <v>5</v>
      </c>
      <c r="E29" s="9">
        <f ca="1">MATCH(A29,Batting!$A$5:$A$77,0)</f>
        <v>4</v>
      </c>
      <c r="F29" s="9">
        <f ca="1">IF(NOT(ISNA(E29)),OFFSET(Batting!$B$4,E29,$C$1,1,1),0)</f>
        <v>-5</v>
      </c>
      <c r="G29" s="9" t="e">
        <f ca="1">MATCH(A29,Bowling!$A$5:$A$57,0)</f>
        <v>#N/A</v>
      </c>
      <c r="H29" s="9">
        <f ca="1">IF(NOT(ISNA(G29)),OFFSET(Bowling!$CO$4,G29,0,1,1),0)</f>
        <v>0</v>
      </c>
      <c r="I29" s="9">
        <f ca="1">IF(NOT(ISNA(E29)),OFFSET(Batting!$B$4,E29,$C$1+1,1,1),0)</f>
        <v>5</v>
      </c>
      <c r="J29" s="9">
        <f ca="1">VLOOKUP(A29,'Fantasy Teams'!$A$45:$C$87,3,FALSE)</f>
        <v>1</v>
      </c>
      <c r="K29" s="10">
        <f t="shared" ca="1" si="4"/>
        <v>5</v>
      </c>
      <c r="L29" s="5">
        <f t="shared" ca="1" si="5"/>
        <v>5.0002899999999997</v>
      </c>
      <c r="M29" s="5">
        <f t="shared" ca="1" si="6"/>
        <v>32</v>
      </c>
      <c r="N29" s="5">
        <f t="shared" ca="1" si="7"/>
        <v>30</v>
      </c>
      <c r="O29" s="5">
        <f t="shared" si="8"/>
        <v>25</v>
      </c>
      <c r="P29" s="5" t="str">
        <f t="shared" ca="1" si="1"/>
        <v>Namish Patel</v>
      </c>
      <c r="Q29" s="7">
        <f t="shared" ca="1" si="2"/>
        <v>30.5</v>
      </c>
      <c r="R29" s="5">
        <f t="shared" ca="1" si="3"/>
        <v>4</v>
      </c>
    </row>
    <row r="30" spans="1:18" x14ac:dyDescent="0.2">
      <c r="A30" s="71" t="str">
        <f ca="1"/>
        <v>MIBO</v>
      </c>
      <c r="B30" t="str">
        <f ca="1"/>
        <v>Mike Bowers</v>
      </c>
      <c r="C30" s="9">
        <f t="shared" ca="1" si="9"/>
        <v>384</v>
      </c>
      <c r="D30" s="9">
        <f ca="1">IF(NOT(ISNA(E30)),5*OFFSET(Batting!$CE$4,E30,0,1,1),0)</f>
        <v>70</v>
      </c>
      <c r="E30" s="9">
        <f ca="1">MATCH(A30,Batting!$A$5:$A$77,0)</f>
        <v>5</v>
      </c>
      <c r="F30" s="9">
        <f ca="1">IF(NOT(ISNA(E30)),OFFSET(Batting!$B$4,E30,$C$1,1,1),0)</f>
        <v>78</v>
      </c>
      <c r="G30" s="9">
        <f ca="1">MATCH(A30,Bowling!$A$5:$A$57,0)</f>
        <v>2</v>
      </c>
      <c r="H30" s="9">
        <f ca="1">IF(NOT(ISNA(G30)),OFFSET(Bowling!$CO$4,G30,0,1,1),0)</f>
        <v>216</v>
      </c>
      <c r="I30" s="9">
        <f ca="1">IF(NOT(ISNA(E30)),OFFSET(Batting!$B$4,E30,$C$1+1,1,1),0)</f>
        <v>20</v>
      </c>
      <c r="J30" s="9">
        <f ca="1">VLOOKUP(A30,'Fantasy Teams'!$A$45:$C$87,3,FALSE)</f>
        <v>1</v>
      </c>
      <c r="K30" s="10">
        <f t="shared" ca="1" si="4"/>
        <v>384</v>
      </c>
      <c r="L30" s="5">
        <f t="shared" ca="1" si="5"/>
        <v>384.00029999999998</v>
      </c>
      <c r="M30" s="5">
        <f t="shared" ca="1" si="6"/>
        <v>1</v>
      </c>
      <c r="N30" s="5">
        <f t="shared" ca="1" si="7"/>
        <v>37</v>
      </c>
      <c r="O30" s="5">
        <f t="shared" si="8"/>
        <v>26</v>
      </c>
      <c r="P30" s="5" t="str">
        <f t="shared" ca="1" si="1"/>
        <v>Sergio Afonso</v>
      </c>
      <c r="Q30" s="7">
        <f t="shared" ca="1" si="2"/>
        <v>30</v>
      </c>
      <c r="R30" s="5">
        <f t="shared" ca="1" si="3"/>
        <v>2</v>
      </c>
    </row>
    <row r="31" spans="1:18" x14ac:dyDescent="0.2">
      <c r="A31" s="71" t="str">
        <f ca="1"/>
        <v>MICL</v>
      </c>
      <c r="B31" t="str">
        <f ca="1"/>
        <v>Mick Clark</v>
      </c>
      <c r="C31" s="9">
        <f t="shared" ca="1" si="9"/>
        <v>84</v>
      </c>
      <c r="D31" s="9">
        <f ca="1">IF(NOT(ISNA(E31)),5*OFFSET(Batting!$CE$4,E31,0,1,1),0)</f>
        <v>35</v>
      </c>
      <c r="E31" s="9">
        <f ca="1">MATCH(A31,Batting!$A$5:$A$77,0)</f>
        <v>12</v>
      </c>
      <c r="F31" s="9">
        <f ca="1">IF(NOT(ISNA(E31)),OFFSET(Batting!$B$4,E31,$C$1,1,1),0)</f>
        <v>11</v>
      </c>
      <c r="G31" s="9">
        <f ca="1">MATCH(A31,Bowling!$A$5:$A$57,0)</f>
        <v>8</v>
      </c>
      <c r="H31" s="9">
        <f ca="1">IF(NOT(ISNA(G31)),OFFSET(Bowling!$CO$4,G31,0,1,1),0)</f>
        <v>33</v>
      </c>
      <c r="I31" s="9">
        <f ca="1">IF(NOT(ISNA(E31)),OFFSET(Batting!$B$4,E31,$C$1+1,1,1),0)</f>
        <v>5</v>
      </c>
      <c r="J31" s="9">
        <f ca="1">VLOOKUP(A31,'Fantasy Teams'!$A$45:$C$87,3,FALSE)</f>
        <v>4</v>
      </c>
      <c r="K31" s="10">
        <f t="shared" ca="1" si="4"/>
        <v>21</v>
      </c>
      <c r="L31" s="5">
        <f t="shared" ca="1" si="5"/>
        <v>21.000309999999999</v>
      </c>
      <c r="M31" s="5">
        <f t="shared" ca="1" si="6"/>
        <v>31</v>
      </c>
      <c r="N31" s="5">
        <f t="shared" ca="1" si="7"/>
        <v>36</v>
      </c>
      <c r="O31" s="5">
        <f t="shared" si="8"/>
        <v>27</v>
      </c>
      <c r="P31" s="5" t="str">
        <f t="shared" ca="1" si="1"/>
        <v>Rob Worthy</v>
      </c>
      <c r="Q31" s="7">
        <f t="shared" ca="1" si="2"/>
        <v>30</v>
      </c>
      <c r="R31" s="5">
        <f t="shared" ca="1" si="3"/>
        <v>1</v>
      </c>
    </row>
    <row r="32" spans="1:18" x14ac:dyDescent="0.2">
      <c r="A32" s="71" t="str">
        <f ca="1"/>
        <v>MIHO</v>
      </c>
      <c r="B32" t="str">
        <f ca="1"/>
        <v>Mike Hosking</v>
      </c>
      <c r="C32" s="9">
        <f t="shared" ca="1" si="9"/>
        <v>78</v>
      </c>
      <c r="D32" s="9">
        <f ca="1">IF(NOT(ISNA(E32)),5*OFFSET(Batting!$CE$4,E32,0,1,1),0)</f>
        <v>30</v>
      </c>
      <c r="E32" s="9">
        <f ca="1">MATCH(A32,Batting!$A$5:$A$77,0)</f>
        <v>27</v>
      </c>
      <c r="F32" s="9">
        <f ca="1">IF(NOT(ISNA(E32)),OFFSET(Batting!$B$4,E32,$C$1,1,1),0)</f>
        <v>28</v>
      </c>
      <c r="G32" s="9" t="e">
        <f ca="1">MATCH(A32,Bowling!$A$5:$A$57,0)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20</v>
      </c>
      <c r="J32" s="9">
        <f ca="1">VLOOKUP(A32,'Fantasy Teams'!$A$45:$C$87,3,FALSE)</f>
        <v>2</v>
      </c>
      <c r="K32" s="10">
        <f t="shared" ca="1" si="4"/>
        <v>39</v>
      </c>
      <c r="L32" s="5">
        <f t="shared" ca="1" si="5"/>
        <v>39.000320000000002</v>
      </c>
      <c r="M32" s="5">
        <f t="shared" ca="1" si="6"/>
        <v>23</v>
      </c>
      <c r="N32" s="5">
        <f t="shared" ca="1" si="7"/>
        <v>17</v>
      </c>
      <c r="O32" s="5">
        <f t="shared" si="8"/>
        <v>28</v>
      </c>
      <c r="P32" s="5" t="str">
        <f t="shared" ref="P32:P46" ca="1" si="10">OFFSET($B$4,N32,0)</f>
        <v>Jason Crisford</v>
      </c>
      <c r="Q32" s="7">
        <f t="shared" ref="Q32:Q46" ca="1" si="11">OFFSET($K$4,N32,0)</f>
        <v>25.5</v>
      </c>
      <c r="R32" s="5">
        <f t="shared" ca="1" si="3"/>
        <v>4</v>
      </c>
    </row>
    <row r="33" spans="1:18" x14ac:dyDescent="0.2">
      <c r="A33" s="71" t="str">
        <f ca="1"/>
        <v>MIWO</v>
      </c>
      <c r="B33" t="str">
        <f ca="1"/>
        <v>Mike Woodhouse</v>
      </c>
      <c r="C33" s="9">
        <f t="shared" ref="C33:C43" ca="1" si="12">F33+H33+I33+D33</f>
        <v>418</v>
      </c>
      <c r="D33" s="9">
        <f ca="1">IF(NOT(ISNA(E33)),5*OFFSET(Batting!$CE$4,E33,0,1,1),0)</f>
        <v>125</v>
      </c>
      <c r="E33" s="9">
        <f ca="1">MATCH(A33,Batting!$A$5:$A$77,0)</f>
        <v>57</v>
      </c>
      <c r="F33" s="9">
        <f ca="1">IF(NOT(ISNA(E33)),OFFSET(Batting!$B$4,E33,$C$1,1,1),0)</f>
        <v>220</v>
      </c>
      <c r="G33" s="9">
        <f ca="1">MATCH(A33,Bowling!$A$5:$A$57,0)</f>
        <v>45</v>
      </c>
      <c r="H33" s="9">
        <f ca="1">IF(NOT(ISNA(G33)),OFFSET(Bowling!$CO$4,G33,0,1,1),0)</f>
        <v>41</v>
      </c>
      <c r="I33" s="9">
        <f ca="1">IF(NOT(ISNA(E33)),OFFSET(Batting!$B$4,E33,$C$1+1,1,1),0)</f>
        <v>32</v>
      </c>
      <c r="J33" s="9">
        <f ca="1">VLOOKUP(A33,'Fantasy Teams'!$A$45:$C$87,3,FALSE)</f>
        <v>4</v>
      </c>
      <c r="K33" s="10">
        <f t="shared" ca="1" si="4"/>
        <v>104.5</v>
      </c>
      <c r="L33" s="5">
        <f t="shared" ca="1" si="5"/>
        <v>104.50033000000001</v>
      </c>
      <c r="M33" s="5">
        <f t="shared" ca="1" si="6"/>
        <v>8</v>
      </c>
      <c r="N33" s="5">
        <f t="shared" ca="1" si="7"/>
        <v>41</v>
      </c>
      <c r="O33" s="5">
        <f t="shared" si="8"/>
        <v>29</v>
      </c>
      <c r="P33" s="5" t="str">
        <f t="shared" ca="1" si="10"/>
        <v>Vince Reid</v>
      </c>
      <c r="Q33" s="7">
        <f t="shared" ca="1" si="11"/>
        <v>24.75</v>
      </c>
      <c r="R33" s="5">
        <f t="shared" ca="1" si="3"/>
        <v>4</v>
      </c>
    </row>
    <row r="34" spans="1:18" x14ac:dyDescent="0.2">
      <c r="A34" s="71" t="str">
        <f ca="1"/>
        <v>NAPA</v>
      </c>
      <c r="B34" t="str">
        <f ca="1"/>
        <v>Namish Patel</v>
      </c>
      <c r="C34" s="9">
        <f t="shared" ca="1" si="12"/>
        <v>122</v>
      </c>
      <c r="D34" s="9">
        <f ca="1">IF(NOT(ISNA(E34)),5*OFFSET(Batting!$CE$4,E34,0,1,1),0)</f>
        <v>35</v>
      </c>
      <c r="E34" s="9">
        <f ca="1">MATCH(A34,Batting!$A$5:$A$77,0)</f>
        <v>44</v>
      </c>
      <c r="F34" s="9">
        <f ca="1">IF(NOT(ISNA(E34)),OFFSET(Batting!$B$4,E34,$C$1,1,1),0)</f>
        <v>72</v>
      </c>
      <c r="G34" s="9">
        <f ca="1">MATCH(A34,Bowling!$A$5:$A$57,0)</f>
        <v>34</v>
      </c>
      <c r="H34" s="9">
        <f ca="1">IF(NOT(ISNA(G34)),OFFSET(Bowling!$CO$4,G34,0,1,1),0)</f>
        <v>0</v>
      </c>
      <c r="I34" s="9">
        <f ca="1">IF(NOT(ISNA(E34)),OFFSET(Batting!$B$4,E34,$C$1+1,1,1),0)</f>
        <v>15</v>
      </c>
      <c r="J34" s="9">
        <f ca="1">VLOOKUP(A34,'Fantasy Teams'!$A$45:$C$87,3,FALSE)</f>
        <v>4</v>
      </c>
      <c r="K34" s="10">
        <f t="shared" ca="1" si="4"/>
        <v>30.5</v>
      </c>
      <c r="L34" s="5">
        <f t="shared" ca="1" si="5"/>
        <v>30.500340000000001</v>
      </c>
      <c r="M34" s="5">
        <f t="shared" ca="1" si="6"/>
        <v>25</v>
      </c>
      <c r="N34" s="5">
        <f t="shared" ca="1" si="7"/>
        <v>9</v>
      </c>
      <c r="O34" s="5">
        <f t="shared" si="8"/>
        <v>30</v>
      </c>
      <c r="P34" s="5" t="str">
        <f t="shared" ca="1" si="10"/>
        <v>David Cooper</v>
      </c>
      <c r="Q34" s="7">
        <f t="shared" ca="1" si="11"/>
        <v>23</v>
      </c>
      <c r="R34" s="5">
        <f t="shared" ca="1" si="3"/>
        <v>1</v>
      </c>
    </row>
    <row r="35" spans="1:18" x14ac:dyDescent="0.2">
      <c r="A35" s="71" t="str">
        <f ca="1"/>
        <v>NEMA</v>
      </c>
      <c r="B35" t="str">
        <f ca="1"/>
        <v>Neil Mander</v>
      </c>
      <c r="C35" s="9">
        <f t="shared" ca="1" si="12"/>
        <v>674</v>
      </c>
      <c r="D35" s="9">
        <f ca="1">IF(NOT(ISNA(E35)),5*OFFSET(Batting!$CE$4,E35,0,1,1),0)</f>
        <v>75</v>
      </c>
      <c r="E35" s="9">
        <f ca="1">MATCH(A35,Batting!$A$5:$A$77,0)</f>
        <v>35</v>
      </c>
      <c r="F35" s="9">
        <f ca="1">IF(NOT(ISNA(E35)),OFFSET(Batting!$B$4,E35,$C$1,1,1),0)</f>
        <v>384</v>
      </c>
      <c r="G35" s="9">
        <f ca="1">MATCH(A35,Bowling!$A$5:$A$57,0)</f>
        <v>26</v>
      </c>
      <c r="H35" s="9">
        <f ca="1">IF(NOT(ISNA(G35)),OFFSET(Bowling!$CO$4,G35,0,1,1),0)</f>
        <v>160</v>
      </c>
      <c r="I35" s="9">
        <f ca="1">IF(NOT(ISNA(E35)),OFFSET(Batting!$B$4,E35,$C$1+1,1,1),0)</f>
        <v>55</v>
      </c>
      <c r="J35" s="9">
        <f ca="1">VLOOKUP(A35,'Fantasy Teams'!$A$45:$C$87,3,FALSE)</f>
        <v>5</v>
      </c>
      <c r="K35" s="10">
        <f t="shared" ca="1" si="4"/>
        <v>134.80000000000001</v>
      </c>
      <c r="L35" s="5">
        <f t="shared" ca="1" si="5"/>
        <v>134.80035000000001</v>
      </c>
      <c r="M35" s="5">
        <f t="shared" ca="1" si="6"/>
        <v>3</v>
      </c>
      <c r="N35" s="5">
        <f t="shared" ca="1" si="7"/>
        <v>27</v>
      </c>
      <c r="O35" s="5">
        <f t="shared" si="8"/>
        <v>31</v>
      </c>
      <c r="P35" s="5" t="str">
        <f t="shared" ca="1" si="10"/>
        <v>Mick Clark</v>
      </c>
      <c r="Q35" s="7">
        <f t="shared" ca="1" si="11"/>
        <v>21</v>
      </c>
      <c r="R35" s="5">
        <f t="shared" ca="1" si="3"/>
        <v>4</v>
      </c>
    </row>
    <row r="36" spans="1:18" x14ac:dyDescent="0.2">
      <c r="A36" s="71" t="str">
        <f ca="1"/>
        <v>NIBA</v>
      </c>
      <c r="B36" t="str">
        <f ca="1"/>
        <v>Nicky Ball</v>
      </c>
      <c r="C36" s="9">
        <f t="shared" ca="1" si="12"/>
        <v>0</v>
      </c>
      <c r="D36" s="9">
        <f ca="1">IF(NOT(ISNA(E36)),5*OFFSET(Batting!$CE$4,E36,0,1,1),0)</f>
        <v>0</v>
      </c>
      <c r="E36" s="9">
        <f ca="1">MATCH(A36,Batting!$A$5:$A$77,0)</f>
        <v>3</v>
      </c>
      <c r="F36" s="9">
        <f ca="1">IF(NOT(ISNA(E36)),OFFSET(Batting!$B$4,E36,$C$1,1,1),0)</f>
        <v>0</v>
      </c>
      <c r="G36" s="9" t="e">
        <f ca="1">MATCH(A36,Bowling!$A$5:$A$57,0)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1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37</v>
      </c>
      <c r="N36" s="5">
        <f t="shared" ca="1" si="7"/>
        <v>25</v>
      </c>
      <c r="O36" s="5">
        <f t="shared" si="8"/>
        <v>32</v>
      </c>
      <c r="P36" s="5" t="str">
        <f t="shared" ca="1" si="10"/>
        <v>Mark Bell</v>
      </c>
      <c r="Q36" s="7">
        <f t="shared" ca="1" si="11"/>
        <v>5</v>
      </c>
      <c r="R36" s="5">
        <f t="shared" ca="1" si="3"/>
        <v>1</v>
      </c>
    </row>
    <row r="37" spans="1:18" x14ac:dyDescent="0.2">
      <c r="A37" s="71" t="str">
        <f ca="1"/>
        <v>PAOA</v>
      </c>
      <c r="B37" t="str">
        <f ca="1"/>
        <v>Paul Oakes</v>
      </c>
      <c r="C37" s="9">
        <f t="shared" ca="1" si="12"/>
        <v>249</v>
      </c>
      <c r="D37" s="9">
        <f ca="1">IF(NOT(ISNA(E37)),5*OFFSET(Batting!$CE$4,E37,0,1,1),0)</f>
        <v>85</v>
      </c>
      <c r="E37" s="9">
        <f ca="1">MATCH(A37,Batting!$A$5:$A$77,0)</f>
        <v>42</v>
      </c>
      <c r="F37" s="9">
        <f ca="1">IF(NOT(ISNA(E37)),OFFSET(Batting!$B$4,E37,$C$1,1,1),0)</f>
        <v>124</v>
      </c>
      <c r="G37" s="9">
        <f ca="1">MATCH(A37,Bowling!$A$5:$A$57,0)</f>
        <v>33</v>
      </c>
      <c r="H37" s="9">
        <f ca="1">IF(NOT(ISNA(G37)),OFFSET(Bowling!$CO$4,G37,0,1,1),0)</f>
        <v>0</v>
      </c>
      <c r="I37" s="9">
        <f ca="1">IF(NOT(ISNA(E37)),OFFSET(Batting!$B$4,E37,$C$1+1,1,1),0)</f>
        <v>40</v>
      </c>
      <c r="J37" s="9">
        <f ca="1">VLOOKUP(A37,'Fantasy Teams'!$A$45:$C$87,3,FALSE)</f>
        <v>3</v>
      </c>
      <c r="K37" s="10">
        <f t="shared" ca="1" si="4"/>
        <v>83</v>
      </c>
      <c r="L37" s="5">
        <f t="shared" ca="1" si="5"/>
        <v>83.000370000000004</v>
      </c>
      <c r="M37" s="5">
        <f t="shared" ca="1" si="6"/>
        <v>12</v>
      </c>
      <c r="N37" s="5">
        <f t="shared" ca="1" si="7"/>
        <v>16</v>
      </c>
      <c r="O37" s="5">
        <f t="shared" si="8"/>
        <v>33</v>
      </c>
      <c r="P37" s="5" t="str">
        <f t="shared" ca="1" si="10"/>
        <v>Glyn Angell</v>
      </c>
      <c r="Q37" s="7">
        <f t="shared" ca="1" si="11"/>
        <v>5</v>
      </c>
      <c r="R37" s="5">
        <f t="shared" ca="1" si="3"/>
        <v>1</v>
      </c>
    </row>
    <row r="38" spans="1:18" x14ac:dyDescent="0.2">
      <c r="A38" s="71" t="str">
        <f ca="1"/>
        <v>PATA</v>
      </c>
      <c r="B38" t="str">
        <f ca="1"/>
        <v>Paul Tate</v>
      </c>
      <c r="C38" s="9">
        <f t="shared" ca="1" si="12"/>
        <v>0</v>
      </c>
      <c r="D38" s="9">
        <f ca="1">IF(NOT(ISNA(E38)),5*OFFSET(Batting!$CE$4,E38,0,1,1),0)</f>
        <v>0</v>
      </c>
      <c r="E38" s="9">
        <f ca="1">MATCH(A38,Batting!$A$5:$A$77,0)</f>
        <v>55</v>
      </c>
      <c r="F38" s="9">
        <f ca="1">IF(NOT(ISNA(E38)),OFFSET(Batting!$B$4,E38,$C$1,1,1),0)</f>
        <v>0</v>
      </c>
      <c r="G38" s="9">
        <f ca="1">MATCH(A38,Bowling!$A$5:$A$57,0)</f>
        <v>43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2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36</v>
      </c>
      <c r="N38" s="5">
        <f t="shared" ca="1" si="7"/>
        <v>13</v>
      </c>
      <c r="O38" s="5">
        <f t="shared" si="8"/>
        <v>34</v>
      </c>
      <c r="P38" s="5" t="str">
        <f t="shared" ca="1" si="10"/>
        <v>David Snow</v>
      </c>
      <c r="Q38" s="7">
        <f t="shared" ca="1" si="11"/>
        <v>2</v>
      </c>
      <c r="R38" s="5">
        <f t="shared" ca="1" si="3"/>
        <v>3</v>
      </c>
    </row>
    <row r="39" spans="1:18" x14ac:dyDescent="0.2">
      <c r="A39" s="71" t="str">
        <f ca="1"/>
        <v>RIWO</v>
      </c>
      <c r="B39" t="str">
        <f ca="1"/>
        <v>Rick Worthington</v>
      </c>
      <c r="C39" s="9">
        <f t="shared" ca="1" si="12"/>
        <v>243</v>
      </c>
      <c r="D39" s="9">
        <f ca="1">IF(NOT(ISNA(E39)),5*OFFSET(Batting!$CE$4,E39,0,1,1),0)</f>
        <v>65</v>
      </c>
      <c r="E39" s="9">
        <f ca="1">MATCH(A39,Batting!$A$5:$A$77,0)</f>
        <v>58</v>
      </c>
      <c r="F39" s="9">
        <f ca="1">IF(NOT(ISNA(E39)),OFFSET(Batting!$B$4,E39,$C$1,1,1),0)</f>
        <v>158</v>
      </c>
      <c r="G39" s="9">
        <f ca="1">MATCH(A39,Bowling!$A$5:$A$57,0)</f>
        <v>46</v>
      </c>
      <c r="H39" s="9">
        <f ca="1">IF(NOT(ISNA(G39)),OFFSET(Bowling!$CO$4,G39,0,1,1),0)</f>
        <v>0</v>
      </c>
      <c r="I39" s="9">
        <f ca="1">IF(NOT(ISNA(E39)),OFFSET(Batting!$B$4,E39,$C$1+1,1,1),0)</f>
        <v>20</v>
      </c>
      <c r="J39" s="9">
        <f ca="1">VLOOKUP(A39,'Fantasy Teams'!$A$45:$C$87,3,FALSE)</f>
        <v>4</v>
      </c>
      <c r="K39" s="10">
        <f t="shared" ca="1" si="4"/>
        <v>60.75</v>
      </c>
      <c r="L39" s="5">
        <f t="shared" ca="1" si="5"/>
        <v>60.750390000000003</v>
      </c>
      <c r="M39" s="5">
        <f t="shared" ca="1" si="6"/>
        <v>19</v>
      </c>
      <c r="N39" s="5">
        <f t="shared" ca="1" si="7"/>
        <v>40</v>
      </c>
      <c r="O39" s="5">
        <f t="shared" si="8"/>
        <v>35</v>
      </c>
      <c r="P39" s="5" t="str">
        <f t="shared" ca="1" si="10"/>
        <v>Vic Howe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71" t="str">
        <f ca="1"/>
        <v>ROWO</v>
      </c>
      <c r="B40" t="str">
        <f ca="1"/>
        <v>Rob Worthy</v>
      </c>
      <c r="C40" s="9">
        <f t="shared" ca="1" si="12"/>
        <v>30</v>
      </c>
      <c r="D40" s="9">
        <f ca="1">IF(NOT(ISNA(E40)),5*OFFSET(Batting!$CE$4,E40,0,1,1),0)</f>
        <v>5</v>
      </c>
      <c r="E40" s="9">
        <f ca="1">MATCH(A40,Batting!$A$5:$A$77,0)</f>
        <v>60</v>
      </c>
      <c r="F40" s="9">
        <f ca="1">IF(NOT(ISNA(E40)),OFFSET(Batting!$B$4,E40,$C$1,1,1),0)</f>
        <v>9</v>
      </c>
      <c r="G40" s="9">
        <f ca="1">MATCH(A40,Bowling!$A$5:$A$57,0)</f>
        <v>48</v>
      </c>
      <c r="H40" s="9">
        <f ca="1">IF(NOT(ISNA(G40)),OFFSET(Bowling!$CO$4,G40,0,1,1),0)</f>
        <v>16</v>
      </c>
      <c r="I40" s="9">
        <f ca="1">IF(NOT(ISNA(E40)),OFFSET(Batting!$B$4,E40,$C$1+1,1,1),0)</f>
        <v>0</v>
      </c>
      <c r="J40" s="9">
        <f ca="1">VLOOKUP(A40,'Fantasy Teams'!$A$45:$C$87,3,FALSE)</f>
        <v>1</v>
      </c>
      <c r="K40" s="10">
        <f t="shared" ca="1" si="4"/>
        <v>30</v>
      </c>
      <c r="L40" s="5">
        <f t="shared" ca="1" si="5"/>
        <v>30.000399999999999</v>
      </c>
      <c r="M40" s="5">
        <f t="shared" ca="1" si="6"/>
        <v>27</v>
      </c>
      <c r="N40" s="5">
        <f t="shared" ca="1" si="7"/>
        <v>34</v>
      </c>
      <c r="O40" s="5">
        <f t="shared" si="8"/>
        <v>36</v>
      </c>
      <c r="P40" s="5" t="str">
        <f t="shared" ca="1" si="10"/>
        <v>Paul Tate</v>
      </c>
      <c r="Q40" s="7">
        <f t="shared" ca="1" si="11"/>
        <v>0</v>
      </c>
      <c r="R40" s="5">
        <f t="shared" ca="1" si="3"/>
        <v>2</v>
      </c>
    </row>
    <row r="41" spans="1:18" x14ac:dyDescent="0.2">
      <c r="A41" s="71" t="str">
        <f ca="1"/>
        <v>SEAF</v>
      </c>
      <c r="B41" t="str">
        <f ca="1"/>
        <v>Sergio Afonso</v>
      </c>
      <c r="C41" s="9">
        <f t="shared" ca="1" si="12"/>
        <v>60</v>
      </c>
      <c r="D41" s="9">
        <f ca="1">IF(NOT(ISNA(E41)),5*OFFSET(Batting!$CE$4,E41,0,1,1),0)</f>
        <v>25</v>
      </c>
      <c r="E41" s="9">
        <f ca="1">MATCH(A41,Batting!$A$5:$A$77,0)</f>
        <v>1</v>
      </c>
      <c r="F41" s="9">
        <f ca="1">IF(NOT(ISNA(E41)),OFFSET(Batting!$B$4,E41,$C$1,1,1),0)</f>
        <v>20</v>
      </c>
      <c r="G41" s="9">
        <f ca="1">MATCH(A41,Bowling!$A$5:$A$57,0)</f>
        <v>1</v>
      </c>
      <c r="H41" s="9">
        <f ca="1">IF(NOT(ISNA(G41)),OFFSET(Bowling!$CO$4,G41,0,1,1),0)</f>
        <v>0</v>
      </c>
      <c r="I41" s="9">
        <f ca="1">IF(NOT(ISNA(E41)),OFFSET(Batting!$B$4,E41,$C$1+1,1,1),0)</f>
        <v>15</v>
      </c>
      <c r="J41" s="9">
        <f ca="1">VLOOKUP(A41,'Fantasy Teams'!$A$45:$C$87,3,FALSE)</f>
        <v>2</v>
      </c>
      <c r="K41" s="10">
        <f t="shared" ca="1" si="4"/>
        <v>30</v>
      </c>
      <c r="L41" s="5">
        <f t="shared" ca="1" si="5"/>
        <v>30.000409999999999</v>
      </c>
      <c r="M41" s="5">
        <f t="shared" ca="1" si="6"/>
        <v>26</v>
      </c>
      <c r="N41" s="5">
        <f t="shared" ca="1" si="7"/>
        <v>32</v>
      </c>
      <c r="O41" s="5">
        <f t="shared" si="8"/>
        <v>37</v>
      </c>
      <c r="P41" s="5" t="str">
        <f t="shared" ca="1" si="10"/>
        <v>Nicky Ball</v>
      </c>
      <c r="Q41" s="7">
        <f t="shared" ca="1" si="11"/>
        <v>0</v>
      </c>
      <c r="R41" s="5">
        <f t="shared" ca="1" si="3"/>
        <v>1</v>
      </c>
    </row>
    <row r="42" spans="1:18" x14ac:dyDescent="0.2">
      <c r="A42" s="71" t="str">
        <f ca="1"/>
        <v>TEDU</v>
      </c>
      <c r="B42" t="str">
        <f ca="1"/>
        <v>Ted Dugdale</v>
      </c>
      <c r="C42" s="9">
        <f t="shared" ca="1" si="12"/>
        <v>315</v>
      </c>
      <c r="D42" s="9">
        <f ca="1">IF(NOT(ISNA(E42)),5*OFFSET(Batting!$CE$4,E42,0,1,1),0)</f>
        <v>50</v>
      </c>
      <c r="E42" s="9">
        <f ca="1">MATCH(A42,Batting!$A$5:$A$77,0)</f>
        <v>18</v>
      </c>
      <c r="F42" s="9">
        <f ca="1">IF(NOT(ISNA(E42)),OFFSET(Batting!$B$4,E42,$C$1,1,1),0)</f>
        <v>229</v>
      </c>
      <c r="G42" s="9">
        <f ca="1">MATCH(A42,Bowling!$A$5:$A$57,0)</f>
        <v>13</v>
      </c>
      <c r="H42" s="9">
        <f ca="1">IF(NOT(ISNA(G42)),OFFSET(Bowling!$CO$4,G42,0,1,1),0)</f>
        <v>10</v>
      </c>
      <c r="I42" s="9">
        <f ca="1">IF(NOT(ISNA(E42)),OFFSET(Batting!$B$4,E42,$C$1+1,1,1),0)</f>
        <v>26</v>
      </c>
      <c r="J42" s="9">
        <f ca="1">VLOOKUP(A42,'Fantasy Teams'!$A$45:$C$87,3,FALSE)</f>
        <v>7</v>
      </c>
      <c r="K42" s="10">
        <f t="shared" ca="1" si="4"/>
        <v>45</v>
      </c>
      <c r="L42" s="5">
        <f t="shared" ca="1" si="5"/>
        <v>45.000419999999998</v>
      </c>
      <c r="M42" s="5">
        <f t="shared" ca="1" si="6"/>
        <v>21</v>
      </c>
      <c r="N42" s="5">
        <f t="shared" ca="1" si="7"/>
        <v>23</v>
      </c>
      <c r="O42" s="5">
        <f t="shared" si="8"/>
        <v>38</v>
      </c>
      <c r="P42" s="5" t="str">
        <f t="shared" ca="1" si="10"/>
        <v>Kris Ligory</v>
      </c>
      <c r="Q42" s="7">
        <f t="shared" ca="1" si="11"/>
        <v>0</v>
      </c>
      <c r="R42" s="5">
        <f t="shared" ca="1" si="3"/>
        <v>1</v>
      </c>
    </row>
    <row r="43" spans="1:18" x14ac:dyDescent="0.2">
      <c r="A43" s="71" t="str">
        <f ca="1"/>
        <v>TOSP</v>
      </c>
      <c r="B43" t="str">
        <f ca="1"/>
        <v>Tony Springer</v>
      </c>
      <c r="C43" s="9">
        <f t="shared" ca="1" si="12"/>
        <v>1437</v>
      </c>
      <c r="D43" s="9">
        <f ca="1">IF(NOT(ISNA(E43)),5*OFFSET(Batting!$CE$4,E43,0,1,1),0)</f>
        <v>110</v>
      </c>
      <c r="E43" s="9">
        <f ca="1">MATCH(A43,Batting!$A$5:$A$77,0)</f>
        <v>54</v>
      </c>
      <c r="F43" s="9">
        <f ca="1">IF(NOT(ISNA(E43)),OFFSET(Batting!$B$4,E43,$C$1,1,1),0)</f>
        <v>922</v>
      </c>
      <c r="G43" s="9">
        <f ca="1">MATCH(A43,Bowling!$A$5:$A$57,0)</f>
        <v>42</v>
      </c>
      <c r="H43" s="9">
        <f ca="1">IF(NOT(ISNA(G43)),OFFSET(Bowling!$CO$4,G43,0,1,1),0)</f>
        <v>344</v>
      </c>
      <c r="I43" s="9">
        <f ca="1">IF(NOT(ISNA(E43)),OFFSET(Batting!$B$4,E43,$C$1+1,1,1),0)</f>
        <v>61</v>
      </c>
      <c r="J43" s="9">
        <f ca="1">VLOOKUP(A43,'Fantasy Teams'!$A$45:$C$87,3,FALSE)</f>
        <v>10</v>
      </c>
      <c r="K43" s="10">
        <f t="shared" ca="1" si="4"/>
        <v>143.69999999999999</v>
      </c>
      <c r="L43" s="5">
        <f t="shared" ca="1" si="5"/>
        <v>143.70042999999998</v>
      </c>
      <c r="M43" s="5">
        <f t="shared" ca="1" si="6"/>
        <v>2</v>
      </c>
      <c r="N43" s="5">
        <f t="shared" ca="1" si="7"/>
        <v>11</v>
      </c>
      <c r="O43" s="5">
        <f t="shared" si="8"/>
        <v>39</v>
      </c>
      <c r="P43" s="5" t="str">
        <f t="shared" ca="1" si="10"/>
        <v>Dan Porter</v>
      </c>
      <c r="Q43" s="7">
        <f t="shared" ca="1" si="11"/>
        <v>0</v>
      </c>
      <c r="R43" s="5">
        <f t="shared" ca="1" si="3"/>
        <v>4</v>
      </c>
    </row>
    <row r="44" spans="1:18" x14ac:dyDescent="0.2">
      <c r="A44" s="71" t="str">
        <f ca="1"/>
        <v>VIHO</v>
      </c>
      <c r="B44" t="str">
        <f ca="1"/>
        <v>Vic Howe</v>
      </c>
      <c r="C44" s="9">
        <f ca="1">F44+H44+I44+D44</f>
        <v>0</v>
      </c>
      <c r="D44" s="9">
        <f ca="1">IF(NOT(ISNA(E44)),5*OFFSET(Batting!$CE$4,E44,0,1,1),0)</f>
        <v>0</v>
      </c>
      <c r="E44" s="9">
        <f ca="1">MATCH(A44,Batting!$A$5:$A$77,0)</f>
        <v>28</v>
      </c>
      <c r="F44" s="9">
        <f ca="1">IF(NOT(ISNA(E44)),OFFSET(Batting!$B$4,E44,$C$1,1,1),0)</f>
        <v>0</v>
      </c>
      <c r="G44" s="9">
        <f ca="1">MATCH(A44,Bowling!$A$5:$A$57,0)</f>
        <v>19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>
        <f ca="1">VLOOKUP(A44,'Fantasy Teams'!$A$45:$C$87,3,FALSE)</f>
        <v>2</v>
      </c>
      <c r="K44" s="10">
        <f t="shared" ca="1" si="4"/>
        <v>0</v>
      </c>
      <c r="L44" s="5">
        <f t="shared" ca="1" si="5"/>
        <v>4.4000000000000002E-4</v>
      </c>
      <c r="M44" s="5">
        <f t="shared" ca="1" si="6"/>
        <v>35</v>
      </c>
      <c r="N44" s="5">
        <f t="shared" ca="1" si="7"/>
        <v>3</v>
      </c>
      <c r="O44" s="5">
        <f t="shared" si="8"/>
        <v>40</v>
      </c>
      <c r="P44" s="5" t="str">
        <f t="shared" ca="1" si="10"/>
        <v>Alex Hamilton</v>
      </c>
      <c r="Q44" s="7">
        <f t="shared" ca="1" si="11"/>
        <v>0</v>
      </c>
      <c r="R44" s="5">
        <f t="shared" ca="1" si="3"/>
        <v>4</v>
      </c>
    </row>
    <row r="45" spans="1:18" x14ac:dyDescent="0.2">
      <c r="A45" s="71" t="str">
        <f ca="1"/>
        <v>VIRE</v>
      </c>
      <c r="B45" t="str">
        <f ca="1"/>
        <v>Vince Reid</v>
      </c>
      <c r="C45" s="9">
        <f ca="1">F45+H45+I45+D45</f>
        <v>99</v>
      </c>
      <c r="D45" s="9">
        <f ca="1">IF(NOT(ISNA(E45)),5*OFFSET(Batting!$CE$4,E45,0,1,1),0)</f>
        <v>20</v>
      </c>
      <c r="E45" s="9">
        <f ca="1">MATCH(A45,Batting!$A$5:$A$77,0)</f>
        <v>46</v>
      </c>
      <c r="F45" s="9">
        <f ca="1">IF(NOT(ISNA(E45)),OFFSET(Batting!$B$4,E45,$C$1,1,1),0)</f>
        <v>74</v>
      </c>
      <c r="G45" s="9">
        <f ca="1">MATCH(A45,Bowling!$A$5:$A$57,0)</f>
        <v>36</v>
      </c>
      <c r="H45" s="9">
        <f ca="1">IF(NOT(ISNA(G45)),OFFSET(Bowling!$CO$4,G45,0,1,1),0)</f>
        <v>0</v>
      </c>
      <c r="I45" s="9">
        <f ca="1">IF(NOT(ISNA(E45)),OFFSET(Batting!$B$4,E45,$C$1+1,1,1),0)</f>
        <v>5</v>
      </c>
      <c r="J45" s="9">
        <f ca="1">VLOOKUP(A45,'Fantasy Teams'!$A$45:$C$87,3,FALSE)</f>
        <v>4</v>
      </c>
      <c r="K45" s="10">
        <f t="shared" ca="1" si="4"/>
        <v>24.75</v>
      </c>
      <c r="L45" s="5">
        <f t="shared" ca="1" si="5"/>
        <v>24.750450000000001</v>
      </c>
      <c r="M45" s="5">
        <f t="shared" ca="1" si="6"/>
        <v>29</v>
      </c>
      <c r="N45" s="5">
        <f t="shared" ca="1" si="7"/>
        <v>1</v>
      </c>
      <c r="O45" s="5">
        <f t="shared" si="8"/>
        <v>41</v>
      </c>
      <c r="P45" s="5" t="str">
        <f t="shared" ca="1" si="10"/>
        <v>Adrian Hawksworth</v>
      </c>
      <c r="Q45" s="7">
        <f t="shared" ca="1" si="11"/>
        <v>0</v>
      </c>
      <c r="R45" s="5">
        <f t="shared" ca="1" si="3"/>
        <v>1</v>
      </c>
    </row>
    <row r="46" spans="1:18" x14ac:dyDescent="0.2">
      <c r="A46" s="71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MATCH(A46,Batting!$A$5:$A$77,0)</f>
        <v>#N/A</v>
      </c>
      <c r="F46" s="9">
        <f ca="1">IF(NOT(ISNA(E46)),OFFSET(Batting!$B$4,E46,$C$1,1,1),0)</f>
        <v>0</v>
      </c>
      <c r="G46" s="9" t="e">
        <f ca="1">MATCH(A46,Bowling!$A$5:$A$57,0)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>
      <selection activeCell="L10" sqref="L10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27"/>
    <col min="11" max="16384" width="9.140625" style="16"/>
  </cols>
  <sheetData>
    <row r="1" spans="1:10" ht="12.75" customHeight="1" x14ac:dyDescent="0.25">
      <c r="A1" s="13" t="s">
        <v>108</v>
      </c>
      <c r="B1" s="14" t="s">
        <v>117</v>
      </c>
      <c r="C1" s="14" t="s">
        <v>118</v>
      </c>
      <c r="D1" s="14" t="s">
        <v>111</v>
      </c>
      <c r="E1" s="14" t="s">
        <v>113</v>
      </c>
      <c r="F1" s="14" t="s">
        <v>114</v>
      </c>
      <c r="G1" s="14" t="s">
        <v>102</v>
      </c>
      <c r="H1" s="15" t="s">
        <v>119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1</v>
      </c>
      <c r="H2" s="19">
        <f ca="1">FantasyPts!K5</f>
        <v>0</v>
      </c>
      <c r="I2" s="16">
        <f ca="1">INT(B2/100+0.5)</f>
        <v>0</v>
      </c>
      <c r="J2" s="128">
        <f ca="1">I2-G2</f>
        <v>-1</v>
      </c>
    </row>
    <row r="3" spans="1:10" ht="12.75" customHeight="1" x14ac:dyDescent="0.3">
      <c r="A3" s="17" t="str">
        <f ca="1">FantasyPts!B6</f>
        <v>Aiden Coloe</v>
      </c>
      <c r="B3" s="18">
        <f ca="1">FantasyPts!C6</f>
        <v>109</v>
      </c>
      <c r="C3" s="18">
        <f ca="1">FantasyPts!D6</f>
        <v>40</v>
      </c>
      <c r="D3" s="18">
        <f ca="1">FantasyPts!F6</f>
        <v>63</v>
      </c>
      <c r="E3" s="18">
        <f ca="1">FantasyPts!H6</f>
        <v>-4</v>
      </c>
      <c r="F3" s="18">
        <f ca="1">FantasyPts!I6</f>
        <v>10</v>
      </c>
      <c r="G3" s="18">
        <f ca="1">FantasyPts!J6</f>
        <v>2</v>
      </c>
      <c r="H3" s="19">
        <f ca="1">FantasyPts!K6</f>
        <v>54.5</v>
      </c>
      <c r="I3" s="16">
        <f t="shared" ref="I3:I38" ca="1" si="0">INT(B3/100+0.5)</f>
        <v>1</v>
      </c>
      <c r="J3" s="128">
        <f t="shared" ref="J3:J42" ca="1" si="1">I3-G3</f>
        <v>-1</v>
      </c>
    </row>
    <row r="4" spans="1:10" ht="12.75" customHeight="1" x14ac:dyDescent="0.3">
      <c r="A4" s="17" t="str">
        <f ca="1">FantasyPts!B7</f>
        <v>Alex Hamilton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4</v>
      </c>
      <c r="H4" s="19">
        <f ca="1">FantasyPts!K7</f>
        <v>0</v>
      </c>
      <c r="I4" s="16">
        <f t="shared" ca="1" si="0"/>
        <v>0</v>
      </c>
      <c r="J4" s="128">
        <f t="shared" ca="1" si="1"/>
        <v>-4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541</v>
      </c>
      <c r="C5" s="18">
        <f ca="1">FantasyPts!D8</f>
        <v>75</v>
      </c>
      <c r="D5" s="18">
        <f ca="1">FantasyPts!F8</f>
        <v>68</v>
      </c>
      <c r="E5" s="18">
        <f ca="1">FantasyPts!H8</f>
        <v>378</v>
      </c>
      <c r="F5" s="18">
        <f ca="1">FantasyPts!I8</f>
        <v>20</v>
      </c>
      <c r="G5" s="18">
        <f ca="1">FantasyPts!J8</f>
        <v>8</v>
      </c>
      <c r="H5" s="19">
        <f ca="1">FantasyPts!K8</f>
        <v>67.625</v>
      </c>
      <c r="I5" s="16">
        <f t="shared" ca="1" si="0"/>
        <v>5</v>
      </c>
      <c r="J5" s="128">
        <f t="shared" ca="1" si="1"/>
        <v>-3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339</v>
      </c>
      <c r="C6" s="18">
        <f ca="1">FantasyPts!D9</f>
        <v>75</v>
      </c>
      <c r="D6" s="18">
        <f ca="1">FantasyPts!F9</f>
        <v>8</v>
      </c>
      <c r="E6" s="18">
        <f ca="1">FantasyPts!H9</f>
        <v>221</v>
      </c>
      <c r="F6" s="18">
        <f ca="1">FantasyPts!I9</f>
        <v>35</v>
      </c>
      <c r="G6" s="18">
        <f ca="1">FantasyPts!J9</f>
        <v>4</v>
      </c>
      <c r="H6" s="19">
        <f ca="1">FantasyPts!K9</f>
        <v>84.75</v>
      </c>
      <c r="I6" s="16">
        <f t="shared" ca="1" si="0"/>
        <v>3</v>
      </c>
      <c r="J6" s="128">
        <f t="shared" ca="1" si="1"/>
        <v>-1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604</v>
      </c>
      <c r="C7" s="18">
        <f ca="1">FantasyPts!D10</f>
        <v>75</v>
      </c>
      <c r="D7" s="18">
        <f ca="1">FantasyPts!F10</f>
        <v>50</v>
      </c>
      <c r="E7" s="18">
        <f ca="1">FantasyPts!H10</f>
        <v>449</v>
      </c>
      <c r="F7" s="18">
        <f ca="1">FantasyPts!I10</f>
        <v>30</v>
      </c>
      <c r="G7" s="18">
        <f ca="1">FantasyPts!J10</f>
        <v>5</v>
      </c>
      <c r="H7" s="19">
        <f ca="1">FantasyPts!K10</f>
        <v>120.8</v>
      </c>
      <c r="I7" s="16">
        <f t="shared" ca="1" si="0"/>
        <v>6</v>
      </c>
      <c r="J7" s="128">
        <f t="shared" ca="1" si="1"/>
        <v>1</v>
      </c>
    </row>
    <row r="8" spans="1:10" ht="12.75" customHeight="1" x14ac:dyDescent="0.3">
      <c r="A8" s="17" t="str">
        <f ca="1">FantasyPts!B11</f>
        <v>Colin Mander</v>
      </c>
      <c r="B8" s="18">
        <f ca="1">FantasyPts!C11</f>
        <v>566</v>
      </c>
      <c r="C8" s="18">
        <f ca="1">FantasyPts!D11</f>
        <v>70</v>
      </c>
      <c r="D8" s="18">
        <f ca="1">FantasyPts!F11</f>
        <v>180</v>
      </c>
      <c r="E8" s="18">
        <f ca="1">FantasyPts!H11</f>
        <v>230</v>
      </c>
      <c r="F8" s="18">
        <f ca="1">FantasyPts!I11</f>
        <v>86</v>
      </c>
      <c r="G8" s="18">
        <f ca="1">FantasyPts!J11</f>
        <v>7</v>
      </c>
      <c r="H8" s="19">
        <f ca="1">FantasyPts!K11</f>
        <v>80.856999999999999</v>
      </c>
      <c r="I8" s="16">
        <f t="shared" ca="1" si="0"/>
        <v>6</v>
      </c>
      <c r="J8" s="128">
        <f t="shared" ca="1" si="1"/>
        <v>-1</v>
      </c>
    </row>
    <row r="9" spans="1:10" ht="12.75" customHeight="1" x14ac:dyDescent="0.3">
      <c r="A9" s="17" t="str">
        <f ca="1">FantasyPts!B12</f>
        <v>David Brocks</v>
      </c>
      <c r="B9" s="18">
        <f ca="1">FantasyPts!C12</f>
        <v>193</v>
      </c>
      <c r="C9" s="18">
        <f ca="1">FantasyPts!D12</f>
        <v>20</v>
      </c>
      <c r="D9" s="18">
        <f ca="1">FantasyPts!F12</f>
        <v>109</v>
      </c>
      <c r="E9" s="18">
        <f ca="1">FantasyPts!H12</f>
        <v>59</v>
      </c>
      <c r="F9" s="18">
        <f ca="1">FantasyPts!I12</f>
        <v>5</v>
      </c>
      <c r="G9" s="18">
        <f ca="1">FantasyPts!J12</f>
        <v>3</v>
      </c>
      <c r="H9" s="19">
        <f ca="1">FantasyPts!K12</f>
        <v>64.332999999999998</v>
      </c>
      <c r="I9" s="16">
        <f t="shared" ca="1" si="0"/>
        <v>2</v>
      </c>
      <c r="J9" s="128">
        <f t="shared" ca="1" si="1"/>
        <v>-1</v>
      </c>
    </row>
    <row r="10" spans="1:10" ht="12.75" customHeight="1" x14ac:dyDescent="0.3">
      <c r="A10" s="17" t="str">
        <f ca="1">FantasyPts!B13</f>
        <v>David Cooper</v>
      </c>
      <c r="B10" s="18">
        <f ca="1">FantasyPts!C13</f>
        <v>23</v>
      </c>
      <c r="C10" s="18">
        <f ca="1">FantasyPts!D13</f>
        <v>20</v>
      </c>
      <c r="D10" s="18">
        <f ca="1">FantasyPts!F13</f>
        <v>-2</v>
      </c>
      <c r="E10" s="18">
        <f ca="1">FantasyPts!H13</f>
        <v>0</v>
      </c>
      <c r="F10" s="18">
        <f ca="1">FantasyPts!I13</f>
        <v>5</v>
      </c>
      <c r="G10" s="18">
        <f ca="1">FantasyPts!J13</f>
        <v>1</v>
      </c>
      <c r="H10" s="19">
        <f ca="1">FantasyPts!K13</f>
        <v>23</v>
      </c>
      <c r="I10" s="16">
        <f t="shared" ca="1" si="0"/>
        <v>0</v>
      </c>
      <c r="J10" s="128">
        <f t="shared" ca="1" si="1"/>
        <v>-1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427</v>
      </c>
      <c r="C11" s="18">
        <f ca="1">FantasyPts!D14</f>
        <v>80</v>
      </c>
      <c r="D11" s="18">
        <f ca="1">FantasyPts!F14</f>
        <v>47</v>
      </c>
      <c r="E11" s="18">
        <f ca="1">FantasyPts!H14</f>
        <v>290</v>
      </c>
      <c r="F11" s="18">
        <f ca="1">FantasyPts!I14</f>
        <v>10</v>
      </c>
      <c r="G11" s="18">
        <f ca="1">FantasyPts!J14</f>
        <v>4</v>
      </c>
      <c r="H11" s="19">
        <f ca="1">FantasyPts!K14</f>
        <v>106.75</v>
      </c>
      <c r="I11" s="16">
        <f t="shared" ca="1" si="0"/>
        <v>4</v>
      </c>
      <c r="J11" s="128">
        <f t="shared" ca="1" si="1"/>
        <v>0</v>
      </c>
    </row>
    <row r="12" spans="1:10" ht="12.75" customHeight="1" x14ac:dyDescent="0.3">
      <c r="A12" s="17" t="str">
        <f ca="1">FantasyPts!B15</f>
        <v>Dan Porter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28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601</v>
      </c>
      <c r="C13" s="18">
        <f ca="1">FantasyPts!D16</f>
        <v>90</v>
      </c>
      <c r="D13" s="18">
        <f ca="1">FantasyPts!F16</f>
        <v>224</v>
      </c>
      <c r="E13" s="18">
        <f ca="1">FantasyPts!H16</f>
        <v>247</v>
      </c>
      <c r="F13" s="18">
        <f ca="1">FantasyPts!I16</f>
        <v>40</v>
      </c>
      <c r="G13" s="18">
        <f ca="1">FantasyPts!J16</f>
        <v>7</v>
      </c>
      <c r="H13" s="19">
        <f ca="1">FantasyPts!K16</f>
        <v>85.856999999999999</v>
      </c>
      <c r="I13" s="16">
        <f t="shared" ca="1" si="0"/>
        <v>6</v>
      </c>
      <c r="J13" s="128">
        <f t="shared" ca="1" si="1"/>
        <v>-1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6</v>
      </c>
      <c r="C14" s="18">
        <f ca="1">FantasyPts!D17</f>
        <v>5</v>
      </c>
      <c r="D14" s="18">
        <f ca="1">FantasyPts!F17</f>
        <v>1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2</v>
      </c>
      <c r="I14" s="16">
        <f t="shared" ca="1" si="0"/>
        <v>0</v>
      </c>
      <c r="J14" s="128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200</v>
      </c>
      <c r="C15" s="18">
        <f ca="1">FantasyPts!D18</f>
        <v>30</v>
      </c>
      <c r="D15" s="18">
        <f ca="1">FantasyPts!F18</f>
        <v>13</v>
      </c>
      <c r="E15" s="18">
        <f ca="1">FantasyPts!H18</f>
        <v>147</v>
      </c>
      <c r="F15" s="18">
        <f ca="1">FantasyPts!I18</f>
        <v>10</v>
      </c>
      <c r="G15" s="18">
        <f ca="1">FantasyPts!J18</f>
        <v>3</v>
      </c>
      <c r="H15" s="19">
        <f ca="1">FantasyPts!K18</f>
        <v>66.665999999999997</v>
      </c>
      <c r="I15" s="16">
        <f t="shared" ca="1" si="0"/>
        <v>2</v>
      </c>
      <c r="J15" s="128">
        <f t="shared" ca="1" si="1"/>
        <v>-1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556</v>
      </c>
      <c r="C16" s="18">
        <f ca="1">FantasyPts!D19</f>
        <v>80</v>
      </c>
      <c r="D16" s="18">
        <f ca="1">FantasyPts!F19</f>
        <v>105</v>
      </c>
      <c r="E16" s="18">
        <f ca="1">FantasyPts!H19</f>
        <v>311</v>
      </c>
      <c r="F16" s="18">
        <f ca="1">FantasyPts!I19</f>
        <v>60</v>
      </c>
      <c r="G16" s="18">
        <f ca="1">FantasyPts!J19</f>
        <v>5</v>
      </c>
      <c r="H16" s="19">
        <f ca="1">FantasyPts!K19</f>
        <v>111.2</v>
      </c>
      <c r="I16" s="16">
        <f t="shared" ca="1" si="0"/>
        <v>6</v>
      </c>
      <c r="J16" s="128">
        <f t="shared" ca="1" si="1"/>
        <v>1</v>
      </c>
    </row>
    <row r="17" spans="1:10" ht="12.75" customHeight="1" x14ac:dyDescent="0.3">
      <c r="A17" s="17" t="str">
        <f ca="1">FantasyPts!B20</f>
        <v>Glyn Angell</v>
      </c>
      <c r="B17" s="18">
        <f ca="1">FantasyPts!C20</f>
        <v>5</v>
      </c>
      <c r="C17" s="18">
        <f ca="1">FantasyPts!D20</f>
        <v>5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1</v>
      </c>
      <c r="H17" s="19">
        <f ca="1">FantasyPts!K20</f>
        <v>5</v>
      </c>
      <c r="I17" s="16">
        <f t="shared" ca="1" si="0"/>
        <v>0</v>
      </c>
      <c r="J17" s="128">
        <f t="shared" ca="1" si="1"/>
        <v>-1</v>
      </c>
    </row>
    <row r="18" spans="1:10" ht="12.75" customHeight="1" x14ac:dyDescent="0.3">
      <c r="A18" s="17" t="str">
        <f ca="1">FantasyPts!B21</f>
        <v>Jason Crisford</v>
      </c>
      <c r="B18" s="18">
        <f ca="1">FantasyPts!C21</f>
        <v>102</v>
      </c>
      <c r="C18" s="18">
        <f ca="1">FantasyPts!D21</f>
        <v>65</v>
      </c>
      <c r="D18" s="18">
        <f ca="1">FantasyPts!F21</f>
        <v>2</v>
      </c>
      <c r="E18" s="18">
        <f ca="1">FantasyPts!H21</f>
        <v>0</v>
      </c>
      <c r="F18" s="18">
        <f ca="1">FantasyPts!I21</f>
        <v>35</v>
      </c>
      <c r="G18" s="18">
        <f ca="1">FantasyPts!J21</f>
        <v>4</v>
      </c>
      <c r="H18" s="19">
        <f ca="1">FantasyPts!K21</f>
        <v>25.5</v>
      </c>
      <c r="I18" s="16">
        <f t="shared" ca="1" si="0"/>
        <v>1</v>
      </c>
      <c r="J18" s="128">
        <f t="shared" ca="1" si="1"/>
        <v>-3</v>
      </c>
    </row>
    <row r="19" spans="1:10" ht="12.75" customHeight="1" x14ac:dyDescent="0.3">
      <c r="A19" s="17" t="str">
        <f ca="1">FantasyPts!B22</f>
        <v>Jeff Lestrelle</v>
      </c>
      <c r="B19" s="18">
        <f ca="1">FantasyPts!C22</f>
        <v>157</v>
      </c>
      <c r="C19" s="18">
        <f ca="1">FantasyPts!D22</f>
        <v>60</v>
      </c>
      <c r="D19" s="18">
        <f ca="1">FantasyPts!F22</f>
        <v>57</v>
      </c>
      <c r="E19" s="18">
        <f ca="1">FantasyPts!H22</f>
        <v>30</v>
      </c>
      <c r="F19" s="18">
        <f ca="1">FantasyPts!I22</f>
        <v>10</v>
      </c>
      <c r="G19" s="18">
        <f ca="1">FantasyPts!J22</f>
        <v>4</v>
      </c>
      <c r="H19" s="19">
        <f ca="1">FantasyPts!K22</f>
        <v>39.25</v>
      </c>
      <c r="I19" s="16">
        <f t="shared" ca="1" si="0"/>
        <v>2</v>
      </c>
      <c r="J19" s="128">
        <f t="shared" ca="1" si="1"/>
        <v>-2</v>
      </c>
    </row>
    <row r="20" spans="1:10" ht="12.75" customHeight="1" x14ac:dyDescent="0.3">
      <c r="A20" s="17" t="str">
        <f ca="1">FantasyPts!B23</f>
        <v>Jeff Middleton</v>
      </c>
      <c r="B20" s="18">
        <f ca="1">FantasyPts!C23</f>
        <v>238</v>
      </c>
      <c r="C20" s="18">
        <f ca="1">FantasyPts!D23</f>
        <v>30</v>
      </c>
      <c r="D20" s="18">
        <f ca="1">FantasyPts!F23</f>
        <v>141</v>
      </c>
      <c r="E20" s="18">
        <f ca="1">FantasyPts!H23</f>
        <v>57</v>
      </c>
      <c r="F20" s="18">
        <f ca="1">FantasyPts!I23</f>
        <v>10</v>
      </c>
      <c r="G20" s="18">
        <f ca="1">FantasyPts!J23</f>
        <v>2</v>
      </c>
      <c r="H20" s="19">
        <f ca="1">FantasyPts!K23</f>
        <v>119</v>
      </c>
      <c r="I20" s="16">
        <f t="shared" ca="1" si="0"/>
        <v>2</v>
      </c>
      <c r="J20" s="128">
        <f t="shared" ca="1" si="1"/>
        <v>0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209</v>
      </c>
      <c r="C21" s="18">
        <f ca="1">FantasyPts!D24</f>
        <v>60</v>
      </c>
      <c r="D21" s="18">
        <f ca="1">FantasyPts!F24</f>
        <v>1</v>
      </c>
      <c r="E21" s="18">
        <f ca="1">FantasyPts!H24</f>
        <v>128</v>
      </c>
      <c r="F21" s="18">
        <f ca="1">FantasyPts!I24</f>
        <v>20</v>
      </c>
      <c r="G21" s="18">
        <f>FantasyPts!J24</f>
        <v>3</v>
      </c>
      <c r="H21" s="19">
        <f ca="1">FantasyPts!K24</f>
        <v>69.665999999999997</v>
      </c>
      <c r="I21" s="16">
        <f t="shared" ca="1" si="0"/>
        <v>2</v>
      </c>
      <c r="J21" s="128">
        <f t="shared" ca="1" si="1"/>
        <v>-1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856</v>
      </c>
      <c r="C22" s="18">
        <f ca="1">FantasyPts!D25</f>
        <v>65</v>
      </c>
      <c r="D22" s="18">
        <f ca="1">FantasyPts!F25</f>
        <v>704</v>
      </c>
      <c r="E22" s="18">
        <f ca="1">FantasyPts!H25</f>
        <v>0</v>
      </c>
      <c r="F22" s="18">
        <f ca="1">FantasyPts!I25</f>
        <v>87</v>
      </c>
      <c r="G22" s="18">
        <f ca="1">FantasyPts!J25</f>
        <v>9</v>
      </c>
      <c r="H22" s="19">
        <f ca="1">FantasyPts!K25</f>
        <v>95.111000000000004</v>
      </c>
      <c r="I22" s="16">
        <f t="shared" ca="1" si="0"/>
        <v>9</v>
      </c>
      <c r="J22" s="128">
        <f t="shared" ca="1" si="1"/>
        <v>0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359</v>
      </c>
      <c r="C23" s="18">
        <f ca="1">FantasyPts!D26</f>
        <v>50</v>
      </c>
      <c r="D23" s="18">
        <f ca="1">FantasyPts!F26</f>
        <v>20</v>
      </c>
      <c r="E23" s="18">
        <f ca="1">FantasyPts!H26</f>
        <v>274</v>
      </c>
      <c r="F23" s="18">
        <f ca="1">FantasyPts!I26</f>
        <v>15</v>
      </c>
      <c r="G23" s="18">
        <f ca="1">FantasyPts!J26</f>
        <v>5</v>
      </c>
      <c r="H23" s="19">
        <f ca="1">FantasyPts!K26</f>
        <v>71.8</v>
      </c>
      <c r="I23" s="16">
        <f t="shared" ca="1" si="0"/>
        <v>4</v>
      </c>
      <c r="J23" s="128">
        <f t="shared" ca="1" si="1"/>
        <v>-1</v>
      </c>
    </row>
    <row r="24" spans="1:10" ht="12.75" customHeight="1" x14ac:dyDescent="0.3">
      <c r="A24" s="17" t="str">
        <f ca="1">FantasyPts!B27</f>
        <v>Kris Ligory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1</v>
      </c>
      <c r="H24" s="19">
        <f ca="1">FantasyPts!K27</f>
        <v>0</v>
      </c>
      <c r="I24" s="16">
        <f t="shared" ca="1" si="0"/>
        <v>0</v>
      </c>
      <c r="J24" s="128">
        <f t="shared" ca="1" si="1"/>
        <v>-1</v>
      </c>
    </row>
    <row r="25" spans="1:10" ht="12.75" customHeight="1" x14ac:dyDescent="0.3">
      <c r="A25" s="17" t="str">
        <f ca="1">FantasyPts!B28</f>
        <v>Luke Hickey</v>
      </c>
      <c r="B25" s="18">
        <f ca="1">FantasyPts!C28</f>
        <v>35</v>
      </c>
      <c r="C25" s="18">
        <f ca="1">FantasyPts!D28</f>
        <v>15</v>
      </c>
      <c r="D25" s="18">
        <f ca="1">FantasyPts!F28</f>
        <v>-5</v>
      </c>
      <c r="E25" s="18">
        <f ca="1">FantasyPts!H28</f>
        <v>25</v>
      </c>
      <c r="F25" s="18">
        <f ca="1">FantasyPts!I28</f>
        <v>0</v>
      </c>
      <c r="G25" s="18">
        <f ca="1">FantasyPts!J28</f>
        <v>1</v>
      </c>
      <c r="H25" s="19">
        <f ca="1">FantasyPts!K28</f>
        <v>35</v>
      </c>
      <c r="I25" s="16">
        <f t="shared" ca="1" si="0"/>
        <v>0</v>
      </c>
      <c r="J25" s="128">
        <f t="shared" ca="1" si="1"/>
        <v>-1</v>
      </c>
    </row>
    <row r="26" spans="1:10" ht="12.75" customHeight="1" x14ac:dyDescent="0.3">
      <c r="A26" s="17" t="str">
        <f ca="1">FantasyPts!B29</f>
        <v>Mark Bell</v>
      </c>
      <c r="B26" s="18">
        <f ca="1">FantasyPts!C29</f>
        <v>5</v>
      </c>
      <c r="C26" s="18">
        <f ca="1">FantasyPts!D29</f>
        <v>5</v>
      </c>
      <c r="D26" s="18">
        <f ca="1">FantasyPts!F29</f>
        <v>-5</v>
      </c>
      <c r="E26" s="18">
        <f ca="1">FantasyPts!H29</f>
        <v>0</v>
      </c>
      <c r="F26" s="18">
        <f ca="1">FantasyPts!I29</f>
        <v>5</v>
      </c>
      <c r="G26" s="18">
        <f ca="1">FantasyPts!J29</f>
        <v>1</v>
      </c>
      <c r="H26" s="19">
        <f ca="1">FantasyPts!K29</f>
        <v>5</v>
      </c>
      <c r="I26" s="16">
        <f t="shared" ca="1" si="0"/>
        <v>0</v>
      </c>
      <c r="J26" s="128">
        <f t="shared" ca="1" si="1"/>
        <v>-1</v>
      </c>
    </row>
    <row r="27" spans="1:10" ht="12.75" customHeight="1" x14ac:dyDescent="0.3">
      <c r="A27" s="17" t="str">
        <f ca="1">FantasyPts!B30</f>
        <v>Mike Bowers</v>
      </c>
      <c r="B27" s="18">
        <f ca="1">FantasyPts!C30</f>
        <v>384</v>
      </c>
      <c r="C27" s="18">
        <f ca="1">FantasyPts!D30</f>
        <v>70</v>
      </c>
      <c r="D27" s="18">
        <f ca="1">FantasyPts!F30</f>
        <v>78</v>
      </c>
      <c r="E27" s="18">
        <f ca="1">FantasyPts!H30</f>
        <v>216</v>
      </c>
      <c r="F27" s="18">
        <f ca="1">FantasyPts!I30</f>
        <v>20</v>
      </c>
      <c r="G27" s="18">
        <f ca="1">FantasyPts!J30</f>
        <v>1</v>
      </c>
      <c r="H27" s="19">
        <f ca="1">FantasyPts!K30</f>
        <v>384</v>
      </c>
      <c r="I27" s="16">
        <f t="shared" ca="1" si="0"/>
        <v>4</v>
      </c>
      <c r="J27" s="128">
        <f t="shared" ca="1" si="1"/>
        <v>3</v>
      </c>
    </row>
    <row r="28" spans="1:10" ht="12.75" customHeight="1" x14ac:dyDescent="0.3">
      <c r="A28" s="17" t="str">
        <f ca="1">FantasyPts!B31</f>
        <v>Mick Clark</v>
      </c>
      <c r="B28" s="18">
        <f ca="1">FantasyPts!C31</f>
        <v>84</v>
      </c>
      <c r="C28" s="18">
        <f ca="1">FantasyPts!D31</f>
        <v>35</v>
      </c>
      <c r="D28" s="18">
        <f ca="1">FantasyPts!F31</f>
        <v>11</v>
      </c>
      <c r="E28" s="18">
        <f ca="1">FantasyPts!H31</f>
        <v>33</v>
      </c>
      <c r="F28" s="18">
        <f ca="1">FantasyPts!I31</f>
        <v>5</v>
      </c>
      <c r="G28" s="18">
        <f ca="1">FantasyPts!J31</f>
        <v>4</v>
      </c>
      <c r="H28" s="19">
        <f ca="1">FantasyPts!K31</f>
        <v>21</v>
      </c>
      <c r="I28" s="16">
        <f t="shared" ca="1" si="0"/>
        <v>1</v>
      </c>
      <c r="J28" s="128">
        <f t="shared" ca="1" si="1"/>
        <v>-3</v>
      </c>
    </row>
    <row r="29" spans="1:10" ht="12.75" customHeight="1" x14ac:dyDescent="0.3">
      <c r="A29" s="17" t="str">
        <f ca="1">FantasyPts!B32</f>
        <v>Mike Hosking</v>
      </c>
      <c r="B29" s="18">
        <f ca="1">FantasyPts!C32</f>
        <v>78</v>
      </c>
      <c r="C29" s="18">
        <f ca="1">FantasyPts!D32</f>
        <v>30</v>
      </c>
      <c r="D29" s="18">
        <f ca="1">FantasyPts!F32</f>
        <v>28</v>
      </c>
      <c r="E29" s="18">
        <f ca="1">FantasyPts!H32</f>
        <v>0</v>
      </c>
      <c r="F29" s="18">
        <f ca="1">FantasyPts!I32</f>
        <v>20</v>
      </c>
      <c r="G29" s="18">
        <f ca="1">FantasyPts!J32</f>
        <v>2</v>
      </c>
      <c r="H29" s="19">
        <f ca="1">FantasyPts!K32</f>
        <v>39</v>
      </c>
      <c r="I29" s="16">
        <f t="shared" ca="1" si="0"/>
        <v>1</v>
      </c>
      <c r="J29" s="128">
        <f t="shared" ca="1" si="1"/>
        <v>-1</v>
      </c>
    </row>
    <row r="30" spans="1:10" ht="12.75" customHeight="1" x14ac:dyDescent="0.3">
      <c r="A30" s="17" t="str">
        <f ca="1">FantasyPts!B33</f>
        <v>Mike Woodhouse</v>
      </c>
      <c r="B30" s="18">
        <f ca="1">FantasyPts!C33</f>
        <v>418</v>
      </c>
      <c r="C30" s="18">
        <f ca="1">FantasyPts!D33</f>
        <v>125</v>
      </c>
      <c r="D30" s="18">
        <f ca="1">FantasyPts!F33</f>
        <v>220</v>
      </c>
      <c r="E30" s="18">
        <f ca="1">FantasyPts!H33</f>
        <v>41</v>
      </c>
      <c r="F30" s="18">
        <f ca="1">FantasyPts!I33</f>
        <v>32</v>
      </c>
      <c r="G30" s="18">
        <f ca="1">FantasyPts!J33</f>
        <v>4</v>
      </c>
      <c r="H30" s="19">
        <f ca="1">FantasyPts!K33</f>
        <v>104.5</v>
      </c>
      <c r="I30" s="16">
        <f t="shared" ca="1" si="0"/>
        <v>4</v>
      </c>
      <c r="J30" s="128">
        <f t="shared" ca="1" si="1"/>
        <v>0</v>
      </c>
    </row>
    <row r="31" spans="1:10" ht="12.75" customHeight="1" x14ac:dyDescent="0.3">
      <c r="A31" s="17" t="str">
        <f ca="1">FantasyPts!B34</f>
        <v>Namish Patel</v>
      </c>
      <c r="B31" s="18">
        <f ca="1">FantasyPts!C34</f>
        <v>122</v>
      </c>
      <c r="C31" s="18">
        <f ca="1">FantasyPts!D34</f>
        <v>35</v>
      </c>
      <c r="D31" s="18">
        <f ca="1">FantasyPts!F34</f>
        <v>72</v>
      </c>
      <c r="E31" s="18">
        <f ca="1">FantasyPts!H34</f>
        <v>0</v>
      </c>
      <c r="F31" s="18">
        <f ca="1">FantasyPts!I34</f>
        <v>15</v>
      </c>
      <c r="G31" s="18">
        <f ca="1">FantasyPts!J34</f>
        <v>4</v>
      </c>
      <c r="H31" s="19">
        <f ca="1">FantasyPts!K34</f>
        <v>30.5</v>
      </c>
      <c r="I31" s="16">
        <f t="shared" ca="1" si="0"/>
        <v>1</v>
      </c>
      <c r="J31" s="128">
        <f t="shared" ca="1" si="1"/>
        <v>-3</v>
      </c>
    </row>
    <row r="32" spans="1:10" ht="12.75" customHeight="1" x14ac:dyDescent="0.3">
      <c r="A32" s="17" t="str">
        <f ca="1">FantasyPts!B35</f>
        <v>Neil Mander</v>
      </c>
      <c r="B32" s="18">
        <f ca="1">FantasyPts!C35</f>
        <v>674</v>
      </c>
      <c r="C32" s="18">
        <f ca="1">FantasyPts!D35</f>
        <v>75</v>
      </c>
      <c r="D32" s="18">
        <f ca="1">FantasyPts!F35</f>
        <v>384</v>
      </c>
      <c r="E32" s="18">
        <f ca="1">FantasyPts!H35</f>
        <v>160</v>
      </c>
      <c r="F32" s="18">
        <f ca="1">FantasyPts!I35</f>
        <v>55</v>
      </c>
      <c r="G32" s="18">
        <f ca="1">FantasyPts!J35</f>
        <v>5</v>
      </c>
      <c r="H32" s="19">
        <f ca="1">FantasyPts!K35</f>
        <v>134.80000000000001</v>
      </c>
      <c r="I32" s="16">
        <f t="shared" ca="1" si="0"/>
        <v>7</v>
      </c>
      <c r="J32" s="128">
        <f t="shared" ca="1" si="1"/>
        <v>2</v>
      </c>
    </row>
    <row r="33" spans="1:10" ht="12.75" customHeight="1" x14ac:dyDescent="0.3">
      <c r="A33" s="17" t="str">
        <f ca="1">FantasyPts!B36</f>
        <v>Nicky Ball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1</v>
      </c>
      <c r="H33" s="19">
        <f ca="1">FantasyPts!K36</f>
        <v>0</v>
      </c>
      <c r="I33" s="16">
        <f t="shared" ca="1" si="0"/>
        <v>0</v>
      </c>
      <c r="J33" s="128">
        <f t="shared" ca="1" si="1"/>
        <v>-1</v>
      </c>
    </row>
    <row r="34" spans="1:10" ht="12.75" customHeight="1" x14ac:dyDescent="0.3">
      <c r="A34" s="17" t="str">
        <f ca="1">FantasyPts!B37</f>
        <v>Paul Oakes</v>
      </c>
      <c r="B34" s="18">
        <f ca="1">FantasyPts!C37</f>
        <v>249</v>
      </c>
      <c r="C34" s="18">
        <f ca="1">FantasyPts!D37</f>
        <v>85</v>
      </c>
      <c r="D34" s="18">
        <f ca="1">FantasyPts!F37</f>
        <v>124</v>
      </c>
      <c r="E34" s="18">
        <f ca="1">FantasyPts!H37</f>
        <v>0</v>
      </c>
      <c r="F34" s="18">
        <f ca="1">FantasyPts!I37</f>
        <v>40</v>
      </c>
      <c r="G34" s="18">
        <f ca="1">FantasyPts!J37</f>
        <v>3</v>
      </c>
      <c r="H34" s="19">
        <f ca="1">FantasyPts!K37</f>
        <v>83</v>
      </c>
      <c r="I34" s="16">
        <f t="shared" ca="1" si="0"/>
        <v>2</v>
      </c>
      <c r="J34" s="128">
        <f t="shared" ca="1" si="1"/>
        <v>-1</v>
      </c>
    </row>
    <row r="35" spans="1:10" ht="12.75" customHeight="1" x14ac:dyDescent="0.3">
      <c r="A35" s="17" t="str">
        <f ca="1">FantasyPts!B38</f>
        <v>Paul Tate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2</v>
      </c>
      <c r="H35" s="19">
        <f ca="1">FantasyPts!K38</f>
        <v>0</v>
      </c>
      <c r="I35" s="16">
        <f t="shared" ca="1" si="0"/>
        <v>0</v>
      </c>
      <c r="J35" s="128">
        <f t="shared" ca="1" si="1"/>
        <v>-2</v>
      </c>
    </row>
    <row r="36" spans="1:10" ht="12.75" customHeight="1" x14ac:dyDescent="0.3">
      <c r="A36" s="17" t="str">
        <f ca="1">FantasyPts!B39</f>
        <v>Rick Worthington</v>
      </c>
      <c r="B36" s="18">
        <f ca="1">FantasyPts!C39</f>
        <v>243</v>
      </c>
      <c r="C36" s="18">
        <f ca="1">FantasyPts!D39</f>
        <v>65</v>
      </c>
      <c r="D36" s="18">
        <f ca="1">FantasyPts!F39</f>
        <v>158</v>
      </c>
      <c r="E36" s="18">
        <f ca="1">FantasyPts!H39</f>
        <v>0</v>
      </c>
      <c r="F36" s="18">
        <f ca="1">FantasyPts!I39</f>
        <v>20</v>
      </c>
      <c r="G36" s="18">
        <f ca="1">FantasyPts!J39</f>
        <v>4</v>
      </c>
      <c r="H36" s="19">
        <f ca="1">FantasyPts!K39</f>
        <v>60.75</v>
      </c>
      <c r="I36" s="16">
        <f t="shared" ca="1" si="0"/>
        <v>2</v>
      </c>
      <c r="J36" s="128">
        <f t="shared" ca="1" si="1"/>
        <v>-2</v>
      </c>
    </row>
    <row r="37" spans="1:10" ht="12.75" customHeight="1" x14ac:dyDescent="0.3">
      <c r="A37" s="17" t="str">
        <f ca="1">FantasyPts!B40</f>
        <v>Rob Worthy</v>
      </c>
      <c r="B37" s="18">
        <f ca="1">FantasyPts!C40</f>
        <v>30</v>
      </c>
      <c r="C37" s="18">
        <f ca="1">FantasyPts!D40</f>
        <v>5</v>
      </c>
      <c r="D37" s="18">
        <f ca="1">FantasyPts!F40</f>
        <v>9</v>
      </c>
      <c r="E37" s="18">
        <f ca="1">FantasyPts!H40</f>
        <v>16</v>
      </c>
      <c r="F37" s="18">
        <f ca="1">FantasyPts!I40</f>
        <v>0</v>
      </c>
      <c r="G37" s="18">
        <f ca="1">FantasyPts!J40</f>
        <v>1</v>
      </c>
      <c r="H37" s="19">
        <f ca="1">FantasyPts!K40</f>
        <v>30</v>
      </c>
      <c r="I37" s="16">
        <f t="shared" ca="1" si="0"/>
        <v>0</v>
      </c>
      <c r="J37" s="128">
        <f t="shared" ca="1" si="1"/>
        <v>-1</v>
      </c>
    </row>
    <row r="38" spans="1:10" ht="12.75" customHeight="1" x14ac:dyDescent="0.3">
      <c r="A38" s="17" t="str">
        <f ca="1">FantasyPts!B41</f>
        <v>Sergio Afonso</v>
      </c>
      <c r="B38" s="18">
        <f ca="1">FantasyPts!C41</f>
        <v>60</v>
      </c>
      <c r="C38" s="18">
        <f ca="1">FantasyPts!D41</f>
        <v>25</v>
      </c>
      <c r="D38" s="18">
        <f ca="1">FantasyPts!F41</f>
        <v>20</v>
      </c>
      <c r="E38" s="18">
        <f ca="1">FantasyPts!H41</f>
        <v>0</v>
      </c>
      <c r="F38" s="18">
        <f ca="1">FantasyPts!I41</f>
        <v>15</v>
      </c>
      <c r="G38" s="18">
        <f ca="1">FantasyPts!J41</f>
        <v>2</v>
      </c>
      <c r="H38" s="19">
        <f ca="1">FantasyPts!K41</f>
        <v>30</v>
      </c>
      <c r="I38" s="16">
        <f t="shared" ca="1" si="0"/>
        <v>1</v>
      </c>
      <c r="J38" s="128">
        <f t="shared" ca="1" si="1"/>
        <v>-1</v>
      </c>
    </row>
    <row r="39" spans="1:10" ht="12.75" customHeight="1" x14ac:dyDescent="0.3">
      <c r="A39" s="17" t="str">
        <f ca="1">FantasyPts!B42</f>
        <v>Ted Dugdale</v>
      </c>
      <c r="B39" s="18">
        <f ca="1">FantasyPts!C42</f>
        <v>315</v>
      </c>
      <c r="C39" s="18">
        <f ca="1">FantasyPts!D42</f>
        <v>50</v>
      </c>
      <c r="D39" s="18">
        <f ca="1">FantasyPts!F42</f>
        <v>229</v>
      </c>
      <c r="E39" s="18">
        <f ca="1">FantasyPts!H42</f>
        <v>10</v>
      </c>
      <c r="F39" s="18">
        <f ca="1">FantasyPts!I42</f>
        <v>26</v>
      </c>
      <c r="G39" s="18">
        <f ca="1">FantasyPts!J42</f>
        <v>7</v>
      </c>
      <c r="H39" s="19">
        <f ca="1">FantasyPts!K42</f>
        <v>45</v>
      </c>
      <c r="I39" s="16">
        <f ca="1">INT(B39/100+0.5)</f>
        <v>3</v>
      </c>
      <c r="J39" s="128">
        <f t="shared" ca="1" si="1"/>
        <v>-4</v>
      </c>
    </row>
    <row r="40" spans="1:10" ht="12.75" customHeight="1" x14ac:dyDescent="0.3">
      <c r="A40" s="17" t="str">
        <f ca="1">FantasyPts!B43</f>
        <v>Tony Springer</v>
      </c>
      <c r="B40" s="18">
        <f ca="1">FantasyPts!C43</f>
        <v>1437</v>
      </c>
      <c r="C40" s="18">
        <f ca="1">FantasyPts!D43</f>
        <v>110</v>
      </c>
      <c r="D40" s="18">
        <f ca="1">FantasyPts!F43</f>
        <v>922</v>
      </c>
      <c r="E40" s="18">
        <f ca="1">FantasyPts!H43</f>
        <v>344</v>
      </c>
      <c r="F40" s="18">
        <f ca="1">FantasyPts!I43</f>
        <v>61</v>
      </c>
      <c r="G40" s="18">
        <f ca="1">FantasyPts!J43</f>
        <v>10</v>
      </c>
      <c r="H40" s="19">
        <f ca="1">FantasyPts!K43</f>
        <v>143.69999999999999</v>
      </c>
      <c r="I40" s="16">
        <f ca="1">INT(B40/100+0.5)</f>
        <v>14</v>
      </c>
      <c r="J40" s="128">
        <f t="shared" ca="1" si="1"/>
        <v>4</v>
      </c>
    </row>
    <row r="41" spans="1:10" ht="12.75" customHeight="1" x14ac:dyDescent="0.3">
      <c r="A41" s="17" t="str">
        <f ca="1">FantasyPts!B44</f>
        <v>Vic Howe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>
        <f ca="1">FantasyPts!J44</f>
        <v>2</v>
      </c>
      <c r="H41" s="19">
        <f ca="1">FantasyPts!K44</f>
        <v>0</v>
      </c>
      <c r="I41" s="16">
        <f ca="1">INT(B41/100+0.5)</f>
        <v>0</v>
      </c>
      <c r="J41" s="128">
        <f t="shared" ca="1" si="1"/>
        <v>-2</v>
      </c>
    </row>
    <row r="42" spans="1:10" ht="12.75" customHeight="1" x14ac:dyDescent="0.3">
      <c r="A42" s="17" t="str">
        <f ca="1">FantasyPts!B45</f>
        <v>Vince Reid</v>
      </c>
      <c r="B42" s="18">
        <f ca="1">FantasyPts!C45</f>
        <v>99</v>
      </c>
      <c r="C42" s="18">
        <f ca="1">FantasyPts!D45</f>
        <v>20</v>
      </c>
      <c r="D42" s="18">
        <f ca="1">FantasyPts!F45</f>
        <v>74</v>
      </c>
      <c r="E42" s="18">
        <f ca="1">FantasyPts!H45</f>
        <v>0</v>
      </c>
      <c r="F42" s="18">
        <f ca="1">FantasyPts!I45</f>
        <v>5</v>
      </c>
      <c r="G42" s="18">
        <f ca="1">FantasyPts!J45</f>
        <v>4</v>
      </c>
      <c r="H42" s="19">
        <f ca="1">FantasyPts!K45</f>
        <v>24.75</v>
      </c>
      <c r="I42" s="16">
        <f ca="1">INT(B42/100+0.5)</f>
        <v>1</v>
      </c>
      <c r="J42" s="128">
        <f t="shared" ca="1" si="1"/>
        <v>-3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3"/>
  <sheetViews>
    <sheetView workbookViewId="0">
      <selection activeCell="G11" sqref="G11"/>
    </sheetView>
  </sheetViews>
  <sheetFormatPr defaultColWidth="9" defaultRowHeight="12.75" x14ac:dyDescent="0.25"/>
  <cols>
    <col min="1" max="1" width="9.5703125" style="92" customWidth="1"/>
    <col min="2" max="2" width="18" style="91" customWidth="1"/>
    <col min="3" max="3" width="34.42578125" style="91" bestFit="1" customWidth="1"/>
    <col min="4" max="4" width="9.7109375" style="92" customWidth="1"/>
    <col min="5" max="16384" width="9" style="91"/>
  </cols>
  <sheetData>
    <row r="1" spans="1:4" x14ac:dyDescent="0.25">
      <c r="A1" s="90" t="s">
        <v>909</v>
      </c>
    </row>
    <row r="2" spans="1:4" x14ac:dyDescent="0.25">
      <c r="A2" s="90"/>
    </row>
    <row r="3" spans="1:4" ht="15" x14ac:dyDescent="0.3">
      <c r="A3" s="11"/>
      <c r="B3" s="12" t="s">
        <v>120</v>
      </c>
      <c r="C3" s="12" t="s">
        <v>121</v>
      </c>
      <c r="D3" s="11" t="s">
        <v>122</v>
      </c>
    </row>
    <row r="4" spans="1:4" ht="15" x14ac:dyDescent="0.3">
      <c r="A4" s="11">
        <f>'Fantasy Teams'!L45</f>
        <v>1</v>
      </c>
      <c r="B4" s="12" t="str">
        <f ca="1">'Fantasy Teams'!M45</f>
        <v>Andy Mander</v>
      </c>
      <c r="C4" s="12" t="str">
        <f ca="1">'Fantasy Teams'!N45</f>
        <v>The Chairman's Chappies</v>
      </c>
      <c r="D4" s="11">
        <f ca="1">'Fantasy Teams'!O45</f>
        <v>5412</v>
      </c>
    </row>
    <row r="5" spans="1:4" ht="15" x14ac:dyDescent="0.3">
      <c r="A5" s="11">
        <f>'Fantasy Teams'!L46</f>
        <v>2</v>
      </c>
      <c r="B5" s="12" t="str">
        <f ca="1">'Fantasy Teams'!M46</f>
        <v>Tony Springer</v>
      </c>
      <c r="C5" s="12" t="str">
        <f ca="1">'Fantasy Teams'!N46</f>
        <v>Millenium Buggers</v>
      </c>
      <c r="D5" s="11">
        <f ca="1">'Fantasy Teams'!O46</f>
        <v>5294</v>
      </c>
    </row>
    <row r="6" spans="1:4" ht="15" x14ac:dyDescent="0.3">
      <c r="A6" s="11">
        <f>'Fantasy Teams'!L47</f>
        <v>3</v>
      </c>
      <c r="B6" s="12" t="str">
        <f ca="1">'Fantasy Teams'!M47</f>
        <v>Mike Woodhouse</v>
      </c>
      <c r="C6" s="12" t="str">
        <f ca="1">'Fantasy Teams'!N47</f>
        <v>Yes we can!</v>
      </c>
      <c r="D6" s="11">
        <f ca="1">'Fantasy Teams'!O47</f>
        <v>5282</v>
      </c>
    </row>
    <row r="7" spans="1:4" ht="15" x14ac:dyDescent="0.3">
      <c r="A7" s="11">
        <f>'Fantasy Teams'!L48</f>
        <v>4</v>
      </c>
      <c r="B7" s="12" t="str">
        <f ca="1">'Fantasy Teams'!M48</f>
        <v>Chris Clark</v>
      </c>
      <c r="C7" s="12" t="str">
        <f ca="1">'Fantasy Teams'!N48</f>
        <v>The New Theories?</v>
      </c>
      <c r="D7" s="11">
        <f ca="1">'Fantasy Teams'!O48</f>
        <v>5274</v>
      </c>
    </row>
    <row r="8" spans="1:4" ht="15" x14ac:dyDescent="0.3">
      <c r="A8" s="11">
        <f>'Fantasy Teams'!L49</f>
        <v>5</v>
      </c>
      <c r="B8" s="12" t="str">
        <f ca="1">'Fantasy Teams'!M49</f>
        <v>Del Shewan</v>
      </c>
      <c r="C8" s="12" t="str">
        <f ca="1">'Fantasy Teams'!N49</f>
        <v>Wot, the curtains?</v>
      </c>
      <c r="D8" s="11">
        <f ca="1">'Fantasy Teams'!O49</f>
        <v>5197</v>
      </c>
    </row>
    <row r="9" spans="1:4" ht="15" x14ac:dyDescent="0.3">
      <c r="A9" s="11">
        <f>'Fantasy Teams'!L50</f>
        <v>6</v>
      </c>
      <c r="B9" s="12" t="str">
        <f ca="1">'Fantasy Teams'!M50</f>
        <v>Cameron Shewan</v>
      </c>
      <c r="C9" s="12" t="str">
        <f ca="1">'Fantasy Teams'!N50</f>
        <v>Cameron's 1st XI</v>
      </c>
      <c r="D9" s="11">
        <f ca="1">'Fantasy Teams'!O50</f>
        <v>5139</v>
      </c>
    </row>
    <row r="10" spans="1:4" ht="15" x14ac:dyDescent="0.3">
      <c r="A10" s="11">
        <f>'Fantasy Teams'!L51</f>
        <v>7</v>
      </c>
      <c r="B10" s="12" t="str">
        <f ca="1">'Fantasy Teams'!M51</f>
        <v>Geoff Cooper</v>
      </c>
      <c r="C10" s="12" t="str">
        <f ca="1">'Fantasy Teams'!N51</f>
        <v>Geoff's Looper's</v>
      </c>
      <c r="D10" s="11">
        <f ca="1">'Fantasy Teams'!O51</f>
        <v>5102</v>
      </c>
    </row>
    <row r="11" spans="1:4" ht="15" x14ac:dyDescent="0.3">
      <c r="A11" s="11">
        <f>'Fantasy Teams'!L52</f>
        <v>8</v>
      </c>
      <c r="B11" s="12" t="str">
        <f ca="1">'Fantasy Teams'!M52</f>
        <v>John Leadley</v>
      </c>
      <c r="C11" s="12" t="str">
        <f ca="1">'Fantasy Teams'!N52</f>
        <v>Hi Octane Cruisers</v>
      </c>
      <c r="D11" s="11">
        <f ca="1">'Fantasy Teams'!O52</f>
        <v>5101</v>
      </c>
    </row>
    <row r="12" spans="1:4" ht="15" x14ac:dyDescent="0.3">
      <c r="A12" s="11">
        <f>'Fantasy Teams'!L53</f>
        <v>9</v>
      </c>
      <c r="B12" s="12" t="str">
        <f ca="1">'Fantasy Teams'!M53</f>
        <v>Jane Mander</v>
      </c>
      <c r="C12" s="12" t="str">
        <f ca="1">'Fantasy Teams'!N53</f>
        <v>"Stumped" for a name</v>
      </c>
      <c r="D12" s="11">
        <f ca="1">'Fantasy Teams'!O53</f>
        <v>5063</v>
      </c>
    </row>
    <row r="13" spans="1:4" ht="15" x14ac:dyDescent="0.3">
      <c r="A13" s="11">
        <f>'Fantasy Teams'!L54</f>
        <v>10</v>
      </c>
      <c r="B13" s="12" t="str">
        <f ca="1">'Fantasy Teams'!M54</f>
        <v>Jenny Dugdale</v>
      </c>
      <c r="C13" s="12" t="str">
        <f ca="1">'Fantasy Teams'!N54</f>
        <v>Jenny's Pets</v>
      </c>
      <c r="D13" s="11">
        <f ca="1">'Fantasy Teams'!O54</f>
        <v>4991</v>
      </c>
    </row>
    <row r="14" spans="1:4" ht="15" x14ac:dyDescent="0.3">
      <c r="A14" s="11">
        <f>'Fantasy Teams'!L55</f>
        <v>11</v>
      </c>
      <c r="B14" s="12" t="str">
        <f ca="1">'Fantasy Teams'!M55</f>
        <v>Jeff Lestrelle</v>
      </c>
      <c r="C14" s="12" t="str">
        <f ca="1">'Fantasy Teams'!N55</f>
        <v>Pikey's Army</v>
      </c>
      <c r="D14" s="11">
        <f ca="1">'Fantasy Teams'!O55</f>
        <v>4932</v>
      </c>
    </row>
    <row r="15" spans="1:4" ht="15" x14ac:dyDescent="0.3">
      <c r="A15" s="11">
        <f>'Fantasy Teams'!L56</f>
        <v>12</v>
      </c>
      <c r="B15" s="12" t="str">
        <f ca="1">'Fantasy Teams'!M56</f>
        <v>Mike Bowers</v>
      </c>
      <c r="C15" s="12" t="str">
        <f ca="1">'Fantasy Teams'!N56</f>
        <v>Better Value than Chris Sutton</v>
      </c>
      <c r="D15" s="11">
        <f ca="1">'Fantasy Teams'!O56</f>
        <v>4921</v>
      </c>
    </row>
    <row r="16" spans="1:4" ht="15" x14ac:dyDescent="0.3">
      <c r="A16" s="11">
        <f>'Fantasy Teams'!L57</f>
        <v>13</v>
      </c>
      <c r="B16" s="12" t="str">
        <f ca="1">'Fantasy Teams'!M57</f>
        <v>Dave Snow</v>
      </c>
      <c r="C16" s="12" t="str">
        <f ca="1">'Fantasy Teams'!N57</f>
        <v>Ooze Class</v>
      </c>
      <c r="D16" s="11">
        <f ca="1">'Fantasy Teams'!O57</f>
        <v>4909</v>
      </c>
    </row>
    <row r="17" spans="1:4" ht="15" x14ac:dyDescent="0.3">
      <c r="A17" s="11">
        <f>'Fantasy Teams'!L58</f>
        <v>14</v>
      </c>
      <c r="B17" s="12" t="str">
        <f ca="1">'Fantasy Teams'!M58</f>
        <v>Paul Oakes</v>
      </c>
      <c r="C17" s="12" t="str">
        <f ca="1">'Fantasy Teams'!N58</f>
        <v>Tired Old Crap Cricketers</v>
      </c>
      <c r="D17" s="11">
        <f ca="1">'Fantasy Teams'!O58</f>
        <v>4828</v>
      </c>
    </row>
    <row r="18" spans="1:4" ht="15" x14ac:dyDescent="0.3">
      <c r="A18" s="11">
        <f>'Fantasy Teams'!L59</f>
        <v>15</v>
      </c>
      <c r="B18" s="12" t="str">
        <f ca="1">'Fantasy Teams'!M59</f>
        <v>Dave Sharpe</v>
      </c>
      <c r="C18" s="12" t="str">
        <f ca="1">'Fantasy Teams'!N59</f>
        <v>Sharpey's 1sts</v>
      </c>
      <c r="D18" s="11">
        <f ca="1">'Fantasy Teams'!O59</f>
        <v>4820</v>
      </c>
    </row>
    <row r="19" spans="1:4" ht="15" x14ac:dyDescent="0.3">
      <c r="A19" s="11">
        <f>'Fantasy Teams'!L60</f>
        <v>16</v>
      </c>
      <c r="B19" s="12" t="str">
        <f ca="1">'Fantasy Teams'!M60</f>
        <v>Luke Hickey</v>
      </c>
      <c r="C19" s="12" t="str">
        <f ca="1">'Fantasy Teams'!N60</f>
        <v>What's this bat thing for?</v>
      </c>
      <c r="D19" s="11">
        <f ca="1">'Fantasy Teams'!O60</f>
        <v>4754</v>
      </c>
    </row>
    <row r="20" spans="1:4" ht="15" x14ac:dyDescent="0.3">
      <c r="A20" s="11">
        <f>'Fantasy Teams'!L61</f>
        <v>17</v>
      </c>
      <c r="B20" s="12" t="str">
        <f ca="1">'Fantasy Teams'!M61</f>
        <v>Mike Woodhouse</v>
      </c>
      <c r="C20" s="12" t="str">
        <f ca="1">'Fantasy Teams'!N61</f>
        <v>Can we fix it?</v>
      </c>
      <c r="D20" s="11">
        <f ca="1">'Fantasy Teams'!O61</f>
        <v>4683</v>
      </c>
    </row>
    <row r="21" spans="1:4" ht="15" x14ac:dyDescent="0.3">
      <c r="A21" s="11">
        <f>'Fantasy Teams'!L62</f>
        <v>18</v>
      </c>
      <c r="B21" s="12" t="str">
        <f ca="1">'Fantasy Teams'!M62</f>
        <v>Neil Mander</v>
      </c>
      <c r="C21" s="12" t="str">
        <f ca="1">'Fantasy Teams'!N62</f>
        <v>The Millenium Bugs</v>
      </c>
      <c r="D21" s="11">
        <f ca="1">'Fantasy Teams'!O62</f>
        <v>4663</v>
      </c>
    </row>
    <row r="22" spans="1:4" ht="15" x14ac:dyDescent="0.3">
      <c r="A22" s="11">
        <f>'Fantasy Teams'!L63</f>
        <v>19</v>
      </c>
      <c r="B22" s="12" t="str">
        <f ca="1">'Fantasy Teams'!M63</f>
        <v>Neil/Jane Mander</v>
      </c>
      <c r="C22" s="12" t="str">
        <f ca="1">'Fantasy Teams'!N63</f>
        <v>Bowler's Name Please?</v>
      </c>
      <c r="D22" s="11">
        <f ca="1">'Fantasy Teams'!O63</f>
        <v>4644</v>
      </c>
    </row>
    <row r="23" spans="1:4" ht="15" x14ac:dyDescent="0.3">
      <c r="A23" s="11">
        <f>'Fantasy Teams'!L64</f>
        <v>20</v>
      </c>
      <c r="B23" s="12" t="str">
        <f ca="1">'Fantasy Teams'!M64</f>
        <v>Joanne Shewan</v>
      </c>
      <c r="C23" s="12" t="str">
        <f ca="1">'Fantasy Teams'!N64</f>
        <v>Stuck in the crease</v>
      </c>
      <c r="D23" s="11">
        <f ca="1">'Fantasy Teams'!O64</f>
        <v>4638</v>
      </c>
    </row>
    <row r="24" spans="1:4" ht="15" x14ac:dyDescent="0.3">
      <c r="A24" s="11">
        <f>'Fantasy Teams'!L65</f>
        <v>21</v>
      </c>
      <c r="B24" s="12" t="str">
        <f ca="1">'Fantasy Teams'!M65</f>
        <v>Geoff Cooper</v>
      </c>
      <c r="C24" s="12" t="str">
        <f ca="1">'Fantasy Teams'!N65</f>
        <v>Geoff's Sooper's</v>
      </c>
      <c r="D24" s="11">
        <f ca="1">'Fantasy Teams'!O65</f>
        <v>4548</v>
      </c>
    </row>
    <row r="25" spans="1:4" ht="15" x14ac:dyDescent="0.3">
      <c r="A25" s="11">
        <f>'Fantasy Teams'!L66</f>
        <v>22</v>
      </c>
      <c r="B25" s="12" t="str">
        <f ca="1">'Fantasy Teams'!M66</f>
        <v>Jason Crisford</v>
      </c>
      <c r="C25" s="12" t="str">
        <f ca="1">'Fantasy Teams'!N66</f>
        <v>Bailey's Battlers</v>
      </c>
      <c r="D25" s="11">
        <f ca="1">'Fantasy Teams'!O66</f>
        <v>4499</v>
      </c>
    </row>
    <row r="26" spans="1:4" ht="15" x14ac:dyDescent="0.3">
      <c r="A26" s="11">
        <f>'Fantasy Teams'!L67</f>
        <v>23</v>
      </c>
      <c r="B26" s="12" t="str">
        <f ca="1">'Fantasy Teams'!M67</f>
        <v>Jason Crisford</v>
      </c>
      <c r="C26" s="12" t="str">
        <f ca="1">'Fantasy Teams'!N67</f>
        <v>Holly's Hotshots</v>
      </c>
      <c r="D26" s="11">
        <f ca="1">'Fantasy Teams'!O67</f>
        <v>4389</v>
      </c>
    </row>
    <row r="27" spans="1:4" ht="15" x14ac:dyDescent="0.3">
      <c r="A27" s="11">
        <f>'Fantasy Teams'!L68</f>
        <v>24</v>
      </c>
      <c r="B27" s="12" t="str">
        <f ca="1">'Fantasy Teams'!M68</f>
        <v>Mike Woodhouse</v>
      </c>
      <c r="C27" s="12" t="str">
        <f ca="1">'Fantasy Teams'!N68</f>
        <v>The Name Game</v>
      </c>
      <c r="D27" s="11">
        <f ca="1">'Fantasy Teams'!O68</f>
        <v>4277</v>
      </c>
    </row>
    <row r="28" spans="1:4" ht="15" x14ac:dyDescent="0.3">
      <c r="A28" s="11">
        <f>'Fantasy Teams'!L69</f>
        <v>25</v>
      </c>
      <c r="B28" s="12" t="str">
        <f ca="1">'Fantasy Teams'!M69</f>
        <v>John Leadley</v>
      </c>
      <c r="C28" s="12" t="str">
        <f ca="1">'Fantasy Teams'!N69</f>
        <v>Two Stroke Oilers</v>
      </c>
      <c r="D28" s="11">
        <f ca="1">'Fantasy Teams'!O69</f>
        <v>4259</v>
      </c>
    </row>
    <row r="29" spans="1:4" ht="15" x14ac:dyDescent="0.3">
      <c r="A29" s="11">
        <f>'Fantasy Teams'!L70</f>
        <v>26</v>
      </c>
      <c r="B29" s="12" t="str">
        <f ca="1">'Fantasy Teams'!M70</f>
        <v>Dave Morris</v>
      </c>
      <c r="C29" s="12" t="str">
        <f ca="1">'Fantasy Teams'!N70</f>
        <v>The Fat Show</v>
      </c>
      <c r="D29" s="11">
        <f ca="1">'Fantasy Teams'!O70</f>
        <v>4246</v>
      </c>
    </row>
    <row r="30" spans="1:4" ht="15" x14ac:dyDescent="0.3">
      <c r="A30" s="11">
        <f>'Fantasy Teams'!L71</f>
        <v>27</v>
      </c>
      <c r="B30" s="12" t="str">
        <f ca="1">'Fantasy Teams'!M71</f>
        <v>Tony Springer</v>
      </c>
      <c r="C30" s="12" t="str">
        <f ca="1">'Fantasy Teams'!N71</f>
        <v>Tired Old Hasbeens</v>
      </c>
      <c r="D30" s="11">
        <f ca="1">'Fantasy Teams'!O71</f>
        <v>4242</v>
      </c>
    </row>
    <row r="31" spans="1:4" ht="15" x14ac:dyDescent="0.3">
      <c r="A31" s="11">
        <f>'Fantasy Teams'!L72</f>
        <v>28</v>
      </c>
      <c r="B31" s="12" t="str">
        <f ca="1">'Fantasy Teams'!M72</f>
        <v>Sue Dugdale</v>
      </c>
      <c r="C31" s="12" t="str">
        <f ca="1">'Fantasy Teams'!N72</f>
        <v>The Crusaders</v>
      </c>
      <c r="D31" s="11">
        <f ca="1">'Fantasy Teams'!O72</f>
        <v>4127</v>
      </c>
    </row>
    <row r="32" spans="1:4" ht="15" x14ac:dyDescent="0.3">
      <c r="A32" s="11">
        <f>'Fantasy Teams'!L73</f>
        <v>29</v>
      </c>
      <c r="B32" s="12" t="str">
        <f ca="1">'Fantasy Teams'!M73</f>
        <v>Dave Sharpe</v>
      </c>
      <c r="C32" s="12" t="str">
        <f ca="1">'Fantasy Teams'!N73</f>
        <v>Sharpey's 2nds</v>
      </c>
      <c r="D32" s="11">
        <f ca="1">'Fantasy Teams'!O73</f>
        <v>4117</v>
      </c>
    </row>
    <row r="33" spans="1:4" ht="15" x14ac:dyDescent="0.3">
      <c r="A33" s="11">
        <f>'Fantasy Teams'!L74</f>
        <v>30</v>
      </c>
      <c r="B33" s="12" t="str">
        <f ca="1">'Fantasy Teams'!M74</f>
        <v>Colin Mander</v>
      </c>
      <c r="C33" s="12" t="str">
        <f ca="1">'Fantasy Teams'!N74</f>
        <v>"Full Team Today?"</v>
      </c>
      <c r="D33" s="11">
        <f ca="1">'Fantasy Teams'!O74</f>
        <v>4092</v>
      </c>
    </row>
    <row r="34" spans="1:4" ht="15" x14ac:dyDescent="0.3">
      <c r="A34" s="11">
        <f>'Fantasy Teams'!L75</f>
        <v>31</v>
      </c>
      <c r="B34" s="12" t="str">
        <f ca="1">'Fantasy Teams'!M75</f>
        <v>Luke Hickey</v>
      </c>
      <c r="C34" s="12" t="str">
        <f ca="1">'Fantasy Teams'!N75</f>
        <v>We're s***t and we know we are</v>
      </c>
      <c r="D34" s="11">
        <f ca="1">'Fantasy Teams'!O75</f>
        <v>4087</v>
      </c>
    </row>
    <row r="35" spans="1:4" ht="15" x14ac:dyDescent="0.3">
      <c r="A35" s="11">
        <f>'Fantasy Teams'!L76</f>
        <v>32</v>
      </c>
      <c r="B35" s="12" t="str">
        <f ca="1">'Fantasy Teams'!M76</f>
        <v>Ted Dugdale</v>
      </c>
      <c r="C35" s="12" t="str">
        <f ca="1">'Fantasy Teams'!N76</f>
        <v>Ted's Maybes</v>
      </c>
      <c r="D35" s="11">
        <f ca="1">'Fantasy Teams'!O76</f>
        <v>4058</v>
      </c>
    </row>
    <row r="36" spans="1:4" ht="15" x14ac:dyDescent="0.3">
      <c r="A36" s="11">
        <f>'Fantasy Teams'!L77</f>
        <v>33</v>
      </c>
      <c r="B36" s="12" t="str">
        <f ca="1">'Fantasy Teams'!M77</f>
        <v>Jeff Lestrelle</v>
      </c>
      <c r="C36" s="12" t="str">
        <f ca="1">'Fantasy Teams'!N77</f>
        <v>Slappers XI</v>
      </c>
      <c r="D36" s="11">
        <f ca="1">'Fantasy Teams'!O77</f>
        <v>4014</v>
      </c>
    </row>
    <row r="37" spans="1:4" ht="15" x14ac:dyDescent="0.3">
      <c r="A37" s="11">
        <f>'Fantasy Teams'!L78</f>
        <v>34</v>
      </c>
      <c r="B37" s="12" t="e">
        <f ca="1">'Fantasy Teams'!M78</f>
        <v>#N/A</v>
      </c>
      <c r="C37" s="12" t="e">
        <f ca="1">'Fantasy Teams'!N78</f>
        <v>#N/A</v>
      </c>
      <c r="D37" s="11" t="e">
        <f ca="1">'Fantasy Teams'!O78</f>
        <v>#N/A</v>
      </c>
    </row>
    <row r="38" spans="1:4" ht="15" x14ac:dyDescent="0.3">
      <c r="A38" s="11">
        <f>'Fantasy Teams'!L79</f>
        <v>35</v>
      </c>
      <c r="B38" s="12" t="e">
        <f ca="1">'Fantasy Teams'!M79</f>
        <v>#N/A</v>
      </c>
      <c r="C38" s="12" t="e">
        <f ca="1">'Fantasy Teams'!N79</f>
        <v>#N/A</v>
      </c>
      <c r="D38" s="11" t="e">
        <f ca="1">'Fantasy Teams'!O79</f>
        <v>#N/A</v>
      </c>
    </row>
    <row r="39" spans="1:4" x14ac:dyDescent="0.15">
      <c r="A39" s="91"/>
      <c r="D39" s="91"/>
    </row>
    <row r="40" spans="1:4" x14ac:dyDescent="0.15">
      <c r="A40" s="91"/>
      <c r="D40" s="91"/>
    </row>
    <row r="41" spans="1:4" x14ac:dyDescent="0.15">
      <c r="A41" s="91"/>
      <c r="D41" s="91"/>
    </row>
    <row r="42" spans="1:4" x14ac:dyDescent="0.15">
      <c r="A42" s="91"/>
      <c r="D42" s="91"/>
    </row>
    <row r="43" spans="1:4" x14ac:dyDescent="0.15">
      <c r="A43" s="91"/>
      <c r="D43" s="91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FantasyPlayerCount</vt:lpstr>
      <vt:lpstr>NumFantTeams</vt:lpstr>
      <vt:lpstr>BatAves!Print_Area</vt:lpstr>
      <vt:lpstr>BowlAves!Print_Area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2000-09-04T21:14:18Z</cp:lastPrinted>
  <dcterms:created xsi:type="dcterms:W3CDTF">1995-07-17T18:41:11Z</dcterms:created>
  <dcterms:modified xsi:type="dcterms:W3CDTF">2023-11-19T11:17:52Z</dcterms:modified>
</cp:coreProperties>
</file>
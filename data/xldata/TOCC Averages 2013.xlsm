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1760" tabRatio="6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Bowling!$A$1:$AR$33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2" r:id="rId12"/>
  </pivotCaches>
</workbook>
</file>

<file path=xl/calcChain.xml><?xml version="1.0" encoding="utf-8"?>
<calcChain xmlns="http://schemas.openxmlformats.org/spreadsheetml/2006/main">
  <c r="J35" i="1" l="1"/>
  <c r="CW6" i="2" a="1"/>
  <c r="CW6" i="2" s="1"/>
  <c r="CV6" i="2" a="1"/>
  <c r="CV6" i="2" s="1"/>
  <c r="CU6" i="2" a="1"/>
  <c r="CU6" i="2" s="1"/>
  <c r="CT6" i="2"/>
  <c r="CT6" i="2" a="1"/>
  <c r="CS6" i="2" a="1"/>
  <c r="CS6" i="2" s="1"/>
  <c r="CR6" i="2" a="1"/>
  <c r="CR6" i="2" s="1"/>
  <c r="CP6" i="2" l="1" a="1"/>
  <c r="CP6" i="2" s="1"/>
  <c r="CO6" i="2" a="1"/>
  <c r="CO6" i="2" s="1"/>
  <c r="Q71" i="3"/>
  <c r="W70" i="3"/>
  <c r="G70" i="3"/>
  <c r="M69" i="3"/>
  <c r="S68" i="3"/>
  <c r="C68" i="3"/>
  <c r="I67" i="3"/>
  <c r="O66" i="3"/>
  <c r="U65" i="3"/>
  <c r="E65" i="3"/>
  <c r="K64" i="3"/>
  <c r="Q63" i="3"/>
  <c r="W62" i="3"/>
  <c r="G62" i="3"/>
  <c r="M61" i="3"/>
  <c r="S60" i="3"/>
  <c r="C60" i="3"/>
  <c r="I59" i="3"/>
  <c r="O58" i="3"/>
  <c r="U57" i="3"/>
  <c r="E57" i="3"/>
  <c r="K56" i="3"/>
  <c r="Q55" i="3"/>
  <c r="W54" i="3"/>
  <c r="G54" i="3"/>
  <c r="M53" i="3"/>
  <c r="S52" i="3"/>
  <c r="C52" i="3"/>
  <c r="I51" i="3"/>
  <c r="O50" i="3"/>
  <c r="U49" i="3"/>
  <c r="E49" i="3"/>
  <c r="K48" i="3"/>
  <c r="Q47" i="3"/>
  <c r="W46" i="3"/>
  <c r="G46" i="3"/>
  <c r="M45" i="3"/>
  <c r="S44" i="3"/>
  <c r="C44" i="3"/>
  <c r="I43" i="3"/>
  <c r="D70" i="3"/>
  <c r="P68" i="3"/>
  <c r="F67" i="3"/>
  <c r="R65" i="3"/>
  <c r="D64" i="3"/>
  <c r="P62" i="3"/>
  <c r="F61" i="3"/>
  <c r="R59" i="3"/>
  <c r="H58" i="3"/>
  <c r="T56" i="3"/>
  <c r="J55" i="3"/>
  <c r="V53" i="3"/>
  <c r="L52" i="3"/>
  <c r="X50" i="3"/>
  <c r="N49" i="3"/>
  <c r="D48" i="3"/>
  <c r="P46" i="3"/>
  <c r="F45" i="3"/>
  <c r="R43" i="3"/>
  <c r="C71" i="3"/>
  <c r="O69" i="3"/>
  <c r="E68" i="3"/>
  <c r="T71" i="3"/>
  <c r="D71" i="3"/>
  <c r="J70" i="3"/>
  <c r="P69" i="3"/>
  <c r="V68" i="3"/>
  <c r="F68" i="3"/>
  <c r="L67" i="3"/>
  <c r="R66" i="3"/>
  <c r="X65" i="3"/>
  <c r="H65" i="3"/>
  <c r="N64" i="3"/>
  <c r="T63" i="3"/>
  <c r="D63" i="3"/>
  <c r="J62" i="3"/>
  <c r="P61" i="3"/>
  <c r="V60" i="3"/>
  <c r="F60" i="3"/>
  <c r="L59" i="3"/>
  <c r="R58" i="3"/>
  <c r="X57" i="3"/>
  <c r="H57" i="3"/>
  <c r="N56" i="3"/>
  <c r="T55" i="3"/>
  <c r="D55" i="3"/>
  <c r="J54" i="3"/>
  <c r="P53" i="3"/>
  <c r="V52" i="3"/>
  <c r="F52" i="3"/>
  <c r="L51" i="3"/>
  <c r="R50" i="3"/>
  <c r="X49" i="3"/>
  <c r="H49" i="3"/>
  <c r="N48" i="3"/>
  <c r="T47" i="3"/>
  <c r="D47" i="3"/>
  <c r="J46" i="3"/>
  <c r="P45" i="3"/>
  <c r="V44" i="3"/>
  <c r="F44" i="3"/>
  <c r="L43" i="3"/>
  <c r="N71" i="3"/>
  <c r="T70" i="3"/>
  <c r="N69" i="3"/>
  <c r="D68" i="3"/>
  <c r="P66" i="3"/>
  <c r="F65" i="3"/>
  <c r="V63" i="3"/>
  <c r="L62" i="3"/>
  <c r="X60" i="3"/>
  <c r="N59" i="3"/>
  <c r="D58" i="3"/>
  <c r="P56" i="3"/>
  <c r="F55" i="3"/>
  <c r="R53" i="3"/>
  <c r="H52" i="3"/>
  <c r="M71" i="3"/>
  <c r="S70" i="3"/>
  <c r="C70" i="3"/>
  <c r="I69" i="3"/>
  <c r="O68" i="3"/>
  <c r="U67" i="3"/>
  <c r="E67" i="3"/>
  <c r="K66" i="3"/>
  <c r="Q65" i="3"/>
  <c r="W64" i="3"/>
  <c r="G64" i="3"/>
  <c r="M63" i="3"/>
  <c r="S62" i="3"/>
  <c r="C62" i="3"/>
  <c r="I61" i="3"/>
  <c r="O60" i="3"/>
  <c r="U59" i="3"/>
  <c r="E59" i="3"/>
  <c r="K58" i="3"/>
  <c r="Q57" i="3"/>
  <c r="W56" i="3"/>
  <c r="G56" i="3"/>
  <c r="M55" i="3"/>
  <c r="S54" i="3"/>
  <c r="C54" i="3"/>
  <c r="I53" i="3"/>
  <c r="O52" i="3"/>
  <c r="U51" i="3"/>
  <c r="E51" i="3"/>
  <c r="K50" i="3"/>
  <c r="Q49" i="3"/>
  <c r="W48" i="3"/>
  <c r="G48" i="3"/>
  <c r="M47" i="3"/>
  <c r="S46" i="3"/>
  <c r="C46" i="3"/>
  <c r="I45" i="3"/>
  <c r="O44" i="3"/>
  <c r="U43" i="3"/>
  <c r="E43" i="3"/>
  <c r="R69" i="3"/>
  <c r="H68" i="3"/>
  <c r="T66" i="3"/>
  <c r="J65" i="3"/>
  <c r="R63" i="3"/>
  <c r="H62" i="3"/>
  <c r="T60" i="3"/>
  <c r="J59" i="3"/>
  <c r="V57" i="3"/>
  <c r="L56" i="3"/>
  <c r="X54" i="3"/>
  <c r="N53" i="3"/>
  <c r="D52" i="3"/>
  <c r="P50" i="3"/>
  <c r="F49" i="3"/>
  <c r="R47" i="3"/>
  <c r="H46" i="3"/>
  <c r="T44" i="3"/>
  <c r="J43" i="3"/>
  <c r="Q70" i="3"/>
  <c r="G69" i="3"/>
  <c r="S67" i="3"/>
  <c r="P71" i="3"/>
  <c r="V70" i="3"/>
  <c r="F70" i="3"/>
  <c r="L69" i="3"/>
  <c r="R68" i="3"/>
  <c r="X67" i="3"/>
  <c r="H67" i="3"/>
  <c r="N66" i="3"/>
  <c r="T65" i="3"/>
  <c r="D65" i="3"/>
  <c r="I71" i="3"/>
  <c r="O70" i="3"/>
  <c r="U69" i="3"/>
  <c r="E69" i="3"/>
  <c r="K68" i="3"/>
  <c r="Q67" i="3"/>
  <c r="W66" i="3"/>
  <c r="G66" i="3"/>
  <c r="M65" i="3"/>
  <c r="S64" i="3"/>
  <c r="C64" i="3"/>
  <c r="I63" i="3"/>
  <c r="O62" i="3"/>
  <c r="U61" i="3"/>
  <c r="E61" i="3"/>
  <c r="K60" i="3"/>
  <c r="Q59" i="3"/>
  <c r="W58" i="3"/>
  <c r="G58" i="3"/>
  <c r="M57" i="3"/>
  <c r="S56" i="3"/>
  <c r="C56" i="3"/>
  <c r="I55" i="3"/>
  <c r="O54" i="3"/>
  <c r="U53" i="3"/>
  <c r="E53" i="3"/>
  <c r="K52" i="3"/>
  <c r="Q51" i="3"/>
  <c r="W50" i="3"/>
  <c r="G50" i="3"/>
  <c r="M49" i="3"/>
  <c r="S48" i="3"/>
  <c r="C48" i="3"/>
  <c r="I47" i="3"/>
  <c r="O46" i="3"/>
  <c r="U45" i="3"/>
  <c r="E45" i="3"/>
  <c r="K44" i="3"/>
  <c r="Q43" i="3"/>
  <c r="V71" i="3"/>
  <c r="J69" i="3"/>
  <c r="V67" i="3"/>
  <c r="L66" i="3"/>
  <c r="X64" i="3"/>
  <c r="J63" i="3"/>
  <c r="V61" i="3"/>
  <c r="L60" i="3"/>
  <c r="X58" i="3"/>
  <c r="N57" i="3"/>
  <c r="D56" i="3"/>
  <c r="P54" i="3"/>
  <c r="F53" i="3"/>
  <c r="R51" i="3"/>
  <c r="H50" i="3"/>
  <c r="T48" i="3"/>
  <c r="J47" i="3"/>
  <c r="V45" i="3"/>
  <c r="L44" i="3"/>
  <c r="S71" i="3"/>
  <c r="I70" i="3"/>
  <c r="U68" i="3"/>
  <c r="K67" i="3"/>
  <c r="L71" i="3"/>
  <c r="R70" i="3"/>
  <c r="X69" i="3"/>
  <c r="H69" i="3"/>
  <c r="N68" i="3"/>
  <c r="T67" i="3"/>
  <c r="D67" i="3"/>
  <c r="J66" i="3"/>
  <c r="Q69" i="3"/>
  <c r="S66" i="3"/>
  <c r="U63" i="3"/>
  <c r="W60" i="3"/>
  <c r="C58" i="3"/>
  <c r="E55" i="3"/>
  <c r="G52" i="3"/>
  <c r="I49" i="3"/>
  <c r="K46" i="3"/>
  <c r="M43" i="3"/>
  <c r="D66" i="3"/>
  <c r="D60" i="3"/>
  <c r="H54" i="3"/>
  <c r="L48" i="3"/>
  <c r="K71" i="3"/>
  <c r="H71" i="3"/>
  <c r="J68" i="3"/>
  <c r="P65" i="3"/>
  <c r="J64" i="3"/>
  <c r="L63" i="3"/>
  <c r="N62" i="3"/>
  <c r="L61" i="3"/>
  <c r="N60" i="3"/>
  <c r="P59" i="3"/>
  <c r="N58" i="3"/>
  <c r="P57" i="3"/>
  <c r="R56" i="3"/>
  <c r="P55" i="3"/>
  <c r="R54" i="3"/>
  <c r="T53" i="3"/>
  <c r="R52" i="3"/>
  <c r="T51" i="3"/>
  <c r="V50" i="3"/>
  <c r="T49" i="3"/>
  <c r="V48" i="3"/>
  <c r="X47" i="3"/>
  <c r="V46" i="3"/>
  <c r="X45" i="3"/>
  <c r="D45" i="3"/>
  <c r="X43" i="3"/>
  <c r="D43" i="3"/>
  <c r="X70" i="3"/>
  <c r="F69" i="3"/>
  <c r="J67" i="3"/>
  <c r="N65" i="3"/>
  <c r="N63" i="3"/>
  <c r="R61" i="3"/>
  <c r="V59" i="3"/>
  <c r="R57" i="3"/>
  <c r="V55" i="3"/>
  <c r="D54" i="3"/>
  <c r="V51" i="3"/>
  <c r="L50" i="3"/>
  <c r="X48" i="3"/>
  <c r="N47" i="3"/>
  <c r="D46" i="3"/>
  <c r="P44" i="3"/>
  <c r="F43" i="3"/>
  <c r="U70" i="3"/>
  <c r="K69" i="3"/>
  <c r="W67" i="3"/>
  <c r="G65" i="3"/>
  <c r="I62" i="3"/>
  <c r="K59" i="3"/>
  <c r="M56" i="3"/>
  <c r="O53" i="3"/>
  <c r="Q50" i="3"/>
  <c r="S47" i="3"/>
  <c r="U44" i="3"/>
  <c r="W61" i="3"/>
  <c r="E56" i="3"/>
  <c r="I50" i="3"/>
  <c r="G45" i="3"/>
  <c r="I64" i="3"/>
  <c r="M58" i="3"/>
  <c r="Q52" i="3"/>
  <c r="U46" i="3"/>
  <c r="E66" i="3"/>
  <c r="G63" i="3"/>
  <c r="I60" i="3"/>
  <c r="K57" i="3"/>
  <c r="M54" i="3"/>
  <c r="O51" i="3"/>
  <c r="Q48" i="3"/>
  <c r="S45" i="3"/>
  <c r="C67" i="3"/>
  <c r="K63" i="3"/>
  <c r="I58" i="3"/>
  <c r="M52" i="3"/>
  <c r="Q46" i="3"/>
  <c r="O63" i="3"/>
  <c r="S57" i="3"/>
  <c r="W51" i="3"/>
  <c r="E46" i="3"/>
  <c r="Y94" i="2"/>
  <c r="L89" i="2"/>
  <c r="Q86" i="2"/>
  <c r="V83" i="2"/>
  <c r="D81" i="2"/>
  <c r="I78" i="2"/>
  <c r="N75" i="2"/>
  <c r="S72" i="2"/>
  <c r="X69" i="2"/>
  <c r="R93" i="2"/>
  <c r="W90" i="2"/>
  <c r="E88" i="2"/>
  <c r="J85" i="2"/>
  <c r="O82" i="2"/>
  <c r="T79" i="2"/>
  <c r="Y76" i="2"/>
  <c r="G74" i="2"/>
  <c r="L71" i="2"/>
  <c r="Q68" i="2"/>
  <c r="V65" i="2"/>
  <c r="D63" i="2"/>
  <c r="Q95" i="2"/>
  <c r="D90" i="2"/>
  <c r="I87" i="2"/>
  <c r="R86" i="2"/>
  <c r="E81" i="2"/>
  <c r="O75" i="2"/>
  <c r="Y69" i="2"/>
  <c r="E66" i="2"/>
  <c r="L62" i="2"/>
  <c r="U71" i="3"/>
  <c r="W68" i="3"/>
  <c r="C66" i="3"/>
  <c r="E63" i="3"/>
  <c r="G60" i="3"/>
  <c r="I57" i="3"/>
  <c r="K54" i="3"/>
  <c r="M51" i="3"/>
  <c r="O48" i="3"/>
  <c r="Q45" i="3"/>
  <c r="P70" i="3"/>
  <c r="P64" i="3"/>
  <c r="P58" i="3"/>
  <c r="T52" i="3"/>
  <c r="X46" i="3"/>
  <c r="W69" i="3"/>
  <c r="N70" i="3"/>
  <c r="P67" i="3"/>
  <c r="L65" i="3"/>
  <c r="F64" i="3"/>
  <c r="H63" i="3"/>
  <c r="F62" i="3"/>
  <c r="H61" i="3"/>
  <c r="J60" i="3"/>
  <c r="H59" i="3"/>
  <c r="J58" i="3"/>
  <c r="L57" i="3"/>
  <c r="J56" i="3"/>
  <c r="L55" i="3"/>
  <c r="N54" i="3"/>
  <c r="L53" i="3"/>
  <c r="N52" i="3"/>
  <c r="P51" i="3"/>
  <c r="N50" i="3"/>
  <c r="P49" i="3"/>
  <c r="R48" i="3"/>
  <c r="P47" i="3"/>
  <c r="R46" i="3"/>
  <c r="T45" i="3"/>
  <c r="R44" i="3"/>
  <c r="T43" i="3"/>
  <c r="R71" i="3"/>
  <c r="L70" i="3"/>
  <c r="T68" i="3"/>
  <c r="X66" i="3"/>
  <c r="T64" i="3"/>
  <c r="F63" i="3"/>
  <c r="J61" i="3"/>
  <c r="F59" i="3"/>
  <c r="J57" i="3"/>
  <c r="N55" i="3"/>
  <c r="J53" i="3"/>
  <c r="N51" i="3"/>
  <c r="D50" i="3"/>
  <c r="P48" i="3"/>
  <c r="F47" i="3"/>
  <c r="R45" i="3"/>
  <c r="H44" i="3"/>
  <c r="W71" i="3"/>
  <c r="M70" i="3"/>
  <c r="C69" i="3"/>
  <c r="O67" i="3"/>
  <c r="M64" i="3"/>
  <c r="O61" i="3"/>
  <c r="Q58" i="3"/>
  <c r="S55" i="3"/>
  <c r="U52" i="3"/>
  <c r="W49" i="3"/>
  <c r="C47" i="3"/>
  <c r="E44" i="3"/>
  <c r="M60" i="3"/>
  <c r="Q54" i="3"/>
  <c r="U48" i="3"/>
  <c r="S43" i="3"/>
  <c r="U62" i="3"/>
  <c r="C57" i="3"/>
  <c r="G51" i="3"/>
  <c r="K45" i="3"/>
  <c r="K65" i="3"/>
  <c r="M62" i="3"/>
  <c r="O59" i="3"/>
  <c r="Q56" i="3"/>
  <c r="S53" i="3"/>
  <c r="U50" i="3"/>
  <c r="W47" i="3"/>
  <c r="C45" i="3"/>
  <c r="O65" i="3"/>
  <c r="Q62" i="3"/>
  <c r="U56" i="3"/>
  <c r="C51" i="3"/>
  <c r="M44" i="3"/>
  <c r="E62" i="3"/>
  <c r="I56" i="3"/>
  <c r="M50" i="3"/>
  <c r="Q44" i="3"/>
  <c r="I94" i="2"/>
  <c r="N91" i="2"/>
  <c r="S88" i="2"/>
  <c r="X85" i="2"/>
  <c r="F83" i="2"/>
  <c r="K80" i="2"/>
  <c r="P77" i="2"/>
  <c r="U74" i="2"/>
  <c r="Z71" i="2"/>
  <c r="T95" i="2"/>
  <c r="G90" i="2"/>
  <c r="L87" i="2"/>
  <c r="Q84" i="2"/>
  <c r="V81" i="2"/>
  <c r="D79" i="2"/>
  <c r="I76" i="2"/>
  <c r="N73" i="2"/>
  <c r="S70" i="2"/>
  <c r="X67" i="2"/>
  <c r="F65" i="2"/>
  <c r="K62" i="2"/>
  <c r="X94" i="2"/>
  <c r="K89" i="2"/>
  <c r="V94" i="2"/>
  <c r="I85" i="2"/>
  <c r="S79" i="2"/>
  <c r="F74" i="2"/>
  <c r="W68" i="2"/>
  <c r="G65" i="2"/>
  <c r="G68" i="3"/>
  <c r="K62" i="3"/>
  <c r="O56" i="3"/>
  <c r="S50" i="3"/>
  <c r="W44" i="3"/>
  <c r="X62" i="3"/>
  <c r="J51" i="3"/>
  <c r="M68" i="3"/>
  <c r="V66" i="3"/>
  <c r="X63" i="3"/>
  <c r="X61" i="3"/>
  <c r="X59" i="3"/>
  <c r="F58" i="3"/>
  <c r="F56" i="3"/>
  <c r="F54" i="3"/>
  <c r="J52" i="3"/>
  <c r="J50" i="3"/>
  <c r="J48" i="3"/>
  <c r="N46" i="3"/>
  <c r="N44" i="3"/>
  <c r="J71" i="3"/>
  <c r="L68" i="3"/>
  <c r="L64" i="3"/>
  <c r="P60" i="3"/>
  <c r="X56" i="3"/>
  <c r="X52" i="3"/>
  <c r="R49" i="3"/>
  <c r="T46" i="3"/>
  <c r="V43" i="3"/>
  <c r="E70" i="3"/>
  <c r="Q66" i="3"/>
  <c r="U60" i="3"/>
  <c r="C55" i="3"/>
  <c r="G49" i="3"/>
  <c r="K43" i="3"/>
  <c r="G53" i="3"/>
  <c r="G67" i="3"/>
  <c r="O55" i="3"/>
  <c r="W43" i="3"/>
  <c r="S61" i="3"/>
  <c r="W55" i="3"/>
  <c r="E50" i="3"/>
  <c r="I44" i="3"/>
  <c r="G61" i="3"/>
  <c r="O49" i="3"/>
  <c r="Q60" i="3"/>
  <c r="C49" i="3"/>
  <c r="P93" i="2"/>
  <c r="Z87" i="2"/>
  <c r="M82" i="2"/>
  <c r="W76" i="2"/>
  <c r="J71" i="2"/>
  <c r="S86" i="2"/>
  <c r="F81" i="2"/>
  <c r="P75" i="2"/>
  <c r="Z69" i="2"/>
  <c r="M64" i="2"/>
  <c r="H94" i="2"/>
  <c r="R88" i="2"/>
  <c r="W83" i="2"/>
  <c r="T72" i="2"/>
  <c r="H64" i="2"/>
  <c r="V84" i="2"/>
  <c r="S73" i="2"/>
  <c r="E65" i="2"/>
  <c r="V90" i="2"/>
  <c r="I83" i="2"/>
  <c r="S77" i="2"/>
  <c r="F72" i="2"/>
  <c r="O67" i="2"/>
  <c r="V63" i="2"/>
  <c r="N94" i="2"/>
  <c r="E85" i="2"/>
  <c r="O79" i="2"/>
  <c r="Y73" i="2"/>
  <c r="T68" i="2"/>
  <c r="D65" i="2"/>
  <c r="K61" i="2"/>
  <c r="G85" i="2"/>
  <c r="L74" i="2"/>
  <c r="W64" i="2"/>
  <c r="J95" i="2"/>
  <c r="V91" i="2"/>
  <c r="I86" i="2"/>
  <c r="S80" i="2"/>
  <c r="F75" i="2"/>
  <c r="P69" i="2"/>
  <c r="O90" i="2"/>
  <c r="Y84" i="2"/>
  <c r="L79" i="2"/>
  <c r="V73" i="2"/>
  <c r="I68" i="2"/>
  <c r="S62" i="2"/>
  <c r="V95" i="2"/>
  <c r="D93" i="2"/>
  <c r="I90" i="2"/>
  <c r="N87" i="2"/>
  <c r="S84" i="2"/>
  <c r="X81" i="2"/>
  <c r="F79" i="2"/>
  <c r="K76" i="2"/>
  <c r="P73" i="2"/>
  <c r="U70" i="2"/>
  <c r="O94" i="2"/>
  <c r="T91" i="2"/>
  <c r="Y88" i="2"/>
  <c r="G86" i="2"/>
  <c r="L83" i="2"/>
  <c r="Q80" i="2"/>
  <c r="V77" i="2"/>
  <c r="D75" i="2"/>
  <c r="I72" i="2"/>
  <c r="N69" i="2"/>
  <c r="S66" i="2"/>
  <c r="X63" i="2"/>
  <c r="F61" i="2"/>
  <c r="S93" i="2"/>
  <c r="X90" i="2"/>
  <c r="F88" i="2"/>
  <c r="Y89" i="2"/>
  <c r="V82" i="2"/>
  <c r="I77" i="2"/>
  <c r="S71" i="2"/>
  <c r="I67" i="2"/>
  <c r="O63" i="2"/>
  <c r="O85" i="2"/>
  <c r="D74" i="2"/>
  <c r="P65" i="2"/>
  <c r="O91" i="2"/>
  <c r="Q83" i="2"/>
  <c r="D78" i="2"/>
  <c r="N72" i="2"/>
  <c r="U67" i="2"/>
  <c r="D64" i="2"/>
  <c r="G95" i="2"/>
  <c r="M85" i="2"/>
  <c r="W79" i="2"/>
  <c r="J74" i="2"/>
  <c r="Z68" i="2"/>
  <c r="I65" i="2"/>
  <c r="P61" i="2"/>
  <c r="W85" i="2"/>
  <c r="E75" i="2"/>
  <c r="K65" i="2"/>
  <c r="H93" i="2"/>
  <c r="Y86" i="2"/>
  <c r="L81" i="2"/>
  <c r="V75" i="2"/>
  <c r="I70" i="2"/>
  <c r="H91" i="2"/>
  <c r="R85" i="2"/>
  <c r="E80" i="2"/>
  <c r="O74" i="2"/>
  <c r="Y68" i="2"/>
  <c r="L63" i="2"/>
  <c r="G93" i="2"/>
  <c r="Q87" i="2"/>
  <c r="D85" i="2"/>
  <c r="X73" i="2"/>
  <c r="J89" i="2"/>
  <c r="G78" i="2"/>
  <c r="D67" i="2"/>
  <c r="I91" i="2"/>
  <c r="X84" i="2"/>
  <c r="U73" i="2"/>
  <c r="X64" i="2"/>
  <c r="H78" i="2"/>
  <c r="S95" i="2"/>
  <c r="F80" i="2"/>
  <c r="G69" i="2"/>
  <c r="T61" i="2"/>
  <c r="Y81" i="2"/>
  <c r="V70" i="2"/>
  <c r="Y62" i="2"/>
  <c r="I79" i="2"/>
  <c r="DA6" i="2"/>
  <c r="X87" i="2"/>
  <c r="R65" i="2"/>
  <c r="O83" i="2"/>
  <c r="W65" i="2"/>
  <c r="P62" i="2"/>
  <c r="L70" i="2"/>
  <c r="F86" i="2"/>
  <c r="T65" i="2"/>
  <c r="N66" i="2"/>
  <c r="CX6" i="2"/>
  <c r="H76" i="2"/>
  <c r="J72" i="2"/>
  <c r="Z76" i="2"/>
  <c r="E93" i="2"/>
  <c r="M66" i="2"/>
  <c r="R72" i="2"/>
  <c r="O88" i="2"/>
  <c r="L77" i="2"/>
  <c r="R81" i="2"/>
  <c r="O70" i="2"/>
  <c r="T94" i="2"/>
  <c r="R90" i="2"/>
  <c r="Q77" i="2"/>
  <c r="N67" i="2"/>
  <c r="H86" i="2"/>
  <c r="D66" i="2"/>
  <c r="Y83" i="2"/>
  <c r="V72" i="2"/>
  <c r="J64" i="2"/>
  <c r="U85" i="2"/>
  <c r="R74" i="2"/>
  <c r="O65" i="2"/>
  <c r="P86" i="2"/>
  <c r="U65" i="2"/>
  <c r="H89" i="2"/>
  <c r="J75" i="2"/>
  <c r="P79" i="2"/>
  <c r="G75" i="2"/>
  <c r="M75" i="2"/>
  <c r="T78" i="2"/>
  <c r="CY6" i="2"/>
  <c r="Q67" i="2"/>
  <c r="P70" i="2"/>
  <c r="X89" i="2"/>
  <c r="U78" i="2"/>
  <c r="G94" i="2"/>
  <c r="I80" i="2"/>
  <c r="P63" i="2"/>
  <c r="P84" i="2"/>
  <c r="P66" i="2"/>
  <c r="R67" i="2"/>
  <c r="H74" i="2"/>
  <c r="O87" i="2"/>
  <c r="J68" i="2"/>
  <c r="W67" i="2"/>
  <c r="M67" i="3"/>
  <c r="Q61" i="3"/>
  <c r="U55" i="3"/>
  <c r="C50" i="3"/>
  <c r="G44" i="3"/>
  <c r="N61" i="3"/>
  <c r="V49" i="3"/>
  <c r="X71" i="3"/>
  <c r="F66" i="3"/>
  <c r="P63" i="3"/>
  <c r="T61" i="3"/>
  <c r="T59" i="3"/>
  <c r="T57" i="3"/>
  <c r="X55" i="3"/>
  <c r="X53" i="3"/>
  <c r="X51" i="3"/>
  <c r="F50" i="3"/>
  <c r="F48" i="3"/>
  <c r="F46" i="3"/>
  <c r="J44" i="3"/>
  <c r="F71" i="3"/>
  <c r="R67" i="3"/>
  <c r="H64" i="3"/>
  <c r="H60" i="3"/>
  <c r="H56" i="3"/>
  <c r="P52" i="3"/>
  <c r="J49" i="3"/>
  <c r="L46" i="3"/>
  <c r="N43" i="3"/>
  <c r="S69" i="3"/>
  <c r="W65" i="3"/>
  <c r="E60" i="3"/>
  <c r="I54" i="3"/>
  <c r="M48" i="3"/>
  <c r="I66" i="3"/>
  <c r="S51" i="3"/>
  <c r="S65" i="3"/>
  <c r="E54" i="3"/>
  <c r="U66" i="3"/>
  <c r="C61" i="3"/>
  <c r="G55" i="3"/>
  <c r="K49" i="3"/>
  <c r="O43" i="3"/>
  <c r="S59" i="3"/>
  <c r="E48" i="3"/>
  <c r="G59" i="3"/>
  <c r="O47" i="3"/>
  <c r="J87" i="2"/>
  <c r="T81" i="2"/>
  <c r="G76" i="2"/>
  <c r="Q70" i="2"/>
  <c r="P91" i="2"/>
  <c r="Z85" i="2"/>
  <c r="M80" i="2"/>
  <c r="W74" i="2"/>
  <c r="J69" i="2"/>
  <c r="T63" i="2"/>
  <c r="O93" i="2"/>
  <c r="Y87" i="2"/>
  <c r="N82" i="2"/>
  <c r="K71" i="2"/>
  <c r="J63" i="2"/>
  <c r="S81" i="2"/>
  <c r="X70" i="2"/>
  <c r="Z62" i="2"/>
  <c r="D88" i="2"/>
  <c r="W81" i="2"/>
  <c r="J76" i="2"/>
  <c r="T70" i="2"/>
  <c r="Q66" i="2"/>
  <c r="X62" i="2"/>
  <c r="S91" i="2"/>
  <c r="S83" i="2"/>
  <c r="F78" i="2"/>
  <c r="P72" i="2"/>
  <c r="V67" i="2"/>
  <c r="F64" i="2"/>
  <c r="R94" i="2"/>
  <c r="T82" i="2"/>
  <c r="I71" i="2"/>
  <c r="I63" i="2"/>
  <c r="Q94" i="2"/>
  <c r="M90" i="2"/>
  <c r="W84" i="2"/>
  <c r="J79" i="2"/>
  <c r="T73" i="2"/>
  <c r="S94" i="2"/>
  <c r="F89" i="2"/>
  <c r="P83" i="2"/>
  <c r="Z77" i="2"/>
  <c r="M72" i="2"/>
  <c r="W66" i="2"/>
  <c r="J61" i="2"/>
  <c r="E91" i="2"/>
  <c r="F95" i="2"/>
  <c r="P89" i="2"/>
  <c r="U86" i="2"/>
  <c r="Z83" i="2"/>
  <c r="H81" i="2"/>
  <c r="M78" i="2"/>
  <c r="R75" i="2"/>
  <c r="W72" i="2"/>
  <c r="E70" i="2"/>
  <c r="V93" i="2"/>
  <c r="D91" i="2"/>
  <c r="I88" i="2"/>
  <c r="N85" i="2"/>
  <c r="S82" i="2"/>
  <c r="X79" i="2"/>
  <c r="F77" i="2"/>
  <c r="K74" i="2"/>
  <c r="P71" i="2"/>
  <c r="U68" i="2"/>
  <c r="Z65" i="2"/>
  <c r="H63" i="2"/>
  <c r="U95" i="2"/>
  <c r="H90" i="2"/>
  <c r="M87" i="2"/>
  <c r="G87" i="2"/>
  <c r="M81" i="2"/>
  <c r="W75" i="2"/>
  <c r="J70" i="2"/>
  <c r="J66" i="2"/>
  <c r="Q62" i="2"/>
  <c r="L82" i="2"/>
  <c r="Q71" i="2"/>
  <c r="N63" i="2"/>
  <c r="T88" i="2"/>
  <c r="H82" i="2"/>
  <c r="R76" i="2"/>
  <c r="E71" i="2"/>
  <c r="V66" i="2"/>
  <c r="F63" i="2"/>
  <c r="D84" i="2"/>
  <c r="N78" i="2"/>
  <c r="X72" i="2"/>
  <c r="D68" i="2"/>
  <c r="K64" i="2"/>
  <c r="K95" i="2"/>
  <c r="E83" i="2"/>
  <c r="Y71" i="2"/>
  <c r="S63" i="2"/>
  <c r="F91" i="2"/>
  <c r="P85" i="2"/>
  <c r="Z79" i="2"/>
  <c r="M74" i="2"/>
  <c r="L95" i="2"/>
  <c r="V89" i="2"/>
  <c r="I84" i="2"/>
  <c r="S78" i="2"/>
  <c r="F73" i="2"/>
  <c r="P67" i="2"/>
  <c r="Z61" i="2"/>
  <c r="U91" i="2"/>
  <c r="L93" i="2"/>
  <c r="I82" i="2"/>
  <c r="F71" i="2"/>
  <c r="O86" i="2"/>
  <c r="L75" i="2"/>
  <c r="I64" i="2"/>
  <c r="N88" i="2"/>
  <c r="F82" i="2"/>
  <c r="Z70" i="2"/>
  <c r="E63" i="2"/>
  <c r="Z72" i="2"/>
  <c r="F90" i="2"/>
  <c r="K77" i="2"/>
  <c r="J67" i="2"/>
  <c r="U93" i="2"/>
  <c r="G79" i="2"/>
  <c r="O68" i="2"/>
  <c r="E61" i="2"/>
  <c r="K73" i="2"/>
  <c r="E78" i="2"/>
  <c r="K82" i="2"/>
  <c r="M95" i="2"/>
  <c r="Y77" i="2"/>
  <c r="F62" i="2"/>
  <c r="K87" i="2"/>
  <c r="L66" i="2"/>
  <c r="P80" i="2"/>
  <c r="D62" i="2"/>
  <c r="Q88" i="2"/>
  <c r="U87" i="2"/>
  <c r="R70" i="2"/>
  <c r="Y63" i="2"/>
  <c r="M71" i="2"/>
  <c r="Q81" i="2"/>
  <c r="T62" i="2"/>
  <c r="G64" i="2"/>
  <c r="T85" i="2"/>
  <c r="Q74" i="2"/>
  <c r="Z89" i="2"/>
  <c r="W78" i="2"/>
  <c r="T67" i="2"/>
  <c r="Y91" i="2"/>
  <c r="Y85" i="2"/>
  <c r="V74" i="2"/>
  <c r="Q65" i="2"/>
  <c r="J80" i="2"/>
  <c r="E62" i="2"/>
  <c r="G81" i="2"/>
  <c r="D70" i="2"/>
  <c r="M62" i="2"/>
  <c r="Z82" i="2"/>
  <c r="W71" i="2"/>
  <c r="R63" i="2"/>
  <c r="K81" i="2"/>
  <c r="J62" i="2"/>
  <c r="M86" i="2"/>
  <c r="T69" i="2"/>
  <c r="Z73" i="2"/>
  <c r="E87" i="2"/>
  <c r="Q69" i="2"/>
  <c r="I66" i="2"/>
  <c r="G73" i="2"/>
  <c r="K83" i="2"/>
  <c r="W63" i="2"/>
  <c r="U62" i="2"/>
  <c r="F87" i="2"/>
  <c r="Z75" i="2"/>
  <c r="L91" i="2"/>
  <c r="N77" i="2"/>
  <c r="K93" i="2"/>
  <c r="Z78" i="2"/>
  <c r="V62" i="2"/>
  <c r="Z94" i="2"/>
  <c r="X68" i="2"/>
  <c r="L84" i="2"/>
  <c r="P64" i="2"/>
  <c r="C35" i="3"/>
  <c r="E71" i="3"/>
  <c r="I65" i="3"/>
  <c r="M59" i="3"/>
  <c r="Q53" i="3"/>
  <c r="U47" i="3"/>
  <c r="X68" i="3"/>
  <c r="F57" i="3"/>
  <c r="N45" i="3"/>
  <c r="T69" i="3"/>
  <c r="V64" i="3"/>
  <c r="V62" i="3"/>
  <c r="D61" i="3"/>
  <c r="D59" i="3"/>
  <c r="D57" i="3"/>
  <c r="H55" i="3"/>
  <c r="H53" i="3"/>
  <c r="H51" i="3"/>
  <c r="L49" i="3"/>
  <c r="L47" i="3"/>
  <c r="K70" i="3"/>
  <c r="E47" i="3"/>
  <c r="D69" i="3"/>
  <c r="V58" i="3"/>
  <c r="D51" i="3"/>
  <c r="H45" i="3"/>
  <c r="V69" i="3"/>
  <c r="D62" i="3"/>
  <c r="L54" i="3"/>
  <c r="V47" i="3"/>
  <c r="G71" i="3"/>
  <c r="C63" i="3"/>
  <c r="K51" i="3"/>
  <c r="O57" i="3"/>
  <c r="W59" i="3"/>
  <c r="W63" i="3"/>
  <c r="I52" i="3"/>
  <c r="E64" i="3"/>
  <c r="C65" i="3"/>
  <c r="R95" i="2"/>
  <c r="O84" i="2"/>
  <c r="L73" i="2"/>
  <c r="U88" i="2"/>
  <c r="R77" i="2"/>
  <c r="O66" i="2"/>
  <c r="T90" i="2"/>
  <c r="X76" i="2"/>
  <c r="E89" i="2"/>
  <c r="T66" i="2"/>
  <c r="R84" i="2"/>
  <c r="O73" i="2"/>
  <c r="T64" i="2"/>
  <c r="N86" i="2"/>
  <c r="K75" i="2"/>
  <c r="Y65" i="2"/>
  <c r="L88" i="2"/>
  <c r="Y66" i="2"/>
  <c r="E82" i="2"/>
  <c r="Y70" i="2"/>
  <c r="K86" i="2"/>
  <c r="H75" i="2"/>
  <c r="E64" i="2"/>
  <c r="J88" i="2"/>
  <c r="Y90" i="2"/>
  <c r="L85" i="2"/>
  <c r="V79" i="2"/>
  <c r="I74" i="2"/>
  <c r="H95" i="2"/>
  <c r="R89" i="2"/>
  <c r="E84" i="2"/>
  <c r="O78" i="2"/>
  <c r="Y72" i="2"/>
  <c r="L67" i="2"/>
  <c r="V61" i="2"/>
  <c r="Q91" i="2"/>
  <c r="R78" i="2"/>
  <c r="G68" i="2"/>
  <c r="CQ6" i="2"/>
  <c r="G67" i="2"/>
  <c r="Z84" i="2"/>
  <c r="W73" i="2"/>
  <c r="Z64" i="2"/>
  <c r="V86" i="2"/>
  <c r="S75" i="2"/>
  <c r="H66" i="2"/>
  <c r="U89" i="2"/>
  <c r="M67" i="2"/>
  <c r="K88" i="2"/>
  <c r="H77" i="2"/>
  <c r="N81" i="2"/>
  <c r="K70" i="2"/>
  <c r="P94" i="2"/>
  <c r="V87" i="2"/>
  <c r="V69" i="2"/>
  <c r="P88" i="2"/>
  <c r="U66" i="2"/>
  <c r="R64" i="2"/>
  <c r="U71" i="2"/>
  <c r="T84" i="2"/>
  <c r="V64" i="2"/>
  <c r="L64" i="2"/>
  <c r="H71" i="2"/>
  <c r="S67" i="2"/>
  <c r="Y75" i="2"/>
  <c r="M69" i="2"/>
  <c r="K66" i="2"/>
  <c r="DC6" i="2"/>
  <c r="K63" i="2"/>
  <c r="U83" i="2"/>
  <c r="G80" i="2"/>
  <c r="M84" i="2"/>
  <c r="G62" i="2"/>
  <c r="L80" i="2"/>
  <c r="X61" i="2"/>
  <c r="T86" i="2"/>
  <c r="F66" i="2"/>
  <c r="M77" i="2"/>
  <c r="I93" i="2"/>
  <c r="Z91" i="2"/>
  <c r="F85" i="2"/>
  <c r="T80" i="2"/>
  <c r="J84" i="2"/>
  <c r="H72" i="2"/>
  <c r="M70" i="2"/>
  <c r="F69" i="2"/>
  <c r="L68" i="2"/>
  <c r="U79" i="2"/>
  <c r="I73" i="2"/>
  <c r="Y79" i="2"/>
  <c r="J83" i="2"/>
  <c r="G72" i="2"/>
  <c r="P87" i="2"/>
  <c r="Z81" i="2"/>
  <c r="W70" i="2"/>
  <c r="J65" i="2"/>
  <c r="O89" i="2"/>
  <c r="Q85" i="2"/>
  <c r="L65" i="2"/>
  <c r="Q79" i="2"/>
  <c r="V80" i="2"/>
  <c r="S69" i="2"/>
  <c r="R82" i="2"/>
  <c r="O71" i="2"/>
  <c r="R80" i="2"/>
  <c r="W61" i="2"/>
  <c r="D73" i="2"/>
  <c r="M88" i="2"/>
  <c r="G66" i="2"/>
  <c r="L90" i="2"/>
  <c r="T83" i="2"/>
  <c r="K79" i="2"/>
  <c r="S85" i="2"/>
  <c r="L76" i="2"/>
  <c r="O72" i="2"/>
  <c r="W89" i="2"/>
  <c r="R62" i="2"/>
  <c r="W87" i="2"/>
  <c r="D76" i="2"/>
  <c r="V71" i="2"/>
  <c r="G89" i="2"/>
  <c r="T74" i="2"/>
  <c r="W95" i="2"/>
  <c r="R83" i="2"/>
  <c r="Z63" i="2"/>
  <c r="Y93" i="2"/>
  <c r="V85" i="2"/>
  <c r="M83" i="2"/>
  <c r="H65" i="2"/>
  <c r="S58" i="3"/>
  <c r="R55" i="3"/>
  <c r="V54" i="3"/>
  <c r="H43" i="3"/>
  <c r="L58" i="3"/>
  <c r="X44" i="3"/>
  <c r="I68" i="3"/>
  <c r="O45" i="3"/>
  <c r="I48" i="3"/>
  <c r="W53" i="3"/>
  <c r="E90" i="2"/>
  <c r="K94" i="2"/>
  <c r="E72" i="2"/>
  <c r="I89" i="2"/>
  <c r="Z66" i="2"/>
  <c r="Q93" i="2"/>
  <c r="N68" i="2"/>
  <c r="X80" i="2"/>
  <c r="I62" i="2"/>
  <c r="Z95" i="2"/>
  <c r="O76" i="2"/>
  <c r="U80" i="2"/>
  <c r="W93" i="2"/>
  <c r="G88" i="2"/>
  <c r="D77" i="2"/>
  <c r="T75" i="2"/>
  <c r="Q64" i="2"/>
  <c r="V88" i="2"/>
  <c r="E73" i="2"/>
  <c r="V76" i="2"/>
  <c r="S68" i="2"/>
  <c r="I81" i="2"/>
  <c r="N62" i="2"/>
  <c r="C43" i="3"/>
  <c r="R71" i="2"/>
  <c r="U64" i="2"/>
  <c r="Y80" i="2"/>
  <c r="F84" i="2"/>
  <c r="Q63" i="2"/>
  <c r="N84" i="2"/>
  <c r="H70" i="2"/>
  <c r="U81" i="2"/>
  <c r="N70" i="2"/>
  <c r="P95" i="2"/>
  <c r="X86" i="2"/>
  <c r="K69" i="2"/>
  <c r="Q75" i="2"/>
  <c r="K67" i="2"/>
  <c r="W80" i="2"/>
  <c r="O64" i="2"/>
  <c r="P81" i="2"/>
  <c r="M93" i="2"/>
  <c r="O61" i="2"/>
  <c r="W52" i="3"/>
  <c r="D44" i="3"/>
  <c r="R60" i="3"/>
  <c r="D53" i="3"/>
  <c r="L45" i="3"/>
  <c r="T62" i="3"/>
  <c r="T54" i="3"/>
  <c r="O71" i="3"/>
  <c r="E52" i="3"/>
  <c r="K61" i="3"/>
  <c r="C53" i="3"/>
  <c r="M66" i="3"/>
  <c r="H85" i="2"/>
  <c r="N89" i="2"/>
  <c r="H67" i="2"/>
  <c r="J78" i="2"/>
  <c r="P68" i="2"/>
  <c r="X74" i="2"/>
  <c r="X88" i="2"/>
  <c r="X66" i="2"/>
  <c r="V68" i="2"/>
  <c r="N83" i="2"/>
  <c r="T87" i="2"/>
  <c r="N65" i="2"/>
  <c r="S89" i="2"/>
  <c r="E86" i="2"/>
  <c r="X95" i="2"/>
  <c r="H79" i="2"/>
  <c r="E68" i="2"/>
  <c r="O95" i="2"/>
  <c r="E69" i="2"/>
  <c r="I69" i="2"/>
  <c r="I75" i="2"/>
  <c r="E77" i="2"/>
  <c r="Q78" i="2"/>
  <c r="W82" i="2"/>
  <c r="Y95" i="2"/>
  <c r="Q90" i="2"/>
  <c r="Q72" i="2"/>
  <c r="R68" i="2"/>
  <c r="P74" i="2"/>
  <c r="K68" i="2"/>
  <c r="L72" i="2"/>
  <c r="S74" i="2"/>
  <c r="E67" i="2"/>
  <c r="Y82" i="2"/>
  <c r="Y64" i="2"/>
  <c r="O64" i="3"/>
  <c r="N67" i="3"/>
  <c r="R64" i="3"/>
  <c r="V56" i="3"/>
  <c r="D49" i="3"/>
  <c r="P43" i="3"/>
  <c r="H66" i="3"/>
  <c r="T58" i="3"/>
  <c r="F51" i="3"/>
  <c r="J45" i="3"/>
  <c r="Q68" i="3"/>
  <c r="W57" i="3"/>
  <c r="I46" i="3"/>
  <c r="K47" i="3"/>
  <c r="S49" i="3"/>
  <c r="U58" i="3"/>
  <c r="G47" i="3"/>
  <c r="K55" i="3"/>
  <c r="U54" i="3"/>
  <c r="U90" i="2"/>
  <c r="R79" i="2"/>
  <c r="D95" i="2"/>
  <c r="X83" i="2"/>
  <c r="U72" i="2"/>
  <c r="R61" i="2"/>
  <c r="Y67" i="2"/>
  <c r="X78" i="2"/>
  <c r="G61" i="2"/>
  <c r="N80" i="2"/>
  <c r="L69" i="2"/>
  <c r="Y61" i="2"/>
  <c r="J82" i="2"/>
  <c r="G71" i="2"/>
  <c r="G63" i="2"/>
  <c r="L61" i="2"/>
  <c r="D89" i="2"/>
  <c r="X77" i="2"/>
  <c r="J93" i="2"/>
  <c r="G82" i="2"/>
  <c r="D71" i="2"/>
  <c r="I95" i="2"/>
  <c r="M94" i="2"/>
  <c r="W88" i="2"/>
  <c r="T77" i="2"/>
  <c r="F93" i="2"/>
  <c r="M76" i="2"/>
  <c r="E95" i="2"/>
  <c r="N74" i="2"/>
  <c r="Q61" i="2"/>
  <c r="H62" i="2"/>
  <c r="M63" i="2"/>
  <c r="G84" i="2"/>
  <c r="J77" i="2"/>
  <c r="N79" i="2"/>
  <c r="N61" i="2"/>
  <c r="H61" i="2"/>
  <c r="M65" i="2"/>
  <c r="G91" i="2"/>
  <c r="Z80" i="2"/>
  <c r="S87" i="2"/>
  <c r="M89" i="2"/>
  <c r="E94" i="2"/>
  <c r="E76" i="2"/>
  <c r="D72" i="2"/>
  <c r="L78" i="2"/>
  <c r="H69" i="2"/>
  <c r="U75" i="2"/>
  <c r="M68" i="2"/>
  <c r="H68" i="2"/>
  <c r="K84" i="2"/>
  <c r="P90" i="2"/>
  <c r="CZ6" i="2"/>
  <c r="R62" i="3"/>
  <c r="H47" i="3"/>
  <c r="V65" i="3"/>
  <c r="T50" i="3"/>
  <c r="G57" i="3"/>
  <c r="W45" i="3"/>
  <c r="E58" i="3"/>
  <c r="M46" i="3"/>
  <c r="K53" i="3"/>
  <c r="Y78" i="2"/>
  <c r="H83" i="2"/>
  <c r="DB6" i="2"/>
  <c r="F76" i="2"/>
  <c r="E79" i="2"/>
  <c r="DD6" i="2"/>
  <c r="U69" i="2"/>
  <c r="G77" i="2"/>
  <c r="R87" i="2"/>
  <c r="X91" i="2"/>
  <c r="R69" i="2"/>
  <c r="T93" i="2"/>
  <c r="Q82" i="2"/>
  <c r="N71" i="2"/>
  <c r="W86" i="2"/>
  <c r="J81" i="2"/>
  <c r="G70" i="2"/>
  <c r="L94" i="2"/>
  <c r="H84" i="2"/>
  <c r="N64" i="2"/>
  <c r="J94" i="2"/>
  <c r="M79" i="2"/>
  <c r="I61" i="2"/>
  <c r="F70" i="2"/>
  <c r="W77" i="2"/>
  <c r="U82" i="2"/>
  <c r="D87" i="2"/>
  <c r="X75" i="2"/>
  <c r="Z88" i="2"/>
  <c r="S76" i="2"/>
  <c r="D94" i="2"/>
  <c r="P76" i="2"/>
  <c r="X82" i="2"/>
  <c r="Q73" i="2"/>
  <c r="N93" i="2"/>
  <c r="K91" i="2"/>
  <c r="Z90" i="2"/>
  <c r="N76" i="2"/>
  <c r="P82" i="2"/>
  <c r="J91" i="2"/>
  <c r="J73" i="2"/>
  <c r="W69" i="2"/>
  <c r="J90" i="2"/>
  <c r="O69" i="2"/>
  <c r="W62" i="2"/>
  <c r="Z86" i="2"/>
  <c r="D82" i="2"/>
  <c r="D83" i="2"/>
  <c r="O77" i="2"/>
  <c r="P78" i="2"/>
  <c r="H70" i="3"/>
  <c r="H48" i="3"/>
  <c r="S63" i="3"/>
  <c r="C59" i="3"/>
  <c r="Q64" i="3"/>
  <c r="U64" i="3"/>
  <c r="G43" i="3"/>
  <c r="E74" i="2"/>
  <c r="K78" i="2"/>
  <c r="M91" i="2"/>
  <c r="M61" i="2"/>
  <c r="D86" i="2"/>
  <c r="S65" i="2"/>
  <c r="T76" i="2"/>
  <c r="W91" i="2"/>
  <c r="X93" i="2"/>
  <c r="K72" i="2"/>
  <c r="Q76" i="2"/>
  <c r="R91" i="2"/>
  <c r="O80" i="2"/>
  <c r="Y74" i="2"/>
  <c r="K90" i="2"/>
  <c r="U84" i="2"/>
  <c r="R73" i="2"/>
  <c r="O62" i="2"/>
  <c r="D80" i="2"/>
  <c r="S61" i="2"/>
  <c r="L86" i="2"/>
  <c r="X65" i="2"/>
  <c r="Q89" i="2"/>
  <c r="F67" i="2"/>
  <c r="D69" i="2"/>
  <c r="T89" i="2"/>
  <c r="Z93" i="2"/>
  <c r="T71" i="2"/>
  <c r="W94" i="2"/>
  <c r="F94" i="2"/>
  <c r="F68" i="2"/>
  <c r="H88" i="2"/>
  <c r="R66" i="2"/>
  <c r="U76" i="2"/>
  <c r="O81" i="2"/>
  <c r="Z74" i="2"/>
  <c r="S64" i="2"/>
  <c r="N90" i="2"/>
  <c r="H87" i="2"/>
  <c r="G83" i="2"/>
  <c r="U63" i="2"/>
  <c r="U61" i="2"/>
  <c r="X71" i="2"/>
  <c r="U94" i="2"/>
  <c r="U77" i="2"/>
  <c r="M73" i="2"/>
  <c r="Z67" i="2"/>
  <c r="S90" i="2"/>
  <c r="N95" i="2"/>
  <c r="K85" i="2"/>
  <c r="H80" i="2"/>
  <c r="J86" i="2"/>
  <c r="H73" i="2"/>
  <c r="V78" i="2"/>
  <c r="CN6" i="2"/>
  <c r="CM6" i="2"/>
  <c r="CK6" i="2"/>
  <c r="G92" i="2"/>
  <c r="Y92" i="2"/>
  <c r="K92" i="2"/>
  <c r="L92" i="2"/>
  <c r="M92" i="2"/>
  <c r="F92" i="2"/>
  <c r="I92" i="2"/>
  <c r="U92" i="2"/>
  <c r="R92" i="2"/>
  <c r="Q92" i="2"/>
  <c r="S92" i="2"/>
  <c r="H92" i="2"/>
  <c r="V92" i="2"/>
  <c r="Z92" i="2"/>
  <c r="T92" i="2"/>
  <c r="E92" i="2"/>
  <c r="D92" i="2"/>
  <c r="J92" i="2"/>
  <c r="N92" i="2"/>
  <c r="W92" i="2"/>
  <c r="O92" i="2"/>
  <c r="P92" i="2"/>
  <c r="X92" i="2"/>
  <c r="B43" i="3" l="1"/>
  <c r="DH6" i="2"/>
  <c r="CI6" i="2"/>
  <c r="CG6" i="2"/>
  <c r="CH6" i="2"/>
  <c r="DI6" i="2" l="1"/>
  <c r="CL6" i="2"/>
  <c r="CJ6" i="2"/>
  <c r="DA24" i="2"/>
  <c r="CX24" i="2"/>
  <c r="DD24" i="2"/>
  <c r="CE6" i="2"/>
  <c r="DB24" i="2"/>
  <c r="CY24" i="2"/>
  <c r="CZ24" i="2"/>
  <c r="DC24" i="2"/>
  <c r="CF6" i="2" l="1"/>
  <c r="DE6" i="2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M24" i="2"/>
  <c r="CK24" i="2"/>
  <c r="CN24" i="2"/>
  <c r="DH24" i="2" l="1"/>
  <c r="CG24" i="2"/>
  <c r="CI24" i="2"/>
  <c r="CH24" i="2"/>
  <c r="DI24" i="2" l="1"/>
  <c r="CL24" i="2"/>
  <c r="CJ24" i="2"/>
  <c r="CX12" i="2"/>
  <c r="DD12" i="2"/>
  <c r="DC12" i="2"/>
  <c r="DB12" i="2"/>
  <c r="CE24" i="2"/>
  <c r="CZ12" i="2"/>
  <c r="CY12" i="2"/>
  <c r="DA12" i="2"/>
  <c r="CF24" i="2" l="1"/>
  <c r="DE24" i="2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M12" i="2"/>
  <c r="CN12" i="2"/>
  <c r="CK12" i="2"/>
  <c r="DH12" i="2" l="1"/>
  <c r="CI12" i="2"/>
  <c r="CG12" i="2"/>
  <c r="CH12" i="2"/>
  <c r="DI12" i="2" l="1"/>
  <c r="CL12" i="2"/>
  <c r="CJ12" i="2"/>
  <c r="CX30" i="2"/>
  <c r="DB30" i="2"/>
  <c r="CY30" i="2"/>
  <c r="CJ10" i="3"/>
  <c r="CH10" i="3"/>
  <c r="CF10" i="3"/>
  <c r="CE12" i="2"/>
  <c r="DD30" i="2"/>
  <c r="CI10" i="3"/>
  <c r="CU10" i="3"/>
  <c r="CE10" i="3"/>
  <c r="DA30" i="2"/>
  <c r="DC30" i="2"/>
  <c r="CP10" i="3"/>
  <c r="CO10" i="3"/>
  <c r="CN10" i="3"/>
  <c r="CZ30" i="2"/>
  <c r="CG10" i="3"/>
  <c r="CQ10" i="3"/>
  <c r="CF12" i="2" l="1"/>
  <c r="DE12" i="2"/>
  <c r="CT10" i="3"/>
  <c r="CM10" i="3"/>
  <c r="CK10" i="3"/>
  <c r="CR10" i="3" s="1"/>
  <c r="CL10" i="3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M30" i="2"/>
  <c r="CK30" i="2"/>
  <c r="CN30" i="2"/>
  <c r="DH30" i="2" l="1"/>
  <c r="CI30" i="2"/>
  <c r="CG30" i="2"/>
  <c r="CH30" i="2"/>
  <c r="DI30" i="2" l="1"/>
  <c r="CL30" i="2"/>
  <c r="CJ30" i="2"/>
  <c r="CX39" i="2"/>
  <c r="CH24" i="3"/>
  <c r="CI30" i="3"/>
  <c r="CJ30" i="3"/>
  <c r="CP30" i="3"/>
  <c r="CQ24" i="3"/>
  <c r="CI24" i="3"/>
  <c r="CE30" i="3"/>
  <c r="DD39" i="2"/>
  <c r="DA39" i="2"/>
  <c r="CE30" i="2"/>
  <c r="CJ24" i="3"/>
  <c r="CH30" i="3"/>
  <c r="CP24" i="3"/>
  <c r="CO24" i="3"/>
  <c r="CQ30" i="3"/>
  <c r="CE24" i="3"/>
  <c r="CN30" i="3"/>
  <c r="CY39" i="2"/>
  <c r="CG30" i="3"/>
  <c r="DC39" i="2"/>
  <c r="CG24" i="3"/>
  <c r="CF24" i="3"/>
  <c r="CU30" i="3"/>
  <c r="CF30" i="3"/>
  <c r="CN24" i="3"/>
  <c r="CZ39" i="2"/>
  <c r="DB39" i="2"/>
  <c r="CU24" i="3"/>
  <c r="CO30" i="3"/>
  <c r="CF30" i="2" l="1"/>
  <c r="DE30" i="2"/>
  <c r="CT24" i="3"/>
  <c r="CM24" i="3"/>
  <c r="CR24" i="3"/>
  <c r="CK24" i="3"/>
  <c r="CL24" i="3"/>
  <c r="CT30" i="3"/>
  <c r="CM30" i="3"/>
  <c r="CR30" i="3"/>
  <c r="CK30" i="3"/>
  <c r="CL30" i="3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N39" i="2"/>
  <c r="CK39" i="2"/>
  <c r="DH39" i="2" l="1"/>
  <c r="CG39" i="2"/>
  <c r="CH39" i="2"/>
  <c r="CI39" i="2"/>
  <c r="DI39" i="2" l="1"/>
  <c r="CL39" i="2"/>
  <c r="CJ39" i="2"/>
  <c r="CE39" i="2"/>
  <c r="CF39" i="2" l="1"/>
  <c r="DE39" i="2"/>
  <c r="DC38" i="2"/>
  <c r="DD38" i="2"/>
  <c r="CX38" i="2"/>
  <c r="DA38" i="2"/>
  <c r="CZ38" i="2"/>
  <c r="CY38" i="2"/>
  <c r="DB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K38" i="2"/>
  <c r="CN38" i="2"/>
  <c r="CM38" i="2"/>
  <c r="DH38" i="2" l="1"/>
  <c r="CG38" i="2"/>
  <c r="CI38" i="2"/>
  <c r="CH38" i="2"/>
  <c r="DI38" i="2" l="1"/>
  <c r="CL38" i="2"/>
  <c r="CJ38" i="2"/>
  <c r="CX23" i="2"/>
  <c r="DA23" i="2"/>
  <c r="DB23" i="2"/>
  <c r="CY23" i="2"/>
  <c r="DD23" i="2"/>
  <c r="DC23" i="2"/>
  <c r="CE38" i="2"/>
  <c r="CZ23" i="2"/>
  <c r="CF38" i="2" l="1"/>
  <c r="DE38" i="2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K23" i="2"/>
  <c r="CN23" i="2"/>
  <c r="CM23" i="2"/>
  <c r="DH23" i="2" l="1"/>
  <c r="CG23" i="2"/>
  <c r="CI23" i="2"/>
  <c r="CH23" i="2"/>
  <c r="DI23" i="2" l="1"/>
  <c r="CL23" i="2"/>
  <c r="CJ23" i="2"/>
  <c r="CX36" i="2"/>
  <c r="CH17" i="3"/>
  <c r="CU17" i="3"/>
  <c r="CG17" i="3"/>
  <c r="DC36" i="2"/>
  <c r="CP17" i="3"/>
  <c r="CN17" i="3"/>
  <c r="CQ17" i="3"/>
  <c r="CE23" i="2"/>
  <c r="DA36" i="2"/>
  <c r="CJ17" i="3"/>
  <c r="CZ36" i="2"/>
  <c r="DD36" i="2"/>
  <c r="CI17" i="3"/>
  <c r="CE17" i="3"/>
  <c r="CO17" i="3"/>
  <c r="DB36" i="2"/>
  <c r="CY36" i="2"/>
  <c r="CF17" i="3"/>
  <c r="CF23" i="2" l="1"/>
  <c r="DE23" i="2"/>
  <c r="CT17" i="3"/>
  <c r="CM17" i="3"/>
  <c r="CK17" i="3"/>
  <c r="CR17" i="3" s="1"/>
  <c r="CL17" i="3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K36" i="2"/>
  <c r="CN36" i="2"/>
  <c r="CM36" i="2"/>
  <c r="DH36" i="2" l="1"/>
  <c r="CG36" i="2"/>
  <c r="CI36" i="2"/>
  <c r="CH36" i="2"/>
  <c r="DI36" i="2" l="1"/>
  <c r="CL36" i="2"/>
  <c r="CJ36" i="2"/>
  <c r="CX8" i="2"/>
  <c r="DA8" i="2"/>
  <c r="CE36" i="2"/>
  <c r="DD8" i="2"/>
  <c r="CZ8" i="2"/>
  <c r="CY8" i="2"/>
  <c r="DC8" i="2"/>
  <c r="DB8" i="2"/>
  <c r="CF36" i="2" l="1"/>
  <c r="DE36" i="2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K8" i="2"/>
  <c r="CN8" i="2"/>
  <c r="CM8" i="2"/>
  <c r="DH8" i="2" l="1"/>
  <c r="CH8" i="2"/>
  <c r="CG8" i="2"/>
  <c r="CI8" i="2"/>
  <c r="DI8" i="2" l="1"/>
  <c r="CL8" i="2"/>
  <c r="CJ8" i="2"/>
  <c r="CX31" i="2"/>
  <c r="DB31" i="2"/>
  <c r="CY31" i="2"/>
  <c r="CJ23" i="3"/>
  <c r="CI23" i="3"/>
  <c r="DC31" i="2"/>
  <c r="CE8" i="2"/>
  <c r="CN23" i="3"/>
  <c r="CE23" i="3"/>
  <c r="DA31" i="2"/>
  <c r="CF23" i="3"/>
  <c r="CP23" i="3"/>
  <c r="CU23" i="3"/>
  <c r="CG23" i="3"/>
  <c r="CZ31" i="2"/>
  <c r="DD31" i="2"/>
  <c r="CH23" i="3"/>
  <c r="CQ23" i="3"/>
  <c r="CO23" i="3"/>
  <c r="CF8" i="2" l="1"/>
  <c r="DE8" i="2"/>
  <c r="CT23" i="3"/>
  <c r="CM23" i="3"/>
  <c r="CK23" i="3"/>
  <c r="CR23" i="3" s="1"/>
  <c r="CL23" i="3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K31" i="2"/>
  <c r="CN31" i="2"/>
  <c r="CM31" i="2"/>
  <c r="DH31" i="2" l="1"/>
  <c r="CH31" i="2"/>
  <c r="CG31" i="2"/>
  <c r="CI31" i="2"/>
  <c r="DI31" i="2" l="1"/>
  <c r="CL31" i="2"/>
  <c r="CJ31" i="2"/>
  <c r="CX32" i="2"/>
  <c r="CP25" i="3"/>
  <c r="CU25" i="3"/>
  <c r="CF7" i="3"/>
  <c r="CI25" i="3"/>
  <c r="CE25" i="3"/>
  <c r="CQ7" i="3"/>
  <c r="CE7" i="3"/>
  <c r="CQ25" i="3"/>
  <c r="CI7" i="3"/>
  <c r="CF25" i="3"/>
  <c r="CH25" i="3"/>
  <c r="CY32" i="2"/>
  <c r="CN7" i="3"/>
  <c r="DC32" i="2"/>
  <c r="CO25" i="3"/>
  <c r="CE31" i="2"/>
  <c r="CO7" i="3"/>
  <c r="DD32" i="2"/>
  <c r="CN25" i="3"/>
  <c r="DA32" i="2"/>
  <c r="CH7" i="3"/>
  <c r="CZ32" i="2"/>
  <c r="CJ7" i="3"/>
  <c r="DB32" i="2"/>
  <c r="CP7" i="3"/>
  <c r="CJ25" i="3"/>
  <c r="CG25" i="3"/>
  <c r="CU7" i="3"/>
  <c r="CG7" i="3"/>
  <c r="CF31" i="2" l="1"/>
  <c r="DE31" i="2"/>
  <c r="CT7" i="3"/>
  <c r="CM7" i="3"/>
  <c r="CK7" i="3"/>
  <c r="CR7" i="3" s="1"/>
  <c r="CL7" i="3"/>
  <c r="CT25" i="3"/>
  <c r="CM25" i="3"/>
  <c r="CK25" i="3"/>
  <c r="CR25" i="3" s="1"/>
  <c r="CL25" i="3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M32" i="2"/>
  <c r="CK32" i="2"/>
  <c r="CN32" i="2"/>
  <c r="DH32" i="2" l="1"/>
  <c r="CG32" i="2"/>
  <c r="CI32" i="2"/>
  <c r="CH32" i="2"/>
  <c r="DI32" i="2" l="1"/>
  <c r="CL32" i="2"/>
  <c r="CJ32" i="2"/>
  <c r="CX27" i="2"/>
  <c r="DA27" i="2"/>
  <c r="DC27" i="2"/>
  <c r="CE32" i="2"/>
  <c r="DD27" i="2"/>
  <c r="DB27" i="2"/>
  <c r="CZ27" i="2"/>
  <c r="CY27" i="2"/>
  <c r="CF32" i="2" l="1"/>
  <c r="DE32" i="2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M27" i="2"/>
  <c r="CK27" i="2"/>
  <c r="DH27" i="2" l="1"/>
  <c r="CG27" i="2"/>
  <c r="CH27" i="2"/>
  <c r="CI27" i="2"/>
  <c r="DI27" i="2" l="1"/>
  <c r="CL27" i="2"/>
  <c r="CJ27" i="2"/>
  <c r="CE27" i="2"/>
  <c r="CU20" i="3"/>
  <c r="CF27" i="2" l="1"/>
  <c r="DE27" i="2"/>
  <c r="CN20" i="3"/>
  <c r="CE20" i="3"/>
  <c r="CO20" i="3"/>
  <c r="CI20" i="3"/>
  <c r="CH20" i="3"/>
  <c r="CF20" i="3"/>
  <c r="CP20" i="3"/>
  <c r="CG20" i="3"/>
  <c r="CQ20" i="3"/>
  <c r="CJ20" i="3"/>
  <c r="CT20" i="3" l="1"/>
  <c r="CM20" i="3"/>
  <c r="CK20" i="3"/>
  <c r="CR20" i="3" s="1"/>
  <c r="CL20" i="3"/>
  <c r="J2" i="17" a="1"/>
  <c r="J2" i="17" s="1"/>
  <c r="K2" i="17" l="1"/>
  <c r="CI33" i="3"/>
  <c r="CU32" i="3"/>
  <c r="CP33" i="3"/>
  <c r="CJ33" i="3"/>
  <c r="CE33" i="3"/>
  <c r="CU33" i="3"/>
  <c r="CH33" i="3"/>
  <c r="CG33" i="3"/>
  <c r="CF33" i="3"/>
  <c r="CQ33" i="3"/>
  <c r="CO33" i="3"/>
  <c r="CN33" i="3"/>
  <c r="CT33" i="3" l="1"/>
  <c r="CM33" i="3"/>
  <c r="CK33" i="3"/>
  <c r="CR33" i="3" s="1"/>
  <c r="CL33" i="3"/>
  <c r="CI32" i="3"/>
  <c r="CN32" i="3"/>
  <c r="CH32" i="3"/>
  <c r="CF32" i="3"/>
  <c r="CO32" i="3"/>
  <c r="CG32" i="3"/>
  <c r="CJ32" i="3"/>
  <c r="CE32" i="3"/>
  <c r="CP32" i="3"/>
  <c r="CQ32" i="3"/>
  <c r="CU31" i="3"/>
  <c r="CT32" i="3" l="1"/>
  <c r="CM32" i="3"/>
  <c r="CK32" i="3"/>
  <c r="CR32" i="3" s="1"/>
  <c r="CL32" i="3"/>
  <c r="CH31" i="3"/>
  <c r="CG31" i="3"/>
  <c r="CQ31" i="3"/>
  <c r="CO31" i="3"/>
  <c r="CP31" i="3"/>
  <c r="CF31" i="3"/>
  <c r="CE31" i="3"/>
  <c r="CU29" i="3"/>
  <c r="CI31" i="3"/>
  <c r="CN31" i="3"/>
  <c r="CJ31" i="3"/>
  <c r="CT31" i="3" l="1"/>
  <c r="CM31" i="3"/>
  <c r="CK31" i="3"/>
  <c r="CR31" i="3" s="1"/>
  <c r="CL31" i="3"/>
  <c r="CN29" i="3"/>
  <c r="CP29" i="3"/>
  <c r="CH29" i="3"/>
  <c r="CE29" i="3"/>
  <c r="CG29" i="3"/>
  <c r="CU28" i="3"/>
  <c r="CI29" i="3"/>
  <c r="CO29" i="3"/>
  <c r="CQ29" i="3"/>
  <c r="CF29" i="3"/>
  <c r="CJ29" i="3"/>
  <c r="CT29" i="3" l="1"/>
  <c r="CM29" i="3"/>
  <c r="CK29" i="3"/>
  <c r="CR29" i="3" s="1"/>
  <c r="CL29" i="3"/>
  <c r="CI28" i="3"/>
  <c r="CU27" i="3"/>
  <c r="CH28" i="3"/>
  <c r="CJ28" i="3"/>
  <c r="CQ28" i="3"/>
  <c r="CE28" i="3"/>
  <c r="CP28" i="3"/>
  <c r="CN28" i="3"/>
  <c r="CO28" i="3"/>
  <c r="CG28" i="3"/>
  <c r="CF28" i="3"/>
  <c r="CT28" i="3" l="1"/>
  <c r="CM28" i="3"/>
  <c r="CK28" i="3"/>
  <c r="CR28" i="3" s="1"/>
  <c r="CL28" i="3"/>
  <c r="CF27" i="3"/>
  <c r="CQ27" i="3"/>
  <c r="CE27" i="3"/>
  <c r="CG27" i="3"/>
  <c r="CI27" i="3"/>
  <c r="CJ27" i="3"/>
  <c r="CU26" i="3"/>
  <c r="CO27" i="3"/>
  <c r="CH27" i="3"/>
  <c r="CP27" i="3"/>
  <c r="CN27" i="3"/>
  <c r="CT27" i="3" l="1"/>
  <c r="CM27" i="3"/>
  <c r="CK27" i="3"/>
  <c r="CR27" i="3" s="1"/>
  <c r="CL27" i="3"/>
  <c r="CQ26" i="3"/>
  <c r="CP26" i="3"/>
  <c r="CF26" i="3"/>
  <c r="CN26" i="3"/>
  <c r="CH26" i="3"/>
  <c r="CI26" i="3"/>
  <c r="CE26" i="3"/>
  <c r="CJ26" i="3"/>
  <c r="CO26" i="3"/>
  <c r="CG26" i="3"/>
  <c r="CT26" i="3" l="1"/>
  <c r="CM26" i="3"/>
  <c r="CK26" i="3"/>
  <c r="CR26" i="3" s="1"/>
  <c r="CL26" i="3"/>
  <c r="CO22" i="3"/>
  <c r="CJ22" i="3"/>
  <c r="CE22" i="3"/>
  <c r="CU22" i="3"/>
  <c r="CI22" i="3"/>
  <c r="CN22" i="3"/>
  <c r="CU21" i="3"/>
  <c r="CQ22" i="3"/>
  <c r="CH22" i="3"/>
  <c r="CG22" i="3"/>
  <c r="CF22" i="3"/>
  <c r="CP22" i="3"/>
  <c r="CT22" i="3" l="1"/>
  <c r="CM22" i="3"/>
  <c r="CK22" i="3"/>
  <c r="CR22" i="3" s="1"/>
  <c r="CL22" i="3"/>
  <c r="CE21" i="3"/>
  <c r="CQ21" i="3"/>
  <c r="CN21" i="3"/>
  <c r="CP21" i="3"/>
  <c r="CG21" i="3"/>
  <c r="CF21" i="3"/>
  <c r="CI21" i="3"/>
  <c r="CO21" i="3"/>
  <c r="CU19" i="3"/>
  <c r="CJ21" i="3"/>
  <c r="CH21" i="3"/>
  <c r="CT21" i="3" l="1"/>
  <c r="CM21" i="3"/>
  <c r="CL21" i="3"/>
  <c r="CK21" i="3"/>
  <c r="CR21" i="3" s="1"/>
  <c r="CH19" i="3"/>
  <c r="CI19" i="3"/>
  <c r="CE19" i="3"/>
  <c r="CJ19" i="3"/>
  <c r="CN19" i="3"/>
  <c r="CO19" i="3"/>
  <c r="CU18" i="3"/>
  <c r="CQ19" i="3"/>
  <c r="CG19" i="3"/>
  <c r="CF19" i="3"/>
  <c r="CP19" i="3"/>
  <c r="CT19" i="3" l="1"/>
  <c r="CM19" i="3"/>
  <c r="CK19" i="3"/>
  <c r="CR19" i="3" s="1"/>
  <c r="CL19" i="3"/>
  <c r="CP18" i="3"/>
  <c r="CJ18" i="3"/>
  <c r="CE18" i="3"/>
  <c r="CO18" i="3"/>
  <c r="CI18" i="3"/>
  <c r="CG18" i="3"/>
  <c r="CH18" i="3"/>
  <c r="CQ18" i="3"/>
  <c r="CF18" i="3"/>
  <c r="CN18" i="3"/>
  <c r="CT18" i="3" l="1"/>
  <c r="CM18" i="3"/>
  <c r="CK18" i="3"/>
  <c r="CR18" i="3" s="1"/>
  <c r="CL18" i="3"/>
  <c r="CP16" i="3"/>
  <c r="CH16" i="3"/>
  <c r="CI16" i="3"/>
  <c r="CU16" i="3"/>
  <c r="CJ16" i="3"/>
  <c r="CN16" i="3"/>
  <c r="CU15" i="3"/>
  <c r="CQ16" i="3"/>
  <c r="CG16" i="3"/>
  <c r="CO16" i="3"/>
  <c r="CE16" i="3"/>
  <c r="CF16" i="3"/>
  <c r="CT16" i="3" l="1"/>
  <c r="CM16" i="3"/>
  <c r="CK16" i="3"/>
  <c r="CR16" i="3" s="1"/>
  <c r="CL16" i="3"/>
  <c r="CE15" i="3"/>
  <c r="CI15" i="3"/>
  <c r="CO15" i="3"/>
  <c r="CF15" i="3"/>
  <c r="CJ15" i="3"/>
  <c r="CN15" i="3"/>
  <c r="CQ15" i="3"/>
  <c r="CG15" i="3"/>
  <c r="CP15" i="3"/>
  <c r="CH15" i="3"/>
  <c r="CU14" i="3"/>
  <c r="CT15" i="3" l="1"/>
  <c r="CM15" i="3"/>
  <c r="CR15" i="3"/>
  <c r="CK15" i="3"/>
  <c r="CL15" i="3"/>
  <c r="CH14" i="3"/>
  <c r="CE14" i="3"/>
  <c r="CG14" i="3"/>
  <c r="CI14" i="3"/>
  <c r="CJ14" i="3"/>
  <c r="CQ14" i="3"/>
  <c r="CP14" i="3"/>
  <c r="CF14" i="3"/>
  <c r="CO14" i="3"/>
  <c r="CN14" i="3"/>
  <c r="CT14" i="3" l="1"/>
  <c r="CM14" i="3"/>
  <c r="CK14" i="3"/>
  <c r="CR14" i="3" s="1"/>
  <c r="CL14" i="3"/>
  <c r="CO13" i="3"/>
  <c r="CU13" i="3"/>
  <c r="CQ13" i="3"/>
  <c r="CP13" i="3"/>
  <c r="CI13" i="3"/>
  <c r="CU12" i="3"/>
  <c r="CG13" i="3"/>
  <c r="CE13" i="3"/>
  <c r="CN13" i="3"/>
  <c r="CJ13" i="3"/>
  <c r="CH13" i="3"/>
  <c r="CF13" i="3"/>
  <c r="CT13" i="3" l="1"/>
  <c r="CM13" i="3"/>
  <c r="CK13" i="3"/>
  <c r="CR13" i="3" s="1"/>
  <c r="CL13" i="3"/>
  <c r="CE12" i="3"/>
  <c r="CP12" i="3"/>
  <c r="CQ12" i="3"/>
  <c r="CF12" i="3"/>
  <c r="CJ12" i="3"/>
  <c r="CO12" i="3"/>
  <c r="CU11" i="3"/>
  <c r="CI12" i="3"/>
  <c r="CG12" i="3"/>
  <c r="CN12" i="3"/>
  <c r="CH12" i="3"/>
  <c r="CT12" i="3" l="1"/>
  <c r="CM12" i="3"/>
  <c r="CK12" i="3"/>
  <c r="CR12" i="3" s="1"/>
  <c r="CL12" i="3"/>
  <c r="CG11" i="3"/>
  <c r="CH11" i="3"/>
  <c r="CI11" i="3"/>
  <c r="CN11" i="3"/>
  <c r="CP11" i="3"/>
  <c r="CQ11" i="3"/>
  <c r="CF11" i="3"/>
  <c r="CO11" i="3"/>
  <c r="CJ11" i="3"/>
  <c r="CE11" i="3"/>
  <c r="CT11" i="3" l="1"/>
  <c r="CM11" i="3"/>
  <c r="CK11" i="3"/>
  <c r="CR11" i="3" s="1"/>
  <c r="CL11" i="3"/>
  <c r="CP9" i="3"/>
  <c r="CJ9" i="3"/>
  <c r="CU9" i="3"/>
  <c r="CU8" i="3"/>
  <c r="CI9" i="3"/>
  <c r="CO9" i="3"/>
  <c r="CN9" i="3"/>
  <c r="CQ9" i="3"/>
  <c r="CG9" i="3"/>
  <c r="CE9" i="3"/>
  <c r="CH9" i="3"/>
  <c r="CF9" i="3"/>
  <c r="CT9" i="3" l="1"/>
  <c r="CM9" i="3"/>
  <c r="CK9" i="3"/>
  <c r="CR9" i="3" s="1"/>
  <c r="CL9" i="3"/>
  <c r="CH8" i="3"/>
  <c r="CE8" i="3"/>
  <c r="CI8" i="3"/>
  <c r="CJ8" i="3"/>
  <c r="CG8" i="3"/>
  <c r="CQ8" i="3"/>
  <c r="CF8" i="3"/>
  <c r="CO8" i="3"/>
  <c r="CN8" i="3"/>
  <c r="CU6" i="3"/>
  <c r="CP8" i="3"/>
  <c r="CT8" i="3" l="1"/>
  <c r="CM8" i="3"/>
  <c r="CK8" i="3"/>
  <c r="CR8" i="3" s="1"/>
  <c r="CL8" i="3"/>
  <c r="CE6" i="3"/>
  <c r="CP6" i="3"/>
  <c r="CH6" i="3"/>
  <c r="CQ6" i="3"/>
  <c r="CO6" i="3"/>
  <c r="CJ6" i="3"/>
  <c r="CF6" i="3"/>
  <c r="CG6" i="3"/>
  <c r="CI6" i="3"/>
  <c r="CN6" i="3"/>
  <c r="CT6" i="3" l="1"/>
  <c r="CM6" i="3"/>
  <c r="CK6" i="3"/>
  <c r="CR6" i="3" s="1"/>
  <c r="CL6" i="3"/>
  <c r="CY44" i="2"/>
  <c r="CX44" i="2"/>
  <c r="DA44" i="2"/>
  <c r="DD44" i="2"/>
  <c r="DB44" i="2"/>
  <c r="CZ44" i="2"/>
  <c r="DC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K44" i="2"/>
  <c r="CN44" i="2"/>
  <c r="CM44" i="2"/>
  <c r="DH44" i="2" l="1"/>
  <c r="CH44" i="2"/>
  <c r="CI44" i="2"/>
  <c r="CG44" i="2"/>
  <c r="DI44" i="2" l="1"/>
  <c r="CL44" i="2"/>
  <c r="CJ44" i="2"/>
  <c r="CE44" i="2"/>
  <c r="CF44" i="2" l="1"/>
  <c r="DE44" i="2"/>
  <c r="DC43" i="2"/>
  <c r="CX43" i="2"/>
  <c r="DB43" i="2"/>
  <c r="DA43" i="2"/>
  <c r="CY43" i="2"/>
  <c r="DD43" i="2"/>
  <c r="CZ43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Q43" i="2"/>
  <c r="CP43" i="2" l="1" a="1"/>
  <c r="CP43" i="2" s="1"/>
  <c r="CO43" i="2" a="1"/>
  <c r="CO43" i="2" s="1"/>
  <c r="CM43" i="2"/>
  <c r="CK43" i="2"/>
  <c r="CN43" i="2"/>
  <c r="DH43" i="2" l="1"/>
  <c r="CI43" i="2"/>
  <c r="CH43" i="2"/>
  <c r="CG43" i="2"/>
  <c r="DI43" i="2" l="1"/>
  <c r="CL43" i="2"/>
  <c r="CJ43" i="2"/>
  <c r="CE43" i="2"/>
  <c r="CF43" i="2" l="1"/>
  <c r="DE43" i="2"/>
  <c r="CZ42" i="2"/>
  <c r="CY42" i="2"/>
  <c r="DC42" i="2"/>
  <c r="DD42" i="2"/>
  <c r="DB42" i="2"/>
  <c r="CX42" i="2"/>
  <c r="DA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K42" i="2"/>
  <c r="CM42" i="2"/>
  <c r="DH42" i="2" l="1"/>
  <c r="CG42" i="2"/>
  <c r="CI42" i="2"/>
  <c r="CH42" i="2"/>
  <c r="DI42" i="2" l="1"/>
  <c r="CL42" i="2"/>
  <c r="CJ42" i="2"/>
  <c r="CE42" i="2"/>
  <c r="CF42" i="2" l="1"/>
  <c r="DE42" i="2"/>
  <c r="DA41" i="2"/>
  <c r="CZ41" i="2"/>
  <c r="DD41" i="2"/>
  <c r="DB41" i="2"/>
  <c r="CX41" i="2"/>
  <c r="CY41" i="2"/>
  <c r="DC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K41" i="2"/>
  <c r="CM41" i="2"/>
  <c r="CN41" i="2"/>
  <c r="DH41" i="2" l="1"/>
  <c r="CI41" i="2"/>
  <c r="CH41" i="2"/>
  <c r="CG41" i="2"/>
  <c r="DI41" i="2" l="1"/>
  <c r="CL41" i="2"/>
  <c r="CJ41" i="2"/>
  <c r="CE41" i="2"/>
  <c r="CF41" i="2" l="1"/>
  <c r="DE41" i="2"/>
  <c r="CZ40" i="2"/>
  <c r="CY40" i="2"/>
  <c r="DC40" i="2"/>
  <c r="CX40" i="2"/>
  <c r="DD40" i="2"/>
  <c r="DB40" i="2"/>
  <c r="DA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M40" i="2"/>
  <c r="CK40" i="2"/>
  <c r="CN40" i="2"/>
  <c r="DH40" i="2" l="1"/>
  <c r="CH40" i="2"/>
  <c r="CG40" i="2"/>
  <c r="CI40" i="2"/>
  <c r="DI40" i="2" l="1"/>
  <c r="CL40" i="2"/>
  <c r="CJ40" i="2"/>
  <c r="CE40" i="2"/>
  <c r="CF40" i="2" l="1"/>
  <c r="DE40" i="2"/>
  <c r="DC37" i="2"/>
  <c r="CX37" i="2"/>
  <c r="DB37" i="2"/>
  <c r="CY37" i="2"/>
  <c r="CZ37" i="2"/>
  <c r="DA37" i="2"/>
  <c r="DD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K37" i="2"/>
  <c r="CM37" i="2"/>
  <c r="CN37" i="2"/>
  <c r="DH37" i="2" l="1"/>
  <c r="CI37" i="2"/>
  <c r="CG37" i="2"/>
  <c r="CH37" i="2"/>
  <c r="DI37" i="2" l="1"/>
  <c r="CL37" i="2"/>
  <c r="CJ37" i="2"/>
  <c r="CE37" i="2"/>
  <c r="CF37" i="2" l="1"/>
  <c r="DE37" i="2"/>
  <c r="DB35" i="2"/>
  <c r="DA35" i="2"/>
  <c r="CZ35" i="2"/>
  <c r="DD35" i="2"/>
  <c r="DC35" i="2"/>
  <c r="CY35" i="2"/>
  <c r="CX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K35" i="2"/>
  <c r="CM35" i="2"/>
  <c r="CN35" i="2"/>
  <c r="DH35" i="2" l="1"/>
  <c r="CI35" i="2"/>
  <c r="CG35" i="2"/>
  <c r="CH35" i="2"/>
  <c r="DI35" i="2" l="1"/>
  <c r="CL35" i="2"/>
  <c r="CJ35" i="2"/>
  <c r="CE35" i="2"/>
  <c r="CF35" i="2" l="1"/>
  <c r="DE35" i="2"/>
  <c r="DC34" i="2"/>
  <c r="CX34" i="2"/>
  <c r="DB34" i="2"/>
  <c r="CY34" i="2"/>
  <c r="CZ34" i="2"/>
  <c r="DA34" i="2"/>
  <c r="DD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M34" i="2"/>
  <c r="CN34" i="2"/>
  <c r="DH34" i="2" l="1"/>
  <c r="CH34" i="2"/>
  <c r="CG34" i="2"/>
  <c r="CI34" i="2"/>
  <c r="DI34" i="2" l="1"/>
  <c r="CL34" i="2"/>
  <c r="CJ34" i="2"/>
  <c r="CE34" i="2"/>
  <c r="CF34" i="2" l="1"/>
  <c r="DE34" i="2"/>
  <c r="DC33" i="2"/>
  <c r="CX33" i="2"/>
  <c r="DB33" i="2"/>
  <c r="DA33" i="2"/>
  <c r="CZ33" i="2"/>
  <c r="CY33" i="2"/>
  <c r="DD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M33" i="2"/>
  <c r="CN33" i="2"/>
  <c r="CK33" i="2"/>
  <c r="DH33" i="2" l="1"/>
  <c r="CI33" i="2"/>
  <c r="CH33" i="2"/>
  <c r="CG33" i="2"/>
  <c r="DI33" i="2" l="1"/>
  <c r="CL33" i="2"/>
  <c r="CJ33" i="2"/>
  <c r="CE33" i="2"/>
  <c r="CF33" i="2" l="1"/>
  <c r="DE33" i="2"/>
  <c r="DC29" i="2"/>
  <c r="CX29" i="2"/>
  <c r="DB29" i="2"/>
  <c r="CZ29" i="2"/>
  <c r="DA29" i="2"/>
  <c r="CY29" i="2"/>
  <c r="DD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K29" i="2"/>
  <c r="CN29" i="2"/>
  <c r="CM29" i="2"/>
  <c r="DH29" i="2" l="1"/>
  <c r="CI29" i="2"/>
  <c r="CH29" i="2"/>
  <c r="CG29" i="2"/>
  <c r="DI29" i="2" l="1"/>
  <c r="CL29" i="2"/>
  <c r="CJ29" i="2"/>
  <c r="CE29" i="2"/>
  <c r="CF29" i="2" l="1"/>
  <c r="DE29" i="2"/>
  <c r="DC28" i="2"/>
  <c r="CX28" i="2"/>
  <c r="DB28" i="2"/>
  <c r="DA28" i="2"/>
  <c r="CY28" i="2"/>
  <c r="DD28" i="2"/>
  <c r="CZ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M28" i="2"/>
  <c r="CN28" i="2"/>
  <c r="CK28" i="2"/>
  <c r="DH28" i="2" l="1"/>
  <c r="CG28" i="2"/>
  <c r="CH28" i="2"/>
  <c r="CI28" i="2"/>
  <c r="DI28" i="2" l="1"/>
  <c r="CL28" i="2"/>
  <c r="CJ28" i="2"/>
  <c r="CE28" i="2"/>
  <c r="CF28" i="2" l="1"/>
  <c r="DE28" i="2"/>
  <c r="DC26" i="2"/>
  <c r="CX26" i="2"/>
  <c r="DB26" i="2"/>
  <c r="DD26" i="2"/>
  <c r="CZ26" i="2"/>
  <c r="DA26" i="2"/>
  <c r="CY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M26" i="2"/>
  <c r="CN26" i="2"/>
  <c r="CK26" i="2"/>
  <c r="DH26" i="2" l="1"/>
  <c r="CI26" i="2"/>
  <c r="CG26" i="2"/>
  <c r="CH26" i="2"/>
  <c r="DI26" i="2" l="1"/>
  <c r="CL26" i="2"/>
  <c r="CJ26" i="2"/>
  <c r="CE26" i="2"/>
  <c r="CF26" i="2" l="1"/>
  <c r="DE26" i="2"/>
  <c r="DC25" i="2"/>
  <c r="CX25" i="2"/>
  <c r="DB25" i="2"/>
  <c r="CY25" i="2"/>
  <c r="DD25" i="2"/>
  <c r="DA25" i="2"/>
  <c r="CZ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K25" i="2"/>
  <c r="CM25" i="2"/>
  <c r="CN25" i="2"/>
  <c r="DH25" i="2" l="1"/>
  <c r="CH25" i="2"/>
  <c r="CI25" i="2"/>
  <c r="CG25" i="2"/>
  <c r="DI25" i="2" l="1"/>
  <c r="CL25" i="2"/>
  <c r="CJ25" i="2"/>
  <c r="CE25" i="2"/>
  <c r="CF25" i="2" l="1"/>
  <c r="DE25" i="2"/>
  <c r="DC22" i="2"/>
  <c r="CX22" i="2"/>
  <c r="DB22" i="2"/>
  <c r="DA22" i="2"/>
  <c r="CY22" i="2"/>
  <c r="CZ22" i="2"/>
  <c r="DD22" i="2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Q22" i="2"/>
  <c r="CP22" i="2" l="1" a="1"/>
  <c r="CP22" i="2" s="1"/>
  <c r="CO22" i="2" a="1"/>
  <c r="CO22" i="2" s="1"/>
  <c r="CK22" i="2"/>
  <c r="CM22" i="2"/>
  <c r="CN22" i="2"/>
  <c r="DH22" i="2" l="1"/>
  <c r="CI22" i="2"/>
  <c r="CH22" i="2"/>
  <c r="CG22" i="2"/>
  <c r="DI22" i="2" l="1"/>
  <c r="CL22" i="2"/>
  <c r="CJ22" i="2"/>
  <c r="CE22" i="2"/>
  <c r="CF22" i="2" l="1"/>
  <c r="DE22" i="2"/>
  <c r="DC21" i="2"/>
  <c r="CX21" i="2"/>
  <c r="DB21" i="2"/>
  <c r="CY21" i="2"/>
  <c r="DA21" i="2"/>
  <c r="DD21" i="2"/>
  <c r="CZ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K21" i="2"/>
  <c r="CM21" i="2"/>
  <c r="CN21" i="2"/>
  <c r="DH21" i="2" l="1"/>
  <c r="CI21" i="2"/>
  <c r="CG21" i="2"/>
  <c r="CH21" i="2"/>
  <c r="DI21" i="2" l="1"/>
  <c r="CL21" i="2"/>
  <c r="CJ21" i="2"/>
  <c r="CE21" i="2"/>
  <c r="CF21" i="2" l="1"/>
  <c r="DE21" i="2"/>
  <c r="DC20" i="2"/>
  <c r="CX20" i="2"/>
  <c r="DB20" i="2"/>
  <c r="CY20" i="2"/>
  <c r="DD20" i="2"/>
  <c r="DA20" i="2"/>
  <c r="CZ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K20" i="2"/>
  <c r="CM20" i="2"/>
  <c r="CN20" i="2"/>
  <c r="DH20" i="2" l="1"/>
  <c r="CG20" i="2"/>
  <c r="CH20" i="2"/>
  <c r="CI20" i="2"/>
  <c r="DI20" i="2" l="1"/>
  <c r="CL20" i="2"/>
  <c r="CJ20" i="2"/>
  <c r="CE20" i="2"/>
  <c r="CF20" i="2" l="1"/>
  <c r="DE20" i="2"/>
  <c r="DD19" i="2"/>
  <c r="CY19" i="2"/>
  <c r="DC19" i="2"/>
  <c r="CZ19" i="2"/>
  <c r="DB19" i="2"/>
  <c r="CX19" i="2"/>
  <c r="DA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K19" i="2"/>
  <c r="CM19" i="2"/>
  <c r="CN19" i="2"/>
  <c r="DH19" i="2" l="1"/>
  <c r="CI19" i="2"/>
  <c r="CG19" i="2"/>
  <c r="CH19" i="2"/>
  <c r="DI19" i="2" l="1"/>
  <c r="CL19" i="2"/>
  <c r="CJ19" i="2"/>
  <c r="CE19" i="2"/>
  <c r="CF19" i="2" l="1"/>
  <c r="DE19" i="2"/>
  <c r="DD18" i="2"/>
  <c r="CY18" i="2"/>
  <c r="DC18" i="2"/>
  <c r="CZ18" i="2"/>
  <c r="DB18" i="2"/>
  <c r="CX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N18" i="2"/>
  <c r="CM18" i="2"/>
  <c r="DH18" i="2" l="1"/>
  <c r="CH18" i="2"/>
  <c r="CI18" i="2"/>
  <c r="CG18" i="2"/>
  <c r="DI18" i="2" l="1"/>
  <c r="CL18" i="2"/>
  <c r="CJ18" i="2"/>
  <c r="CE18" i="2"/>
  <c r="CF18" i="2" l="1"/>
  <c r="DE18" i="2"/>
  <c r="CZ17" i="2"/>
  <c r="DD17" i="2"/>
  <c r="DC17" i="2"/>
  <c r="CX17" i="2"/>
  <c r="DB17" i="2"/>
  <c r="DA17" i="2"/>
  <c r="CY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K17" i="2"/>
  <c r="CN17" i="2"/>
  <c r="CM17" i="2"/>
  <c r="DH17" i="2" l="1"/>
  <c r="CG17" i="2"/>
  <c r="CH17" i="2"/>
  <c r="CI17" i="2"/>
  <c r="DI17" i="2" l="1"/>
  <c r="CL17" i="2"/>
  <c r="CJ17" i="2"/>
  <c r="CE17" i="2"/>
  <c r="CF17" i="2" l="1"/>
  <c r="DE17" i="2"/>
  <c r="DC16" i="2"/>
  <c r="CX16" i="2"/>
  <c r="DB16" i="2"/>
  <c r="DA16" i="2"/>
  <c r="CY16" i="2"/>
  <c r="DD16" i="2"/>
  <c r="CZ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K16" i="2"/>
  <c r="CN16" i="2"/>
  <c r="CM16" i="2"/>
  <c r="DH16" i="2" l="1"/>
  <c r="CH16" i="2"/>
  <c r="CG16" i="2"/>
  <c r="CI16" i="2"/>
  <c r="DI16" i="2" l="1"/>
  <c r="CL16" i="2"/>
  <c r="CJ16" i="2"/>
  <c r="CE16" i="2"/>
  <c r="CF16" i="2" l="1"/>
  <c r="DE16" i="2"/>
  <c r="DC15" i="2"/>
  <c r="CX15" i="2"/>
  <c r="DB15" i="2"/>
  <c r="CY15" i="2"/>
  <c r="CZ15" i="2"/>
  <c r="DA15" i="2"/>
  <c r="DD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K15" i="2"/>
  <c r="CM15" i="2"/>
  <c r="CN15" i="2"/>
  <c r="DH15" i="2" l="1"/>
  <c r="CI15" i="2"/>
  <c r="CG15" i="2"/>
  <c r="CH15" i="2"/>
  <c r="DI15" i="2" l="1"/>
  <c r="CL15" i="2"/>
  <c r="CJ15" i="2"/>
  <c r="CE15" i="2"/>
  <c r="CF15" i="2" l="1"/>
  <c r="DE15" i="2"/>
  <c r="DC14" i="2"/>
  <c r="CX14" i="2"/>
  <c r="DB14" i="2"/>
  <c r="DA14" i="2"/>
  <c r="CY14" i="2"/>
  <c r="CZ14" i="2"/>
  <c r="DD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M14" i="2"/>
  <c r="CN14" i="2"/>
  <c r="CK14" i="2"/>
  <c r="DH14" i="2" l="1"/>
  <c r="CH14" i="2"/>
  <c r="CI14" i="2"/>
  <c r="CG14" i="2"/>
  <c r="DI14" i="2" l="1"/>
  <c r="CL14" i="2"/>
  <c r="CJ14" i="2"/>
  <c r="CE14" i="2"/>
  <c r="CF14" i="2" l="1"/>
  <c r="DE14" i="2"/>
  <c r="DB13" i="2"/>
  <c r="DA13" i="2"/>
  <c r="DD13" i="2"/>
  <c r="CX13" i="2"/>
  <c r="CZ13" i="2"/>
  <c r="CY13" i="2"/>
  <c r="DC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M13" i="2"/>
  <c r="CN13" i="2"/>
  <c r="CK13" i="2"/>
  <c r="DH13" i="2" l="1"/>
  <c r="CI13" i="2"/>
  <c r="CG13" i="2"/>
  <c r="CH13" i="2"/>
  <c r="DI13" i="2" l="1"/>
  <c r="CL13" i="2"/>
  <c r="CJ13" i="2"/>
  <c r="CE13" i="2"/>
  <c r="CF13" i="2" l="1"/>
  <c r="DE13" i="2"/>
  <c r="DC11" i="2"/>
  <c r="CX11" i="2"/>
  <c r="DB11" i="2"/>
  <c r="CY11" i="2"/>
  <c r="DA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K11" i="2"/>
  <c r="CM11" i="2"/>
  <c r="CN11" i="2"/>
  <c r="DH11" i="2" l="1"/>
  <c r="CH11" i="2"/>
  <c r="CI11" i="2"/>
  <c r="CG11" i="2"/>
  <c r="DI11" i="2" l="1"/>
  <c r="CL11" i="2"/>
  <c r="CJ11" i="2"/>
  <c r="CE11" i="2"/>
  <c r="CF11" i="2" l="1"/>
  <c r="DE11" i="2"/>
  <c r="CZ10" i="2"/>
  <c r="CY10" i="2"/>
  <c r="DC10" i="2"/>
  <c r="DD10" i="2"/>
  <c r="DB10" i="2"/>
  <c r="CX10" i="2"/>
  <c r="DA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K10" i="2"/>
  <c r="CN10" i="2"/>
  <c r="DH10" i="2" l="1"/>
  <c r="CG10" i="2"/>
  <c r="CI10" i="2"/>
  <c r="CH10" i="2"/>
  <c r="DI10" i="2" l="1"/>
  <c r="CL10" i="2"/>
  <c r="CJ10" i="2"/>
  <c r="CE10" i="2"/>
  <c r="CF10" i="2" l="1"/>
  <c r="DE10" i="2"/>
  <c r="DC9" i="2"/>
  <c r="CX9" i="2"/>
  <c r="DA9" i="2"/>
  <c r="DD9" i="2"/>
  <c r="CZ9" i="2"/>
  <c r="DB9" i="2"/>
  <c r="CY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M9" i="2"/>
  <c r="CK9" i="2"/>
  <c r="DH9" i="2" l="1"/>
  <c r="CG9" i="2"/>
  <c r="CI9" i="2"/>
  <c r="CH9" i="2"/>
  <c r="DI9" i="2" l="1"/>
  <c r="CL9" i="2"/>
  <c r="CJ9" i="2"/>
  <c r="CE9" i="2"/>
  <c r="CF9" i="2" l="1"/>
  <c r="DE9" i="2"/>
  <c r="DC7" i="2"/>
  <c r="CX7" i="2"/>
  <c r="DB7" i="2"/>
  <c r="DA7" i="2"/>
  <c r="DD7" i="2"/>
  <c r="CZ7" i="2"/>
  <c r="CY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K7" i="2"/>
  <c r="CM7" i="2"/>
  <c r="CN7" i="2"/>
  <c r="DH7" i="2" l="1"/>
  <c r="CI7" i="2"/>
  <c r="CH7" i="2"/>
  <c r="CG7" i="2"/>
  <c r="DI7" i="2" l="1"/>
  <c r="CL7" i="2"/>
  <c r="CJ7" i="2"/>
  <c r="CE7" i="2"/>
  <c r="CF7" i="2" l="1"/>
  <c r="DE7" i="2"/>
  <c r="A15" i="1" l="1"/>
  <c r="W58" i="2"/>
  <c r="J58" i="2"/>
  <c r="S58" i="2"/>
  <c r="D58" i="2"/>
  <c r="H58" i="2"/>
  <c r="N58" i="2"/>
  <c r="I58" i="2"/>
  <c r="G58" i="2"/>
  <c r="Y58" i="2"/>
  <c r="P58" i="2"/>
  <c r="U58" i="2"/>
  <c r="M58" i="2"/>
  <c r="V58" i="2"/>
  <c r="T58" i="2"/>
  <c r="O58" i="2"/>
  <c r="F58" i="2"/>
  <c r="L58" i="2"/>
  <c r="K58" i="2"/>
  <c r="Z58" i="2"/>
  <c r="R58" i="2"/>
  <c r="Q58" i="2"/>
  <c r="X58" i="2"/>
  <c r="E50" i="2"/>
  <c r="E58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D61" i="2"/>
  <c r="CW5" i="2" l="1" a="1"/>
  <c r="CW5" i="2" s="1"/>
  <c r="CW46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DA5" i="2"/>
  <c r="DB5" i="2"/>
  <c r="DC5" i="2"/>
  <c r="CQ5" i="2"/>
  <c r="CN5" i="2"/>
  <c r="CK5" i="2"/>
  <c r="CM5" i="2"/>
  <c r="DD5" i="2"/>
  <c r="CZ5" i="2"/>
  <c r="CY5" i="2"/>
  <c r="CX5" i="2"/>
  <c r="CU5" i="3"/>
  <c r="DH5" i="2" l="1"/>
  <c r="CH5" i="2"/>
  <c r="CG5" i="2"/>
  <c r="CI5" i="2"/>
  <c r="DI5" i="2" l="1"/>
  <c r="CL5" i="2"/>
  <c r="CJ5" i="2"/>
  <c r="CE5" i="2"/>
  <c r="CF5" i="2" l="1"/>
  <c r="DE5" i="2"/>
  <c r="DF6" i="2" s="1"/>
  <c r="CQ5" i="3"/>
  <c r="CH5" i="3"/>
  <c r="CF5" i="3"/>
  <c r="CO5" i="3"/>
  <c r="CN5" i="3"/>
  <c r="CE5" i="3"/>
  <c r="CJ5" i="3"/>
  <c r="CG5" i="3"/>
  <c r="CI5" i="3"/>
  <c r="CP5" i="3"/>
  <c r="DF24" i="2" l="1"/>
  <c r="DF12" i="2"/>
  <c r="DF30" i="2"/>
  <c r="DF39" i="2"/>
  <c r="DF38" i="2"/>
  <c r="DF23" i="2"/>
  <c r="DF36" i="2"/>
  <c r="DF8" i="2"/>
  <c r="DF32" i="2"/>
  <c r="DF31" i="2"/>
  <c r="DF27" i="2"/>
  <c r="DF42" i="2"/>
  <c r="DF35" i="2"/>
  <c r="DF25" i="2"/>
  <c r="DF19" i="2"/>
  <c r="DF17" i="2"/>
  <c r="DF13" i="2"/>
  <c r="DF10" i="2"/>
  <c r="DF44" i="2"/>
  <c r="DF33" i="2"/>
  <c r="DF21" i="2"/>
  <c r="DF15" i="2"/>
  <c r="DF9" i="2"/>
  <c r="DF29" i="2"/>
  <c r="DF11" i="2"/>
  <c r="DF43" i="2"/>
  <c r="DF37" i="2"/>
  <c r="DF26" i="2"/>
  <c r="DF20" i="2"/>
  <c r="DF14" i="2"/>
  <c r="DF40" i="2"/>
  <c r="DF28" i="2"/>
  <c r="DF18" i="2"/>
  <c r="DF41" i="2"/>
  <c r="DF34" i="2"/>
  <c r="DF22" i="2"/>
  <c r="DF16" i="2"/>
  <c r="DF7" i="2"/>
  <c r="CT5" i="3"/>
  <c r="CM5" i="3"/>
  <c r="CK5" i="3"/>
  <c r="CR5" i="3" s="1"/>
  <c r="CL5" i="3"/>
  <c r="CS23" i="3" l="1"/>
  <c r="CS10" i="3"/>
  <c r="CS30" i="3"/>
  <c r="CS17" i="3"/>
  <c r="CS24" i="3"/>
  <c r="CS7" i="3"/>
  <c r="CS20" i="3"/>
  <c r="CS25" i="3"/>
  <c r="CS32" i="3"/>
  <c r="CS27" i="3"/>
  <c r="CS22" i="3"/>
  <c r="CS14" i="3"/>
  <c r="CS11" i="3"/>
  <c r="CS6" i="3"/>
  <c r="CS33" i="3"/>
  <c r="CS28" i="3"/>
  <c r="CS18" i="3"/>
  <c r="CS15" i="3"/>
  <c r="CS12" i="3"/>
  <c r="CS9" i="3"/>
  <c r="CS29" i="3"/>
  <c r="CS19" i="3"/>
  <c r="CS16" i="3"/>
  <c r="CS13" i="3"/>
  <c r="CS31" i="3"/>
  <c r="CS26" i="3"/>
  <c r="CS21" i="3"/>
  <c r="CS8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O3" i="1" l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H59" i="2"/>
  <c r="G59" i="2"/>
  <c r="S59" i="2"/>
  <c r="J59" i="2"/>
  <c r="W59" i="2"/>
  <c r="E59" i="2"/>
  <c r="D59" i="2"/>
  <c r="T59" i="2"/>
  <c r="Q59" i="2"/>
  <c r="F59" i="2"/>
  <c r="X59" i="2"/>
  <c r="N59" i="2"/>
  <c r="M59" i="2"/>
  <c r="P59" i="2"/>
  <c r="V59" i="2"/>
  <c r="U59" i="2"/>
  <c r="R59" i="2"/>
  <c r="I59" i="2"/>
  <c r="Z59" i="2"/>
  <c r="Y59" i="2"/>
  <c r="K59" i="2"/>
  <c r="L59" i="2"/>
  <c r="O59" i="2"/>
  <c r="AD20" i="1" l="1"/>
  <c r="AC20" i="1"/>
  <c r="AB20" i="1"/>
  <c r="AE20" i="1" s="1"/>
  <c r="AA20" i="1"/>
  <c r="AD19" i="1"/>
  <c r="AC19" i="1"/>
  <c r="AB19" i="1"/>
  <c r="AE19" i="1" s="1"/>
  <c r="AA19" i="1"/>
  <c r="AD18" i="1"/>
  <c r="AC18" i="1"/>
  <c r="AB18" i="1"/>
  <c r="AE18" i="1" s="1"/>
  <c r="AA18" i="1"/>
  <c r="AD17" i="1"/>
  <c r="AC17" i="1"/>
  <c r="AB17" i="1"/>
  <c r="AE17" i="1" s="1"/>
  <c r="AA17" i="1"/>
  <c r="AD16" i="1"/>
  <c r="AC16" i="1"/>
  <c r="AB16" i="1"/>
  <c r="AE16" i="1" s="1"/>
  <c r="AA16" i="1"/>
  <c r="AD15" i="1"/>
  <c r="AC15" i="1"/>
  <c r="AB15" i="1"/>
  <c r="AE15" i="1" s="1"/>
  <c r="AA15" i="1"/>
  <c r="AD14" i="1"/>
  <c r="AC14" i="1"/>
  <c r="AB14" i="1"/>
  <c r="AE14" i="1" s="1"/>
  <c r="AA14" i="1"/>
  <c r="AD13" i="1"/>
  <c r="AC13" i="1"/>
  <c r="AB13" i="1"/>
  <c r="AE13" i="1" s="1"/>
  <c r="AA13" i="1"/>
  <c r="AD12" i="1"/>
  <c r="AC12" i="1"/>
  <c r="AB12" i="1"/>
  <c r="AE12" i="1" s="1"/>
  <c r="AA12" i="1"/>
  <c r="AD11" i="1"/>
  <c r="AC11" i="1"/>
  <c r="AB11" i="1"/>
  <c r="AE11" i="1" s="1"/>
  <c r="AA11" i="1"/>
  <c r="AD10" i="1"/>
  <c r="AC10" i="1"/>
  <c r="AB10" i="1"/>
  <c r="AE10" i="1" s="1"/>
  <c r="AA10" i="1"/>
  <c r="AD9" i="1"/>
  <c r="AC9" i="1"/>
  <c r="AB9" i="1"/>
  <c r="AE9" i="1" s="1"/>
  <c r="AA9" i="1"/>
  <c r="AD8" i="1"/>
  <c r="AC8" i="1"/>
  <c r="AB8" i="1"/>
  <c r="AE8" i="1" s="1"/>
  <c r="AA8" i="1"/>
  <c r="AD7" i="1"/>
  <c r="AC7" i="1"/>
  <c r="AB7" i="1"/>
  <c r="AE7" i="1" s="1"/>
  <c r="AA7" i="1"/>
  <c r="AD6" i="1"/>
  <c r="AC6" i="1"/>
  <c r="AB6" i="1"/>
  <c r="AE6" i="1" s="1"/>
  <c r="AA6" i="1"/>
  <c r="AD5" i="1"/>
  <c r="AC5" i="1"/>
  <c r="AB5" i="1"/>
  <c r="AE5" i="1" s="1"/>
  <c r="AA5" i="1"/>
  <c r="C1" i="2" a="1"/>
  <c r="C1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N47" i="2" a="1"/>
  <c r="N47" i="2" s="1"/>
  <c r="O47" i="2" a="1"/>
  <c r="O47" i="2" s="1"/>
  <c r="P47" i="2" a="1"/>
  <c r="P47" i="2" s="1"/>
  <c r="Q47" i="2" a="1"/>
  <c r="Q47" i="2" s="1"/>
  <c r="R47" i="2" a="1"/>
  <c r="R47" i="2" s="1"/>
  <c r="S47" i="2" a="1"/>
  <c r="S47" i="2" s="1"/>
  <c r="T47" i="2" a="1"/>
  <c r="T47" i="2" s="1"/>
  <c r="U47" i="2" a="1"/>
  <c r="U47" i="2" s="1"/>
  <c r="V47" i="2" a="1"/>
  <c r="V47" i="2" s="1"/>
  <c r="W47" i="2" a="1"/>
  <c r="W47" i="2" s="1"/>
  <c r="X47" i="2" a="1"/>
  <c r="X47" i="2" s="1"/>
  <c r="Y47" i="2" a="1"/>
  <c r="Y47" i="2" s="1"/>
  <c r="Z47" i="2" a="1"/>
  <c r="Z47" i="2" s="1"/>
  <c r="AA47" i="2" a="1"/>
  <c r="AA47" i="2" s="1"/>
  <c r="AB47" i="2" a="1"/>
  <c r="AB47" i="2" s="1"/>
  <c r="AC47" i="2" a="1"/>
  <c r="AC47" i="2" s="1"/>
  <c r="AD47" i="2" a="1"/>
  <c r="AD47" i="2" s="1"/>
  <c r="AE47" i="2" a="1"/>
  <c r="AE47" i="2" s="1"/>
  <c r="AF47" i="2" a="1"/>
  <c r="AF47" i="2" s="1"/>
  <c r="AG47" i="2" a="1"/>
  <c r="AG47" i="2" s="1"/>
  <c r="AH47" i="2" a="1"/>
  <c r="AH47" i="2" s="1"/>
  <c r="AI47" i="2" a="1"/>
  <c r="AI47" i="2" s="1"/>
  <c r="AJ47" i="2" a="1"/>
  <c r="AJ47" i="2" s="1"/>
  <c r="AK47" i="2" a="1"/>
  <c r="AK47" i="2" s="1"/>
  <c r="AL47" i="2" a="1"/>
  <c r="AL47" i="2" s="1"/>
  <c r="AM47" i="2" a="1"/>
  <c r="AM47" i="2" s="1"/>
  <c r="AN47" i="2" a="1"/>
  <c r="AN47" i="2" s="1"/>
  <c r="AO47" i="2" a="1"/>
  <c r="AO47" i="2" s="1"/>
  <c r="AP47" i="2" a="1"/>
  <c r="AP47" i="2" s="1"/>
  <c r="AQ47" i="2" a="1"/>
  <c r="AQ47" i="2" s="1"/>
  <c r="AR47" i="2" a="1"/>
  <c r="AR47" i="2" s="1"/>
  <c r="AS47" i="2" a="1"/>
  <c r="AS47" i="2" s="1"/>
  <c r="AT47" i="2" a="1"/>
  <c r="AT47" i="2" s="1"/>
  <c r="AU47" i="2" a="1"/>
  <c r="AU47" i="2" s="1"/>
  <c r="AV47" i="2" a="1"/>
  <c r="AV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BD47" i="2" a="1"/>
  <c r="BD47" i="2" s="1"/>
  <c r="BE47" i="2" a="1"/>
  <c r="BE47" i="2" s="1"/>
  <c r="BF47" i="2" a="1"/>
  <c r="BF47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N48" i="2" a="1"/>
  <c r="N48" i="2" s="1"/>
  <c r="O48" i="2" a="1"/>
  <c r="O48" i="2" s="1"/>
  <c r="P48" i="2" a="1"/>
  <c r="P48" i="2" s="1"/>
  <c r="Q48" i="2" a="1"/>
  <c r="Q48" i="2" s="1"/>
  <c r="R48" i="2" a="1"/>
  <c r="R48" i="2" s="1"/>
  <c r="S48" i="2" a="1"/>
  <c r="S48" i="2" s="1"/>
  <c r="T48" i="2" a="1"/>
  <c r="T48" i="2" s="1"/>
  <c r="U48" i="2" a="1"/>
  <c r="U48" i="2" s="1"/>
  <c r="V48" i="2" a="1"/>
  <c r="V48" i="2" s="1"/>
  <c r="W48" i="2" a="1"/>
  <c r="W48" i="2" s="1"/>
  <c r="X48" i="2" a="1"/>
  <c r="X48" i="2" s="1"/>
  <c r="Y48" i="2" a="1"/>
  <c r="Y48" i="2" s="1"/>
  <c r="Z48" i="2" a="1"/>
  <c r="Z48" i="2" s="1"/>
  <c r="AA48" i="2" a="1"/>
  <c r="AA48" i="2" s="1"/>
  <c r="AB48" i="2" a="1"/>
  <c r="AB48" i="2" s="1"/>
  <c r="AC48" i="2" a="1"/>
  <c r="AC48" i="2" s="1"/>
  <c r="AD48" i="2" a="1"/>
  <c r="AD48" i="2" s="1"/>
  <c r="AE48" i="2" a="1"/>
  <c r="AE48" i="2" s="1"/>
  <c r="AF48" i="2" a="1"/>
  <c r="AF48" i="2" s="1"/>
  <c r="AG48" i="2" a="1"/>
  <c r="AG48" i="2" s="1"/>
  <c r="AH48" i="2" a="1"/>
  <c r="AH48" i="2" s="1"/>
  <c r="AI48" i="2" a="1"/>
  <c r="AI48" i="2" s="1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 s="1"/>
  <c r="AP48" i="2" a="1"/>
  <c r="AP48" i="2" s="1"/>
  <c r="AQ48" i="2" a="1"/>
  <c r="AQ48" i="2" s="1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 s="1"/>
  <c r="BF48" i="2" a="1"/>
  <c r="BF48" i="2" s="1"/>
  <c r="B1" i="3" a="1"/>
  <c r="B1" i="3" s="1"/>
  <c r="C36" i="3" a="1"/>
  <c r="C36" i="3" s="1"/>
  <c r="C41" i="3" a="1"/>
  <c r="C41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G41" i="4" s="1"/>
  <c r="G42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E41" i="4"/>
  <c r="E42" i="4" s="1"/>
  <c r="M41" i="4"/>
  <c r="M42" i="4" s="1"/>
  <c r="M43" i="4" s="1"/>
  <c r="O41" i="4"/>
  <c r="O42" i="4" s="1"/>
  <c r="O43" i="4" s="1"/>
  <c r="AE41" i="4"/>
  <c r="AE42" i="4" s="1"/>
  <c r="AG41" i="4"/>
  <c r="AG42" i="4" s="1"/>
  <c r="AK41" i="4"/>
  <c r="AK42" i="4" s="1"/>
  <c r="AM41" i="4"/>
  <c r="AM42" i="4" s="1"/>
  <c r="AM43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E21" i="1" s="1"/>
  <c r="AC21" i="1"/>
  <c r="AD21" i="1"/>
  <c r="AA22" i="1"/>
  <c r="AB22" i="1"/>
  <c r="AE22" i="1" s="1"/>
  <c r="AC22" i="1"/>
  <c r="AD22" i="1"/>
  <c r="AA23" i="1"/>
  <c r="AB23" i="1"/>
  <c r="AE23" i="1" s="1"/>
  <c r="AC23" i="1"/>
  <c r="AD23" i="1"/>
  <c r="AA24" i="1"/>
  <c r="AB24" i="1"/>
  <c r="AE24" i="1" s="1"/>
  <c r="AC24" i="1"/>
  <c r="AD24" i="1"/>
  <c r="AA25" i="1"/>
  <c r="AB25" i="1"/>
  <c r="AE25" i="1" s="1"/>
  <c r="AC25" i="1"/>
  <c r="AD25" i="1"/>
  <c r="A26" i="1"/>
  <c r="AA26" i="1"/>
  <c r="AB26" i="1"/>
  <c r="AE26" i="1" s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K43" i="4"/>
  <c r="L56" i="2"/>
  <c r="Z50" i="2"/>
  <c r="AC57" i="2"/>
  <c r="AI35" i="3"/>
  <c r="O40" i="3"/>
  <c r="BE39" i="3"/>
  <c r="X40" i="3"/>
  <c r="I56" i="2"/>
  <c r="AH50" i="2"/>
  <c r="X57" i="2"/>
  <c r="I50" i="2"/>
  <c r="F35" i="3"/>
  <c r="Y40" i="3"/>
  <c r="BD35" i="3"/>
  <c r="J35" i="3"/>
  <c r="V35" i="3"/>
  <c r="F50" i="2"/>
  <c r="V50" i="2"/>
  <c r="H57" i="2"/>
  <c r="F40" i="3"/>
  <c r="AV40" i="3"/>
  <c r="BF35" i="3"/>
  <c r="Y35" i="3"/>
  <c r="AD39" i="3"/>
  <c r="C39" i="3"/>
  <c r="AY50" i="2"/>
  <c r="K57" i="2"/>
  <c r="AC50" i="2"/>
  <c r="D57" i="2"/>
  <c r="BF50" i="2"/>
  <c r="U57" i="2"/>
  <c r="P57" i="2"/>
  <c r="AB50" i="2"/>
  <c r="AX40" i="3"/>
  <c r="N35" i="3"/>
  <c r="H39" i="3"/>
  <c r="BB39" i="3"/>
  <c r="E35" i="3"/>
  <c r="L39" i="3"/>
  <c r="I40" i="3"/>
  <c r="AA39" i="3"/>
  <c r="AY35" i="3"/>
  <c r="E40" i="3"/>
  <c r="AM50" i="2"/>
  <c r="AE50" i="2"/>
  <c r="J57" i="2"/>
  <c r="O50" i="2"/>
  <c r="T56" i="2"/>
  <c r="AQ50" i="2"/>
  <c r="AN35" i="3"/>
  <c r="BC35" i="3"/>
  <c r="AO39" i="3"/>
  <c r="Y39" i="3"/>
  <c r="N40" i="3"/>
  <c r="M40" i="3"/>
  <c r="H56" i="2"/>
  <c r="U50" i="2"/>
  <c r="M57" i="2"/>
  <c r="AF39" i="3"/>
  <c r="K35" i="3"/>
  <c r="E39" i="3"/>
  <c r="BA40" i="3"/>
  <c r="N39" i="3"/>
  <c r="P39" i="3"/>
  <c r="V57" i="2"/>
  <c r="AC56" i="2"/>
  <c r="S50" i="2"/>
  <c r="AD50" i="2"/>
  <c r="AZ40" i="3"/>
  <c r="AP40" i="3"/>
  <c r="BF39" i="3"/>
  <c r="AS39" i="3"/>
  <c r="AT39" i="3"/>
  <c r="AE56" i="2"/>
  <c r="Q50" i="2"/>
  <c r="AE40" i="3"/>
  <c r="V39" i="3"/>
  <c r="I35" i="3"/>
  <c r="AA40" i="3"/>
  <c r="AB56" i="2"/>
  <c r="G57" i="2"/>
  <c r="AP50" i="2"/>
  <c r="Q56" i="2"/>
  <c r="AJ35" i="3"/>
  <c r="BC39" i="3"/>
  <c r="Z40" i="3"/>
  <c r="Q35" i="3"/>
  <c r="BB35" i="3"/>
  <c r="N57" i="2"/>
  <c r="AX50" i="2"/>
  <c r="J39" i="3"/>
  <c r="AX35" i="3"/>
  <c r="AB39" i="3"/>
  <c r="AD35" i="3"/>
  <c r="AN39" i="3"/>
  <c r="AS50" i="2"/>
  <c r="AB57" i="2"/>
  <c r="BC50" i="2"/>
  <c r="AN50" i="2"/>
  <c r="AI50" i="2"/>
  <c r="K50" i="2"/>
  <c r="AK40" i="3"/>
  <c r="BA35" i="3"/>
  <c r="M39" i="3"/>
  <c r="AQ40" i="3"/>
  <c r="AG39" i="3"/>
  <c r="L40" i="3"/>
  <c r="AB40" i="3"/>
  <c r="AY40" i="3"/>
  <c r="X35" i="3"/>
  <c r="AV35" i="3"/>
  <c r="O56" i="2"/>
  <c r="BB50" i="2"/>
  <c r="Z57" i="2"/>
  <c r="R56" i="2"/>
  <c r="BD50" i="2"/>
  <c r="AO40" i="3"/>
  <c r="Q39" i="3"/>
  <c r="T40" i="3"/>
  <c r="BA39" i="3"/>
  <c r="D40" i="3"/>
  <c r="AE35" i="3"/>
  <c r="AS35" i="3"/>
  <c r="V56" i="2"/>
  <c r="E56" i="2"/>
  <c r="S57" i="2"/>
  <c r="W40" i="3"/>
  <c r="AC35" i="3"/>
  <c r="AK35" i="3"/>
  <c r="AG35" i="3"/>
  <c r="AJ40" i="3"/>
  <c r="T57" i="2"/>
  <c r="L57" i="2"/>
  <c r="D50" i="2"/>
  <c r="AA50" i="2"/>
  <c r="D56" i="2"/>
  <c r="BB40" i="3"/>
  <c r="AF35" i="3"/>
  <c r="X39" i="3"/>
  <c r="L35" i="3"/>
  <c r="AD40" i="3"/>
  <c r="W57" i="2"/>
  <c r="AZ35" i="3"/>
  <c r="AJ39" i="3"/>
  <c r="AR39" i="3"/>
  <c r="W39" i="3"/>
  <c r="AG50" i="2"/>
  <c r="S56" i="2"/>
  <c r="AU50" i="2"/>
  <c r="D39" i="3"/>
  <c r="O35" i="3"/>
  <c r="AC39" i="3"/>
  <c r="AV39" i="3"/>
  <c r="BC40" i="3"/>
  <c r="L50" i="2"/>
  <c r="BE50" i="2"/>
  <c r="AW39" i="3"/>
  <c r="AU35" i="3"/>
  <c r="AT35" i="3"/>
  <c r="AH35" i="3"/>
  <c r="R35" i="3"/>
  <c r="AA57" i="2"/>
  <c r="AT50" i="2"/>
  <c r="Y50" i="2"/>
  <c r="W50" i="2"/>
  <c r="Y57" i="2"/>
  <c r="Z56" i="2"/>
  <c r="E57" i="2"/>
  <c r="AD57" i="2"/>
  <c r="AQ39" i="3"/>
  <c r="U35" i="3"/>
  <c r="T39" i="3"/>
  <c r="AU40" i="3"/>
  <c r="AM35" i="3"/>
  <c r="T35" i="3"/>
  <c r="U39" i="3"/>
  <c r="AH40" i="3"/>
  <c r="Q40" i="3"/>
  <c r="AQ35" i="3"/>
  <c r="AE57" i="2"/>
  <c r="AZ50" i="2"/>
  <c r="M50" i="2"/>
  <c r="AK50" i="2"/>
  <c r="G50" i="2"/>
  <c r="AW50" i="2"/>
  <c r="AF40" i="3"/>
  <c r="W35" i="3"/>
  <c r="AB35" i="3"/>
  <c r="V40" i="3"/>
  <c r="S40" i="3"/>
  <c r="AR40" i="3"/>
  <c r="I57" i="2"/>
  <c r="F57" i="2"/>
  <c r="J56" i="2"/>
  <c r="W56" i="2"/>
  <c r="AY39" i="3"/>
  <c r="AR35" i="3"/>
  <c r="M35" i="3"/>
  <c r="G39" i="3"/>
  <c r="Z35" i="3"/>
  <c r="K56" i="2"/>
  <c r="M56" i="2"/>
  <c r="X56" i="2"/>
  <c r="J50" i="2"/>
  <c r="AN40" i="3"/>
  <c r="R39" i="3"/>
  <c r="AT40" i="3"/>
  <c r="AI39" i="3"/>
  <c r="K39" i="3"/>
  <c r="N56" i="2"/>
  <c r="Y56" i="2"/>
  <c r="G40" i="3"/>
  <c r="K40" i="3"/>
  <c r="D35" i="3"/>
  <c r="P40" i="3"/>
  <c r="BA50" i="2"/>
  <c r="R57" i="2"/>
  <c r="H50" i="2"/>
  <c r="G56" i="2"/>
  <c r="Z39" i="3"/>
  <c r="O39" i="3"/>
  <c r="AK39" i="3"/>
  <c r="AL40" i="3"/>
  <c r="AC40" i="3"/>
  <c r="AJ50" i="2"/>
  <c r="R50" i="2"/>
  <c r="Q57" i="2"/>
  <c r="BE35" i="3"/>
  <c r="S39" i="3"/>
  <c r="AX39" i="3"/>
  <c r="AP35" i="3"/>
  <c r="S35" i="3"/>
  <c r="R40" i="3"/>
  <c r="AV50" i="2"/>
  <c r="AL50" i="2"/>
  <c r="AF50" i="2"/>
  <c r="AO50" i="2"/>
  <c r="O57" i="2"/>
  <c r="AA35" i="3"/>
  <c r="AZ39" i="3"/>
  <c r="I39" i="3"/>
  <c r="G35" i="3"/>
  <c r="AW35" i="3"/>
  <c r="H40" i="3"/>
  <c r="AS40" i="3"/>
  <c r="BF40" i="3"/>
  <c r="AH39" i="3"/>
  <c r="J40" i="3"/>
  <c r="AP39" i="3"/>
  <c r="N50" i="2"/>
  <c r="X50" i="2"/>
  <c r="U56" i="2"/>
  <c r="F56" i="2"/>
  <c r="AW40" i="3"/>
  <c r="C40" i="3"/>
  <c r="AL39" i="3"/>
  <c r="AM40" i="3"/>
  <c r="BD39" i="3"/>
  <c r="P35" i="3"/>
  <c r="AM39" i="3"/>
  <c r="P50" i="2"/>
  <c r="P56" i="2"/>
  <c r="T50" i="2"/>
  <c r="BE40" i="3"/>
  <c r="AI40" i="3"/>
  <c r="H35" i="3"/>
  <c r="U40" i="3"/>
  <c r="AL35" i="3"/>
  <c r="AE39" i="3"/>
  <c r="AA56" i="2"/>
  <c r="AR50" i="2"/>
  <c r="AD56" i="2"/>
  <c r="AU39" i="3"/>
  <c r="F39" i="3"/>
  <c r="BD40" i="3"/>
  <c r="AG40" i="3"/>
  <c r="AO35" i="3"/>
  <c r="V54" i="2"/>
  <c r="T54" i="2"/>
  <c r="E54" i="2"/>
  <c r="H54" i="2"/>
  <c r="AD54" i="2"/>
  <c r="F54" i="2"/>
  <c r="Z54" i="2"/>
  <c r="M54" i="2"/>
  <c r="O54" i="2"/>
  <c r="P54" i="2"/>
  <c r="U54" i="2"/>
  <c r="L54" i="2"/>
  <c r="I54" i="2"/>
  <c r="D54" i="2"/>
  <c r="Q54" i="2"/>
  <c r="G54" i="2"/>
  <c r="R54" i="2"/>
  <c r="AB54" i="2"/>
  <c r="K54" i="2"/>
  <c r="W54" i="2"/>
  <c r="AA54" i="2"/>
  <c r="AC54" i="2"/>
  <c r="N54" i="2"/>
  <c r="Y54" i="2"/>
  <c r="X54" i="2"/>
  <c r="AE54" i="2"/>
  <c r="J54" i="2"/>
  <c r="S54" i="2"/>
  <c r="AG43" i="4" l="1"/>
  <c r="E43" i="4"/>
  <c r="AO43" i="4"/>
  <c r="AC43" i="4"/>
  <c r="K43" i="4"/>
  <c r="G43" i="4"/>
  <c r="L48" i="4"/>
  <c r="AE43" i="4"/>
  <c r="C43" i="4"/>
  <c r="AI43" i="4"/>
  <c r="AA43" i="4"/>
  <c r="I43" i="4"/>
  <c r="Y63" i="1"/>
  <c r="A7" i="7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6" i="2"/>
  <c r="CE48" i="2"/>
  <c r="AB3" i="1" a="1"/>
  <c r="AB3" i="1" s="1"/>
  <c r="AC63" i="1"/>
  <c r="BN41" i="3"/>
  <c r="AH41" i="3"/>
  <c r="AX41" i="3"/>
  <c r="R41" i="3"/>
  <c r="K37" i="3"/>
  <c r="BV41" i="3"/>
  <c r="BF41" i="3"/>
  <c r="AP41" i="3"/>
  <c r="Z41" i="3"/>
  <c r="J41" i="3"/>
  <c r="AQ37" i="3"/>
  <c r="AH36" i="3"/>
  <c r="K46" i="4"/>
  <c r="N46" i="4" s="1"/>
  <c r="C5" i="7" s="1"/>
  <c r="AA37" i="3"/>
  <c r="AX36" i="3"/>
  <c r="R36" i="3"/>
  <c r="BZ41" i="3"/>
  <c r="BR41" i="3"/>
  <c r="BJ41" i="3"/>
  <c r="BB41" i="3"/>
  <c r="AT41" i="3"/>
  <c r="AL41" i="3"/>
  <c r="AD41" i="3"/>
  <c r="V41" i="3"/>
  <c r="N41" i="3"/>
  <c r="F41" i="3"/>
  <c r="AY37" i="3"/>
  <c r="AI37" i="3"/>
  <c r="S37" i="3"/>
  <c r="C37" i="3"/>
  <c r="AP36" i="3"/>
  <c r="Z36" i="3"/>
  <c r="J36" i="3"/>
  <c r="BC37" i="3"/>
  <c r="AU37" i="3"/>
  <c r="AM37" i="3"/>
  <c r="AE37" i="3"/>
  <c r="W37" i="3"/>
  <c r="O37" i="3"/>
  <c r="G37" i="3"/>
  <c r="BB36" i="3"/>
  <c r="AT36" i="3"/>
  <c r="AL36" i="3"/>
  <c r="AD36" i="3"/>
  <c r="V36" i="3"/>
  <c r="N36" i="3"/>
  <c r="F36" i="3"/>
  <c r="CB41" i="3"/>
  <c r="BX41" i="3"/>
  <c r="BT41" i="3"/>
  <c r="BP41" i="3"/>
  <c r="BL41" i="3"/>
  <c r="BH41" i="3"/>
  <c r="BD41" i="3"/>
  <c r="AZ41" i="3"/>
  <c r="AV41" i="3"/>
  <c r="AR41" i="3"/>
  <c r="AN41" i="3"/>
  <c r="AJ41" i="3"/>
  <c r="AF41" i="3"/>
  <c r="AB41" i="3"/>
  <c r="X41" i="3"/>
  <c r="T41" i="3"/>
  <c r="P41" i="3"/>
  <c r="L41" i="3"/>
  <c r="H41" i="3"/>
  <c r="D41" i="3"/>
  <c r="BE37" i="3"/>
  <c r="BA37" i="3"/>
  <c r="AW37" i="3"/>
  <c r="AS37" i="3"/>
  <c r="AO37" i="3"/>
  <c r="AK37" i="3"/>
  <c r="AG37" i="3"/>
  <c r="AC37" i="3"/>
  <c r="Y37" i="3"/>
  <c r="U37" i="3"/>
  <c r="Q37" i="3"/>
  <c r="M37" i="3"/>
  <c r="I37" i="3"/>
  <c r="E37" i="3"/>
  <c r="BD36" i="3"/>
  <c r="AZ36" i="3"/>
  <c r="AV36" i="3"/>
  <c r="AR36" i="3"/>
  <c r="AN36" i="3"/>
  <c r="AJ36" i="3"/>
  <c r="AF36" i="3"/>
  <c r="AB36" i="3"/>
  <c r="X36" i="3"/>
  <c r="T36" i="3"/>
  <c r="P36" i="3"/>
  <c r="L36" i="3"/>
  <c r="H36" i="3"/>
  <c r="D36" i="3"/>
  <c r="BD37" i="3"/>
  <c r="BB37" i="3"/>
  <c r="AZ37" i="3"/>
  <c r="AX37" i="3"/>
  <c r="AV37" i="3"/>
  <c r="AT37" i="3"/>
  <c r="AR37" i="3"/>
  <c r="AP37" i="3"/>
  <c r="AN37" i="3"/>
  <c r="AL37" i="3"/>
  <c r="AJ37" i="3"/>
  <c r="AH37" i="3"/>
  <c r="AF37" i="3"/>
  <c r="AD37" i="3"/>
  <c r="AB37" i="3"/>
  <c r="Z37" i="3"/>
  <c r="X37" i="3"/>
  <c r="V37" i="3"/>
  <c r="T37" i="3"/>
  <c r="R37" i="3"/>
  <c r="P37" i="3"/>
  <c r="N37" i="3"/>
  <c r="L37" i="3"/>
  <c r="J37" i="3"/>
  <c r="H37" i="3"/>
  <c r="F37" i="3"/>
  <c r="D37" i="3"/>
  <c r="BE36" i="3"/>
  <c r="BC36" i="3"/>
  <c r="BA36" i="3"/>
  <c r="BA38" i="3" s="1"/>
  <c r="AY36" i="3"/>
  <c r="AW36" i="3"/>
  <c r="AU36" i="3"/>
  <c r="AS36" i="3"/>
  <c r="AQ36" i="3"/>
  <c r="AO36" i="3"/>
  <c r="AM36" i="3"/>
  <c r="AK36" i="3"/>
  <c r="AI36" i="3"/>
  <c r="AG36" i="3"/>
  <c r="AE36" i="3"/>
  <c r="AC36" i="3"/>
  <c r="AA36" i="3"/>
  <c r="Y36" i="3"/>
  <c r="W36" i="3"/>
  <c r="U36" i="3"/>
  <c r="S36" i="3"/>
  <c r="Q36" i="3"/>
  <c r="O36" i="3"/>
  <c r="M36" i="3"/>
  <c r="K36" i="3"/>
  <c r="I36" i="3"/>
  <c r="G36" i="3"/>
  <c r="E36" i="3"/>
  <c r="CC41" i="3"/>
  <c r="CA41" i="3"/>
  <c r="BY41" i="3"/>
  <c r="BW41" i="3"/>
  <c r="BU41" i="3"/>
  <c r="BS41" i="3"/>
  <c r="BQ41" i="3"/>
  <c r="BO41" i="3"/>
  <c r="BM41" i="3"/>
  <c r="BK41" i="3"/>
  <c r="BI41" i="3"/>
  <c r="BG41" i="3"/>
  <c r="BE41" i="3"/>
  <c r="BC41" i="3"/>
  <c r="BA41" i="3"/>
  <c r="AY41" i="3"/>
  <c r="AW41" i="3"/>
  <c r="AU41" i="3"/>
  <c r="AS41" i="3"/>
  <c r="AQ41" i="3"/>
  <c r="AO41" i="3"/>
  <c r="AM41" i="3"/>
  <c r="AK41" i="3"/>
  <c r="AI41" i="3"/>
  <c r="AG41" i="3"/>
  <c r="AE41" i="3"/>
  <c r="AC41" i="3"/>
  <c r="AA41" i="3"/>
  <c r="Y41" i="3"/>
  <c r="W41" i="3"/>
  <c r="U41" i="3"/>
  <c r="S41" i="3"/>
  <c r="Q41" i="3"/>
  <c r="O41" i="3"/>
  <c r="M41" i="3"/>
  <c r="K41" i="3"/>
  <c r="I41" i="3"/>
  <c r="G41" i="3"/>
  <c r="E41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6" i="2"/>
  <c r="CS46" i="2"/>
  <c r="CP46" i="2"/>
  <c r="CE47" i="2"/>
  <c r="CV46" i="2"/>
  <c r="CT46" i="2"/>
  <c r="CO46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46" i="2"/>
  <c r="CE40" i="3"/>
  <c r="CE39" i="3"/>
  <c r="CE35" i="3"/>
  <c r="CE50" i="2"/>
  <c r="CO50" i="2"/>
  <c r="DC46" i="2"/>
  <c r="CI50" i="2"/>
  <c r="CQ3" i="3"/>
  <c r="DA46" i="2"/>
  <c r="CP3" i="3"/>
  <c r="B57" i="2"/>
  <c r="B56" i="2"/>
  <c r="DD46" i="2"/>
  <c r="DB46" i="2"/>
  <c r="CZ46" i="2"/>
  <c r="CQ46" i="2"/>
  <c r="CF35" i="3"/>
  <c r="CJ35" i="3"/>
  <c r="CK50" i="2"/>
  <c r="CG50" i="2"/>
  <c r="CH50" i="2"/>
  <c r="O17" i="5"/>
  <c r="Z63" i="1"/>
  <c r="D51" i="2" a="1"/>
  <c r="AA2" i="1"/>
  <c r="AA63" i="1"/>
  <c r="AA3" i="1" a="1"/>
  <c r="AA3" i="1" s="1"/>
  <c r="AD63" i="1"/>
  <c r="AB63" i="1"/>
  <c r="CO48" i="2"/>
  <c r="P65" i="1"/>
  <c r="P66" i="1" s="1"/>
  <c r="H93" i="4"/>
  <c r="A5" i="5" s="1" a="1"/>
  <c r="CO47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H48" i="4" l="1"/>
  <c r="L49" i="4"/>
  <c r="CR47" i="2"/>
  <c r="CW48" i="2" s="1"/>
  <c r="DF5" i="2"/>
  <c r="CS5" i="3"/>
  <c r="AS38" i="3"/>
  <c r="T68" i="1"/>
  <c r="R68" i="1"/>
  <c r="S68" i="1"/>
  <c r="Q68" i="1"/>
  <c r="BC38" i="3"/>
  <c r="G38" i="3"/>
  <c r="W38" i="3"/>
  <c r="AA38" i="3"/>
  <c r="AI38" i="3"/>
  <c r="AM38" i="3"/>
  <c r="E38" i="3"/>
  <c r="M38" i="3"/>
  <c r="U38" i="3"/>
  <c r="AC38" i="3"/>
  <c r="AK38" i="3"/>
  <c r="C38" i="3"/>
  <c r="I38" i="3"/>
  <c r="AB38" i="3"/>
  <c r="L38" i="3"/>
  <c r="AR38" i="3"/>
  <c r="AO38" i="3"/>
  <c r="Y38" i="3"/>
  <c r="BE38" i="3"/>
  <c r="D38" i="3"/>
  <c r="T38" i="3"/>
  <c r="AJ38" i="3"/>
  <c r="AZ38" i="3"/>
  <c r="AY38" i="3"/>
  <c r="S38" i="3"/>
  <c r="H38" i="3"/>
  <c r="P38" i="3"/>
  <c r="X38" i="3"/>
  <c r="AF38" i="3"/>
  <c r="AN38" i="3"/>
  <c r="AV38" i="3"/>
  <c r="BD38" i="3"/>
  <c r="Q38" i="3"/>
  <c r="AG38" i="3"/>
  <c r="AW38" i="3"/>
  <c r="N38" i="3"/>
  <c r="R38" i="3"/>
  <c r="Z38" i="3"/>
  <c r="AD38" i="3"/>
  <c r="AH38" i="3"/>
  <c r="AT38" i="3"/>
  <c r="O38" i="3"/>
  <c r="AE38" i="3"/>
  <c r="AU38" i="3"/>
  <c r="AQ38" i="3"/>
  <c r="K38" i="3"/>
  <c r="F38" i="3"/>
  <c r="V38" i="3"/>
  <c r="AL38" i="3"/>
  <c r="BB38" i="3"/>
  <c r="J38" i="3"/>
  <c r="AP38" i="3"/>
  <c r="AX38" i="3"/>
  <c r="CE36" i="3"/>
  <c r="CE37" i="3"/>
  <c r="AA65" i="1"/>
  <c r="O67" i="1"/>
  <c r="D51" i="2"/>
  <c r="E51" i="2"/>
  <c r="E52" i="2" s="1"/>
  <c r="G51" i="2"/>
  <c r="G52" i="2" s="1"/>
  <c r="I51" i="2"/>
  <c r="I52" i="2" s="1"/>
  <c r="K51" i="2"/>
  <c r="K52" i="2" s="1"/>
  <c r="M51" i="2"/>
  <c r="M52" i="2" s="1"/>
  <c r="O51" i="2"/>
  <c r="O52" i="2" s="1"/>
  <c r="Q51" i="2"/>
  <c r="Q52" i="2" s="1"/>
  <c r="S51" i="2"/>
  <c r="S52" i="2" s="1"/>
  <c r="U51" i="2"/>
  <c r="U52" i="2" s="1"/>
  <c r="W51" i="2"/>
  <c r="W52" i="2" s="1"/>
  <c r="Y51" i="2"/>
  <c r="Y52" i="2" s="1"/>
  <c r="AA51" i="2"/>
  <c r="AA52" i="2" s="1"/>
  <c r="AC51" i="2"/>
  <c r="AC52" i="2" s="1"/>
  <c r="AE51" i="2"/>
  <c r="AE52" i="2" s="1"/>
  <c r="AG51" i="2"/>
  <c r="AG52" i="2" s="1"/>
  <c r="AI51" i="2"/>
  <c r="AI52" i="2" s="1"/>
  <c r="AK51" i="2"/>
  <c r="AK52" i="2" s="1"/>
  <c r="AM51" i="2"/>
  <c r="AM52" i="2" s="1"/>
  <c r="AO51" i="2"/>
  <c r="AO52" i="2" s="1"/>
  <c r="AQ51" i="2"/>
  <c r="AQ52" i="2" s="1"/>
  <c r="AS51" i="2"/>
  <c r="AS52" i="2" s="1"/>
  <c r="AU51" i="2"/>
  <c r="AU52" i="2" s="1"/>
  <c r="AV51" i="2"/>
  <c r="AV52" i="2" s="1"/>
  <c r="AW51" i="2"/>
  <c r="AW52" i="2" s="1"/>
  <c r="AX51" i="2"/>
  <c r="AX52" i="2" s="1"/>
  <c r="AY51" i="2"/>
  <c r="AY52" i="2" s="1"/>
  <c r="AZ51" i="2"/>
  <c r="AZ52" i="2" s="1"/>
  <c r="BA51" i="2"/>
  <c r="BA52" i="2" s="1"/>
  <c r="BB51" i="2"/>
  <c r="BB52" i="2" s="1"/>
  <c r="BC51" i="2"/>
  <c r="BC52" i="2" s="1"/>
  <c r="BD51" i="2"/>
  <c r="BD52" i="2" s="1"/>
  <c r="BE51" i="2"/>
  <c r="BE52" i="2" s="1"/>
  <c r="BF51" i="2"/>
  <c r="BF52" i="2" s="1"/>
  <c r="H51" i="2"/>
  <c r="H52" i="2" s="1"/>
  <c r="L51" i="2"/>
  <c r="L52" i="2" s="1"/>
  <c r="P51" i="2"/>
  <c r="P52" i="2" s="1"/>
  <c r="T51" i="2"/>
  <c r="T52" i="2" s="1"/>
  <c r="X51" i="2"/>
  <c r="X52" i="2" s="1"/>
  <c r="AB51" i="2"/>
  <c r="AB52" i="2" s="1"/>
  <c r="AF51" i="2"/>
  <c r="AF52" i="2" s="1"/>
  <c r="AJ51" i="2"/>
  <c r="AJ52" i="2" s="1"/>
  <c r="AN51" i="2"/>
  <c r="AN52" i="2" s="1"/>
  <c r="AR51" i="2"/>
  <c r="AR52" i="2" s="1"/>
  <c r="F51" i="2"/>
  <c r="F52" i="2" s="1"/>
  <c r="J51" i="2"/>
  <c r="J52" i="2" s="1"/>
  <c r="N51" i="2"/>
  <c r="N52" i="2" s="1"/>
  <c r="R51" i="2"/>
  <c r="R52" i="2" s="1"/>
  <c r="V51" i="2"/>
  <c r="V52" i="2" s="1"/>
  <c r="Z51" i="2"/>
  <c r="Z52" i="2" s="1"/>
  <c r="AD51" i="2"/>
  <c r="AD52" i="2" s="1"/>
  <c r="AH51" i="2"/>
  <c r="AH52" i="2" s="1"/>
  <c r="AL51" i="2"/>
  <c r="AL52" i="2" s="1"/>
  <c r="AP51" i="2"/>
  <c r="AP52" i="2" s="1"/>
  <c r="AT51" i="2"/>
  <c r="AT52" i="2" s="1"/>
  <c r="CF40" i="3"/>
  <c r="CG40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2" i="2"/>
  <c r="H49" i="4" l="1"/>
  <c r="A8" i="7"/>
  <c r="L50" i="4"/>
  <c r="M48" i="4"/>
  <c r="B7" i="7" s="1"/>
  <c r="K48" i="4"/>
  <c r="N48" i="4" s="1"/>
  <c r="C7" i="7" s="1"/>
  <c r="O48" i="4"/>
  <c r="D7" i="7" s="1"/>
  <c r="CR48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8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8" i="3"/>
  <c r="CH38" i="3" a="1"/>
  <c r="CH38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8" i="2"/>
  <c r="CT48" i="2"/>
  <c r="CV48" i="2"/>
  <c r="CU48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1" i="2"/>
  <c r="D52" i="2"/>
  <c r="CE51" i="2"/>
  <c r="CH40" i="3"/>
  <c r="A9" i="7" l="1"/>
  <c r="H50" i="4"/>
  <c r="L51" i="4"/>
  <c r="K49" i="4"/>
  <c r="N49" i="4" s="1"/>
  <c r="C8" i="7" s="1"/>
  <c r="O49" i="4"/>
  <c r="D8" i="7" s="1"/>
  <c r="M49" i="4"/>
  <c r="B8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J32" i="9"/>
  <c r="I8" i="5"/>
  <c r="F5" i="6" s="1"/>
  <c r="D8" i="5"/>
  <c r="C5" i="6" s="1"/>
  <c r="F8" i="5"/>
  <c r="CO52" i="2"/>
  <c r="CE52" i="2"/>
  <c r="CH53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A10" i="7" l="1"/>
  <c r="H51" i="4"/>
  <c r="L52" i="4"/>
  <c r="O50" i="4"/>
  <c r="D9" i="7" s="1"/>
  <c r="M50" i="4"/>
  <c r="B9" i="7" s="1"/>
  <c r="K50" i="4"/>
  <c r="N50" i="4" s="1"/>
  <c r="C9" i="7" s="1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L53" i="4" l="1"/>
  <c r="A11" i="7"/>
  <c r="H52" i="4"/>
  <c r="K51" i="4"/>
  <c r="N51" i="4" s="1"/>
  <c r="C10" i="7" s="1"/>
  <c r="M51" i="4"/>
  <c r="B10" i="7" s="1"/>
  <c r="O51" i="4"/>
  <c r="D10" i="7" s="1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A13" i="7" l="1"/>
  <c r="H54" i="4"/>
  <c r="L55" i="4"/>
  <c r="O53" i="4"/>
  <c r="D12" i="7" s="1"/>
  <c r="K53" i="4"/>
  <c r="N53" i="4" s="1"/>
  <c r="C12" i="7" s="1"/>
  <c r="M53" i="4"/>
  <c r="B12" i="7" s="1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4" i="7" l="1"/>
  <c r="H55" i="4"/>
  <c r="L56" i="4"/>
  <c r="M54" i="4"/>
  <c r="B13" i="7" s="1"/>
  <c r="K54" i="4"/>
  <c r="N54" i="4" s="1"/>
  <c r="C13" i="7" s="1"/>
  <c r="O54" i="4"/>
  <c r="D13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L57" i="4" l="1"/>
  <c r="A15" i="7"/>
  <c r="H56" i="4"/>
  <c r="K55" i="4"/>
  <c r="N55" i="4" s="1"/>
  <c r="C14" i="7" s="1"/>
  <c r="M55" i="4"/>
  <c r="B14" i="7" s="1"/>
  <c r="O55" i="4"/>
  <c r="D14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O56" i="4" l="1"/>
  <c r="D15" i="7" s="1"/>
  <c r="M56" i="4"/>
  <c r="B15" i="7" s="1"/>
  <c r="K56" i="4"/>
  <c r="N56" i="4" s="1"/>
  <c r="C15" i="7" s="1"/>
  <c r="H57" i="4"/>
  <c r="A16" i="7"/>
  <c r="L58" i="4"/>
  <c r="T15" i="5" a="1"/>
  <c r="T15" i="5" s="1"/>
  <c r="S15" i="5"/>
  <c r="O27" i="5"/>
  <c r="N26" i="5"/>
  <c r="P25" i="5"/>
  <c r="R25" i="5"/>
  <c r="Q25" i="5"/>
  <c r="H58" i="4" l="1"/>
  <c r="L59" i="4"/>
  <c r="A17" i="7"/>
  <c r="K57" i="4"/>
  <c r="N57" i="4" s="1"/>
  <c r="C16" i="7" s="1"/>
  <c r="O57" i="4"/>
  <c r="D16" i="7" s="1"/>
  <c r="M57" i="4"/>
  <c r="B16" i="7" s="1"/>
  <c r="Q26" i="5"/>
  <c r="P26" i="5"/>
  <c r="R26" i="5"/>
  <c r="O28" i="5"/>
  <c r="N27" i="5"/>
  <c r="H59" i="4" l="1"/>
  <c r="L60" i="4"/>
  <c r="A18" i="7"/>
  <c r="K58" i="4"/>
  <c r="N58" i="4" s="1"/>
  <c r="C17" i="7" s="1"/>
  <c r="O58" i="4"/>
  <c r="D17" i="7" s="1"/>
  <c r="M58" i="4"/>
  <c r="B17" i="7" s="1"/>
  <c r="O29" i="5"/>
  <c r="N28" i="5"/>
  <c r="P27" i="5"/>
  <c r="R27" i="5"/>
  <c r="Q27" i="5"/>
  <c r="H60" i="4" l="1"/>
  <c r="L61" i="4"/>
  <c r="A19" i="7"/>
  <c r="K59" i="4"/>
  <c r="N59" i="4" s="1"/>
  <c r="C18" i="7" s="1"/>
  <c r="M59" i="4"/>
  <c r="B18" i="7" s="1"/>
  <c r="O59" i="4"/>
  <c r="D18" i="7" s="1"/>
  <c r="Q28" i="5"/>
  <c r="P28" i="5"/>
  <c r="R28" i="5"/>
  <c r="O30" i="5"/>
  <c r="N29" i="5"/>
  <c r="H61" i="4" l="1"/>
  <c r="A20" i="7"/>
  <c r="L62" i="4"/>
  <c r="O60" i="4"/>
  <c r="D19" i="7" s="1"/>
  <c r="K60" i="4"/>
  <c r="N60" i="4" s="1"/>
  <c r="C19" i="7" s="1"/>
  <c r="M60" i="4"/>
  <c r="B19" i="7" s="1"/>
  <c r="P29" i="5"/>
  <c r="R29" i="5"/>
  <c r="Q29" i="5"/>
  <c r="O31" i="5"/>
  <c r="N30" i="5"/>
  <c r="H62" i="4" l="1"/>
  <c r="L63" i="4"/>
  <c r="A21" i="7"/>
  <c r="K61" i="4"/>
  <c r="N61" i="4" s="1"/>
  <c r="C20" i="7" s="1"/>
  <c r="M61" i="4"/>
  <c r="B20" i="7" s="1"/>
  <c r="O61" i="4"/>
  <c r="D20" i="7" s="1"/>
  <c r="O32" i="5"/>
  <c r="N31" i="5"/>
  <c r="Q30" i="5"/>
  <c r="P30" i="5"/>
  <c r="R30" i="5"/>
  <c r="H63" i="4" l="1"/>
  <c r="L64" i="4"/>
  <c r="A22" i="7"/>
  <c r="K62" i="4"/>
  <c r="N62" i="4" s="1"/>
  <c r="C21" i="7" s="1"/>
  <c r="O62" i="4"/>
  <c r="D21" i="7" s="1"/>
  <c r="M62" i="4"/>
  <c r="B21" i="7" s="1"/>
  <c r="P31" i="5"/>
  <c r="R31" i="5"/>
  <c r="Q31" i="5"/>
  <c r="O33" i="5"/>
  <c r="N32" i="5"/>
  <c r="H64" i="4" l="1"/>
  <c r="L65" i="4"/>
  <c r="A23" i="7"/>
  <c r="K63" i="4"/>
  <c r="N63" i="4" s="1"/>
  <c r="C22" i="7" s="1"/>
  <c r="O63" i="4"/>
  <c r="D22" i="7" s="1"/>
  <c r="M63" i="4"/>
  <c r="B22" i="7" s="1"/>
  <c r="Q32" i="5"/>
  <c r="P32" i="5"/>
  <c r="R32" i="5"/>
  <c r="O34" i="5"/>
  <c r="N33" i="5"/>
  <c r="H65" i="4" l="1"/>
  <c r="A24" i="7"/>
  <c r="L66" i="4"/>
  <c r="O64" i="4"/>
  <c r="D23" i="7" s="1"/>
  <c r="M64" i="4"/>
  <c r="B23" i="7" s="1"/>
  <c r="K64" i="4"/>
  <c r="N64" i="4" s="1"/>
  <c r="C23" i="7" s="1"/>
  <c r="P33" i="5"/>
  <c r="R33" i="5"/>
  <c r="Q33" i="5"/>
  <c r="O35" i="5"/>
  <c r="N34" i="5"/>
  <c r="H66" i="4" l="1"/>
  <c r="L67" i="4"/>
  <c r="A25" i="7"/>
  <c r="K65" i="4"/>
  <c r="N65" i="4" s="1"/>
  <c r="C24" i="7" s="1"/>
  <c r="M65" i="4"/>
  <c r="B24" i="7" s="1"/>
  <c r="O65" i="4"/>
  <c r="D24" i="7" s="1"/>
  <c r="O36" i="5"/>
  <c r="N35" i="5"/>
  <c r="Q34" i="5"/>
  <c r="P34" i="5"/>
  <c r="R34" i="5"/>
  <c r="H67" i="4" l="1"/>
  <c r="L68" i="4"/>
  <c r="A26" i="7"/>
  <c r="K66" i="4"/>
  <c r="N66" i="4" s="1"/>
  <c r="C25" i="7" s="1"/>
  <c r="M66" i="4"/>
  <c r="B25" i="7" s="1"/>
  <c r="O66" i="4"/>
  <c r="D25" i="7" s="1"/>
  <c r="O37" i="5"/>
  <c r="N36" i="5"/>
  <c r="P35" i="5"/>
  <c r="R35" i="5"/>
  <c r="Q35" i="5"/>
  <c r="H68" i="4" l="1"/>
  <c r="A27" i="7"/>
  <c r="L69" i="4"/>
  <c r="K67" i="4"/>
  <c r="N67" i="4" s="1"/>
  <c r="C26" i="7" s="1"/>
  <c r="M67" i="4"/>
  <c r="B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H70" i="4" l="1"/>
  <c r="L71" i="4"/>
  <c r="A29" i="7"/>
  <c r="K69" i="4"/>
  <c r="N69" i="4" s="1"/>
  <c r="C28" i="7" s="1"/>
  <c r="O69" i="4"/>
  <c r="D28" i="7" s="1"/>
  <c r="M69" i="4"/>
  <c r="B28" i="7" s="1"/>
  <c r="O40" i="5"/>
  <c r="N39" i="5"/>
  <c r="Q38" i="5"/>
  <c r="P38" i="5"/>
  <c r="R38" i="5"/>
  <c r="H71" i="4" l="1"/>
  <c r="A30" i="7"/>
  <c r="L72" i="4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H72" i="4" l="1"/>
  <c r="A31" i="7"/>
  <c r="L73" i="4"/>
  <c r="O71" i="4"/>
  <c r="D30" i="7" s="1"/>
  <c r="M71" i="4"/>
  <c r="B30" i="7" s="1"/>
  <c r="K71" i="4"/>
  <c r="N71" i="4" s="1"/>
  <c r="C30" i="7" s="1"/>
  <c r="Q40" i="5"/>
  <c r="P40" i="5"/>
  <c r="R40" i="5"/>
  <c r="O42" i="5"/>
  <c r="N41" i="5"/>
  <c r="L74" i="4" l="1"/>
  <c r="H73" i="4"/>
  <c r="A32" i="7"/>
  <c r="O72" i="4"/>
  <c r="D31" i="7" s="1"/>
  <c r="K72" i="4"/>
  <c r="N72" i="4" s="1"/>
  <c r="C31" i="7" s="1"/>
  <c r="M72" i="4"/>
  <c r="B31" i="7" s="1"/>
  <c r="P41" i="5"/>
  <c r="R41" i="5"/>
  <c r="Q41" i="5"/>
  <c r="O43" i="5"/>
  <c r="N42" i="5"/>
  <c r="K73" i="4" l="1"/>
  <c r="N73" i="4" s="1"/>
  <c r="C32" i="7" s="1"/>
  <c r="M73" i="4"/>
  <c r="B32" i="7" s="1"/>
  <c r="O73" i="4"/>
  <c r="D32" i="7" s="1"/>
  <c r="H74" i="4"/>
  <c r="L75" i="4"/>
  <c r="A33" i="7"/>
  <c r="O44" i="5"/>
  <c r="N43" i="5"/>
  <c r="Q42" i="5"/>
  <c r="P42" i="5"/>
  <c r="R42" i="5"/>
  <c r="K74" i="4" l="1"/>
  <c r="N74" i="4" s="1"/>
  <c r="C33" i="7" s="1"/>
  <c r="O74" i="4"/>
  <c r="D33" i="7" s="1"/>
  <c r="M74" i="4"/>
  <c r="B33" i="7" s="1"/>
  <c r="H75" i="4"/>
  <c r="L76" i="4"/>
  <c r="A34" i="7"/>
  <c r="P43" i="5"/>
  <c r="R43" i="5"/>
  <c r="Q43" i="5"/>
  <c r="O45" i="5"/>
  <c r="N44" i="5"/>
  <c r="K75" i="4" l="1"/>
  <c r="N75" i="4" s="1"/>
  <c r="C34" i="7" s="1"/>
  <c r="M75" i="4"/>
  <c r="B34" i="7" s="1"/>
  <c r="O75" i="4"/>
  <c r="D34" i="7" s="1"/>
  <c r="H76" i="4"/>
  <c r="L77" i="4"/>
  <c r="A35" i="7"/>
  <c r="O46" i="5"/>
  <c r="N46" i="5" s="1"/>
  <c r="N45" i="5"/>
  <c r="Q44" i="5"/>
  <c r="P44" i="5"/>
  <c r="R44" i="5"/>
  <c r="M76" i="4" l="1"/>
  <c r="B35" i="7" s="1"/>
  <c r="K76" i="4"/>
  <c r="N76" i="4" s="1"/>
  <c r="C35" i="7" s="1"/>
  <c r="O76" i="4"/>
  <c r="D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K77" i="4"/>
  <c r="N77" i="4" s="1"/>
  <c r="C36" i="7" s="1"/>
  <c r="O77" i="4"/>
  <c r="D36" i="7" s="1"/>
  <c r="M77" i="4"/>
  <c r="B36" i="7" s="1"/>
  <c r="H79" i="4" l="1"/>
  <c r="L80" i="4"/>
  <c r="A38" i="7"/>
  <c r="K78" i="4"/>
  <c r="N78" i="4" s="1"/>
  <c r="C37" i="7" s="1"/>
  <c r="O78" i="4"/>
  <c r="D37" i="7" s="1"/>
  <c r="M78" i="4"/>
  <c r="B37" i="7" s="1"/>
  <c r="H80" i="4" l="1"/>
  <c r="A39" i="7"/>
  <c r="L81" i="4"/>
  <c r="K79" i="4"/>
  <c r="N79" i="4" s="1"/>
  <c r="C38" i="7" s="1"/>
  <c r="M79" i="4"/>
  <c r="B38" i="7" s="1"/>
  <c r="O79" i="4"/>
  <c r="D38" i="7" s="1"/>
  <c r="H81" i="4" l="1"/>
  <c r="L82" i="4"/>
  <c r="A40" i="7"/>
  <c r="O80" i="4"/>
  <c r="D39" i="7" s="1"/>
  <c r="M80" i="4"/>
  <c r="B39" i="7" s="1"/>
  <c r="K80" i="4"/>
  <c r="N80" i="4" s="1"/>
  <c r="C39" i="7" s="1"/>
  <c r="H82" i="4" l="1"/>
  <c r="L83" i="4"/>
  <c r="M81" i="4"/>
  <c r="B40" i="7" s="1"/>
  <c r="K81" i="4"/>
  <c r="N81" i="4" s="1"/>
  <c r="C40" i="7" s="1"/>
  <c r="O81" i="4"/>
  <c r="D40" i="7" s="1"/>
  <c r="H83" i="4" l="1"/>
  <c r="L84" i="4"/>
  <c r="O82" i="4"/>
  <c r="M82" i="4"/>
  <c r="K82" i="4"/>
  <c r="N82" i="4" s="1"/>
  <c r="L85" i="4" l="1"/>
  <c r="H84" i="4"/>
  <c r="K83" i="4"/>
  <c r="N83" i="4" s="1"/>
  <c r="M83" i="4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<sst xmlns="http://schemas.openxmlformats.org/spreadsheetml/2006/main" count="1173" uniqueCount="743">
  <si>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</si>
  <si>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</si>
  <si>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</si>
  <si>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</si>
  <si>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</si>
  <si>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</si>
  <si>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</si>
  <si>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</si>
  <si>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</si>
  <si>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</si>
  <si>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</si>
  <si>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</si>
  <si>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</si>
  <si>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</si>
  <si>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</si>
  <si>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</si>
  <si>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</si>
  <si>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</si>
  <si>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</si>
  <si>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</si>
  <si>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</si>
  <si>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</si>
  <si>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</si>
  <si>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</si>
  <si>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</si>
  <si>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</si>
  <si>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</si>
  <si>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</si>
  <si>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</si>
  <si>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</si>
  <si>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</si>
  <si>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</si>
  <si>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</si>
  <si>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</si>
  <si>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</si>
  <si>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</si>
  <si>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</si>
  <si>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</si>
  <si>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</si>
  <si>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</si>
  <si>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</si>
  <si>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</si>
  <si>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</si>
  <si>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</si>
  <si>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</si>
  <si>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</si>
  <si>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</si>
  <si>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</si>
  <si>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</si>
  <si>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</si>
  <si>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</si>
  <si>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</si>
  <si>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</si>
  <si>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</si>
  <si>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</si>
  <si>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</si>
  <si>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</si>
  <si>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</si>
  <si>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</si>
  <si>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</si>
  <si>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</si>
  <si>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</si>
  <si>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</si>
  <si>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</si>
  <si>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</si>
  <si>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</si>
  <si>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</si>
  <si>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</si>
  <si>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</si>
  <si>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</si>
  <si>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</si>
  <si>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</si>
  <si>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</si>
  <si>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</si>
  <si>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</si>
  <si>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</si>
  <si>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</si>
  <si>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</si>
  <si>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</si>
  <si>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</si>
  <si>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</si>
  <si>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</si>
  <si>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</si>
  <si>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</si>
  <si>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</si>
  <si>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</si>
  <si>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</si>
  <si>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</si>
  <si>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</si>
  <si>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</si>
  <si>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</si>
  <si>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</si>
  <si>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</si>
  <si>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</si>
  <si>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</si>
  <si>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</si>
  <si>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</si>
  <si>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</si>
  <si>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</si>
  <si>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</si>
  <si>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</si>
  <si>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</si>
  <si>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</si>
  <si>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</si>
  <si>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</si>
  <si>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</si>
  <si>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</si>
  <si>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</si>
  <si>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</si>
  <si>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</si>
  <si>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</si>
  <si>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</si>
  <si>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</si>
  <si>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</si>
  <si>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</si>
  <si>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</si>
  <si>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</si>
  <si>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</si>
  <si>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</si>
  <si>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</si>
  <si>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</si>
  <si>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</si>
  <si>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</si>
  <si>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</si>
  <si>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</si>
  <si>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</si>
  <si>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</si>
  <si>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</si>
  <si>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</si>
  <si>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</si>
  <si>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</si>
  <si>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</si>
  <si>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</si>
  <si>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</si>
  <si>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</si>
  <si>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</si>
  <si>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</si>
  <si>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</si>
  <si>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</si>
  <si>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</si>
  <si>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</si>
  <si>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</si>
  <si>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</si>
  <si>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</si>
  <si>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</si>
  <si>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</si>
  <si>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</si>
  <si>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</si>
  <si>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</si>
  <si>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</si>
  <si>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</si>
  <si>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</si>
  <si>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</si>
  <si>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</si>
  <si>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</si>
  <si>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</si>
  <si>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</si>
  <si>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</si>
  <si>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</si>
  <si>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</si>
  <si>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</si>
  <si>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</si>
  <si>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</si>
  <si>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</si>
  <si>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</si>
  <si>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</si>
  <si>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</si>
  <si>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</si>
  <si>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</si>
  <si>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</si>
  <si>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</si>
  <si>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</si>
  <si>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</si>
  <si>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</si>
  <si>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</si>
  <si>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</si>
  <si>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</si>
  <si>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</si>
  <si>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</si>
  <si>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</si>
  <si>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</si>
  <si>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</si>
  <si>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</si>
  <si>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</si>
  <si>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</si>
  <si>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</si>
  <si>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</si>
  <si>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</si>
  <si>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</si>
  <si>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</si>
  <si>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</si>
  <si>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</si>
  <si>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</si>
  <si>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</si>
  <si>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</si>
  <si>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</si>
  <si>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</si>
  <si>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</si>
  <si>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</si>
  <si>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</si>
  <si>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</si>
  <si>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</si>
  <si>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</si>
  <si>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</si>
  <si>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</si>
  <si>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</si>
  <si>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</si>
  <si>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</si>
  <si>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</si>
  <si>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</si>
  <si>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</si>
  <si>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</si>
  <si>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</si>
  <si>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</si>
  <si>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</si>
  <si>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de Souza C</t>
  </si>
  <si>
    <t>Clayton</t>
  </si>
  <si>
    <t>Seymour C</t>
  </si>
  <si>
    <t>H</t>
  </si>
  <si>
    <t>Queries</t>
  </si>
  <si>
    <t>9/0/dnb/0/0</t>
  </si>
  <si>
    <t>TOCC</t>
  </si>
  <si>
    <t>L</t>
  </si>
  <si>
    <t>Beddington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</si>
  <si>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</si>
  <si>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</si>
  <si>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</si>
  <si>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</si>
  <si>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</si>
  <si>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</si>
  <si>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</si>
  <si>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</si>
  <si>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</si>
  <si>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</si>
  <si>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</si>
  <si>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</si>
  <si>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</si>
  <si>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</si>
  <si>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</si>
  <si>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</si>
  <si>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</si>
  <si>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Row Labels</t>
  </si>
  <si>
    <t>Grand Total</t>
  </si>
  <si>
    <t>Count of Name</t>
  </si>
  <si>
    <t>mdn %</t>
  </si>
  <si>
    <t>Chaitanya</t>
  </si>
  <si>
    <t>Sunkara C</t>
  </si>
  <si>
    <t>Mander A</t>
  </si>
  <si>
    <t>7/0/dnb/0/0</t>
  </si>
  <si>
    <t>Norwood Exiles</t>
  </si>
  <si>
    <t>2/0/b/0/0</t>
  </si>
  <si>
    <t>11/0/dnb/0/0</t>
  </si>
  <si>
    <t>6/0/dnb/0/0</t>
  </si>
  <si>
    <t>5/0/dnb/0/0</t>
  </si>
  <si>
    <t>Vijay</t>
  </si>
  <si>
    <t>Vashisthta</t>
  </si>
  <si>
    <t>Vashisthta V</t>
  </si>
  <si>
    <t>A</t>
  </si>
  <si>
    <t>10/0/dnb/0/0</t>
  </si>
  <si>
    <t>Sanderstead</t>
  </si>
  <si>
    <t>Lestrelle J</t>
  </si>
  <si>
    <t>5/0/c/0/0</t>
  </si>
  <si>
    <t>Steeple Langford</t>
  </si>
  <si>
    <t>8/0/dnb/0/0</t>
  </si>
  <si>
    <t>Woodgreen</t>
  </si>
  <si>
    <t>D</t>
  </si>
  <si>
    <t>Edghill D</t>
  </si>
  <si>
    <t>4/0/30/1</t>
  </si>
  <si>
    <t>11/0/dnb*/0/0</t>
  </si>
  <si>
    <t>Daniel</t>
  </si>
  <si>
    <t>4/0/dnb/0/0</t>
  </si>
  <si>
    <t>2/0/20/0</t>
  </si>
  <si>
    <t>5/0/b/0/0</t>
  </si>
  <si>
    <t>8/0/dnb/1/0</t>
  </si>
  <si>
    <t>RACS</t>
  </si>
  <si>
    <t>6/0/34/1</t>
  </si>
  <si>
    <t>Edghill R</t>
  </si>
  <si>
    <t>Robert</t>
  </si>
  <si>
    <t>4/0/lb/0/0</t>
  </si>
  <si>
    <t>FiveFors</t>
  </si>
  <si>
    <t>Tony</t>
  </si>
  <si>
    <t>Springer T</t>
  </si>
  <si>
    <t>Azfar S</t>
  </si>
  <si>
    <t>Sharpe</t>
  </si>
  <si>
    <t>Seymour</t>
  </si>
  <si>
    <t>Springer</t>
  </si>
  <si>
    <t>Middleton</t>
  </si>
  <si>
    <t>*</t>
  </si>
  <si>
    <t>Fonthill Park</t>
  </si>
  <si>
    <t>James</t>
  </si>
  <si>
    <t>Goedhart J</t>
  </si>
  <si>
    <t>Syed</t>
  </si>
  <si>
    <t>1/0/5/1</t>
  </si>
  <si>
    <t>3/0/25/1</t>
  </si>
  <si>
    <t>Shades</t>
  </si>
  <si>
    <t>4/0/b/0/0</t>
  </si>
  <si>
    <t>7/0/dnb*/2/0</t>
  </si>
  <si>
    <t>5/0/19/0</t>
  </si>
  <si>
    <t>Rao</t>
  </si>
  <si>
    <t>6/0/b/0/0</t>
  </si>
  <si>
    <t>2/0/6/0</t>
  </si>
  <si>
    <t>6/0/lb/0/0</t>
  </si>
  <si>
    <t>7/0/27/1</t>
  </si>
  <si>
    <t>Ottey A</t>
  </si>
  <si>
    <t>Winter T</t>
  </si>
  <si>
    <t>4/0/17/0</t>
  </si>
  <si>
    <t>Chadwick</t>
  </si>
  <si>
    <t>2/20/b/0/3.0</t>
  </si>
  <si>
    <t>Farmer M</t>
  </si>
  <si>
    <t>Statics</t>
  </si>
  <si>
    <t>Sharpe 68, Springer 50*</t>
  </si>
  <si>
    <t>Rushforth 45, Ward T 41</t>
  </si>
  <si>
    <t>1/68/c+/0.1/6.4</t>
  </si>
  <si>
    <t>2/7/c/0/0</t>
  </si>
  <si>
    <t>3/50/no/0/3.0</t>
  </si>
  <si>
    <t>4/13/st/0/0</t>
  </si>
  <si>
    <t>5/2/b/0/0</t>
  </si>
  <si>
    <t>7/7/b/0/0</t>
  </si>
  <si>
    <t>8/3/no/0/0</t>
  </si>
  <si>
    <t>9/0/dnb*/2/0</t>
  </si>
  <si>
    <t>6/2/10/0</t>
  </si>
  <si>
    <t>3/0/31/0</t>
  </si>
  <si>
    <t>6/1/25/0</t>
  </si>
  <si>
    <t>6/0/26/2</t>
  </si>
  <si>
    <t>6/2/9/0</t>
  </si>
  <si>
    <t>6/0/24/1</t>
  </si>
  <si>
    <t>1/0/19/0</t>
  </si>
  <si>
    <t>3/0/21/1</t>
  </si>
  <si>
    <t>2/1/9/1</t>
  </si>
  <si>
    <t>Churchleigh</t>
  </si>
  <si>
    <t>Asif 87</t>
  </si>
  <si>
    <t>Middleton 43, Asif 3-16</t>
  </si>
  <si>
    <t>1/2/c/1/0</t>
  </si>
  <si>
    <t>2/34/c+/0/4.2</t>
  </si>
  <si>
    <t>3/31/c/1/4.0</t>
  </si>
  <si>
    <t>4/43/lb*/0/7.1</t>
  </si>
  <si>
    <t>5/15/lb+/1.0/1.1</t>
  </si>
  <si>
    <t>6/12/no/0/2.0</t>
  </si>
  <si>
    <t>7/1/b/1/0</t>
  </si>
  <si>
    <t>Mo</t>
  </si>
  <si>
    <t>8/11/b/1/2.0</t>
  </si>
  <si>
    <t>Tom</t>
  </si>
  <si>
    <t>Pascoe T</t>
  </si>
  <si>
    <t>Mustafa M</t>
  </si>
  <si>
    <t>9/0/c/0/0</t>
  </si>
  <si>
    <t>10/4/ro/0/1.0</t>
  </si>
  <si>
    <t>8/2/30/2</t>
  </si>
  <si>
    <t>4/0/18/1</t>
  </si>
  <si>
    <t>8/0/28/2</t>
  </si>
  <si>
    <t>7/1/47/1</t>
  </si>
  <si>
    <t>1/0/8/2</t>
  </si>
  <si>
    <t>Shiv 54</t>
  </si>
  <si>
    <t>Clarkson 60, Green 3-31</t>
  </si>
  <si>
    <t>8/6/5/1</t>
  </si>
  <si>
    <t>8/0/39/1</t>
  </si>
  <si>
    <t>4/0/21/0</t>
  </si>
  <si>
    <t>8/1/22/1</t>
  </si>
  <si>
    <t>8/0/26/1</t>
  </si>
  <si>
    <t>Pascoe N</t>
  </si>
  <si>
    <t>2/0/18/1</t>
  </si>
  <si>
    <t>2/0/16/0</t>
  </si>
  <si>
    <t>1/60/st+/0/8.2</t>
  </si>
  <si>
    <t>2/9/c/0/1.0</t>
  </si>
  <si>
    <t>3/29/b/1/6.0</t>
  </si>
  <si>
    <t>4/22/no/0/3.0</t>
  </si>
  <si>
    <t>Nick</t>
  </si>
  <si>
    <t>6/17/c/0/1.2</t>
  </si>
  <si>
    <t>7/4/no/0/1.0</t>
  </si>
  <si>
    <t>9/0/dnb*/0/0</t>
  </si>
  <si>
    <t>Dave</t>
  </si>
  <si>
    <t>Brocks D</t>
  </si>
  <si>
    <t>10/0/dnb/1/0</t>
  </si>
  <si>
    <t>Gerald 116. Edghill C 2-0</t>
  </si>
  <si>
    <t>Springer 102, Brocks 54</t>
  </si>
  <si>
    <t>Middleton 3-17</t>
  </si>
  <si>
    <t>Leadley 30*</t>
  </si>
  <si>
    <t>7/3/10/0</t>
  </si>
  <si>
    <t>7/2/21/2</t>
  </si>
  <si>
    <t>7/0/41/1</t>
  </si>
  <si>
    <t>4/0/17/3</t>
  </si>
  <si>
    <t>3/0/9/2</t>
  </si>
  <si>
    <t>1/6/b*/0/1.0</t>
  </si>
  <si>
    <t>2/4/b/1/1.0</t>
  </si>
  <si>
    <t>3/54/b+/0/8.1</t>
  </si>
  <si>
    <t>4/102/c+/3.1/11.3</t>
  </si>
  <si>
    <t>5/20/b/0/0</t>
  </si>
  <si>
    <t>6/3/c/0/0</t>
  </si>
  <si>
    <t>7/14/c/0/1.0</t>
  </si>
  <si>
    <t>8/5/no/0/0</t>
  </si>
  <si>
    <t>7/3/15/2</t>
  </si>
  <si>
    <t>8/1/40/1</t>
  </si>
  <si>
    <t>6/1/42/1</t>
  </si>
  <si>
    <t>6/0/65/0</t>
  </si>
  <si>
    <t>5/0/39/0</t>
  </si>
  <si>
    <t>1/1/0/2</t>
  </si>
  <si>
    <t>2/0/14/0</t>
  </si>
  <si>
    <t>2/0/7/0</t>
  </si>
  <si>
    <t>3/0/14/1</t>
  </si>
  <si>
    <t>1/9/lb+/0/2.0</t>
  </si>
  <si>
    <t>3/22/b/0/5.0</t>
  </si>
  <si>
    <t>5/30/no/0/4.0</t>
  </si>
  <si>
    <t>6/11/b/1/2.0</t>
  </si>
  <si>
    <t>7/27/lb/0/5.1</t>
  </si>
  <si>
    <t>9/0/no/1/0</t>
  </si>
  <si>
    <t>8/19/c*/0/4.0</t>
  </si>
  <si>
    <t>Mander A 3-23, Edghill D 2-25</t>
  </si>
  <si>
    <t>Middleton 54*</t>
  </si>
  <si>
    <t>1/23/c/0/5.0</t>
  </si>
  <si>
    <t>2/54/no/0/6.1</t>
  </si>
  <si>
    <t>3/23/b/0/4.1</t>
  </si>
  <si>
    <t>4/28/no*+/1.0/3.1</t>
  </si>
  <si>
    <t>9/0/dnb/3/0</t>
  </si>
  <si>
    <t>7/2/25/2</t>
  </si>
  <si>
    <t>3/0/10/0</t>
  </si>
  <si>
    <t>7/3/23/3</t>
  </si>
  <si>
    <t>8/1/17/1</t>
  </si>
  <si>
    <t>7/2/27/0</t>
  </si>
  <si>
    <t>Clark 4-2</t>
  </si>
  <si>
    <t>Hill 3-21</t>
  </si>
  <si>
    <t>1/1/b/1/0</t>
  </si>
  <si>
    <t>2/23/b/0/3.0</t>
  </si>
  <si>
    <t>3/0/c/0/0</t>
  </si>
  <si>
    <t>Ben</t>
  </si>
  <si>
    <t>Lindsay B</t>
  </si>
  <si>
    <t>4/5/b/0/1.0</t>
  </si>
  <si>
    <t>5/4/b/1/1.0</t>
  </si>
  <si>
    <t>6/23/b+/2.0/4.0</t>
  </si>
  <si>
    <t>7/3/no/1/0</t>
  </si>
  <si>
    <t>8/22/no/1/2.1</t>
  </si>
  <si>
    <t>5/2/13/0</t>
  </si>
  <si>
    <t>5/1/23/1</t>
  </si>
  <si>
    <t>8/0/23/1</t>
  </si>
  <si>
    <t>5/2/4/2</t>
  </si>
  <si>
    <t>5/0/16/2</t>
  </si>
  <si>
    <t>2.3/1/2/4</t>
  </si>
  <si>
    <t>LESSA Wanderers</t>
  </si>
  <si>
    <t>Brown 70, Leadley 3-13</t>
  </si>
  <si>
    <t>Middleton 52, Feroz 3-19</t>
  </si>
  <si>
    <t>1/1/c/0/0/</t>
  </si>
  <si>
    <t>2/1/rh+/1.1/0</t>
  </si>
  <si>
    <t>3/20/ro/1/2.0</t>
  </si>
  <si>
    <t>4/8/ro/1/0</t>
  </si>
  <si>
    <t>5/8/lb/0/1.0</t>
  </si>
  <si>
    <t>7/52/b*/1/8.0</t>
  </si>
  <si>
    <t>8/1/b/0/0</t>
  </si>
  <si>
    <t>9/0/b/1/0</t>
  </si>
  <si>
    <t>10/6/b/0/0</t>
  </si>
  <si>
    <t>7/3/13/1</t>
  </si>
  <si>
    <t>7/0/36/0</t>
  </si>
  <si>
    <t>7/0/32/2</t>
  </si>
  <si>
    <t>6/0/36/1</t>
  </si>
  <si>
    <t>3/0/13/3</t>
  </si>
  <si>
    <t>3/0/20/2</t>
  </si>
  <si>
    <t>Lessa</t>
  </si>
  <si>
    <t>Worcester Park</t>
  </si>
  <si>
    <t>Seymour 6-25</t>
  </si>
  <si>
    <t>Sharpe 94*, Edghill D 31*</t>
  </si>
  <si>
    <t>1/94/no+/0.1/15.2</t>
  </si>
  <si>
    <t>2/3/b/1/0</t>
  </si>
  <si>
    <t>3/31/no/0/3.0</t>
  </si>
  <si>
    <t>11/0/dnb/1/0</t>
  </si>
  <si>
    <t>15/2/41/1</t>
  </si>
  <si>
    <t>6/1/12/0</t>
  </si>
  <si>
    <t>10/2/25/6</t>
  </si>
  <si>
    <t>6/2/19/1</t>
  </si>
  <si>
    <t>1/0/9/0</t>
  </si>
  <si>
    <t>2013 Season</t>
  </si>
  <si>
    <t>Feroz 3-19</t>
  </si>
  <si>
    <t>Edghill C 3-20</t>
  </si>
  <si>
    <t>1/2/c/0/0</t>
  </si>
  <si>
    <t>2/14/c+/3.1/3.0</t>
  </si>
  <si>
    <t>3/1/ro/0/0</t>
  </si>
  <si>
    <t>4/19/b*/0/2.1</t>
  </si>
  <si>
    <t>5/4/b/0/0</t>
  </si>
  <si>
    <t>6/16/b/0/3.0</t>
  </si>
  <si>
    <t>7/11/b/0/0</t>
  </si>
  <si>
    <t>8/6/c/0/1.0</t>
  </si>
  <si>
    <t>9/19/no/0/1.0</t>
  </si>
  <si>
    <t>10/0/b/0/0</t>
  </si>
  <si>
    <t>11/7/no/0/1.0</t>
  </si>
  <si>
    <t>4/0/15/0</t>
  </si>
  <si>
    <t>6/1/22/0</t>
  </si>
  <si>
    <t>5/0/28/1</t>
  </si>
  <si>
    <t>5/1/13/0</t>
  </si>
  <si>
    <t>3.5/0/20/3</t>
  </si>
  <si>
    <t>Donelly 115</t>
  </si>
  <si>
    <t>Stevenson 64*, Springer 53</t>
  </si>
  <si>
    <t>1/34/c/0/1.0</t>
  </si>
  <si>
    <t>2/11/b/0/0</t>
  </si>
  <si>
    <t>3/53/lb/0/6.0</t>
  </si>
  <si>
    <t>Stevenson R</t>
  </si>
  <si>
    <t>4/64/no/0/7.0</t>
  </si>
  <si>
    <t>6/3/b/1/0</t>
  </si>
  <si>
    <t>8/13/no*/0/0.1</t>
  </si>
  <si>
    <t>5/37/b+/0/4.1</t>
  </si>
  <si>
    <t>Stevenson E</t>
  </si>
  <si>
    <t>7.5/1/41/2</t>
  </si>
  <si>
    <t>3/0/24/0</t>
  </si>
  <si>
    <t>7/1/21/2</t>
  </si>
  <si>
    <t>8/0/34/0</t>
  </si>
  <si>
    <t>4/0/28/0</t>
  </si>
  <si>
    <t>3/0/35/0</t>
  </si>
  <si>
    <t>2/0/15/0</t>
  </si>
  <si>
    <t>Vishwa</t>
  </si>
  <si>
    <t>Asim 66, Prashant 55, Seymour 3-65</t>
  </si>
  <si>
    <t>1/35/c/0/4.2</t>
  </si>
  <si>
    <t>3/17/c/1/3.0</t>
  </si>
  <si>
    <t>4/27/c*/1/4.1</t>
  </si>
  <si>
    <t>5/4/b/0/1.0</t>
  </si>
  <si>
    <t>Pascoe M</t>
  </si>
  <si>
    <t>7/5/c/1/1.0</t>
  </si>
  <si>
    <t>8/10/ro+/0.1/2.0</t>
  </si>
  <si>
    <t>9/3/c/0/0</t>
  </si>
  <si>
    <t>Heffernan S</t>
  </si>
  <si>
    <t>10/4/no/0/1.0</t>
  </si>
  <si>
    <t>8/1/34/1</t>
  </si>
  <si>
    <t>4/0/15/2</t>
  </si>
  <si>
    <t>4/0/29/0</t>
  </si>
  <si>
    <t>8/0/65/3</t>
  </si>
  <si>
    <t>2/0/8/1</t>
  </si>
  <si>
    <t>1/0/9/1</t>
  </si>
  <si>
    <t>1/0/6/1</t>
  </si>
  <si>
    <t>Southern Railway</t>
  </si>
  <si>
    <t>George 106</t>
  </si>
  <si>
    <t>Driver 60</t>
  </si>
  <si>
    <t>1/6/c/0/1.0</t>
  </si>
  <si>
    <t>2/4/b/0/1.0</t>
  </si>
  <si>
    <t>3/17/c/0/4.0</t>
  </si>
  <si>
    <t>4/29/c*/1/2.3</t>
  </si>
  <si>
    <t>Driver S</t>
  </si>
  <si>
    <t>5/60/b/2/11.1</t>
  </si>
  <si>
    <t>Lovell A</t>
  </si>
  <si>
    <t>7/31/c/0/3.1</t>
  </si>
  <si>
    <t>8/0/b/0/0</t>
  </si>
  <si>
    <t>9/8/b/0/1.0</t>
  </si>
  <si>
    <t>10/0/c/0/0</t>
  </si>
  <si>
    <t>11/3/no+/0/0</t>
  </si>
  <si>
    <t>8/1/35/0</t>
  </si>
  <si>
    <t>8/0/44/2</t>
  </si>
  <si>
    <t>4/0/20/0</t>
  </si>
  <si>
    <t>7/0/55/0</t>
  </si>
  <si>
    <t>6/0/42/1</t>
  </si>
  <si>
    <t>2/0/15/1</t>
  </si>
  <si>
    <t>Driver S 64, Sharpe 61, Vinay 3-23</t>
  </si>
  <si>
    <t>Duggal 91, Singh V 56, Middleton 3-33</t>
  </si>
  <si>
    <t>1/61/c+/0/10.0</t>
  </si>
  <si>
    <t>3/5/b/0/1.0</t>
  </si>
  <si>
    <t>4/64/b/0/11.0</t>
  </si>
  <si>
    <t>5/39/c/0/4.2</t>
  </si>
  <si>
    <t>6/1/b/0/0</t>
  </si>
  <si>
    <t>7/12/c/0/1.0</t>
  </si>
  <si>
    <t>8/17/no*/2/0.2</t>
  </si>
  <si>
    <t>9/6/no/0/1.0</t>
  </si>
  <si>
    <t>8/1/20/2</t>
  </si>
  <si>
    <t>4/1/14/0</t>
  </si>
  <si>
    <t>8/0/56/1</t>
  </si>
  <si>
    <t>3/0/34/0</t>
  </si>
  <si>
    <t>8/1/33/3</t>
  </si>
  <si>
    <t>3/0/25/0</t>
  </si>
  <si>
    <t>3.4/0/15/2</t>
  </si>
  <si>
    <t>Southbank</t>
  </si>
  <si>
    <t>Brocks 48, Sharpe 45</t>
  </si>
  <si>
    <t>Thorten 55, Edghill D 4-33, Sharpe 3-12</t>
  </si>
  <si>
    <t>1/45/b/0/9.0</t>
  </si>
  <si>
    <t>2/35/b/0/2.0</t>
  </si>
  <si>
    <t>3/8/c/2/0</t>
  </si>
  <si>
    <t>Sam</t>
  </si>
  <si>
    <t>4/10/c/2/0</t>
  </si>
  <si>
    <t>5/48/c/0/7.0</t>
  </si>
  <si>
    <t>6/20/c/0/2.0</t>
  </si>
  <si>
    <t>7/2/ro/0/0</t>
  </si>
  <si>
    <t>8/5/no*/0/1.0</t>
  </si>
  <si>
    <t>10/0/dnb+/3.0/0</t>
  </si>
  <si>
    <t>8/0/38/0</t>
  </si>
  <si>
    <t>8/1/27/0</t>
  </si>
  <si>
    <t>8/2/33/4</t>
  </si>
  <si>
    <t>4/0/12/3</t>
  </si>
  <si>
    <t>3.2/0/10/2</t>
  </si>
  <si>
    <t>Eltham</t>
  </si>
  <si>
    <t>Fisher 61, Bisley 66, Seymour 4-49</t>
  </si>
  <si>
    <t>Springer 66*, Sharpe 59</t>
  </si>
  <si>
    <t>1/9/b/0/1.0</t>
  </si>
  <si>
    <t>2/59/st+/0/10.2</t>
  </si>
  <si>
    <t>3/66/no/0/14.0</t>
  </si>
  <si>
    <t>4/5/c/2/1.0</t>
  </si>
  <si>
    <t>Adams L</t>
  </si>
  <si>
    <t>7/5/no/0/1.0</t>
  </si>
  <si>
    <t>8/0/dnb*/1/0</t>
  </si>
  <si>
    <t>10/2/27/2</t>
  </si>
  <si>
    <t>5/0/21/0</t>
  </si>
  <si>
    <t>7/0/25/1</t>
  </si>
  <si>
    <t>15/4/49/4</t>
  </si>
  <si>
    <t>5/0/21/1</t>
  </si>
  <si>
    <t>Dulwich</t>
  </si>
  <si>
    <t>Swanson B 4-18, Ebert 4-24</t>
  </si>
  <si>
    <t>Springer 4-31</t>
  </si>
  <si>
    <t>1/17/b/0/2.0</t>
  </si>
  <si>
    <t>2/14/c+/2.0/2.0</t>
  </si>
  <si>
    <t>3/12/c/0/3.0</t>
  </si>
  <si>
    <t>4/25/b/0/3.0</t>
  </si>
  <si>
    <t>5/5/b/0/1.0</t>
  </si>
  <si>
    <t>7/7/c/0/1.0</t>
  </si>
  <si>
    <t>8/19/lb/0/5.0</t>
  </si>
  <si>
    <t>9/27/no*/0/5.0</t>
  </si>
  <si>
    <t>10/23/b/0/3.0</t>
  </si>
  <si>
    <t>11/1/c/1/0</t>
  </si>
  <si>
    <t>14/3/31/4</t>
  </si>
  <si>
    <t>5/0/12/1</t>
  </si>
  <si>
    <t>6/0/24/0</t>
  </si>
  <si>
    <t>4/0/23/1</t>
  </si>
  <si>
    <t>6/1/16/0</t>
  </si>
  <si>
    <t>Seymour 84</t>
  </si>
  <si>
    <t>Seymour 3-40</t>
  </si>
  <si>
    <t>1/84/lb/1/14.0</t>
  </si>
  <si>
    <t>2/24/c/1/5.0</t>
  </si>
  <si>
    <t>3/37/c/1/6.0</t>
  </si>
  <si>
    <t>4/29/no/1/3.0</t>
  </si>
  <si>
    <t>6/15/no/0/1.0</t>
  </si>
  <si>
    <t>7/0/dnb*/1/0</t>
  </si>
  <si>
    <t>11/0/dnb+/1.0/0</t>
  </si>
  <si>
    <t>9.5/1/35/0</t>
  </si>
  <si>
    <t>5/0/27/0</t>
  </si>
  <si>
    <t>9/0/40/3</t>
  </si>
  <si>
    <t>7/1/23/2</t>
  </si>
  <si>
    <t>4/0/26/1</t>
  </si>
  <si>
    <t>0.1/0/5/0</t>
  </si>
  <si>
    <t>Wilson 52, Edghill D 3-30</t>
  </si>
  <si>
    <t>Middleton 47*</t>
  </si>
  <si>
    <t>1/1/b/0/0</t>
  </si>
  <si>
    <t>2/17/c/0/3.0</t>
  </si>
  <si>
    <t>3/7/c+/1.1/1.0</t>
  </si>
  <si>
    <t>4/28/c*/0/4.1</t>
  </si>
  <si>
    <t>5/1/b/1/0</t>
  </si>
  <si>
    <t>6/19/c/0/2.0</t>
  </si>
  <si>
    <t>7/47/no/1/7.0</t>
  </si>
  <si>
    <t>8/10/no/0/0</t>
  </si>
  <si>
    <t>7/0/30/3</t>
  </si>
  <si>
    <t>4/0/26/0</t>
  </si>
  <si>
    <t>7/1/15/0</t>
  </si>
  <si>
    <t>8/3/18/2</t>
  </si>
  <si>
    <t>8/0/45/2</t>
  </si>
  <si>
    <t>3/1/5/0</t>
  </si>
  <si>
    <t>3/0/9/1</t>
  </si>
  <si>
    <t>Lemon 81*, Lock 54*</t>
  </si>
  <si>
    <t>Middleton 53</t>
  </si>
  <si>
    <t>1/5/c/0/0</t>
  </si>
  <si>
    <t>2/0/ro/0/0</t>
  </si>
  <si>
    <t>3/9/b/0/1.0</t>
  </si>
  <si>
    <t>4/37/b/0/6.0</t>
  </si>
  <si>
    <t>5/1/b/0/0</t>
  </si>
  <si>
    <t>6/32/lb/0/2.0</t>
  </si>
  <si>
    <t>7/53/c*/0/5.1</t>
  </si>
  <si>
    <t>8/20/no+/0.1/2.0</t>
  </si>
  <si>
    <t>9/10/no/0/0</t>
  </si>
  <si>
    <t>8/1/37/1</t>
  </si>
  <si>
    <t>8/2/23/0</t>
  </si>
  <si>
    <t>7/0/40/0</t>
  </si>
  <si>
    <t>4/0/46/0</t>
  </si>
  <si>
    <t>1/0/7/0</t>
  </si>
  <si>
    <t>Clarkson 43*, Malik 3-22</t>
  </si>
  <si>
    <t>Thornton 52, Lennon 52</t>
  </si>
  <si>
    <t>1/40/lb/1/7.0</t>
  </si>
  <si>
    <t>3/8/lb/0/1.0</t>
  </si>
  <si>
    <t>5/3/c/0/0</t>
  </si>
  <si>
    <t>6/13/b/0/0.1</t>
  </si>
  <si>
    <t>7/40/b*/0/5.0</t>
  </si>
  <si>
    <t>8/12/b/0/2.0</t>
  </si>
  <si>
    <t>9/9/b/0/0</t>
  </si>
  <si>
    <t>10/43/no+/0/5.2</t>
  </si>
  <si>
    <t>11/0/b/0/0</t>
  </si>
  <si>
    <t>2/4/c/1/1.0</t>
  </si>
  <si>
    <t>13/5/21/1</t>
  </si>
  <si>
    <t>5/1/15/0</t>
  </si>
  <si>
    <t>9/0/48/1</t>
  </si>
  <si>
    <t>1/0/14/0</t>
  </si>
  <si>
    <t>5/0/3/1</t>
  </si>
  <si>
    <t>1/1/0/0</t>
  </si>
  <si>
    <t>2/0/7/1</t>
  </si>
  <si>
    <t>1/0/3/0</t>
  </si>
  <si>
    <t>2/0/9/1</t>
  </si>
  <si>
    <t>Bromley Town &amp; Old Bromley</t>
  </si>
  <si>
    <t>Springer 49*, Graham 3-19</t>
  </si>
  <si>
    <t>Springer 6-2</t>
  </si>
  <si>
    <t>1/22/b/0/1.0</t>
  </si>
  <si>
    <t>2/14/b/0/0</t>
  </si>
  <si>
    <t>3/17/b*+/0.1/4.0</t>
  </si>
  <si>
    <t>4/49/no/1/8.0</t>
  </si>
  <si>
    <t>5/4/c/0/1.0</t>
  </si>
  <si>
    <t>6/6/b/0/1.0</t>
  </si>
  <si>
    <t>7/2/st/0/0</t>
  </si>
  <si>
    <t>9/1/no/0/0</t>
  </si>
  <si>
    <t>4/0/10/1</t>
  </si>
  <si>
    <t>4/3/2/6</t>
  </si>
  <si>
    <t>1/0/7/1</t>
  </si>
  <si>
    <t>0.3/0/0/0</t>
  </si>
  <si>
    <t>Driver S 4-0-64-139</t>
  </si>
  <si>
    <t>Leadley J 2-1-30*-31</t>
  </si>
  <si>
    <t>Lovell A 3-1-31-47</t>
  </si>
  <si>
    <t>Pascoe M 4-1-32-46</t>
  </si>
  <si>
    <t>Azfar S 3-1-13-29</t>
  </si>
  <si>
    <t>Sunkara C 2-1-7-12</t>
  </si>
  <si>
    <t>Bowers M 2-1-10*-11</t>
  </si>
  <si>
    <t>Mustafa M 1-0-11-11</t>
  </si>
  <si>
    <t>Nair S 1-0-2-2</t>
  </si>
  <si>
    <t>Pascoe T 4-0-3-6</t>
  </si>
  <si>
    <t>Mander A 2-0-3-3</t>
  </si>
  <si>
    <t>Kiernan M 1-0-0-0</t>
  </si>
  <si>
    <t>Clark C 1-1-7*-7</t>
  </si>
  <si>
    <t>Snow 1-0-0-0</t>
  </si>
  <si>
    <t>Stevenson R 1-1-64*-64</t>
  </si>
  <si>
    <t>Heffernan S 1-1-4*-4</t>
  </si>
  <si>
    <t>Wiseman R 1-0-0-0</t>
  </si>
  <si>
    <t>Winter T 1-0-0-0</t>
  </si>
  <si>
    <t>Lindsay B 1-0-0-0</t>
  </si>
  <si>
    <t>Adams L 1-0-0-0</t>
  </si>
  <si>
    <t>Sharpe D 5-0-20-5,</t>
  </si>
  <si>
    <t>Leadley J 3-0-13-3,</t>
  </si>
  <si>
    <t>Heffernan S 1-0-6-1,</t>
  </si>
  <si>
    <t>Clark C 20.3-6-55-7,</t>
  </si>
  <si>
    <t>Lindsay B 5-0-16-2,</t>
  </si>
  <si>
    <t>Edghill C 9.2-1-60-6,</t>
  </si>
  <si>
    <t>Mustafa M 8-0-28-2,</t>
  </si>
  <si>
    <t>Bowers M 13-0-76-4,</t>
  </si>
  <si>
    <t>Nair S 3-0-21-1,</t>
  </si>
  <si>
    <t>Driver S 34-3-129-6,</t>
  </si>
  <si>
    <t>Ottey A 7-1-46-2,</t>
  </si>
  <si>
    <t>Mander A 67-16-193-8,</t>
  </si>
  <si>
    <t>Pascoe N 32.4-1-145-6,</t>
  </si>
  <si>
    <t>Winter T 3-0-25-1,</t>
  </si>
  <si>
    <t>Pascoe T 5-0-29-1,</t>
  </si>
  <si>
    <t>Smith C 5-0-30-1,</t>
  </si>
  <si>
    <t>Clarkson M 15-0-96-3,</t>
  </si>
  <si>
    <t>Azfar S 4-0-35-1,</t>
  </si>
  <si>
    <t>Edghill R 32.3-3-142-4,</t>
  </si>
  <si>
    <t>Brocks D 13-0-79-2,</t>
  </si>
  <si>
    <t>Vashisthta V 26-80-155-3,</t>
  </si>
  <si>
    <t>Sunkara C 11-1-71-1,</t>
  </si>
  <si>
    <t>Kiernan M 1-0-3-0,</t>
  </si>
  <si>
    <t>Stevenson R 8-0-34-0,</t>
  </si>
  <si>
    <t>Pascoe M 12-0-76-0,</t>
  </si>
  <si>
    <t>3/0/22/1</t>
  </si>
  <si>
    <t>5/0/35/2</t>
  </si>
  <si>
    <t>Snow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</si>
</sst>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4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</cellXfs>
  <cellStyles count="2">
    <cellStyle name="Normal" xfId="0" builtinId="0"/>
    <cellStyle name="Percent" xfId="1" builtinId="5"/>
  </cellStyles>
  <dxfs count="5">
    <dxf>
      <fill>
        <patternFill>
          <bgColor theme="5" tint="0.39994506668294322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1303.850547916663" createdVersion="3" refreshedVersion="3" minRefreshableVersion="3" recordCount="28">
  <cacheSource type="worksheet">
    <worksheetSource ref="D25:D53" sheet="Partnerships"/>
  </cacheSource>
  <cacheFields count="1">
    <cacheField name="Name" numFmtId="0">
      <sharedItems count="9">
        <s v="Edghill C"/>
        <s v="Edghill D"/>
        <s v="Leadley J"/>
        <s v="Middleton"/>
        <s v="Rao"/>
        <s v="Seymour"/>
        <s v="Sharpe"/>
        <s v="Sharpe D"/>
        <s v="Spring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</r>
  <r>
    <x v="1"/>
  </r>
  <r>
    <x v="2"/>
  </r>
  <r>
    <x v="3"/>
  </r>
  <r>
    <x v="3"/>
  </r>
  <r>
    <x v="3"/>
  </r>
  <r>
    <x v="3"/>
  </r>
  <r>
    <x v="3"/>
  </r>
  <r>
    <x v="3"/>
  </r>
  <r>
    <x v="4"/>
  </r>
  <r>
    <x v="4"/>
  </r>
  <r>
    <x v="4"/>
  </r>
  <r>
    <x v="5"/>
  </r>
  <r>
    <x v="5"/>
  </r>
  <r>
    <x v="6"/>
  </r>
  <r>
    <x v="6"/>
  </r>
  <r>
    <x v="6"/>
  </r>
  <r>
    <x v="6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G28:H38" firstHeaderRow="1" firstDataRow="1" firstDataCol="1"/>
  <pivotFields count="1">
    <pivotField axis="axisRow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AB8" sqref="AB8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466</v>
      </c>
      <c r="B1" s="29"/>
      <c r="C1" s="39" t="str">
        <f t="array" ref="C1">"Won:"&amp;SUM(IF($E$5:$E$67="W",1,0))</f>
        <v>Won:13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Lost:8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208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197</v>
      </c>
      <c r="AA2" s="45">
        <f>MAX(AA5:AA59)</f>
        <v>235</v>
      </c>
      <c r="AB2" s="45">
        <f>MAX(AB5:AB59)</f>
        <v>249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209</v>
      </c>
      <c r="O3" s="177">
        <f>MAX(O5:O25)</f>
        <v>43.5</v>
      </c>
      <c r="P3" s="177">
        <f>MAX(P5:P25)</f>
        <v>43</v>
      </c>
      <c r="Q3" s="44"/>
      <c r="R3" s="44"/>
      <c r="S3" s="44"/>
      <c r="T3" s="44"/>
      <c r="U3" s="44"/>
      <c r="V3" s="44"/>
      <c r="W3" s="44"/>
      <c r="X3" s="44"/>
      <c r="Z3" s="45" t="s">
        <v>198</v>
      </c>
      <c r="AA3" s="45">
        <f t="array" ref="AA3">MIN(IF(AA5:AA59=0,99999,AA5:AA59))</f>
        <v>92</v>
      </c>
      <c r="AB3" s="45">
        <f t="array" ref="AB3">MIN(IF(AB5:AB59&lt;=0,99999,AB5:AB59))</f>
        <v>20</v>
      </c>
      <c r="AF3" s="45">
        <f>SUM(AF5:AF59)</f>
        <v>7</v>
      </c>
      <c r="AG3" s="45">
        <f>SUM(AG5:AG59)</f>
        <v>10</v>
      </c>
    </row>
    <row r="4" spans="1:33" s="148" customFormat="1" ht="31.5" x14ac:dyDescent="0.15">
      <c r="A4" s="142" t="s">
        <v>126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153</v>
      </c>
      <c r="G4" s="144" t="s">
        <v>9</v>
      </c>
      <c r="H4" s="142" t="s">
        <v>35</v>
      </c>
      <c r="I4" s="142" t="s">
        <v>104</v>
      </c>
      <c r="J4" s="145"/>
      <c r="K4" s="144" t="s">
        <v>9</v>
      </c>
      <c r="L4" s="142" t="s">
        <v>35</v>
      </c>
      <c r="M4" s="142" t="s">
        <v>104</v>
      </c>
      <c r="N4" s="144"/>
      <c r="O4" s="144" t="s">
        <v>177</v>
      </c>
      <c r="P4" s="144" t="s">
        <v>178</v>
      </c>
      <c r="Q4" s="144" t="s">
        <v>106</v>
      </c>
      <c r="R4" s="146" t="s">
        <v>107</v>
      </c>
      <c r="S4" s="146" t="s">
        <v>108</v>
      </c>
      <c r="T4" s="146" t="s">
        <v>109</v>
      </c>
      <c r="U4" s="146" t="s">
        <v>110</v>
      </c>
      <c r="V4" s="146" t="s">
        <v>111</v>
      </c>
      <c r="W4" s="146" t="s">
        <v>112</v>
      </c>
      <c r="X4" s="146" t="s">
        <v>113</v>
      </c>
      <c r="Y4" s="146" t="s">
        <v>116</v>
      </c>
      <c r="Z4" s="146" t="s">
        <v>117</v>
      </c>
      <c r="AA4" s="147" t="s">
        <v>190</v>
      </c>
      <c r="AB4" s="147" t="s">
        <v>191</v>
      </c>
      <c r="AC4" s="147" t="s">
        <v>192</v>
      </c>
      <c r="AD4" s="147" t="s">
        <v>193</v>
      </c>
      <c r="AE4" s="148" t="s">
        <v>219</v>
      </c>
      <c r="AF4" s="148" t="s">
        <v>231</v>
      </c>
      <c r="AG4" s="148" t="s">
        <v>232</v>
      </c>
    </row>
    <row r="5" spans="1:33" s="22" customFormat="1" x14ac:dyDescent="0.15">
      <c r="A5" s="108" t="str">
        <f t="shared" ref="A5:A59" si="0">TEXT(WEEKDAY(B5),"ddd")</f>
        <v>Sun</v>
      </c>
      <c r="B5" s="109">
        <v>41392</v>
      </c>
      <c r="C5" s="110" t="s">
        <v>259</v>
      </c>
      <c r="D5" s="111" t="s">
        <v>218</v>
      </c>
      <c r="E5" s="111" t="s">
        <v>222</v>
      </c>
      <c r="F5" s="111" t="s">
        <v>221</v>
      </c>
      <c r="G5" s="112">
        <v>186</v>
      </c>
      <c r="H5" s="111">
        <v>6</v>
      </c>
      <c r="I5" s="111"/>
      <c r="J5" s="113" t="s">
        <v>310</v>
      </c>
      <c r="K5" s="112">
        <v>187</v>
      </c>
      <c r="L5" s="111">
        <v>6</v>
      </c>
      <c r="M5" s="111"/>
      <c r="N5" s="110" t="s">
        <v>311</v>
      </c>
      <c r="O5" s="114">
        <v>40</v>
      </c>
      <c r="P5" s="114">
        <v>39</v>
      </c>
      <c r="Q5" s="115">
        <v>9</v>
      </c>
      <c r="R5" s="115">
        <v>2</v>
      </c>
      <c r="S5" s="115">
        <v>12</v>
      </c>
      <c r="T5" s="115">
        <v>1</v>
      </c>
      <c r="U5" s="115">
        <v>21</v>
      </c>
      <c r="V5" s="115">
        <v>3</v>
      </c>
      <c r="W5" s="115">
        <v>7</v>
      </c>
      <c r="X5" s="115">
        <v>5</v>
      </c>
      <c r="Y5" s="115">
        <f t="shared" ref="Y5:Y27" si="1">SUM(Q5:T5)</f>
        <v>24</v>
      </c>
      <c r="Z5" s="115">
        <f t="shared" ref="Z5:Z27" si="2">SUM(U5:X5)</f>
        <v>36</v>
      </c>
      <c r="AA5" s="115">
        <f t="shared" ref="AA5:AA20" si="3">IF(F5="TOCC",G5,K5)</f>
        <v>186</v>
      </c>
      <c r="AB5" s="115">
        <f t="shared" ref="AB5:AB20" si="4">IF(F5&lt;&gt;"TOCC",G5,K5)</f>
        <v>187</v>
      </c>
      <c r="AC5" s="115">
        <f t="shared" ref="AC5:AC20" si="5">IF(F5="TOCC",H5,L5)</f>
        <v>6</v>
      </c>
      <c r="AD5" s="115">
        <f t="shared" ref="AD5:AD20" si="6">IF(F5&lt;&gt;"TOCC",H5,L5)</f>
        <v>6</v>
      </c>
      <c r="AE5" s="180">
        <f>Y5/AB5</f>
        <v>0.12834224598930483</v>
      </c>
      <c r="AG5" s="22">
        <v>1</v>
      </c>
    </row>
    <row r="6" spans="1:33" x14ac:dyDescent="0.15">
      <c r="A6" s="108" t="str">
        <f t="shared" si="0"/>
        <v>Sun</v>
      </c>
      <c r="B6" s="149">
        <v>41399</v>
      </c>
      <c r="C6" s="150" t="s">
        <v>329</v>
      </c>
      <c r="D6" s="151" t="s">
        <v>257</v>
      </c>
      <c r="E6" s="151" t="s">
        <v>224</v>
      </c>
      <c r="F6" s="151" t="s">
        <v>221</v>
      </c>
      <c r="G6" s="152">
        <v>206</v>
      </c>
      <c r="H6" s="151">
        <v>9</v>
      </c>
      <c r="I6" s="151"/>
      <c r="J6" s="153" t="s">
        <v>331</v>
      </c>
      <c r="K6" s="152">
        <v>157</v>
      </c>
      <c r="L6" s="151">
        <v>10</v>
      </c>
      <c r="M6" s="151"/>
      <c r="N6" s="150" t="s">
        <v>330</v>
      </c>
      <c r="O6" s="154">
        <v>40</v>
      </c>
      <c r="P6" s="154">
        <v>31</v>
      </c>
      <c r="Q6" s="155">
        <v>1</v>
      </c>
      <c r="R6" s="155">
        <v>0</v>
      </c>
      <c r="S6" s="155">
        <v>4</v>
      </c>
      <c r="T6" s="155">
        <v>0</v>
      </c>
      <c r="U6" s="155">
        <v>12</v>
      </c>
      <c r="V6" s="155">
        <v>13</v>
      </c>
      <c r="W6" s="155">
        <v>26</v>
      </c>
      <c r="X6" s="155">
        <v>2</v>
      </c>
      <c r="Y6" s="115">
        <f t="shared" si="1"/>
        <v>5</v>
      </c>
      <c r="Z6" s="115">
        <f t="shared" si="2"/>
        <v>53</v>
      </c>
      <c r="AA6" s="155">
        <f t="shared" si="3"/>
        <v>206</v>
      </c>
      <c r="AB6" s="155">
        <f t="shared" si="4"/>
        <v>157</v>
      </c>
      <c r="AC6" s="155">
        <f t="shared" si="5"/>
        <v>9</v>
      </c>
      <c r="AD6" s="155">
        <f t="shared" si="6"/>
        <v>10</v>
      </c>
      <c r="AE6" s="180">
        <f t="shared" ref="AE6:AE26" si="7">Y6/AB6</f>
        <v>3.1847133757961783E-2</v>
      </c>
      <c r="AF6" s="26">
        <v>1</v>
      </c>
      <c r="AG6" s="26">
        <v>1</v>
      </c>
    </row>
    <row r="7" spans="1:33" x14ac:dyDescent="0.15">
      <c r="A7" s="108" t="str">
        <f t="shared" si="0"/>
        <v>Sun</v>
      </c>
      <c r="B7" s="149">
        <v>41406</v>
      </c>
      <c r="C7" s="150" t="s">
        <v>223</v>
      </c>
      <c r="D7" s="151" t="s">
        <v>218</v>
      </c>
      <c r="E7" s="151" t="s">
        <v>224</v>
      </c>
      <c r="F7" s="151" t="s">
        <v>1</v>
      </c>
      <c r="G7" s="152">
        <v>152</v>
      </c>
      <c r="H7" s="151">
        <v>6</v>
      </c>
      <c r="I7" s="151"/>
      <c r="J7" s="153" t="s">
        <v>351</v>
      </c>
      <c r="K7" s="152">
        <v>155</v>
      </c>
      <c r="L7" s="151">
        <v>5</v>
      </c>
      <c r="M7" s="151"/>
      <c r="N7" s="150" t="s">
        <v>352</v>
      </c>
      <c r="O7" s="154">
        <v>26.2</v>
      </c>
      <c r="P7" s="154">
        <v>40</v>
      </c>
      <c r="Q7" s="155">
        <v>4</v>
      </c>
      <c r="R7" s="155">
        <v>0</v>
      </c>
      <c r="S7" s="155">
        <v>5</v>
      </c>
      <c r="T7" s="155">
        <v>0</v>
      </c>
      <c r="U7" s="155">
        <v>11</v>
      </c>
      <c r="V7" s="155">
        <v>0</v>
      </c>
      <c r="W7" s="155">
        <v>3</v>
      </c>
      <c r="X7" s="155">
        <v>0</v>
      </c>
      <c r="Y7" s="115">
        <f t="shared" si="1"/>
        <v>9</v>
      </c>
      <c r="Z7" s="115">
        <f t="shared" si="2"/>
        <v>14</v>
      </c>
      <c r="AA7" s="155">
        <f t="shared" si="3"/>
        <v>155</v>
      </c>
      <c r="AB7" s="155">
        <f t="shared" si="4"/>
        <v>152</v>
      </c>
      <c r="AC7" s="155">
        <f t="shared" si="5"/>
        <v>5</v>
      </c>
      <c r="AD7" s="155">
        <f t="shared" si="6"/>
        <v>6</v>
      </c>
      <c r="AE7" s="180">
        <f t="shared" si="7"/>
        <v>5.921052631578947E-2</v>
      </c>
      <c r="AG7" s="26">
        <v>1</v>
      </c>
    </row>
    <row r="8" spans="1:33" x14ac:dyDescent="0.15">
      <c r="A8" s="108" t="str">
        <f t="shared" si="0"/>
        <v>Sun</v>
      </c>
      <c r="B8" s="149">
        <v>41413</v>
      </c>
      <c r="C8" s="150" t="s">
        <v>294</v>
      </c>
      <c r="D8" s="151" t="s">
        <v>257</v>
      </c>
      <c r="E8" s="151" t="s">
        <v>222</v>
      </c>
      <c r="F8" s="151" t="s">
        <v>1</v>
      </c>
      <c r="G8" s="152">
        <v>249</v>
      </c>
      <c r="H8" s="151">
        <v>7</v>
      </c>
      <c r="I8" s="151"/>
      <c r="J8" s="156" t="s">
        <v>372</v>
      </c>
      <c r="K8" s="152">
        <v>235</v>
      </c>
      <c r="L8" s="151">
        <v>7</v>
      </c>
      <c r="M8" s="151"/>
      <c r="N8" s="150" t="s">
        <v>373</v>
      </c>
      <c r="O8" s="154">
        <v>40</v>
      </c>
      <c r="P8" s="154">
        <v>40</v>
      </c>
      <c r="Q8" s="155">
        <v>17</v>
      </c>
      <c r="R8" s="155">
        <v>2</v>
      </c>
      <c r="S8" s="155">
        <v>9</v>
      </c>
      <c r="T8" s="155">
        <v>4</v>
      </c>
      <c r="U8" s="155">
        <v>2</v>
      </c>
      <c r="V8" s="155">
        <v>1</v>
      </c>
      <c r="W8" s="155">
        <v>16</v>
      </c>
      <c r="X8" s="155">
        <v>7</v>
      </c>
      <c r="Y8" s="115">
        <f t="shared" si="1"/>
        <v>32</v>
      </c>
      <c r="Z8" s="115">
        <f t="shared" si="2"/>
        <v>26</v>
      </c>
      <c r="AA8" s="155">
        <f t="shared" si="3"/>
        <v>235</v>
      </c>
      <c r="AB8" s="155">
        <f t="shared" si="4"/>
        <v>249</v>
      </c>
      <c r="AC8" s="155">
        <f t="shared" si="5"/>
        <v>7</v>
      </c>
      <c r="AD8" s="155">
        <f t="shared" si="6"/>
        <v>7</v>
      </c>
      <c r="AE8" s="180">
        <f t="shared" si="7"/>
        <v>0.12851405622489959</v>
      </c>
    </row>
    <row r="9" spans="1:33" x14ac:dyDescent="0.15">
      <c r="A9" s="108" t="str">
        <f t="shared" si="0"/>
        <v>Sat</v>
      </c>
      <c r="B9" s="149">
        <v>41419</v>
      </c>
      <c r="C9" s="150" t="s">
        <v>288</v>
      </c>
      <c r="D9" s="151" t="s">
        <v>257</v>
      </c>
      <c r="E9" s="151" t="s">
        <v>224</v>
      </c>
      <c r="F9" s="151" t="s">
        <v>1</v>
      </c>
      <c r="G9" s="152">
        <v>135</v>
      </c>
      <c r="H9" s="151">
        <v>9</v>
      </c>
      <c r="I9" s="151"/>
      <c r="J9" s="153" t="s">
        <v>374</v>
      </c>
      <c r="K9" s="152">
        <v>137</v>
      </c>
      <c r="L9" s="151">
        <v>7</v>
      </c>
      <c r="M9" s="151"/>
      <c r="N9" s="150" t="s">
        <v>375</v>
      </c>
      <c r="O9" s="154">
        <v>25.4</v>
      </c>
      <c r="P9" s="154">
        <v>35</v>
      </c>
      <c r="Q9" s="155">
        <v>3</v>
      </c>
      <c r="R9" s="155">
        <v>0</v>
      </c>
      <c r="S9" s="155">
        <v>2</v>
      </c>
      <c r="T9" s="155">
        <v>8</v>
      </c>
      <c r="U9" s="155">
        <v>13</v>
      </c>
      <c r="V9" s="155">
        <v>0</v>
      </c>
      <c r="W9" s="155">
        <v>3</v>
      </c>
      <c r="X9" s="155">
        <v>3</v>
      </c>
      <c r="Y9" s="115">
        <f t="shared" si="1"/>
        <v>13</v>
      </c>
      <c r="Z9" s="115">
        <f t="shared" si="2"/>
        <v>19</v>
      </c>
      <c r="AA9" s="155">
        <f t="shared" si="3"/>
        <v>137</v>
      </c>
      <c r="AB9" s="155">
        <f t="shared" si="4"/>
        <v>135</v>
      </c>
      <c r="AC9" s="155">
        <f t="shared" si="5"/>
        <v>7</v>
      </c>
      <c r="AD9" s="155">
        <f t="shared" si="6"/>
        <v>9</v>
      </c>
      <c r="AE9" s="180">
        <f t="shared" si="7"/>
        <v>9.6296296296296297E-2</v>
      </c>
    </row>
    <row r="10" spans="1:33" x14ac:dyDescent="0.15">
      <c r="A10" s="108" t="str">
        <f t="shared" si="0"/>
        <v>Sun</v>
      </c>
      <c r="B10" s="149">
        <v>41420</v>
      </c>
      <c r="C10" s="150" t="s">
        <v>264</v>
      </c>
      <c r="D10" s="151" t="s">
        <v>257</v>
      </c>
      <c r="E10" s="151" t="s">
        <v>224</v>
      </c>
      <c r="F10" s="151" t="s">
        <v>1</v>
      </c>
      <c r="G10" s="152">
        <v>129</v>
      </c>
      <c r="H10" s="151">
        <v>9</v>
      </c>
      <c r="I10" s="151"/>
      <c r="J10" s="153" t="s">
        <v>405</v>
      </c>
      <c r="K10" s="152">
        <v>133</v>
      </c>
      <c r="L10" s="151">
        <v>2</v>
      </c>
      <c r="M10" s="151"/>
      <c r="N10" s="150" t="s">
        <v>406</v>
      </c>
      <c r="O10" s="154">
        <v>20</v>
      </c>
      <c r="P10" s="154">
        <v>35</v>
      </c>
      <c r="Q10" s="155">
        <v>20</v>
      </c>
      <c r="R10" s="155">
        <v>1</v>
      </c>
      <c r="S10" s="155">
        <v>3</v>
      </c>
      <c r="T10" s="155">
        <v>3</v>
      </c>
      <c r="U10" s="155">
        <v>2</v>
      </c>
      <c r="V10" s="155">
        <v>0</v>
      </c>
      <c r="W10" s="155">
        <v>2</v>
      </c>
      <c r="X10" s="155">
        <v>1</v>
      </c>
      <c r="Y10" s="115">
        <f t="shared" si="1"/>
        <v>27</v>
      </c>
      <c r="Z10" s="115">
        <f t="shared" si="2"/>
        <v>5</v>
      </c>
      <c r="AA10" s="155">
        <f t="shared" si="3"/>
        <v>133</v>
      </c>
      <c r="AB10" s="155">
        <f t="shared" si="4"/>
        <v>129</v>
      </c>
      <c r="AC10" s="155">
        <f t="shared" si="5"/>
        <v>2</v>
      </c>
      <c r="AD10" s="155">
        <f t="shared" si="6"/>
        <v>9</v>
      </c>
      <c r="AE10" s="180">
        <f t="shared" si="7"/>
        <v>0.20930232558139536</v>
      </c>
      <c r="AG10" s="26">
        <v>2</v>
      </c>
    </row>
    <row r="11" spans="1:33" x14ac:dyDescent="0.15">
      <c r="A11" s="108" t="str">
        <f t="shared" si="0"/>
        <v>Mon</v>
      </c>
      <c r="B11" s="149">
        <v>41421</v>
      </c>
      <c r="C11" s="150" t="s">
        <v>262</v>
      </c>
      <c r="D11" s="151" t="s">
        <v>257</v>
      </c>
      <c r="E11" s="151" t="s">
        <v>224</v>
      </c>
      <c r="F11" s="151" t="s">
        <v>1</v>
      </c>
      <c r="G11" s="152">
        <v>88</v>
      </c>
      <c r="H11" s="151">
        <v>10</v>
      </c>
      <c r="I11" s="151"/>
      <c r="J11" s="153" t="s">
        <v>417</v>
      </c>
      <c r="K11" s="152">
        <v>92</v>
      </c>
      <c r="L11" s="151">
        <v>6</v>
      </c>
      <c r="M11" s="151"/>
      <c r="N11" s="150" t="s">
        <v>418</v>
      </c>
      <c r="O11" s="154">
        <v>22.3</v>
      </c>
      <c r="P11" s="154">
        <v>30.3</v>
      </c>
      <c r="Q11" s="155">
        <v>3</v>
      </c>
      <c r="R11" s="155">
        <v>1</v>
      </c>
      <c r="S11" s="155">
        <v>4</v>
      </c>
      <c r="T11" s="155">
        <v>3</v>
      </c>
      <c r="U11" s="155">
        <v>7</v>
      </c>
      <c r="V11" s="155">
        <v>0</v>
      </c>
      <c r="W11" s="155">
        <v>2</v>
      </c>
      <c r="X11" s="155">
        <v>2</v>
      </c>
      <c r="Y11" s="115">
        <f t="shared" si="1"/>
        <v>11</v>
      </c>
      <c r="Z11" s="115">
        <f t="shared" si="2"/>
        <v>11</v>
      </c>
      <c r="AA11" s="155">
        <f t="shared" si="3"/>
        <v>92</v>
      </c>
      <c r="AB11" s="155">
        <f t="shared" si="4"/>
        <v>88</v>
      </c>
      <c r="AC11" s="155">
        <f t="shared" si="5"/>
        <v>6</v>
      </c>
      <c r="AD11" s="155">
        <f t="shared" si="6"/>
        <v>10</v>
      </c>
      <c r="AE11" s="180">
        <f t="shared" si="7"/>
        <v>0.125</v>
      </c>
    </row>
    <row r="12" spans="1:33" x14ac:dyDescent="0.15">
      <c r="A12" s="108" t="str">
        <f t="shared" si="0"/>
        <v>Sun</v>
      </c>
      <c r="B12" s="149">
        <v>41427</v>
      </c>
      <c r="C12" s="150" t="s">
        <v>435</v>
      </c>
      <c r="D12" s="151" t="s">
        <v>218</v>
      </c>
      <c r="E12" s="151" t="s">
        <v>222</v>
      </c>
      <c r="F12" s="151" t="s">
        <v>1</v>
      </c>
      <c r="G12" s="152">
        <v>165</v>
      </c>
      <c r="H12" s="151">
        <v>8</v>
      </c>
      <c r="I12" s="151"/>
      <c r="J12" s="153" t="s">
        <v>436</v>
      </c>
      <c r="K12" s="152">
        <v>117</v>
      </c>
      <c r="L12" s="151">
        <v>9</v>
      </c>
      <c r="M12" s="151"/>
      <c r="N12" s="153" t="s">
        <v>437</v>
      </c>
      <c r="O12" s="154">
        <v>35.5</v>
      </c>
      <c r="P12" s="154">
        <v>35</v>
      </c>
      <c r="Q12" s="155">
        <v>2</v>
      </c>
      <c r="R12" s="155">
        <v>6</v>
      </c>
      <c r="S12" s="155">
        <v>5</v>
      </c>
      <c r="T12" s="155">
        <v>4</v>
      </c>
      <c r="U12" s="155">
        <v>11</v>
      </c>
      <c r="V12" s="155">
        <v>0</v>
      </c>
      <c r="W12" s="155">
        <v>5</v>
      </c>
      <c r="X12" s="155">
        <v>0</v>
      </c>
      <c r="Y12" s="115">
        <f t="shared" si="1"/>
        <v>17</v>
      </c>
      <c r="Z12" s="115">
        <f t="shared" si="2"/>
        <v>16</v>
      </c>
      <c r="AA12" s="155">
        <f t="shared" si="3"/>
        <v>117</v>
      </c>
      <c r="AB12" s="155">
        <f t="shared" si="4"/>
        <v>165</v>
      </c>
      <c r="AC12" s="155">
        <f t="shared" si="5"/>
        <v>9</v>
      </c>
      <c r="AD12" s="155">
        <f t="shared" si="6"/>
        <v>8</v>
      </c>
      <c r="AE12" s="180">
        <f t="shared" si="7"/>
        <v>0.10303030303030303</v>
      </c>
      <c r="AF12" s="26">
        <v>2</v>
      </c>
      <c r="AG12" s="26">
        <v>1</v>
      </c>
    </row>
    <row r="13" spans="1:33" x14ac:dyDescent="0.15">
      <c r="A13" s="108" t="str">
        <f t="shared" si="0"/>
        <v>Sun</v>
      </c>
      <c r="B13" s="149">
        <v>41434</v>
      </c>
      <c r="C13" s="150" t="s">
        <v>454</v>
      </c>
      <c r="D13" s="151" t="s">
        <v>218</v>
      </c>
      <c r="E13" s="151" t="s">
        <v>224</v>
      </c>
      <c r="F13" s="151" t="s">
        <v>1</v>
      </c>
      <c r="G13" s="152">
        <v>138</v>
      </c>
      <c r="H13" s="151">
        <v>9</v>
      </c>
      <c r="I13" s="151"/>
      <c r="J13" s="153" t="s">
        <v>455</v>
      </c>
      <c r="K13" s="152">
        <v>139</v>
      </c>
      <c r="L13" s="151">
        <v>1</v>
      </c>
      <c r="M13" s="151"/>
      <c r="N13" s="150" t="s">
        <v>456</v>
      </c>
      <c r="O13" s="154">
        <v>26.1</v>
      </c>
      <c r="P13" s="154">
        <v>43</v>
      </c>
      <c r="Q13" s="155">
        <v>4</v>
      </c>
      <c r="R13" s="155">
        <v>0</v>
      </c>
      <c r="S13" s="155">
        <v>5</v>
      </c>
      <c r="T13" s="155">
        <v>2</v>
      </c>
      <c r="U13" s="155">
        <v>1</v>
      </c>
      <c r="V13" s="155">
        <v>2</v>
      </c>
      <c r="W13" s="155">
        <v>8</v>
      </c>
      <c r="X13" s="155">
        <v>2</v>
      </c>
      <c r="Y13" s="115">
        <f t="shared" si="1"/>
        <v>11</v>
      </c>
      <c r="Z13" s="115">
        <f t="shared" si="2"/>
        <v>13</v>
      </c>
      <c r="AA13" s="155">
        <f t="shared" si="3"/>
        <v>139</v>
      </c>
      <c r="AB13" s="155">
        <f t="shared" si="4"/>
        <v>138</v>
      </c>
      <c r="AC13" s="155">
        <f t="shared" si="5"/>
        <v>1</v>
      </c>
      <c r="AD13" s="155">
        <f t="shared" si="6"/>
        <v>9</v>
      </c>
      <c r="AE13" s="180">
        <f t="shared" si="7"/>
        <v>7.9710144927536225E-2</v>
      </c>
    </row>
    <row r="14" spans="1:33" x14ac:dyDescent="0.15">
      <c r="A14" s="108" t="str">
        <f t="shared" si="0"/>
        <v>Sun</v>
      </c>
      <c r="B14" s="149">
        <v>41441</v>
      </c>
      <c r="C14" s="150" t="s">
        <v>435</v>
      </c>
      <c r="D14" s="151" t="s">
        <v>218</v>
      </c>
      <c r="E14" s="151" t="s">
        <v>222</v>
      </c>
      <c r="F14" s="151" t="s">
        <v>221</v>
      </c>
      <c r="G14" s="152">
        <v>132</v>
      </c>
      <c r="H14" s="151">
        <v>9</v>
      </c>
      <c r="I14" s="151"/>
      <c r="J14" s="153" t="s">
        <v>467</v>
      </c>
      <c r="K14" s="152">
        <v>134</v>
      </c>
      <c r="L14" s="151">
        <v>5</v>
      </c>
      <c r="M14" s="151"/>
      <c r="N14" s="150" t="s">
        <v>468</v>
      </c>
      <c r="O14" s="154">
        <v>40</v>
      </c>
      <c r="P14" s="154">
        <v>29.5</v>
      </c>
      <c r="Q14" s="155">
        <v>7</v>
      </c>
      <c r="R14" s="155">
        <v>0</v>
      </c>
      <c r="S14" s="155">
        <v>0</v>
      </c>
      <c r="T14" s="155">
        <v>2</v>
      </c>
      <c r="U14" s="155">
        <v>16</v>
      </c>
      <c r="V14" s="155">
        <v>0</v>
      </c>
      <c r="W14" s="155">
        <v>16</v>
      </c>
      <c r="X14" s="155">
        <v>1</v>
      </c>
      <c r="Y14" s="115">
        <f t="shared" si="1"/>
        <v>9</v>
      </c>
      <c r="Z14" s="115">
        <f t="shared" si="2"/>
        <v>33</v>
      </c>
      <c r="AA14" s="155">
        <f t="shared" si="3"/>
        <v>132</v>
      </c>
      <c r="AB14" s="155">
        <f t="shared" si="4"/>
        <v>134</v>
      </c>
      <c r="AC14" s="155">
        <f t="shared" si="5"/>
        <v>9</v>
      </c>
      <c r="AD14" s="155">
        <f t="shared" si="6"/>
        <v>5</v>
      </c>
      <c r="AE14" s="180">
        <f t="shared" si="7"/>
        <v>6.7164179104477612E-2</v>
      </c>
      <c r="AF14" s="26">
        <v>1</v>
      </c>
    </row>
    <row r="15" spans="1:33" x14ac:dyDescent="0.15">
      <c r="A15" s="108" t="str">
        <f t="shared" si="0"/>
        <v>Sun</v>
      </c>
      <c r="B15" s="149">
        <v>41455</v>
      </c>
      <c r="C15" s="150" t="s">
        <v>274</v>
      </c>
      <c r="D15" s="151" t="s">
        <v>257</v>
      </c>
      <c r="E15" s="151" t="s">
        <v>224</v>
      </c>
      <c r="F15" s="151" t="s">
        <v>1</v>
      </c>
      <c r="G15" s="152">
        <v>229</v>
      </c>
      <c r="H15" s="151">
        <v>4</v>
      </c>
      <c r="I15" s="151"/>
      <c r="J15" s="153" t="s">
        <v>485</v>
      </c>
      <c r="K15" s="152">
        <v>230</v>
      </c>
      <c r="L15" s="151">
        <v>6</v>
      </c>
      <c r="M15" s="151"/>
      <c r="N15" s="150" t="s">
        <v>486</v>
      </c>
      <c r="O15" s="154">
        <v>38</v>
      </c>
      <c r="P15" s="154">
        <v>39.5</v>
      </c>
      <c r="Q15" s="155">
        <v>6</v>
      </c>
      <c r="R15" s="155">
        <v>5</v>
      </c>
      <c r="S15" s="155">
        <v>6</v>
      </c>
      <c r="T15" s="155">
        <v>7</v>
      </c>
      <c r="U15" s="155">
        <v>2</v>
      </c>
      <c r="V15" s="155">
        <v>2</v>
      </c>
      <c r="W15" s="155">
        <v>4</v>
      </c>
      <c r="X15" s="155">
        <v>0</v>
      </c>
      <c r="Y15" s="115">
        <f t="shared" si="1"/>
        <v>24</v>
      </c>
      <c r="Z15" s="115">
        <f t="shared" si="2"/>
        <v>8</v>
      </c>
      <c r="AA15" s="155">
        <f t="shared" si="3"/>
        <v>230</v>
      </c>
      <c r="AB15" s="155">
        <f t="shared" si="4"/>
        <v>229</v>
      </c>
      <c r="AC15" s="155">
        <f t="shared" si="5"/>
        <v>6</v>
      </c>
      <c r="AD15" s="155">
        <f t="shared" si="6"/>
        <v>4</v>
      </c>
      <c r="AE15" s="180">
        <f t="shared" si="7"/>
        <v>0.10480349344978165</v>
      </c>
    </row>
    <row r="16" spans="1:33" s="22" customFormat="1" x14ac:dyDescent="0.15">
      <c r="A16" s="108" t="str">
        <f t="shared" si="0"/>
        <v>Sun</v>
      </c>
      <c r="B16" s="109">
        <v>41462</v>
      </c>
      <c r="C16" s="110" t="s">
        <v>503</v>
      </c>
      <c r="D16" s="111" t="s">
        <v>218</v>
      </c>
      <c r="E16" s="111" t="s">
        <v>222</v>
      </c>
      <c r="F16" s="111" t="s">
        <v>1</v>
      </c>
      <c r="G16" s="112">
        <v>216</v>
      </c>
      <c r="H16" s="111">
        <v>10</v>
      </c>
      <c r="I16" s="111"/>
      <c r="J16" s="113" t="s">
        <v>504</v>
      </c>
      <c r="K16" s="112">
        <v>132</v>
      </c>
      <c r="L16" s="111">
        <v>9</v>
      </c>
      <c r="M16" s="111"/>
      <c r="N16" s="110"/>
      <c r="O16" s="114">
        <v>28.2</v>
      </c>
      <c r="P16" s="114">
        <v>33</v>
      </c>
      <c r="Q16" s="115">
        <v>12</v>
      </c>
      <c r="R16" s="115">
        <v>0</v>
      </c>
      <c r="S16" s="115">
        <v>10</v>
      </c>
      <c r="T16" s="115">
        <v>1</v>
      </c>
      <c r="U16" s="115">
        <v>4</v>
      </c>
      <c r="V16" s="115">
        <v>0</v>
      </c>
      <c r="W16" s="115">
        <v>0</v>
      </c>
      <c r="X16" s="115">
        <v>3</v>
      </c>
      <c r="Y16" s="115">
        <f t="shared" si="1"/>
        <v>23</v>
      </c>
      <c r="Z16" s="115">
        <f t="shared" si="2"/>
        <v>7</v>
      </c>
      <c r="AA16" s="115">
        <f t="shared" si="3"/>
        <v>132</v>
      </c>
      <c r="AB16" s="115">
        <f t="shared" si="4"/>
        <v>216</v>
      </c>
      <c r="AC16" s="115">
        <f t="shared" si="5"/>
        <v>9</v>
      </c>
      <c r="AD16" s="115">
        <f t="shared" si="6"/>
        <v>10</v>
      </c>
      <c r="AE16" s="180">
        <f t="shared" si="7"/>
        <v>0.10648148148148148</v>
      </c>
      <c r="AF16" s="22">
        <v>1</v>
      </c>
    </row>
    <row r="17" spans="1:33" x14ac:dyDescent="0.15">
      <c r="A17" s="108" t="str">
        <f t="shared" si="0"/>
        <v>Sun</v>
      </c>
      <c r="B17" s="109">
        <v>41469</v>
      </c>
      <c r="C17" s="150" t="s">
        <v>522</v>
      </c>
      <c r="D17" s="111" t="s">
        <v>257</v>
      </c>
      <c r="E17" s="111" t="s">
        <v>222</v>
      </c>
      <c r="F17" s="111" t="s">
        <v>1</v>
      </c>
      <c r="G17" s="112">
        <v>235</v>
      </c>
      <c r="H17" s="111">
        <v>6</v>
      </c>
      <c r="I17" s="111"/>
      <c r="J17" s="113" t="s">
        <v>523</v>
      </c>
      <c r="K17" s="112">
        <v>177</v>
      </c>
      <c r="L17" s="111">
        <v>10</v>
      </c>
      <c r="M17" s="111"/>
      <c r="N17" s="110" t="s">
        <v>524</v>
      </c>
      <c r="O17" s="114">
        <v>28</v>
      </c>
      <c r="P17" s="114">
        <v>40</v>
      </c>
      <c r="Q17" s="115">
        <v>24</v>
      </c>
      <c r="R17" s="115">
        <v>2</v>
      </c>
      <c r="S17" s="115">
        <v>11</v>
      </c>
      <c r="T17" s="115">
        <v>3</v>
      </c>
      <c r="U17" s="115">
        <v>13</v>
      </c>
      <c r="V17" s="115">
        <v>1</v>
      </c>
      <c r="W17" s="115">
        <v>2</v>
      </c>
      <c r="X17" s="115">
        <v>3</v>
      </c>
      <c r="Y17" s="115">
        <f t="shared" si="1"/>
        <v>40</v>
      </c>
      <c r="Z17" s="115">
        <f t="shared" si="2"/>
        <v>19</v>
      </c>
      <c r="AA17" s="115">
        <f t="shared" si="3"/>
        <v>177</v>
      </c>
      <c r="AB17" s="115">
        <f t="shared" si="4"/>
        <v>235</v>
      </c>
      <c r="AC17" s="115">
        <f t="shared" si="5"/>
        <v>10</v>
      </c>
      <c r="AD17" s="115">
        <f t="shared" si="6"/>
        <v>6</v>
      </c>
      <c r="AE17" s="180">
        <f t="shared" si="7"/>
        <v>0.1702127659574468</v>
      </c>
    </row>
    <row r="18" spans="1:33" x14ac:dyDescent="0.15">
      <c r="A18" s="108" t="str">
        <f t="shared" si="0"/>
        <v>Sun</v>
      </c>
      <c r="B18" s="109">
        <v>41476</v>
      </c>
      <c r="C18" s="150" t="s">
        <v>309</v>
      </c>
      <c r="D18" s="111" t="s">
        <v>218</v>
      </c>
      <c r="E18" s="111" t="s">
        <v>224</v>
      </c>
      <c r="F18" s="111" t="s">
        <v>221</v>
      </c>
      <c r="G18" s="112">
        <v>231</v>
      </c>
      <c r="H18" s="111">
        <v>7</v>
      </c>
      <c r="I18" s="111"/>
      <c r="J18" s="113" t="s">
        <v>543</v>
      </c>
      <c r="K18" s="112">
        <v>211</v>
      </c>
      <c r="L18" s="111">
        <v>9</v>
      </c>
      <c r="M18" s="111"/>
      <c r="N18" s="110" t="s">
        <v>544</v>
      </c>
      <c r="O18" s="114">
        <v>39</v>
      </c>
      <c r="P18" s="114">
        <v>37.4</v>
      </c>
      <c r="Q18" s="115">
        <v>17</v>
      </c>
      <c r="R18" s="115">
        <v>4</v>
      </c>
      <c r="S18" s="115">
        <v>13</v>
      </c>
      <c r="T18" s="115">
        <v>2</v>
      </c>
      <c r="U18" s="115">
        <v>10</v>
      </c>
      <c r="V18" s="115">
        <v>2</v>
      </c>
      <c r="W18" s="115">
        <v>8</v>
      </c>
      <c r="X18" s="115">
        <v>6</v>
      </c>
      <c r="Y18" s="115">
        <f t="shared" si="1"/>
        <v>36</v>
      </c>
      <c r="Z18" s="115">
        <f t="shared" si="2"/>
        <v>26</v>
      </c>
      <c r="AA18" s="115">
        <f t="shared" si="3"/>
        <v>231</v>
      </c>
      <c r="AB18" s="115">
        <f t="shared" si="4"/>
        <v>211</v>
      </c>
      <c r="AC18" s="115">
        <f t="shared" si="5"/>
        <v>7</v>
      </c>
      <c r="AD18" s="115">
        <f t="shared" si="6"/>
        <v>9</v>
      </c>
      <c r="AE18" s="180">
        <f t="shared" si="7"/>
        <v>0.17061611374407584</v>
      </c>
      <c r="AG18" s="26">
        <v>1</v>
      </c>
    </row>
    <row r="19" spans="1:33" x14ac:dyDescent="0.15">
      <c r="A19" s="108" t="str">
        <f t="shared" si="0"/>
        <v>Sun</v>
      </c>
      <c r="B19" s="109">
        <v>41483</v>
      </c>
      <c r="C19" s="110" t="s">
        <v>560</v>
      </c>
      <c r="D19" s="111" t="s">
        <v>257</v>
      </c>
      <c r="E19" s="111" t="s">
        <v>224</v>
      </c>
      <c r="F19" s="111" t="s">
        <v>221</v>
      </c>
      <c r="G19" s="112">
        <v>199</v>
      </c>
      <c r="H19" s="111">
        <v>7</v>
      </c>
      <c r="I19" s="111"/>
      <c r="J19" s="113" t="s">
        <v>561</v>
      </c>
      <c r="K19" s="112">
        <v>143</v>
      </c>
      <c r="L19" s="111">
        <v>10</v>
      </c>
      <c r="M19" s="111"/>
      <c r="N19" s="110" t="s">
        <v>562</v>
      </c>
      <c r="O19" s="114">
        <v>40</v>
      </c>
      <c r="P19" s="114">
        <v>39.200000000000003</v>
      </c>
      <c r="Q19" s="115">
        <v>2</v>
      </c>
      <c r="R19" s="115">
        <v>1</v>
      </c>
      <c r="S19" s="115">
        <v>3</v>
      </c>
      <c r="T19" s="115">
        <v>0</v>
      </c>
      <c r="U19" s="115">
        <v>13</v>
      </c>
      <c r="V19" s="115">
        <v>0</v>
      </c>
      <c r="W19" s="115">
        <v>8</v>
      </c>
      <c r="X19" s="115">
        <v>5</v>
      </c>
      <c r="Y19" s="115">
        <f t="shared" si="1"/>
        <v>6</v>
      </c>
      <c r="Z19" s="115">
        <f t="shared" si="2"/>
        <v>26</v>
      </c>
      <c r="AA19" s="115">
        <f t="shared" si="3"/>
        <v>199</v>
      </c>
      <c r="AB19" s="115">
        <f t="shared" si="4"/>
        <v>143</v>
      </c>
      <c r="AC19" s="115">
        <f t="shared" si="5"/>
        <v>7</v>
      </c>
      <c r="AD19" s="115">
        <f t="shared" si="6"/>
        <v>10</v>
      </c>
      <c r="AE19" s="180">
        <f t="shared" si="7"/>
        <v>4.195804195804196E-2</v>
      </c>
      <c r="AF19" s="26">
        <v>1</v>
      </c>
    </row>
    <row r="20" spans="1:33" x14ac:dyDescent="0.15">
      <c r="A20" s="108" t="str">
        <f t="shared" si="0"/>
        <v>Sun</v>
      </c>
      <c r="B20" s="109">
        <v>41490</v>
      </c>
      <c r="C20" s="110" t="s">
        <v>578</v>
      </c>
      <c r="D20" s="111" t="s">
        <v>257</v>
      </c>
      <c r="E20" s="111" t="s">
        <v>224</v>
      </c>
      <c r="F20" s="111" t="s">
        <v>1</v>
      </c>
      <c r="G20" s="112">
        <v>152</v>
      </c>
      <c r="H20" s="111">
        <v>9</v>
      </c>
      <c r="I20" s="111"/>
      <c r="J20" s="113" t="s">
        <v>579</v>
      </c>
      <c r="K20" s="112">
        <v>155</v>
      </c>
      <c r="L20" s="111">
        <v>5</v>
      </c>
      <c r="M20" s="111"/>
      <c r="N20" s="110" t="s">
        <v>580</v>
      </c>
      <c r="O20" s="114">
        <v>24.5</v>
      </c>
      <c r="P20" s="114">
        <v>42</v>
      </c>
      <c r="Q20" s="115">
        <v>10</v>
      </c>
      <c r="R20" s="115">
        <v>0</v>
      </c>
      <c r="S20" s="115">
        <v>4</v>
      </c>
      <c r="T20" s="115">
        <v>3</v>
      </c>
      <c r="U20" s="115">
        <v>4</v>
      </c>
      <c r="V20" s="115">
        <v>0</v>
      </c>
      <c r="W20" s="115">
        <v>5</v>
      </c>
      <c r="X20" s="115">
        <v>2</v>
      </c>
      <c r="Y20" s="115">
        <f t="shared" si="1"/>
        <v>17</v>
      </c>
      <c r="Z20" s="115">
        <f t="shared" si="2"/>
        <v>11</v>
      </c>
      <c r="AA20" s="115">
        <f t="shared" si="3"/>
        <v>155</v>
      </c>
      <c r="AB20" s="115">
        <f t="shared" si="4"/>
        <v>152</v>
      </c>
      <c r="AC20" s="115">
        <f t="shared" si="5"/>
        <v>5</v>
      </c>
      <c r="AD20" s="115">
        <f t="shared" si="6"/>
        <v>9</v>
      </c>
      <c r="AE20" s="180">
        <f t="shared" si="7"/>
        <v>0.1118421052631579</v>
      </c>
      <c r="AG20" s="26">
        <v>1</v>
      </c>
    </row>
    <row r="21" spans="1:33" x14ac:dyDescent="0.15">
      <c r="A21" s="108" t="str">
        <f t="shared" si="0"/>
        <v>Sun</v>
      </c>
      <c r="B21" s="109">
        <v>41497</v>
      </c>
      <c r="C21" s="110" t="s">
        <v>593</v>
      </c>
      <c r="D21" s="111" t="s">
        <v>257</v>
      </c>
      <c r="E21" s="111" t="s">
        <v>224</v>
      </c>
      <c r="F21" s="111" t="s">
        <v>221</v>
      </c>
      <c r="G21" s="112">
        <v>174</v>
      </c>
      <c r="H21" s="111">
        <v>10</v>
      </c>
      <c r="I21" s="111"/>
      <c r="J21" s="113" t="s">
        <v>594</v>
      </c>
      <c r="K21" s="112">
        <v>125</v>
      </c>
      <c r="L21" s="111">
        <v>7</v>
      </c>
      <c r="M21" s="111"/>
      <c r="N21" s="110" t="s">
        <v>595</v>
      </c>
      <c r="O21" s="114">
        <v>43.5</v>
      </c>
      <c r="P21" s="114">
        <v>35</v>
      </c>
      <c r="Q21" s="115">
        <v>3</v>
      </c>
      <c r="R21" s="115">
        <v>0</v>
      </c>
      <c r="S21" s="115">
        <v>15</v>
      </c>
      <c r="T21" s="115">
        <v>4</v>
      </c>
      <c r="U21" s="115">
        <v>6</v>
      </c>
      <c r="V21" s="115">
        <v>3</v>
      </c>
      <c r="W21" s="115">
        <v>13</v>
      </c>
      <c r="X21" s="115">
        <v>1</v>
      </c>
      <c r="Y21" s="115">
        <f t="shared" si="1"/>
        <v>22</v>
      </c>
      <c r="Z21" s="115">
        <f t="shared" si="2"/>
        <v>23</v>
      </c>
      <c r="AA21" s="115">
        <f t="shared" ref="AA21:AA59" si="8">IF(F21="TOCC",G21,K21)</f>
        <v>174</v>
      </c>
      <c r="AB21" s="115">
        <f t="shared" ref="AB21:AB59" si="9">IF(F21&lt;&gt;"TOCC",G21,K21)</f>
        <v>125</v>
      </c>
      <c r="AC21" s="115">
        <f t="shared" ref="AC21:AC59" si="10">IF(F21="TOCC",H21,L21)</f>
        <v>10</v>
      </c>
      <c r="AD21" s="115">
        <f t="shared" ref="AD21:AD59" si="11">IF(F21&lt;&gt;"TOCC",H21,L21)</f>
        <v>7</v>
      </c>
      <c r="AE21" s="180">
        <f t="shared" si="7"/>
        <v>0.17599999999999999</v>
      </c>
      <c r="AG21" s="26">
        <v>1</v>
      </c>
    </row>
    <row r="22" spans="1:33" x14ac:dyDescent="0.15">
      <c r="A22" s="108" t="str">
        <f t="shared" si="0"/>
        <v>Sun</v>
      </c>
      <c r="B22" s="109">
        <v>41504</v>
      </c>
      <c r="C22" s="110" t="s">
        <v>223</v>
      </c>
      <c r="D22" s="111" t="s">
        <v>257</v>
      </c>
      <c r="E22" s="111" t="s">
        <v>222</v>
      </c>
      <c r="F22" s="111" t="s">
        <v>221</v>
      </c>
      <c r="G22" s="112">
        <v>201</v>
      </c>
      <c r="H22" s="111">
        <v>4</v>
      </c>
      <c r="I22" s="111"/>
      <c r="J22" s="113" t="s">
        <v>611</v>
      </c>
      <c r="K22" s="112">
        <v>203</v>
      </c>
      <c r="L22" s="111">
        <v>7</v>
      </c>
      <c r="M22" s="111"/>
      <c r="N22" s="110" t="s">
        <v>612</v>
      </c>
      <c r="O22" s="114">
        <v>41</v>
      </c>
      <c r="P22" s="114">
        <v>39</v>
      </c>
      <c r="Q22" s="115">
        <v>13</v>
      </c>
      <c r="R22" s="115">
        <v>2</v>
      </c>
      <c r="S22" s="115">
        <v>9</v>
      </c>
      <c r="T22" s="115">
        <v>8</v>
      </c>
      <c r="U22" s="115">
        <v>8</v>
      </c>
      <c r="V22" s="115">
        <v>1</v>
      </c>
      <c r="W22" s="115">
        <v>0</v>
      </c>
      <c r="X22" s="115">
        <v>3</v>
      </c>
      <c r="Y22" s="115">
        <f t="shared" si="1"/>
        <v>32</v>
      </c>
      <c r="Z22" s="115">
        <f t="shared" si="2"/>
        <v>12</v>
      </c>
      <c r="AA22" s="115">
        <f t="shared" si="8"/>
        <v>201</v>
      </c>
      <c r="AB22" s="115">
        <f t="shared" si="9"/>
        <v>203</v>
      </c>
      <c r="AC22" s="115">
        <f t="shared" si="10"/>
        <v>4</v>
      </c>
      <c r="AD22" s="115">
        <f t="shared" si="11"/>
        <v>7</v>
      </c>
      <c r="AE22" s="180">
        <f t="shared" si="7"/>
        <v>0.15763546798029557</v>
      </c>
    </row>
    <row r="23" spans="1:33" x14ac:dyDescent="0.15">
      <c r="A23" s="108" t="str">
        <f t="shared" si="0"/>
        <v>Sun</v>
      </c>
      <c r="B23" s="109">
        <v>41511</v>
      </c>
      <c r="C23" s="110" t="s">
        <v>249</v>
      </c>
      <c r="D23" s="111" t="s">
        <v>218</v>
      </c>
      <c r="E23" s="111" t="s">
        <v>224</v>
      </c>
      <c r="F23" s="111" t="s">
        <v>1</v>
      </c>
      <c r="G23" s="112">
        <v>151</v>
      </c>
      <c r="H23" s="111">
        <v>8</v>
      </c>
      <c r="I23" s="111"/>
      <c r="J23" s="113" t="s">
        <v>626</v>
      </c>
      <c r="K23" s="112">
        <v>152</v>
      </c>
      <c r="L23" s="111">
        <v>6</v>
      </c>
      <c r="M23" s="111"/>
      <c r="N23" s="110" t="s">
        <v>627</v>
      </c>
      <c r="O23" s="114">
        <v>38.4</v>
      </c>
      <c r="P23" s="114">
        <v>40</v>
      </c>
      <c r="Q23" s="115">
        <v>12</v>
      </c>
      <c r="R23" s="115">
        <v>0</v>
      </c>
      <c r="S23" s="115">
        <v>3</v>
      </c>
      <c r="T23" s="115">
        <v>0</v>
      </c>
      <c r="U23" s="115">
        <v>12</v>
      </c>
      <c r="V23" s="115">
        <v>6</v>
      </c>
      <c r="W23" s="115">
        <v>4</v>
      </c>
      <c r="X23" s="115">
        <v>0</v>
      </c>
      <c r="Y23" s="115">
        <f t="shared" si="1"/>
        <v>15</v>
      </c>
      <c r="Z23" s="115">
        <f t="shared" si="2"/>
        <v>22</v>
      </c>
      <c r="AA23" s="115">
        <f t="shared" si="8"/>
        <v>152</v>
      </c>
      <c r="AB23" s="115">
        <f t="shared" si="9"/>
        <v>151</v>
      </c>
      <c r="AC23" s="115">
        <f t="shared" si="10"/>
        <v>6</v>
      </c>
      <c r="AD23" s="115">
        <f t="shared" si="11"/>
        <v>8</v>
      </c>
      <c r="AE23" s="180">
        <f t="shared" si="7"/>
        <v>9.9337748344370855E-2</v>
      </c>
    </row>
    <row r="24" spans="1:33" x14ac:dyDescent="0.15">
      <c r="A24" s="108" t="str">
        <f t="shared" si="0"/>
        <v>Sun</v>
      </c>
      <c r="B24" s="109">
        <v>41518</v>
      </c>
      <c r="C24" s="110" t="s">
        <v>259</v>
      </c>
      <c r="D24" s="111" t="s">
        <v>257</v>
      </c>
      <c r="E24" s="111" t="s">
        <v>222</v>
      </c>
      <c r="F24" s="111" t="s">
        <v>1</v>
      </c>
      <c r="G24" s="112">
        <v>225</v>
      </c>
      <c r="H24" s="111">
        <v>3</v>
      </c>
      <c r="I24" s="111"/>
      <c r="J24" s="113" t="s">
        <v>643</v>
      </c>
      <c r="K24" s="112">
        <v>189</v>
      </c>
      <c r="L24" s="111">
        <v>7</v>
      </c>
      <c r="M24" s="111"/>
      <c r="N24" s="110" t="s">
        <v>644</v>
      </c>
      <c r="O24" s="114">
        <v>40</v>
      </c>
      <c r="P24" s="114">
        <v>40</v>
      </c>
      <c r="Q24" s="115">
        <v>2</v>
      </c>
      <c r="R24" s="115">
        <v>5</v>
      </c>
      <c r="S24" s="115">
        <v>1</v>
      </c>
      <c r="T24" s="115">
        <v>1</v>
      </c>
      <c r="U24" s="115">
        <v>11</v>
      </c>
      <c r="V24" s="115">
        <v>0</v>
      </c>
      <c r="W24" s="115">
        <v>7</v>
      </c>
      <c r="X24" s="115">
        <v>4</v>
      </c>
      <c r="Y24" s="115">
        <f t="shared" si="1"/>
        <v>9</v>
      </c>
      <c r="Z24" s="115">
        <f t="shared" si="2"/>
        <v>22</v>
      </c>
      <c r="AA24" s="115">
        <f t="shared" si="8"/>
        <v>189</v>
      </c>
      <c r="AB24" s="115">
        <f t="shared" si="9"/>
        <v>225</v>
      </c>
      <c r="AC24" s="115">
        <f t="shared" si="10"/>
        <v>7</v>
      </c>
      <c r="AD24" s="115">
        <f t="shared" si="11"/>
        <v>3</v>
      </c>
      <c r="AE24" s="180">
        <f t="shared" si="7"/>
        <v>0.04</v>
      </c>
      <c r="AF24" s="26">
        <v>1</v>
      </c>
    </row>
    <row r="25" spans="1:33" x14ac:dyDescent="0.15">
      <c r="A25" s="108" t="str">
        <f t="shared" si="0"/>
        <v>Sun</v>
      </c>
      <c r="B25" s="109">
        <v>41525</v>
      </c>
      <c r="C25" s="110" t="s">
        <v>306</v>
      </c>
      <c r="D25" s="111" t="s">
        <v>218</v>
      </c>
      <c r="E25" s="111" t="s">
        <v>265</v>
      </c>
      <c r="F25" s="111" t="s">
        <v>221</v>
      </c>
      <c r="G25" s="112">
        <v>221</v>
      </c>
      <c r="H25" s="111">
        <v>10</v>
      </c>
      <c r="I25" s="111"/>
      <c r="J25" s="113" t="s">
        <v>659</v>
      </c>
      <c r="K25" s="112">
        <v>129</v>
      </c>
      <c r="L25" s="111">
        <v>5</v>
      </c>
      <c r="M25" s="111"/>
      <c r="N25" s="110" t="s">
        <v>660</v>
      </c>
      <c r="O25" s="114">
        <v>42</v>
      </c>
      <c r="P25" s="114">
        <v>37</v>
      </c>
      <c r="Q25" s="115">
        <v>4</v>
      </c>
      <c r="R25" s="115">
        <v>1</v>
      </c>
      <c r="S25" s="115">
        <v>3</v>
      </c>
      <c r="T25" s="115">
        <v>5</v>
      </c>
      <c r="U25" s="115">
        <v>19</v>
      </c>
      <c r="V25" s="115">
        <v>0</v>
      </c>
      <c r="W25" s="115">
        <v>17</v>
      </c>
      <c r="X25" s="115">
        <v>13</v>
      </c>
      <c r="Y25" s="115">
        <f t="shared" si="1"/>
        <v>13</v>
      </c>
      <c r="Z25" s="115">
        <f t="shared" si="2"/>
        <v>49</v>
      </c>
      <c r="AA25" s="115">
        <f t="shared" si="8"/>
        <v>221</v>
      </c>
      <c r="AB25" s="115">
        <f t="shared" si="9"/>
        <v>129</v>
      </c>
      <c r="AC25" s="115">
        <f t="shared" si="10"/>
        <v>10</v>
      </c>
      <c r="AD25" s="115">
        <f t="shared" si="11"/>
        <v>5</v>
      </c>
      <c r="AE25" s="180">
        <f t="shared" si="7"/>
        <v>0.10077519379844961</v>
      </c>
    </row>
    <row r="26" spans="1:33" ht="21" x14ac:dyDescent="0.15">
      <c r="A26" s="108" t="str">
        <f t="shared" si="0"/>
        <v>Sun</v>
      </c>
      <c r="B26" s="109">
        <v>41539</v>
      </c>
      <c r="C26" s="110" t="s">
        <v>680</v>
      </c>
      <c r="D26" s="111" t="s">
        <v>257</v>
      </c>
      <c r="E26" s="111" t="s">
        <v>224</v>
      </c>
      <c r="F26" s="111" t="s">
        <v>221</v>
      </c>
      <c r="G26" s="112">
        <v>159</v>
      </c>
      <c r="H26" s="111">
        <v>7</v>
      </c>
      <c r="I26" s="111"/>
      <c r="J26" s="113" t="s">
        <v>681</v>
      </c>
      <c r="K26" s="112">
        <v>20</v>
      </c>
      <c r="L26" s="111">
        <v>10</v>
      </c>
      <c r="M26" s="111"/>
      <c r="N26" s="110" t="s">
        <v>682</v>
      </c>
      <c r="O26" s="114">
        <v>40</v>
      </c>
      <c r="P26" s="114">
        <v>9.3000000000000007</v>
      </c>
      <c r="Q26" s="115">
        <v>3</v>
      </c>
      <c r="R26" s="115">
        <v>0</v>
      </c>
      <c r="S26" s="115">
        <v>1</v>
      </c>
      <c r="T26" s="115">
        <v>0</v>
      </c>
      <c r="U26" s="115">
        <v>19</v>
      </c>
      <c r="V26" s="115">
        <v>11</v>
      </c>
      <c r="W26" s="115">
        <v>10</v>
      </c>
      <c r="X26" s="115">
        <v>4</v>
      </c>
      <c r="Y26" s="115">
        <f t="shared" si="1"/>
        <v>4</v>
      </c>
      <c r="Z26" s="115">
        <f t="shared" si="2"/>
        <v>44</v>
      </c>
      <c r="AA26" s="115">
        <f t="shared" si="8"/>
        <v>159</v>
      </c>
      <c r="AB26" s="115">
        <f t="shared" si="9"/>
        <v>20</v>
      </c>
      <c r="AC26" s="115">
        <f t="shared" si="10"/>
        <v>7</v>
      </c>
      <c r="AD26" s="115">
        <f t="shared" si="11"/>
        <v>10</v>
      </c>
      <c r="AE26" s="180">
        <f t="shared" si="7"/>
        <v>0.2</v>
      </c>
      <c r="AG26" s="26">
        <v>1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8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8"/>
        <v>0</v>
      </c>
      <c r="AB27" s="115">
        <f t="shared" si="9"/>
        <v>0</v>
      </c>
      <c r="AC27" s="115">
        <f t="shared" si="10"/>
        <v>0</v>
      </c>
      <c r="AD27" s="115">
        <f t="shared" si="11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2">SUM(Q28:T28)</f>
        <v>0</v>
      </c>
      <c r="Z28" s="115">
        <f t="shared" ref="Z28:Z59" si="13">SUM(U28:X28)</f>
        <v>0</v>
      </c>
      <c r="AA28" s="115">
        <f t="shared" si="8"/>
        <v>0</v>
      </c>
      <c r="AB28" s="115">
        <f t="shared" si="9"/>
        <v>0</v>
      </c>
      <c r="AC28" s="115">
        <f t="shared" si="10"/>
        <v>0</v>
      </c>
      <c r="AD28" s="115">
        <f t="shared" si="11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2"/>
        <v>0</v>
      </c>
      <c r="Z29" s="115">
        <f t="shared" si="13"/>
        <v>0</v>
      </c>
      <c r="AA29" s="115">
        <f t="shared" si="8"/>
        <v>0</v>
      </c>
      <c r="AB29" s="115">
        <f t="shared" si="9"/>
        <v>0</v>
      </c>
      <c r="AC29" s="115">
        <f t="shared" si="10"/>
        <v>0</v>
      </c>
      <c r="AD29" s="115">
        <f t="shared" si="11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2"/>
        <v>0</v>
      </c>
      <c r="Z30" s="115">
        <f t="shared" si="13"/>
        <v>0</v>
      </c>
      <c r="AA30" s="115">
        <f t="shared" si="8"/>
        <v>0</v>
      </c>
      <c r="AB30" s="115">
        <f t="shared" si="9"/>
        <v>0</v>
      </c>
      <c r="AC30" s="115">
        <f t="shared" si="10"/>
        <v>0</v>
      </c>
      <c r="AD30" s="115">
        <f t="shared" si="11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2"/>
        <v>0</v>
      </c>
      <c r="Z31" s="115">
        <f t="shared" si="13"/>
        <v>0</v>
      </c>
      <c r="AA31" s="115">
        <f t="shared" si="8"/>
        <v>0</v>
      </c>
      <c r="AB31" s="115">
        <f t="shared" si="9"/>
        <v>0</v>
      </c>
      <c r="AC31" s="115">
        <f t="shared" si="10"/>
        <v>0</v>
      </c>
      <c r="AD31" s="115">
        <f t="shared" si="11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2"/>
        <v>0</v>
      </c>
      <c r="Z32" s="115">
        <f t="shared" si="13"/>
        <v>0</v>
      </c>
      <c r="AA32" s="115">
        <f t="shared" si="8"/>
        <v>0</v>
      </c>
      <c r="AB32" s="115">
        <f t="shared" si="9"/>
        <v>0</v>
      </c>
      <c r="AC32" s="115">
        <f t="shared" si="10"/>
        <v>0</v>
      </c>
      <c r="AD32" s="115">
        <f t="shared" si="11"/>
        <v>0</v>
      </c>
    </row>
    <row r="33" spans="1:30" x14ac:dyDescent="0.15">
      <c r="A33" s="108" t="str">
        <f t="shared" si="0"/>
        <v>Sat</v>
      </c>
      <c r="B33" s="109"/>
      <c r="C33" s="175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2"/>
        <v>0</v>
      </c>
      <c r="Z33" s="115">
        <f t="shared" si="13"/>
        <v>0</v>
      </c>
      <c r="AA33" s="115">
        <f t="shared" si="8"/>
        <v>0</v>
      </c>
      <c r="AB33" s="115">
        <f t="shared" si="9"/>
        <v>0</v>
      </c>
      <c r="AC33" s="115">
        <f t="shared" si="10"/>
        <v>0</v>
      </c>
      <c r="AD33" s="115">
        <f t="shared" si="11"/>
        <v>0</v>
      </c>
    </row>
    <row r="34" spans="1:30" x14ac:dyDescent="0.15">
      <c r="A34" s="108" t="str">
        <f t="shared" si="0"/>
        <v>Sat</v>
      </c>
      <c r="B34" s="109"/>
      <c r="C34" s="176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2"/>
        <v>0</v>
      </c>
      <c r="Z34" s="115">
        <f t="shared" si="13"/>
        <v>0</v>
      </c>
      <c r="AA34" s="115">
        <f t="shared" si="8"/>
        <v>0</v>
      </c>
      <c r="AB34" s="115">
        <f t="shared" si="9"/>
        <v>0</v>
      </c>
      <c r="AC34" s="115">
        <f t="shared" si="10"/>
        <v>0</v>
      </c>
      <c r="AD34" s="115">
        <f t="shared" si="11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>
        <f>53/206</f>
        <v>0.25728155339805825</v>
      </c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2"/>
        <v>0</v>
      </c>
      <c r="Z35" s="115">
        <f t="shared" si="13"/>
        <v>0</v>
      </c>
      <c r="AA35" s="115">
        <f t="shared" si="8"/>
        <v>0</v>
      </c>
      <c r="AB35" s="115">
        <f t="shared" si="9"/>
        <v>0</v>
      </c>
      <c r="AC35" s="115">
        <f t="shared" si="10"/>
        <v>0</v>
      </c>
      <c r="AD35" s="115">
        <f t="shared" si="11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2"/>
        <v>0</v>
      </c>
      <c r="Z36" s="115">
        <f t="shared" si="13"/>
        <v>0</v>
      </c>
      <c r="AA36" s="115">
        <f t="shared" si="8"/>
        <v>0</v>
      </c>
      <c r="AB36" s="115">
        <f t="shared" si="9"/>
        <v>0</v>
      </c>
      <c r="AC36" s="115">
        <f t="shared" si="10"/>
        <v>0</v>
      </c>
      <c r="AD36" s="115">
        <f t="shared" si="11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2"/>
        <v>0</v>
      </c>
      <c r="Z37" s="115">
        <f t="shared" si="13"/>
        <v>0</v>
      </c>
      <c r="AA37" s="115">
        <f t="shared" si="8"/>
        <v>0</v>
      </c>
      <c r="AB37" s="115">
        <f t="shared" si="9"/>
        <v>0</v>
      </c>
      <c r="AC37" s="115">
        <f t="shared" si="10"/>
        <v>0</v>
      </c>
      <c r="AD37" s="115">
        <f t="shared" si="11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2"/>
        <v>0</v>
      </c>
      <c r="Z38" s="115">
        <f t="shared" si="13"/>
        <v>0</v>
      </c>
      <c r="AA38" s="115">
        <f t="shared" si="8"/>
        <v>0</v>
      </c>
      <c r="AB38" s="115">
        <f t="shared" si="9"/>
        <v>0</v>
      </c>
      <c r="AC38" s="115">
        <f t="shared" si="10"/>
        <v>0</v>
      </c>
      <c r="AD38" s="115">
        <f t="shared" si="11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2"/>
        <v>0</v>
      </c>
      <c r="Z39" s="115">
        <f t="shared" si="13"/>
        <v>0</v>
      </c>
      <c r="AA39" s="115">
        <f t="shared" si="8"/>
        <v>0</v>
      </c>
      <c r="AB39" s="115">
        <f t="shared" si="9"/>
        <v>0</v>
      </c>
      <c r="AC39" s="115">
        <f t="shared" si="10"/>
        <v>0</v>
      </c>
      <c r="AD39" s="115">
        <f t="shared" si="11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2"/>
        <v>0</v>
      </c>
      <c r="Z40" s="115">
        <f t="shared" si="13"/>
        <v>0</v>
      </c>
      <c r="AA40" s="115">
        <f t="shared" si="8"/>
        <v>0</v>
      </c>
      <c r="AB40" s="115">
        <f t="shared" si="9"/>
        <v>0</v>
      </c>
      <c r="AC40" s="115">
        <f t="shared" si="10"/>
        <v>0</v>
      </c>
      <c r="AD40" s="115">
        <f t="shared" si="11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2"/>
        <v>0</v>
      </c>
      <c r="Z41" s="115">
        <f t="shared" si="13"/>
        <v>0</v>
      </c>
      <c r="AA41" s="115">
        <f t="shared" si="8"/>
        <v>0</v>
      </c>
      <c r="AB41" s="115">
        <f t="shared" si="9"/>
        <v>0</v>
      </c>
      <c r="AC41" s="115">
        <f t="shared" si="10"/>
        <v>0</v>
      </c>
      <c r="AD41" s="115">
        <f t="shared" si="11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2"/>
        <v>0</v>
      </c>
      <c r="Z42" s="115">
        <f t="shared" si="13"/>
        <v>0</v>
      </c>
      <c r="AA42" s="115">
        <f t="shared" si="8"/>
        <v>0</v>
      </c>
      <c r="AB42" s="115">
        <f t="shared" si="9"/>
        <v>0</v>
      </c>
      <c r="AC42" s="115">
        <f t="shared" si="10"/>
        <v>0</v>
      </c>
      <c r="AD42" s="115">
        <f t="shared" si="11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2"/>
        <v>0</v>
      </c>
      <c r="Z43" s="115">
        <f t="shared" si="13"/>
        <v>0</v>
      </c>
      <c r="AA43" s="115">
        <f t="shared" si="8"/>
        <v>0</v>
      </c>
      <c r="AB43" s="115">
        <f t="shared" si="9"/>
        <v>0</v>
      </c>
      <c r="AC43" s="115">
        <f t="shared" si="10"/>
        <v>0</v>
      </c>
      <c r="AD43" s="115">
        <f t="shared" si="11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2"/>
        <v>0</v>
      </c>
      <c r="Z44" s="115">
        <f t="shared" si="13"/>
        <v>0</v>
      </c>
      <c r="AA44" s="115">
        <f t="shared" si="8"/>
        <v>0</v>
      </c>
      <c r="AB44" s="115">
        <f t="shared" si="9"/>
        <v>0</v>
      </c>
      <c r="AC44" s="115">
        <f t="shared" si="10"/>
        <v>0</v>
      </c>
      <c r="AD44" s="115">
        <f t="shared" si="11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2"/>
        <v>0</v>
      </c>
      <c r="Z45" s="115">
        <f t="shared" si="13"/>
        <v>0</v>
      </c>
      <c r="AA45" s="115">
        <f t="shared" si="8"/>
        <v>0</v>
      </c>
      <c r="AB45" s="115">
        <f t="shared" si="9"/>
        <v>0</v>
      </c>
      <c r="AC45" s="115">
        <f t="shared" si="10"/>
        <v>0</v>
      </c>
      <c r="AD45" s="115">
        <f t="shared" si="11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2"/>
        <v>0</v>
      </c>
      <c r="Z46" s="115">
        <f t="shared" si="13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2"/>
        <v>0</v>
      </c>
      <c r="Z47" s="115">
        <f t="shared" si="13"/>
        <v>0</v>
      </c>
      <c r="AA47" s="115">
        <f t="shared" si="8"/>
        <v>0</v>
      </c>
      <c r="AB47" s="115">
        <f t="shared" si="9"/>
        <v>0</v>
      </c>
      <c r="AC47" s="115">
        <f t="shared" si="10"/>
        <v>0</v>
      </c>
      <c r="AD47" s="115">
        <f t="shared" si="11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2"/>
        <v>0</v>
      </c>
      <c r="Z48" s="115">
        <f t="shared" si="13"/>
        <v>0</v>
      </c>
      <c r="AA48" s="115">
        <f t="shared" si="8"/>
        <v>0</v>
      </c>
      <c r="AB48" s="115">
        <f t="shared" si="9"/>
        <v>0</v>
      </c>
      <c r="AC48" s="115">
        <f t="shared" si="10"/>
        <v>0</v>
      </c>
      <c r="AD48" s="115">
        <f t="shared" si="11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2"/>
        <v>0</v>
      </c>
      <c r="Z49" s="115">
        <f t="shared" si="13"/>
        <v>0</v>
      </c>
      <c r="AA49" s="115">
        <f t="shared" si="8"/>
        <v>0</v>
      </c>
      <c r="AB49" s="115">
        <f t="shared" si="9"/>
        <v>0</v>
      </c>
      <c r="AC49" s="115">
        <f t="shared" si="10"/>
        <v>0</v>
      </c>
      <c r="AD49" s="115">
        <f t="shared" si="11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2"/>
        <v>0</v>
      </c>
      <c r="Z50" s="115">
        <f t="shared" si="13"/>
        <v>0</v>
      </c>
      <c r="AA50" s="115">
        <f t="shared" si="8"/>
        <v>0</v>
      </c>
      <c r="AB50" s="115">
        <f t="shared" si="9"/>
        <v>0</v>
      </c>
      <c r="AC50" s="115">
        <f t="shared" si="10"/>
        <v>0</v>
      </c>
      <c r="AD50" s="115">
        <f t="shared" si="11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2"/>
        <v>0</v>
      </c>
      <c r="Z51" s="115">
        <f t="shared" si="13"/>
        <v>0</v>
      </c>
      <c r="AA51" s="115">
        <f t="shared" si="8"/>
        <v>0</v>
      </c>
      <c r="AB51" s="115">
        <f t="shared" si="9"/>
        <v>0</v>
      </c>
      <c r="AC51" s="115">
        <f t="shared" si="10"/>
        <v>0</v>
      </c>
      <c r="AD51" s="115">
        <f t="shared" si="11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2"/>
        <v>0</v>
      </c>
      <c r="Z52" s="115">
        <f t="shared" si="13"/>
        <v>0</v>
      </c>
      <c r="AA52" s="115">
        <f t="shared" si="8"/>
        <v>0</v>
      </c>
      <c r="AB52" s="115">
        <f t="shared" si="9"/>
        <v>0</v>
      </c>
      <c r="AC52" s="115">
        <f t="shared" si="10"/>
        <v>0</v>
      </c>
      <c r="AD52" s="115">
        <f t="shared" si="11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2"/>
        <v>0</v>
      </c>
      <c r="Z53" s="115">
        <f t="shared" si="13"/>
        <v>0</v>
      </c>
      <c r="AA53" s="115">
        <f t="shared" si="8"/>
        <v>0</v>
      </c>
      <c r="AB53" s="115">
        <f t="shared" si="9"/>
        <v>0</v>
      </c>
      <c r="AC53" s="115">
        <f t="shared" si="10"/>
        <v>0</v>
      </c>
      <c r="AD53" s="115">
        <f t="shared" si="11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2"/>
        <v>0</v>
      </c>
      <c r="Z54" s="115">
        <f t="shared" si="13"/>
        <v>0</v>
      </c>
      <c r="AA54" s="115">
        <f t="shared" si="8"/>
        <v>0</v>
      </c>
      <c r="AB54" s="115">
        <f t="shared" si="9"/>
        <v>0</v>
      </c>
      <c r="AC54" s="115">
        <f t="shared" si="10"/>
        <v>0</v>
      </c>
      <c r="AD54" s="115">
        <f t="shared" si="11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2"/>
        <v>0</v>
      </c>
      <c r="Z55" s="115">
        <f t="shared" si="13"/>
        <v>0</v>
      </c>
      <c r="AA55" s="115">
        <f t="shared" si="8"/>
        <v>0</v>
      </c>
      <c r="AB55" s="115">
        <f t="shared" si="9"/>
        <v>0</v>
      </c>
      <c r="AC55" s="115">
        <f t="shared" si="10"/>
        <v>0</v>
      </c>
      <c r="AD55" s="115">
        <f t="shared" si="11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2"/>
        <v>0</v>
      </c>
      <c r="Z56" s="115">
        <f t="shared" si="13"/>
        <v>0</v>
      </c>
      <c r="AA56" s="115">
        <f t="shared" si="8"/>
        <v>0</v>
      </c>
      <c r="AB56" s="115">
        <f t="shared" si="9"/>
        <v>0</v>
      </c>
      <c r="AC56" s="115">
        <f t="shared" si="10"/>
        <v>0</v>
      </c>
      <c r="AD56" s="115">
        <f t="shared" si="11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2"/>
        <v>0</v>
      </c>
      <c r="Z57" s="115">
        <f t="shared" si="13"/>
        <v>0</v>
      </c>
      <c r="AA57" s="115">
        <f t="shared" si="8"/>
        <v>0</v>
      </c>
      <c r="AB57" s="115">
        <f t="shared" si="9"/>
        <v>0</v>
      </c>
      <c r="AC57" s="115">
        <f t="shared" si="10"/>
        <v>0</v>
      </c>
      <c r="AD57" s="115">
        <f t="shared" si="11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105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2"/>
        <v>0</v>
      </c>
      <c r="Z58" s="115">
        <f t="shared" si="13"/>
        <v>0</v>
      </c>
      <c r="AA58" s="115">
        <f t="shared" si="8"/>
        <v>0</v>
      </c>
      <c r="AB58" s="115">
        <f t="shared" si="9"/>
        <v>0</v>
      </c>
      <c r="AC58" s="115">
        <f t="shared" si="10"/>
        <v>0</v>
      </c>
      <c r="AD58" s="115">
        <f t="shared" si="11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105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2"/>
        <v>0</v>
      </c>
      <c r="Z59" s="115">
        <f t="shared" si="13"/>
        <v>0</v>
      </c>
      <c r="AA59" s="115">
        <f t="shared" si="8"/>
        <v>0</v>
      </c>
      <c r="AB59" s="115">
        <f t="shared" si="9"/>
        <v>0</v>
      </c>
      <c r="AC59" s="115">
        <f t="shared" si="10"/>
        <v>0</v>
      </c>
      <c r="AD59" s="115">
        <f t="shared" si="11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149</v>
      </c>
      <c r="O61" s="36">
        <f>MAX(O5:O59)</f>
        <v>43.5</v>
      </c>
      <c r="P61" s="36">
        <f>MAX(P5:P59)</f>
        <v>43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755</v>
      </c>
      <c r="P63" s="36">
        <f t="array" ref="P63">SUM(FLOOR(P5:P59,1))</f>
        <v>787</v>
      </c>
      <c r="Q63" s="37">
        <f>SUM(Q5:Q59)</f>
        <v>178</v>
      </c>
      <c r="R63" s="37">
        <f t="shared" ref="R63:Z63" si="14">SUM(R5:R59)</f>
        <v>32</v>
      </c>
      <c r="S63" s="37">
        <f t="shared" si="14"/>
        <v>128</v>
      </c>
      <c r="T63" s="37">
        <f t="shared" si="14"/>
        <v>61</v>
      </c>
      <c r="U63" s="37">
        <f t="shared" si="14"/>
        <v>217</v>
      </c>
      <c r="V63" s="37">
        <f t="shared" si="14"/>
        <v>45</v>
      </c>
      <c r="W63" s="37">
        <f t="shared" si="14"/>
        <v>166</v>
      </c>
      <c r="X63" s="37">
        <f t="shared" si="14"/>
        <v>67</v>
      </c>
      <c r="Y63" s="37">
        <f t="shared" si="14"/>
        <v>399</v>
      </c>
      <c r="Z63" s="37">
        <f t="shared" si="14"/>
        <v>495</v>
      </c>
      <c r="AA63" s="26">
        <f>SUM(AA5:AA59)</f>
        <v>3752</v>
      </c>
      <c r="AB63" s="26">
        <f>SUM(AB5:AB59)</f>
        <v>3573</v>
      </c>
      <c r="AC63" s="26">
        <f>SUM(AC5:AC59)</f>
        <v>149</v>
      </c>
      <c r="AD63" s="26">
        <f>SUM(AD5:AD59)</f>
        <v>167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30.999999999999979</v>
      </c>
      <c r="P64" s="36">
        <f t="array" ref="P64">SUM(P5:P59-FLOOR(P5:P59,1))*10</f>
        <v>22.000000000000028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148</v>
      </c>
      <c r="O65" s="36">
        <f>O63*6+O64</f>
        <v>4561</v>
      </c>
      <c r="P65" s="36">
        <f>P63*6+P64</f>
        <v>4744</v>
      </c>
      <c r="Q65" s="37"/>
      <c r="R65" s="37"/>
      <c r="S65" s="37">
        <f>MAX(S7:S59)</f>
        <v>15</v>
      </c>
      <c r="T65" s="37"/>
      <c r="U65" s="37"/>
      <c r="V65" s="37"/>
      <c r="W65" s="37">
        <f>MAX(W7:W59)</f>
        <v>17</v>
      </c>
      <c r="X65" s="37"/>
      <c r="Z65" s="26" t="s">
        <v>36</v>
      </c>
      <c r="AA65" s="26">
        <f>AA63/AC63</f>
        <v>25.181208053691275</v>
      </c>
      <c r="AB65" s="26">
        <f>AB63/AD63</f>
        <v>21.395209580838323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195</v>
      </c>
      <c r="O66" s="36">
        <f>INT(O65/6)+(O65-INT(O65/6)*6)/10</f>
        <v>760.1</v>
      </c>
      <c r="P66" s="36">
        <f>INT(P65/6)+(P65-INT(P65/6)*6)/10</f>
        <v>790.4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196</v>
      </c>
      <c r="O67" s="36">
        <f>AA63/O65*100</f>
        <v>82.262661696996275</v>
      </c>
      <c r="P67" s="36">
        <f>AB63/P65*100</f>
        <v>75.316188870151763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178</v>
      </c>
      <c r="R68" s="26">
        <f t="shared" ref="R68:T68" si="15">$Y$63*R63/SUM($Q$63:$T$63)</f>
        <v>32</v>
      </c>
      <c r="S68" s="26">
        <f t="shared" si="15"/>
        <v>128</v>
      </c>
      <c r="T68" s="26">
        <f t="shared" si="15"/>
        <v>61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8"/>
  <sheetViews>
    <sheetView tabSelected="1" zoomScaleNormal="100" workbookViewId="0">
      <pane xSplit="3" ySplit="4" topLeftCell="CO5" activePane="bottomRight" state="frozenSplit"/>
      <selection pane="topRight" activeCell="D1" sqref="D1"/>
      <selection pane="bottomLeft" activeCell="A4" sqref="A4"/>
      <selection pane="bottomRight" activeCell="C37" sqref="C37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41392</v>
      </c>
      <c r="E1" s="65">
        <v>41399</v>
      </c>
      <c r="F1" s="65">
        <v>41406</v>
      </c>
      <c r="G1" s="65">
        <v>41413</v>
      </c>
      <c r="H1" s="65">
        <v>41419</v>
      </c>
      <c r="I1" s="65">
        <v>41420</v>
      </c>
      <c r="J1" s="65">
        <v>41421</v>
      </c>
      <c r="K1" s="65">
        <v>41427</v>
      </c>
      <c r="L1" s="65">
        <v>41434</v>
      </c>
      <c r="M1" s="65">
        <v>41441</v>
      </c>
      <c r="N1" s="65">
        <v>41455</v>
      </c>
      <c r="O1" s="65">
        <v>41462</v>
      </c>
      <c r="P1" s="65">
        <v>41469</v>
      </c>
      <c r="Q1" s="65">
        <v>41476</v>
      </c>
      <c r="R1" s="65">
        <v>41483</v>
      </c>
      <c r="S1" s="65">
        <v>41490</v>
      </c>
      <c r="T1" s="65">
        <v>41497</v>
      </c>
      <c r="U1" s="65">
        <v>41504</v>
      </c>
      <c r="V1" s="65">
        <v>41511</v>
      </c>
      <c r="W1" s="65">
        <v>41518</v>
      </c>
      <c r="X1" s="65">
        <v>41525</v>
      </c>
      <c r="Y1" s="65">
        <v>41539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Sanderstead</v>
      </c>
      <c r="E2" s="69" t="str">
        <v>Churchleigh</v>
      </c>
      <c r="F2" s="69" t="str">
        <v>Beddington</v>
      </c>
      <c r="G2" s="69" t="str">
        <v>Shades</v>
      </c>
      <c r="H2" s="69" t="str">
        <v>Fonthill Park</v>
      </c>
      <c r="I2" s="69" t="str">
        <v>Woodgreen</v>
      </c>
      <c r="J2" s="69" t="str">
        <v>Steeple Langford</v>
      </c>
      <c r="K2" s="69" t="str">
        <v>LESSA Wanderers</v>
      </c>
      <c r="L2" s="69" t="str">
        <v>Worcester Park</v>
      </c>
      <c r="M2" s="69" t="str">
        <v>LESSA Wanderers</v>
      </c>
      <c r="N2" s="69" t="str">
        <v>RACS</v>
      </c>
      <c r="O2" s="69" t="str">
        <v>Vishwa</v>
      </c>
      <c r="P2" s="69" t="str">
        <v>Southern Railway</v>
      </c>
      <c r="Q2" s="69" t="str">
        <v>Statics</v>
      </c>
      <c r="R2" s="69" t="str">
        <v>Southbank</v>
      </c>
      <c r="S2" s="69" t="str">
        <v>Eltham</v>
      </c>
      <c r="T2" s="69" t="str">
        <v>Dulwich</v>
      </c>
      <c r="U2" s="69" t="str">
        <v>Beddington</v>
      </c>
      <c r="V2" s="69" t="str">
        <v>Norwood Exiles</v>
      </c>
      <c r="W2" s="69" t="str">
        <v>Sanderstead</v>
      </c>
      <c r="X2" s="69" t="str">
        <v>Chadwick</v>
      </c>
      <c r="Y2" s="69" t="str">
        <v>Bromley Town &amp; Old Bromley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H</v>
      </c>
      <c r="E3" s="53" t="str">
        <v>A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A</v>
      </c>
      <c r="K3" s="53" t="str">
        <v>H</v>
      </c>
      <c r="L3" s="53" t="str">
        <v>H</v>
      </c>
      <c r="M3" s="53" t="str">
        <v>H</v>
      </c>
      <c r="N3" s="53" t="str">
        <v>A</v>
      </c>
      <c r="O3" s="53" t="str">
        <v>H</v>
      </c>
      <c r="P3" s="53" t="str">
        <v>A</v>
      </c>
      <c r="Q3" s="53" t="str">
        <v>H</v>
      </c>
      <c r="R3" s="53" t="str">
        <v>A</v>
      </c>
      <c r="S3" s="53" t="str">
        <v>A</v>
      </c>
      <c r="T3" s="53" t="str">
        <v>A</v>
      </c>
      <c r="U3" s="53" t="str">
        <v>A</v>
      </c>
      <c r="V3" s="53" t="str">
        <v>H</v>
      </c>
      <c r="W3" s="53" t="str">
        <v>A</v>
      </c>
      <c r="X3" s="53" t="str">
        <v>H</v>
      </c>
      <c r="Y3" s="53" t="str">
        <v>A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L</v>
      </c>
      <c r="E4" s="53" t="str">
        <v>W</v>
      </c>
      <c r="F4" s="53" t="str">
        <v>W</v>
      </c>
      <c r="G4" s="53" t="str">
        <v>L</v>
      </c>
      <c r="H4" s="53" t="str">
        <v>W</v>
      </c>
      <c r="I4" s="53" t="str">
        <v>W</v>
      </c>
      <c r="J4" s="53" t="str">
        <v>W</v>
      </c>
      <c r="K4" s="53" t="str">
        <v>L</v>
      </c>
      <c r="L4" s="53" t="str">
        <v>W</v>
      </c>
      <c r="M4" s="53" t="str">
        <v>L</v>
      </c>
      <c r="N4" s="53" t="str">
        <v>W</v>
      </c>
      <c r="O4" s="53" t="str">
        <v>L</v>
      </c>
      <c r="P4" s="53" t="str">
        <v>L</v>
      </c>
      <c r="Q4" s="53" t="str">
        <v>W</v>
      </c>
      <c r="R4" s="53" t="str">
        <v>W</v>
      </c>
      <c r="S4" s="53" t="str">
        <v>W</v>
      </c>
      <c r="T4" s="53" t="str">
        <v>W</v>
      </c>
      <c r="U4" s="53" t="str">
        <v>L</v>
      </c>
      <c r="V4" s="53" t="str">
        <v>W</v>
      </c>
      <c r="W4" s="53" t="str">
        <v>L</v>
      </c>
      <c r="X4" s="53" t="str">
        <v>D</v>
      </c>
      <c r="Y4" s="53" t="str">
        <v>W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123</v>
      </c>
      <c r="CJ4" s="49" t="s">
        <v>139</v>
      </c>
      <c r="CK4" s="49" t="s">
        <v>9</v>
      </c>
      <c r="CL4" s="46" t="s">
        <v>36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204</v>
      </c>
      <c r="CX4" s="74" t="s">
        <v>240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124</v>
      </c>
      <c r="DD4" s="68" t="s">
        <v>125</v>
      </c>
      <c r="DE4" s="68" t="s">
        <v>137</v>
      </c>
      <c r="DF4" s="68" t="s">
        <v>136</v>
      </c>
      <c r="DG4" s="68" t="s">
        <v>143</v>
      </c>
      <c r="DH4" s="68" t="s">
        <v>154</v>
      </c>
      <c r="DI4" s="68" t="s">
        <v>156</v>
      </c>
    </row>
    <row r="5" spans="1:113" x14ac:dyDescent="0.15">
      <c r="B5"/>
      <c r="C5" t="s">
        <v>585</v>
      </c>
      <c r="D5"/>
      <c r="E5"/>
      <c r="F5" s="122"/>
      <c r="G5" s="122"/>
      <c r="H5" s="122"/>
      <c r="I5"/>
      <c r="J5"/>
      <c r="K5" s="122"/>
      <c r="L5" s="122"/>
      <c r="M5" s="122"/>
      <c r="N5" s="122"/>
      <c r="O5" s="122"/>
      <c r="P5"/>
      <c r="Q5"/>
      <c r="R5"/>
      <c r="S5" t="s">
        <v>299</v>
      </c>
      <c r="T5"/>
      <c r="U5"/>
      <c r="V5"/>
      <c r="W5"/>
      <c r="X5"/>
      <c r="Y5"/>
      <c r="Z5"/>
      <c r="CE5" s="68">
        <f t="shared" ref="CE5" si="0">BatSplit(D5:CD5,MatchesPlayed)</f>
        <v>1</v>
      </c>
      <c r="CF5" s="68">
        <f t="shared" ref="CF5" si="1">CE5-CG5</f>
        <v>0</v>
      </c>
      <c r="CG5" s="68">
        <f t="shared" ref="CG5" si="2">BatSplit(D5:CD5,InnsBattedIn)</f>
        <v>1</v>
      </c>
      <c r="CH5" s="68">
        <f t="shared" ref="CH5" si="3">BatSplit(D5:CD5,NotOuts)</f>
        <v>0</v>
      </c>
      <c r="CI5" s="68">
        <f t="shared" ref="CI5" si="4">BatSplit(D5:CD5,HighestScore)</f>
        <v>0</v>
      </c>
      <c r="CJ5" s="72">
        <f t="shared" ref="CJ5" si="5">IF(CI5&lt;0,-CI5&amp;"*",CI5)</f>
        <v>0</v>
      </c>
      <c r="CK5" s="68">
        <f t="shared" ref="CK5" si="6">BatSplit(D5:CD5,RunsScored)</f>
        <v>0</v>
      </c>
      <c r="CL5" s="70">
        <f t="shared" ref="CL5" si="7">IF(CG5=CH5,0,CK5/(CG5-CH5))</f>
        <v>0</v>
      </c>
      <c r="CM5" s="68">
        <f t="shared" ref="CM5" si="8">BatSplit(D5:CD5,BatPts)</f>
        <v>-5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1</v>
      </c>
      <c r="CR5" s="71">
        <f t="array" ref="CR5">SUM(IF(ISERR(FIND(CR$4,$D5:$CD5)),0,1))</f>
        <v>1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shared" ref="CX5" si="11">BatSplit(D5:CD5,Fifties)</f>
        <v>0</v>
      </c>
      <c r="CY5" s="71">
        <f t="shared" ref="CY5" si="12">BatSplit(D5:CD5,Catches)</f>
        <v>0</v>
      </c>
      <c r="CZ5" s="71">
        <f t="shared" ref="CZ5" si="13">BatSplit(D5:CD5,Fours)</f>
        <v>0</v>
      </c>
      <c r="DA5" s="71">
        <f t="shared" ref="DA5" si="14">BatSplit(D5:CD5,Sixes)</f>
        <v>0</v>
      </c>
      <c r="DB5" s="71">
        <f t="shared" ref="DB5" si="15">BatSplit(D5:CD5,Stumpings)</f>
        <v>0</v>
      </c>
      <c r="DC5" s="71">
        <f t="shared" ref="DC5" si="16">BatSplit(D5:CD5,CaughtWkt)</f>
        <v>0</v>
      </c>
      <c r="DD5" s="71">
        <f t="shared" ref="DD5" si="17">BatSplit(D5:CD5,TwentyFives)</f>
        <v>0</v>
      </c>
      <c r="DE5" s="68">
        <f t="shared" ref="DE5" si="18">ROUND(IF(ISERROR(CL5),0,CL5),2)*100000+CG5*100+CE5+CK5/100+ROW()/100000</f>
        <v>101.00005</v>
      </c>
      <c r="DF5" s="68">
        <f t="shared" ref="DF5:DF44" si="19">RANK(DE5,$DE$5:$DE$44)</f>
        <v>34</v>
      </c>
      <c r="DG5" s="68">
        <v>0</v>
      </c>
      <c r="DH5" s="89" t="str">
        <f t="shared" ref="DH5" si="20">IF(CK5&gt;=50,(CZ5*4+DA5*6+DG5*5)/CK5,"")</f>
        <v/>
      </c>
      <c r="DI5" s="97">
        <f t="shared" ref="DI5" si="21">CQ5/(CG5-CH5)</f>
        <v>1</v>
      </c>
    </row>
    <row r="6" spans="1:113" x14ac:dyDescent="0.15">
      <c r="B6" t="s">
        <v>291</v>
      </c>
      <c r="C6" t="s">
        <v>282</v>
      </c>
      <c r="D6"/>
      <c r="E6" t="s">
        <v>337</v>
      </c>
      <c r="F6" s="122"/>
      <c r="G6" s="122"/>
      <c r="H6" s="122"/>
      <c r="I6" t="s">
        <v>263</v>
      </c>
      <c r="J6" t="s">
        <v>425</v>
      </c>
      <c r="K6" s="122"/>
      <c r="L6" s="122"/>
      <c r="M6" s="122"/>
      <c r="N6" s="122"/>
      <c r="O6" s="122"/>
      <c r="P6"/>
      <c r="Q6"/>
      <c r="R6"/>
      <c r="S6"/>
      <c r="T6"/>
      <c r="U6"/>
      <c r="V6"/>
      <c r="W6"/>
      <c r="X6" t="s">
        <v>664</v>
      </c>
      <c r="Y6"/>
      <c r="Z6"/>
      <c r="CE6" s="68">
        <f t="shared" ref="CE6" si="22">BatSplit(D6:CD6,MatchesPlayed)</f>
        <v>4</v>
      </c>
      <c r="CF6" s="68">
        <f t="shared" ref="CF6" si="23">CE6-CG6</f>
        <v>1</v>
      </c>
      <c r="CG6" s="68">
        <f t="shared" ref="CG6" si="24">BatSplit(D6:CD6,InnsBattedIn)</f>
        <v>3</v>
      </c>
      <c r="CH6" s="68">
        <f t="shared" ref="CH6" si="25">BatSplit(D6:CD6,NotOuts)</f>
        <v>1</v>
      </c>
      <c r="CI6" s="68">
        <f t="shared" ref="CI6" si="26">BatSplit(D6:CD6,HighestScore)</f>
        <v>13</v>
      </c>
      <c r="CJ6" s="72">
        <f t="shared" ref="CJ6" si="27">IF(CI6&lt;0,-CI6&amp;"*",CI6)</f>
        <v>13</v>
      </c>
      <c r="CK6" s="68">
        <f t="shared" ref="CK6" si="28">BatSplit(D6:CD6,RunsScored)</f>
        <v>29</v>
      </c>
      <c r="CL6" s="70">
        <f t="shared" ref="CL6" si="29">IF(CG6=CH6,0,CK6/(CG6-CH6))</f>
        <v>14.5</v>
      </c>
      <c r="CM6" s="68">
        <f t="shared" ref="CM6" si="30">BatSplit(D6:CD6,BatPts)</f>
        <v>29</v>
      </c>
      <c r="CN6" s="68">
        <f t="shared" ref="CN6" si="31">BatSplit(D6:CD6,FldPts)</f>
        <v>5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" si="32">BatSplit(D6:CD6,Ducks)</f>
        <v>0</v>
      </c>
      <c r="CR6" s="71">
        <f t="array" ref="CR6">SUM(IF(ISERR(FIND(CR$4,$D6:$CD6)),0,1))</f>
        <v>2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" si="33">BatSplit(D6:CD6,Fifties)</f>
        <v>0</v>
      </c>
      <c r="CY6" s="71">
        <f t="shared" ref="CY6" si="34">BatSplit(D6:CD6,Catches)</f>
        <v>1</v>
      </c>
      <c r="CZ6" s="71">
        <f t="shared" ref="CZ6" si="35">BatSplit(D6:CD6,Fours)</f>
        <v>3</v>
      </c>
      <c r="DA6" s="71">
        <f t="shared" ref="DA6" si="36">BatSplit(D6:CD6,Sixes)</f>
        <v>1</v>
      </c>
      <c r="DB6" s="71">
        <f t="shared" ref="DB6" si="37">BatSplit(D6:CD6,Stumpings)</f>
        <v>0</v>
      </c>
      <c r="DC6" s="71">
        <f t="shared" ref="DC6" si="38">BatSplit(D6:CD6,CaughtWkt)</f>
        <v>0</v>
      </c>
      <c r="DD6" s="71">
        <f t="shared" ref="DD6" si="39">BatSplit(D6:CD6,TwentyFives)</f>
        <v>0</v>
      </c>
      <c r="DE6" s="68">
        <f t="shared" ref="DE6" si="40">ROUND(IF(ISERROR(CL6),0,CL6),2)*100000+CG6*100+CE6+CK6/100+ROW()/100000</f>
        <v>1450304.29006</v>
      </c>
      <c r="DF6" s="68">
        <f t="shared" si="19"/>
        <v>13</v>
      </c>
      <c r="DG6" s="68">
        <v>0</v>
      </c>
      <c r="DH6" s="89" t="str">
        <f t="shared" ref="DH6" si="41">IF(CK6&gt;=50,(CZ6*4+DA6*6+DG6*5)/CK6,"")</f>
        <v/>
      </c>
      <c r="DI6" s="97">
        <f t="shared" ref="DI6" si="42">CQ6/(CG6-CH6)</f>
        <v>0</v>
      </c>
    </row>
    <row r="7" spans="1:113" x14ac:dyDescent="0.15">
      <c r="A7" s="68" t="s">
        <v>58</v>
      </c>
      <c r="B7" s="68" t="s">
        <v>26</v>
      </c>
      <c r="C7" s="68" t="s">
        <v>144</v>
      </c>
      <c r="D7" s="122"/>
      <c r="E7" s="122"/>
      <c r="F7" s="122"/>
      <c r="G7" s="122"/>
      <c r="H7" s="122"/>
      <c r="I7" s="122"/>
      <c r="J7"/>
      <c r="K7" s="122"/>
      <c r="L7" s="122"/>
      <c r="M7" s="122"/>
      <c r="N7" s="122"/>
      <c r="O7" s="122"/>
      <c r="P7"/>
      <c r="Q7"/>
      <c r="R7"/>
      <c r="S7"/>
      <c r="T7" t="s">
        <v>605</v>
      </c>
      <c r="U7" t="s">
        <v>258</v>
      </c>
      <c r="V7" t="s">
        <v>251</v>
      </c>
      <c r="W7" t="s">
        <v>653</v>
      </c>
      <c r="X7"/>
      <c r="Y7" t="s">
        <v>258</v>
      </c>
      <c r="Z7"/>
      <c r="CE7" s="68">
        <f t="shared" ref="CE7:CE44" si="43">BatSplit(D7:CD7,MatchesPlayed)</f>
        <v>5</v>
      </c>
      <c r="CF7" s="68">
        <f t="shared" ref="CF7:CF44" si="44">CE7-CG7</f>
        <v>3</v>
      </c>
      <c r="CG7" s="68">
        <f t="shared" ref="CG7:CG44" si="45">BatSplit(D7:CD7,InnsBattedIn)</f>
        <v>2</v>
      </c>
      <c r="CH7" s="68">
        <f t="shared" ref="CH7:CH44" si="46">BatSplit(D7:CD7,NotOuts)</f>
        <v>1</v>
      </c>
      <c r="CI7" s="68">
        <f t="shared" ref="CI7:CI44" si="47">BatSplit(D7:CD7,HighestScore)</f>
        <v>-10</v>
      </c>
      <c r="CJ7" s="72" t="str">
        <f t="shared" ref="CJ7:CJ44" si="48">IF(CI7&lt;0,-CI7&amp;"*",CI7)</f>
        <v>10*</v>
      </c>
      <c r="CK7" s="68">
        <f t="shared" ref="CK7:CK44" si="49">BatSplit(D7:CD7,RunsScored)</f>
        <v>11</v>
      </c>
      <c r="CL7" s="70">
        <f t="shared" ref="CL7:CL44" si="50">IF(CG7=CH7,0,CK7/(CG7-CH7))</f>
        <v>11</v>
      </c>
      <c r="CM7" s="68">
        <f t="shared" ref="CM7:CM44" si="51">BatSplit(D7:CD7,BatPts)</f>
        <v>11</v>
      </c>
      <c r="CN7" s="68">
        <f t="shared" ref="CN7:CN44" si="52">BatSplit(D7:CD7,FldPts)</f>
        <v>5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ref="CQ7:CQ44" si="53">BatSplit(D7:CD7,Ducks)</f>
        <v>0</v>
      </c>
      <c r="CR7" s="71">
        <f t="array" ref="CR7">SUM(IF(ISERR(FIND(CR$4,$D7:$CD7)),0,1))</f>
        <v>0</v>
      </c>
      <c r="CS7" s="71">
        <f t="array" ref="CS7">SUM(IF(ISERR(FIND(CS$4,$D7:$CD7)),0,1))</f>
        <v>1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shared" ref="CX7:CX44" si="54">BatSplit(D7:CD7,Fifties)</f>
        <v>0</v>
      </c>
      <c r="CY7" s="71">
        <f t="shared" ref="CY7:CY44" si="55">BatSplit(D7:CD7,Catches)</f>
        <v>1</v>
      </c>
      <c r="CZ7" s="71">
        <f t="shared" ref="CZ7:CZ44" si="56">BatSplit(D7:CD7,Fours)</f>
        <v>0</v>
      </c>
      <c r="DA7" s="71">
        <f t="shared" ref="DA7:DA44" si="57">BatSplit(D7:CD7,Sixes)</f>
        <v>0</v>
      </c>
      <c r="DB7" s="71">
        <f t="shared" ref="DB7:DB44" si="58">BatSplit(D7:CD7,Stumpings)</f>
        <v>0</v>
      </c>
      <c r="DC7" s="71">
        <f t="shared" ref="DC7:DC44" si="59">BatSplit(D7:CD7,CaughtWkt)</f>
        <v>0</v>
      </c>
      <c r="DD7" s="71">
        <f t="shared" ref="DD7:DD44" si="60">BatSplit(D7:CD7,TwentyFives)</f>
        <v>0</v>
      </c>
      <c r="DE7" s="68">
        <f t="shared" ref="DE7:DE44" si="61">ROUND(IF(ISERROR(CL7),0,CL7),2)*100000+CG7*100+CE7+CK7/100+ROW()/100000</f>
        <v>1100205.1100700002</v>
      </c>
      <c r="DF7" s="68">
        <f t="shared" si="19"/>
        <v>16</v>
      </c>
      <c r="DG7" s="68">
        <v>0</v>
      </c>
      <c r="DH7" s="89" t="str">
        <f t="shared" ref="DH7:DH44" si="62">IF(CK7&gt;=50,(CZ7*4+DA7*6+DG7*5)/CK7,"")</f>
        <v/>
      </c>
      <c r="DI7" s="97">
        <f t="shared" ref="DI7:DI44" si="63">CQ7/(CG7-CH7)</f>
        <v>0</v>
      </c>
    </row>
    <row r="8" spans="1:113" x14ac:dyDescent="0.15">
      <c r="B8" t="s">
        <v>369</v>
      </c>
      <c r="C8" t="s">
        <v>370</v>
      </c>
      <c r="D8" s="122"/>
      <c r="E8" s="122"/>
      <c r="F8" t="s">
        <v>371</v>
      </c>
      <c r="G8" t="s">
        <v>383</v>
      </c>
      <c r="H8" t="s">
        <v>402</v>
      </c>
      <c r="I8" t="s">
        <v>409</v>
      </c>
      <c r="J8" t="s">
        <v>426</v>
      </c>
      <c r="K8" t="s">
        <v>439</v>
      </c>
      <c r="L8" s="122"/>
      <c r="M8" s="122"/>
      <c r="N8" t="s">
        <v>494</v>
      </c>
      <c r="O8" s="122"/>
      <c r="P8"/>
      <c r="Q8" t="s">
        <v>548</v>
      </c>
      <c r="R8" t="s">
        <v>568</v>
      </c>
      <c r="S8"/>
      <c r="T8" t="s">
        <v>549</v>
      </c>
      <c r="U8"/>
      <c r="V8"/>
      <c r="W8"/>
      <c r="X8"/>
      <c r="Y8"/>
      <c r="Z8"/>
      <c r="CE8" s="68">
        <f t="shared" ref="CE8" si="64">BatSplit(D8:CD8,MatchesPlayed)</f>
        <v>10</v>
      </c>
      <c r="CF8" s="68">
        <f t="shared" ref="CF8" si="65">CE8-CG8</f>
        <v>1</v>
      </c>
      <c r="CG8" s="68">
        <f t="shared" ref="CG8" si="66">BatSplit(D8:CD8,InnsBattedIn)</f>
        <v>9</v>
      </c>
      <c r="CH8" s="68">
        <f t="shared" ref="CH8" si="67">BatSplit(D8:CD8,NotOuts)</f>
        <v>1</v>
      </c>
      <c r="CI8" s="68">
        <f t="shared" ref="CI8" si="68">BatSplit(D8:CD8,HighestScore)</f>
        <v>54</v>
      </c>
      <c r="CJ8" s="72">
        <f t="shared" ref="CJ8" si="69">IF(CI8&lt;0,-CI8&amp;"*",CI8)</f>
        <v>54</v>
      </c>
      <c r="CK8" s="68">
        <f t="shared" ref="CK8" si="70">BatSplit(D8:CD8,RunsScored)</f>
        <v>253</v>
      </c>
      <c r="CL8" s="70">
        <f t="shared" ref="CL8" si="71">IF(CG8=CH8,0,CK8/(CG8-CH8))</f>
        <v>31.625</v>
      </c>
      <c r="CM8" s="68">
        <f t="shared" ref="CM8" si="72">BatSplit(D8:CD8,BatPts)</f>
        <v>263</v>
      </c>
      <c r="CN8" s="68">
        <f t="shared" ref="CN8" si="73">BatSplit(D8:CD8,FldPts)</f>
        <v>5</v>
      </c>
      <c r="CO8" s="71">
        <f t="array" ref="CO8">SUM(IF(ISERR(FIND("*",D8:CD8)),0,1))</f>
        <v>0</v>
      </c>
      <c r="CP8" s="71">
        <f t="array" ref="CP8">SUM(IF(ISERR(FIND("+",D8:CD8)),0,1))</f>
        <v>4</v>
      </c>
      <c r="CQ8" s="68">
        <f t="shared" ref="CQ8" si="74">BatSplit(D8:CD8,Ducks)</f>
        <v>0</v>
      </c>
      <c r="CR8" s="71">
        <f t="array" ref="CR8">SUM(IF(ISERR(FIND(CR$4,$D8:$CD8)),0,1))</f>
        <v>5</v>
      </c>
      <c r="CS8" s="71">
        <f t="array" ref="CS8">SUM(IF(ISERR(FIND(CS$4,$D8:$CD8)),0,1))</f>
        <v>2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ref="CX8" si="75">BatSplit(D8:CD8,Fifties)</f>
        <v>1</v>
      </c>
      <c r="CY8" s="71">
        <f t="shared" ref="CY8" si="76">BatSplit(D8:CD8,Catches)</f>
        <v>4</v>
      </c>
      <c r="CZ8" s="71">
        <f t="shared" ref="CZ8" si="77">BatSplit(D8:CD8,Fours)</f>
        <v>36</v>
      </c>
      <c r="DA8" s="71">
        <f t="shared" ref="DA8" si="78">BatSplit(D8:CD8,Sixes)</f>
        <v>6</v>
      </c>
      <c r="DB8" s="71">
        <f t="shared" ref="DB8" si="79">BatSplit(D8:CD8,Stumpings)</f>
        <v>1</v>
      </c>
      <c r="DC8" s="71">
        <f t="shared" ref="DC8" si="80">BatSplit(D8:CD8,CaughtWkt)</f>
        <v>3</v>
      </c>
      <c r="DD8" s="71">
        <f t="shared" ref="DD8" si="81">BatSplit(D8:CD8,TwentyFives)</f>
        <v>5</v>
      </c>
      <c r="DE8" s="68">
        <f t="shared" ref="DE8" si="82">ROUND(IF(ISERROR(CL8),0,CL8),2)*100000+CG8*100+CE8+CK8/100+ROW()/100000</f>
        <v>3163912.5300799999</v>
      </c>
      <c r="DF8" s="68">
        <f t="shared" si="19"/>
        <v>5</v>
      </c>
      <c r="DG8" s="68">
        <v>0</v>
      </c>
      <c r="DH8" s="89">
        <f t="shared" ref="DH8" si="83">IF(CK8&gt;=50,(CZ8*4+DA8*6+DG8*5)/CK8,"")</f>
        <v>0.71146245059288538</v>
      </c>
      <c r="DI8" s="97">
        <f t="shared" ref="DI8" si="84">CQ8/(CG8-CH8)</f>
        <v>0</v>
      </c>
    </row>
    <row r="9" spans="1:113" x14ac:dyDescent="0.15">
      <c r="A9" s="68" t="s">
        <v>96</v>
      </c>
      <c r="B9" s="68" t="s">
        <v>31</v>
      </c>
      <c r="C9" s="68" t="s">
        <v>145</v>
      </c>
      <c r="D9" s="122"/>
      <c r="E9" s="122"/>
      <c r="F9" s="122"/>
      <c r="G9" s="122"/>
      <c r="H9" t="s">
        <v>251</v>
      </c>
      <c r="I9" s="122"/>
      <c r="J9" t="s">
        <v>268</v>
      </c>
      <c r="K9" s="122"/>
      <c r="L9" t="s">
        <v>460</v>
      </c>
      <c r="M9" t="s">
        <v>479</v>
      </c>
      <c r="N9" s="122"/>
      <c r="O9"/>
      <c r="P9"/>
      <c r="Q9"/>
      <c r="R9"/>
      <c r="S9"/>
      <c r="T9"/>
      <c r="U9"/>
      <c r="V9"/>
      <c r="W9"/>
      <c r="X9"/>
      <c r="Y9" s="122"/>
      <c r="Z9" s="122"/>
      <c r="CE9" s="68">
        <f t="shared" si="43"/>
        <v>4</v>
      </c>
      <c r="CF9" s="68">
        <f t="shared" si="44"/>
        <v>3</v>
      </c>
      <c r="CG9" s="68">
        <f t="shared" si="45"/>
        <v>1</v>
      </c>
      <c r="CH9" s="68">
        <f t="shared" si="46"/>
        <v>1</v>
      </c>
      <c r="CI9" s="68">
        <f t="shared" si="47"/>
        <v>-7</v>
      </c>
      <c r="CJ9" s="72" t="str">
        <f t="shared" si="48"/>
        <v>7*</v>
      </c>
      <c r="CK9" s="68">
        <f t="shared" si="49"/>
        <v>7</v>
      </c>
      <c r="CL9" s="70">
        <f t="shared" si="50"/>
        <v>0</v>
      </c>
      <c r="CM9" s="68">
        <f t="shared" si="51"/>
        <v>7</v>
      </c>
      <c r="CN9" s="68">
        <f t="shared" si="52"/>
        <v>5</v>
      </c>
      <c r="CO9" s="71">
        <f t="array" ref="CO9">SUM(IF(ISERR(FIND("*",D9:CD9)),0,1))</f>
        <v>1</v>
      </c>
      <c r="CP9" s="71">
        <f t="array" ref="CP9">SUM(IF(ISERR(FIND("+",D9:CD9)),0,1))</f>
        <v>0</v>
      </c>
      <c r="CQ9" s="68">
        <f t="shared" si="53"/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shared" si="54"/>
        <v>0</v>
      </c>
      <c r="CY9" s="71">
        <f t="shared" si="55"/>
        <v>1</v>
      </c>
      <c r="CZ9" s="71">
        <f t="shared" si="56"/>
        <v>1</v>
      </c>
      <c r="DA9" s="71">
        <f t="shared" si="57"/>
        <v>0</v>
      </c>
      <c r="DB9" s="71">
        <f t="shared" si="58"/>
        <v>0</v>
      </c>
      <c r="DC9" s="71">
        <f t="shared" si="59"/>
        <v>0</v>
      </c>
      <c r="DD9" s="71">
        <f t="shared" si="60"/>
        <v>0</v>
      </c>
      <c r="DE9" s="68">
        <f t="shared" si="61"/>
        <v>104.07008999999999</v>
      </c>
      <c r="DF9" s="68">
        <f t="shared" si="19"/>
        <v>27</v>
      </c>
      <c r="DG9" s="68">
        <v>0</v>
      </c>
      <c r="DH9" s="89" t="str">
        <f t="shared" si="62"/>
        <v/>
      </c>
      <c r="DI9" s="97" t="e">
        <f t="shared" si="63"/>
        <v>#DIV/0!</v>
      </c>
    </row>
    <row r="10" spans="1:113" x14ac:dyDescent="0.15">
      <c r="B10" s="122" t="s">
        <v>227</v>
      </c>
      <c r="C10" s="122" t="s">
        <v>228</v>
      </c>
      <c r="D10"/>
      <c r="E10"/>
      <c r="F10" t="s">
        <v>361</v>
      </c>
      <c r="G10"/>
      <c r="H10" t="s">
        <v>399</v>
      </c>
      <c r="I10" t="s">
        <v>407</v>
      </c>
      <c r="J10"/>
      <c r="K10" t="s">
        <v>442</v>
      </c>
      <c r="L10"/>
      <c r="M10"/>
      <c r="N10"/>
      <c r="O10" t="s">
        <v>505</v>
      </c>
      <c r="P10" t="s">
        <v>533</v>
      </c>
      <c r="Q10"/>
      <c r="R10" t="s">
        <v>569</v>
      </c>
      <c r="S10"/>
      <c r="U10"/>
      <c r="V10"/>
      <c r="W10"/>
      <c r="X10" t="s">
        <v>668</v>
      </c>
      <c r="Y10"/>
      <c r="Z10"/>
      <c r="CE10" s="68">
        <f t="shared" si="43"/>
        <v>8</v>
      </c>
      <c r="CF10" s="68">
        <f t="shared" si="44"/>
        <v>0</v>
      </c>
      <c r="CG10" s="68">
        <f t="shared" si="45"/>
        <v>8</v>
      </c>
      <c r="CH10" s="68">
        <f t="shared" si="46"/>
        <v>1</v>
      </c>
      <c r="CI10" s="68">
        <f t="shared" si="47"/>
        <v>60</v>
      </c>
      <c r="CJ10" s="72">
        <f t="shared" si="48"/>
        <v>60</v>
      </c>
      <c r="CK10" s="68">
        <f t="shared" si="49"/>
        <v>211</v>
      </c>
      <c r="CL10" s="70">
        <f t="shared" si="50"/>
        <v>30.142857142857142</v>
      </c>
      <c r="CM10" s="68">
        <f t="shared" si="51"/>
        <v>216</v>
      </c>
      <c r="CN10" s="68">
        <f t="shared" si="52"/>
        <v>0</v>
      </c>
      <c r="CO10" s="71">
        <f t="array" ref="CO10">SUM(IF(ISERR(FIND("*",D10:CD10)),0,1))</f>
        <v>0</v>
      </c>
      <c r="CP10" s="71">
        <f t="array" ref="CP10">SUM(IF(ISERR(FIND("+",D10:CD10)),0,1))</f>
        <v>2</v>
      </c>
      <c r="CQ10" s="68">
        <f t="shared" si="53"/>
        <v>1</v>
      </c>
      <c r="CR10" s="71">
        <f t="array" ref="CR10">SUM(IF(ISERR(FIND(CR$4,$D10:$CD10)),0,1))</f>
        <v>2</v>
      </c>
      <c r="CS10" s="71">
        <f t="array" ref="CS10">SUM(IF(ISERR(FIND(CS$4,$D10:$CD10)),0,1))</f>
        <v>3</v>
      </c>
      <c r="CT10" s="71">
        <f t="array" ref="CT10">SUM(IF(ISERR(FIND(CT$4,$D10:$CD10)),0,1))</f>
        <v>1</v>
      </c>
      <c r="CU10" s="71">
        <f t="array" ref="CU10">SUM(IF(ISERR(FIND(CU$4,$D10:$CD10)),0,1))</f>
        <v>1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54"/>
        <v>1</v>
      </c>
      <c r="CY10" s="71">
        <f t="shared" si="55"/>
        <v>0</v>
      </c>
      <c r="CZ10" s="71">
        <f t="shared" si="56"/>
        <v>30</v>
      </c>
      <c r="DA10" s="71">
        <f t="shared" si="57"/>
        <v>6</v>
      </c>
      <c r="DB10" s="71">
        <f t="shared" si="58"/>
        <v>0</v>
      </c>
      <c r="DC10" s="71">
        <f t="shared" si="59"/>
        <v>0</v>
      </c>
      <c r="DD10" s="71">
        <f t="shared" si="60"/>
        <v>3</v>
      </c>
      <c r="DE10" s="68">
        <f t="shared" si="61"/>
        <v>3014810.1100999997</v>
      </c>
      <c r="DF10" s="68">
        <f t="shared" si="19"/>
        <v>7</v>
      </c>
      <c r="DG10" s="68">
        <v>0</v>
      </c>
      <c r="DH10" s="89">
        <f t="shared" si="62"/>
        <v>0.73933649289099523</v>
      </c>
      <c r="DI10" s="97">
        <f t="shared" si="63"/>
        <v>0.14285714285714285</v>
      </c>
    </row>
    <row r="11" spans="1:113" x14ac:dyDescent="0.15">
      <c r="B11" s="68" t="s">
        <v>216</v>
      </c>
      <c r="C11" s="68" t="s">
        <v>215</v>
      </c>
      <c r="I11"/>
      <c r="K11" s="122"/>
      <c r="L11"/>
      <c r="M11"/>
      <c r="O11"/>
      <c r="P11"/>
      <c r="Q11"/>
      <c r="R11"/>
      <c r="S11"/>
      <c r="T11"/>
      <c r="U11"/>
      <c r="V11"/>
      <c r="Y11"/>
      <c r="CE11" s="68">
        <f t="shared" si="43"/>
        <v>0</v>
      </c>
      <c r="CF11" s="68">
        <f t="shared" si="44"/>
        <v>0</v>
      </c>
      <c r="CG11" s="68">
        <f t="shared" si="45"/>
        <v>0</v>
      </c>
      <c r="CH11" s="68">
        <f t="shared" si="46"/>
        <v>0</v>
      </c>
      <c r="CI11" s="68">
        <f t="shared" si="47"/>
        <v>0</v>
      </c>
      <c r="CJ11" s="72">
        <f t="shared" si="48"/>
        <v>0</v>
      </c>
      <c r="CK11" s="68">
        <f t="shared" si="49"/>
        <v>0</v>
      </c>
      <c r="CL11" s="70">
        <f t="shared" si="50"/>
        <v>0</v>
      </c>
      <c r="CM11" s="68">
        <f t="shared" si="51"/>
        <v>0</v>
      </c>
      <c r="CN11" s="68">
        <f t="shared" si="52"/>
        <v>0</v>
      </c>
      <c r="CO11" s="71">
        <f t="array" ref="CO11">SUM(IF(ISERR(FIND("*",D11:CD11)),0,1))</f>
        <v>0</v>
      </c>
      <c r="CP11" s="71">
        <f t="array" ref="CP11">SUM(IF(ISERR(FIND("+",D11:CD11)),0,1))</f>
        <v>0</v>
      </c>
      <c r="CQ11" s="68">
        <f t="shared" si="53"/>
        <v>0</v>
      </c>
      <c r="CR11" s="71">
        <f t="array" ref="CR11">SUM(IF(ISERR(FIND(CR$4,$D11:$CD11)),0,1))</f>
        <v>0</v>
      </c>
      <c r="CS11" s="71">
        <f t="array" ref="CS11">SUM(IF(ISERR(FIND(CS$4,$D11:$CD11)),0,1))</f>
        <v>0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shared" si="54"/>
        <v>0</v>
      </c>
      <c r="CY11" s="71">
        <f t="shared" si="55"/>
        <v>0</v>
      </c>
      <c r="CZ11" s="71">
        <f t="shared" si="56"/>
        <v>0</v>
      </c>
      <c r="DA11" s="71">
        <f t="shared" si="57"/>
        <v>0</v>
      </c>
      <c r="DB11" s="71">
        <f t="shared" si="58"/>
        <v>0</v>
      </c>
      <c r="DC11" s="71">
        <f t="shared" si="59"/>
        <v>0</v>
      </c>
      <c r="DD11" s="71">
        <f t="shared" si="60"/>
        <v>0</v>
      </c>
      <c r="DE11" s="68">
        <f t="shared" si="61"/>
        <v>1.1E-4</v>
      </c>
      <c r="DF11" s="68">
        <f t="shared" si="19"/>
        <v>40</v>
      </c>
      <c r="DG11" s="68">
        <v>0</v>
      </c>
      <c r="DH11" s="89" t="str">
        <f t="shared" si="62"/>
        <v/>
      </c>
      <c r="DI11" s="97" t="e">
        <f t="shared" si="63"/>
        <v>#DIV/0!</v>
      </c>
    </row>
    <row r="12" spans="1:113" x14ac:dyDescent="0.15">
      <c r="B12" s="122" t="s">
        <v>566</v>
      </c>
      <c r="C12" s="122" t="s">
        <v>529</v>
      </c>
      <c r="I12"/>
      <c r="K12" s="122"/>
      <c r="L12"/>
      <c r="M12"/>
      <c r="O12"/>
      <c r="P12" t="s">
        <v>530</v>
      </c>
      <c r="Q12" t="s">
        <v>547</v>
      </c>
      <c r="R12" t="s">
        <v>567</v>
      </c>
      <c r="S12" t="s">
        <v>584</v>
      </c>
      <c r="T12"/>
      <c r="U12"/>
      <c r="V12"/>
      <c r="Y12"/>
      <c r="CE12" s="68">
        <f t="shared" ref="CE12" si="85">BatSplit(D12:CD12,MatchesPlayed)</f>
        <v>4</v>
      </c>
      <c r="CF12" s="68">
        <f t="shared" ref="CF12" si="86">CE12-CG12</f>
        <v>0</v>
      </c>
      <c r="CG12" s="68">
        <f t="shared" ref="CG12" si="87">BatSplit(D12:CD12,InnsBattedIn)</f>
        <v>4</v>
      </c>
      <c r="CH12" s="68">
        <f t="shared" ref="CH12" si="88">BatSplit(D12:CD12,NotOuts)</f>
        <v>0</v>
      </c>
      <c r="CI12" s="68">
        <f t="shared" ref="CI12" si="89">BatSplit(D12:CD12,HighestScore)</f>
        <v>64</v>
      </c>
      <c r="CJ12" s="72">
        <f t="shared" ref="CJ12" si="90">IF(CI12&lt;0,-CI12&amp;"*",CI12)</f>
        <v>64</v>
      </c>
      <c r="CK12" s="68">
        <f t="shared" ref="CK12" si="91">BatSplit(D12:CD12,RunsScored)</f>
        <v>139</v>
      </c>
      <c r="CL12" s="70">
        <f t="shared" ref="CL12" si="92">IF(CG12=CH12,0,CK12/(CG12-CH12))</f>
        <v>34.75</v>
      </c>
      <c r="CM12" s="68">
        <f t="shared" ref="CM12" si="93">BatSplit(D12:CD12,BatPts)</f>
        <v>159</v>
      </c>
      <c r="CN12" s="68">
        <f t="shared" ref="CN12" si="94">BatSplit(D12:CD12,FldPts)</f>
        <v>30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ref="CQ12" si="95">BatSplit(D12:CD12,Ducks)</f>
        <v>0</v>
      </c>
      <c r="CR12" s="71">
        <f t="array" ref="CR12">SUM(IF(ISERR(FIND(CR$4,$D12:$CD12)),0,1))</f>
        <v>2</v>
      </c>
      <c r="CS12" s="71">
        <f t="array" ref="CS12">SUM(IF(ISERR(FIND(CS$4,$D12:$CD12)),0,1))</f>
        <v>2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shared" ref="CX12" si="96">BatSplit(D12:CD12,Fifties)</f>
        <v>2</v>
      </c>
      <c r="CY12" s="71">
        <f t="shared" ref="CY12" si="97">BatSplit(D12:CD12,Catches)</f>
        <v>6</v>
      </c>
      <c r="CZ12" s="71">
        <f t="shared" ref="CZ12" si="98">BatSplit(D12:CD12,Fours)</f>
        <v>23</v>
      </c>
      <c r="DA12" s="71">
        <f t="shared" ref="DA12" si="99">BatSplit(D12:CD12,Sixes)</f>
        <v>1</v>
      </c>
      <c r="DB12" s="71">
        <f t="shared" ref="DB12" si="100">BatSplit(D12:CD12,Stumpings)</f>
        <v>0</v>
      </c>
      <c r="DC12" s="71">
        <f t="shared" ref="DC12" si="101">BatSplit(D12:CD12,CaughtWkt)</f>
        <v>0</v>
      </c>
      <c r="DD12" s="71">
        <f t="shared" ref="DD12" si="102">BatSplit(D12:CD12,TwentyFives)</f>
        <v>2</v>
      </c>
      <c r="DE12" s="68">
        <f t="shared" ref="DE12" si="103">ROUND(IF(ISERROR(CL12),0,CL12),2)*100000+CG12*100+CE12+CK12/100+ROW()/100000</f>
        <v>3475405.3901200001</v>
      </c>
      <c r="DF12" s="68">
        <f t="shared" si="19"/>
        <v>4</v>
      </c>
      <c r="DG12" s="68">
        <v>0</v>
      </c>
      <c r="DH12" s="89">
        <f t="shared" ref="DH12" si="104">IF(CK12&gt;=50,(CZ12*4+DA12*6+DG12*5)/CK12,"")</f>
        <v>0.70503597122302153</v>
      </c>
      <c r="DI12" s="97">
        <f t="shared" ref="DI12" si="105">CQ12/(CG12-CH12)</f>
        <v>0</v>
      </c>
    </row>
    <row r="13" spans="1:113" x14ac:dyDescent="0.15">
      <c r="B13" t="s">
        <v>269</v>
      </c>
      <c r="C13" t="s">
        <v>266</v>
      </c>
      <c r="D13" t="s">
        <v>315</v>
      </c>
      <c r="E13" t="s">
        <v>334</v>
      </c>
      <c r="F13" t="s">
        <v>263</v>
      </c>
      <c r="G13" t="s">
        <v>251</v>
      </c>
      <c r="I13" s="122" t="s">
        <v>411</v>
      </c>
      <c r="J13" s="122" t="s">
        <v>427</v>
      </c>
      <c r="K13" s="122"/>
      <c r="L13" s="122" t="s">
        <v>459</v>
      </c>
      <c r="M13" s="122" t="s">
        <v>471</v>
      </c>
      <c r="N13" s="122" t="s">
        <v>488</v>
      </c>
      <c r="O13"/>
      <c r="P13"/>
      <c r="Q13" t="s">
        <v>546</v>
      </c>
      <c r="R13" t="s">
        <v>565</v>
      </c>
      <c r="S13" t="s">
        <v>586</v>
      </c>
      <c r="T13" t="s">
        <v>599</v>
      </c>
      <c r="U13" t="s">
        <v>616</v>
      </c>
      <c r="V13" t="s">
        <v>635</v>
      </c>
      <c r="W13" t="s">
        <v>647</v>
      </c>
      <c r="X13" t="s">
        <v>278</v>
      </c>
      <c r="Y13"/>
      <c r="Z13"/>
      <c r="CE13" s="68">
        <f t="shared" si="43"/>
        <v>17</v>
      </c>
      <c r="CF13" s="68">
        <f t="shared" si="44"/>
        <v>3</v>
      </c>
      <c r="CG13" s="68">
        <f t="shared" si="45"/>
        <v>14</v>
      </c>
      <c r="CH13" s="68">
        <f t="shared" si="46"/>
        <v>5</v>
      </c>
      <c r="CI13" s="68">
        <f t="shared" si="47"/>
        <v>-31</v>
      </c>
      <c r="CJ13" s="72" t="str">
        <f t="shared" si="48"/>
        <v>31*</v>
      </c>
      <c r="CK13" s="68">
        <f t="shared" si="49"/>
        <v>181</v>
      </c>
      <c r="CL13" s="70">
        <f t="shared" si="50"/>
        <v>20.111111111111111</v>
      </c>
      <c r="CM13" s="68">
        <f t="shared" si="51"/>
        <v>176</v>
      </c>
      <c r="CN13" s="68">
        <f t="shared" si="52"/>
        <v>40</v>
      </c>
      <c r="CO13" s="71">
        <f t="array" ref="CO13">SUM(IF(ISERR(FIND("*",D13:CD13)),0,1))</f>
        <v>0</v>
      </c>
      <c r="CP13" s="71">
        <f t="array" ref="CP13">SUM(IF(ISERR(FIND("+",D13:CD13)),0,1))</f>
        <v>0</v>
      </c>
      <c r="CQ13" s="68">
        <f t="shared" si="53"/>
        <v>1</v>
      </c>
      <c r="CR13" s="71">
        <f t="array" ref="CR13">SUM(IF(ISERR(FIND(CR$4,$D13:$CD13)),0,1))</f>
        <v>4</v>
      </c>
      <c r="CS13" s="71">
        <f t="array" ref="CS13">SUM(IF(ISERR(FIND(CS$4,$D13:$CD13)),0,1))</f>
        <v>2</v>
      </c>
      <c r="CT13" s="71">
        <f t="array" ref="CT13">SUM(IF(ISERR(FIND(CT$4,$D13:$CD13)),0,1))</f>
        <v>1</v>
      </c>
      <c r="CU13" s="71">
        <f t="array" ref="CU13">SUM(IF(ISERR(FIND(CU$4,$D13:$CD13)),0,1))</f>
        <v>1</v>
      </c>
      <c r="CV13" s="71">
        <f t="array" ref="CV13">SUM(IF(ISERR(FIND(CV$4,$D13:$CD13)),0,1))</f>
        <v>1</v>
      </c>
      <c r="CW13" s="71">
        <f t="array" ref="CW13">SUM(IF(ISERR(FIND(CW$4,$D13:$CD13)),0,1))</f>
        <v>0</v>
      </c>
      <c r="CX13" s="71">
        <f t="shared" si="54"/>
        <v>0</v>
      </c>
      <c r="CY13" s="71">
        <f t="shared" si="55"/>
        <v>8</v>
      </c>
      <c r="CZ13" s="71">
        <f t="shared" si="56"/>
        <v>16</v>
      </c>
      <c r="DA13" s="71">
        <f t="shared" si="57"/>
        <v>0</v>
      </c>
      <c r="DB13" s="71">
        <f t="shared" si="58"/>
        <v>0</v>
      </c>
      <c r="DC13" s="71">
        <f t="shared" si="59"/>
        <v>0</v>
      </c>
      <c r="DD13" s="71">
        <f t="shared" si="60"/>
        <v>4</v>
      </c>
      <c r="DE13" s="68">
        <f t="shared" si="61"/>
        <v>2012418.8101300001</v>
      </c>
      <c r="DF13" s="68">
        <f t="shared" si="19"/>
        <v>9</v>
      </c>
      <c r="DG13" s="68">
        <v>0</v>
      </c>
      <c r="DH13" s="89">
        <f t="shared" si="62"/>
        <v>0.35359116022099446</v>
      </c>
      <c r="DI13" s="97">
        <f t="shared" si="63"/>
        <v>0.1111111111111111</v>
      </c>
    </row>
    <row r="14" spans="1:113" x14ac:dyDescent="0.15">
      <c r="B14" t="s">
        <v>277</v>
      </c>
      <c r="C14" t="s">
        <v>276</v>
      </c>
      <c r="D14" t="s">
        <v>318</v>
      </c>
      <c r="E14" t="s">
        <v>338</v>
      </c>
      <c r="F14" t="s">
        <v>367</v>
      </c>
      <c r="G14" s="122"/>
      <c r="H14" s="122"/>
      <c r="I14" s="122" t="s">
        <v>248</v>
      </c>
      <c r="J14" s="122" t="s">
        <v>424</v>
      </c>
      <c r="K14" s="122"/>
      <c r="L14"/>
      <c r="M14"/>
      <c r="N14"/>
      <c r="O14"/>
      <c r="P14"/>
      <c r="Q14"/>
      <c r="R14" t="s">
        <v>570</v>
      </c>
      <c r="S14"/>
      <c r="T14"/>
      <c r="U14" t="s">
        <v>273</v>
      </c>
      <c r="V14" t="s">
        <v>220</v>
      </c>
      <c r="X14" t="s">
        <v>667</v>
      </c>
      <c r="Y14" s="122"/>
      <c r="CE14" s="68">
        <f t="shared" si="43"/>
        <v>9</v>
      </c>
      <c r="CF14" s="68">
        <f t="shared" si="44"/>
        <v>3</v>
      </c>
      <c r="CG14" s="68">
        <f t="shared" si="45"/>
        <v>6</v>
      </c>
      <c r="CH14" s="68">
        <f t="shared" si="46"/>
        <v>2</v>
      </c>
      <c r="CI14" s="68">
        <f t="shared" si="47"/>
        <v>9</v>
      </c>
      <c r="CJ14" s="72">
        <f t="shared" si="48"/>
        <v>9</v>
      </c>
      <c r="CK14" s="68">
        <f t="shared" si="49"/>
        <v>24</v>
      </c>
      <c r="CL14" s="70">
        <f t="shared" si="50"/>
        <v>6</v>
      </c>
      <c r="CM14" s="68">
        <f t="shared" si="51"/>
        <v>24</v>
      </c>
      <c r="CN14" s="68">
        <f t="shared" si="52"/>
        <v>10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53"/>
        <v>0</v>
      </c>
      <c r="CR14" s="71">
        <f t="array" ref="CR14">SUM(IF(ISERR(FIND(CR$4,$D14:$CD14)),0,1))</f>
        <v>3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1</v>
      </c>
      <c r="CW14" s="71">
        <f t="array" ref="CW14">SUM(IF(ISERR(FIND(CW$4,$D14:$CD14)),0,1))</f>
        <v>0</v>
      </c>
      <c r="CX14" s="71">
        <f t="shared" si="54"/>
        <v>0</v>
      </c>
      <c r="CY14" s="71">
        <f t="shared" si="55"/>
        <v>2</v>
      </c>
      <c r="CZ14" s="71">
        <f t="shared" si="56"/>
        <v>2</v>
      </c>
      <c r="DA14" s="71">
        <f t="shared" si="57"/>
        <v>0</v>
      </c>
      <c r="DB14" s="71">
        <f t="shared" si="58"/>
        <v>0</v>
      </c>
      <c r="DC14" s="71">
        <f t="shared" si="59"/>
        <v>0</v>
      </c>
      <c r="DD14" s="71">
        <f t="shared" si="60"/>
        <v>0</v>
      </c>
      <c r="DE14" s="68">
        <f t="shared" si="61"/>
        <v>600609.24014000001</v>
      </c>
      <c r="DF14" s="68">
        <f t="shared" si="19"/>
        <v>22</v>
      </c>
      <c r="DG14" s="68">
        <v>0</v>
      </c>
      <c r="DH14" s="89" t="str">
        <f t="shared" si="62"/>
        <v/>
      </c>
      <c r="DI14" s="97">
        <f t="shared" si="63"/>
        <v>0</v>
      </c>
    </row>
    <row r="15" spans="1:113" x14ac:dyDescent="0.15">
      <c r="A15" s="68" t="s">
        <v>179</v>
      </c>
      <c r="B15" s="68" t="s">
        <v>173</v>
      </c>
      <c r="C15" s="68" t="s">
        <v>174</v>
      </c>
      <c r="D15" s="122"/>
      <c r="E15" s="122" t="s">
        <v>336</v>
      </c>
      <c r="F15" s="122"/>
      <c r="G15" s="122" t="s">
        <v>258</v>
      </c>
      <c r="H15" s="122"/>
      <c r="I15"/>
      <c r="J15"/>
      <c r="K15" t="s">
        <v>446</v>
      </c>
      <c r="L15" t="s">
        <v>458</v>
      </c>
      <c r="M15" t="s">
        <v>477</v>
      </c>
      <c r="N15" t="s">
        <v>251</v>
      </c>
      <c r="O15" t="s">
        <v>511</v>
      </c>
      <c r="P15" t="s">
        <v>536</v>
      </c>
      <c r="Q15"/>
      <c r="R15" t="s">
        <v>572</v>
      </c>
      <c r="S15"/>
      <c r="T15"/>
      <c r="U15" t="s">
        <v>619</v>
      </c>
      <c r="V15" t="s">
        <v>630</v>
      </c>
      <c r="W15" t="s">
        <v>652</v>
      </c>
      <c r="X15"/>
      <c r="Y15" t="s">
        <v>684</v>
      </c>
      <c r="Z15"/>
      <c r="CE15" s="68">
        <f t="shared" si="43"/>
        <v>13</v>
      </c>
      <c r="CF15" s="68">
        <f t="shared" si="44"/>
        <v>4</v>
      </c>
      <c r="CG15" s="68">
        <f t="shared" si="45"/>
        <v>9</v>
      </c>
      <c r="CH15" s="68">
        <f t="shared" si="46"/>
        <v>3</v>
      </c>
      <c r="CI15" s="68">
        <f t="shared" si="47"/>
        <v>-20</v>
      </c>
      <c r="CJ15" s="72" t="str">
        <f t="shared" si="48"/>
        <v>20*</v>
      </c>
      <c r="CK15" s="68">
        <f t="shared" si="49"/>
        <v>97</v>
      </c>
      <c r="CL15" s="70">
        <f t="shared" si="50"/>
        <v>16.166666666666668</v>
      </c>
      <c r="CM15" s="68">
        <f t="shared" si="51"/>
        <v>97</v>
      </c>
      <c r="CN15" s="68">
        <f t="shared" si="52"/>
        <v>5</v>
      </c>
      <c r="CO15" s="71">
        <f t="array" ref="CO15">SUM(IF(ISERR(FIND("*",D15:CD15)),0,1))</f>
        <v>0</v>
      </c>
      <c r="CP15" s="71">
        <f t="array" ref="CP15">SUM(IF(ISERR(FIND("+",D15:CD15)),0,1))</f>
        <v>7</v>
      </c>
      <c r="CQ15" s="68">
        <f t="shared" si="53"/>
        <v>0</v>
      </c>
      <c r="CR15" s="71">
        <f t="array" ref="CR15">SUM(IF(ISERR(FIND(CR$4,$D15:$CD15)),0,1))</f>
        <v>3</v>
      </c>
      <c r="CS15" s="71">
        <f t="array" ref="CS15">SUM(IF(ISERR(FIND(CS$4,$D15:$CD15)),0,1))</f>
        <v>1</v>
      </c>
      <c r="CT15" s="71">
        <f t="array" ref="CT15">SUM(IF(ISERR(FIND(CT$4,$D15:$CD15)),0,1))</f>
        <v>1</v>
      </c>
      <c r="CU15" s="71">
        <f t="array" ref="CU15">SUM(IF(ISERR(FIND(CU$4,$D15:$CD15)),0,1))</f>
        <v>0</v>
      </c>
      <c r="CV15" s="71">
        <f t="array" ref="CV15">SUM(IF(ISERR(FIND(CV$4,$D15:$CD15)),0,1))</f>
        <v>1</v>
      </c>
      <c r="CW15" s="71">
        <f t="array" ref="CW15">SUM(IF(ISERR(FIND(CW$4,$D15:$CD15)),0,1))</f>
        <v>0</v>
      </c>
      <c r="CX15" s="71">
        <f t="shared" si="54"/>
        <v>0</v>
      </c>
      <c r="CY15" s="71">
        <f t="shared" si="55"/>
        <v>7</v>
      </c>
      <c r="CZ15" s="71">
        <f t="shared" si="56"/>
        <v>7</v>
      </c>
      <c r="DA15" s="71">
        <f t="shared" si="57"/>
        <v>1</v>
      </c>
      <c r="DB15" s="71">
        <f t="shared" si="58"/>
        <v>3</v>
      </c>
      <c r="DC15" s="71">
        <f t="shared" si="59"/>
        <v>6</v>
      </c>
      <c r="DD15" s="71">
        <f t="shared" si="60"/>
        <v>0</v>
      </c>
      <c r="DE15" s="68">
        <f t="shared" si="61"/>
        <v>1617913.9701500002</v>
      </c>
      <c r="DF15" s="68">
        <f t="shared" si="19"/>
        <v>10</v>
      </c>
      <c r="DG15" s="68">
        <v>0</v>
      </c>
      <c r="DH15" s="89">
        <f t="shared" si="62"/>
        <v>0.35051546391752575</v>
      </c>
      <c r="DI15" s="97">
        <f t="shared" si="63"/>
        <v>0</v>
      </c>
    </row>
    <row r="16" spans="1:113" x14ac:dyDescent="0.15">
      <c r="C16" s="122" t="s">
        <v>308</v>
      </c>
      <c r="D16" s="122"/>
      <c r="E16" s="122"/>
      <c r="F16" s="122"/>
      <c r="G16" s="122"/>
      <c r="H16" s="122"/>
      <c r="I16"/>
      <c r="J16"/>
      <c r="K16"/>
      <c r="L16"/>
      <c r="M16"/>
      <c r="N16"/>
      <c r="O16"/>
      <c r="P16"/>
      <c r="Q16"/>
      <c r="S16"/>
      <c r="T16"/>
      <c r="U16"/>
      <c r="V16"/>
      <c r="W16"/>
      <c r="X16"/>
      <c r="Y16"/>
      <c r="Z16"/>
      <c r="CE16" s="68">
        <f t="shared" si="43"/>
        <v>0</v>
      </c>
      <c r="CF16" s="68">
        <f t="shared" si="44"/>
        <v>0</v>
      </c>
      <c r="CG16" s="68">
        <f t="shared" si="45"/>
        <v>0</v>
      </c>
      <c r="CH16" s="68">
        <f t="shared" si="46"/>
        <v>0</v>
      </c>
      <c r="CI16" s="68">
        <f t="shared" si="47"/>
        <v>0</v>
      </c>
      <c r="CJ16" s="72">
        <f t="shared" si="48"/>
        <v>0</v>
      </c>
      <c r="CK16" s="68">
        <f t="shared" si="49"/>
        <v>0</v>
      </c>
      <c r="CL16" s="70">
        <f t="shared" si="50"/>
        <v>0</v>
      </c>
      <c r="CM16" s="68">
        <f t="shared" si="51"/>
        <v>0</v>
      </c>
      <c r="CN16" s="68">
        <f t="shared" si="52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53"/>
        <v>0</v>
      </c>
      <c r="CR16" s="71">
        <f t="array" ref="CR16">SUM(IF(ISERR(FIND(CR$4,$D16:$CD16)),0,1))</f>
        <v>0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shared" si="54"/>
        <v>0</v>
      </c>
      <c r="CY16" s="71">
        <f t="shared" si="55"/>
        <v>0</v>
      </c>
      <c r="CZ16" s="71">
        <f t="shared" si="56"/>
        <v>0</v>
      </c>
      <c r="DA16" s="71">
        <f t="shared" si="57"/>
        <v>0</v>
      </c>
      <c r="DB16" s="71">
        <f t="shared" si="58"/>
        <v>0</v>
      </c>
      <c r="DC16" s="71">
        <f t="shared" si="59"/>
        <v>0</v>
      </c>
      <c r="DD16" s="71">
        <f t="shared" si="60"/>
        <v>0</v>
      </c>
      <c r="DE16" s="68">
        <f t="shared" si="61"/>
        <v>1.6000000000000001E-4</v>
      </c>
      <c r="DF16" s="68">
        <f t="shared" si="19"/>
        <v>39</v>
      </c>
      <c r="DG16" s="68">
        <v>0</v>
      </c>
      <c r="DH16" s="89" t="str">
        <f t="shared" si="62"/>
        <v/>
      </c>
      <c r="DI16" s="97" t="e">
        <f t="shared" si="63"/>
        <v>#DIV/0!</v>
      </c>
    </row>
    <row r="17" spans="1:113" x14ac:dyDescent="0.15">
      <c r="B17" s="122" t="s">
        <v>289</v>
      </c>
      <c r="C17" s="122" t="s">
        <v>290</v>
      </c>
      <c r="D17" s="122"/>
      <c r="E17" s="122"/>
      <c r="F17" s="122"/>
      <c r="G17"/>
      <c r="H17"/>
      <c r="I17"/>
      <c r="J17"/>
      <c r="K17" s="122"/>
      <c r="L17"/>
      <c r="M17"/>
      <c r="N17"/>
      <c r="O17"/>
      <c r="P17"/>
      <c r="Q17"/>
      <c r="S17"/>
      <c r="T17"/>
      <c r="U17"/>
      <c r="V17"/>
      <c r="W17"/>
      <c r="X17"/>
      <c r="Y17"/>
      <c r="Z17"/>
      <c r="CE17" s="68">
        <f t="shared" si="43"/>
        <v>0</v>
      </c>
      <c r="CF17" s="68">
        <f t="shared" si="44"/>
        <v>0</v>
      </c>
      <c r="CG17" s="68">
        <f t="shared" si="45"/>
        <v>0</v>
      </c>
      <c r="CH17" s="68">
        <f t="shared" si="46"/>
        <v>0</v>
      </c>
      <c r="CI17" s="68">
        <f t="shared" si="47"/>
        <v>0</v>
      </c>
      <c r="CJ17" s="72">
        <f t="shared" si="48"/>
        <v>0</v>
      </c>
      <c r="CK17" s="68">
        <f t="shared" si="49"/>
        <v>0</v>
      </c>
      <c r="CL17" s="70">
        <f t="shared" si="50"/>
        <v>0</v>
      </c>
      <c r="CM17" s="68">
        <f t="shared" si="51"/>
        <v>0</v>
      </c>
      <c r="CN17" s="68">
        <f t="shared" si="52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53"/>
        <v>0</v>
      </c>
      <c r="CR17" s="71">
        <f t="array" ref="CR17">SUM(IF(ISERR(FIND(CR$4,$D17:$CD17)),0,1))</f>
        <v>0</v>
      </c>
      <c r="CS17" s="71">
        <f t="array" ref="CS17">SUM(IF(ISERR(FIND(CS$4,$D17:$CD17)),0,1))</f>
        <v>0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54"/>
        <v>0</v>
      </c>
      <c r="CY17" s="71">
        <f t="shared" si="55"/>
        <v>0</v>
      </c>
      <c r="CZ17" s="71">
        <f t="shared" si="56"/>
        <v>0</v>
      </c>
      <c r="DA17" s="71">
        <f t="shared" si="57"/>
        <v>0</v>
      </c>
      <c r="DB17" s="71">
        <f t="shared" si="58"/>
        <v>0</v>
      </c>
      <c r="DC17" s="71">
        <f t="shared" si="59"/>
        <v>0</v>
      </c>
      <c r="DD17" s="71">
        <f t="shared" si="60"/>
        <v>0</v>
      </c>
      <c r="DE17" s="68">
        <f t="shared" si="61"/>
        <v>1.7000000000000001E-4</v>
      </c>
      <c r="DF17" s="68">
        <f t="shared" si="19"/>
        <v>38</v>
      </c>
      <c r="DG17" s="68">
        <v>0</v>
      </c>
      <c r="DH17" s="89" t="str">
        <f t="shared" si="62"/>
        <v/>
      </c>
      <c r="DI17" s="97" t="e">
        <f t="shared" si="63"/>
        <v>#DIV/0!</v>
      </c>
    </row>
    <row r="18" spans="1:113" x14ac:dyDescent="0.15">
      <c r="B18" s="122"/>
      <c r="C18" t="s">
        <v>513</v>
      </c>
      <c r="G18"/>
      <c r="H18"/>
      <c r="I18"/>
      <c r="J18"/>
      <c r="O18" t="s">
        <v>514</v>
      </c>
      <c r="S18"/>
      <c r="V18"/>
      <c r="CE18" s="68">
        <f t="shared" si="43"/>
        <v>1</v>
      </c>
      <c r="CF18" s="68">
        <f t="shared" si="44"/>
        <v>0</v>
      </c>
      <c r="CG18" s="68">
        <f t="shared" si="45"/>
        <v>1</v>
      </c>
      <c r="CH18" s="68">
        <f t="shared" si="46"/>
        <v>1</v>
      </c>
      <c r="CI18" s="68">
        <f t="shared" si="47"/>
        <v>-4</v>
      </c>
      <c r="CJ18" s="72" t="str">
        <f t="shared" si="48"/>
        <v>4*</v>
      </c>
      <c r="CK18" s="68">
        <f t="shared" si="49"/>
        <v>4</v>
      </c>
      <c r="CL18" s="70">
        <f t="shared" si="50"/>
        <v>0</v>
      </c>
      <c r="CM18" s="68">
        <f t="shared" si="51"/>
        <v>4</v>
      </c>
      <c r="CN18" s="68">
        <f t="shared" si="52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53"/>
        <v>0</v>
      </c>
      <c r="CR18" s="71">
        <f t="array" ref="CR18">SUM(IF(ISERR(FIND(CR$4,$D18:$CD18)),0,1))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54"/>
        <v>0</v>
      </c>
      <c r="CY18" s="71">
        <f t="shared" si="55"/>
        <v>0</v>
      </c>
      <c r="CZ18" s="71">
        <f t="shared" si="56"/>
        <v>1</v>
      </c>
      <c r="DA18" s="71">
        <f t="shared" si="57"/>
        <v>0</v>
      </c>
      <c r="DB18" s="71">
        <f t="shared" si="58"/>
        <v>0</v>
      </c>
      <c r="DC18" s="71">
        <f t="shared" si="59"/>
        <v>0</v>
      </c>
      <c r="DD18" s="71">
        <f t="shared" si="60"/>
        <v>0</v>
      </c>
      <c r="DE18" s="68">
        <f t="shared" si="61"/>
        <v>101.04018000000001</v>
      </c>
      <c r="DF18" s="68">
        <f t="shared" si="19"/>
        <v>30</v>
      </c>
      <c r="DG18" s="68">
        <v>0</v>
      </c>
      <c r="DH18" s="89" t="str">
        <f t="shared" si="62"/>
        <v/>
      </c>
      <c r="DI18" s="97" t="e">
        <f t="shared" si="63"/>
        <v>#DIV/0!</v>
      </c>
    </row>
    <row r="19" spans="1:113" x14ac:dyDescent="0.15">
      <c r="B19" s="68" t="s">
        <v>206</v>
      </c>
      <c r="C19" s="68" t="s">
        <v>205</v>
      </c>
      <c r="D19"/>
      <c r="F19"/>
      <c r="G19"/>
      <c r="H19"/>
      <c r="I19"/>
      <c r="J19" t="s">
        <v>220</v>
      </c>
      <c r="K19"/>
      <c r="M19"/>
      <c r="N19"/>
      <c r="O19"/>
      <c r="P19"/>
      <c r="Q19"/>
      <c r="R19"/>
      <c r="S19" t="s">
        <v>251</v>
      </c>
      <c r="T19"/>
      <c r="U19" t="s">
        <v>220</v>
      </c>
      <c r="V19"/>
      <c r="W19" t="s">
        <v>251</v>
      </c>
      <c r="X19" t="s">
        <v>669</v>
      </c>
      <c r="CE19" s="68">
        <f t="shared" si="43"/>
        <v>5</v>
      </c>
      <c r="CF19" s="68">
        <f t="shared" si="44"/>
        <v>4</v>
      </c>
      <c r="CG19" s="68">
        <f t="shared" si="45"/>
        <v>1</v>
      </c>
      <c r="CH19" s="68">
        <f t="shared" si="46"/>
        <v>0</v>
      </c>
      <c r="CI19" s="68">
        <f t="shared" si="47"/>
        <v>0</v>
      </c>
      <c r="CJ19" s="72">
        <f t="shared" si="48"/>
        <v>0</v>
      </c>
      <c r="CK19" s="68">
        <f t="shared" si="49"/>
        <v>0</v>
      </c>
      <c r="CL19" s="70">
        <f t="shared" si="50"/>
        <v>0</v>
      </c>
      <c r="CM19" s="68">
        <f t="shared" si="51"/>
        <v>-5</v>
      </c>
      <c r="CN19" s="68">
        <f t="shared" si="52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53"/>
        <v>1</v>
      </c>
      <c r="CR19" s="71">
        <f t="array" ref="CR19">SUM(IF(ISERR(FIND(CR$4,$D19:$CD19)),0,1))</f>
        <v>1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54"/>
        <v>0</v>
      </c>
      <c r="CY19" s="71">
        <f t="shared" si="55"/>
        <v>0</v>
      </c>
      <c r="CZ19" s="71">
        <f t="shared" si="56"/>
        <v>0</v>
      </c>
      <c r="DA19" s="71">
        <f t="shared" si="57"/>
        <v>0</v>
      </c>
      <c r="DB19" s="71">
        <f t="shared" si="58"/>
        <v>0</v>
      </c>
      <c r="DC19" s="71">
        <f t="shared" si="59"/>
        <v>0</v>
      </c>
      <c r="DD19" s="71">
        <f t="shared" si="60"/>
        <v>0</v>
      </c>
      <c r="DE19" s="68">
        <f t="shared" si="61"/>
        <v>105.00019</v>
      </c>
      <c r="DF19" s="68">
        <f t="shared" si="19"/>
        <v>26</v>
      </c>
      <c r="DG19" s="68">
        <v>0</v>
      </c>
      <c r="DH19" s="89" t="str">
        <f t="shared" si="62"/>
        <v/>
      </c>
      <c r="DI19" s="97">
        <f t="shared" si="63"/>
        <v>1</v>
      </c>
    </row>
    <row r="20" spans="1:113" x14ac:dyDescent="0.15">
      <c r="A20" s="68" t="s">
        <v>44</v>
      </c>
      <c r="B20" s="68" t="s">
        <v>25</v>
      </c>
      <c r="C20" s="68" t="s">
        <v>45</v>
      </c>
      <c r="D20" s="122"/>
      <c r="E20" s="122"/>
      <c r="F20"/>
      <c r="G20"/>
      <c r="H20" t="s">
        <v>400</v>
      </c>
      <c r="I20" s="122"/>
      <c r="J20"/>
      <c r="K20" t="s">
        <v>438</v>
      </c>
      <c r="N20"/>
      <c r="Q20"/>
      <c r="R20"/>
      <c r="T20"/>
      <c r="V20"/>
      <c r="Y20"/>
      <c r="Z20"/>
      <c r="CE20" s="68">
        <f t="shared" si="43"/>
        <v>2</v>
      </c>
      <c r="CF20" s="68">
        <f t="shared" si="44"/>
        <v>0</v>
      </c>
      <c r="CG20" s="68">
        <f t="shared" si="45"/>
        <v>2</v>
      </c>
      <c r="CH20" s="68">
        <f t="shared" si="46"/>
        <v>1</v>
      </c>
      <c r="CI20" s="68">
        <f t="shared" si="47"/>
        <v>-30</v>
      </c>
      <c r="CJ20" s="72" t="str">
        <f t="shared" si="48"/>
        <v>30*</v>
      </c>
      <c r="CK20" s="68">
        <f t="shared" si="49"/>
        <v>31</v>
      </c>
      <c r="CL20" s="70">
        <f t="shared" si="50"/>
        <v>31</v>
      </c>
      <c r="CM20" s="68">
        <f t="shared" si="51"/>
        <v>31</v>
      </c>
      <c r="CN20" s="68">
        <f t="shared" si="52"/>
        <v>0</v>
      </c>
      <c r="CO20" s="71">
        <f t="array" ref="CO20">SUM(IF(ISERR(FIND("*",D20:CD20)),0,1))</f>
        <v>0</v>
      </c>
      <c r="CP20" s="71">
        <f t="array" ref="CP20">SUM(IF(ISERR(FIND("+",D20:CD20)),0,1))</f>
        <v>0</v>
      </c>
      <c r="CQ20" s="68">
        <f t="shared" si="53"/>
        <v>0</v>
      </c>
      <c r="CR20" s="71">
        <f t="array" ref="CR20">SUM(IF(ISERR(FIND(CR$4,$D20:$CD20)),0,1))</f>
        <v>0</v>
      </c>
      <c r="CS20" s="71">
        <f t="array" ref="CS20">SUM(IF(ISERR(FIND(CS$4,$D20:$CD20)),0,1))</f>
        <v>1</v>
      </c>
      <c r="CT20" s="71">
        <f t="array" ref="CT20">SUM(IF(ISERR(FIND(CT$4,$D20:$CD20)),0,1))</f>
        <v>0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54"/>
        <v>0</v>
      </c>
      <c r="CY20" s="71">
        <f t="shared" si="55"/>
        <v>0</v>
      </c>
      <c r="CZ20" s="71">
        <f t="shared" si="56"/>
        <v>4</v>
      </c>
      <c r="DA20" s="71">
        <f t="shared" si="57"/>
        <v>0</v>
      </c>
      <c r="DB20" s="71">
        <f t="shared" si="58"/>
        <v>0</v>
      </c>
      <c r="DC20" s="71">
        <f t="shared" si="59"/>
        <v>0</v>
      </c>
      <c r="DD20" s="71">
        <f t="shared" si="60"/>
        <v>1</v>
      </c>
      <c r="DE20" s="68">
        <f t="shared" si="61"/>
        <v>3100202.3102000002</v>
      </c>
      <c r="DF20" s="68">
        <f t="shared" si="19"/>
        <v>6</v>
      </c>
      <c r="DG20" s="68">
        <v>0</v>
      </c>
      <c r="DH20" s="89" t="str">
        <f t="shared" si="62"/>
        <v/>
      </c>
      <c r="DI20" s="97">
        <f t="shared" si="63"/>
        <v>0</v>
      </c>
    </row>
    <row r="21" spans="1:113" x14ac:dyDescent="0.15">
      <c r="A21" s="68" t="s">
        <v>181</v>
      </c>
      <c r="B21" s="68" t="s">
        <v>175</v>
      </c>
      <c r="C21" s="68" t="s">
        <v>176</v>
      </c>
      <c r="D21"/>
      <c r="E21"/>
      <c r="F21"/>
      <c r="G21"/>
      <c r="H21"/>
      <c r="I21" s="122"/>
      <c r="J21" s="122"/>
      <c r="K21" s="122"/>
      <c r="L21" s="122"/>
      <c r="Q21"/>
      <c r="R21"/>
      <c r="S21"/>
      <c r="T21"/>
      <c r="U21"/>
      <c r="V21"/>
      <c r="W21"/>
      <c r="Y21"/>
      <c r="CE21" s="68">
        <f t="shared" si="43"/>
        <v>0</v>
      </c>
      <c r="CF21" s="68">
        <f t="shared" si="44"/>
        <v>0</v>
      </c>
      <c r="CG21" s="68">
        <f t="shared" si="45"/>
        <v>0</v>
      </c>
      <c r="CH21" s="68">
        <f t="shared" si="46"/>
        <v>0</v>
      </c>
      <c r="CI21" s="68">
        <f t="shared" si="47"/>
        <v>0</v>
      </c>
      <c r="CJ21" s="72">
        <f t="shared" si="48"/>
        <v>0</v>
      </c>
      <c r="CK21" s="68">
        <f t="shared" si="49"/>
        <v>0</v>
      </c>
      <c r="CL21" s="70">
        <f t="shared" si="50"/>
        <v>0</v>
      </c>
      <c r="CM21" s="68">
        <f t="shared" si="51"/>
        <v>0</v>
      </c>
      <c r="CN21" s="68">
        <f t="shared" si="52"/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53"/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si="54"/>
        <v>0</v>
      </c>
      <c r="CY21" s="71">
        <f t="shared" si="55"/>
        <v>0</v>
      </c>
      <c r="CZ21" s="71">
        <f t="shared" si="56"/>
        <v>0</v>
      </c>
      <c r="DA21" s="71">
        <f t="shared" si="57"/>
        <v>0</v>
      </c>
      <c r="DB21" s="71">
        <f t="shared" si="58"/>
        <v>0</v>
      </c>
      <c r="DC21" s="71">
        <f t="shared" si="59"/>
        <v>0</v>
      </c>
      <c r="DD21" s="71">
        <f t="shared" si="60"/>
        <v>0</v>
      </c>
      <c r="DE21" s="68">
        <f t="shared" si="61"/>
        <v>2.1000000000000001E-4</v>
      </c>
      <c r="DF21" s="68">
        <f t="shared" si="19"/>
        <v>37</v>
      </c>
      <c r="DG21" s="68">
        <v>0</v>
      </c>
      <c r="DH21" s="89" t="str">
        <f t="shared" si="62"/>
        <v/>
      </c>
      <c r="DI21" s="97" t="e">
        <f t="shared" si="63"/>
        <v>#DIV/0!</v>
      </c>
    </row>
    <row r="22" spans="1:113" x14ac:dyDescent="0.15">
      <c r="B22" s="122" t="s">
        <v>30</v>
      </c>
      <c r="C22" t="s">
        <v>260</v>
      </c>
      <c r="D22"/>
      <c r="E22"/>
      <c r="F22"/>
      <c r="G22"/>
      <c r="H22"/>
      <c r="I22"/>
      <c r="J22" s="122"/>
      <c r="K22" s="122"/>
      <c r="L22" s="122"/>
      <c r="Q22"/>
      <c r="R22"/>
      <c r="S22"/>
      <c r="T22"/>
      <c r="U22"/>
      <c r="V22"/>
      <c r="W22"/>
      <c r="Y22"/>
      <c r="CE22" s="68">
        <f t="shared" si="43"/>
        <v>0</v>
      </c>
      <c r="CF22" s="68">
        <f t="shared" si="44"/>
        <v>0</v>
      </c>
      <c r="CG22" s="68">
        <f t="shared" si="45"/>
        <v>0</v>
      </c>
      <c r="CH22" s="68">
        <f t="shared" si="46"/>
        <v>0</v>
      </c>
      <c r="CI22" s="68">
        <f t="shared" si="47"/>
        <v>0</v>
      </c>
      <c r="CJ22" s="72">
        <f t="shared" si="48"/>
        <v>0</v>
      </c>
      <c r="CK22" s="68">
        <f t="shared" si="49"/>
        <v>0</v>
      </c>
      <c r="CL22" s="70">
        <f t="shared" si="50"/>
        <v>0</v>
      </c>
      <c r="CM22" s="68">
        <f t="shared" si="51"/>
        <v>0</v>
      </c>
      <c r="CN22" s="68">
        <f t="shared" si="52"/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si="53"/>
        <v>0</v>
      </c>
      <c r="CR22" s="71">
        <f t="array" ref="CR22">SUM(IF(ISERR(FIND(CR$4,$D22:$CD22)),0,1))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si="54"/>
        <v>0</v>
      </c>
      <c r="CY22" s="71">
        <f t="shared" si="55"/>
        <v>0</v>
      </c>
      <c r="CZ22" s="71">
        <f t="shared" si="56"/>
        <v>0</v>
      </c>
      <c r="DA22" s="71">
        <f t="shared" si="57"/>
        <v>0</v>
      </c>
      <c r="DB22" s="71">
        <f t="shared" si="58"/>
        <v>0</v>
      </c>
      <c r="DC22" s="71">
        <f t="shared" si="59"/>
        <v>0</v>
      </c>
      <c r="DD22" s="71">
        <f t="shared" si="60"/>
        <v>0</v>
      </c>
      <c r="DE22" s="68">
        <f t="shared" si="61"/>
        <v>2.2000000000000001E-4</v>
      </c>
      <c r="DF22" s="68">
        <f t="shared" si="19"/>
        <v>36</v>
      </c>
      <c r="DG22" s="68">
        <v>0</v>
      </c>
      <c r="DH22" s="89" t="str">
        <f t="shared" si="62"/>
        <v/>
      </c>
      <c r="DI22" s="97" t="e">
        <f t="shared" si="63"/>
        <v>#DIV/0!</v>
      </c>
    </row>
    <row r="23" spans="1:113" x14ac:dyDescent="0.15">
      <c r="B23" s="122" t="s">
        <v>422</v>
      </c>
      <c r="C23" t="s">
        <v>423</v>
      </c>
      <c r="D23"/>
      <c r="E23"/>
      <c r="F23"/>
      <c r="G23"/>
      <c r="H23"/>
      <c r="I23"/>
      <c r="J23" t="s">
        <v>421</v>
      </c>
      <c r="K23" s="122"/>
      <c r="L23" s="122"/>
      <c r="Q23"/>
      <c r="R23"/>
      <c r="S23"/>
      <c r="T23"/>
      <c r="U23"/>
      <c r="V23"/>
      <c r="W23"/>
      <c r="Y23"/>
      <c r="CE23" s="68">
        <f t="shared" ref="CE23:CE24" si="106">BatSplit(D23:CD23,MatchesPlayed)</f>
        <v>1</v>
      </c>
      <c r="CF23" s="68">
        <f t="shared" ref="CF23:CF24" si="107">CE23-CG23</f>
        <v>0</v>
      </c>
      <c r="CG23" s="68">
        <f t="shared" ref="CG23:CG24" si="108">BatSplit(D23:CD23,InnsBattedIn)</f>
        <v>1</v>
      </c>
      <c r="CH23" s="68">
        <f t="shared" ref="CH23:CH24" si="109">BatSplit(D23:CD23,NotOuts)</f>
        <v>0</v>
      </c>
      <c r="CI23" s="68">
        <f t="shared" ref="CI23:CI24" si="110">BatSplit(D23:CD23,HighestScore)</f>
        <v>0</v>
      </c>
      <c r="CJ23" s="72">
        <f t="shared" ref="CJ23:CJ24" si="111">IF(CI23&lt;0,-CI23&amp;"*",CI23)</f>
        <v>0</v>
      </c>
      <c r="CK23" s="68">
        <f t="shared" ref="CK23:CK24" si="112">BatSplit(D23:CD23,RunsScored)</f>
        <v>0</v>
      </c>
      <c r="CL23" s="70">
        <f t="shared" ref="CL23:CL24" si="113">IF(CG23=CH23,0,CK23/(CG23-CH23))</f>
        <v>0</v>
      </c>
      <c r="CM23" s="68">
        <f t="shared" ref="CM23:CM24" si="114">BatSplit(D23:CD23,BatPts)</f>
        <v>-5</v>
      </c>
      <c r="CN23" s="68">
        <f t="shared" ref="CN23:CN24" si="115">BatSplit(D23:CD23,FldPts)</f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ref="CQ23:CQ24" si="116">BatSplit(D23:CD23,Ducks)</f>
        <v>1</v>
      </c>
      <c r="CR23" s="71">
        <f t="array" ref="CR23">SUM(IF(ISERR(FIND(CR$4,$D23:$CD23)),0,1))</f>
        <v>0</v>
      </c>
      <c r="CS23" s="71">
        <f t="array" ref="CS23">SUM(IF(ISERR(FIND(CS$4,$D23:$CD23)),0,1))</f>
        <v>1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ref="CX23:CX24" si="117">BatSplit(D23:CD23,Fifties)</f>
        <v>0</v>
      </c>
      <c r="CY23" s="71">
        <f t="shared" ref="CY23:CY24" si="118">BatSplit(D23:CD23,Catches)</f>
        <v>0</v>
      </c>
      <c r="CZ23" s="71">
        <f t="shared" ref="CZ23:CZ24" si="119">BatSplit(D23:CD23,Fours)</f>
        <v>0</v>
      </c>
      <c r="DA23" s="71">
        <f t="shared" ref="DA23:DA24" si="120">BatSplit(D23:CD23,Sixes)</f>
        <v>0</v>
      </c>
      <c r="DB23" s="71">
        <f t="shared" ref="DB23:DB24" si="121">BatSplit(D23:CD23,Stumpings)</f>
        <v>0</v>
      </c>
      <c r="DC23" s="71">
        <f t="shared" ref="DC23:DC24" si="122">BatSplit(D23:CD23,CaughtWkt)</f>
        <v>0</v>
      </c>
      <c r="DD23" s="71">
        <f t="shared" ref="DD23:DD24" si="123">BatSplit(D23:CD23,TwentyFives)</f>
        <v>0</v>
      </c>
      <c r="DE23" s="68">
        <f t="shared" ref="DE23:DE24" si="124">ROUND(IF(ISERROR(CL23),0,CL23),2)*100000+CG23*100+CE23+CK23/100+ROW()/100000</f>
        <v>101.00023</v>
      </c>
      <c r="DF23" s="68">
        <f t="shared" si="19"/>
        <v>33</v>
      </c>
      <c r="DG23" s="68">
        <v>0</v>
      </c>
      <c r="DH23" s="89" t="str">
        <f t="shared" ref="DH23:DH24" si="125">IF(CK23&gt;=50,(CZ23*4+DA23*6+DG23*5)/CK23,"")</f>
        <v/>
      </c>
      <c r="DI23" s="97">
        <f t="shared" ref="DI23:DI24" si="126">CQ23/(CG23-CH23)</f>
        <v>1</v>
      </c>
    </row>
    <row r="24" spans="1:113" x14ac:dyDescent="0.15">
      <c r="B24" s="122" t="s">
        <v>28</v>
      </c>
      <c r="C24" t="s">
        <v>531</v>
      </c>
      <c r="D24"/>
      <c r="E24"/>
      <c r="F24"/>
      <c r="G24"/>
      <c r="H24"/>
      <c r="I24"/>
      <c r="J24"/>
      <c r="K24" s="122"/>
      <c r="L24" s="122"/>
      <c r="P24" t="s">
        <v>532</v>
      </c>
      <c r="Q24"/>
      <c r="R24"/>
      <c r="S24"/>
      <c r="T24"/>
      <c r="U24" t="s">
        <v>617</v>
      </c>
      <c r="V24" t="s">
        <v>632</v>
      </c>
      <c r="W24"/>
      <c r="Y24"/>
      <c r="CE24" s="68">
        <f t="shared" si="106"/>
        <v>3</v>
      </c>
      <c r="CF24" s="68">
        <f t="shared" si="107"/>
        <v>0</v>
      </c>
      <c r="CG24" s="68">
        <f t="shared" si="108"/>
        <v>3</v>
      </c>
      <c r="CH24" s="68">
        <f t="shared" si="109"/>
        <v>1</v>
      </c>
      <c r="CI24" s="68">
        <f t="shared" si="110"/>
        <v>31</v>
      </c>
      <c r="CJ24" s="72">
        <f t="shared" si="111"/>
        <v>31</v>
      </c>
      <c r="CK24" s="68">
        <f t="shared" si="112"/>
        <v>47</v>
      </c>
      <c r="CL24" s="70">
        <f t="shared" si="113"/>
        <v>23.5</v>
      </c>
      <c r="CM24" s="68">
        <f t="shared" si="114"/>
        <v>47</v>
      </c>
      <c r="CN24" s="68">
        <f t="shared" si="115"/>
        <v>5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116"/>
        <v>0</v>
      </c>
      <c r="CR24" s="71">
        <f t="array" ref="CR24">SUM(IF(ISERR(FIND(CR$4,$D24:$CD24)),0,1))</f>
        <v>1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117"/>
        <v>0</v>
      </c>
      <c r="CY24" s="71">
        <f t="shared" si="118"/>
        <v>1</v>
      </c>
      <c r="CZ24" s="71">
        <f t="shared" si="119"/>
        <v>4</v>
      </c>
      <c r="DA24" s="71">
        <f t="shared" si="120"/>
        <v>1</v>
      </c>
      <c r="DB24" s="71">
        <f t="shared" si="121"/>
        <v>0</v>
      </c>
      <c r="DC24" s="71">
        <f t="shared" si="122"/>
        <v>0</v>
      </c>
      <c r="DD24" s="71">
        <f t="shared" si="123"/>
        <v>1</v>
      </c>
      <c r="DE24" s="68">
        <f t="shared" si="124"/>
        <v>2350303.4702400002</v>
      </c>
      <c r="DF24" s="68">
        <f t="shared" si="19"/>
        <v>8</v>
      </c>
      <c r="DG24" s="68">
        <v>0</v>
      </c>
      <c r="DH24" s="89" t="str">
        <f t="shared" si="125"/>
        <v/>
      </c>
      <c r="DI24" s="97">
        <f t="shared" si="126"/>
        <v>0</v>
      </c>
    </row>
    <row r="25" spans="1:113" x14ac:dyDescent="0.15">
      <c r="B25" s="122" t="s">
        <v>28</v>
      </c>
      <c r="C25" t="s">
        <v>247</v>
      </c>
      <c r="D25" t="s">
        <v>258</v>
      </c>
      <c r="E25" t="s">
        <v>251</v>
      </c>
      <c r="F25" t="s">
        <v>272</v>
      </c>
      <c r="H25" s="122" t="s">
        <v>258</v>
      </c>
      <c r="I25" s="122" t="s">
        <v>251</v>
      </c>
      <c r="J25"/>
      <c r="K25"/>
      <c r="L25" t="s">
        <v>220</v>
      </c>
      <c r="M25"/>
      <c r="O25" t="s">
        <v>512</v>
      </c>
      <c r="P25"/>
      <c r="Q25"/>
      <c r="R25"/>
      <c r="S25"/>
      <c r="T25"/>
      <c r="U25"/>
      <c r="V25"/>
      <c r="W25" t="s">
        <v>258</v>
      </c>
      <c r="X25" s="122"/>
      <c r="CE25" s="68">
        <f t="shared" si="43"/>
        <v>8</v>
      </c>
      <c r="CF25" s="68">
        <f t="shared" si="44"/>
        <v>6</v>
      </c>
      <c r="CG25" s="68">
        <f t="shared" si="45"/>
        <v>2</v>
      </c>
      <c r="CH25" s="68">
        <f t="shared" si="46"/>
        <v>0</v>
      </c>
      <c r="CI25" s="68">
        <f t="shared" si="47"/>
        <v>3</v>
      </c>
      <c r="CJ25" s="72">
        <f t="shared" si="48"/>
        <v>3</v>
      </c>
      <c r="CK25" s="68">
        <f t="shared" si="49"/>
        <v>3</v>
      </c>
      <c r="CL25" s="70">
        <f t="shared" si="50"/>
        <v>1.5</v>
      </c>
      <c r="CM25" s="68">
        <f t="shared" si="51"/>
        <v>-2</v>
      </c>
      <c r="CN25" s="68">
        <f t="shared" si="52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53"/>
        <v>1</v>
      </c>
      <c r="CR25" s="71">
        <f t="array" ref="CR25">SUM(IF(ISERR(FIND(CR$4,$D25:$CD25)),0,1))</f>
        <v>1</v>
      </c>
      <c r="CS25" s="71">
        <f t="array" ref="CS25">SUM(IF(ISERR(FIND(CS$4,$D25:$CD25)),0,1))</f>
        <v>1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shared" si="54"/>
        <v>0</v>
      </c>
      <c r="CY25" s="71">
        <f t="shared" si="55"/>
        <v>0</v>
      </c>
      <c r="CZ25" s="71">
        <f t="shared" si="56"/>
        <v>0</v>
      </c>
      <c r="DA25" s="71">
        <f t="shared" si="57"/>
        <v>0</v>
      </c>
      <c r="DB25" s="71">
        <f t="shared" si="58"/>
        <v>0</v>
      </c>
      <c r="DC25" s="71">
        <f t="shared" si="59"/>
        <v>0</v>
      </c>
      <c r="DD25" s="71">
        <f t="shared" si="60"/>
        <v>0</v>
      </c>
      <c r="DE25" s="68">
        <f t="shared" si="61"/>
        <v>150208.03025000001</v>
      </c>
      <c r="DF25" s="68">
        <f t="shared" si="19"/>
        <v>25</v>
      </c>
      <c r="DG25" s="68">
        <v>0</v>
      </c>
      <c r="DH25" s="89" t="str">
        <f t="shared" si="62"/>
        <v/>
      </c>
      <c r="DI25" s="97">
        <f t="shared" si="63"/>
        <v>0.5</v>
      </c>
    </row>
    <row r="26" spans="1:113" x14ac:dyDescent="0.15">
      <c r="B26" s="68" t="s">
        <v>30</v>
      </c>
      <c r="C26" s="68" t="s">
        <v>225</v>
      </c>
      <c r="D26" t="s">
        <v>319</v>
      </c>
      <c r="E26" t="s">
        <v>335</v>
      </c>
      <c r="F26" t="s">
        <v>368</v>
      </c>
      <c r="G26" t="s">
        <v>381</v>
      </c>
      <c r="H26" t="s">
        <v>404</v>
      </c>
      <c r="I26" t="s">
        <v>408</v>
      </c>
      <c r="J26" t="s">
        <v>428</v>
      </c>
      <c r="K26" t="s">
        <v>443</v>
      </c>
      <c r="L26" t="s">
        <v>296</v>
      </c>
      <c r="M26" t="s">
        <v>472</v>
      </c>
      <c r="N26" t="s">
        <v>493</v>
      </c>
      <c r="O26" t="s">
        <v>507</v>
      </c>
      <c r="P26" t="s">
        <v>528</v>
      </c>
      <c r="Q26" t="s">
        <v>551</v>
      </c>
      <c r="R26" t="s">
        <v>571</v>
      </c>
      <c r="S26" t="s">
        <v>587</v>
      </c>
      <c r="T26" t="s">
        <v>603</v>
      </c>
      <c r="U26" t="s">
        <v>618</v>
      </c>
      <c r="V26" t="s">
        <v>634</v>
      </c>
      <c r="W26" t="s">
        <v>651</v>
      </c>
      <c r="X26" t="s">
        <v>665</v>
      </c>
      <c r="Y26" t="s">
        <v>688</v>
      </c>
      <c r="Z26"/>
      <c r="CE26" s="68">
        <f t="shared" si="43"/>
        <v>22</v>
      </c>
      <c r="CF26" s="68">
        <f t="shared" si="44"/>
        <v>5</v>
      </c>
      <c r="CG26" s="68">
        <f t="shared" si="45"/>
        <v>17</v>
      </c>
      <c r="CH26" s="68">
        <f t="shared" si="46"/>
        <v>7</v>
      </c>
      <c r="CI26" s="68">
        <f t="shared" si="47"/>
        <v>-54</v>
      </c>
      <c r="CJ26" s="72" t="str">
        <f t="shared" si="48"/>
        <v>54*</v>
      </c>
      <c r="CK26" s="68">
        <f t="shared" si="49"/>
        <v>479</v>
      </c>
      <c r="CL26" s="70">
        <f t="shared" si="50"/>
        <v>47.9</v>
      </c>
      <c r="CM26" s="68">
        <f t="shared" si="51"/>
        <v>509</v>
      </c>
      <c r="CN26" s="68">
        <f t="shared" si="52"/>
        <v>65</v>
      </c>
      <c r="CO26" s="71">
        <f t="array" ref="CO26">SUM(IF(ISERR(FIND("*",D26:CD26)),0,1))</f>
        <v>18</v>
      </c>
      <c r="CP26" s="71">
        <f t="array" ref="CP26">SUM(IF(ISERR(FIND("+",D26:CD26)),0,1))</f>
        <v>0</v>
      </c>
      <c r="CQ26" s="68">
        <f t="shared" si="53"/>
        <v>0</v>
      </c>
      <c r="CR26" s="71">
        <f t="array" ref="CR26">SUM(IF(ISERR(FIND(CR$4,$D26:$CD26)),0,1))</f>
        <v>5</v>
      </c>
      <c r="CS26" s="71">
        <f t="array" ref="CS26">SUM(IF(ISERR(FIND(CS$4,$D26:$CD26)),0,1))</f>
        <v>4</v>
      </c>
      <c r="CT26" s="71">
        <f t="array" ref="CT26">SUM(IF(ISERR(FIND(CT$4,$D26:$CD26)),0,1))</f>
        <v>1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54"/>
        <v>3</v>
      </c>
      <c r="CY26" s="71">
        <f t="shared" si="55"/>
        <v>13</v>
      </c>
      <c r="CZ26" s="71">
        <f t="shared" si="56"/>
        <v>60</v>
      </c>
      <c r="DA26" s="71">
        <f t="shared" si="57"/>
        <v>12</v>
      </c>
      <c r="DB26" s="71">
        <f t="shared" si="58"/>
        <v>0</v>
      </c>
      <c r="DC26" s="71">
        <f t="shared" si="59"/>
        <v>0</v>
      </c>
      <c r="DD26" s="71">
        <f t="shared" si="60"/>
        <v>9</v>
      </c>
      <c r="DE26" s="68">
        <f t="shared" si="61"/>
        <v>4791726.7902600002</v>
      </c>
      <c r="DF26" s="68">
        <f t="shared" si="19"/>
        <v>2</v>
      </c>
      <c r="DG26" s="68">
        <v>0</v>
      </c>
      <c r="DH26" s="89">
        <f t="shared" si="62"/>
        <v>0.65135699373695199</v>
      </c>
      <c r="DI26" s="97">
        <f t="shared" si="63"/>
        <v>0</v>
      </c>
    </row>
    <row r="27" spans="1:113" x14ac:dyDescent="0.15">
      <c r="B27" s="122" t="s">
        <v>339</v>
      </c>
      <c r="C27" t="s">
        <v>343</v>
      </c>
      <c r="D27"/>
      <c r="E27" t="s">
        <v>340</v>
      </c>
      <c r="F27"/>
      <c r="G27"/>
      <c r="H27"/>
      <c r="I27"/>
      <c r="J27" s="122"/>
      <c r="K27" s="122"/>
      <c r="L27" s="122"/>
      <c r="M27" s="122"/>
      <c r="N27" s="122"/>
      <c r="O27" s="122"/>
      <c r="P27" s="122"/>
      <c r="Q27" s="122"/>
      <c r="R27"/>
      <c r="S27"/>
      <c r="T27"/>
      <c r="U27"/>
      <c r="V27"/>
      <c r="W27"/>
      <c r="X27"/>
      <c r="Y27"/>
      <c r="Z27"/>
      <c r="CE27" s="68">
        <f t="shared" ref="CE27" si="127">BatSplit(D27:CD27,MatchesPlayed)</f>
        <v>1</v>
      </c>
      <c r="CF27" s="68">
        <f t="shared" ref="CF27" si="128">CE27-CG27</f>
        <v>0</v>
      </c>
      <c r="CG27" s="68">
        <f t="shared" ref="CG27" si="129">BatSplit(D27:CD27,InnsBattedIn)</f>
        <v>1</v>
      </c>
      <c r="CH27" s="68">
        <f t="shared" ref="CH27" si="130">BatSplit(D27:CD27,NotOuts)</f>
        <v>0</v>
      </c>
      <c r="CI27" s="68">
        <f t="shared" ref="CI27" si="131">BatSplit(D27:CD27,HighestScore)</f>
        <v>11</v>
      </c>
      <c r="CJ27" s="72">
        <f t="shared" ref="CJ27" si="132">IF(CI27&lt;0,-CI27&amp;"*",CI27)</f>
        <v>11</v>
      </c>
      <c r="CK27" s="68">
        <f t="shared" ref="CK27" si="133">BatSplit(D27:CD27,RunsScored)</f>
        <v>11</v>
      </c>
      <c r="CL27" s="70">
        <f t="shared" ref="CL27" si="134">IF(CG27=CH27,0,CK27/(CG27-CH27))</f>
        <v>11</v>
      </c>
      <c r="CM27" s="68">
        <f t="shared" ref="CM27" si="135">BatSplit(D27:CD27,BatPts)</f>
        <v>11</v>
      </c>
      <c r="CN27" s="68">
        <f t="shared" ref="CN27" si="136">BatSplit(D27:CD27,FldPts)</f>
        <v>5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ref="CQ27" si="137">BatSplit(D27:CD27,Ducks)</f>
        <v>0</v>
      </c>
      <c r="CR27" s="71">
        <f t="array" ref="CR27">SUM(IF(ISERR(FIND(CR$4,$D27:$CD27)),0,1))</f>
        <v>1</v>
      </c>
      <c r="CS27" s="71">
        <f t="array" ref="CS27">SUM(IF(ISERR(FIND(CS$4,$D27:$CD27)),0,1))</f>
        <v>0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shared" ref="CX27" si="138">BatSplit(D27:CD27,Fifties)</f>
        <v>0</v>
      </c>
      <c r="CY27" s="71">
        <f t="shared" ref="CY27" si="139">BatSplit(D27:CD27,Catches)</f>
        <v>1</v>
      </c>
      <c r="CZ27" s="71">
        <f t="shared" ref="CZ27" si="140">BatSplit(D27:CD27,Fours)</f>
        <v>2</v>
      </c>
      <c r="DA27" s="71">
        <f t="shared" ref="DA27" si="141">BatSplit(D27:CD27,Sixes)</f>
        <v>0</v>
      </c>
      <c r="DB27" s="71">
        <f t="shared" ref="DB27" si="142">BatSplit(D27:CD27,Stumpings)</f>
        <v>0</v>
      </c>
      <c r="DC27" s="71">
        <f t="shared" ref="DC27" si="143">BatSplit(D27:CD27,CaughtWkt)</f>
        <v>0</v>
      </c>
      <c r="DD27" s="71">
        <f t="shared" ref="DD27" si="144">BatSplit(D27:CD27,TwentyFives)</f>
        <v>0</v>
      </c>
      <c r="DE27" s="68">
        <f t="shared" ref="DE27" si="145">ROUND(IF(ISERROR(CL27),0,CL27),2)*100000+CG27*100+CE27+CK27/100+ROW()/100000</f>
        <v>1100101.1102700001</v>
      </c>
      <c r="DF27" s="68">
        <f t="shared" si="19"/>
        <v>17</v>
      </c>
      <c r="DG27" s="68">
        <v>0</v>
      </c>
      <c r="DH27" s="89" t="str">
        <f t="shared" ref="DH27" si="146">IF(CK27&gt;=50,(CZ27*4+DA27*6+DG27*5)/CK27,"")</f>
        <v/>
      </c>
      <c r="DI27" s="97">
        <f t="shared" ref="DI27" si="147">CQ27/(CG27-CH27)</f>
        <v>0</v>
      </c>
    </row>
    <row r="28" spans="1:113" x14ac:dyDescent="0.15">
      <c r="B28" t="s">
        <v>229</v>
      </c>
      <c r="C28" t="s">
        <v>230</v>
      </c>
      <c r="D28" t="s">
        <v>316</v>
      </c>
      <c r="E28"/>
      <c r="F28"/>
      <c r="G28"/>
      <c r="H28"/>
      <c r="I28"/>
      <c r="J28"/>
      <c r="K28"/>
      <c r="L28"/>
      <c r="M28"/>
      <c r="N28"/>
      <c r="O28"/>
      <c r="P28"/>
      <c r="Q28" s="122"/>
      <c r="R28"/>
      <c r="S28"/>
      <c r="T28"/>
      <c r="U28"/>
      <c r="V28"/>
      <c r="W28"/>
      <c r="X28"/>
      <c r="Y28"/>
      <c r="CE28" s="68">
        <f t="shared" si="43"/>
        <v>1</v>
      </c>
      <c r="CF28" s="68">
        <f t="shared" si="44"/>
        <v>0</v>
      </c>
      <c r="CG28" s="68">
        <f t="shared" si="45"/>
        <v>1</v>
      </c>
      <c r="CH28" s="68">
        <f t="shared" si="46"/>
        <v>0</v>
      </c>
      <c r="CI28" s="68">
        <f t="shared" si="47"/>
        <v>2</v>
      </c>
      <c r="CJ28" s="72">
        <f t="shared" si="48"/>
        <v>2</v>
      </c>
      <c r="CK28" s="68">
        <f t="shared" si="49"/>
        <v>2</v>
      </c>
      <c r="CL28" s="70">
        <f t="shared" si="50"/>
        <v>2</v>
      </c>
      <c r="CM28" s="68">
        <f t="shared" si="51"/>
        <v>2</v>
      </c>
      <c r="CN28" s="68">
        <f t="shared" si="52"/>
        <v>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si="53"/>
        <v>0</v>
      </c>
      <c r="CR28" s="71">
        <f t="array" ref="CR28">SUM(IF(ISERR(FIND(CR$4,$D28:$CD28)),0,1))</f>
        <v>1</v>
      </c>
      <c r="CS28" s="71">
        <f t="array" ref="CS28">SUM(IF(ISERR(FIND(CS$4,$D28:$CD28)),0,1))</f>
        <v>0</v>
      </c>
      <c r="CT28" s="71">
        <f t="array" ref="CT28">SUM(IF(ISERR(FIND(CT$4,$D28:$CD28)),0,1))</f>
        <v>0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shared" si="54"/>
        <v>0</v>
      </c>
      <c r="CY28" s="71">
        <f t="shared" si="55"/>
        <v>0</v>
      </c>
      <c r="CZ28" s="71">
        <f t="shared" si="56"/>
        <v>0</v>
      </c>
      <c r="DA28" s="71">
        <f t="shared" si="57"/>
        <v>0</v>
      </c>
      <c r="DB28" s="71">
        <f t="shared" si="58"/>
        <v>0</v>
      </c>
      <c r="DC28" s="71">
        <f t="shared" si="59"/>
        <v>0</v>
      </c>
      <c r="DD28" s="71">
        <f t="shared" si="60"/>
        <v>0</v>
      </c>
      <c r="DE28" s="68">
        <f t="shared" si="61"/>
        <v>200101.02028</v>
      </c>
      <c r="DF28" s="68">
        <f t="shared" si="19"/>
        <v>23</v>
      </c>
      <c r="DG28" s="68">
        <v>0</v>
      </c>
      <c r="DH28" s="89" t="str">
        <f t="shared" si="62"/>
        <v/>
      </c>
      <c r="DI28" s="97">
        <f t="shared" si="63"/>
        <v>0</v>
      </c>
    </row>
    <row r="29" spans="1:113" x14ac:dyDescent="0.15">
      <c r="B29" t="s">
        <v>28</v>
      </c>
      <c r="C29" t="s">
        <v>303</v>
      </c>
      <c r="D29" t="s">
        <v>299</v>
      </c>
      <c r="E29"/>
      <c r="F29" t="s">
        <v>364</v>
      </c>
      <c r="G29" t="s">
        <v>385</v>
      </c>
      <c r="H29"/>
      <c r="I29"/>
      <c r="J29"/>
      <c r="K29" t="s">
        <v>441</v>
      </c>
      <c r="L29"/>
      <c r="M29" t="s">
        <v>473</v>
      </c>
      <c r="N29"/>
      <c r="O29"/>
      <c r="P29"/>
      <c r="Q29" s="122"/>
      <c r="R29"/>
      <c r="S29"/>
      <c r="T29"/>
      <c r="U29"/>
      <c r="V29"/>
      <c r="W29"/>
      <c r="X29" t="s">
        <v>666</v>
      </c>
      <c r="Y29" t="s">
        <v>687</v>
      </c>
      <c r="CE29" s="68">
        <f t="shared" si="43"/>
        <v>7</v>
      </c>
      <c r="CF29" s="68">
        <f t="shared" si="44"/>
        <v>0</v>
      </c>
      <c r="CG29" s="68">
        <f t="shared" si="45"/>
        <v>7</v>
      </c>
      <c r="CH29" s="68">
        <f t="shared" si="46"/>
        <v>1</v>
      </c>
      <c r="CI29" s="68">
        <f t="shared" si="47"/>
        <v>-22</v>
      </c>
      <c r="CJ29" s="72" t="str">
        <f t="shared" si="48"/>
        <v>22*</v>
      </c>
      <c r="CK29" s="68">
        <f t="shared" si="49"/>
        <v>70</v>
      </c>
      <c r="CL29" s="70">
        <f t="shared" si="50"/>
        <v>11.666666666666666</v>
      </c>
      <c r="CM29" s="68">
        <f t="shared" si="51"/>
        <v>65</v>
      </c>
      <c r="CN29" s="68">
        <f t="shared" si="52"/>
        <v>5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53"/>
        <v>1</v>
      </c>
      <c r="CR29" s="71">
        <f t="array" ref="CR29">SUM(IF(ISERR(FIND(CR$4,$D29:$CD29)),0,1))</f>
        <v>4</v>
      </c>
      <c r="CS29" s="71">
        <f t="array" ref="CS29">SUM(IF(ISERR(FIND(CS$4,$D29:$CD29)),0,1))</f>
        <v>1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1</v>
      </c>
      <c r="CW29" s="71">
        <f t="array" ref="CW29">SUM(IF(ISERR(FIND(CW$4,$D29:$CD29)),0,1))</f>
        <v>0</v>
      </c>
      <c r="CX29" s="71">
        <f t="shared" si="54"/>
        <v>0</v>
      </c>
      <c r="CY29" s="71">
        <f t="shared" si="55"/>
        <v>1</v>
      </c>
      <c r="CZ29" s="71">
        <f t="shared" si="56"/>
        <v>6</v>
      </c>
      <c r="DA29" s="71">
        <f t="shared" si="57"/>
        <v>0</v>
      </c>
      <c r="DB29" s="71">
        <f t="shared" si="58"/>
        <v>0</v>
      </c>
      <c r="DC29" s="71">
        <f t="shared" si="59"/>
        <v>0</v>
      </c>
      <c r="DD29" s="71">
        <f t="shared" si="60"/>
        <v>0</v>
      </c>
      <c r="DE29" s="68">
        <f t="shared" si="61"/>
        <v>1167707.7002900001</v>
      </c>
      <c r="DF29" s="68">
        <f t="shared" si="19"/>
        <v>15</v>
      </c>
      <c r="DG29" s="68">
        <v>0</v>
      </c>
      <c r="DH29" s="89">
        <f t="shared" si="62"/>
        <v>0.34285714285714286</v>
      </c>
      <c r="DI29" s="97">
        <f t="shared" si="63"/>
        <v>0.16666666666666666</v>
      </c>
    </row>
    <row r="30" spans="1:113" x14ac:dyDescent="0.15">
      <c r="B30" t="s">
        <v>227</v>
      </c>
      <c r="C30" t="s">
        <v>509</v>
      </c>
      <c r="D30"/>
      <c r="E30"/>
      <c r="F30"/>
      <c r="G30"/>
      <c r="H30"/>
      <c r="I30"/>
      <c r="J30"/>
      <c r="K30"/>
      <c r="L30"/>
      <c r="M30"/>
      <c r="N30"/>
      <c r="O30" t="s">
        <v>299</v>
      </c>
      <c r="P30"/>
      <c r="Q30" t="s">
        <v>552</v>
      </c>
      <c r="R30"/>
      <c r="S30"/>
      <c r="T30"/>
      <c r="U30"/>
      <c r="V30" t="s">
        <v>258</v>
      </c>
      <c r="W30" t="s">
        <v>650</v>
      </c>
      <c r="X30" t="s">
        <v>662</v>
      </c>
      <c r="Y30"/>
      <c r="CE30" s="68">
        <f t="shared" ref="CE30" si="148">BatSplit(D30:CD30,MatchesPlayed)</f>
        <v>5</v>
      </c>
      <c r="CF30" s="68">
        <f t="shared" ref="CF30" si="149">CE30-CG30</f>
        <v>1</v>
      </c>
      <c r="CG30" s="68">
        <f t="shared" ref="CG30" si="150">BatSplit(D30:CD30,InnsBattedIn)</f>
        <v>4</v>
      </c>
      <c r="CH30" s="68">
        <f t="shared" ref="CH30" si="151">BatSplit(D30:CD30,NotOuts)</f>
        <v>1</v>
      </c>
      <c r="CI30" s="68">
        <f t="shared" ref="CI30" si="152">BatSplit(D30:CD30,HighestScore)</f>
        <v>32</v>
      </c>
      <c r="CJ30" s="72">
        <f t="shared" ref="CJ30" si="153">IF(CI30&lt;0,-CI30&amp;"*",CI30)</f>
        <v>32</v>
      </c>
      <c r="CK30" s="68">
        <f t="shared" ref="CK30" si="154">BatSplit(D30:CD30,RunsScored)</f>
        <v>46</v>
      </c>
      <c r="CL30" s="70">
        <f t="shared" ref="CL30" si="155">IF(CG30=CH30,0,CK30/(CG30-CH30))</f>
        <v>15.333333333333334</v>
      </c>
      <c r="CM30" s="68">
        <f t="shared" ref="CM30" si="156">BatSplit(D30:CD30,BatPts)</f>
        <v>41</v>
      </c>
      <c r="CN30" s="68">
        <f t="shared" ref="CN30" si="157">BatSplit(D30:CD30,FldPts)</f>
        <v>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ref="CQ30" si="158">BatSplit(D30:CD30,Ducks)</f>
        <v>1</v>
      </c>
      <c r="CR30" s="71">
        <f t="array" ref="CR30">SUM(IF(ISERR(FIND(CR$4,$D30:$CD30)),0,1))</f>
        <v>1</v>
      </c>
      <c r="CS30" s="71">
        <f t="array" ref="CS30">SUM(IF(ISERR(FIND(CS$4,$D30:$CD30)),0,1))</f>
        <v>0</v>
      </c>
      <c r="CT30" s="71">
        <f t="array" ref="CT30">SUM(IF(ISERR(FIND(CT$4,$D30:$CD30)),0,1))</f>
        <v>2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ref="CX30" si="159">BatSplit(D30:CD30,Fifties)</f>
        <v>0</v>
      </c>
      <c r="CY30" s="71">
        <f t="shared" ref="CY30" si="160">BatSplit(D30:CD30,Catches)</f>
        <v>0</v>
      </c>
      <c r="CZ30" s="71">
        <f t="shared" ref="CZ30" si="161">BatSplit(D30:CD30,Fours)</f>
        <v>4</v>
      </c>
      <c r="DA30" s="71">
        <f t="shared" ref="DA30" si="162">BatSplit(D30:CD30,Sixes)</f>
        <v>0</v>
      </c>
      <c r="DB30" s="71">
        <f t="shared" ref="DB30" si="163">BatSplit(D30:CD30,Stumpings)</f>
        <v>0</v>
      </c>
      <c r="DC30" s="71">
        <f t="shared" ref="DC30" si="164">BatSplit(D30:CD30,CaughtWkt)</f>
        <v>0</v>
      </c>
      <c r="DD30" s="71">
        <f t="shared" ref="DD30" si="165">BatSplit(D30:CD30,TwentyFives)</f>
        <v>1</v>
      </c>
      <c r="DE30" s="68">
        <f t="shared" ref="DE30" si="166">ROUND(IF(ISERROR(CL30),0,CL30),2)*100000+CG30*100+CE30+CK30/100+ROW()/100000</f>
        <v>1533405.4602999999</v>
      </c>
      <c r="DF30" s="68">
        <f t="shared" si="19"/>
        <v>11</v>
      </c>
      <c r="DG30" s="68">
        <v>0</v>
      </c>
      <c r="DH30" s="89" t="str">
        <f t="shared" ref="DH30" si="167">IF(CK30&gt;=50,(CZ30*4+DA30*6+DG30*5)/CK30,"")</f>
        <v/>
      </c>
      <c r="DI30" s="97">
        <f t="shared" ref="DI30" si="168">CQ30/(CG30-CH30)</f>
        <v>0.33333333333333331</v>
      </c>
    </row>
    <row r="31" spans="1:113" x14ac:dyDescent="0.15">
      <c r="B31" t="s">
        <v>365</v>
      </c>
      <c r="C31" t="s">
        <v>358</v>
      </c>
      <c r="D31"/>
      <c r="E31"/>
      <c r="F31" t="s">
        <v>366</v>
      </c>
      <c r="G31" t="s">
        <v>387</v>
      </c>
      <c r="H31"/>
      <c r="I31"/>
      <c r="J31"/>
      <c r="K31" t="s">
        <v>444</v>
      </c>
      <c r="L31" t="s">
        <v>270</v>
      </c>
      <c r="M31"/>
      <c r="N31" t="s">
        <v>317</v>
      </c>
      <c r="O31" t="s">
        <v>510</v>
      </c>
      <c r="P31" t="s">
        <v>534</v>
      </c>
      <c r="Q31" t="s">
        <v>251</v>
      </c>
      <c r="R31"/>
      <c r="S31" t="s">
        <v>261</v>
      </c>
      <c r="T31" t="s">
        <v>601</v>
      </c>
      <c r="U31" t="s">
        <v>614</v>
      </c>
      <c r="V31" t="s">
        <v>629</v>
      </c>
      <c r="W31" t="s">
        <v>646</v>
      </c>
      <c r="X31"/>
      <c r="Y31"/>
      <c r="CE31" s="68">
        <f t="shared" si="43"/>
        <v>13</v>
      </c>
      <c r="CF31" s="68">
        <f t="shared" si="44"/>
        <v>2</v>
      </c>
      <c r="CG31" s="68">
        <f t="shared" si="45"/>
        <v>11</v>
      </c>
      <c r="CH31" s="68">
        <f t="shared" si="46"/>
        <v>0</v>
      </c>
      <c r="CI31" s="68">
        <f t="shared" si="47"/>
        <v>24</v>
      </c>
      <c r="CJ31" s="72">
        <f t="shared" si="48"/>
        <v>24</v>
      </c>
      <c r="CK31" s="68">
        <f t="shared" si="49"/>
        <v>100</v>
      </c>
      <c r="CL31" s="70">
        <f t="shared" si="50"/>
        <v>9.0909090909090917</v>
      </c>
      <c r="CM31" s="68">
        <f t="shared" si="51"/>
        <v>90</v>
      </c>
      <c r="CN31" s="68">
        <f t="shared" si="52"/>
        <v>10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53"/>
        <v>2</v>
      </c>
      <c r="CR31" s="71">
        <f t="array" ref="CR31">SUM(IF(ISERR(FIND(CR$4,$D31:$CD31)),0,1))</f>
        <v>3</v>
      </c>
      <c r="CS31" s="71">
        <f t="array" ref="CS31">SUM(IF(ISERR(FIND(CS$4,$D31:$CD31)),0,1))</f>
        <v>7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1</v>
      </c>
      <c r="CW31" s="71">
        <f t="array" ref="CW31">SUM(IF(ISERR(FIND(CW$4,$D31:$CD31)),0,1))</f>
        <v>0</v>
      </c>
      <c r="CX31" s="71">
        <f t="shared" si="54"/>
        <v>0</v>
      </c>
      <c r="CY31" s="71">
        <f t="shared" si="55"/>
        <v>2</v>
      </c>
      <c r="CZ31" s="71">
        <f t="shared" si="56"/>
        <v>13</v>
      </c>
      <c r="DA31" s="71">
        <f t="shared" si="57"/>
        <v>2</v>
      </c>
      <c r="DB31" s="71">
        <f t="shared" si="58"/>
        <v>0</v>
      </c>
      <c r="DC31" s="71">
        <f t="shared" si="59"/>
        <v>0</v>
      </c>
      <c r="DD31" s="71">
        <f t="shared" si="60"/>
        <v>0</v>
      </c>
      <c r="DE31" s="68">
        <f t="shared" si="61"/>
        <v>910114.00031000003</v>
      </c>
      <c r="DF31" s="68">
        <f t="shared" si="19"/>
        <v>19</v>
      </c>
      <c r="DG31" s="68">
        <v>0</v>
      </c>
      <c r="DH31" s="89">
        <f t="shared" si="62"/>
        <v>0.64</v>
      </c>
      <c r="DI31" s="97">
        <f t="shared" si="63"/>
        <v>0.18181818181818182</v>
      </c>
    </row>
    <row r="32" spans="1:113" x14ac:dyDescent="0.15">
      <c r="B32" t="s">
        <v>341</v>
      </c>
      <c r="C32" t="s">
        <v>342</v>
      </c>
      <c r="D32"/>
      <c r="E32" t="s">
        <v>344</v>
      </c>
      <c r="F32"/>
      <c r="G32" t="s">
        <v>386</v>
      </c>
      <c r="H32"/>
      <c r="I32"/>
      <c r="J32"/>
      <c r="K32" t="s">
        <v>301</v>
      </c>
      <c r="L32"/>
      <c r="M32"/>
      <c r="N32" t="s">
        <v>492</v>
      </c>
      <c r="O32"/>
      <c r="P32"/>
      <c r="Q32" t="s">
        <v>258</v>
      </c>
      <c r="R32"/>
      <c r="S32"/>
      <c r="T32"/>
      <c r="U32"/>
      <c r="V32"/>
      <c r="W32"/>
      <c r="X32"/>
      <c r="Y32"/>
      <c r="CE32" s="68">
        <f t="shared" ref="CE32" si="169">BatSplit(D32:CD32,MatchesPlayed)</f>
        <v>5</v>
      </c>
      <c r="CF32" s="68">
        <f t="shared" ref="CF32" si="170">CE32-CG32</f>
        <v>1</v>
      </c>
      <c r="CG32" s="68">
        <f t="shared" ref="CG32" si="171">BatSplit(D32:CD32,InnsBattedIn)</f>
        <v>4</v>
      </c>
      <c r="CH32" s="68">
        <f t="shared" ref="CH32" si="172">BatSplit(D32:CD32,NotOuts)</f>
        <v>0</v>
      </c>
      <c r="CI32" s="68">
        <f t="shared" ref="CI32" si="173">BatSplit(D32:CD32,HighestScore)</f>
        <v>3</v>
      </c>
      <c r="CJ32" s="72">
        <f t="shared" ref="CJ32" si="174">IF(CI32&lt;0,-CI32&amp;"*",CI32)</f>
        <v>3</v>
      </c>
      <c r="CK32" s="68">
        <f t="shared" ref="CK32" si="175">BatSplit(D32:CD32,RunsScored)</f>
        <v>6</v>
      </c>
      <c r="CL32" s="70">
        <f t="shared" ref="CL32" si="176">IF(CG32=CH32,0,CK32/(CG32-CH32))</f>
        <v>1.5</v>
      </c>
      <c r="CM32" s="68">
        <f t="shared" ref="CM32" si="177">BatSplit(D32:CD32,BatPts)</f>
        <v>-4</v>
      </c>
      <c r="CN32" s="68">
        <f t="shared" ref="CN32" si="178">BatSplit(D32:CD32,FldPts)</f>
        <v>5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ref="CQ32" si="179">BatSplit(D32:CD32,Ducks)</f>
        <v>2</v>
      </c>
      <c r="CR32" s="71">
        <f t="array" ref="CR32">SUM(IF(ISERR(FIND(CR$4,$D32:$CD32)),0,1))</f>
        <v>1</v>
      </c>
      <c r="CS32" s="71">
        <f t="array" ref="CS32">SUM(IF(ISERR(FIND(CS$4,$D32:$CD32)),0,1))</f>
        <v>2</v>
      </c>
      <c r="CT32" s="71">
        <f t="array" ref="CT32">SUM(IF(ISERR(FIND(CT$4,$D32:$CD32)),0,1))</f>
        <v>1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shared" ref="CX32" si="180">BatSplit(D32:CD32,Fifties)</f>
        <v>0</v>
      </c>
      <c r="CY32" s="71">
        <f t="shared" ref="CY32" si="181">BatSplit(D32:CD32,Catches)</f>
        <v>1</v>
      </c>
      <c r="CZ32" s="71">
        <f t="shared" ref="CZ32" si="182">BatSplit(D32:CD32,Fours)</f>
        <v>0</v>
      </c>
      <c r="DA32" s="71">
        <f t="shared" ref="DA32" si="183">BatSplit(D32:CD32,Sixes)</f>
        <v>0</v>
      </c>
      <c r="DB32" s="71">
        <f t="shared" ref="DB32" si="184">BatSplit(D32:CD32,Stumpings)</f>
        <v>0</v>
      </c>
      <c r="DC32" s="71">
        <f t="shared" ref="DC32" si="185">BatSplit(D32:CD32,CaughtWkt)</f>
        <v>0</v>
      </c>
      <c r="DD32" s="71">
        <f t="shared" ref="DD32" si="186">BatSplit(D32:CD32,TwentyFives)</f>
        <v>0</v>
      </c>
      <c r="DE32" s="68">
        <f t="shared" ref="DE32" si="187">ROUND(IF(ISERROR(CL32),0,CL32),2)*100000+CG32*100+CE32+CK32/100+ROW()/100000</f>
        <v>150405.06031999999</v>
      </c>
      <c r="DF32" s="68">
        <f t="shared" si="19"/>
        <v>24</v>
      </c>
      <c r="DG32" s="68">
        <v>0</v>
      </c>
      <c r="DH32" s="89" t="str">
        <f t="shared" ref="DH32" si="188">IF(CK32&gt;=50,(CZ32*4+DA32*6+DG32*5)/CK32,"")</f>
        <v/>
      </c>
      <c r="DI32" s="97">
        <f t="shared" ref="DI32" si="189">CQ32/(CG32-CH32)</f>
        <v>0.5</v>
      </c>
    </row>
    <row r="33" spans="1:113" x14ac:dyDescent="0.15">
      <c r="B33" s="68" t="s">
        <v>31</v>
      </c>
      <c r="C33" s="68" t="s">
        <v>217</v>
      </c>
      <c r="D33" t="s">
        <v>313</v>
      </c>
      <c r="E33"/>
      <c r="F33" t="s">
        <v>362</v>
      </c>
      <c r="G33" t="s">
        <v>382</v>
      </c>
      <c r="H33" t="s">
        <v>403</v>
      </c>
      <c r="I33" t="s">
        <v>258</v>
      </c>
      <c r="J33" t="s">
        <v>258</v>
      </c>
      <c r="K33" t="s">
        <v>440</v>
      </c>
      <c r="L33" t="s">
        <v>252</v>
      </c>
      <c r="M33" t="s">
        <v>475</v>
      </c>
      <c r="N33" t="s">
        <v>487</v>
      </c>
      <c r="O33" t="s">
        <v>307</v>
      </c>
      <c r="P33" t="s">
        <v>526</v>
      </c>
      <c r="Q33" t="s">
        <v>250</v>
      </c>
      <c r="R33" t="s">
        <v>564</v>
      </c>
      <c r="S33" t="s">
        <v>220</v>
      </c>
      <c r="T33" t="s">
        <v>600</v>
      </c>
      <c r="U33" t="s">
        <v>613</v>
      </c>
      <c r="V33" t="s">
        <v>628</v>
      </c>
      <c r="W33" t="s">
        <v>645</v>
      </c>
      <c r="X33" t="s">
        <v>670</v>
      </c>
      <c r="Y33" t="s">
        <v>689</v>
      </c>
      <c r="Z33"/>
      <c r="CE33" s="68">
        <f t="shared" si="43"/>
        <v>21</v>
      </c>
      <c r="CF33" s="68">
        <f t="shared" si="44"/>
        <v>4</v>
      </c>
      <c r="CG33" s="68">
        <f t="shared" si="45"/>
        <v>17</v>
      </c>
      <c r="CH33" s="68">
        <f t="shared" si="46"/>
        <v>1</v>
      </c>
      <c r="CI33" s="68">
        <f t="shared" si="47"/>
        <v>84</v>
      </c>
      <c r="CJ33" s="72">
        <f t="shared" si="48"/>
        <v>84</v>
      </c>
      <c r="CK33" s="68">
        <f t="shared" si="49"/>
        <v>245</v>
      </c>
      <c r="CL33" s="70">
        <f t="shared" si="50"/>
        <v>15.3125</v>
      </c>
      <c r="CM33" s="68">
        <f t="shared" si="51"/>
        <v>250</v>
      </c>
      <c r="CN33" s="68">
        <f t="shared" si="52"/>
        <v>25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53"/>
        <v>1</v>
      </c>
      <c r="CR33" s="71">
        <f t="array" ref="CR33">SUM(IF(ISERR(FIND(CR$4,$D33:$CD33)),0,1))</f>
        <v>8</v>
      </c>
      <c r="CS33" s="71">
        <f t="array" ref="CS33">SUM(IF(ISERR(FIND(CS$4,$D33:$CD33)),0,1))</f>
        <v>5</v>
      </c>
      <c r="CT33" s="71">
        <f t="array" ref="CT33">SUM(IF(ISERR(FIND(CT$4,$D33:$CD33)),0,1))</f>
        <v>1</v>
      </c>
      <c r="CU33" s="71">
        <f t="array" ref="CU33">SUM(IF(ISERR(FIND(CU$4,$D33:$CD33)),0,1))</f>
        <v>1</v>
      </c>
      <c r="CV33" s="71">
        <f t="array" ref="CV33">SUM(IF(ISERR(FIND(CV$4,$D33:$CD33)),0,1))</f>
        <v>1</v>
      </c>
      <c r="CW33" s="71">
        <f t="array" ref="CW33">SUM(IF(ISERR(FIND(CW$4,$D33:$CD33)),0,1))</f>
        <v>0</v>
      </c>
      <c r="CX33" s="71">
        <f t="shared" si="54"/>
        <v>1</v>
      </c>
      <c r="CY33" s="71">
        <f t="shared" si="55"/>
        <v>5</v>
      </c>
      <c r="CZ33" s="71">
        <f t="shared" si="56"/>
        <v>27</v>
      </c>
      <c r="DA33" s="71">
        <f t="shared" si="57"/>
        <v>0</v>
      </c>
      <c r="DB33" s="71">
        <f t="shared" si="58"/>
        <v>0</v>
      </c>
      <c r="DC33" s="71">
        <f t="shared" si="59"/>
        <v>0</v>
      </c>
      <c r="DD33" s="71">
        <f t="shared" si="60"/>
        <v>3</v>
      </c>
      <c r="DE33" s="68">
        <f t="shared" si="61"/>
        <v>1532723.4503299999</v>
      </c>
      <c r="DF33" s="68">
        <f t="shared" si="19"/>
        <v>12</v>
      </c>
      <c r="DG33" s="68">
        <v>0</v>
      </c>
      <c r="DH33" s="89">
        <f t="shared" si="62"/>
        <v>0.44081632653061226</v>
      </c>
      <c r="DI33" s="97">
        <f t="shared" si="63"/>
        <v>6.25E-2</v>
      </c>
    </row>
    <row r="34" spans="1:113" x14ac:dyDescent="0.15">
      <c r="A34" s="68" t="s">
        <v>50</v>
      </c>
      <c r="B34" s="68" t="s">
        <v>27</v>
      </c>
      <c r="C34" s="68" t="s">
        <v>146</v>
      </c>
      <c r="D34" s="122" t="s">
        <v>312</v>
      </c>
      <c r="E34" s="122" t="s">
        <v>333</v>
      </c>
      <c r="F34" s="122"/>
      <c r="H34" s="122" t="s">
        <v>398</v>
      </c>
      <c r="I34" t="s">
        <v>410</v>
      </c>
      <c r="J34"/>
      <c r="K34"/>
      <c r="L34" t="s">
        <v>457</v>
      </c>
      <c r="M34" t="s">
        <v>470</v>
      </c>
      <c r="N34"/>
      <c r="O34"/>
      <c r="P34"/>
      <c r="Q34" t="s">
        <v>545</v>
      </c>
      <c r="R34" t="s">
        <v>563</v>
      </c>
      <c r="S34" t="s">
        <v>582</v>
      </c>
      <c r="T34" t="s">
        <v>597</v>
      </c>
      <c r="U34"/>
      <c r="V34" t="s">
        <v>631</v>
      </c>
      <c r="W34"/>
      <c r="X34"/>
      <c r="Y34" t="s">
        <v>685</v>
      </c>
      <c r="Z34"/>
      <c r="CE34" s="68">
        <f t="shared" si="43"/>
        <v>12</v>
      </c>
      <c r="CF34" s="68">
        <f t="shared" si="44"/>
        <v>0</v>
      </c>
      <c r="CG34" s="68">
        <f t="shared" si="45"/>
        <v>12</v>
      </c>
      <c r="CH34" s="68">
        <f t="shared" si="46"/>
        <v>2</v>
      </c>
      <c r="CI34" s="68">
        <f t="shared" si="47"/>
        <v>-94</v>
      </c>
      <c r="CJ34" s="72" t="str">
        <f t="shared" si="48"/>
        <v>94*</v>
      </c>
      <c r="CK34" s="68">
        <f t="shared" si="49"/>
        <v>471</v>
      </c>
      <c r="CL34" s="70">
        <f t="shared" si="50"/>
        <v>47.1</v>
      </c>
      <c r="CM34" s="68">
        <f t="shared" si="51"/>
        <v>511</v>
      </c>
      <c r="CN34" s="68">
        <f t="shared" si="52"/>
        <v>0</v>
      </c>
      <c r="CO34" s="71">
        <f t="array" ref="CO34">SUM(IF(ISERR(FIND("*",D34:CD34)),0,1))</f>
        <v>3</v>
      </c>
      <c r="CP34" s="71">
        <f t="array" ref="CP34">SUM(IF(ISERR(FIND("+",D34:CD34)),0,1))</f>
        <v>10</v>
      </c>
      <c r="CQ34" s="68">
        <f t="shared" si="53"/>
        <v>0</v>
      </c>
      <c r="CR34" s="71">
        <f t="array" ref="CR34">SUM(IF(ISERR(FIND(CR$4,$D34:$CD34)),0,1))</f>
        <v>2</v>
      </c>
      <c r="CS34" s="71">
        <f t="array" ref="CS34">SUM(IF(ISERR(FIND(CS$4,$D34:$CD34)),0,1))</f>
        <v>6</v>
      </c>
      <c r="CT34" s="71">
        <f t="array" ref="CT34">SUM(IF(ISERR(FIND(CT$4,$D34:$CD34)),0,1))</f>
        <v>1</v>
      </c>
      <c r="CU34" s="71">
        <f t="array" ref="CU34">SUM(IF(ISERR(FIND(CU$4,$D34:$CD34)),0,1))</f>
        <v>1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shared" si="54"/>
        <v>4</v>
      </c>
      <c r="CY34" s="71">
        <f t="shared" si="55"/>
        <v>6</v>
      </c>
      <c r="CZ34" s="71">
        <f t="shared" si="56"/>
        <v>72</v>
      </c>
      <c r="DA34" s="71">
        <f t="shared" si="57"/>
        <v>12</v>
      </c>
      <c r="DB34" s="71">
        <f t="shared" si="58"/>
        <v>4</v>
      </c>
      <c r="DC34" s="71">
        <f t="shared" si="59"/>
        <v>6</v>
      </c>
      <c r="DD34" s="71">
        <f t="shared" si="60"/>
        <v>8</v>
      </c>
      <c r="DE34" s="68">
        <f t="shared" si="61"/>
        <v>4711216.7103399998</v>
      </c>
      <c r="DF34" s="68">
        <f t="shared" si="19"/>
        <v>3</v>
      </c>
      <c r="DG34" s="68">
        <v>1</v>
      </c>
      <c r="DH34" s="89">
        <f t="shared" si="62"/>
        <v>0.77494692144373678</v>
      </c>
      <c r="DI34" s="97">
        <f t="shared" si="63"/>
        <v>0</v>
      </c>
    </row>
    <row r="35" spans="1:113" x14ac:dyDescent="0.15">
      <c r="B35" s="68" t="s">
        <v>29</v>
      </c>
      <c r="C35" s="68" t="s">
        <v>207</v>
      </c>
      <c r="D35" s="122" t="s">
        <v>251</v>
      </c>
      <c r="E35" s="122" t="s">
        <v>345</v>
      </c>
      <c r="F35" s="122" t="s">
        <v>251</v>
      </c>
      <c r="G35" s="122" t="s">
        <v>220</v>
      </c>
      <c r="H35"/>
      <c r="I35"/>
      <c r="J35"/>
      <c r="K35" t="s">
        <v>445</v>
      </c>
      <c r="L35" t="s">
        <v>263</v>
      </c>
      <c r="M35" t="s">
        <v>476</v>
      </c>
      <c r="N35" t="s">
        <v>258</v>
      </c>
      <c r="O35" t="s">
        <v>508</v>
      </c>
      <c r="P35" t="s">
        <v>535</v>
      </c>
      <c r="Q35" t="s">
        <v>549</v>
      </c>
      <c r="R35" t="s">
        <v>220</v>
      </c>
      <c r="S35" t="s">
        <v>258</v>
      </c>
      <c r="T35" t="s">
        <v>604</v>
      </c>
      <c r="U35"/>
      <c r="V35" t="s">
        <v>633</v>
      </c>
      <c r="W35" t="s">
        <v>649</v>
      </c>
      <c r="X35" t="s">
        <v>663</v>
      </c>
      <c r="Y35" t="s">
        <v>690</v>
      </c>
      <c r="CE35" s="68">
        <f t="shared" si="43"/>
        <v>18</v>
      </c>
      <c r="CF35" s="68">
        <f t="shared" si="44"/>
        <v>7</v>
      </c>
      <c r="CG35" s="68">
        <f t="shared" si="45"/>
        <v>11</v>
      </c>
      <c r="CH35" s="68">
        <f t="shared" si="46"/>
        <v>1</v>
      </c>
      <c r="CI35" s="68">
        <f t="shared" si="47"/>
        <v>23</v>
      </c>
      <c r="CJ35" s="72">
        <f t="shared" si="48"/>
        <v>23</v>
      </c>
      <c r="CK35" s="68">
        <f t="shared" si="49"/>
        <v>62</v>
      </c>
      <c r="CL35" s="70">
        <f t="shared" si="50"/>
        <v>6.2</v>
      </c>
      <c r="CM35" s="68">
        <f t="shared" si="51"/>
        <v>52</v>
      </c>
      <c r="CN35" s="68">
        <f t="shared" si="52"/>
        <v>5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si="53"/>
        <v>2</v>
      </c>
      <c r="CR35" s="71">
        <f t="array" ref="CR35">SUM(IF(ISERR(FIND(CR$4,$D35:$CD35)),0,1))</f>
        <v>5</v>
      </c>
      <c r="CS35" s="71">
        <f t="array" ref="CS35">SUM(IF(ISERR(FIND(CS$4,$D35:$CD35)),0,1))</f>
        <v>4</v>
      </c>
      <c r="CT35" s="71">
        <f t="array" ref="CT35">SUM(IF(ISERR(FIND(CT$4,$D35:$CD35)),0,1))</f>
        <v>0</v>
      </c>
      <c r="CU35" s="71">
        <f t="array" ref="CU35">SUM(IF(ISERR(FIND(CU$4,$D35:$CD35)),0,1))</f>
        <v>0</v>
      </c>
      <c r="CV35" s="71">
        <f t="array" ref="CV35">SUM(IF(ISERR(FIND(CV$4,$D35:$CD35)),0,1))</f>
        <v>1</v>
      </c>
      <c r="CW35" s="71">
        <f t="array" ref="CW35">SUM(IF(ISERR(FIND(CW$4,$D35:$CD35)),0,1))</f>
        <v>0</v>
      </c>
      <c r="CX35" s="71">
        <f t="shared" si="54"/>
        <v>0</v>
      </c>
      <c r="CY35" s="71">
        <f t="shared" si="55"/>
        <v>1</v>
      </c>
      <c r="CZ35" s="71">
        <f t="shared" si="56"/>
        <v>8</v>
      </c>
      <c r="DA35" s="71">
        <f t="shared" si="57"/>
        <v>0</v>
      </c>
      <c r="DB35" s="71">
        <f t="shared" si="58"/>
        <v>0</v>
      </c>
      <c r="DC35" s="71">
        <f t="shared" si="59"/>
        <v>0</v>
      </c>
      <c r="DD35" s="71">
        <f t="shared" si="60"/>
        <v>0</v>
      </c>
      <c r="DE35" s="68">
        <f t="shared" si="61"/>
        <v>621118.62034999998</v>
      </c>
      <c r="DF35" s="68">
        <f t="shared" si="19"/>
        <v>21</v>
      </c>
      <c r="DG35" s="68">
        <v>0</v>
      </c>
      <c r="DH35" s="89">
        <f t="shared" si="62"/>
        <v>0.5161290322580645</v>
      </c>
      <c r="DI35" s="97">
        <f t="shared" si="63"/>
        <v>0.2</v>
      </c>
    </row>
    <row r="36" spans="1:113" x14ac:dyDescent="0.15">
      <c r="B36" s="122" t="s">
        <v>27</v>
      </c>
      <c r="C36" s="122" t="s">
        <v>742</v>
      </c>
      <c r="D36" s="122"/>
      <c r="E36" s="122"/>
      <c r="F36" s="122"/>
      <c r="G36" s="122"/>
      <c r="H36" t="s">
        <v>295</v>
      </c>
      <c r="I36" t="s">
        <v>252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 s="122"/>
      <c r="CE36" s="68">
        <f t="shared" ref="CE36" si="190">BatSplit(D36:CD36,MatchesPlayed)</f>
        <v>2</v>
      </c>
      <c r="CF36" s="68">
        <f t="shared" ref="CF36" si="191">CE36-CG36</f>
        <v>1</v>
      </c>
      <c r="CG36" s="68">
        <f t="shared" ref="CG36" si="192">BatSplit(D36:CD36,InnsBattedIn)</f>
        <v>1</v>
      </c>
      <c r="CH36" s="68">
        <f t="shared" ref="CH36" si="193">BatSplit(D36:CD36,NotOuts)</f>
        <v>0</v>
      </c>
      <c r="CI36" s="68">
        <f t="shared" ref="CI36" si="194">BatSplit(D36:CD36,HighestScore)</f>
        <v>0</v>
      </c>
      <c r="CJ36" s="72">
        <f t="shared" ref="CJ36" si="195">IF(CI36&lt;0,-CI36&amp;"*",CI36)</f>
        <v>0</v>
      </c>
      <c r="CK36" s="68">
        <f t="shared" ref="CK36" si="196">BatSplit(D36:CD36,RunsScored)</f>
        <v>0</v>
      </c>
      <c r="CL36" s="70">
        <f t="shared" ref="CL36" si="197">IF(CG36=CH36,0,CK36/(CG36-CH36))</f>
        <v>0</v>
      </c>
      <c r="CM36" s="68">
        <f t="shared" ref="CM36" si="198">BatSplit(D36:CD36,BatPts)</f>
        <v>-5</v>
      </c>
      <c r="CN36" s="68">
        <f t="shared" ref="CN36" si="199">BatSplit(D36:CD36,FldPts)</f>
        <v>0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ref="CQ36" si="200">BatSplit(D36:CD36,Ducks)</f>
        <v>1</v>
      </c>
      <c r="CR36" s="71">
        <f t="array" ref="CR36">SUM(IF(ISERR(FIND(CR$4,$D36:$CD36)),0,1))</f>
        <v>1</v>
      </c>
      <c r="CS36" s="71">
        <f t="array" ref="CS36">SUM(IF(ISERR(FIND(CS$4,$D36:$CD36)),0,1))</f>
        <v>0</v>
      </c>
      <c r="CT36" s="71">
        <f t="array" ref="CT36">SUM(IF(ISERR(FIND(CT$4,$D36:$CD36)),0,1))</f>
        <v>0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ref="CX36" si="201">BatSplit(D36:CD36,Fifties)</f>
        <v>0</v>
      </c>
      <c r="CY36" s="71">
        <f t="shared" ref="CY36" si="202">BatSplit(D36:CD36,Catches)</f>
        <v>0</v>
      </c>
      <c r="CZ36" s="71">
        <f t="shared" ref="CZ36" si="203">BatSplit(D36:CD36,Fours)</f>
        <v>0</v>
      </c>
      <c r="DA36" s="71">
        <f t="shared" ref="DA36" si="204">BatSplit(D36:CD36,Sixes)</f>
        <v>0</v>
      </c>
      <c r="DB36" s="71">
        <f t="shared" ref="DB36" si="205">BatSplit(D36:CD36,Stumpings)</f>
        <v>0</v>
      </c>
      <c r="DC36" s="71">
        <f t="shared" ref="DC36" si="206">BatSplit(D36:CD36,CaughtWkt)</f>
        <v>0</v>
      </c>
      <c r="DD36" s="71">
        <f t="shared" ref="DD36" si="207">BatSplit(D36:CD36,TwentyFives)</f>
        <v>0</v>
      </c>
      <c r="DE36" s="68">
        <f t="shared" ref="DE36" si="208">ROUND(IF(ISERROR(CL36),0,CL36),2)*100000+CG36*100+CE36+CK36/100+ROW()/100000</f>
        <v>102.00036</v>
      </c>
      <c r="DF36" s="68">
        <f t="shared" si="19"/>
        <v>28</v>
      </c>
      <c r="DG36" s="68">
        <v>0</v>
      </c>
      <c r="DH36" s="89" t="str">
        <f t="shared" ref="DH36" si="209">IF(CK36&gt;=50,(CZ36*4+DA36*6+DG36*5)/CK36,"")</f>
        <v/>
      </c>
      <c r="DI36" s="97">
        <f t="shared" ref="DI36" si="210">CQ36/(CG36-CH36)</f>
        <v>1</v>
      </c>
    </row>
    <row r="37" spans="1:113" x14ac:dyDescent="0.15">
      <c r="B37" s="122" t="s">
        <v>280</v>
      </c>
      <c r="C37" s="122" t="s">
        <v>281</v>
      </c>
      <c r="D37" t="s">
        <v>314</v>
      </c>
      <c r="E37"/>
      <c r="F37" t="s">
        <v>363</v>
      </c>
      <c r="G37" t="s">
        <v>384</v>
      </c>
      <c r="H37" t="s">
        <v>401</v>
      </c>
      <c r="I37" t="s">
        <v>253</v>
      </c>
      <c r="J37" t="s">
        <v>420</v>
      </c>
      <c r="K37"/>
      <c r="L37"/>
      <c r="M37" t="s">
        <v>474</v>
      </c>
      <c r="N37" t="s">
        <v>489</v>
      </c>
      <c r="O37"/>
      <c r="P37" t="s">
        <v>525</v>
      </c>
      <c r="Q37"/>
      <c r="R37"/>
      <c r="S37" t="s">
        <v>583</v>
      </c>
      <c r="T37" t="s">
        <v>598</v>
      </c>
      <c r="U37" t="s">
        <v>615</v>
      </c>
      <c r="V37"/>
      <c r="W37" t="s">
        <v>648</v>
      </c>
      <c r="X37" t="s">
        <v>661</v>
      </c>
      <c r="Y37" t="s">
        <v>686</v>
      </c>
      <c r="CE37" s="68">
        <f t="shared" si="43"/>
        <v>15</v>
      </c>
      <c r="CF37" s="68">
        <f t="shared" si="44"/>
        <v>1</v>
      </c>
      <c r="CG37" s="68">
        <f t="shared" si="45"/>
        <v>14</v>
      </c>
      <c r="CH37" s="68">
        <f t="shared" si="46"/>
        <v>3</v>
      </c>
      <c r="CI37" s="68">
        <f t="shared" si="47"/>
        <v>102</v>
      </c>
      <c r="CJ37" s="72">
        <f t="shared" si="48"/>
        <v>102</v>
      </c>
      <c r="CK37" s="68">
        <f t="shared" si="49"/>
        <v>531</v>
      </c>
      <c r="CL37" s="70">
        <f t="shared" si="50"/>
        <v>48.272727272727273</v>
      </c>
      <c r="CM37" s="68">
        <f t="shared" si="51"/>
        <v>571</v>
      </c>
      <c r="CN37" s="68">
        <f t="shared" si="52"/>
        <v>25</v>
      </c>
      <c r="CO37" s="71">
        <f t="array" ref="CO37">SUM(IF(ISERR(FIND("*",D37:CD37)),0,1))</f>
        <v>0</v>
      </c>
      <c r="CP37" s="71">
        <f t="array" ref="CP37">SUM(IF(ISERR(FIND("+",D37:CD37)),0,1))</f>
        <v>1</v>
      </c>
      <c r="CQ37" s="68">
        <f t="shared" si="53"/>
        <v>0</v>
      </c>
      <c r="CR37" s="71">
        <f t="array" ref="CR37">SUM(IF(ISERR(FIND(CR$4,$D37:$CD37)),0,1))</f>
        <v>5</v>
      </c>
      <c r="CS37" s="71">
        <f t="array" ref="CS37">SUM(IF(ISERR(FIND(CS$4,$D37:$CD37)),0,1))</f>
        <v>4</v>
      </c>
      <c r="CT37" s="71">
        <f t="array" ref="CT37">SUM(IF(ISERR(FIND(CT$4,$D37:$CD37)),0,1))</f>
        <v>2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54"/>
        <v>4</v>
      </c>
      <c r="CY37" s="71">
        <f t="shared" si="55"/>
        <v>8</v>
      </c>
      <c r="CZ37" s="71">
        <f t="shared" si="56"/>
        <v>79</v>
      </c>
      <c r="DA37" s="71">
        <f t="shared" si="57"/>
        <v>3</v>
      </c>
      <c r="DB37" s="71">
        <f t="shared" si="58"/>
        <v>1</v>
      </c>
      <c r="DC37" s="71">
        <f t="shared" si="59"/>
        <v>3</v>
      </c>
      <c r="DD37" s="71">
        <f t="shared" si="60"/>
        <v>9</v>
      </c>
      <c r="DE37" s="68">
        <f t="shared" si="61"/>
        <v>4828420.3103699991</v>
      </c>
      <c r="DF37" s="68">
        <f t="shared" si="19"/>
        <v>1</v>
      </c>
      <c r="DG37" s="68">
        <v>0</v>
      </c>
      <c r="DH37" s="89">
        <f t="shared" si="62"/>
        <v>0.62900188323917139</v>
      </c>
      <c r="DI37" s="97">
        <f t="shared" si="63"/>
        <v>0</v>
      </c>
    </row>
    <row r="38" spans="1:113" x14ac:dyDescent="0.15">
      <c r="B38" s="122"/>
      <c r="C38" t="s">
        <v>495</v>
      </c>
      <c r="D38"/>
      <c r="E38"/>
      <c r="F38"/>
      <c r="G38"/>
      <c r="H38"/>
      <c r="I38"/>
      <c r="J38"/>
      <c r="K38"/>
      <c r="L38"/>
      <c r="M38"/>
      <c r="N38" t="s">
        <v>220</v>
      </c>
      <c r="O38"/>
      <c r="P38"/>
      <c r="Q38"/>
      <c r="R38"/>
      <c r="S38"/>
      <c r="T38"/>
      <c r="U38"/>
      <c r="V38"/>
      <c r="W38"/>
      <c r="X38"/>
      <c r="Y38" s="122"/>
      <c r="CE38" s="68">
        <f t="shared" ref="CE38:CE39" si="211">BatSplit(D38:CD38,MatchesPlayed)</f>
        <v>1</v>
      </c>
      <c r="CF38" s="68">
        <f t="shared" ref="CF38:CF39" si="212">CE38-CG38</f>
        <v>1</v>
      </c>
      <c r="CG38" s="68">
        <f t="shared" ref="CG38:CG39" si="213">BatSplit(D38:CD38,InnsBattedIn)</f>
        <v>0</v>
      </c>
      <c r="CH38" s="68">
        <f t="shared" ref="CH38:CH39" si="214">BatSplit(D38:CD38,NotOuts)</f>
        <v>0</v>
      </c>
      <c r="CI38" s="68">
        <f t="shared" ref="CI38:CI39" si="215">BatSplit(D38:CD38,HighestScore)</f>
        <v>0</v>
      </c>
      <c r="CJ38" s="72">
        <f t="shared" ref="CJ38:CJ39" si="216">IF(CI38&lt;0,-CI38&amp;"*",CI38)</f>
        <v>0</v>
      </c>
      <c r="CK38" s="68">
        <f t="shared" ref="CK38:CK39" si="217">BatSplit(D38:CD38,RunsScored)</f>
        <v>0</v>
      </c>
      <c r="CL38" s="70">
        <f t="shared" ref="CL38:CL39" si="218">IF(CG38=CH38,0,CK38/(CG38-CH38))</f>
        <v>0</v>
      </c>
      <c r="CM38" s="68">
        <f t="shared" ref="CM38:CM39" si="219">BatSplit(D38:CD38,BatPts)</f>
        <v>0</v>
      </c>
      <c r="CN38" s="68">
        <f t="shared" ref="CN38:CN39" si="220">BatSplit(D38:CD38,FldPts)</f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ref="CQ38:CQ39" si="221">BatSplit(D38:CD38,Ducks)</f>
        <v>0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ref="CX38:CX39" si="222">BatSplit(D38:CD38,Fifties)</f>
        <v>0</v>
      </c>
      <c r="CY38" s="71">
        <f t="shared" ref="CY38:CY39" si="223">BatSplit(D38:CD38,Catches)</f>
        <v>0</v>
      </c>
      <c r="CZ38" s="71">
        <f t="shared" ref="CZ38:CZ39" si="224">BatSplit(D38:CD38,Fours)</f>
        <v>0</v>
      </c>
      <c r="DA38" s="71">
        <f t="shared" ref="DA38:DA39" si="225">BatSplit(D38:CD38,Sixes)</f>
        <v>0</v>
      </c>
      <c r="DB38" s="71">
        <f t="shared" ref="DB38:DB39" si="226">BatSplit(D38:CD38,Stumpings)</f>
        <v>0</v>
      </c>
      <c r="DC38" s="71">
        <f t="shared" ref="DC38:DC39" si="227">BatSplit(D38:CD38,CaughtWkt)</f>
        <v>0</v>
      </c>
      <c r="DD38" s="71">
        <f t="shared" ref="DD38:DD39" si="228">BatSplit(D38:CD38,TwentyFives)</f>
        <v>0</v>
      </c>
      <c r="DE38" s="68">
        <f t="shared" ref="DE38:DE39" si="229">ROUND(IF(ISERROR(CL38),0,CL38),2)*100000+CG38*100+CE38+CK38/100+ROW()/100000</f>
        <v>1.00038</v>
      </c>
      <c r="DF38" s="68">
        <f t="shared" si="19"/>
        <v>35</v>
      </c>
      <c r="DG38" s="68">
        <v>0</v>
      </c>
      <c r="DH38" s="89" t="str">
        <f t="shared" ref="DH38:DH39" si="230">IF(CK38&gt;=50,(CZ38*4+DA38*6+DG38*5)/CK38,"")</f>
        <v/>
      </c>
      <c r="DI38" s="97" t="e">
        <f t="shared" ref="DI38:DI39" si="231">CQ38/(CG38-CH38)</f>
        <v>#DIV/0!</v>
      </c>
    </row>
    <row r="39" spans="1:113" x14ac:dyDescent="0.15">
      <c r="B39" s="122"/>
      <c r="C39" s="122" t="s">
        <v>490</v>
      </c>
      <c r="D39"/>
      <c r="E39"/>
      <c r="F39"/>
      <c r="G39"/>
      <c r="H39"/>
      <c r="I39"/>
      <c r="J39"/>
      <c r="K39"/>
      <c r="L39"/>
      <c r="M39"/>
      <c r="N39" t="s">
        <v>491</v>
      </c>
      <c r="O39"/>
      <c r="P39"/>
      <c r="Q39"/>
      <c r="R39"/>
      <c r="S39"/>
      <c r="T39"/>
      <c r="U39"/>
      <c r="V39"/>
      <c r="W39"/>
      <c r="X39"/>
      <c r="Y39" s="122"/>
      <c r="CE39" s="68">
        <f t="shared" si="211"/>
        <v>1</v>
      </c>
      <c r="CF39" s="68">
        <f t="shared" si="212"/>
        <v>0</v>
      </c>
      <c r="CG39" s="68">
        <f t="shared" si="213"/>
        <v>1</v>
      </c>
      <c r="CH39" s="68">
        <f t="shared" si="214"/>
        <v>1</v>
      </c>
      <c r="CI39" s="68">
        <f t="shared" si="215"/>
        <v>-64</v>
      </c>
      <c r="CJ39" s="72" t="str">
        <f t="shared" si="216"/>
        <v>64*</v>
      </c>
      <c r="CK39" s="68">
        <f t="shared" si="217"/>
        <v>64</v>
      </c>
      <c r="CL39" s="70">
        <f t="shared" si="218"/>
        <v>0</v>
      </c>
      <c r="CM39" s="68">
        <f t="shared" si="219"/>
        <v>74</v>
      </c>
      <c r="CN39" s="68">
        <f t="shared" si="220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221"/>
        <v>0</v>
      </c>
      <c r="CR39" s="71">
        <f t="array" ref="CR39">SUM(IF(ISERR(FIND(CR$4,$D39:$CD39)),0,1))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222"/>
        <v>1</v>
      </c>
      <c r="CY39" s="71">
        <f t="shared" si="223"/>
        <v>0</v>
      </c>
      <c r="CZ39" s="71">
        <f t="shared" si="224"/>
        <v>7</v>
      </c>
      <c r="DA39" s="71">
        <f t="shared" si="225"/>
        <v>0</v>
      </c>
      <c r="DB39" s="71">
        <f t="shared" si="226"/>
        <v>0</v>
      </c>
      <c r="DC39" s="71">
        <f t="shared" si="227"/>
        <v>0</v>
      </c>
      <c r="DD39" s="71">
        <f t="shared" si="228"/>
        <v>1</v>
      </c>
      <c r="DE39" s="68">
        <f t="shared" si="229"/>
        <v>101.64039</v>
      </c>
      <c r="DF39" s="68">
        <f t="shared" si="19"/>
        <v>29</v>
      </c>
      <c r="DG39" s="68">
        <v>0</v>
      </c>
      <c r="DH39" s="89">
        <f t="shared" si="230"/>
        <v>0.4375</v>
      </c>
      <c r="DI39" s="97" t="e">
        <f t="shared" si="231"/>
        <v>#DIV/0!</v>
      </c>
    </row>
    <row r="40" spans="1:113" x14ac:dyDescent="0.15">
      <c r="B40" s="122" t="s">
        <v>245</v>
      </c>
      <c r="C40" s="122" t="s">
        <v>246</v>
      </c>
      <c r="D40" t="s">
        <v>317</v>
      </c>
      <c r="E40"/>
      <c r="F40"/>
      <c r="G40" t="s">
        <v>388</v>
      </c>
      <c r="H40"/>
      <c r="I40"/>
      <c r="J40"/>
      <c r="K40"/>
      <c r="L40"/>
      <c r="M40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Z40" s="122"/>
      <c r="CE40" s="68">
        <f t="shared" si="43"/>
        <v>2</v>
      </c>
      <c r="CF40" s="68">
        <f t="shared" si="44"/>
        <v>0</v>
      </c>
      <c r="CG40" s="68">
        <f t="shared" si="45"/>
        <v>2</v>
      </c>
      <c r="CH40" s="68">
        <f t="shared" si="46"/>
        <v>1</v>
      </c>
      <c r="CI40" s="68">
        <f t="shared" si="47"/>
        <v>7</v>
      </c>
      <c r="CJ40" s="72">
        <f t="shared" si="48"/>
        <v>7</v>
      </c>
      <c r="CK40" s="68">
        <f t="shared" si="49"/>
        <v>12</v>
      </c>
      <c r="CL40" s="70">
        <f t="shared" si="50"/>
        <v>12</v>
      </c>
      <c r="CM40" s="68">
        <f t="shared" si="51"/>
        <v>12</v>
      </c>
      <c r="CN40" s="68">
        <f t="shared" si="52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53"/>
        <v>0</v>
      </c>
      <c r="CR40" s="71">
        <f t="array" ref="CR40">SUM(IF(ISERR(FIND(CR$4,$D40:$CD40)),0,1))</f>
        <v>1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shared" si="54"/>
        <v>0</v>
      </c>
      <c r="CY40" s="71">
        <f t="shared" si="55"/>
        <v>0</v>
      </c>
      <c r="CZ40" s="71">
        <f t="shared" si="56"/>
        <v>0</v>
      </c>
      <c r="DA40" s="71">
        <f t="shared" si="57"/>
        <v>0</v>
      </c>
      <c r="DB40" s="71">
        <f t="shared" si="58"/>
        <v>0</v>
      </c>
      <c r="DC40" s="71">
        <f t="shared" si="59"/>
        <v>0</v>
      </c>
      <c r="DD40" s="71">
        <f t="shared" si="60"/>
        <v>0</v>
      </c>
      <c r="DE40" s="68">
        <f t="shared" si="61"/>
        <v>1200202.1204000001</v>
      </c>
      <c r="DF40" s="68">
        <f t="shared" si="19"/>
        <v>14</v>
      </c>
      <c r="DG40" s="68">
        <v>0</v>
      </c>
      <c r="DH40" s="89" t="str">
        <f t="shared" si="62"/>
        <v/>
      </c>
      <c r="DI40" s="97">
        <f t="shared" si="63"/>
        <v>0</v>
      </c>
    </row>
    <row r="41" spans="1:113" x14ac:dyDescent="0.15">
      <c r="B41" s="122" t="s">
        <v>254</v>
      </c>
      <c r="C41" s="122" t="s">
        <v>255</v>
      </c>
      <c r="D41"/>
      <c r="E41"/>
      <c r="F41"/>
      <c r="G41"/>
      <c r="H41"/>
      <c r="I41"/>
      <c r="J41"/>
      <c r="K41" s="122"/>
      <c r="L41" t="s">
        <v>253</v>
      </c>
      <c r="M41"/>
      <c r="N41" s="122"/>
      <c r="O41" t="s">
        <v>506</v>
      </c>
      <c r="P41" t="s">
        <v>527</v>
      </c>
      <c r="Q41" t="s">
        <v>550</v>
      </c>
      <c r="R41" s="122"/>
      <c r="S41" s="122"/>
      <c r="T41" s="122" t="s">
        <v>602</v>
      </c>
      <c r="U41" s="122" t="s">
        <v>272</v>
      </c>
      <c r="V41"/>
      <c r="W41"/>
      <c r="X41"/>
      <c r="Y41" t="s">
        <v>533</v>
      </c>
      <c r="Z41"/>
      <c r="CE41" s="68">
        <f t="shared" si="43"/>
        <v>7</v>
      </c>
      <c r="CF41" s="68">
        <f t="shared" si="44"/>
        <v>1</v>
      </c>
      <c r="CG41" s="68">
        <f t="shared" si="45"/>
        <v>6</v>
      </c>
      <c r="CH41" s="68">
        <f t="shared" si="46"/>
        <v>0</v>
      </c>
      <c r="CI41" s="68">
        <f t="shared" si="47"/>
        <v>19</v>
      </c>
      <c r="CJ41" s="72">
        <f t="shared" si="48"/>
        <v>19</v>
      </c>
      <c r="CK41" s="68">
        <f t="shared" si="49"/>
        <v>65</v>
      </c>
      <c r="CL41" s="70">
        <f t="shared" si="50"/>
        <v>10.833333333333334</v>
      </c>
      <c r="CM41" s="68">
        <f t="shared" si="51"/>
        <v>55</v>
      </c>
      <c r="CN41" s="68">
        <f t="shared" si="52"/>
        <v>5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53"/>
        <v>2</v>
      </c>
      <c r="CR41" s="71">
        <f t="array" ref="CR41">SUM(IF(ISERR(FIND(CR$4,$D41:$CD41)),0,1))</f>
        <v>2</v>
      </c>
      <c r="CS41" s="71">
        <f t="array" ref="CS41">SUM(IF(ISERR(FIND(CS$4,$D41:$CD41)),0,1))</f>
        <v>3</v>
      </c>
      <c r="CT41" s="71">
        <f t="array" ref="CT41">SUM(IF(ISERR(FIND(CT$4,$D41:$CD41)),0,1))</f>
        <v>1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shared" si="54"/>
        <v>0</v>
      </c>
      <c r="CY41" s="71">
        <f t="shared" si="55"/>
        <v>1</v>
      </c>
      <c r="CZ41" s="71">
        <f t="shared" si="56"/>
        <v>13</v>
      </c>
      <c r="DA41" s="71">
        <f t="shared" si="57"/>
        <v>0</v>
      </c>
      <c r="DB41" s="71">
        <f t="shared" si="58"/>
        <v>0</v>
      </c>
      <c r="DC41" s="71">
        <f t="shared" si="59"/>
        <v>0</v>
      </c>
      <c r="DD41" s="71">
        <f t="shared" si="60"/>
        <v>0</v>
      </c>
      <c r="DE41" s="68">
        <f t="shared" si="61"/>
        <v>1083607.65041</v>
      </c>
      <c r="DF41" s="68">
        <f t="shared" si="19"/>
        <v>18</v>
      </c>
      <c r="DG41" s="68">
        <v>0</v>
      </c>
      <c r="DH41" s="89">
        <f t="shared" si="62"/>
        <v>0.8</v>
      </c>
      <c r="DI41" s="97">
        <f t="shared" si="63"/>
        <v>0.33333333333333331</v>
      </c>
    </row>
    <row r="42" spans="1:113" x14ac:dyDescent="0.15">
      <c r="B42" s="122"/>
      <c r="C42" s="122" t="s">
        <v>304</v>
      </c>
      <c r="D42"/>
      <c r="E42"/>
      <c r="F42"/>
      <c r="G42"/>
      <c r="H42"/>
      <c r="I42"/>
      <c r="J42"/>
      <c r="K42" s="122"/>
      <c r="L42" s="122"/>
      <c r="M42"/>
      <c r="N42" s="122"/>
      <c r="O42"/>
      <c r="P42" t="s">
        <v>299</v>
      </c>
      <c r="Q42" s="122"/>
      <c r="R42" s="122"/>
      <c r="S42"/>
      <c r="T42" s="122"/>
      <c r="U42" s="122"/>
      <c r="V42" s="122"/>
      <c r="W42"/>
      <c r="X42"/>
      <c r="Z42"/>
      <c r="CE42" s="68">
        <f t="shared" si="43"/>
        <v>1</v>
      </c>
      <c r="CF42" s="68">
        <f t="shared" si="44"/>
        <v>0</v>
      </c>
      <c r="CG42" s="68">
        <f t="shared" si="45"/>
        <v>1</v>
      </c>
      <c r="CH42" s="68">
        <f t="shared" si="46"/>
        <v>0</v>
      </c>
      <c r="CI42" s="68">
        <f t="shared" si="47"/>
        <v>0</v>
      </c>
      <c r="CJ42" s="72">
        <f t="shared" si="48"/>
        <v>0</v>
      </c>
      <c r="CK42" s="68">
        <f t="shared" si="49"/>
        <v>0</v>
      </c>
      <c r="CL42" s="70">
        <f t="shared" si="50"/>
        <v>0</v>
      </c>
      <c r="CM42" s="68">
        <f t="shared" si="51"/>
        <v>-5</v>
      </c>
      <c r="CN42" s="68">
        <f t="shared" si="52"/>
        <v>0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53"/>
        <v>1</v>
      </c>
      <c r="CR42" s="71">
        <f t="array" ref="CR42">SUM(IF(ISERR(FIND(CR$4,$D42:$CD42)),0,1))</f>
        <v>1</v>
      </c>
      <c r="CS42" s="71">
        <f t="array" ref="CS42">SUM(IF(ISERR(FIND(CS$4,$D42:$CD42)),0,1))</f>
        <v>0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shared" si="54"/>
        <v>0</v>
      </c>
      <c r="CY42" s="71">
        <f t="shared" si="55"/>
        <v>0</v>
      </c>
      <c r="CZ42" s="71">
        <f t="shared" si="56"/>
        <v>0</v>
      </c>
      <c r="DA42" s="71">
        <f t="shared" si="57"/>
        <v>0</v>
      </c>
      <c r="DB42" s="71">
        <f t="shared" si="58"/>
        <v>0</v>
      </c>
      <c r="DC42" s="71">
        <f t="shared" si="59"/>
        <v>0</v>
      </c>
      <c r="DD42" s="71">
        <f t="shared" si="60"/>
        <v>0</v>
      </c>
      <c r="DE42" s="68">
        <f t="shared" si="61"/>
        <v>101.00042000000001</v>
      </c>
      <c r="DF42" s="68">
        <f t="shared" si="19"/>
        <v>32</v>
      </c>
      <c r="DG42" s="68">
        <v>0</v>
      </c>
      <c r="DH42" s="89" t="str">
        <f t="shared" si="62"/>
        <v/>
      </c>
      <c r="DI42" s="97">
        <f t="shared" si="63"/>
        <v>1</v>
      </c>
    </row>
    <row r="43" spans="1:113" x14ac:dyDescent="0.15">
      <c r="B43" s="68" t="s">
        <v>202</v>
      </c>
      <c r="C43" s="68" t="s">
        <v>203</v>
      </c>
      <c r="D43"/>
      <c r="K43"/>
      <c r="L43"/>
      <c r="M43" t="s">
        <v>478</v>
      </c>
      <c r="O43"/>
      <c r="Q43"/>
      <c r="U43"/>
      <c r="CE43" s="68">
        <f t="shared" si="43"/>
        <v>1</v>
      </c>
      <c r="CF43" s="68">
        <f t="shared" si="44"/>
        <v>0</v>
      </c>
      <c r="CG43" s="68">
        <f t="shared" si="45"/>
        <v>1</v>
      </c>
      <c r="CH43" s="68">
        <f t="shared" si="46"/>
        <v>0</v>
      </c>
      <c r="CI43" s="68">
        <f t="shared" si="47"/>
        <v>0</v>
      </c>
      <c r="CJ43" s="72">
        <f t="shared" si="48"/>
        <v>0</v>
      </c>
      <c r="CK43" s="68">
        <f t="shared" si="49"/>
        <v>0</v>
      </c>
      <c r="CL43" s="70">
        <f t="shared" si="50"/>
        <v>0</v>
      </c>
      <c r="CM43" s="68">
        <f t="shared" si="51"/>
        <v>-5</v>
      </c>
      <c r="CN43" s="68">
        <f t="shared" si="52"/>
        <v>0</v>
      </c>
      <c r="CO43" s="71">
        <f t="array" ref="CO43">SUM(IF(ISERR(FIND("*",D43:CD43)),0,1))</f>
        <v>0</v>
      </c>
      <c r="CP43" s="71">
        <f t="array" ref="CP43">SUM(IF(ISERR(FIND("+",D43:CD43)),0,1))</f>
        <v>0</v>
      </c>
      <c r="CQ43" s="68">
        <f t="shared" si="53"/>
        <v>1</v>
      </c>
      <c r="CR43" s="71">
        <f t="array" ref="CR43">SUM(IF(ISERR(FIND(CR$4,$D43:$CD43)),0,1))</f>
        <v>1</v>
      </c>
      <c r="CS43" s="71">
        <f t="array" ref="CS43">SUM(IF(ISERR(FIND(CS$4,$D43:$CD43)),0,1))</f>
        <v>0</v>
      </c>
      <c r="CT43" s="71">
        <f t="array" ref="CT43">SUM(IF(ISERR(FIND(CT$4,$D43:$CD43)),0,1))</f>
        <v>0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shared" si="54"/>
        <v>0</v>
      </c>
      <c r="CY43" s="71">
        <f t="shared" si="55"/>
        <v>0</v>
      </c>
      <c r="CZ43" s="71">
        <f t="shared" si="56"/>
        <v>0</v>
      </c>
      <c r="DA43" s="71">
        <f t="shared" si="57"/>
        <v>0</v>
      </c>
      <c r="DB43" s="71">
        <f t="shared" si="58"/>
        <v>0</v>
      </c>
      <c r="DC43" s="71">
        <f t="shared" si="59"/>
        <v>0</v>
      </c>
      <c r="DD43" s="71">
        <f t="shared" si="60"/>
        <v>0</v>
      </c>
      <c r="DE43" s="68">
        <f t="shared" si="61"/>
        <v>101.00042999999999</v>
      </c>
      <c r="DF43" s="68">
        <f t="shared" si="19"/>
        <v>31</v>
      </c>
      <c r="DG43" s="68">
        <v>0</v>
      </c>
      <c r="DH43" s="89" t="str">
        <f t="shared" si="62"/>
        <v/>
      </c>
      <c r="DI43" s="97">
        <f t="shared" si="63"/>
        <v>1</v>
      </c>
    </row>
    <row r="44" spans="1:113" x14ac:dyDescent="0.15">
      <c r="A44" s="68" t="s">
        <v>57</v>
      </c>
      <c r="B44" s="68" t="s">
        <v>26</v>
      </c>
      <c r="C44" s="68" t="s">
        <v>147</v>
      </c>
      <c r="D44" s="122"/>
      <c r="E44" s="122" t="s">
        <v>332</v>
      </c>
      <c r="F44" s="122"/>
      <c r="G44"/>
      <c r="H44" t="s">
        <v>250</v>
      </c>
      <c r="I44"/>
      <c r="J44" t="s">
        <v>419</v>
      </c>
      <c r="K44" s="122"/>
      <c r="L44"/>
      <c r="M44" t="s">
        <v>469</v>
      </c>
      <c r="N44"/>
      <c r="O44"/>
      <c r="P44"/>
      <c r="Q44"/>
      <c r="R44"/>
      <c r="S44" t="s">
        <v>581</v>
      </c>
      <c r="T44" t="s">
        <v>596</v>
      </c>
      <c r="U44"/>
      <c r="V44"/>
      <c r="W44"/>
      <c r="X44"/>
      <c r="Y44" t="s">
        <v>683</v>
      </c>
      <c r="Z44"/>
      <c r="CE44" s="68">
        <f t="shared" si="43"/>
        <v>7</v>
      </c>
      <c r="CF44" s="68">
        <f t="shared" si="44"/>
        <v>0</v>
      </c>
      <c r="CG44" s="68">
        <f t="shared" si="45"/>
        <v>7</v>
      </c>
      <c r="CH44" s="68">
        <f t="shared" si="46"/>
        <v>0</v>
      </c>
      <c r="CI44" s="68">
        <f t="shared" si="47"/>
        <v>22</v>
      </c>
      <c r="CJ44" s="72">
        <f t="shared" si="48"/>
        <v>22</v>
      </c>
      <c r="CK44" s="68">
        <f t="shared" si="49"/>
        <v>53</v>
      </c>
      <c r="CL44" s="70">
        <f t="shared" si="50"/>
        <v>7.5714285714285712</v>
      </c>
      <c r="CM44" s="68">
        <f t="shared" si="51"/>
        <v>48</v>
      </c>
      <c r="CN44" s="68">
        <f t="shared" si="52"/>
        <v>10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53"/>
        <v>1</v>
      </c>
      <c r="CR44" s="71">
        <f t="array" ref="CR44">SUM(IF(ISERR(FIND(CR$4,$D44:$CD44)),0,1))</f>
        <v>5</v>
      </c>
      <c r="CS44" s="71">
        <f t="array" ref="CS44">SUM(IF(ISERR(FIND(CS$4,$D44:$CD44)),0,1))</f>
        <v>2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0</v>
      </c>
      <c r="CW44" s="71">
        <f t="array" ref="CW44">SUM(IF(ISERR(FIND(CW$4,$D44:$CD44)),0,1))</f>
        <v>0</v>
      </c>
      <c r="CX44" s="71">
        <f t="shared" si="54"/>
        <v>0</v>
      </c>
      <c r="CY44" s="71">
        <f t="shared" si="55"/>
        <v>2</v>
      </c>
      <c r="CZ44" s="71">
        <f t="shared" si="56"/>
        <v>4</v>
      </c>
      <c r="DA44" s="71">
        <f t="shared" si="57"/>
        <v>0</v>
      </c>
      <c r="DB44" s="71">
        <f t="shared" si="58"/>
        <v>0</v>
      </c>
      <c r="DC44" s="71">
        <f t="shared" si="59"/>
        <v>0</v>
      </c>
      <c r="DD44" s="71">
        <f t="shared" si="60"/>
        <v>0</v>
      </c>
      <c r="DE44" s="68">
        <f t="shared" si="61"/>
        <v>757707.53044</v>
      </c>
      <c r="DF44" s="68">
        <f t="shared" si="19"/>
        <v>20</v>
      </c>
      <c r="DG44" s="68">
        <v>0</v>
      </c>
      <c r="DH44" s="89">
        <f t="shared" si="62"/>
        <v>0.30188679245283018</v>
      </c>
      <c r="DI44" s="97">
        <f t="shared" si="63"/>
        <v>0.14285714285714285</v>
      </c>
    </row>
    <row r="45" spans="1:113" x14ac:dyDescent="0.15">
      <c r="CJ45" s="72"/>
      <c r="CL45" s="70"/>
      <c r="CO45" s="71"/>
      <c r="CP45" s="71"/>
      <c r="CR45" s="71"/>
      <c r="CS45" s="71"/>
      <c r="CT45" s="71"/>
      <c r="CU45" s="71"/>
      <c r="CV45" s="71"/>
      <c r="CW45" s="71"/>
      <c r="CX45" s="71"/>
    </row>
    <row r="46" spans="1:113" x14ac:dyDescent="0.15">
      <c r="CO46" s="90">
        <f t="shared" ref="CO46:CW46" si="232">SUM(CO5:CO45)</f>
        <v>22</v>
      </c>
      <c r="CP46" s="90">
        <f t="shared" si="232"/>
        <v>24</v>
      </c>
      <c r="CQ46" s="60">
        <f t="shared" si="232"/>
        <v>21</v>
      </c>
      <c r="CR46" s="73">
        <f t="shared" si="232"/>
        <v>72</v>
      </c>
      <c r="CS46" s="73">
        <f t="shared" si="232"/>
        <v>53</v>
      </c>
      <c r="CT46" s="73">
        <f t="shared" si="232"/>
        <v>13</v>
      </c>
      <c r="CU46" s="73">
        <f t="shared" si="232"/>
        <v>4</v>
      </c>
      <c r="CV46" s="73">
        <f t="shared" si="232"/>
        <v>7</v>
      </c>
      <c r="CW46" s="73">
        <f t="shared" si="232"/>
        <v>0</v>
      </c>
      <c r="CX46" s="73"/>
      <c r="CY46" s="60">
        <f t="shared" ref="CY46:DD46" si="233">SUM(CY5:CY45)</f>
        <v>72</v>
      </c>
      <c r="CZ46" s="60">
        <f t="shared" si="233"/>
        <v>422</v>
      </c>
      <c r="DA46" s="60">
        <f t="shared" si="233"/>
        <v>45</v>
      </c>
      <c r="DB46" s="60">
        <f t="shared" si="233"/>
        <v>9</v>
      </c>
      <c r="DC46" s="60">
        <f t="shared" si="233"/>
        <v>18</v>
      </c>
      <c r="DD46" s="60">
        <f t="shared" si="233"/>
        <v>47</v>
      </c>
    </row>
    <row r="47" spans="1:113" x14ac:dyDescent="0.15">
      <c r="C47" s="68" t="s">
        <v>127</v>
      </c>
      <c r="D47" s="68">
        <f t="array" ref="D47">SUM(IF(NOT(ISERR(FIND("*",D5:D44))),1,0))</f>
        <v>1</v>
      </c>
      <c r="E47" s="68">
        <f t="array" ref="E47">SUM(IF(NOT(ISERR(FIND("*",E5:E44))),1,0))</f>
        <v>1</v>
      </c>
      <c r="F47" s="68">
        <f t="array" ref="F47">SUM(IF(NOT(ISERR(FIND("*",F5:F44))),1,0))</f>
        <v>1</v>
      </c>
      <c r="G47" s="68">
        <f t="array" ref="G47">SUM(IF(NOT(ISERR(FIND("*",G5:G44))),1,0))</f>
        <v>1</v>
      </c>
      <c r="H47" s="68">
        <f t="array" ref="H47">SUM(IF(NOT(ISERR(FIND("*",H5:H44))),1,0))</f>
        <v>1</v>
      </c>
      <c r="I47" s="68">
        <f t="array" ref="I47">SUM(IF(NOT(ISERR(FIND("*",I5:I44))),1,0))</f>
        <v>1</v>
      </c>
      <c r="J47" s="68">
        <f t="array" ref="J47">SUM(IF(NOT(ISERR(FIND("*",J5:J44))),1,0))</f>
        <v>1</v>
      </c>
      <c r="K47" s="68">
        <f t="array" ref="K47">SUM(IF(NOT(ISERR(FIND("*",K5:K44))),1,0))</f>
        <v>1</v>
      </c>
      <c r="L47" s="68">
        <f t="array" ref="L47">SUM(IF(NOT(ISERR(FIND("*",L5:L44))),1,0))</f>
        <v>1</v>
      </c>
      <c r="M47" s="68">
        <f t="array" ref="M47">SUM(IF(NOT(ISERR(FIND("*",M5:M44))),1,0))</f>
        <v>1</v>
      </c>
      <c r="N47" s="68">
        <f t="array" ref="N47">SUM(IF(NOT(ISERR(FIND("*",N5:N44))),1,0))</f>
        <v>1</v>
      </c>
      <c r="O47" s="68">
        <f t="array" ref="O47">SUM(IF(NOT(ISERR(FIND("*",O5:O44))),1,0))</f>
        <v>1</v>
      </c>
      <c r="P47" s="68">
        <f t="array" ref="P47">SUM(IF(NOT(ISERR(FIND("*",P5:P44))),1,0))</f>
        <v>1</v>
      </c>
      <c r="Q47" s="68">
        <f t="array" ref="Q47">SUM(IF(NOT(ISERR(FIND("*",Q5:Q44))),1,0))</f>
        <v>1</v>
      </c>
      <c r="R47" s="68">
        <f t="array" ref="R47">SUM(IF(NOT(ISERR(FIND("*",R5:R44))),1,0))</f>
        <v>1</v>
      </c>
      <c r="S47" s="68">
        <f t="array" ref="S47">SUM(IF(NOT(ISERR(FIND("*",S5:S44))),1,0))</f>
        <v>1</v>
      </c>
      <c r="T47" s="68">
        <f t="array" ref="T47">SUM(IF(NOT(ISERR(FIND("*",T5:T44))),1,0))</f>
        <v>1</v>
      </c>
      <c r="U47" s="68">
        <f t="array" ref="U47">SUM(IF(NOT(ISERR(FIND("*",U5:U44))),1,0))</f>
        <v>1</v>
      </c>
      <c r="V47" s="68">
        <f t="array" ref="V47">SUM(IF(NOT(ISERR(FIND("*",V5:V44))),1,0))</f>
        <v>1</v>
      </c>
      <c r="W47" s="68">
        <f t="array" ref="W47">SUM(IF(NOT(ISERR(FIND("*",W5:W44))),1,0))</f>
        <v>1</v>
      </c>
      <c r="X47" s="68">
        <f t="array" ref="X47">SUM(IF(NOT(ISERR(FIND("*",X5:X44))),1,0))</f>
        <v>1</v>
      </c>
      <c r="Y47" s="68">
        <f t="array" ref="Y47">SUM(IF(NOT(ISERR(FIND("*",Y5:Y44))),1,0))</f>
        <v>1</v>
      </c>
      <c r="Z47" s="68">
        <f t="array" ref="Z47">SUM(IF(NOT(ISERR(FIND("*",Z5:Z44))),1,0))</f>
        <v>0</v>
      </c>
      <c r="AA47" s="68">
        <f t="array" ref="AA47">SUM(IF(NOT(ISERR(FIND("*",AA5:AA44))),1,0))</f>
        <v>0</v>
      </c>
      <c r="AB47" s="68">
        <f t="array" ref="AB47">SUM(IF(NOT(ISERR(FIND("*",AB5:AB44))),1,0))</f>
        <v>0</v>
      </c>
      <c r="AC47" s="68">
        <f t="array" ref="AC47">SUM(IF(NOT(ISERR(FIND("*",AC5:AC44))),1,0))</f>
        <v>0</v>
      </c>
      <c r="AD47" s="68">
        <f t="array" ref="AD47">SUM(IF(NOT(ISERR(FIND("*",AD5:AD44))),1,0))</f>
        <v>0</v>
      </c>
      <c r="AE47" s="68">
        <f t="array" ref="AE47">SUM(IF(NOT(ISERR(FIND("*",AE5:AE44))),1,0))</f>
        <v>0</v>
      </c>
      <c r="AF47" s="68">
        <f t="array" ref="AF47">SUM(IF(NOT(ISERR(FIND("*",AF5:AF44))),1,0))</f>
        <v>0</v>
      </c>
      <c r="AG47" s="68">
        <f t="array" ref="AG47">SUM(IF(NOT(ISERR(FIND("*",AG5:AG44))),1,0))</f>
        <v>0</v>
      </c>
      <c r="AH47" s="68">
        <f t="array" ref="AH47">SUM(IF(NOT(ISERR(FIND("*",AH5:AH44))),1,0))</f>
        <v>0</v>
      </c>
      <c r="AI47" s="68">
        <f t="array" ref="AI47">SUM(IF(NOT(ISERR(FIND("*",AI5:AI44))),1,0))</f>
        <v>0</v>
      </c>
      <c r="AJ47" s="68">
        <f t="array" ref="AJ47">SUM(IF(NOT(ISERR(FIND("*",AJ5:AJ44))),1,0))</f>
        <v>0</v>
      </c>
      <c r="AK47" s="68">
        <f t="array" ref="AK47">SUM(IF(NOT(ISERR(FIND("*",AK5:AK44))),1,0))</f>
        <v>0</v>
      </c>
      <c r="AL47" s="68">
        <f t="array" ref="AL47">SUM(IF(NOT(ISERR(FIND("*",AL5:AL44))),1,0))</f>
        <v>0</v>
      </c>
      <c r="AM47" s="68">
        <f t="array" ref="AM47">SUM(IF(NOT(ISERR(FIND("*",AM5:AM44))),1,0))</f>
        <v>0</v>
      </c>
      <c r="AN47" s="68">
        <f t="array" ref="AN47">SUM(IF(NOT(ISERR(FIND("*",AN5:AN44))),1,0))</f>
        <v>0</v>
      </c>
      <c r="AO47" s="68">
        <f t="array" ref="AO47">SUM(IF(NOT(ISERR(FIND("*",AO5:AO44))),1,0))</f>
        <v>0</v>
      </c>
      <c r="AP47" s="68">
        <f t="array" ref="AP47">SUM(IF(NOT(ISERR(FIND("*",AP5:AP44))),1,0))</f>
        <v>0</v>
      </c>
      <c r="AQ47" s="68">
        <f t="array" ref="AQ47">SUM(IF(NOT(ISERR(FIND("*",AQ5:AQ44))),1,0))</f>
        <v>0</v>
      </c>
      <c r="AR47" s="68">
        <f t="array" ref="AR47">SUM(IF(NOT(ISERR(FIND("*",AR5:AR44))),1,0))</f>
        <v>0</v>
      </c>
      <c r="AS47" s="68">
        <f t="array" ref="AS47">SUM(IF(NOT(ISERR(FIND("*",AS5:AS44))),1,0))</f>
        <v>0</v>
      </c>
      <c r="AT47" s="68">
        <f t="array" ref="AT47">SUM(IF(NOT(ISERR(FIND("*",AT5:AT44))),1,0))</f>
        <v>0</v>
      </c>
      <c r="AU47" s="68">
        <f t="array" ref="AU47">SUM(IF(NOT(ISERR(FIND("*",AU5:AU44))),1,0))</f>
        <v>0</v>
      </c>
      <c r="AV47" s="68">
        <f t="array" ref="AV47">SUM(IF(NOT(ISERR(FIND("*",AV5:AV44))),1,0))</f>
        <v>0</v>
      </c>
      <c r="AW47" s="68">
        <f t="array" ref="AW47">SUM(IF(NOT(ISERR(FIND("*",AW5:AW44))),1,0))</f>
        <v>0</v>
      </c>
      <c r="AX47" s="68">
        <f t="array" ref="AX47">SUM(IF(NOT(ISERR(FIND("*",AX5:AX44))),1,0))</f>
        <v>0</v>
      </c>
      <c r="AY47" s="68">
        <f t="array" ref="AY47">SUM(IF(NOT(ISERR(FIND("*",AY5:AY44))),1,0))</f>
        <v>0</v>
      </c>
      <c r="AZ47" s="68">
        <f t="array" ref="AZ47">SUM(IF(NOT(ISERR(FIND("*",AZ5:AZ44))),1,0))</f>
        <v>0</v>
      </c>
      <c r="BA47" s="68">
        <f t="array" ref="BA47">SUM(IF(NOT(ISERR(FIND("*",BA5:BA44))),1,0))</f>
        <v>0</v>
      </c>
      <c r="BB47" s="68">
        <f t="array" ref="BB47">SUM(IF(NOT(ISERR(FIND("*",BB5:BB44))),1,0))</f>
        <v>0</v>
      </c>
      <c r="BC47" s="68">
        <f t="array" ref="BC47">SUM(IF(NOT(ISERR(FIND("*",BC5:BC44))),1,0))</f>
        <v>0</v>
      </c>
      <c r="BD47" s="68">
        <f t="array" ref="BD47">SUM(IF(NOT(ISERR(FIND("*",BD5:BD44))),1,0))</f>
        <v>0</v>
      </c>
      <c r="BE47" s="68">
        <f t="array" ref="BE47">SUM(IF(NOT(ISERR(FIND("*",BE5:BE44))),1,0))</f>
        <v>0</v>
      </c>
      <c r="BF47" s="68">
        <f t="array" ref="BF47">SUM(IF(NOT(ISERR(FIND("*",BF5:BF44))),1,0))</f>
        <v>0</v>
      </c>
      <c r="CE47" s="68">
        <f>SUM(D47:BF47)</f>
        <v>22</v>
      </c>
      <c r="CO47" s="91">
        <f>SUM(D47:BF47)</f>
        <v>22</v>
      </c>
      <c r="CP47" s="60"/>
      <c r="CQ47" s="60"/>
      <c r="CR47" s="73">
        <f>SUM(CR46:CW46)</f>
        <v>149</v>
      </c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</row>
    <row r="48" spans="1:113" x14ac:dyDescent="0.15">
      <c r="C48" s="68" t="s">
        <v>14</v>
      </c>
      <c r="D48" s="68">
        <f t="array" ref="D48">SUM(IF(NOT(ISERR(FIND("+",D5:D44))),1,0))</f>
        <v>1</v>
      </c>
      <c r="E48" s="68">
        <f t="array" ref="E48">SUM(IF(NOT(ISERR(FIND("+",E5:E44))),1,0))</f>
        <v>2</v>
      </c>
      <c r="F48" s="68">
        <f t="array" ref="F48">SUM(IF(NOT(ISERR(FIND("+",F5:F44))),1,0))</f>
        <v>1</v>
      </c>
      <c r="G48" s="68">
        <f t="array" ref="G48">SUM(IF(NOT(ISERR(FIND("+",G5:G44))),1,0))</f>
        <v>2</v>
      </c>
      <c r="H48" s="68">
        <f t="array" ref="H48">SUM(IF(NOT(ISERR(FIND("+",H5:H44))),1,0))</f>
        <v>1</v>
      </c>
      <c r="I48" s="68">
        <f t="array" ref="I48">SUM(IF(NOT(ISERR(FIND("+",I5:I44))),1,0))</f>
        <v>1</v>
      </c>
      <c r="J48" s="68">
        <f t="array" ref="J48">SUM(IF(NOT(ISERR(FIND("+",J5:J44))),1,0))</f>
        <v>1</v>
      </c>
      <c r="K48" s="68">
        <f t="array" ref="K48">SUM(IF(NOT(ISERR(FIND("+",K5:K44))),1,0))</f>
        <v>1</v>
      </c>
      <c r="L48" s="68">
        <f t="array" ref="L48">SUM(IF(NOT(ISERR(FIND("+",L5:L44))),1,0))</f>
        <v>1</v>
      </c>
      <c r="M48" s="68">
        <f t="array" ref="M48">SUM(IF(NOT(ISERR(FIND("+",M5:M44))),1,0))</f>
        <v>1</v>
      </c>
      <c r="N48" s="68">
        <f t="array" ref="N48">SUM(IF(NOT(ISERR(FIND("+",N5:N44))),1,0))</f>
        <v>1</v>
      </c>
      <c r="O48" s="68">
        <f t="array" ref="O48">SUM(IF(NOT(ISERR(FIND("+",O5:O44))),1,0))</f>
        <v>1</v>
      </c>
      <c r="P48" s="68">
        <f t="array" ref="P48">SUM(IF(NOT(ISERR(FIND("+",P5:P44))),1,0))</f>
        <v>1</v>
      </c>
      <c r="Q48" s="68">
        <f t="array" ref="Q48">SUM(IF(NOT(ISERR(FIND("+",Q5:Q44))),1,0))</f>
        <v>1</v>
      </c>
      <c r="R48" s="68">
        <f t="array" ref="R48">SUM(IF(NOT(ISERR(FIND("+",R5:R44))),1,0))</f>
        <v>1</v>
      </c>
      <c r="S48" s="68">
        <f t="array" ref="S48">SUM(IF(NOT(ISERR(FIND("+",S5:S44))),1,0))</f>
        <v>1</v>
      </c>
      <c r="T48" s="68">
        <f t="array" ref="T48">SUM(IF(NOT(ISERR(FIND("+",T5:T44))),1,0))</f>
        <v>1</v>
      </c>
      <c r="U48" s="68">
        <f t="array" ref="U48">SUM(IF(NOT(ISERR(FIND("+",U5:U44))),1,0))</f>
        <v>1</v>
      </c>
      <c r="V48" s="68">
        <f t="array" ref="V48">SUM(IF(NOT(ISERR(FIND("+",V5:V44))),1,0))</f>
        <v>1</v>
      </c>
      <c r="W48" s="68">
        <f t="array" ref="W48">SUM(IF(NOT(ISERR(FIND("+",W5:W44))),1,0))</f>
        <v>1</v>
      </c>
      <c r="X48" s="68">
        <f t="array" ref="X48">SUM(IF(NOT(ISERR(FIND("+",X5:X44))),1,0))</f>
        <v>1</v>
      </c>
      <c r="Y48" s="68">
        <f t="array" ref="Y48">SUM(IF(NOT(ISERR(FIND("+",Y5:Y44))),1,0))</f>
        <v>1</v>
      </c>
      <c r="Z48" s="68">
        <f t="array" ref="Z48">SUM(IF(NOT(ISERR(FIND("+",Z5:Z44))),1,0))</f>
        <v>0</v>
      </c>
      <c r="AA48" s="68">
        <f t="array" ref="AA48">SUM(IF(NOT(ISERR(FIND("+",AA5:AA44))),1,0))</f>
        <v>0</v>
      </c>
      <c r="AB48" s="68">
        <f t="array" ref="AB48">SUM(IF(NOT(ISERR(FIND("+",AB5:AB44))),1,0))</f>
        <v>0</v>
      </c>
      <c r="AC48" s="68">
        <f t="array" ref="AC48">SUM(IF(NOT(ISERR(FIND("+",AC5:AC44))),1,0))</f>
        <v>0</v>
      </c>
      <c r="AD48" s="68">
        <f t="array" ref="AD48">SUM(IF(NOT(ISERR(FIND("+",AD5:AD44))),1,0))</f>
        <v>0</v>
      </c>
      <c r="AE48" s="68">
        <f t="array" ref="AE48">SUM(IF(NOT(ISERR(FIND("+",AE5:AE44))),1,0))</f>
        <v>0</v>
      </c>
      <c r="AF48" s="68">
        <f t="array" ref="AF48">SUM(IF(NOT(ISERR(FIND("+",AF5:AF44))),1,0))</f>
        <v>0</v>
      </c>
      <c r="AG48" s="68">
        <f t="array" ref="AG48">SUM(IF(NOT(ISERR(FIND("+",AG5:AG44))),1,0))</f>
        <v>0</v>
      </c>
      <c r="AH48" s="68">
        <f t="array" ref="AH48">SUM(IF(NOT(ISERR(FIND("+",AH5:AH44))),1,0))</f>
        <v>0</v>
      </c>
      <c r="AI48" s="68">
        <f t="array" ref="AI48">SUM(IF(NOT(ISERR(FIND("+",AI5:AI44))),1,0))</f>
        <v>0</v>
      </c>
      <c r="AJ48" s="68">
        <f t="array" ref="AJ48">SUM(IF(NOT(ISERR(FIND("+",AJ5:AJ44))),1,0))</f>
        <v>0</v>
      </c>
      <c r="AK48" s="68">
        <f t="array" ref="AK48">SUM(IF(NOT(ISERR(FIND("+",AK5:AK44))),1,0))</f>
        <v>0</v>
      </c>
      <c r="AL48" s="68">
        <f t="array" ref="AL48">SUM(IF(NOT(ISERR(FIND("+",AL5:AL44))),1,0))</f>
        <v>0</v>
      </c>
      <c r="AM48" s="68">
        <f t="array" ref="AM48">SUM(IF(NOT(ISERR(FIND("+",AM5:AM44))),1,0))</f>
        <v>0</v>
      </c>
      <c r="AN48" s="68">
        <f t="array" ref="AN48">SUM(IF(NOT(ISERR(FIND("+",AN5:AN44))),1,0))</f>
        <v>0</v>
      </c>
      <c r="AO48" s="68">
        <f t="array" ref="AO48">SUM(IF(NOT(ISERR(FIND("+",AO5:AO44))),1,0))</f>
        <v>0</v>
      </c>
      <c r="AP48" s="68">
        <f t="array" ref="AP48">SUM(IF(NOT(ISERR(FIND("+",AP5:AP44))),1,0))</f>
        <v>0</v>
      </c>
      <c r="AQ48" s="68">
        <f t="array" ref="AQ48">SUM(IF(NOT(ISERR(FIND("+",AQ5:AQ44))),1,0))</f>
        <v>0</v>
      </c>
      <c r="AR48" s="68">
        <f t="array" ref="AR48">SUM(IF(NOT(ISERR(FIND("+",AR5:AR44))),1,0))</f>
        <v>0</v>
      </c>
      <c r="AS48" s="68">
        <f t="array" ref="AS48">SUM(IF(NOT(ISERR(FIND("+",AS5:AS44))),1,0))</f>
        <v>0</v>
      </c>
      <c r="AT48" s="68">
        <f t="array" ref="AT48">SUM(IF(NOT(ISERR(FIND("+",AT5:AT44))),1,0))</f>
        <v>0</v>
      </c>
      <c r="AU48" s="68">
        <f t="array" ref="AU48">SUM(IF(NOT(ISERR(FIND("+",AU5:AU44))),1,0))</f>
        <v>0</v>
      </c>
      <c r="AV48" s="68">
        <f t="array" ref="AV48">SUM(IF(NOT(ISERR(FIND("+",AV5:AV44))),1,0))</f>
        <v>0</v>
      </c>
      <c r="AW48" s="68">
        <f t="array" ref="AW48">SUM(IF(NOT(ISERR(FIND("+",AW5:AW44))),1,0))</f>
        <v>0</v>
      </c>
      <c r="AX48" s="68">
        <f t="array" ref="AX48">SUM(IF(NOT(ISERR(FIND("+",AX5:AX44))),1,0))</f>
        <v>0</v>
      </c>
      <c r="AY48" s="68">
        <f t="array" ref="AY48">SUM(IF(NOT(ISERR(FIND("+",AY5:AY44))),1,0))</f>
        <v>0</v>
      </c>
      <c r="AZ48" s="68">
        <f t="array" ref="AZ48">SUM(IF(NOT(ISERR(FIND("+",AZ5:AZ44))),1,0))</f>
        <v>0</v>
      </c>
      <c r="BA48" s="68">
        <f t="array" ref="BA48">SUM(IF(NOT(ISERR(FIND("+",BA5:BA44))),1,0))</f>
        <v>0</v>
      </c>
      <c r="BB48" s="68">
        <f t="array" ref="BB48">SUM(IF(NOT(ISERR(FIND("+",BB5:BB44))),1,0))</f>
        <v>0</v>
      </c>
      <c r="BC48" s="68">
        <f t="array" ref="BC48">SUM(IF(NOT(ISERR(FIND("+",BC5:BC44))),1,0))</f>
        <v>0</v>
      </c>
      <c r="BD48" s="68">
        <f t="array" ref="BD48">SUM(IF(NOT(ISERR(FIND("+",BD5:BD44))),1,0))</f>
        <v>0</v>
      </c>
      <c r="BE48" s="68">
        <f t="array" ref="BE48">SUM(IF(NOT(ISERR(FIND("+",BE5:BE44))),1,0))</f>
        <v>0</v>
      </c>
      <c r="BF48" s="68">
        <f t="array" ref="BF48">SUM(IF(NOT(ISERR(FIND("+",BF5:BF44))),1,0))</f>
        <v>0</v>
      </c>
      <c r="CE48" s="68">
        <f>SUM(D48:BF48)</f>
        <v>24</v>
      </c>
      <c r="CO48" s="91">
        <f>SUM(D48:BF48)</f>
        <v>24</v>
      </c>
      <c r="CP48" s="60"/>
      <c r="CQ48" s="60"/>
      <c r="CR48" s="107">
        <f t="shared" ref="CR48:CW48" si="234">CR46/$CR$47</f>
        <v>0.48322147651006714</v>
      </c>
      <c r="CS48" s="107">
        <f t="shared" si="234"/>
        <v>0.35570469798657717</v>
      </c>
      <c r="CT48" s="107">
        <f t="shared" si="234"/>
        <v>8.7248322147651006E-2</v>
      </c>
      <c r="CU48" s="107">
        <f t="shared" si="234"/>
        <v>2.6845637583892617E-2</v>
      </c>
      <c r="CV48" s="107">
        <f t="shared" si="234"/>
        <v>4.6979865771812082E-2</v>
      </c>
      <c r="CW48" s="107">
        <f t="shared" si="234"/>
        <v>0</v>
      </c>
      <c r="CX48" s="107"/>
      <c r="CY48" s="60"/>
      <c r="CZ48" s="60"/>
      <c r="DA48" s="60"/>
      <c r="DB48" s="60"/>
      <c r="DC48" s="60"/>
      <c r="DD48" s="60"/>
    </row>
    <row r="50" spans="2:93" x14ac:dyDescent="0.15">
      <c r="C50" s="68" t="s">
        <v>118</v>
      </c>
      <c r="D50" s="68">
        <f t="shared" ref="D50:AI50" si="235">BatSplit(D5:D44,RunsScored)</f>
        <v>150</v>
      </c>
      <c r="E50" s="68">
        <f t="shared" si="235"/>
        <v>153</v>
      </c>
      <c r="F50" s="68">
        <f t="shared" si="235"/>
        <v>141</v>
      </c>
      <c r="G50" s="68">
        <f t="shared" si="235"/>
        <v>208</v>
      </c>
      <c r="H50" s="68">
        <f t="shared" si="235"/>
        <v>118</v>
      </c>
      <c r="I50" s="68">
        <f t="shared" si="235"/>
        <v>128</v>
      </c>
      <c r="J50" s="68">
        <f t="shared" si="235"/>
        <v>81</v>
      </c>
      <c r="K50" s="68">
        <f t="shared" si="235"/>
        <v>97</v>
      </c>
      <c r="L50" s="68">
        <f t="shared" si="235"/>
        <v>128</v>
      </c>
      <c r="M50" s="68">
        <f t="shared" si="235"/>
        <v>99</v>
      </c>
      <c r="N50" s="68">
        <f t="shared" si="235"/>
        <v>222</v>
      </c>
      <c r="O50" s="68">
        <f t="shared" si="235"/>
        <v>125</v>
      </c>
      <c r="P50" s="68">
        <f t="shared" si="235"/>
        <v>158</v>
      </c>
      <c r="Q50" s="68">
        <f t="shared" si="235"/>
        <v>205</v>
      </c>
      <c r="R50" s="68">
        <f t="shared" si="235"/>
        <v>173</v>
      </c>
      <c r="S50" s="68">
        <f t="shared" si="235"/>
        <v>144</v>
      </c>
      <c r="T50" s="68">
        <f t="shared" si="235"/>
        <v>151</v>
      </c>
      <c r="U50" s="68">
        <f t="shared" si="235"/>
        <v>189</v>
      </c>
      <c r="V50" s="68">
        <f t="shared" si="235"/>
        <v>130</v>
      </c>
      <c r="W50" s="68">
        <f t="shared" si="235"/>
        <v>167</v>
      </c>
      <c r="X50" s="68">
        <f t="shared" si="235"/>
        <v>172</v>
      </c>
      <c r="Y50" s="68">
        <f t="shared" si="235"/>
        <v>115</v>
      </c>
      <c r="Z50" s="68">
        <f t="shared" si="235"/>
        <v>0</v>
      </c>
      <c r="AA50" s="68">
        <f t="shared" si="235"/>
        <v>0</v>
      </c>
      <c r="AB50" s="68">
        <f t="shared" si="235"/>
        <v>0</v>
      </c>
      <c r="AC50" s="68">
        <f t="shared" si="235"/>
        <v>0</v>
      </c>
      <c r="AD50" s="68">
        <f t="shared" si="235"/>
        <v>0</v>
      </c>
      <c r="AE50" s="68">
        <f t="shared" si="235"/>
        <v>0</v>
      </c>
      <c r="AF50" s="68">
        <f t="shared" si="235"/>
        <v>0</v>
      </c>
      <c r="AG50" s="68">
        <f t="shared" si="235"/>
        <v>0</v>
      </c>
      <c r="AH50" s="68">
        <f t="shared" si="235"/>
        <v>0</v>
      </c>
      <c r="AI50" s="68">
        <f t="shared" si="235"/>
        <v>0</v>
      </c>
      <c r="AJ50" s="68">
        <f t="shared" ref="AJ50:BF50" si="236">BatSplit(AJ5:AJ44,RunsScored)</f>
        <v>0</v>
      </c>
      <c r="AK50" s="68">
        <f t="shared" si="236"/>
        <v>0</v>
      </c>
      <c r="AL50" s="68">
        <f t="shared" si="236"/>
        <v>0</v>
      </c>
      <c r="AM50" s="68">
        <f t="shared" si="236"/>
        <v>0</v>
      </c>
      <c r="AN50" s="68">
        <f t="shared" si="236"/>
        <v>0</v>
      </c>
      <c r="AO50" s="68">
        <f t="shared" si="236"/>
        <v>0</v>
      </c>
      <c r="AP50" s="68">
        <f t="shared" si="236"/>
        <v>0</v>
      </c>
      <c r="AQ50" s="68">
        <f t="shared" si="236"/>
        <v>0</v>
      </c>
      <c r="AR50" s="68">
        <f t="shared" si="236"/>
        <v>0</v>
      </c>
      <c r="AS50" s="68">
        <f t="shared" si="236"/>
        <v>0</v>
      </c>
      <c r="AT50" s="68">
        <f t="shared" si="236"/>
        <v>0</v>
      </c>
      <c r="AU50" s="68">
        <f t="shared" si="236"/>
        <v>0</v>
      </c>
      <c r="AV50" s="68">
        <f t="shared" si="236"/>
        <v>0</v>
      </c>
      <c r="AW50" s="68">
        <f t="shared" si="236"/>
        <v>0</v>
      </c>
      <c r="AX50" s="68">
        <f t="shared" si="236"/>
        <v>0</v>
      </c>
      <c r="AY50" s="68">
        <f t="shared" si="236"/>
        <v>0</v>
      </c>
      <c r="AZ50" s="68">
        <f t="shared" si="236"/>
        <v>0</v>
      </c>
      <c r="BA50" s="68">
        <f t="shared" si="236"/>
        <v>0</v>
      </c>
      <c r="BB50" s="68">
        <f t="shared" si="236"/>
        <v>0</v>
      </c>
      <c r="BC50" s="68">
        <f t="shared" si="236"/>
        <v>0</v>
      </c>
      <c r="BD50" s="68">
        <f t="shared" si="236"/>
        <v>0</v>
      </c>
      <c r="BE50" s="68">
        <f t="shared" si="236"/>
        <v>0</v>
      </c>
      <c r="BF50" s="68">
        <f t="shared" si="236"/>
        <v>0</v>
      </c>
      <c r="CE50" s="68">
        <f>SUM(D50:BD50)</f>
        <v>3254</v>
      </c>
      <c r="CG50" s="68">
        <f>SUM(CG5:CG45)</f>
        <v>185</v>
      </c>
      <c r="CH50" s="68">
        <f>SUM(CH5:CH45)</f>
        <v>36</v>
      </c>
      <c r="CI50" s="68">
        <f>SUM(CI5:CI44)</f>
        <v>227</v>
      </c>
      <c r="CK50" s="68">
        <f>SUM(CK5:CK45)</f>
        <v>3254</v>
      </c>
      <c r="CO50" s="68">
        <f>SUM(D50:BF50)</f>
        <v>3254</v>
      </c>
    </row>
    <row r="51" spans="2:93" x14ac:dyDescent="0.15">
      <c r="C51" s="68" t="s">
        <v>117</v>
      </c>
      <c r="D51" s="68">
        <f t="array" ref="D51:BF51">TRANSPOSE(Matches!Z5:Z59)</f>
        <v>36</v>
      </c>
      <c r="E51" s="68">
        <v>53</v>
      </c>
      <c r="F51" s="68">
        <v>14</v>
      </c>
      <c r="G51" s="68">
        <v>26</v>
      </c>
      <c r="H51" s="68">
        <v>19</v>
      </c>
      <c r="I51" s="68">
        <v>5</v>
      </c>
      <c r="J51" s="68">
        <v>11</v>
      </c>
      <c r="K51" s="68">
        <v>16</v>
      </c>
      <c r="L51" s="68">
        <v>13</v>
      </c>
      <c r="M51" s="68">
        <v>33</v>
      </c>
      <c r="N51" s="68">
        <v>8</v>
      </c>
      <c r="O51" s="68">
        <v>7</v>
      </c>
      <c r="P51" s="68">
        <v>19</v>
      </c>
      <c r="Q51" s="68">
        <v>26</v>
      </c>
      <c r="R51" s="68">
        <v>26</v>
      </c>
      <c r="S51" s="68">
        <v>11</v>
      </c>
      <c r="T51" s="68">
        <v>23</v>
      </c>
      <c r="U51" s="68">
        <v>12</v>
      </c>
      <c r="V51" s="68">
        <v>22</v>
      </c>
      <c r="W51" s="68">
        <v>22</v>
      </c>
      <c r="X51" s="68">
        <v>49</v>
      </c>
      <c r="Y51" s="68">
        <v>44</v>
      </c>
      <c r="Z51" s="68">
        <v>0</v>
      </c>
      <c r="AA51" s="68">
        <v>0</v>
      </c>
      <c r="AB51" s="68">
        <v>0</v>
      </c>
      <c r="AC51" s="68">
        <v>0</v>
      </c>
      <c r="AD51" s="68">
        <v>0</v>
      </c>
      <c r="AE51" s="68">
        <v>0</v>
      </c>
      <c r="AF51" s="68">
        <v>0</v>
      </c>
      <c r="AG51" s="68">
        <v>0</v>
      </c>
      <c r="AH51" s="68">
        <v>0</v>
      </c>
      <c r="AI51" s="68">
        <v>0</v>
      </c>
      <c r="AJ51" s="68">
        <v>0</v>
      </c>
      <c r="AK51" s="68">
        <v>0</v>
      </c>
      <c r="AL51" s="68">
        <v>0</v>
      </c>
      <c r="AM51" s="68">
        <v>0</v>
      </c>
      <c r="AN51" s="68">
        <v>0</v>
      </c>
      <c r="AO51" s="68">
        <v>0</v>
      </c>
      <c r="AP51" s="68">
        <v>0</v>
      </c>
      <c r="AQ51" s="68">
        <v>0</v>
      </c>
      <c r="AR51" s="68">
        <v>0</v>
      </c>
      <c r="AS51" s="68">
        <v>0</v>
      </c>
      <c r="AT51" s="68">
        <v>0</v>
      </c>
      <c r="AU51" s="68">
        <v>0</v>
      </c>
      <c r="AV51" s="68">
        <v>0</v>
      </c>
      <c r="AW51" s="68">
        <v>0</v>
      </c>
      <c r="AX51" s="68">
        <v>0</v>
      </c>
      <c r="AY51" s="68">
        <v>0</v>
      </c>
      <c r="AZ51" s="68">
        <v>0</v>
      </c>
      <c r="BA51" s="68">
        <v>0</v>
      </c>
      <c r="BB51" s="68">
        <v>0</v>
      </c>
      <c r="BC51" s="68">
        <v>0</v>
      </c>
      <c r="BD51" s="68">
        <v>0</v>
      </c>
      <c r="BE51" s="68">
        <v>0</v>
      </c>
      <c r="BF51" s="68">
        <v>0</v>
      </c>
      <c r="CE51" s="68">
        <f>SUM(D51:BD51)</f>
        <v>495</v>
      </c>
      <c r="CO51" s="68">
        <f>SUM(D51:BF51)</f>
        <v>495</v>
      </c>
    </row>
    <row r="52" spans="2:93" s="60" customFormat="1" x14ac:dyDescent="0.15">
      <c r="C52" s="60" t="s">
        <v>119</v>
      </c>
      <c r="D52" s="60">
        <f>D51+D50</f>
        <v>186</v>
      </c>
      <c r="E52" s="60">
        <f t="shared" ref="E52:BF52" si="237">E51+E50</f>
        <v>206</v>
      </c>
      <c r="F52" s="60">
        <f t="shared" si="237"/>
        <v>155</v>
      </c>
      <c r="G52" s="60">
        <f t="shared" si="237"/>
        <v>234</v>
      </c>
      <c r="H52" s="60">
        <f t="shared" si="237"/>
        <v>137</v>
      </c>
      <c r="I52" s="60">
        <f t="shared" si="237"/>
        <v>133</v>
      </c>
      <c r="J52" s="60">
        <f t="shared" si="237"/>
        <v>92</v>
      </c>
      <c r="K52" s="60">
        <f t="shared" si="237"/>
        <v>113</v>
      </c>
      <c r="L52" s="60">
        <f t="shared" si="237"/>
        <v>141</v>
      </c>
      <c r="M52" s="60">
        <f t="shared" si="237"/>
        <v>132</v>
      </c>
      <c r="N52" s="60">
        <f t="shared" si="237"/>
        <v>230</v>
      </c>
      <c r="O52" s="60">
        <f t="shared" si="237"/>
        <v>132</v>
      </c>
      <c r="P52" s="60">
        <f t="shared" si="237"/>
        <v>177</v>
      </c>
      <c r="Q52" s="60">
        <f t="shared" si="237"/>
        <v>231</v>
      </c>
      <c r="R52" s="60">
        <f t="shared" si="237"/>
        <v>199</v>
      </c>
      <c r="S52" s="60">
        <f t="shared" si="237"/>
        <v>155</v>
      </c>
      <c r="T52" s="60">
        <f t="shared" si="237"/>
        <v>174</v>
      </c>
      <c r="U52" s="60">
        <f t="shared" si="237"/>
        <v>201</v>
      </c>
      <c r="V52" s="60">
        <f t="shared" si="237"/>
        <v>152</v>
      </c>
      <c r="W52" s="60">
        <f t="shared" si="237"/>
        <v>189</v>
      </c>
      <c r="X52" s="60">
        <f t="shared" si="237"/>
        <v>221</v>
      </c>
      <c r="Y52" s="60">
        <f t="shared" si="237"/>
        <v>159</v>
      </c>
      <c r="Z52" s="60">
        <f t="shared" si="237"/>
        <v>0</v>
      </c>
      <c r="AA52" s="60">
        <f t="shared" si="237"/>
        <v>0</v>
      </c>
      <c r="AB52" s="60">
        <f t="shared" si="237"/>
        <v>0</v>
      </c>
      <c r="AC52" s="60">
        <f t="shared" si="237"/>
        <v>0</v>
      </c>
      <c r="AD52" s="60">
        <f t="shared" si="237"/>
        <v>0</v>
      </c>
      <c r="AE52" s="60">
        <f t="shared" si="237"/>
        <v>0</v>
      </c>
      <c r="AF52" s="60">
        <f t="shared" si="237"/>
        <v>0</v>
      </c>
      <c r="AG52" s="60">
        <f t="shared" si="237"/>
        <v>0</v>
      </c>
      <c r="AH52" s="60">
        <f t="shared" si="237"/>
        <v>0</v>
      </c>
      <c r="AI52" s="60">
        <f t="shared" si="237"/>
        <v>0</v>
      </c>
      <c r="AJ52" s="60">
        <f t="shared" si="237"/>
        <v>0</v>
      </c>
      <c r="AK52" s="60">
        <f t="shared" si="237"/>
        <v>0</v>
      </c>
      <c r="AL52" s="60">
        <f t="shared" si="237"/>
        <v>0</v>
      </c>
      <c r="AM52" s="60">
        <f t="shared" si="237"/>
        <v>0</v>
      </c>
      <c r="AN52" s="60">
        <f t="shared" si="237"/>
        <v>0</v>
      </c>
      <c r="AO52" s="60">
        <f t="shared" si="237"/>
        <v>0</v>
      </c>
      <c r="AP52" s="60">
        <f t="shared" si="237"/>
        <v>0</v>
      </c>
      <c r="AQ52" s="60">
        <f t="shared" si="237"/>
        <v>0</v>
      </c>
      <c r="AR52" s="60">
        <f t="shared" si="237"/>
        <v>0</v>
      </c>
      <c r="AS52" s="60">
        <f t="shared" si="237"/>
        <v>0</v>
      </c>
      <c r="AT52" s="60">
        <f t="shared" si="237"/>
        <v>0</v>
      </c>
      <c r="AU52" s="60">
        <f>AU51+AU50</f>
        <v>0</v>
      </c>
      <c r="AV52" s="60">
        <f t="shared" si="237"/>
        <v>0</v>
      </c>
      <c r="AW52" s="60">
        <f t="shared" si="237"/>
        <v>0</v>
      </c>
      <c r="AX52" s="60">
        <f t="shared" si="237"/>
        <v>0</v>
      </c>
      <c r="AY52" s="60">
        <f t="shared" si="237"/>
        <v>0</v>
      </c>
      <c r="AZ52" s="60">
        <f t="shared" si="237"/>
        <v>0</v>
      </c>
      <c r="BA52" s="60">
        <f t="shared" si="237"/>
        <v>0</v>
      </c>
      <c r="BB52" s="60">
        <f t="shared" si="237"/>
        <v>0</v>
      </c>
      <c r="BC52" s="60">
        <f t="shared" si="237"/>
        <v>0</v>
      </c>
      <c r="BD52" s="60">
        <f t="shared" si="237"/>
        <v>0</v>
      </c>
      <c r="BE52" s="60">
        <f t="shared" si="237"/>
        <v>0</v>
      </c>
      <c r="BF52" s="60">
        <f t="shared" si="237"/>
        <v>0</v>
      </c>
      <c r="CE52" s="68">
        <f>SUM(D52:BD52)</f>
        <v>3749</v>
      </c>
      <c r="CG52" s="68" t="s">
        <v>35</v>
      </c>
      <c r="CH52" s="68">
        <f>CG50-CH50</f>
        <v>149</v>
      </c>
      <c r="CI52" s="68"/>
      <c r="CJ52" s="68"/>
      <c r="CK52" s="68"/>
      <c r="CO52" s="60">
        <f>SUM(D52:BF52)</f>
        <v>3749</v>
      </c>
    </row>
    <row r="53" spans="2:93" x14ac:dyDescent="0.15">
      <c r="D53" s="53"/>
      <c r="CG53" s="68" t="s">
        <v>36</v>
      </c>
      <c r="CH53" s="68">
        <f>CE52/CH52</f>
        <v>25.161073825503355</v>
      </c>
    </row>
    <row r="54" spans="2:93" s="117" customFormat="1" x14ac:dyDescent="0.15">
      <c r="C54" s="117" t="s">
        <v>214</v>
      </c>
      <c r="D54" s="118" t="str">
        <f>INDEX($C$5:$C$44,findcellcontaining("*",D5:D44))</f>
        <v>Middleton J</v>
      </c>
      <c r="E54" s="118" t="str">
        <f>INDEX($C$5:$C$44,findcellcontaining("*",E5:E44))</f>
        <v>Middleton J</v>
      </c>
      <c r="F54" s="118" t="str">
        <f>INDEX($C$5:$C$44,findcellcontaining("*",F5:F44))</f>
        <v>Middleton J</v>
      </c>
      <c r="G54" s="118" t="str">
        <f>INDEX($C$5:$C$44,findcellcontaining("*",G5:G44))</f>
        <v>Middleton J</v>
      </c>
      <c r="H54" s="118" t="str">
        <f>INDEX($C$5:$C$44,findcellcontaining("*",H5:H44))</f>
        <v>Middleton J</v>
      </c>
      <c r="I54" s="118" t="str">
        <f>INDEX($C$5:$C$44,findcellcontaining("*",I5:I44))</f>
        <v>Sharpe D</v>
      </c>
      <c r="J54" s="118" t="str">
        <f>INDEX($C$5:$C$44,findcellcontaining("*",J5:J44))</f>
        <v>Clark C</v>
      </c>
      <c r="K54" s="118" t="str">
        <f>INDEX($C$5:$C$44,findcellcontaining("*",K5:K44))</f>
        <v>Middleton J</v>
      </c>
      <c r="L54" s="118" t="str">
        <f>INDEX($C$5:$C$44,findcellcontaining("*",L5:L44))</f>
        <v>Middleton J</v>
      </c>
      <c r="M54" s="118" t="str">
        <f>INDEX($C$5:$C$44,findcellcontaining("*",M5:M44))</f>
        <v>Middleton J</v>
      </c>
      <c r="N54" s="118" t="str">
        <f>INDEX($C$5:$C$44,findcellcontaining("*",N5:N44))</f>
        <v>Middleton J</v>
      </c>
      <c r="O54" s="118" t="str">
        <f>INDEX($C$5:$C$44,findcellcontaining("*",O5:O44))</f>
        <v>Middleton J</v>
      </c>
      <c r="P54" s="118" t="str">
        <f>INDEX($C$5:$C$44,findcellcontaining("*",P5:P44))</f>
        <v>Middleton J</v>
      </c>
      <c r="Q54" s="118" t="str">
        <f>INDEX($C$5:$C$44,findcellcontaining("*",Q5:Q44))</f>
        <v>Middleton J</v>
      </c>
      <c r="R54" s="118" t="str">
        <f>INDEX($C$5:$C$44,findcellcontaining("*",R5:R44))</f>
        <v>Middleton J</v>
      </c>
      <c r="S54" s="118" t="str">
        <f>INDEX($C$5:$C$44,findcellcontaining("*",S5:S44))</f>
        <v>Middleton J</v>
      </c>
      <c r="T54" s="118" t="str">
        <f>INDEX($C$5:$C$44,findcellcontaining("*",T5:T44))</f>
        <v>Middleton J</v>
      </c>
      <c r="U54" s="118" t="str">
        <f>INDEX($C$5:$C$44,findcellcontaining("*",U5:U44))</f>
        <v>Middleton J</v>
      </c>
      <c r="V54" s="118" t="str">
        <f>INDEX($C$5:$C$44,findcellcontaining("*",V5:V44))</f>
        <v>Sharpe D</v>
      </c>
      <c r="W54" s="118" t="str">
        <f>INDEX($C$5:$C$44,findcellcontaining("*",W5:W44))</f>
        <v>Middleton J</v>
      </c>
      <c r="X54" s="118" t="str">
        <f>INDEX($C$5:$C$44,findcellcontaining("*",X5:X44))</f>
        <v>Middleton J</v>
      </c>
      <c r="Y54" s="118" t="str">
        <f>INDEX($C$5:$C$44,findcellcontaining("*",Y5:Y44))</f>
        <v>Sharpe D</v>
      </c>
      <c r="Z54" s="118" t="e">
        <f>INDEX($C$5:$C$44,findcellcontaining("*",Z5:Z44))</f>
        <v>#N/A</v>
      </c>
      <c r="AA54" s="118" t="e">
        <f>INDEX($C$5:$C$44,findcellcontaining("*",AA5:AA44))</f>
        <v>#N/A</v>
      </c>
      <c r="AB54" s="118" t="e">
        <f>INDEX($C$5:$C$44,findcellcontaining("*",AB5:AB44))</f>
        <v>#N/A</v>
      </c>
      <c r="AC54" s="118" t="e">
        <f>INDEX($C$5:$C$44,findcellcontaining("*",AC5:AC44))</f>
        <v>#N/A</v>
      </c>
      <c r="AD54" s="118" t="e">
        <f>INDEX($C$5:$C$44,findcellcontaining("*",AD5:AD44))</f>
        <v>#N/A</v>
      </c>
      <c r="AE54" s="118" t="e">
        <f>INDEX($C$5:$C$44,findcellcontaining("*",AE5:AE44))</f>
        <v>#N/A</v>
      </c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118"/>
      <c r="BE54" s="118"/>
      <c r="BF54" s="118"/>
      <c r="BG54" s="118"/>
      <c r="BH54" s="118"/>
      <c r="BI54" s="118"/>
      <c r="BJ54" s="118"/>
      <c r="BK54" s="118"/>
      <c r="BL54" s="118"/>
      <c r="BM54" s="118"/>
      <c r="BN54" s="118"/>
      <c r="BO54" s="118"/>
      <c r="BP54" s="118"/>
      <c r="BQ54" s="118"/>
      <c r="BR54" s="118"/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L54" s="119"/>
    </row>
    <row r="55" spans="2:93" s="117" customFormat="1" x14ac:dyDescent="0.15">
      <c r="C55" s="121"/>
      <c r="CL55" s="119"/>
      <c r="CO55" s="120"/>
    </row>
    <row r="56" spans="2:93" s="117" customFormat="1" x14ac:dyDescent="0.15">
      <c r="B56" s="117">
        <f>MAX(D56:AE56)</f>
        <v>5</v>
      </c>
      <c r="C56" s="117" t="s">
        <v>23</v>
      </c>
      <c r="D56" s="117">
        <f t="shared" ref="D56:AE56" si="238">BatSplit(D5:D44,Sixes)</f>
        <v>4</v>
      </c>
      <c r="E56" s="117">
        <f t="shared" si="238"/>
        <v>4</v>
      </c>
      <c r="F56" s="117">
        <f t="shared" si="238"/>
        <v>4</v>
      </c>
      <c r="G56" s="117">
        <f t="shared" si="238"/>
        <v>4</v>
      </c>
      <c r="H56" s="117">
        <f t="shared" si="238"/>
        <v>1</v>
      </c>
      <c r="I56" s="117">
        <f t="shared" si="238"/>
        <v>3</v>
      </c>
      <c r="J56" s="117">
        <f t="shared" si="238"/>
        <v>1</v>
      </c>
      <c r="K56" s="117">
        <f t="shared" si="238"/>
        <v>0</v>
      </c>
      <c r="L56" s="117">
        <f t="shared" si="238"/>
        <v>2</v>
      </c>
      <c r="M56" s="117">
        <f t="shared" si="238"/>
        <v>1</v>
      </c>
      <c r="N56" s="117">
        <f t="shared" si="238"/>
        <v>2</v>
      </c>
      <c r="O56" s="117">
        <f t="shared" si="238"/>
        <v>3</v>
      </c>
      <c r="P56" s="117">
        <f t="shared" si="238"/>
        <v>5</v>
      </c>
      <c r="Q56" s="117">
        <f t="shared" si="238"/>
        <v>4</v>
      </c>
      <c r="R56" s="117">
        <f t="shared" si="238"/>
        <v>0</v>
      </c>
      <c r="S56" s="117">
        <f t="shared" si="238"/>
        <v>2</v>
      </c>
      <c r="T56" s="117">
        <f t="shared" si="238"/>
        <v>0</v>
      </c>
      <c r="U56" s="117">
        <f t="shared" si="238"/>
        <v>0</v>
      </c>
      <c r="V56" s="117">
        <f t="shared" si="238"/>
        <v>1</v>
      </c>
      <c r="W56" s="117">
        <f t="shared" si="238"/>
        <v>1</v>
      </c>
      <c r="X56" s="117">
        <f t="shared" si="238"/>
        <v>3</v>
      </c>
      <c r="Y56" s="117">
        <f t="shared" si="238"/>
        <v>0</v>
      </c>
      <c r="Z56" s="117">
        <f t="shared" si="238"/>
        <v>0</v>
      </c>
      <c r="AA56" s="117">
        <f t="shared" si="238"/>
        <v>0</v>
      </c>
      <c r="AB56" s="117">
        <f t="shared" si="238"/>
        <v>0</v>
      </c>
      <c r="AC56" s="117">
        <f t="shared" si="238"/>
        <v>0</v>
      </c>
      <c r="AD56" s="117">
        <f t="shared" si="238"/>
        <v>0</v>
      </c>
      <c r="AE56" s="117">
        <f t="shared" si="238"/>
        <v>0</v>
      </c>
      <c r="CL56" s="119"/>
    </row>
    <row r="57" spans="2:93" s="117" customFormat="1" x14ac:dyDescent="0.15">
      <c r="B57" s="117">
        <f>MAX(D57:AE57)</f>
        <v>29</v>
      </c>
      <c r="C57" s="117" t="s">
        <v>22</v>
      </c>
      <c r="D57" s="117">
        <f t="shared" ref="D57:AE57" si="239">BatSplit(D5:D44,Fours)</f>
        <v>9</v>
      </c>
      <c r="E57" s="117">
        <f t="shared" si="239"/>
        <v>21</v>
      </c>
      <c r="F57" s="117">
        <f t="shared" si="239"/>
        <v>20</v>
      </c>
      <c r="G57" s="117">
        <f t="shared" si="239"/>
        <v>22</v>
      </c>
      <c r="H57" s="117">
        <f t="shared" si="239"/>
        <v>22</v>
      </c>
      <c r="I57" s="117">
        <f t="shared" si="239"/>
        <v>18</v>
      </c>
      <c r="J57" s="117">
        <f t="shared" si="239"/>
        <v>11</v>
      </c>
      <c r="K57" s="117">
        <f t="shared" si="239"/>
        <v>11</v>
      </c>
      <c r="L57" s="117">
        <f t="shared" si="239"/>
        <v>18</v>
      </c>
      <c r="M57" s="117">
        <f t="shared" si="239"/>
        <v>11</v>
      </c>
      <c r="N57" s="117">
        <f t="shared" si="239"/>
        <v>18</v>
      </c>
      <c r="O57" s="117">
        <f t="shared" si="239"/>
        <v>19</v>
      </c>
      <c r="P57" s="117">
        <f t="shared" si="239"/>
        <v>23</v>
      </c>
      <c r="Q57" s="117">
        <f t="shared" si="239"/>
        <v>28</v>
      </c>
      <c r="R57" s="117">
        <f t="shared" si="239"/>
        <v>21</v>
      </c>
      <c r="S57" s="117">
        <f t="shared" si="239"/>
        <v>27</v>
      </c>
      <c r="T57" s="117">
        <f t="shared" si="239"/>
        <v>25</v>
      </c>
      <c r="U57" s="117">
        <f t="shared" si="239"/>
        <v>29</v>
      </c>
      <c r="V57" s="117">
        <f t="shared" si="239"/>
        <v>17</v>
      </c>
      <c r="W57" s="117">
        <f t="shared" si="239"/>
        <v>16</v>
      </c>
      <c r="X57" s="117">
        <f t="shared" si="239"/>
        <v>21</v>
      </c>
      <c r="Y57" s="117">
        <f t="shared" si="239"/>
        <v>15</v>
      </c>
      <c r="Z57" s="117">
        <f t="shared" si="239"/>
        <v>0</v>
      </c>
      <c r="AA57" s="117">
        <f t="shared" si="239"/>
        <v>0</v>
      </c>
      <c r="AB57" s="117">
        <f t="shared" si="239"/>
        <v>0</v>
      </c>
      <c r="AC57" s="117">
        <f t="shared" si="239"/>
        <v>0</v>
      </c>
      <c r="AD57" s="117">
        <f t="shared" si="239"/>
        <v>0</v>
      </c>
      <c r="AE57" s="117">
        <f t="shared" si="239"/>
        <v>0</v>
      </c>
      <c r="CL57" s="119"/>
    </row>
    <row r="58" spans="2:93" s="117" customFormat="1" x14ac:dyDescent="0.15">
      <c r="C58" s="137" t="s">
        <v>21</v>
      </c>
      <c r="D58" s="117">
        <f t="shared" ref="D58:Z58" si="240">BatSplit(D5:D44,Catches)</f>
        <v>2</v>
      </c>
      <c r="E58" s="117">
        <f t="shared" si="240"/>
        <v>5</v>
      </c>
      <c r="F58" s="117">
        <f t="shared" si="240"/>
        <v>2</v>
      </c>
      <c r="G58" s="117">
        <f t="shared" si="240"/>
        <v>4</v>
      </c>
      <c r="H58" s="117">
        <f t="shared" si="240"/>
        <v>2</v>
      </c>
      <c r="I58" s="117">
        <f t="shared" si="240"/>
        <v>4</v>
      </c>
      <c r="J58" s="117">
        <f t="shared" si="240"/>
        <v>6</v>
      </c>
      <c r="K58" s="117">
        <f t="shared" si="240"/>
        <v>5</v>
      </c>
      <c r="L58" s="117">
        <f t="shared" si="240"/>
        <v>4</v>
      </c>
      <c r="M58" s="117">
        <f t="shared" si="240"/>
        <v>3</v>
      </c>
      <c r="N58" s="117">
        <f t="shared" si="240"/>
        <v>1</v>
      </c>
      <c r="O58" s="117">
        <f t="shared" si="240"/>
        <v>3</v>
      </c>
      <c r="P58" s="117">
        <f t="shared" si="240"/>
        <v>3</v>
      </c>
      <c r="Q58" s="117">
        <f t="shared" si="240"/>
        <v>2</v>
      </c>
      <c r="R58" s="117">
        <f t="shared" si="240"/>
        <v>7</v>
      </c>
      <c r="S58" s="117">
        <f t="shared" si="240"/>
        <v>3</v>
      </c>
      <c r="T58" s="117">
        <f t="shared" si="240"/>
        <v>3</v>
      </c>
      <c r="U58" s="117">
        <f t="shared" si="240"/>
        <v>7</v>
      </c>
      <c r="V58" s="117">
        <f t="shared" si="240"/>
        <v>3</v>
      </c>
      <c r="W58" s="117">
        <f t="shared" si="240"/>
        <v>0</v>
      </c>
      <c r="X58" s="117">
        <f t="shared" si="240"/>
        <v>2</v>
      </c>
      <c r="Y58" s="117">
        <f t="shared" si="240"/>
        <v>1</v>
      </c>
      <c r="Z58" s="117">
        <f t="shared" si="240"/>
        <v>0</v>
      </c>
      <c r="CL58" s="119"/>
    </row>
    <row r="59" spans="2:93" s="117" customFormat="1" x14ac:dyDescent="0.15">
      <c r="C59" s="137" t="s">
        <v>239</v>
      </c>
      <c r="D59" s="117">
        <f t="shared" ref="D59:Z59" si="241">BatSplit(D5:D44,HighestScore)</f>
        <v>68</v>
      </c>
      <c r="E59" s="117">
        <f t="shared" si="241"/>
        <v>43</v>
      </c>
      <c r="F59" s="117">
        <f t="shared" si="241"/>
        <v>60</v>
      </c>
      <c r="G59" s="117">
        <f t="shared" si="241"/>
        <v>102</v>
      </c>
      <c r="H59" s="117">
        <f t="shared" si="241"/>
        <v>-30</v>
      </c>
      <c r="I59" s="117">
        <f t="shared" si="241"/>
        <v>-54</v>
      </c>
      <c r="J59" s="117">
        <f t="shared" si="241"/>
        <v>23</v>
      </c>
      <c r="K59" s="117">
        <f t="shared" si="241"/>
        <v>52</v>
      </c>
      <c r="L59" s="117">
        <f t="shared" si="241"/>
        <v>-94</v>
      </c>
      <c r="M59" s="117">
        <f t="shared" si="241"/>
        <v>19</v>
      </c>
      <c r="N59" s="117">
        <f t="shared" si="241"/>
        <v>-64</v>
      </c>
      <c r="O59" s="117">
        <f t="shared" si="241"/>
        <v>35</v>
      </c>
      <c r="P59" s="117">
        <f t="shared" si="241"/>
        <v>60</v>
      </c>
      <c r="Q59" s="117">
        <f t="shared" si="241"/>
        <v>64</v>
      </c>
      <c r="R59" s="117">
        <f t="shared" si="241"/>
        <v>48</v>
      </c>
      <c r="S59" s="117">
        <f t="shared" si="241"/>
        <v>-66</v>
      </c>
      <c r="T59" s="117">
        <f t="shared" si="241"/>
        <v>-27</v>
      </c>
      <c r="U59" s="117">
        <f t="shared" si="241"/>
        <v>84</v>
      </c>
      <c r="V59" s="117">
        <f t="shared" si="241"/>
        <v>-47</v>
      </c>
      <c r="W59" s="117">
        <f t="shared" si="241"/>
        <v>53</v>
      </c>
      <c r="X59" s="117">
        <f t="shared" si="241"/>
        <v>-43</v>
      </c>
      <c r="Y59" s="117">
        <f t="shared" si="241"/>
        <v>-49</v>
      </c>
      <c r="Z59" s="117">
        <f t="shared" si="241"/>
        <v>0</v>
      </c>
      <c r="CL59" s="119"/>
    </row>
    <row r="60" spans="2:93" s="117" customFormat="1" x14ac:dyDescent="0.15">
      <c r="C60" s="137"/>
      <c r="CL60" s="119"/>
    </row>
    <row r="61" spans="2:93" s="117" customFormat="1" x14ac:dyDescent="0.15">
      <c r="D61" s="117" t="str">
        <f t="shared" ref="D61:Z72" si="242">IF(BatSplit(D5,RunsScored)&gt;=50,BatSplit(D5,RunsScored)&amp;IF(BatSplit(D5,NotOuts)=1,"*","")&amp;"|"&amp;$C5&amp;"|"&amp;D$2&amp;"|"&amp;TEXT(D$1,"dd-mmm"),"x")</f>
        <v>x</v>
      </c>
      <c r="E61" s="117" t="str">
        <f t="shared" si="242"/>
        <v>x</v>
      </c>
      <c r="F61" s="117" t="str">
        <f t="shared" si="242"/>
        <v>x</v>
      </c>
      <c r="G61" s="117" t="str">
        <f t="shared" si="242"/>
        <v>x</v>
      </c>
      <c r="H61" s="117" t="str">
        <f t="shared" si="242"/>
        <v>x</v>
      </c>
      <c r="I61" s="117" t="str">
        <f t="shared" si="242"/>
        <v>x</v>
      </c>
      <c r="J61" s="117" t="str">
        <f t="shared" si="242"/>
        <v>x</v>
      </c>
      <c r="K61" s="117" t="str">
        <f t="shared" si="242"/>
        <v>x</v>
      </c>
      <c r="L61" s="117" t="str">
        <f t="shared" si="242"/>
        <v>x</v>
      </c>
      <c r="M61" s="117" t="str">
        <f t="shared" si="242"/>
        <v>x</v>
      </c>
      <c r="N61" s="117" t="str">
        <f t="shared" si="242"/>
        <v>x</v>
      </c>
      <c r="O61" s="117" t="str">
        <f t="shared" si="242"/>
        <v>x</v>
      </c>
      <c r="P61" s="117" t="str">
        <f t="shared" si="242"/>
        <v>x</v>
      </c>
      <c r="Q61" s="117" t="str">
        <f t="shared" si="242"/>
        <v>x</v>
      </c>
      <c r="R61" s="117" t="str">
        <f t="shared" si="242"/>
        <v>x</v>
      </c>
      <c r="S61" s="117" t="str">
        <f t="shared" si="242"/>
        <v>x</v>
      </c>
      <c r="T61" s="117" t="str">
        <f t="shared" si="242"/>
        <v>x</v>
      </c>
      <c r="U61" s="117" t="str">
        <f t="shared" si="242"/>
        <v>x</v>
      </c>
      <c r="V61" s="117" t="str">
        <f t="shared" si="242"/>
        <v>x</v>
      </c>
      <c r="W61" s="117" t="str">
        <f t="shared" si="242"/>
        <v>x</v>
      </c>
      <c r="X61" s="117" t="str">
        <f t="shared" si="242"/>
        <v>x</v>
      </c>
      <c r="Y61" s="117" t="str">
        <f t="shared" si="242"/>
        <v>x</v>
      </c>
      <c r="Z61" s="117" t="str">
        <f t="shared" si="242"/>
        <v>x</v>
      </c>
      <c r="CL61" s="119"/>
    </row>
    <row r="62" spans="2:93" s="117" customFormat="1" x14ac:dyDescent="0.15">
      <c r="D62" s="117" t="str">
        <f t="shared" si="242"/>
        <v>x</v>
      </c>
      <c r="E62" s="117" t="str">
        <f t="shared" si="242"/>
        <v>x</v>
      </c>
      <c r="F62" s="117" t="str">
        <f t="shared" si="242"/>
        <v>x</v>
      </c>
      <c r="G62" s="117" t="str">
        <f t="shared" si="242"/>
        <v>x</v>
      </c>
      <c r="H62" s="117" t="str">
        <f t="shared" si="242"/>
        <v>x</v>
      </c>
      <c r="I62" s="117" t="str">
        <f t="shared" si="242"/>
        <v>x</v>
      </c>
      <c r="J62" s="117" t="str">
        <f t="shared" si="242"/>
        <v>x</v>
      </c>
      <c r="K62" s="117" t="str">
        <f t="shared" si="242"/>
        <v>x</v>
      </c>
      <c r="L62" s="117" t="str">
        <f t="shared" si="242"/>
        <v>x</v>
      </c>
      <c r="M62" s="117" t="str">
        <f t="shared" si="242"/>
        <v>x</v>
      </c>
      <c r="N62" s="117" t="str">
        <f t="shared" si="242"/>
        <v>x</v>
      </c>
      <c r="O62" s="117" t="str">
        <f t="shared" si="242"/>
        <v>x</v>
      </c>
      <c r="P62" s="117" t="str">
        <f t="shared" si="242"/>
        <v>x</v>
      </c>
      <c r="Q62" s="117" t="str">
        <f t="shared" si="242"/>
        <v>x</v>
      </c>
      <c r="R62" s="117" t="str">
        <f t="shared" si="242"/>
        <v>x</v>
      </c>
      <c r="S62" s="117" t="str">
        <f t="shared" si="242"/>
        <v>x</v>
      </c>
      <c r="T62" s="117" t="str">
        <f t="shared" si="242"/>
        <v>x</v>
      </c>
      <c r="U62" s="117" t="str">
        <f t="shared" si="242"/>
        <v>x</v>
      </c>
      <c r="V62" s="117" t="str">
        <f t="shared" si="242"/>
        <v>x</v>
      </c>
      <c r="W62" s="117" t="str">
        <f t="shared" si="242"/>
        <v>x</v>
      </c>
      <c r="X62" s="117" t="str">
        <f t="shared" si="242"/>
        <v>x</v>
      </c>
      <c r="Y62" s="117" t="str">
        <f t="shared" si="242"/>
        <v>x</v>
      </c>
      <c r="Z62" s="117" t="str">
        <f t="shared" si="242"/>
        <v>x</v>
      </c>
      <c r="CL62" s="119"/>
    </row>
    <row r="63" spans="2:93" s="117" customFormat="1" x14ac:dyDescent="0.15">
      <c r="D63" s="117" t="str">
        <f t="shared" si="242"/>
        <v>x</v>
      </c>
      <c r="E63" s="117" t="str">
        <f t="shared" si="242"/>
        <v>x</v>
      </c>
      <c r="F63" s="117" t="str">
        <f t="shared" si="242"/>
        <v>x</v>
      </c>
      <c r="G63" s="117" t="str">
        <f t="shared" si="242"/>
        <v>x</v>
      </c>
      <c r="H63" s="117" t="str">
        <f t="shared" si="242"/>
        <v>x</v>
      </c>
      <c r="I63" s="117" t="str">
        <f t="shared" si="242"/>
        <v>x</v>
      </c>
      <c r="J63" s="117" t="str">
        <f t="shared" si="242"/>
        <v>x</v>
      </c>
      <c r="K63" s="117" t="str">
        <f t="shared" si="242"/>
        <v>x</v>
      </c>
      <c r="L63" s="117" t="str">
        <f t="shared" si="242"/>
        <v>x</v>
      </c>
      <c r="M63" s="117" t="str">
        <f t="shared" si="242"/>
        <v>x</v>
      </c>
      <c r="N63" s="117" t="str">
        <f t="shared" si="242"/>
        <v>x</v>
      </c>
      <c r="O63" s="117" t="str">
        <f t="shared" si="242"/>
        <v>x</v>
      </c>
      <c r="P63" s="117" t="str">
        <f t="shared" si="242"/>
        <v>x</v>
      </c>
      <c r="Q63" s="117" t="str">
        <f t="shared" si="242"/>
        <v>x</v>
      </c>
      <c r="R63" s="117" t="str">
        <f t="shared" si="242"/>
        <v>x</v>
      </c>
      <c r="S63" s="117" t="str">
        <f t="shared" si="242"/>
        <v>x</v>
      </c>
      <c r="T63" s="117" t="str">
        <f t="shared" si="242"/>
        <v>x</v>
      </c>
      <c r="U63" s="117" t="str">
        <f t="shared" si="242"/>
        <v>x</v>
      </c>
      <c r="V63" s="117" t="str">
        <f t="shared" si="242"/>
        <v>x</v>
      </c>
      <c r="W63" s="117" t="str">
        <f t="shared" si="242"/>
        <v>x</v>
      </c>
      <c r="X63" s="117" t="str">
        <f t="shared" si="242"/>
        <v>x</v>
      </c>
      <c r="Y63" s="117" t="str">
        <f t="shared" si="242"/>
        <v>x</v>
      </c>
      <c r="Z63" s="117" t="str">
        <f t="shared" si="242"/>
        <v>x</v>
      </c>
      <c r="CL63" s="119"/>
    </row>
    <row r="64" spans="2:93" s="117" customFormat="1" x14ac:dyDescent="0.15">
      <c r="D64" s="117" t="str">
        <f t="shared" si="242"/>
        <v>x</v>
      </c>
      <c r="E64" s="117" t="str">
        <f t="shared" si="242"/>
        <v>x</v>
      </c>
      <c r="F64" s="117" t="str">
        <f t="shared" si="242"/>
        <v>x</v>
      </c>
      <c r="G64" s="117" t="str">
        <f t="shared" si="242"/>
        <v>54|Brocks D|Shades|19-May</v>
      </c>
      <c r="H64" s="117" t="str">
        <f t="shared" si="242"/>
        <v>x</v>
      </c>
      <c r="I64" s="117" t="str">
        <f t="shared" si="242"/>
        <v>x</v>
      </c>
      <c r="J64" s="117" t="str">
        <f t="shared" si="242"/>
        <v>x</v>
      </c>
      <c r="K64" s="117" t="str">
        <f t="shared" si="242"/>
        <v>x</v>
      </c>
      <c r="L64" s="117" t="str">
        <f t="shared" si="242"/>
        <v>x</v>
      </c>
      <c r="M64" s="117" t="str">
        <f t="shared" si="242"/>
        <v>x</v>
      </c>
      <c r="N64" s="117" t="str">
        <f t="shared" si="242"/>
        <v>x</v>
      </c>
      <c r="O64" s="117" t="str">
        <f t="shared" si="242"/>
        <v>x</v>
      </c>
      <c r="P64" s="117" t="str">
        <f t="shared" si="242"/>
        <v>x</v>
      </c>
      <c r="Q64" s="117" t="str">
        <f t="shared" si="242"/>
        <v>x</v>
      </c>
      <c r="R64" s="117" t="str">
        <f t="shared" si="242"/>
        <v>x</v>
      </c>
      <c r="S64" s="117" t="str">
        <f t="shared" si="242"/>
        <v>x</v>
      </c>
      <c r="T64" s="117" t="str">
        <f t="shared" si="242"/>
        <v>x</v>
      </c>
      <c r="U64" s="117" t="str">
        <f t="shared" si="242"/>
        <v>x</v>
      </c>
      <c r="V64" s="117" t="str">
        <f t="shared" si="242"/>
        <v>x</v>
      </c>
      <c r="W64" s="117" t="str">
        <f t="shared" si="242"/>
        <v>x</v>
      </c>
      <c r="X64" s="117" t="str">
        <f t="shared" si="242"/>
        <v>x</v>
      </c>
      <c r="Y64" s="117" t="str">
        <f t="shared" si="242"/>
        <v>x</v>
      </c>
      <c r="Z64" s="117" t="str">
        <f t="shared" si="242"/>
        <v>x</v>
      </c>
      <c r="CL64" s="119"/>
    </row>
    <row r="65" spans="4:90" s="117" customFormat="1" x14ac:dyDescent="0.15">
      <c r="D65" s="117" t="str">
        <f t="shared" si="242"/>
        <v>x</v>
      </c>
      <c r="E65" s="117" t="str">
        <f t="shared" si="242"/>
        <v>x</v>
      </c>
      <c r="F65" s="117" t="str">
        <f t="shared" si="242"/>
        <v>x</v>
      </c>
      <c r="G65" s="117" t="str">
        <f t="shared" si="242"/>
        <v>x</v>
      </c>
      <c r="H65" s="117" t="str">
        <f t="shared" si="242"/>
        <v>x</v>
      </c>
      <c r="I65" s="117" t="str">
        <f t="shared" si="242"/>
        <v>x</v>
      </c>
      <c r="J65" s="117" t="str">
        <f t="shared" si="242"/>
        <v>x</v>
      </c>
      <c r="K65" s="117" t="str">
        <f t="shared" si="242"/>
        <v>x</v>
      </c>
      <c r="L65" s="117" t="str">
        <f t="shared" si="242"/>
        <v>x</v>
      </c>
      <c r="M65" s="117" t="str">
        <f t="shared" si="242"/>
        <v>x</v>
      </c>
      <c r="N65" s="117" t="str">
        <f t="shared" si="242"/>
        <v>x</v>
      </c>
      <c r="O65" s="117" t="str">
        <f t="shared" si="242"/>
        <v>x</v>
      </c>
      <c r="P65" s="117" t="str">
        <f t="shared" si="242"/>
        <v>x</v>
      </c>
      <c r="Q65" s="117" t="str">
        <f t="shared" si="242"/>
        <v>x</v>
      </c>
      <c r="R65" s="117" t="str">
        <f t="shared" si="242"/>
        <v>x</v>
      </c>
      <c r="S65" s="117" t="str">
        <f t="shared" si="242"/>
        <v>x</v>
      </c>
      <c r="T65" s="117" t="str">
        <f t="shared" si="242"/>
        <v>x</v>
      </c>
      <c r="U65" s="117" t="str">
        <f t="shared" si="242"/>
        <v>x</v>
      </c>
      <c r="V65" s="117" t="str">
        <f t="shared" si="242"/>
        <v>x</v>
      </c>
      <c r="W65" s="117" t="str">
        <f t="shared" si="242"/>
        <v>x</v>
      </c>
      <c r="X65" s="117" t="str">
        <f t="shared" si="242"/>
        <v>x</v>
      </c>
      <c r="Y65" s="117" t="str">
        <f t="shared" si="242"/>
        <v>x</v>
      </c>
      <c r="Z65" s="117" t="str">
        <f t="shared" si="242"/>
        <v>x</v>
      </c>
      <c r="CL65" s="119"/>
    </row>
    <row r="66" spans="4:90" customFormat="1" x14ac:dyDescent="0.15">
      <c r="D66" s="117" t="str">
        <f t="shared" si="242"/>
        <v>x</v>
      </c>
      <c r="E66" s="117" t="str">
        <f t="shared" si="242"/>
        <v>x</v>
      </c>
      <c r="F66" s="117" t="str">
        <f t="shared" si="242"/>
        <v>60|Clarkson M|Beddington|12-May</v>
      </c>
      <c r="G66" s="117" t="str">
        <f t="shared" si="242"/>
        <v>x</v>
      </c>
      <c r="H66" s="117" t="str">
        <f t="shared" si="242"/>
        <v>x</v>
      </c>
      <c r="I66" s="117" t="str">
        <f t="shared" si="242"/>
        <v>x</v>
      </c>
      <c r="J66" s="117" t="str">
        <f t="shared" si="242"/>
        <v>x</v>
      </c>
      <c r="K66" s="117" t="str">
        <f t="shared" si="242"/>
        <v>x</v>
      </c>
      <c r="L66" s="117" t="str">
        <f t="shared" si="242"/>
        <v>x</v>
      </c>
      <c r="M66" s="117" t="str">
        <f t="shared" si="242"/>
        <v>x</v>
      </c>
      <c r="N66" s="117" t="str">
        <f t="shared" si="242"/>
        <v>x</v>
      </c>
      <c r="O66" s="117" t="str">
        <f t="shared" si="242"/>
        <v>x</v>
      </c>
      <c r="P66" s="117" t="str">
        <f t="shared" si="242"/>
        <v>x</v>
      </c>
      <c r="Q66" s="117" t="str">
        <f t="shared" si="242"/>
        <v>x</v>
      </c>
      <c r="R66" s="117" t="str">
        <f t="shared" si="242"/>
        <v>x</v>
      </c>
      <c r="S66" s="117" t="str">
        <f t="shared" si="242"/>
        <v>x</v>
      </c>
      <c r="T66" s="117" t="str">
        <f t="shared" si="242"/>
        <v>x</v>
      </c>
      <c r="U66" s="117" t="str">
        <f t="shared" si="242"/>
        <v>x</v>
      </c>
      <c r="V66" s="117" t="str">
        <f t="shared" si="242"/>
        <v>x</v>
      </c>
      <c r="W66" s="117" t="str">
        <f t="shared" si="242"/>
        <v>x</v>
      </c>
      <c r="X66" s="117" t="str">
        <f t="shared" si="242"/>
        <v>x</v>
      </c>
      <c r="Y66" s="117" t="str">
        <f t="shared" si="242"/>
        <v>x</v>
      </c>
      <c r="Z66" s="117" t="str">
        <f t="shared" si="242"/>
        <v>x</v>
      </c>
    </row>
    <row r="67" spans="4:90" customFormat="1" x14ac:dyDescent="0.15">
      <c r="D67" s="117" t="str">
        <f t="shared" si="242"/>
        <v>x</v>
      </c>
      <c r="E67" s="117" t="str">
        <f t="shared" si="242"/>
        <v>x</v>
      </c>
      <c r="F67" s="117" t="str">
        <f t="shared" si="242"/>
        <v>x</v>
      </c>
      <c r="G67" s="117" t="str">
        <f t="shared" si="242"/>
        <v>x</v>
      </c>
      <c r="H67" s="117" t="str">
        <f t="shared" si="242"/>
        <v>x</v>
      </c>
      <c r="I67" s="117" t="str">
        <f t="shared" si="242"/>
        <v>x</v>
      </c>
      <c r="J67" s="117" t="str">
        <f t="shared" si="242"/>
        <v>x</v>
      </c>
      <c r="K67" s="117" t="str">
        <f t="shared" si="242"/>
        <v>x</v>
      </c>
      <c r="L67" s="117" t="str">
        <f t="shared" si="242"/>
        <v>x</v>
      </c>
      <c r="M67" s="117" t="str">
        <f t="shared" si="242"/>
        <v>x</v>
      </c>
      <c r="N67" s="117" t="str">
        <f t="shared" si="242"/>
        <v>x</v>
      </c>
      <c r="O67" s="117" t="str">
        <f t="shared" si="242"/>
        <v>x</v>
      </c>
      <c r="P67" s="117" t="str">
        <f t="shared" si="242"/>
        <v>x</v>
      </c>
      <c r="Q67" s="117" t="str">
        <f t="shared" si="242"/>
        <v>x</v>
      </c>
      <c r="R67" s="117" t="str">
        <f t="shared" si="242"/>
        <v>x</v>
      </c>
      <c r="S67" s="117" t="str">
        <f t="shared" si="242"/>
        <v>x</v>
      </c>
      <c r="T67" s="117" t="str">
        <f t="shared" si="242"/>
        <v>x</v>
      </c>
      <c r="U67" s="117" t="str">
        <f t="shared" si="242"/>
        <v>x</v>
      </c>
      <c r="V67" s="117" t="str">
        <f t="shared" si="242"/>
        <v>x</v>
      </c>
      <c r="W67" s="117" t="str">
        <f t="shared" si="242"/>
        <v>x</v>
      </c>
      <c r="X67" s="117" t="str">
        <f t="shared" si="242"/>
        <v>x</v>
      </c>
      <c r="Y67" s="117" t="str">
        <f t="shared" si="242"/>
        <v>x</v>
      </c>
      <c r="Z67" s="117" t="str">
        <f t="shared" si="242"/>
        <v>x</v>
      </c>
    </row>
    <row r="68" spans="4:90" customFormat="1" x14ac:dyDescent="0.15">
      <c r="D68" s="117" t="str">
        <f t="shared" si="242"/>
        <v>x</v>
      </c>
      <c r="E68" s="117" t="str">
        <f t="shared" si="242"/>
        <v>x</v>
      </c>
      <c r="F68" s="117" t="str">
        <f t="shared" si="242"/>
        <v>x</v>
      </c>
      <c r="G68" s="117" t="str">
        <f t="shared" si="242"/>
        <v>x</v>
      </c>
      <c r="H68" s="117" t="str">
        <f t="shared" si="242"/>
        <v>x</v>
      </c>
      <c r="I68" s="117" t="str">
        <f t="shared" si="242"/>
        <v>x</v>
      </c>
      <c r="J68" s="117" t="str">
        <f t="shared" si="242"/>
        <v>x</v>
      </c>
      <c r="K68" s="117" t="str">
        <f t="shared" si="242"/>
        <v>x</v>
      </c>
      <c r="L68" s="117" t="str">
        <f t="shared" si="242"/>
        <v>x</v>
      </c>
      <c r="M68" s="117" t="str">
        <f t="shared" si="242"/>
        <v>x</v>
      </c>
      <c r="N68" s="117" t="str">
        <f t="shared" si="242"/>
        <v>x</v>
      </c>
      <c r="O68" s="117" t="str">
        <f t="shared" si="242"/>
        <v>x</v>
      </c>
      <c r="P68" s="117" t="str">
        <f t="shared" si="242"/>
        <v>60|Driver S|Southern Railway|14-Jul</v>
      </c>
      <c r="Q68" s="117" t="str">
        <f t="shared" si="242"/>
        <v>64|Driver S|Statics|21-Jul</v>
      </c>
      <c r="R68" s="117" t="str">
        <f t="shared" si="242"/>
        <v>x</v>
      </c>
      <c r="S68" s="117" t="str">
        <f t="shared" si="242"/>
        <v>x</v>
      </c>
      <c r="T68" s="117" t="str">
        <f t="shared" si="242"/>
        <v>x</v>
      </c>
      <c r="U68" s="117" t="str">
        <f t="shared" si="242"/>
        <v>x</v>
      </c>
      <c r="V68" s="117" t="str">
        <f t="shared" si="242"/>
        <v>x</v>
      </c>
      <c r="W68" s="117" t="str">
        <f t="shared" si="242"/>
        <v>x</v>
      </c>
      <c r="X68" s="117" t="str">
        <f t="shared" si="242"/>
        <v>x</v>
      </c>
      <c r="Y68" s="117" t="str">
        <f t="shared" si="242"/>
        <v>x</v>
      </c>
      <c r="Z68" s="117" t="str">
        <f t="shared" si="242"/>
        <v>x</v>
      </c>
    </row>
    <row r="69" spans="4:90" customFormat="1" x14ac:dyDescent="0.15">
      <c r="D69" s="117" t="str">
        <f t="shared" si="242"/>
        <v>x</v>
      </c>
      <c r="E69" s="117" t="str">
        <f t="shared" si="242"/>
        <v>x</v>
      </c>
      <c r="F69" s="117" t="str">
        <f t="shared" si="242"/>
        <v>x</v>
      </c>
      <c r="G69" s="117" t="str">
        <f t="shared" si="242"/>
        <v>x</v>
      </c>
      <c r="H69" s="117" t="str">
        <f t="shared" si="242"/>
        <v>x</v>
      </c>
      <c r="I69" s="117" t="str">
        <f t="shared" si="242"/>
        <v>x</v>
      </c>
      <c r="J69" s="117" t="str">
        <f t="shared" si="242"/>
        <v>x</v>
      </c>
      <c r="K69" s="117" t="str">
        <f t="shared" si="242"/>
        <v>x</v>
      </c>
      <c r="L69" s="117" t="str">
        <f t="shared" si="242"/>
        <v>x</v>
      </c>
      <c r="M69" s="117" t="str">
        <f t="shared" si="242"/>
        <v>x</v>
      </c>
      <c r="N69" s="117" t="str">
        <f t="shared" si="242"/>
        <v>x</v>
      </c>
      <c r="O69" s="117" t="str">
        <f t="shared" si="242"/>
        <v>x</v>
      </c>
      <c r="P69" s="117" t="str">
        <f t="shared" si="242"/>
        <v>x</v>
      </c>
      <c r="Q69" s="117" t="str">
        <f t="shared" si="242"/>
        <v>x</v>
      </c>
      <c r="R69" s="117" t="str">
        <f t="shared" si="242"/>
        <v>x</v>
      </c>
      <c r="S69" s="117" t="str">
        <f t="shared" si="242"/>
        <v>x</v>
      </c>
      <c r="T69" s="117" t="str">
        <f t="shared" si="242"/>
        <v>x</v>
      </c>
      <c r="U69" s="117" t="str">
        <f t="shared" si="242"/>
        <v>x</v>
      </c>
      <c r="V69" s="117" t="str">
        <f t="shared" si="242"/>
        <v>x</v>
      </c>
      <c r="W69" s="117" t="str">
        <f t="shared" si="242"/>
        <v>x</v>
      </c>
      <c r="X69" s="117" t="str">
        <f t="shared" si="242"/>
        <v>x</v>
      </c>
      <c r="Y69" s="117" t="str">
        <f t="shared" si="242"/>
        <v>x</v>
      </c>
      <c r="Z69" s="117" t="str">
        <f t="shared" si="242"/>
        <v>x</v>
      </c>
    </row>
    <row r="70" spans="4:90" customFormat="1" x14ac:dyDescent="0.15">
      <c r="D70" s="117" t="str">
        <f t="shared" si="242"/>
        <v>x</v>
      </c>
      <c r="E70" s="117" t="str">
        <f t="shared" si="242"/>
        <v>x</v>
      </c>
      <c r="F70" s="117" t="str">
        <f t="shared" si="242"/>
        <v>x</v>
      </c>
      <c r="G70" s="117" t="str">
        <f t="shared" si="242"/>
        <v>x</v>
      </c>
      <c r="H70" s="117" t="str">
        <f t="shared" si="242"/>
        <v>x</v>
      </c>
      <c r="I70" s="117" t="str">
        <f t="shared" si="242"/>
        <v>x</v>
      </c>
      <c r="J70" s="117" t="str">
        <f t="shared" si="242"/>
        <v>x</v>
      </c>
      <c r="K70" s="117" t="str">
        <f t="shared" si="242"/>
        <v>x</v>
      </c>
      <c r="L70" s="117" t="str">
        <f t="shared" si="242"/>
        <v>x</v>
      </c>
      <c r="M70" s="117" t="str">
        <f t="shared" si="242"/>
        <v>x</v>
      </c>
      <c r="N70" s="117" t="str">
        <f t="shared" si="242"/>
        <v>x</v>
      </c>
      <c r="O70" s="117" t="str">
        <f t="shared" si="242"/>
        <v>x</v>
      </c>
      <c r="P70" s="117" t="str">
        <f t="shared" si="242"/>
        <v>x</v>
      </c>
      <c r="Q70" s="117" t="str">
        <f t="shared" si="242"/>
        <v>x</v>
      </c>
      <c r="R70" s="117" t="str">
        <f t="shared" si="242"/>
        <v>x</v>
      </c>
      <c r="S70" s="117" t="str">
        <f t="shared" si="242"/>
        <v>x</v>
      </c>
      <c r="T70" s="117" t="str">
        <f t="shared" si="242"/>
        <v>x</v>
      </c>
      <c r="U70" s="117" t="str">
        <f t="shared" si="242"/>
        <v>x</v>
      </c>
      <c r="V70" s="117" t="str">
        <f t="shared" si="242"/>
        <v>x</v>
      </c>
      <c r="W70" s="117" t="str">
        <f t="shared" si="242"/>
        <v>x</v>
      </c>
      <c r="X70" s="117" t="str">
        <f t="shared" si="242"/>
        <v>x</v>
      </c>
      <c r="Y70" s="117" t="str">
        <f t="shared" si="242"/>
        <v>x</v>
      </c>
      <c r="Z70" s="117" t="str">
        <f t="shared" si="242"/>
        <v>x</v>
      </c>
    </row>
    <row r="71" spans="4:90" customFormat="1" x14ac:dyDescent="0.15">
      <c r="D71" s="117" t="str">
        <f t="shared" si="242"/>
        <v>x</v>
      </c>
      <c r="E71" s="117" t="str">
        <f t="shared" si="242"/>
        <v>x</v>
      </c>
      <c r="F71" s="117" t="str">
        <f t="shared" si="242"/>
        <v>x</v>
      </c>
      <c r="G71" s="117" t="str">
        <f t="shared" si="242"/>
        <v>x</v>
      </c>
      <c r="H71" s="117" t="str">
        <f t="shared" si="242"/>
        <v>x</v>
      </c>
      <c r="I71" s="117" t="str">
        <f t="shared" si="242"/>
        <v>x</v>
      </c>
      <c r="J71" s="117" t="str">
        <f t="shared" si="242"/>
        <v>x</v>
      </c>
      <c r="K71" s="117" t="str">
        <f t="shared" si="242"/>
        <v>x</v>
      </c>
      <c r="L71" s="117" t="str">
        <f t="shared" si="242"/>
        <v>x</v>
      </c>
      <c r="M71" s="117" t="str">
        <f t="shared" si="242"/>
        <v>x</v>
      </c>
      <c r="N71" s="117" t="str">
        <f t="shared" si="242"/>
        <v>x</v>
      </c>
      <c r="O71" s="117" t="str">
        <f t="shared" si="242"/>
        <v>x</v>
      </c>
      <c r="P71" s="117" t="str">
        <f t="shared" si="242"/>
        <v>x</v>
      </c>
      <c r="Q71" s="117" t="str">
        <f t="shared" si="242"/>
        <v>x</v>
      </c>
      <c r="R71" s="117" t="str">
        <f t="shared" si="242"/>
        <v>x</v>
      </c>
      <c r="S71" s="117" t="str">
        <f t="shared" si="242"/>
        <v>x</v>
      </c>
      <c r="T71" s="117" t="str">
        <f t="shared" si="242"/>
        <v>x</v>
      </c>
      <c r="U71" s="117" t="str">
        <f t="shared" si="242"/>
        <v>x</v>
      </c>
      <c r="V71" s="117" t="str">
        <f t="shared" si="242"/>
        <v>x</v>
      </c>
      <c r="W71" s="117" t="str">
        <f t="shared" si="242"/>
        <v>x</v>
      </c>
      <c r="X71" s="117" t="str">
        <f t="shared" si="242"/>
        <v>x</v>
      </c>
      <c r="Y71" s="117" t="str">
        <f t="shared" si="242"/>
        <v>x</v>
      </c>
      <c r="Z71" s="117" t="str">
        <f t="shared" si="242"/>
        <v>x</v>
      </c>
    </row>
    <row r="72" spans="4:90" customFormat="1" x14ac:dyDescent="0.15">
      <c r="D72" s="117" t="str">
        <f t="shared" si="242"/>
        <v>x</v>
      </c>
      <c r="E72" s="117" t="str">
        <f t="shared" si="242"/>
        <v>x</v>
      </c>
      <c r="F72" s="117" t="str">
        <f t="shared" ref="F72:Z72" si="243">IF(BatSplit(F16,RunsScored)&gt;=50,BatSplit(F16,RunsScored)&amp;IF(BatSplit(F16,NotOuts)=1,"*","")&amp;"|"&amp;$C16&amp;"|"&amp;F$2&amp;"|"&amp;TEXT(F$1,"dd-mmm"),"x")</f>
        <v>x</v>
      </c>
      <c r="G72" s="117" t="str">
        <f t="shared" si="243"/>
        <v>x</v>
      </c>
      <c r="H72" s="117" t="str">
        <f t="shared" si="243"/>
        <v>x</v>
      </c>
      <c r="I72" s="117" t="str">
        <f t="shared" si="243"/>
        <v>x</v>
      </c>
      <c r="J72" s="117" t="str">
        <f t="shared" si="243"/>
        <v>x</v>
      </c>
      <c r="K72" s="117" t="str">
        <f t="shared" si="243"/>
        <v>x</v>
      </c>
      <c r="L72" s="117" t="str">
        <f t="shared" si="243"/>
        <v>x</v>
      </c>
      <c r="M72" s="117" t="str">
        <f t="shared" si="243"/>
        <v>x</v>
      </c>
      <c r="N72" s="117" t="str">
        <f t="shared" si="243"/>
        <v>x</v>
      </c>
      <c r="O72" s="117" t="str">
        <f t="shared" si="243"/>
        <v>x</v>
      </c>
      <c r="P72" s="117" t="str">
        <f t="shared" si="243"/>
        <v>x</v>
      </c>
      <c r="Q72" s="117" t="str">
        <f t="shared" si="243"/>
        <v>x</v>
      </c>
      <c r="R72" s="117" t="str">
        <f t="shared" si="243"/>
        <v>x</v>
      </c>
      <c r="S72" s="117" t="str">
        <f t="shared" si="243"/>
        <v>x</v>
      </c>
      <c r="T72" s="117" t="str">
        <f t="shared" si="243"/>
        <v>x</v>
      </c>
      <c r="U72" s="117" t="str">
        <f t="shared" si="243"/>
        <v>x</v>
      </c>
      <c r="V72" s="117" t="str">
        <f t="shared" si="243"/>
        <v>x</v>
      </c>
      <c r="W72" s="117" t="str">
        <f t="shared" si="243"/>
        <v>x</v>
      </c>
      <c r="X72" s="117" t="str">
        <f t="shared" si="243"/>
        <v>x</v>
      </c>
      <c r="Y72" s="117" t="str">
        <f t="shared" si="243"/>
        <v>x</v>
      </c>
      <c r="Z72" s="117" t="str">
        <f t="shared" si="243"/>
        <v>x</v>
      </c>
    </row>
    <row r="73" spans="4:90" customFormat="1" x14ac:dyDescent="0.15">
      <c r="D73" s="117" t="str">
        <f t="shared" ref="D73:Z84" si="244">IF(BatSplit(D17,RunsScored)&gt;=50,BatSplit(D17,RunsScored)&amp;IF(BatSplit(D17,NotOuts)=1,"*","")&amp;"|"&amp;$C17&amp;"|"&amp;D$2&amp;"|"&amp;TEXT(D$1,"dd-mmm"),"x")</f>
        <v>x</v>
      </c>
      <c r="E73" s="117" t="str">
        <f t="shared" si="244"/>
        <v>x</v>
      </c>
      <c r="F73" s="117" t="str">
        <f t="shared" si="244"/>
        <v>x</v>
      </c>
      <c r="G73" s="117" t="str">
        <f t="shared" si="244"/>
        <v>x</v>
      </c>
      <c r="H73" s="117" t="str">
        <f t="shared" si="244"/>
        <v>x</v>
      </c>
      <c r="I73" s="117" t="str">
        <f t="shared" si="244"/>
        <v>x</v>
      </c>
      <c r="J73" s="117" t="str">
        <f t="shared" si="244"/>
        <v>x</v>
      </c>
      <c r="K73" s="117" t="str">
        <f t="shared" si="244"/>
        <v>x</v>
      </c>
      <c r="L73" s="117" t="str">
        <f t="shared" si="244"/>
        <v>x</v>
      </c>
      <c r="M73" s="117" t="str">
        <f t="shared" si="244"/>
        <v>x</v>
      </c>
      <c r="N73" s="117" t="str">
        <f t="shared" si="244"/>
        <v>x</v>
      </c>
      <c r="O73" s="117" t="str">
        <f t="shared" si="244"/>
        <v>x</v>
      </c>
      <c r="P73" s="117" t="str">
        <f t="shared" si="244"/>
        <v>x</v>
      </c>
      <c r="Q73" s="117" t="str">
        <f t="shared" si="244"/>
        <v>x</v>
      </c>
      <c r="R73" s="117" t="str">
        <f t="shared" si="244"/>
        <v>x</v>
      </c>
      <c r="S73" s="117" t="str">
        <f t="shared" si="244"/>
        <v>x</v>
      </c>
      <c r="T73" s="117" t="str">
        <f t="shared" si="244"/>
        <v>x</v>
      </c>
      <c r="U73" s="117" t="str">
        <f t="shared" si="244"/>
        <v>x</v>
      </c>
      <c r="V73" s="117" t="str">
        <f t="shared" si="244"/>
        <v>x</v>
      </c>
      <c r="W73" s="117" t="str">
        <f t="shared" si="244"/>
        <v>x</v>
      </c>
      <c r="X73" s="117" t="str">
        <f t="shared" si="244"/>
        <v>x</v>
      </c>
      <c r="Y73" s="117" t="str">
        <f t="shared" si="244"/>
        <v>x</v>
      </c>
      <c r="Z73" s="117" t="str">
        <f t="shared" si="244"/>
        <v>x</v>
      </c>
    </row>
    <row r="74" spans="4:90" customFormat="1" x14ac:dyDescent="0.15">
      <c r="D74" s="117" t="str">
        <f t="shared" si="244"/>
        <v>x</v>
      </c>
      <c r="E74" s="117" t="str">
        <f t="shared" si="244"/>
        <v>x</v>
      </c>
      <c r="F74" s="117" t="str">
        <f t="shared" si="244"/>
        <v>x</v>
      </c>
      <c r="G74" s="117" t="str">
        <f t="shared" si="244"/>
        <v>x</v>
      </c>
      <c r="H74" s="117" t="str">
        <f t="shared" si="244"/>
        <v>x</v>
      </c>
      <c r="I74" s="117" t="str">
        <f t="shared" si="244"/>
        <v>x</v>
      </c>
      <c r="J74" s="117" t="str">
        <f t="shared" si="244"/>
        <v>x</v>
      </c>
      <c r="K74" s="117" t="str">
        <f t="shared" si="244"/>
        <v>x</v>
      </c>
      <c r="L74" s="117" t="str">
        <f t="shared" si="244"/>
        <v>x</v>
      </c>
      <c r="M74" s="117" t="str">
        <f t="shared" si="244"/>
        <v>x</v>
      </c>
      <c r="N74" s="117" t="str">
        <f t="shared" si="244"/>
        <v>x</v>
      </c>
      <c r="O74" s="117" t="str">
        <f t="shared" si="244"/>
        <v>x</v>
      </c>
      <c r="P74" s="117" t="str">
        <f t="shared" si="244"/>
        <v>x</v>
      </c>
      <c r="Q74" s="117" t="str">
        <f t="shared" si="244"/>
        <v>x</v>
      </c>
      <c r="R74" s="117" t="str">
        <f t="shared" si="244"/>
        <v>x</v>
      </c>
      <c r="S74" s="117" t="str">
        <f t="shared" si="244"/>
        <v>x</v>
      </c>
      <c r="T74" s="117" t="str">
        <f t="shared" si="244"/>
        <v>x</v>
      </c>
      <c r="U74" s="117" t="str">
        <f t="shared" si="244"/>
        <v>x</v>
      </c>
      <c r="V74" s="117" t="str">
        <f t="shared" si="244"/>
        <v>x</v>
      </c>
      <c r="W74" s="117" t="str">
        <f t="shared" si="244"/>
        <v>x</v>
      </c>
      <c r="X74" s="117" t="str">
        <f t="shared" si="244"/>
        <v>x</v>
      </c>
      <c r="Y74" s="117" t="str">
        <f t="shared" si="244"/>
        <v>x</v>
      </c>
      <c r="Z74" s="117" t="str">
        <f t="shared" si="244"/>
        <v>x</v>
      </c>
    </row>
    <row r="75" spans="4:90" customFormat="1" x14ac:dyDescent="0.15">
      <c r="D75" s="117" t="str">
        <f t="shared" si="244"/>
        <v>x</v>
      </c>
      <c r="E75" s="117" t="str">
        <f t="shared" si="244"/>
        <v>x</v>
      </c>
      <c r="F75" s="117" t="str">
        <f t="shared" si="244"/>
        <v>x</v>
      </c>
      <c r="G75" s="117" t="str">
        <f t="shared" si="244"/>
        <v>x</v>
      </c>
      <c r="H75" s="117" t="str">
        <f t="shared" si="244"/>
        <v>x</v>
      </c>
      <c r="I75" s="117" t="str">
        <f t="shared" si="244"/>
        <v>x</v>
      </c>
      <c r="J75" s="117" t="str">
        <f t="shared" si="244"/>
        <v>x</v>
      </c>
      <c r="K75" s="117" t="str">
        <f t="shared" si="244"/>
        <v>x</v>
      </c>
      <c r="L75" s="117" t="str">
        <f t="shared" si="244"/>
        <v>x</v>
      </c>
      <c r="M75" s="117" t="str">
        <f t="shared" si="244"/>
        <v>x</v>
      </c>
      <c r="N75" s="117" t="str">
        <f t="shared" si="244"/>
        <v>x</v>
      </c>
      <c r="O75" s="117" t="str">
        <f t="shared" si="244"/>
        <v>x</v>
      </c>
      <c r="P75" s="117" t="str">
        <f t="shared" si="244"/>
        <v>x</v>
      </c>
      <c r="Q75" s="117" t="str">
        <f t="shared" si="244"/>
        <v>x</v>
      </c>
      <c r="R75" s="117" t="str">
        <f t="shared" si="244"/>
        <v>x</v>
      </c>
      <c r="S75" s="117" t="str">
        <f t="shared" si="244"/>
        <v>x</v>
      </c>
      <c r="T75" s="117" t="str">
        <f t="shared" si="244"/>
        <v>x</v>
      </c>
      <c r="U75" s="117" t="str">
        <f t="shared" si="244"/>
        <v>x</v>
      </c>
      <c r="V75" s="117" t="str">
        <f t="shared" si="244"/>
        <v>x</v>
      </c>
      <c r="W75" s="117" t="str">
        <f t="shared" si="244"/>
        <v>x</v>
      </c>
      <c r="X75" s="117" t="str">
        <f t="shared" si="244"/>
        <v>x</v>
      </c>
      <c r="Y75" s="117" t="str">
        <f t="shared" si="244"/>
        <v>x</v>
      </c>
      <c r="Z75" s="117" t="str">
        <f t="shared" si="244"/>
        <v>x</v>
      </c>
    </row>
    <row r="76" spans="4:90" customFormat="1" x14ac:dyDescent="0.15">
      <c r="D76" s="117" t="str">
        <f t="shared" si="244"/>
        <v>x</v>
      </c>
      <c r="E76" s="117" t="str">
        <f t="shared" si="244"/>
        <v>x</v>
      </c>
      <c r="F76" s="117" t="str">
        <f t="shared" si="244"/>
        <v>x</v>
      </c>
      <c r="G76" s="117" t="str">
        <f t="shared" si="244"/>
        <v>x</v>
      </c>
      <c r="H76" s="117" t="str">
        <f t="shared" si="244"/>
        <v>x</v>
      </c>
      <c r="I76" s="117" t="str">
        <f t="shared" si="244"/>
        <v>x</v>
      </c>
      <c r="J76" s="117" t="str">
        <f t="shared" si="244"/>
        <v>x</v>
      </c>
      <c r="K76" s="117" t="str">
        <f t="shared" si="244"/>
        <v>x</v>
      </c>
      <c r="L76" s="117" t="str">
        <f t="shared" si="244"/>
        <v>x</v>
      </c>
      <c r="M76" s="117" t="str">
        <f t="shared" si="244"/>
        <v>x</v>
      </c>
      <c r="N76" s="117" t="str">
        <f t="shared" si="244"/>
        <v>x</v>
      </c>
      <c r="O76" s="117" t="str">
        <f t="shared" si="244"/>
        <v>x</v>
      </c>
      <c r="P76" s="117" t="str">
        <f t="shared" si="244"/>
        <v>x</v>
      </c>
      <c r="Q76" s="117" t="str">
        <f t="shared" si="244"/>
        <v>x</v>
      </c>
      <c r="R76" s="117" t="str">
        <f t="shared" si="244"/>
        <v>x</v>
      </c>
      <c r="S76" s="117" t="str">
        <f t="shared" si="244"/>
        <v>x</v>
      </c>
      <c r="T76" s="117" t="str">
        <f t="shared" si="244"/>
        <v>x</v>
      </c>
      <c r="U76" s="117" t="str">
        <f t="shared" si="244"/>
        <v>x</v>
      </c>
      <c r="V76" s="117" t="str">
        <f t="shared" si="244"/>
        <v>x</v>
      </c>
      <c r="W76" s="117" t="str">
        <f t="shared" si="244"/>
        <v>x</v>
      </c>
      <c r="X76" s="117" t="str">
        <f t="shared" si="244"/>
        <v>x</v>
      </c>
      <c r="Y76" s="117" t="str">
        <f t="shared" si="244"/>
        <v>x</v>
      </c>
      <c r="Z76" s="117" t="str">
        <f t="shared" si="244"/>
        <v>x</v>
      </c>
    </row>
    <row r="77" spans="4:90" customFormat="1" x14ac:dyDescent="0.15">
      <c r="D77" s="117" t="str">
        <f t="shared" si="244"/>
        <v>x</v>
      </c>
      <c r="E77" s="117" t="str">
        <f t="shared" si="244"/>
        <v>x</v>
      </c>
      <c r="F77" s="117" t="str">
        <f t="shared" si="244"/>
        <v>x</v>
      </c>
      <c r="G77" s="117" t="str">
        <f t="shared" si="244"/>
        <v>x</v>
      </c>
      <c r="H77" s="117" t="str">
        <f t="shared" si="244"/>
        <v>x</v>
      </c>
      <c r="I77" s="117" t="str">
        <f t="shared" si="244"/>
        <v>x</v>
      </c>
      <c r="J77" s="117" t="str">
        <f t="shared" si="244"/>
        <v>x</v>
      </c>
      <c r="K77" s="117" t="str">
        <f t="shared" si="244"/>
        <v>x</v>
      </c>
      <c r="L77" s="117" t="str">
        <f t="shared" si="244"/>
        <v>x</v>
      </c>
      <c r="M77" s="117" t="str">
        <f t="shared" si="244"/>
        <v>x</v>
      </c>
      <c r="N77" s="117" t="str">
        <f t="shared" si="244"/>
        <v>x</v>
      </c>
      <c r="O77" s="117" t="str">
        <f t="shared" si="244"/>
        <v>x</v>
      </c>
      <c r="P77" s="117" t="str">
        <f t="shared" si="244"/>
        <v>x</v>
      </c>
      <c r="Q77" s="117" t="str">
        <f t="shared" si="244"/>
        <v>x</v>
      </c>
      <c r="R77" s="117" t="str">
        <f t="shared" si="244"/>
        <v>x</v>
      </c>
      <c r="S77" s="117" t="str">
        <f t="shared" si="244"/>
        <v>x</v>
      </c>
      <c r="T77" s="117" t="str">
        <f t="shared" si="244"/>
        <v>x</v>
      </c>
      <c r="U77" s="117" t="str">
        <f t="shared" si="244"/>
        <v>x</v>
      </c>
      <c r="V77" s="117" t="str">
        <f t="shared" si="244"/>
        <v>x</v>
      </c>
      <c r="W77" s="117" t="str">
        <f t="shared" si="244"/>
        <v>x</v>
      </c>
      <c r="X77" s="117" t="str">
        <f t="shared" si="244"/>
        <v>x</v>
      </c>
      <c r="Y77" s="117" t="str">
        <f t="shared" si="244"/>
        <v>x</v>
      </c>
      <c r="Z77" s="117" t="str">
        <f t="shared" si="244"/>
        <v>x</v>
      </c>
    </row>
    <row r="78" spans="4:90" customFormat="1" x14ac:dyDescent="0.15">
      <c r="D78" s="117" t="str">
        <f t="shared" si="244"/>
        <v>x</v>
      </c>
      <c r="E78" s="117" t="str">
        <f t="shared" si="244"/>
        <v>x</v>
      </c>
      <c r="F78" s="117" t="str">
        <f t="shared" si="244"/>
        <v>x</v>
      </c>
      <c r="G78" s="117" t="str">
        <f t="shared" si="244"/>
        <v>x</v>
      </c>
      <c r="H78" s="117" t="str">
        <f t="shared" si="244"/>
        <v>x</v>
      </c>
      <c r="I78" s="117" t="str">
        <f t="shared" si="244"/>
        <v>x</v>
      </c>
      <c r="J78" s="117" t="str">
        <f t="shared" si="244"/>
        <v>x</v>
      </c>
      <c r="K78" s="117" t="str">
        <f t="shared" si="244"/>
        <v>x</v>
      </c>
      <c r="L78" s="117" t="str">
        <f t="shared" si="244"/>
        <v>x</v>
      </c>
      <c r="M78" s="117" t="str">
        <f t="shared" si="244"/>
        <v>x</v>
      </c>
      <c r="N78" s="117" t="str">
        <f t="shared" si="244"/>
        <v>x</v>
      </c>
      <c r="O78" s="117" t="str">
        <f t="shared" si="244"/>
        <v>x</v>
      </c>
      <c r="P78" s="117" t="str">
        <f t="shared" si="244"/>
        <v>x</v>
      </c>
      <c r="Q78" s="117" t="str">
        <f t="shared" si="244"/>
        <v>x</v>
      </c>
      <c r="R78" s="117" t="str">
        <f t="shared" si="244"/>
        <v>x</v>
      </c>
      <c r="S78" s="117" t="str">
        <f t="shared" si="244"/>
        <v>x</v>
      </c>
      <c r="T78" s="117" t="str">
        <f t="shared" si="244"/>
        <v>x</v>
      </c>
      <c r="U78" s="117" t="str">
        <f t="shared" si="244"/>
        <v>x</v>
      </c>
      <c r="V78" s="117" t="str">
        <f t="shared" si="244"/>
        <v>x</v>
      </c>
      <c r="W78" s="117" t="str">
        <f t="shared" si="244"/>
        <v>x</v>
      </c>
      <c r="X78" s="117" t="str">
        <f t="shared" si="244"/>
        <v>x</v>
      </c>
      <c r="Y78" s="117" t="str">
        <f t="shared" si="244"/>
        <v>x</v>
      </c>
      <c r="Z78" s="117" t="str">
        <f t="shared" si="244"/>
        <v>x</v>
      </c>
    </row>
    <row r="79" spans="4:90" customFormat="1" x14ac:dyDescent="0.15">
      <c r="D79" s="117" t="str">
        <f t="shared" si="244"/>
        <v>x</v>
      </c>
      <c r="E79" s="117" t="str">
        <f t="shared" si="244"/>
        <v>x</v>
      </c>
      <c r="F79" s="117" t="str">
        <f t="shared" si="244"/>
        <v>x</v>
      </c>
      <c r="G79" s="117" t="str">
        <f t="shared" si="244"/>
        <v>x</v>
      </c>
      <c r="H79" s="117" t="str">
        <f t="shared" si="244"/>
        <v>x</v>
      </c>
      <c r="I79" s="117" t="str">
        <f t="shared" si="244"/>
        <v>x</v>
      </c>
      <c r="J79" s="117" t="str">
        <f t="shared" si="244"/>
        <v>x</v>
      </c>
      <c r="K79" s="117" t="str">
        <f t="shared" si="244"/>
        <v>x</v>
      </c>
      <c r="L79" s="117" t="str">
        <f t="shared" si="244"/>
        <v>x</v>
      </c>
      <c r="M79" s="117" t="str">
        <f t="shared" si="244"/>
        <v>x</v>
      </c>
      <c r="N79" s="117" t="str">
        <f t="shared" si="244"/>
        <v>x</v>
      </c>
      <c r="O79" s="117" t="str">
        <f t="shared" si="244"/>
        <v>x</v>
      </c>
      <c r="P79" s="117" t="str">
        <f t="shared" si="244"/>
        <v>x</v>
      </c>
      <c r="Q79" s="117" t="str">
        <f t="shared" si="244"/>
        <v>x</v>
      </c>
      <c r="R79" s="117" t="str">
        <f t="shared" si="244"/>
        <v>x</v>
      </c>
      <c r="S79" s="117" t="str">
        <f t="shared" si="244"/>
        <v>x</v>
      </c>
      <c r="T79" s="117" t="str">
        <f t="shared" si="244"/>
        <v>x</v>
      </c>
      <c r="U79" s="117" t="str">
        <f t="shared" si="244"/>
        <v>x</v>
      </c>
      <c r="V79" s="117" t="str">
        <f t="shared" si="244"/>
        <v>x</v>
      </c>
      <c r="W79" s="117" t="str">
        <f t="shared" si="244"/>
        <v>x</v>
      </c>
      <c r="X79" s="117" t="str">
        <f t="shared" si="244"/>
        <v>x</v>
      </c>
      <c r="Y79" s="117" t="str">
        <f t="shared" si="244"/>
        <v>x</v>
      </c>
      <c r="Z79" s="117" t="str">
        <f t="shared" si="244"/>
        <v>x</v>
      </c>
    </row>
    <row r="80" spans="4:90" customFormat="1" x14ac:dyDescent="0.15">
      <c r="D80" s="117" t="str">
        <f t="shared" si="244"/>
        <v>x</v>
      </c>
      <c r="E80" s="117" t="str">
        <f t="shared" si="244"/>
        <v>x</v>
      </c>
      <c r="F80" s="117" t="str">
        <f t="shared" si="244"/>
        <v>x</v>
      </c>
      <c r="G80" s="117" t="str">
        <f t="shared" si="244"/>
        <v>x</v>
      </c>
      <c r="H80" s="117" t="str">
        <f t="shared" si="244"/>
        <v>x</v>
      </c>
      <c r="I80" s="117" t="str">
        <f t="shared" si="244"/>
        <v>x</v>
      </c>
      <c r="J80" s="117" t="str">
        <f t="shared" si="244"/>
        <v>x</v>
      </c>
      <c r="K80" s="117" t="str">
        <f t="shared" si="244"/>
        <v>x</v>
      </c>
      <c r="L80" s="117" t="str">
        <f t="shared" si="244"/>
        <v>x</v>
      </c>
      <c r="M80" s="117" t="str">
        <f t="shared" si="244"/>
        <v>x</v>
      </c>
      <c r="N80" s="117" t="str">
        <f t="shared" si="244"/>
        <v>x</v>
      </c>
      <c r="O80" s="117" t="str">
        <f t="shared" si="244"/>
        <v>x</v>
      </c>
      <c r="P80" s="117" t="str">
        <f t="shared" si="244"/>
        <v>x</v>
      </c>
      <c r="Q80" s="117" t="str">
        <f t="shared" si="244"/>
        <v>x</v>
      </c>
      <c r="R80" s="117" t="str">
        <f t="shared" si="244"/>
        <v>x</v>
      </c>
      <c r="S80" s="117" t="str">
        <f t="shared" si="244"/>
        <v>x</v>
      </c>
      <c r="T80" s="117" t="str">
        <f t="shared" si="244"/>
        <v>x</v>
      </c>
      <c r="U80" s="117" t="str">
        <f t="shared" si="244"/>
        <v>x</v>
      </c>
      <c r="V80" s="117" t="str">
        <f t="shared" si="244"/>
        <v>x</v>
      </c>
      <c r="W80" s="117" t="str">
        <f t="shared" si="244"/>
        <v>x</v>
      </c>
      <c r="X80" s="117" t="str">
        <f t="shared" si="244"/>
        <v>x</v>
      </c>
      <c r="Y80" s="117" t="str">
        <f t="shared" si="244"/>
        <v>x</v>
      </c>
      <c r="Z80" s="117" t="str">
        <f t="shared" si="244"/>
        <v>x</v>
      </c>
    </row>
    <row r="81" spans="4:26" customFormat="1" x14ac:dyDescent="0.15">
      <c r="D81" s="117" t="str">
        <f t="shared" si="244"/>
        <v>x</v>
      </c>
      <c r="E81" s="117" t="str">
        <f t="shared" si="244"/>
        <v>x</v>
      </c>
      <c r="F81" s="117" t="str">
        <f t="shared" si="244"/>
        <v>x</v>
      </c>
      <c r="G81" s="117" t="str">
        <f t="shared" si="244"/>
        <v>x</v>
      </c>
      <c r="H81" s="117" t="str">
        <f t="shared" si="244"/>
        <v>x</v>
      </c>
      <c r="I81" s="117" t="str">
        <f t="shared" si="244"/>
        <v>x</v>
      </c>
      <c r="J81" s="117" t="str">
        <f t="shared" si="244"/>
        <v>x</v>
      </c>
      <c r="K81" s="117" t="str">
        <f t="shared" si="244"/>
        <v>x</v>
      </c>
      <c r="L81" s="117" t="str">
        <f t="shared" si="244"/>
        <v>x</v>
      </c>
      <c r="M81" s="117" t="str">
        <f t="shared" si="244"/>
        <v>x</v>
      </c>
      <c r="N81" s="117" t="str">
        <f t="shared" si="244"/>
        <v>x</v>
      </c>
      <c r="O81" s="117" t="str">
        <f t="shared" si="244"/>
        <v>x</v>
      </c>
      <c r="P81" s="117" t="str">
        <f t="shared" si="244"/>
        <v>x</v>
      </c>
      <c r="Q81" s="117" t="str">
        <f t="shared" si="244"/>
        <v>x</v>
      </c>
      <c r="R81" s="117" t="str">
        <f t="shared" si="244"/>
        <v>x</v>
      </c>
      <c r="S81" s="117" t="str">
        <f t="shared" si="244"/>
        <v>x</v>
      </c>
      <c r="T81" s="117" t="str">
        <f t="shared" si="244"/>
        <v>x</v>
      </c>
      <c r="U81" s="117" t="str">
        <f t="shared" si="244"/>
        <v>x</v>
      </c>
      <c r="V81" s="117" t="str">
        <f t="shared" si="244"/>
        <v>x</v>
      </c>
      <c r="W81" s="117" t="str">
        <f t="shared" si="244"/>
        <v>x</v>
      </c>
      <c r="X81" s="117" t="str">
        <f t="shared" si="244"/>
        <v>x</v>
      </c>
      <c r="Y81" s="117" t="str">
        <f t="shared" si="244"/>
        <v>x</v>
      </c>
      <c r="Z81" s="117" t="str">
        <f t="shared" si="244"/>
        <v>x</v>
      </c>
    </row>
    <row r="82" spans="4:26" customFormat="1" x14ac:dyDescent="0.15">
      <c r="D82" s="117" t="str">
        <f t="shared" si="244"/>
        <v>x</v>
      </c>
      <c r="E82" s="117" t="str">
        <f t="shared" si="244"/>
        <v>x</v>
      </c>
      <c r="F82" s="117" t="str">
        <f t="shared" si="244"/>
        <v>x</v>
      </c>
      <c r="G82" s="117" t="str">
        <f t="shared" si="244"/>
        <v>x</v>
      </c>
      <c r="H82" s="117" t="str">
        <f t="shared" si="244"/>
        <v>x</v>
      </c>
      <c r="I82" s="117" t="str">
        <f t="shared" si="244"/>
        <v>54*|Middleton J|Woodgreen|26-May</v>
      </c>
      <c r="J82" s="117" t="str">
        <f t="shared" si="244"/>
        <v>x</v>
      </c>
      <c r="K82" s="117" t="str">
        <f t="shared" si="244"/>
        <v>52|Middleton J|LESSA Wanderers|02-Jun</v>
      </c>
      <c r="L82" s="117" t="str">
        <f t="shared" si="244"/>
        <v>x</v>
      </c>
      <c r="M82" s="117" t="str">
        <f t="shared" si="244"/>
        <v>x</v>
      </c>
      <c r="N82" s="117" t="str">
        <f t="shared" si="244"/>
        <v>x</v>
      </c>
      <c r="O82" s="117" t="str">
        <f t="shared" si="244"/>
        <v>x</v>
      </c>
      <c r="P82" s="117" t="str">
        <f t="shared" si="244"/>
        <v>x</v>
      </c>
      <c r="Q82" s="117" t="str">
        <f t="shared" si="244"/>
        <v>x</v>
      </c>
      <c r="R82" s="117" t="str">
        <f t="shared" si="244"/>
        <v>x</v>
      </c>
      <c r="S82" s="117" t="str">
        <f t="shared" si="244"/>
        <v>x</v>
      </c>
      <c r="T82" s="117" t="str">
        <f t="shared" si="244"/>
        <v>x</v>
      </c>
      <c r="U82" s="117" t="str">
        <f t="shared" si="244"/>
        <v>x</v>
      </c>
      <c r="V82" s="117" t="str">
        <f t="shared" si="244"/>
        <v>x</v>
      </c>
      <c r="W82" s="117" t="str">
        <f t="shared" si="244"/>
        <v>53|Middleton J|Sanderstead|01-Sep</v>
      </c>
      <c r="X82" s="117" t="str">
        <f t="shared" si="244"/>
        <v>x</v>
      </c>
      <c r="Y82" s="117" t="str">
        <f t="shared" si="244"/>
        <v>x</v>
      </c>
      <c r="Z82" s="117" t="str">
        <f t="shared" si="244"/>
        <v>x</v>
      </c>
    </row>
    <row r="83" spans="4:26" customFormat="1" x14ac:dyDescent="0.15">
      <c r="D83" s="117" t="str">
        <f t="shared" si="244"/>
        <v>x</v>
      </c>
      <c r="E83" s="117" t="str">
        <f t="shared" si="244"/>
        <v>x</v>
      </c>
      <c r="F83" s="117" t="str">
        <f t="shared" si="244"/>
        <v>x</v>
      </c>
      <c r="G83" s="117" t="str">
        <f t="shared" si="244"/>
        <v>x</v>
      </c>
      <c r="H83" s="117" t="str">
        <f t="shared" si="244"/>
        <v>x</v>
      </c>
      <c r="I83" s="117" t="str">
        <f t="shared" si="244"/>
        <v>x</v>
      </c>
      <c r="J83" s="117" t="str">
        <f t="shared" si="244"/>
        <v>x</v>
      </c>
      <c r="K83" s="117" t="str">
        <f t="shared" si="244"/>
        <v>x</v>
      </c>
      <c r="L83" s="117" t="str">
        <f t="shared" si="244"/>
        <v>x</v>
      </c>
      <c r="M83" s="117" t="str">
        <f t="shared" si="244"/>
        <v>x</v>
      </c>
      <c r="N83" s="117" t="str">
        <f t="shared" si="244"/>
        <v>x</v>
      </c>
      <c r="O83" s="117" t="str">
        <f t="shared" si="244"/>
        <v>x</v>
      </c>
      <c r="P83" s="117" t="str">
        <f t="shared" si="244"/>
        <v>x</v>
      </c>
      <c r="Q83" s="117" t="str">
        <f t="shared" si="244"/>
        <v>x</v>
      </c>
      <c r="R83" s="117" t="str">
        <f t="shared" si="244"/>
        <v>x</v>
      </c>
      <c r="S83" s="117" t="str">
        <f t="shared" si="244"/>
        <v>x</v>
      </c>
      <c r="T83" s="117" t="str">
        <f t="shared" si="244"/>
        <v>x</v>
      </c>
      <c r="U83" s="117" t="str">
        <f t="shared" si="244"/>
        <v>x</v>
      </c>
      <c r="V83" s="117" t="str">
        <f t="shared" si="244"/>
        <v>x</v>
      </c>
      <c r="W83" s="117" t="str">
        <f t="shared" si="244"/>
        <v>x</v>
      </c>
      <c r="X83" s="117" t="str">
        <f t="shared" si="244"/>
        <v>x</v>
      </c>
      <c r="Y83" s="117" t="str">
        <f t="shared" si="244"/>
        <v>x</v>
      </c>
      <c r="Z83" s="117" t="str">
        <f t="shared" si="244"/>
        <v>x</v>
      </c>
    </row>
    <row r="84" spans="4:26" customFormat="1" x14ac:dyDescent="0.15">
      <c r="D84" s="117" t="str">
        <f t="shared" si="244"/>
        <v>x</v>
      </c>
      <c r="E84" s="117" t="str">
        <f t="shared" si="244"/>
        <v>x</v>
      </c>
      <c r="F84" s="117" t="str">
        <f t="shared" ref="F84:Z84" si="245">IF(BatSplit(F28,RunsScored)&gt;=50,BatSplit(F28,RunsScored)&amp;IF(BatSplit(F28,NotOuts)=1,"*","")&amp;"|"&amp;$C28&amp;"|"&amp;F$2&amp;"|"&amp;TEXT(F$1,"dd-mmm"),"x")</f>
        <v>x</v>
      </c>
      <c r="G84" s="117" t="str">
        <f t="shared" si="245"/>
        <v>x</v>
      </c>
      <c r="H84" s="117" t="str">
        <f t="shared" si="245"/>
        <v>x</v>
      </c>
      <c r="I84" s="117" t="str">
        <f t="shared" si="245"/>
        <v>x</v>
      </c>
      <c r="J84" s="117" t="str">
        <f t="shared" si="245"/>
        <v>x</v>
      </c>
      <c r="K84" s="117" t="str">
        <f t="shared" si="245"/>
        <v>x</v>
      </c>
      <c r="L84" s="117" t="str">
        <f t="shared" si="245"/>
        <v>x</v>
      </c>
      <c r="M84" s="117" t="str">
        <f t="shared" si="245"/>
        <v>x</v>
      </c>
      <c r="N84" s="117" t="str">
        <f t="shared" si="245"/>
        <v>x</v>
      </c>
      <c r="O84" s="117" t="str">
        <f t="shared" si="245"/>
        <v>x</v>
      </c>
      <c r="P84" s="117" t="str">
        <f t="shared" si="245"/>
        <v>x</v>
      </c>
      <c r="Q84" s="117" t="str">
        <f t="shared" si="245"/>
        <v>x</v>
      </c>
      <c r="R84" s="117" t="str">
        <f t="shared" si="245"/>
        <v>x</v>
      </c>
      <c r="S84" s="117" t="str">
        <f t="shared" si="245"/>
        <v>x</v>
      </c>
      <c r="T84" s="117" t="str">
        <f t="shared" si="245"/>
        <v>x</v>
      </c>
      <c r="U84" s="117" t="str">
        <f t="shared" si="245"/>
        <v>x</v>
      </c>
      <c r="V84" s="117" t="str">
        <f t="shared" si="245"/>
        <v>x</v>
      </c>
      <c r="W84" s="117" t="str">
        <f t="shared" si="245"/>
        <v>x</v>
      </c>
      <c r="X84" s="117" t="str">
        <f t="shared" si="245"/>
        <v>x</v>
      </c>
      <c r="Y84" s="117" t="str">
        <f t="shared" si="245"/>
        <v>x</v>
      </c>
      <c r="Z84" s="117" t="str">
        <f t="shared" si="245"/>
        <v>x</v>
      </c>
    </row>
    <row r="85" spans="4:26" customFormat="1" x14ac:dyDescent="0.15">
      <c r="D85" s="117" t="str">
        <f t="shared" ref="D85:Z95" si="246">IF(BatSplit(D29,RunsScored)&gt;=50,BatSplit(D29,RunsScored)&amp;IF(BatSplit(D29,NotOuts)=1,"*","")&amp;"|"&amp;$C29&amp;"|"&amp;D$2&amp;"|"&amp;TEXT(D$1,"dd-mmm"),"x")</f>
        <v>x</v>
      </c>
      <c r="E85" s="117" t="str">
        <f t="shared" si="246"/>
        <v>x</v>
      </c>
      <c r="F85" s="117" t="str">
        <f t="shared" si="246"/>
        <v>x</v>
      </c>
      <c r="G85" s="117" t="str">
        <f t="shared" si="246"/>
        <v>x</v>
      </c>
      <c r="H85" s="117" t="str">
        <f t="shared" si="246"/>
        <v>x</v>
      </c>
      <c r="I85" s="117" t="str">
        <f t="shared" si="246"/>
        <v>x</v>
      </c>
      <c r="J85" s="117" t="str">
        <f t="shared" si="246"/>
        <v>x</v>
      </c>
      <c r="K85" s="117" t="str">
        <f t="shared" si="246"/>
        <v>x</v>
      </c>
      <c r="L85" s="117" t="str">
        <f t="shared" si="246"/>
        <v>x</v>
      </c>
      <c r="M85" s="117" t="str">
        <f t="shared" si="246"/>
        <v>x</v>
      </c>
      <c r="N85" s="117" t="str">
        <f t="shared" si="246"/>
        <v>x</v>
      </c>
      <c r="O85" s="117" t="str">
        <f t="shared" si="246"/>
        <v>x</v>
      </c>
      <c r="P85" s="117" t="str">
        <f t="shared" si="246"/>
        <v>x</v>
      </c>
      <c r="Q85" s="117" t="str">
        <f t="shared" si="246"/>
        <v>x</v>
      </c>
      <c r="R85" s="117" t="str">
        <f t="shared" si="246"/>
        <v>x</v>
      </c>
      <c r="S85" s="117" t="str">
        <f t="shared" si="246"/>
        <v>x</v>
      </c>
      <c r="T85" s="117" t="str">
        <f t="shared" si="246"/>
        <v>x</v>
      </c>
      <c r="U85" s="117" t="str">
        <f t="shared" si="246"/>
        <v>x</v>
      </c>
      <c r="V85" s="117" t="str">
        <f t="shared" si="246"/>
        <v>x</v>
      </c>
      <c r="W85" s="117" t="str">
        <f t="shared" si="246"/>
        <v>x</v>
      </c>
      <c r="X85" s="117" t="str">
        <f t="shared" si="246"/>
        <v>x</v>
      </c>
      <c r="Y85" s="117" t="str">
        <f t="shared" si="246"/>
        <v>x</v>
      </c>
      <c r="Z85" s="117" t="str">
        <f t="shared" si="246"/>
        <v>x</v>
      </c>
    </row>
    <row r="86" spans="4:26" customFormat="1" x14ac:dyDescent="0.15">
      <c r="D86" s="117" t="str">
        <f t="shared" si="246"/>
        <v>x</v>
      </c>
      <c r="E86" s="117" t="str">
        <f t="shared" si="246"/>
        <v>x</v>
      </c>
      <c r="F86" s="117" t="str">
        <f t="shared" si="246"/>
        <v>x</v>
      </c>
      <c r="G86" s="117" t="str">
        <f t="shared" si="246"/>
        <v>x</v>
      </c>
      <c r="H86" s="117" t="str">
        <f t="shared" si="246"/>
        <v>x</v>
      </c>
      <c r="I86" s="117" t="str">
        <f t="shared" si="246"/>
        <v>x</v>
      </c>
      <c r="J86" s="117" t="str">
        <f t="shared" si="246"/>
        <v>x</v>
      </c>
      <c r="K86" s="117" t="str">
        <f t="shared" si="246"/>
        <v>x</v>
      </c>
      <c r="L86" s="117" t="str">
        <f t="shared" si="246"/>
        <v>x</v>
      </c>
      <c r="M86" s="117" t="str">
        <f t="shared" si="246"/>
        <v>x</v>
      </c>
      <c r="N86" s="117" t="str">
        <f t="shared" si="246"/>
        <v>x</v>
      </c>
      <c r="O86" s="117" t="str">
        <f t="shared" si="246"/>
        <v>x</v>
      </c>
      <c r="P86" s="117" t="str">
        <f t="shared" si="246"/>
        <v>x</v>
      </c>
      <c r="Q86" s="117" t="str">
        <f t="shared" si="246"/>
        <v>x</v>
      </c>
      <c r="R86" s="117" t="str">
        <f t="shared" si="246"/>
        <v>x</v>
      </c>
      <c r="S86" s="117" t="str">
        <f t="shared" si="246"/>
        <v>x</v>
      </c>
      <c r="T86" s="117" t="str">
        <f t="shared" si="246"/>
        <v>x</v>
      </c>
      <c r="U86" s="117" t="str">
        <f t="shared" si="246"/>
        <v>x</v>
      </c>
      <c r="V86" s="117" t="str">
        <f t="shared" si="246"/>
        <v>x</v>
      </c>
      <c r="W86" s="117" t="str">
        <f t="shared" si="246"/>
        <v>x</v>
      </c>
      <c r="X86" s="117" t="str">
        <f t="shared" si="246"/>
        <v>x</v>
      </c>
      <c r="Y86" s="117" t="str">
        <f t="shared" si="246"/>
        <v>x</v>
      </c>
      <c r="Z86" s="117" t="str">
        <f t="shared" si="246"/>
        <v>x</v>
      </c>
    </row>
    <row r="87" spans="4:26" customFormat="1" x14ac:dyDescent="0.15">
      <c r="D87" s="117" t="str">
        <f t="shared" si="246"/>
        <v>x</v>
      </c>
      <c r="E87" s="117" t="str">
        <f t="shared" si="246"/>
        <v>x</v>
      </c>
      <c r="F87" s="117" t="str">
        <f t="shared" si="246"/>
        <v>x</v>
      </c>
      <c r="G87" s="117" t="str">
        <f t="shared" si="246"/>
        <v>x</v>
      </c>
      <c r="H87" s="117" t="str">
        <f t="shared" si="246"/>
        <v>x</v>
      </c>
      <c r="I87" s="117" t="str">
        <f t="shared" si="246"/>
        <v>x</v>
      </c>
      <c r="J87" s="117" t="str">
        <f t="shared" si="246"/>
        <v>x</v>
      </c>
      <c r="K87" s="117" t="str">
        <f t="shared" si="246"/>
        <v>x</v>
      </c>
      <c r="L87" s="117" t="str">
        <f t="shared" si="246"/>
        <v>x</v>
      </c>
      <c r="M87" s="117" t="str">
        <f t="shared" si="246"/>
        <v>x</v>
      </c>
      <c r="N87" s="117" t="str">
        <f t="shared" si="246"/>
        <v>x</v>
      </c>
      <c r="O87" s="117" t="str">
        <f t="shared" si="246"/>
        <v>x</v>
      </c>
      <c r="P87" s="117" t="str">
        <f t="shared" si="246"/>
        <v>x</v>
      </c>
      <c r="Q87" s="117" t="str">
        <f t="shared" si="246"/>
        <v>x</v>
      </c>
      <c r="R87" s="117" t="str">
        <f t="shared" si="246"/>
        <v>x</v>
      </c>
      <c r="S87" s="117" t="str">
        <f t="shared" si="246"/>
        <v>x</v>
      </c>
      <c r="T87" s="117" t="str">
        <f t="shared" si="246"/>
        <v>x</v>
      </c>
      <c r="U87" s="117" t="str">
        <f t="shared" si="246"/>
        <v>x</v>
      </c>
      <c r="V87" s="117" t="str">
        <f t="shared" si="246"/>
        <v>x</v>
      </c>
      <c r="W87" s="117" t="str">
        <f t="shared" si="246"/>
        <v>x</v>
      </c>
      <c r="X87" s="117" t="str">
        <f t="shared" si="246"/>
        <v>x</v>
      </c>
      <c r="Y87" s="117" t="str">
        <f t="shared" si="246"/>
        <v>x</v>
      </c>
      <c r="Z87" s="117" t="str">
        <f t="shared" si="246"/>
        <v>x</v>
      </c>
    </row>
    <row r="88" spans="4:26" customFormat="1" x14ac:dyDescent="0.15">
      <c r="D88" s="117" t="str">
        <f t="shared" si="246"/>
        <v>x</v>
      </c>
      <c r="E88" s="117" t="str">
        <f t="shared" si="246"/>
        <v>x</v>
      </c>
      <c r="F88" s="117" t="str">
        <f t="shared" si="246"/>
        <v>x</v>
      </c>
      <c r="G88" s="117" t="str">
        <f t="shared" si="246"/>
        <v>x</v>
      </c>
      <c r="H88" s="117" t="str">
        <f t="shared" si="246"/>
        <v>x</v>
      </c>
      <c r="I88" s="117" t="str">
        <f t="shared" si="246"/>
        <v>x</v>
      </c>
      <c r="J88" s="117" t="str">
        <f t="shared" si="246"/>
        <v>x</v>
      </c>
      <c r="K88" s="117" t="str">
        <f t="shared" si="246"/>
        <v>x</v>
      </c>
      <c r="L88" s="117" t="str">
        <f t="shared" si="246"/>
        <v>x</v>
      </c>
      <c r="M88" s="117" t="str">
        <f t="shared" si="246"/>
        <v>x</v>
      </c>
      <c r="N88" s="117" t="str">
        <f t="shared" si="246"/>
        <v>x</v>
      </c>
      <c r="O88" s="117" t="str">
        <f t="shared" si="246"/>
        <v>x</v>
      </c>
      <c r="P88" s="117" t="str">
        <f t="shared" si="246"/>
        <v>x</v>
      </c>
      <c r="Q88" s="117" t="str">
        <f t="shared" si="246"/>
        <v>x</v>
      </c>
      <c r="R88" s="117" t="str">
        <f t="shared" si="246"/>
        <v>x</v>
      </c>
      <c r="S88" s="117" t="str">
        <f t="shared" si="246"/>
        <v>x</v>
      </c>
      <c r="T88" s="117" t="str">
        <f t="shared" si="246"/>
        <v>x</v>
      </c>
      <c r="U88" s="117" t="str">
        <f t="shared" si="246"/>
        <v>x</v>
      </c>
      <c r="V88" s="117" t="str">
        <f t="shared" si="246"/>
        <v>x</v>
      </c>
      <c r="W88" s="117" t="str">
        <f t="shared" si="246"/>
        <v>x</v>
      </c>
      <c r="X88" s="117" t="str">
        <f t="shared" si="246"/>
        <v>x</v>
      </c>
      <c r="Y88" s="117" t="str">
        <f t="shared" si="246"/>
        <v>x</v>
      </c>
      <c r="Z88" s="117" t="str">
        <f t="shared" si="246"/>
        <v>x</v>
      </c>
    </row>
    <row r="89" spans="4:26" customFormat="1" x14ac:dyDescent="0.15">
      <c r="D89" s="117" t="str">
        <f t="shared" si="246"/>
        <v>x</v>
      </c>
      <c r="E89" s="117" t="str">
        <f t="shared" si="246"/>
        <v>x</v>
      </c>
      <c r="F89" s="117" t="str">
        <f t="shared" si="246"/>
        <v>x</v>
      </c>
      <c r="G89" s="117" t="str">
        <f t="shared" si="246"/>
        <v>x</v>
      </c>
      <c r="H89" s="117" t="str">
        <f t="shared" si="246"/>
        <v>x</v>
      </c>
      <c r="I89" s="117" t="str">
        <f t="shared" si="246"/>
        <v>x</v>
      </c>
      <c r="J89" s="117" t="str">
        <f t="shared" si="246"/>
        <v>x</v>
      </c>
      <c r="K89" s="117" t="str">
        <f t="shared" si="246"/>
        <v>x</v>
      </c>
      <c r="L89" s="117" t="str">
        <f t="shared" si="246"/>
        <v>x</v>
      </c>
      <c r="M89" s="117" t="str">
        <f t="shared" si="246"/>
        <v>x</v>
      </c>
      <c r="N89" s="117" t="str">
        <f t="shared" si="246"/>
        <v>x</v>
      </c>
      <c r="O89" s="117" t="str">
        <f t="shared" si="246"/>
        <v>x</v>
      </c>
      <c r="P89" s="117" t="str">
        <f t="shared" si="246"/>
        <v>x</v>
      </c>
      <c r="Q89" s="117" t="str">
        <f t="shared" si="246"/>
        <v>x</v>
      </c>
      <c r="R89" s="117" t="str">
        <f t="shared" si="246"/>
        <v>x</v>
      </c>
      <c r="S89" s="117" t="str">
        <f t="shared" si="246"/>
        <v>x</v>
      </c>
      <c r="T89" s="117" t="str">
        <f t="shared" si="246"/>
        <v>x</v>
      </c>
      <c r="U89" s="117" t="str">
        <f t="shared" si="246"/>
        <v>84|Seymour C|Beddington|18-Aug</v>
      </c>
      <c r="V89" s="117" t="str">
        <f t="shared" si="246"/>
        <v>x</v>
      </c>
      <c r="W89" s="117" t="str">
        <f t="shared" si="246"/>
        <v>x</v>
      </c>
      <c r="X89" s="117" t="str">
        <f t="shared" si="246"/>
        <v>x</v>
      </c>
      <c r="Y89" s="117" t="str">
        <f t="shared" si="246"/>
        <v>x</v>
      </c>
      <c r="Z89" s="117" t="str">
        <f t="shared" si="246"/>
        <v>x</v>
      </c>
    </row>
    <row r="90" spans="4:26" customFormat="1" x14ac:dyDescent="0.15">
      <c r="D90" s="117" t="str">
        <f t="shared" si="246"/>
        <v>68|Sharpe D|Sanderstead|28-Apr</v>
      </c>
      <c r="E90" s="117" t="str">
        <f t="shared" si="246"/>
        <v>x</v>
      </c>
      <c r="F90" s="117" t="str">
        <f t="shared" si="246"/>
        <v>x</v>
      </c>
      <c r="G90" s="117" t="str">
        <f t="shared" si="246"/>
        <v>x</v>
      </c>
      <c r="H90" s="117" t="str">
        <f t="shared" si="246"/>
        <v>x</v>
      </c>
      <c r="I90" s="117" t="str">
        <f t="shared" si="246"/>
        <v>x</v>
      </c>
      <c r="J90" s="117" t="str">
        <f t="shared" si="246"/>
        <v>x</v>
      </c>
      <c r="K90" s="117" t="str">
        <f t="shared" si="246"/>
        <v>x</v>
      </c>
      <c r="L90" s="117" t="str">
        <f t="shared" si="246"/>
        <v>94*|Sharpe D|Worcester Park|09-Jun</v>
      </c>
      <c r="M90" s="117" t="str">
        <f t="shared" si="246"/>
        <v>x</v>
      </c>
      <c r="N90" s="117" t="str">
        <f t="shared" si="246"/>
        <v>x</v>
      </c>
      <c r="O90" s="117" t="str">
        <f t="shared" si="246"/>
        <v>x</v>
      </c>
      <c r="P90" s="117" t="str">
        <f t="shared" si="246"/>
        <v>x</v>
      </c>
      <c r="Q90" s="117" t="str">
        <f t="shared" si="246"/>
        <v>61|Sharpe D|Statics|21-Jul</v>
      </c>
      <c r="R90" s="117" t="str">
        <f t="shared" si="246"/>
        <v>x</v>
      </c>
      <c r="S90" s="117" t="str">
        <f t="shared" si="246"/>
        <v>59|Sharpe D|Eltham|04-Aug</v>
      </c>
      <c r="T90" s="117" t="str">
        <f t="shared" si="246"/>
        <v>x</v>
      </c>
      <c r="U90" s="117" t="str">
        <f t="shared" si="246"/>
        <v>x</v>
      </c>
      <c r="V90" s="117" t="str">
        <f t="shared" si="246"/>
        <v>x</v>
      </c>
      <c r="W90" s="117" t="str">
        <f t="shared" si="246"/>
        <v>x</v>
      </c>
      <c r="X90" s="117" t="str">
        <f t="shared" si="246"/>
        <v>x</v>
      </c>
      <c r="Y90" s="117" t="str">
        <f t="shared" si="246"/>
        <v>x</v>
      </c>
      <c r="Z90" s="117" t="str">
        <f t="shared" si="246"/>
        <v>x</v>
      </c>
    </row>
    <row r="91" spans="4:26" customFormat="1" x14ac:dyDescent="0.15">
      <c r="D91" s="117" t="str">
        <f t="shared" si="246"/>
        <v>x</v>
      </c>
      <c r="E91" s="117" t="str">
        <f t="shared" si="246"/>
        <v>x</v>
      </c>
      <c r="F91" s="117" t="str">
        <f t="shared" si="246"/>
        <v>x</v>
      </c>
      <c r="G91" s="117" t="str">
        <f t="shared" si="246"/>
        <v>x</v>
      </c>
      <c r="H91" s="117" t="str">
        <f t="shared" si="246"/>
        <v>x</v>
      </c>
      <c r="I91" s="117" t="str">
        <f t="shared" si="246"/>
        <v>x</v>
      </c>
      <c r="J91" s="117" t="str">
        <f t="shared" si="246"/>
        <v>x</v>
      </c>
      <c r="K91" s="117" t="str">
        <f t="shared" si="246"/>
        <v>x</v>
      </c>
      <c r="L91" s="117" t="str">
        <f t="shared" si="246"/>
        <v>x</v>
      </c>
      <c r="M91" s="117" t="str">
        <f t="shared" si="246"/>
        <v>x</v>
      </c>
      <c r="N91" s="117" t="str">
        <f t="shared" si="246"/>
        <v>x</v>
      </c>
      <c r="O91" s="117" t="str">
        <f t="shared" si="246"/>
        <v>x</v>
      </c>
      <c r="P91" s="117" t="str">
        <f t="shared" si="246"/>
        <v>x</v>
      </c>
      <c r="Q91" s="117" t="str">
        <f t="shared" si="246"/>
        <v>x</v>
      </c>
      <c r="R91" s="117" t="str">
        <f t="shared" si="246"/>
        <v>x</v>
      </c>
      <c r="S91" s="117" t="str">
        <f t="shared" si="246"/>
        <v>x</v>
      </c>
      <c r="T91" s="117" t="str">
        <f t="shared" si="246"/>
        <v>x</v>
      </c>
      <c r="U91" s="117" t="str">
        <f t="shared" si="246"/>
        <v>x</v>
      </c>
      <c r="V91" s="117" t="str">
        <f t="shared" si="246"/>
        <v>x</v>
      </c>
      <c r="W91" s="117" t="str">
        <f t="shared" si="246"/>
        <v>x</v>
      </c>
      <c r="X91" s="117" t="str">
        <f t="shared" si="246"/>
        <v>x</v>
      </c>
      <c r="Y91" s="117" t="str">
        <f t="shared" si="246"/>
        <v>x</v>
      </c>
      <c r="Z91" s="117" t="str">
        <f t="shared" si="246"/>
        <v>x</v>
      </c>
    </row>
    <row r="92" spans="4:26" customFormat="1" x14ac:dyDescent="0.15">
      <c r="D92" s="117" t="str">
        <f t="shared" si="246"/>
        <v>x</v>
      </c>
      <c r="E92" s="117" t="str">
        <f t="shared" si="246"/>
        <v>x</v>
      </c>
      <c r="F92" s="117" t="str">
        <f t="shared" si="246"/>
        <v>x</v>
      </c>
      <c r="G92" s="117" t="str">
        <f t="shared" si="246"/>
        <v>x</v>
      </c>
      <c r="H92" s="117" t="str">
        <f t="shared" si="246"/>
        <v>x</v>
      </c>
      <c r="I92" s="117" t="str">
        <f t="shared" si="246"/>
        <v>x</v>
      </c>
      <c r="J92" s="117" t="str">
        <f t="shared" si="246"/>
        <v>x</v>
      </c>
      <c r="K92" s="117" t="str">
        <f t="shared" si="246"/>
        <v>x</v>
      </c>
      <c r="L92" s="117" t="str">
        <f t="shared" si="246"/>
        <v>x</v>
      </c>
      <c r="M92" s="117" t="str">
        <f t="shared" si="246"/>
        <v>x</v>
      </c>
      <c r="N92" s="117" t="str">
        <f t="shared" si="246"/>
        <v>x</v>
      </c>
      <c r="O92" s="117" t="str">
        <f t="shared" si="246"/>
        <v>x</v>
      </c>
      <c r="P92" s="117" t="str">
        <f t="shared" si="246"/>
        <v>x</v>
      </c>
      <c r="Q92" s="117" t="str">
        <f t="shared" si="246"/>
        <v>x</v>
      </c>
      <c r="R92" s="117" t="str">
        <f t="shared" si="246"/>
        <v>x</v>
      </c>
      <c r="S92" s="117" t="str">
        <f t="shared" si="246"/>
        <v>x</v>
      </c>
      <c r="T92" s="117" t="str">
        <f t="shared" si="246"/>
        <v>x</v>
      </c>
      <c r="U92" s="117" t="str">
        <f t="shared" si="246"/>
        <v>x</v>
      </c>
      <c r="V92" s="117" t="str">
        <f t="shared" si="246"/>
        <v>x</v>
      </c>
      <c r="W92" s="117" t="str">
        <f t="shared" si="246"/>
        <v>x</v>
      </c>
      <c r="X92" s="117" t="str">
        <f t="shared" si="246"/>
        <v>x</v>
      </c>
      <c r="Y92" s="117" t="str">
        <f t="shared" si="246"/>
        <v>x</v>
      </c>
      <c r="Z92" s="117" t="str">
        <f t="shared" si="246"/>
        <v>x</v>
      </c>
    </row>
    <row r="93" spans="4:26" customFormat="1" x14ac:dyDescent="0.15">
      <c r="D93" s="117" t="str">
        <f t="shared" si="246"/>
        <v>50*|Springer T|Sanderstead|28-Apr</v>
      </c>
      <c r="E93" s="117" t="str">
        <f t="shared" si="246"/>
        <v>x</v>
      </c>
      <c r="F93" s="117" t="str">
        <f t="shared" si="246"/>
        <v>x</v>
      </c>
      <c r="G93" s="117" t="str">
        <f t="shared" si="246"/>
        <v>102|Springer T|Shades|19-May</v>
      </c>
      <c r="H93" s="117" t="str">
        <f t="shared" si="246"/>
        <v>x</v>
      </c>
      <c r="I93" s="117" t="str">
        <f t="shared" si="246"/>
        <v>x</v>
      </c>
      <c r="J93" s="117" t="str">
        <f t="shared" si="246"/>
        <v>x</v>
      </c>
      <c r="K93" s="117" t="str">
        <f t="shared" si="246"/>
        <v>x</v>
      </c>
      <c r="L93" s="117" t="str">
        <f t="shared" si="246"/>
        <v>x</v>
      </c>
      <c r="M93" s="117" t="str">
        <f t="shared" si="246"/>
        <v>x</v>
      </c>
      <c r="N93" s="117" t="str">
        <f t="shared" si="246"/>
        <v>53|Springer T|RACS|30-Jun</v>
      </c>
      <c r="O93" s="117" t="str">
        <f t="shared" si="246"/>
        <v>x</v>
      </c>
      <c r="P93" s="117" t="str">
        <f t="shared" si="246"/>
        <v>x</v>
      </c>
      <c r="Q93" s="117" t="str">
        <f t="shared" si="246"/>
        <v>x</v>
      </c>
      <c r="R93" s="117" t="str">
        <f t="shared" si="246"/>
        <v>x</v>
      </c>
      <c r="S93" s="117" t="str">
        <f t="shared" si="246"/>
        <v>66*|Springer T|Eltham|04-Aug</v>
      </c>
      <c r="T93" s="117" t="str">
        <f t="shared" si="246"/>
        <v>x</v>
      </c>
      <c r="U93" s="117" t="str">
        <f t="shared" si="246"/>
        <v>x</v>
      </c>
      <c r="V93" s="117" t="str">
        <f t="shared" si="246"/>
        <v>x</v>
      </c>
      <c r="W93" s="117" t="str">
        <f t="shared" si="246"/>
        <v>x</v>
      </c>
      <c r="X93" s="117" t="str">
        <f t="shared" si="246"/>
        <v>x</v>
      </c>
      <c r="Y93" s="117" t="str">
        <f t="shared" si="246"/>
        <v>x</v>
      </c>
      <c r="Z93" s="117" t="str">
        <f t="shared" si="246"/>
        <v>x</v>
      </c>
    </row>
    <row r="94" spans="4:26" customFormat="1" x14ac:dyDescent="0.15">
      <c r="D94" s="117" t="str">
        <f t="shared" si="246"/>
        <v>x</v>
      </c>
      <c r="E94" s="117" t="str">
        <f t="shared" si="246"/>
        <v>x</v>
      </c>
      <c r="F94" s="117" t="str">
        <f t="shared" si="246"/>
        <v>x</v>
      </c>
      <c r="G94" s="117" t="str">
        <f t="shared" si="246"/>
        <v>x</v>
      </c>
      <c r="H94" s="117" t="str">
        <f t="shared" si="246"/>
        <v>x</v>
      </c>
      <c r="I94" s="117" t="str">
        <f t="shared" si="246"/>
        <v>x</v>
      </c>
      <c r="J94" s="117" t="str">
        <f t="shared" si="246"/>
        <v>x</v>
      </c>
      <c r="K94" s="117" t="str">
        <f t="shared" si="246"/>
        <v>x</v>
      </c>
      <c r="L94" s="117" t="str">
        <f t="shared" si="246"/>
        <v>x</v>
      </c>
      <c r="M94" s="117" t="str">
        <f t="shared" si="246"/>
        <v>x</v>
      </c>
      <c r="N94" s="117" t="str">
        <f t="shared" si="246"/>
        <v>x</v>
      </c>
      <c r="O94" s="117" t="str">
        <f t="shared" si="246"/>
        <v>x</v>
      </c>
      <c r="P94" s="117" t="str">
        <f t="shared" si="246"/>
        <v>x</v>
      </c>
      <c r="Q94" s="117" t="str">
        <f t="shared" si="246"/>
        <v>x</v>
      </c>
      <c r="R94" s="117" t="str">
        <f t="shared" si="246"/>
        <v>x</v>
      </c>
      <c r="S94" s="117" t="str">
        <f t="shared" si="246"/>
        <v>x</v>
      </c>
      <c r="T94" s="117" t="str">
        <f t="shared" si="246"/>
        <v>x</v>
      </c>
      <c r="U94" s="117" t="str">
        <f t="shared" si="246"/>
        <v>x</v>
      </c>
      <c r="V94" s="117" t="str">
        <f t="shared" si="246"/>
        <v>x</v>
      </c>
      <c r="W94" s="117" t="str">
        <f t="shared" si="246"/>
        <v>x</v>
      </c>
      <c r="X94" s="117" t="str">
        <f t="shared" si="246"/>
        <v>x</v>
      </c>
      <c r="Y94" s="117" t="str">
        <f t="shared" si="246"/>
        <v>x</v>
      </c>
      <c r="Z94" s="117" t="str">
        <f t="shared" si="246"/>
        <v>x</v>
      </c>
    </row>
    <row r="95" spans="4:26" customFormat="1" x14ac:dyDescent="0.15">
      <c r="D95" s="117" t="str">
        <f t="shared" si="246"/>
        <v>x</v>
      </c>
      <c r="E95" s="117" t="str">
        <f t="shared" si="246"/>
        <v>x</v>
      </c>
      <c r="F95" s="117" t="str">
        <f t="shared" si="246"/>
        <v>x</v>
      </c>
      <c r="G95" s="117" t="str">
        <f t="shared" si="246"/>
        <v>x</v>
      </c>
      <c r="H95" s="117" t="str">
        <f t="shared" si="246"/>
        <v>x</v>
      </c>
      <c r="I95" s="117" t="str">
        <f t="shared" si="246"/>
        <v>x</v>
      </c>
      <c r="J95" s="117" t="str">
        <f t="shared" si="246"/>
        <v>x</v>
      </c>
      <c r="K95" s="117" t="str">
        <f t="shared" si="246"/>
        <v>x</v>
      </c>
      <c r="L95" s="117" t="str">
        <f t="shared" si="246"/>
        <v>x</v>
      </c>
      <c r="M95" s="117" t="str">
        <f t="shared" si="246"/>
        <v>x</v>
      </c>
      <c r="N95" s="117" t="str">
        <f t="shared" si="246"/>
        <v>64*|Stevenson R|RACS|30-Jun</v>
      </c>
      <c r="O95" s="117" t="str">
        <f t="shared" si="246"/>
        <v>x</v>
      </c>
      <c r="P95" s="117" t="str">
        <f t="shared" si="246"/>
        <v>x</v>
      </c>
      <c r="Q95" s="117" t="str">
        <f t="shared" si="246"/>
        <v>x</v>
      </c>
      <c r="R95" s="117" t="str">
        <f t="shared" si="246"/>
        <v>x</v>
      </c>
      <c r="S95" s="117" t="str">
        <f t="shared" si="246"/>
        <v>x</v>
      </c>
      <c r="T95" s="117" t="str">
        <f t="shared" si="246"/>
        <v>x</v>
      </c>
      <c r="U95" s="117" t="str">
        <f t="shared" si="246"/>
        <v>x</v>
      </c>
      <c r="V95" s="117" t="str">
        <f t="shared" si="246"/>
        <v>x</v>
      </c>
      <c r="W95" s="117" t="str">
        <f t="shared" si="246"/>
        <v>x</v>
      </c>
      <c r="X95" s="117" t="str">
        <f t="shared" si="246"/>
        <v>x</v>
      </c>
      <c r="Y95" s="117" t="str">
        <f t="shared" si="246"/>
        <v>x</v>
      </c>
      <c r="Z95" s="117" t="str">
        <f t="shared" si="246"/>
        <v>x</v>
      </c>
    </row>
    <row r="96" spans="4:26" customFormat="1" x14ac:dyDescent="0.15"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</row>
    <row r="97" spans="4:26" customFormat="1" x14ac:dyDescent="0.15"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</row>
    <row r="98" spans="4:26" customFormat="1" x14ac:dyDescent="0.15"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</row>
    <row r="99" spans="4:26" customFormat="1" x14ac:dyDescent="0.15"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spans="4:26" customFormat="1" x14ac:dyDescent="0.15"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spans="4:26" customFormat="1" x14ac:dyDescent="0.15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spans="4:26" customFormat="1" x14ac:dyDescent="0.15"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spans="4:26" customFormat="1" x14ac:dyDescent="0.15"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spans="4:26" customFormat="1" x14ac:dyDescent="0.15"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spans="4:26" customFormat="1" x14ac:dyDescent="0.15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spans="4:26" customFormat="1" x14ac:dyDescent="0.15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spans="4:26" customFormat="1" x14ac:dyDescent="0.15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spans="4:26" customFormat="1" x14ac:dyDescent="0.15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spans="4:26" customFormat="1" x14ac:dyDescent="0.15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spans="4:26" customFormat="1" x14ac:dyDescent="0.15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/>
    <row r="131" spans="4:26" customFormat="1" x14ac:dyDescent="0.15"/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phoneticPr fontId="0" type="noConversion"/>
  <conditionalFormatting sqref="CE56:CE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71"/>
  <sheetViews>
    <sheetView zoomScaleNormal="100" workbookViewId="0">
      <pane xSplit="2" ySplit="4" topLeftCell="Q5" activePane="bottomRight" state="frozenSplit"/>
      <selection pane="topRight" activeCell="B1" sqref="B1"/>
      <selection pane="bottomLeft" activeCell="A5" sqref="A5"/>
      <selection pane="bottomRight" activeCell="B24" sqref="B24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41392</v>
      </c>
      <c r="D1" s="4">
        <v>41399</v>
      </c>
      <c r="E1" s="4">
        <v>41406</v>
      </c>
      <c r="F1" s="4">
        <v>41413</v>
      </c>
      <c r="G1" s="4">
        <v>41419</v>
      </c>
      <c r="H1" s="4">
        <v>41420</v>
      </c>
      <c r="I1" s="4">
        <v>41421</v>
      </c>
      <c r="J1" s="4">
        <v>41427</v>
      </c>
      <c r="K1" s="4">
        <v>41434</v>
      </c>
      <c r="L1" s="4">
        <v>41441</v>
      </c>
      <c r="M1" s="4">
        <v>41455</v>
      </c>
      <c r="N1" s="4">
        <v>41462</v>
      </c>
      <c r="O1" s="4">
        <v>41469</v>
      </c>
      <c r="P1" s="4">
        <v>41476</v>
      </c>
      <c r="Q1" s="4">
        <v>41483</v>
      </c>
      <c r="R1" s="4">
        <v>41490</v>
      </c>
      <c r="S1" s="4">
        <v>41497</v>
      </c>
      <c r="T1" s="4">
        <v>41504</v>
      </c>
      <c r="U1" s="4">
        <v>41511</v>
      </c>
      <c r="V1" s="4">
        <v>41518</v>
      </c>
      <c r="W1" s="4">
        <v>41525</v>
      </c>
      <c r="X1" s="4">
        <v>41539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Sanderstead</v>
      </c>
      <c r="D2" s="1" t="str">
        <v>Churchleigh</v>
      </c>
      <c r="E2" s="1" t="str">
        <v>Beddington</v>
      </c>
      <c r="F2" s="1" t="str">
        <v>Shades</v>
      </c>
      <c r="G2" s="1" t="str">
        <v>Fonthill Park</v>
      </c>
      <c r="H2" s="1" t="str">
        <v>Woodgreen</v>
      </c>
      <c r="I2" s="1" t="str">
        <v>Steeple Langford</v>
      </c>
      <c r="J2" s="1" t="str">
        <v>LESSA Wanderers</v>
      </c>
      <c r="K2" s="1" t="str">
        <v>Worcester Park</v>
      </c>
      <c r="L2" s="1" t="str">
        <v>LESSA Wanderers</v>
      </c>
      <c r="M2" s="1" t="str">
        <v>RACS</v>
      </c>
      <c r="N2" s="1" t="str">
        <v>Vishwa</v>
      </c>
      <c r="O2" s="1" t="str">
        <v>Southern Railway</v>
      </c>
      <c r="P2" s="1" t="str">
        <v>Statics</v>
      </c>
      <c r="Q2" s="1" t="str">
        <v>Southbank</v>
      </c>
      <c r="R2" s="1" t="str">
        <v>Eltham</v>
      </c>
      <c r="S2" s="1" t="str">
        <v>Dulwich</v>
      </c>
      <c r="T2" s="1" t="str">
        <v>Beddington</v>
      </c>
      <c r="U2" s="1" t="str">
        <v>Norwood Exiles</v>
      </c>
      <c r="V2" s="1" t="str">
        <v>Sanderstead</v>
      </c>
      <c r="W2" s="1" t="str">
        <v>Chadwick</v>
      </c>
      <c r="X2" s="1" t="str">
        <v>Bromley Town &amp; Old Bromley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A</v>
      </c>
      <c r="S3" s="1" t="str">
        <v>A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SUM(CP5:CP39)</f>
        <v>0</v>
      </c>
      <c r="CQ3" s="53">
        <f>SUM(CQ5:CQ39)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W</v>
      </c>
      <c r="E4" s="1" t="str">
        <v>W</v>
      </c>
      <c r="F4" s="1" t="str">
        <v>L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L</v>
      </c>
      <c r="O4" s="1" t="str">
        <v>L</v>
      </c>
      <c r="P4" s="1" t="str">
        <v>W</v>
      </c>
      <c r="Q4" s="1" t="str">
        <v>W</v>
      </c>
      <c r="R4" s="1" t="str">
        <v>W</v>
      </c>
      <c r="S4" s="1" t="str">
        <v>W</v>
      </c>
      <c r="T4" s="1" t="str">
        <v>L</v>
      </c>
      <c r="U4" s="1" t="str">
        <v>W</v>
      </c>
      <c r="V4" s="1" t="str">
        <v>L</v>
      </c>
      <c r="W4" s="1" t="str">
        <v>D</v>
      </c>
      <c r="X4" s="1" t="str">
        <v>W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32</v>
      </c>
      <c r="CG4" s="49" t="s">
        <v>33</v>
      </c>
      <c r="CH4" s="49" t="s">
        <v>34</v>
      </c>
      <c r="CI4" s="49" t="s">
        <v>9</v>
      </c>
      <c r="CJ4" s="49" t="s">
        <v>35</v>
      </c>
      <c r="CK4" s="46" t="s">
        <v>36</v>
      </c>
      <c r="CL4" s="49" t="s">
        <v>37</v>
      </c>
      <c r="CM4" s="49" t="s">
        <v>38</v>
      </c>
      <c r="CN4" s="48" t="s">
        <v>95</v>
      </c>
      <c r="CO4" s="53" t="s">
        <v>39</v>
      </c>
      <c r="CP4" s="53" t="s">
        <v>114</v>
      </c>
      <c r="CQ4" s="53" t="s">
        <v>115</v>
      </c>
      <c r="CR4" s="74" t="s">
        <v>141</v>
      </c>
      <c r="CS4" s="2" t="s">
        <v>136</v>
      </c>
      <c r="CT4" s="2" t="s">
        <v>201</v>
      </c>
      <c r="CU4" s="2" t="s">
        <v>279</v>
      </c>
    </row>
    <row r="5" spans="1:99" ht="11.25" customHeight="1" x14ac:dyDescent="0.15">
      <c r="B5" s="2" t="s">
        <v>282</v>
      </c>
      <c r="H5" s="2" t="s">
        <v>327</v>
      </c>
      <c r="W5" s="2" t="s">
        <v>674</v>
      </c>
      <c r="CE5" s="53">
        <f t="shared" ref="CE5" si="0">BowlSplit(C5:BC5,InnsBowledIn)</f>
        <v>2</v>
      </c>
      <c r="CF5" s="53">
        <f t="shared" ref="CF5" si="1">BowlSplit(C5:CC5,BallsBowled)</f>
        <v>24</v>
      </c>
      <c r="CG5" s="55">
        <f t="shared" ref="CG5" si="2">BowlSplit(C5:CC5,OversBowled)</f>
        <v>4</v>
      </c>
      <c r="CH5" s="53">
        <f t="shared" ref="CH5" si="3">BowlSplit(C5:CC5,Maidens)</f>
        <v>0</v>
      </c>
      <c r="CI5" s="53">
        <f t="shared" ref="CI5" si="4">BowlSplit(C5:CC5,RunsConceded)</f>
        <v>35</v>
      </c>
      <c r="CJ5" s="53">
        <f t="shared" ref="CJ5" si="5">BowlSplit(C5:CC5,WicketsTaken)</f>
        <v>1</v>
      </c>
      <c r="CK5" s="56">
        <f t="shared" ref="CK5" si="6">IF(CJ5&gt;0,ROUND(CI5/CJ5,2),"")</f>
        <v>35</v>
      </c>
      <c r="CL5" s="57">
        <f t="shared" ref="CL5" si="7">IF(CJ5&gt;0,CF5/CJ5,"")</f>
        <v>24</v>
      </c>
      <c r="CM5" s="57">
        <f t="shared" ref="CM5" si="8">IF(CF5&gt;0,6*CI5/CF5,"")</f>
        <v>8.75</v>
      </c>
      <c r="CN5" s="48" t="str">
        <f t="shared" ref="CN5" si="9">BowlSplit(C5:CC5,BestBowling)</f>
        <v>1-21</v>
      </c>
      <c r="CO5" s="53">
        <f t="shared" ref="CO5" si="10">BowlSplit(C5:CC5,BowlPts)</f>
        <v>0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35.000500000000002</v>
      </c>
      <c r="CS5" s="2">
        <f t="shared" ref="CS5:CS33" si="14">RANK(CR5,$CR$5:$CR$33,1)</f>
        <v>22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1:99" ht="11.25" customHeight="1" x14ac:dyDescent="0.15">
      <c r="A6" s="2" t="s">
        <v>58</v>
      </c>
      <c r="B6" s="2" t="s">
        <v>144</v>
      </c>
      <c r="S6" s="2" t="s">
        <v>609</v>
      </c>
      <c r="T6" s="2" t="s">
        <v>267</v>
      </c>
      <c r="U6" s="2" t="s">
        <v>642</v>
      </c>
      <c r="V6" s="2" t="s">
        <v>658</v>
      </c>
      <c r="X6" s="2" t="s">
        <v>693</v>
      </c>
      <c r="CE6" s="53">
        <f t="shared" ref="CE6:CE33" si="17">BowlSplit(C6:BC6,InnsBowledIn)</f>
        <v>5</v>
      </c>
      <c r="CF6" s="53">
        <f t="shared" ref="CF6:CF33" si="18">BowlSplit(C6:CC6,BallsBowled)</f>
        <v>78</v>
      </c>
      <c r="CG6" s="55">
        <f t="shared" ref="CG6:CG33" si="19">BowlSplit(C6:CC6,OversBowled)</f>
        <v>13</v>
      </c>
      <c r="CH6" s="53">
        <f t="shared" ref="CH6:CH33" si="20">BowlSplit(C6:CC6,Maidens)</f>
        <v>0</v>
      </c>
      <c r="CI6" s="53">
        <f t="shared" ref="CI6:CI33" si="21">BowlSplit(C6:CC6,RunsConceded)</f>
        <v>76</v>
      </c>
      <c r="CJ6" s="53">
        <f t="shared" ref="CJ6:CJ33" si="22">BowlSplit(C6:CC6,WicketsTaken)</f>
        <v>4</v>
      </c>
      <c r="CK6" s="56">
        <f t="shared" ref="CK6:CK33" si="23">IF(CJ6&gt;0,ROUND(CI6/CJ6,2),"")</f>
        <v>19</v>
      </c>
      <c r="CL6" s="57">
        <f t="shared" ref="CL6:CL33" si="24">IF(CJ6&gt;0,CF6/CJ6,"")</f>
        <v>19.5</v>
      </c>
      <c r="CM6" s="57">
        <f t="shared" ref="CM6:CM33" si="25">IF(CF6&gt;0,6*CI6/CF6,"")</f>
        <v>5.8461538461538458</v>
      </c>
      <c r="CN6" s="48" t="str">
        <f t="shared" ref="CN6:CN33" si="26">BowlSplit(C6:CC6,BestBowling)</f>
        <v>1-7</v>
      </c>
      <c r="CO6" s="53">
        <f t="shared" ref="CO6:CO33" si="27">BowlSplit(C6:CC6,BowlPts)</f>
        <v>25</v>
      </c>
      <c r="CP6" s="53">
        <f t="shared" ref="CP6:CP33" si="28">BowlSplit(C6:CC6,Wides)</f>
        <v>0</v>
      </c>
      <c r="CQ6" s="53">
        <f t="shared" ref="CQ6:CQ33" si="29">BowlSplit(C6:CC6,NoBalls)</f>
        <v>0</v>
      </c>
      <c r="CR6" s="58">
        <f t="shared" ref="CR6:CR33" si="30">IF(CJ6&gt;0,CK6,IF(CF6&gt;0,CF6+1000,99999))+ROW(CQ6)/10000</f>
        <v>19.000599999999999</v>
      </c>
      <c r="CS6" s="2">
        <f t="shared" si="14"/>
        <v>10</v>
      </c>
      <c r="CT6" s="106" t="str">
        <f t="shared" ref="CT6:CT33" si="31">IF(CF6&gt;=120,CH6/CF6*6,"")</f>
        <v/>
      </c>
      <c r="CU6" s="2">
        <f t="shared" ref="CU6:CU33" si="32">BowlSplit(C6:CC6,FiveFors)</f>
        <v>0</v>
      </c>
    </row>
    <row r="7" spans="1:99" ht="11.25" customHeight="1" x14ac:dyDescent="0.15">
      <c r="B7" s="2" t="s">
        <v>370</v>
      </c>
      <c r="F7" s="2" t="s">
        <v>393</v>
      </c>
      <c r="G7" s="2" t="s">
        <v>380</v>
      </c>
      <c r="J7" s="2" t="s">
        <v>300</v>
      </c>
      <c r="P7" s="2" t="s">
        <v>558</v>
      </c>
      <c r="CE7" s="53">
        <f t="shared" ref="CE7" si="33">BowlSplit(C7:BC7,InnsBowledIn)</f>
        <v>4</v>
      </c>
      <c r="CF7" s="53">
        <f t="shared" ref="CF7" si="34">BowlSplit(C7:CC7,BallsBowled)</f>
        <v>78</v>
      </c>
      <c r="CG7" s="55">
        <f t="shared" ref="CG7" si="35">BowlSplit(C7:CC7,OversBowled)</f>
        <v>13</v>
      </c>
      <c r="CH7" s="53">
        <f t="shared" ref="CH7" si="36">BowlSplit(C7:CC7,Maidens)</f>
        <v>0</v>
      </c>
      <c r="CI7" s="53">
        <f t="shared" ref="CI7" si="37">BowlSplit(C7:CC7,RunsConceded)</f>
        <v>79</v>
      </c>
      <c r="CJ7" s="53">
        <f t="shared" ref="CJ7" si="38">BowlSplit(C7:CC7,WicketsTaken)</f>
        <v>2</v>
      </c>
      <c r="CK7" s="56">
        <f t="shared" ref="CK7" si="39">IF(CJ7&gt;0,ROUND(CI7/CJ7,2),"")</f>
        <v>39.5</v>
      </c>
      <c r="CL7" s="57">
        <f t="shared" ref="CL7" si="40">IF(CJ7&gt;0,CF7/CJ7,"")</f>
        <v>39</v>
      </c>
      <c r="CM7" s="57">
        <f t="shared" ref="CM7" si="41">IF(CF7&gt;0,6*CI7/CF7,"")</f>
        <v>6.0769230769230766</v>
      </c>
      <c r="CN7" s="48" t="str">
        <f t="shared" ref="CN7" si="42">BowlSplit(C7:CC7,BestBowling)</f>
        <v>2-9</v>
      </c>
      <c r="CO7" s="53">
        <f t="shared" ref="CO7" si="43">BowlSplit(C7:CC7,BowlPts)</f>
        <v>20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39.500700000000002</v>
      </c>
      <c r="CS7" s="2">
        <f t="shared" si="14"/>
        <v>24</v>
      </c>
      <c r="CT7" s="106" t="str">
        <f t="shared" ref="CT7" si="47">IF(CF7&gt;=120,CH7/CF7*6,"")</f>
        <v/>
      </c>
      <c r="CU7" s="2">
        <f t="shared" ref="CU7" si="48">BowlSplit(C7:CC7,FiveFors)</f>
        <v>0</v>
      </c>
    </row>
    <row r="8" spans="1:99" ht="11.25" customHeight="1" x14ac:dyDescent="0.15">
      <c r="A8" s="2" t="s">
        <v>96</v>
      </c>
      <c r="B8" s="2" t="s">
        <v>145</v>
      </c>
      <c r="D8" s="123"/>
      <c r="G8" s="2" t="s">
        <v>377</v>
      </c>
      <c r="I8" s="2" t="s">
        <v>434</v>
      </c>
      <c r="K8" s="2" t="s">
        <v>464</v>
      </c>
      <c r="L8" s="2" t="s">
        <v>483</v>
      </c>
      <c r="M8" s="58"/>
      <c r="CE8" s="53">
        <f t="shared" si="17"/>
        <v>4</v>
      </c>
      <c r="CF8" s="53">
        <f t="shared" si="18"/>
        <v>123</v>
      </c>
      <c r="CG8" s="55">
        <f t="shared" si="19"/>
        <v>20.3</v>
      </c>
      <c r="CH8" s="53">
        <f t="shared" si="20"/>
        <v>6</v>
      </c>
      <c r="CI8" s="53">
        <f t="shared" si="21"/>
        <v>55</v>
      </c>
      <c r="CJ8" s="53">
        <f t="shared" si="22"/>
        <v>7</v>
      </c>
      <c r="CK8" s="56">
        <f t="shared" si="23"/>
        <v>7.86</v>
      </c>
      <c r="CL8" s="57">
        <f t="shared" si="24"/>
        <v>17.571428571428573</v>
      </c>
      <c r="CM8" s="57">
        <f t="shared" si="25"/>
        <v>2.6829268292682928</v>
      </c>
      <c r="CN8" s="48" t="str">
        <f t="shared" si="26"/>
        <v>4-2</v>
      </c>
      <c r="CO8" s="53">
        <f t="shared" si="27"/>
        <v>106</v>
      </c>
      <c r="CP8" s="53">
        <f t="shared" si="28"/>
        <v>0</v>
      </c>
      <c r="CQ8" s="53">
        <f t="shared" si="29"/>
        <v>0</v>
      </c>
      <c r="CR8" s="58">
        <f t="shared" si="30"/>
        <v>7.8608000000000002</v>
      </c>
      <c r="CS8" s="2">
        <f t="shared" si="14"/>
        <v>4</v>
      </c>
      <c r="CT8" s="106">
        <f t="shared" si="31"/>
        <v>0.29268292682926833</v>
      </c>
      <c r="CU8" s="2">
        <f t="shared" si="32"/>
        <v>0</v>
      </c>
    </row>
    <row r="9" spans="1:99" ht="11.25" customHeight="1" x14ac:dyDescent="0.15">
      <c r="B9" s="2" t="s">
        <v>228</v>
      </c>
      <c r="D9" s="123"/>
      <c r="J9" s="2" t="s">
        <v>449</v>
      </c>
      <c r="M9" s="58"/>
      <c r="N9" s="2" t="s">
        <v>520</v>
      </c>
      <c r="O9" s="2" t="s">
        <v>540</v>
      </c>
      <c r="CE9" s="53">
        <f t="shared" si="17"/>
        <v>3</v>
      </c>
      <c r="CF9" s="53">
        <f t="shared" si="18"/>
        <v>90</v>
      </c>
      <c r="CG9" s="55">
        <f t="shared" si="19"/>
        <v>15</v>
      </c>
      <c r="CH9" s="53">
        <f t="shared" si="20"/>
        <v>0</v>
      </c>
      <c r="CI9" s="53">
        <f t="shared" si="21"/>
        <v>96</v>
      </c>
      <c r="CJ9" s="53">
        <f t="shared" si="22"/>
        <v>3</v>
      </c>
      <c r="CK9" s="56">
        <f t="shared" si="23"/>
        <v>32</v>
      </c>
      <c r="CL9" s="57">
        <f t="shared" si="24"/>
        <v>30</v>
      </c>
      <c r="CM9" s="57">
        <f t="shared" si="25"/>
        <v>6.4</v>
      </c>
      <c r="CN9" s="48" t="str">
        <f t="shared" si="26"/>
        <v>2-32</v>
      </c>
      <c r="CO9" s="53">
        <f t="shared" si="27"/>
        <v>20</v>
      </c>
      <c r="CP9" s="53">
        <f t="shared" si="28"/>
        <v>0</v>
      </c>
      <c r="CQ9" s="53">
        <f t="shared" si="29"/>
        <v>0</v>
      </c>
      <c r="CR9" s="58">
        <f t="shared" si="30"/>
        <v>32.000900000000001</v>
      </c>
      <c r="CS9" s="2">
        <f t="shared" si="14"/>
        <v>21</v>
      </c>
      <c r="CT9" s="106" t="str">
        <f t="shared" si="31"/>
        <v/>
      </c>
      <c r="CU9" s="2">
        <f t="shared" si="32"/>
        <v>0</v>
      </c>
    </row>
    <row r="10" spans="1:99" ht="11.25" customHeight="1" x14ac:dyDescent="0.15">
      <c r="B10" s="2" t="s">
        <v>529</v>
      </c>
      <c r="M10" s="58"/>
      <c r="O10" s="2" t="s">
        <v>538</v>
      </c>
      <c r="P10" s="2" t="s">
        <v>553</v>
      </c>
      <c r="Q10" s="2" t="s">
        <v>573</v>
      </c>
      <c r="R10" s="2" t="s">
        <v>588</v>
      </c>
      <c r="CE10" s="53">
        <f t="shared" ref="CE10" si="49">BowlSplit(C10:BC10,InnsBowledIn)</f>
        <v>4</v>
      </c>
      <c r="CF10" s="53">
        <f t="shared" ref="CF10" si="50">BowlSplit(C10:CC10,BallsBowled)</f>
        <v>204</v>
      </c>
      <c r="CG10" s="55">
        <f t="shared" ref="CG10" si="51">BowlSplit(C10:CC10,OversBowled)</f>
        <v>34</v>
      </c>
      <c r="CH10" s="53">
        <f t="shared" ref="CH10" si="52">BowlSplit(C10:CC10,Maidens)</f>
        <v>3</v>
      </c>
      <c r="CI10" s="53">
        <f t="shared" ref="CI10" si="53">BowlSplit(C10:CC10,RunsConceded)</f>
        <v>129</v>
      </c>
      <c r="CJ10" s="53">
        <f t="shared" ref="CJ10" si="54">BowlSplit(C10:CC10,WicketsTaken)</f>
        <v>6</v>
      </c>
      <c r="CK10" s="56">
        <f t="shared" ref="CK10" si="55">IF(CJ10&gt;0,ROUND(CI10/CJ10,2),"")</f>
        <v>21.5</v>
      </c>
      <c r="CL10" s="57">
        <f t="shared" ref="CL10" si="56">IF(CJ10&gt;0,CF10/CJ10,"")</f>
        <v>34</v>
      </c>
      <c r="CM10" s="57">
        <f t="shared" ref="CM10" si="57">IF(CF10&gt;0,6*CI10/CF10,"")</f>
        <v>3.7941176470588234</v>
      </c>
      <c r="CN10" s="48" t="str">
        <f t="shared" ref="CN10" si="58">BowlSplit(C10:CC10,BestBowling)</f>
        <v>2-20</v>
      </c>
      <c r="CO10" s="53">
        <f t="shared" ref="CO10" si="59">BowlSplit(C10:CC10,BowlPts)</f>
        <v>78</v>
      </c>
      <c r="CP10" s="53">
        <f t="shared" ref="CP10" si="60">BowlSplit(C10:CC10,Wides)</f>
        <v>0</v>
      </c>
      <c r="CQ10" s="53">
        <f t="shared" ref="CQ10" si="61">BowlSplit(C10:CC10,NoBalls)</f>
        <v>0</v>
      </c>
      <c r="CR10" s="58">
        <f t="shared" ref="CR10" si="62">IF(CJ10&gt;0,CK10,IF(CF10&gt;0,CF10+1000,99999))+ROW(CQ10)/10000</f>
        <v>21.501000000000001</v>
      </c>
      <c r="CS10" s="2">
        <f t="shared" si="14"/>
        <v>12</v>
      </c>
      <c r="CT10" s="106">
        <f t="shared" ref="CT10" si="63">IF(CF10&gt;=120,CH10/CF10*6,"")</f>
        <v>8.8235294117647051E-2</v>
      </c>
      <c r="CU10" s="2">
        <f t="shared" ref="CU10" si="64">BowlSplit(C10:CC10,FiveFors)</f>
        <v>0</v>
      </c>
    </row>
    <row r="11" spans="1:99" ht="11.25" customHeight="1" x14ac:dyDescent="0.15">
      <c r="B11" s="2" t="s">
        <v>174</v>
      </c>
      <c r="F11" s="2" t="s">
        <v>394</v>
      </c>
      <c r="K11" s="2" t="s">
        <v>292</v>
      </c>
      <c r="L11" s="2" t="s">
        <v>484</v>
      </c>
      <c r="M11" s="58" t="s">
        <v>501</v>
      </c>
      <c r="X11" s="2" t="s">
        <v>694</v>
      </c>
      <c r="CE11" s="53">
        <f t="shared" si="17"/>
        <v>5</v>
      </c>
      <c r="CF11" s="53">
        <f t="shared" si="18"/>
        <v>56</v>
      </c>
      <c r="CG11" s="55">
        <f t="shared" si="19"/>
        <v>9.1999999999999993</v>
      </c>
      <c r="CH11" s="53">
        <f t="shared" si="20"/>
        <v>1</v>
      </c>
      <c r="CI11" s="53">
        <f t="shared" si="21"/>
        <v>60</v>
      </c>
      <c r="CJ11" s="53">
        <f t="shared" si="22"/>
        <v>6</v>
      </c>
      <c r="CK11" s="56">
        <f t="shared" si="23"/>
        <v>10</v>
      </c>
      <c r="CL11" s="57">
        <f t="shared" si="24"/>
        <v>9.3333333333333339</v>
      </c>
      <c r="CM11" s="57">
        <f t="shared" si="25"/>
        <v>6.4285714285714288</v>
      </c>
      <c r="CN11" s="48" t="str">
        <f t="shared" si="26"/>
        <v>3-20</v>
      </c>
      <c r="CO11" s="53">
        <f t="shared" si="27"/>
        <v>71</v>
      </c>
      <c r="CP11" s="53">
        <f t="shared" si="28"/>
        <v>0</v>
      </c>
      <c r="CQ11" s="53">
        <f t="shared" si="29"/>
        <v>0</v>
      </c>
      <c r="CR11" s="58">
        <f t="shared" si="30"/>
        <v>10.001099999999999</v>
      </c>
      <c r="CS11" s="2">
        <f t="shared" si="14"/>
        <v>6</v>
      </c>
      <c r="CT11" s="106" t="str">
        <f t="shared" si="31"/>
        <v/>
      </c>
      <c r="CU11" s="2">
        <f t="shared" si="32"/>
        <v>0</v>
      </c>
    </row>
    <row r="12" spans="1:99" ht="11.25" customHeight="1" x14ac:dyDescent="0.15">
      <c r="B12" s="2" t="s">
        <v>266</v>
      </c>
      <c r="C12" s="2" t="s">
        <v>325</v>
      </c>
      <c r="D12" s="2" t="s">
        <v>740</v>
      </c>
      <c r="E12" s="2" t="s">
        <v>353</v>
      </c>
      <c r="F12" s="2" t="s">
        <v>392</v>
      </c>
      <c r="H12" s="2" t="s">
        <v>412</v>
      </c>
      <c r="I12" s="2" t="s">
        <v>430</v>
      </c>
      <c r="K12" s="2" t="s">
        <v>462</v>
      </c>
      <c r="L12" s="2" t="s">
        <v>482</v>
      </c>
      <c r="M12" s="58" t="s">
        <v>297</v>
      </c>
      <c r="P12" s="2" t="s">
        <v>554</v>
      </c>
      <c r="Q12" s="2" t="s">
        <v>575</v>
      </c>
      <c r="R12" s="2" t="s">
        <v>592</v>
      </c>
      <c r="S12" s="2" t="s">
        <v>607</v>
      </c>
      <c r="T12" s="2" t="s">
        <v>623</v>
      </c>
      <c r="U12" s="2" t="s">
        <v>636</v>
      </c>
      <c r="V12" s="2" t="s">
        <v>656</v>
      </c>
      <c r="W12" s="2" t="s">
        <v>672</v>
      </c>
      <c r="CE12" s="53">
        <f t="shared" si="17"/>
        <v>17</v>
      </c>
      <c r="CF12" s="53">
        <f t="shared" si="18"/>
        <v>594</v>
      </c>
      <c r="CG12" s="55">
        <f t="shared" si="19"/>
        <v>99</v>
      </c>
      <c r="CH12" s="53">
        <f t="shared" si="20"/>
        <v>15</v>
      </c>
      <c r="CI12" s="53">
        <f t="shared" si="21"/>
        <v>411</v>
      </c>
      <c r="CJ12" s="53">
        <f t="shared" si="22"/>
        <v>18</v>
      </c>
      <c r="CK12" s="56">
        <f t="shared" si="23"/>
        <v>22.83</v>
      </c>
      <c r="CL12" s="57">
        <f t="shared" si="24"/>
        <v>33</v>
      </c>
      <c r="CM12" s="57">
        <f t="shared" si="25"/>
        <v>4.1515151515151514</v>
      </c>
      <c r="CN12" s="48" t="str">
        <f t="shared" si="26"/>
        <v>4-33</v>
      </c>
      <c r="CO12" s="53">
        <f t="shared" si="27"/>
        <v>230</v>
      </c>
      <c r="CP12" s="53">
        <f t="shared" si="28"/>
        <v>0</v>
      </c>
      <c r="CQ12" s="53">
        <f t="shared" si="29"/>
        <v>0</v>
      </c>
      <c r="CR12" s="58">
        <f t="shared" si="30"/>
        <v>22.831199999999999</v>
      </c>
      <c r="CS12" s="2">
        <f t="shared" si="14"/>
        <v>13</v>
      </c>
      <c r="CT12" s="106">
        <f t="shared" si="31"/>
        <v>0.15151515151515152</v>
      </c>
      <c r="CU12" s="2">
        <f t="shared" si="32"/>
        <v>0</v>
      </c>
    </row>
    <row r="13" spans="1:99" ht="11.25" customHeight="1" x14ac:dyDescent="0.15">
      <c r="B13" s="2" t="s">
        <v>276</v>
      </c>
      <c r="C13" s="2" t="s">
        <v>322</v>
      </c>
      <c r="D13" s="2" t="s">
        <v>349</v>
      </c>
      <c r="E13" s="2" t="s">
        <v>355</v>
      </c>
      <c r="H13" s="2" t="s">
        <v>413</v>
      </c>
      <c r="M13" s="58"/>
      <c r="Q13" s="2" t="s">
        <v>577</v>
      </c>
      <c r="T13" s="2" t="s">
        <v>625</v>
      </c>
      <c r="U13" s="2" t="s">
        <v>638</v>
      </c>
      <c r="W13" s="2" t="s">
        <v>679</v>
      </c>
      <c r="CE13" s="53">
        <f t="shared" si="17"/>
        <v>8</v>
      </c>
      <c r="CF13" s="53">
        <f t="shared" si="18"/>
        <v>195</v>
      </c>
      <c r="CG13" s="55">
        <f t="shared" si="19"/>
        <v>32.299999999999997</v>
      </c>
      <c r="CH13" s="53">
        <f t="shared" si="20"/>
        <v>3</v>
      </c>
      <c r="CI13" s="53">
        <f t="shared" si="21"/>
        <v>142</v>
      </c>
      <c r="CJ13" s="53">
        <f t="shared" si="22"/>
        <v>4</v>
      </c>
      <c r="CK13" s="56">
        <f t="shared" si="23"/>
        <v>35.5</v>
      </c>
      <c r="CL13" s="57">
        <f t="shared" si="24"/>
        <v>48.75</v>
      </c>
      <c r="CM13" s="57">
        <f t="shared" si="25"/>
        <v>4.3692307692307688</v>
      </c>
      <c r="CN13" s="48" t="str">
        <f t="shared" si="26"/>
        <v>2-10</v>
      </c>
      <c r="CO13" s="53">
        <f t="shared" si="27"/>
        <v>48</v>
      </c>
      <c r="CP13" s="53">
        <f t="shared" si="28"/>
        <v>0</v>
      </c>
      <c r="CQ13" s="53">
        <f t="shared" si="29"/>
        <v>0</v>
      </c>
      <c r="CR13" s="58">
        <f t="shared" si="30"/>
        <v>35.501300000000001</v>
      </c>
      <c r="CS13" s="2">
        <f t="shared" si="14"/>
        <v>23</v>
      </c>
      <c r="CT13" s="106">
        <f t="shared" si="31"/>
        <v>9.2307692307692313E-2</v>
      </c>
      <c r="CU13" s="2">
        <f t="shared" si="32"/>
        <v>0</v>
      </c>
    </row>
    <row r="14" spans="1:99" ht="11.25" customHeight="1" x14ac:dyDescent="0.15">
      <c r="B14" s="2" t="s">
        <v>513</v>
      </c>
      <c r="M14" s="58"/>
      <c r="N14" s="2" t="s">
        <v>521</v>
      </c>
      <c r="CE14" s="53">
        <f t="shared" si="17"/>
        <v>1</v>
      </c>
      <c r="CF14" s="53">
        <f t="shared" si="18"/>
        <v>6</v>
      </c>
      <c r="CG14" s="55">
        <f t="shared" si="19"/>
        <v>1</v>
      </c>
      <c r="CH14" s="53">
        <f t="shared" si="20"/>
        <v>0</v>
      </c>
      <c r="CI14" s="53">
        <f t="shared" si="21"/>
        <v>6</v>
      </c>
      <c r="CJ14" s="53">
        <f t="shared" si="22"/>
        <v>1</v>
      </c>
      <c r="CK14" s="56">
        <f t="shared" si="23"/>
        <v>6</v>
      </c>
      <c r="CL14" s="57">
        <f t="shared" si="24"/>
        <v>6</v>
      </c>
      <c r="CM14" s="57">
        <f t="shared" si="25"/>
        <v>6</v>
      </c>
      <c r="CN14" s="48" t="str">
        <f t="shared" si="26"/>
        <v>1-6</v>
      </c>
      <c r="CO14" s="53">
        <f t="shared" si="27"/>
        <v>5</v>
      </c>
      <c r="CP14" s="53">
        <f t="shared" si="28"/>
        <v>0</v>
      </c>
      <c r="CQ14" s="53">
        <f t="shared" si="29"/>
        <v>0</v>
      </c>
      <c r="CR14" s="58">
        <f t="shared" si="30"/>
        <v>6.0014000000000003</v>
      </c>
      <c r="CS14" s="2">
        <f t="shared" si="14"/>
        <v>3</v>
      </c>
      <c r="CT14" s="106" t="str">
        <f t="shared" si="31"/>
        <v/>
      </c>
      <c r="CU14" s="2">
        <f t="shared" si="32"/>
        <v>0</v>
      </c>
    </row>
    <row r="15" spans="1:99" ht="11.25" customHeight="1" x14ac:dyDescent="0.15">
      <c r="B15" s="2" t="s">
        <v>205</v>
      </c>
      <c r="M15" s="58"/>
      <c r="W15" s="2" t="s">
        <v>678</v>
      </c>
      <c r="CE15" s="53">
        <f t="shared" si="17"/>
        <v>1</v>
      </c>
      <c r="CF15" s="53">
        <f t="shared" si="18"/>
        <v>6</v>
      </c>
      <c r="CG15" s="55">
        <f t="shared" si="19"/>
        <v>1</v>
      </c>
      <c r="CH15" s="53">
        <f t="shared" si="20"/>
        <v>0</v>
      </c>
      <c r="CI15" s="53">
        <f t="shared" si="21"/>
        <v>3</v>
      </c>
      <c r="CJ15" s="53">
        <f t="shared" si="22"/>
        <v>0</v>
      </c>
      <c r="CK15" s="56" t="str">
        <f t="shared" si="23"/>
        <v/>
      </c>
      <c r="CL15" s="57" t="str">
        <f t="shared" si="24"/>
        <v/>
      </c>
      <c r="CM15" s="57">
        <f t="shared" si="25"/>
        <v>3</v>
      </c>
      <c r="CN15" s="48" t="str">
        <f t="shared" si="26"/>
        <v>0-3</v>
      </c>
      <c r="CO15" s="53">
        <f t="shared" si="27"/>
        <v>5</v>
      </c>
      <c r="CP15" s="53">
        <f t="shared" si="28"/>
        <v>0</v>
      </c>
      <c r="CQ15" s="53">
        <f t="shared" si="29"/>
        <v>0</v>
      </c>
      <c r="CR15" s="58">
        <f t="shared" si="30"/>
        <v>1006.0015</v>
      </c>
      <c r="CS15" s="2">
        <f t="shared" si="14"/>
        <v>27</v>
      </c>
      <c r="CT15" s="106" t="str">
        <f t="shared" si="31"/>
        <v/>
      </c>
      <c r="CU15" s="2">
        <f t="shared" si="32"/>
        <v>0</v>
      </c>
    </row>
    <row r="16" spans="1:99" ht="11.25" customHeight="1" x14ac:dyDescent="0.15">
      <c r="A16" s="2" t="s">
        <v>44</v>
      </c>
      <c r="B16" s="2" t="s">
        <v>45</v>
      </c>
      <c r="J16" s="2" t="s">
        <v>451</v>
      </c>
      <c r="CE16" s="53">
        <f t="shared" si="17"/>
        <v>1</v>
      </c>
      <c r="CF16" s="53">
        <f t="shared" si="18"/>
        <v>18</v>
      </c>
      <c r="CG16" s="55">
        <f t="shared" si="19"/>
        <v>3</v>
      </c>
      <c r="CH16" s="53">
        <f t="shared" si="20"/>
        <v>0</v>
      </c>
      <c r="CI16" s="53">
        <f t="shared" si="21"/>
        <v>13</v>
      </c>
      <c r="CJ16" s="53">
        <f t="shared" si="22"/>
        <v>3</v>
      </c>
      <c r="CK16" s="56">
        <f t="shared" si="23"/>
        <v>4.33</v>
      </c>
      <c r="CL16" s="57">
        <f t="shared" si="24"/>
        <v>6</v>
      </c>
      <c r="CM16" s="57">
        <f t="shared" si="25"/>
        <v>4.333333333333333</v>
      </c>
      <c r="CN16" s="48" t="str">
        <f t="shared" si="26"/>
        <v>3-13</v>
      </c>
      <c r="CO16" s="53">
        <f t="shared" si="27"/>
        <v>30</v>
      </c>
      <c r="CP16" s="53">
        <f t="shared" si="28"/>
        <v>0</v>
      </c>
      <c r="CQ16" s="53">
        <f t="shared" si="29"/>
        <v>0</v>
      </c>
      <c r="CR16" s="58">
        <f t="shared" si="30"/>
        <v>4.3315999999999999</v>
      </c>
      <c r="CS16" s="2">
        <f t="shared" si="14"/>
        <v>2</v>
      </c>
      <c r="CT16" s="106" t="str">
        <f t="shared" si="31"/>
        <v/>
      </c>
      <c r="CU16" s="2">
        <f t="shared" si="32"/>
        <v>0</v>
      </c>
    </row>
    <row r="17" spans="1:99" ht="11.25" customHeight="1" x14ac:dyDescent="0.15">
      <c r="B17" s="2" t="s">
        <v>423</v>
      </c>
      <c r="I17" s="2" t="s">
        <v>433</v>
      </c>
      <c r="CE17" s="53">
        <f t="shared" ref="CE17" si="65">BowlSplit(C17:BC17,InnsBowledIn)</f>
        <v>1</v>
      </c>
      <c r="CF17" s="53">
        <f t="shared" ref="CF17" si="66">BowlSplit(C17:CC17,BallsBowled)</f>
        <v>30</v>
      </c>
      <c r="CG17" s="55">
        <f t="shared" ref="CG17" si="67">BowlSplit(C17:CC17,OversBowled)</f>
        <v>5</v>
      </c>
      <c r="CH17" s="53">
        <f t="shared" ref="CH17" si="68">BowlSplit(C17:CC17,Maidens)</f>
        <v>0</v>
      </c>
      <c r="CI17" s="53">
        <f t="shared" ref="CI17" si="69">BowlSplit(C17:CC17,RunsConceded)</f>
        <v>16</v>
      </c>
      <c r="CJ17" s="53">
        <f t="shared" ref="CJ17" si="70">BowlSplit(C17:CC17,WicketsTaken)</f>
        <v>2</v>
      </c>
      <c r="CK17" s="56">
        <f t="shared" ref="CK17" si="71">IF(CJ17&gt;0,ROUND(CI17/CJ17,2),"")</f>
        <v>8</v>
      </c>
      <c r="CL17" s="57">
        <f t="shared" ref="CL17" si="72">IF(CJ17&gt;0,CF17/CJ17,"")</f>
        <v>15</v>
      </c>
      <c r="CM17" s="57">
        <f t="shared" ref="CM17" si="73">IF(CF17&gt;0,6*CI17/CF17,"")</f>
        <v>3.2</v>
      </c>
      <c r="CN17" s="48" t="str">
        <f t="shared" ref="CN17" si="74">BowlSplit(C17:CC17,BestBowling)</f>
        <v>2-16</v>
      </c>
      <c r="CO17" s="53">
        <f t="shared" ref="CO17" si="75">BowlSplit(C17:CC17,BowlPts)</f>
        <v>25</v>
      </c>
      <c r="CP17" s="53">
        <f t="shared" ref="CP17" si="76">BowlSplit(C17:CC17,Wides)</f>
        <v>0</v>
      </c>
      <c r="CQ17" s="53">
        <f t="shared" ref="CQ17" si="77">BowlSplit(C17:CC17,NoBalls)</f>
        <v>0</v>
      </c>
      <c r="CR17" s="58">
        <f t="shared" ref="CR17" si="78">IF(CJ17&gt;0,CK17,IF(CF17&gt;0,CF17+1000,99999))+ROW(CQ17)/10000</f>
        <v>8.0016999999999996</v>
      </c>
      <c r="CS17" s="2">
        <f t="shared" si="14"/>
        <v>5</v>
      </c>
      <c r="CT17" s="106" t="str">
        <f t="shared" ref="CT17" si="79">IF(CF17&gt;=120,CH17/CF17*6,"")</f>
        <v/>
      </c>
      <c r="CU17" s="2">
        <f t="shared" ref="CU17" si="80">BowlSplit(C17:CC17,FiveFors)</f>
        <v>0</v>
      </c>
    </row>
    <row r="18" spans="1:99" ht="11.25" customHeight="1" x14ac:dyDescent="0.15">
      <c r="B18" s="2" t="s">
        <v>247</v>
      </c>
      <c r="C18" s="2" t="s">
        <v>320</v>
      </c>
      <c r="D18" s="2" t="s">
        <v>346</v>
      </c>
      <c r="E18" s="2" t="s">
        <v>356</v>
      </c>
      <c r="G18" s="2" t="s">
        <v>376</v>
      </c>
      <c r="H18" s="2" t="s">
        <v>414</v>
      </c>
      <c r="K18" s="2" t="s">
        <v>461</v>
      </c>
      <c r="N18" s="2" t="s">
        <v>515</v>
      </c>
      <c r="V18" s="2" t="s">
        <v>655</v>
      </c>
      <c r="CE18" s="53">
        <f t="shared" si="17"/>
        <v>8</v>
      </c>
      <c r="CF18" s="53">
        <f t="shared" si="18"/>
        <v>402</v>
      </c>
      <c r="CG18" s="55">
        <f t="shared" si="19"/>
        <v>67</v>
      </c>
      <c r="CH18" s="53">
        <f t="shared" si="20"/>
        <v>16</v>
      </c>
      <c r="CI18" s="53">
        <f t="shared" si="21"/>
        <v>193</v>
      </c>
      <c r="CJ18" s="53">
        <f t="shared" si="22"/>
        <v>8</v>
      </c>
      <c r="CK18" s="56">
        <f t="shared" si="23"/>
        <v>24.13</v>
      </c>
      <c r="CL18" s="57">
        <f t="shared" si="24"/>
        <v>50.25</v>
      </c>
      <c r="CM18" s="57">
        <f t="shared" si="25"/>
        <v>2.8805970149253732</v>
      </c>
      <c r="CN18" s="48" t="str">
        <f t="shared" si="26"/>
        <v>3-23</v>
      </c>
      <c r="CO18" s="53">
        <f t="shared" si="27"/>
        <v>156</v>
      </c>
      <c r="CP18" s="53">
        <f t="shared" si="28"/>
        <v>0</v>
      </c>
      <c r="CQ18" s="53">
        <f t="shared" si="29"/>
        <v>0</v>
      </c>
      <c r="CR18" s="58">
        <f t="shared" si="30"/>
        <v>24.131799999999998</v>
      </c>
      <c r="CS18" s="2">
        <f t="shared" si="14"/>
        <v>15</v>
      </c>
      <c r="CT18" s="106">
        <f t="shared" si="31"/>
        <v>0.23880597014925373</v>
      </c>
      <c r="CU18" s="2">
        <f t="shared" si="32"/>
        <v>0</v>
      </c>
    </row>
    <row r="19" spans="1:99" ht="11.25" customHeight="1" x14ac:dyDescent="0.15">
      <c r="B19" s="2" t="s">
        <v>225</v>
      </c>
      <c r="C19" s="2" t="s">
        <v>328</v>
      </c>
      <c r="D19" s="2" t="s">
        <v>347</v>
      </c>
      <c r="E19" s="2" t="s">
        <v>360</v>
      </c>
      <c r="G19" s="2" t="s">
        <v>379</v>
      </c>
      <c r="I19" s="2" t="s">
        <v>432</v>
      </c>
      <c r="J19" s="2" t="s">
        <v>447</v>
      </c>
      <c r="L19" s="2" t="s">
        <v>480</v>
      </c>
      <c r="M19" s="58" t="s">
        <v>496</v>
      </c>
      <c r="N19" s="2" t="s">
        <v>516</v>
      </c>
      <c r="O19" s="2" t="s">
        <v>541</v>
      </c>
      <c r="P19" s="2" t="s">
        <v>557</v>
      </c>
      <c r="Q19" s="2" t="s">
        <v>431</v>
      </c>
      <c r="S19" s="2" t="s">
        <v>610</v>
      </c>
      <c r="T19" s="2" t="s">
        <v>624</v>
      </c>
      <c r="U19" s="2" t="s">
        <v>639</v>
      </c>
      <c r="V19" s="2" t="s">
        <v>657</v>
      </c>
      <c r="W19" s="2" t="s">
        <v>676</v>
      </c>
      <c r="X19" s="2" t="s">
        <v>691</v>
      </c>
      <c r="CE19" s="53">
        <f t="shared" si="17"/>
        <v>18</v>
      </c>
      <c r="CF19" s="53">
        <f t="shared" si="18"/>
        <v>533</v>
      </c>
      <c r="CG19" s="55">
        <f t="shared" si="19"/>
        <v>88.5</v>
      </c>
      <c r="CH19" s="53">
        <f t="shared" si="20"/>
        <v>13</v>
      </c>
      <c r="CI19" s="53">
        <f t="shared" si="21"/>
        <v>362</v>
      </c>
      <c r="CJ19" s="53">
        <f t="shared" si="22"/>
        <v>21</v>
      </c>
      <c r="CK19" s="56">
        <f t="shared" si="23"/>
        <v>17.239999999999998</v>
      </c>
      <c r="CL19" s="57">
        <f t="shared" si="24"/>
        <v>25.38095238095238</v>
      </c>
      <c r="CM19" s="57">
        <f t="shared" si="25"/>
        <v>4.0750469043151973</v>
      </c>
      <c r="CN19" s="48" t="str">
        <f t="shared" si="26"/>
        <v>3-17</v>
      </c>
      <c r="CO19" s="53">
        <f t="shared" si="27"/>
        <v>278</v>
      </c>
      <c r="CP19" s="53">
        <f t="shared" si="28"/>
        <v>0</v>
      </c>
      <c r="CQ19" s="53">
        <f t="shared" si="29"/>
        <v>0</v>
      </c>
      <c r="CR19" s="58">
        <f t="shared" si="30"/>
        <v>17.241899999999998</v>
      </c>
      <c r="CS19" s="2">
        <f t="shared" si="14"/>
        <v>9</v>
      </c>
      <c r="CT19" s="106">
        <f t="shared" si="31"/>
        <v>0.14634146341463417</v>
      </c>
      <c r="CU19" s="2">
        <f t="shared" si="32"/>
        <v>0</v>
      </c>
    </row>
    <row r="20" spans="1:99" ht="11.25" customHeight="1" x14ac:dyDescent="0.15">
      <c r="B20" s="2" t="s">
        <v>343</v>
      </c>
      <c r="D20" s="2" t="s">
        <v>348</v>
      </c>
      <c r="M20" s="58"/>
      <c r="CE20" s="53">
        <f t="shared" ref="CE20" si="81">BowlSplit(C20:BC20,InnsBowledIn)</f>
        <v>1</v>
      </c>
      <c r="CF20" s="53">
        <f t="shared" ref="CF20" si="82">BowlSplit(C20:CC20,BallsBowled)</f>
        <v>48</v>
      </c>
      <c r="CG20" s="55">
        <f t="shared" ref="CG20" si="83">BowlSplit(C20:CC20,OversBowled)</f>
        <v>8</v>
      </c>
      <c r="CH20" s="53">
        <f t="shared" ref="CH20" si="84">BowlSplit(C20:CC20,Maidens)</f>
        <v>0</v>
      </c>
      <c r="CI20" s="53">
        <f t="shared" ref="CI20" si="85">BowlSplit(C20:CC20,RunsConceded)</f>
        <v>28</v>
      </c>
      <c r="CJ20" s="53">
        <f t="shared" ref="CJ20" si="86">BowlSplit(C20:CC20,WicketsTaken)</f>
        <v>2</v>
      </c>
      <c r="CK20" s="56">
        <f t="shared" ref="CK20" si="87">IF(CJ20&gt;0,ROUND(CI20/CJ20,2),"")</f>
        <v>14</v>
      </c>
      <c r="CL20" s="57">
        <f t="shared" ref="CL20" si="88">IF(CJ20&gt;0,CF20/CJ20,"")</f>
        <v>24</v>
      </c>
      <c r="CM20" s="57">
        <f t="shared" ref="CM20" si="89">IF(CF20&gt;0,6*CI20/CF20,"")</f>
        <v>3.5</v>
      </c>
      <c r="CN20" s="48" t="str">
        <f t="shared" ref="CN20" si="90">BowlSplit(C20:CC20,BestBowling)</f>
        <v>2-28</v>
      </c>
      <c r="CO20" s="53">
        <f t="shared" ref="CO20" si="91">BowlSplit(C20:CC20,BowlPts)</f>
        <v>25</v>
      </c>
      <c r="CP20" s="53">
        <f t="shared" ref="CP20" si="92">BowlSplit(C20:CC20,Wides)</f>
        <v>0</v>
      </c>
      <c r="CQ20" s="53">
        <f t="shared" ref="CQ20" si="93">BowlSplit(C20:CC20,NoBalls)</f>
        <v>0</v>
      </c>
      <c r="CR20" s="58">
        <f t="shared" ref="CR20" si="94">IF(CJ20&gt;0,CK20,IF(CF20&gt;0,CF20+1000,99999))+ROW(CQ20)/10000</f>
        <v>14.002000000000001</v>
      </c>
      <c r="CS20" s="2">
        <f t="shared" si="14"/>
        <v>7</v>
      </c>
      <c r="CT20" s="106" t="str">
        <f t="shared" ref="CT20" si="95">IF(CF20&gt;=120,CH20/CF20*6,"")</f>
        <v/>
      </c>
      <c r="CU20" s="2">
        <f t="shared" ref="CU20" si="96">BowlSplit(C20:CC20,FiveFors)</f>
        <v>0</v>
      </c>
    </row>
    <row r="21" spans="1:99" ht="11.25" customHeight="1" x14ac:dyDescent="0.15">
      <c r="B21" s="2" t="s">
        <v>230</v>
      </c>
      <c r="C21" s="2" t="s">
        <v>327</v>
      </c>
      <c r="M21" s="58"/>
      <c r="CE21" s="53">
        <f t="shared" si="17"/>
        <v>1</v>
      </c>
      <c r="CF21" s="53">
        <f t="shared" si="18"/>
        <v>18</v>
      </c>
      <c r="CG21" s="55">
        <f t="shared" si="19"/>
        <v>3</v>
      </c>
      <c r="CH21" s="53">
        <f t="shared" si="20"/>
        <v>0</v>
      </c>
      <c r="CI21" s="53">
        <f t="shared" si="21"/>
        <v>21</v>
      </c>
      <c r="CJ21" s="53">
        <f t="shared" si="22"/>
        <v>1</v>
      </c>
      <c r="CK21" s="56">
        <f t="shared" si="23"/>
        <v>21</v>
      </c>
      <c r="CL21" s="57">
        <f t="shared" si="24"/>
        <v>18</v>
      </c>
      <c r="CM21" s="57">
        <f t="shared" si="25"/>
        <v>7</v>
      </c>
      <c r="CN21" s="48" t="str">
        <f t="shared" si="26"/>
        <v>1-21</v>
      </c>
      <c r="CO21" s="53">
        <f t="shared" si="27"/>
        <v>5</v>
      </c>
      <c r="CP21" s="53">
        <f t="shared" si="28"/>
        <v>0</v>
      </c>
      <c r="CQ21" s="53">
        <f t="shared" si="29"/>
        <v>0</v>
      </c>
      <c r="CR21" s="58">
        <f t="shared" si="30"/>
        <v>21.002099999999999</v>
      </c>
      <c r="CS21" s="2">
        <f t="shared" si="14"/>
        <v>11</v>
      </c>
      <c r="CT21" s="106" t="str">
        <f t="shared" si="31"/>
        <v/>
      </c>
      <c r="CU21" s="2">
        <f t="shared" si="32"/>
        <v>0</v>
      </c>
    </row>
    <row r="22" spans="1:99" ht="11.25" customHeight="1" x14ac:dyDescent="0.15">
      <c r="B22" s="2" t="s">
        <v>303</v>
      </c>
      <c r="C22" s="2" t="s">
        <v>326</v>
      </c>
      <c r="F22" s="2" t="s">
        <v>396</v>
      </c>
      <c r="J22" s="2" t="s">
        <v>452</v>
      </c>
      <c r="M22" s="58"/>
      <c r="W22" s="2" t="s">
        <v>676</v>
      </c>
      <c r="CE22" s="53">
        <f t="shared" si="17"/>
        <v>4</v>
      </c>
      <c r="CF22" s="53">
        <f t="shared" si="18"/>
        <v>42</v>
      </c>
      <c r="CG22" s="55">
        <f t="shared" si="19"/>
        <v>7</v>
      </c>
      <c r="CH22" s="53">
        <f t="shared" si="20"/>
        <v>1</v>
      </c>
      <c r="CI22" s="53">
        <f t="shared" si="21"/>
        <v>46</v>
      </c>
      <c r="CJ22" s="53">
        <f t="shared" si="22"/>
        <v>2</v>
      </c>
      <c r="CK22" s="56">
        <f t="shared" si="23"/>
        <v>23</v>
      </c>
      <c r="CL22" s="57">
        <f t="shared" si="24"/>
        <v>21</v>
      </c>
      <c r="CM22" s="57">
        <f t="shared" si="25"/>
        <v>6.5714285714285712</v>
      </c>
      <c r="CN22" s="48" t="str">
        <f t="shared" si="26"/>
        <v>2-20</v>
      </c>
      <c r="CO22" s="53">
        <f t="shared" si="27"/>
        <v>26</v>
      </c>
      <c r="CP22" s="53">
        <f t="shared" si="28"/>
        <v>0</v>
      </c>
      <c r="CQ22" s="53">
        <f t="shared" si="29"/>
        <v>0</v>
      </c>
      <c r="CR22" s="58">
        <f t="shared" si="30"/>
        <v>23.002199999999998</v>
      </c>
      <c r="CS22" s="2">
        <f t="shared" si="14"/>
        <v>14</v>
      </c>
      <c r="CT22" s="106" t="str">
        <f t="shared" si="31"/>
        <v/>
      </c>
      <c r="CU22" s="2">
        <f t="shared" si="32"/>
        <v>0</v>
      </c>
    </row>
    <row r="23" spans="1:99" ht="11.25" customHeight="1" x14ac:dyDescent="0.15">
      <c r="B23" s="2" t="s">
        <v>342</v>
      </c>
      <c r="F23" s="2" t="s">
        <v>397</v>
      </c>
      <c r="M23" s="58" t="s">
        <v>502</v>
      </c>
      <c r="CE23" s="53">
        <f t="shared" ref="CE23:CE24" si="97">BowlSplit(C23:BC23,InnsBowledIn)</f>
        <v>2</v>
      </c>
      <c r="CF23" s="53">
        <f t="shared" ref="CF23:CF24" si="98">BowlSplit(C23:CC23,BallsBowled)</f>
        <v>30</v>
      </c>
      <c r="CG23" s="55">
        <f t="shared" ref="CG23:CG24" si="99">BowlSplit(C23:CC23,OversBowled)</f>
        <v>5</v>
      </c>
      <c r="CH23" s="53">
        <f t="shared" ref="CH23:CH24" si="100">BowlSplit(C23:CC23,Maidens)</f>
        <v>0</v>
      </c>
      <c r="CI23" s="53">
        <f t="shared" ref="CI23:CI24" si="101">BowlSplit(C23:CC23,RunsConceded)</f>
        <v>29</v>
      </c>
      <c r="CJ23" s="53">
        <f t="shared" ref="CJ23:CJ24" si="102">BowlSplit(C23:CC23,WicketsTaken)</f>
        <v>1</v>
      </c>
      <c r="CK23" s="56">
        <f t="shared" ref="CK23:CK24" si="103">IF(CJ23&gt;0,ROUND(CI23/CJ23,2),"")</f>
        <v>29</v>
      </c>
      <c r="CL23" s="57">
        <f t="shared" ref="CL23:CL24" si="104">IF(CJ23&gt;0,CF23/CJ23,"")</f>
        <v>30</v>
      </c>
      <c r="CM23" s="57">
        <f t="shared" ref="CM23:CM24" si="105">IF(CF23&gt;0,6*CI23/CF23,"")</f>
        <v>5.8</v>
      </c>
      <c r="CN23" s="48" t="str">
        <f t="shared" ref="CN23:CN24" si="106">BowlSplit(C23:CC23,BestBowling)</f>
        <v>1-14</v>
      </c>
      <c r="CO23" s="53">
        <f t="shared" ref="CO23:CO24" si="107">BowlSplit(C23:CC23,BowlPts)</f>
        <v>5</v>
      </c>
      <c r="CP23" s="53">
        <f t="shared" ref="CP23:CP24" si="108">BowlSplit(C23:CC23,Wides)</f>
        <v>0</v>
      </c>
      <c r="CQ23" s="53">
        <f t="shared" ref="CQ23:CQ24" si="109">BowlSplit(C23:CC23,NoBalls)</f>
        <v>0</v>
      </c>
      <c r="CR23" s="58">
        <f t="shared" ref="CR23:CR24" si="110">IF(CJ23&gt;0,CK23,IF(CF23&gt;0,CF23+1000,99999))+ROW(CQ23)/10000</f>
        <v>29.002300000000002</v>
      </c>
      <c r="CS23" s="2">
        <f t="shared" si="14"/>
        <v>19</v>
      </c>
      <c r="CT23" s="106" t="str">
        <f t="shared" ref="CT23:CT24" si="111">IF(CF23&gt;=120,CH23/CF23*6,"")</f>
        <v/>
      </c>
      <c r="CU23" s="2">
        <f t="shared" ref="CU23:CU24" si="112">BowlSplit(C23:CC23,FiveFors)</f>
        <v>0</v>
      </c>
    </row>
    <row r="24" spans="1:99" ht="11.25" customHeight="1" x14ac:dyDescent="0.15">
      <c r="B24" s="2" t="s">
        <v>509</v>
      </c>
      <c r="M24" s="58"/>
      <c r="N24" s="2" t="s">
        <v>517</v>
      </c>
      <c r="U24" s="2" t="s">
        <v>637</v>
      </c>
      <c r="V24" s="2" t="s">
        <v>355</v>
      </c>
      <c r="CE24" s="53">
        <f t="shared" si="97"/>
        <v>3</v>
      </c>
      <c r="CF24" s="53">
        <f t="shared" si="98"/>
        <v>72</v>
      </c>
      <c r="CG24" s="55">
        <f t="shared" si="99"/>
        <v>12</v>
      </c>
      <c r="CH24" s="53">
        <f t="shared" si="100"/>
        <v>0</v>
      </c>
      <c r="CI24" s="53">
        <f t="shared" si="101"/>
        <v>76</v>
      </c>
      <c r="CJ24" s="53">
        <f t="shared" si="102"/>
        <v>0</v>
      </c>
      <c r="CK24" s="56" t="str">
        <f t="shared" si="103"/>
        <v/>
      </c>
      <c r="CL24" s="57" t="str">
        <f t="shared" si="104"/>
        <v/>
      </c>
      <c r="CM24" s="57">
        <f t="shared" si="105"/>
        <v>6.333333333333333</v>
      </c>
      <c r="CN24" s="48" t="str">
        <f t="shared" si="106"/>
        <v>0-21</v>
      </c>
      <c r="CO24" s="53">
        <f t="shared" si="107"/>
        <v>-15</v>
      </c>
      <c r="CP24" s="53">
        <f t="shared" si="108"/>
        <v>0</v>
      </c>
      <c r="CQ24" s="53">
        <f t="shared" si="109"/>
        <v>0</v>
      </c>
      <c r="CR24" s="58">
        <f t="shared" si="110"/>
        <v>1072.0024000000001</v>
      </c>
      <c r="CS24" s="2">
        <f t="shared" si="14"/>
        <v>29</v>
      </c>
      <c r="CT24" s="106" t="str">
        <f t="shared" si="111"/>
        <v/>
      </c>
      <c r="CU24" s="2">
        <f t="shared" si="112"/>
        <v>0</v>
      </c>
    </row>
    <row r="25" spans="1:99" ht="11.25" customHeight="1" x14ac:dyDescent="0.15">
      <c r="B25" s="2" t="s">
        <v>358</v>
      </c>
      <c r="E25" s="2" t="s">
        <v>359</v>
      </c>
      <c r="J25" s="2" t="s">
        <v>448</v>
      </c>
      <c r="M25" s="58" t="s">
        <v>497</v>
      </c>
      <c r="N25" s="2" t="s">
        <v>519</v>
      </c>
      <c r="O25" s="2" t="s">
        <v>542</v>
      </c>
      <c r="P25" s="2" t="s">
        <v>559</v>
      </c>
      <c r="R25" s="2" t="s">
        <v>589</v>
      </c>
      <c r="U25" s="2" t="s">
        <v>641</v>
      </c>
      <c r="W25" s="2" t="s">
        <v>675</v>
      </c>
      <c r="CE25" s="53">
        <f t="shared" si="17"/>
        <v>9</v>
      </c>
      <c r="CF25" s="53">
        <f t="shared" si="18"/>
        <v>196</v>
      </c>
      <c r="CG25" s="55">
        <f t="shared" si="19"/>
        <v>32.4</v>
      </c>
      <c r="CH25" s="53">
        <f t="shared" si="20"/>
        <v>1</v>
      </c>
      <c r="CI25" s="53">
        <f t="shared" si="21"/>
        <v>145</v>
      </c>
      <c r="CJ25" s="53">
        <f t="shared" si="22"/>
        <v>6</v>
      </c>
      <c r="CK25" s="56">
        <f t="shared" si="23"/>
        <v>24.17</v>
      </c>
      <c r="CL25" s="57">
        <f t="shared" si="24"/>
        <v>32.666666666666664</v>
      </c>
      <c r="CM25" s="57">
        <f t="shared" si="25"/>
        <v>4.4387755102040813</v>
      </c>
      <c r="CN25" s="48" t="str">
        <f t="shared" si="26"/>
        <v>2-15</v>
      </c>
      <c r="CO25" s="53">
        <f t="shared" si="27"/>
        <v>61</v>
      </c>
      <c r="CP25" s="53">
        <f t="shared" si="28"/>
        <v>0</v>
      </c>
      <c r="CQ25" s="53">
        <f t="shared" si="29"/>
        <v>0</v>
      </c>
      <c r="CR25" s="58">
        <f t="shared" si="30"/>
        <v>24.172500000000003</v>
      </c>
      <c r="CS25" s="2">
        <f t="shared" si="14"/>
        <v>16</v>
      </c>
      <c r="CT25" s="106">
        <f t="shared" si="31"/>
        <v>3.0612244897959183E-2</v>
      </c>
      <c r="CU25" s="2">
        <f t="shared" si="32"/>
        <v>0</v>
      </c>
    </row>
    <row r="26" spans="1:99" ht="11.25" customHeight="1" x14ac:dyDescent="0.15">
      <c r="B26" s="2" t="s">
        <v>217</v>
      </c>
      <c r="C26" s="2" t="s">
        <v>323</v>
      </c>
      <c r="E26" s="2" t="s">
        <v>354</v>
      </c>
      <c r="F26" s="2" t="s">
        <v>391</v>
      </c>
      <c r="G26" s="2" t="s">
        <v>378</v>
      </c>
      <c r="H26" s="2" t="s">
        <v>416</v>
      </c>
      <c r="I26" s="2" t="s">
        <v>431</v>
      </c>
      <c r="J26" s="2" t="s">
        <v>450</v>
      </c>
      <c r="K26" s="2" t="s">
        <v>463</v>
      </c>
      <c r="L26" s="2" t="s">
        <v>275</v>
      </c>
      <c r="M26" s="58" t="s">
        <v>500</v>
      </c>
      <c r="N26" s="2" t="s">
        <v>518</v>
      </c>
      <c r="O26" s="2" t="s">
        <v>271</v>
      </c>
      <c r="P26" s="2" t="s">
        <v>556</v>
      </c>
      <c r="Q26" s="2" t="s">
        <v>574</v>
      </c>
      <c r="R26" s="2" t="s">
        <v>591</v>
      </c>
      <c r="S26" s="2" t="s">
        <v>608</v>
      </c>
      <c r="T26" s="2" t="s">
        <v>622</v>
      </c>
      <c r="U26" s="2" t="s">
        <v>640</v>
      </c>
      <c r="V26" s="2" t="s">
        <v>640</v>
      </c>
      <c r="W26" s="2" t="s">
        <v>673</v>
      </c>
      <c r="CE26" s="53">
        <f t="shared" si="17"/>
        <v>20</v>
      </c>
      <c r="CF26" s="53">
        <f t="shared" si="18"/>
        <v>864</v>
      </c>
      <c r="CG26" s="55">
        <f t="shared" si="19"/>
        <v>144</v>
      </c>
      <c r="CH26" s="53">
        <f t="shared" si="20"/>
        <v>10</v>
      </c>
      <c r="CI26" s="53">
        <f t="shared" si="21"/>
        <v>718</v>
      </c>
      <c r="CJ26" s="53">
        <f t="shared" si="22"/>
        <v>29</v>
      </c>
      <c r="CK26" s="56">
        <f t="shared" si="23"/>
        <v>24.76</v>
      </c>
      <c r="CL26" s="57">
        <f t="shared" si="24"/>
        <v>29.793103448275861</v>
      </c>
      <c r="CM26" s="57">
        <f t="shared" si="25"/>
        <v>4.9861111111111107</v>
      </c>
      <c r="CN26" s="48" t="str">
        <f t="shared" si="26"/>
        <v>6-25</v>
      </c>
      <c r="CO26" s="53">
        <f t="shared" si="27"/>
        <v>290</v>
      </c>
      <c r="CP26" s="53">
        <f t="shared" si="28"/>
        <v>0</v>
      </c>
      <c r="CQ26" s="53">
        <f t="shared" si="29"/>
        <v>0</v>
      </c>
      <c r="CR26" s="58">
        <f t="shared" si="30"/>
        <v>24.762600000000003</v>
      </c>
      <c r="CS26" s="2">
        <f t="shared" si="14"/>
        <v>17</v>
      </c>
      <c r="CT26" s="106">
        <f t="shared" si="31"/>
        <v>6.9444444444444448E-2</v>
      </c>
      <c r="CU26" s="2">
        <f t="shared" si="32"/>
        <v>1</v>
      </c>
    </row>
    <row r="27" spans="1:99" ht="11.25" customHeight="1" x14ac:dyDescent="0.15">
      <c r="A27" s="2" t="s">
        <v>50</v>
      </c>
      <c r="B27" s="2" t="s">
        <v>146</v>
      </c>
      <c r="C27" s="58"/>
      <c r="D27" s="2" t="s">
        <v>350</v>
      </c>
      <c r="M27" s="58"/>
      <c r="Q27" s="2" t="s">
        <v>576</v>
      </c>
      <c r="CE27" s="53">
        <f t="shared" si="17"/>
        <v>2</v>
      </c>
      <c r="CF27" s="53">
        <f t="shared" si="18"/>
        <v>30</v>
      </c>
      <c r="CG27" s="55">
        <f t="shared" si="19"/>
        <v>5</v>
      </c>
      <c r="CH27" s="53">
        <f t="shared" si="20"/>
        <v>0</v>
      </c>
      <c r="CI27" s="53">
        <f t="shared" si="21"/>
        <v>20</v>
      </c>
      <c r="CJ27" s="53">
        <f t="shared" si="22"/>
        <v>5</v>
      </c>
      <c r="CK27" s="56">
        <f t="shared" si="23"/>
        <v>4</v>
      </c>
      <c r="CL27" s="57">
        <f t="shared" si="24"/>
        <v>6</v>
      </c>
      <c r="CM27" s="57">
        <f t="shared" si="25"/>
        <v>4</v>
      </c>
      <c r="CN27" s="48" t="str">
        <f t="shared" si="26"/>
        <v>3-12</v>
      </c>
      <c r="CO27" s="53">
        <f t="shared" si="27"/>
        <v>50</v>
      </c>
      <c r="CP27" s="53">
        <f t="shared" si="28"/>
        <v>0</v>
      </c>
      <c r="CQ27" s="53">
        <f t="shared" si="29"/>
        <v>0</v>
      </c>
      <c r="CR27" s="58">
        <f t="shared" si="30"/>
        <v>4.0026999999999999</v>
      </c>
      <c r="CS27" s="2">
        <f t="shared" si="14"/>
        <v>1</v>
      </c>
      <c r="CT27" s="106" t="str">
        <f t="shared" si="31"/>
        <v/>
      </c>
      <c r="CU27" s="2">
        <f t="shared" si="32"/>
        <v>0</v>
      </c>
    </row>
    <row r="28" spans="1:99" ht="11.25" customHeight="1" x14ac:dyDescent="0.15">
      <c r="B28" s="2" t="s">
        <v>207</v>
      </c>
      <c r="F28" s="2" t="s">
        <v>395</v>
      </c>
      <c r="K28" s="2" t="s">
        <v>465</v>
      </c>
      <c r="M28" s="58"/>
      <c r="W28" s="2" t="s">
        <v>677</v>
      </c>
      <c r="CE28" s="53">
        <f t="shared" si="17"/>
        <v>3</v>
      </c>
      <c r="CF28" s="53">
        <f t="shared" si="18"/>
        <v>30</v>
      </c>
      <c r="CG28" s="55">
        <f t="shared" si="19"/>
        <v>5</v>
      </c>
      <c r="CH28" s="53">
        <f t="shared" si="20"/>
        <v>0</v>
      </c>
      <c r="CI28" s="53">
        <f t="shared" si="21"/>
        <v>30</v>
      </c>
      <c r="CJ28" s="53">
        <f t="shared" si="22"/>
        <v>1</v>
      </c>
      <c r="CK28" s="56">
        <f t="shared" si="23"/>
        <v>30</v>
      </c>
      <c r="CL28" s="57">
        <f t="shared" si="24"/>
        <v>30</v>
      </c>
      <c r="CM28" s="57">
        <f t="shared" si="25"/>
        <v>6</v>
      </c>
      <c r="CN28" s="48" t="str">
        <f t="shared" si="26"/>
        <v>1-7</v>
      </c>
      <c r="CO28" s="53">
        <f t="shared" si="27"/>
        <v>5</v>
      </c>
      <c r="CP28" s="53">
        <f t="shared" si="28"/>
        <v>0</v>
      </c>
      <c r="CQ28" s="53">
        <f t="shared" si="29"/>
        <v>0</v>
      </c>
      <c r="CR28" s="58">
        <f t="shared" si="30"/>
        <v>30.002800000000001</v>
      </c>
      <c r="CS28" s="2">
        <f t="shared" si="14"/>
        <v>20</v>
      </c>
      <c r="CT28" s="106" t="str">
        <f t="shared" si="31"/>
        <v/>
      </c>
      <c r="CU28" s="2">
        <f t="shared" si="32"/>
        <v>0</v>
      </c>
    </row>
    <row r="29" spans="1:99" ht="11.25" customHeight="1" x14ac:dyDescent="0.15">
      <c r="B29" s="2" t="s">
        <v>281</v>
      </c>
      <c r="C29" s="2" t="s">
        <v>324</v>
      </c>
      <c r="E29" s="2" t="s">
        <v>357</v>
      </c>
      <c r="F29" s="2" t="s">
        <v>389</v>
      </c>
      <c r="G29" s="2" t="s">
        <v>302</v>
      </c>
      <c r="H29" s="2" t="s">
        <v>415</v>
      </c>
      <c r="I29" s="2" t="s">
        <v>429</v>
      </c>
      <c r="L29" s="2" t="s">
        <v>481</v>
      </c>
      <c r="M29" s="58" t="s">
        <v>498</v>
      </c>
      <c r="O29" s="2" t="s">
        <v>537</v>
      </c>
      <c r="R29" s="2" t="s">
        <v>590</v>
      </c>
      <c r="S29" s="2" t="s">
        <v>606</v>
      </c>
      <c r="T29" s="2" t="s">
        <v>620</v>
      </c>
      <c r="V29" s="2" t="s">
        <v>654</v>
      </c>
      <c r="W29" s="2" t="s">
        <v>671</v>
      </c>
      <c r="X29" s="2" t="s">
        <v>692</v>
      </c>
      <c r="CE29" s="53">
        <f t="shared" si="17"/>
        <v>15</v>
      </c>
      <c r="CF29" s="53">
        <f t="shared" si="18"/>
        <v>707</v>
      </c>
      <c r="CG29" s="55">
        <f t="shared" si="19"/>
        <v>117.5</v>
      </c>
      <c r="CH29" s="53">
        <f t="shared" si="20"/>
        <v>24</v>
      </c>
      <c r="CI29" s="53">
        <f t="shared" si="21"/>
        <v>336</v>
      </c>
      <c r="CJ29" s="53">
        <f t="shared" si="22"/>
        <v>20</v>
      </c>
      <c r="CK29" s="56">
        <f t="shared" si="23"/>
        <v>16.8</v>
      </c>
      <c r="CL29" s="57">
        <f t="shared" si="24"/>
        <v>35.35</v>
      </c>
      <c r="CM29" s="57">
        <f t="shared" si="25"/>
        <v>2.8514851485148514</v>
      </c>
      <c r="CN29" s="48" t="str">
        <f t="shared" si="26"/>
        <v>6-2</v>
      </c>
      <c r="CO29" s="53">
        <f t="shared" si="27"/>
        <v>334</v>
      </c>
      <c r="CP29" s="53">
        <f t="shared" si="28"/>
        <v>0</v>
      </c>
      <c r="CQ29" s="53">
        <f t="shared" si="29"/>
        <v>0</v>
      </c>
      <c r="CR29" s="58">
        <f t="shared" si="30"/>
        <v>16.802900000000001</v>
      </c>
      <c r="CS29" s="2">
        <f t="shared" si="14"/>
        <v>8</v>
      </c>
      <c r="CT29" s="106">
        <f t="shared" si="31"/>
        <v>0.20367751060820366</v>
      </c>
      <c r="CU29" s="2">
        <f t="shared" si="32"/>
        <v>1</v>
      </c>
    </row>
    <row r="30" spans="1:99" ht="11.25" customHeight="1" x14ac:dyDescent="0.15">
      <c r="B30" s="2" t="s">
        <v>490</v>
      </c>
      <c r="M30" s="58" t="s">
        <v>499</v>
      </c>
      <c r="CE30" s="53">
        <f t="shared" ref="CE30" si="113">BowlSplit(C30:BC30,InnsBowledIn)</f>
        <v>1</v>
      </c>
      <c r="CF30" s="53">
        <f t="shared" ref="CF30" si="114">BowlSplit(C30:CC30,BallsBowled)</f>
        <v>48</v>
      </c>
      <c r="CG30" s="55">
        <f t="shared" ref="CG30" si="115">BowlSplit(C30:CC30,OversBowled)</f>
        <v>8</v>
      </c>
      <c r="CH30" s="53">
        <f t="shared" ref="CH30" si="116">BowlSplit(C30:CC30,Maidens)</f>
        <v>0</v>
      </c>
      <c r="CI30" s="53">
        <f t="shared" ref="CI30" si="117">BowlSplit(C30:CC30,RunsConceded)</f>
        <v>34</v>
      </c>
      <c r="CJ30" s="53">
        <f t="shared" ref="CJ30" si="118">BowlSplit(C30:CC30,WicketsTaken)</f>
        <v>0</v>
      </c>
      <c r="CK30" s="56" t="str">
        <f t="shared" ref="CK30" si="119">IF(CJ30&gt;0,ROUND(CI30/CJ30,2),"")</f>
        <v/>
      </c>
      <c r="CL30" s="57" t="str">
        <f t="shared" ref="CL30" si="120">IF(CJ30&gt;0,CF30/CJ30,"")</f>
        <v/>
      </c>
      <c r="CM30" s="57">
        <f t="shared" ref="CM30" si="121">IF(CF30&gt;0,6*CI30/CF30,"")</f>
        <v>4.25</v>
      </c>
      <c r="CN30" s="48" t="str">
        <f t="shared" ref="CN30" si="122">BowlSplit(C30:CC30,BestBowling)</f>
        <v>0-34</v>
      </c>
      <c r="CO30" s="53">
        <f t="shared" ref="CO30" si="123">BowlSplit(C30:CC30,BowlPts)</f>
        <v>0</v>
      </c>
      <c r="CP30" s="53">
        <f t="shared" ref="CP30" si="124">BowlSplit(C30:CC30,Wides)</f>
        <v>0</v>
      </c>
      <c r="CQ30" s="53">
        <f t="shared" ref="CQ30" si="125">BowlSplit(C30:CC30,NoBalls)</f>
        <v>0</v>
      </c>
      <c r="CR30" s="58">
        <f t="shared" ref="CR30" si="126">IF(CJ30&gt;0,CK30,IF(CF30&gt;0,CF30+1000,99999))+ROW(CQ30)/10000</f>
        <v>1048.0029999999999</v>
      </c>
      <c r="CS30" s="2">
        <f t="shared" si="14"/>
        <v>28</v>
      </c>
      <c r="CT30" s="106" t="str">
        <f t="shared" ref="CT30" si="127">IF(CF30&gt;=120,CH30/CF30*6,"")</f>
        <v/>
      </c>
      <c r="CU30" s="2">
        <f t="shared" ref="CU30" si="128">BowlSplit(C30:CC30,FiveFors)</f>
        <v>0</v>
      </c>
    </row>
    <row r="31" spans="1:99" ht="11.25" customHeight="1" x14ac:dyDescent="0.15">
      <c r="B31" s="2" t="s">
        <v>246</v>
      </c>
      <c r="C31" s="2" t="s">
        <v>321</v>
      </c>
      <c r="F31" s="2" t="s">
        <v>390</v>
      </c>
      <c r="M31" s="58"/>
      <c r="CE31" s="53">
        <f t="shared" si="17"/>
        <v>2</v>
      </c>
      <c r="CF31" s="53">
        <f t="shared" si="18"/>
        <v>66</v>
      </c>
      <c r="CG31" s="55">
        <f t="shared" si="19"/>
        <v>11</v>
      </c>
      <c r="CH31" s="53">
        <f t="shared" si="20"/>
        <v>1</v>
      </c>
      <c r="CI31" s="53">
        <f t="shared" si="21"/>
        <v>71</v>
      </c>
      <c r="CJ31" s="53">
        <f t="shared" si="22"/>
        <v>1</v>
      </c>
      <c r="CK31" s="56">
        <f t="shared" si="23"/>
        <v>71</v>
      </c>
      <c r="CL31" s="57">
        <f t="shared" si="24"/>
        <v>66</v>
      </c>
      <c r="CM31" s="57">
        <f t="shared" si="25"/>
        <v>6.4545454545454541</v>
      </c>
      <c r="CN31" s="48" t="str">
        <f t="shared" si="26"/>
        <v>1-40</v>
      </c>
      <c r="CO31" s="53">
        <f t="shared" si="27"/>
        <v>6</v>
      </c>
      <c r="CP31" s="53">
        <f t="shared" si="28"/>
        <v>0</v>
      </c>
      <c r="CQ31" s="53">
        <f t="shared" si="29"/>
        <v>0</v>
      </c>
      <c r="CR31" s="58">
        <f t="shared" si="30"/>
        <v>71.003100000000003</v>
      </c>
      <c r="CS31" s="2">
        <f t="shared" si="14"/>
        <v>26</v>
      </c>
      <c r="CT31" s="106" t="str">
        <f t="shared" si="31"/>
        <v/>
      </c>
      <c r="CU31" s="2">
        <f t="shared" si="32"/>
        <v>0</v>
      </c>
    </row>
    <row r="32" spans="1:99" ht="11.25" customHeight="1" x14ac:dyDescent="0.15">
      <c r="B32" s="2" t="s">
        <v>256</v>
      </c>
      <c r="K32" s="2" t="s">
        <v>305</v>
      </c>
      <c r="M32" s="58"/>
      <c r="N32" s="2" t="s">
        <v>741</v>
      </c>
      <c r="O32" s="2" t="s">
        <v>539</v>
      </c>
      <c r="P32" s="2" t="s">
        <v>555</v>
      </c>
      <c r="T32" s="2" t="s">
        <v>621</v>
      </c>
      <c r="CE32" s="53">
        <f t="shared" si="17"/>
        <v>5</v>
      </c>
      <c r="CF32" s="53">
        <f t="shared" si="18"/>
        <v>156</v>
      </c>
      <c r="CG32" s="55">
        <f t="shared" si="19"/>
        <v>26</v>
      </c>
      <c r="CH32" s="53">
        <f t="shared" si="20"/>
        <v>0</v>
      </c>
      <c r="CI32" s="53">
        <f t="shared" si="21"/>
        <v>155</v>
      </c>
      <c r="CJ32" s="53">
        <f t="shared" si="22"/>
        <v>3</v>
      </c>
      <c r="CK32" s="56">
        <f t="shared" si="23"/>
        <v>51.67</v>
      </c>
      <c r="CL32" s="57">
        <f t="shared" si="24"/>
        <v>52</v>
      </c>
      <c r="CM32" s="57">
        <f t="shared" si="25"/>
        <v>5.9615384615384617</v>
      </c>
      <c r="CN32" s="48" t="str">
        <f t="shared" si="26"/>
        <v>2-35</v>
      </c>
      <c r="CO32" s="53">
        <f t="shared" si="27"/>
        <v>15</v>
      </c>
      <c r="CP32" s="53">
        <f t="shared" si="28"/>
        <v>0</v>
      </c>
      <c r="CQ32" s="53">
        <f t="shared" si="29"/>
        <v>0</v>
      </c>
      <c r="CR32" s="58">
        <f t="shared" si="30"/>
        <v>51.673200000000001</v>
      </c>
      <c r="CS32" s="2">
        <f t="shared" si="14"/>
        <v>25</v>
      </c>
      <c r="CT32" s="106">
        <f t="shared" si="31"/>
        <v>0</v>
      </c>
      <c r="CU32" s="2">
        <f t="shared" si="32"/>
        <v>0</v>
      </c>
    </row>
    <row r="33" spans="2:99" ht="11.25" customHeight="1" x14ac:dyDescent="0.15">
      <c r="B33" s="2" t="s">
        <v>304</v>
      </c>
      <c r="M33" s="58"/>
      <c r="O33" s="2" t="s">
        <v>293</v>
      </c>
      <c r="CE33" s="53">
        <f t="shared" si="17"/>
        <v>1</v>
      </c>
      <c r="CF33" s="53">
        <f t="shared" si="18"/>
        <v>18</v>
      </c>
      <c r="CG33" s="55">
        <f t="shared" si="19"/>
        <v>3</v>
      </c>
      <c r="CH33" s="53">
        <f t="shared" si="20"/>
        <v>0</v>
      </c>
      <c r="CI33" s="53">
        <f t="shared" si="21"/>
        <v>25</v>
      </c>
      <c r="CJ33" s="53">
        <f t="shared" si="22"/>
        <v>1</v>
      </c>
      <c r="CK33" s="56">
        <f t="shared" si="23"/>
        <v>25</v>
      </c>
      <c r="CL33" s="57">
        <f t="shared" si="24"/>
        <v>18</v>
      </c>
      <c r="CM33" s="57">
        <f t="shared" si="25"/>
        <v>8.3333333333333339</v>
      </c>
      <c r="CN33" s="48" t="str">
        <f t="shared" si="26"/>
        <v>1-25</v>
      </c>
      <c r="CO33" s="53">
        <f t="shared" si="27"/>
        <v>5</v>
      </c>
      <c r="CP33" s="53">
        <f t="shared" si="28"/>
        <v>0</v>
      </c>
      <c r="CQ33" s="53">
        <f t="shared" si="29"/>
        <v>0</v>
      </c>
      <c r="CR33" s="58">
        <f t="shared" si="30"/>
        <v>25.003299999999999</v>
      </c>
      <c r="CS33" s="2">
        <f t="shared" si="14"/>
        <v>18</v>
      </c>
      <c r="CT33" s="106" t="str">
        <f t="shared" si="31"/>
        <v/>
      </c>
      <c r="CU33" s="2">
        <f t="shared" si="32"/>
        <v>0</v>
      </c>
    </row>
    <row r="35" spans="2:99" x14ac:dyDescent="0.15">
      <c r="B35" s="2" t="s">
        <v>120</v>
      </c>
      <c r="C35" s="2">
        <f>BowlSplit(C5:C33,RunsConceded)</f>
        <v>174</v>
      </c>
      <c r="D35" s="2">
        <f t="shared" ref="D35:AH35" si="129">BowlSplit(D5:D33,RunsConceded)</f>
        <v>153</v>
      </c>
      <c r="E35" s="2">
        <f t="shared" si="129"/>
        <v>147</v>
      </c>
      <c r="F35" s="2">
        <f t="shared" si="129"/>
        <v>236</v>
      </c>
      <c r="G35" s="2">
        <f t="shared" si="129"/>
        <v>125</v>
      </c>
      <c r="H35" s="2">
        <f t="shared" si="129"/>
        <v>123</v>
      </c>
      <c r="I35" s="2">
        <f t="shared" si="129"/>
        <v>81</v>
      </c>
      <c r="J35" s="2">
        <f t="shared" si="129"/>
        <v>156</v>
      </c>
      <c r="K35" s="2">
        <f t="shared" si="129"/>
        <v>128</v>
      </c>
      <c r="L35" s="2">
        <f t="shared" si="129"/>
        <v>132</v>
      </c>
      <c r="M35" s="2">
        <f t="shared" si="129"/>
        <v>217</v>
      </c>
      <c r="N35" s="2">
        <f t="shared" si="129"/>
        <v>201</v>
      </c>
      <c r="O35" s="2">
        <f t="shared" si="129"/>
        <v>256</v>
      </c>
      <c r="P35" s="2">
        <f t="shared" si="129"/>
        <v>197</v>
      </c>
      <c r="Q35" s="2">
        <f t="shared" si="129"/>
        <v>143</v>
      </c>
      <c r="R35" s="2">
        <f t="shared" si="129"/>
        <v>143</v>
      </c>
      <c r="S35" s="2">
        <f t="shared" si="129"/>
        <v>106</v>
      </c>
      <c r="T35" s="2">
        <f t="shared" si="129"/>
        <v>186</v>
      </c>
      <c r="U35" s="2">
        <f t="shared" si="129"/>
        <v>148</v>
      </c>
      <c r="V35" s="2">
        <f t="shared" si="129"/>
        <v>219</v>
      </c>
      <c r="W35" s="2">
        <f t="shared" si="129"/>
        <v>120</v>
      </c>
      <c r="X35" s="2">
        <f t="shared" si="129"/>
        <v>19</v>
      </c>
      <c r="Y35" s="2">
        <f t="shared" si="129"/>
        <v>0</v>
      </c>
      <c r="Z35" s="2">
        <f t="shared" si="129"/>
        <v>0</v>
      </c>
      <c r="AA35" s="2">
        <f t="shared" si="129"/>
        <v>0</v>
      </c>
      <c r="AB35" s="2">
        <f t="shared" si="129"/>
        <v>0</v>
      </c>
      <c r="AC35" s="2">
        <f t="shared" si="129"/>
        <v>0</v>
      </c>
      <c r="AD35" s="2">
        <f t="shared" si="129"/>
        <v>0</v>
      </c>
      <c r="AE35" s="2">
        <f t="shared" si="129"/>
        <v>0</v>
      </c>
      <c r="AF35" s="2">
        <f t="shared" si="129"/>
        <v>0</v>
      </c>
      <c r="AG35" s="2">
        <f t="shared" si="129"/>
        <v>0</v>
      </c>
      <c r="AH35" s="2">
        <f t="shared" si="129"/>
        <v>0</v>
      </c>
      <c r="AI35" s="2">
        <f t="shared" ref="AI35:BF35" si="130">BowlSplit(AI5:AI33,RunsConceded)</f>
        <v>0</v>
      </c>
      <c r="AJ35" s="2">
        <f t="shared" si="130"/>
        <v>0</v>
      </c>
      <c r="AK35" s="2">
        <f t="shared" si="130"/>
        <v>0</v>
      </c>
      <c r="AL35" s="2">
        <f t="shared" si="130"/>
        <v>0</v>
      </c>
      <c r="AM35" s="2">
        <f t="shared" si="130"/>
        <v>0</v>
      </c>
      <c r="AN35" s="2">
        <f t="shared" si="130"/>
        <v>0</v>
      </c>
      <c r="AO35" s="2">
        <f t="shared" si="130"/>
        <v>0</v>
      </c>
      <c r="AP35" s="2">
        <f t="shared" si="130"/>
        <v>0</v>
      </c>
      <c r="AQ35" s="2">
        <f t="shared" si="130"/>
        <v>0</v>
      </c>
      <c r="AR35" s="2">
        <f t="shared" si="130"/>
        <v>0</v>
      </c>
      <c r="AS35" s="2">
        <f t="shared" si="130"/>
        <v>0</v>
      </c>
      <c r="AT35" s="2">
        <f t="shared" si="130"/>
        <v>0</v>
      </c>
      <c r="AU35" s="2">
        <f t="shared" si="130"/>
        <v>0</v>
      </c>
      <c r="AV35" s="2">
        <f t="shared" si="130"/>
        <v>0</v>
      </c>
      <c r="AW35" s="2">
        <f t="shared" si="130"/>
        <v>0</v>
      </c>
      <c r="AX35" s="2">
        <f t="shared" si="130"/>
        <v>0</v>
      </c>
      <c r="AY35" s="2">
        <f t="shared" si="130"/>
        <v>0</v>
      </c>
      <c r="AZ35" s="2">
        <f t="shared" si="130"/>
        <v>0</v>
      </c>
      <c r="BA35" s="2">
        <f t="shared" si="130"/>
        <v>0</v>
      </c>
      <c r="BB35" s="2">
        <f t="shared" si="130"/>
        <v>0</v>
      </c>
      <c r="BC35" s="2">
        <f t="shared" si="130"/>
        <v>0</v>
      </c>
      <c r="BD35" s="2">
        <f t="shared" si="130"/>
        <v>0</v>
      </c>
      <c r="BE35" s="2">
        <f t="shared" si="130"/>
        <v>0</v>
      </c>
      <c r="BF35" s="2">
        <f t="shared" si="130"/>
        <v>0</v>
      </c>
      <c r="CE35" s="53">
        <f>SUM(C35:BF35)</f>
        <v>3410</v>
      </c>
      <c r="CF35" s="53">
        <f>SUM(CF5:CF33)</f>
        <v>4762</v>
      </c>
      <c r="CJ35" s="53">
        <f>SUM(CJ5:CJ33)</f>
        <v>158</v>
      </c>
    </row>
    <row r="36" spans="2:99" x14ac:dyDescent="0.15">
      <c r="B36" s="2" t="s">
        <v>121</v>
      </c>
      <c r="C36" s="2">
        <f t="array" ref="C36:BE37">TRANSPOSE(Matches!S5:T59)</f>
        <v>12</v>
      </c>
      <c r="D36" s="2">
        <v>4</v>
      </c>
      <c r="E36" s="2">
        <v>5</v>
      </c>
      <c r="F36" s="2">
        <v>9</v>
      </c>
      <c r="G36" s="2">
        <v>2</v>
      </c>
      <c r="H36" s="2">
        <v>3</v>
      </c>
      <c r="I36" s="2">
        <v>4</v>
      </c>
      <c r="J36" s="2">
        <v>5</v>
      </c>
      <c r="K36" s="2">
        <v>5</v>
      </c>
      <c r="L36" s="2">
        <v>0</v>
      </c>
      <c r="M36" s="2">
        <v>6</v>
      </c>
      <c r="N36" s="2">
        <v>10</v>
      </c>
      <c r="O36" s="2">
        <v>11</v>
      </c>
      <c r="P36" s="2">
        <v>13</v>
      </c>
      <c r="Q36" s="2">
        <v>3</v>
      </c>
      <c r="R36" s="2">
        <v>4</v>
      </c>
      <c r="S36" s="2">
        <v>15</v>
      </c>
      <c r="T36" s="2">
        <v>9</v>
      </c>
      <c r="U36" s="2">
        <v>3</v>
      </c>
      <c r="V36" s="2">
        <v>1</v>
      </c>
      <c r="W36" s="2">
        <v>3</v>
      </c>
      <c r="X36" s="2">
        <v>1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3">
        <f>SUM(C36:BF36)</f>
        <v>128</v>
      </c>
    </row>
    <row r="37" spans="2:99" x14ac:dyDescent="0.15">
      <c r="B37" s="2" t="s">
        <v>122</v>
      </c>
      <c r="C37" s="2">
        <v>1</v>
      </c>
      <c r="D37" s="2">
        <v>0</v>
      </c>
      <c r="E37" s="2">
        <v>0</v>
      </c>
      <c r="F37" s="2">
        <v>4</v>
      </c>
      <c r="G37" s="2">
        <v>8</v>
      </c>
      <c r="H37" s="2">
        <v>3</v>
      </c>
      <c r="I37" s="2">
        <v>3</v>
      </c>
      <c r="J37" s="2">
        <v>4</v>
      </c>
      <c r="K37" s="2">
        <v>2</v>
      </c>
      <c r="L37" s="2">
        <v>2</v>
      </c>
      <c r="M37" s="2">
        <v>7</v>
      </c>
      <c r="N37" s="2">
        <v>1</v>
      </c>
      <c r="O37" s="2">
        <v>3</v>
      </c>
      <c r="P37" s="2">
        <v>2</v>
      </c>
      <c r="Q37" s="2">
        <v>0</v>
      </c>
      <c r="R37" s="2">
        <v>3</v>
      </c>
      <c r="S37" s="2">
        <v>4</v>
      </c>
      <c r="T37" s="2">
        <v>8</v>
      </c>
      <c r="U37" s="2">
        <v>0</v>
      </c>
      <c r="V37" s="2">
        <v>1</v>
      </c>
      <c r="W37" s="2">
        <v>5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61</v>
      </c>
      <c r="CG37" s="53" t="s">
        <v>157</v>
      </c>
      <c r="CH37" s="53" t="s">
        <v>158</v>
      </c>
    </row>
    <row r="38" spans="2:99" s="54" customFormat="1" x14ac:dyDescent="0.15">
      <c r="B38" s="54" t="s">
        <v>119</v>
      </c>
      <c r="C38" s="54">
        <f>SUM(C35:C37)</f>
        <v>187</v>
      </c>
      <c r="D38" s="54">
        <f t="shared" ref="D38:BE38" si="131">SUM(D35:D37)</f>
        <v>157</v>
      </c>
      <c r="E38" s="54">
        <f t="shared" si="131"/>
        <v>152</v>
      </c>
      <c r="F38" s="54">
        <f t="shared" si="131"/>
        <v>249</v>
      </c>
      <c r="G38" s="54">
        <f t="shared" si="131"/>
        <v>135</v>
      </c>
      <c r="H38" s="54">
        <f t="shared" si="131"/>
        <v>129</v>
      </c>
      <c r="I38" s="54">
        <f t="shared" si="131"/>
        <v>88</v>
      </c>
      <c r="J38" s="54">
        <f t="shared" si="131"/>
        <v>165</v>
      </c>
      <c r="K38" s="54">
        <f t="shared" si="131"/>
        <v>135</v>
      </c>
      <c r="L38" s="54">
        <f t="shared" si="131"/>
        <v>134</v>
      </c>
      <c r="M38" s="54">
        <f t="shared" si="131"/>
        <v>230</v>
      </c>
      <c r="N38" s="54">
        <f t="shared" si="131"/>
        <v>212</v>
      </c>
      <c r="O38" s="54">
        <f t="shared" si="131"/>
        <v>270</v>
      </c>
      <c r="P38" s="54">
        <f t="shared" si="131"/>
        <v>212</v>
      </c>
      <c r="Q38" s="54">
        <f t="shared" si="131"/>
        <v>146</v>
      </c>
      <c r="R38" s="54">
        <f t="shared" si="131"/>
        <v>150</v>
      </c>
      <c r="S38" s="54">
        <f t="shared" si="131"/>
        <v>125</v>
      </c>
      <c r="T38" s="54">
        <f t="shared" si="131"/>
        <v>203</v>
      </c>
      <c r="U38" s="54">
        <f t="shared" si="131"/>
        <v>151</v>
      </c>
      <c r="V38" s="54">
        <f t="shared" si="131"/>
        <v>221</v>
      </c>
      <c r="W38" s="54">
        <f t="shared" si="131"/>
        <v>128</v>
      </c>
      <c r="X38" s="54">
        <f t="shared" si="131"/>
        <v>20</v>
      </c>
      <c r="Y38" s="54">
        <f t="shared" si="131"/>
        <v>0</v>
      </c>
      <c r="Z38" s="54">
        <f t="shared" si="131"/>
        <v>0</v>
      </c>
      <c r="AA38" s="54">
        <f t="shared" si="131"/>
        <v>0</v>
      </c>
      <c r="AB38" s="54">
        <f t="shared" si="131"/>
        <v>0</v>
      </c>
      <c r="AC38" s="54">
        <f t="shared" si="131"/>
        <v>0</v>
      </c>
      <c r="AD38" s="54">
        <f t="shared" si="131"/>
        <v>0</v>
      </c>
      <c r="AE38" s="54">
        <f t="shared" si="131"/>
        <v>0</v>
      </c>
      <c r="AF38" s="54">
        <f t="shared" si="131"/>
        <v>0</v>
      </c>
      <c r="AG38" s="54">
        <f t="shared" si="131"/>
        <v>0</v>
      </c>
      <c r="AH38" s="54">
        <f t="shared" si="131"/>
        <v>0</v>
      </c>
      <c r="AI38" s="54">
        <f t="shared" si="131"/>
        <v>0</v>
      </c>
      <c r="AJ38" s="54">
        <f t="shared" si="131"/>
        <v>0</v>
      </c>
      <c r="AK38" s="54">
        <f t="shared" si="131"/>
        <v>0</v>
      </c>
      <c r="AL38" s="54">
        <f t="shared" si="131"/>
        <v>0</v>
      </c>
      <c r="AM38" s="54">
        <f t="shared" si="131"/>
        <v>0</v>
      </c>
      <c r="AN38" s="54">
        <f t="shared" si="131"/>
        <v>0</v>
      </c>
      <c r="AO38" s="54">
        <f t="shared" si="131"/>
        <v>0</v>
      </c>
      <c r="AP38" s="54">
        <f t="shared" si="131"/>
        <v>0</v>
      </c>
      <c r="AQ38" s="54">
        <f t="shared" si="131"/>
        <v>0</v>
      </c>
      <c r="AR38" s="54">
        <f t="shared" si="131"/>
        <v>0</v>
      </c>
      <c r="AS38" s="54">
        <f t="shared" si="131"/>
        <v>0</v>
      </c>
      <c r="AT38" s="54">
        <f t="shared" si="131"/>
        <v>0</v>
      </c>
      <c r="AU38" s="54">
        <f t="shared" si="131"/>
        <v>0</v>
      </c>
      <c r="AV38" s="54">
        <f t="shared" si="131"/>
        <v>0</v>
      </c>
      <c r="AW38" s="54">
        <f t="shared" si="131"/>
        <v>0</v>
      </c>
      <c r="AX38" s="54">
        <f t="shared" si="131"/>
        <v>0</v>
      </c>
      <c r="AY38" s="54">
        <f t="shared" si="131"/>
        <v>0</v>
      </c>
      <c r="AZ38" s="54">
        <f t="shared" si="131"/>
        <v>0</v>
      </c>
      <c r="BA38" s="54">
        <f t="shared" si="131"/>
        <v>0</v>
      </c>
      <c r="BB38" s="54">
        <f t="shared" si="131"/>
        <v>0</v>
      </c>
      <c r="BC38" s="54">
        <f t="shared" si="131"/>
        <v>0</v>
      </c>
      <c r="BD38" s="54">
        <f t="shared" si="131"/>
        <v>0</v>
      </c>
      <c r="BE38" s="54">
        <f t="shared" si="131"/>
        <v>0</v>
      </c>
      <c r="CE38" s="54">
        <f>SUM(C38:BF38)</f>
        <v>3599</v>
      </c>
      <c r="CG38" s="54">
        <f>MAX(C38:CB38)</f>
        <v>270</v>
      </c>
      <c r="CH38" s="54">
        <f t="array" ref="CH38">MIN(IF(C38:CB38&gt;0,C38:CB38,9999))</f>
        <v>20</v>
      </c>
      <c r="CN38" s="59"/>
    </row>
    <row r="39" spans="2:99" x14ac:dyDescent="0.15">
      <c r="B39" s="2" t="s">
        <v>33</v>
      </c>
      <c r="C39" s="2">
        <f t="shared" ref="C39:AH39" si="132">BowlSplit(C5:C33,OversBowled)</f>
        <v>39</v>
      </c>
      <c r="D39" s="2">
        <f t="shared" si="132"/>
        <v>31</v>
      </c>
      <c r="E39" s="2">
        <f t="shared" si="132"/>
        <v>40</v>
      </c>
      <c r="F39" s="2">
        <f t="shared" si="132"/>
        <v>40</v>
      </c>
      <c r="G39" s="2">
        <f t="shared" si="132"/>
        <v>35</v>
      </c>
      <c r="H39" s="2">
        <f t="shared" si="132"/>
        <v>35</v>
      </c>
      <c r="I39" s="2">
        <f t="shared" si="132"/>
        <v>30.3</v>
      </c>
      <c r="J39" s="2">
        <f t="shared" si="132"/>
        <v>35</v>
      </c>
      <c r="K39" s="2">
        <f t="shared" si="132"/>
        <v>43</v>
      </c>
      <c r="L39" s="2">
        <f t="shared" si="132"/>
        <v>29.5</v>
      </c>
      <c r="M39" s="2">
        <f t="shared" si="132"/>
        <v>39.5</v>
      </c>
      <c r="N39" s="2">
        <f t="shared" si="132"/>
        <v>33</v>
      </c>
      <c r="O39" s="2">
        <f t="shared" si="132"/>
        <v>40</v>
      </c>
      <c r="P39" s="2">
        <f t="shared" si="132"/>
        <v>37.4</v>
      </c>
      <c r="Q39" s="2">
        <f t="shared" si="132"/>
        <v>39.200000000000003</v>
      </c>
      <c r="R39" s="2">
        <f t="shared" si="132"/>
        <v>42</v>
      </c>
      <c r="S39" s="2">
        <f t="shared" si="132"/>
        <v>35</v>
      </c>
      <c r="T39" s="2">
        <f t="shared" si="132"/>
        <v>39</v>
      </c>
      <c r="U39" s="2">
        <f t="shared" si="132"/>
        <v>40</v>
      </c>
      <c r="V39" s="2">
        <f t="shared" si="132"/>
        <v>40</v>
      </c>
      <c r="W39" s="2">
        <f t="shared" si="132"/>
        <v>40</v>
      </c>
      <c r="X39" s="2">
        <f t="shared" si="132"/>
        <v>9.3000000000000007</v>
      </c>
      <c r="Y39" s="2">
        <f t="shared" si="132"/>
        <v>0</v>
      </c>
      <c r="Z39" s="2">
        <f t="shared" si="132"/>
        <v>0</v>
      </c>
      <c r="AA39" s="2">
        <f t="shared" si="132"/>
        <v>0</v>
      </c>
      <c r="AB39" s="2">
        <f t="shared" si="132"/>
        <v>0</v>
      </c>
      <c r="AC39" s="2">
        <f t="shared" si="132"/>
        <v>0</v>
      </c>
      <c r="AD39" s="2">
        <f t="shared" si="132"/>
        <v>0</v>
      </c>
      <c r="AE39" s="2">
        <f t="shared" si="132"/>
        <v>0</v>
      </c>
      <c r="AF39" s="2">
        <f t="shared" si="132"/>
        <v>0</v>
      </c>
      <c r="AG39" s="2">
        <f t="shared" si="132"/>
        <v>0</v>
      </c>
      <c r="AH39" s="2">
        <f t="shared" si="132"/>
        <v>0</v>
      </c>
      <c r="AI39" s="2">
        <f t="shared" ref="AI39:BF39" si="133">BowlSplit(AI5:AI33,OversBowled)</f>
        <v>0</v>
      </c>
      <c r="AJ39" s="2">
        <f t="shared" si="133"/>
        <v>0</v>
      </c>
      <c r="AK39" s="2">
        <f t="shared" si="133"/>
        <v>0</v>
      </c>
      <c r="AL39" s="2">
        <f t="shared" si="133"/>
        <v>0</v>
      </c>
      <c r="AM39" s="2">
        <f t="shared" si="133"/>
        <v>0</v>
      </c>
      <c r="AN39" s="2">
        <f t="shared" si="133"/>
        <v>0</v>
      </c>
      <c r="AO39" s="2">
        <f t="shared" si="133"/>
        <v>0</v>
      </c>
      <c r="AP39" s="2">
        <f t="shared" si="133"/>
        <v>0</v>
      </c>
      <c r="AQ39" s="2">
        <f t="shared" si="133"/>
        <v>0</v>
      </c>
      <c r="AR39" s="2">
        <f t="shared" si="133"/>
        <v>0</v>
      </c>
      <c r="AS39" s="2">
        <f t="shared" si="133"/>
        <v>0</v>
      </c>
      <c r="AT39" s="2">
        <f t="shared" si="133"/>
        <v>0</v>
      </c>
      <c r="AU39" s="2">
        <f t="shared" si="133"/>
        <v>0</v>
      </c>
      <c r="AV39" s="2">
        <f t="shared" si="133"/>
        <v>0</v>
      </c>
      <c r="AW39" s="2">
        <f t="shared" si="133"/>
        <v>0</v>
      </c>
      <c r="AX39" s="2">
        <f t="shared" si="133"/>
        <v>0</v>
      </c>
      <c r="AY39" s="2">
        <f t="shared" si="133"/>
        <v>0</v>
      </c>
      <c r="AZ39" s="2">
        <f t="shared" si="133"/>
        <v>0</v>
      </c>
      <c r="BA39" s="2">
        <f t="shared" si="133"/>
        <v>0</v>
      </c>
      <c r="BB39" s="2">
        <f t="shared" si="133"/>
        <v>0</v>
      </c>
      <c r="BC39" s="2">
        <f t="shared" si="133"/>
        <v>0</v>
      </c>
      <c r="BD39" s="2">
        <f t="shared" si="133"/>
        <v>0</v>
      </c>
      <c r="BE39" s="2">
        <f t="shared" si="133"/>
        <v>0</v>
      </c>
      <c r="BF39" s="2">
        <f t="shared" si="133"/>
        <v>0</v>
      </c>
      <c r="CE39" s="53">
        <f>MAX(C39:CC39)</f>
        <v>43</v>
      </c>
    </row>
    <row r="40" spans="2:99" x14ac:dyDescent="0.15">
      <c r="B40" s="2" t="s">
        <v>32</v>
      </c>
      <c r="C40" s="2">
        <f t="shared" ref="C40:N40" si="134">BowlSplit(C5:C33,BallsBowled)</f>
        <v>234</v>
      </c>
      <c r="D40" s="2">
        <f t="shared" si="134"/>
        <v>186</v>
      </c>
      <c r="E40" s="2">
        <f t="shared" si="134"/>
        <v>240</v>
      </c>
      <c r="F40" s="2">
        <f t="shared" si="134"/>
        <v>240</v>
      </c>
      <c r="G40" s="2">
        <f t="shared" si="134"/>
        <v>210</v>
      </c>
      <c r="H40" s="2">
        <f t="shared" si="134"/>
        <v>210</v>
      </c>
      <c r="I40" s="2">
        <f t="shared" si="134"/>
        <v>183</v>
      </c>
      <c r="J40" s="2">
        <f t="shared" si="134"/>
        <v>210</v>
      </c>
      <c r="K40" s="2">
        <f t="shared" si="134"/>
        <v>258</v>
      </c>
      <c r="L40" s="2">
        <f t="shared" si="134"/>
        <v>179</v>
      </c>
      <c r="M40" s="2">
        <f t="shared" si="134"/>
        <v>239</v>
      </c>
      <c r="N40" s="2">
        <f t="shared" si="134"/>
        <v>198</v>
      </c>
      <c r="O40" s="2">
        <f>BowlSplit(T5:T33,BallsBowled)</f>
        <v>234</v>
      </c>
      <c r="P40" s="2">
        <f t="shared" ref="P40:BF40" si="135">BowlSplit(P5:P33,BallsBowled)</f>
        <v>226</v>
      </c>
      <c r="Q40" s="2">
        <f t="shared" si="135"/>
        <v>236</v>
      </c>
      <c r="R40" s="2">
        <f t="shared" si="135"/>
        <v>252</v>
      </c>
      <c r="S40" s="2">
        <f t="shared" si="135"/>
        <v>210</v>
      </c>
      <c r="T40" s="2">
        <f t="shared" si="135"/>
        <v>234</v>
      </c>
      <c r="U40" s="2">
        <f t="shared" si="135"/>
        <v>240</v>
      </c>
      <c r="V40" s="2">
        <f t="shared" si="135"/>
        <v>240</v>
      </c>
      <c r="W40" s="2">
        <f t="shared" si="135"/>
        <v>240</v>
      </c>
      <c r="X40" s="2">
        <f t="shared" si="135"/>
        <v>57</v>
      </c>
      <c r="Y40" s="2">
        <f t="shared" si="135"/>
        <v>0</v>
      </c>
      <c r="Z40" s="2">
        <f t="shared" si="135"/>
        <v>0</v>
      </c>
      <c r="AA40" s="2">
        <f t="shared" si="135"/>
        <v>0</v>
      </c>
      <c r="AB40" s="2">
        <f t="shared" si="135"/>
        <v>0</v>
      </c>
      <c r="AC40" s="2">
        <f t="shared" si="135"/>
        <v>0</v>
      </c>
      <c r="AD40" s="2">
        <f t="shared" si="135"/>
        <v>0</v>
      </c>
      <c r="AE40" s="2">
        <f t="shared" si="135"/>
        <v>0</v>
      </c>
      <c r="AF40" s="2">
        <f t="shared" si="135"/>
        <v>0</v>
      </c>
      <c r="AG40" s="2">
        <f t="shared" si="135"/>
        <v>0</v>
      </c>
      <c r="AH40" s="2">
        <f t="shared" si="135"/>
        <v>0</v>
      </c>
      <c r="AI40" s="2">
        <f t="shared" si="135"/>
        <v>0</v>
      </c>
      <c r="AJ40" s="2">
        <f t="shared" si="135"/>
        <v>0</v>
      </c>
      <c r="AK40" s="2">
        <f t="shared" si="135"/>
        <v>0</v>
      </c>
      <c r="AL40" s="2">
        <f t="shared" si="135"/>
        <v>0</v>
      </c>
      <c r="AM40" s="2">
        <f t="shared" si="135"/>
        <v>0</v>
      </c>
      <c r="AN40" s="2">
        <f t="shared" si="135"/>
        <v>0</v>
      </c>
      <c r="AO40" s="2">
        <f t="shared" si="135"/>
        <v>0</v>
      </c>
      <c r="AP40" s="2">
        <f t="shared" si="135"/>
        <v>0</v>
      </c>
      <c r="AQ40" s="2">
        <f t="shared" si="135"/>
        <v>0</v>
      </c>
      <c r="AR40" s="2">
        <f t="shared" si="135"/>
        <v>0</v>
      </c>
      <c r="AS40" s="2">
        <f t="shared" si="135"/>
        <v>0</v>
      </c>
      <c r="AT40" s="2">
        <f t="shared" si="135"/>
        <v>0</v>
      </c>
      <c r="AU40" s="2">
        <f t="shared" si="135"/>
        <v>0</v>
      </c>
      <c r="AV40" s="2">
        <f t="shared" si="135"/>
        <v>0</v>
      </c>
      <c r="AW40" s="2">
        <f t="shared" si="135"/>
        <v>0</v>
      </c>
      <c r="AX40" s="2">
        <f t="shared" si="135"/>
        <v>0</v>
      </c>
      <c r="AY40" s="2">
        <f t="shared" si="135"/>
        <v>0</v>
      </c>
      <c r="AZ40" s="2">
        <f t="shared" si="135"/>
        <v>0</v>
      </c>
      <c r="BA40" s="2">
        <f t="shared" si="135"/>
        <v>0</v>
      </c>
      <c r="BB40" s="2">
        <f t="shared" si="135"/>
        <v>0</v>
      </c>
      <c r="BC40" s="2">
        <f t="shared" si="135"/>
        <v>0</v>
      </c>
      <c r="BD40" s="2">
        <f t="shared" si="135"/>
        <v>0</v>
      </c>
      <c r="BE40" s="2">
        <f t="shared" si="135"/>
        <v>0</v>
      </c>
      <c r="BF40" s="2">
        <f t="shared" si="135"/>
        <v>0</v>
      </c>
      <c r="CE40" s="53">
        <f>SUM(C40:BF40)</f>
        <v>4756</v>
      </c>
      <c r="CF40" s="53">
        <f>INT(CE40/6)</f>
        <v>792</v>
      </c>
      <c r="CG40" s="53">
        <f>CE40-CF40*6</f>
        <v>4</v>
      </c>
      <c r="CH40" s="53">
        <f>CF40+CG40/10</f>
        <v>792.4</v>
      </c>
    </row>
    <row r="41" spans="2:99" x14ac:dyDescent="0.15">
      <c r="B41" s="2" t="s">
        <v>165</v>
      </c>
      <c r="C41" s="2">
        <f t="array" ref="C41:CC41">TRANSPOSE(Matches!P5:P59)</f>
        <v>39</v>
      </c>
      <c r="D41" s="2">
        <v>31</v>
      </c>
      <c r="E41" s="2">
        <v>40</v>
      </c>
      <c r="F41" s="2">
        <v>40</v>
      </c>
      <c r="G41" s="2">
        <v>35</v>
      </c>
      <c r="H41" s="2">
        <v>35</v>
      </c>
      <c r="I41" s="2">
        <v>30.3</v>
      </c>
      <c r="J41" s="2">
        <v>35</v>
      </c>
      <c r="K41" s="2">
        <v>43</v>
      </c>
      <c r="L41" s="2">
        <v>29.5</v>
      </c>
      <c r="M41" s="2">
        <v>39.5</v>
      </c>
      <c r="N41" s="2">
        <v>33</v>
      </c>
      <c r="O41" s="2">
        <v>40</v>
      </c>
      <c r="P41" s="2">
        <v>37.4</v>
      </c>
      <c r="Q41" s="2">
        <v>39.200000000000003</v>
      </c>
      <c r="R41" s="2">
        <v>42</v>
      </c>
      <c r="S41" s="2">
        <v>35</v>
      </c>
      <c r="T41" s="2">
        <v>39</v>
      </c>
      <c r="U41" s="2">
        <v>40</v>
      </c>
      <c r="V41" s="2">
        <v>40</v>
      </c>
      <c r="W41" s="2">
        <v>37</v>
      </c>
      <c r="X41" s="2">
        <v>9.3000000000000007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 t="e">
        <v>#N/A</v>
      </c>
      <c r="BG41" s="2" t="e">
        <v>#N/A</v>
      </c>
      <c r="BH41" s="2" t="e">
        <v>#N/A</v>
      </c>
      <c r="BI41" s="2" t="e">
        <v>#N/A</v>
      </c>
      <c r="BJ41" s="2" t="e">
        <v>#N/A</v>
      </c>
      <c r="BK41" s="2" t="e">
        <v>#N/A</v>
      </c>
      <c r="BL41" s="2" t="e">
        <v>#N/A</v>
      </c>
      <c r="BM41" s="2" t="e">
        <v>#N/A</v>
      </c>
      <c r="BN41" s="2" t="e">
        <v>#N/A</v>
      </c>
      <c r="BO41" s="2" t="e">
        <v>#N/A</v>
      </c>
      <c r="BP41" s="2" t="e">
        <v>#N/A</v>
      </c>
      <c r="BQ41" s="2" t="e">
        <v>#N/A</v>
      </c>
      <c r="BR41" s="2" t="e">
        <v>#N/A</v>
      </c>
      <c r="BS41" s="2" t="e">
        <v>#N/A</v>
      </c>
      <c r="BT41" s="2" t="e">
        <v>#N/A</v>
      </c>
      <c r="BU41" s="2" t="e">
        <v>#N/A</v>
      </c>
      <c r="BV41" s="2" t="e">
        <v>#N/A</v>
      </c>
      <c r="BW41" s="2" t="e">
        <v>#N/A</v>
      </c>
      <c r="BX41" s="2" t="e">
        <v>#N/A</v>
      </c>
      <c r="BY41" s="2" t="e">
        <v>#N/A</v>
      </c>
      <c r="BZ41" s="2" t="e">
        <v>#N/A</v>
      </c>
      <c r="CA41" s="2" t="e">
        <v>#N/A</v>
      </c>
      <c r="CB41" s="2" t="e">
        <v>#N/A</v>
      </c>
      <c r="CC41" s="2" t="e">
        <v>#N/A</v>
      </c>
    </row>
    <row r="43" spans="2:99" x14ac:dyDescent="0.15">
      <c r="B43" s="2">
        <f>MAX(C43:X71)</f>
        <v>65</v>
      </c>
      <c r="C43" s="2">
        <f t="shared" ref="C43:X43" si="136">BowlSplit(C5,RunsConceded)</f>
        <v>0</v>
      </c>
      <c r="D43" s="2">
        <f t="shared" si="136"/>
        <v>0</v>
      </c>
      <c r="E43" s="2">
        <f t="shared" si="136"/>
        <v>0</v>
      </c>
      <c r="F43" s="2">
        <f t="shared" si="136"/>
        <v>0</v>
      </c>
      <c r="G43" s="2">
        <f t="shared" si="136"/>
        <v>0</v>
      </c>
      <c r="H43" s="2">
        <f t="shared" si="136"/>
        <v>21</v>
      </c>
      <c r="I43" s="2">
        <f t="shared" si="136"/>
        <v>0</v>
      </c>
      <c r="J43" s="2">
        <f t="shared" si="136"/>
        <v>0</v>
      </c>
      <c r="K43" s="2">
        <f t="shared" si="136"/>
        <v>0</v>
      </c>
      <c r="L43" s="2">
        <f t="shared" si="136"/>
        <v>0</v>
      </c>
      <c r="M43" s="2">
        <f t="shared" si="136"/>
        <v>0</v>
      </c>
      <c r="N43" s="2">
        <f t="shared" si="136"/>
        <v>0</v>
      </c>
      <c r="O43" s="2">
        <f t="shared" si="136"/>
        <v>0</v>
      </c>
      <c r="P43" s="2">
        <f t="shared" si="136"/>
        <v>0</v>
      </c>
      <c r="Q43" s="2">
        <f t="shared" si="136"/>
        <v>0</v>
      </c>
      <c r="R43" s="2">
        <f t="shared" si="136"/>
        <v>0</v>
      </c>
      <c r="S43" s="2">
        <f t="shared" si="136"/>
        <v>0</v>
      </c>
      <c r="T43" s="2">
        <f t="shared" si="136"/>
        <v>0</v>
      </c>
      <c r="U43" s="2">
        <f t="shared" si="136"/>
        <v>0</v>
      </c>
      <c r="V43" s="2">
        <f t="shared" si="136"/>
        <v>0</v>
      </c>
      <c r="W43" s="2">
        <f t="shared" si="136"/>
        <v>14</v>
      </c>
      <c r="X43" s="2">
        <f t="shared" si="136"/>
        <v>0</v>
      </c>
    </row>
    <row r="44" spans="2:99" x14ac:dyDescent="0.15">
      <c r="C44" s="2">
        <f t="shared" ref="C44:X44" si="137">BowlSplit(C6,RunsConceded)</f>
        <v>0</v>
      </c>
      <c r="D44" s="2">
        <f t="shared" si="137"/>
        <v>0</v>
      </c>
      <c r="E44" s="2">
        <f t="shared" si="137"/>
        <v>0</v>
      </c>
      <c r="F44" s="2">
        <f t="shared" si="137"/>
        <v>0</v>
      </c>
      <c r="G44" s="2">
        <f t="shared" si="137"/>
        <v>0</v>
      </c>
      <c r="H44" s="2">
        <f t="shared" si="137"/>
        <v>0</v>
      </c>
      <c r="I44" s="2">
        <f t="shared" si="137"/>
        <v>0</v>
      </c>
      <c r="J44" s="2">
        <f t="shared" si="137"/>
        <v>0</v>
      </c>
      <c r="K44" s="2">
        <f t="shared" si="137"/>
        <v>0</v>
      </c>
      <c r="L44" s="2">
        <f t="shared" si="137"/>
        <v>0</v>
      </c>
      <c r="M44" s="2">
        <f t="shared" si="137"/>
        <v>0</v>
      </c>
      <c r="N44" s="2">
        <f t="shared" si="137"/>
        <v>0</v>
      </c>
      <c r="O44" s="2">
        <f t="shared" si="137"/>
        <v>0</v>
      </c>
      <c r="P44" s="2">
        <f t="shared" si="137"/>
        <v>0</v>
      </c>
      <c r="Q44" s="2">
        <f t="shared" si="137"/>
        <v>0</v>
      </c>
      <c r="R44" s="2">
        <f t="shared" si="137"/>
        <v>0</v>
      </c>
      <c r="S44" s="2">
        <f t="shared" si="137"/>
        <v>23</v>
      </c>
      <c r="T44" s="2">
        <f t="shared" si="137"/>
        <v>30</v>
      </c>
      <c r="U44" s="2">
        <f t="shared" si="137"/>
        <v>9</v>
      </c>
      <c r="V44" s="2">
        <f t="shared" si="137"/>
        <v>7</v>
      </c>
      <c r="W44" s="2">
        <f t="shared" si="137"/>
        <v>0</v>
      </c>
      <c r="X44" s="2">
        <f t="shared" si="137"/>
        <v>7</v>
      </c>
    </row>
    <row r="45" spans="2:99" x14ac:dyDescent="0.15">
      <c r="C45" s="2">
        <f t="shared" ref="C45:X45" si="138">BowlSplit(C7,RunsConceded)</f>
        <v>0</v>
      </c>
      <c r="D45" s="2">
        <f t="shared" si="138"/>
        <v>0</v>
      </c>
      <c r="E45" s="2">
        <f t="shared" si="138"/>
        <v>0</v>
      </c>
      <c r="F45" s="2">
        <f t="shared" si="138"/>
        <v>39</v>
      </c>
      <c r="G45" s="2">
        <f t="shared" si="138"/>
        <v>9</v>
      </c>
      <c r="H45" s="2">
        <f t="shared" si="138"/>
        <v>0</v>
      </c>
      <c r="I45" s="2">
        <f t="shared" si="138"/>
        <v>0</v>
      </c>
      <c r="J45" s="2">
        <f t="shared" si="138"/>
        <v>6</v>
      </c>
      <c r="K45" s="2">
        <f t="shared" si="138"/>
        <v>0</v>
      </c>
      <c r="L45" s="2">
        <f t="shared" si="138"/>
        <v>0</v>
      </c>
      <c r="M45" s="2">
        <f t="shared" si="138"/>
        <v>0</v>
      </c>
      <c r="N45" s="2">
        <f t="shared" si="138"/>
        <v>0</v>
      </c>
      <c r="O45" s="2">
        <f t="shared" si="138"/>
        <v>0</v>
      </c>
      <c r="P45" s="2">
        <f t="shared" si="138"/>
        <v>25</v>
      </c>
      <c r="Q45" s="2">
        <f t="shared" si="138"/>
        <v>0</v>
      </c>
      <c r="R45" s="2">
        <f t="shared" si="138"/>
        <v>0</v>
      </c>
      <c r="S45" s="2">
        <f t="shared" si="138"/>
        <v>0</v>
      </c>
      <c r="T45" s="2">
        <f t="shared" si="138"/>
        <v>0</v>
      </c>
      <c r="U45" s="2">
        <f t="shared" si="138"/>
        <v>0</v>
      </c>
      <c r="V45" s="2">
        <f t="shared" si="138"/>
        <v>0</v>
      </c>
      <c r="W45" s="2">
        <f t="shared" si="138"/>
        <v>0</v>
      </c>
      <c r="X45" s="2">
        <f t="shared" si="138"/>
        <v>0</v>
      </c>
    </row>
    <row r="46" spans="2:99" x14ac:dyDescent="0.15">
      <c r="C46" s="2">
        <f t="shared" ref="C46:X46" si="139">BowlSplit(C8,RunsConceded)</f>
        <v>0</v>
      </c>
      <c r="D46" s="2">
        <f t="shared" si="139"/>
        <v>0</v>
      </c>
      <c r="E46" s="2">
        <f t="shared" si="139"/>
        <v>0</v>
      </c>
      <c r="F46" s="2">
        <f t="shared" si="139"/>
        <v>0</v>
      </c>
      <c r="G46" s="2">
        <f t="shared" si="139"/>
        <v>21</v>
      </c>
      <c r="H46" s="2">
        <f t="shared" si="139"/>
        <v>0</v>
      </c>
      <c r="I46" s="2">
        <f t="shared" si="139"/>
        <v>2</v>
      </c>
      <c r="J46" s="2">
        <f t="shared" si="139"/>
        <v>0</v>
      </c>
      <c r="K46" s="2">
        <f t="shared" si="139"/>
        <v>19</v>
      </c>
      <c r="L46" s="2">
        <f t="shared" si="139"/>
        <v>13</v>
      </c>
      <c r="M46" s="2">
        <f t="shared" si="139"/>
        <v>0</v>
      </c>
      <c r="N46" s="2">
        <f t="shared" si="139"/>
        <v>0</v>
      </c>
      <c r="O46" s="2">
        <f t="shared" si="139"/>
        <v>0</v>
      </c>
      <c r="P46" s="2">
        <f t="shared" si="139"/>
        <v>0</v>
      </c>
      <c r="Q46" s="2">
        <f t="shared" si="139"/>
        <v>0</v>
      </c>
      <c r="R46" s="2">
        <f t="shared" si="139"/>
        <v>0</v>
      </c>
      <c r="S46" s="2">
        <f t="shared" si="139"/>
        <v>0</v>
      </c>
      <c r="T46" s="2">
        <f t="shared" si="139"/>
        <v>0</v>
      </c>
      <c r="U46" s="2">
        <f t="shared" si="139"/>
        <v>0</v>
      </c>
      <c r="V46" s="2">
        <f t="shared" si="139"/>
        <v>0</v>
      </c>
      <c r="W46" s="2">
        <f t="shared" si="139"/>
        <v>0</v>
      </c>
      <c r="X46" s="2">
        <f t="shared" si="139"/>
        <v>0</v>
      </c>
    </row>
    <row r="47" spans="2:99" x14ac:dyDescent="0.15">
      <c r="C47" s="2">
        <f t="shared" ref="C47:X47" si="140">BowlSplit(C9,RunsConceded)</f>
        <v>0</v>
      </c>
      <c r="D47" s="2">
        <f t="shared" si="140"/>
        <v>0</v>
      </c>
      <c r="E47" s="2">
        <f t="shared" si="140"/>
        <v>0</v>
      </c>
      <c r="F47" s="2">
        <f t="shared" si="140"/>
        <v>0</v>
      </c>
      <c r="G47" s="2">
        <f t="shared" si="140"/>
        <v>0</v>
      </c>
      <c r="H47" s="2">
        <f t="shared" si="140"/>
        <v>0</v>
      </c>
      <c r="I47" s="2">
        <f t="shared" si="140"/>
        <v>0</v>
      </c>
      <c r="J47" s="2">
        <f t="shared" si="140"/>
        <v>32</v>
      </c>
      <c r="K47" s="2">
        <f t="shared" si="140"/>
        <v>0</v>
      </c>
      <c r="L47" s="2">
        <f t="shared" si="140"/>
        <v>0</v>
      </c>
      <c r="M47" s="2">
        <f t="shared" si="140"/>
        <v>0</v>
      </c>
      <c r="N47" s="2">
        <f t="shared" si="140"/>
        <v>9</v>
      </c>
      <c r="O47" s="2">
        <f t="shared" si="140"/>
        <v>55</v>
      </c>
      <c r="P47" s="2">
        <f t="shared" si="140"/>
        <v>0</v>
      </c>
      <c r="Q47" s="2">
        <f t="shared" si="140"/>
        <v>0</v>
      </c>
      <c r="R47" s="2">
        <f t="shared" si="140"/>
        <v>0</v>
      </c>
      <c r="S47" s="2">
        <f t="shared" si="140"/>
        <v>0</v>
      </c>
      <c r="T47" s="2">
        <f t="shared" si="140"/>
        <v>0</v>
      </c>
      <c r="U47" s="2">
        <f t="shared" si="140"/>
        <v>0</v>
      </c>
      <c r="V47" s="2">
        <f t="shared" si="140"/>
        <v>0</v>
      </c>
      <c r="W47" s="2">
        <f t="shared" si="140"/>
        <v>0</v>
      </c>
      <c r="X47" s="2">
        <f t="shared" si="140"/>
        <v>0</v>
      </c>
    </row>
    <row r="48" spans="2:99" x14ac:dyDescent="0.15">
      <c r="C48" s="2">
        <f t="shared" ref="C48:X48" si="141">BowlSplit(C10,RunsConceded)</f>
        <v>0</v>
      </c>
      <c r="D48" s="2">
        <f t="shared" si="141"/>
        <v>0</v>
      </c>
      <c r="E48" s="2">
        <f t="shared" si="141"/>
        <v>0</v>
      </c>
      <c r="F48" s="2">
        <f t="shared" si="141"/>
        <v>0</v>
      </c>
      <c r="G48" s="2">
        <f t="shared" si="141"/>
        <v>0</v>
      </c>
      <c r="H48" s="2">
        <f t="shared" si="141"/>
        <v>0</v>
      </c>
      <c r="I48" s="2">
        <f t="shared" si="141"/>
        <v>0</v>
      </c>
      <c r="J48" s="2">
        <f t="shared" si="141"/>
        <v>0</v>
      </c>
      <c r="K48" s="2">
        <f t="shared" si="141"/>
        <v>0</v>
      </c>
      <c r="L48" s="2">
        <f t="shared" si="141"/>
        <v>0</v>
      </c>
      <c r="M48" s="2">
        <f t="shared" si="141"/>
        <v>0</v>
      </c>
      <c r="N48" s="2">
        <f t="shared" si="141"/>
        <v>0</v>
      </c>
      <c r="O48" s="2">
        <f t="shared" si="141"/>
        <v>44</v>
      </c>
      <c r="P48" s="2">
        <f t="shared" si="141"/>
        <v>20</v>
      </c>
      <c r="Q48" s="2">
        <f t="shared" si="141"/>
        <v>38</v>
      </c>
      <c r="R48" s="2">
        <f t="shared" si="141"/>
        <v>27</v>
      </c>
      <c r="S48" s="2">
        <f t="shared" si="141"/>
        <v>0</v>
      </c>
      <c r="T48" s="2">
        <f t="shared" si="141"/>
        <v>0</v>
      </c>
      <c r="U48" s="2">
        <f t="shared" si="141"/>
        <v>0</v>
      </c>
      <c r="V48" s="2">
        <f t="shared" si="141"/>
        <v>0</v>
      </c>
      <c r="W48" s="2">
        <f t="shared" si="141"/>
        <v>0</v>
      </c>
      <c r="X48" s="2">
        <f t="shared" si="141"/>
        <v>0</v>
      </c>
    </row>
    <row r="49" spans="3:24" x14ac:dyDescent="0.15">
      <c r="C49" s="2">
        <f t="shared" ref="C49:X49" si="142">BowlSplit(C11,RunsConceded)</f>
        <v>0</v>
      </c>
      <c r="D49" s="2">
        <f t="shared" si="142"/>
        <v>0</v>
      </c>
      <c r="E49" s="2">
        <f t="shared" si="142"/>
        <v>0</v>
      </c>
      <c r="F49" s="2">
        <f t="shared" si="142"/>
        <v>0</v>
      </c>
      <c r="G49" s="2">
        <f t="shared" si="142"/>
        <v>0</v>
      </c>
      <c r="H49" s="2">
        <f t="shared" si="142"/>
        <v>0</v>
      </c>
      <c r="I49" s="2">
        <f t="shared" si="142"/>
        <v>0</v>
      </c>
      <c r="J49" s="2">
        <f t="shared" si="142"/>
        <v>0</v>
      </c>
      <c r="K49" s="2">
        <f t="shared" si="142"/>
        <v>5</v>
      </c>
      <c r="L49" s="2">
        <f t="shared" si="142"/>
        <v>20</v>
      </c>
      <c r="M49" s="2">
        <f t="shared" si="142"/>
        <v>35</v>
      </c>
      <c r="N49" s="2">
        <f t="shared" si="142"/>
        <v>0</v>
      </c>
      <c r="O49" s="2">
        <f t="shared" si="142"/>
        <v>0</v>
      </c>
      <c r="P49" s="2">
        <f t="shared" si="142"/>
        <v>0</v>
      </c>
      <c r="Q49" s="2">
        <f t="shared" si="142"/>
        <v>0</v>
      </c>
      <c r="R49" s="2">
        <f t="shared" si="142"/>
        <v>0</v>
      </c>
      <c r="S49" s="2">
        <f t="shared" si="142"/>
        <v>0</v>
      </c>
      <c r="T49" s="2">
        <f t="shared" si="142"/>
        <v>0</v>
      </c>
      <c r="U49" s="2">
        <f t="shared" si="142"/>
        <v>0</v>
      </c>
      <c r="V49" s="2">
        <f t="shared" si="142"/>
        <v>0</v>
      </c>
      <c r="W49" s="2">
        <f t="shared" si="142"/>
        <v>0</v>
      </c>
      <c r="X49" s="2">
        <f t="shared" si="142"/>
        <v>0</v>
      </c>
    </row>
    <row r="50" spans="3:24" x14ac:dyDescent="0.15">
      <c r="C50" s="2">
        <f t="shared" ref="C50:X50" si="143">BowlSplit(C12,RunsConceded)</f>
        <v>24</v>
      </c>
      <c r="D50" s="2">
        <f t="shared" si="143"/>
        <v>22</v>
      </c>
      <c r="E50" s="2">
        <f t="shared" si="143"/>
        <v>5</v>
      </c>
      <c r="F50" s="2">
        <f t="shared" si="143"/>
        <v>65</v>
      </c>
      <c r="G50" s="2">
        <f t="shared" si="143"/>
        <v>0</v>
      </c>
      <c r="H50" s="2">
        <f t="shared" si="143"/>
        <v>25</v>
      </c>
      <c r="I50" s="2">
        <f t="shared" si="143"/>
        <v>23</v>
      </c>
      <c r="J50" s="2">
        <f t="shared" si="143"/>
        <v>0</v>
      </c>
      <c r="K50" s="2">
        <f t="shared" si="143"/>
        <v>12</v>
      </c>
      <c r="L50" s="2">
        <f t="shared" si="143"/>
        <v>28</v>
      </c>
      <c r="M50" s="2">
        <f t="shared" si="143"/>
        <v>19</v>
      </c>
      <c r="N50" s="2">
        <f t="shared" si="143"/>
        <v>0</v>
      </c>
      <c r="O50" s="2">
        <f t="shared" si="143"/>
        <v>0</v>
      </c>
      <c r="P50" s="2">
        <f t="shared" si="143"/>
        <v>14</v>
      </c>
      <c r="Q50" s="2">
        <f t="shared" si="143"/>
        <v>33</v>
      </c>
      <c r="R50" s="2">
        <f t="shared" si="143"/>
        <v>21</v>
      </c>
      <c r="S50" s="2">
        <f t="shared" si="143"/>
        <v>12</v>
      </c>
      <c r="T50" s="2">
        <f t="shared" si="143"/>
        <v>23</v>
      </c>
      <c r="U50" s="2">
        <f t="shared" si="143"/>
        <v>30</v>
      </c>
      <c r="V50" s="2">
        <f t="shared" si="143"/>
        <v>40</v>
      </c>
      <c r="W50" s="2">
        <f t="shared" si="143"/>
        <v>15</v>
      </c>
      <c r="X50" s="2">
        <f t="shared" si="143"/>
        <v>0</v>
      </c>
    </row>
    <row r="51" spans="3:24" x14ac:dyDescent="0.15">
      <c r="C51" s="2">
        <f t="shared" ref="C51:X51" si="144">BowlSplit(C13,RunsConceded)</f>
        <v>25</v>
      </c>
      <c r="D51" s="2">
        <f t="shared" si="144"/>
        <v>47</v>
      </c>
      <c r="E51" s="2">
        <f t="shared" si="144"/>
        <v>21</v>
      </c>
      <c r="F51" s="2">
        <f t="shared" si="144"/>
        <v>0</v>
      </c>
      <c r="G51" s="2">
        <f t="shared" si="144"/>
        <v>0</v>
      </c>
      <c r="H51" s="2">
        <f t="shared" si="144"/>
        <v>10</v>
      </c>
      <c r="I51" s="2">
        <f t="shared" si="144"/>
        <v>0</v>
      </c>
      <c r="J51" s="2">
        <f t="shared" si="144"/>
        <v>0</v>
      </c>
      <c r="K51" s="2">
        <f t="shared" si="144"/>
        <v>0</v>
      </c>
      <c r="L51" s="2">
        <f t="shared" si="144"/>
        <v>0</v>
      </c>
      <c r="M51" s="2">
        <f t="shared" si="144"/>
        <v>0</v>
      </c>
      <c r="N51" s="2">
        <f t="shared" si="144"/>
        <v>0</v>
      </c>
      <c r="O51" s="2">
        <f t="shared" si="144"/>
        <v>0</v>
      </c>
      <c r="P51" s="2">
        <f t="shared" si="144"/>
        <v>0</v>
      </c>
      <c r="Q51" s="2">
        <f t="shared" si="144"/>
        <v>10</v>
      </c>
      <c r="R51" s="2">
        <f t="shared" si="144"/>
        <v>0</v>
      </c>
      <c r="S51" s="2">
        <f t="shared" si="144"/>
        <v>0</v>
      </c>
      <c r="T51" s="2">
        <f t="shared" si="144"/>
        <v>5</v>
      </c>
      <c r="U51" s="2">
        <f t="shared" si="144"/>
        <v>15</v>
      </c>
      <c r="V51" s="2">
        <f t="shared" si="144"/>
        <v>0</v>
      </c>
      <c r="W51" s="2">
        <f t="shared" si="144"/>
        <v>9</v>
      </c>
      <c r="X51" s="2">
        <f t="shared" si="144"/>
        <v>0</v>
      </c>
    </row>
    <row r="52" spans="3:24" x14ac:dyDescent="0.15">
      <c r="C52" s="2">
        <f t="shared" ref="C52:X52" si="145">BowlSplit(C14,RunsConceded)</f>
        <v>0</v>
      </c>
      <c r="D52" s="2">
        <f t="shared" si="145"/>
        <v>0</v>
      </c>
      <c r="E52" s="2">
        <f t="shared" si="145"/>
        <v>0</v>
      </c>
      <c r="F52" s="2">
        <f t="shared" si="145"/>
        <v>0</v>
      </c>
      <c r="G52" s="2">
        <f t="shared" si="145"/>
        <v>0</v>
      </c>
      <c r="H52" s="2">
        <f t="shared" si="145"/>
        <v>0</v>
      </c>
      <c r="I52" s="2">
        <f t="shared" si="145"/>
        <v>0</v>
      </c>
      <c r="J52" s="2">
        <f t="shared" si="145"/>
        <v>0</v>
      </c>
      <c r="K52" s="2">
        <f t="shared" si="145"/>
        <v>0</v>
      </c>
      <c r="L52" s="2">
        <f t="shared" si="145"/>
        <v>0</v>
      </c>
      <c r="M52" s="2">
        <f t="shared" si="145"/>
        <v>0</v>
      </c>
      <c r="N52" s="2">
        <f t="shared" si="145"/>
        <v>6</v>
      </c>
      <c r="O52" s="2">
        <f t="shared" si="145"/>
        <v>0</v>
      </c>
      <c r="P52" s="2">
        <f t="shared" si="145"/>
        <v>0</v>
      </c>
      <c r="Q52" s="2">
        <f t="shared" si="145"/>
        <v>0</v>
      </c>
      <c r="R52" s="2">
        <f t="shared" si="145"/>
        <v>0</v>
      </c>
      <c r="S52" s="2">
        <f t="shared" si="145"/>
        <v>0</v>
      </c>
      <c r="T52" s="2">
        <f t="shared" si="145"/>
        <v>0</v>
      </c>
      <c r="U52" s="2">
        <f t="shared" si="145"/>
        <v>0</v>
      </c>
      <c r="V52" s="2">
        <f t="shared" si="145"/>
        <v>0</v>
      </c>
      <c r="W52" s="2">
        <f t="shared" si="145"/>
        <v>0</v>
      </c>
      <c r="X52" s="2">
        <f t="shared" si="145"/>
        <v>0</v>
      </c>
    </row>
    <row r="53" spans="3:24" x14ac:dyDescent="0.15">
      <c r="C53" s="2">
        <f t="shared" ref="C53:X53" si="146">BowlSplit(C15,RunsConceded)</f>
        <v>0</v>
      </c>
      <c r="D53" s="2">
        <f t="shared" si="146"/>
        <v>0</v>
      </c>
      <c r="E53" s="2">
        <f t="shared" si="146"/>
        <v>0</v>
      </c>
      <c r="F53" s="2">
        <f t="shared" si="146"/>
        <v>0</v>
      </c>
      <c r="G53" s="2">
        <f t="shared" si="146"/>
        <v>0</v>
      </c>
      <c r="H53" s="2">
        <f t="shared" si="146"/>
        <v>0</v>
      </c>
      <c r="I53" s="2">
        <f t="shared" si="146"/>
        <v>0</v>
      </c>
      <c r="J53" s="2">
        <f t="shared" si="146"/>
        <v>0</v>
      </c>
      <c r="K53" s="2">
        <f t="shared" si="146"/>
        <v>0</v>
      </c>
      <c r="L53" s="2">
        <f t="shared" si="146"/>
        <v>0</v>
      </c>
      <c r="M53" s="2">
        <f t="shared" si="146"/>
        <v>0</v>
      </c>
      <c r="N53" s="2">
        <f t="shared" si="146"/>
        <v>0</v>
      </c>
      <c r="O53" s="2">
        <f t="shared" si="146"/>
        <v>0</v>
      </c>
      <c r="P53" s="2">
        <f t="shared" si="146"/>
        <v>0</v>
      </c>
      <c r="Q53" s="2">
        <f t="shared" si="146"/>
        <v>0</v>
      </c>
      <c r="R53" s="2">
        <f t="shared" si="146"/>
        <v>0</v>
      </c>
      <c r="S53" s="2">
        <f t="shared" si="146"/>
        <v>0</v>
      </c>
      <c r="T53" s="2">
        <f t="shared" si="146"/>
        <v>0</v>
      </c>
      <c r="U53" s="2">
        <f t="shared" si="146"/>
        <v>0</v>
      </c>
      <c r="V53" s="2">
        <f t="shared" si="146"/>
        <v>0</v>
      </c>
      <c r="W53" s="2">
        <f t="shared" si="146"/>
        <v>3</v>
      </c>
      <c r="X53" s="2">
        <f t="shared" si="146"/>
        <v>0</v>
      </c>
    </row>
    <row r="54" spans="3:24" x14ac:dyDescent="0.15">
      <c r="C54" s="2">
        <f t="shared" ref="C54:X54" si="147">BowlSplit(C16,RunsConceded)</f>
        <v>0</v>
      </c>
      <c r="D54" s="2">
        <f t="shared" si="147"/>
        <v>0</v>
      </c>
      <c r="E54" s="2">
        <f t="shared" si="147"/>
        <v>0</v>
      </c>
      <c r="F54" s="2">
        <f t="shared" si="147"/>
        <v>0</v>
      </c>
      <c r="G54" s="2">
        <f t="shared" si="147"/>
        <v>0</v>
      </c>
      <c r="H54" s="2">
        <f t="shared" si="147"/>
        <v>0</v>
      </c>
      <c r="I54" s="2">
        <f t="shared" si="147"/>
        <v>0</v>
      </c>
      <c r="J54" s="2">
        <f t="shared" si="147"/>
        <v>13</v>
      </c>
      <c r="K54" s="2">
        <f t="shared" si="147"/>
        <v>0</v>
      </c>
      <c r="L54" s="2">
        <f t="shared" si="147"/>
        <v>0</v>
      </c>
      <c r="M54" s="2">
        <f t="shared" si="147"/>
        <v>0</v>
      </c>
      <c r="N54" s="2">
        <f t="shared" si="147"/>
        <v>0</v>
      </c>
      <c r="O54" s="2">
        <f t="shared" si="147"/>
        <v>0</v>
      </c>
      <c r="P54" s="2">
        <f t="shared" si="147"/>
        <v>0</v>
      </c>
      <c r="Q54" s="2">
        <f t="shared" si="147"/>
        <v>0</v>
      </c>
      <c r="R54" s="2">
        <f t="shared" si="147"/>
        <v>0</v>
      </c>
      <c r="S54" s="2">
        <f t="shared" si="147"/>
        <v>0</v>
      </c>
      <c r="T54" s="2">
        <f t="shared" si="147"/>
        <v>0</v>
      </c>
      <c r="U54" s="2">
        <f t="shared" si="147"/>
        <v>0</v>
      </c>
      <c r="V54" s="2">
        <f t="shared" si="147"/>
        <v>0</v>
      </c>
      <c r="W54" s="2">
        <f t="shared" si="147"/>
        <v>0</v>
      </c>
      <c r="X54" s="2">
        <f t="shared" si="147"/>
        <v>0</v>
      </c>
    </row>
    <row r="55" spans="3:24" x14ac:dyDescent="0.15">
      <c r="C55" s="2">
        <f t="shared" ref="C55:X55" si="148">BowlSplit(C17,RunsConceded)</f>
        <v>0</v>
      </c>
      <c r="D55" s="2">
        <f t="shared" si="148"/>
        <v>0</v>
      </c>
      <c r="E55" s="2">
        <f t="shared" si="148"/>
        <v>0</v>
      </c>
      <c r="F55" s="2">
        <f t="shared" si="148"/>
        <v>0</v>
      </c>
      <c r="G55" s="2">
        <f t="shared" si="148"/>
        <v>0</v>
      </c>
      <c r="H55" s="2">
        <f t="shared" si="148"/>
        <v>0</v>
      </c>
      <c r="I55" s="2">
        <f t="shared" si="148"/>
        <v>16</v>
      </c>
      <c r="J55" s="2">
        <f t="shared" si="148"/>
        <v>0</v>
      </c>
      <c r="K55" s="2">
        <f t="shared" si="148"/>
        <v>0</v>
      </c>
      <c r="L55" s="2">
        <f t="shared" si="148"/>
        <v>0</v>
      </c>
      <c r="M55" s="2">
        <f t="shared" si="148"/>
        <v>0</v>
      </c>
      <c r="N55" s="2">
        <f t="shared" si="148"/>
        <v>0</v>
      </c>
      <c r="O55" s="2">
        <f t="shared" si="148"/>
        <v>0</v>
      </c>
      <c r="P55" s="2">
        <f t="shared" si="148"/>
        <v>0</v>
      </c>
      <c r="Q55" s="2">
        <f t="shared" si="148"/>
        <v>0</v>
      </c>
      <c r="R55" s="2">
        <f t="shared" si="148"/>
        <v>0</v>
      </c>
      <c r="S55" s="2">
        <f t="shared" si="148"/>
        <v>0</v>
      </c>
      <c r="T55" s="2">
        <f t="shared" si="148"/>
        <v>0</v>
      </c>
      <c r="U55" s="2">
        <f t="shared" si="148"/>
        <v>0</v>
      </c>
      <c r="V55" s="2">
        <f t="shared" si="148"/>
        <v>0</v>
      </c>
      <c r="W55" s="2">
        <f t="shared" si="148"/>
        <v>0</v>
      </c>
      <c r="X55" s="2">
        <f t="shared" si="148"/>
        <v>0</v>
      </c>
    </row>
    <row r="56" spans="3:24" x14ac:dyDescent="0.15">
      <c r="C56" s="2">
        <f t="shared" ref="C56:X56" si="149">BowlSplit(C18,RunsConceded)</f>
        <v>10</v>
      </c>
      <c r="D56" s="2">
        <f t="shared" si="149"/>
        <v>30</v>
      </c>
      <c r="E56" s="2">
        <f t="shared" si="149"/>
        <v>22</v>
      </c>
      <c r="F56" s="2">
        <f t="shared" si="149"/>
        <v>0</v>
      </c>
      <c r="G56" s="2">
        <f t="shared" si="149"/>
        <v>10</v>
      </c>
      <c r="H56" s="2">
        <f t="shared" si="149"/>
        <v>23</v>
      </c>
      <c r="I56" s="2">
        <f t="shared" si="149"/>
        <v>0</v>
      </c>
      <c r="J56" s="2">
        <f t="shared" si="149"/>
        <v>0</v>
      </c>
      <c r="K56" s="2">
        <f t="shared" si="149"/>
        <v>41</v>
      </c>
      <c r="L56" s="2">
        <f t="shared" si="149"/>
        <v>0</v>
      </c>
      <c r="M56" s="2">
        <f t="shared" si="149"/>
        <v>0</v>
      </c>
      <c r="N56" s="2">
        <f t="shared" si="149"/>
        <v>34</v>
      </c>
      <c r="O56" s="2">
        <f t="shared" si="149"/>
        <v>0</v>
      </c>
      <c r="P56" s="2">
        <f t="shared" si="149"/>
        <v>0</v>
      </c>
      <c r="Q56" s="2">
        <f t="shared" si="149"/>
        <v>0</v>
      </c>
      <c r="R56" s="2">
        <f t="shared" si="149"/>
        <v>0</v>
      </c>
      <c r="S56" s="2">
        <f t="shared" si="149"/>
        <v>0</v>
      </c>
      <c r="T56" s="2">
        <f t="shared" si="149"/>
        <v>0</v>
      </c>
      <c r="U56" s="2">
        <f t="shared" si="149"/>
        <v>0</v>
      </c>
      <c r="V56" s="2">
        <f t="shared" si="149"/>
        <v>23</v>
      </c>
      <c r="W56" s="2">
        <f t="shared" si="149"/>
        <v>0</v>
      </c>
      <c r="X56" s="2">
        <f t="shared" si="149"/>
        <v>0</v>
      </c>
    </row>
    <row r="57" spans="3:24" x14ac:dyDescent="0.15">
      <c r="C57" s="2">
        <f t="shared" ref="C57:X57" si="150">BowlSplit(C19,RunsConceded)</f>
        <v>9</v>
      </c>
      <c r="D57" s="2">
        <f t="shared" si="150"/>
        <v>18</v>
      </c>
      <c r="E57" s="2">
        <f t="shared" si="150"/>
        <v>16</v>
      </c>
      <c r="F57" s="2">
        <f t="shared" si="150"/>
        <v>0</v>
      </c>
      <c r="G57" s="2">
        <f t="shared" si="150"/>
        <v>17</v>
      </c>
      <c r="H57" s="2">
        <f t="shared" si="150"/>
        <v>0</v>
      </c>
      <c r="I57" s="2">
        <f t="shared" si="150"/>
        <v>4</v>
      </c>
      <c r="J57" s="2">
        <f t="shared" si="150"/>
        <v>13</v>
      </c>
      <c r="K57" s="2">
        <f t="shared" si="150"/>
        <v>0</v>
      </c>
      <c r="L57" s="2">
        <f t="shared" si="150"/>
        <v>15</v>
      </c>
      <c r="M57" s="2">
        <f t="shared" si="150"/>
        <v>41</v>
      </c>
      <c r="N57" s="2">
        <f t="shared" si="150"/>
        <v>15</v>
      </c>
      <c r="O57" s="2">
        <f t="shared" si="150"/>
        <v>42</v>
      </c>
      <c r="P57" s="2">
        <f t="shared" si="150"/>
        <v>33</v>
      </c>
      <c r="Q57" s="2">
        <f t="shared" si="150"/>
        <v>23</v>
      </c>
      <c r="R57" s="2">
        <f t="shared" si="150"/>
        <v>0</v>
      </c>
      <c r="S57" s="2">
        <f t="shared" si="150"/>
        <v>16</v>
      </c>
      <c r="T57" s="2">
        <f t="shared" si="150"/>
        <v>26</v>
      </c>
      <c r="U57" s="2">
        <f t="shared" si="150"/>
        <v>18</v>
      </c>
      <c r="V57" s="2">
        <f t="shared" si="150"/>
        <v>46</v>
      </c>
      <c r="W57" s="2">
        <f t="shared" si="150"/>
        <v>0</v>
      </c>
      <c r="X57" s="2">
        <f t="shared" si="150"/>
        <v>10</v>
      </c>
    </row>
    <row r="58" spans="3:24" x14ac:dyDescent="0.15">
      <c r="C58" s="2">
        <f t="shared" ref="C58:X58" si="151">BowlSplit(C20,RunsConceded)</f>
        <v>0</v>
      </c>
      <c r="D58" s="2">
        <f t="shared" si="151"/>
        <v>28</v>
      </c>
      <c r="E58" s="2">
        <f t="shared" si="151"/>
        <v>0</v>
      </c>
      <c r="F58" s="2">
        <f t="shared" si="151"/>
        <v>0</v>
      </c>
      <c r="G58" s="2">
        <f t="shared" si="151"/>
        <v>0</v>
      </c>
      <c r="H58" s="2">
        <f t="shared" si="151"/>
        <v>0</v>
      </c>
      <c r="I58" s="2">
        <f t="shared" si="151"/>
        <v>0</v>
      </c>
      <c r="J58" s="2">
        <f t="shared" si="151"/>
        <v>0</v>
      </c>
      <c r="K58" s="2">
        <f t="shared" si="151"/>
        <v>0</v>
      </c>
      <c r="L58" s="2">
        <f t="shared" si="151"/>
        <v>0</v>
      </c>
      <c r="M58" s="2">
        <f t="shared" si="151"/>
        <v>0</v>
      </c>
      <c r="N58" s="2">
        <f t="shared" si="151"/>
        <v>0</v>
      </c>
      <c r="O58" s="2">
        <f t="shared" si="151"/>
        <v>0</v>
      </c>
      <c r="P58" s="2">
        <f t="shared" si="151"/>
        <v>0</v>
      </c>
      <c r="Q58" s="2">
        <f t="shared" si="151"/>
        <v>0</v>
      </c>
      <c r="R58" s="2">
        <f t="shared" si="151"/>
        <v>0</v>
      </c>
      <c r="S58" s="2">
        <f t="shared" si="151"/>
        <v>0</v>
      </c>
      <c r="T58" s="2">
        <f t="shared" si="151"/>
        <v>0</v>
      </c>
      <c r="U58" s="2">
        <f t="shared" si="151"/>
        <v>0</v>
      </c>
      <c r="V58" s="2">
        <f t="shared" si="151"/>
        <v>0</v>
      </c>
      <c r="W58" s="2">
        <f t="shared" si="151"/>
        <v>0</v>
      </c>
      <c r="X58" s="2">
        <f t="shared" si="151"/>
        <v>0</v>
      </c>
    </row>
    <row r="59" spans="3:24" x14ac:dyDescent="0.15">
      <c r="C59" s="2">
        <f t="shared" ref="C59:X59" si="152">BowlSplit(C21,RunsConceded)</f>
        <v>21</v>
      </c>
      <c r="D59" s="2">
        <f t="shared" si="152"/>
        <v>0</v>
      </c>
      <c r="E59" s="2">
        <f t="shared" si="152"/>
        <v>0</v>
      </c>
      <c r="F59" s="2">
        <f t="shared" si="152"/>
        <v>0</v>
      </c>
      <c r="G59" s="2">
        <f t="shared" si="152"/>
        <v>0</v>
      </c>
      <c r="H59" s="2">
        <f t="shared" si="152"/>
        <v>0</v>
      </c>
      <c r="I59" s="2">
        <f t="shared" si="152"/>
        <v>0</v>
      </c>
      <c r="J59" s="2">
        <f t="shared" si="152"/>
        <v>0</v>
      </c>
      <c r="K59" s="2">
        <f t="shared" si="152"/>
        <v>0</v>
      </c>
      <c r="L59" s="2">
        <f t="shared" si="152"/>
        <v>0</v>
      </c>
      <c r="M59" s="2">
        <f t="shared" si="152"/>
        <v>0</v>
      </c>
      <c r="N59" s="2">
        <f t="shared" si="152"/>
        <v>0</v>
      </c>
      <c r="O59" s="2">
        <f t="shared" si="152"/>
        <v>0</v>
      </c>
      <c r="P59" s="2">
        <f t="shared" si="152"/>
        <v>0</v>
      </c>
      <c r="Q59" s="2">
        <f t="shared" si="152"/>
        <v>0</v>
      </c>
      <c r="R59" s="2">
        <f t="shared" si="152"/>
        <v>0</v>
      </c>
      <c r="S59" s="2">
        <f t="shared" si="152"/>
        <v>0</v>
      </c>
      <c r="T59" s="2">
        <f t="shared" si="152"/>
        <v>0</v>
      </c>
      <c r="U59" s="2">
        <f t="shared" si="152"/>
        <v>0</v>
      </c>
      <c r="V59" s="2">
        <f t="shared" si="152"/>
        <v>0</v>
      </c>
      <c r="W59" s="2">
        <f t="shared" si="152"/>
        <v>0</v>
      </c>
      <c r="X59" s="2">
        <f t="shared" si="152"/>
        <v>0</v>
      </c>
    </row>
    <row r="60" spans="3:24" x14ac:dyDescent="0.15">
      <c r="C60" s="2">
        <f t="shared" ref="C60:X60" si="153">BowlSplit(C22,RunsConceded)</f>
        <v>19</v>
      </c>
      <c r="D60" s="2">
        <f t="shared" si="153"/>
        <v>0</v>
      </c>
      <c r="E60" s="2">
        <f t="shared" si="153"/>
        <v>0</v>
      </c>
      <c r="F60" s="2">
        <f t="shared" si="153"/>
        <v>7</v>
      </c>
      <c r="G60" s="2">
        <f t="shared" si="153"/>
        <v>0</v>
      </c>
      <c r="H60" s="2">
        <f t="shared" si="153"/>
        <v>0</v>
      </c>
      <c r="I60" s="2">
        <f t="shared" si="153"/>
        <v>0</v>
      </c>
      <c r="J60" s="2">
        <f t="shared" si="153"/>
        <v>20</v>
      </c>
      <c r="K60" s="2">
        <f t="shared" si="153"/>
        <v>0</v>
      </c>
      <c r="L60" s="2">
        <f t="shared" si="153"/>
        <v>0</v>
      </c>
      <c r="M60" s="2">
        <f t="shared" si="153"/>
        <v>0</v>
      </c>
      <c r="N60" s="2">
        <f t="shared" si="153"/>
        <v>0</v>
      </c>
      <c r="O60" s="2">
        <f t="shared" si="153"/>
        <v>0</v>
      </c>
      <c r="P60" s="2">
        <f t="shared" si="153"/>
        <v>0</v>
      </c>
      <c r="Q60" s="2">
        <f t="shared" si="153"/>
        <v>0</v>
      </c>
      <c r="R60" s="2">
        <f t="shared" si="153"/>
        <v>0</v>
      </c>
      <c r="S60" s="2">
        <f t="shared" si="153"/>
        <v>0</v>
      </c>
      <c r="T60" s="2">
        <f t="shared" si="153"/>
        <v>0</v>
      </c>
      <c r="U60" s="2">
        <f t="shared" si="153"/>
        <v>0</v>
      </c>
      <c r="V60" s="2">
        <f t="shared" si="153"/>
        <v>0</v>
      </c>
      <c r="W60" s="2">
        <f t="shared" si="153"/>
        <v>0</v>
      </c>
      <c r="X60" s="2">
        <f t="shared" si="153"/>
        <v>0</v>
      </c>
    </row>
    <row r="61" spans="3:24" x14ac:dyDescent="0.15">
      <c r="C61" s="2">
        <f t="shared" ref="C61:X61" si="154">BowlSplit(C23,RunsConceded)</f>
        <v>0</v>
      </c>
      <c r="D61" s="2">
        <f t="shared" si="154"/>
        <v>0</v>
      </c>
      <c r="E61" s="2">
        <f t="shared" si="154"/>
        <v>0</v>
      </c>
      <c r="F61" s="2">
        <f t="shared" si="154"/>
        <v>14</v>
      </c>
      <c r="G61" s="2">
        <f t="shared" si="154"/>
        <v>0</v>
      </c>
      <c r="H61" s="2">
        <f t="shared" si="154"/>
        <v>0</v>
      </c>
      <c r="I61" s="2">
        <f t="shared" si="154"/>
        <v>0</v>
      </c>
      <c r="J61" s="2">
        <f t="shared" si="154"/>
        <v>0</v>
      </c>
      <c r="K61" s="2">
        <f t="shared" si="154"/>
        <v>0</v>
      </c>
      <c r="L61" s="2">
        <f t="shared" si="154"/>
        <v>0</v>
      </c>
      <c r="M61" s="2">
        <f t="shared" si="154"/>
        <v>15</v>
      </c>
      <c r="N61" s="2">
        <f t="shared" si="154"/>
        <v>0</v>
      </c>
      <c r="O61" s="2">
        <f t="shared" si="154"/>
        <v>0</v>
      </c>
      <c r="P61" s="2">
        <f t="shared" si="154"/>
        <v>0</v>
      </c>
      <c r="Q61" s="2">
        <f t="shared" si="154"/>
        <v>0</v>
      </c>
      <c r="R61" s="2">
        <f t="shared" si="154"/>
        <v>0</v>
      </c>
      <c r="S61" s="2">
        <f t="shared" si="154"/>
        <v>0</v>
      </c>
      <c r="T61" s="2">
        <f t="shared" si="154"/>
        <v>0</v>
      </c>
      <c r="U61" s="2">
        <f t="shared" si="154"/>
        <v>0</v>
      </c>
      <c r="V61" s="2">
        <f t="shared" si="154"/>
        <v>0</v>
      </c>
      <c r="W61" s="2">
        <f t="shared" si="154"/>
        <v>0</v>
      </c>
      <c r="X61" s="2">
        <f t="shared" si="154"/>
        <v>0</v>
      </c>
    </row>
    <row r="62" spans="3:24" x14ac:dyDescent="0.15">
      <c r="C62" s="2">
        <f t="shared" ref="C62:X62" si="155">BowlSplit(C24,RunsConceded)</f>
        <v>0</v>
      </c>
      <c r="D62" s="2">
        <f t="shared" si="155"/>
        <v>0</v>
      </c>
      <c r="E62" s="2">
        <f t="shared" si="155"/>
        <v>0</v>
      </c>
      <c r="F62" s="2">
        <f t="shared" si="155"/>
        <v>0</v>
      </c>
      <c r="G62" s="2">
        <f t="shared" si="155"/>
        <v>0</v>
      </c>
      <c r="H62" s="2">
        <f t="shared" si="155"/>
        <v>0</v>
      </c>
      <c r="I62" s="2">
        <f t="shared" si="155"/>
        <v>0</v>
      </c>
      <c r="J62" s="2">
        <f t="shared" si="155"/>
        <v>0</v>
      </c>
      <c r="K62" s="2">
        <f t="shared" si="155"/>
        <v>0</v>
      </c>
      <c r="L62" s="2">
        <f t="shared" si="155"/>
        <v>0</v>
      </c>
      <c r="M62" s="2">
        <f t="shared" si="155"/>
        <v>0</v>
      </c>
      <c r="N62" s="2">
        <f t="shared" si="155"/>
        <v>29</v>
      </c>
      <c r="O62" s="2">
        <f t="shared" si="155"/>
        <v>0</v>
      </c>
      <c r="P62" s="2">
        <f t="shared" si="155"/>
        <v>0</v>
      </c>
      <c r="Q62" s="2">
        <f t="shared" si="155"/>
        <v>0</v>
      </c>
      <c r="R62" s="2">
        <f t="shared" si="155"/>
        <v>0</v>
      </c>
      <c r="S62" s="2">
        <f t="shared" si="155"/>
        <v>0</v>
      </c>
      <c r="T62" s="2">
        <f t="shared" si="155"/>
        <v>0</v>
      </c>
      <c r="U62" s="2">
        <f t="shared" si="155"/>
        <v>26</v>
      </c>
      <c r="V62" s="2">
        <f t="shared" si="155"/>
        <v>21</v>
      </c>
      <c r="W62" s="2">
        <f t="shared" si="155"/>
        <v>0</v>
      </c>
      <c r="X62" s="2">
        <f t="shared" si="155"/>
        <v>0</v>
      </c>
    </row>
    <row r="63" spans="3:24" x14ac:dyDescent="0.15">
      <c r="C63" s="2">
        <f t="shared" ref="C63:X63" si="156">BowlSplit(C25,RunsConceded)</f>
        <v>0</v>
      </c>
      <c r="D63" s="2">
        <f t="shared" si="156"/>
        <v>0</v>
      </c>
      <c r="E63" s="2">
        <f t="shared" si="156"/>
        <v>18</v>
      </c>
      <c r="F63" s="2">
        <f t="shared" si="156"/>
        <v>0</v>
      </c>
      <c r="G63" s="2">
        <f t="shared" si="156"/>
        <v>0</v>
      </c>
      <c r="H63" s="2">
        <f t="shared" si="156"/>
        <v>0</v>
      </c>
      <c r="I63" s="2">
        <f t="shared" si="156"/>
        <v>0</v>
      </c>
      <c r="J63" s="2">
        <f t="shared" si="156"/>
        <v>36</v>
      </c>
      <c r="K63" s="2">
        <f t="shared" si="156"/>
        <v>0</v>
      </c>
      <c r="L63" s="2">
        <f t="shared" si="156"/>
        <v>0</v>
      </c>
      <c r="M63" s="2">
        <f t="shared" si="156"/>
        <v>24</v>
      </c>
      <c r="N63" s="2">
        <f t="shared" si="156"/>
        <v>8</v>
      </c>
      <c r="O63" s="2">
        <f t="shared" si="156"/>
        <v>15</v>
      </c>
      <c r="P63" s="2">
        <f t="shared" si="156"/>
        <v>15</v>
      </c>
      <c r="Q63" s="2">
        <f t="shared" si="156"/>
        <v>0</v>
      </c>
      <c r="R63" s="2">
        <f t="shared" si="156"/>
        <v>21</v>
      </c>
      <c r="S63" s="2">
        <f t="shared" si="156"/>
        <v>0</v>
      </c>
      <c r="T63" s="2">
        <f t="shared" si="156"/>
        <v>0</v>
      </c>
      <c r="U63" s="2">
        <f t="shared" si="156"/>
        <v>5</v>
      </c>
      <c r="V63" s="2">
        <f t="shared" si="156"/>
        <v>0</v>
      </c>
      <c r="W63" s="2">
        <f t="shared" si="156"/>
        <v>3</v>
      </c>
      <c r="X63" s="2">
        <f t="shared" si="156"/>
        <v>0</v>
      </c>
    </row>
    <row r="64" spans="3:24" x14ac:dyDescent="0.15">
      <c r="C64" s="2">
        <f t="shared" ref="C64:X64" si="157">BowlSplit(C26,RunsConceded)</f>
        <v>26</v>
      </c>
      <c r="D64" s="2">
        <f t="shared" si="157"/>
        <v>0</v>
      </c>
      <c r="E64" s="2">
        <f t="shared" si="157"/>
        <v>39</v>
      </c>
      <c r="F64" s="2">
        <f t="shared" si="157"/>
        <v>42</v>
      </c>
      <c r="G64" s="2">
        <f t="shared" si="157"/>
        <v>41</v>
      </c>
      <c r="H64" s="2">
        <f t="shared" si="157"/>
        <v>27</v>
      </c>
      <c r="I64" s="2">
        <f t="shared" si="157"/>
        <v>23</v>
      </c>
      <c r="J64" s="2">
        <f t="shared" si="157"/>
        <v>36</v>
      </c>
      <c r="K64" s="2">
        <f t="shared" si="157"/>
        <v>25</v>
      </c>
      <c r="L64" s="2">
        <f t="shared" si="157"/>
        <v>34</v>
      </c>
      <c r="M64" s="2">
        <f t="shared" si="157"/>
        <v>28</v>
      </c>
      <c r="N64" s="2">
        <f t="shared" si="157"/>
        <v>65</v>
      </c>
      <c r="O64" s="2">
        <f t="shared" si="157"/>
        <v>20</v>
      </c>
      <c r="P64" s="2">
        <f t="shared" si="157"/>
        <v>34</v>
      </c>
      <c r="Q64" s="2">
        <f t="shared" si="157"/>
        <v>27</v>
      </c>
      <c r="R64" s="2">
        <f t="shared" si="157"/>
        <v>49</v>
      </c>
      <c r="S64" s="2">
        <f t="shared" si="157"/>
        <v>24</v>
      </c>
      <c r="T64" s="2">
        <f t="shared" si="157"/>
        <v>40</v>
      </c>
      <c r="U64" s="2">
        <f t="shared" si="157"/>
        <v>45</v>
      </c>
      <c r="V64" s="2">
        <f t="shared" si="157"/>
        <v>45</v>
      </c>
      <c r="W64" s="2">
        <f t="shared" si="157"/>
        <v>48</v>
      </c>
      <c r="X64" s="2">
        <f t="shared" si="157"/>
        <v>0</v>
      </c>
    </row>
    <row r="65" spans="3:24" x14ac:dyDescent="0.15">
      <c r="C65" s="2">
        <f t="shared" ref="C65:X65" si="158">BowlSplit(C27,RunsConceded)</f>
        <v>0</v>
      </c>
      <c r="D65" s="2">
        <f t="shared" si="158"/>
        <v>8</v>
      </c>
      <c r="E65" s="2">
        <f t="shared" si="158"/>
        <v>0</v>
      </c>
      <c r="F65" s="2">
        <f t="shared" si="158"/>
        <v>0</v>
      </c>
      <c r="G65" s="2">
        <f t="shared" si="158"/>
        <v>0</v>
      </c>
      <c r="H65" s="2">
        <f t="shared" si="158"/>
        <v>0</v>
      </c>
      <c r="I65" s="2">
        <f t="shared" si="158"/>
        <v>0</v>
      </c>
      <c r="J65" s="2">
        <f t="shared" si="158"/>
        <v>0</v>
      </c>
      <c r="K65" s="2">
        <f t="shared" si="158"/>
        <v>0</v>
      </c>
      <c r="L65" s="2">
        <f t="shared" si="158"/>
        <v>0</v>
      </c>
      <c r="M65" s="2">
        <f t="shared" si="158"/>
        <v>0</v>
      </c>
      <c r="N65" s="2">
        <f t="shared" si="158"/>
        <v>0</v>
      </c>
      <c r="O65" s="2">
        <f t="shared" si="158"/>
        <v>0</v>
      </c>
      <c r="P65" s="2">
        <f t="shared" si="158"/>
        <v>0</v>
      </c>
      <c r="Q65" s="2">
        <f t="shared" si="158"/>
        <v>12</v>
      </c>
      <c r="R65" s="2">
        <f t="shared" si="158"/>
        <v>0</v>
      </c>
      <c r="S65" s="2">
        <f t="shared" si="158"/>
        <v>0</v>
      </c>
      <c r="T65" s="2">
        <f t="shared" si="158"/>
        <v>0</v>
      </c>
      <c r="U65" s="2">
        <f t="shared" si="158"/>
        <v>0</v>
      </c>
      <c r="V65" s="2">
        <f t="shared" si="158"/>
        <v>0</v>
      </c>
      <c r="W65" s="2">
        <f t="shared" si="158"/>
        <v>0</v>
      </c>
      <c r="X65" s="2">
        <f t="shared" si="158"/>
        <v>0</v>
      </c>
    </row>
    <row r="66" spans="3:24" x14ac:dyDescent="0.15">
      <c r="C66" s="2">
        <f t="shared" ref="C66:X66" si="159">BowlSplit(C28,RunsConceded)</f>
        <v>0</v>
      </c>
      <c r="D66" s="2">
        <f t="shared" si="159"/>
        <v>0</v>
      </c>
      <c r="E66" s="2">
        <f t="shared" si="159"/>
        <v>0</v>
      </c>
      <c r="F66" s="2">
        <f t="shared" si="159"/>
        <v>14</v>
      </c>
      <c r="G66" s="2">
        <f t="shared" si="159"/>
        <v>0</v>
      </c>
      <c r="H66" s="2">
        <f t="shared" si="159"/>
        <v>0</v>
      </c>
      <c r="I66" s="2">
        <f t="shared" si="159"/>
        <v>0</v>
      </c>
      <c r="J66" s="2">
        <f t="shared" si="159"/>
        <v>0</v>
      </c>
      <c r="K66" s="2">
        <f t="shared" si="159"/>
        <v>9</v>
      </c>
      <c r="L66" s="2">
        <f t="shared" si="159"/>
        <v>0</v>
      </c>
      <c r="M66" s="2">
        <f t="shared" si="159"/>
        <v>0</v>
      </c>
      <c r="N66" s="2">
        <f t="shared" si="159"/>
        <v>0</v>
      </c>
      <c r="O66" s="2">
        <f t="shared" si="159"/>
        <v>0</v>
      </c>
      <c r="P66" s="2">
        <f t="shared" si="159"/>
        <v>0</v>
      </c>
      <c r="Q66" s="2">
        <f t="shared" si="159"/>
        <v>0</v>
      </c>
      <c r="R66" s="2">
        <f t="shared" si="159"/>
        <v>0</v>
      </c>
      <c r="S66" s="2">
        <f t="shared" si="159"/>
        <v>0</v>
      </c>
      <c r="T66" s="2">
        <f t="shared" si="159"/>
        <v>0</v>
      </c>
      <c r="U66" s="2">
        <f t="shared" si="159"/>
        <v>0</v>
      </c>
      <c r="V66" s="2">
        <f t="shared" si="159"/>
        <v>0</v>
      </c>
      <c r="W66" s="2">
        <f t="shared" si="159"/>
        <v>7</v>
      </c>
      <c r="X66" s="2">
        <f t="shared" si="159"/>
        <v>0</v>
      </c>
    </row>
    <row r="67" spans="3:24" x14ac:dyDescent="0.15">
      <c r="C67" s="2">
        <f t="shared" ref="C67:X67" si="160">BowlSplit(C29,RunsConceded)</f>
        <v>9</v>
      </c>
      <c r="D67" s="2">
        <f t="shared" si="160"/>
        <v>0</v>
      </c>
      <c r="E67" s="2">
        <f t="shared" si="160"/>
        <v>26</v>
      </c>
      <c r="F67" s="2">
        <f t="shared" si="160"/>
        <v>15</v>
      </c>
      <c r="G67" s="2">
        <f t="shared" si="160"/>
        <v>27</v>
      </c>
      <c r="H67" s="2">
        <f t="shared" si="160"/>
        <v>17</v>
      </c>
      <c r="I67" s="2">
        <f t="shared" si="160"/>
        <v>13</v>
      </c>
      <c r="J67" s="2">
        <f t="shared" si="160"/>
        <v>0</v>
      </c>
      <c r="K67" s="2">
        <f t="shared" si="160"/>
        <v>0</v>
      </c>
      <c r="L67" s="2">
        <f t="shared" si="160"/>
        <v>22</v>
      </c>
      <c r="M67" s="2">
        <f t="shared" si="160"/>
        <v>21</v>
      </c>
      <c r="N67" s="2">
        <f t="shared" si="160"/>
        <v>0</v>
      </c>
      <c r="O67" s="2">
        <f t="shared" si="160"/>
        <v>35</v>
      </c>
      <c r="P67" s="2">
        <f t="shared" si="160"/>
        <v>0</v>
      </c>
      <c r="Q67" s="2">
        <f t="shared" si="160"/>
        <v>0</v>
      </c>
      <c r="R67" s="2">
        <f t="shared" si="160"/>
        <v>25</v>
      </c>
      <c r="S67" s="2">
        <f t="shared" si="160"/>
        <v>31</v>
      </c>
      <c r="T67" s="2">
        <f t="shared" si="160"/>
        <v>35</v>
      </c>
      <c r="U67" s="2">
        <f t="shared" si="160"/>
        <v>0</v>
      </c>
      <c r="V67" s="2">
        <f t="shared" si="160"/>
        <v>37</v>
      </c>
      <c r="W67" s="2">
        <f t="shared" si="160"/>
        <v>21</v>
      </c>
      <c r="X67" s="2">
        <f t="shared" si="160"/>
        <v>2</v>
      </c>
    </row>
    <row r="68" spans="3:24" x14ac:dyDescent="0.15">
      <c r="C68" s="2">
        <f t="shared" ref="C68:X68" si="161">BowlSplit(C30,RunsConceded)</f>
        <v>0</v>
      </c>
      <c r="D68" s="2">
        <f t="shared" si="161"/>
        <v>0</v>
      </c>
      <c r="E68" s="2">
        <f t="shared" si="161"/>
        <v>0</v>
      </c>
      <c r="F68" s="2">
        <f t="shared" si="161"/>
        <v>0</v>
      </c>
      <c r="G68" s="2">
        <f t="shared" si="161"/>
        <v>0</v>
      </c>
      <c r="H68" s="2">
        <f t="shared" si="161"/>
        <v>0</v>
      </c>
      <c r="I68" s="2">
        <f t="shared" si="161"/>
        <v>0</v>
      </c>
      <c r="J68" s="2">
        <f t="shared" si="161"/>
        <v>0</v>
      </c>
      <c r="K68" s="2">
        <f t="shared" si="161"/>
        <v>0</v>
      </c>
      <c r="L68" s="2">
        <f t="shared" si="161"/>
        <v>0</v>
      </c>
      <c r="M68" s="2">
        <f t="shared" si="161"/>
        <v>34</v>
      </c>
      <c r="N68" s="2">
        <f t="shared" si="161"/>
        <v>0</v>
      </c>
      <c r="O68" s="2">
        <f t="shared" si="161"/>
        <v>0</v>
      </c>
      <c r="P68" s="2">
        <f t="shared" si="161"/>
        <v>0</v>
      </c>
      <c r="Q68" s="2">
        <f t="shared" si="161"/>
        <v>0</v>
      </c>
      <c r="R68" s="2">
        <f t="shared" si="161"/>
        <v>0</v>
      </c>
      <c r="S68" s="2">
        <f t="shared" si="161"/>
        <v>0</v>
      </c>
      <c r="T68" s="2">
        <f t="shared" si="161"/>
        <v>0</v>
      </c>
      <c r="U68" s="2">
        <f t="shared" si="161"/>
        <v>0</v>
      </c>
      <c r="V68" s="2">
        <f t="shared" si="161"/>
        <v>0</v>
      </c>
      <c r="W68" s="2">
        <f t="shared" si="161"/>
        <v>0</v>
      </c>
      <c r="X68" s="2">
        <f t="shared" si="161"/>
        <v>0</v>
      </c>
    </row>
    <row r="69" spans="3:24" x14ac:dyDescent="0.15">
      <c r="C69" s="2">
        <f t="shared" ref="C69:X69" si="162">BowlSplit(C31,RunsConceded)</f>
        <v>31</v>
      </c>
      <c r="D69" s="2">
        <f t="shared" si="162"/>
        <v>0</v>
      </c>
      <c r="E69" s="2">
        <f t="shared" si="162"/>
        <v>0</v>
      </c>
      <c r="F69" s="2">
        <f t="shared" si="162"/>
        <v>40</v>
      </c>
      <c r="G69" s="2">
        <f t="shared" si="162"/>
        <v>0</v>
      </c>
      <c r="H69" s="2">
        <f t="shared" si="162"/>
        <v>0</v>
      </c>
      <c r="I69" s="2">
        <f t="shared" si="162"/>
        <v>0</v>
      </c>
      <c r="J69" s="2">
        <f t="shared" si="162"/>
        <v>0</v>
      </c>
      <c r="K69" s="2">
        <f t="shared" si="162"/>
        <v>0</v>
      </c>
      <c r="L69" s="2">
        <f t="shared" si="162"/>
        <v>0</v>
      </c>
      <c r="M69" s="2">
        <f t="shared" si="162"/>
        <v>0</v>
      </c>
      <c r="N69" s="2">
        <f t="shared" si="162"/>
        <v>0</v>
      </c>
      <c r="O69" s="2">
        <f t="shared" si="162"/>
        <v>0</v>
      </c>
      <c r="P69" s="2">
        <f t="shared" si="162"/>
        <v>0</v>
      </c>
      <c r="Q69" s="2">
        <f t="shared" si="162"/>
        <v>0</v>
      </c>
      <c r="R69" s="2">
        <f t="shared" si="162"/>
        <v>0</v>
      </c>
      <c r="S69" s="2">
        <f t="shared" si="162"/>
        <v>0</v>
      </c>
      <c r="T69" s="2">
        <f t="shared" si="162"/>
        <v>0</v>
      </c>
      <c r="U69" s="2">
        <f t="shared" si="162"/>
        <v>0</v>
      </c>
      <c r="V69" s="2">
        <f t="shared" si="162"/>
        <v>0</v>
      </c>
      <c r="W69" s="2">
        <f t="shared" si="162"/>
        <v>0</v>
      </c>
      <c r="X69" s="2">
        <f t="shared" si="162"/>
        <v>0</v>
      </c>
    </row>
    <row r="70" spans="3:24" x14ac:dyDescent="0.15">
      <c r="C70" s="2">
        <f t="shared" ref="C70:X70" si="163">BowlSplit(C32,RunsConceded)</f>
        <v>0</v>
      </c>
      <c r="D70" s="2">
        <f t="shared" si="163"/>
        <v>0</v>
      </c>
      <c r="E70" s="2">
        <f t="shared" si="163"/>
        <v>0</v>
      </c>
      <c r="F70" s="2">
        <f t="shared" si="163"/>
        <v>0</v>
      </c>
      <c r="G70" s="2">
        <f t="shared" si="163"/>
        <v>0</v>
      </c>
      <c r="H70" s="2">
        <f t="shared" si="163"/>
        <v>0</v>
      </c>
      <c r="I70" s="2">
        <f t="shared" si="163"/>
        <v>0</v>
      </c>
      <c r="J70" s="2">
        <f t="shared" si="163"/>
        <v>0</v>
      </c>
      <c r="K70" s="2">
        <f t="shared" si="163"/>
        <v>17</v>
      </c>
      <c r="L70" s="2">
        <f t="shared" si="163"/>
        <v>0</v>
      </c>
      <c r="M70" s="2">
        <f t="shared" si="163"/>
        <v>0</v>
      </c>
      <c r="N70" s="2">
        <f t="shared" si="163"/>
        <v>35</v>
      </c>
      <c r="O70" s="2">
        <f t="shared" si="163"/>
        <v>20</v>
      </c>
      <c r="P70" s="2">
        <f t="shared" si="163"/>
        <v>56</v>
      </c>
      <c r="Q70" s="2">
        <f t="shared" si="163"/>
        <v>0</v>
      </c>
      <c r="R70" s="2">
        <f t="shared" si="163"/>
        <v>0</v>
      </c>
      <c r="S70" s="2">
        <f t="shared" si="163"/>
        <v>0</v>
      </c>
      <c r="T70" s="2">
        <f t="shared" si="163"/>
        <v>27</v>
      </c>
      <c r="U70" s="2">
        <f t="shared" si="163"/>
        <v>0</v>
      </c>
      <c r="V70" s="2">
        <f t="shared" si="163"/>
        <v>0</v>
      </c>
      <c r="W70" s="2">
        <f t="shared" si="163"/>
        <v>0</v>
      </c>
      <c r="X70" s="2">
        <f t="shared" si="163"/>
        <v>0</v>
      </c>
    </row>
    <row r="71" spans="3:24" x14ac:dyDescent="0.15">
      <c r="C71" s="2">
        <f t="shared" ref="C71:X71" si="164">BowlSplit(C33,RunsConceded)</f>
        <v>0</v>
      </c>
      <c r="D71" s="2">
        <f t="shared" si="164"/>
        <v>0</v>
      </c>
      <c r="E71" s="2">
        <f t="shared" si="164"/>
        <v>0</v>
      </c>
      <c r="F71" s="2">
        <f t="shared" si="164"/>
        <v>0</v>
      </c>
      <c r="G71" s="2">
        <f t="shared" si="164"/>
        <v>0</v>
      </c>
      <c r="H71" s="2">
        <f t="shared" si="164"/>
        <v>0</v>
      </c>
      <c r="I71" s="2">
        <f t="shared" si="164"/>
        <v>0</v>
      </c>
      <c r="J71" s="2">
        <f t="shared" si="164"/>
        <v>0</v>
      </c>
      <c r="K71" s="2">
        <f t="shared" si="164"/>
        <v>0</v>
      </c>
      <c r="L71" s="2">
        <f t="shared" si="164"/>
        <v>0</v>
      </c>
      <c r="M71" s="2">
        <f t="shared" si="164"/>
        <v>0</v>
      </c>
      <c r="N71" s="2">
        <f t="shared" si="164"/>
        <v>0</v>
      </c>
      <c r="O71" s="2">
        <f t="shared" si="164"/>
        <v>25</v>
      </c>
      <c r="P71" s="2">
        <f t="shared" si="164"/>
        <v>0</v>
      </c>
      <c r="Q71" s="2">
        <f t="shared" si="164"/>
        <v>0</v>
      </c>
      <c r="R71" s="2">
        <f t="shared" si="164"/>
        <v>0</v>
      </c>
      <c r="S71" s="2">
        <f t="shared" si="164"/>
        <v>0</v>
      </c>
      <c r="T71" s="2">
        <f t="shared" si="164"/>
        <v>0</v>
      </c>
      <c r="U71" s="2">
        <f t="shared" si="164"/>
        <v>0</v>
      </c>
      <c r="V71" s="2">
        <f t="shared" si="164"/>
        <v>0</v>
      </c>
      <c r="W71" s="2">
        <f t="shared" si="164"/>
        <v>0</v>
      </c>
      <c r="X71" s="2">
        <f t="shared" si="164"/>
        <v>0</v>
      </c>
    </row>
  </sheetData>
  <phoneticPr fontId="0" type="noConversion"/>
  <conditionalFormatting sqref="AG71:AG80 AU43:BB60 AS43:AT68 AT43:AT70">
    <cfRule type="cellIs" dxfId="2" priority="11" operator="greaterThan">
      <formula>5</formula>
    </cfRule>
  </conditionalFormatting>
  <conditionalFormatting sqref="C41:CC41">
    <cfRule type="cellIs" dxfId="1" priority="12" stopIfTrue="1" operator="notEqual">
      <formula>C39</formula>
    </cfRule>
  </conditionalFormatting>
  <conditionalFormatting sqref="F43:X71">
    <cfRule type="top10" dxfId="0" priority="1" percent="1" rank="2"/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zoomScaleNormal="100" workbookViewId="0"/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138</v>
      </c>
      <c r="C1" s="72" t="s">
        <v>5</v>
      </c>
      <c r="D1" s="72" t="s">
        <v>7</v>
      </c>
      <c r="E1" s="72" t="s">
        <v>8</v>
      </c>
      <c r="F1" s="72" t="s">
        <v>139</v>
      </c>
      <c r="G1" s="72" t="s">
        <v>9</v>
      </c>
      <c r="H1" s="77" t="s">
        <v>10</v>
      </c>
      <c r="J1" s="72"/>
      <c r="L1" s="68" t="s">
        <v>213</v>
      </c>
      <c r="M1" s="68">
        <f t="array" aca="1" ref="M1" ca="1">SUM(IF(NOT(ISNA(B2:B60)),1,0))</f>
        <v>40</v>
      </c>
      <c r="N1" s="128"/>
      <c r="O1" s="131" t="s">
        <v>81</v>
      </c>
      <c r="P1" s="129" t="s">
        <v>7</v>
      </c>
      <c r="Q1" s="129" t="s">
        <v>226</v>
      </c>
      <c r="R1" s="129" t="s">
        <v>139</v>
      </c>
      <c r="S1" s="129" t="s">
        <v>9</v>
      </c>
      <c r="T1" s="129" t="s">
        <v>36</v>
      </c>
    </row>
    <row r="2" spans="1:23" ht="12.75" x14ac:dyDescent="0.15">
      <c r="A2" s="68">
        <v>1</v>
      </c>
      <c r="B2" s="68" t="str">
        <f ca="1">OFFSET(Batting!$C$4,BatAves!$I2,0)</f>
        <v>Springer T</v>
      </c>
      <c r="C2" s="72">
        <f ca="1">OFFSET(Batting!$CE$4,BatAves!$I2,0)</f>
        <v>15</v>
      </c>
      <c r="D2" s="72">
        <f ca="1">OFFSET(Batting!$CG$4,BatAves!$I2,0)</f>
        <v>14</v>
      </c>
      <c r="E2" s="72">
        <f ca="1">OFFSET(Batting!$CH$4,BatAves!$I2,0)</f>
        <v>3</v>
      </c>
      <c r="F2" s="72">
        <f ca="1">OFFSET(Batting!$CJ$4,BatAves!$I2,0)</f>
        <v>102</v>
      </c>
      <c r="G2" s="72">
        <f ca="1">OFFSET(Batting!$CK$4,BatAves!$I2,0)</f>
        <v>531</v>
      </c>
      <c r="H2" s="76">
        <f ca="1">OFFSET(Batting!$CL$4,BatAves!$I2,0)</f>
        <v>48.272727272727273</v>
      </c>
      <c r="I2" s="68">
        <f>MATCH(A2,Batting!$DF$5:$DF$44,0)</f>
        <v>33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28">
        <v>1</v>
      </c>
      <c r="O2" s="128" t="str">
        <f ca="1">OFFSET(B$1,$M2,0)</f>
        <v>Springer T</v>
      </c>
      <c r="P2" s="128">
        <f ca="1">OFFSET(D$1,$M2,0)</f>
        <v>14</v>
      </c>
      <c r="Q2" s="128">
        <f ca="1">OFFSET(E$1,$M2,0)</f>
        <v>3</v>
      </c>
      <c r="R2" s="128">
        <f ca="1">OFFSET(F$1,$M2,0)</f>
        <v>102</v>
      </c>
      <c r="S2" s="128">
        <f ca="1">OFFSET(G$1,$M2,0)</f>
        <v>531</v>
      </c>
      <c r="T2" s="130">
        <f ca="1">OFFSET(H$1,$M2,0)</f>
        <v>48.272727272727273</v>
      </c>
      <c r="U2" s="72"/>
      <c r="V2" s="68" t="s">
        <v>212</v>
      </c>
      <c r="W2" s="68" t="s">
        <v>212</v>
      </c>
    </row>
    <row r="3" spans="1:23" ht="12.75" x14ac:dyDescent="0.15">
      <c r="A3" s="68">
        <v>2</v>
      </c>
      <c r="B3" s="68" t="str">
        <f ca="1">OFFSET(Batting!$C$4,BatAves!$I3,0)</f>
        <v>Middleton J</v>
      </c>
      <c r="C3" s="72">
        <f ca="1">OFFSET(Batting!$CE$4,BatAves!$I3,0)</f>
        <v>22</v>
      </c>
      <c r="D3" s="72">
        <f ca="1">OFFSET(Batting!$CG$4,BatAves!$I3,0)</f>
        <v>17</v>
      </c>
      <c r="E3" s="72">
        <f ca="1">OFFSET(Batting!$CH$4,BatAves!$I3,0)</f>
        <v>7</v>
      </c>
      <c r="F3" s="72" t="str">
        <f ca="1">OFFSET(Batting!$CJ$4,BatAves!$I3,0)</f>
        <v>54*</v>
      </c>
      <c r="G3" s="72">
        <f ca="1">OFFSET(Batting!$CK$4,BatAves!$I3,0)</f>
        <v>479</v>
      </c>
      <c r="H3" s="76">
        <f ca="1">OFFSET(Batting!$CL$4,BatAves!$I3,0)</f>
        <v>47.9</v>
      </c>
      <c r="I3" s="68">
        <f>MATCH(A3,Batting!$DF$5:$DF$44,0)</f>
        <v>22</v>
      </c>
      <c r="J3" s="68">
        <f t="shared" ref="J3:J60" ca="1" si="0">IF(D3&gt;=5,A3,1000+A3)</f>
        <v>2</v>
      </c>
      <c r="K3" s="68">
        <f t="shared" ref="K3:K60" ca="1" si="1">RANK(J3,OFFSET($J$2,0,0,$M$1,1),-1)</f>
        <v>2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2</v>
      </c>
      <c r="N3" s="128">
        <v>2</v>
      </c>
      <c r="O3" s="128" t="str">
        <f t="shared" ref="O3:O43" ca="1" si="3">OFFSET(B$1,$M3,0)</f>
        <v>Middleton J</v>
      </c>
      <c r="P3" s="128">
        <f t="shared" ref="P3:P43" ca="1" si="4">OFFSET(D$1,$M3,0)</f>
        <v>17</v>
      </c>
      <c r="Q3" s="128">
        <f t="shared" ref="Q3:Q43" ca="1" si="5">OFFSET(E$1,$M3,0)</f>
        <v>7</v>
      </c>
      <c r="R3" s="128" t="str">
        <f t="shared" ref="R3:R43" ca="1" si="6">OFFSET(F$1,$M3,0)</f>
        <v>54*</v>
      </c>
      <c r="S3" s="128">
        <f t="shared" ref="S3:S43" ca="1" si="7">OFFSET(G$1,$M3,0)</f>
        <v>479</v>
      </c>
      <c r="T3" s="130">
        <f t="shared" ref="T3:T43" ca="1" si="8">OFFSET(H$1,$M3,0)</f>
        <v>47.9</v>
      </c>
      <c r="V3" s="68" t="s">
        <v>212</v>
      </c>
      <c r="W3" s="68" t="s">
        <v>212</v>
      </c>
    </row>
    <row r="4" spans="1:23" ht="12.75" x14ac:dyDescent="0.15">
      <c r="A4" s="68">
        <v>3</v>
      </c>
      <c r="B4" s="68" t="str">
        <f ca="1">OFFSET(Batting!$C$4,BatAves!$I4,0)</f>
        <v>Sharpe D</v>
      </c>
      <c r="C4" s="72">
        <f ca="1">OFFSET(Batting!$CE$4,BatAves!$I4,0)</f>
        <v>12</v>
      </c>
      <c r="D4" s="72">
        <f ca="1">OFFSET(Batting!$CG$4,BatAves!$I4,0)</f>
        <v>12</v>
      </c>
      <c r="E4" s="72">
        <f ca="1">OFFSET(Batting!$CH$4,BatAves!$I4,0)</f>
        <v>2</v>
      </c>
      <c r="F4" s="72" t="str">
        <f ca="1">OFFSET(Batting!$CJ$4,BatAves!$I4,0)</f>
        <v>94*</v>
      </c>
      <c r="G4" s="72">
        <f ca="1">OFFSET(Batting!$CK$4,BatAves!$I4,0)</f>
        <v>471</v>
      </c>
      <c r="H4" s="76">
        <f ca="1">OFFSET(Batting!$CL$4,BatAves!$I4,0)</f>
        <v>47.1</v>
      </c>
      <c r="I4" s="68">
        <f>MATCH(A4,Batting!$DF$5:$DF$44,0)</f>
        <v>30</v>
      </c>
      <c r="J4" s="68">
        <f t="shared" ca="1" si="0"/>
        <v>3</v>
      </c>
      <c r="K4" s="68">
        <f t="shared" ca="1" si="1"/>
        <v>3</v>
      </c>
      <c r="L4" s="68" t="str">
        <f t="shared" ca="1" si="2"/>
        <v/>
      </c>
      <c r="M4" s="68">
        <f t="shared" ref="M4:M43" ca="1" si="9">MATCH(N4,OFFSET($K$2,0,0,$M$1,1),0)</f>
        <v>3</v>
      </c>
      <c r="N4" s="128">
        <v>3</v>
      </c>
      <c r="O4" s="128" t="str">
        <f t="shared" ca="1" si="3"/>
        <v>Sharpe D</v>
      </c>
      <c r="P4" s="128">
        <f t="shared" ca="1" si="4"/>
        <v>12</v>
      </c>
      <c r="Q4" s="128">
        <f t="shared" ca="1" si="5"/>
        <v>2</v>
      </c>
      <c r="R4" s="128" t="str">
        <f t="shared" ca="1" si="6"/>
        <v>94*</v>
      </c>
      <c r="S4" s="128">
        <f t="shared" ca="1" si="7"/>
        <v>471</v>
      </c>
      <c r="T4" s="130">
        <f t="shared" ca="1" si="8"/>
        <v>47.1</v>
      </c>
      <c r="V4" s="68" t="s">
        <v>212</v>
      </c>
      <c r="W4" s="68" t="s">
        <v>212</v>
      </c>
    </row>
    <row r="5" spans="1:23" ht="12.75" x14ac:dyDescent="0.15">
      <c r="A5" s="68">
        <v>4</v>
      </c>
      <c r="B5" s="68" t="str">
        <f ca="1">OFFSET(Batting!$C$4,BatAves!$I5,0)</f>
        <v>Driver S</v>
      </c>
      <c r="C5" s="72">
        <f ca="1">OFFSET(Batting!$CE$4,BatAves!$I5,0)</f>
        <v>4</v>
      </c>
      <c r="D5" s="72">
        <f ca="1">OFFSET(Batting!$CG$4,BatAves!$I5,0)</f>
        <v>4</v>
      </c>
      <c r="E5" s="72">
        <f ca="1">OFFSET(Batting!$CH$4,BatAves!$I5,0)</f>
        <v>0</v>
      </c>
      <c r="F5" s="72">
        <f ca="1">OFFSET(Batting!$CJ$4,BatAves!$I5,0)</f>
        <v>64</v>
      </c>
      <c r="G5" s="72">
        <f ca="1">OFFSET(Batting!$CK$4,BatAves!$I5,0)</f>
        <v>139</v>
      </c>
      <c r="H5" s="76">
        <f ca="1">OFFSET(Batting!$CL$4,BatAves!$I5,0)</f>
        <v>34.75</v>
      </c>
      <c r="I5" s="68">
        <f>MATCH(A5,Batting!$DF$5:$DF$44,0)</f>
        <v>8</v>
      </c>
      <c r="J5" s="68">
        <f t="shared" ca="1" si="0"/>
        <v>1004</v>
      </c>
      <c r="K5" s="68">
        <f t="shared" ca="1" si="1"/>
        <v>15</v>
      </c>
      <c r="L5" s="68" t="str">
        <f t="shared" ca="1" si="2"/>
        <v>Driver S 4-0-64-139</v>
      </c>
      <c r="M5" s="68">
        <f t="shared" ca="1" si="9"/>
        <v>5</v>
      </c>
      <c r="N5" s="128">
        <v>4</v>
      </c>
      <c r="O5" s="128" t="str">
        <f t="shared" ca="1" si="3"/>
        <v>Brocks D</v>
      </c>
      <c r="P5" s="128">
        <f t="shared" ca="1" si="4"/>
        <v>9</v>
      </c>
      <c r="Q5" s="128">
        <f t="shared" ca="1" si="5"/>
        <v>1</v>
      </c>
      <c r="R5" s="128">
        <f t="shared" ca="1" si="6"/>
        <v>54</v>
      </c>
      <c r="S5" s="128">
        <f t="shared" ca="1" si="7"/>
        <v>253</v>
      </c>
      <c r="T5" s="130">
        <f t="shared" ca="1" si="8"/>
        <v>31.625</v>
      </c>
      <c r="V5" s="68" t="s">
        <v>212</v>
      </c>
      <c r="W5" s="68" t="s">
        <v>212</v>
      </c>
    </row>
    <row r="6" spans="1:23" ht="12.75" x14ac:dyDescent="0.15">
      <c r="A6" s="68">
        <v>5</v>
      </c>
      <c r="B6" s="68" t="str">
        <f ca="1">OFFSET(Batting!$C$4,BatAves!$I6,0)</f>
        <v>Brocks D</v>
      </c>
      <c r="C6" s="72">
        <f ca="1">OFFSET(Batting!$CE$4,BatAves!$I6,0)</f>
        <v>10</v>
      </c>
      <c r="D6" s="72">
        <f ca="1">OFFSET(Batting!$CG$4,BatAves!$I6,0)</f>
        <v>9</v>
      </c>
      <c r="E6" s="72">
        <f ca="1">OFFSET(Batting!$CH$4,BatAves!$I6,0)</f>
        <v>1</v>
      </c>
      <c r="F6" s="72">
        <f ca="1">OFFSET(Batting!$CJ$4,BatAves!$I6,0)</f>
        <v>54</v>
      </c>
      <c r="G6" s="72">
        <f ca="1">OFFSET(Batting!$CK$4,BatAves!$I6,0)</f>
        <v>253</v>
      </c>
      <c r="H6" s="76">
        <f ca="1">OFFSET(Batting!$CL$4,BatAves!$I6,0)</f>
        <v>31.625</v>
      </c>
      <c r="I6" s="68">
        <f>MATCH(A6,Batting!$DF$5:$DF$44,0)</f>
        <v>4</v>
      </c>
      <c r="J6" s="68">
        <f t="shared" ca="1" si="0"/>
        <v>5</v>
      </c>
      <c r="K6" s="68">
        <f t="shared" ca="1" si="1"/>
        <v>4</v>
      </c>
      <c r="L6" s="68" t="str">
        <f t="shared" ca="1" si="2"/>
        <v/>
      </c>
      <c r="M6" s="68">
        <f t="shared" ca="1" si="9"/>
        <v>7</v>
      </c>
      <c r="N6" s="128">
        <v>5</v>
      </c>
      <c r="O6" s="128" t="str">
        <f t="shared" ca="1" si="3"/>
        <v>Clarkson M</v>
      </c>
      <c r="P6" s="128">
        <f t="shared" ca="1" si="4"/>
        <v>8</v>
      </c>
      <c r="Q6" s="128">
        <f t="shared" ca="1" si="5"/>
        <v>1</v>
      </c>
      <c r="R6" s="128">
        <f t="shared" ca="1" si="6"/>
        <v>60</v>
      </c>
      <c r="S6" s="128">
        <f t="shared" ca="1" si="7"/>
        <v>211</v>
      </c>
      <c r="T6" s="130">
        <f t="shared" ca="1" si="8"/>
        <v>30.142857142857142</v>
      </c>
      <c r="V6" s="68" t="s">
        <v>212</v>
      </c>
      <c r="W6" s="68" t="s">
        <v>212</v>
      </c>
    </row>
    <row r="7" spans="1:23" ht="12.75" x14ac:dyDescent="0.15">
      <c r="A7" s="68">
        <v>6</v>
      </c>
      <c r="B7" s="68" t="str">
        <f ca="1">OFFSET(Batting!$C$4,BatAves!$I7,0)</f>
        <v>Leadley J</v>
      </c>
      <c r="C7" s="72">
        <f ca="1">OFFSET(Batting!$CE$4,BatAves!$I7,0)</f>
        <v>2</v>
      </c>
      <c r="D7" s="72">
        <f ca="1">OFFSET(Batting!$CG$4,BatAves!$I7,0)</f>
        <v>2</v>
      </c>
      <c r="E7" s="72">
        <f ca="1">OFFSET(Batting!$CH$4,BatAves!$I7,0)</f>
        <v>1</v>
      </c>
      <c r="F7" s="72" t="str">
        <f ca="1">OFFSET(Batting!$CJ$4,BatAves!$I7,0)</f>
        <v>30*</v>
      </c>
      <c r="G7" s="72">
        <f ca="1">OFFSET(Batting!$CK$4,BatAves!$I7,0)</f>
        <v>31</v>
      </c>
      <c r="H7" s="76">
        <f ca="1">OFFSET(Batting!$CL$4,BatAves!$I7,0)</f>
        <v>31</v>
      </c>
      <c r="I7" s="68">
        <f>MATCH(A7,Batting!$DF$5:$DF$44,0)</f>
        <v>16</v>
      </c>
      <c r="J7" s="68">
        <f t="shared" ca="1" si="0"/>
        <v>1006</v>
      </c>
      <c r="K7" s="68">
        <f t="shared" ca="1" si="1"/>
        <v>16</v>
      </c>
      <c r="L7" s="68" t="str">
        <f t="shared" ca="1" si="2"/>
        <v>Leadley J 2-1-30*-31</v>
      </c>
      <c r="M7" s="68">
        <f t="shared" ca="1" si="9"/>
        <v>9</v>
      </c>
      <c r="N7" s="128">
        <v>6</v>
      </c>
      <c r="O7" s="128" t="str">
        <f t="shared" ca="1" si="3"/>
        <v>Edghill D</v>
      </c>
      <c r="P7" s="128">
        <f t="shared" ca="1" si="4"/>
        <v>14</v>
      </c>
      <c r="Q7" s="128">
        <f t="shared" ca="1" si="5"/>
        <v>5</v>
      </c>
      <c r="R7" s="128" t="str">
        <f t="shared" ca="1" si="6"/>
        <v>31*</v>
      </c>
      <c r="S7" s="128">
        <f t="shared" ca="1" si="7"/>
        <v>181</v>
      </c>
      <c r="T7" s="130">
        <f t="shared" ca="1" si="8"/>
        <v>20.111111111111111</v>
      </c>
      <c r="V7" s="68" t="s">
        <v>212</v>
      </c>
      <c r="W7" s="68" t="s">
        <v>212</v>
      </c>
    </row>
    <row r="8" spans="1:23" ht="12.75" x14ac:dyDescent="0.15">
      <c r="A8" s="68">
        <v>7</v>
      </c>
      <c r="B8" s="68" t="str">
        <f ca="1">OFFSET(Batting!$C$4,BatAves!$I8,0)</f>
        <v>Clarkson M</v>
      </c>
      <c r="C8" s="72">
        <f ca="1">OFFSET(Batting!$CE$4,BatAves!$I8,0)</f>
        <v>8</v>
      </c>
      <c r="D8" s="72">
        <f ca="1">OFFSET(Batting!$CG$4,BatAves!$I8,0)</f>
        <v>8</v>
      </c>
      <c r="E8" s="72">
        <f ca="1">OFFSET(Batting!$CH$4,BatAves!$I8,0)</f>
        <v>1</v>
      </c>
      <c r="F8" s="72">
        <f ca="1">OFFSET(Batting!$CJ$4,BatAves!$I8,0)</f>
        <v>60</v>
      </c>
      <c r="G8" s="72">
        <f ca="1">OFFSET(Batting!$CK$4,BatAves!$I8,0)</f>
        <v>211</v>
      </c>
      <c r="H8" s="76">
        <f ca="1">OFFSET(Batting!$CL$4,BatAves!$I8,0)</f>
        <v>30.142857142857142</v>
      </c>
      <c r="I8" s="68">
        <f>MATCH(A8,Batting!$DF$5:$DF$44,0)</f>
        <v>6</v>
      </c>
      <c r="J8" s="68">
        <f t="shared" ca="1" si="0"/>
        <v>7</v>
      </c>
      <c r="K8" s="68">
        <f t="shared" ca="1" si="1"/>
        <v>5</v>
      </c>
      <c r="L8" s="68" t="str">
        <f t="shared" ca="1" si="2"/>
        <v/>
      </c>
      <c r="M8" s="68">
        <f t="shared" ca="1" si="9"/>
        <v>10</v>
      </c>
      <c r="N8" s="128">
        <v>7</v>
      </c>
      <c r="O8" s="128" t="str">
        <f t="shared" ca="1" si="3"/>
        <v>Edghill C</v>
      </c>
      <c r="P8" s="128">
        <f t="shared" ca="1" si="4"/>
        <v>9</v>
      </c>
      <c r="Q8" s="128">
        <f t="shared" ca="1" si="5"/>
        <v>3</v>
      </c>
      <c r="R8" s="128" t="str">
        <f t="shared" ca="1" si="6"/>
        <v>20*</v>
      </c>
      <c r="S8" s="128">
        <f t="shared" ca="1" si="7"/>
        <v>97</v>
      </c>
      <c r="T8" s="130">
        <f t="shared" ca="1" si="8"/>
        <v>16.166666666666668</v>
      </c>
      <c r="V8" s="103" t="s">
        <v>212</v>
      </c>
      <c r="W8" s="68" t="s">
        <v>212</v>
      </c>
    </row>
    <row r="9" spans="1:23" ht="12.75" x14ac:dyDescent="0.15">
      <c r="A9" s="68">
        <v>8</v>
      </c>
      <c r="B9" s="68" t="str">
        <f ca="1">OFFSET(Batting!$C$4,BatAves!$I9,0)</f>
        <v>Lovell A</v>
      </c>
      <c r="C9" s="72">
        <f ca="1">OFFSET(Batting!$CE$4,BatAves!$I9,0)</f>
        <v>3</v>
      </c>
      <c r="D9" s="72">
        <f ca="1">OFFSET(Batting!$CG$4,BatAves!$I9,0)</f>
        <v>3</v>
      </c>
      <c r="E9" s="72">
        <f ca="1">OFFSET(Batting!$CH$4,BatAves!$I9,0)</f>
        <v>1</v>
      </c>
      <c r="F9" s="72">
        <f ca="1">OFFSET(Batting!$CJ$4,BatAves!$I9,0)</f>
        <v>31</v>
      </c>
      <c r="G9" s="72">
        <f ca="1">OFFSET(Batting!$CK$4,BatAves!$I9,0)</f>
        <v>47</v>
      </c>
      <c r="H9" s="76">
        <f ca="1">OFFSET(Batting!$CL$4,BatAves!$I9,0)</f>
        <v>23.5</v>
      </c>
      <c r="I9" s="68">
        <f>MATCH(A9,Batting!$DF$5:$DF$44,0)</f>
        <v>20</v>
      </c>
      <c r="J9" s="68">
        <f t="shared" ca="1" si="0"/>
        <v>1008</v>
      </c>
      <c r="K9" s="68">
        <f t="shared" ca="1" si="1"/>
        <v>17</v>
      </c>
      <c r="L9" s="68" t="str">
        <f t="shared" ca="1" si="2"/>
        <v>Lovell A 3-1-31-47</v>
      </c>
      <c r="M9" s="68">
        <f t="shared" ca="1" si="9"/>
        <v>12</v>
      </c>
      <c r="N9" s="128">
        <v>8</v>
      </c>
      <c r="O9" s="128" t="str">
        <f t="shared" ca="1" si="3"/>
        <v>Seymour C</v>
      </c>
      <c r="P9" s="128">
        <f t="shared" ca="1" si="4"/>
        <v>17</v>
      </c>
      <c r="Q9" s="128">
        <f t="shared" ca="1" si="5"/>
        <v>1</v>
      </c>
      <c r="R9" s="128">
        <f t="shared" ca="1" si="6"/>
        <v>84</v>
      </c>
      <c r="S9" s="128">
        <f t="shared" ca="1" si="7"/>
        <v>245</v>
      </c>
      <c r="T9" s="130">
        <f t="shared" ca="1" si="8"/>
        <v>15.3125</v>
      </c>
      <c r="V9" s="103" t="s">
        <v>212</v>
      </c>
      <c r="W9" s="68" t="s">
        <v>212</v>
      </c>
    </row>
    <row r="10" spans="1:23" ht="12.75" x14ac:dyDescent="0.15">
      <c r="A10" s="68">
        <v>9</v>
      </c>
      <c r="B10" s="68" t="str">
        <f ca="1">OFFSET(Batting!$C$4,BatAves!$I10,0)</f>
        <v>Edghill D</v>
      </c>
      <c r="C10" s="72">
        <f ca="1">OFFSET(Batting!$CE$4,BatAves!$I10,0)</f>
        <v>17</v>
      </c>
      <c r="D10" s="72">
        <f ca="1">OFFSET(Batting!$CG$4,BatAves!$I10,0)</f>
        <v>14</v>
      </c>
      <c r="E10" s="72">
        <f ca="1">OFFSET(Batting!$CH$4,BatAves!$I10,0)</f>
        <v>5</v>
      </c>
      <c r="F10" s="72" t="str">
        <f ca="1">OFFSET(Batting!$CJ$4,BatAves!$I10,0)</f>
        <v>31*</v>
      </c>
      <c r="G10" s="72">
        <f ca="1">OFFSET(Batting!$CK$4,BatAves!$I10,0)</f>
        <v>181</v>
      </c>
      <c r="H10" s="76">
        <f ca="1">OFFSET(Batting!$CL$4,BatAves!$I10,0)</f>
        <v>20.111111111111111</v>
      </c>
      <c r="I10" s="68">
        <f>MATCH(A10,Batting!$DF$5:$DF$44,0)</f>
        <v>9</v>
      </c>
      <c r="J10" s="68">
        <f t="shared" ca="1" si="0"/>
        <v>9</v>
      </c>
      <c r="K10" s="68">
        <f t="shared" ca="1" si="1"/>
        <v>6</v>
      </c>
      <c r="L10" s="68" t="str">
        <f t="shared" ca="1" si="2"/>
        <v/>
      </c>
      <c r="M10" s="68">
        <f t="shared" ca="1" si="9"/>
        <v>15</v>
      </c>
      <c r="N10" s="128">
        <v>9</v>
      </c>
      <c r="O10" s="128" t="str">
        <f t="shared" ca="1" si="3"/>
        <v>Ottey A</v>
      </c>
      <c r="P10" s="128">
        <f t="shared" ca="1" si="4"/>
        <v>7</v>
      </c>
      <c r="Q10" s="128">
        <f t="shared" ca="1" si="5"/>
        <v>1</v>
      </c>
      <c r="R10" s="128" t="str">
        <f t="shared" ca="1" si="6"/>
        <v>22*</v>
      </c>
      <c r="S10" s="128">
        <f t="shared" ca="1" si="7"/>
        <v>70</v>
      </c>
      <c r="T10" s="130">
        <f t="shared" ca="1" si="8"/>
        <v>11.666666666666666</v>
      </c>
      <c r="V10" s="103" t="s">
        <v>212</v>
      </c>
    </row>
    <row r="11" spans="1:23" ht="12.75" x14ac:dyDescent="0.15">
      <c r="A11" s="68">
        <v>10</v>
      </c>
      <c r="B11" s="68" t="str">
        <f ca="1">OFFSET(Batting!$C$4,BatAves!$I11,0)</f>
        <v>Edghill C</v>
      </c>
      <c r="C11" s="72">
        <f ca="1">OFFSET(Batting!$CE$4,BatAves!$I11,0)</f>
        <v>13</v>
      </c>
      <c r="D11" s="72">
        <f ca="1">OFFSET(Batting!$CG$4,BatAves!$I11,0)</f>
        <v>9</v>
      </c>
      <c r="E11" s="72">
        <f ca="1">OFFSET(Batting!$CH$4,BatAves!$I11,0)</f>
        <v>3</v>
      </c>
      <c r="F11" s="72" t="str">
        <f ca="1">OFFSET(Batting!$CJ$4,BatAves!$I11,0)</f>
        <v>20*</v>
      </c>
      <c r="G11" s="72">
        <f ca="1">OFFSET(Batting!$CK$4,BatAves!$I11,0)</f>
        <v>97</v>
      </c>
      <c r="H11" s="76">
        <f ca="1">OFFSET(Batting!$CL$4,BatAves!$I11,0)</f>
        <v>16.166666666666668</v>
      </c>
      <c r="I11" s="68">
        <f>MATCH(A11,Batting!$DF$5:$DF$44,0)</f>
        <v>11</v>
      </c>
      <c r="J11" s="68">
        <f t="shared" ca="1" si="0"/>
        <v>10</v>
      </c>
      <c r="K11" s="68">
        <f t="shared" ca="1" si="1"/>
        <v>7</v>
      </c>
      <c r="L11" s="68" t="str">
        <f t="shared" ca="1" si="2"/>
        <v/>
      </c>
      <c r="M11" s="68">
        <f t="shared" ca="1" si="9"/>
        <v>18</v>
      </c>
      <c r="N11" s="128">
        <v>10</v>
      </c>
      <c r="O11" s="128" t="str">
        <f t="shared" ca="1" si="3"/>
        <v>Vashisthta</v>
      </c>
      <c r="P11" s="128">
        <f t="shared" ca="1" si="4"/>
        <v>6</v>
      </c>
      <c r="Q11" s="128">
        <f t="shared" ca="1" si="5"/>
        <v>0</v>
      </c>
      <c r="R11" s="128">
        <f t="shared" ca="1" si="6"/>
        <v>19</v>
      </c>
      <c r="S11" s="128">
        <f t="shared" ca="1" si="7"/>
        <v>65</v>
      </c>
      <c r="T11" s="130">
        <f t="shared" ca="1" si="8"/>
        <v>10.833333333333334</v>
      </c>
      <c r="V11" s="103" t="s">
        <v>212</v>
      </c>
    </row>
    <row r="12" spans="1:23" ht="12.75" x14ac:dyDescent="0.15">
      <c r="A12" s="68">
        <v>11</v>
      </c>
      <c r="B12" s="68" t="str">
        <f ca="1">OFFSET(Batting!$C$4,BatAves!$I12,0)</f>
        <v>Pascoe M</v>
      </c>
      <c r="C12" s="72">
        <f ca="1">OFFSET(Batting!$CE$4,BatAves!$I12,0)</f>
        <v>5</v>
      </c>
      <c r="D12" s="72">
        <f ca="1">OFFSET(Batting!$CG$4,BatAves!$I12,0)</f>
        <v>4</v>
      </c>
      <c r="E12" s="72">
        <f ca="1">OFFSET(Batting!$CH$4,BatAves!$I12,0)</f>
        <v>1</v>
      </c>
      <c r="F12" s="72">
        <f ca="1">OFFSET(Batting!$CJ$4,BatAves!$I12,0)</f>
        <v>32</v>
      </c>
      <c r="G12" s="72">
        <f ca="1">OFFSET(Batting!$CK$4,BatAves!$I12,0)</f>
        <v>46</v>
      </c>
      <c r="H12" s="76">
        <f ca="1">OFFSET(Batting!$CL$4,BatAves!$I12,0)</f>
        <v>15.333333333333334</v>
      </c>
      <c r="I12" s="68">
        <f>MATCH(A12,Batting!$DF$5:$DF$44,0)</f>
        <v>26</v>
      </c>
      <c r="J12" s="68">
        <f t="shared" ca="1" si="0"/>
        <v>1011</v>
      </c>
      <c r="K12" s="68">
        <f t="shared" ca="1" si="1"/>
        <v>18</v>
      </c>
      <c r="L12" s="68" t="str">
        <f t="shared" ca="1" si="2"/>
        <v>Pascoe M 4-1-32-46</v>
      </c>
      <c r="M12" s="68">
        <f t="shared" ca="1" si="9"/>
        <v>19</v>
      </c>
      <c r="N12" s="128">
        <v>11</v>
      </c>
      <c r="O12" s="128" t="str">
        <f t="shared" ca="1" si="3"/>
        <v>Pascoe N</v>
      </c>
      <c r="P12" s="128">
        <f t="shared" ca="1" si="4"/>
        <v>11</v>
      </c>
      <c r="Q12" s="128">
        <f t="shared" ca="1" si="5"/>
        <v>0</v>
      </c>
      <c r="R12" s="128">
        <f t="shared" ca="1" si="6"/>
        <v>24</v>
      </c>
      <c r="S12" s="128">
        <f t="shared" ca="1" si="7"/>
        <v>100</v>
      </c>
      <c r="T12" s="130">
        <f t="shared" ca="1" si="8"/>
        <v>9.0909090909090917</v>
      </c>
      <c r="V12" s="103" t="s">
        <v>212</v>
      </c>
    </row>
    <row r="13" spans="1:23" ht="12.75" x14ac:dyDescent="0.15">
      <c r="A13" s="68">
        <v>12</v>
      </c>
      <c r="B13" s="68" t="str">
        <f ca="1">OFFSET(Batting!$C$4,BatAves!$I13,0)</f>
        <v>Seymour C</v>
      </c>
      <c r="C13" s="72">
        <f ca="1">OFFSET(Batting!$CE$4,BatAves!$I13,0)</f>
        <v>21</v>
      </c>
      <c r="D13" s="72">
        <f ca="1">OFFSET(Batting!$CG$4,BatAves!$I13,0)</f>
        <v>17</v>
      </c>
      <c r="E13" s="72">
        <f ca="1">OFFSET(Batting!$CH$4,BatAves!$I13,0)</f>
        <v>1</v>
      </c>
      <c r="F13" s="72">
        <f ca="1">OFFSET(Batting!$CJ$4,BatAves!$I13,0)</f>
        <v>84</v>
      </c>
      <c r="G13" s="72">
        <f ca="1">OFFSET(Batting!$CK$4,BatAves!$I13,0)</f>
        <v>245</v>
      </c>
      <c r="H13" s="76">
        <f ca="1">OFFSET(Batting!$CL$4,BatAves!$I13,0)</f>
        <v>15.3125</v>
      </c>
      <c r="I13" s="68">
        <f>MATCH(A13,Batting!$DF$5:$DF$44,0)</f>
        <v>29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20</v>
      </c>
      <c r="N13" s="128">
        <v>12</v>
      </c>
      <c r="O13" s="128" t="str">
        <f t="shared" ca="1" si="3"/>
        <v>Woodhouse M</v>
      </c>
      <c r="P13" s="128">
        <f t="shared" ca="1" si="4"/>
        <v>7</v>
      </c>
      <c r="Q13" s="128">
        <f t="shared" ca="1" si="5"/>
        <v>0</v>
      </c>
      <c r="R13" s="128">
        <f t="shared" ca="1" si="6"/>
        <v>22</v>
      </c>
      <c r="S13" s="128">
        <f t="shared" ca="1" si="7"/>
        <v>53</v>
      </c>
      <c r="T13" s="130">
        <f t="shared" ca="1" si="8"/>
        <v>7.5714285714285712</v>
      </c>
      <c r="V13" s="103" t="s">
        <v>212</v>
      </c>
    </row>
    <row r="14" spans="1:23" ht="12.75" x14ac:dyDescent="0.15">
      <c r="A14" s="68">
        <v>13</v>
      </c>
      <c r="B14" s="68" t="str">
        <f ca="1">OFFSET(Batting!$C$4,BatAves!$I14,0)</f>
        <v>Azfar S</v>
      </c>
      <c r="C14" s="72">
        <f ca="1">OFFSET(Batting!$CE$4,BatAves!$I14,0)</f>
        <v>4</v>
      </c>
      <c r="D14" s="72">
        <f ca="1">OFFSET(Batting!$CG$4,BatAves!$I14,0)</f>
        <v>3</v>
      </c>
      <c r="E14" s="72">
        <f ca="1">OFFSET(Batting!$CH$4,BatAves!$I14,0)</f>
        <v>1</v>
      </c>
      <c r="F14" s="72">
        <f ca="1">OFFSET(Batting!$CJ$4,BatAves!$I14,0)</f>
        <v>13</v>
      </c>
      <c r="G14" s="72">
        <f ca="1">OFFSET(Batting!$CK$4,BatAves!$I14,0)</f>
        <v>29</v>
      </c>
      <c r="H14" s="76">
        <f ca="1">OFFSET(Batting!$CL$4,BatAves!$I14,0)</f>
        <v>14.5</v>
      </c>
      <c r="I14" s="68">
        <f>MATCH(A14,Batting!$DF$5:$DF$44,0)</f>
        <v>2</v>
      </c>
      <c r="J14" s="68">
        <f t="shared" ca="1" si="0"/>
        <v>1013</v>
      </c>
      <c r="K14" s="68">
        <f t="shared" ca="1" si="1"/>
        <v>19</v>
      </c>
      <c r="L14" s="68" t="str">
        <f t="shared" ca="1" si="2"/>
        <v>Azfar S 3-1-13-29</v>
      </c>
      <c r="M14" s="68">
        <f t="shared" ca="1" si="9"/>
        <v>21</v>
      </c>
      <c r="N14" s="128">
        <v>13</v>
      </c>
      <c r="O14" s="128" t="str">
        <f t="shared" ca="1" si="3"/>
        <v>Smith C</v>
      </c>
      <c r="P14" s="128">
        <f t="shared" ca="1" si="4"/>
        <v>11</v>
      </c>
      <c r="Q14" s="128">
        <f t="shared" ca="1" si="5"/>
        <v>1</v>
      </c>
      <c r="R14" s="128">
        <f t="shared" ca="1" si="6"/>
        <v>23</v>
      </c>
      <c r="S14" s="128">
        <f t="shared" ca="1" si="7"/>
        <v>62</v>
      </c>
      <c r="T14" s="130">
        <f t="shared" ca="1" si="8"/>
        <v>6.2</v>
      </c>
      <c r="V14" s="103" t="s">
        <v>212</v>
      </c>
    </row>
    <row r="15" spans="1:23" ht="12.75" x14ac:dyDescent="0.15">
      <c r="A15" s="68">
        <v>14</v>
      </c>
      <c r="B15" s="68" t="str">
        <f ca="1">OFFSET(Batting!$C$4,BatAves!$I15,0)</f>
        <v>Sunkara C</v>
      </c>
      <c r="C15" s="72">
        <f ca="1">OFFSET(Batting!$CE$4,BatAves!$I15,0)</f>
        <v>2</v>
      </c>
      <c r="D15" s="72">
        <f ca="1">OFFSET(Batting!$CG$4,BatAves!$I15,0)</f>
        <v>2</v>
      </c>
      <c r="E15" s="72">
        <f ca="1">OFFSET(Batting!$CH$4,BatAves!$I15,0)</f>
        <v>1</v>
      </c>
      <c r="F15" s="72">
        <f ca="1">OFFSET(Batting!$CJ$4,BatAves!$I15,0)</f>
        <v>7</v>
      </c>
      <c r="G15" s="72">
        <f ca="1">OFFSET(Batting!$CK$4,BatAves!$I15,0)</f>
        <v>12</v>
      </c>
      <c r="H15" s="76">
        <f ca="1">OFFSET(Batting!$CL$4,BatAves!$I15,0)</f>
        <v>12</v>
      </c>
      <c r="I15" s="68">
        <f>MATCH(A15,Batting!$DF$5:$DF$44,0)</f>
        <v>36</v>
      </c>
      <c r="J15" s="68">
        <f t="shared" ca="1" si="0"/>
        <v>1014</v>
      </c>
      <c r="K15" s="68">
        <f t="shared" ca="1" si="1"/>
        <v>20</v>
      </c>
      <c r="L15" s="68" t="str">
        <f t="shared" ca="1" si="2"/>
        <v>Sunkara C 2-1-7-12</v>
      </c>
      <c r="M15" s="68">
        <f t="shared" ca="1" si="9"/>
        <v>22</v>
      </c>
      <c r="N15" s="128">
        <v>14</v>
      </c>
      <c r="O15" s="128" t="str">
        <f t="shared" ca="1" si="3"/>
        <v>Edghill R</v>
      </c>
      <c r="P15" s="128">
        <f t="shared" ca="1" si="4"/>
        <v>6</v>
      </c>
      <c r="Q15" s="128">
        <f t="shared" ca="1" si="5"/>
        <v>2</v>
      </c>
      <c r="R15" s="128">
        <f t="shared" ca="1" si="6"/>
        <v>9</v>
      </c>
      <c r="S15" s="128">
        <f t="shared" ca="1" si="7"/>
        <v>24</v>
      </c>
      <c r="T15" s="130">
        <f t="shared" ca="1" si="8"/>
        <v>6</v>
      </c>
      <c r="V15" s="103" t="s">
        <v>212</v>
      </c>
      <c r="W15" s="136"/>
    </row>
    <row r="16" spans="1:23" ht="12.75" x14ac:dyDescent="0.15">
      <c r="A16" s="68">
        <v>15</v>
      </c>
      <c r="B16" s="68" t="str">
        <f ca="1">OFFSET(Batting!$C$4,BatAves!$I16,0)</f>
        <v>Ottey A</v>
      </c>
      <c r="C16" s="72">
        <f ca="1">OFFSET(Batting!$CE$4,BatAves!$I16,0)</f>
        <v>7</v>
      </c>
      <c r="D16" s="72">
        <f ca="1">OFFSET(Batting!$CG$4,BatAves!$I16,0)</f>
        <v>7</v>
      </c>
      <c r="E16" s="72">
        <f ca="1">OFFSET(Batting!$CH$4,BatAves!$I16,0)</f>
        <v>1</v>
      </c>
      <c r="F16" s="72" t="str">
        <f ca="1">OFFSET(Batting!$CJ$4,BatAves!$I16,0)</f>
        <v>22*</v>
      </c>
      <c r="G16" s="72">
        <f ca="1">OFFSET(Batting!$CK$4,BatAves!$I16,0)</f>
        <v>70</v>
      </c>
      <c r="H16" s="76">
        <f ca="1">OFFSET(Batting!$CL$4,BatAves!$I16,0)</f>
        <v>11.666666666666666</v>
      </c>
      <c r="I16" s="68">
        <f>MATCH(A16,Batting!$DF$5:$DF$44,0)</f>
        <v>25</v>
      </c>
      <c r="J16" s="68">
        <f t="shared" ca="1" si="0"/>
        <v>15</v>
      </c>
      <c r="K16" s="68">
        <f t="shared" ca="1" si="1"/>
        <v>9</v>
      </c>
      <c r="L16" s="68" t="str">
        <f t="shared" ca="1" si="2"/>
        <v/>
      </c>
      <c r="M16" s="68">
        <f t="shared" ca="1" si="9"/>
        <v>4</v>
      </c>
      <c r="N16" s="128">
        <v>15</v>
      </c>
      <c r="O16" s="128" t="str">
        <f t="shared" ca="1" si="3"/>
        <v>Driver S</v>
      </c>
      <c r="P16" s="128">
        <f t="shared" ca="1" si="4"/>
        <v>4</v>
      </c>
      <c r="Q16" s="128">
        <f t="shared" ca="1" si="5"/>
        <v>0</v>
      </c>
      <c r="R16" s="128">
        <f t="shared" ca="1" si="6"/>
        <v>64</v>
      </c>
      <c r="S16" s="128">
        <f t="shared" ca="1" si="7"/>
        <v>139</v>
      </c>
      <c r="T16" s="130">
        <f t="shared" ca="1" si="8"/>
        <v>34.75</v>
      </c>
      <c r="V16" s="68" t="s">
        <v>212</v>
      </c>
      <c r="W16" s="136"/>
    </row>
    <row r="17" spans="1:23" ht="12.75" x14ac:dyDescent="0.15">
      <c r="A17" s="68">
        <v>16</v>
      </c>
      <c r="B17" s="68" t="str">
        <f ca="1">OFFSET(Batting!$C$4,BatAves!$I17,0)</f>
        <v>Bowers M</v>
      </c>
      <c r="C17" s="72">
        <f ca="1">OFFSET(Batting!$CE$4,BatAves!$I17,0)</f>
        <v>5</v>
      </c>
      <c r="D17" s="72">
        <f ca="1">OFFSET(Batting!$CG$4,BatAves!$I17,0)</f>
        <v>2</v>
      </c>
      <c r="E17" s="72">
        <f ca="1">OFFSET(Batting!$CH$4,BatAves!$I17,0)</f>
        <v>1</v>
      </c>
      <c r="F17" s="72" t="str">
        <f ca="1">OFFSET(Batting!$CJ$4,BatAves!$I17,0)</f>
        <v>10*</v>
      </c>
      <c r="G17" s="72">
        <f ca="1">OFFSET(Batting!$CK$4,BatAves!$I17,0)</f>
        <v>11</v>
      </c>
      <c r="H17" s="76">
        <f ca="1">OFFSET(Batting!$CL$4,BatAves!$I17,0)</f>
        <v>11</v>
      </c>
      <c r="I17" s="68">
        <f>MATCH(A17,Batting!$DF$5:$DF$44,0)</f>
        <v>3</v>
      </c>
      <c r="J17" s="68">
        <f t="shared" ca="1" si="0"/>
        <v>1016</v>
      </c>
      <c r="K17" s="68">
        <f t="shared" ca="1" si="1"/>
        <v>21</v>
      </c>
      <c r="L17" s="68" t="str">
        <f t="shared" ca="1" si="2"/>
        <v>Bowers M 2-1-10*-11</v>
      </c>
      <c r="M17" s="68">
        <f t="shared" ca="1" si="9"/>
        <v>6</v>
      </c>
      <c r="N17" s="128">
        <v>16</v>
      </c>
      <c r="O17" s="128" t="str">
        <f t="shared" ca="1" si="3"/>
        <v>Leadley J</v>
      </c>
      <c r="P17" s="128">
        <f t="shared" ca="1" si="4"/>
        <v>2</v>
      </c>
      <c r="Q17" s="128">
        <f t="shared" ca="1" si="5"/>
        <v>1</v>
      </c>
      <c r="R17" s="128" t="str">
        <f t="shared" ca="1" si="6"/>
        <v>30*</v>
      </c>
      <c r="S17" s="128">
        <f t="shared" ca="1" si="7"/>
        <v>31</v>
      </c>
      <c r="T17" s="130">
        <f t="shared" ca="1" si="8"/>
        <v>31</v>
      </c>
      <c r="V17" s="68" t="s">
        <v>212</v>
      </c>
      <c r="W17" s="136"/>
    </row>
    <row r="18" spans="1:23" ht="12.75" x14ac:dyDescent="0.15">
      <c r="A18" s="68">
        <v>17</v>
      </c>
      <c r="B18" s="68" t="str">
        <f ca="1">OFFSET(Batting!$C$4,BatAves!$I18,0)</f>
        <v>Mustafa M</v>
      </c>
      <c r="C18" s="72">
        <f ca="1">OFFSET(Batting!$CE$4,BatAves!$I18,0)</f>
        <v>1</v>
      </c>
      <c r="D18" s="72">
        <f ca="1">OFFSET(Batting!$CG$4,BatAves!$I18,0)</f>
        <v>1</v>
      </c>
      <c r="E18" s="72">
        <f ca="1">OFFSET(Batting!$CH$4,BatAves!$I18,0)</f>
        <v>0</v>
      </c>
      <c r="F18" s="72">
        <f ca="1">OFFSET(Batting!$CJ$4,BatAves!$I18,0)</f>
        <v>11</v>
      </c>
      <c r="G18" s="72">
        <f ca="1">OFFSET(Batting!$CK$4,BatAves!$I18,0)</f>
        <v>11</v>
      </c>
      <c r="H18" s="76">
        <f ca="1">OFFSET(Batting!$CL$4,BatAves!$I18,0)</f>
        <v>11</v>
      </c>
      <c r="I18" s="68">
        <f>MATCH(A18,Batting!$DF$5:$DF$44,0)</f>
        <v>23</v>
      </c>
      <c r="J18" s="68">
        <f t="shared" ca="1" si="0"/>
        <v>1017</v>
      </c>
      <c r="K18" s="68">
        <f t="shared" ca="1" si="1"/>
        <v>22</v>
      </c>
      <c r="L18" s="68" t="str">
        <f t="shared" ca="1" si="2"/>
        <v>Mustafa M 1-0-11-11</v>
      </c>
      <c r="M18" s="68">
        <f t="shared" ca="1" si="9"/>
        <v>8</v>
      </c>
      <c r="N18" s="128">
        <v>17</v>
      </c>
      <c r="O18" s="128" t="str">
        <f t="shared" ca="1" si="3"/>
        <v>Lovell A</v>
      </c>
      <c r="P18" s="128">
        <f t="shared" ca="1" si="4"/>
        <v>3</v>
      </c>
      <c r="Q18" s="128">
        <f t="shared" ca="1" si="5"/>
        <v>1</v>
      </c>
      <c r="R18" s="128">
        <f t="shared" ca="1" si="6"/>
        <v>31</v>
      </c>
      <c r="S18" s="128">
        <f t="shared" ca="1" si="7"/>
        <v>47</v>
      </c>
      <c r="T18" s="130">
        <f t="shared" ca="1" si="8"/>
        <v>23.5</v>
      </c>
      <c r="V18" s="167" t="s">
        <v>714</v>
      </c>
      <c r="W18" s="136"/>
    </row>
    <row r="19" spans="1:23" ht="12.75" x14ac:dyDescent="0.15">
      <c r="A19" s="68">
        <v>18</v>
      </c>
      <c r="B19" s="68" t="str">
        <f ca="1">OFFSET(Batting!$C$4,BatAves!$I19,0)</f>
        <v>Vashisthta</v>
      </c>
      <c r="C19" s="72">
        <f ca="1">OFFSET(Batting!$CE$4,BatAves!$I19,0)</f>
        <v>7</v>
      </c>
      <c r="D19" s="72">
        <f ca="1">OFFSET(Batting!$CG$4,BatAves!$I19,0)</f>
        <v>6</v>
      </c>
      <c r="E19" s="72">
        <f ca="1">OFFSET(Batting!$CH$4,BatAves!$I19,0)</f>
        <v>0</v>
      </c>
      <c r="F19" s="72">
        <f ca="1">OFFSET(Batting!$CJ$4,BatAves!$I19,0)</f>
        <v>19</v>
      </c>
      <c r="G19" s="72">
        <f ca="1">OFFSET(Batting!$CK$4,BatAves!$I19,0)</f>
        <v>65</v>
      </c>
      <c r="H19" s="76">
        <f ca="1">OFFSET(Batting!$CL$4,BatAves!$I19,0)</f>
        <v>10.833333333333334</v>
      </c>
      <c r="I19" s="68">
        <f>MATCH(A19,Batting!$DF$5:$DF$44,0)</f>
        <v>37</v>
      </c>
      <c r="J19" s="68">
        <f t="shared" ca="1" si="0"/>
        <v>18</v>
      </c>
      <c r="K19" s="68">
        <f t="shared" ca="1" si="1"/>
        <v>10</v>
      </c>
      <c r="L19" s="68" t="str">
        <f t="shared" ca="1" si="2"/>
        <v/>
      </c>
      <c r="M19" s="68">
        <f t="shared" ca="1" si="9"/>
        <v>11</v>
      </c>
      <c r="N19" s="128">
        <v>18</v>
      </c>
      <c r="O19" s="128" t="str">
        <f t="shared" ca="1" si="3"/>
        <v>Pascoe M</v>
      </c>
      <c r="P19" s="128">
        <f t="shared" ca="1" si="4"/>
        <v>4</v>
      </c>
      <c r="Q19" s="128">
        <f t="shared" ca="1" si="5"/>
        <v>1</v>
      </c>
      <c r="R19" s="128">
        <f t="shared" ca="1" si="6"/>
        <v>32</v>
      </c>
      <c r="S19" s="128">
        <f t="shared" ca="1" si="7"/>
        <v>46</v>
      </c>
      <c r="T19" s="130">
        <f t="shared" ca="1" si="8"/>
        <v>15.333333333333334</v>
      </c>
      <c r="V19" s="167" t="s">
        <v>699</v>
      </c>
      <c r="W19" s="136" t="s">
        <v>212</v>
      </c>
    </row>
    <row r="20" spans="1:23" ht="12.75" x14ac:dyDescent="0.15">
      <c r="A20" s="68">
        <v>19</v>
      </c>
      <c r="B20" s="68" t="str">
        <f ca="1">OFFSET(Batting!$C$4,BatAves!$I20,0)</f>
        <v>Pascoe N</v>
      </c>
      <c r="C20" s="72">
        <f ca="1">OFFSET(Batting!$CE$4,BatAves!$I20,0)</f>
        <v>13</v>
      </c>
      <c r="D20" s="72">
        <f ca="1">OFFSET(Batting!$CG$4,BatAves!$I20,0)</f>
        <v>11</v>
      </c>
      <c r="E20" s="72">
        <f ca="1">OFFSET(Batting!$CH$4,BatAves!$I20,0)</f>
        <v>0</v>
      </c>
      <c r="F20" s="72">
        <f ca="1">OFFSET(Batting!$CJ$4,BatAves!$I20,0)</f>
        <v>24</v>
      </c>
      <c r="G20" s="72">
        <f ca="1">OFFSET(Batting!$CK$4,BatAves!$I20,0)</f>
        <v>100</v>
      </c>
      <c r="H20" s="76">
        <f ca="1">OFFSET(Batting!$CL$4,BatAves!$I20,0)</f>
        <v>9.0909090909090917</v>
      </c>
      <c r="I20" s="68">
        <f>MATCH(A20,Batting!$DF$5:$DF$44,0)</f>
        <v>27</v>
      </c>
      <c r="J20" s="68">
        <f t="shared" ca="1" si="0"/>
        <v>19</v>
      </c>
      <c r="K20" s="68">
        <f t="shared" ca="1" si="1"/>
        <v>11</v>
      </c>
      <c r="L20" s="68" t="str">
        <f t="shared" ca="1" si="2"/>
        <v/>
      </c>
      <c r="M20" s="68">
        <f t="shared" ca="1" si="9"/>
        <v>13</v>
      </c>
      <c r="N20" s="128">
        <v>19</v>
      </c>
      <c r="O20" s="128" t="str">
        <f t="shared" ca="1" si="3"/>
        <v>Azfar S</v>
      </c>
      <c r="P20" s="128">
        <f t="shared" ca="1" si="4"/>
        <v>3</v>
      </c>
      <c r="Q20" s="128">
        <f t="shared" ca="1" si="5"/>
        <v>1</v>
      </c>
      <c r="R20" s="128">
        <f t="shared" ca="1" si="6"/>
        <v>13</v>
      </c>
      <c r="S20" s="128">
        <f t="shared" ca="1" si="7"/>
        <v>29</v>
      </c>
      <c r="T20" s="130">
        <f t="shared" ca="1" si="8"/>
        <v>14.5</v>
      </c>
      <c r="V20" s="167" t="s">
        <v>701</v>
      </c>
      <c r="W20" s="68" t="s">
        <v>212</v>
      </c>
    </row>
    <row r="21" spans="1:23" ht="12.75" x14ac:dyDescent="0.15">
      <c r="A21" s="68">
        <v>20</v>
      </c>
      <c r="B21" s="68" t="str">
        <f ca="1">OFFSET(Batting!$C$4,BatAves!$I21,0)</f>
        <v>Woodhouse M</v>
      </c>
      <c r="C21" s="72">
        <f ca="1">OFFSET(Batting!$CE$4,BatAves!$I21,0)</f>
        <v>7</v>
      </c>
      <c r="D21" s="72">
        <f ca="1">OFFSET(Batting!$CG$4,BatAves!$I21,0)</f>
        <v>7</v>
      </c>
      <c r="E21" s="72">
        <f ca="1">OFFSET(Batting!$CH$4,BatAves!$I21,0)</f>
        <v>0</v>
      </c>
      <c r="F21" s="72">
        <f ca="1">OFFSET(Batting!$CJ$4,BatAves!$I21,0)</f>
        <v>22</v>
      </c>
      <c r="G21" s="72">
        <f ca="1">OFFSET(Batting!$CK$4,BatAves!$I21,0)</f>
        <v>53</v>
      </c>
      <c r="H21" s="76">
        <f ca="1">OFFSET(Batting!$CL$4,BatAves!$I21,0)</f>
        <v>7.5714285714285712</v>
      </c>
      <c r="I21" s="68">
        <f>MATCH(A21,Batting!$DF$5:$DF$44,0)</f>
        <v>40</v>
      </c>
      <c r="J21" s="68">
        <f t="shared" ca="1" si="0"/>
        <v>20</v>
      </c>
      <c r="K21" s="68">
        <f t="shared" ca="1" si="1"/>
        <v>12</v>
      </c>
      <c r="L21" s="68" t="str">
        <f t="shared" ca="1" si="2"/>
        <v/>
      </c>
      <c r="M21" s="68">
        <f t="shared" ca="1" si="9"/>
        <v>14</v>
      </c>
      <c r="N21" s="128">
        <v>20</v>
      </c>
      <c r="O21" s="128" t="str">
        <f t="shared" ca="1" si="3"/>
        <v>Sunkara C</v>
      </c>
      <c r="P21" s="128">
        <f t="shared" ca="1" si="4"/>
        <v>2</v>
      </c>
      <c r="Q21" s="128">
        <f t="shared" ca="1" si="5"/>
        <v>1</v>
      </c>
      <c r="R21" s="128">
        <f t="shared" ca="1" si="6"/>
        <v>7</v>
      </c>
      <c r="S21" s="128">
        <f t="shared" ca="1" si="7"/>
        <v>12</v>
      </c>
      <c r="T21" s="130">
        <f t="shared" ca="1" si="8"/>
        <v>12</v>
      </c>
      <c r="V21" s="167" t="s">
        <v>707</v>
      </c>
      <c r="W21" s="68" t="s">
        <v>212</v>
      </c>
    </row>
    <row r="22" spans="1:23" ht="12.75" x14ac:dyDescent="0.15">
      <c r="A22" s="68">
        <v>21</v>
      </c>
      <c r="B22" s="68" t="str">
        <f ca="1">OFFSET(Batting!$C$4,BatAves!$I22,0)</f>
        <v>Smith C</v>
      </c>
      <c r="C22" s="72">
        <f ca="1">OFFSET(Batting!$CE$4,BatAves!$I22,0)</f>
        <v>18</v>
      </c>
      <c r="D22" s="72">
        <f ca="1">OFFSET(Batting!$CG$4,BatAves!$I22,0)</f>
        <v>11</v>
      </c>
      <c r="E22" s="72">
        <f ca="1">OFFSET(Batting!$CH$4,BatAves!$I22,0)</f>
        <v>1</v>
      </c>
      <c r="F22" s="72">
        <f ca="1">OFFSET(Batting!$CJ$4,BatAves!$I22,0)</f>
        <v>23</v>
      </c>
      <c r="G22" s="72">
        <f ca="1">OFFSET(Batting!$CK$4,BatAves!$I22,0)</f>
        <v>62</v>
      </c>
      <c r="H22" s="76">
        <f ca="1">OFFSET(Batting!$CL$4,BatAves!$I22,0)</f>
        <v>6.2</v>
      </c>
      <c r="I22" s="68">
        <f>MATCH(A22,Batting!$DF$5:$DF$44,0)</f>
        <v>31</v>
      </c>
      <c r="J22" s="68">
        <f t="shared" ca="1" si="0"/>
        <v>21</v>
      </c>
      <c r="K22" s="68">
        <f t="shared" ca="1" si="1"/>
        <v>13</v>
      </c>
      <c r="L22" s="68" t="str">
        <f t="shared" ca="1" si="2"/>
        <v/>
      </c>
      <c r="M22" s="68">
        <f t="shared" ca="1" si="9"/>
        <v>16</v>
      </c>
      <c r="N22" s="128">
        <v>21</v>
      </c>
      <c r="O22" s="128" t="str">
        <f t="shared" ca="1" si="3"/>
        <v>Bowers M</v>
      </c>
      <c r="P22" s="128">
        <f t="shared" ca="1" si="4"/>
        <v>2</v>
      </c>
      <c r="Q22" s="128">
        <f t="shared" ca="1" si="5"/>
        <v>1</v>
      </c>
      <c r="R22" s="128" t="str">
        <f t="shared" ca="1" si="6"/>
        <v>10*</v>
      </c>
      <c r="S22" s="128">
        <f t="shared" ca="1" si="7"/>
        <v>11</v>
      </c>
      <c r="T22" s="130">
        <f t="shared" ca="1" si="8"/>
        <v>11</v>
      </c>
      <c r="V22" s="167" t="s">
        <v>695</v>
      </c>
      <c r="W22" s="68" t="s">
        <v>212</v>
      </c>
    </row>
    <row r="23" spans="1:23" ht="12.75" x14ac:dyDescent="0.15">
      <c r="A23" s="68">
        <v>22</v>
      </c>
      <c r="B23" s="68" t="str">
        <f ca="1">OFFSET(Batting!$C$4,BatAves!$I23,0)</f>
        <v>Edghill R</v>
      </c>
      <c r="C23" s="72">
        <f ca="1">OFFSET(Batting!$CE$4,BatAves!$I23,0)</f>
        <v>9</v>
      </c>
      <c r="D23" s="72">
        <f ca="1">OFFSET(Batting!$CG$4,BatAves!$I23,0)</f>
        <v>6</v>
      </c>
      <c r="E23" s="72">
        <f ca="1">OFFSET(Batting!$CH$4,BatAves!$I23,0)</f>
        <v>2</v>
      </c>
      <c r="F23" s="72">
        <f ca="1">OFFSET(Batting!$CJ$4,BatAves!$I23,0)</f>
        <v>9</v>
      </c>
      <c r="G23" s="72">
        <f ca="1">OFFSET(Batting!$CK$4,BatAves!$I23,0)</f>
        <v>24</v>
      </c>
      <c r="H23" s="76">
        <f ca="1">OFFSET(Batting!$CL$4,BatAves!$I23,0)</f>
        <v>6</v>
      </c>
      <c r="I23" s="68">
        <f>MATCH(A23,Batting!$DF$5:$DF$44,0)</f>
        <v>10</v>
      </c>
      <c r="J23" s="68">
        <f t="shared" ca="1" si="0"/>
        <v>22</v>
      </c>
      <c r="K23" s="68">
        <f t="shared" ca="1" si="1"/>
        <v>14</v>
      </c>
      <c r="L23" s="68" t="str">
        <f t="shared" ca="1" si="2"/>
        <v/>
      </c>
      <c r="M23" s="68">
        <f t="shared" ca="1" si="9"/>
        <v>17</v>
      </c>
      <c r="N23" s="128">
        <v>22</v>
      </c>
      <c r="O23" s="128" t="str">
        <f t="shared" ca="1" si="3"/>
        <v>Mustafa M</v>
      </c>
      <c r="P23" s="128">
        <f t="shared" ca="1" si="4"/>
        <v>1</v>
      </c>
      <c r="Q23" s="128">
        <f t="shared" ca="1" si="5"/>
        <v>0</v>
      </c>
      <c r="R23" s="128">
        <f t="shared" ca="1" si="6"/>
        <v>11</v>
      </c>
      <c r="S23" s="128">
        <f t="shared" ca="1" si="7"/>
        <v>11</v>
      </c>
      <c r="T23" s="130">
        <f t="shared" ca="1" si="8"/>
        <v>11</v>
      </c>
      <c r="V23" s="167" t="s">
        <v>710</v>
      </c>
      <c r="W23" s="136"/>
    </row>
    <row r="24" spans="1:23" ht="12.75" x14ac:dyDescent="0.15">
      <c r="A24" s="68">
        <v>23</v>
      </c>
      <c r="B24" s="68" t="str">
        <f ca="1">OFFSET(Batting!$C$4,BatAves!$I24,0)</f>
        <v>Nair S</v>
      </c>
      <c r="C24" s="72">
        <f ca="1">OFFSET(Batting!$CE$4,BatAves!$I24,0)</f>
        <v>1</v>
      </c>
      <c r="D24" s="72">
        <f ca="1">OFFSET(Batting!$CG$4,BatAves!$I24,0)</f>
        <v>1</v>
      </c>
      <c r="E24" s="72">
        <f ca="1">OFFSET(Batting!$CH$4,BatAves!$I24,0)</f>
        <v>0</v>
      </c>
      <c r="F24" s="72">
        <f ca="1">OFFSET(Batting!$CJ$4,BatAves!$I24,0)</f>
        <v>2</v>
      </c>
      <c r="G24" s="72">
        <f ca="1">OFFSET(Batting!$CK$4,BatAves!$I24,0)</f>
        <v>2</v>
      </c>
      <c r="H24" s="76">
        <f ca="1">OFFSET(Batting!$CL$4,BatAves!$I24,0)</f>
        <v>2</v>
      </c>
      <c r="I24" s="68">
        <f>MATCH(A24,Batting!$DF$5:$DF$44,0)</f>
        <v>24</v>
      </c>
      <c r="J24" s="68">
        <f t="shared" ca="1" si="0"/>
        <v>1023</v>
      </c>
      <c r="K24" s="68">
        <f t="shared" ca="1" si="1"/>
        <v>23</v>
      </c>
      <c r="L24" s="68" t="str">
        <f t="shared" ca="1" si="2"/>
        <v>Nair S 1-0-2-2</v>
      </c>
      <c r="M24" s="68">
        <f t="shared" ca="1" si="9"/>
        <v>23</v>
      </c>
      <c r="N24" s="128">
        <v>23</v>
      </c>
      <c r="O24" s="128" t="str">
        <f t="shared" ca="1" si="3"/>
        <v>Nair S</v>
      </c>
      <c r="P24" s="128">
        <f t="shared" ca="1" si="4"/>
        <v>1</v>
      </c>
      <c r="Q24" s="128">
        <f t="shared" ca="1" si="5"/>
        <v>0</v>
      </c>
      <c r="R24" s="128">
        <f t="shared" ca="1" si="6"/>
        <v>2</v>
      </c>
      <c r="S24" s="128">
        <f t="shared" ca="1" si="7"/>
        <v>2</v>
      </c>
      <c r="T24" s="130">
        <f t="shared" ca="1" si="8"/>
        <v>2</v>
      </c>
      <c r="V24" s="167" t="s">
        <v>706</v>
      </c>
      <c r="W24" s="136"/>
    </row>
    <row r="25" spans="1:23" ht="12.75" x14ac:dyDescent="0.15">
      <c r="A25" s="68">
        <v>24</v>
      </c>
      <c r="B25" s="68" t="str">
        <f ca="1">OFFSET(Batting!$C$4,BatAves!$I25,0)</f>
        <v>Pascoe T</v>
      </c>
      <c r="C25" s="72">
        <f ca="1">OFFSET(Batting!$CE$4,BatAves!$I25,0)</f>
        <v>5</v>
      </c>
      <c r="D25" s="72">
        <f ca="1">OFFSET(Batting!$CG$4,BatAves!$I25,0)</f>
        <v>4</v>
      </c>
      <c r="E25" s="72">
        <f ca="1">OFFSET(Batting!$CH$4,BatAves!$I25,0)</f>
        <v>0</v>
      </c>
      <c r="F25" s="72">
        <f ca="1">OFFSET(Batting!$CJ$4,BatAves!$I25,0)</f>
        <v>3</v>
      </c>
      <c r="G25" s="72">
        <f ca="1">OFFSET(Batting!$CK$4,BatAves!$I25,0)</f>
        <v>6</v>
      </c>
      <c r="H25" s="76">
        <f ca="1">OFFSET(Batting!$CL$4,BatAves!$I25,0)</f>
        <v>1.5</v>
      </c>
      <c r="I25" s="68">
        <f>MATCH(A25,Batting!$DF$5:$DF$44,0)</f>
        <v>28</v>
      </c>
      <c r="J25" s="68">
        <f t="shared" ca="1" si="0"/>
        <v>1024</v>
      </c>
      <c r="K25" s="68">
        <f t="shared" ca="1" si="1"/>
        <v>24</v>
      </c>
      <c r="L25" s="68" t="str">
        <f t="shared" ca="1" si="2"/>
        <v>Pascoe T 4-0-3-6</v>
      </c>
      <c r="M25" s="68">
        <f t="shared" ca="1" si="9"/>
        <v>24</v>
      </c>
      <c r="N25" s="128">
        <v>24</v>
      </c>
      <c r="O25" s="128" t="str">
        <f t="shared" ca="1" si="3"/>
        <v>Pascoe T</v>
      </c>
      <c r="P25" s="128">
        <f t="shared" ca="1" si="4"/>
        <v>4</v>
      </c>
      <c r="Q25" s="128">
        <f t="shared" ca="1" si="5"/>
        <v>0</v>
      </c>
      <c r="R25" s="128">
        <f t="shared" ca="1" si="6"/>
        <v>3</v>
      </c>
      <c r="S25" s="128">
        <f t="shared" ca="1" si="7"/>
        <v>6</v>
      </c>
      <c r="T25" s="130">
        <f t="shared" ca="1" si="8"/>
        <v>1.5</v>
      </c>
      <c r="V25" s="167" t="s">
        <v>696</v>
      </c>
      <c r="W25" s="68" t="s">
        <v>212</v>
      </c>
    </row>
    <row r="26" spans="1:23" ht="12.75" x14ac:dyDescent="0.15">
      <c r="A26" s="68">
        <v>25</v>
      </c>
      <c r="B26" s="68" t="str">
        <f ca="1">OFFSET(Batting!$C$4,BatAves!$I26,0)</f>
        <v>Mander A</v>
      </c>
      <c r="C26" s="72">
        <f ca="1">OFFSET(Batting!$CE$4,BatAves!$I26,0)</f>
        <v>8</v>
      </c>
      <c r="D26" s="72">
        <f ca="1">OFFSET(Batting!$CG$4,BatAves!$I26,0)</f>
        <v>2</v>
      </c>
      <c r="E26" s="72">
        <f ca="1">OFFSET(Batting!$CH$4,BatAves!$I26,0)</f>
        <v>0</v>
      </c>
      <c r="F26" s="72">
        <f ca="1">OFFSET(Batting!$CJ$4,BatAves!$I26,0)</f>
        <v>3</v>
      </c>
      <c r="G26" s="72">
        <f ca="1">OFFSET(Batting!$CK$4,BatAves!$I26,0)</f>
        <v>3</v>
      </c>
      <c r="H26" s="76">
        <f ca="1">OFFSET(Batting!$CL$4,BatAves!$I26,0)</f>
        <v>1.5</v>
      </c>
      <c r="I26" s="68">
        <f>MATCH(A26,Batting!$DF$5:$DF$44,0)</f>
        <v>21</v>
      </c>
      <c r="J26" s="68">
        <f t="shared" ca="1" si="0"/>
        <v>1025</v>
      </c>
      <c r="K26" s="68">
        <f t="shared" ca="1" si="1"/>
        <v>25</v>
      </c>
      <c r="L26" s="68" t="str">
        <f t="shared" ca="1" si="2"/>
        <v>Mander A 2-0-3-3</v>
      </c>
      <c r="M26" s="68">
        <f t="shared" ca="1" si="9"/>
        <v>25</v>
      </c>
      <c r="N26" s="128">
        <v>25</v>
      </c>
      <c r="O26" s="128" t="str">
        <f t="shared" ca="1" si="3"/>
        <v>Mander A</v>
      </c>
      <c r="P26" s="128">
        <f t="shared" ca="1" si="4"/>
        <v>2</v>
      </c>
      <c r="Q26" s="128">
        <f t="shared" ca="1" si="5"/>
        <v>0</v>
      </c>
      <c r="R26" s="128">
        <f t="shared" ca="1" si="6"/>
        <v>3</v>
      </c>
      <c r="S26" s="128">
        <f t="shared" ca="1" si="7"/>
        <v>3</v>
      </c>
      <c r="T26" s="130">
        <f t="shared" ca="1" si="8"/>
        <v>1.5</v>
      </c>
      <c r="V26" s="167" t="s">
        <v>713</v>
      </c>
      <c r="W26" s="136"/>
    </row>
    <row r="27" spans="1:23" ht="12.75" x14ac:dyDescent="0.15">
      <c r="A27" s="68">
        <v>26</v>
      </c>
      <c r="B27" s="68" t="str">
        <f ca="1">OFFSET(Batting!$C$4,BatAves!$I27,0)</f>
        <v>Kiernan M</v>
      </c>
      <c r="C27" s="72">
        <f ca="1">OFFSET(Batting!$CE$4,BatAves!$I27,0)</f>
        <v>5</v>
      </c>
      <c r="D27" s="72">
        <f ca="1">OFFSET(Batting!$CG$4,BatAves!$I27,0)</f>
        <v>1</v>
      </c>
      <c r="E27" s="72">
        <f ca="1">OFFSET(Batting!$CH$4,BatAves!$I27,0)</f>
        <v>0</v>
      </c>
      <c r="F27" s="72">
        <f ca="1">OFFSET(Batting!$CJ$4,BatAves!$I27,0)</f>
        <v>0</v>
      </c>
      <c r="G27" s="72">
        <f ca="1">OFFSET(Batting!$CK$4,BatAves!$I27,0)</f>
        <v>0</v>
      </c>
      <c r="H27" s="76">
        <f ca="1">OFFSET(Batting!$CL$4,BatAves!$I27,0)</f>
        <v>0</v>
      </c>
      <c r="I27" s="68">
        <f>MATCH(A27,Batting!$DF$5:$DF$44,0)</f>
        <v>15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Kiernan M 1-0-0-0</v>
      </c>
      <c r="M27" s="68">
        <f t="shared" ca="1" si="9"/>
        <v>26</v>
      </c>
      <c r="N27" s="128">
        <v>26</v>
      </c>
      <c r="O27" s="128" t="str">
        <f t="shared" ca="1" si="3"/>
        <v>Kiernan M</v>
      </c>
      <c r="P27" s="128">
        <f t="shared" ca="1" si="4"/>
        <v>1</v>
      </c>
      <c r="Q27" s="128">
        <f t="shared" ca="1" si="5"/>
        <v>0</v>
      </c>
      <c r="R27" s="128">
        <f t="shared" ca="1" si="6"/>
        <v>0</v>
      </c>
      <c r="S27" s="128">
        <f t="shared" ca="1" si="7"/>
        <v>0</v>
      </c>
      <c r="T27" s="130">
        <f t="shared" ca="1" si="8"/>
        <v>0</v>
      </c>
      <c r="V27" s="167" t="s">
        <v>697</v>
      </c>
      <c r="W27" s="68" t="s">
        <v>212</v>
      </c>
    </row>
    <row r="28" spans="1:23" ht="12.75" x14ac:dyDescent="0.15">
      <c r="A28" s="68">
        <v>27</v>
      </c>
      <c r="B28" s="68" t="str">
        <f ca="1">OFFSET(Batting!$C$4,BatAves!$I28,0)</f>
        <v>Clark C</v>
      </c>
      <c r="C28" s="72">
        <f ca="1">OFFSET(Batting!$CE$4,BatAves!$I28,0)</f>
        <v>4</v>
      </c>
      <c r="D28" s="72">
        <f ca="1">OFFSET(Batting!$CG$4,BatAves!$I28,0)</f>
        <v>1</v>
      </c>
      <c r="E28" s="72">
        <f ca="1">OFFSET(Batting!$CH$4,BatAves!$I28,0)</f>
        <v>1</v>
      </c>
      <c r="F28" s="72" t="str">
        <f ca="1">OFFSET(Batting!$CJ$4,BatAves!$I28,0)</f>
        <v>7*</v>
      </c>
      <c r="G28" s="72">
        <f ca="1">OFFSET(Batting!$CK$4,BatAves!$I28,0)</f>
        <v>7</v>
      </c>
      <c r="H28" s="76">
        <f ca="1">OFFSET(Batting!$CL$4,BatAves!$I28,0)</f>
        <v>0</v>
      </c>
      <c r="I28" s="68">
        <f>MATCH(A28,Batting!$DF$5:$DF$44,0)</f>
        <v>5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Clark C 1-1-7*-7</v>
      </c>
      <c r="M28" s="68">
        <f t="shared" ca="1" si="9"/>
        <v>27</v>
      </c>
      <c r="N28" s="128">
        <v>27</v>
      </c>
      <c r="O28" s="128" t="str">
        <f t="shared" ca="1" si="3"/>
        <v>Clark C</v>
      </c>
      <c r="P28" s="128">
        <f t="shared" ca="1" si="4"/>
        <v>1</v>
      </c>
      <c r="Q28" s="128">
        <f t="shared" ca="1" si="5"/>
        <v>1</v>
      </c>
      <c r="R28" s="128" t="str">
        <f t="shared" ca="1" si="6"/>
        <v>7*</v>
      </c>
      <c r="S28" s="128">
        <f t="shared" ca="1" si="7"/>
        <v>7</v>
      </c>
      <c r="T28" s="130">
        <f t="shared" ca="1" si="8"/>
        <v>0</v>
      </c>
      <c r="V28" s="167" t="s">
        <v>705</v>
      </c>
    </row>
    <row r="29" spans="1:23" ht="12.75" x14ac:dyDescent="0.15">
      <c r="A29" s="68">
        <v>28</v>
      </c>
      <c r="B29" s="68" t="str">
        <f ca="1">OFFSET(Batting!$C$4,BatAves!$I29,0)</f>
        <v>Snow D</v>
      </c>
      <c r="C29" s="72">
        <f ca="1">OFFSET(Batting!$CE$4,BatAves!$I29,0)</f>
        <v>2</v>
      </c>
      <c r="D29" s="72">
        <f ca="1">OFFSET(Batting!$CG$4,BatAves!$I29,0)</f>
        <v>1</v>
      </c>
      <c r="E29" s="72">
        <f ca="1">OFFSET(Batting!$CH$4,BatAves!$I29,0)</f>
        <v>0</v>
      </c>
      <c r="F29" s="72">
        <f ca="1">OFFSET(Batting!$CJ$4,BatAves!$I29,0)</f>
        <v>0</v>
      </c>
      <c r="G29" s="72">
        <f ca="1">OFFSET(Batting!$CK$4,BatAves!$I29,0)</f>
        <v>0</v>
      </c>
      <c r="H29" s="76">
        <f ca="1">OFFSET(Batting!$CL$4,BatAves!$I29,0)</f>
        <v>0</v>
      </c>
      <c r="I29" s="68">
        <f>MATCH(A29,Batting!$DF$5:$DF$44,0)</f>
        <v>32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Snow D 1-0-0-0</v>
      </c>
      <c r="M29" s="68">
        <f t="shared" ca="1" si="9"/>
        <v>28</v>
      </c>
      <c r="N29" s="128">
        <v>28</v>
      </c>
      <c r="O29" s="128" t="str">
        <f t="shared" ca="1" si="3"/>
        <v>Snow D</v>
      </c>
      <c r="P29" s="128">
        <f t="shared" ca="1" si="4"/>
        <v>1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67" t="s">
        <v>702</v>
      </c>
    </row>
    <row r="30" spans="1:23" ht="12.75" x14ac:dyDescent="0.15">
      <c r="A30" s="68">
        <v>29</v>
      </c>
      <c r="B30" s="68" t="str">
        <f ca="1">OFFSET(Batting!$C$4,BatAves!$I30,0)</f>
        <v>Stevenson R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1</v>
      </c>
      <c r="F30" s="72" t="str">
        <f ca="1">OFFSET(Batting!$CJ$4,BatAves!$I30,0)</f>
        <v>64*</v>
      </c>
      <c r="G30" s="72">
        <f ca="1">OFFSET(Batting!$CK$4,BatAves!$I30,0)</f>
        <v>64</v>
      </c>
      <c r="H30" s="76">
        <f ca="1">OFFSET(Batting!$CL$4,BatAves!$I30,0)</f>
        <v>0</v>
      </c>
      <c r="I30" s="68">
        <f>MATCH(A30,Batting!$DF$5:$DF$44,0)</f>
        <v>35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Stevenson R 1-1-64*-64</v>
      </c>
      <c r="M30" s="68">
        <f t="shared" ca="1" si="9"/>
        <v>29</v>
      </c>
      <c r="N30" s="128">
        <v>29</v>
      </c>
      <c r="O30" s="128" t="str">
        <f t="shared" ca="1" si="3"/>
        <v>Stevenson R</v>
      </c>
      <c r="P30" s="128">
        <f t="shared" ca="1" si="4"/>
        <v>1</v>
      </c>
      <c r="Q30" s="128">
        <f t="shared" ca="1" si="5"/>
        <v>1</v>
      </c>
      <c r="R30" s="128" t="str">
        <f t="shared" ca="1" si="6"/>
        <v>64*</v>
      </c>
      <c r="S30" s="128">
        <f t="shared" ca="1" si="7"/>
        <v>64</v>
      </c>
      <c r="T30" s="130">
        <f t="shared" ca="1" si="8"/>
        <v>0</v>
      </c>
      <c r="V30" s="167" t="s">
        <v>703</v>
      </c>
      <c r="W30" s="68" t="s">
        <v>212</v>
      </c>
    </row>
    <row r="31" spans="1:23" ht="12.75" x14ac:dyDescent="0.15">
      <c r="A31" s="68">
        <v>30</v>
      </c>
      <c r="B31" s="68" t="str">
        <f ca="1">OFFSET(Batting!$C$4,BatAves!$I31,0)</f>
        <v>Heffernan S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1</v>
      </c>
      <c r="F31" s="72" t="str">
        <f ca="1">OFFSET(Batting!$CJ$4,BatAves!$I31,0)</f>
        <v>4*</v>
      </c>
      <c r="G31" s="72">
        <f ca="1">OFFSET(Batting!$CK$4,BatAves!$I31,0)</f>
        <v>4</v>
      </c>
      <c r="H31" s="76">
        <f ca="1">OFFSET(Batting!$CL$4,BatAves!$I31,0)</f>
        <v>0</v>
      </c>
      <c r="I31" s="68">
        <f>MATCH(A31,Batting!$DF$5:$DF$44,0)</f>
        <v>14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Heffernan S 1-1-4*-4</v>
      </c>
      <c r="M31" s="68">
        <f t="shared" ca="1" si="9"/>
        <v>30</v>
      </c>
      <c r="N31" s="128">
        <v>30</v>
      </c>
      <c r="O31" s="128" t="str">
        <f t="shared" ca="1" si="3"/>
        <v>Heffernan S</v>
      </c>
      <c r="P31" s="128">
        <f t="shared" ca="1" si="4"/>
        <v>1</v>
      </c>
      <c r="Q31" s="128">
        <f t="shared" ca="1" si="5"/>
        <v>1</v>
      </c>
      <c r="R31" s="128" t="str">
        <f t="shared" ca="1" si="6"/>
        <v>4*</v>
      </c>
      <c r="S31" s="128">
        <f t="shared" ca="1" si="7"/>
        <v>4</v>
      </c>
      <c r="T31" s="130">
        <f t="shared" ca="1" si="8"/>
        <v>0</v>
      </c>
      <c r="V31" s="167" t="s">
        <v>698</v>
      </c>
      <c r="W31" s="68" t="s">
        <v>212</v>
      </c>
    </row>
    <row r="32" spans="1:23" ht="12.75" x14ac:dyDescent="0.15">
      <c r="A32" s="68">
        <v>31</v>
      </c>
      <c r="B32" s="68" t="str">
        <f ca="1">OFFSET(Batting!$C$4,BatAves!$I32,0)</f>
        <v>Wiseman R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MATCH(A32,Batting!$DF$5:$DF$44,0)</f>
        <v>39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Wiseman R 1-0-0-0</v>
      </c>
      <c r="M32" s="68">
        <f t="shared" ca="1" si="9"/>
        <v>31</v>
      </c>
      <c r="N32" s="128">
        <v>31</v>
      </c>
      <c r="O32" s="128" t="str">
        <f t="shared" ca="1" si="3"/>
        <v>Wiseman R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167" t="s">
        <v>704</v>
      </c>
    </row>
    <row r="33" spans="1:23" ht="12.75" x14ac:dyDescent="0.15">
      <c r="A33" s="68">
        <v>32</v>
      </c>
      <c r="B33" s="68" t="str">
        <f ca="1">OFFSET(Batting!$C$4,BatAves!$I33,0)</f>
        <v>Winter T</v>
      </c>
      <c r="C33" s="72">
        <f ca="1">OFFSET(Batting!$CE$4,BatAves!$I33,0)</f>
        <v>1</v>
      </c>
      <c r="D33" s="72">
        <f ca="1">OFFSET(Batting!$CG$4,BatAves!$I33,0)</f>
        <v>1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MATCH(A33,Batting!$DF$5:$DF$44,0)</f>
        <v>38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Winter T 1-0-0-0</v>
      </c>
      <c r="M33" s="68">
        <f t="shared" ca="1" si="9"/>
        <v>32</v>
      </c>
      <c r="N33" s="128">
        <v>32</v>
      </c>
      <c r="O33" s="128" t="str">
        <f t="shared" ca="1" si="3"/>
        <v>Winter T</v>
      </c>
      <c r="P33" s="128">
        <f t="shared" ca="1" si="4"/>
        <v>1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7" t="s">
        <v>708</v>
      </c>
    </row>
    <row r="34" spans="1:23" ht="12.75" x14ac:dyDescent="0.15">
      <c r="A34" s="68">
        <v>33</v>
      </c>
      <c r="B34" s="68" t="str">
        <f ca="1">OFFSET(Batting!$C$4,BatAves!$I34,0)</f>
        <v>Lindsay B</v>
      </c>
      <c r="C34" s="72">
        <f ca="1">OFFSET(Batting!$CE$4,BatAves!$I34,0)</f>
        <v>1</v>
      </c>
      <c r="D34" s="72">
        <f ca="1">OFFSET(Batting!$CG$4,BatAves!$I34,0)</f>
        <v>1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MATCH(A34,Batting!$DF$5:$DF$44,0)</f>
        <v>19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Lindsay B 1-0-0-0</v>
      </c>
      <c r="M34" s="68">
        <f t="shared" ca="1" si="9"/>
        <v>33</v>
      </c>
      <c r="N34" s="128">
        <v>33</v>
      </c>
      <c r="O34" s="128" t="str">
        <f t="shared" ca="1" si="3"/>
        <v>Lindsay B</v>
      </c>
      <c r="P34" s="128">
        <f t="shared" ca="1" si="4"/>
        <v>1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7" t="s">
        <v>709</v>
      </c>
    </row>
    <row r="35" spans="1:23" ht="12.75" x14ac:dyDescent="0.15">
      <c r="A35" s="68">
        <v>34</v>
      </c>
      <c r="B35" s="68" t="str">
        <f ca="1">OFFSET(Batting!$C$4,BatAves!$I35,0)</f>
        <v>Adams L</v>
      </c>
      <c r="C35" s="72">
        <f ca="1">OFFSET(Batting!$CE$4,BatAves!$I35,0)</f>
        <v>1</v>
      </c>
      <c r="D35" s="72">
        <f ca="1">OFFSET(Batting!$CG$4,BatAves!$I35,0)</f>
        <v>1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MATCH(A35,Batting!$DF$5:$DF$44,0)</f>
        <v>1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Adams L 1-0-0-0</v>
      </c>
      <c r="M35" s="68">
        <f t="shared" ca="1" si="9"/>
        <v>34</v>
      </c>
      <c r="N35" s="128">
        <v>34</v>
      </c>
      <c r="O35" s="128" t="str">
        <f t="shared" ca="1" si="3"/>
        <v>Adams L</v>
      </c>
      <c r="P35" s="128">
        <f t="shared" ca="1" si="4"/>
        <v>1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V35" s="167" t="s">
        <v>700</v>
      </c>
    </row>
    <row r="36" spans="1:23" ht="12.75" x14ac:dyDescent="0.15">
      <c r="A36" s="68">
        <v>35</v>
      </c>
      <c r="B36" s="68" t="str">
        <f ca="1">OFFSET(Batting!$C$4,BatAves!$I36,0)</f>
        <v>Stevenson E</v>
      </c>
      <c r="C36" s="72">
        <f ca="1">OFFSET(Batting!$CE$4,BatAves!$I36,0)</f>
        <v>1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MATCH(A36,Batting!$DF$5:$DF$44,0)</f>
        <v>34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Stevenson E 0-0-0-0</v>
      </c>
      <c r="M36" s="68">
        <f t="shared" ca="1" si="9"/>
        <v>35</v>
      </c>
      <c r="N36" s="128">
        <v>35</v>
      </c>
      <c r="O36" s="128" t="str">
        <f t="shared" ca="1" si="3"/>
        <v>Stevenson E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167" t="s">
        <v>712</v>
      </c>
      <c r="W36" s="136"/>
    </row>
    <row r="37" spans="1:23" ht="12.75" x14ac:dyDescent="0.15">
      <c r="A37" s="68">
        <v>36</v>
      </c>
      <c r="B37" s="68" t="str">
        <f ca="1">OFFSET(Batting!$C$4,BatAves!$I37,0)</f>
        <v>Lestrelle J</v>
      </c>
      <c r="C37" s="72">
        <f ca="1">OFFSET(Batting!$CE$4,BatAves!$I37,0)</f>
        <v>0</v>
      </c>
      <c r="D37" s="72">
        <f ca="1">OFFSET(Batting!$CG$4,BatAves!$I37,0)</f>
        <v>0</v>
      </c>
      <c r="E37" s="72">
        <f ca="1">OFFSET(Batting!$CH$4,BatAves!$I37,0)</f>
        <v>0</v>
      </c>
      <c r="F37" s="72">
        <f ca="1">OFFSET(Batting!$CJ$4,BatAves!$I37,0)</f>
        <v>0</v>
      </c>
      <c r="G37" s="72">
        <f ca="1">OFFSET(Batting!$CK$4,BatAves!$I37,0)</f>
        <v>0</v>
      </c>
      <c r="H37" s="76">
        <f ca="1">OFFSET(Batting!$CL$4,BatAves!$I37,0)</f>
        <v>0</v>
      </c>
      <c r="I37" s="68">
        <f>MATCH(A37,Batting!$DF$5:$DF$44,0)</f>
        <v>18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Lestrelle J 0-0-0-0</v>
      </c>
      <c r="M37" s="68">
        <f t="shared" ca="1" si="9"/>
        <v>36</v>
      </c>
      <c r="N37" s="128">
        <v>36</v>
      </c>
      <c r="O37" s="128" t="str">
        <f t="shared" ca="1" si="3"/>
        <v>Lestrelle J</v>
      </c>
      <c r="P37" s="128">
        <f t="shared" ca="1" si="4"/>
        <v>0</v>
      </c>
      <c r="Q37" s="128">
        <f t="shared" ca="1" si="5"/>
        <v>0</v>
      </c>
      <c r="R37" s="128">
        <f t="shared" ca="1" si="6"/>
        <v>0</v>
      </c>
      <c r="S37" s="128">
        <f t="shared" ca="1" si="7"/>
        <v>0</v>
      </c>
      <c r="T37" s="130">
        <f t="shared" ca="1" si="8"/>
        <v>0</v>
      </c>
      <c r="V37" s="167" t="s">
        <v>711</v>
      </c>
      <c r="W37" s="136"/>
    </row>
    <row r="38" spans="1:23" ht="12.75" x14ac:dyDescent="0.15">
      <c r="A38" s="68">
        <v>37</v>
      </c>
      <c r="B38" s="68" t="str">
        <f ca="1">OFFSET(Batting!$C$4,BatAves!$I38,0)</f>
        <v>Lestrelle A</v>
      </c>
      <c r="C38" s="72">
        <f ca="1">OFFSET(Batting!$CE$4,BatAves!$I38,0)</f>
        <v>0</v>
      </c>
      <c r="D38" s="72">
        <f ca="1">OFFSET(Batting!$CG$4,BatAves!$I38,0)</f>
        <v>0</v>
      </c>
      <c r="E38" s="72">
        <f ca="1">OFFSET(Batting!$CH$4,BatAves!$I38,0)</f>
        <v>0</v>
      </c>
      <c r="F38" s="72">
        <f ca="1">OFFSET(Batting!$CJ$4,BatAves!$I38,0)</f>
        <v>0</v>
      </c>
      <c r="G38" s="72">
        <f ca="1">OFFSET(Batting!$CK$4,BatAves!$I38,0)</f>
        <v>0</v>
      </c>
      <c r="H38" s="76">
        <f ca="1">OFFSET(Batting!$CL$4,BatAves!$I38,0)</f>
        <v>0</v>
      </c>
      <c r="I38" s="68">
        <f>MATCH(A38,Batting!$DF$5:$DF$44,0)</f>
        <v>17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Lestrelle A 0-0-0-0</v>
      </c>
      <c r="M38" s="68">
        <f t="shared" ca="1" si="9"/>
        <v>37</v>
      </c>
      <c r="N38" s="128">
        <v>37</v>
      </c>
      <c r="O38" s="128" t="str">
        <f t="shared" ca="1" si="3"/>
        <v>Lestrelle A</v>
      </c>
      <c r="P38" s="128">
        <f t="shared" ca="1" si="4"/>
        <v>0</v>
      </c>
      <c r="Q38" s="128">
        <f t="shared" ca="1" si="5"/>
        <v>0</v>
      </c>
      <c r="R38" s="128">
        <f t="shared" ca="1" si="6"/>
        <v>0</v>
      </c>
      <c r="S38" s="128">
        <f t="shared" ca="1" si="7"/>
        <v>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Goedhart J</v>
      </c>
      <c r="C39" s="72">
        <f ca="1">OFFSET(Batting!$CE$4,BatAves!$I39,0)</f>
        <v>0</v>
      </c>
      <c r="D39" s="72">
        <f ca="1">OFFSET(Batting!$CG$4,BatAves!$I39,0)</f>
        <v>0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MATCH(A39,Batting!$DF$5:$DF$44,0)</f>
        <v>13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Goedhart J 0-0-0-0</v>
      </c>
      <c r="M39" s="68">
        <f t="shared" ca="1" si="9"/>
        <v>38</v>
      </c>
      <c r="N39" s="128">
        <v>38</v>
      </c>
      <c r="O39" s="128" t="str">
        <f t="shared" ca="1" si="3"/>
        <v>Goedhart J</v>
      </c>
      <c r="P39" s="128">
        <f t="shared" ca="1" si="4"/>
        <v>0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Farmer M</v>
      </c>
      <c r="C40" s="72">
        <f ca="1">OFFSET(Batting!$CE$4,BatAves!$I40,0)</f>
        <v>0</v>
      </c>
      <c r="D40" s="72">
        <f ca="1">OFFSET(Batting!$CG$4,BatAves!$I40,0)</f>
        <v>0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MATCH(A40,Batting!$DF$5:$DF$44,0)</f>
        <v>12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Farmer M 0-0-0-0</v>
      </c>
      <c r="M40" s="68">
        <f t="shared" ca="1" si="9"/>
        <v>39</v>
      </c>
      <c r="N40" s="128">
        <v>39</v>
      </c>
      <c r="O40" s="128" t="str">
        <f t="shared" ca="1" si="3"/>
        <v>Farmer M</v>
      </c>
      <c r="P40" s="128">
        <f t="shared" ca="1" si="4"/>
        <v>0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de Souza C</v>
      </c>
      <c r="C41" s="72">
        <f ca="1">OFFSET(Batting!$CE$4,BatAves!$I41,0)</f>
        <v>0</v>
      </c>
      <c r="D41" s="72">
        <f ca="1">OFFSET(Batting!$CG$4,BatAves!$I41,0)</f>
        <v>0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MATCH(A41,Batting!$DF$5:$DF$44,0)</f>
        <v>7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de Souza C 0-0-0-0</v>
      </c>
      <c r="M41" s="68">
        <f t="shared" ca="1" si="9"/>
        <v>40</v>
      </c>
      <c r="N41" s="128">
        <v>40</v>
      </c>
      <c r="O41" s="128" t="str">
        <f t="shared" ca="1" si="3"/>
        <v>de Souza C</v>
      </c>
      <c r="P41" s="128">
        <f t="shared" ca="1" si="4"/>
        <v>0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OFFSET(Batting!$CE$4,BatAves!$I42,0)</f>
        <v>#N/A</v>
      </c>
      <c r="D42" s="72" t="e">
        <f ca="1">OFFSET(Batting!$CG$4,BatAves!$I42,0)</f>
        <v>#N/A</v>
      </c>
      <c r="E42" s="72" t="e">
        <f ca="1">OFFSET(Batting!$CH$4,BatAves!$I42,0)</f>
        <v>#N/A</v>
      </c>
      <c r="F42" s="72" t="e">
        <f ca="1">OFFSET(Batting!$CJ$4,BatAves!$I42,0)</f>
        <v>#N/A</v>
      </c>
      <c r="G42" s="72" t="e">
        <f ca="1">OFFSET(Batting!$CK$4,BatAves!$I42,0)</f>
        <v>#N/A</v>
      </c>
      <c r="H42" s="76" t="e">
        <f ca="1">OFFSET(Batting!$CL$4,BatAves!$I42,0)</f>
        <v>#N/A</v>
      </c>
      <c r="I42" s="68" t="e">
        <f>MATCH(A42,Batting!$DF$5:$DF$44,0)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9"/>
        <v>#N/A</v>
      </c>
      <c r="N42" s="124">
        <v>41</v>
      </c>
      <c r="O42" s="124" t="e">
        <f t="shared" ca="1" si="3"/>
        <v>#N/A</v>
      </c>
      <c r="P42" s="124" t="e">
        <f t="shared" ca="1" si="4"/>
        <v>#N/A</v>
      </c>
      <c r="Q42" s="124" t="e">
        <f t="shared" ca="1" si="5"/>
        <v>#N/A</v>
      </c>
      <c r="R42" s="124" t="e">
        <f t="shared" ca="1" si="6"/>
        <v>#N/A</v>
      </c>
      <c r="S42" s="124" t="e">
        <f t="shared" ca="1" si="7"/>
        <v>#N/A</v>
      </c>
      <c r="T42" s="125" t="e">
        <f t="shared" ca="1" si="8"/>
        <v>#N/A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OFFSET(Batting!$CE$4,BatAves!$I43,0)</f>
        <v>#N/A</v>
      </c>
      <c r="D43" s="72" t="e">
        <f ca="1">OFFSET(Batting!$CG$4,BatAves!$I43,0)</f>
        <v>#N/A</v>
      </c>
      <c r="E43" s="72" t="e">
        <f ca="1">OFFSET(Batting!$CH$4,BatAves!$I43,0)</f>
        <v>#N/A</v>
      </c>
      <c r="F43" s="72" t="e">
        <f ca="1">OFFSET(Batting!$CJ$4,BatAves!$I43,0)</f>
        <v>#N/A</v>
      </c>
      <c r="G43" s="72" t="e">
        <f ca="1">OFFSET(Batting!$CK$4,BatAves!$I43,0)</f>
        <v>#N/A</v>
      </c>
      <c r="H43" s="76" t="e">
        <f ca="1">OFFSET(Batting!$CL$4,BatAves!$I43,0)</f>
        <v>#N/A</v>
      </c>
      <c r="I43" s="68" t="e">
        <f>MATCH(A43,Batting!$DF$5:$DF$44,0)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9"/>
        <v>#N/A</v>
      </c>
      <c r="N43" s="124">
        <v>42</v>
      </c>
      <c r="O43" s="124" t="e">
        <f t="shared" ca="1" si="3"/>
        <v>#N/A</v>
      </c>
      <c r="P43" s="124" t="e">
        <f t="shared" ca="1" si="4"/>
        <v>#N/A</v>
      </c>
      <c r="Q43" s="124" t="e">
        <f t="shared" ca="1" si="5"/>
        <v>#N/A</v>
      </c>
      <c r="R43" s="124" t="e">
        <f t="shared" ca="1" si="6"/>
        <v>#N/A</v>
      </c>
      <c r="S43" s="124" t="e">
        <f t="shared" ca="1" si="7"/>
        <v>#N/A</v>
      </c>
      <c r="T43" s="125" t="e">
        <f t="shared" ca="1" si="8"/>
        <v>#N/A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OFFSET(Batting!$CE$4,BatAves!$I44,0)</f>
        <v>#N/A</v>
      </c>
      <c r="D44" s="72" t="e">
        <f ca="1">OFFSET(Batting!$CG$4,BatAves!$I44,0)</f>
        <v>#N/A</v>
      </c>
      <c r="E44" s="72" t="e">
        <f ca="1">OFFSET(Batting!$CH$4,BatAves!$I44,0)</f>
        <v>#N/A</v>
      </c>
      <c r="F44" s="72" t="e">
        <f ca="1">OFFSET(Batting!$CJ$4,BatAves!$I44,0)</f>
        <v>#N/A</v>
      </c>
      <c r="G44" s="72" t="e">
        <f ca="1">OFFSET(Batting!$CK$4,BatAves!$I44,0)</f>
        <v>#N/A</v>
      </c>
      <c r="H44" s="76" t="e">
        <f ca="1">OFFSET(Batting!$CL$4,BatAves!$I44,0)</f>
        <v>#N/A</v>
      </c>
      <c r="I44" s="68" t="e">
        <f>MATCH(A44,Batting!$DF$5:$DF$44,0)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OFFSET(Batting!$CE$4,BatAves!$I45,0)</f>
        <v>#N/A</v>
      </c>
      <c r="D45" s="72" t="e">
        <f ca="1">OFFSET(Batting!$CG$4,BatAves!$I45,0)</f>
        <v>#N/A</v>
      </c>
      <c r="E45" s="72" t="e">
        <f ca="1">OFFSET(Batting!$CH$4,BatAves!$I45,0)</f>
        <v>#N/A</v>
      </c>
      <c r="F45" s="72" t="e">
        <f ca="1">OFFSET(Batting!$CJ$4,BatAves!$I45,0)</f>
        <v>#N/A</v>
      </c>
      <c r="G45" s="72" t="e">
        <f ca="1">OFFSET(Batting!$CK$4,BatAves!$I45,0)</f>
        <v>#N/A</v>
      </c>
      <c r="H45" s="76" t="e">
        <f ca="1">OFFSET(Batting!$CL$4,BatAves!$I45,0)</f>
        <v>#N/A</v>
      </c>
      <c r="I45" s="68" t="e">
        <f>MATCH(A45,Batting!$DF$5:$DF$44,0)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OFFSET(Batting!$CE$4,BatAves!$I46,0)</f>
        <v>#N/A</v>
      </c>
      <c r="D46" s="72" t="e">
        <f ca="1">OFFSET(Batting!$CG$4,BatAves!$I46,0)</f>
        <v>#N/A</v>
      </c>
      <c r="E46" s="72" t="e">
        <f ca="1">OFFSET(Batting!$CH$4,BatAves!$I46,0)</f>
        <v>#N/A</v>
      </c>
      <c r="F46" s="72" t="e">
        <f ca="1">OFFSET(Batting!$CJ$4,BatAves!$I46,0)</f>
        <v>#N/A</v>
      </c>
      <c r="G46" s="72" t="e">
        <f ca="1">OFFSET(Batting!$CK$4,BatAves!$I46,0)</f>
        <v>#N/A</v>
      </c>
      <c r="H46" s="76" t="e">
        <f ca="1">OFFSET(Batting!$CL$4,BatAves!$I46,0)</f>
        <v>#N/A</v>
      </c>
      <c r="I46" s="68" t="e">
        <f>MATCH(A46,Batting!$DF$5:$DF$44,0)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MATCH(A47,Batting!$DF$5:$DF$44,0)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212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MATCH(A48,Batting!$DF$5:$DF$44,0)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212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MATCH(A49,Batting!$DF$5:$DF$44,0)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212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MATCH(A50,Batting!$DF$5:$DF$44,0)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212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MATCH(A51,Batting!$DF$5:$DF$44,0)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212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MATCH(A52,Batting!$DF$5:$DF$44,0)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212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MATCH(A53,Batting!$DF$5:$DF$44,0)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212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MATCH(A54,Batting!$DF$5:$DF$44,0)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212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MATCH(A55,Batting!$DF$5:$DF$44,0)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212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MATCH(A56,Batting!$DF$5:$DF$44,0)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212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MATCH(A57,Batting!$DF$5:$DF$44,0)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212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MATCH(A58,Batting!$DF$5:$DF$44,0)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212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MATCH(A59,Batting!$DF$5:$DF$44,0)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212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MATCH(A60,Batting!$DF$5:$DF$44,0)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212</v>
      </c>
    </row>
    <row r="61" spans="1:15" x14ac:dyDescent="0.15">
      <c r="O61" s="126" t="s">
        <v>212</v>
      </c>
    </row>
    <row r="62" spans="1:15" x14ac:dyDescent="0.15">
      <c r="O62" s="126" t="s">
        <v>212</v>
      </c>
    </row>
    <row r="63" spans="1:15" x14ac:dyDescent="0.15">
      <c r="O63" s="126" t="s">
        <v>212</v>
      </c>
    </row>
    <row r="64" spans="1:15" x14ac:dyDescent="0.15">
      <c r="O64" s="126" t="s">
        <v>212</v>
      </c>
    </row>
    <row r="65" spans="15:15" x14ac:dyDescent="0.15">
      <c r="O65" s="126" t="s">
        <v>212</v>
      </c>
    </row>
    <row r="66" spans="15:15" x14ac:dyDescent="0.15">
      <c r="O66" s="126" t="s">
        <v>212</v>
      </c>
    </row>
    <row r="67" spans="15:15" x14ac:dyDescent="0.15">
      <c r="O67" s="126" t="s">
        <v>212</v>
      </c>
    </row>
    <row r="68" spans="15:15" x14ac:dyDescent="0.15">
      <c r="O68" s="126" t="s">
        <v>212</v>
      </c>
    </row>
    <row r="69" spans="15:15" x14ac:dyDescent="0.15">
      <c r="O69" s="126" t="s">
        <v>212</v>
      </c>
    </row>
    <row r="70" spans="15:15" x14ac:dyDescent="0.15">
      <c r="O70" s="126" t="s">
        <v>212</v>
      </c>
    </row>
    <row r="71" spans="15:15" x14ac:dyDescent="0.15">
      <c r="O71" s="126" t="s">
        <v>212</v>
      </c>
    </row>
    <row r="72" spans="15:15" x14ac:dyDescent="0.15">
      <c r="O72" s="126" t="s">
        <v>212</v>
      </c>
    </row>
    <row r="73" spans="15:15" x14ac:dyDescent="0.15">
      <c r="O73" s="126" t="s">
        <v>212</v>
      </c>
    </row>
    <row r="74" spans="15:15" x14ac:dyDescent="0.15">
      <c r="O74" s="126" t="s">
        <v>212</v>
      </c>
    </row>
    <row r="75" spans="15:15" x14ac:dyDescent="0.15">
      <c r="O75" s="126" t="s">
        <v>212</v>
      </c>
    </row>
    <row r="76" spans="15:15" x14ac:dyDescent="0.15">
      <c r="O76" s="126" t="s">
        <v>212</v>
      </c>
    </row>
    <row r="77" spans="15:15" x14ac:dyDescent="0.15">
      <c r="O77" s="126" t="s">
        <v>212</v>
      </c>
    </row>
    <row r="78" spans="15:15" x14ac:dyDescent="0.15">
      <c r="O78" s="126" t="s">
        <v>212</v>
      </c>
    </row>
    <row r="79" spans="15:15" x14ac:dyDescent="0.15">
      <c r="O79" s="126" t="s">
        <v>212</v>
      </c>
    </row>
    <row r="80" spans="15:15" x14ac:dyDescent="0.15">
      <c r="O80" s="126" t="s">
        <v>212</v>
      </c>
    </row>
    <row r="81" spans="15:15" x14ac:dyDescent="0.15">
      <c r="O81" s="126" t="s">
        <v>212</v>
      </c>
    </row>
    <row r="82" spans="15:15" x14ac:dyDescent="0.15">
      <c r="O82" s="126" t="s">
        <v>212</v>
      </c>
    </row>
    <row r="83" spans="15:15" x14ac:dyDescent="0.15">
      <c r="O83" s="126" t="s">
        <v>212</v>
      </c>
    </row>
    <row r="84" spans="15:15" x14ac:dyDescent="0.15">
      <c r="O84" s="126" t="s">
        <v>212</v>
      </c>
    </row>
    <row r="85" spans="15:15" x14ac:dyDescent="0.15">
      <c r="O85" s="126" t="s">
        <v>212</v>
      </c>
    </row>
  </sheetData>
  <sortState ref="V2:W37">
    <sortCondition ref="V2:V3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52"/>
  <sheetViews>
    <sheetView topLeftCell="K1" workbookViewId="0">
      <selection activeCell="R4" sqref="R4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7" bestFit="1" customWidth="1"/>
    <col min="5" max="5" width="5.140625" style="158" bestFit="1" customWidth="1"/>
    <col min="6" max="6" width="5" style="158" bestFit="1" customWidth="1"/>
    <col min="7" max="7" width="7.28515625" style="158" bestFit="1" customWidth="1"/>
    <col min="8" max="8" width="7.28515625" style="76" bestFit="1" customWidth="1"/>
    <col min="9" max="9" width="6.5703125" style="162" bestFit="1" customWidth="1"/>
    <col min="10" max="10" width="5.5703125" style="162" bestFit="1" customWidth="1"/>
    <col min="11" max="11" width="4.7109375" style="158" bestFit="1" customWidth="1"/>
    <col min="12" max="12" width="5.28515625" style="158" bestFit="1" customWidth="1"/>
    <col min="13" max="13" width="5.85546875" style="158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1"/>
    <col min="20" max="21" width="9.140625" style="122"/>
    <col min="22" max="22" width="9.140625" style="60"/>
    <col min="23" max="16384" width="9.140625" style="122"/>
  </cols>
  <sheetData>
    <row r="1" spans="1:29" x14ac:dyDescent="0.15">
      <c r="A1" s="60" t="s">
        <v>140</v>
      </c>
      <c r="D1" s="157" t="s">
        <v>33</v>
      </c>
      <c r="E1" s="158" t="s">
        <v>34</v>
      </c>
      <c r="F1" s="158" t="s">
        <v>9</v>
      </c>
      <c r="G1" s="158" t="s">
        <v>142</v>
      </c>
      <c r="H1" s="75" t="s">
        <v>36</v>
      </c>
      <c r="I1" s="159" t="s">
        <v>37</v>
      </c>
      <c r="J1" s="159" t="s">
        <v>38</v>
      </c>
      <c r="K1" s="160" t="s">
        <v>95</v>
      </c>
      <c r="L1" s="160"/>
      <c r="M1" s="160"/>
      <c r="O1" s="122" t="s">
        <v>210</v>
      </c>
      <c r="P1" s="122">
        <f t="array" aca="1" ref="P1" ca="1">SUM(IF(NOT(ISNA(C2:C51)),1,0))</f>
        <v>29</v>
      </c>
      <c r="Q1" s="122" t="s">
        <v>211</v>
      </c>
      <c r="R1" s="122">
        <f t="array" aca="1" ref="R1" ca="1">SUM(IF(OFFSET(G2,0,0,P1,1)&gt;=10,1,0))</f>
        <v>4</v>
      </c>
    </row>
    <row r="2" spans="1:29" x14ac:dyDescent="0.15">
      <c r="A2" s="122">
        <v>1</v>
      </c>
      <c r="B2" s="122">
        <f>MATCH(A2,Bowling!$CS$5:$CS$33,0)</f>
        <v>23</v>
      </c>
      <c r="C2" s="122" t="str">
        <f ca="1">OFFSET(Bowling!$B$4,BowlAves!B2,0)</f>
        <v>Sharpe D</v>
      </c>
      <c r="D2" s="157">
        <f t="array" aca="1" ref="D2:K2" ca="1">OFFSET(Bowling!$CG$4,BowlAves!B2,0,1,8)</f>
        <v>5</v>
      </c>
      <c r="E2" s="158">
        <f ca="1"/>
        <v>0</v>
      </c>
      <c r="F2" s="158">
        <f ca="1"/>
        <v>20</v>
      </c>
      <c r="G2" s="158">
        <f ca="1"/>
        <v>5</v>
      </c>
      <c r="H2" s="76">
        <f ca="1"/>
        <v>4</v>
      </c>
      <c r="I2" s="162">
        <f ca="1"/>
        <v>6</v>
      </c>
      <c r="J2" s="162">
        <f ca="1"/>
        <v>4</v>
      </c>
      <c r="K2" s="163" t="str">
        <f ca="1"/>
        <v>3-12</v>
      </c>
      <c r="L2" s="163">
        <f ca="1">IF(G2&gt;=10,A2,1000+A2)</f>
        <v>1001</v>
      </c>
      <c r="M2" s="163">
        <f ca="1">RANK(L2,OFFSET($L$2,0,0,$P$1,1),-1)</f>
        <v>5</v>
      </c>
      <c r="N2" s="122" t="str">
        <f ca="1">IF(G2&gt;=10,"",C2&amp;" "&amp;D2&amp;"-"&amp;E2&amp;"-"&amp;F2&amp;"-"&amp;G2&amp;",")</f>
        <v>Sharpe D 5-0-20-5,</v>
      </c>
      <c r="Q2" s="164" t="s">
        <v>81</v>
      </c>
      <c r="R2" s="165" t="s">
        <v>33</v>
      </c>
      <c r="S2" s="166" t="s">
        <v>34</v>
      </c>
      <c r="T2" s="165" t="s">
        <v>9</v>
      </c>
      <c r="U2" s="165" t="s">
        <v>142</v>
      </c>
      <c r="V2" s="165" t="s">
        <v>36</v>
      </c>
      <c r="W2" s="165" t="s">
        <v>37</v>
      </c>
      <c r="X2" s="165" t="s">
        <v>38</v>
      </c>
      <c r="Y2" s="165" t="s">
        <v>95</v>
      </c>
      <c r="Z2" s="165" t="s">
        <v>244</v>
      </c>
    </row>
    <row r="3" spans="1:29" ht="11.25" x14ac:dyDescent="0.2">
      <c r="A3" s="122">
        <v>2</v>
      </c>
      <c r="B3" s="122">
        <f>MATCH(A3,Bowling!$CS$5:$CS$33,0)</f>
        <v>12</v>
      </c>
      <c r="C3" s="122" t="str">
        <f ca="1">OFFSET(Bowling!$B$4,BowlAves!B3,0)</f>
        <v>Leadley J</v>
      </c>
      <c r="D3" s="157">
        <f t="array" aca="1" ref="D3:K3" ca="1">OFFSET(Bowling!$CG$4,BowlAves!B3,0,1,8)</f>
        <v>3</v>
      </c>
      <c r="E3" s="158">
        <f ca="1"/>
        <v>0</v>
      </c>
      <c r="F3" s="158">
        <f ca="1"/>
        <v>13</v>
      </c>
      <c r="G3" s="158">
        <f ca="1"/>
        <v>3</v>
      </c>
      <c r="H3" s="76">
        <f ca="1"/>
        <v>4.33</v>
      </c>
      <c r="I3" s="162">
        <f ca="1"/>
        <v>6</v>
      </c>
      <c r="J3" s="162">
        <f ca="1"/>
        <v>4.333333333333333</v>
      </c>
      <c r="K3" s="163" t="str">
        <f ca="1"/>
        <v>3-13</v>
      </c>
      <c r="L3" s="163">
        <f t="shared" ref="L3:L51" ca="1" si="0">IF(G3&gt;=10,A3,1000+A3)</f>
        <v>1002</v>
      </c>
      <c r="M3" s="163">
        <f t="shared" ref="M3:M51" ca="1" si="1">RANK(L3,OFFSET($L$2,0,0,$P$1,1),-1)</f>
        <v>6</v>
      </c>
      <c r="N3" s="122" t="str">
        <f t="shared" ref="N3:N51" ca="1" si="2">IF(G3&gt;=10,"",C3&amp;" "&amp;D3&amp;"-"&amp;E3&amp;"-"&amp;F3&amp;"-"&amp;G3&amp;",")</f>
        <v>Leadley J 3-0-13-3,</v>
      </c>
      <c r="P3" s="167">
        <v>1</v>
      </c>
      <c r="Q3" s="168" t="str">
        <f t="array" aca="1" ref="Q3:Y3" ca="1">OFFSET($C$2,MATCH(P3,$M$2:$M$51,0)-1,0,1,9)</f>
        <v>Springer T</v>
      </c>
      <c r="R3" s="169">
        <f ca="1"/>
        <v>117.5</v>
      </c>
      <c r="S3" s="170">
        <f ca="1"/>
        <v>24</v>
      </c>
      <c r="T3" s="169">
        <f ca="1"/>
        <v>336</v>
      </c>
      <c r="U3" s="169">
        <f ca="1"/>
        <v>20</v>
      </c>
      <c r="V3" s="171">
        <f ca="1"/>
        <v>16.8</v>
      </c>
      <c r="W3" s="172">
        <f ca="1"/>
        <v>35.35</v>
      </c>
      <c r="X3" s="172">
        <f ca="1"/>
        <v>2.8514851485148514</v>
      </c>
      <c r="Y3" s="172" t="str">
        <f ca="1"/>
        <v>6-2</v>
      </c>
      <c r="Z3" s="173">
        <f ca="1">S3/R3</f>
        <v>0.20425531914893616</v>
      </c>
      <c r="AB3" s="122" t="s">
        <v>212</v>
      </c>
    </row>
    <row r="4" spans="1:29" ht="11.25" x14ac:dyDescent="0.2">
      <c r="A4" s="122">
        <v>3</v>
      </c>
      <c r="B4" s="122">
        <f>MATCH(A4,Bowling!$CS$5:$CS$33,0)</f>
        <v>10</v>
      </c>
      <c r="C4" s="122" t="str">
        <f ca="1">OFFSET(Bowling!$B$4,BowlAves!B4,0)</f>
        <v>Heffernan S</v>
      </c>
      <c r="D4" s="157">
        <f t="array" aca="1" ref="D4:K4" ca="1">OFFSET(Bowling!$CG$4,BowlAves!B4,0,1,8)</f>
        <v>1</v>
      </c>
      <c r="E4" s="158">
        <f ca="1"/>
        <v>0</v>
      </c>
      <c r="F4" s="158">
        <f ca="1"/>
        <v>6</v>
      </c>
      <c r="G4" s="158">
        <f ca="1"/>
        <v>1</v>
      </c>
      <c r="H4" s="76">
        <f ca="1"/>
        <v>6</v>
      </c>
      <c r="I4" s="162">
        <f ca="1"/>
        <v>6</v>
      </c>
      <c r="J4" s="162">
        <f ca="1"/>
        <v>6</v>
      </c>
      <c r="K4" s="163" t="str">
        <f ca="1"/>
        <v>1-6</v>
      </c>
      <c r="L4" s="163">
        <f t="shared" ca="1" si="0"/>
        <v>1003</v>
      </c>
      <c r="M4" s="163">
        <f t="shared" ca="1" si="1"/>
        <v>7</v>
      </c>
      <c r="N4" s="122" t="str">
        <f t="shared" ca="1" si="2"/>
        <v>Heffernan S 1-0-6-1,</v>
      </c>
      <c r="P4" s="167">
        <v>2</v>
      </c>
      <c r="Q4" s="168" t="str">
        <f t="array" aca="1" ref="Q4:Y4" ca="1">OFFSET($C$2,MATCH(P4,$M$2:$M$51,0)-1,0,1,9)</f>
        <v>Middleton J</v>
      </c>
      <c r="R4" s="169">
        <f ca="1"/>
        <v>88.5</v>
      </c>
      <c r="S4" s="170">
        <f ca="1"/>
        <v>13</v>
      </c>
      <c r="T4" s="169">
        <f ca="1"/>
        <v>362</v>
      </c>
      <c r="U4" s="169">
        <f ca="1"/>
        <v>21</v>
      </c>
      <c r="V4" s="171">
        <f ca="1"/>
        <v>17.239999999999998</v>
      </c>
      <c r="W4" s="172">
        <f ca="1"/>
        <v>25.38095238095238</v>
      </c>
      <c r="X4" s="172">
        <f ca="1"/>
        <v>4.0750469043151973</v>
      </c>
      <c r="Y4" s="172" t="str">
        <f ca="1"/>
        <v>3-17</v>
      </c>
      <c r="Z4" s="173">
        <f t="shared" ref="Z4:Z25" ca="1" si="3">S4/R4</f>
        <v>0.14689265536723164</v>
      </c>
      <c r="AB4" s="122" t="s">
        <v>212</v>
      </c>
    </row>
    <row r="5" spans="1:29" ht="11.25" x14ac:dyDescent="0.2">
      <c r="A5" s="122">
        <v>4</v>
      </c>
      <c r="B5" s="122">
        <f>MATCH(A5,Bowling!$CS$5:$CS$33,0)</f>
        <v>4</v>
      </c>
      <c r="C5" s="122" t="str">
        <f ca="1">OFFSET(Bowling!$B$4,BowlAves!B5,0)</f>
        <v>Clark C</v>
      </c>
      <c r="D5" s="157">
        <f t="array" aca="1" ref="D5:K5" ca="1">OFFSET(Bowling!$CG$4,BowlAves!B5,0,1,8)</f>
        <v>20.3</v>
      </c>
      <c r="E5" s="158">
        <f ca="1"/>
        <v>6</v>
      </c>
      <c r="F5" s="158">
        <f ca="1"/>
        <v>55</v>
      </c>
      <c r="G5" s="158">
        <f ca="1"/>
        <v>7</v>
      </c>
      <c r="H5" s="76">
        <f ca="1"/>
        <v>7.86</v>
      </c>
      <c r="I5" s="162">
        <f ca="1"/>
        <v>17.571428571428573</v>
      </c>
      <c r="J5" s="162">
        <f ca="1"/>
        <v>2.6829268292682928</v>
      </c>
      <c r="K5" s="163" t="str">
        <f ca="1"/>
        <v>4-2</v>
      </c>
      <c r="L5" s="163">
        <f t="shared" ca="1" si="0"/>
        <v>1004</v>
      </c>
      <c r="M5" s="163">
        <f t="shared" ca="1" si="1"/>
        <v>8</v>
      </c>
      <c r="N5" s="122" t="str">
        <f t="shared" ca="1" si="2"/>
        <v>Clark C 20.3-6-55-7,</v>
      </c>
      <c r="P5" s="167">
        <v>3</v>
      </c>
      <c r="Q5" s="168" t="str">
        <f t="array" aca="1" ref="Q5:Y5" ca="1">OFFSET($C$2,MATCH(P5,$M$2:$M$51,0)-1,0,1,9)</f>
        <v>Edghill D</v>
      </c>
      <c r="R5" s="169">
        <f ca="1"/>
        <v>99</v>
      </c>
      <c r="S5" s="170">
        <f ca="1"/>
        <v>15</v>
      </c>
      <c r="T5" s="169">
        <f ca="1"/>
        <v>411</v>
      </c>
      <c r="U5" s="169">
        <f ca="1"/>
        <v>18</v>
      </c>
      <c r="V5" s="171">
        <f ca="1"/>
        <v>22.83</v>
      </c>
      <c r="W5" s="172">
        <f ca="1"/>
        <v>33</v>
      </c>
      <c r="X5" s="172">
        <f ca="1"/>
        <v>4.1515151515151514</v>
      </c>
      <c r="Y5" s="172" t="str">
        <f ca="1"/>
        <v>4-33</v>
      </c>
      <c r="Z5" s="173">
        <f t="shared" ca="1" si="3"/>
        <v>0.15151515151515152</v>
      </c>
      <c r="AB5" s="122" t="s">
        <v>212</v>
      </c>
    </row>
    <row r="6" spans="1:29" ht="11.25" x14ac:dyDescent="0.2">
      <c r="A6" s="122">
        <v>5</v>
      </c>
      <c r="B6" s="122">
        <f>MATCH(A6,Bowling!$CS$5:$CS$33,0)</f>
        <v>13</v>
      </c>
      <c r="C6" s="122" t="str">
        <f ca="1">OFFSET(Bowling!$B$4,BowlAves!B6,0)</f>
        <v>Lindsay B</v>
      </c>
      <c r="D6" s="157">
        <f t="array" aca="1" ref="D6:K6" ca="1">OFFSET(Bowling!$CG$4,BowlAves!B6,0,1,8)</f>
        <v>5</v>
      </c>
      <c r="E6" s="158">
        <f ca="1"/>
        <v>0</v>
      </c>
      <c r="F6" s="158">
        <f ca="1"/>
        <v>16</v>
      </c>
      <c r="G6" s="158">
        <f ca="1"/>
        <v>2</v>
      </c>
      <c r="H6" s="76">
        <f ca="1"/>
        <v>8</v>
      </c>
      <c r="I6" s="162">
        <f ca="1"/>
        <v>15</v>
      </c>
      <c r="J6" s="162">
        <f ca="1"/>
        <v>3.2</v>
      </c>
      <c r="K6" s="163" t="str">
        <f ca="1"/>
        <v>2-16</v>
      </c>
      <c r="L6" s="163">
        <f t="shared" ca="1" si="0"/>
        <v>1005</v>
      </c>
      <c r="M6" s="163">
        <f t="shared" ca="1" si="1"/>
        <v>9</v>
      </c>
      <c r="N6" s="122" t="str">
        <f t="shared" ca="1" si="2"/>
        <v>Lindsay B 5-0-16-2,</v>
      </c>
      <c r="P6" s="167">
        <v>4</v>
      </c>
      <c r="Q6" s="168" t="str">
        <f t="array" aca="1" ref="Q6:Y6" ca="1">OFFSET($C$2,MATCH(P6,$M$2:$M$51,0)-1,0,1,9)</f>
        <v>Seymour C</v>
      </c>
      <c r="R6" s="169">
        <f ca="1"/>
        <v>144</v>
      </c>
      <c r="S6" s="170">
        <f ca="1"/>
        <v>10</v>
      </c>
      <c r="T6" s="169">
        <f ca="1"/>
        <v>718</v>
      </c>
      <c r="U6" s="169">
        <f ca="1"/>
        <v>29</v>
      </c>
      <c r="V6" s="171">
        <f ca="1"/>
        <v>24.76</v>
      </c>
      <c r="W6" s="172">
        <f ca="1"/>
        <v>29.793103448275861</v>
      </c>
      <c r="X6" s="172">
        <f ca="1"/>
        <v>4.9861111111111107</v>
      </c>
      <c r="Y6" s="172" t="str">
        <f ca="1"/>
        <v>6-25</v>
      </c>
      <c r="Z6" s="173">
        <f t="shared" ca="1" si="3"/>
        <v>6.9444444444444448E-2</v>
      </c>
      <c r="AB6" s="122" t="s">
        <v>212</v>
      </c>
    </row>
    <row r="7" spans="1:29" ht="11.25" x14ac:dyDescent="0.2">
      <c r="A7" s="122">
        <v>6</v>
      </c>
      <c r="B7" s="122">
        <f>MATCH(A7,Bowling!$CS$5:$CS$33,0)</f>
        <v>7</v>
      </c>
      <c r="C7" s="122" t="str">
        <f ca="1">OFFSET(Bowling!$B$4,BowlAves!B7,0)</f>
        <v>Edghill C</v>
      </c>
      <c r="D7" s="157">
        <f t="array" aca="1" ref="D7:K7" ca="1">OFFSET(Bowling!$CG$4,BowlAves!B7,0,1,8)</f>
        <v>9.1999999999999993</v>
      </c>
      <c r="E7" s="158">
        <f ca="1"/>
        <v>1</v>
      </c>
      <c r="F7" s="158">
        <f ca="1"/>
        <v>60</v>
      </c>
      <c r="G7" s="158">
        <f ca="1"/>
        <v>6</v>
      </c>
      <c r="H7" s="76">
        <f ca="1"/>
        <v>10</v>
      </c>
      <c r="I7" s="162">
        <f ca="1"/>
        <v>9.3333333333333339</v>
      </c>
      <c r="J7" s="162">
        <f ca="1"/>
        <v>6.4285714285714288</v>
      </c>
      <c r="K7" s="163" t="str">
        <f ca="1"/>
        <v>3-20</v>
      </c>
      <c r="L7" s="163">
        <f t="shared" ca="1" si="0"/>
        <v>1006</v>
      </c>
      <c r="M7" s="163">
        <f t="shared" ca="1" si="1"/>
        <v>10</v>
      </c>
      <c r="N7" s="122" t="str">
        <f t="shared" ca="1" si="2"/>
        <v>Edghill C 9.2-1-60-6,</v>
      </c>
      <c r="P7" s="167">
        <v>5</v>
      </c>
      <c r="Q7" s="168" t="str">
        <f t="array" aca="1" ref="Q7:Y7" ca="1">OFFSET($C$2,MATCH(P7,$M$2:$M$51,0)-1,0,1,9)</f>
        <v>Sharpe D</v>
      </c>
      <c r="R7" s="169">
        <f ca="1"/>
        <v>5</v>
      </c>
      <c r="S7" s="170">
        <f ca="1"/>
        <v>0</v>
      </c>
      <c r="T7" s="169">
        <f ca="1"/>
        <v>20</v>
      </c>
      <c r="U7" s="169">
        <f ca="1"/>
        <v>5</v>
      </c>
      <c r="V7" s="171">
        <f ca="1"/>
        <v>4</v>
      </c>
      <c r="W7" s="172">
        <f ca="1"/>
        <v>6</v>
      </c>
      <c r="X7" s="172">
        <f ca="1"/>
        <v>4</v>
      </c>
      <c r="Y7" s="172" t="str">
        <f ca="1"/>
        <v>3-12</v>
      </c>
      <c r="Z7" s="173">
        <f t="shared" ca="1" si="3"/>
        <v>0</v>
      </c>
      <c r="AB7" s="122" t="s">
        <v>212</v>
      </c>
    </row>
    <row r="8" spans="1:29" ht="12.75" x14ac:dyDescent="0.2">
      <c r="A8" s="122">
        <v>7</v>
      </c>
      <c r="B8" s="122">
        <f>MATCH(A8,Bowling!$CS$5:$CS$33,0)</f>
        <v>16</v>
      </c>
      <c r="C8" s="122" t="str">
        <f ca="1">OFFSET(Bowling!$B$4,BowlAves!B8,0)</f>
        <v>Mustafa M</v>
      </c>
      <c r="D8" s="157">
        <f t="array" aca="1" ref="D8:K8" ca="1">OFFSET(Bowling!$CG$4,BowlAves!B8,0,1,8)</f>
        <v>8</v>
      </c>
      <c r="E8" s="158">
        <f ca="1"/>
        <v>0</v>
      </c>
      <c r="F8" s="158">
        <f ca="1"/>
        <v>28</v>
      </c>
      <c r="G8" s="158">
        <f ca="1"/>
        <v>2</v>
      </c>
      <c r="H8" s="76">
        <f ca="1"/>
        <v>14</v>
      </c>
      <c r="I8" s="162">
        <f ca="1"/>
        <v>24</v>
      </c>
      <c r="J8" s="162">
        <f ca="1"/>
        <v>3.5</v>
      </c>
      <c r="K8" s="163" t="str">
        <f ca="1"/>
        <v>2-28</v>
      </c>
      <c r="L8" s="163">
        <f t="shared" ca="1" si="0"/>
        <v>1007</v>
      </c>
      <c r="M8" s="163">
        <f t="shared" ca="1" si="1"/>
        <v>11</v>
      </c>
      <c r="N8" s="122" t="str">
        <f t="shared" ca="1" si="2"/>
        <v>Mustafa M 8-0-28-2,</v>
      </c>
      <c r="P8" s="167">
        <v>6</v>
      </c>
      <c r="Q8" s="168" t="str">
        <f t="array" aca="1" ref="Q8:Y8" ca="1">OFFSET($C$2,MATCH(P8,$M$2:$M$51,0)-1,0,1,9)</f>
        <v>Leadley J</v>
      </c>
      <c r="R8" s="169">
        <f ca="1"/>
        <v>3</v>
      </c>
      <c r="S8" s="170">
        <f ca="1"/>
        <v>0</v>
      </c>
      <c r="T8" s="169">
        <f ca="1"/>
        <v>13</v>
      </c>
      <c r="U8" s="169">
        <f ca="1"/>
        <v>3</v>
      </c>
      <c r="V8" s="171">
        <f ca="1"/>
        <v>4.33</v>
      </c>
      <c r="W8" s="172">
        <f ca="1"/>
        <v>6</v>
      </c>
      <c r="X8" s="172">
        <f ca="1"/>
        <v>4.333333333333333</v>
      </c>
      <c r="Y8" s="172" t="str">
        <f ca="1"/>
        <v>3-13</v>
      </c>
      <c r="Z8" s="173">
        <f t="shared" ca="1" si="3"/>
        <v>0</v>
      </c>
      <c r="AB8" s="103"/>
      <c r="AC8" s="122" t="s">
        <v>212</v>
      </c>
    </row>
    <row r="9" spans="1:29" ht="12.75" x14ac:dyDescent="0.2">
      <c r="A9" s="122">
        <v>8</v>
      </c>
      <c r="B9" s="122">
        <f>MATCH(A9,Bowling!$CS$5:$CS$33,0)</f>
        <v>25</v>
      </c>
      <c r="C9" s="122" t="str">
        <f ca="1">OFFSET(Bowling!$B$4,BowlAves!B9,0)</f>
        <v>Springer T</v>
      </c>
      <c r="D9" s="157">
        <f t="array" aca="1" ref="D9:K9" ca="1">OFFSET(Bowling!$CG$4,BowlAves!B9,0,1,8)</f>
        <v>117.5</v>
      </c>
      <c r="E9" s="158">
        <f ca="1"/>
        <v>24</v>
      </c>
      <c r="F9" s="158">
        <f ca="1"/>
        <v>336</v>
      </c>
      <c r="G9" s="158">
        <f ca="1"/>
        <v>20</v>
      </c>
      <c r="H9" s="76">
        <f ca="1"/>
        <v>16.8</v>
      </c>
      <c r="I9" s="162">
        <f ca="1"/>
        <v>35.35</v>
      </c>
      <c r="J9" s="162">
        <f ca="1"/>
        <v>2.8514851485148514</v>
      </c>
      <c r="K9" s="163" t="str">
        <f ca="1"/>
        <v>6-2</v>
      </c>
      <c r="L9" s="163">
        <f t="shared" ca="1" si="0"/>
        <v>8</v>
      </c>
      <c r="M9" s="163">
        <f t="shared" ca="1" si="1"/>
        <v>1</v>
      </c>
      <c r="N9" s="122" t="str">
        <f t="shared" ca="1" si="2"/>
        <v/>
      </c>
      <c r="P9" s="167">
        <v>7</v>
      </c>
      <c r="Q9" s="168" t="str">
        <f t="array" aca="1" ref="Q9:Y9" ca="1">OFFSET($C$2,MATCH(P9,$M$2:$M$51,0)-1,0,1,9)</f>
        <v>Heffernan S</v>
      </c>
      <c r="R9" s="169">
        <f ca="1"/>
        <v>1</v>
      </c>
      <c r="S9" s="170">
        <f ca="1"/>
        <v>0</v>
      </c>
      <c r="T9" s="169">
        <f ca="1"/>
        <v>6</v>
      </c>
      <c r="U9" s="169">
        <f ca="1"/>
        <v>1</v>
      </c>
      <c r="V9" s="171">
        <f ca="1"/>
        <v>6</v>
      </c>
      <c r="W9" s="172">
        <f ca="1"/>
        <v>6</v>
      </c>
      <c r="X9" s="172">
        <f ca="1"/>
        <v>6</v>
      </c>
      <c r="Y9" s="172" t="str">
        <f ca="1"/>
        <v>1-6</v>
      </c>
      <c r="Z9" s="173">
        <f t="shared" ca="1" si="3"/>
        <v>0</v>
      </c>
      <c r="AB9" s="103"/>
      <c r="AC9" s="122" t="s">
        <v>212</v>
      </c>
    </row>
    <row r="10" spans="1:29" ht="12.75" x14ac:dyDescent="0.2">
      <c r="A10" s="122">
        <v>9</v>
      </c>
      <c r="B10" s="122">
        <f>MATCH(A10,Bowling!$CS$5:$CS$33,0)</f>
        <v>15</v>
      </c>
      <c r="C10" s="122" t="str">
        <f ca="1">OFFSET(Bowling!$B$4,BowlAves!B10,0)</f>
        <v>Middleton J</v>
      </c>
      <c r="D10" s="157">
        <f t="array" aca="1" ref="D10:K10" ca="1">OFFSET(Bowling!$CG$4,BowlAves!B10,0,1,8)</f>
        <v>88.5</v>
      </c>
      <c r="E10" s="158">
        <f ca="1"/>
        <v>13</v>
      </c>
      <c r="F10" s="158">
        <f ca="1"/>
        <v>362</v>
      </c>
      <c r="G10" s="158">
        <f ca="1"/>
        <v>21</v>
      </c>
      <c r="H10" s="76">
        <f ca="1"/>
        <v>17.239999999999998</v>
      </c>
      <c r="I10" s="162">
        <f ca="1"/>
        <v>25.38095238095238</v>
      </c>
      <c r="J10" s="162">
        <f ca="1"/>
        <v>4.0750469043151973</v>
      </c>
      <c r="K10" s="163" t="str">
        <f ca="1"/>
        <v>3-17</v>
      </c>
      <c r="L10" s="163">
        <f t="shared" ca="1" si="0"/>
        <v>9</v>
      </c>
      <c r="M10" s="163">
        <f t="shared" ca="1" si="1"/>
        <v>2</v>
      </c>
      <c r="N10" s="122" t="str">
        <f t="shared" ca="1" si="2"/>
        <v/>
      </c>
      <c r="P10" s="167">
        <v>8</v>
      </c>
      <c r="Q10" s="168" t="str">
        <f t="array" aca="1" ref="Q10:Y10" ca="1">OFFSET($C$2,MATCH(P10,$M$2:$M$51,0)-1,0,1,9)</f>
        <v>Clark C</v>
      </c>
      <c r="R10" s="169">
        <f ca="1"/>
        <v>20.3</v>
      </c>
      <c r="S10" s="170">
        <f ca="1"/>
        <v>6</v>
      </c>
      <c r="T10" s="169">
        <f ca="1"/>
        <v>55</v>
      </c>
      <c r="U10" s="169">
        <f ca="1"/>
        <v>7</v>
      </c>
      <c r="V10" s="171">
        <f ca="1"/>
        <v>7.86</v>
      </c>
      <c r="W10" s="172">
        <f ca="1"/>
        <v>17.571428571428573</v>
      </c>
      <c r="X10" s="172">
        <f ca="1"/>
        <v>2.6829268292682928</v>
      </c>
      <c r="Y10" s="172" t="str">
        <f ca="1"/>
        <v>4-2</v>
      </c>
      <c r="Z10" s="173">
        <f t="shared" ca="1" si="3"/>
        <v>0.29556650246305416</v>
      </c>
      <c r="AB10" s="103"/>
      <c r="AC10" s="122" t="s">
        <v>212</v>
      </c>
    </row>
    <row r="11" spans="1:29" ht="12.75" x14ac:dyDescent="0.2">
      <c r="A11" s="122">
        <v>10</v>
      </c>
      <c r="B11" s="122">
        <f>MATCH(A11,Bowling!$CS$5:$CS$33,0)</f>
        <v>2</v>
      </c>
      <c r="C11" s="122" t="str">
        <f ca="1">OFFSET(Bowling!$B$4,BowlAves!B11,0)</f>
        <v>Bowers M</v>
      </c>
      <c r="D11" s="157">
        <f t="array" aca="1" ref="D11:K11" ca="1">OFFSET(Bowling!$CG$4,BowlAves!B11,0,1,8)</f>
        <v>13</v>
      </c>
      <c r="E11" s="158">
        <f ca="1"/>
        <v>0</v>
      </c>
      <c r="F11" s="158">
        <f ca="1"/>
        <v>76</v>
      </c>
      <c r="G11" s="158">
        <f ca="1"/>
        <v>4</v>
      </c>
      <c r="H11" s="76">
        <f ca="1"/>
        <v>19</v>
      </c>
      <c r="I11" s="162">
        <f ca="1"/>
        <v>19.5</v>
      </c>
      <c r="J11" s="162">
        <f ca="1"/>
        <v>5.8461538461538458</v>
      </c>
      <c r="K11" s="163" t="str">
        <f ca="1"/>
        <v>1-7</v>
      </c>
      <c r="L11" s="163">
        <f t="shared" ca="1" si="0"/>
        <v>1010</v>
      </c>
      <c r="M11" s="163">
        <f t="shared" ca="1" si="1"/>
        <v>12</v>
      </c>
      <c r="N11" s="122" t="str">
        <f t="shared" ca="1" si="2"/>
        <v>Bowers M 13-0-76-4,</v>
      </c>
      <c r="P11" s="167">
        <v>9</v>
      </c>
      <c r="Q11" s="168" t="str">
        <f t="array" aca="1" ref="Q11:Y11" ca="1">OFFSET($C$2,MATCH(P11,$M$2:$M$51,0)-1,0,1,9)</f>
        <v>Lindsay B</v>
      </c>
      <c r="R11" s="169">
        <f ca="1"/>
        <v>5</v>
      </c>
      <c r="S11" s="170">
        <f ca="1"/>
        <v>0</v>
      </c>
      <c r="T11" s="169">
        <f ca="1"/>
        <v>16</v>
      </c>
      <c r="U11" s="169">
        <f ca="1"/>
        <v>2</v>
      </c>
      <c r="V11" s="171">
        <f ca="1"/>
        <v>8</v>
      </c>
      <c r="W11" s="172">
        <f ca="1"/>
        <v>15</v>
      </c>
      <c r="X11" s="172">
        <f ca="1"/>
        <v>3.2</v>
      </c>
      <c r="Y11" s="172" t="str">
        <f ca="1"/>
        <v>2-16</v>
      </c>
      <c r="Z11" s="173">
        <f t="shared" ca="1" si="3"/>
        <v>0</v>
      </c>
      <c r="AB11" s="103"/>
      <c r="AC11" s="122" t="s">
        <v>212</v>
      </c>
    </row>
    <row r="12" spans="1:29" ht="12.75" x14ac:dyDescent="0.2">
      <c r="A12" s="122">
        <v>11</v>
      </c>
      <c r="B12" s="122">
        <f>MATCH(A12,Bowling!$CS$5:$CS$33,0)</f>
        <v>17</v>
      </c>
      <c r="C12" s="122" t="str">
        <f ca="1">OFFSET(Bowling!$B$4,BowlAves!B12,0)</f>
        <v>Nair S</v>
      </c>
      <c r="D12" s="157">
        <f t="array" aca="1" ref="D12:K12" ca="1">OFFSET(Bowling!$CG$4,BowlAves!B12,0,1,8)</f>
        <v>3</v>
      </c>
      <c r="E12" s="158">
        <f ca="1"/>
        <v>0</v>
      </c>
      <c r="F12" s="158">
        <f ca="1"/>
        <v>21</v>
      </c>
      <c r="G12" s="158">
        <f ca="1"/>
        <v>1</v>
      </c>
      <c r="H12" s="76">
        <f ca="1"/>
        <v>21</v>
      </c>
      <c r="I12" s="162">
        <f ca="1"/>
        <v>18</v>
      </c>
      <c r="J12" s="162">
        <f ca="1"/>
        <v>7</v>
      </c>
      <c r="K12" s="163" t="str">
        <f ca="1"/>
        <v>1-21</v>
      </c>
      <c r="L12" s="163">
        <f t="shared" ca="1" si="0"/>
        <v>1011</v>
      </c>
      <c r="M12" s="163">
        <f t="shared" ca="1" si="1"/>
        <v>13</v>
      </c>
      <c r="N12" s="122" t="str">
        <f t="shared" ca="1" si="2"/>
        <v>Nair S 3-0-21-1,</v>
      </c>
      <c r="P12" s="167">
        <v>10</v>
      </c>
      <c r="Q12" s="168" t="str">
        <f t="array" aca="1" ref="Q12:Y12" ca="1">OFFSET($C$2,MATCH(P12,$M$2:$M$51,0)-1,0,1,9)</f>
        <v>Edghill C</v>
      </c>
      <c r="R12" s="169">
        <f ca="1"/>
        <v>9.1999999999999993</v>
      </c>
      <c r="S12" s="170">
        <f ca="1"/>
        <v>1</v>
      </c>
      <c r="T12" s="169">
        <f ca="1"/>
        <v>60</v>
      </c>
      <c r="U12" s="169">
        <f ca="1"/>
        <v>6</v>
      </c>
      <c r="V12" s="171">
        <f ca="1"/>
        <v>10</v>
      </c>
      <c r="W12" s="172">
        <f ca="1"/>
        <v>9.3333333333333339</v>
      </c>
      <c r="X12" s="172">
        <f ca="1"/>
        <v>6.4285714285714288</v>
      </c>
      <c r="Y12" s="172" t="str">
        <f ca="1"/>
        <v>3-20</v>
      </c>
      <c r="Z12" s="173">
        <f t="shared" ca="1" si="3"/>
        <v>0.10869565217391305</v>
      </c>
      <c r="AB12" s="103"/>
      <c r="AC12" s="122" t="s">
        <v>732</v>
      </c>
    </row>
    <row r="13" spans="1:29" ht="12.75" x14ac:dyDescent="0.2">
      <c r="A13" s="122">
        <v>12</v>
      </c>
      <c r="B13" s="122">
        <f>MATCH(A13,Bowling!$CS$5:$CS$33,0)</f>
        <v>6</v>
      </c>
      <c r="C13" s="122" t="str">
        <f ca="1">OFFSET(Bowling!$B$4,BowlAves!B13,0)</f>
        <v>Driver S</v>
      </c>
      <c r="D13" s="157">
        <f t="array" aca="1" ref="D13:K13" ca="1">OFFSET(Bowling!$CG$4,BowlAves!B13,0,1,8)</f>
        <v>34</v>
      </c>
      <c r="E13" s="158">
        <f ca="1"/>
        <v>3</v>
      </c>
      <c r="F13" s="158">
        <f ca="1"/>
        <v>129</v>
      </c>
      <c r="G13" s="158">
        <f ca="1"/>
        <v>6</v>
      </c>
      <c r="H13" s="76">
        <f ca="1"/>
        <v>21.5</v>
      </c>
      <c r="I13" s="162">
        <f ca="1"/>
        <v>34</v>
      </c>
      <c r="J13" s="162">
        <f ca="1"/>
        <v>3.7941176470588234</v>
      </c>
      <c r="K13" s="163" t="str">
        <f ca="1"/>
        <v>2-20</v>
      </c>
      <c r="L13" s="163">
        <f t="shared" ca="1" si="0"/>
        <v>1012</v>
      </c>
      <c r="M13" s="163">
        <f t="shared" ca="1" si="1"/>
        <v>14</v>
      </c>
      <c r="N13" s="122" t="str">
        <f t="shared" ca="1" si="2"/>
        <v>Driver S 34-3-129-6,</v>
      </c>
      <c r="P13" s="167">
        <v>11</v>
      </c>
      <c r="Q13" s="168" t="str">
        <f t="array" aca="1" ref="Q13:Y13" ca="1">OFFSET($C$2,MATCH(P13,$M$2:$M$51,0)-1,0,1,9)</f>
        <v>Mustafa M</v>
      </c>
      <c r="R13" s="169">
        <f ca="1"/>
        <v>8</v>
      </c>
      <c r="S13" s="170">
        <f ca="1"/>
        <v>0</v>
      </c>
      <c r="T13" s="169">
        <f ca="1"/>
        <v>28</v>
      </c>
      <c r="U13" s="169">
        <f ca="1"/>
        <v>2</v>
      </c>
      <c r="V13" s="171">
        <f ca="1"/>
        <v>14</v>
      </c>
      <c r="W13" s="172">
        <f ca="1"/>
        <v>24</v>
      </c>
      <c r="X13" s="172">
        <f ca="1"/>
        <v>3.5</v>
      </c>
      <c r="Y13" s="172" t="str">
        <f ca="1"/>
        <v>2-28</v>
      </c>
      <c r="Z13" s="173">
        <f t="shared" ca="1" si="3"/>
        <v>0</v>
      </c>
      <c r="AB13" s="103"/>
      <c r="AC13" s="122" t="s">
        <v>722</v>
      </c>
    </row>
    <row r="14" spans="1:29" ht="12.75" x14ac:dyDescent="0.2">
      <c r="A14" s="122">
        <v>13</v>
      </c>
      <c r="B14" s="122">
        <f>MATCH(A14,Bowling!$CS$5:$CS$33,0)</f>
        <v>8</v>
      </c>
      <c r="C14" s="122" t="str">
        <f ca="1">OFFSET(Bowling!$B$4,BowlAves!B14,0)</f>
        <v>Edghill D</v>
      </c>
      <c r="D14" s="157">
        <f t="array" aca="1" ref="D14:K14" ca="1">OFFSET(Bowling!$CG$4,BowlAves!B14,0,1,8)</f>
        <v>99</v>
      </c>
      <c r="E14" s="158">
        <f ca="1"/>
        <v>15</v>
      </c>
      <c r="F14" s="158">
        <f ca="1"/>
        <v>411</v>
      </c>
      <c r="G14" s="158">
        <f ca="1"/>
        <v>18</v>
      </c>
      <c r="H14" s="76">
        <f ca="1"/>
        <v>22.83</v>
      </c>
      <c r="I14" s="162">
        <f ca="1"/>
        <v>33</v>
      </c>
      <c r="J14" s="162">
        <f ca="1"/>
        <v>4.1515151515151514</v>
      </c>
      <c r="K14" s="163" t="str">
        <f ca="1"/>
        <v>4-33</v>
      </c>
      <c r="L14" s="163">
        <f t="shared" ca="1" si="0"/>
        <v>13</v>
      </c>
      <c r="M14" s="163">
        <f t="shared" ca="1" si="1"/>
        <v>3</v>
      </c>
      <c r="N14" s="122" t="str">
        <f t="shared" ca="1" si="2"/>
        <v/>
      </c>
      <c r="P14" s="167">
        <v>12</v>
      </c>
      <c r="Q14" s="168" t="str">
        <f t="array" aca="1" ref="Q14:Y14" ca="1">OFFSET($C$2,MATCH(P14,$M$2:$M$51,0)-1,0,1,9)</f>
        <v>Bowers M</v>
      </c>
      <c r="R14" s="169">
        <f ca="1"/>
        <v>13</v>
      </c>
      <c r="S14" s="170">
        <f ca="1"/>
        <v>0</v>
      </c>
      <c r="T14" s="169">
        <f ca="1"/>
        <v>76</v>
      </c>
      <c r="U14" s="169">
        <f ca="1"/>
        <v>4</v>
      </c>
      <c r="V14" s="171">
        <f ca="1"/>
        <v>19</v>
      </c>
      <c r="W14" s="172">
        <f ca="1"/>
        <v>19.5</v>
      </c>
      <c r="X14" s="172">
        <f ca="1"/>
        <v>5.8461538461538458</v>
      </c>
      <c r="Y14" s="172" t="str">
        <f ca="1"/>
        <v>1-7</v>
      </c>
      <c r="Z14" s="173">
        <f t="shared" ca="1" si="3"/>
        <v>0</v>
      </c>
      <c r="AB14" s="103"/>
      <c r="AC14" s="122" t="s">
        <v>734</v>
      </c>
    </row>
    <row r="15" spans="1:29" ht="12.75" x14ac:dyDescent="0.2">
      <c r="A15" s="122">
        <v>14</v>
      </c>
      <c r="B15" s="122">
        <f>MATCH(A15,Bowling!$CS$5:$CS$33,0)</f>
        <v>18</v>
      </c>
      <c r="C15" s="122" t="str">
        <f ca="1">OFFSET(Bowling!$B$4,BowlAves!B15,0)</f>
        <v>Ottey A</v>
      </c>
      <c r="D15" s="157">
        <f t="array" aca="1" ref="D15:K15" ca="1">OFFSET(Bowling!$CG$4,BowlAves!B15,0,1,8)</f>
        <v>7</v>
      </c>
      <c r="E15" s="158">
        <f ca="1"/>
        <v>1</v>
      </c>
      <c r="F15" s="158">
        <f ca="1"/>
        <v>46</v>
      </c>
      <c r="G15" s="158">
        <f ca="1"/>
        <v>2</v>
      </c>
      <c r="H15" s="76">
        <f ca="1"/>
        <v>23</v>
      </c>
      <c r="I15" s="162">
        <f ca="1"/>
        <v>21</v>
      </c>
      <c r="J15" s="162">
        <f ca="1"/>
        <v>6.5714285714285712</v>
      </c>
      <c r="K15" s="163" t="str">
        <f ca="1"/>
        <v>2-20</v>
      </c>
      <c r="L15" s="163">
        <f t="shared" ca="1" si="0"/>
        <v>1014</v>
      </c>
      <c r="M15" s="163">
        <f t="shared" ca="1" si="1"/>
        <v>15</v>
      </c>
      <c r="N15" s="122" t="str">
        <f t="shared" ca="1" si="2"/>
        <v>Ottey A 7-1-46-2,</v>
      </c>
      <c r="P15" s="167">
        <v>13</v>
      </c>
      <c r="Q15" s="168" t="str">
        <f t="array" aca="1" ref="Q15:Y15" ca="1">OFFSET($C$2,MATCH(P15,$M$2:$M$51,0)-1,0,1,9)</f>
        <v>Nair S</v>
      </c>
      <c r="R15" s="169">
        <f ca="1"/>
        <v>3</v>
      </c>
      <c r="S15" s="170">
        <f ca="1"/>
        <v>0</v>
      </c>
      <c r="T15" s="169">
        <f ca="1"/>
        <v>21</v>
      </c>
      <c r="U15" s="169">
        <f ca="1"/>
        <v>1</v>
      </c>
      <c r="V15" s="171">
        <f ca="1"/>
        <v>21</v>
      </c>
      <c r="W15" s="172">
        <f ca="1"/>
        <v>18</v>
      </c>
      <c r="X15" s="172">
        <f ca="1"/>
        <v>7</v>
      </c>
      <c r="Y15" s="172" t="str">
        <f ca="1"/>
        <v>1-21</v>
      </c>
      <c r="Z15" s="173">
        <f t="shared" ca="1" si="3"/>
        <v>0</v>
      </c>
      <c r="AB15" s="103"/>
      <c r="AC15" s="122" t="s">
        <v>718</v>
      </c>
    </row>
    <row r="16" spans="1:29" ht="12.75" x14ac:dyDescent="0.2">
      <c r="A16" s="122">
        <v>15</v>
      </c>
      <c r="B16" s="122">
        <f>MATCH(A16,Bowling!$CS$5:$CS$33,0)</f>
        <v>14</v>
      </c>
      <c r="C16" s="122" t="str">
        <f ca="1">OFFSET(Bowling!$B$4,BowlAves!B16,0)</f>
        <v>Mander A</v>
      </c>
      <c r="D16" s="157">
        <f t="array" aca="1" ref="D16:K16" ca="1">OFFSET(Bowling!$CG$4,BowlAves!B16,0,1,8)</f>
        <v>67</v>
      </c>
      <c r="E16" s="158">
        <f ca="1"/>
        <v>16</v>
      </c>
      <c r="F16" s="158">
        <f ca="1"/>
        <v>193</v>
      </c>
      <c r="G16" s="158">
        <f ca="1"/>
        <v>8</v>
      </c>
      <c r="H16" s="76">
        <f ca="1"/>
        <v>24.13</v>
      </c>
      <c r="I16" s="162">
        <f ca="1"/>
        <v>50.25</v>
      </c>
      <c r="J16" s="162">
        <f ca="1"/>
        <v>2.8805970149253732</v>
      </c>
      <c r="K16" s="163" t="str">
        <f ca="1"/>
        <v>3-23</v>
      </c>
      <c r="L16" s="163">
        <f t="shared" ca="1" si="0"/>
        <v>1015</v>
      </c>
      <c r="M16" s="163">
        <f t="shared" ca="1" si="1"/>
        <v>16</v>
      </c>
      <c r="N16" s="122" t="str">
        <f t="shared" ca="1" si="2"/>
        <v>Mander A 67-16-193-8,</v>
      </c>
      <c r="P16" s="167">
        <v>14</v>
      </c>
      <c r="Q16" s="168" t="str">
        <f t="array" aca="1" ref="Q16:Y16" ca="1">OFFSET($C$2,MATCH(P16,$M$2:$M$51,0)-1,0,1,9)</f>
        <v>Driver S</v>
      </c>
      <c r="R16" s="169">
        <f ca="1"/>
        <v>34</v>
      </c>
      <c r="S16" s="170">
        <f ca="1"/>
        <v>3</v>
      </c>
      <c r="T16" s="169">
        <f ca="1"/>
        <v>129</v>
      </c>
      <c r="U16" s="169">
        <f ca="1"/>
        <v>6</v>
      </c>
      <c r="V16" s="171">
        <f ca="1"/>
        <v>21.5</v>
      </c>
      <c r="W16" s="172">
        <f ca="1"/>
        <v>34</v>
      </c>
      <c r="X16" s="172">
        <f ca="1"/>
        <v>3.7941176470588234</v>
      </c>
      <c r="Y16" s="172" t="str">
        <f ca="1"/>
        <v>2-20</v>
      </c>
      <c r="Z16" s="173">
        <f t="shared" ca="1" si="3"/>
        <v>8.8235294117647065E-2</v>
      </c>
      <c r="AB16" s="103"/>
      <c r="AC16" s="122" t="s">
        <v>731</v>
      </c>
    </row>
    <row r="17" spans="1:29" ht="12.75" x14ac:dyDescent="0.2">
      <c r="A17" s="122">
        <v>16</v>
      </c>
      <c r="B17" s="122">
        <f>MATCH(A17,Bowling!$CS$5:$CS$33,0)</f>
        <v>21</v>
      </c>
      <c r="C17" s="122" t="str">
        <f ca="1">OFFSET(Bowling!$B$4,BowlAves!B17,0)</f>
        <v>Pascoe N</v>
      </c>
      <c r="D17" s="157">
        <f t="array" aca="1" ref="D17:K17" ca="1">OFFSET(Bowling!$CG$4,BowlAves!B17,0,1,8)</f>
        <v>32.4</v>
      </c>
      <c r="E17" s="158">
        <f ca="1"/>
        <v>1</v>
      </c>
      <c r="F17" s="158">
        <f ca="1"/>
        <v>145</v>
      </c>
      <c r="G17" s="158">
        <f ca="1"/>
        <v>6</v>
      </c>
      <c r="H17" s="76">
        <f ca="1"/>
        <v>24.17</v>
      </c>
      <c r="I17" s="162">
        <f ca="1"/>
        <v>32.666666666666664</v>
      </c>
      <c r="J17" s="162">
        <f ca="1"/>
        <v>4.4387755102040813</v>
      </c>
      <c r="K17" s="163" t="str">
        <f ca="1"/>
        <v>2-15</v>
      </c>
      <c r="L17" s="163">
        <f t="shared" ca="1" si="0"/>
        <v>1016</v>
      </c>
      <c r="M17" s="163">
        <f t="shared" ca="1" si="1"/>
        <v>17</v>
      </c>
      <c r="N17" s="122" t="str">
        <f t="shared" ca="1" si="2"/>
        <v>Pascoe N 32.4-1-145-6,</v>
      </c>
      <c r="P17" s="167">
        <v>15</v>
      </c>
      <c r="Q17" s="168" t="str">
        <f t="array" aca="1" ref="Q17:Y17" ca="1">OFFSET($C$2,MATCH(P17,$M$2:$M$51,0)-1,0,1,9)</f>
        <v>Ottey A</v>
      </c>
      <c r="R17" s="169">
        <f ca="1"/>
        <v>7</v>
      </c>
      <c r="S17" s="170">
        <f ca="1"/>
        <v>1</v>
      </c>
      <c r="T17" s="169">
        <f ca="1"/>
        <v>46</v>
      </c>
      <c r="U17" s="169">
        <f ca="1"/>
        <v>2</v>
      </c>
      <c r="V17" s="171">
        <f ca="1"/>
        <v>23</v>
      </c>
      <c r="W17" s="172">
        <f ca="1"/>
        <v>21</v>
      </c>
      <c r="X17" s="172">
        <f ca="1"/>
        <v>6.5714285714285712</v>
      </c>
      <c r="Y17" s="172" t="str">
        <f ca="1"/>
        <v>2-20</v>
      </c>
      <c r="Z17" s="173">
        <f t="shared" ca="1" si="3"/>
        <v>0.14285714285714285</v>
      </c>
      <c r="AB17" s="103"/>
      <c r="AC17" s="122" t="s">
        <v>724</v>
      </c>
    </row>
    <row r="18" spans="1:29" ht="12.75" x14ac:dyDescent="0.2">
      <c r="A18" s="122">
        <v>17</v>
      </c>
      <c r="B18" s="122">
        <f>MATCH(A18,Bowling!$CS$5:$CS$33,0)</f>
        <v>22</v>
      </c>
      <c r="C18" s="122" t="str">
        <f ca="1">OFFSET(Bowling!$B$4,BowlAves!B18,0)</f>
        <v>Seymour C</v>
      </c>
      <c r="D18" s="157">
        <f t="array" aca="1" ref="D18:K18" ca="1">OFFSET(Bowling!$CG$4,BowlAves!B18,0,1,8)</f>
        <v>144</v>
      </c>
      <c r="E18" s="158">
        <f ca="1"/>
        <v>10</v>
      </c>
      <c r="F18" s="158">
        <f ca="1"/>
        <v>718</v>
      </c>
      <c r="G18" s="158">
        <f ca="1"/>
        <v>29</v>
      </c>
      <c r="H18" s="76">
        <f ca="1"/>
        <v>24.76</v>
      </c>
      <c r="I18" s="162">
        <f ca="1"/>
        <v>29.793103448275861</v>
      </c>
      <c r="J18" s="162">
        <f ca="1"/>
        <v>4.9861111111111107</v>
      </c>
      <c r="K18" s="163" t="str">
        <f ca="1"/>
        <v>6-25</v>
      </c>
      <c r="L18" s="163">
        <f t="shared" ca="1" si="0"/>
        <v>17</v>
      </c>
      <c r="M18" s="163">
        <f t="shared" ca="1" si="1"/>
        <v>4</v>
      </c>
      <c r="N18" s="122" t="str">
        <f t="shared" ca="1" si="2"/>
        <v/>
      </c>
      <c r="P18" s="167">
        <v>16</v>
      </c>
      <c r="Q18" s="168" t="str">
        <f t="array" aca="1" ref="Q18:Y18" ca="1">OFFSET($C$2,MATCH(P18,$M$2:$M$51,0)-1,0,1,9)</f>
        <v>Mander A</v>
      </c>
      <c r="R18" s="169">
        <f ca="1"/>
        <v>67</v>
      </c>
      <c r="S18" s="170">
        <f ca="1"/>
        <v>16</v>
      </c>
      <c r="T18" s="169">
        <f ca="1"/>
        <v>193</v>
      </c>
      <c r="U18" s="169">
        <f ca="1"/>
        <v>8</v>
      </c>
      <c r="V18" s="171">
        <f ca="1"/>
        <v>24.13</v>
      </c>
      <c r="W18" s="172">
        <f ca="1"/>
        <v>50.25</v>
      </c>
      <c r="X18" s="172">
        <f ca="1"/>
        <v>2.8805970149253732</v>
      </c>
      <c r="Y18" s="172" t="str">
        <f ca="1"/>
        <v>3-23</v>
      </c>
      <c r="Z18" s="173">
        <f t="shared" ca="1" si="3"/>
        <v>0.23880597014925373</v>
      </c>
      <c r="AB18" s="103"/>
      <c r="AC18" s="122" t="s">
        <v>720</v>
      </c>
    </row>
    <row r="19" spans="1:29" ht="12.75" x14ac:dyDescent="0.2">
      <c r="A19" s="122">
        <v>18</v>
      </c>
      <c r="B19" s="122">
        <f>MATCH(A19,Bowling!$CS$5:$CS$33,0)</f>
        <v>29</v>
      </c>
      <c r="C19" s="122" t="str">
        <f ca="1">OFFSET(Bowling!$B$4,BowlAves!B19,0)</f>
        <v>Winter T</v>
      </c>
      <c r="D19" s="157">
        <f t="array" aca="1" ref="D19:K19" ca="1">OFFSET(Bowling!$CG$4,BowlAves!B19,0,1,8)</f>
        <v>3</v>
      </c>
      <c r="E19" s="158">
        <f ca="1"/>
        <v>0</v>
      </c>
      <c r="F19" s="158">
        <f ca="1"/>
        <v>25</v>
      </c>
      <c r="G19" s="158">
        <f ca="1"/>
        <v>1</v>
      </c>
      <c r="H19" s="76">
        <f ca="1"/>
        <v>25</v>
      </c>
      <c r="I19" s="162">
        <f ca="1"/>
        <v>18</v>
      </c>
      <c r="J19" s="162">
        <f ca="1"/>
        <v>8.3333333333333339</v>
      </c>
      <c r="K19" s="163" t="str">
        <f ca="1"/>
        <v>1-25</v>
      </c>
      <c r="L19" s="163">
        <f t="shared" ca="1" si="0"/>
        <v>1018</v>
      </c>
      <c r="M19" s="163">
        <f t="shared" ca="1" si="1"/>
        <v>18</v>
      </c>
      <c r="N19" s="122" t="str">
        <f t="shared" ca="1" si="2"/>
        <v>Winter T 3-0-25-1,</v>
      </c>
      <c r="P19" s="167">
        <v>17</v>
      </c>
      <c r="Q19" s="168" t="str">
        <f t="array" aca="1" ref="Q19:Y19" ca="1">OFFSET($C$2,MATCH(P19,$M$2:$M$51,0)-1,0,1,9)</f>
        <v>Pascoe N</v>
      </c>
      <c r="R19" s="169">
        <f ca="1"/>
        <v>32.4</v>
      </c>
      <c r="S19" s="170">
        <f ca="1"/>
        <v>1</v>
      </c>
      <c r="T19" s="169">
        <f ca="1"/>
        <v>145</v>
      </c>
      <c r="U19" s="169">
        <f ca="1"/>
        <v>6</v>
      </c>
      <c r="V19" s="171">
        <f ca="1"/>
        <v>24.17</v>
      </c>
      <c r="W19" s="172">
        <f ca="1"/>
        <v>32.666666666666664</v>
      </c>
      <c r="X19" s="172">
        <f ca="1"/>
        <v>4.4387755102040813</v>
      </c>
      <c r="Y19" s="172" t="str">
        <f ca="1"/>
        <v>2-15</v>
      </c>
      <c r="Z19" s="173">
        <f t="shared" ca="1" si="3"/>
        <v>3.0864197530864199E-2</v>
      </c>
      <c r="AB19" s="103"/>
      <c r="AC19" s="122" t="s">
        <v>733</v>
      </c>
    </row>
    <row r="20" spans="1:29" ht="12.75" x14ac:dyDescent="0.2">
      <c r="A20" s="122">
        <v>19</v>
      </c>
      <c r="B20" s="122">
        <f>MATCH(A20,Bowling!$CS$5:$CS$33,0)</f>
        <v>19</v>
      </c>
      <c r="C20" s="122" t="str">
        <f ca="1">OFFSET(Bowling!$B$4,BowlAves!B20,0)</f>
        <v>Pascoe T</v>
      </c>
      <c r="D20" s="157">
        <f t="array" aca="1" ref="D20:K20" ca="1">OFFSET(Bowling!$CG$4,BowlAves!B20,0,1,8)</f>
        <v>5</v>
      </c>
      <c r="E20" s="158">
        <f ca="1"/>
        <v>0</v>
      </c>
      <c r="F20" s="158">
        <f ca="1"/>
        <v>29</v>
      </c>
      <c r="G20" s="158">
        <f ca="1"/>
        <v>1</v>
      </c>
      <c r="H20" s="76">
        <f ca="1"/>
        <v>29</v>
      </c>
      <c r="I20" s="162">
        <f ca="1"/>
        <v>30</v>
      </c>
      <c r="J20" s="162">
        <f ca="1"/>
        <v>5.8</v>
      </c>
      <c r="K20" s="163" t="str">
        <f ca="1"/>
        <v>1-14</v>
      </c>
      <c r="L20" s="163">
        <f t="shared" ca="1" si="0"/>
        <v>1019</v>
      </c>
      <c r="M20" s="163">
        <f t="shared" ca="1" si="1"/>
        <v>19</v>
      </c>
      <c r="N20" s="122" t="str">
        <f t="shared" ca="1" si="2"/>
        <v>Pascoe T 5-0-29-1,</v>
      </c>
      <c r="P20" s="167">
        <v>18</v>
      </c>
      <c r="Q20" s="168" t="str">
        <f t="array" aca="1" ref="Q20:Y20" ca="1">OFFSET($C$2,MATCH(P20,$M$2:$M$51,0)-1,0,1,9)</f>
        <v>Winter T</v>
      </c>
      <c r="R20" s="169">
        <f ca="1"/>
        <v>3</v>
      </c>
      <c r="S20" s="170">
        <f ca="1"/>
        <v>0</v>
      </c>
      <c r="T20" s="169">
        <f ca="1"/>
        <v>25</v>
      </c>
      <c r="U20" s="169">
        <f ca="1"/>
        <v>1</v>
      </c>
      <c r="V20" s="171">
        <f ca="1"/>
        <v>25</v>
      </c>
      <c r="W20" s="172">
        <f ca="1"/>
        <v>18</v>
      </c>
      <c r="X20" s="172">
        <f ca="1"/>
        <v>8.3333333333333339</v>
      </c>
      <c r="Y20" s="172" t="str">
        <f ca="1"/>
        <v>1-25</v>
      </c>
      <c r="Z20" s="173">
        <f t="shared" ca="1" si="3"/>
        <v>0</v>
      </c>
      <c r="AB20" s="103"/>
      <c r="AC20" s="122" t="s">
        <v>717</v>
      </c>
    </row>
    <row r="21" spans="1:29" ht="12.75" x14ac:dyDescent="0.2">
      <c r="A21" s="122">
        <v>20</v>
      </c>
      <c r="B21" s="122">
        <f>MATCH(A21,Bowling!$CS$5:$CS$33,0)</f>
        <v>24</v>
      </c>
      <c r="C21" s="122" t="str">
        <f ca="1">OFFSET(Bowling!$B$4,BowlAves!B21,0)</f>
        <v>Smith C</v>
      </c>
      <c r="D21" s="157">
        <f t="array" aca="1" ref="D21:K21" ca="1">OFFSET(Bowling!$CG$4,BowlAves!B21,0,1,8)</f>
        <v>5</v>
      </c>
      <c r="E21" s="158">
        <f ca="1"/>
        <v>0</v>
      </c>
      <c r="F21" s="158">
        <f ca="1"/>
        <v>30</v>
      </c>
      <c r="G21" s="158">
        <f ca="1"/>
        <v>1</v>
      </c>
      <c r="H21" s="76">
        <f ca="1"/>
        <v>30</v>
      </c>
      <c r="I21" s="162">
        <f ca="1"/>
        <v>30</v>
      </c>
      <c r="J21" s="162">
        <f ca="1"/>
        <v>6</v>
      </c>
      <c r="K21" s="163" t="str">
        <f ca="1"/>
        <v>1-7</v>
      </c>
      <c r="L21" s="163">
        <f t="shared" ca="1" si="0"/>
        <v>1020</v>
      </c>
      <c r="M21" s="163">
        <f t="shared" ca="1" si="1"/>
        <v>20</v>
      </c>
      <c r="N21" s="122" t="str">
        <f t="shared" ca="1" si="2"/>
        <v>Smith C 5-0-30-1,</v>
      </c>
      <c r="P21" s="167">
        <v>19</v>
      </c>
      <c r="Q21" s="168" t="str">
        <f t="array" aca="1" ref="Q21:Y21" ca="1">OFFSET($C$2,MATCH(P21,$M$2:$M$51,0)-1,0,1,9)</f>
        <v>Pascoe T</v>
      </c>
      <c r="R21" s="169">
        <f ca="1"/>
        <v>5</v>
      </c>
      <c r="S21" s="170">
        <f ca="1"/>
        <v>0</v>
      </c>
      <c r="T21" s="169">
        <f ca="1"/>
        <v>29</v>
      </c>
      <c r="U21" s="169">
        <f ca="1"/>
        <v>1</v>
      </c>
      <c r="V21" s="171">
        <f ca="1"/>
        <v>29</v>
      </c>
      <c r="W21" s="172">
        <f ca="1"/>
        <v>30</v>
      </c>
      <c r="X21" s="172">
        <f ca="1"/>
        <v>5.8</v>
      </c>
      <c r="Y21" s="172" t="str">
        <f ca="1"/>
        <v>1-14</v>
      </c>
      <c r="Z21" s="173">
        <f t="shared" ca="1" si="3"/>
        <v>0</v>
      </c>
      <c r="AB21" s="103"/>
      <c r="AC21" s="122" t="s">
        <v>737</v>
      </c>
    </row>
    <row r="22" spans="1:29" ht="12.75" x14ac:dyDescent="0.2">
      <c r="A22" s="122">
        <v>21</v>
      </c>
      <c r="B22" s="122">
        <f>MATCH(A22,Bowling!$CS$5:$CS$33,0)</f>
        <v>5</v>
      </c>
      <c r="C22" s="122" t="str">
        <f ca="1">OFFSET(Bowling!$B$4,BowlAves!B22,0)</f>
        <v>Clarkson M</v>
      </c>
      <c r="D22" s="157">
        <f t="array" aca="1" ref="D22:K22" ca="1">OFFSET(Bowling!$CG$4,BowlAves!B22,0,1,8)</f>
        <v>15</v>
      </c>
      <c r="E22" s="158">
        <f ca="1"/>
        <v>0</v>
      </c>
      <c r="F22" s="158">
        <f ca="1"/>
        <v>96</v>
      </c>
      <c r="G22" s="158">
        <f ca="1"/>
        <v>3</v>
      </c>
      <c r="H22" s="76">
        <f ca="1"/>
        <v>32</v>
      </c>
      <c r="I22" s="162">
        <f ca="1"/>
        <v>30</v>
      </c>
      <c r="J22" s="162">
        <f ca="1"/>
        <v>6.4</v>
      </c>
      <c r="K22" s="163" t="str">
        <f ca="1"/>
        <v>2-32</v>
      </c>
      <c r="L22" s="163">
        <f t="shared" ca="1" si="0"/>
        <v>1021</v>
      </c>
      <c r="M22" s="163">
        <f t="shared" ca="1" si="1"/>
        <v>21</v>
      </c>
      <c r="N22" s="122" t="str">
        <f t="shared" ca="1" si="2"/>
        <v>Clarkson M 15-0-96-3,</v>
      </c>
      <c r="P22" s="167">
        <v>20</v>
      </c>
      <c r="Q22" s="168" t="str">
        <f t="array" aca="1" ref="Q22:Y22" ca="1">OFFSET($C$2,MATCH(P22,$M$2:$M$51,0)-1,0,1,9)</f>
        <v>Smith C</v>
      </c>
      <c r="R22" s="169">
        <f ca="1"/>
        <v>5</v>
      </c>
      <c r="S22" s="170">
        <f ca="1"/>
        <v>0</v>
      </c>
      <c r="T22" s="169">
        <f ca="1"/>
        <v>30</v>
      </c>
      <c r="U22" s="169">
        <f ca="1"/>
        <v>1</v>
      </c>
      <c r="V22" s="171">
        <f ca="1"/>
        <v>30</v>
      </c>
      <c r="W22" s="172">
        <f ca="1"/>
        <v>30</v>
      </c>
      <c r="X22" s="172">
        <f ca="1"/>
        <v>6</v>
      </c>
      <c r="Y22" s="172" t="str">
        <f ca="1"/>
        <v>1-7</v>
      </c>
      <c r="Z22" s="173">
        <f t="shared" ca="1" si="3"/>
        <v>0</v>
      </c>
      <c r="AB22" s="103"/>
      <c r="AC22" s="122" t="s">
        <v>716</v>
      </c>
    </row>
    <row r="23" spans="1:29" ht="11.25" x14ac:dyDescent="0.2">
      <c r="A23" s="122">
        <v>22</v>
      </c>
      <c r="B23" s="122">
        <f>MATCH(A23,Bowling!$CS$5:$CS$33,0)</f>
        <v>1</v>
      </c>
      <c r="C23" s="122" t="str">
        <f ca="1">OFFSET(Bowling!$B$4,BowlAves!B23,0)</f>
        <v>Azfar S</v>
      </c>
      <c r="D23" s="157">
        <f t="array" aca="1" ref="D23:K23" ca="1">OFFSET(Bowling!$CG$4,BowlAves!B23,0,1,8)</f>
        <v>4</v>
      </c>
      <c r="E23" s="158">
        <f ca="1"/>
        <v>0</v>
      </c>
      <c r="F23" s="158">
        <f ca="1"/>
        <v>35</v>
      </c>
      <c r="G23" s="158">
        <f ca="1"/>
        <v>1</v>
      </c>
      <c r="H23" s="76">
        <f ca="1"/>
        <v>35</v>
      </c>
      <c r="I23" s="162">
        <f ca="1"/>
        <v>24</v>
      </c>
      <c r="J23" s="162">
        <f ca="1"/>
        <v>8.75</v>
      </c>
      <c r="K23" s="163" t="str">
        <f ca="1"/>
        <v>1-21</v>
      </c>
      <c r="L23" s="163">
        <f t="shared" ca="1" si="0"/>
        <v>1022</v>
      </c>
      <c r="M23" s="163">
        <f t="shared" ca="1" si="1"/>
        <v>22</v>
      </c>
      <c r="N23" s="122" t="str">
        <f t="shared" ca="1" si="2"/>
        <v>Azfar S 4-0-35-1,</v>
      </c>
      <c r="P23" s="167">
        <v>21</v>
      </c>
      <c r="Q23" s="168" t="str">
        <f t="array" aca="1" ref="Q23:Y23" ca="1">OFFSET($C$2,MATCH(P23,$M$2:$M$51,0)-1,0,1,9)</f>
        <v>Clarkson M</v>
      </c>
      <c r="R23" s="169">
        <f ca="1"/>
        <v>15</v>
      </c>
      <c r="S23" s="170">
        <f ca="1"/>
        <v>0</v>
      </c>
      <c r="T23" s="169">
        <f ca="1"/>
        <v>96</v>
      </c>
      <c r="U23" s="169">
        <f ca="1"/>
        <v>3</v>
      </c>
      <c r="V23" s="171">
        <f ca="1"/>
        <v>32</v>
      </c>
      <c r="W23" s="172">
        <f ca="1"/>
        <v>30</v>
      </c>
      <c r="X23" s="172">
        <f ca="1"/>
        <v>6.4</v>
      </c>
      <c r="Y23" s="172" t="str">
        <f ca="1"/>
        <v>2-32</v>
      </c>
      <c r="Z23" s="173">
        <f t="shared" ca="1" si="3"/>
        <v>0</v>
      </c>
      <c r="AC23" s="122" t="s">
        <v>719</v>
      </c>
    </row>
    <row r="24" spans="1:29" ht="11.25" x14ac:dyDescent="0.2">
      <c r="A24" s="122">
        <v>23</v>
      </c>
      <c r="B24" s="122">
        <f>MATCH(A24,Bowling!$CS$5:$CS$33,0)</f>
        <v>9</v>
      </c>
      <c r="C24" s="122" t="str">
        <f ca="1">OFFSET(Bowling!$B$4,BowlAves!B24,0)</f>
        <v>Edghill R</v>
      </c>
      <c r="D24" s="157">
        <f t="array" aca="1" ref="D24:K24" ca="1">OFFSET(Bowling!$CG$4,BowlAves!B24,0,1,8)</f>
        <v>32.299999999999997</v>
      </c>
      <c r="E24" s="158">
        <f ca="1"/>
        <v>3</v>
      </c>
      <c r="F24" s="158">
        <f ca="1"/>
        <v>142</v>
      </c>
      <c r="G24" s="158">
        <f ca="1"/>
        <v>4</v>
      </c>
      <c r="H24" s="76">
        <f ca="1"/>
        <v>35.5</v>
      </c>
      <c r="I24" s="162">
        <f ca="1"/>
        <v>48.75</v>
      </c>
      <c r="J24" s="162">
        <f ca="1"/>
        <v>4.3692307692307688</v>
      </c>
      <c r="K24" s="163" t="str">
        <f ca="1"/>
        <v>2-10</v>
      </c>
      <c r="L24" s="163">
        <f t="shared" ca="1" si="0"/>
        <v>1023</v>
      </c>
      <c r="M24" s="163">
        <f t="shared" ca="1" si="1"/>
        <v>23</v>
      </c>
      <c r="N24" s="122" t="str">
        <f t="shared" ca="1" si="2"/>
        <v>Edghill R 32.3-3-142-4,</v>
      </c>
      <c r="P24" s="167">
        <v>22</v>
      </c>
      <c r="Q24" s="168" t="str">
        <f t="array" aca="1" ref="Q24:Y24" ca="1">OFFSET($C$2,MATCH(P24,$M$2:$M$51,0)-1,0,1,9)</f>
        <v>Azfar S</v>
      </c>
      <c r="R24" s="169">
        <f ca="1"/>
        <v>4</v>
      </c>
      <c r="S24" s="170">
        <f ca="1"/>
        <v>0</v>
      </c>
      <c r="T24" s="169">
        <f ca="1"/>
        <v>35</v>
      </c>
      <c r="U24" s="169">
        <f ca="1"/>
        <v>1</v>
      </c>
      <c r="V24" s="171">
        <f ca="1"/>
        <v>35</v>
      </c>
      <c r="W24" s="172">
        <f ca="1"/>
        <v>24</v>
      </c>
      <c r="X24" s="172">
        <f ca="1"/>
        <v>8.75</v>
      </c>
      <c r="Y24" s="172" t="str">
        <f ca="1"/>
        <v>1-21</v>
      </c>
      <c r="Z24" s="173">
        <f t="shared" ca="1" si="3"/>
        <v>0</v>
      </c>
      <c r="AC24" s="122" t="s">
        <v>726</v>
      </c>
    </row>
    <row r="25" spans="1:29" ht="11.25" x14ac:dyDescent="0.2">
      <c r="A25" s="122">
        <v>24</v>
      </c>
      <c r="B25" s="122">
        <f>MATCH(A25,Bowling!$CS$5:$CS$33,0)</f>
        <v>3</v>
      </c>
      <c r="C25" s="122" t="str">
        <f ca="1">OFFSET(Bowling!$B$4,BowlAves!B25,0)</f>
        <v>Brocks D</v>
      </c>
      <c r="D25" s="157">
        <f t="array" aca="1" ref="D25:K25" ca="1">OFFSET(Bowling!$CG$4,BowlAves!B25,0,1,8)</f>
        <v>13</v>
      </c>
      <c r="E25" s="158">
        <f ca="1"/>
        <v>0</v>
      </c>
      <c r="F25" s="158">
        <f ca="1"/>
        <v>79</v>
      </c>
      <c r="G25" s="158">
        <f ca="1"/>
        <v>2</v>
      </c>
      <c r="H25" s="76">
        <f ca="1"/>
        <v>39.5</v>
      </c>
      <c r="I25" s="162">
        <f ca="1"/>
        <v>39</v>
      </c>
      <c r="J25" s="162">
        <f ca="1"/>
        <v>6.0769230769230766</v>
      </c>
      <c r="K25" s="163" t="str">
        <f ca="1"/>
        <v>2-9</v>
      </c>
      <c r="L25" s="163">
        <f t="shared" ca="1" si="0"/>
        <v>1024</v>
      </c>
      <c r="M25" s="163">
        <f t="shared" ca="1" si="1"/>
        <v>24</v>
      </c>
      <c r="N25" s="122" t="str">
        <f t="shared" ca="1" si="2"/>
        <v>Brocks D 13-0-79-2,</v>
      </c>
      <c r="P25" s="167">
        <v>23</v>
      </c>
      <c r="Q25" s="168" t="str">
        <f t="array" aca="1" ref="Q25:Y25" ca="1">OFFSET($C$2,MATCH(P25,$M$2:$M$51,0)-1,0,1,9)</f>
        <v>Edghill R</v>
      </c>
      <c r="R25" s="169">
        <f ca="1"/>
        <v>32.299999999999997</v>
      </c>
      <c r="S25" s="170">
        <f ca="1"/>
        <v>3</v>
      </c>
      <c r="T25" s="169">
        <f ca="1"/>
        <v>142</v>
      </c>
      <c r="U25" s="169">
        <f ca="1"/>
        <v>4</v>
      </c>
      <c r="V25" s="171">
        <f ca="1"/>
        <v>35.5</v>
      </c>
      <c r="W25" s="172">
        <f ca="1"/>
        <v>48.75</v>
      </c>
      <c r="X25" s="172">
        <f ca="1"/>
        <v>4.3692307692307688</v>
      </c>
      <c r="Y25" s="172" t="str">
        <f ca="1"/>
        <v>2-10</v>
      </c>
      <c r="Z25" s="173">
        <f t="shared" ca="1" si="3"/>
        <v>9.2879256965944276E-2</v>
      </c>
      <c r="AC25" s="122" t="s">
        <v>721</v>
      </c>
    </row>
    <row r="26" spans="1:29" x14ac:dyDescent="0.15">
      <c r="A26" s="122">
        <v>25</v>
      </c>
      <c r="B26" s="122">
        <f>MATCH(A26,Bowling!$CS$5:$CS$33,0)</f>
        <v>28</v>
      </c>
      <c r="C26" s="122" t="str">
        <f ca="1">OFFSET(Bowling!$B$4,BowlAves!B26,0)</f>
        <v>Vashisthta V</v>
      </c>
      <c r="D26" s="157">
        <f t="array" aca="1" ref="D26:K26" ca="1">OFFSET(Bowling!$CG$4,BowlAves!B26,0,1,8)</f>
        <v>26</v>
      </c>
      <c r="E26" s="158">
        <f ca="1"/>
        <v>0</v>
      </c>
      <c r="F26" s="158">
        <f ca="1"/>
        <v>155</v>
      </c>
      <c r="G26" s="158">
        <f ca="1"/>
        <v>3</v>
      </c>
      <c r="H26" s="76">
        <f ca="1"/>
        <v>51.67</v>
      </c>
      <c r="I26" s="162">
        <f ca="1"/>
        <v>52</v>
      </c>
      <c r="J26" s="162">
        <f ca="1"/>
        <v>5.9615384615384617</v>
      </c>
      <c r="K26" s="163" t="str">
        <f ca="1"/>
        <v>2-35</v>
      </c>
      <c r="L26" s="163">
        <f t="shared" ca="1" si="0"/>
        <v>1025</v>
      </c>
      <c r="M26" s="163">
        <f t="shared" ca="1" si="1"/>
        <v>25</v>
      </c>
      <c r="N26" s="122" t="str">
        <f t="shared" ca="1" si="2"/>
        <v>Vashisthta V 26-0-155-3,</v>
      </c>
      <c r="Q26" s="163"/>
      <c r="R26" s="163"/>
      <c r="S26" s="174"/>
      <c r="T26" s="163"/>
      <c r="U26" s="163"/>
      <c r="V26" s="133"/>
      <c r="W26" s="132"/>
      <c r="X26" s="132"/>
      <c r="Y26" s="132"/>
      <c r="Z26" s="163"/>
      <c r="AC26" s="122" t="s">
        <v>723</v>
      </c>
    </row>
    <row r="27" spans="1:29" x14ac:dyDescent="0.15">
      <c r="A27" s="122">
        <v>26</v>
      </c>
      <c r="B27" s="122">
        <f>MATCH(A27,Bowling!$CS$5:$CS$33,0)</f>
        <v>27</v>
      </c>
      <c r="C27" s="122" t="str">
        <f ca="1">OFFSET(Bowling!$B$4,BowlAves!B27,0)</f>
        <v>Sunkara C</v>
      </c>
      <c r="D27" s="157">
        <f t="array" aca="1" ref="D27:K27" ca="1">OFFSET(Bowling!$CG$4,BowlAves!B27,0,1,8)</f>
        <v>11</v>
      </c>
      <c r="E27" s="158">
        <f ca="1"/>
        <v>1</v>
      </c>
      <c r="F27" s="158">
        <f ca="1"/>
        <v>71</v>
      </c>
      <c r="G27" s="158">
        <f ca="1"/>
        <v>1</v>
      </c>
      <c r="H27" s="76">
        <f ca="1"/>
        <v>71</v>
      </c>
      <c r="I27" s="162">
        <f ca="1"/>
        <v>66</v>
      </c>
      <c r="J27" s="162">
        <f ca="1"/>
        <v>6.4545454545454541</v>
      </c>
      <c r="K27" s="163" t="str">
        <f ca="1"/>
        <v>1-40</v>
      </c>
      <c r="L27" s="163">
        <f t="shared" ca="1" si="0"/>
        <v>1026</v>
      </c>
      <c r="M27" s="163">
        <f t="shared" ca="1" si="1"/>
        <v>26</v>
      </c>
      <c r="N27" s="122" t="str">
        <f t="shared" ca="1" si="2"/>
        <v>Sunkara C 11-1-71-1,</v>
      </c>
      <c r="Q27" s="163"/>
      <c r="R27" s="163"/>
      <c r="S27" s="174"/>
      <c r="T27" s="163"/>
      <c r="U27" s="163"/>
      <c r="V27" s="133"/>
      <c r="W27" s="132"/>
      <c r="X27" s="132"/>
      <c r="Y27" s="132"/>
      <c r="Z27" s="163"/>
      <c r="AC27" s="122" t="s">
        <v>725</v>
      </c>
    </row>
    <row r="28" spans="1:29" x14ac:dyDescent="0.15">
      <c r="A28" s="122">
        <v>27</v>
      </c>
      <c r="B28" s="122">
        <f>MATCH(A28,Bowling!$CS$5:$CS$33,0)</f>
        <v>11</v>
      </c>
      <c r="C28" s="122" t="str">
        <f ca="1">OFFSET(Bowling!$B$4,BowlAves!B28,0)</f>
        <v>Kiernan M</v>
      </c>
      <c r="D28" s="157">
        <f t="array" aca="1" ref="D28:K28" ca="1">OFFSET(Bowling!$CG$4,BowlAves!B28,0,1,8)</f>
        <v>1</v>
      </c>
      <c r="E28" s="158">
        <f ca="1"/>
        <v>0</v>
      </c>
      <c r="F28" s="158">
        <f ca="1"/>
        <v>3</v>
      </c>
      <c r="G28" s="158">
        <f ca="1"/>
        <v>0</v>
      </c>
      <c r="H28" s="76" t="str">
        <f ca="1"/>
        <v/>
      </c>
      <c r="I28" s="162" t="str">
        <f ca="1"/>
        <v/>
      </c>
      <c r="J28" s="162">
        <f ca="1"/>
        <v>3</v>
      </c>
      <c r="K28" s="163" t="str">
        <f ca="1"/>
        <v>0-3</v>
      </c>
      <c r="L28" s="163">
        <f t="shared" ca="1" si="0"/>
        <v>1027</v>
      </c>
      <c r="M28" s="163">
        <f t="shared" ca="1" si="1"/>
        <v>27</v>
      </c>
      <c r="N28" s="122" t="str">
        <f t="shared" ca="1" si="2"/>
        <v>Kiernan M 1-0-3-0,</v>
      </c>
      <c r="Q28" s="163"/>
      <c r="R28" s="163"/>
      <c r="S28" s="174"/>
      <c r="T28" s="163"/>
      <c r="U28" s="163"/>
      <c r="V28" s="133"/>
      <c r="W28" s="132"/>
      <c r="X28" s="132"/>
      <c r="Y28" s="132"/>
      <c r="Z28" s="163"/>
      <c r="AC28" s="122" t="s">
        <v>739</v>
      </c>
    </row>
    <row r="29" spans="1:29" x14ac:dyDescent="0.15">
      <c r="A29" s="122">
        <v>28</v>
      </c>
      <c r="B29" s="122">
        <f>MATCH(A29,Bowling!$CS$5:$CS$33,0)</f>
        <v>26</v>
      </c>
      <c r="C29" s="122" t="str">
        <f ca="1">OFFSET(Bowling!$B$4,BowlAves!B29,0)</f>
        <v>Stevenson R</v>
      </c>
      <c r="D29" s="157">
        <f t="array" aca="1" ref="D29:K29" ca="1">OFFSET(Bowling!$CG$4,BowlAves!B29,0,1,8)</f>
        <v>8</v>
      </c>
      <c r="E29" s="158">
        <f ca="1"/>
        <v>0</v>
      </c>
      <c r="F29" s="158">
        <f ca="1"/>
        <v>34</v>
      </c>
      <c r="G29" s="158">
        <f ca="1"/>
        <v>0</v>
      </c>
      <c r="H29" s="76" t="str">
        <f ca="1"/>
        <v/>
      </c>
      <c r="I29" s="162" t="str">
        <f ca="1"/>
        <v/>
      </c>
      <c r="J29" s="162">
        <f ca="1"/>
        <v>4.25</v>
      </c>
      <c r="K29" s="163" t="str">
        <f ca="1"/>
        <v>0-34</v>
      </c>
      <c r="L29" s="163">
        <f t="shared" ca="1" si="0"/>
        <v>1028</v>
      </c>
      <c r="M29" s="163">
        <f t="shared" ca="1" si="1"/>
        <v>28</v>
      </c>
      <c r="N29" s="122" t="str">
        <f t="shared" ca="1" si="2"/>
        <v>Stevenson R 8-0-34-0,</v>
      </c>
      <c r="Q29" s="163"/>
      <c r="R29" s="163"/>
      <c r="S29" s="174"/>
      <c r="T29" s="163"/>
      <c r="U29" s="163"/>
      <c r="V29" s="133"/>
      <c r="W29" s="132"/>
      <c r="X29" s="132"/>
      <c r="Y29" s="132"/>
      <c r="Z29" s="163"/>
      <c r="AC29" s="122" t="s">
        <v>727</v>
      </c>
    </row>
    <row r="30" spans="1:29" x14ac:dyDescent="0.15">
      <c r="A30" s="122">
        <v>29</v>
      </c>
      <c r="B30" s="122">
        <f>MATCH(A30,Bowling!$CS$5:$CS$33,0)</f>
        <v>20</v>
      </c>
      <c r="C30" s="122" t="str">
        <f ca="1">OFFSET(Bowling!$B$4,BowlAves!B30,0)</f>
        <v>Pascoe M</v>
      </c>
      <c r="D30" s="157">
        <f t="array" aca="1" ref="D30:K30" ca="1">OFFSET(Bowling!$CG$4,BowlAves!B30,0,1,8)</f>
        <v>12</v>
      </c>
      <c r="E30" s="158">
        <f ca="1"/>
        <v>0</v>
      </c>
      <c r="F30" s="158">
        <f ca="1"/>
        <v>76</v>
      </c>
      <c r="G30" s="158">
        <f ca="1"/>
        <v>0</v>
      </c>
      <c r="H30" s="76" t="str">
        <f ca="1"/>
        <v/>
      </c>
      <c r="I30" s="162" t="str">
        <f ca="1"/>
        <v/>
      </c>
      <c r="J30" s="162">
        <f ca="1"/>
        <v>6.333333333333333</v>
      </c>
      <c r="K30" s="163" t="str">
        <f ca="1"/>
        <v>0-21</v>
      </c>
      <c r="L30" s="163">
        <f t="shared" ca="1" si="0"/>
        <v>1029</v>
      </c>
      <c r="M30" s="163">
        <f t="shared" ca="1" si="1"/>
        <v>29</v>
      </c>
      <c r="N30" s="122" t="str">
        <f t="shared" ca="1" si="2"/>
        <v>Pascoe M 12-0-76-0,</v>
      </c>
      <c r="AC30" s="122" t="s">
        <v>729</v>
      </c>
    </row>
    <row r="31" spans="1:29" x14ac:dyDescent="0.15">
      <c r="A31" s="122">
        <v>30</v>
      </c>
      <c r="B31" s="122" t="e">
        <f>MATCH(A31,Bowling!$CS$5:$CS$33,0)</f>
        <v>#N/A</v>
      </c>
      <c r="C31" s="122" t="e">
        <f ca="1">OFFSET(Bowling!$B$4,BowlAves!B31,0)</f>
        <v>#N/A</v>
      </c>
      <c r="D31" s="157" t="e">
        <f t="array" aca="1" ref="D31:K31" ca="1">OFFSET(Bowling!$CG$4,BowlAves!B31,0,1,8)</f>
        <v>#N/A</v>
      </c>
      <c r="E31" s="158" t="e">
        <f ca="1"/>
        <v>#N/A</v>
      </c>
      <c r="F31" s="158" t="e">
        <f ca="1"/>
        <v>#N/A</v>
      </c>
      <c r="G31" s="158" t="e">
        <f ca="1"/>
        <v>#N/A</v>
      </c>
      <c r="H31" s="76" t="e">
        <f ca="1"/>
        <v>#N/A</v>
      </c>
      <c r="I31" s="162" t="e">
        <f ca="1"/>
        <v>#N/A</v>
      </c>
      <c r="J31" s="162" t="e">
        <f ca="1"/>
        <v>#N/A</v>
      </c>
      <c r="K31" s="163" t="e">
        <f ca="1"/>
        <v>#N/A</v>
      </c>
      <c r="L31" s="163" t="e">
        <f t="shared" ca="1" si="0"/>
        <v>#N/A</v>
      </c>
      <c r="M31" s="163" t="e">
        <f t="shared" ca="1" si="1"/>
        <v>#N/A</v>
      </c>
      <c r="N31" s="122" t="e">
        <f t="shared" ca="1" si="2"/>
        <v>#N/A</v>
      </c>
      <c r="W31" s="122" t="s">
        <v>212</v>
      </c>
      <c r="AC31" s="122" t="s">
        <v>715</v>
      </c>
    </row>
    <row r="32" spans="1:29" x14ac:dyDescent="0.15">
      <c r="A32" s="122">
        <v>31</v>
      </c>
      <c r="B32" s="122" t="e">
        <f>MATCH(A32,Bowling!$CS$5:$CS$33,0)</f>
        <v>#N/A</v>
      </c>
      <c r="C32" s="122" t="e">
        <f ca="1">OFFSET(Bowling!$B$4,BowlAves!B32,0)</f>
        <v>#N/A</v>
      </c>
      <c r="D32" s="157" t="e">
        <f t="array" aca="1" ref="D32:K32" ca="1">OFFSET(Bowling!$CG$4,BowlAves!B32,0,1,8)</f>
        <v>#N/A</v>
      </c>
      <c r="E32" s="158" t="e">
        <f ca="1"/>
        <v>#N/A</v>
      </c>
      <c r="F32" s="158" t="e">
        <f ca="1"/>
        <v>#N/A</v>
      </c>
      <c r="G32" s="158" t="e">
        <f ca="1"/>
        <v>#N/A</v>
      </c>
      <c r="H32" s="76" t="e">
        <f ca="1"/>
        <v>#N/A</v>
      </c>
      <c r="I32" s="162" t="e">
        <f ca="1"/>
        <v>#N/A</v>
      </c>
      <c r="J32" s="162" t="e">
        <f ca="1"/>
        <v>#N/A</v>
      </c>
      <c r="K32" s="163" t="e">
        <f ca="1"/>
        <v>#N/A</v>
      </c>
      <c r="L32" s="163" t="e">
        <f t="shared" ca="1" si="0"/>
        <v>#N/A</v>
      </c>
      <c r="M32" s="163" t="e">
        <f t="shared" ca="1" si="1"/>
        <v>#N/A</v>
      </c>
      <c r="N32" s="122" t="e">
        <f t="shared" ca="1" si="2"/>
        <v>#N/A</v>
      </c>
      <c r="W32" s="122" t="s">
        <v>212</v>
      </c>
      <c r="AC32" s="122" t="s">
        <v>730</v>
      </c>
    </row>
    <row r="33" spans="1:29" x14ac:dyDescent="0.15">
      <c r="A33" s="122">
        <v>32</v>
      </c>
      <c r="B33" s="122" t="e">
        <f>MATCH(A33,Bowling!$CS$5:$CS$33,0)</f>
        <v>#N/A</v>
      </c>
      <c r="C33" s="122" t="e">
        <f ca="1">OFFSET(Bowling!$B$4,BowlAves!B33,0)</f>
        <v>#N/A</v>
      </c>
      <c r="D33" s="157" t="e">
        <f t="array" aca="1" ref="D33:K33" ca="1">OFFSET(Bowling!$CG$4,BowlAves!B33,0,1,8)</f>
        <v>#N/A</v>
      </c>
      <c r="E33" s="158" t="e">
        <f ca="1"/>
        <v>#N/A</v>
      </c>
      <c r="F33" s="158" t="e">
        <f ca="1"/>
        <v>#N/A</v>
      </c>
      <c r="G33" s="158" t="e">
        <f ca="1"/>
        <v>#N/A</v>
      </c>
      <c r="H33" s="76" t="e">
        <f ca="1"/>
        <v>#N/A</v>
      </c>
      <c r="I33" s="162" t="e">
        <f ca="1"/>
        <v>#N/A</v>
      </c>
      <c r="J33" s="162" t="e">
        <f ca="1"/>
        <v>#N/A</v>
      </c>
      <c r="K33" s="163" t="e">
        <f ca="1"/>
        <v>#N/A</v>
      </c>
      <c r="L33" s="163" t="e">
        <f t="shared" ca="1" si="0"/>
        <v>#N/A</v>
      </c>
      <c r="M33" s="163" t="e">
        <f t="shared" ca="1" si="1"/>
        <v>#N/A</v>
      </c>
      <c r="N33" s="122" t="e">
        <f t="shared" ca="1" si="2"/>
        <v>#N/A</v>
      </c>
      <c r="AC33" s="122" t="s">
        <v>738</v>
      </c>
    </row>
    <row r="34" spans="1:29" x14ac:dyDescent="0.15">
      <c r="A34" s="122">
        <v>33</v>
      </c>
      <c r="B34" s="122" t="e">
        <f>MATCH(A34,Bowling!$CS$5:$CS$33,0)</f>
        <v>#N/A</v>
      </c>
      <c r="C34" s="122" t="e">
        <f ca="1">OFFSET(Bowling!$B$4,BowlAves!B34,0)</f>
        <v>#N/A</v>
      </c>
      <c r="D34" s="157" t="e">
        <f t="array" aca="1" ref="D34:K34" ca="1">OFFSET(Bowling!$CG$4,BowlAves!B34,0,1,8)</f>
        <v>#N/A</v>
      </c>
      <c r="E34" s="158" t="e">
        <f ca="1"/>
        <v>#N/A</v>
      </c>
      <c r="F34" s="158" t="e">
        <f ca="1"/>
        <v>#N/A</v>
      </c>
      <c r="G34" s="158" t="e">
        <f ca="1"/>
        <v>#N/A</v>
      </c>
      <c r="H34" s="76" t="e">
        <f ca="1"/>
        <v>#N/A</v>
      </c>
      <c r="I34" s="162" t="e">
        <f ca="1"/>
        <v>#N/A</v>
      </c>
      <c r="J34" s="162" t="e">
        <f ca="1"/>
        <v>#N/A</v>
      </c>
      <c r="K34" s="163" t="e">
        <f ca="1"/>
        <v>#N/A</v>
      </c>
      <c r="L34" s="163" t="e">
        <f t="shared" ca="1" si="0"/>
        <v>#N/A</v>
      </c>
      <c r="M34" s="163" t="e">
        <f t="shared" ca="1" si="1"/>
        <v>#N/A</v>
      </c>
      <c r="N34" s="122" t="e">
        <f t="shared" ca="1" si="2"/>
        <v>#N/A</v>
      </c>
      <c r="AC34" s="122" t="s">
        <v>736</v>
      </c>
    </row>
    <row r="35" spans="1:29" x14ac:dyDescent="0.15">
      <c r="A35" s="122">
        <v>34</v>
      </c>
      <c r="B35" s="122" t="e">
        <f>MATCH(A35,Bowling!$CS$5:$CS$33,0)</f>
        <v>#N/A</v>
      </c>
      <c r="C35" s="122" t="e">
        <f ca="1">OFFSET(Bowling!$B$4,BowlAves!B35,0)</f>
        <v>#N/A</v>
      </c>
      <c r="D35" s="157" t="e">
        <f t="array" aca="1" ref="D35:K35" ca="1">OFFSET(Bowling!$CG$4,BowlAves!B35,0,1,8)</f>
        <v>#N/A</v>
      </c>
      <c r="E35" s="158" t="e">
        <f ca="1"/>
        <v>#N/A</v>
      </c>
      <c r="F35" s="158" t="e">
        <f ca="1"/>
        <v>#N/A</v>
      </c>
      <c r="G35" s="158" t="e">
        <f ca="1"/>
        <v>#N/A</v>
      </c>
      <c r="H35" s="76" t="e">
        <f ca="1"/>
        <v>#N/A</v>
      </c>
      <c r="I35" s="162" t="e">
        <f ca="1"/>
        <v>#N/A</v>
      </c>
      <c r="J35" s="162" t="e">
        <f ca="1"/>
        <v>#N/A</v>
      </c>
      <c r="K35" s="163" t="e">
        <f ca="1"/>
        <v>#N/A</v>
      </c>
      <c r="L35" s="163" t="e">
        <f t="shared" ca="1" si="0"/>
        <v>#N/A</v>
      </c>
      <c r="M35" s="163" t="e">
        <f t="shared" ca="1" si="1"/>
        <v>#N/A</v>
      </c>
      <c r="N35" s="122" t="e">
        <f t="shared" ca="1" si="2"/>
        <v>#N/A</v>
      </c>
      <c r="AC35" s="122" t="s">
        <v>735</v>
      </c>
    </row>
    <row r="36" spans="1:29" x14ac:dyDescent="0.15">
      <c r="A36" s="122">
        <v>35</v>
      </c>
      <c r="B36" s="122" t="e">
        <f>MATCH(A36,Bowling!$CS$5:$CS$33,0)</f>
        <v>#N/A</v>
      </c>
      <c r="C36" s="122" t="e">
        <f ca="1">OFFSET(Bowling!$B$4,BowlAves!B36,0)</f>
        <v>#N/A</v>
      </c>
      <c r="D36" s="157" t="e">
        <f t="array" aca="1" ref="D36:K36" ca="1">OFFSET(Bowling!$CG$4,BowlAves!B36,0,1,8)</f>
        <v>#N/A</v>
      </c>
      <c r="E36" s="158" t="e">
        <f ca="1"/>
        <v>#N/A</v>
      </c>
      <c r="F36" s="158" t="e">
        <f ca="1"/>
        <v>#N/A</v>
      </c>
      <c r="G36" s="158" t="e">
        <f ca="1"/>
        <v>#N/A</v>
      </c>
      <c r="H36" s="76" t="e">
        <f ca="1"/>
        <v>#N/A</v>
      </c>
      <c r="I36" s="162" t="e">
        <f ca="1"/>
        <v>#N/A</v>
      </c>
      <c r="J36" s="162" t="e">
        <f ca="1"/>
        <v>#N/A</v>
      </c>
      <c r="K36" s="163" t="e">
        <f ca="1"/>
        <v>#N/A</v>
      </c>
      <c r="L36" s="163" t="e">
        <f t="shared" ca="1" si="0"/>
        <v>#N/A</v>
      </c>
      <c r="M36" s="163" t="e">
        <f t="shared" ca="1" si="1"/>
        <v>#N/A</v>
      </c>
      <c r="N36" s="122" t="e">
        <f t="shared" ca="1" si="2"/>
        <v>#N/A</v>
      </c>
      <c r="Q36" s="122" t="s">
        <v>212</v>
      </c>
      <c r="AC36" s="122" t="s">
        <v>728</v>
      </c>
    </row>
    <row r="37" spans="1:29" ht="11.25" x14ac:dyDescent="0.15">
      <c r="A37" s="122">
        <v>36</v>
      </c>
      <c r="B37" s="122" t="e">
        <f>MATCH(A37,Bowling!$CS$5:$CS$33,0)</f>
        <v>#N/A</v>
      </c>
      <c r="C37" s="122" t="e">
        <f ca="1">OFFSET(Bowling!$B$4,BowlAves!B37,0)</f>
        <v>#N/A</v>
      </c>
      <c r="D37" s="157" t="e">
        <f t="array" aca="1" ref="D37:K37" ca="1">OFFSET(Bowling!$CG$4,BowlAves!B37,0,1,8)</f>
        <v>#N/A</v>
      </c>
      <c r="E37" s="158" t="e">
        <f ca="1"/>
        <v>#N/A</v>
      </c>
      <c r="F37" s="158" t="e">
        <f ca="1"/>
        <v>#N/A</v>
      </c>
      <c r="G37" s="158" t="e">
        <f ca="1"/>
        <v>#N/A</v>
      </c>
      <c r="H37" s="76" t="e">
        <f ca="1"/>
        <v>#N/A</v>
      </c>
      <c r="I37" s="162" t="e">
        <f ca="1"/>
        <v>#N/A</v>
      </c>
      <c r="J37" s="162" t="e">
        <f ca="1"/>
        <v>#N/A</v>
      </c>
      <c r="K37" s="163" t="e">
        <f ca="1"/>
        <v>#N/A</v>
      </c>
      <c r="L37" s="163" t="e">
        <f t="shared" ca="1" si="0"/>
        <v>#N/A</v>
      </c>
      <c r="M37" s="163" t="e">
        <f t="shared" ca="1" si="1"/>
        <v>#N/A</v>
      </c>
      <c r="N37" s="122" t="e">
        <f t="shared" ca="1" si="2"/>
        <v>#N/A</v>
      </c>
      <c r="Q37" s="122" t="s">
        <v>212</v>
      </c>
      <c r="W37" s="167"/>
    </row>
    <row r="38" spans="1:29" ht="11.25" x14ac:dyDescent="0.15">
      <c r="A38" s="122">
        <v>37</v>
      </c>
      <c r="B38" s="122" t="e">
        <f>MATCH(A38,Bowling!$CS$5:$CS$33,0)</f>
        <v>#N/A</v>
      </c>
      <c r="C38" s="122" t="e">
        <f ca="1">OFFSET(Bowling!$B$4,BowlAves!B38,0)</f>
        <v>#N/A</v>
      </c>
      <c r="D38" s="157" t="e">
        <f t="array" aca="1" ref="D38:K38" ca="1">OFFSET(Bowling!$CG$4,BowlAves!B38,0,1,8)</f>
        <v>#N/A</v>
      </c>
      <c r="E38" s="158" t="e">
        <f ca="1"/>
        <v>#N/A</v>
      </c>
      <c r="F38" s="158" t="e">
        <f ca="1"/>
        <v>#N/A</v>
      </c>
      <c r="G38" s="158" t="e">
        <f ca="1"/>
        <v>#N/A</v>
      </c>
      <c r="H38" s="76" t="e">
        <f ca="1"/>
        <v>#N/A</v>
      </c>
      <c r="I38" s="162" t="e">
        <f ca="1"/>
        <v>#N/A</v>
      </c>
      <c r="J38" s="162" t="e">
        <f ca="1"/>
        <v>#N/A</v>
      </c>
      <c r="K38" s="163" t="e">
        <f ca="1"/>
        <v>#N/A</v>
      </c>
      <c r="L38" s="163" t="e">
        <f t="shared" ca="1" si="0"/>
        <v>#N/A</v>
      </c>
      <c r="M38" s="163" t="e">
        <f t="shared" ca="1" si="1"/>
        <v>#N/A</v>
      </c>
      <c r="N38" s="122" t="e">
        <f t="shared" ca="1" si="2"/>
        <v>#N/A</v>
      </c>
      <c r="Q38" s="122" t="s">
        <v>212</v>
      </c>
      <c r="W38" s="167"/>
    </row>
    <row r="39" spans="1:29" ht="11.25" x14ac:dyDescent="0.15">
      <c r="A39" s="122">
        <v>38</v>
      </c>
      <c r="B39" s="122" t="e">
        <f>MATCH(A39,Bowling!$CS$5:$CS$33,0)</f>
        <v>#N/A</v>
      </c>
      <c r="C39" s="122" t="e">
        <f ca="1">OFFSET(Bowling!$B$4,BowlAves!B39,0)</f>
        <v>#N/A</v>
      </c>
      <c r="D39" s="157" t="e">
        <f t="array" aca="1" ref="D39:K39" ca="1">OFFSET(Bowling!$CG$4,BowlAves!B39,0,1,8)</f>
        <v>#N/A</v>
      </c>
      <c r="E39" s="158" t="e">
        <f ca="1"/>
        <v>#N/A</v>
      </c>
      <c r="F39" s="158" t="e">
        <f ca="1"/>
        <v>#N/A</v>
      </c>
      <c r="G39" s="158" t="e">
        <f ca="1"/>
        <v>#N/A</v>
      </c>
      <c r="H39" s="76" t="e">
        <f ca="1"/>
        <v>#N/A</v>
      </c>
      <c r="I39" s="162" t="e">
        <f ca="1"/>
        <v>#N/A</v>
      </c>
      <c r="J39" s="162" t="e">
        <f ca="1"/>
        <v>#N/A</v>
      </c>
      <c r="K39" s="163" t="e">
        <f ca="1"/>
        <v>#N/A</v>
      </c>
      <c r="L39" s="163" t="e">
        <f t="shared" ca="1" si="0"/>
        <v>#N/A</v>
      </c>
      <c r="M39" s="163" t="e">
        <f t="shared" ca="1" si="1"/>
        <v>#N/A</v>
      </c>
      <c r="N39" s="122" t="e">
        <f t="shared" ca="1" si="2"/>
        <v>#N/A</v>
      </c>
      <c r="Q39" s="122" t="s">
        <v>212</v>
      </c>
      <c r="W39" s="167"/>
    </row>
    <row r="40" spans="1:29" ht="11.25" x14ac:dyDescent="0.15">
      <c r="A40" s="122">
        <v>39</v>
      </c>
      <c r="B40" s="122" t="e">
        <f>MATCH(A40,Bowling!$CS$5:$CS$33,0)</f>
        <v>#N/A</v>
      </c>
      <c r="C40" s="122" t="e">
        <f ca="1">OFFSET(Bowling!$B$4,BowlAves!B40,0)</f>
        <v>#N/A</v>
      </c>
      <c r="D40" s="157" t="e">
        <f t="array" aca="1" ref="D40:K40" ca="1">OFFSET(Bowling!$CG$4,BowlAves!B40,0,1,8)</f>
        <v>#N/A</v>
      </c>
      <c r="E40" s="158" t="e">
        <f ca="1"/>
        <v>#N/A</v>
      </c>
      <c r="F40" s="158" t="e">
        <f ca="1"/>
        <v>#N/A</v>
      </c>
      <c r="G40" s="158" t="e">
        <f ca="1"/>
        <v>#N/A</v>
      </c>
      <c r="H40" s="76" t="e">
        <f ca="1"/>
        <v>#N/A</v>
      </c>
      <c r="I40" s="162" t="e">
        <f ca="1"/>
        <v>#N/A</v>
      </c>
      <c r="J40" s="162" t="e">
        <f ca="1"/>
        <v>#N/A</v>
      </c>
      <c r="K40" s="163" t="e">
        <f ca="1"/>
        <v>#N/A</v>
      </c>
      <c r="L40" s="163" t="e">
        <f t="shared" ca="1" si="0"/>
        <v>#N/A</v>
      </c>
      <c r="M40" s="163" t="e">
        <f t="shared" ca="1" si="1"/>
        <v>#N/A</v>
      </c>
      <c r="N40" s="122" t="e">
        <f t="shared" ca="1" si="2"/>
        <v>#N/A</v>
      </c>
      <c r="Q40" s="122" t="s">
        <v>212</v>
      </c>
      <c r="W40" s="167"/>
    </row>
    <row r="41" spans="1:29" ht="11.25" x14ac:dyDescent="0.15">
      <c r="A41" s="122">
        <v>40</v>
      </c>
      <c r="B41" s="122" t="e">
        <f>MATCH(A41,Bowling!$CS$5:$CS$33,0)</f>
        <v>#N/A</v>
      </c>
      <c r="C41" s="122" t="e">
        <f ca="1">OFFSET(Bowling!$B$4,BowlAves!B41,0)</f>
        <v>#N/A</v>
      </c>
      <c r="D41" s="157" t="e">
        <f t="array" aca="1" ref="D41:K41" ca="1">OFFSET(Bowling!$CG$4,BowlAves!B41,0,1,8)</f>
        <v>#N/A</v>
      </c>
      <c r="E41" s="158" t="e">
        <f ca="1"/>
        <v>#N/A</v>
      </c>
      <c r="F41" s="158" t="e">
        <f ca="1"/>
        <v>#N/A</v>
      </c>
      <c r="G41" s="158" t="e">
        <f ca="1"/>
        <v>#N/A</v>
      </c>
      <c r="H41" s="76" t="e">
        <f ca="1"/>
        <v>#N/A</v>
      </c>
      <c r="I41" s="162" t="e">
        <f ca="1"/>
        <v>#N/A</v>
      </c>
      <c r="J41" s="162" t="e">
        <f ca="1"/>
        <v>#N/A</v>
      </c>
      <c r="K41" s="163" t="e">
        <f ca="1"/>
        <v>#N/A</v>
      </c>
      <c r="L41" s="163" t="e">
        <f t="shared" ca="1" si="0"/>
        <v>#N/A</v>
      </c>
      <c r="M41" s="163" t="e">
        <f t="shared" ca="1" si="1"/>
        <v>#N/A</v>
      </c>
      <c r="N41" s="122" t="e">
        <f t="shared" ca="1" si="2"/>
        <v>#N/A</v>
      </c>
      <c r="Q41" s="122" t="s">
        <v>212</v>
      </c>
      <c r="W41" s="167"/>
    </row>
    <row r="42" spans="1:29" ht="11.25" x14ac:dyDescent="0.15">
      <c r="A42" s="122">
        <v>41</v>
      </c>
      <c r="B42" s="122" t="e">
        <f>MATCH(A42,Bowling!$CS$5:$CS$33,0)</f>
        <v>#N/A</v>
      </c>
      <c r="C42" s="122" t="e">
        <f ca="1">OFFSET(Bowling!$B$4,BowlAves!B42,0)</f>
        <v>#N/A</v>
      </c>
      <c r="D42" s="157" t="e">
        <f t="array" aca="1" ref="D42:K42" ca="1">OFFSET(Bowling!$CG$4,BowlAves!B42,0,1,8)</f>
        <v>#N/A</v>
      </c>
      <c r="E42" s="158" t="e">
        <f ca="1"/>
        <v>#N/A</v>
      </c>
      <c r="F42" s="158" t="e">
        <f ca="1"/>
        <v>#N/A</v>
      </c>
      <c r="G42" s="158" t="e">
        <f ca="1"/>
        <v>#N/A</v>
      </c>
      <c r="H42" s="76" t="e">
        <f ca="1"/>
        <v>#N/A</v>
      </c>
      <c r="I42" s="162" t="e">
        <f ca="1"/>
        <v>#N/A</v>
      </c>
      <c r="J42" s="162" t="e">
        <f ca="1"/>
        <v>#N/A</v>
      </c>
      <c r="K42" s="163" t="e">
        <f ca="1"/>
        <v>#N/A</v>
      </c>
      <c r="L42" s="163" t="e">
        <f t="shared" ca="1" si="0"/>
        <v>#N/A</v>
      </c>
      <c r="M42" s="163" t="e">
        <f t="shared" ca="1" si="1"/>
        <v>#N/A</v>
      </c>
      <c r="N42" s="122" t="e">
        <f t="shared" ca="1" si="2"/>
        <v>#N/A</v>
      </c>
      <c r="Q42" s="122" t="s">
        <v>212</v>
      </c>
      <c r="W42" s="167"/>
    </row>
    <row r="43" spans="1:29" ht="11.25" x14ac:dyDescent="0.15">
      <c r="A43" s="122">
        <v>42</v>
      </c>
      <c r="B43" s="122" t="e">
        <f>MATCH(A43,Bowling!$CS$5:$CS$33,0)</f>
        <v>#N/A</v>
      </c>
      <c r="C43" s="122" t="e">
        <f ca="1">OFFSET(Bowling!$B$4,BowlAves!B43,0)</f>
        <v>#N/A</v>
      </c>
      <c r="D43" s="157" t="e">
        <f t="array" aca="1" ref="D43:K43" ca="1">OFFSET(Bowling!$CG$4,BowlAves!B43,0,1,8)</f>
        <v>#N/A</v>
      </c>
      <c r="E43" s="158" t="e">
        <f ca="1"/>
        <v>#N/A</v>
      </c>
      <c r="F43" s="158" t="e">
        <f ca="1"/>
        <v>#N/A</v>
      </c>
      <c r="G43" s="158" t="e">
        <f ca="1"/>
        <v>#N/A</v>
      </c>
      <c r="H43" s="76" t="e">
        <f ca="1"/>
        <v>#N/A</v>
      </c>
      <c r="I43" s="162" t="e">
        <f ca="1"/>
        <v>#N/A</v>
      </c>
      <c r="J43" s="162" t="e">
        <f ca="1"/>
        <v>#N/A</v>
      </c>
      <c r="K43" s="163" t="e">
        <f ca="1"/>
        <v>#N/A</v>
      </c>
      <c r="L43" s="163" t="e">
        <f t="shared" ca="1" si="0"/>
        <v>#N/A</v>
      </c>
      <c r="M43" s="163" t="e">
        <f t="shared" ca="1" si="1"/>
        <v>#N/A</v>
      </c>
      <c r="N43" s="122" t="e">
        <f t="shared" ca="1" si="2"/>
        <v>#N/A</v>
      </c>
      <c r="Q43" s="122" t="s">
        <v>212</v>
      </c>
      <c r="W43" s="167"/>
    </row>
    <row r="44" spans="1:29" ht="11.25" x14ac:dyDescent="0.15">
      <c r="A44" s="122">
        <v>43</v>
      </c>
      <c r="B44" s="122" t="e">
        <f>MATCH(A44,Bowling!$CS$5:$CS$33,0)</f>
        <v>#N/A</v>
      </c>
      <c r="C44" s="122" t="e">
        <f ca="1">OFFSET(Bowling!$B$4,BowlAves!B44,0)</f>
        <v>#N/A</v>
      </c>
      <c r="D44" s="157" t="e">
        <f t="array" aca="1" ref="D44:K44" ca="1">OFFSET(Bowling!$CG$4,BowlAves!B44,0,1,8)</f>
        <v>#N/A</v>
      </c>
      <c r="E44" s="158" t="e">
        <f ca="1"/>
        <v>#N/A</v>
      </c>
      <c r="F44" s="158" t="e">
        <f ca="1"/>
        <v>#N/A</v>
      </c>
      <c r="G44" s="158" t="e">
        <f ca="1"/>
        <v>#N/A</v>
      </c>
      <c r="H44" s="76" t="e">
        <f ca="1"/>
        <v>#N/A</v>
      </c>
      <c r="I44" s="162" t="e">
        <f ca="1"/>
        <v>#N/A</v>
      </c>
      <c r="J44" s="162" t="e">
        <f ca="1"/>
        <v>#N/A</v>
      </c>
      <c r="K44" s="163" t="e">
        <f ca="1"/>
        <v>#N/A</v>
      </c>
      <c r="L44" s="163" t="e">
        <f t="shared" ca="1" si="0"/>
        <v>#N/A</v>
      </c>
      <c r="M44" s="163" t="e">
        <f t="shared" ca="1" si="1"/>
        <v>#N/A</v>
      </c>
      <c r="N44" s="122" t="e">
        <f t="shared" ca="1" si="2"/>
        <v>#N/A</v>
      </c>
      <c r="Q44" s="122" t="s">
        <v>212</v>
      </c>
      <c r="W44" s="167"/>
    </row>
    <row r="45" spans="1:29" ht="11.25" x14ac:dyDescent="0.15">
      <c r="A45" s="122">
        <v>44</v>
      </c>
      <c r="B45" s="122" t="e">
        <f>MATCH(A45,Bowling!$CS$5:$CS$33,0)</f>
        <v>#N/A</v>
      </c>
      <c r="C45" s="122" t="e">
        <f ca="1">OFFSET(Bowling!$B$4,BowlAves!B45,0)</f>
        <v>#N/A</v>
      </c>
      <c r="D45" s="157" t="e">
        <f t="array" aca="1" ref="D45:K45" ca="1">OFFSET(Bowling!$CG$4,BowlAves!B45,0,1,8)</f>
        <v>#N/A</v>
      </c>
      <c r="E45" s="158" t="e">
        <f ca="1"/>
        <v>#N/A</v>
      </c>
      <c r="F45" s="158" t="e">
        <f ca="1"/>
        <v>#N/A</v>
      </c>
      <c r="G45" s="158" t="e">
        <f ca="1"/>
        <v>#N/A</v>
      </c>
      <c r="H45" s="76" t="e">
        <f ca="1"/>
        <v>#N/A</v>
      </c>
      <c r="I45" s="162" t="e">
        <f ca="1"/>
        <v>#N/A</v>
      </c>
      <c r="J45" s="162" t="e">
        <f ca="1"/>
        <v>#N/A</v>
      </c>
      <c r="K45" s="163" t="e">
        <f ca="1"/>
        <v>#N/A</v>
      </c>
      <c r="L45" s="163" t="e">
        <f t="shared" ca="1" si="0"/>
        <v>#N/A</v>
      </c>
      <c r="M45" s="163" t="e">
        <f t="shared" ca="1" si="1"/>
        <v>#N/A</v>
      </c>
      <c r="N45" s="122" t="e">
        <f t="shared" ca="1" si="2"/>
        <v>#N/A</v>
      </c>
      <c r="Q45" s="122" t="s">
        <v>212</v>
      </c>
      <c r="W45" s="167"/>
    </row>
    <row r="46" spans="1:29" ht="11.25" x14ac:dyDescent="0.15">
      <c r="A46" s="122">
        <v>45</v>
      </c>
      <c r="B46" s="122" t="e">
        <f>MATCH(A46,Bowling!$CS$5:$CS$33,0)</f>
        <v>#N/A</v>
      </c>
      <c r="C46" s="122" t="e">
        <f ca="1">OFFSET(Bowling!$B$4,BowlAves!B46,0)</f>
        <v>#N/A</v>
      </c>
      <c r="D46" s="157" t="e">
        <f t="array" aca="1" ref="D46:K46" ca="1">OFFSET(Bowling!$CG$4,BowlAves!B46,0,1,8)</f>
        <v>#N/A</v>
      </c>
      <c r="E46" s="158" t="e">
        <f ca="1"/>
        <v>#N/A</v>
      </c>
      <c r="F46" s="158" t="e">
        <f ca="1"/>
        <v>#N/A</v>
      </c>
      <c r="G46" s="158" t="e">
        <f ca="1"/>
        <v>#N/A</v>
      </c>
      <c r="H46" s="76" t="e">
        <f ca="1"/>
        <v>#N/A</v>
      </c>
      <c r="I46" s="162" t="e">
        <f ca="1"/>
        <v>#N/A</v>
      </c>
      <c r="J46" s="162" t="e">
        <f ca="1"/>
        <v>#N/A</v>
      </c>
      <c r="K46" s="163" t="e">
        <f ca="1"/>
        <v>#N/A</v>
      </c>
      <c r="L46" s="163" t="e">
        <f t="shared" ca="1" si="0"/>
        <v>#N/A</v>
      </c>
      <c r="M46" s="163" t="e">
        <f t="shared" ca="1" si="1"/>
        <v>#N/A</v>
      </c>
      <c r="N46" s="122" t="e">
        <f t="shared" ca="1" si="2"/>
        <v>#N/A</v>
      </c>
      <c r="W46" s="167"/>
    </row>
    <row r="47" spans="1:29" ht="11.25" x14ac:dyDescent="0.15">
      <c r="A47" s="122">
        <v>46</v>
      </c>
      <c r="B47" s="122" t="e">
        <f>MATCH(A47,Bowling!$CS$5:$CS$33,0)</f>
        <v>#N/A</v>
      </c>
      <c r="C47" s="122" t="e">
        <f ca="1">OFFSET(Bowling!$B$4,BowlAves!B47,0)</f>
        <v>#N/A</v>
      </c>
      <c r="D47" s="157" t="e">
        <f t="array" aca="1" ref="D47:K47" ca="1">OFFSET(Bowling!$CG$4,BowlAves!B47,0,1,8)</f>
        <v>#N/A</v>
      </c>
      <c r="E47" s="158" t="e">
        <f ca="1"/>
        <v>#N/A</v>
      </c>
      <c r="F47" s="158" t="e">
        <f ca="1"/>
        <v>#N/A</v>
      </c>
      <c r="G47" s="158" t="e">
        <f ca="1"/>
        <v>#N/A</v>
      </c>
      <c r="H47" s="76" t="e">
        <f ca="1"/>
        <v>#N/A</v>
      </c>
      <c r="I47" s="162" t="e">
        <f ca="1"/>
        <v>#N/A</v>
      </c>
      <c r="J47" s="162" t="e">
        <f ca="1"/>
        <v>#N/A</v>
      </c>
      <c r="K47" s="163" t="e">
        <f ca="1"/>
        <v>#N/A</v>
      </c>
      <c r="L47" s="163" t="e">
        <f t="shared" ca="1" si="0"/>
        <v>#N/A</v>
      </c>
      <c r="M47" s="163" t="e">
        <f t="shared" ca="1" si="1"/>
        <v>#N/A</v>
      </c>
      <c r="N47" s="122" t="e">
        <f t="shared" ca="1" si="2"/>
        <v>#N/A</v>
      </c>
      <c r="W47" s="167"/>
    </row>
    <row r="48" spans="1:29" ht="11.25" x14ac:dyDescent="0.15">
      <c r="A48" s="122">
        <v>47</v>
      </c>
      <c r="B48" s="122" t="e">
        <f>MATCH(A48,Bowling!$CS$5:$CS$33,0)</f>
        <v>#N/A</v>
      </c>
      <c r="C48" s="122" t="e">
        <f ca="1">OFFSET(Bowling!$B$4,BowlAves!B48,0)</f>
        <v>#N/A</v>
      </c>
      <c r="D48" s="157" t="e">
        <f t="array" aca="1" ref="D48:K48" ca="1">OFFSET(Bowling!$CG$4,BowlAves!B48,0,1,8)</f>
        <v>#N/A</v>
      </c>
      <c r="E48" s="158" t="e">
        <f ca="1"/>
        <v>#N/A</v>
      </c>
      <c r="F48" s="158" t="e">
        <f ca="1"/>
        <v>#N/A</v>
      </c>
      <c r="G48" s="158" t="e">
        <f ca="1"/>
        <v>#N/A</v>
      </c>
      <c r="H48" s="76" t="e">
        <f ca="1"/>
        <v>#N/A</v>
      </c>
      <c r="I48" s="162" t="e">
        <f ca="1"/>
        <v>#N/A</v>
      </c>
      <c r="J48" s="162" t="e">
        <f ca="1"/>
        <v>#N/A</v>
      </c>
      <c r="K48" s="163" t="e">
        <f ca="1"/>
        <v>#N/A</v>
      </c>
      <c r="L48" s="163" t="e">
        <f t="shared" ca="1" si="0"/>
        <v>#N/A</v>
      </c>
      <c r="M48" s="163" t="e">
        <f t="shared" ca="1" si="1"/>
        <v>#N/A</v>
      </c>
      <c r="N48" s="122" t="e">
        <f t="shared" ca="1" si="2"/>
        <v>#N/A</v>
      </c>
      <c r="W48" s="167"/>
    </row>
    <row r="49" spans="1:23" ht="11.25" x14ac:dyDescent="0.15">
      <c r="A49" s="122">
        <v>48</v>
      </c>
      <c r="B49" s="122" t="e">
        <f>MATCH(A49,Bowling!$CS$5:$CS$33,0)</f>
        <v>#N/A</v>
      </c>
      <c r="C49" s="122" t="e">
        <f ca="1">OFFSET(Bowling!$B$4,BowlAves!B49,0)</f>
        <v>#N/A</v>
      </c>
      <c r="D49" s="157" t="e">
        <f t="array" aca="1" ref="D49:K49" ca="1">OFFSET(Bowling!$CG$4,BowlAves!B49,0,1,8)</f>
        <v>#N/A</v>
      </c>
      <c r="E49" s="158" t="e">
        <f ca="1"/>
        <v>#N/A</v>
      </c>
      <c r="F49" s="158" t="e">
        <f ca="1"/>
        <v>#N/A</v>
      </c>
      <c r="G49" s="158" t="e">
        <f ca="1"/>
        <v>#N/A</v>
      </c>
      <c r="H49" s="76" t="e">
        <f ca="1"/>
        <v>#N/A</v>
      </c>
      <c r="I49" s="162" t="e">
        <f ca="1"/>
        <v>#N/A</v>
      </c>
      <c r="J49" s="162" t="e">
        <f ca="1"/>
        <v>#N/A</v>
      </c>
      <c r="K49" s="163" t="e">
        <f ca="1"/>
        <v>#N/A</v>
      </c>
      <c r="L49" s="163" t="e">
        <f t="shared" ca="1" si="0"/>
        <v>#N/A</v>
      </c>
      <c r="M49" s="163" t="e">
        <f t="shared" ca="1" si="1"/>
        <v>#N/A</v>
      </c>
      <c r="N49" s="122" t="e">
        <f t="shared" ca="1" si="2"/>
        <v>#N/A</v>
      </c>
      <c r="W49" s="167"/>
    </row>
    <row r="50" spans="1:23" ht="11.25" x14ac:dyDescent="0.15">
      <c r="A50" s="122">
        <v>49</v>
      </c>
      <c r="B50" s="122" t="e">
        <f>MATCH(A50,Bowling!$CS$5:$CS$33,0)</f>
        <v>#N/A</v>
      </c>
      <c r="C50" s="122" t="e">
        <f ca="1">OFFSET(Bowling!$B$4,BowlAves!B50,0)</f>
        <v>#N/A</v>
      </c>
      <c r="D50" s="157" t="e">
        <f t="array" aca="1" ref="D50:K50" ca="1">OFFSET(Bowling!$CG$4,BowlAves!B50,0,1,8)</f>
        <v>#N/A</v>
      </c>
      <c r="E50" s="158" t="e">
        <f ca="1"/>
        <v>#N/A</v>
      </c>
      <c r="F50" s="158" t="e">
        <f ca="1"/>
        <v>#N/A</v>
      </c>
      <c r="G50" s="158" t="e">
        <f ca="1"/>
        <v>#N/A</v>
      </c>
      <c r="H50" s="76" t="e">
        <f ca="1"/>
        <v>#N/A</v>
      </c>
      <c r="I50" s="162" t="e">
        <f ca="1"/>
        <v>#N/A</v>
      </c>
      <c r="J50" s="162" t="e">
        <f ca="1"/>
        <v>#N/A</v>
      </c>
      <c r="K50" s="163" t="e">
        <f ca="1"/>
        <v>#N/A</v>
      </c>
      <c r="L50" s="163" t="e">
        <f t="shared" ca="1" si="0"/>
        <v>#N/A</v>
      </c>
      <c r="M50" s="163" t="e">
        <f t="shared" ca="1" si="1"/>
        <v>#N/A</v>
      </c>
      <c r="N50" s="122" t="e">
        <f t="shared" ca="1" si="2"/>
        <v>#N/A</v>
      </c>
      <c r="W50" s="167"/>
    </row>
    <row r="51" spans="1:23" ht="11.25" x14ac:dyDescent="0.15">
      <c r="A51" s="122">
        <v>50</v>
      </c>
      <c r="B51" s="122" t="e">
        <f>MATCH(A51,Bowling!$CS$5:$CS$33,0)</f>
        <v>#N/A</v>
      </c>
      <c r="C51" s="122" t="e">
        <f ca="1">OFFSET(Bowling!$B$4,BowlAves!B51,0)</f>
        <v>#N/A</v>
      </c>
      <c r="D51" s="157" t="e">
        <f t="array" aca="1" ref="D51:K51" ca="1">OFFSET(Bowling!$CG$4,BowlAves!B51,0,1,8)</f>
        <v>#N/A</v>
      </c>
      <c r="E51" s="158" t="e">
        <f ca="1"/>
        <v>#N/A</v>
      </c>
      <c r="F51" s="158" t="e">
        <f ca="1"/>
        <v>#N/A</v>
      </c>
      <c r="G51" s="158" t="e">
        <f ca="1"/>
        <v>#N/A</v>
      </c>
      <c r="H51" s="76" t="e">
        <f ca="1"/>
        <v>#N/A</v>
      </c>
      <c r="I51" s="162" t="e">
        <f ca="1"/>
        <v>#N/A</v>
      </c>
      <c r="J51" s="162" t="e">
        <f ca="1"/>
        <v>#N/A</v>
      </c>
      <c r="K51" s="163" t="e">
        <f ca="1"/>
        <v>#N/A</v>
      </c>
      <c r="L51" s="163" t="e">
        <f t="shared" ca="1" si="0"/>
        <v>#N/A</v>
      </c>
      <c r="M51" s="163" t="e">
        <f t="shared" ca="1" si="1"/>
        <v>#N/A</v>
      </c>
      <c r="N51" s="122" t="e">
        <f t="shared" ca="1" si="2"/>
        <v>#N/A</v>
      </c>
      <c r="W51" s="167"/>
    </row>
    <row r="52" spans="1:23" ht="11.25" x14ac:dyDescent="0.15">
      <c r="W52" s="167"/>
    </row>
  </sheetData>
  <sortState ref="AC8:AC36">
    <sortCondition ref="AC8:AC3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75</v>
      </c>
      <c r="D44" s="88" t="s">
        <v>152</v>
      </c>
      <c r="E44" s="88" t="s">
        <v>76</v>
      </c>
      <c r="F44" s="88" t="s">
        <v>77</v>
      </c>
      <c r="G44" s="86" t="s">
        <v>78</v>
      </c>
      <c r="H44" s="87">
        <f>COUNTA(1:1)</f>
        <v>0</v>
      </c>
    </row>
    <row r="45" spans="1:41" x14ac:dyDescent="0.15">
      <c r="A45" s="68" t="s">
        <v>180</v>
      </c>
      <c r="B45" t="s">
        <v>183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131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181</v>
      </c>
      <c r="B46" t="s">
        <v>189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132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128</v>
      </c>
      <c r="B47" t="s">
        <v>172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131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46</v>
      </c>
      <c r="B48" t="s">
        <v>69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132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56</v>
      </c>
      <c r="B49" t="s">
        <v>68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132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96</v>
      </c>
      <c r="B50" t="s">
        <v>155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138</v>
      </c>
      <c r="G50" t="s">
        <v>132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179</v>
      </c>
      <c r="B51" t="s">
        <v>184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167</v>
      </c>
      <c r="G51" t="s">
        <v>131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47</v>
      </c>
      <c r="B52" t="s">
        <v>97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133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150</v>
      </c>
      <c r="B53" t="s">
        <v>167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132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48</v>
      </c>
      <c r="B54" t="s">
        <v>67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132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40</v>
      </c>
      <c r="B55" t="s">
        <v>98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133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50</v>
      </c>
      <c r="B56" t="s">
        <v>70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621</v>
      </c>
      <c r="G56" t="s">
        <v>133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52</v>
      </c>
      <c r="B57" t="s">
        <v>63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131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51</v>
      </c>
      <c r="B58" t="s">
        <v>65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133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41</v>
      </c>
      <c r="B59" t="s">
        <v>64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133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166</v>
      </c>
      <c r="B60" t="s">
        <v>185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131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72</v>
      </c>
      <c r="B61" t="s">
        <v>99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131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163</v>
      </c>
      <c r="B62" t="s">
        <v>162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131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134</v>
      </c>
      <c r="B63" t="s">
        <v>135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131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43</v>
      </c>
      <c r="B64" t="s">
        <v>100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132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44</v>
      </c>
      <c r="B65" t="s">
        <v>62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71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55</v>
      </c>
      <c r="B66" t="s">
        <v>101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132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182</v>
      </c>
      <c r="B67" t="s">
        <v>186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160</v>
      </c>
      <c r="B68" t="s">
        <v>161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132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58</v>
      </c>
      <c r="B69" t="s">
        <v>61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66</v>
      </c>
      <c r="G69" t="s">
        <v>132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74</v>
      </c>
      <c r="B70" t="s">
        <v>71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57</v>
      </c>
      <c r="B71" t="s">
        <v>66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93</v>
      </c>
      <c r="G71" t="s">
        <v>131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73</v>
      </c>
      <c r="B72" t="s">
        <v>168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131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129</v>
      </c>
      <c r="B73" t="s">
        <v>130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54</v>
      </c>
      <c r="B74" t="s">
        <v>102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131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171</v>
      </c>
      <c r="B75" t="s">
        <v>187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132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159</v>
      </c>
      <c r="B76" t="s">
        <v>169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131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170</v>
      </c>
      <c r="B77" t="s">
        <v>188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131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42</v>
      </c>
      <c r="B78" t="s">
        <v>59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53</v>
      </c>
      <c r="B79" t="s">
        <v>103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133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49</v>
      </c>
      <c r="B80" t="s">
        <v>60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131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133</v>
      </c>
      <c r="H89">
        <f t="array" ref="H89">SUM(IF($G$45:$G$87=G89,1,0))</f>
        <v>6</v>
      </c>
    </row>
    <row r="90" spans="1:15" x14ac:dyDescent="0.15">
      <c r="G90" t="s">
        <v>131</v>
      </c>
      <c r="H90">
        <f t="array" ref="H90">SUM(IF($G$45:$G$87=G90,1,0))</f>
        <v>14</v>
      </c>
    </row>
    <row r="91" spans="1:15" x14ac:dyDescent="0.15">
      <c r="G91" t="s">
        <v>132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79</v>
      </c>
      <c r="C1" s="9">
        <v>89</v>
      </c>
    </row>
    <row r="2" spans="1:20" x14ac:dyDescent="0.2">
      <c r="A2" s="5" t="s">
        <v>80</v>
      </c>
      <c r="C2" s="9">
        <v>91</v>
      </c>
    </row>
    <row r="4" spans="1:20" ht="22.5" x14ac:dyDescent="0.2">
      <c r="A4" s="8"/>
      <c r="B4" s="8" t="s">
        <v>81</v>
      </c>
      <c r="C4" s="8" t="s">
        <v>82</v>
      </c>
      <c r="D4" s="8" t="s">
        <v>164</v>
      </c>
      <c r="E4" s="8" t="s">
        <v>83</v>
      </c>
      <c r="F4" s="8" t="s">
        <v>84</v>
      </c>
      <c r="G4" s="8" t="s">
        <v>85</v>
      </c>
      <c r="H4" s="8" t="s">
        <v>86</v>
      </c>
      <c r="I4" s="8" t="s">
        <v>87</v>
      </c>
      <c r="J4" s="8" t="s">
        <v>75</v>
      </c>
      <c r="K4" s="8" t="s">
        <v>200</v>
      </c>
      <c r="M4" s="8" t="s">
        <v>88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MATCH(A5,Bowling!$A$5:$A$37,0)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207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>
        <f ca="1">MATCH(A6,Batting!$A$5:$A$56,0)</f>
        <v>17</v>
      </c>
      <c r="F6" s="9">
        <f ca="1">IF(NOT(ISNA(E6)),OFFSET(Batting!$B$4,E6,$C$1,1,1),0)</f>
        <v>0</v>
      </c>
      <c r="G6" s="9" t="e">
        <f ca="1">MATCH(A6,Bowling!$A$5:$A$37,0)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83.5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MATCH(A7,Batting!$A$5:$A$56,0)</f>
        <v>#N/A</v>
      </c>
      <c r="F7" s="9">
        <f ca="1">IF(NOT(ISNA(E7)),OFFSET(Batting!$B$4,E7,$C$1,1,1),0)</f>
        <v>0</v>
      </c>
      <c r="G7" s="9" t="e">
        <f ca="1">MATCH(A7,Bowling!$A$5:$A$37,0)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23</v>
      </c>
      <c r="R7" s="5">
        <f t="shared" ca="1" si="3"/>
        <v>6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MATCH(A8,Batting!$A$5:$A$56,0)</f>
        <v>#N/A</v>
      </c>
      <c r="F8" s="9">
        <f ca="1">IF(NOT(ISNA(E8)),OFFSET(Batting!$B$4,E8,$C$1,1,1),0)</f>
        <v>0</v>
      </c>
      <c r="G8" s="9" t="e">
        <f ca="1">MATCH(A8,Bowling!$A$5:$A$37,0)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25</v>
      </c>
      <c r="O8" s="5">
        <f t="shared" si="8"/>
        <v>4</v>
      </c>
      <c r="P8" s="5" t="str">
        <f t="shared" ca="1" si="1"/>
        <v>Mike Bowers</v>
      </c>
      <c r="Q8" s="7">
        <f t="shared" ca="1" si="2"/>
        <v>22</v>
      </c>
      <c r="R8" s="5">
        <f t="shared" ca="1" si="3"/>
        <v>3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MATCH(A9,Bowling!$A$5:$A$37,0)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27</v>
      </c>
      <c r="O9" s="5">
        <f t="shared" si="8"/>
        <v>5</v>
      </c>
      <c r="P9" s="5" t="str">
        <f t="shared" ca="1" si="1"/>
        <v>Mike Woodhouse</v>
      </c>
      <c r="Q9" s="7">
        <f t="shared" ca="1" si="2"/>
        <v>18.600000000000001</v>
      </c>
      <c r="R9" s="5">
        <f t="shared" ca="1" si="3"/>
        <v>5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138</v>
      </c>
      <c r="D10" s="9">
        <f ca="1">IF(NOT(ISNA(E10)),5*OFFSET(Batting!$CE$4,E10,0,1,1),0)</f>
        <v>20</v>
      </c>
      <c r="E10" s="9">
        <f ca="1">MATCH(A10,Batting!$A$5:$A$56,0)</f>
        <v>5</v>
      </c>
      <c r="F10" s="9">
        <f ca="1">IF(NOT(ISNA(E10)),OFFSET(Batting!$B$4,E10,$C$1,1,1),0)</f>
        <v>7</v>
      </c>
      <c r="G10" s="9">
        <f ca="1">MATCH(A10,Bowling!$A$5:$A$37,0)</f>
        <v>4</v>
      </c>
      <c r="H10" s="9">
        <f ca="1">IF(NOT(ISNA(G10)),OFFSET(Bowling!$CO$4,G10,0,1,1),0)</f>
        <v>106</v>
      </c>
      <c r="I10" s="9">
        <f ca="1">IF(NOT(ISNA(E10)),OFFSET(Batting!$B$4,E10,$C$1+1,1,1),0)</f>
        <v>5</v>
      </c>
      <c r="J10" s="9">
        <f ca="1">VLOOKUP(A10,'Fantasy Teams'!$A$45:$C$87,3,FALSE)</f>
        <v>6</v>
      </c>
      <c r="K10" s="10">
        <f t="shared" ca="1" si="4"/>
        <v>23</v>
      </c>
      <c r="L10" s="5">
        <f t="shared" ca="1" si="5"/>
        <v>23.0001</v>
      </c>
      <c r="M10" s="5">
        <f t="shared" ca="1" si="6"/>
        <v>3</v>
      </c>
      <c r="N10" s="5">
        <f t="shared" ca="1" si="7"/>
        <v>21</v>
      </c>
      <c r="O10" s="5">
        <f t="shared" si="8"/>
        <v>6</v>
      </c>
      <c r="P10" s="5" t="str">
        <f t="shared" ca="1" si="1"/>
        <v>John Leadley</v>
      </c>
      <c r="Q10" s="7">
        <f t="shared" ca="1" si="2"/>
        <v>6.4539999999999997</v>
      </c>
      <c r="R10" s="5">
        <f t="shared" ca="1" si="3"/>
        <v>11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167</v>
      </c>
      <c r="D11" s="9">
        <f ca="1">IF(NOT(ISNA(E11)),5*OFFSET(Batting!$CE$4,E11,0,1,1),0)</f>
        <v>65</v>
      </c>
      <c r="E11" s="9">
        <f ca="1">MATCH(A11,Batting!$A$5:$A$56,0)</f>
        <v>11</v>
      </c>
      <c r="F11" s="9">
        <f ca="1">IF(NOT(ISNA(E11)),OFFSET(Batting!$B$4,E11,$C$1,1,1),0)</f>
        <v>97</v>
      </c>
      <c r="G11" s="9" t="e">
        <f ca="1">MATCH(A11,Bowling!$A$5:$A$37,0)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83.5</v>
      </c>
      <c r="L11" s="5">
        <f t="shared" ca="1" si="5"/>
        <v>83.500110000000006</v>
      </c>
      <c r="M11" s="5">
        <f t="shared" ca="1" si="6"/>
        <v>2</v>
      </c>
      <c r="N11" s="5">
        <f t="shared" ca="1" si="7"/>
        <v>36</v>
      </c>
      <c r="O11" s="5">
        <f t="shared" si="8"/>
        <v>7</v>
      </c>
      <c r="P11" s="5" t="str">
        <f t="shared" ca="1" si="1"/>
        <v>Vince Reid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MATCH(A12,Batting!$A$5:$A$56,0)</f>
        <v>#N/A</v>
      </c>
      <c r="F12" s="9">
        <f ca="1">IF(NOT(ISNA(E12)),OFFSET(Batting!$B$4,E12,$C$1,1,1),0)</f>
        <v>0</v>
      </c>
      <c r="G12" s="9" t="e">
        <f ca="1">MATCH(A12,Bowling!$A$5:$A$37,0)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31</v>
      </c>
      <c r="N12" s="5">
        <f t="shared" ca="1" si="7"/>
        <v>35</v>
      </c>
      <c r="O12" s="5">
        <f t="shared" si="8"/>
        <v>8</v>
      </c>
      <c r="P12" s="5" t="str">
        <f t="shared" ca="1" si="1"/>
        <v>Tony Springer</v>
      </c>
      <c r="Q12" s="7">
        <f t="shared" ca="1" si="2"/>
        <v>0</v>
      </c>
      <c r="R12" s="5">
        <f t="shared" ca="1" si="3"/>
        <v>13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MATCH(A13,Bowling!$A$5:$A$37,0)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30</v>
      </c>
      <c r="N13" s="5">
        <f t="shared" ca="1" si="7"/>
        <v>34</v>
      </c>
      <c r="O13" s="5">
        <f t="shared" si="8"/>
        <v>9</v>
      </c>
      <c r="P13" s="5" t="str">
        <f t="shared" ca="1" si="1"/>
        <v>Ted Dugdale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MATCH(A14,Bowling!$A$5:$A$37,0)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29</v>
      </c>
      <c r="N14" s="5">
        <f t="shared" ca="1" si="7"/>
        <v>33</v>
      </c>
      <c r="O14" s="5">
        <f t="shared" si="8"/>
        <v>10</v>
      </c>
      <c r="P14" s="5" t="str">
        <f t="shared" ca="1" si="1"/>
        <v>Steve Barry</v>
      </c>
      <c r="Q14" s="7">
        <f t="shared" ca="1" si="2"/>
        <v>0</v>
      </c>
      <c r="R14" s="5">
        <f t="shared" ca="1" si="3"/>
        <v>2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MATCH(A15,Batting!$A$5:$A$56,0)</f>
        <v>#N/A</v>
      </c>
      <c r="F15" s="9">
        <f ca="1">IF(NOT(ISNA(E15)),OFFSET(Batting!$B$4,E15,$C$1,1,1),0)</f>
        <v>0</v>
      </c>
      <c r="G15" s="9" t="e">
        <f ca="1">MATCH(A15,Bowling!$A$5:$A$37,0)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28</v>
      </c>
      <c r="N15" s="5">
        <f t="shared" ca="1" si="7"/>
        <v>32</v>
      </c>
      <c r="O15" s="5">
        <f t="shared" si="8"/>
        <v>11</v>
      </c>
      <c r="P15" s="5" t="str">
        <f t="shared" ca="1" si="1"/>
        <v>Roy Odeneal</v>
      </c>
      <c r="Q15" s="7">
        <f t="shared" ca="1" si="2"/>
        <v>0</v>
      </c>
      <c r="R15" s="5">
        <f t="shared" ca="1" si="3"/>
        <v>2</v>
      </c>
      <c r="S15" s="5">
        <f ca="1">SUM(R5:R15)</f>
        <v>54</v>
      </c>
      <c r="T15" s="104">
        <f t="array" aca="1" ref="T15" ca="1">SUM(Q5:Q15*R5:R15)</f>
        <v>1155.9939999999999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621</v>
      </c>
      <c r="D16" s="9">
        <f ca="1">IF(NOT(ISNA(E16)),5*OFFSET(Batting!$CE$4,E16,0,1,1),0)</f>
        <v>60</v>
      </c>
      <c r="E16" s="9">
        <f ca="1">MATCH(A16,Batting!$A$5:$A$56,0)</f>
        <v>30</v>
      </c>
      <c r="F16" s="9">
        <f ca="1">IF(NOT(ISNA(E16)),OFFSET(Batting!$B$4,E16,$C$1,1,1),0)</f>
        <v>511</v>
      </c>
      <c r="G16" s="9">
        <f ca="1">MATCH(A16,Bowling!$A$5:$A$37,0)</f>
        <v>23</v>
      </c>
      <c r="H16" s="9">
        <f ca="1">IF(NOT(ISNA(G16)),OFFSET(Bowling!$CO$4,G16,0,1,1),0)</f>
        <v>50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207</v>
      </c>
      <c r="L16" s="5">
        <f t="shared" ca="1" si="5"/>
        <v>207.00015999999999</v>
      </c>
      <c r="M16" s="5">
        <f t="shared" ca="1" si="6"/>
        <v>1</v>
      </c>
      <c r="N16" s="5">
        <f t="shared" ca="1" si="7"/>
        <v>31</v>
      </c>
      <c r="O16" s="5">
        <f t="shared" si="8"/>
        <v>12</v>
      </c>
      <c r="P16" s="5" t="str">
        <f t="shared" ca="1" si="1"/>
        <v>Ron Morris</v>
      </c>
      <c r="Q16" s="7">
        <f t="shared" ca="1" si="2"/>
        <v>0</v>
      </c>
      <c r="R16" s="5">
        <f t="shared" ca="1" si="3"/>
        <v>2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MATCH(A17,Batting!$A$5:$A$56,0)</f>
        <v>#N/A</v>
      </c>
      <c r="F17" s="9">
        <f ca="1">IF(NOT(ISNA(E17)),OFFSET(Batting!$B$4,E17,$C$1,1,1),0)</f>
        <v>0</v>
      </c>
      <c r="G17" s="9" t="e">
        <f ca="1">MATCH(A17,Bowling!$A$5:$A$37,0)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27</v>
      </c>
      <c r="N17" s="5">
        <f t="shared" ca="1" si="7"/>
        <v>30</v>
      </c>
      <c r="O17" s="5">
        <f t="shared" si="8"/>
        <v>13</v>
      </c>
      <c r="P17" s="5" t="str">
        <f t="shared" ca="1" si="1"/>
        <v>Rick Worthington</v>
      </c>
      <c r="Q17" s="7">
        <f t="shared" ca="1" si="2"/>
        <v>0</v>
      </c>
      <c r="R17" s="5">
        <f t="shared" ca="1" si="3"/>
        <v>4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MATCH(A18,Bowling!$A$5:$A$37,0)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26</v>
      </c>
      <c r="N18" s="5">
        <f t="shared" ca="1" si="7"/>
        <v>29</v>
      </c>
      <c r="O18" s="5">
        <f t="shared" si="8"/>
        <v>14</v>
      </c>
      <c r="P18" s="5" t="str">
        <f t="shared" ca="1" si="1"/>
        <v>Neil Mander</v>
      </c>
      <c r="Q18" s="7">
        <f t="shared" ca="1" si="2"/>
        <v>0</v>
      </c>
      <c r="R18" s="5">
        <f t="shared" ca="1" si="3"/>
        <v>9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 t="e">
        <f ca="1">MATCH(A19,Batting!$A$5:$A$56,0)</f>
        <v>#N/A</v>
      </c>
      <c r="F19" s="9">
        <f ca="1">IF(NOT(ISNA(E19)),OFFSET(Batting!$B$4,E19,$C$1,1,1),0)</f>
        <v>0</v>
      </c>
      <c r="G19" s="9" t="e">
        <f ca="1">MATCH(A19,Bowling!$A$5:$A$37,0)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25</v>
      </c>
      <c r="N19" s="5">
        <f t="shared" ca="1" si="7"/>
        <v>28</v>
      </c>
      <c r="O19" s="5">
        <f t="shared" si="8"/>
        <v>15</v>
      </c>
      <c r="P19" s="5" t="str">
        <f t="shared" ca="1" si="1"/>
        <v>Naimish Patel</v>
      </c>
      <c r="Q19" s="7">
        <f t="shared" ca="1" si="2"/>
        <v>0</v>
      </c>
      <c r="R19" s="5">
        <f t="shared" ca="1" si="3"/>
        <v>3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MATCH(A20,Bowling!$A$5:$A$37,0)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24</v>
      </c>
      <c r="N20" s="5">
        <f t="shared" ca="1" si="7"/>
        <v>26</v>
      </c>
      <c r="O20" s="5">
        <f t="shared" si="8"/>
        <v>16</v>
      </c>
      <c r="P20" s="5" t="str">
        <f t="shared" ca="1" si="1"/>
        <v>Mike Hosking</v>
      </c>
      <c r="Q20" s="7">
        <f t="shared" ca="1" si="2"/>
        <v>0</v>
      </c>
      <c r="R20" s="5">
        <f t="shared" ca="1" si="3"/>
        <v>3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MATCH(A21,Bowling!$A$5:$A$37,0)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23</v>
      </c>
      <c r="N21" s="5">
        <f t="shared" ca="1" si="7"/>
        <v>24</v>
      </c>
      <c r="O21" s="5">
        <f t="shared" si="8"/>
        <v>17</v>
      </c>
      <c r="P21" s="5" t="str">
        <f t="shared" ca="1" si="1"/>
        <v>Mick Clark</v>
      </c>
      <c r="Q21" s="7">
        <f t="shared" ca="1" si="2"/>
        <v>0</v>
      </c>
      <c r="R21" s="5">
        <f t="shared" ca="1" si="3"/>
        <v>2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MATCH(A22,Bowling!$A$5:$A$37,0)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22</v>
      </c>
      <c r="N22" s="5">
        <f t="shared" ca="1" si="7"/>
        <v>23</v>
      </c>
      <c r="O22" s="5">
        <f t="shared" si="8"/>
        <v>18</v>
      </c>
      <c r="P22" s="5" t="str">
        <f t="shared" ca="1" si="1"/>
        <v>Kieran Moore</v>
      </c>
      <c r="Q22" s="7">
        <f t="shared" ca="1" si="2"/>
        <v>0</v>
      </c>
      <c r="R22" s="5">
        <f t="shared" ca="1" si="3"/>
        <v>2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MATCH(A23,Batting!$A$5:$A$56,0)</f>
        <v>#N/A</v>
      </c>
      <c r="F23" s="9">
        <f ca="1">IF(NOT(ISNA(E23)),OFFSET(Batting!$B$4,E23,$C$1,1,1),0)</f>
        <v>0</v>
      </c>
      <c r="G23" s="9" t="e">
        <f ca="1">MATCH(A23,Bowling!$A$5:$A$37,0)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21</v>
      </c>
      <c r="N23" s="5">
        <f t="shared" ca="1" si="7"/>
        <v>22</v>
      </c>
      <c r="O23" s="5">
        <f t="shared" si="8"/>
        <v>19</v>
      </c>
      <c r="P23" s="5" t="str">
        <f t="shared" ca="1" si="1"/>
        <v>Jon Worthy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MATCH(A24,Batting!$A$5:$A$56,0)</f>
        <v>#N/A</v>
      </c>
      <c r="F24" s="9">
        <f ca="1">IF(NOT(ISNA(E24)),OFFSET(Batting!$B$4,E24,$C$1,1,1),0)</f>
        <v>0</v>
      </c>
      <c r="G24" s="9" t="e">
        <f ca="1">MATCH(A24,Bowling!$A$5:$A$37,0)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20</v>
      </c>
      <c r="N24" s="5">
        <f t="shared" ca="1" si="7"/>
        <v>20</v>
      </c>
      <c r="O24" s="5">
        <f t="shared" si="8"/>
        <v>20</v>
      </c>
      <c r="P24" s="5" t="str">
        <f t="shared" ca="1" si="1"/>
        <v>John Elliston</v>
      </c>
      <c r="Q24" s="7">
        <f t="shared" ca="1" si="2"/>
        <v>0</v>
      </c>
      <c r="R24" s="5">
        <f t="shared" ca="1" si="3"/>
        <v>5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71</v>
      </c>
      <c r="D25" s="9">
        <f ca="1">IF(NOT(ISNA(E25)),5*OFFSET(Batting!$CE$4,E25,0,1,1),0)</f>
        <v>10</v>
      </c>
      <c r="E25" s="9">
        <f ca="1">MATCH(A25,Batting!$A$5:$A$56,0)</f>
        <v>16</v>
      </c>
      <c r="F25" s="9">
        <f ca="1">IF(NOT(ISNA(E25)),OFFSET(Batting!$B$4,E25,$C$1,1,1),0)</f>
        <v>31</v>
      </c>
      <c r="G25" s="9">
        <f ca="1">MATCH(A25,Bowling!$A$5:$A$37,0)</f>
        <v>12</v>
      </c>
      <c r="H25" s="9">
        <f ca="1">IF(NOT(ISNA(G25)),OFFSET(Bowling!$CO$4,G25,0,1,1),0)</f>
        <v>30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6.4539999999999997</v>
      </c>
      <c r="L25" s="5">
        <f t="shared" ca="1" si="5"/>
        <v>6.45425</v>
      </c>
      <c r="M25" s="5">
        <f t="shared" ca="1" si="6"/>
        <v>6</v>
      </c>
      <c r="N25" s="5">
        <f t="shared" ca="1" si="7"/>
        <v>19</v>
      </c>
      <c r="O25" s="5">
        <f t="shared" si="8"/>
        <v>21</v>
      </c>
      <c r="P25" s="5" t="str">
        <f t="shared" ca="1" si="1"/>
        <v>Jeff Lestrelle</v>
      </c>
      <c r="Q25" s="7">
        <f t="shared" ca="1" si="2"/>
        <v>0</v>
      </c>
      <c r="R25" s="5">
        <f t="shared" ca="1" si="3"/>
        <v>4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MATCH(A26,Bowling!$A$5:$A$37,0)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19</v>
      </c>
      <c r="N26" s="5">
        <f t="shared" ca="1" si="7"/>
        <v>18</v>
      </c>
      <c r="O26" s="5">
        <f t="shared" si="8"/>
        <v>22</v>
      </c>
      <c r="P26" s="5" t="str">
        <f t="shared" ca="1" si="1"/>
        <v>Jason Crisford</v>
      </c>
      <c r="Q26" s="7">
        <f t="shared" ca="1" si="2"/>
        <v>0</v>
      </c>
      <c r="R26" s="5">
        <f t="shared" ca="1" si="3"/>
        <v>2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MATCH(A27,Bowling!$A$5:$A$37,0)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18</v>
      </c>
      <c r="N27" s="5">
        <f t="shared" ca="1" si="7"/>
        <v>17</v>
      </c>
      <c r="O27" s="5">
        <f t="shared" si="8"/>
        <v>23</v>
      </c>
      <c r="P27" s="5" t="str">
        <f t="shared" ca="1" si="1"/>
        <v>Glyn Angell</v>
      </c>
      <c r="Q27" s="7">
        <f t="shared" ca="1" si="2"/>
        <v>0</v>
      </c>
      <c r="R27" s="5">
        <f t="shared" ca="1" si="3"/>
        <v>1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MATCH(A28,Bowling!$A$5:$A$37,0)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17</v>
      </c>
      <c r="N28" s="5">
        <f t="shared" ca="1" si="7"/>
        <v>16</v>
      </c>
      <c r="O28" s="5">
        <f t="shared" si="8"/>
        <v>24</v>
      </c>
      <c r="P28" s="5" t="str">
        <f t="shared" ca="1" si="1"/>
        <v>Glen Lilley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66</v>
      </c>
      <c r="D29" s="9">
        <f ca="1">IF(NOT(ISNA(E29)),5*OFFSET(Batting!$CE$4,E29,0,1,1),0)</f>
        <v>25</v>
      </c>
      <c r="E29" s="9">
        <f ca="1">MATCH(A29,Batting!$A$5:$A$56,0)</f>
        <v>3</v>
      </c>
      <c r="F29" s="9">
        <f ca="1">IF(NOT(ISNA(E29)),OFFSET(Batting!$B$4,E29,$C$1,1,1),0)</f>
        <v>11</v>
      </c>
      <c r="G29" s="9">
        <f ca="1">MATCH(A29,Bowling!$A$5:$A$37,0)</f>
        <v>2</v>
      </c>
      <c r="H29" s="9">
        <f ca="1">IF(NOT(ISNA(G29)),OFFSET(Bowling!$CO$4,G29,0,1,1),0)</f>
        <v>25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22</v>
      </c>
      <c r="L29" s="5">
        <f t="shared" ca="1" si="5"/>
        <v>22.00029</v>
      </c>
      <c r="M29" s="5">
        <f t="shared" ca="1" si="6"/>
        <v>4</v>
      </c>
      <c r="N29" s="5">
        <f t="shared" ca="1" si="7"/>
        <v>15</v>
      </c>
      <c r="O29" s="5">
        <f t="shared" si="8"/>
        <v>25</v>
      </c>
      <c r="P29" s="5" t="str">
        <f t="shared" ca="1" si="1"/>
        <v>Geoff Cooper</v>
      </c>
      <c r="Q29" s="7">
        <f t="shared" ca="1" si="2"/>
        <v>0</v>
      </c>
      <c r="R29" s="5">
        <f t="shared" ca="1" si="3"/>
        <v>6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MATCH(A30,Bowling!$A$5:$A$37,0)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16</v>
      </c>
      <c r="N30" s="5">
        <f t="shared" ca="1" si="7"/>
        <v>14</v>
      </c>
      <c r="O30" s="5">
        <f t="shared" si="8"/>
        <v>26</v>
      </c>
      <c r="P30" s="5" t="str">
        <f t="shared" ca="1" si="1"/>
        <v>Del Shewan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93</v>
      </c>
      <c r="D31" s="9">
        <f ca="1">IF(NOT(ISNA(E31)),5*OFFSET(Batting!$CE$4,E31,0,1,1),0)</f>
        <v>35</v>
      </c>
      <c r="E31" s="9">
        <f ca="1">MATCH(A31,Batting!$A$5:$A$56,0)</f>
        <v>40</v>
      </c>
      <c r="F31" s="9">
        <f ca="1">IF(NOT(ISNA(E31)),OFFSET(Batting!$B$4,E31,$C$1,1,1),0)</f>
        <v>48</v>
      </c>
      <c r="G31" s="9" t="e">
        <f ca="1">MATCH(A31,Bowling!$A$5:$A$37,0)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10</v>
      </c>
      <c r="J31" s="9">
        <f ca="1">VLOOKUP(A31,'Fantasy Teams'!$A$45:$C$87,3,FALSE)</f>
        <v>5</v>
      </c>
      <c r="K31" s="10">
        <f t="shared" ca="1" si="4"/>
        <v>18.600000000000001</v>
      </c>
      <c r="L31" s="5">
        <f t="shared" ca="1" si="5"/>
        <v>18.60031</v>
      </c>
      <c r="M31" s="5">
        <f t="shared" ca="1" si="6"/>
        <v>5</v>
      </c>
      <c r="N31" s="5">
        <f t="shared" ca="1" si="7"/>
        <v>13</v>
      </c>
      <c r="O31" s="5">
        <f t="shared" si="8"/>
        <v>27</v>
      </c>
      <c r="P31" s="5" t="str">
        <f t="shared" ca="1" si="1"/>
        <v>David Snow</v>
      </c>
      <c r="Q31" s="7">
        <f t="shared" ca="1" si="2"/>
        <v>0</v>
      </c>
      <c r="R31" s="5">
        <f t="shared" ca="1" si="3"/>
        <v>3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MATCH(A32,Batting!$A$5:$A$56,0)</f>
        <v>#N/A</v>
      </c>
      <c r="F32" s="9">
        <f ca="1">IF(NOT(ISNA(E32)),OFFSET(Batting!$B$4,E32,$C$1,1,1),0)</f>
        <v>0</v>
      </c>
      <c r="G32" s="9" t="e">
        <f ca="1">MATCH(A32,Bowling!$A$5:$A$37,0)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15</v>
      </c>
      <c r="N32" s="5">
        <f t="shared" ca="1" si="7"/>
        <v>11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MATCH(A33,Batting!$A$5:$A$56,0)</f>
        <v>#N/A</v>
      </c>
      <c r="F33" s="9">
        <f ca="1">IF(NOT(ISNA(E33)),OFFSET(Batting!$B$4,E33,$C$1,1,1),0)</f>
        <v>0</v>
      </c>
      <c r="G33" s="9" t="e">
        <f ca="1">MATCH(A33,Bowling!$A$5:$A$37,0)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14</v>
      </c>
      <c r="N33" s="5">
        <f t="shared" ca="1" si="7"/>
        <v>10</v>
      </c>
      <c r="O33" s="5">
        <f t="shared" si="8"/>
        <v>29</v>
      </c>
      <c r="P33" s="5" t="str">
        <f t="shared" ca="1" si="10"/>
        <v>Dave Morris</v>
      </c>
      <c r="Q33" s="7">
        <f t="shared" ca="1" si="11"/>
        <v>0</v>
      </c>
      <c r="R33" s="5">
        <f t="shared" ca="1" si="3"/>
        <v>5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 t="e">
        <f ca="1">MATCH(A34,Batting!$A$5:$A$56,0)</f>
        <v>#N/A</v>
      </c>
      <c r="F34" s="9">
        <f ca="1">IF(NOT(ISNA(E34)),OFFSET(Batting!$B$4,E34,$C$1,1,1),0)</f>
        <v>0</v>
      </c>
      <c r="G34" s="9" t="e">
        <f ca="1">MATCH(A34,Bowling!$A$5:$A$37,0)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13</v>
      </c>
      <c r="N34" s="5">
        <f t="shared" ca="1" si="7"/>
        <v>9</v>
      </c>
      <c r="O34" s="5">
        <f t="shared" si="8"/>
        <v>30</v>
      </c>
      <c r="P34" s="5" t="str">
        <f t="shared" ca="1" si="10"/>
        <v>Daragh Corrigan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MATCH(A35,Bowling!$A$5:$A$37,0)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12</v>
      </c>
      <c r="N35" s="5">
        <f t="shared" ca="1" si="7"/>
        <v>8</v>
      </c>
      <c r="O35" s="5">
        <f t="shared" si="8"/>
        <v>31</v>
      </c>
      <c r="P35" s="5" t="str">
        <f t="shared" ca="1" si="10"/>
        <v>Colin Mander</v>
      </c>
      <c r="Q35" s="7">
        <f t="shared" ca="1" si="11"/>
        <v>0</v>
      </c>
      <c r="R35" s="5">
        <f t="shared" ca="1" si="3"/>
        <v>9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MATCH(A36,Batting!$A$5:$A$56,0)</f>
        <v>#N/A</v>
      </c>
      <c r="F36" s="9">
        <f ca="1">IF(NOT(ISNA(E36)),OFFSET(Batting!$B$4,E36,$C$1,1,1),0)</f>
        <v>0</v>
      </c>
      <c r="G36" s="9" t="e">
        <f ca="1">MATCH(A36,Bowling!$A$5:$A$37,0)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11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MATCH(A37,Bowling!$A$5:$A$37,0)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10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MATCH(A38,Bowling!$A$5:$A$37,0)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9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MATCH(A39,Batting!$A$5:$A$56,0)</f>
        <v>#N/A</v>
      </c>
      <c r="F39" s="9">
        <f ca="1">IF(NOT(ISNA(E39)),OFFSET(Batting!$B$4,E39,$C$1,1,1),0)</f>
        <v>0</v>
      </c>
      <c r="G39" s="9" t="e">
        <f ca="1">MATCH(A39,Bowling!$A$5:$A$37,0)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8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MATCH(A40,Bowling!$A$5:$A$37,0)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7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MATCH(A41,Bowling!$A$5:$A$37,0)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MATCH(A42,Bowling!$A$5:$A$37,0)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MATCH(A43,Bowling!$A$5:$A$37,0)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MATCH(A44,Bowling!$A$5:$A$37,0)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MATCH(A45,Bowling!$A$5:$A$37,0)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MATCH(A46,Bowling!$A$5:$A$37,0)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81</v>
      </c>
      <c r="B1" s="14" t="s">
        <v>89</v>
      </c>
      <c r="C1" s="14" t="s">
        <v>90</v>
      </c>
      <c r="D1" s="14" t="s">
        <v>84</v>
      </c>
      <c r="E1" s="14" t="s">
        <v>86</v>
      </c>
      <c r="F1" s="14" t="s">
        <v>87</v>
      </c>
      <c r="G1" s="14" t="s">
        <v>75</v>
      </c>
      <c r="H1" s="15" t="s">
        <v>91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138</v>
      </c>
      <c r="C7" s="18">
        <f ca="1">FantasyPts!D10</f>
        <v>20</v>
      </c>
      <c r="D7" s="18">
        <f ca="1">FantasyPts!F10</f>
        <v>7</v>
      </c>
      <c r="E7" s="18">
        <f ca="1">FantasyPts!H10</f>
        <v>106</v>
      </c>
      <c r="F7" s="18">
        <f ca="1">FantasyPts!I10</f>
        <v>5</v>
      </c>
      <c r="G7" s="18">
        <f ca="1">FantasyPts!J10</f>
        <v>6</v>
      </c>
      <c r="H7" s="19">
        <f ca="1">FantasyPts!K10</f>
        <v>23</v>
      </c>
      <c r="I7" s="16">
        <f t="shared" ca="1" si="0"/>
        <v>1</v>
      </c>
      <c r="J7" s="105">
        <f t="shared" ca="1" si="1"/>
        <v>-5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167</v>
      </c>
      <c r="C8" s="18">
        <f ca="1">FantasyPts!D11</f>
        <v>65</v>
      </c>
      <c r="D8" s="18">
        <f ca="1">FantasyPts!F11</f>
        <v>97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83.5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621</v>
      </c>
      <c r="C13" s="18">
        <f ca="1">FantasyPts!D16</f>
        <v>60</v>
      </c>
      <c r="D13" s="18">
        <f ca="1">FantasyPts!F16</f>
        <v>511</v>
      </c>
      <c r="E13" s="18">
        <f ca="1">FantasyPts!H16</f>
        <v>50</v>
      </c>
      <c r="F13" s="18">
        <f ca="1">FantasyPts!I16</f>
        <v>0</v>
      </c>
      <c r="G13" s="18">
        <f ca="1">FantasyPts!J16</f>
        <v>3</v>
      </c>
      <c r="H13" s="19">
        <f ca="1">FantasyPts!K16</f>
        <v>207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71</v>
      </c>
      <c r="C22" s="18">
        <f ca="1">FantasyPts!D25</f>
        <v>10</v>
      </c>
      <c r="D22" s="18">
        <f ca="1">FantasyPts!F25</f>
        <v>31</v>
      </c>
      <c r="E22" s="18">
        <f ca="1">FantasyPts!H25</f>
        <v>30</v>
      </c>
      <c r="F22" s="18">
        <f ca="1">FantasyPts!I25</f>
        <v>0</v>
      </c>
      <c r="G22" s="18">
        <f ca="1">FantasyPts!J25</f>
        <v>11</v>
      </c>
      <c r="H22" s="19">
        <f ca="1">FantasyPts!K25</f>
        <v>6.4539999999999997</v>
      </c>
      <c r="I22" s="16">
        <f t="shared" ca="1" si="0"/>
        <v>1</v>
      </c>
      <c r="J22" s="105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66</v>
      </c>
      <c r="C26" s="18">
        <f ca="1">FantasyPts!D29</f>
        <v>25</v>
      </c>
      <c r="D26" s="18">
        <f ca="1">FantasyPts!F29</f>
        <v>11</v>
      </c>
      <c r="E26" s="18">
        <f ca="1">FantasyPts!H29</f>
        <v>25</v>
      </c>
      <c r="F26" s="18">
        <f ca="1">FantasyPts!I29</f>
        <v>5</v>
      </c>
      <c r="G26" s="18">
        <f ca="1">FantasyPts!J29</f>
        <v>3</v>
      </c>
      <c r="H26" s="19">
        <f ca="1">FantasyPts!K29</f>
        <v>22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93</v>
      </c>
      <c r="C28" s="18">
        <f ca="1">FantasyPts!D31</f>
        <v>35</v>
      </c>
      <c r="D28" s="18">
        <f ca="1">FantasyPts!F31</f>
        <v>48</v>
      </c>
      <c r="E28" s="18">
        <f ca="1">FantasyPts!H31</f>
        <v>0</v>
      </c>
      <c r="F28" s="18">
        <f ca="1">FantasyPts!I31</f>
        <v>10</v>
      </c>
      <c r="G28" s="18">
        <f ca="1">FantasyPts!J31</f>
        <v>5</v>
      </c>
      <c r="H28" s="19">
        <f ca="1">FantasyPts!K31</f>
        <v>18.600000000000001</v>
      </c>
      <c r="I28" s="16">
        <f t="shared" ca="1" si="0"/>
        <v>1</v>
      </c>
      <c r="J28" s="105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199</v>
      </c>
    </row>
    <row r="2" spans="1:27" x14ac:dyDescent="0.25">
      <c r="A2" s="78"/>
    </row>
    <row r="3" spans="1:27" ht="15" x14ac:dyDescent="0.3">
      <c r="A3" s="11" t="s">
        <v>194</v>
      </c>
      <c r="B3" s="12" t="s">
        <v>92</v>
      </c>
      <c r="C3" s="12" t="s">
        <v>93</v>
      </c>
      <c r="D3" s="11" t="s">
        <v>94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3"/>
  <sheetViews>
    <sheetView workbookViewId="0">
      <selection activeCell="A2" sqref="A2:K1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82</v>
      </c>
      <c r="C1" s="103" t="s">
        <v>233</v>
      </c>
      <c r="D1" s="103" t="s">
        <v>234</v>
      </c>
      <c r="E1" s="103" t="s">
        <v>235</v>
      </c>
      <c r="F1" s="103" t="s">
        <v>236</v>
      </c>
      <c r="G1" s="103" t="s">
        <v>237</v>
      </c>
      <c r="H1" s="103" t="s">
        <v>238</v>
      </c>
      <c r="I1" s="103" t="s">
        <v>236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85</v>
      </c>
      <c r="D2" s="103" t="s">
        <v>146</v>
      </c>
      <c r="E2" s="103">
        <v>58</v>
      </c>
      <c r="G2" s="103" t="s">
        <v>217</v>
      </c>
      <c r="H2" s="103">
        <v>7</v>
      </c>
      <c r="J2" s="103" t="s">
        <v>259</v>
      </c>
      <c r="K2" s="138">
        <v>41392</v>
      </c>
      <c r="N2"/>
    </row>
    <row r="3" spans="1:14" x14ac:dyDescent="0.15">
      <c r="A3" s="103">
        <v>1</v>
      </c>
      <c r="B3" s="103">
        <v>76</v>
      </c>
      <c r="D3" s="103" t="s">
        <v>146</v>
      </c>
      <c r="E3" s="103">
        <v>45</v>
      </c>
      <c r="G3" s="103" t="s">
        <v>217</v>
      </c>
      <c r="H3" s="103">
        <v>35</v>
      </c>
      <c r="J3" s="103" t="s">
        <v>560</v>
      </c>
      <c r="K3" s="138">
        <v>41483</v>
      </c>
      <c r="N3"/>
    </row>
    <row r="4" spans="1:14" x14ac:dyDescent="0.15">
      <c r="A4" s="103">
        <v>2</v>
      </c>
      <c r="B4" s="103">
        <v>125</v>
      </c>
      <c r="C4" s="103" t="s">
        <v>287</v>
      </c>
      <c r="D4" s="103" t="s">
        <v>146</v>
      </c>
      <c r="E4" s="103">
        <v>94</v>
      </c>
      <c r="F4" s="103" t="s">
        <v>287</v>
      </c>
      <c r="G4" s="103" t="s">
        <v>266</v>
      </c>
      <c r="H4" s="103">
        <v>31</v>
      </c>
      <c r="I4" s="103" t="s">
        <v>287</v>
      </c>
      <c r="J4" s="103" t="s">
        <v>454</v>
      </c>
      <c r="K4" s="138">
        <v>41434</v>
      </c>
      <c r="N4"/>
    </row>
    <row r="5" spans="1:14" x14ac:dyDescent="0.15">
      <c r="A5" s="103">
        <v>2</v>
      </c>
      <c r="B5" s="103">
        <v>99</v>
      </c>
      <c r="D5" s="103" t="s">
        <v>146</v>
      </c>
      <c r="E5" s="103">
        <v>59</v>
      </c>
      <c r="G5" s="103" t="s">
        <v>281</v>
      </c>
      <c r="H5" s="103">
        <v>66</v>
      </c>
      <c r="I5" s="103" t="s">
        <v>287</v>
      </c>
      <c r="J5" s="103" t="s">
        <v>578</v>
      </c>
      <c r="K5" s="138">
        <v>41490</v>
      </c>
      <c r="N5"/>
    </row>
    <row r="6" spans="1:14" x14ac:dyDescent="0.15">
      <c r="A6" s="103">
        <v>2</v>
      </c>
      <c r="B6" s="103">
        <v>79</v>
      </c>
      <c r="D6" s="103" t="s">
        <v>217</v>
      </c>
      <c r="E6" s="103">
        <v>34</v>
      </c>
      <c r="G6" s="103" t="s">
        <v>281</v>
      </c>
      <c r="H6" s="103">
        <v>53</v>
      </c>
      <c r="J6" s="103" t="s">
        <v>274</v>
      </c>
      <c r="K6" s="138">
        <v>41455</v>
      </c>
      <c r="N6"/>
    </row>
    <row r="7" spans="1:14" x14ac:dyDescent="0.15">
      <c r="A7" s="103">
        <v>2</v>
      </c>
      <c r="B7" s="103">
        <v>76</v>
      </c>
      <c r="D7" s="103" t="s">
        <v>217</v>
      </c>
      <c r="E7" s="103">
        <v>84</v>
      </c>
      <c r="G7" s="103" t="s">
        <v>281</v>
      </c>
      <c r="H7" s="103">
        <v>37</v>
      </c>
      <c r="J7" s="103" t="s">
        <v>223</v>
      </c>
      <c r="K7" s="138">
        <v>41504</v>
      </c>
      <c r="N7"/>
    </row>
    <row r="8" spans="1:14" x14ac:dyDescent="0.15">
      <c r="A8" s="103">
        <v>3</v>
      </c>
      <c r="B8" s="103">
        <v>86</v>
      </c>
      <c r="D8" s="103" t="s">
        <v>370</v>
      </c>
      <c r="E8" s="103">
        <v>54</v>
      </c>
      <c r="G8" s="103" t="s">
        <v>281</v>
      </c>
      <c r="H8" s="103">
        <v>102</v>
      </c>
      <c r="J8" s="103" t="s">
        <v>294</v>
      </c>
      <c r="K8" s="138">
        <v>41413</v>
      </c>
      <c r="N8"/>
    </row>
    <row r="9" spans="1:14" x14ac:dyDescent="0.15">
      <c r="A9" s="103">
        <v>3</v>
      </c>
      <c r="B9" s="103">
        <v>69</v>
      </c>
      <c r="D9" s="103" t="s">
        <v>266</v>
      </c>
      <c r="E9" s="103">
        <v>31</v>
      </c>
      <c r="G9" s="103" t="s">
        <v>225</v>
      </c>
      <c r="H9" s="103">
        <v>43</v>
      </c>
      <c r="J9" s="103" t="s">
        <v>329</v>
      </c>
      <c r="K9" s="138">
        <v>41399</v>
      </c>
      <c r="N9"/>
    </row>
    <row r="10" spans="1:14" x14ac:dyDescent="0.15">
      <c r="A10" s="103">
        <v>4</v>
      </c>
      <c r="B10" s="103">
        <v>92</v>
      </c>
      <c r="D10" s="103" t="s">
        <v>281</v>
      </c>
      <c r="E10" s="103">
        <v>102</v>
      </c>
      <c r="G10" s="103" t="s">
        <v>303</v>
      </c>
      <c r="H10" s="103">
        <v>20</v>
      </c>
      <c r="J10" s="103" t="s">
        <v>294</v>
      </c>
      <c r="K10" s="138">
        <v>41413</v>
      </c>
      <c r="N10"/>
    </row>
    <row r="11" spans="1:14" x14ac:dyDescent="0.15">
      <c r="A11" s="103">
        <v>5</v>
      </c>
      <c r="B11" s="103">
        <v>56</v>
      </c>
      <c r="D11" s="103" t="s">
        <v>281</v>
      </c>
      <c r="E11" s="103">
        <v>37</v>
      </c>
      <c r="G11" s="103" t="s">
        <v>509</v>
      </c>
      <c r="H11" s="103">
        <v>32</v>
      </c>
      <c r="J11" s="103" t="s">
        <v>259</v>
      </c>
      <c r="K11" s="138">
        <v>41518</v>
      </c>
      <c r="N11"/>
    </row>
    <row r="12" spans="1:14" x14ac:dyDescent="0.15">
      <c r="A12" s="103">
        <v>5</v>
      </c>
      <c r="B12" s="103">
        <v>51</v>
      </c>
      <c r="D12" s="103" t="s">
        <v>370</v>
      </c>
      <c r="E12" s="103">
        <v>48</v>
      </c>
      <c r="G12" s="103" t="s">
        <v>228</v>
      </c>
      <c r="H12" s="103">
        <v>20</v>
      </c>
      <c r="J12" s="103" t="s">
        <v>560</v>
      </c>
      <c r="K12" s="138">
        <v>41483</v>
      </c>
      <c r="N12"/>
    </row>
    <row r="13" spans="1:14" x14ac:dyDescent="0.15">
      <c r="A13" s="103">
        <v>6</v>
      </c>
      <c r="B13" s="103">
        <v>65</v>
      </c>
      <c r="D13" s="103" t="s">
        <v>509</v>
      </c>
      <c r="E13" s="103">
        <v>32</v>
      </c>
      <c r="G13" s="103" t="s">
        <v>225</v>
      </c>
      <c r="H13" s="103">
        <v>53</v>
      </c>
      <c r="J13" s="103" t="s">
        <v>259</v>
      </c>
      <c r="K13" s="138">
        <v>41518</v>
      </c>
      <c r="N13"/>
    </row>
    <row r="14" spans="1:14" x14ac:dyDescent="0.15">
      <c r="A14" s="103">
        <v>7</v>
      </c>
      <c r="B14" s="103">
        <v>51</v>
      </c>
      <c r="C14" s="103" t="s">
        <v>287</v>
      </c>
      <c r="D14" s="103" t="s">
        <v>225</v>
      </c>
      <c r="E14" s="103">
        <v>47</v>
      </c>
      <c r="F14" s="103" t="s">
        <v>287</v>
      </c>
      <c r="G14" s="103" t="s">
        <v>266</v>
      </c>
      <c r="H14" s="103">
        <v>10</v>
      </c>
      <c r="I14" s="103" t="s">
        <v>287</v>
      </c>
      <c r="J14" s="103" t="s">
        <v>249</v>
      </c>
      <c r="K14" s="138">
        <v>41511</v>
      </c>
      <c r="N14"/>
    </row>
    <row r="15" spans="1:14" x14ac:dyDescent="0.15">
      <c r="A15" s="103">
        <v>8</v>
      </c>
      <c r="B15" s="103">
        <v>42</v>
      </c>
      <c r="D15" s="103" t="s">
        <v>217</v>
      </c>
      <c r="E15" s="103">
        <v>20</v>
      </c>
      <c r="G15" s="103" t="s">
        <v>225</v>
      </c>
      <c r="H15" s="103">
        <v>52</v>
      </c>
      <c r="J15" s="103" t="s">
        <v>453</v>
      </c>
      <c r="K15" s="138">
        <v>41427</v>
      </c>
      <c r="N15"/>
    </row>
    <row r="16" spans="1:14" x14ac:dyDescent="0.15">
      <c r="A16" s="103">
        <v>9</v>
      </c>
      <c r="B16" s="103">
        <v>60</v>
      </c>
      <c r="D16" s="103" t="s">
        <v>276</v>
      </c>
      <c r="E16" s="103">
        <v>9</v>
      </c>
      <c r="G16" s="103" t="s">
        <v>228</v>
      </c>
      <c r="H16" s="103">
        <v>43</v>
      </c>
      <c r="I16" s="103" t="s">
        <v>287</v>
      </c>
      <c r="J16" s="103" t="s">
        <v>306</v>
      </c>
      <c r="K16" s="138">
        <v>41525</v>
      </c>
      <c r="N16"/>
    </row>
    <row r="17" spans="1:14" x14ac:dyDescent="0.15">
      <c r="A17" s="103">
        <v>9</v>
      </c>
      <c r="B17" s="103">
        <v>54</v>
      </c>
      <c r="D17" s="103" t="s">
        <v>225</v>
      </c>
      <c r="E17" s="103">
        <v>27</v>
      </c>
      <c r="G17" s="103" t="s">
        <v>207</v>
      </c>
      <c r="H17" s="103">
        <v>23</v>
      </c>
      <c r="J17" s="103" t="s">
        <v>593</v>
      </c>
      <c r="K17" s="138">
        <v>41497</v>
      </c>
      <c r="N17"/>
    </row>
    <row r="18" spans="1:14" x14ac:dyDescent="0.15">
      <c r="N18"/>
    </row>
    <row r="19" spans="1:14" x14ac:dyDescent="0.15">
      <c r="N19"/>
    </row>
    <row r="25" spans="1:14" x14ac:dyDescent="0.15">
      <c r="D25" s="103" t="s">
        <v>81</v>
      </c>
    </row>
    <row r="26" spans="1:14" x14ac:dyDescent="0.15">
      <c r="D26" s="103" t="s">
        <v>174</v>
      </c>
    </row>
    <row r="27" spans="1:14" x14ac:dyDescent="0.15">
      <c r="D27" s="103" t="s">
        <v>266</v>
      </c>
    </row>
    <row r="28" spans="1:14" x14ac:dyDescent="0.15">
      <c r="D28" s="103" t="s">
        <v>45</v>
      </c>
      <c r="G28" s="139" t="s">
        <v>241</v>
      </c>
      <c r="H28" t="s">
        <v>243</v>
      </c>
      <c r="I28"/>
    </row>
    <row r="29" spans="1:14" x14ac:dyDescent="0.15">
      <c r="D29" s="103" t="s">
        <v>286</v>
      </c>
      <c r="G29" s="140" t="s">
        <v>174</v>
      </c>
      <c r="H29" s="141">
        <v>1</v>
      </c>
      <c r="I29"/>
    </row>
    <row r="30" spans="1:14" x14ac:dyDescent="0.15">
      <c r="D30" s="103" t="s">
        <v>286</v>
      </c>
      <c r="G30" s="140" t="s">
        <v>266</v>
      </c>
      <c r="H30" s="141">
        <v>1</v>
      </c>
      <c r="I30"/>
    </row>
    <row r="31" spans="1:14" x14ac:dyDescent="0.15">
      <c r="D31" s="103" t="s">
        <v>286</v>
      </c>
      <c r="G31" s="140" t="s">
        <v>45</v>
      </c>
      <c r="H31" s="141">
        <v>1</v>
      </c>
      <c r="I31"/>
    </row>
    <row r="32" spans="1:14" x14ac:dyDescent="0.15">
      <c r="D32" s="103" t="s">
        <v>286</v>
      </c>
      <c r="G32" s="140" t="s">
        <v>286</v>
      </c>
      <c r="H32" s="141">
        <v>6</v>
      </c>
      <c r="I32"/>
    </row>
    <row r="33" spans="4:9" x14ac:dyDescent="0.15">
      <c r="D33" s="103" t="s">
        <v>286</v>
      </c>
      <c r="G33" s="140" t="s">
        <v>298</v>
      </c>
      <c r="H33" s="141">
        <v>3</v>
      </c>
      <c r="I33"/>
    </row>
    <row r="34" spans="4:9" x14ac:dyDescent="0.15">
      <c r="D34" s="103" t="s">
        <v>286</v>
      </c>
      <c r="G34" s="140" t="s">
        <v>284</v>
      </c>
      <c r="H34" s="141">
        <v>2</v>
      </c>
      <c r="I34"/>
    </row>
    <row r="35" spans="4:9" x14ac:dyDescent="0.15">
      <c r="D35" s="103" t="s">
        <v>298</v>
      </c>
      <c r="G35" s="140" t="s">
        <v>283</v>
      </c>
      <c r="H35" s="141">
        <v>4</v>
      </c>
      <c r="I35"/>
    </row>
    <row r="36" spans="4:9" x14ac:dyDescent="0.15">
      <c r="D36" s="103" t="s">
        <v>298</v>
      </c>
      <c r="G36" s="140" t="s">
        <v>146</v>
      </c>
      <c r="H36" s="141">
        <v>2</v>
      </c>
      <c r="I36"/>
    </row>
    <row r="37" spans="4:9" x14ac:dyDescent="0.15">
      <c r="D37" s="103" t="s">
        <v>298</v>
      </c>
      <c r="G37" s="140" t="s">
        <v>285</v>
      </c>
      <c r="H37" s="141">
        <v>8</v>
      </c>
      <c r="I37"/>
    </row>
    <row r="38" spans="4:9" x14ac:dyDescent="0.15">
      <c r="D38" s="103" t="s">
        <v>284</v>
      </c>
      <c r="G38" s="140" t="s">
        <v>242</v>
      </c>
      <c r="H38" s="141">
        <v>28</v>
      </c>
      <c r="I38"/>
    </row>
    <row r="39" spans="4:9" x14ac:dyDescent="0.15">
      <c r="D39" s="103" t="s">
        <v>284</v>
      </c>
      <c r="G39"/>
      <c r="H39"/>
      <c r="I39"/>
    </row>
    <row r="40" spans="4:9" x14ac:dyDescent="0.15">
      <c r="D40" s="103" t="s">
        <v>283</v>
      </c>
      <c r="G40"/>
      <c r="H40"/>
      <c r="I40"/>
    </row>
    <row r="41" spans="4:9" x14ac:dyDescent="0.15">
      <c r="D41" s="103" t="s">
        <v>283</v>
      </c>
      <c r="G41"/>
      <c r="H41"/>
      <c r="I41"/>
    </row>
    <row r="42" spans="4:9" x14ac:dyDescent="0.15">
      <c r="D42" s="103" t="s">
        <v>283</v>
      </c>
      <c r="G42"/>
      <c r="H42"/>
      <c r="I42"/>
    </row>
    <row r="43" spans="4:9" x14ac:dyDescent="0.15">
      <c r="D43" s="103" t="s">
        <v>283</v>
      </c>
      <c r="G43"/>
      <c r="H43"/>
      <c r="I43"/>
    </row>
    <row r="44" spans="4:9" x14ac:dyDescent="0.15">
      <c r="D44" s="103" t="s">
        <v>146</v>
      </c>
      <c r="G44"/>
      <c r="H44"/>
      <c r="I44"/>
    </row>
    <row r="45" spans="4:9" x14ac:dyDescent="0.15">
      <c r="D45" s="103" t="s">
        <v>146</v>
      </c>
      <c r="G45"/>
      <c r="H45"/>
      <c r="I45"/>
    </row>
    <row r="46" spans="4:9" x14ac:dyDescent="0.15">
      <c r="D46" s="103" t="s">
        <v>285</v>
      </c>
    </row>
    <row r="47" spans="4:9" x14ac:dyDescent="0.15">
      <c r="D47" s="103" t="s">
        <v>285</v>
      </c>
    </row>
    <row r="48" spans="4:9" x14ac:dyDescent="0.15">
      <c r="D48" s="103" t="s">
        <v>285</v>
      </c>
    </row>
    <row r="49" spans="4:4" x14ac:dyDescent="0.15">
      <c r="D49" s="103" t="s">
        <v>285</v>
      </c>
    </row>
    <row r="50" spans="4:4" x14ac:dyDescent="0.15">
      <c r="D50" s="103" t="s">
        <v>285</v>
      </c>
    </row>
    <row r="51" spans="4:4" x14ac:dyDescent="0.15">
      <c r="D51" s="103" t="s">
        <v>285</v>
      </c>
    </row>
    <row r="52" spans="4:4" x14ac:dyDescent="0.15">
      <c r="D52" s="103" t="s">
        <v>285</v>
      </c>
    </row>
    <row r="53" spans="4:4" x14ac:dyDescent="0.15">
      <c r="D53" s="103" t="s">
        <v>285</v>
      </c>
    </row>
  </sheetData>
  <sortState ref="A2:K17">
    <sortCondition ref="A2:A17"/>
    <sortCondition descending="1" ref="B2:B17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J23" sqref="J23"/>
    </sheetView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9" bestFit="1" customWidth="1"/>
    <col min="11" max="11" width="10.42578125" bestFit="1" customWidth="1"/>
  </cols>
  <sheetData>
    <row r="1" spans="1:12" x14ac:dyDescent="0.15">
      <c r="A1" t="s">
        <v>1</v>
      </c>
      <c r="G1" t="s">
        <v>221</v>
      </c>
    </row>
    <row r="2" spans="1:12" x14ac:dyDescent="0.15">
      <c r="E2" s="134"/>
      <c r="G2" t="s">
        <v>303</v>
      </c>
      <c r="H2">
        <v>19</v>
      </c>
      <c r="I2">
        <v>1</v>
      </c>
      <c r="J2" s="179">
        <f t="array" ref="J2:K2">INDEX(Matches!$B$5:$C$59,BigOvers!I2,)</f>
        <v>41392</v>
      </c>
      <c r="K2" s="134" t="str">
        <v>Sanderstead</v>
      </c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2023-11-24T11:58:51Z</dcterms:modified>
</cp:coreProperties>
</file>